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255" tabRatio="600" firstSheet="0" activeTab="0" autoFilterDateGrouping="1"/>
  </bookViews>
  <sheets>
    <sheet xmlns:r="http://schemas.openxmlformats.org/officeDocument/2006/relationships" name="公区装饰工程量清单-劳务单价 (2)" sheetId="1" state="visible" r:id="rId1"/>
  </sheets>
  <externalReferences>
    <externalReference xmlns:r="http://schemas.openxmlformats.org/officeDocument/2006/relationships" r:id="rId2"/>
  </externalReferences>
  <definedNames>
    <definedName name="A">EVALUATE(SUBSTITUTE(SUBSTITUTE(#REF!,"[","*ISTEXT(""["),"]","]"")"))</definedName>
    <definedName name="_____ngk1109" localSheetId="0" hidden="1">{#N/A,#N/A,FALSE,"估價單  (3)"}</definedName>
    <definedName name="___ngk1109" localSheetId="0" hidden="1">{#N/A,#N/A,FALSE,"估價單  (3)"}</definedName>
    <definedName name="___________________N81020" localSheetId="0">[1]地梁!#REF!</definedName>
    <definedName name="dw" localSheetId="0">#REF!</definedName>
    <definedName name="_xlnm._FilterDatabase" localSheetId="0" hidden="1">'公区装饰工程量清单-劳务单价 (2)'!$A$3:$R$1493</definedName>
    <definedName name="_xlnm.Print_Titles" localSheetId="0">'公区装饰工程量清单-劳务单价 (2)'!$1:$3</definedName>
    <definedName name="_xlnm.Print_Area" localSheetId="0">'公区装饰工程量清单-劳务单价 (2)'!$A$1:$M$1493</definedName>
  </definedNames>
  <calcPr calcId="191029" fullCalcOnLoad="1"/>
</workbook>
</file>

<file path=xl/styles.xml><?xml version="1.0" encoding="utf-8"?>
<styleSheet xmlns="http://schemas.openxmlformats.org/spreadsheetml/2006/main">
  <numFmts count="3">
    <numFmt numFmtId="164" formatCode="0.00_);[Red]\(0.00\)"/>
    <numFmt numFmtId="165" formatCode="#,##0.00_ "/>
    <numFmt numFmtId="166" formatCode="0.00_ "/>
  </numFmts>
  <fonts count="40">
    <font>
      <name val="宋体"/>
      <charset val="134"/>
      <color theme="1"/>
      <sz val="11"/>
      <scheme val="minor"/>
    </font>
    <font>
      <name val="宋体"/>
      <charset val="134"/>
      <color indexed="8"/>
      <sz val="10"/>
    </font>
    <font>
      <name val="宋体"/>
      <charset val="134"/>
      <b val="1"/>
      <color indexed="8"/>
      <sz val="10"/>
    </font>
    <font>
      <name val="宋体"/>
      <charset val="134"/>
      <color theme="1"/>
      <sz val="10"/>
      <scheme val="major"/>
    </font>
    <font>
      <name val="宋体"/>
      <charset val="134"/>
      <b val="1"/>
      <color indexed="8"/>
      <sz val="10"/>
      <scheme val="major"/>
    </font>
    <font>
      <name val="宋体"/>
      <charset val="134"/>
      <color indexed="8"/>
      <sz val="10"/>
      <scheme val="major"/>
    </font>
    <font>
      <name val="宋体"/>
      <charset val="134"/>
      <b val="1"/>
      <sz val="10"/>
    </font>
    <font>
      <name val="宋体"/>
      <charset val="134"/>
      <b val="1"/>
      <color rgb="FFFF0000"/>
      <sz val="14"/>
    </font>
    <font>
      <name val="宋体"/>
      <charset val="134"/>
      <b val="1"/>
      <color rgb="FFFF0000"/>
      <sz val="10"/>
    </font>
    <font>
      <name val="宋体"/>
      <charset val="134"/>
      <sz val="10"/>
    </font>
    <font>
      <name val="宋体"/>
      <charset val="134"/>
      <color theme="1"/>
      <sz val="10"/>
    </font>
    <font>
      <name val="微软雅黑"/>
      <charset val="134"/>
      <sz val="10"/>
    </font>
    <font>
      <name val="SimSun"/>
      <charset val="134"/>
      <color theme="1"/>
      <sz val="10"/>
    </font>
    <font>
      <name val="宋体"/>
      <charset val="134"/>
      <color rgb="FF000000"/>
      <sz val="10"/>
      <scheme val="major"/>
    </font>
    <font>
      <name val="宋体"/>
      <charset val="134"/>
      <color rgb="FF000000"/>
      <sz val="10"/>
    </font>
    <font>
      <name val="宋体"/>
      <charset val="134"/>
      <b val="1"/>
      <color rgb="FF000000"/>
      <sz val="10"/>
    </font>
    <font>
      <name val="宋体"/>
      <charset val="134"/>
      <color theme="1"/>
      <sz val="12"/>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color indexed="8"/>
      <sz val="9"/>
    </font>
    <font>
      <name val="宋体"/>
      <charset val="134"/>
      <b val="1"/>
      <color indexed="8"/>
      <sz val="9"/>
    </font>
    <font>
      <name val="宋体"/>
      <charset val="134"/>
      <color theme="1"/>
      <sz val="9"/>
      <scheme val="minor"/>
    </font>
    <font>
      <name val="微软雅黑"/>
      <charset val="134"/>
      <color rgb="FF000000"/>
      <sz val="10"/>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top/>
      <bottom/>
      <diagonal/>
    </border>
  </borders>
  <cellStyleXfs count="53">
    <xf numFmtId="0" fontId="0" fillId="0" borderId="0"/>
    <xf numFmtId="43" fontId="16" fillId="0" borderId="0" applyAlignment="1">
      <alignment vertical="center"/>
    </xf>
    <xf numFmtId="44" fontId="16" fillId="0" borderId="0" applyAlignment="1">
      <alignment vertical="center"/>
    </xf>
    <xf numFmtId="9" fontId="16" fillId="0" borderId="0" applyAlignment="1">
      <alignment vertical="center"/>
    </xf>
    <xf numFmtId="41" fontId="16" fillId="0" borderId="0" applyAlignment="1">
      <alignment vertical="center"/>
    </xf>
    <xf numFmtId="42" fontId="16" fillId="0" borderId="0" applyAlignment="1">
      <alignment vertical="center"/>
    </xf>
    <xf numFmtId="0" fontId="17" fillId="0" borderId="0" applyAlignment="1">
      <alignment vertical="center"/>
    </xf>
    <xf numFmtId="0" fontId="18" fillId="0" borderId="0" applyAlignment="1">
      <alignment vertical="center"/>
    </xf>
    <xf numFmtId="0" fontId="16" fillId="2" borderId="5"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6" applyAlignment="1">
      <alignment vertical="center"/>
    </xf>
    <xf numFmtId="0" fontId="23" fillId="0" borderId="6" applyAlignment="1">
      <alignment vertical="center"/>
    </xf>
    <xf numFmtId="0" fontId="24" fillId="0" borderId="7" applyAlignment="1">
      <alignment vertical="center"/>
    </xf>
    <xf numFmtId="0" fontId="24" fillId="0" borderId="0" applyAlignment="1">
      <alignment vertical="center"/>
    </xf>
    <xf numFmtId="0" fontId="25" fillId="3" borderId="8" applyAlignment="1">
      <alignment vertical="center"/>
    </xf>
    <xf numFmtId="0" fontId="26" fillId="4" borderId="9" applyAlignment="1">
      <alignment vertical="center"/>
    </xf>
    <xf numFmtId="0" fontId="27" fillId="4" borderId="8" applyAlignment="1">
      <alignment vertical="center"/>
    </xf>
    <xf numFmtId="0" fontId="28" fillId="5" borderId="10" applyAlignment="1">
      <alignment vertical="center"/>
    </xf>
    <xf numFmtId="0" fontId="29" fillId="0" borderId="11" applyAlignment="1">
      <alignment vertical="center"/>
    </xf>
    <xf numFmtId="0" fontId="30" fillId="0" borderId="12" applyAlignment="1">
      <alignment vertical="center"/>
    </xf>
    <xf numFmtId="0" fontId="31" fillId="6" borderId="0" applyAlignment="1">
      <alignment vertical="center"/>
    </xf>
    <xf numFmtId="0" fontId="32" fillId="7" borderId="0" applyAlignment="1">
      <alignment vertical="center"/>
    </xf>
    <xf numFmtId="0" fontId="33" fillId="8" borderId="0" applyAlignment="1">
      <alignment vertical="center"/>
    </xf>
    <xf numFmtId="0" fontId="34" fillId="9" borderId="0" applyAlignment="1">
      <alignment vertical="center"/>
    </xf>
    <xf numFmtId="0" fontId="35" fillId="10" borderId="0" applyAlignment="1">
      <alignment vertical="center"/>
    </xf>
    <xf numFmtId="0" fontId="35" fillId="11" borderId="0" applyAlignment="1">
      <alignment vertical="center"/>
    </xf>
    <xf numFmtId="0" fontId="34" fillId="12" borderId="0" applyAlignment="1">
      <alignment vertical="center"/>
    </xf>
    <xf numFmtId="0" fontId="34" fillId="13"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6" fillId="0" borderId="0"/>
    <xf numFmtId="0" fontId="37" fillId="0" borderId="0"/>
    <xf numFmtId="0" fontId="36" fillId="0" borderId="0"/>
    <xf numFmtId="0" fontId="38" fillId="0" borderId="0"/>
  </cellStyleXfs>
  <cellXfs count="70">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horizontal="center" vertical="center" wrapText="1"/>
    </xf>
    <xf numFmtId="0" fontId="3" fillId="0" borderId="0" applyAlignment="1" pivotButton="0" quotePrefix="0" xfId="0">
      <alignment vertical="center"/>
    </xf>
    <xf numFmtId="0" fontId="4" fillId="0" borderId="0" applyAlignment="1" pivotButton="0" quotePrefix="0" xfId="0">
      <alignment horizontal="center" vertical="center" wrapText="1"/>
    </xf>
    <xf numFmtId="0" fontId="5" fillId="0" borderId="0" pivotButton="0" quotePrefix="0" xfId="49"/>
    <xf numFmtId="0" fontId="4" fillId="0" borderId="0" pivotButton="0" quotePrefix="0" xfId="50"/>
    <xf numFmtId="49" fontId="1" fillId="0" borderId="0" applyAlignment="1" pivotButton="0" quotePrefix="0" xfId="51">
      <alignment horizontal="center"/>
    </xf>
    <xf numFmtId="0" fontId="1" fillId="0" borderId="0" applyAlignment="1" pivotButton="0" quotePrefix="0" xfId="0">
      <alignment horizontal="left" vertical="center" wrapText="1"/>
    </xf>
    <xf numFmtId="164" fontId="1" fillId="0" borderId="0" applyAlignment="1" pivotButton="0" quotePrefix="0" xfId="0">
      <alignment horizontal="right" vertical="center" wrapText="1"/>
    </xf>
    <xf numFmtId="165" fontId="1" fillId="0" borderId="0" applyAlignment="1" pivotButton="0" quotePrefix="0" xfId="0">
      <alignment horizontal="right" vertical="center" wrapText="1"/>
    </xf>
    <xf numFmtId="165" fontId="1" fillId="0" borderId="0" applyAlignment="1" pivotButton="0" quotePrefix="0" xfId="0">
      <alignment horizontal="center" vertical="center" wrapText="1"/>
    </xf>
    <xf numFmtId="166" fontId="6" fillId="0" borderId="0" applyAlignment="1" pivotButton="0" quotePrefix="0" xfId="0">
      <alignment horizontal="center" vertical="center"/>
    </xf>
    <xf numFmtId="0" fontId="1" fillId="0" borderId="0" applyAlignment="1" pivotButton="0" quotePrefix="0" xfId="0">
      <alignment horizontal="center" vertical="center"/>
    </xf>
    <xf numFmtId="0" fontId="7" fillId="0" borderId="0" applyAlignment="1" pivotButton="0" quotePrefix="0" xfId="0">
      <alignment horizontal="center" vertical="center"/>
    </xf>
    <xf numFmtId="0" fontId="7" fillId="0" borderId="0" applyAlignment="1" pivotButton="0" quotePrefix="0" xfId="0">
      <alignment horizontal="left" vertical="center" wrapText="1"/>
    </xf>
    <xf numFmtId="164" fontId="7" fillId="0" borderId="0" applyAlignment="1" pivotButton="0" quotePrefix="0" xfId="0">
      <alignment horizontal="right" vertical="center" wrapText="1"/>
    </xf>
    <xf numFmtId="165" fontId="7" fillId="0" borderId="0" applyAlignment="1" pivotButton="0" quotePrefix="0" xfId="0">
      <alignment horizontal="right" vertical="center" wrapText="1"/>
    </xf>
    <xf numFmtId="165" fontId="7" fillId="0" borderId="0" applyAlignment="1" pivotButton="0" quotePrefix="0" xfId="0">
      <alignment horizontal="center" vertical="center" wrapText="1"/>
    </xf>
    <xf numFmtId="0" fontId="8" fillId="0" borderId="0" applyAlignment="1" pivotButton="0" quotePrefix="0" xfId="0">
      <alignment horizontal="center" vertical="center"/>
    </xf>
    <xf numFmtId="0" fontId="2" fillId="0" borderId="1" applyAlignment="1" pivotButton="0" quotePrefix="0" xfId="0">
      <alignment horizontal="center" vertical="center" wrapText="1"/>
    </xf>
    <xf numFmtId="49" fontId="2" fillId="0" borderId="1" applyAlignment="1" pivotButton="0" quotePrefix="0" xfId="0">
      <alignment horizontal="center" vertical="center" wrapText="1"/>
    </xf>
    <xf numFmtId="164" fontId="8" fillId="0" borderId="1" applyAlignment="1" pivotButton="0" quotePrefix="0" xfId="0">
      <alignment horizontal="center" vertical="center" wrapText="1"/>
    </xf>
    <xf numFmtId="164" fontId="8" fillId="0" borderId="2" applyAlignment="1" pivotButton="0" quotePrefix="0" xfId="0">
      <alignment horizontal="center" vertical="center" wrapText="1"/>
    </xf>
    <xf numFmtId="49" fontId="6" fillId="0" borderId="1" applyAlignment="1" pivotButton="0" quotePrefix="0" xfId="0">
      <alignment horizontal="center" vertical="center" wrapText="1"/>
    </xf>
    <xf numFmtId="164" fontId="8" fillId="0" borderId="3" applyAlignment="1" pivotButton="0" quotePrefix="0" xfId="0">
      <alignment horizontal="center" vertical="center" wrapText="1"/>
    </xf>
    <xf numFmtId="0" fontId="4" fillId="0" borderId="1" applyAlignment="1" pivotButton="0" quotePrefix="0" xfId="0">
      <alignment horizontal="center" vertical="center"/>
    </xf>
    <xf numFmtId="0" fontId="9" fillId="0" borderId="1" applyAlignment="1" pivotButton="0" quotePrefix="0" xfId="0">
      <alignment horizontal="left" vertical="center" wrapText="1"/>
    </xf>
    <xf numFmtId="0" fontId="9" fillId="0" borderId="1" applyAlignment="1" pivotButton="0" quotePrefix="0" xfId="0">
      <alignment horizontal="center" vertical="center" wrapText="1"/>
    </xf>
    <xf numFmtId="164" fontId="10" fillId="0" borderId="1" applyAlignment="1" pivotButton="0" quotePrefix="0" xfId="0">
      <alignment vertical="center"/>
    </xf>
    <xf numFmtId="166" fontId="10" fillId="0" borderId="1" applyAlignment="1" pivotButton="0" quotePrefix="0" xfId="0">
      <alignment horizontal="right" vertical="center"/>
    </xf>
    <xf numFmtId="10" fontId="2" fillId="0" borderId="4" applyAlignment="1" pivotButton="0" quotePrefix="0" xfId="3">
      <alignment horizontal="center" vertical="center" wrapText="1"/>
    </xf>
    <xf numFmtId="166" fontId="1" fillId="0" borderId="1" applyAlignment="1" pivotButton="0" quotePrefix="0" xfId="0">
      <alignment horizontal="right" vertical="center" wrapText="1"/>
    </xf>
    <xf numFmtId="0" fontId="10" fillId="0" borderId="1" applyAlignment="1" pivotButton="0" quotePrefix="0" xfId="0">
      <alignment horizontal="center" vertical="center"/>
    </xf>
    <xf numFmtId="166" fontId="1" fillId="0" borderId="1" applyAlignment="1" pivotButton="0" quotePrefix="0" xfId="0">
      <alignment horizontal="center" vertical="center" wrapText="1"/>
    </xf>
    <xf numFmtId="0" fontId="3" fillId="0" borderId="0" applyAlignment="1" pivotButton="0" quotePrefix="0" xfId="0">
      <alignment horizontal="center" vertical="center"/>
    </xf>
    <xf numFmtId="0" fontId="5" fillId="0" borderId="1" applyAlignment="1" pivotButton="0" quotePrefix="0" xfId="0">
      <alignment horizontal="center" vertical="center"/>
    </xf>
    <xf numFmtId="0" fontId="11" fillId="0" borderId="1" applyAlignment="1" pivotButton="0" quotePrefix="0" xfId="52">
      <alignment horizontal="center" vertical="center" wrapText="1"/>
    </xf>
    <xf numFmtId="0" fontId="12" fillId="0" borderId="0" applyAlignment="1" pivotButton="0" quotePrefix="0" xfId="0">
      <alignment vertical="center"/>
    </xf>
    <xf numFmtId="0" fontId="3" fillId="0" borderId="0" applyAlignment="1" pivotButton="0" quotePrefix="0" xfId="0">
      <alignment vertical="center"/>
    </xf>
    <xf numFmtId="0" fontId="4" fillId="0" borderId="1" applyAlignment="1" pivotButton="0" quotePrefix="0" xfId="0">
      <alignment horizontal="center" vertical="center" wrapText="1"/>
    </xf>
    <xf numFmtId="0" fontId="13" fillId="0" borderId="1" applyAlignment="1" pivotButton="0" quotePrefix="0" xfId="0">
      <alignment horizontal="left" vertical="center" wrapText="1"/>
    </xf>
    <xf numFmtId="166" fontId="2" fillId="0" borderId="1" applyAlignment="1" pivotButton="0" quotePrefix="0" xfId="0">
      <alignment horizontal="right" vertical="center" wrapText="1"/>
    </xf>
    <xf numFmtId="49" fontId="14" fillId="0" borderId="1" applyAlignment="1" pivotButton="0" quotePrefix="0" xfId="0">
      <alignment horizontal="centerContinuous" vertical="center" wrapText="1"/>
    </xf>
    <xf numFmtId="0" fontId="5" fillId="0" borderId="0" applyAlignment="1" pivotButton="0" quotePrefix="0" xfId="49">
      <alignment horizontal="center"/>
    </xf>
    <xf numFmtId="0" fontId="14" fillId="0" borderId="1" applyAlignment="1" pivotButton="0" quotePrefix="0" xfId="0">
      <alignment horizontal="centerContinuous" vertical="center" wrapText="1"/>
    </xf>
    <xf numFmtId="0" fontId="4" fillId="0" borderId="0" applyAlignment="1" pivotButton="0" quotePrefix="0" xfId="50">
      <alignment horizontal="center"/>
    </xf>
    <xf numFmtId="49" fontId="1" fillId="0" borderId="1" applyAlignment="1" pivotButton="0" quotePrefix="0" xfId="51">
      <alignment horizontal="center"/>
    </xf>
    <xf numFmtId="49" fontId="15" fillId="0" borderId="1" applyAlignment="1" pivotButton="0" quotePrefix="0" xfId="0">
      <alignment horizontal="centerContinuous" vertical="center" wrapText="1"/>
    </xf>
    <xf numFmtId="0" fontId="5" fillId="0" borderId="1" applyAlignment="1" pivotButton="0" quotePrefix="0" xfId="0">
      <alignment horizontal="center" vertical="center" wrapText="1"/>
    </xf>
    <xf numFmtId="166" fontId="4" fillId="0" borderId="1" applyAlignment="1" pivotButton="0" quotePrefix="0" xfId="0">
      <alignment horizontal="right" vertical="center" wrapText="1"/>
    </xf>
    <xf numFmtId="10" fontId="2" fillId="0" borderId="3" applyAlignment="1" pivotButton="0" quotePrefix="0" xfId="3">
      <alignment horizontal="center" vertical="center" wrapText="1"/>
    </xf>
    <xf numFmtId="166" fontId="2" fillId="0" borderId="1" applyAlignment="1" pivotButton="0" quotePrefix="0" xfId="0">
      <alignment horizontal="center" vertical="center" wrapText="1"/>
    </xf>
    <xf numFmtId="166" fontId="2" fillId="0" borderId="3" applyAlignment="1" pivotButton="0" quotePrefix="0" xfId="0">
      <alignment horizontal="center" vertical="center" wrapText="1"/>
    </xf>
    <xf numFmtId="164" fontId="1" fillId="0" borderId="0" applyAlignment="1" pivotButton="0" quotePrefix="0" xfId="0">
      <alignment horizontal="right" vertical="center" wrapText="1"/>
    </xf>
    <xf numFmtId="165" fontId="1" fillId="0" borderId="0" applyAlignment="1" pivotButton="0" quotePrefix="0" xfId="0">
      <alignment horizontal="right" vertical="center" wrapText="1"/>
    </xf>
    <xf numFmtId="165" fontId="1" fillId="0" borderId="0" applyAlignment="1" pivotButton="0" quotePrefix="0" xfId="0">
      <alignment horizontal="center" vertical="center" wrapText="1"/>
    </xf>
    <xf numFmtId="166" fontId="6" fillId="0" borderId="0" applyAlignment="1" pivotButton="0" quotePrefix="0" xfId="0">
      <alignment horizontal="center" vertical="center"/>
    </xf>
    <xf numFmtId="164" fontId="8" fillId="0" borderId="1" applyAlignment="1" pivotButton="0" quotePrefix="0" xfId="0">
      <alignment horizontal="center" vertical="center" wrapText="1"/>
    </xf>
    <xf numFmtId="0" fontId="0" fillId="0" borderId="15" pivotButton="0" quotePrefix="0" xfId="0"/>
    <xf numFmtId="0" fontId="0" fillId="0" borderId="3" pivotButton="0" quotePrefix="0" xfId="0"/>
    <xf numFmtId="164" fontId="10" fillId="0" borderId="1" applyAlignment="1" pivotButton="0" quotePrefix="0" xfId="0">
      <alignment vertical="center"/>
    </xf>
    <xf numFmtId="166" fontId="10" fillId="0" borderId="1" applyAlignment="1" pivotButton="0" quotePrefix="0" xfId="0">
      <alignment horizontal="right" vertical="center"/>
    </xf>
    <xf numFmtId="166" fontId="1" fillId="0" borderId="1" applyAlignment="1" pivotButton="0" quotePrefix="0" xfId="0">
      <alignment horizontal="right" vertical="center" wrapText="1"/>
    </xf>
    <xf numFmtId="166" fontId="1" fillId="0" borderId="1" applyAlignment="1" pivotButton="0" quotePrefix="0" xfId="0">
      <alignment horizontal="center" vertical="center" wrapText="1"/>
    </xf>
    <xf numFmtId="0" fontId="0" fillId="0" borderId="4" pivotButton="0" quotePrefix="0" xfId="0"/>
    <xf numFmtId="166" fontId="2" fillId="0" borderId="1" applyAlignment="1" pivotButton="0" quotePrefix="0" xfId="0">
      <alignment horizontal="right" vertical="center" wrapText="1"/>
    </xf>
    <xf numFmtId="166" fontId="4" fillId="0" borderId="1" applyAlignment="1" pivotButton="0" quotePrefix="0" xfId="0">
      <alignment horizontal="right" vertical="center" wrapText="1"/>
    </xf>
    <xf numFmtId="166" fontId="2" fillId="0" borderId="1" applyAlignment="1" pivotButton="0" quotePrefix="0" xfId="0">
      <alignment horizontal="center" vertical="center" wrapText="1"/>
    </xf>
    <xf numFmtId="166" fontId="2" fillId="0" borderId="3" applyAlignment="1" pivotButton="0" quotePrefix="0" xfId="0">
      <alignment horizontal="center" vertical="center" wrapText="1"/>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3 3" xfId="49"/>
    <cellStyle name="RowLevel_0" xfId="50"/>
    <cellStyle name="常规 3 3 2" xfId="51"/>
    <cellStyle name="Normal" xfId="52"/>
  </cellStyles>
  <dxfs count="18">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externalLink" Target="/xl/externalLinks/externalLink1.xml" Id="rId2"/><Relationship Type="http://schemas.openxmlformats.org/officeDocument/2006/relationships/styles" Target="styles.xml" Id="rId3"/><Relationship Type="http://schemas.openxmlformats.org/officeDocument/2006/relationships/theme" Target="theme/theme1.xml" Id="rId4"/></Relationships>
</file>

<file path=xl/externalLinks/_rels/externalLink1.xml.rels><Relationships xmlns="http://schemas.openxmlformats.org/package/2006/relationships"><Relationship Type="http://schemas.openxmlformats.org/officeDocument/2006/relationships/externalLinkPath" Target="file:///\var\mobile\Containers\Data\Application\D753FB2C-B1E0-412A-8FD6-CBBA790881A2\Documents\WpsQingCache_\204093671\o\LOCAL-F50BC614-E946-4D5D-A2E9-1EA9E1A6E1E5\n\C:\&#22478;&#24066;&#20844;&#21496;\&#25307;&#26631;&#25511;&#21046;&#20215;\&#23792;&#23578;&#19977;&#26399;&#20027;&#20307;\&#23792;&#23578;&#19977;&#26399;&#25511;&#21046;&#20215;\&#25511;&#21046;&#20215;&#25253;&#32929;&#20221;\&#22686;&#20540;&#31246;&#27169;&#24335;\&#29664;&#28023;&#20844;&#21496;\&#21313;&#23383;&#38376;&#22269;&#38469;&#31038;&#21306;\&#20998;&#39033;&#24037;&#31243;\&#20027;&#20307;\&#32511;&#27915;&#28286;\0&#12289;&#21326;&#21457;&#32511;&#27915;&#28286;&#20027;&#20307;&#24314;&#23433;&#24037;&#31243;&#25307;&#26631;&#25511;&#21046;&#20215;2015.08.07&#65288;&#26681;&#25454;&#20844;&#21496;&#39046;&#23548;&#35201;&#27714;&#22312;20150728&#29256;&#26412;&#30340;&#22522;&#30784;&#19978;+3%25&#65289;\&#21508;&#24037;&#31243;&#25991;&#26723;\&#21335;&#28023;&#31048;&#31119;&#21335;&#28286;&#21322;&#23707;\&#27915;&#27004;\A12b&#23627;&#22411;\A12b&#23627;&#22411;&#32467;&#26500;&#24037;&#31243;&#37327;.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备注"/>
      <sheetName val="管桩"/>
      <sheetName val="承台基础"/>
      <sheetName val="地梁"/>
      <sheetName val="异柱"/>
      <sheetName val="矩柱"/>
      <sheetName val="构造柱"/>
      <sheetName val="电梯井壁"/>
      <sheetName val="直梁"/>
      <sheetName val="圈梁"/>
      <sheetName val="楼板"/>
      <sheetName val="挑檐"/>
      <sheetName val="栏板"/>
      <sheetName val="空调板"/>
      <sheetName val="雨篷"/>
      <sheetName val="梯板"/>
      <sheetName val="门窗表"/>
      <sheetName val="骨浆计算式(备)"/>
      <sheetName val="计算式明细"/>
      <sheetName val="墙面工程"/>
      <sheetName val="PUR资料库"/>
      <sheetName val="#REF!"/>
      <sheetName val="sum(Flooring )"/>
      <sheetName val="汇总表"/>
      <sheetName val="工程量表"/>
      <sheetName val="2清单编制说明"/>
      <sheetName val="底板"/>
      <sheetName val="单位库"/>
      <sheetName val="清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0"/>
    <pageSetUpPr fitToPage="1"/>
  </sheetPr>
  <dimension ref="A1:R1493"/>
  <sheetViews>
    <sheetView tabSelected="1" view="pageBreakPreview" zoomScaleNormal="100" workbookViewId="0">
      <pane ySplit="3" topLeftCell="A4" activePane="bottomLeft" state="frozen"/>
      <selection activeCell="A1" sqref="A1"/>
      <selection pane="bottomLeft" activeCell="I4" sqref="I4:I1491"/>
    </sheetView>
  </sheetViews>
  <sheetFormatPr baseColWidth="8" defaultColWidth="9.641666666666669" defaultRowHeight="12"/>
  <cols>
    <col width="6.98333333333333" customWidth="1" style="1" min="1" max="1"/>
    <col width="18.375" customWidth="1" style="8" min="2" max="2"/>
    <col width="29.25" customWidth="1" style="1" min="3" max="3"/>
    <col width="22.625" customWidth="1" style="1" min="4" max="4"/>
    <col width="27.25" customWidth="1" style="1" min="5" max="5"/>
    <col width="6.09166666666667" customWidth="1" style="1" min="6" max="6"/>
    <col width="12.375" customWidth="1" style="54" min="7" max="7"/>
    <col width="12.8166666666667" customWidth="1" style="54" min="8" max="10"/>
    <col width="12.8166666666667" customWidth="1" style="55" min="11" max="11"/>
    <col width="12.8166666666667" customWidth="1" style="56" min="12" max="12"/>
    <col width="16.0666666666667" customWidth="1" style="57" min="13" max="13"/>
    <col width="5.625" customWidth="1" style="57" min="14" max="14"/>
    <col width="10" customWidth="1" style="1" min="15" max="15"/>
    <col width="11.6333333333333" customWidth="1" style="13" min="16" max="18"/>
    <col width="10" customWidth="1" style="1" min="19" max="14635"/>
    <col width="9.641666666666669" customWidth="1" style="1" min="14636" max="16384"/>
  </cols>
  <sheetData>
    <row r="1" ht="18.75" customFormat="1" customHeight="1" s="1">
      <c r="A1" s="14" t="inlineStr">
        <is>
          <t>珠海丹田海德项目装修工程量清单</t>
        </is>
      </c>
      <c r="N1" s="19" t="n"/>
      <c r="P1" s="13" t="n"/>
      <c r="Q1" s="13" t="n"/>
      <c r="R1" s="13" t="n"/>
    </row>
    <row r="2" customFormat="1" s="1">
      <c r="A2" s="20" t="inlineStr">
        <is>
          <t>序号</t>
        </is>
      </c>
      <c r="B2" s="20" t="inlineStr">
        <is>
          <t>项目名称</t>
        </is>
      </c>
      <c r="C2" s="20" t="inlineStr">
        <is>
          <t>项目特征</t>
        </is>
      </c>
      <c r="D2" s="20" t="inlineStr">
        <is>
          <t>单价包含工作内容</t>
        </is>
      </c>
      <c r="E2" s="20" t="inlineStr">
        <is>
          <t>工程量计算规则及依据</t>
        </is>
      </c>
      <c r="F2" s="20" t="inlineStr">
        <is>
          <t>单位</t>
        </is>
      </c>
      <c r="G2" s="21" t="inlineStr">
        <is>
          <t>合计工程量</t>
        </is>
      </c>
      <c r="H2" s="58" t="inlineStr">
        <is>
          <t>不含税基准价</t>
        </is>
      </c>
      <c r="I2" s="58" t="inlineStr">
        <is>
          <t>下浮率</t>
        </is>
      </c>
      <c r="J2" s="58" t="inlineStr">
        <is>
          <t>投标报价</t>
        </is>
      </c>
      <c r="K2" s="59" t="n"/>
      <c r="L2" s="20" t="inlineStr">
        <is>
          <t>甲供材</t>
        </is>
      </c>
      <c r="M2" s="20" t="inlineStr">
        <is>
          <t>备注</t>
        </is>
      </c>
      <c r="N2" s="19" t="n"/>
      <c r="O2" t="inlineStr">
        <is>
          <t>学习清单人工费</t>
        </is>
      </c>
      <c r="P2" s="13" t="inlineStr">
        <is>
          <t>与H列基准价对比</t>
        </is>
      </c>
      <c r="Q2" s="13" t="n"/>
      <c r="R2" s="13" t="n"/>
    </row>
    <row r="3" ht="24" customFormat="1" customHeight="1" s="2">
      <c r="A3" s="60" t="n"/>
      <c r="B3" s="60" t="n"/>
      <c r="C3" s="60" t="n"/>
      <c r="D3" s="60" t="n"/>
      <c r="E3" s="60" t="n"/>
      <c r="F3" s="60" t="n"/>
      <c r="G3" s="60" t="n"/>
      <c r="H3" s="24" t="inlineStr">
        <is>
          <t>综合单价（不含税）</t>
        </is>
      </c>
      <c r="I3" s="60" t="n"/>
      <c r="J3" s="24" t="inlineStr">
        <is>
          <t>综合单价（不含税）</t>
        </is>
      </c>
      <c r="K3" s="20" t="inlineStr">
        <is>
          <t>合价（不含税）</t>
        </is>
      </c>
      <c r="L3" s="60" t="n"/>
      <c r="M3" s="60" t="n"/>
    </row>
    <row r="4" customFormat="1" s="39">
      <c r="A4" s="26" t="inlineStr">
        <is>
          <t>A</t>
        </is>
      </c>
      <c r="B4" s="20" t="inlineStr">
        <is>
          <t>首层装修部分（北向）</t>
        </is>
      </c>
      <c r="C4" s="27" t="n"/>
      <c r="D4" s="27" t="n"/>
      <c r="E4" s="27" t="n"/>
      <c r="F4" s="28" t="n"/>
      <c r="G4" s="61" t="n"/>
      <c r="H4" s="62" t="n"/>
      <c r="I4" s="51" t="n">
        <v>0</v>
      </c>
      <c r="J4" s="62" t="n"/>
      <c r="K4" s="63" t="n"/>
      <c r="L4" s="33" t="n"/>
      <c r="M4" s="64" t="n"/>
      <c r="P4" s="35" t="n"/>
      <c r="Q4" s="35" t="n"/>
      <c r="R4" s="35" t="n"/>
    </row>
    <row r="5" outlineLevel="1" customFormat="1" s="39">
      <c r="A5" s="26" t="inlineStr">
        <is>
          <t>一</t>
        </is>
      </c>
      <c r="B5" s="27" t="inlineStr">
        <is>
          <t>一层电梯厅、设备间（DT1）</t>
        </is>
      </c>
      <c r="C5" s="27" t="n"/>
      <c r="D5" s="27" t="n"/>
      <c r="E5" s="27" t="n"/>
      <c r="F5" s="28" t="n"/>
      <c r="G5" s="61" t="n"/>
      <c r="H5" s="62" t="n"/>
      <c r="I5" s="65" t="n"/>
      <c r="J5" s="62" t="n"/>
      <c r="K5" s="63" t="n"/>
      <c r="L5" s="33" t="n"/>
      <c r="M5" s="64" t="n"/>
      <c r="P5" s="35" t="n"/>
      <c r="Q5" s="35" t="n"/>
      <c r="R5" s="35" t="n"/>
    </row>
    <row r="6" outlineLevel="1" customFormat="1" s="39">
      <c r="A6" s="36" t="n"/>
      <c r="B6" s="27" t="inlineStr">
        <is>
          <t>地面工程</t>
        </is>
      </c>
      <c r="C6" s="27" t="n"/>
      <c r="D6" s="27" t="n"/>
      <c r="E6" s="27" t="n"/>
      <c r="F6" s="28" t="n"/>
      <c r="G6" s="61" t="n"/>
      <c r="H6" s="62" t="n"/>
      <c r="I6" s="65" t="n"/>
      <c r="J6" s="62" t="n"/>
      <c r="K6" s="63" t="n"/>
      <c r="L6" s="33" t="n"/>
      <c r="M6" s="64" t="n"/>
      <c r="P6" s="35" t="n"/>
      <c r="Q6" s="35" t="n"/>
      <c r="R6" s="35" t="n"/>
    </row>
    <row r="7" outlineLevel="2" ht="108" customFormat="1" customHeight="1" s="39">
      <c r="A7" s="37">
        <f>1+N(A6)</f>
        <v/>
      </c>
      <c r="B7" s="27" t="inlineStr">
        <is>
          <t>地面铺贴大理石ST-01</t>
        </is>
      </c>
      <c r="C7" s="27" t="inlineStr">
        <is>
          <t>1.地面20mm大理石ST-01、铺贴、厚度及样式按物料书为准；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7"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7" s="27" t="inlineStr">
        <is>
          <t xml:space="preserve">执行《GB/T50854-2024房屋建筑与装饰工程工程量计算标准》，按设计图示尺寸
以面积计算。 </t>
        </is>
      </c>
      <c r="F7" s="28" t="inlineStr">
        <is>
          <t>m2</t>
        </is>
      </c>
      <c r="G7" s="61" t="n">
        <v>18.57</v>
      </c>
      <c r="H7" s="62" t="n">
        <v>218.75017</v>
      </c>
      <c r="I7" s="65" t="n"/>
      <c r="J7" s="62">
        <f>H7*(1-$I$4)</f>
        <v/>
      </c>
      <c r="K7" s="63">
        <f>G7*J7</f>
        <v/>
      </c>
      <c r="L7" s="33" t="inlineStr">
        <is>
          <t>石材</t>
        </is>
      </c>
      <c r="M7" s="64" t="n"/>
      <c r="N7" s="39" t="n">
        <v>1</v>
      </c>
      <c r="O7" t="n">
        <v>130</v>
      </c>
      <c r="P7" s="35" t="inlineStr">
        <is>
          <t>差:-88.75元 (-40.6%) 来源:售楼处</t>
        </is>
      </c>
      <c r="Q7" s="35" t="n"/>
      <c r="R7" s="35" t="n"/>
    </row>
    <row r="8" outlineLevel="2" ht="108" customFormat="1" customHeight="1" s="39">
      <c r="A8" s="37">
        <f>1+N(A7)</f>
        <v/>
      </c>
      <c r="B8" s="27" t="inlineStr">
        <is>
          <t>地面铺贴大理石ST-01.02拼花</t>
        </is>
      </c>
      <c r="C8" s="27" t="inlineStr">
        <is>
          <t>1.地面20mm大理石拼花、参考3F-DF-01样式、ST-01、ST-02按物料书为准；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8"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8" s="27" t="inlineStr">
        <is>
          <t xml:space="preserve">执行《GB/T50854-2024房屋建筑与装饰工程工程量计算标准》，按设计图示尺寸
以面积计算。 </t>
        </is>
      </c>
      <c r="F8" s="28" t="inlineStr">
        <is>
          <t>m2</t>
        </is>
      </c>
      <c r="G8" s="61" t="n">
        <v>10.62</v>
      </c>
      <c r="H8" s="62" t="n">
        <v>242.35017</v>
      </c>
      <c r="I8" s="65" t="n"/>
      <c r="J8" s="62">
        <f>H8*(1-$I$4)</f>
        <v/>
      </c>
      <c r="K8" s="63">
        <f>G8*J8</f>
        <v/>
      </c>
      <c r="L8" s="33" t="inlineStr">
        <is>
          <t>石材</t>
        </is>
      </c>
      <c r="M8" s="64" t="n"/>
      <c r="N8" s="39" t="n">
        <v>1</v>
      </c>
      <c r="O8" t="n">
        <v>130</v>
      </c>
      <c r="P8" s="35" t="inlineStr">
        <is>
          <t>差:-112.35元 (-46.4%) 来源:售楼处</t>
        </is>
      </c>
      <c r="Q8" s="35" t="n"/>
      <c r="R8" s="35" t="n"/>
    </row>
    <row r="9" outlineLevel="2" ht="108" customFormat="1" customHeight="1" s="39">
      <c r="A9" s="37">
        <f>1+N(A8)</f>
        <v/>
      </c>
      <c r="B9" s="27" t="inlineStr">
        <is>
          <t>地面地砖 CT-06</t>
        </is>
      </c>
      <c r="C9" s="27" t="inlineStr">
        <is>
          <t>1.地面花砖CT-06；
2.10mm厚专用粘结剂；
3.80mm厚DS-M15干混砂浆找平；
4.基层清理；
5.含切边、倒角、拼接等处理；
6.包含完成该项内容所有工作及费用并满足设计图纸、规范等要求；</t>
        </is>
      </c>
      <c r="D9"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9" s="27" t="inlineStr">
        <is>
          <t xml:space="preserve">执行《GB/T50854-2024房屋建筑与装饰工程工程量计算标准》，按设计图示尺寸
以面积计算。 </t>
        </is>
      </c>
      <c r="F9" s="28" t="inlineStr">
        <is>
          <t>m2</t>
        </is>
      </c>
      <c r="G9" s="61" t="n">
        <v>2.58</v>
      </c>
      <c r="H9" s="62" t="n">
        <v>164.71148</v>
      </c>
      <c r="I9" s="65" t="n"/>
      <c r="J9" s="62">
        <f>H9*(1-$I$4)</f>
        <v/>
      </c>
      <c r="K9" s="63">
        <f>G9*J9</f>
        <v/>
      </c>
      <c r="L9" s="33" t="inlineStr">
        <is>
          <t>瓷砖</t>
        </is>
      </c>
      <c r="M9" s="64" t="n"/>
      <c r="N9" s="39" t="n">
        <v>1</v>
      </c>
      <c r="O9" t="n">
        <v>77</v>
      </c>
      <c r="P9" s="35" t="inlineStr">
        <is>
          <t>差:-87.71元 (-53.3%) 来源:售楼处</t>
        </is>
      </c>
      <c r="Q9" s="35" t="n"/>
      <c r="R9" s="35" t="n"/>
    </row>
    <row r="10" outlineLevel="2" ht="108" customFormat="1" customHeight="1" s="39">
      <c r="A10" s="37">
        <f>1+N(A9)</f>
        <v/>
      </c>
      <c r="B10" s="27" t="inlineStr">
        <is>
          <t>实心铜条5mm宽</t>
        </is>
      </c>
      <c r="C10" s="27" t="inlineStr">
        <is>
          <t>1.实心铜条5mm宽；
2.包含完成该项内容所有工作及费用并满足设计图纸、规范等要求；</t>
        </is>
      </c>
      <c r="D10"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0" s="27" t="inlineStr">
        <is>
          <t>按设计图示尺寸以长度计算。</t>
        </is>
      </c>
      <c r="F10" s="28" t="inlineStr">
        <is>
          <t>m</t>
        </is>
      </c>
      <c r="G10" s="61" t="n">
        <v>12.77</v>
      </c>
      <c r="H10" s="62" t="n">
        <v>89.267</v>
      </c>
      <c r="I10" s="65" t="n"/>
      <c r="J10" s="62">
        <f>H10*(1-$I$4)</f>
        <v/>
      </c>
      <c r="K10" s="63">
        <f>G10*J10</f>
        <v/>
      </c>
      <c r="L10" s="33" t="inlineStr">
        <is>
          <t>/</t>
        </is>
      </c>
      <c r="M10" s="64" t="n"/>
      <c r="N10" s="39" t="n">
        <v>1</v>
      </c>
      <c r="O10" t="n">
        <v>12</v>
      </c>
      <c r="P10" s="35" t="inlineStr">
        <is>
          <t>差:-77.27元 (-86.6%) 来源:售楼处</t>
        </is>
      </c>
      <c r="Q10" s="35" t="n"/>
      <c r="R10" s="35" t="n"/>
    </row>
    <row r="11" outlineLevel="2" ht="108" customFormat="1" customHeight="1" s="39">
      <c r="A11" s="37">
        <f>1+N(A10)</f>
        <v/>
      </c>
      <c r="B11" s="27" t="inlineStr">
        <is>
          <t>地面石材晶面处理</t>
        </is>
      </c>
      <c r="C11" s="27" t="inlineStr">
        <is>
          <t>1.石材结晶处理(结晶水及石材保养剂,中性清洁剂)；
2.包含完成该项内容所有工作及费用并满足设计图纸、规范等要求；</t>
        </is>
      </c>
      <c r="D11"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1" s="27" t="inlineStr">
        <is>
          <t xml:space="preserve">执行《GB/T50854-2024房屋建筑与装饰工程工程量计算标准》，按设计图示尺寸
以面积计算。 </t>
        </is>
      </c>
      <c r="F11" s="28" t="inlineStr">
        <is>
          <t>m2</t>
        </is>
      </c>
      <c r="G11" s="61" t="n">
        <v>14.77</v>
      </c>
      <c r="H11" s="62" t="n">
        <v>64.90000000000001</v>
      </c>
      <c r="I11" s="65" t="n"/>
      <c r="J11" s="62">
        <f>H11*(1-$I$4)</f>
        <v/>
      </c>
      <c r="K11" s="63">
        <f>G11*J11</f>
        <v/>
      </c>
      <c r="L11" s="33" t="inlineStr">
        <is>
          <t>/</t>
        </is>
      </c>
      <c r="M11" s="64" t="n"/>
      <c r="N11" s="39" t="n">
        <v>1</v>
      </c>
      <c r="O11" t="n">
        <v>40</v>
      </c>
      <c r="P11" s="35" t="inlineStr">
        <is>
          <t>差:-24.90元 (-38.4%) 来源:售楼处</t>
        </is>
      </c>
      <c r="Q11" s="35" t="n"/>
      <c r="R11" s="35" t="n"/>
    </row>
    <row r="12" outlineLevel="1" customFormat="1" s="39">
      <c r="A12" s="36" t="n"/>
      <c r="B12" s="27" t="inlineStr">
        <is>
          <t>墙柱面工程</t>
        </is>
      </c>
      <c r="C12" s="27" t="n"/>
      <c r="D12" s="27" t="n"/>
      <c r="E12" s="27" t="n"/>
      <c r="F12" s="28" t="n"/>
      <c r="G12" s="61" t="n"/>
      <c r="H12" s="62" t="n"/>
      <c r="I12" s="65" t="n"/>
      <c r="J12" s="62" t="n"/>
      <c r="K12" s="63" t="n"/>
      <c r="L12" s="33" t="n"/>
      <c r="M12" s="64" t="n"/>
      <c r="P12" s="35" t="n"/>
      <c r="Q12" s="35" t="n"/>
      <c r="R12" s="35" t="n"/>
    </row>
    <row r="13" outlineLevel="2" ht="144" customFormat="1" customHeight="1" s="39">
      <c r="A13" s="37">
        <f>1+N(A12)</f>
        <v/>
      </c>
      <c r="B13" s="27" t="inlineStr">
        <is>
          <t>墙面湿贴石材ST-05</t>
        </is>
      </c>
      <c r="C13" s="27" t="inlineStr">
        <is>
          <t>1、墙面湿贴石材ST-05
2、8mm厚石材专用胶粘剂WC粘结层
3、界面剂拉毛处理
4、石材的开槽、磨边、倒角、粘接、形成所需之凹坑、抛光、六面防污防渗等一切处理费用均在主材费中考虑，不再另行计取
5、包含完成该项内容所有工作及费用并满足设计图纸、规范等要求</t>
        </is>
      </c>
      <c r="D13" s="27" t="inlineStr">
        <is>
          <t>具体工作内容除详见项目特征外，且不限于以下内容:1.包含材料的下车、场内运输；2.清理基层、找标高、弹线定位；3.试拼试排；4.砂浆拌和、铺找平层（粘结层）砂浆；5.面层铺设、灌缝、擦缝；6.打蜡、养护；配合留设墙面开关、插座等末端设备等全部内容；包含成品保护、安全文明施工等达到验收合格的全部施工内容。</t>
        </is>
      </c>
      <c r="E13" s="27" t="inlineStr">
        <is>
          <t>执行《GB/T50854-2024房屋建筑与装饰工程工程量计算标准》，按设计图示镶贴后外围面积计算</t>
        </is>
      </c>
      <c r="F13" s="28" t="inlineStr">
        <is>
          <t>m2</t>
        </is>
      </c>
      <c r="G13" s="61" t="n">
        <v>12.94</v>
      </c>
      <c r="H13" s="62" t="n">
        <v>177</v>
      </c>
      <c r="I13" s="65" t="n"/>
      <c r="J13" s="62">
        <f>H13*(1-$I$4)</f>
        <v/>
      </c>
      <c r="K13" s="63">
        <f>G13*J13</f>
        <v/>
      </c>
      <c r="L13" s="33" t="inlineStr">
        <is>
          <t>石材</t>
        </is>
      </c>
      <c r="M13" s="64" t="n"/>
      <c r="N13" s="39" t="n">
        <v>1</v>
      </c>
      <c r="O13" t="n">
        <v>95</v>
      </c>
      <c r="P13" s="35" t="inlineStr">
        <is>
          <t>差:-82.00元 (-46.3%) 来源:售楼处</t>
        </is>
      </c>
      <c r="Q13" s="35" t="n"/>
      <c r="R13" s="35" t="n"/>
    </row>
    <row r="14" outlineLevel="2" ht="180" customFormat="1" customHeight="1" s="39">
      <c r="A14" s="37">
        <f>1+N(A13)</f>
        <v/>
      </c>
      <c r="B14" s="27" t="inlineStr">
        <is>
          <t>墙面干挂ST-05石材</t>
        </is>
      </c>
      <c r="C14" s="27" t="inlineStr">
        <is>
          <t>1、墙面干挂ST-05石材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is>
      </c>
      <c r="D14"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4" s="27" t="inlineStr">
        <is>
          <t>执行《GB/T50854-2024房屋建筑与装饰工程工程量计算标准》，按设计图示镶贴后外围面积计算</t>
        </is>
      </c>
      <c r="F14" s="28" t="inlineStr">
        <is>
          <t>m2</t>
        </is>
      </c>
      <c r="G14" s="61" t="n">
        <v>59.55</v>
      </c>
      <c r="H14" s="62" t="n">
        <v>283.2</v>
      </c>
      <c r="I14" s="65" t="n"/>
      <c r="J14" s="62">
        <f>H14*(1-$I$4)</f>
        <v/>
      </c>
      <c r="K14" s="63">
        <f>G14*J14</f>
        <v/>
      </c>
      <c r="L14" s="33" t="inlineStr">
        <is>
          <t>石材</t>
        </is>
      </c>
      <c r="M14" s="64" t="n"/>
      <c r="N14" s="39" t="n">
        <v>1</v>
      </c>
      <c r="O14" t="n">
        <v>145</v>
      </c>
      <c r="P14" s="35" t="inlineStr">
        <is>
          <t>差:-138.20元 (-48.8%) 来源:售楼处</t>
        </is>
      </c>
      <c r="Q14" s="35" t="n"/>
      <c r="R14" s="35" t="n"/>
    </row>
    <row r="15" outlineLevel="2" ht="180" customFormat="1" customHeight="1" s="39">
      <c r="A15" s="37">
        <f>1+N(A14)</f>
        <v/>
      </c>
      <c r="B15" s="27" t="inlineStr">
        <is>
          <t>墙面干挂ST-05石材（波浪造型）</t>
        </is>
      </c>
      <c r="C15" s="27" t="inlineStr">
        <is>
          <t>1、墙面干挂ST-05石材（波浪造型）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is>
      </c>
      <c r="D15"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5" s="27" t="inlineStr">
        <is>
          <t>执行《GB/T50854-2024房屋建筑与装饰工程工程量计算标准》，按设计图示镶贴后外围面积计算</t>
        </is>
      </c>
      <c r="F15" s="28" t="inlineStr">
        <is>
          <t>m2</t>
        </is>
      </c>
      <c r="G15" s="61" t="n">
        <v>2.91</v>
      </c>
      <c r="H15" s="62" t="n">
        <v>283.2</v>
      </c>
      <c r="I15" s="65" t="n"/>
      <c r="J15" s="62">
        <f>H15*(1-$I$4)</f>
        <v/>
      </c>
      <c r="K15" s="63">
        <f>G15*J15</f>
        <v/>
      </c>
      <c r="L15" s="33" t="inlineStr">
        <is>
          <t>石材</t>
        </is>
      </c>
      <c r="M15" s="64" t="n"/>
      <c r="N15" s="39" t="n">
        <v>1</v>
      </c>
      <c r="O15" t="n">
        <v>145</v>
      </c>
      <c r="P15" s="35" t="inlineStr">
        <is>
          <t>差:-138.20元 (-48.8%) 来源:售楼处</t>
        </is>
      </c>
      <c r="Q15" s="35" t="n"/>
      <c r="R15" s="35" t="n"/>
    </row>
    <row r="16" outlineLevel="2" ht="144" customFormat="1" customHeight="1" s="39">
      <c r="A16" s="37">
        <f>1+N(A15)</f>
        <v/>
      </c>
      <c r="B16" s="27" t="inlineStr">
        <is>
          <t>墙面PT-02白色防水无机涂料</t>
        </is>
      </c>
      <c r="C16" s="27" t="inlineStr">
        <is>
          <t>1、墙面PT-02白色防水无机涂料(底漆1遍，面漆2遍)
2、刮白胶腻子找平二遍，打磨
3、阴、阳角护角收边
4、双层9.5mm纸面石膏板
5、轻钢龙骨基层找平
6、包含完成该项内容所有工作及费用并满足设计图纸、规范等要求</t>
        </is>
      </c>
      <c r="D16"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6" s="27" t="inlineStr">
        <is>
          <t xml:space="preserve">执行《GB/T50854-2024房屋建筑与装饰工程工程量计算标准》，按设计图示尺寸
以面积计算。 </t>
        </is>
      </c>
      <c r="F16" s="28" t="inlineStr">
        <is>
          <t>m2</t>
        </is>
      </c>
      <c r="G16" s="61" t="n">
        <v>17.11</v>
      </c>
      <c r="H16" s="62" t="n">
        <v>207.68</v>
      </c>
      <c r="I16" s="65" t="n"/>
      <c r="J16" s="62">
        <f>H16*(1-$I$4)</f>
        <v/>
      </c>
      <c r="K16" s="63">
        <f>G16*J16</f>
        <v/>
      </c>
      <c r="L16" s="33" t="inlineStr">
        <is>
          <t>涂料</t>
        </is>
      </c>
      <c r="M16" s="64" t="n"/>
      <c r="N16" s="39" t="n">
        <v>1</v>
      </c>
      <c r="O16" t="n">
        <v>91.5</v>
      </c>
      <c r="P16" s="35" t="inlineStr">
        <is>
          <t>差:-116.18元 (-55.9%) 来源:售楼处</t>
        </is>
      </c>
      <c r="Q16" s="35" t="n"/>
      <c r="R16" s="35" t="n"/>
    </row>
    <row r="17" outlineLevel="2" ht="180" customFormat="1" customHeight="1" s="39">
      <c r="A17" s="37">
        <f>1+N(A16)</f>
        <v/>
      </c>
      <c r="B17" s="27" t="inlineStr">
        <is>
          <t>不锈钢门套</t>
        </is>
      </c>
      <c r="C17" s="27" t="inlineStr">
        <is>
          <t>1、1.2mm厚 MT-01古铜不锈钢门套，结构胶固定
2、9厘玻镁板基层
3、工程量以展开面积计算
4、包含完成该项内容所有工作及费用并满足设计图纸、规范等要求</t>
        </is>
      </c>
      <c r="D17"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7" s="27" t="inlineStr">
        <is>
          <t>执行《GB/T50854-2024房屋建筑与装饰工程工程量计算标准》，按设计图示饰面外围尺寸
以面积计算。 扣除门窗洞口面积，不扣除单个面积≤0.3㎡的孔洞所占面积。</t>
        </is>
      </c>
      <c r="F17" s="28" t="inlineStr">
        <is>
          <t>m2</t>
        </is>
      </c>
      <c r="G17" s="61" t="n">
        <v>1.42</v>
      </c>
      <c r="H17" s="62" t="n">
        <v>630.651</v>
      </c>
      <c r="I17" s="65" t="n"/>
      <c r="J17" s="62">
        <f>H17*(1-$I$4)</f>
        <v/>
      </c>
      <c r="K17" s="63">
        <f>G17*J17</f>
        <v/>
      </c>
      <c r="L17" s="33" t="inlineStr">
        <is>
          <t>/</t>
        </is>
      </c>
      <c r="M17" s="64" t="n"/>
      <c r="N17" s="39" t="n">
        <v>1</v>
      </c>
      <c r="O17" t="n">
        <v>110</v>
      </c>
      <c r="P17" s="35" t="inlineStr">
        <is>
          <t>差:-520.65元 (-82.6%) 来源:售楼处</t>
        </is>
      </c>
      <c r="Q17" s="35" t="n"/>
      <c r="R17" s="35" t="n"/>
    </row>
    <row r="18" outlineLevel="2" ht="180" customFormat="1" customHeight="1" s="39">
      <c r="A18" s="37">
        <f>1+N(A17)</f>
        <v/>
      </c>
      <c r="B18" s="27" t="inlineStr">
        <is>
          <t>电梯不锈钢门套</t>
        </is>
      </c>
      <c r="C18" s="27" t="inlineStr">
        <is>
          <t>1、1.2mm厚 MT-01古铜不锈钢门套，结构胶固定
2、9厘玻镁板基层
3、工程量以展开面积计算
4、包含完成该项内容所有工作及费用并满足设计图纸、规范等要求</t>
        </is>
      </c>
      <c r="D18"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8" s="27" t="inlineStr">
        <is>
          <t>执行《GB/T50854-2024房屋建筑与装饰工程工程量计算标准》，按设计图示饰面外围尺寸
以面积计算。 扣除门窗洞口面积，不扣除单个面积≤0.3㎡的孔洞所占面积。</t>
        </is>
      </c>
      <c r="F18" s="28" t="inlineStr">
        <is>
          <t>m2</t>
        </is>
      </c>
      <c r="G18" s="61" t="n">
        <v>3.56</v>
      </c>
      <c r="H18" s="62" t="n">
        <v>630.651</v>
      </c>
      <c r="I18" s="65" t="n"/>
      <c r="J18" s="62">
        <f>H18*(1-$I$4)</f>
        <v/>
      </c>
      <c r="K18" s="63">
        <f>G18*J18</f>
        <v/>
      </c>
      <c r="L18" s="33" t="inlineStr">
        <is>
          <t>/</t>
        </is>
      </c>
      <c r="M18" s="64" t="n"/>
      <c r="N18" s="39" t="n">
        <v>1</v>
      </c>
      <c r="O18" t="n">
        <v>110</v>
      </c>
      <c r="P18" s="35" t="inlineStr">
        <is>
          <t>差:-520.65元 (-82.6%) 来源:售楼处</t>
        </is>
      </c>
      <c r="Q18" s="35" t="n"/>
      <c r="R18" s="35" t="n"/>
    </row>
    <row r="19" outlineLevel="2" ht="180" customFormat="1" customHeight="1" s="39">
      <c r="A19" s="37">
        <f>1+N(A18)</f>
        <v/>
      </c>
      <c r="B19" s="27" t="inlineStr">
        <is>
          <t>电梯不锈钢门头</t>
        </is>
      </c>
      <c r="C19" s="27" t="inlineStr">
        <is>
          <t>1、1.2mm厚 MT-01古铜不锈钢门头，结构胶固定
2、12mm阻燃板，轻钢副龙骨@400
3、电梯门顶内置亚克力，内部面层刮白处理
4、工程量以展开面积计算
5、包含完成该项内容所有工作及费用并满足设计图纸、规范等要求</t>
        </is>
      </c>
      <c r="D19"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9" s="27" t="inlineStr">
        <is>
          <t>执行《GB/T50854-2024房屋建筑与装饰工程工程量计算标准》，按设计图示饰面外围尺寸
以面积计算。 扣除门窗洞口面积，不扣除单个面积≤0.3㎡的孔洞所占面积。</t>
        </is>
      </c>
      <c r="F19" s="28" t="inlineStr">
        <is>
          <t>m2</t>
        </is>
      </c>
      <c r="G19" s="61" t="n">
        <v>1.85</v>
      </c>
      <c r="H19" s="62" t="n">
        <v>812.961</v>
      </c>
      <c r="I19" s="65" t="n"/>
      <c r="J19" s="62">
        <f>H19*(1-$I$4)</f>
        <v/>
      </c>
      <c r="K19" s="63">
        <f>G19*J19</f>
        <v/>
      </c>
      <c r="L19" s="33" t="inlineStr">
        <is>
          <t>/</t>
        </is>
      </c>
      <c r="M19" s="64" t="n"/>
      <c r="N19" s="39" t="n">
        <v>1</v>
      </c>
      <c r="O19" t="n">
        <v>110</v>
      </c>
      <c r="P19" s="35" t="inlineStr">
        <is>
          <t>差:-702.96元 (-86.5%) 来源:售楼处</t>
        </is>
      </c>
      <c r="Q19" s="35" t="n"/>
      <c r="R19" s="35" t="n"/>
    </row>
    <row r="20" outlineLevel="2" ht="180" customFormat="1" customHeight="1" s="39">
      <c r="A20" s="37">
        <f>1+N(A19)</f>
        <v/>
      </c>
      <c r="B20" s="27" t="inlineStr">
        <is>
          <t>MT-01古铜不锈钢饰面（电梯按钮处）</t>
        </is>
      </c>
      <c r="C20" s="27" t="inlineStr">
        <is>
          <t>1、1.2mm厚 MT-01古铜不锈钢饰面
2、12mm阻燃板基层，轻钢副龙骨@400
3、工程量以展开面积计算
4、包含完成该项内容所有工作及费用并满足设计图纸、规范等要求</t>
        </is>
      </c>
      <c r="D20"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20" s="27" t="inlineStr">
        <is>
          <t>执行《GB/T50854-2024房屋建筑与装饰工程工程量计算标准》，按设计图示饰面外围尺寸
以面积计算。 扣除门窗洞口面积，不扣除单个面积≤0.3㎡的孔洞所占面积。</t>
        </is>
      </c>
      <c r="F20" s="28" t="inlineStr">
        <is>
          <t>m2</t>
        </is>
      </c>
      <c r="G20" s="61" t="n">
        <v>0.26</v>
      </c>
      <c r="H20" s="62" t="n">
        <v>295</v>
      </c>
      <c r="I20" s="65" t="n"/>
      <c r="J20" s="62">
        <f>H20*(1-$I$4)</f>
        <v/>
      </c>
      <c r="K20" s="63">
        <f>G20*J20</f>
        <v/>
      </c>
      <c r="L20" s="33" t="inlineStr">
        <is>
          <t>不锈钢饰面</t>
        </is>
      </c>
      <c r="M20" s="64" t="n"/>
      <c r="N20" s="39" t="n">
        <v>1</v>
      </c>
      <c r="O20" t="n">
        <v>110</v>
      </c>
      <c r="P20" s="35" t="inlineStr">
        <is>
          <t>差:-185.00元 (-62.7%) 来源:售楼处</t>
        </is>
      </c>
      <c r="Q20" s="35" t="n"/>
      <c r="R20" s="35" t="n"/>
    </row>
    <row r="21" outlineLevel="2" ht="144" customFormat="1" customHeight="1" s="39">
      <c r="A21" s="37">
        <f>1+N(A20)</f>
        <v/>
      </c>
      <c r="B21" s="27" t="inlineStr">
        <is>
          <t>50mm CT-06瓷砖踢脚</t>
        </is>
      </c>
      <c r="C21" s="27" t="inlineStr">
        <is>
          <t>1、50mm CT-06瓷砖踢脚,瓷砖填缝剂处理
2、背覆胶处理
3、C1T等级抗滑移水泥基胶粘剂
4、界面剂拉毛处理
5、包含完成该项内容所有工作及费用并满足设计图纸、规范等要求</t>
        </is>
      </c>
      <c r="D21" s="27" t="inlineStr">
        <is>
          <t>具体工作内容除详见项目特征外，且不限于以下内容:1.包含材料的下车、场内运输；2.清理基层、找标高、弹线定位；3.试拼试排；4.砂浆拌和、铺找平层（粘结层）砂浆；5.面层铺设、灌缝、擦缝；6.打蜡、养护；配合留设墙面开关、插座等末端设备等全部内容；包含成品保护、安全文明施工等达到验收合格的全部施工内容。</t>
        </is>
      </c>
      <c r="E21" s="27" t="inlineStr">
        <is>
          <t>执行《GB/T50854-2024房屋建筑与装饰工程工程量计算标准》，按设计图示镶贴后外围面积计算</t>
        </is>
      </c>
      <c r="F21" s="28" t="inlineStr">
        <is>
          <t>m2</t>
        </is>
      </c>
      <c r="G21" s="61" t="n">
        <v>0.28</v>
      </c>
      <c r="H21" s="62" t="n">
        <v>670.2164</v>
      </c>
      <c r="I21" s="65" t="n"/>
      <c r="J21" s="62">
        <f>H21*(1-$I$4)</f>
        <v/>
      </c>
      <c r="K21" s="63">
        <f>G21*J21</f>
        <v/>
      </c>
      <c r="L21" s="33" t="inlineStr">
        <is>
          <t>/</t>
        </is>
      </c>
      <c r="M21" s="64" t="n"/>
      <c r="N21" s="39" t="n">
        <v>1</v>
      </c>
      <c r="O21" t="n">
        <v>120</v>
      </c>
      <c r="P21" s="35" t="inlineStr">
        <is>
          <t>差:-550.22元 (-82.1%) 来源:售楼处</t>
        </is>
      </c>
      <c r="Q21" s="35" t="n"/>
      <c r="R21" s="35" t="n"/>
    </row>
    <row r="22" outlineLevel="2" ht="144" customFormat="1" customHeight="1" s="39">
      <c r="A22" s="37">
        <f>1+N(A21)</f>
        <v/>
      </c>
      <c r="B22" s="27" t="inlineStr">
        <is>
          <t>MT-01古铜不锈钢踢脚线（高20mm）</t>
        </is>
      </c>
      <c r="C22" s="27" t="inlineStr">
        <is>
          <t>1、1.2mm厚 MT-01古铜不锈钢踢脚线（高20mm，展开面为46mm），结构胶固定
2、9厘玻镁板基层
3、包含完成该项内容所有工作及费用并满足设计图纸、规范等要求</t>
        </is>
      </c>
      <c r="D22"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22" s="27" t="inlineStr">
        <is>
          <t>按设计图示尺寸以长度计算。</t>
        </is>
      </c>
      <c r="F22" s="28" t="inlineStr">
        <is>
          <t>m</t>
        </is>
      </c>
      <c r="G22" s="61" t="n">
        <v>25.71</v>
      </c>
      <c r="H22" s="62" t="n">
        <v>31.86</v>
      </c>
      <c r="I22" s="65" t="n"/>
      <c r="J22" s="62">
        <f>H22*(1-$I$4)</f>
        <v/>
      </c>
      <c r="K22" s="63">
        <f>G22*J22</f>
        <v/>
      </c>
      <c r="L22" s="33" t="inlineStr">
        <is>
          <t>不锈钢踢脚线</t>
        </is>
      </c>
      <c r="M22" s="64" t="n"/>
      <c r="N22" s="39" t="n">
        <v>1</v>
      </c>
      <c r="O22" t="n">
        <v>12</v>
      </c>
      <c r="P22" s="35" t="inlineStr">
        <is>
          <t>差:-19.86元 (-62.3%) 来源:售楼处</t>
        </is>
      </c>
      <c r="Q22" s="35" t="n"/>
      <c r="R22" s="35" t="n"/>
    </row>
    <row r="23" outlineLevel="2" ht="144" customFormat="1" customHeight="1" s="39">
      <c r="A23" s="37">
        <f>1+N(A22)</f>
        <v/>
      </c>
      <c r="B23" s="27" t="inlineStr">
        <is>
          <t>MT-01古铜不锈钢线条（展开面为54mm）</t>
        </is>
      </c>
      <c r="C23" s="27" t="inlineStr">
        <is>
          <t>1、1.2mm厚 MT-01古铜不锈钢线条（展开面为54mm），结构胶固定
2、9厘玻镁板基层
3、包含完成该项内容所有工作及费用并满足设计图纸、规范等要求</t>
        </is>
      </c>
      <c r="D23"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23" s="27" t="inlineStr">
        <is>
          <t>按设计图示尺寸以长度计算。</t>
        </is>
      </c>
      <c r="F23" s="28" t="inlineStr">
        <is>
          <t>m</t>
        </is>
      </c>
      <c r="G23" s="61" t="n">
        <v>0.34</v>
      </c>
      <c r="H23" s="62" t="n">
        <v>71.90212</v>
      </c>
      <c r="I23" s="65" t="n"/>
      <c r="J23" s="62">
        <f>H23*(1-$I$4)</f>
        <v/>
      </c>
      <c r="K23" s="63">
        <f>G23*J23</f>
        <v/>
      </c>
      <c r="L23" s="33" t="inlineStr">
        <is>
          <t>/</t>
        </is>
      </c>
      <c r="M23" s="64" t="n"/>
      <c r="N23" s="39" t="n">
        <v>1</v>
      </c>
      <c r="O23" t="n">
        <v>12</v>
      </c>
      <c r="P23" s="35" t="inlineStr">
        <is>
          <t>差:-59.90元 (-83.3%) 来源:售楼处</t>
        </is>
      </c>
      <c r="Q23" s="35" t="n"/>
      <c r="R23" s="35" t="n"/>
    </row>
    <row r="24" outlineLevel="2" ht="144" customFormat="1" customHeight="1" s="39">
      <c r="A24" s="37">
        <f>1+N(A23)</f>
        <v/>
      </c>
      <c r="B24" s="27" t="inlineStr">
        <is>
          <t>MT-01古铜不锈钢线条（展开面为69mm）</t>
        </is>
      </c>
      <c r="C24" s="27" t="inlineStr">
        <is>
          <t>1、1.2mm厚 MT-01古铜不锈钢线条（展开面为69mm），结构胶固定
2、9厘玻镁板基层
3、包含完成该项内容所有工作及费用并满足设计图纸、规范等要求</t>
        </is>
      </c>
      <c r="D24"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24" s="27" t="inlineStr">
        <is>
          <t>按设计图示尺寸以长度计算。</t>
        </is>
      </c>
      <c r="F24" s="28" t="inlineStr">
        <is>
          <t>m</t>
        </is>
      </c>
      <c r="G24" s="61" t="n">
        <v>0.96</v>
      </c>
      <c r="H24" s="62" t="n">
        <v>79.55914</v>
      </c>
      <c r="I24" s="65" t="n"/>
      <c r="J24" s="62">
        <f>H24*(1-$I$4)</f>
        <v/>
      </c>
      <c r="K24" s="63">
        <f>G24*J24</f>
        <v/>
      </c>
      <c r="L24" s="33" t="inlineStr">
        <is>
          <t>/</t>
        </is>
      </c>
      <c r="M24" s="64" t="n"/>
      <c r="N24" s="39" t="n">
        <v>1</v>
      </c>
      <c r="O24" t="n">
        <v>12</v>
      </c>
      <c r="P24" s="35" t="inlineStr">
        <is>
          <t>差:-67.56元 (-84.9%) 来源:售楼处</t>
        </is>
      </c>
      <c r="Q24" s="35" t="n"/>
      <c r="R24" s="35" t="n"/>
    </row>
    <row r="25" outlineLevel="2" ht="144" customFormat="1" customHeight="1" s="39">
      <c r="A25" s="37">
        <f>1+N(A24)</f>
        <v/>
      </c>
      <c r="B25" s="27" t="inlineStr">
        <is>
          <t>MT-01古铜不锈钢线条（展开面为114mm）</t>
        </is>
      </c>
      <c r="C25" s="27" t="inlineStr">
        <is>
          <t>1、1.2mm厚 MT-01古铜不锈钢线条（展开面为114mm），结构胶固定
2、9厘玻镁板基层
3、包含完成该项内容所有工作及费用并满足设计图纸、规范等要求</t>
        </is>
      </c>
      <c r="D25"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25" s="27" t="inlineStr">
        <is>
          <t>按设计图示尺寸以长度计算。</t>
        </is>
      </c>
      <c r="F25" s="28" t="inlineStr">
        <is>
          <t>m</t>
        </is>
      </c>
      <c r="G25" s="61" t="n">
        <v>24.41</v>
      </c>
      <c r="H25" s="62" t="n">
        <v>117.84424</v>
      </c>
      <c r="I25" s="65" t="n"/>
      <c r="J25" s="62">
        <f>H25*(1-$I$4)</f>
        <v/>
      </c>
      <c r="K25" s="63">
        <f>G25*J25</f>
        <v/>
      </c>
      <c r="L25" s="33" t="inlineStr">
        <is>
          <t>/</t>
        </is>
      </c>
      <c r="M25" s="64" t="n"/>
      <c r="N25" s="39" t="n">
        <v>1</v>
      </c>
      <c r="O25" t="n">
        <v>22</v>
      </c>
      <c r="P25" s="35" t="inlineStr">
        <is>
          <t>差:-95.84元 (-81.3%) 来源:售楼处</t>
        </is>
      </c>
      <c r="Q25" s="35" t="n"/>
      <c r="R25" s="35" t="n"/>
    </row>
    <row r="26" outlineLevel="2" ht="144" customFormat="1" customHeight="1" s="39">
      <c r="A26" s="37">
        <f>1+N(A25)</f>
        <v/>
      </c>
      <c r="B26" s="27" t="inlineStr">
        <is>
          <t>MT-01古铜不锈钢顶部收口条（展开面为41mm）</t>
        </is>
      </c>
      <c r="C26" s="27" t="inlineStr">
        <is>
          <t>1、1.2mm厚 MT-01古铜不锈钢顶部收口条（展开面为41mm），结构胶固定
2、9厘玻镁板基层
3、包含完成该项内容所有工作及费用并满足设计图纸、规范等要求</t>
        </is>
      </c>
      <c r="D26"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26" s="27" t="inlineStr">
        <is>
          <t>按设计图示尺寸以长度计算。</t>
        </is>
      </c>
      <c r="F26" s="28" t="inlineStr">
        <is>
          <t>m</t>
        </is>
      </c>
      <c r="G26" s="61" t="n">
        <v>25.71</v>
      </c>
      <c r="H26" s="62" t="n">
        <v>64.24509999999999</v>
      </c>
      <c r="I26" s="65" t="n"/>
      <c r="J26" s="62">
        <f>H26*(1-$I$4)</f>
        <v/>
      </c>
      <c r="K26" s="63">
        <f>G26*J26</f>
        <v/>
      </c>
      <c r="L26" s="33" t="inlineStr">
        <is>
          <t>/</t>
        </is>
      </c>
      <c r="M26" s="64" t="n"/>
      <c r="N26" s="39" t="n">
        <v>1</v>
      </c>
      <c r="O26" t="n">
        <v>12</v>
      </c>
      <c r="P26" s="35" t="inlineStr">
        <is>
          <t>差:-52.25元 (-81.3%) 来源:售楼处</t>
        </is>
      </c>
      <c r="Q26" s="35" t="n"/>
      <c r="R26" s="35" t="n"/>
    </row>
    <row r="27" outlineLevel="1" customFormat="1" s="39">
      <c r="A27" s="36" t="n"/>
      <c r="B27" s="27" t="inlineStr">
        <is>
          <t>天花工程</t>
        </is>
      </c>
      <c r="C27" s="27" t="n"/>
      <c r="D27" s="27" t="n"/>
      <c r="E27" s="27" t="n"/>
      <c r="F27" s="28" t="n"/>
      <c r="G27" s="61" t="n"/>
      <c r="H27" s="62" t="n"/>
      <c r="I27" s="65" t="n"/>
      <c r="J27" s="62" t="n"/>
      <c r="K27" s="63" t="n"/>
      <c r="L27" s="33" t="n"/>
      <c r="M27" s="64" t="n"/>
      <c r="P27" s="35" t="n"/>
      <c r="Q27" s="35" t="n"/>
      <c r="R27" s="35" t="n"/>
    </row>
    <row r="28" outlineLevel="2" ht="192" customFormat="1" customHeight="1" s="39">
      <c r="A28" s="37">
        <f>1+N(A27)</f>
        <v/>
      </c>
      <c r="B28" s="27" t="inlineStr">
        <is>
          <t>造型石膏板吊顶</t>
        </is>
      </c>
      <c r="C28" s="27" t="inlineStr">
        <is>
          <t>1.60系列轻钢主龙骨@900，60系列轻钢副龙骨@400，60系列横撑龙骨@600，08螺纹吊杆@900不上人天花吊顶（投影面计算）
2.玻镁板、双层9.5厚石膏板基层，含开孔、检修口、10*10凹槽等费用；
3.含除灯槽外的侧面高差及其连接件、吊件；
4.包含完成该项内容所有工作及费用并满足设计图纸、规范等要求；</t>
        </is>
      </c>
      <c r="D28" s="27" t="inlineStr">
        <is>
          <t>1.基层清理。
2.弹线定位、排版。
3.吊杆及连接件安装调平、收口及密封处理。
4.材料切割处理找平、石膏板安装及调整，打胶密封与清理.
5.收口及其他处理：检修口等制作安装、收边收口、配合预留安装、机电等专业孔洞及孔洞收口处理。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28" s="27" t="inlineStr">
        <is>
          <t>按设计图示尺寸以水平投影面积计算。不扣除间壁墙、检查口、附墙烟囱、柱垛和管道所占面积,扣除单个&gt;0.3m3的孔洞、非密拼吊顶空隙所占的面积、独立柱及与天棚相连的窗帘盒所占的面积。</t>
        </is>
      </c>
      <c r="F28" s="28" t="inlineStr">
        <is>
          <t>m2</t>
        </is>
      </c>
      <c r="G28" s="61" t="n">
        <v>31.77</v>
      </c>
      <c r="H28" s="62" t="n">
        <v>174.574444444444</v>
      </c>
      <c r="I28" s="65" t="n"/>
      <c r="J28" s="62">
        <f>H28*(1-$I$4)</f>
        <v/>
      </c>
      <c r="K28" s="63">
        <f>G28*J28</f>
        <v/>
      </c>
      <c r="L28" s="33" t="inlineStr">
        <is>
          <t>/</t>
        </is>
      </c>
      <c r="M28" s="64" t="n"/>
      <c r="N28" s="39" t="n">
        <v>1</v>
      </c>
      <c r="O28" t="n">
        <v>70</v>
      </c>
      <c r="P28" s="35" t="inlineStr">
        <is>
          <t>差:-104.57元 (-59.9%) 来源:售楼处</t>
        </is>
      </c>
      <c r="Q28" s="35" t="n"/>
      <c r="R28" s="35" t="n"/>
    </row>
    <row r="29" outlineLevel="2" ht="72" customFormat="1" customHeight="1" s="39">
      <c r="A29" s="37">
        <f>1+N(A28)</f>
        <v/>
      </c>
      <c r="B29" s="27" t="inlineStr">
        <is>
          <t>灯槽（100mm*200mm）</t>
        </is>
      </c>
      <c r="C29" s="27" t="inlineStr">
        <is>
          <t>1.灯槽（100mm*200mm）；
2.双层板：9mm玻镁板、9.5厚石膏板；
3.包含完成该项内容所有工作及费用并满足设计图纸、规范等要求；</t>
        </is>
      </c>
      <c r="D29" s="27" t="inlineStr">
        <is>
          <t>自现有现场条件下按照合同约定范围、图纸（含设计变更）及甲方要求内容以及规范、标准、相关做法等要求完成并达到总包合同全部目标的全部工作内容。</t>
        </is>
      </c>
      <c r="E29" s="27" t="inlineStr">
        <is>
          <t>依据经承包人确认的施工部位,按设计图示尺寸以延长米计算。</t>
        </is>
      </c>
      <c r="F29" s="28" t="inlineStr">
        <is>
          <t>m</t>
        </is>
      </c>
      <c r="G29" s="61" t="n">
        <v>12.73</v>
      </c>
      <c r="H29" s="62" t="n">
        <v>112.159</v>
      </c>
      <c r="I29" s="65" t="n"/>
      <c r="J29" s="62">
        <f>H29*(1-$I$4)</f>
        <v/>
      </c>
      <c r="K29" s="63">
        <f>G29*J29</f>
        <v/>
      </c>
      <c r="L29" s="33" t="inlineStr">
        <is>
          <t>/</t>
        </is>
      </c>
      <c r="M29" s="64" t="n"/>
      <c r="N29" s="39" t="n">
        <v>1</v>
      </c>
      <c r="O29" t="n">
        <v>50</v>
      </c>
      <c r="P29" s="35" t="inlineStr">
        <is>
          <t>差:-62.16元 (-55.4%) 来源:售楼处</t>
        </is>
      </c>
      <c r="Q29" s="35" t="n"/>
      <c r="R29" s="35" t="n"/>
    </row>
    <row r="30" outlineLevel="2" ht="72" customFormat="1" customHeight="1" s="39">
      <c r="A30" s="37">
        <f>1+N(A29)</f>
        <v/>
      </c>
      <c r="B30" s="27" t="inlineStr">
        <is>
          <t>成品石膏线条</t>
        </is>
      </c>
      <c r="C30" s="27" t="inlineStr">
        <is>
          <t>1.成品石膏线条（50mm*50mm）；
2.按图纸造型；
3.包含完成该项内容所有工作及费用并满足设计图纸、规范等要求；</t>
        </is>
      </c>
      <c r="D30" s="27" t="inlineStr">
        <is>
          <t>自现有现场条件下按照合同约定范围、图纸（含设计变更）及甲方要求内容以及规范、标准、相关做法等要求完成并达到总包合同全部目标的全部工作内容。</t>
        </is>
      </c>
      <c r="E30" s="27" t="inlineStr">
        <is>
          <t>依据经承包人确认的施工部位,按设计图示尺寸以延长米计算。</t>
        </is>
      </c>
      <c r="F30" s="28" t="inlineStr">
        <is>
          <t>m</t>
        </is>
      </c>
      <c r="G30" s="61" t="n">
        <v>12.73</v>
      </c>
      <c r="H30" s="62" t="n">
        <v>20.06</v>
      </c>
      <c r="I30" s="65" t="n"/>
      <c r="J30" s="62">
        <f>H30*(1-$I$4)</f>
        <v/>
      </c>
      <c r="K30" s="63">
        <f>G30*J30</f>
        <v/>
      </c>
      <c r="L30" s="33" t="inlineStr">
        <is>
          <t>成品石膏线条</t>
        </is>
      </c>
      <c r="M30" s="64" t="n"/>
      <c r="N30" s="39" t="n">
        <v>1</v>
      </c>
      <c r="O30" t="n">
        <v>18</v>
      </c>
      <c r="P30" s="35" t="inlineStr">
        <is>
          <t>差:-2.06元 (-10.3%) 来源:售楼处</t>
        </is>
      </c>
      <c r="Q30" s="35" t="n"/>
      <c r="R30" s="35" t="n"/>
    </row>
    <row r="31" outlineLevel="2" ht="72" customFormat="1" customHeight="1" s="39">
      <c r="A31" s="37">
        <f>1+N(A30)</f>
        <v/>
      </c>
      <c r="B31" s="27" t="inlineStr">
        <is>
          <t>条形空调风口（150mm）</t>
        </is>
      </c>
      <c r="C31" s="27" t="inlineStr">
        <is>
          <t>1.条形空调风口（150mm）；
2.风口周边阻燃板封边加固处理；
3.包含完成该项内容所有工作及费用并满足设计图纸、规范等要求；</t>
        </is>
      </c>
      <c r="D31" s="27" t="inlineStr">
        <is>
          <t>自现有现场条件下按照合同约定范围、图纸（含设计变更）及甲方要求内容以及规范、标准、相关做法等要求完成并达到总包合同全部目标的全部工作内容。</t>
        </is>
      </c>
      <c r="E31" s="27" t="inlineStr">
        <is>
          <t>依据经承包人确认的施工部位,按设计图示尺寸以延长米计算。</t>
        </is>
      </c>
      <c r="F31" s="28" t="inlineStr">
        <is>
          <t>m</t>
        </is>
      </c>
      <c r="G31" s="61" t="n">
        <v>2.4</v>
      </c>
      <c r="H31" s="62" t="n">
        <v>109.74</v>
      </c>
      <c r="I31" s="65" t="n"/>
      <c r="J31" s="62">
        <f>H31*(1-$I$4)</f>
        <v/>
      </c>
      <c r="K31" s="63">
        <f>G31*J31</f>
        <v/>
      </c>
      <c r="L31" s="33" t="inlineStr">
        <is>
          <t>空调风口</t>
        </is>
      </c>
      <c r="M31" s="64" t="n"/>
      <c r="N31" s="39" t="n">
        <v>1</v>
      </c>
      <c r="O31" t="n">
        <v>30</v>
      </c>
      <c r="P31" s="35" t="inlineStr">
        <is>
          <t>差:-79.74元 (-72.7%) 来源:售楼处</t>
        </is>
      </c>
      <c r="Q31" s="35" t="n"/>
      <c r="R31" s="35" t="n"/>
    </row>
    <row r="32" outlineLevel="2" ht="192" customFormat="1" customHeight="1" s="39">
      <c r="A32" s="37">
        <f>1+N(A31)</f>
        <v/>
      </c>
      <c r="B32" s="27" t="inlineStr">
        <is>
          <t>天花肌理无机涂料PT-01</t>
        </is>
      </c>
      <c r="C32" s="27" t="inlineStr">
        <is>
          <t>1.天花肌理无机涂料PT-01；
2.刮腻子二遍磨平；
3.底漆1遍，面漆2遍；
4.包含完成该项内容所有工作及费用并满足设计图纸、规范等要求；</t>
        </is>
      </c>
      <c r="D32" s="27" t="inlineStr">
        <is>
          <t>包括但不限于材料计划、采购、卸车倒运、保管、检验试验费、测量放线，包含四周阴角找平直、含天棚四周阴角找平直，打磨，简易脚手架搭拆及操作平台、升降机，基层清理、打磨平整、底层找补、满刮涂料（含阴阳角塑料条）、涂料打磨、补遗处理、配合其他分包施工、完工后场清、成品保护、保修等直到达到竣工交付标准的全部工作内容。包括所有为完成工作所需的小型机具；包括所有为完成工作所需的附属工作；包括但不限于以上内容。</t>
        </is>
      </c>
      <c r="E32" s="27" t="inlineStr">
        <is>
          <t>执行《GB/T50854-2024房屋建筑与装饰工程工程量计算标准》，按设计图示尺寸以面积计算。扣除0.3平方米以上洞口的面积；梁侧面及檐口天棚并入天棚计算；以设计图纸和技术交底为基础</t>
        </is>
      </c>
      <c r="F32" s="28" t="inlineStr">
        <is>
          <t>m2</t>
        </is>
      </c>
      <c r="G32" s="61" t="n">
        <v>35.59</v>
      </c>
      <c r="H32" s="62" t="n">
        <v>48.38</v>
      </c>
      <c r="I32" s="65" t="n"/>
      <c r="J32" s="62">
        <f>H32*(1-$I$4)</f>
        <v/>
      </c>
      <c r="K32" s="63">
        <f>G32*J32</f>
        <v/>
      </c>
      <c r="L32" s="33" t="inlineStr">
        <is>
          <t>涂料</t>
        </is>
      </c>
      <c r="M32" s="64" t="n"/>
      <c r="N32" s="39" t="n">
        <v>1</v>
      </c>
      <c r="O32" t="n">
        <v>45</v>
      </c>
      <c r="P32" s="35" t="inlineStr">
        <is>
          <t>差:-3.38元 (-7.0%) 来源:售楼处</t>
        </is>
      </c>
      <c r="Q32" s="35" t="n"/>
      <c r="R32" s="35" t="n"/>
    </row>
    <row r="33" outlineLevel="1" customFormat="1" s="39">
      <c r="A33" s="36" t="n"/>
      <c r="B33" s="27" t="inlineStr">
        <is>
          <t>门窗、家具工程</t>
        </is>
      </c>
      <c r="C33" s="27" t="n"/>
      <c r="D33" s="27" t="n"/>
      <c r="E33" s="27" t="n"/>
      <c r="F33" s="28" t="n"/>
      <c r="G33" s="61" t="n"/>
      <c r="H33" s="62" t="n"/>
      <c r="I33" s="65" t="n"/>
      <c r="J33" s="62" t="n"/>
      <c r="K33" s="63" t="n"/>
      <c r="L33" s="33" t="n"/>
      <c r="M33" s="64" t="n"/>
      <c r="P33" s="35" t="n"/>
      <c r="Q33" s="35" t="n"/>
      <c r="R33" s="35" t="n"/>
    </row>
    <row r="34" outlineLevel="2" ht="72" customFormat="1" customHeight="1" s="39">
      <c r="A34" s="37">
        <f>1+N(A33)</f>
        <v/>
      </c>
      <c r="B34" s="27" t="inlineStr">
        <is>
          <t>设备间暗门(不含面层)</t>
        </is>
      </c>
      <c r="C34" s="27" t="inlineStr">
        <is>
          <t>1、40x40x5mm热镀锌方管骨架、背封铝塑板
2、含天地轴、门吸等五金配件
3、包含完成该项内容所有工作及费用并满足设计图纸、规范等要求</t>
        </is>
      </c>
      <c r="D34" s="27" t="inlineStr">
        <is>
          <t>自现有现场条件下按照合同约定范围、图纸（含设计变更）及甲方要求内容以及规范、标准、相关做法等要求完成并达到总包合同全部目标的全部工作内容。</t>
        </is>
      </c>
      <c r="E34" s="27" t="inlineStr">
        <is>
          <t>以最终验收合格的工程量计算</t>
        </is>
      </c>
      <c r="F34" s="28" t="inlineStr">
        <is>
          <t>m2</t>
        </is>
      </c>
      <c r="G34" s="61" t="n">
        <v>2.88</v>
      </c>
      <c r="H34" s="62" t="n">
        <v>962.6833333333331</v>
      </c>
      <c r="I34" s="65" t="n"/>
      <c r="J34" s="62">
        <f>H34*(1-$I$4)</f>
        <v/>
      </c>
      <c r="K34" s="63">
        <f>G34*J34</f>
        <v/>
      </c>
      <c r="L34" s="33" t="inlineStr">
        <is>
          <t>/</t>
        </is>
      </c>
      <c r="M34" s="64" t="n"/>
      <c r="N34" s="39" t="n">
        <v>1</v>
      </c>
      <c r="O34" t="n">
        <v>165</v>
      </c>
      <c r="P34" s="35" t="inlineStr">
        <is>
          <t>差:-797.68元 (-82.9%) 来源:售楼处</t>
        </is>
      </c>
      <c r="Q34" s="35" t="n"/>
      <c r="R34" s="35" t="n"/>
    </row>
    <row r="35" outlineLevel="2" ht="108" customFormat="1" customHeight="1" s="39">
      <c r="A35" s="37">
        <f>1+N(A34)</f>
        <v/>
      </c>
      <c r="B35" s="27" t="inlineStr">
        <is>
          <t>电梯厅门（参DR01）</t>
        </is>
      </c>
      <c r="C35" s="27" t="inlineStr">
        <is>
          <t>1、门扇：1.2mm厚 MT-01古铜不锈钢饰面、GL-01超白钢化玻璃、ST-08石材、L40*40*4镀锌角钢骨架
2、门套：1.2mm厚 MT-01古铜不锈钢饰面
3、定制成品套装门制安
4、含电机、暗铰链、地弹簧等五金配件
5、包含完成该项内容所有工作及费用并满足设计图纸、规范等要求</t>
        </is>
      </c>
      <c r="D35" s="27" t="inlineStr">
        <is>
          <t>自现有现场条件下按照合同约定范围、图纸（含设计变更）及甲方要求内容以及规范、标准、相关做法等要求完成并达到总包合同全部目标的全部工作内容。</t>
        </is>
      </c>
      <c r="E35" s="27" t="inlineStr">
        <is>
          <t>以最终验收合格的工程量计算</t>
        </is>
      </c>
      <c r="F35" s="28" t="inlineStr">
        <is>
          <t>m2</t>
        </is>
      </c>
      <c r="G35" s="61" t="n">
        <v>5.52</v>
      </c>
      <c r="H35" s="62" t="n">
        <v>7530.96521739131</v>
      </c>
      <c r="I35" s="65" t="n"/>
      <c r="J35" s="62">
        <f>H35*(1-$I$4)</f>
        <v/>
      </c>
      <c r="K35" s="63">
        <f>G35*J35</f>
        <v/>
      </c>
      <c r="L35" s="33" t="inlineStr">
        <is>
          <t>/</t>
        </is>
      </c>
      <c r="M35" s="64" t="n"/>
      <c r="N35" s="39" t="n">
        <v>1</v>
      </c>
      <c r="O35" t="n">
        <v>145</v>
      </c>
      <c r="P35" s="35" t="inlineStr">
        <is>
          <t>差:-7385.97元 (-98.1%) 来源:售楼处</t>
        </is>
      </c>
      <c r="Q35" s="35" t="n"/>
      <c r="R35" s="35" t="n"/>
    </row>
    <row r="36" outlineLevel="2" ht="72" customFormat="1" customHeight="1" s="39">
      <c r="A36" s="37">
        <f>1+N(A35)</f>
        <v/>
      </c>
      <c r="B36" s="27" t="inlineStr">
        <is>
          <t>固定玻璃隔断</t>
        </is>
      </c>
      <c r="C36" s="27" t="inlineStr">
        <is>
          <t>1、GL-01超白钢化玻璃饰面
2、1.2mm厚 MT-01古铜不锈钢饰面边框
3、包含完成该项内容所有工作及费用并满足设计图纸、规范等要求</t>
        </is>
      </c>
      <c r="D36" s="27" t="inlineStr">
        <is>
          <t>自现有现场条件下按照合同约定范围、图纸（含设计变更）及甲方要求内容以及规范、标准、相关做法等要求完成并达到总包合同全部目标的全部工作内容。</t>
        </is>
      </c>
      <c r="E36" s="27" t="inlineStr">
        <is>
          <t>以最终验收合格的工程量计算</t>
        </is>
      </c>
      <c r="F36" s="28" t="inlineStr">
        <is>
          <t>m2</t>
        </is>
      </c>
      <c r="G36" s="61" t="n">
        <v>5.13</v>
      </c>
      <c r="H36" s="62" t="n">
        <v>610.895315789474</v>
      </c>
      <c r="I36" s="65" t="n"/>
      <c r="J36" s="62">
        <f>H36*(1-$I$4)</f>
        <v/>
      </c>
      <c r="K36" s="63">
        <f>G36*J36</f>
        <v/>
      </c>
      <c r="L36" s="33" t="inlineStr">
        <is>
          <t>/</t>
        </is>
      </c>
      <c r="M36" s="64" t="n"/>
      <c r="N36" s="39" t="n">
        <v>1</v>
      </c>
      <c r="O36" t="n">
        <v>110</v>
      </c>
      <c r="P36" s="35" t="inlineStr">
        <is>
          <t>差:-500.90元 (-82.0%) 来源:售楼处</t>
        </is>
      </c>
      <c r="Q36" s="35" t="n"/>
      <c r="R36" s="35" t="n"/>
    </row>
    <row r="37" outlineLevel="1" customFormat="1" s="39">
      <c r="A37" s="26" t="inlineStr">
        <is>
          <t>二</t>
        </is>
      </c>
      <c r="B37" s="27" t="inlineStr">
        <is>
          <t>一层入户大堂、前室（上）</t>
        </is>
      </c>
      <c r="C37" s="27" t="n"/>
      <c r="D37" s="27" t="n"/>
      <c r="E37" s="27" t="inlineStr">
        <is>
          <t xml:space="preserve"> </t>
        </is>
      </c>
      <c r="F37" s="28" t="n"/>
      <c r="G37" s="61" t="n"/>
      <c r="H37" s="62" t="n"/>
      <c r="I37" s="65" t="n"/>
      <c r="J37" s="62" t="n"/>
      <c r="K37" s="63" t="n"/>
      <c r="L37" s="33" t="n"/>
      <c r="M37" s="64" t="n"/>
      <c r="P37" s="35" t="n"/>
      <c r="Q37" s="35" t="n"/>
      <c r="R37" s="35" t="n"/>
    </row>
    <row r="38" outlineLevel="1" customFormat="1" s="39">
      <c r="A38" s="36" t="n"/>
      <c r="B38" s="27" t="inlineStr">
        <is>
          <t>地面工程</t>
        </is>
      </c>
      <c r="C38" s="27" t="n"/>
      <c r="D38" s="27" t="n"/>
      <c r="E38" s="27" t="n"/>
      <c r="F38" s="28" t="n"/>
      <c r="G38" s="61" t="n"/>
      <c r="H38" s="62" t="n"/>
      <c r="I38" s="65" t="n"/>
      <c r="J38" s="62" t="n"/>
      <c r="K38" s="63" t="n"/>
      <c r="L38" s="33" t="n"/>
      <c r="M38" s="64" t="n"/>
      <c r="P38" s="35" t="n"/>
      <c r="Q38" s="35" t="n"/>
      <c r="R38" s="35" t="n"/>
    </row>
    <row r="39" outlineLevel="2" ht="108" customFormat="1" customHeight="1" s="39">
      <c r="A39" s="37">
        <f>1+N(A38)</f>
        <v/>
      </c>
      <c r="B39" s="27" t="inlineStr">
        <is>
          <t>地面铺贴大理石ST-01</t>
        </is>
      </c>
      <c r="C39" s="27" t="inlineStr">
        <is>
          <t>1.地面20mm大理石ST-01、铺贴、厚度及样式按物料书为准；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39"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39" s="27" t="inlineStr">
        <is>
          <t xml:space="preserve">执行《GB/T50854-2024房屋建筑与装饰工程工程量计算标准》，按设计图示尺寸
以面积计算。 </t>
        </is>
      </c>
      <c r="F39" s="28" t="inlineStr">
        <is>
          <t>m2</t>
        </is>
      </c>
      <c r="G39" s="61" t="n">
        <v>30.5</v>
      </c>
      <c r="H39" s="62" t="n">
        <v>218.75017</v>
      </c>
      <c r="I39" s="65" t="n"/>
      <c r="J39" s="62">
        <f>H39*(1-$I$4)</f>
        <v/>
      </c>
      <c r="K39" s="63">
        <f>G39*J39</f>
        <v/>
      </c>
      <c r="L39" s="33" t="inlineStr">
        <is>
          <t>石材</t>
        </is>
      </c>
      <c r="M39" s="64" t="n"/>
      <c r="N39" s="39" t="n">
        <v>1</v>
      </c>
      <c r="O39" t="n">
        <v>130</v>
      </c>
      <c r="P39" s="35" t="inlineStr">
        <is>
          <t>差:-88.75元 (-40.6%) 来源:售楼处</t>
        </is>
      </c>
      <c r="Q39" s="35" t="n"/>
      <c r="R39" s="35" t="n"/>
    </row>
    <row r="40" outlineLevel="2" ht="108" customFormat="1" customHeight="1" s="39">
      <c r="A40" s="37">
        <f>1+N(A39)</f>
        <v/>
      </c>
      <c r="B40" s="27" t="inlineStr">
        <is>
          <t>地面铺贴大理石ST-01.03拼花</t>
        </is>
      </c>
      <c r="C40" s="27" t="inlineStr">
        <is>
          <t>1.地面20mm大理石拼花、参考3F-DF-01样式、ST-01、ST-03按物料书为准；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40"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40" s="27" t="inlineStr">
        <is>
          <t xml:space="preserve">执行《GB/T50854-2024房屋建筑与装饰工程工程量计算标准》，按设计图示尺寸
以面积计算。 </t>
        </is>
      </c>
      <c r="F40" s="28" t="inlineStr">
        <is>
          <t>m2</t>
        </is>
      </c>
      <c r="G40" s="61" t="n">
        <v>41.2</v>
      </c>
      <c r="H40" s="62" t="n">
        <v>242.35017</v>
      </c>
      <c r="I40" s="65" t="n"/>
      <c r="J40" s="62">
        <f>H40*(1-$I$4)</f>
        <v/>
      </c>
      <c r="K40" s="63">
        <f>G40*J40</f>
        <v/>
      </c>
      <c r="L40" s="33" t="inlineStr">
        <is>
          <t>石材</t>
        </is>
      </c>
      <c r="M40" s="64" t="n"/>
      <c r="N40" s="39" t="n">
        <v>1</v>
      </c>
      <c r="O40" t="n">
        <v>130</v>
      </c>
      <c r="P40" s="35" t="inlineStr">
        <is>
          <t>差:-112.35元 (-46.4%) 来源:售楼处</t>
        </is>
      </c>
      <c r="Q40" s="35" t="n"/>
      <c r="R40" s="35" t="n"/>
    </row>
    <row r="41" outlineLevel="2" ht="108" customFormat="1" customHeight="1" s="39">
      <c r="A41" s="37">
        <f>1+N(A40)</f>
        <v/>
      </c>
      <c r="B41" s="27" t="inlineStr">
        <is>
          <t>实心铜条5mm宽</t>
        </is>
      </c>
      <c r="C41" s="27" t="inlineStr">
        <is>
          <t>1.实心铜条5mm宽；
2.包含完成该项内容所有工作及费用并满足设计图纸、规范等要求；</t>
        </is>
      </c>
      <c r="D41"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41" s="27" t="inlineStr">
        <is>
          <t>按设计图示尺寸以长度计算。</t>
        </is>
      </c>
      <c r="F41" s="28" t="inlineStr">
        <is>
          <t>m</t>
        </is>
      </c>
      <c r="G41" s="61" t="n">
        <v>24.98</v>
      </c>
      <c r="H41" s="62" t="n">
        <v>89.267</v>
      </c>
      <c r="I41" s="65" t="n"/>
      <c r="J41" s="62">
        <f>H41*(1-$I$4)</f>
        <v/>
      </c>
      <c r="K41" s="63">
        <f>G41*J41</f>
        <v/>
      </c>
      <c r="L41" s="33" t="inlineStr">
        <is>
          <t>/</t>
        </is>
      </c>
      <c r="M41" s="64" t="n"/>
      <c r="N41" s="39" t="n">
        <v>1</v>
      </c>
      <c r="O41" t="n">
        <v>12</v>
      </c>
      <c r="P41" s="35" t="inlineStr">
        <is>
          <t>差:-77.27元 (-86.6%) 来源:售楼处</t>
        </is>
      </c>
      <c r="Q41" s="35" t="n"/>
      <c r="R41" s="35" t="n"/>
    </row>
    <row r="42" outlineLevel="2" ht="108" customFormat="1" customHeight="1" s="39">
      <c r="A42" s="37">
        <f>1+N(A41)</f>
        <v/>
      </c>
      <c r="B42" s="27" t="inlineStr">
        <is>
          <t>地面石材晶面处理</t>
        </is>
      </c>
      <c r="C42" s="27" t="inlineStr">
        <is>
          <t>1.石材结晶处理(结晶水及石材保养剂,中性清洁剂)；
2.包含完成该项内容所有工作及费用并满足设计图纸、规范等要求；</t>
        </is>
      </c>
      <c r="D42"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42" s="27" t="inlineStr">
        <is>
          <t xml:space="preserve">执行《GB/T50854-2024房屋建筑与装饰工程工程量计算标准》，按设计图示尺寸
以面积计算。 </t>
        </is>
      </c>
      <c r="F42" s="28" t="inlineStr">
        <is>
          <t>m2</t>
        </is>
      </c>
      <c r="G42" s="61" t="n">
        <v>71.7</v>
      </c>
      <c r="H42" s="62" t="n">
        <v>64.90000000000001</v>
      </c>
      <c r="I42" s="65" t="n"/>
      <c r="J42" s="62">
        <f>H42*(1-$I$4)</f>
        <v/>
      </c>
      <c r="K42" s="63">
        <f>G42*J42</f>
        <v/>
      </c>
      <c r="L42" s="33" t="inlineStr">
        <is>
          <t>/</t>
        </is>
      </c>
      <c r="M42" s="64" t="n"/>
      <c r="N42" s="39" t="n">
        <v>1</v>
      </c>
      <c r="O42" t="n">
        <v>40</v>
      </c>
      <c r="P42" s="35" t="inlineStr">
        <is>
          <t>差:-24.90元 (-38.4%) 来源:售楼处</t>
        </is>
      </c>
      <c r="Q42" s="35" t="n"/>
      <c r="R42" s="35" t="n"/>
    </row>
    <row r="43" outlineLevel="1" customFormat="1" s="39">
      <c r="A43" s="36" t="n"/>
      <c r="B43" s="27" t="inlineStr">
        <is>
          <t>墙柱面工程</t>
        </is>
      </c>
      <c r="C43" s="27" t="n"/>
      <c r="D43" s="27" t="n"/>
      <c r="E43" s="27" t="n"/>
      <c r="F43" s="28" t="n"/>
      <c r="G43" s="61" t="n"/>
      <c r="H43" s="62" t="n"/>
      <c r="I43" s="65" t="n"/>
      <c r="J43" s="62" t="n"/>
      <c r="K43" s="63" t="n"/>
      <c r="L43" s="33" t="n"/>
      <c r="M43" s="64" t="n"/>
      <c r="P43" s="35" t="n"/>
      <c r="Q43" s="35" t="n"/>
      <c r="R43" s="35" t="n"/>
    </row>
    <row r="44" outlineLevel="2" ht="144" customFormat="1" customHeight="1" s="39">
      <c r="A44" s="37">
        <f>1+N(A43)</f>
        <v/>
      </c>
      <c r="B44" s="27" t="inlineStr">
        <is>
          <t>墙面湿贴石材ST-05</t>
        </is>
      </c>
      <c r="C44" s="27" t="inlineStr">
        <is>
          <t>1、墙面湿贴石材ST-05
2、8mm厚石材专用胶粘剂WC粘结层
3、界面剂拉毛处理
4、石材的开槽、磨边、倒角、粘接、形成所需之凹坑、抛光、六面防污防渗等一切处理费用均在主材费中考虑，不再另行计取
5、包含完成该项内容所有工作及费用并满足设计图纸、规范等要求</t>
        </is>
      </c>
      <c r="D44" s="27" t="inlineStr">
        <is>
          <t>具体工作内容除详见项目特征外，且不限于以下内容:1.包含材料的下车、场内运输；2.清理基层、找标高、弹线定位；3.试拼试排；4.砂浆拌和、铺找平层（粘结层）砂浆；5.面层铺设、灌缝、擦缝；6.打蜡、养护；配合留设墙面开关、插座等末端设备等全部内容；包含成品保护、安全文明施工等达到验收合格的全部施工内容。</t>
        </is>
      </c>
      <c r="E44" s="27" t="inlineStr">
        <is>
          <t>执行《GB/T50854-2024房屋建筑与装饰工程工程量计算标准》，按设计图示镶贴后外围面积计算</t>
        </is>
      </c>
      <c r="F44" s="28" t="inlineStr">
        <is>
          <t>m2</t>
        </is>
      </c>
      <c r="G44" s="61" t="n">
        <v>16.17</v>
      </c>
      <c r="H44" s="62" t="n">
        <v>177</v>
      </c>
      <c r="I44" s="65" t="n"/>
      <c r="J44" s="62">
        <f>H44*(1-$I$4)</f>
        <v/>
      </c>
      <c r="K44" s="63">
        <f>G44*J44</f>
        <v/>
      </c>
      <c r="L44" s="33" t="inlineStr">
        <is>
          <t>石材</t>
        </is>
      </c>
      <c r="M44" s="64" t="n"/>
      <c r="N44" s="39" t="n">
        <v>1</v>
      </c>
      <c r="O44" t="n">
        <v>95</v>
      </c>
      <c r="P44" s="35" t="inlineStr">
        <is>
          <t>差:-82.00元 (-46.3%) 来源:售楼处</t>
        </is>
      </c>
      <c r="Q44" s="35" t="n"/>
      <c r="R44" s="35" t="n"/>
    </row>
    <row r="45" outlineLevel="2" ht="180" customFormat="1" customHeight="1" s="39">
      <c r="A45" s="37">
        <f>1+N(A44)</f>
        <v/>
      </c>
      <c r="B45" s="27" t="inlineStr">
        <is>
          <t>墙面干挂ST-05石材</t>
        </is>
      </c>
      <c r="C45" s="27" t="inlineStr">
        <is>
          <t>1、墙面干挂ST-05石材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is>
      </c>
      <c r="D45"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45" s="27" t="inlineStr">
        <is>
          <t>执行《GB/T50854-2024房屋建筑与装饰工程工程量计算标准》，按设计图示镶贴后外围面积计算</t>
        </is>
      </c>
      <c r="F45" s="28" t="inlineStr">
        <is>
          <t>m2</t>
        </is>
      </c>
      <c r="G45" s="61" t="n">
        <v>58.2</v>
      </c>
      <c r="H45" s="62" t="n">
        <v>283.2</v>
      </c>
      <c r="I45" s="65" t="n"/>
      <c r="J45" s="62">
        <f>H45*(1-$I$4)</f>
        <v/>
      </c>
      <c r="K45" s="63">
        <f>G45*J45</f>
        <v/>
      </c>
      <c r="L45" s="33" t="inlineStr">
        <is>
          <t>石材</t>
        </is>
      </c>
      <c r="M45" s="64" t="n"/>
      <c r="N45" s="39" t="n">
        <v>1</v>
      </c>
      <c r="O45" t="n">
        <v>145</v>
      </c>
      <c r="P45" s="35" t="inlineStr">
        <is>
          <t>差:-138.20元 (-48.8%) 来源:售楼处</t>
        </is>
      </c>
      <c r="Q45" s="35" t="n"/>
      <c r="R45" s="35" t="n"/>
    </row>
    <row r="46" outlineLevel="2" ht="180" customFormat="1" customHeight="1" s="39">
      <c r="A46" s="37">
        <f>1+N(A45)</f>
        <v/>
      </c>
      <c r="B46" s="27" t="inlineStr">
        <is>
          <t>墙面干挂ST-05石材（波浪造型）</t>
        </is>
      </c>
      <c r="C46" s="27" t="inlineStr">
        <is>
          <t>1、墙面干挂ST-05石材（波浪造型）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is>
      </c>
      <c r="D46"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46" s="27" t="inlineStr">
        <is>
          <t>执行《GB/T50854-2024房屋建筑与装饰工程工程量计算标准》，按设计图示镶贴后外围面积计算</t>
        </is>
      </c>
      <c r="F46" s="28" t="inlineStr">
        <is>
          <t>m2</t>
        </is>
      </c>
      <c r="G46" s="61" t="n">
        <v>12.33</v>
      </c>
      <c r="H46" s="62" t="n">
        <v>283.2</v>
      </c>
      <c r="I46" s="65" t="n"/>
      <c r="J46" s="62">
        <f>H46*(1-$I$4)</f>
        <v/>
      </c>
      <c r="K46" s="63">
        <f>G46*J46</f>
        <v/>
      </c>
      <c r="L46" s="33" t="inlineStr">
        <is>
          <t>石材</t>
        </is>
      </c>
      <c r="M46" s="64" t="n"/>
      <c r="N46" s="39" t="n">
        <v>1</v>
      </c>
      <c r="O46" t="n">
        <v>145</v>
      </c>
      <c r="P46" s="35" t="inlineStr">
        <is>
          <t>差:-138.20元 (-48.8%) 来源:售楼处</t>
        </is>
      </c>
      <c r="Q46" s="35" t="n"/>
      <c r="R46" s="35" t="n"/>
    </row>
    <row r="47" outlineLevel="2" ht="144" customFormat="1" customHeight="1" s="39">
      <c r="A47" s="37">
        <f>1+N(A46)</f>
        <v/>
      </c>
      <c r="B47" s="27" t="inlineStr">
        <is>
          <t>墙面PT-02白色防水无机涂料</t>
        </is>
      </c>
      <c r="C47" s="27" t="inlineStr">
        <is>
          <t>1、墙面PT-02白色防水无机涂料(底漆1遍，面漆2遍)
2、刮白胶腻子找平二遍，打磨
3、阴、阳角护角收边
4、双层9.5mm纸面石膏板
5、轻钢龙骨基层找平
6、包含完成该项内容所有工作及费用并满足设计图纸、规范等要求</t>
        </is>
      </c>
      <c r="D47"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47" s="27" t="inlineStr">
        <is>
          <t xml:space="preserve">执行《GB/T50854-2024房屋建筑与装饰工程工程量计算标准》，按设计图示尺寸
以面积计算。 </t>
        </is>
      </c>
      <c r="F47" s="28" t="inlineStr">
        <is>
          <t>m2</t>
        </is>
      </c>
      <c r="G47" s="61" t="n">
        <v>5.55</v>
      </c>
      <c r="H47" s="62" t="n">
        <v>207.68</v>
      </c>
      <c r="I47" s="65" t="n"/>
      <c r="J47" s="62">
        <f>H47*(1-$I$4)</f>
        <v/>
      </c>
      <c r="K47" s="63">
        <f>G47*J47</f>
        <v/>
      </c>
      <c r="L47" s="33" t="inlineStr">
        <is>
          <t>涂料</t>
        </is>
      </c>
      <c r="M47" s="64" t="n"/>
      <c r="N47" s="39" t="n">
        <v>1</v>
      </c>
      <c r="O47" t="n">
        <v>91.5</v>
      </c>
      <c r="P47" s="35" t="inlineStr">
        <is>
          <t>差:-116.18元 (-55.9%) 来源:售楼处</t>
        </is>
      </c>
      <c r="Q47" s="35" t="n"/>
      <c r="R47" s="35" t="n"/>
    </row>
    <row r="48" outlineLevel="2" ht="144" customFormat="1" customHeight="1" s="39">
      <c r="A48" s="37">
        <f>1+N(A47)</f>
        <v/>
      </c>
      <c r="B48" s="27" t="inlineStr">
        <is>
          <t>MT-01古铜不锈钢踢脚线（高20mm）</t>
        </is>
      </c>
      <c r="C48" s="27" t="inlineStr">
        <is>
          <t>1、1.2mm厚 MT-01古铜不锈钢踢脚线（高20mm，展开面为46mm），结构胶固定
2、9厘玻镁板基层
3、包含完成该项内容所有工作及费用并满足设计图纸、规范等要求</t>
        </is>
      </c>
      <c r="D48"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48" s="27" t="inlineStr">
        <is>
          <t>按设计图示尺寸以长度计算。</t>
        </is>
      </c>
      <c r="F48" s="28" t="inlineStr">
        <is>
          <t>m</t>
        </is>
      </c>
      <c r="G48" s="61" t="n">
        <v>30.14</v>
      </c>
      <c r="H48" s="62" t="n">
        <v>31.86</v>
      </c>
      <c r="I48" s="65" t="n"/>
      <c r="J48" s="62">
        <f>H48*(1-$I$4)</f>
        <v/>
      </c>
      <c r="K48" s="63">
        <f>G48*J48</f>
        <v/>
      </c>
      <c r="L48" s="33" t="inlineStr">
        <is>
          <t>不锈钢踢脚线</t>
        </is>
      </c>
      <c r="M48" s="64" t="n"/>
      <c r="N48" s="39" t="n">
        <v>1</v>
      </c>
      <c r="O48" t="n">
        <v>12</v>
      </c>
      <c r="P48" s="35" t="inlineStr">
        <is>
          <t>差:-19.86元 (-62.3%) 来源:售楼处</t>
        </is>
      </c>
      <c r="Q48" s="35" t="n"/>
      <c r="R48" s="35" t="n"/>
    </row>
    <row r="49" outlineLevel="2" ht="144" customFormat="1" customHeight="1" s="39">
      <c r="A49" s="37">
        <f>1+N(A48)</f>
        <v/>
      </c>
      <c r="B49" s="27" t="inlineStr">
        <is>
          <t>MT-01古铜不锈钢线条（展开面为114mm）</t>
        </is>
      </c>
      <c r="C49" s="27" t="inlineStr">
        <is>
          <t>1、1.2mm厚 MT-01古铜不锈钢线条（展开面为114mm），结构胶固定
2、9厘玻镁板基层
3、包含完成该项内容所有工作及费用并满足设计图纸、规范等要求</t>
        </is>
      </c>
      <c r="D49"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49" s="27" t="inlineStr">
        <is>
          <t>按设计图示尺寸以长度计算。</t>
        </is>
      </c>
      <c r="F49" s="28" t="inlineStr">
        <is>
          <t>m</t>
        </is>
      </c>
      <c r="G49" s="61" t="n">
        <v>30.14</v>
      </c>
      <c r="H49" s="62" t="n">
        <v>117.84424</v>
      </c>
      <c r="I49" s="65" t="n"/>
      <c r="J49" s="62">
        <f>H49*(1-$I$4)</f>
        <v/>
      </c>
      <c r="K49" s="63">
        <f>G49*J49</f>
        <v/>
      </c>
      <c r="L49" s="33" t="inlineStr">
        <is>
          <t>/</t>
        </is>
      </c>
      <c r="M49" s="64" t="n"/>
      <c r="N49" s="39" t="n">
        <v>1</v>
      </c>
      <c r="O49" t="n">
        <v>22</v>
      </c>
      <c r="P49" s="35" t="inlineStr">
        <is>
          <t>差:-95.84元 (-81.3%) 来源:售楼处</t>
        </is>
      </c>
      <c r="Q49" s="35" t="n"/>
      <c r="R49" s="35" t="n"/>
    </row>
    <row r="50" outlineLevel="2" ht="144" customFormat="1" customHeight="1" s="39">
      <c r="A50" s="37">
        <f>1+N(A49)</f>
        <v/>
      </c>
      <c r="B50" s="27" t="inlineStr">
        <is>
          <t>MT-01古铜不锈钢顶部收口条（展开面为41mm）</t>
        </is>
      </c>
      <c r="C50" s="27" t="inlineStr">
        <is>
          <t>1、1.2mm厚 MT-01古铜不锈钢顶部收口条（展开面为41mm），结构胶固定
2、9厘玻镁板基层
3、包含完成该项内容所有工作及费用并满足设计图纸、规范等要求</t>
        </is>
      </c>
      <c r="D50"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50" s="27" t="inlineStr">
        <is>
          <t>按设计图示尺寸以长度计算。</t>
        </is>
      </c>
      <c r="F50" s="28" t="inlineStr">
        <is>
          <t>m</t>
        </is>
      </c>
      <c r="G50" s="61" t="n">
        <v>30.14</v>
      </c>
      <c r="H50" s="62" t="n">
        <v>64.24509999999999</v>
      </c>
      <c r="I50" s="65" t="n"/>
      <c r="J50" s="62">
        <f>H50*(1-$I$4)</f>
        <v/>
      </c>
      <c r="K50" s="63">
        <f>G50*J50</f>
        <v/>
      </c>
      <c r="L50" s="33" t="inlineStr">
        <is>
          <t>/</t>
        </is>
      </c>
      <c r="M50" s="64" t="n"/>
      <c r="N50" s="39" t="n">
        <v>1</v>
      </c>
      <c r="O50" t="n">
        <v>12</v>
      </c>
      <c r="P50" s="35" t="inlineStr">
        <is>
          <t>差:-52.25元 (-81.3%) 来源:售楼处</t>
        </is>
      </c>
      <c r="Q50" s="35" t="n"/>
      <c r="R50" s="35" t="n"/>
    </row>
    <row r="51" outlineLevel="1" customFormat="1" s="39">
      <c r="A51" s="36" t="n"/>
      <c r="B51" s="27" t="inlineStr">
        <is>
          <t>天花工程</t>
        </is>
      </c>
      <c r="C51" s="27" t="n"/>
      <c r="D51" s="27" t="n"/>
      <c r="E51" s="27" t="n"/>
      <c r="F51" s="28" t="n"/>
      <c r="G51" s="61" t="n"/>
      <c r="H51" s="62" t="n"/>
      <c r="I51" s="65" t="n"/>
      <c r="J51" s="62" t="n"/>
      <c r="K51" s="63" t="n"/>
      <c r="L51" s="33" t="n"/>
      <c r="M51" s="64" t="n"/>
      <c r="P51" s="35" t="n"/>
      <c r="Q51" s="35" t="n"/>
      <c r="R51" s="35" t="n"/>
    </row>
    <row r="52" outlineLevel="2" ht="192" customFormat="1" customHeight="1" s="39">
      <c r="A52" s="37">
        <f>1+N(A51)</f>
        <v/>
      </c>
      <c r="B52" s="27" t="inlineStr">
        <is>
          <t>造型石膏板吊顶</t>
        </is>
      </c>
      <c r="C52" s="27" t="inlineStr">
        <is>
          <t>1.60系列轻钢主龙骨@900，60系列轻钢副龙骨@400，60系列横撑龙骨@600，08螺纹吊杆@900不上人天花吊顶（投影面计算）
2.玻镁板、双层9.5厚石膏板基层，含开孔、检修口、10*10凹槽等费用；
3.含除灯槽外的侧面高差及其连接件、吊件；
4.包含完成该项内容所有工作及费用并满足设计图纸、规范等要求；</t>
        </is>
      </c>
      <c r="D52" s="27" t="inlineStr">
        <is>
          <t>1.基层清理。
2.弹线定位、排版。
3.吊杆及连接件安装调平、收口及密封处理。
4.材料切割处理找平、石膏板安装及调整，打胶密封与清理.
5.收口及其他处理：检修口等制作安装、收边收口、配合预留安装、机电等专业孔洞及孔洞收口处理。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52" s="27" t="inlineStr">
        <is>
          <t>按设计图示尺寸以水平投影面积计算。不扣除间壁墙、检查口、附墙烟囱、柱垛和管道所占面积,扣除单个&gt;0.3m3的孔洞、非密拼吊顶空隙所占的面积、独立柱及与天棚相连的窗帘盒所占的面积。</t>
        </is>
      </c>
      <c r="F52" s="28" t="inlineStr">
        <is>
          <t>m2</t>
        </is>
      </c>
      <c r="G52" s="61" t="n">
        <v>36.98</v>
      </c>
      <c r="H52" s="62" t="n">
        <v>174.574444444444</v>
      </c>
      <c r="I52" s="65" t="n"/>
      <c r="J52" s="62">
        <f>H52*(1-$I$4)</f>
        <v/>
      </c>
      <c r="K52" s="63">
        <f>G52*J52</f>
        <v/>
      </c>
      <c r="L52" s="33" t="inlineStr">
        <is>
          <t>/</t>
        </is>
      </c>
      <c r="M52" s="64" t="n"/>
      <c r="N52" s="39" t="n">
        <v>1</v>
      </c>
      <c r="O52" t="n">
        <v>70</v>
      </c>
      <c r="P52" s="35" t="inlineStr">
        <is>
          <t>差:-104.57元 (-59.9%) 来源:售楼处</t>
        </is>
      </c>
      <c r="Q52" s="35" t="n"/>
      <c r="R52" s="35" t="n"/>
    </row>
    <row r="53" outlineLevel="2" ht="192" customFormat="1" customHeight="1" s="39">
      <c r="A53" s="37">
        <f>1+N(A52)</f>
        <v/>
      </c>
      <c r="B53" s="27" t="inlineStr">
        <is>
          <t>造型石膏板吊顶（标高7.15m)</t>
        </is>
      </c>
      <c r="C53" s="27" t="inlineStr">
        <is>
          <t>1.60系列轻钢主龙骨@900，60系列轻钢副龙骨@400，60系列横撑龙骨@600，08螺纹吊杆@900不上人天花吊顶（标高7.15m 投影面计算）
2.玻镁板、双层9.5厚石膏板基层，含开孔、检修口、10*10凹槽等费用；
3.含除灯槽外的侧面高差及其连接件、吊件；
4.包含完成该项内容所有工作及费用并满足设计图纸、规范等要求；</t>
        </is>
      </c>
      <c r="D53" s="27" t="inlineStr">
        <is>
          <t>1.基层清理。
2.弹线定位、排版。
3.吊杆及连接件安装调平、收口及密封处理。
4.材料切割处理找平、石膏板安装及调整，打胶密封与清理.
5.收口及其他处理：检修口等制作安装、收边收口、配合预留安装、机电等专业孔洞及孔洞收口处理。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53" s="27" t="inlineStr">
        <is>
          <t>按设计图示尺寸以水平投影面积计算。不扣除间壁墙、检查口、附墙烟囱、柱垛和管道所占面积,扣除单个&gt;0.3m3的孔洞、非密拼吊顶空隙所占的面积、独立柱及与天棚相连的窗帘盒所占的面积。</t>
        </is>
      </c>
      <c r="F53" s="28" t="inlineStr">
        <is>
          <t>m2</t>
        </is>
      </c>
      <c r="G53" s="61" t="n">
        <v>34.72</v>
      </c>
      <c r="H53" s="62" t="n">
        <v>291.165</v>
      </c>
      <c r="I53" s="65" t="n"/>
      <c r="J53" s="62">
        <f>H53*(1-$I$4)</f>
        <v/>
      </c>
      <c r="K53" s="63">
        <f>G53*J53</f>
        <v/>
      </c>
      <c r="L53" s="33" t="inlineStr">
        <is>
          <t>/</t>
        </is>
      </c>
      <c r="M53" s="64" t="n"/>
      <c r="N53" s="39" t="n">
        <v>1</v>
      </c>
      <c r="O53" t="n">
        <v>150</v>
      </c>
      <c r="P53" s="35" t="inlineStr">
        <is>
          <t>差:-141.17元 (-48.5%) 来源:售楼处</t>
        </is>
      </c>
      <c r="Q53" s="35" t="n"/>
      <c r="R53" s="35" t="n"/>
    </row>
    <row r="54" outlineLevel="2" ht="72" customFormat="1" customHeight="1" s="39">
      <c r="A54" s="37">
        <f>1+N(A53)</f>
        <v/>
      </c>
      <c r="B54" s="27" t="inlineStr">
        <is>
          <t>灯槽（100mm*200mm）</t>
        </is>
      </c>
      <c r="C54" s="27" t="inlineStr">
        <is>
          <t>1.灯槽（100mm*200mm）；
2.双层板：9mm玻镁板、9.5厚石膏板；
3.包含完成该项内容所有工作及费用并满足设计图纸、规范等要求；</t>
        </is>
      </c>
      <c r="D54" s="27" t="inlineStr">
        <is>
          <t>自现有现场条件下按照合同约定范围、图纸（含设计变更）及甲方要求内容以及规范、标准、相关做法等要求完成并达到总包合同全部目标的全部工作内容。</t>
        </is>
      </c>
      <c r="E54" s="27" t="inlineStr">
        <is>
          <t>依据经承包人确认的施工部位,按设计图示尺寸以延长米计算。</t>
        </is>
      </c>
      <c r="F54" s="28" t="inlineStr">
        <is>
          <t>m</t>
        </is>
      </c>
      <c r="G54" s="61" t="n">
        <v>74.09999999999999</v>
      </c>
      <c r="H54" s="62" t="n">
        <v>112.159</v>
      </c>
      <c r="I54" s="65" t="n"/>
      <c r="J54" s="62">
        <f>H54*(1-$I$4)</f>
        <v/>
      </c>
      <c r="K54" s="63">
        <f>G54*J54</f>
        <v/>
      </c>
      <c r="L54" s="33" t="inlineStr">
        <is>
          <t>/</t>
        </is>
      </c>
      <c r="M54" s="64" t="n"/>
      <c r="N54" s="39" t="n">
        <v>1</v>
      </c>
      <c r="O54" t="n">
        <v>50</v>
      </c>
      <c r="P54" s="35" t="inlineStr">
        <is>
          <t>差:-62.16元 (-55.4%) 来源:售楼处</t>
        </is>
      </c>
      <c r="Q54" s="35" t="n"/>
      <c r="R54" s="35" t="n"/>
    </row>
    <row r="55" outlineLevel="2" ht="72" customFormat="1" customHeight="1" s="39">
      <c r="A55" s="37">
        <f>1+N(A54)</f>
        <v/>
      </c>
      <c r="B55" s="27" t="inlineStr">
        <is>
          <t>成品石膏线条</t>
        </is>
      </c>
      <c r="C55" s="27" t="inlineStr">
        <is>
          <t>1.成品石膏线条（50mm*50mm）；
2.按图纸造型；
3.包含完成该项内容所有工作及费用并满足设计图纸、规范等要求；</t>
        </is>
      </c>
      <c r="D55" s="27" t="inlineStr">
        <is>
          <t>自现有现场条件下按照合同约定范围、图纸（含设计变更）及甲方要求内容以及规范、标准、相关做法等要求完成并达到总包合同全部目标的全部工作内容。</t>
        </is>
      </c>
      <c r="E55" s="27" t="inlineStr">
        <is>
          <t>依据经承包人确认的施工部位,按设计图示尺寸以延长米计算。</t>
        </is>
      </c>
      <c r="F55" s="28" t="inlineStr">
        <is>
          <t>m</t>
        </is>
      </c>
      <c r="G55" s="61" t="n">
        <v>74.09999999999999</v>
      </c>
      <c r="H55" s="62" t="n">
        <v>20.06</v>
      </c>
      <c r="I55" s="65" t="n"/>
      <c r="J55" s="62">
        <f>H55*(1-$I$4)</f>
        <v/>
      </c>
      <c r="K55" s="63">
        <f>G55*J55</f>
        <v/>
      </c>
      <c r="L55" s="33" t="inlineStr">
        <is>
          <t>成品石膏线条</t>
        </is>
      </c>
      <c r="M55" s="64" t="n"/>
      <c r="N55" s="39" t="n">
        <v>1</v>
      </c>
      <c r="O55" t="n">
        <v>18</v>
      </c>
      <c r="P55" s="35" t="inlineStr">
        <is>
          <t>差:-2.06元 (-10.3%) 来源:售楼处</t>
        </is>
      </c>
      <c r="Q55" s="35" t="n"/>
      <c r="R55" s="35" t="n"/>
    </row>
    <row r="56" outlineLevel="2" ht="72" customFormat="1" customHeight="1" s="39">
      <c r="A56" s="37">
        <f>1+N(A55)</f>
        <v/>
      </c>
      <c r="B56" s="27" t="inlineStr">
        <is>
          <t>条形空调风口（150mm）</t>
        </is>
      </c>
      <c r="C56" s="27" t="inlineStr">
        <is>
          <t>1.条形空调风口（150mm）；
2.风口周边阻燃板封边加固处理；
3.包含完成该项内容所有工作及费用并满足设计图纸、规范等要求；</t>
        </is>
      </c>
      <c r="D56" s="27" t="inlineStr">
        <is>
          <t>自现有现场条件下按照合同约定范围、图纸（含设计变更）及甲方要求内容以及规范、标准、相关做法等要求完成并达到总包合同全部目标的全部工作内容。</t>
        </is>
      </c>
      <c r="E56" s="27" t="inlineStr">
        <is>
          <t>依据经承包人确认的施工部位,按设计图示尺寸以延长米计算。</t>
        </is>
      </c>
      <c r="F56" s="28" t="inlineStr">
        <is>
          <t>m</t>
        </is>
      </c>
      <c r="G56" s="61" t="n">
        <v>4.8</v>
      </c>
      <c r="H56" s="62" t="n">
        <v>109.74</v>
      </c>
      <c r="I56" s="65" t="n"/>
      <c r="J56" s="62">
        <f>H56*(1-$I$4)</f>
        <v/>
      </c>
      <c r="K56" s="63">
        <f>G56*J56</f>
        <v/>
      </c>
      <c r="L56" s="33" t="inlineStr">
        <is>
          <t>空调风口</t>
        </is>
      </c>
      <c r="M56" s="64" t="n"/>
      <c r="N56" s="39" t="n">
        <v>1</v>
      </c>
      <c r="O56" t="n">
        <v>30</v>
      </c>
      <c r="P56" s="35" t="inlineStr">
        <is>
          <t>差:-79.74元 (-72.7%) 来源:售楼处</t>
        </is>
      </c>
      <c r="Q56" s="35" t="n"/>
      <c r="R56" s="35" t="n"/>
    </row>
    <row r="57" outlineLevel="2" ht="192" customFormat="1" customHeight="1" s="39">
      <c r="A57" s="37">
        <f>1+N(A56)</f>
        <v/>
      </c>
      <c r="B57" s="27" t="inlineStr">
        <is>
          <t>天花肌理无机涂料PT-01</t>
        </is>
      </c>
      <c r="C57" s="27" t="inlineStr">
        <is>
          <t>1.天花肌理无机涂料PT-01；
2.刮腻子二遍磨平；
3.底漆1遍，面漆2遍；
4.包含完成该项内容所有工作及费用并满足设计图纸、规范等要求；</t>
        </is>
      </c>
      <c r="D57" s="27" t="inlineStr">
        <is>
          <t>包括但不限于材料计划、采购、卸车倒运、保管、检验试验费、测量放线，包含四周阴角找平直、含天棚四周阴角找平直，打磨，简易脚手架搭拆及操作平台、升降机，基层清理、打磨平整、底层找补、满刮涂料（含阴阳角塑料条）、涂料打磨、补遗处理、配合其他分包施工、完工后场清、成品保护、保修等直到达到竣工交付标准的全部工作内容。包括所有为完成工作所需的小型机具；包括所有为完成工作所需的附属工作；包括但不限于以上内容。</t>
        </is>
      </c>
      <c r="E57" s="27" t="inlineStr">
        <is>
          <t>执行《GB/T50854-2024房屋建筑与装饰工程工程量计算标准》，按设计图示尺寸以面积计算。扣除0.3平方米以上洞口的面积；梁侧面及檐口天棚并入天棚计算；以设计图纸和技术交底为基础</t>
        </is>
      </c>
      <c r="F57" s="28" t="inlineStr">
        <is>
          <t>m2</t>
        </is>
      </c>
      <c r="G57" s="61" t="n">
        <v>93.93000000000001</v>
      </c>
      <c r="H57" s="62" t="n">
        <v>48.38</v>
      </c>
      <c r="I57" s="65" t="n"/>
      <c r="J57" s="62">
        <f>H57*(1-$I$4)</f>
        <v/>
      </c>
      <c r="K57" s="63">
        <f>G57*J57</f>
        <v/>
      </c>
      <c r="L57" s="33" t="inlineStr">
        <is>
          <t>涂料</t>
        </is>
      </c>
      <c r="M57" s="64" t="n"/>
      <c r="N57" s="39" t="n">
        <v>1</v>
      </c>
      <c r="O57" t="n">
        <v>45</v>
      </c>
      <c r="P57" s="35" t="inlineStr">
        <is>
          <t>差:-3.38元 (-7.0%) 来源:售楼处</t>
        </is>
      </c>
      <c r="Q57" s="35" t="n"/>
      <c r="R57" s="35" t="n"/>
    </row>
    <row r="58" outlineLevel="1" customFormat="1" s="39">
      <c r="A58" s="36" t="n"/>
      <c r="B58" s="27" t="inlineStr">
        <is>
          <t>门窗、家具工程</t>
        </is>
      </c>
      <c r="C58" s="27" t="n"/>
      <c r="D58" s="27" t="n"/>
      <c r="E58" s="27" t="n"/>
      <c r="F58" s="28" t="n"/>
      <c r="G58" s="61" t="n"/>
      <c r="H58" s="62" t="n"/>
      <c r="I58" s="65" t="n"/>
      <c r="J58" s="62" t="n"/>
      <c r="K58" s="63" t="n"/>
      <c r="L58" s="33" t="n"/>
      <c r="M58" s="64" t="n"/>
      <c r="P58" s="35" t="n"/>
      <c r="Q58" s="35" t="n"/>
      <c r="R58" s="35" t="n"/>
    </row>
    <row r="59" outlineLevel="2" ht="72" customFormat="1" customHeight="1" s="39">
      <c r="A59" s="37">
        <f>1+N(A58)</f>
        <v/>
      </c>
      <c r="B59" s="27" t="inlineStr">
        <is>
          <t>强弱电井暗门(不含面层)</t>
        </is>
      </c>
      <c r="C59" s="27" t="inlineStr">
        <is>
          <t>1、40x40x5mm热镀锌方管骨架、背封铝塑板
2、含天地轴、门吸等五金配件
3、包含完成该项内容所有工作及费用并满足设计图纸、规范等要求</t>
        </is>
      </c>
      <c r="D59" s="27" t="inlineStr">
        <is>
          <t>自现有现场条件下按照合同约定范围、图纸（含设计变更）及甲方要求内容以及规范、标准、相关做法等要求完成并达到总包合同全部目标的全部工作内容。</t>
        </is>
      </c>
      <c r="E59" s="27" t="inlineStr">
        <is>
          <t>以最终验收合格的工程量计算</t>
        </is>
      </c>
      <c r="F59" s="28" t="inlineStr">
        <is>
          <t>m2</t>
        </is>
      </c>
      <c r="G59" s="61" t="n">
        <v>2.25</v>
      </c>
      <c r="H59" s="62" t="n">
        <v>962.6833333333331</v>
      </c>
      <c r="I59" s="65" t="n"/>
      <c r="J59" s="62">
        <f>H59*(1-$I$4)</f>
        <v/>
      </c>
      <c r="K59" s="63">
        <f>G59*J59</f>
        <v/>
      </c>
      <c r="L59" s="33" t="inlineStr">
        <is>
          <t>/</t>
        </is>
      </c>
      <c r="M59" s="64" t="n"/>
      <c r="N59" s="39" t="n">
        <v>1</v>
      </c>
      <c r="O59" t="n">
        <v>165</v>
      </c>
      <c r="P59" s="35" t="inlineStr">
        <is>
          <t>差:-797.68元 (-82.9%) 来源:售楼处</t>
        </is>
      </c>
      <c r="Q59" s="35" t="n"/>
      <c r="R59" s="35" t="n"/>
    </row>
    <row r="60" outlineLevel="2" ht="72" customFormat="1" customHeight="1" s="39">
      <c r="A60" s="37">
        <f>1+N(A59)</f>
        <v/>
      </c>
      <c r="B60" s="27" t="inlineStr">
        <is>
          <t>消防栓暗门(不含面层)</t>
        </is>
      </c>
      <c r="C60" s="27" t="inlineStr">
        <is>
          <t>1、40x40x5mm热镀锌方管骨架、背封铝塑板
2、含天地轴、门吸等五金配件
3、包含完成该项内容所有工作及费用并满足设计图纸、规范等要求</t>
        </is>
      </c>
      <c r="D60" s="27" t="inlineStr">
        <is>
          <t>自现有现场条件下按照合同约定范围、图纸（含设计变更）及甲方要求内容以及规范、标准、相关做法等要求完成并达到总包合同全部目标的全部工作内容。</t>
        </is>
      </c>
      <c r="E60" s="27" t="inlineStr">
        <is>
          <t>以最终验收合格的工程量计算</t>
        </is>
      </c>
      <c r="F60" s="28" t="inlineStr">
        <is>
          <t>m2</t>
        </is>
      </c>
      <c r="G60" s="61" t="n">
        <v>2.1</v>
      </c>
      <c r="H60" s="62" t="n">
        <v>962.6833333333331</v>
      </c>
      <c r="I60" s="65" t="n"/>
      <c r="J60" s="62">
        <f>H60*(1-$I$4)</f>
        <v/>
      </c>
      <c r="K60" s="63">
        <f>G60*J60</f>
        <v/>
      </c>
      <c r="L60" s="33" t="inlineStr">
        <is>
          <t>/</t>
        </is>
      </c>
      <c r="M60" s="64" t="n"/>
      <c r="N60" s="39" t="n">
        <v>1</v>
      </c>
      <c r="O60" t="n">
        <v>165</v>
      </c>
      <c r="P60" s="35" t="inlineStr">
        <is>
          <t>差:-797.68元 (-82.9%) 来源:售楼处</t>
        </is>
      </c>
      <c r="Q60" s="35" t="n"/>
      <c r="R60" s="35" t="n"/>
    </row>
    <row r="61" outlineLevel="1" customFormat="1" s="39">
      <c r="A61" s="26" t="inlineStr">
        <is>
          <t>三</t>
        </is>
      </c>
      <c r="B61" s="27" t="inlineStr">
        <is>
          <t>一层艺术过厅</t>
        </is>
      </c>
      <c r="C61" s="27" t="n"/>
      <c r="D61" s="27" t="n"/>
      <c r="E61" s="27" t="n"/>
      <c r="F61" s="28" t="n"/>
      <c r="G61" s="61" t="n"/>
      <c r="H61" s="62" t="n"/>
      <c r="I61" s="65" t="n"/>
      <c r="J61" s="62" t="n"/>
      <c r="K61" s="63" t="n"/>
      <c r="L61" s="33" t="n"/>
      <c r="M61" s="64" t="n"/>
      <c r="P61" s="35" t="n"/>
      <c r="Q61" s="35" t="n"/>
      <c r="R61" s="35" t="n"/>
    </row>
    <row r="62" outlineLevel="1" customFormat="1" s="39">
      <c r="A62" s="36" t="n"/>
      <c r="B62" s="27" t="inlineStr">
        <is>
          <t>地面工程</t>
        </is>
      </c>
      <c r="C62" s="27" t="n"/>
      <c r="D62" s="27" t="n"/>
      <c r="E62" s="27" t="n"/>
      <c r="F62" s="28" t="n"/>
      <c r="G62" s="61" t="n"/>
      <c r="H62" s="62" t="n"/>
      <c r="I62" s="65" t="n"/>
      <c r="J62" s="62" t="n"/>
      <c r="K62" s="63" t="n"/>
      <c r="L62" s="33" t="n"/>
      <c r="M62" s="64" t="n"/>
      <c r="P62" s="35" t="n"/>
      <c r="Q62" s="35" t="n"/>
      <c r="R62" s="35" t="n"/>
    </row>
    <row r="63" outlineLevel="2" ht="108" customFormat="1" customHeight="1" s="39">
      <c r="A63" s="37">
        <f>1+N(A62)</f>
        <v/>
      </c>
      <c r="B63" s="27" t="inlineStr">
        <is>
          <t>地面铺贴大理石ST-01</t>
        </is>
      </c>
      <c r="C63" s="27" t="inlineStr">
        <is>
          <t>1.地面20mm大理石ST-01、铺贴、厚度及样式按物料书为准；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63"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63" s="27" t="inlineStr">
        <is>
          <t xml:space="preserve">执行《GB/T50854-2024房屋建筑与装饰工程工程量计算标准》，按设计图示尺寸
以面积计算。 </t>
        </is>
      </c>
      <c r="F63" s="28" t="inlineStr">
        <is>
          <t>m2</t>
        </is>
      </c>
      <c r="G63" s="61" t="n">
        <v>28.2</v>
      </c>
      <c r="H63" s="62" t="n">
        <v>218.75017</v>
      </c>
      <c r="I63" s="65" t="n"/>
      <c r="J63" s="62">
        <f>H63*(1-$I$4)</f>
        <v/>
      </c>
      <c r="K63" s="63">
        <f>G63*J63</f>
        <v/>
      </c>
      <c r="L63" s="33" t="inlineStr">
        <is>
          <t>石材</t>
        </is>
      </c>
      <c r="M63" s="64" t="n"/>
      <c r="N63" s="39" t="n">
        <v>1</v>
      </c>
      <c r="O63" t="n">
        <v>130</v>
      </c>
      <c r="P63" s="35" t="inlineStr">
        <is>
          <t>差:-88.75元 (-40.6%) 来源:售楼处</t>
        </is>
      </c>
      <c r="Q63" s="35" t="n"/>
      <c r="R63" s="35" t="n"/>
    </row>
    <row r="64" outlineLevel="2" ht="108" customFormat="1" customHeight="1" s="39">
      <c r="A64" s="37">
        <f>1+N(A63)</f>
        <v/>
      </c>
      <c r="B64" s="27" t="inlineStr">
        <is>
          <t>地面石材晶面处理</t>
        </is>
      </c>
      <c r="C64" s="27" t="inlineStr">
        <is>
          <t>1.石材结晶处理(结晶水及石材保养剂,中性清洁剂)；
2.包含完成该项内容所有工作及费用并满足设计图纸、规范等要求；</t>
        </is>
      </c>
      <c r="D64"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64" s="27" t="inlineStr">
        <is>
          <t xml:space="preserve">执行《GB/T50854-2024房屋建筑与装饰工程工程量计算标准》，按设计图示尺寸
以面积计算。 </t>
        </is>
      </c>
      <c r="F64" s="28" t="inlineStr">
        <is>
          <t>m2</t>
        </is>
      </c>
      <c r="G64" s="61" t="n">
        <v>28.2</v>
      </c>
      <c r="H64" s="62" t="n">
        <v>64.90000000000001</v>
      </c>
      <c r="I64" s="65" t="n"/>
      <c r="J64" s="62">
        <f>H64*(1-$I$4)</f>
        <v/>
      </c>
      <c r="K64" s="63">
        <f>G64*J64</f>
        <v/>
      </c>
      <c r="L64" s="33" t="inlineStr">
        <is>
          <t>/</t>
        </is>
      </c>
      <c r="M64" s="64" t="n"/>
      <c r="N64" s="39" t="n">
        <v>1</v>
      </c>
      <c r="O64" t="n">
        <v>40</v>
      </c>
      <c r="P64" s="35" t="inlineStr">
        <is>
          <t>差:-24.90元 (-38.4%) 来源:售楼处</t>
        </is>
      </c>
      <c r="Q64" s="35" t="n"/>
      <c r="R64" s="35" t="n"/>
    </row>
    <row r="65" outlineLevel="1" customFormat="1" s="39">
      <c r="A65" s="36" t="n"/>
      <c r="B65" s="27" t="inlineStr">
        <is>
          <t>墙柱面工程</t>
        </is>
      </c>
      <c r="C65" s="27" t="n"/>
      <c r="D65" s="27" t="n"/>
      <c r="E65" s="27" t="n"/>
      <c r="F65" s="28" t="n"/>
      <c r="G65" s="61" t="n"/>
      <c r="H65" s="62" t="n"/>
      <c r="I65" s="65" t="n"/>
      <c r="J65" s="62" t="n"/>
      <c r="K65" s="63" t="n"/>
      <c r="L65" s="33" t="n"/>
      <c r="M65" s="64" t="n"/>
      <c r="P65" s="35" t="n"/>
      <c r="Q65" s="35" t="n"/>
      <c r="R65" s="35" t="n"/>
    </row>
    <row r="66" outlineLevel="2" ht="144" customFormat="1" customHeight="1" s="39">
      <c r="A66" s="37">
        <f>1+N(A65)</f>
        <v/>
      </c>
      <c r="B66" s="27" t="inlineStr">
        <is>
          <t>墙面湿贴石材ST-05</t>
        </is>
      </c>
      <c r="C66" s="27" t="inlineStr">
        <is>
          <t>1、墙面湿贴石材ST-05
2、8mm厚石材专用胶粘剂WC粘结层
3、界面剂拉毛处理
4、石材的开槽、磨边、倒角、粘接、形成所需之凹坑、抛光、六面防污防渗等一切处理费用均在主材费中考虑，不再另行计取
5、包含完成该项内容所有工作及费用并满足设计图纸、规范等要求</t>
        </is>
      </c>
      <c r="D66" s="27" t="inlineStr">
        <is>
          <t>具体工作内容除详见项目特征外，且不限于以下内容:1.包含材料的下车、场内运输；2.清理基层、找标高、弹线定位；3.试拼试排；4.砂浆拌和、铺找平层（粘结层）砂浆；5.面层铺设、灌缝、擦缝；6.打蜡、养护；配合留设墙面开关、插座等末端设备等全部内容；包含成品保护、安全文明施工等达到验收合格的全部施工内容。</t>
        </is>
      </c>
      <c r="E66" s="27" t="inlineStr">
        <is>
          <t>执行《GB/T50854-2024房屋建筑与装饰工程工程量计算标准》，按设计图示镶贴后外围面积计算</t>
        </is>
      </c>
      <c r="F66" s="28" t="inlineStr">
        <is>
          <t>m2</t>
        </is>
      </c>
      <c r="G66" s="61" t="n">
        <v>4.46</v>
      </c>
      <c r="H66" s="62" t="n">
        <v>177</v>
      </c>
      <c r="I66" s="65" t="n"/>
      <c r="J66" s="62">
        <f>H66*(1-$I$4)</f>
        <v/>
      </c>
      <c r="K66" s="63">
        <f>G66*J66</f>
        <v/>
      </c>
      <c r="L66" s="33" t="inlineStr">
        <is>
          <t>石材</t>
        </is>
      </c>
      <c r="M66" s="64" t="n"/>
      <c r="N66" s="39" t="n">
        <v>1</v>
      </c>
      <c r="O66" t="n">
        <v>95</v>
      </c>
      <c r="P66" s="35" t="inlineStr">
        <is>
          <t>差:-82.00元 (-46.3%) 来源:售楼处</t>
        </is>
      </c>
      <c r="Q66" s="35" t="n"/>
      <c r="R66" s="35" t="n"/>
    </row>
    <row r="67" outlineLevel="2" ht="180" customFormat="1" customHeight="1" s="39">
      <c r="A67" s="37">
        <f>1+N(A66)</f>
        <v/>
      </c>
      <c r="B67" s="27" t="inlineStr">
        <is>
          <t>墙面干挂ST-05石材</t>
        </is>
      </c>
      <c r="C67" s="27" t="inlineStr">
        <is>
          <t>1、墙面干挂ST-05石材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is>
      </c>
      <c r="D67"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67" s="27" t="inlineStr">
        <is>
          <t>执行《GB/T50854-2024房屋建筑与装饰工程工程量计算标准》，按设计图示镶贴后外围面积计算</t>
        </is>
      </c>
      <c r="F67" s="28" t="inlineStr">
        <is>
          <t>m2</t>
        </is>
      </c>
      <c r="G67" s="61" t="n">
        <v>29.71</v>
      </c>
      <c r="H67" s="62" t="n">
        <v>283.2</v>
      </c>
      <c r="I67" s="65" t="n"/>
      <c r="J67" s="62">
        <f>H67*(1-$I$4)</f>
        <v/>
      </c>
      <c r="K67" s="63">
        <f>G67*J67</f>
        <v/>
      </c>
      <c r="L67" s="33" t="inlineStr">
        <is>
          <t>石材</t>
        </is>
      </c>
      <c r="M67" s="64" t="n"/>
      <c r="N67" s="39" t="n">
        <v>1</v>
      </c>
      <c r="O67" t="n">
        <v>145</v>
      </c>
      <c r="P67" s="35" t="inlineStr">
        <is>
          <t>差:-138.20元 (-48.8%) 来源:售楼处</t>
        </is>
      </c>
      <c r="Q67" s="35" t="n"/>
      <c r="R67" s="35" t="n"/>
    </row>
    <row r="68" outlineLevel="2" ht="180" customFormat="1" customHeight="1" s="39">
      <c r="A68" s="37">
        <f>1+N(A67)</f>
        <v/>
      </c>
      <c r="B68" s="27" t="inlineStr">
        <is>
          <t>墙面干挂ST-05石材（波浪造型）</t>
        </is>
      </c>
      <c r="C68" s="27" t="inlineStr">
        <is>
          <t>1、墙面干挂ST-05石材（波浪造型）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is>
      </c>
      <c r="D68"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68" s="27" t="inlineStr">
        <is>
          <t>执行《GB/T50854-2024房屋建筑与装饰工程工程量计算标准》，按设计图示镶贴后外围面积计算</t>
        </is>
      </c>
      <c r="F68" s="28" t="inlineStr">
        <is>
          <t>m2</t>
        </is>
      </c>
      <c r="G68" s="61" t="n">
        <v>13.65</v>
      </c>
      <c r="H68" s="62" t="n">
        <v>283.2</v>
      </c>
      <c r="I68" s="65" t="n"/>
      <c r="J68" s="62">
        <f>H68*(1-$I$4)</f>
        <v/>
      </c>
      <c r="K68" s="63">
        <f>G68*J68</f>
        <v/>
      </c>
      <c r="L68" s="33" t="inlineStr">
        <is>
          <t>石材</t>
        </is>
      </c>
      <c r="M68" s="64" t="n"/>
      <c r="N68" s="39" t="n">
        <v>1</v>
      </c>
      <c r="O68" t="n">
        <v>145</v>
      </c>
      <c r="P68" s="35" t="inlineStr">
        <is>
          <t>差:-138.20元 (-48.8%) 来源:售楼处</t>
        </is>
      </c>
      <c r="Q68" s="35" t="n"/>
      <c r="R68" s="35" t="n"/>
    </row>
    <row r="69" outlineLevel="2" ht="180" customFormat="1" customHeight="1" s="39">
      <c r="A69" s="37">
        <f>1+N(A68)</f>
        <v/>
      </c>
      <c r="B69" s="27" t="inlineStr">
        <is>
          <t>墙面干挂SF-06红砖</t>
        </is>
      </c>
      <c r="C69" s="27" t="inlineStr">
        <is>
          <t>1、墙面干挂SF-06红砖(墙面刷黑处理)
2、30*30*3镀锌方通钢架，石材干挂胶固定
3、包含完成该项内容所有工作及费用并满足设计图纸、规范等要求</t>
        </is>
      </c>
      <c r="D69"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69" s="27" t="inlineStr">
        <is>
          <t>执行《GB/T50854-2024房屋建筑与装饰工程工程量计算标准》，按设计图示镶贴后外围面积计算</t>
        </is>
      </c>
      <c r="F69" s="28" t="inlineStr">
        <is>
          <t>m2</t>
        </is>
      </c>
      <c r="G69" s="61" t="n">
        <v>16.5</v>
      </c>
      <c r="H69" s="62" t="n">
        <v>1053.4568</v>
      </c>
      <c r="I69" s="65" t="n"/>
      <c r="J69" s="62">
        <f>H69*(1-$I$4)</f>
        <v/>
      </c>
      <c r="K69" s="63">
        <f>G69*J69</f>
        <v/>
      </c>
      <c r="L69" s="33" t="inlineStr">
        <is>
          <t>/</t>
        </is>
      </c>
      <c r="M69" s="64" t="n"/>
      <c r="N69" s="39" t="n">
        <v>1</v>
      </c>
      <c r="O69" t="n">
        <v>150</v>
      </c>
      <c r="P69" s="35" t="inlineStr">
        <is>
          <t>差:-903.46元 (-85.8%) 来源:售楼处</t>
        </is>
      </c>
      <c r="Q69" s="35" t="n"/>
      <c r="R69" s="35" t="n"/>
    </row>
    <row r="70" outlineLevel="2" ht="180" customFormat="1" customHeight="1" s="39">
      <c r="A70" s="37">
        <f>1+N(A69)</f>
        <v/>
      </c>
      <c r="B70" s="27" t="inlineStr">
        <is>
          <t>MT-01古铜不锈钢饰面</t>
        </is>
      </c>
      <c r="C70" s="27" t="inlineStr">
        <is>
          <t>1、1.2mm厚 MT-01古铜不锈钢饰面，结构胶固定
2、9厘玻镁板基层
3、工程量以展开面积计算
4、包含完成该项内容所有工作及费用并满足设计图纸、规范等要求</t>
        </is>
      </c>
      <c r="D70"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70" s="27" t="inlineStr">
        <is>
          <t>执行《GB/T50854-2024房屋建筑与装饰工程工程量计算标准》，按设计图示饰面外围尺寸
以面积计算。 扣除门窗洞口面积，不扣除单个面积≤0.3㎡的孔洞所占面积。</t>
        </is>
      </c>
      <c r="F70" s="28" t="inlineStr">
        <is>
          <t>m2</t>
        </is>
      </c>
      <c r="G70" s="61" t="n">
        <v>0.41</v>
      </c>
      <c r="H70" s="62" t="n">
        <v>247.8</v>
      </c>
      <c r="I70" s="65" t="n"/>
      <c r="J70" s="62">
        <f>H70*(1-$I$4)</f>
        <v/>
      </c>
      <c r="K70" s="63">
        <f>G70*J70</f>
        <v/>
      </c>
      <c r="L70" s="33" t="inlineStr">
        <is>
          <t>不锈钢饰面</t>
        </is>
      </c>
      <c r="M70" s="64" t="n"/>
      <c r="N70" s="39" t="n">
        <v>1</v>
      </c>
      <c r="O70" t="n">
        <v>110</v>
      </c>
      <c r="P70" s="35" t="inlineStr">
        <is>
          <t>差:-137.80元 (-55.6%) 来源:售楼处</t>
        </is>
      </c>
      <c r="Q70" s="35" t="n"/>
      <c r="R70" s="35" t="n"/>
    </row>
    <row r="71" outlineLevel="2" ht="144" customFormat="1" customHeight="1" s="39">
      <c r="A71" s="37">
        <f>1+N(A70)</f>
        <v/>
      </c>
      <c r="B71" s="27" t="inlineStr">
        <is>
          <t>MT-01古铜不锈钢踢脚线（高20mm）</t>
        </is>
      </c>
      <c r="C71" s="27" t="inlineStr">
        <is>
          <t>1、1.2mm厚 MT-01古铜不锈钢踢脚线（高20mm，展开面为46mm），结构胶固定
2、9厘玻镁板基层
3、包含完成该项内容所有工作及费用并满足设计图纸、规范等要求</t>
        </is>
      </c>
      <c r="D71"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71" s="27" t="inlineStr">
        <is>
          <t>按设计图示尺寸以长度计算。</t>
        </is>
      </c>
      <c r="F71" s="28" t="inlineStr">
        <is>
          <t>m</t>
        </is>
      </c>
      <c r="G71" s="61" t="n">
        <v>16.2</v>
      </c>
      <c r="H71" s="62" t="n">
        <v>31.86</v>
      </c>
      <c r="I71" s="65" t="n"/>
      <c r="J71" s="62">
        <f>H71*(1-$I$4)</f>
        <v/>
      </c>
      <c r="K71" s="63">
        <f>G71*J71</f>
        <v/>
      </c>
      <c r="L71" s="33" t="inlineStr">
        <is>
          <t>不锈钢踢脚线</t>
        </is>
      </c>
      <c r="M71" s="64" t="n"/>
      <c r="N71" s="39" t="n">
        <v>1</v>
      </c>
      <c r="O71" t="n">
        <v>12</v>
      </c>
      <c r="P71" s="35" t="inlineStr">
        <is>
          <t>差:-19.86元 (-62.3%) 来源:售楼处</t>
        </is>
      </c>
      <c r="Q71" s="35" t="n"/>
      <c r="R71" s="35" t="n"/>
    </row>
    <row r="72" outlineLevel="2" ht="144" customFormat="1" customHeight="1" s="39">
      <c r="A72" s="37">
        <f>1+N(A71)</f>
        <v/>
      </c>
      <c r="B72" s="27" t="inlineStr">
        <is>
          <t>MT-01古铜不锈钢线条（展开面为114mm）</t>
        </is>
      </c>
      <c r="C72" s="27" t="inlineStr">
        <is>
          <t>1、1.2mm厚 MT-01古铜不锈钢线条（展开面为114mm），结构胶固定
2、9厘玻镁板基层
3、包含完成该项内容所有工作及费用并满足设计图纸、规范等要求</t>
        </is>
      </c>
      <c r="D72"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72" s="27" t="inlineStr">
        <is>
          <t>按设计图示尺寸以长度计算。</t>
        </is>
      </c>
      <c r="F72" s="28" t="inlineStr">
        <is>
          <t>m</t>
        </is>
      </c>
      <c r="G72" s="61" t="n">
        <v>16.2</v>
      </c>
      <c r="H72" s="62" t="n">
        <v>117.84424</v>
      </c>
      <c r="I72" s="65" t="n"/>
      <c r="J72" s="62">
        <f>H72*(1-$I$4)</f>
        <v/>
      </c>
      <c r="K72" s="63">
        <f>G72*J72</f>
        <v/>
      </c>
      <c r="L72" s="33" t="inlineStr">
        <is>
          <t>/</t>
        </is>
      </c>
      <c r="M72" s="64" t="n"/>
      <c r="N72" s="39" t="n">
        <v>1</v>
      </c>
      <c r="O72" t="n">
        <v>22</v>
      </c>
      <c r="P72" s="35" t="inlineStr">
        <is>
          <t>差:-95.84元 (-81.3%) 来源:售楼处</t>
        </is>
      </c>
      <c r="Q72" s="35" t="n"/>
      <c r="R72" s="35" t="n"/>
    </row>
    <row r="73" outlineLevel="2" ht="144" customFormat="1" customHeight="1" s="39">
      <c r="A73" s="37">
        <f>1+N(A72)</f>
        <v/>
      </c>
      <c r="B73" s="27" t="inlineStr">
        <is>
          <t>MT-01古铜不锈钢顶部收口条（展开面为41mm）</t>
        </is>
      </c>
      <c r="C73" s="27" t="inlineStr">
        <is>
          <t>1、1.2mm厚 MT-01古铜不锈钢顶部收口条（展开面为41mm），结构胶固定
2、9厘玻镁板基层
3、包含完成该项内容所有工作及费用并满足设计图纸、规范等要求</t>
        </is>
      </c>
      <c r="D73"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73" s="27" t="inlineStr">
        <is>
          <t>按设计图示尺寸以长度计算。</t>
        </is>
      </c>
      <c r="F73" s="28" t="inlineStr">
        <is>
          <t>m</t>
        </is>
      </c>
      <c r="G73" s="61" t="n">
        <v>16.2</v>
      </c>
      <c r="H73" s="62" t="n">
        <v>64.24509999999999</v>
      </c>
      <c r="I73" s="65" t="n"/>
      <c r="J73" s="62">
        <f>H73*(1-$I$4)</f>
        <v/>
      </c>
      <c r="K73" s="63">
        <f>G73*J73</f>
        <v/>
      </c>
      <c r="L73" s="33" t="inlineStr">
        <is>
          <t>/</t>
        </is>
      </c>
      <c r="M73" s="64" t="n"/>
      <c r="N73" s="39" t="n">
        <v>1</v>
      </c>
      <c r="O73" t="n">
        <v>12</v>
      </c>
      <c r="P73" s="35" t="inlineStr">
        <is>
          <t>差:-52.25元 (-81.3%) 来源:售楼处</t>
        </is>
      </c>
      <c r="Q73" s="35" t="n"/>
      <c r="R73" s="35" t="n"/>
    </row>
    <row r="74" outlineLevel="1" customFormat="1" s="39">
      <c r="A74" s="36" t="n"/>
      <c r="B74" s="27" t="inlineStr">
        <is>
          <t>天花工程</t>
        </is>
      </c>
      <c r="C74" s="27" t="n"/>
      <c r="D74" s="27" t="n"/>
      <c r="E74" s="27" t="n"/>
      <c r="F74" s="28" t="n"/>
      <c r="G74" s="61" t="n"/>
      <c r="H74" s="62" t="n"/>
      <c r="I74" s="65" t="n"/>
      <c r="J74" s="62" t="n"/>
      <c r="K74" s="63" t="n"/>
      <c r="L74" s="33" t="n"/>
      <c r="M74" s="64" t="n"/>
      <c r="P74" s="35" t="n"/>
      <c r="Q74" s="35" t="n"/>
      <c r="R74" s="35" t="n"/>
    </row>
    <row r="75" outlineLevel="2" ht="192" customFormat="1" customHeight="1" s="39">
      <c r="A75" s="37">
        <f>1+N(A74)</f>
        <v/>
      </c>
      <c r="B75" s="27" t="inlineStr">
        <is>
          <t>造型石膏板吊顶</t>
        </is>
      </c>
      <c r="C75" s="27" t="inlineStr">
        <is>
          <t>1.60系列轻钢主龙骨@900，60系列轻钢副龙骨@400，60系列横撑龙骨@600，08螺纹吊杆@900不上人天花吊顶（投影面计算）
2.玻镁板、双层9.5厚石膏板基层，含开孔、检修口、10*10凹槽等费用；
3.含除灯槽外的侧面高差及其连接件、吊件；
4.包含完成该项内容所有工作及费用并满足设计图纸、规范等要求；</t>
        </is>
      </c>
      <c r="D75" s="27" t="inlineStr">
        <is>
          <t>1.基层清理。
2.弹线定位、排版。
3.吊杆及连接件安装调平、收口及密封处理。
4.材料切割处理找平、石膏板安装及调整，打胶密封与清理.
5.收口及其他处理：检修口等制作安装、收边收口、配合预留安装、机电等专业孔洞及孔洞收口处理。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75" s="27" t="inlineStr">
        <is>
          <t>按设计图示尺寸以水平投影面积计算。不扣除间壁墙、检查口、附墙烟囱、柱垛和管道所占面积,扣除单个&gt;0.3m3的孔洞、非密拼吊顶空隙所占的面积、独立柱及与天棚相连的窗帘盒所占的面积。</t>
        </is>
      </c>
      <c r="F75" s="28" t="inlineStr">
        <is>
          <t>m2</t>
        </is>
      </c>
      <c r="G75" s="61" t="n">
        <v>23.8</v>
      </c>
      <c r="H75" s="62" t="n">
        <v>174.574444444444</v>
      </c>
      <c r="I75" s="65" t="n"/>
      <c r="J75" s="62">
        <f>H75*(1-$I$4)</f>
        <v/>
      </c>
      <c r="K75" s="63">
        <f>G75*J75</f>
        <v/>
      </c>
      <c r="L75" s="33" t="inlineStr">
        <is>
          <t>/</t>
        </is>
      </c>
      <c r="M75" s="64" t="n"/>
      <c r="N75" s="39" t="n">
        <v>1</v>
      </c>
      <c r="O75" t="n">
        <v>70</v>
      </c>
      <c r="P75" s="35" t="inlineStr">
        <is>
          <t>差:-104.57元 (-59.9%) 来源:售楼处</t>
        </is>
      </c>
      <c r="Q75" s="35" t="n"/>
      <c r="R75" s="35" t="n"/>
    </row>
    <row r="76" outlineLevel="2" ht="72" customFormat="1" customHeight="1" s="39">
      <c r="A76" s="37">
        <f>1+N(A75)</f>
        <v/>
      </c>
      <c r="B76" s="27" t="inlineStr">
        <is>
          <t>透光膜天棚</t>
        </is>
      </c>
      <c r="C76" s="27" t="inlineStr">
        <is>
          <t>1.透光膜天棚\施工时透气孔和穿线洞口\需加装防虫网防虫措施；
2.不锈钢压边；
3.包含完成该项内容所有工作及费用并满足设计图纸、规范等要求；</t>
        </is>
      </c>
      <c r="D76" s="27" t="inlineStr">
        <is>
          <t>自现有现场条件下按照合同约定范围、图纸（含设计变更）及甲方要求内容以及规范、标准、相关做法等要求完成并达到总包合同全部目标的全部工作内容。</t>
        </is>
      </c>
      <c r="E76" s="27" t="inlineStr">
        <is>
          <t xml:space="preserve">执行《GB/T50854-2024房屋建筑与装饰工程工程量计算标准》，按设计图示尺寸
以面积计算。 </t>
        </is>
      </c>
      <c r="F76" s="28" t="inlineStr">
        <is>
          <t>m2</t>
        </is>
      </c>
      <c r="G76" s="61" t="n">
        <v>4.4</v>
      </c>
      <c r="H76" s="62" t="n">
        <v>472.708</v>
      </c>
      <c r="I76" s="65" t="n"/>
      <c r="J76" s="62">
        <f>H76*(1-$I$4)</f>
        <v/>
      </c>
      <c r="K76" s="63">
        <f>G76*J76</f>
        <v/>
      </c>
      <c r="L76" s="33" t="inlineStr">
        <is>
          <t>/</t>
        </is>
      </c>
      <c r="M76" s="64" t="n"/>
      <c r="N76" s="39" t="n">
        <v>1</v>
      </c>
      <c r="O76" t="n">
        <v>80</v>
      </c>
      <c r="P76" s="35" t="inlineStr">
        <is>
          <t>差:-392.71元 (-83.1%) 来源:售楼处</t>
        </is>
      </c>
      <c r="Q76" s="35" t="n"/>
      <c r="R76" s="35" t="n"/>
    </row>
    <row r="77" outlineLevel="2" ht="72" customFormat="1" customHeight="1" s="39">
      <c r="A77" s="37">
        <f>1+N(A76)</f>
        <v/>
      </c>
      <c r="B77" s="27" t="inlineStr">
        <is>
          <t>灯槽（100mm*200mm）</t>
        </is>
      </c>
      <c r="C77" s="27" t="inlineStr">
        <is>
          <t>1.灯槽（100mm*200mm）；
2.双层板：9mm玻镁板、9.5厚石膏板；
3.包含完成该项内容所有工作及费用并满足设计图纸、规范等要求；</t>
        </is>
      </c>
      <c r="D77" s="27" t="inlineStr">
        <is>
          <t>自现有现场条件下按照合同约定范围、图纸（含设计变更）及甲方要求内容以及规范、标准、相关做法等要求完成并达到总包合同全部目标的全部工作内容。</t>
        </is>
      </c>
      <c r="E77" s="27" t="inlineStr">
        <is>
          <t>依据经承包人确认的施工部位,按设计图示尺寸以延长米计算。</t>
        </is>
      </c>
      <c r="F77" s="28" t="inlineStr">
        <is>
          <t>m</t>
        </is>
      </c>
      <c r="G77" s="61" t="n">
        <v>5.5</v>
      </c>
      <c r="H77" s="62" t="n">
        <v>112.159</v>
      </c>
      <c r="I77" s="65" t="n"/>
      <c r="J77" s="62">
        <f>H77*(1-$I$4)</f>
        <v/>
      </c>
      <c r="K77" s="63">
        <f>G77*J77</f>
        <v/>
      </c>
      <c r="L77" s="33" t="inlineStr">
        <is>
          <t>/</t>
        </is>
      </c>
      <c r="M77" s="64" t="n"/>
      <c r="N77" s="39" t="n">
        <v>1</v>
      </c>
      <c r="O77" t="n">
        <v>50</v>
      </c>
      <c r="P77" s="35" t="inlineStr">
        <is>
          <t>差:-62.16元 (-55.4%) 来源:售楼处</t>
        </is>
      </c>
      <c r="Q77" s="35" t="n"/>
      <c r="R77" s="35" t="n"/>
    </row>
    <row r="78" outlineLevel="2" ht="72" customFormat="1" customHeight="1" s="39">
      <c r="A78" s="37">
        <f>1+N(A77)</f>
        <v/>
      </c>
      <c r="B78" s="27" t="inlineStr">
        <is>
          <t>成品石膏线条</t>
        </is>
      </c>
      <c r="C78" s="27" t="inlineStr">
        <is>
          <t>1.成品石膏线条（50mm*50mm）；
2.按图纸造型；
3.包含完成该项内容所有工作及费用并满足设计图纸、规范等要求；</t>
        </is>
      </c>
      <c r="D78" s="27" t="inlineStr">
        <is>
          <t>自现有现场条件下按照合同约定范围、图纸（含设计变更）及甲方要求内容以及规范、标准、相关做法等要求完成并达到总包合同全部目标的全部工作内容。</t>
        </is>
      </c>
      <c r="E78" s="27" t="inlineStr">
        <is>
          <t>依据经承包人确认的施工部位,按设计图示尺寸以延长米计算。</t>
        </is>
      </c>
      <c r="F78" s="28" t="inlineStr">
        <is>
          <t>m</t>
        </is>
      </c>
      <c r="G78" s="61" t="n">
        <v>5.5</v>
      </c>
      <c r="H78" s="62" t="n">
        <v>20.06</v>
      </c>
      <c r="I78" s="65" t="n"/>
      <c r="J78" s="62">
        <f>H78*(1-$I$4)</f>
        <v/>
      </c>
      <c r="K78" s="63">
        <f>G78*J78</f>
        <v/>
      </c>
      <c r="L78" s="33" t="inlineStr">
        <is>
          <t>成品石膏线条</t>
        </is>
      </c>
      <c r="M78" s="64" t="n"/>
      <c r="N78" s="39" t="n">
        <v>1</v>
      </c>
      <c r="O78" t="n">
        <v>18</v>
      </c>
      <c r="P78" s="35" t="inlineStr">
        <is>
          <t>差:-2.06元 (-10.3%) 来源:售楼处</t>
        </is>
      </c>
      <c r="Q78" s="35" t="n"/>
      <c r="R78" s="35" t="n"/>
    </row>
    <row r="79" outlineLevel="2" ht="72" customFormat="1" customHeight="1" s="39">
      <c r="A79" s="37">
        <f>1+N(A78)</f>
        <v/>
      </c>
      <c r="B79" s="27" t="inlineStr">
        <is>
          <t>条形空调风口（150mm）</t>
        </is>
      </c>
      <c r="C79" s="27" t="inlineStr">
        <is>
          <t>1.条形空调风口（150mm）；
2.风口周边阻燃板封边加固处理；
3.包含完成该项内容所有工作及费用并满足设计图纸、规范等要求；</t>
        </is>
      </c>
      <c r="D79" s="27" t="inlineStr">
        <is>
          <t>自现有现场条件下按照合同约定范围、图纸（含设计变更）及甲方要求内容以及规范、标准、相关做法等要求完成并达到总包合同全部目标的全部工作内容。</t>
        </is>
      </c>
      <c r="E79" s="27" t="inlineStr">
        <is>
          <t>依据经承包人确认的施工部位,按设计图示尺寸以延长米计算。</t>
        </is>
      </c>
      <c r="F79" s="28" t="inlineStr">
        <is>
          <t>m</t>
        </is>
      </c>
      <c r="G79" s="61" t="n">
        <v>2.4</v>
      </c>
      <c r="H79" s="62" t="n">
        <v>109.74</v>
      </c>
      <c r="I79" s="65" t="n"/>
      <c r="J79" s="62">
        <f>H79*(1-$I$4)</f>
        <v/>
      </c>
      <c r="K79" s="63">
        <f>G79*J79</f>
        <v/>
      </c>
      <c r="L79" s="33" t="inlineStr">
        <is>
          <t>空调风口</t>
        </is>
      </c>
      <c r="M79" s="64" t="n"/>
      <c r="N79" s="39" t="n">
        <v>1</v>
      </c>
      <c r="O79" t="n">
        <v>30</v>
      </c>
      <c r="P79" s="35" t="inlineStr">
        <is>
          <t>差:-79.74元 (-72.7%) 来源:售楼处</t>
        </is>
      </c>
      <c r="Q79" s="35" t="n"/>
      <c r="R79" s="35" t="n"/>
    </row>
    <row r="80" outlineLevel="2" ht="192" customFormat="1" customHeight="1" s="39">
      <c r="A80" s="37">
        <f>1+N(A79)</f>
        <v/>
      </c>
      <c r="B80" s="27" t="inlineStr">
        <is>
          <t>天花肌理无机涂料PT-01</t>
        </is>
      </c>
      <c r="C80" s="27" t="inlineStr">
        <is>
          <t>1.天花肌理无机涂料PT-01；
2.刮腻子二遍磨平；
3.底漆1遍，面漆2遍；
4.包含完成该项内容所有工作及费用并满足设计图纸、规范等要求；</t>
        </is>
      </c>
      <c r="D80" s="27" t="inlineStr">
        <is>
          <t>包括但不限于材料计划、采购、卸车倒运、保管、检验试验费、测量放线，包含四周阴角找平直、含天棚四周阴角找平直，打磨，简易脚手架搭拆及操作平台、升降机，基层清理、打磨平整、底层找补、满刮涂料（含阴阳角塑料条）、涂料打磨、补遗处理、配合其他分包施工、完工后场清、成品保护、保修等直到达到竣工交付标准的全部工作内容。包括所有为完成工作所需的小型机具；包括所有为完成工作所需的附属工作；包括但不限于以上内容。</t>
        </is>
      </c>
      <c r="E80" s="27" t="inlineStr">
        <is>
          <t>执行《GB/T50854-2024房屋建筑与装饰工程工程量计算标准》，按设计图示尺寸以面积计算。扣除0.3平方米以上洞口的面积；梁侧面及檐口天棚并入天棚计算；以设计图纸和技术交底为基础</t>
        </is>
      </c>
      <c r="F80" s="28" t="inlineStr">
        <is>
          <t>m2</t>
        </is>
      </c>
      <c r="G80" s="61" t="n">
        <v>29.85</v>
      </c>
      <c r="H80" s="62" t="n">
        <v>48.38</v>
      </c>
      <c r="I80" s="65" t="n"/>
      <c r="J80" s="62">
        <f>H80*(1-$I$4)</f>
        <v/>
      </c>
      <c r="K80" s="63">
        <f>G80*J80</f>
        <v/>
      </c>
      <c r="L80" s="33" t="inlineStr">
        <is>
          <t>涂料</t>
        </is>
      </c>
      <c r="M80" s="64" t="n"/>
      <c r="N80" s="39" t="n">
        <v>1</v>
      </c>
      <c r="O80" t="n">
        <v>45</v>
      </c>
      <c r="P80" s="35" t="inlineStr">
        <is>
          <t>差:-3.38元 (-7.0%) 来源:售楼处</t>
        </is>
      </c>
      <c r="Q80" s="35" t="n"/>
      <c r="R80" s="35" t="n"/>
    </row>
    <row r="81" outlineLevel="1" customFormat="1" s="39">
      <c r="A81" s="36" t="n"/>
      <c r="B81" s="27" t="inlineStr">
        <is>
          <t>门窗、家具工程</t>
        </is>
      </c>
      <c r="C81" s="27" t="n"/>
      <c r="D81" s="27" t="n"/>
      <c r="E81" s="27" t="n"/>
      <c r="F81" s="28" t="n"/>
      <c r="G81" s="61" t="n"/>
      <c r="H81" s="62" t="n"/>
      <c r="I81" s="65" t="n"/>
      <c r="J81" s="62" t="n"/>
      <c r="K81" s="63" t="n"/>
      <c r="L81" s="33" t="n"/>
      <c r="M81" s="64" t="n"/>
      <c r="P81" s="35" t="n"/>
      <c r="Q81" s="35" t="n"/>
      <c r="R81" s="35" t="n"/>
    </row>
    <row r="82" outlineLevel="2" ht="96" customFormat="1" customHeight="1" s="39">
      <c r="A82" s="37">
        <f>1+N(A81)</f>
        <v/>
      </c>
      <c r="B82" s="27" t="inlineStr">
        <is>
          <t>电动移门(DR02)</t>
        </is>
      </c>
      <c r="C82" s="27" t="inlineStr">
        <is>
          <t>1、门扇：GL-01超白钢化玻璃
2、门套：1.2mm厚 MT-01古铜不锈钢饰面
3、定制成品套装门制安
4、含电动移门电机(门机安装背梁)等五金配件
5、包含完成该项内容所有工作及费用并满足设计图纸、规范等要求</t>
        </is>
      </c>
      <c r="D82" s="27" t="inlineStr">
        <is>
          <t>自现有现场条件下按照合同约定范围、图纸（含设计变更）及甲方要求内容以及规范、标准、相关做法等要求完成并达到总包合同全部目标的全部工作内容。</t>
        </is>
      </c>
      <c r="E82" s="27" t="inlineStr">
        <is>
          <t>以最终验收合格的工程量计算</t>
        </is>
      </c>
      <c r="F82" s="28" t="inlineStr">
        <is>
          <t>m2</t>
        </is>
      </c>
      <c r="G82" s="61" t="n">
        <v>4.23</v>
      </c>
      <c r="H82" s="62" t="n">
        <v>2976.56143735224</v>
      </c>
      <c r="I82" s="65" t="n"/>
      <c r="J82" s="62">
        <f>H82*(1-$I$4)</f>
        <v/>
      </c>
      <c r="K82" s="63">
        <f>G82*J82</f>
        <v/>
      </c>
      <c r="L82" s="33" t="inlineStr">
        <is>
          <t>/</t>
        </is>
      </c>
      <c r="M82" s="64" t="n"/>
      <c r="N82" s="39" t="n">
        <v>1</v>
      </c>
      <c r="O82" t="n">
        <v>200</v>
      </c>
      <c r="P82" s="35" t="inlineStr">
        <is>
          <t>差:-2776.56元 (-93.3%) 来源:售楼处</t>
        </is>
      </c>
      <c r="Q82" s="35" t="n"/>
      <c r="R82" s="35" t="n"/>
    </row>
    <row r="83" outlineLevel="2" ht="96" customFormat="1" customHeight="1" s="39">
      <c r="A83" s="37">
        <f>1+N(A82)</f>
        <v/>
      </c>
      <c r="B83" s="27" t="inlineStr">
        <is>
          <t>装饰屏风（800mm*100mm*3200mm）</t>
        </is>
      </c>
      <c r="C83" s="27" t="inlineStr">
        <is>
          <t>1.装饰屏风（800mm*100mm*3200mm）；
2.包括但不限于制作安装、钢结构骨架、阻燃板基层、WD-02木饰面、1.2mm厚 MT-01古铜不锈钢、MT-04手敲铜不锈钢；
3.包含完成该项内容所有工作及费用并满足设计图纸、规范等要求</t>
        </is>
      </c>
      <c r="D83" s="27" t="inlineStr">
        <is>
          <t>自现有现场条件下按照合同约定范围、图纸（含设计变更）及甲方要求内容以及规范、标准、相关做法等要求完成并达到总包合同全部目标的全部工作内容。</t>
        </is>
      </c>
      <c r="E83" s="27" t="inlineStr">
        <is>
          <t>以最终验收合格的工程量计算</t>
        </is>
      </c>
      <c r="F83" s="28" t="inlineStr">
        <is>
          <t>m2</t>
        </is>
      </c>
      <c r="G83" s="61" t="n">
        <v>7.68</v>
      </c>
      <c r="H83" s="62" t="n">
        <v>3211.488</v>
      </c>
      <c r="I83" s="65" t="n"/>
      <c r="J83" s="62">
        <f>H83*(1-$I$4)</f>
        <v/>
      </c>
      <c r="K83" s="63">
        <f>G83*J83</f>
        <v/>
      </c>
      <c r="L83" s="33" t="inlineStr">
        <is>
          <t>/</t>
        </is>
      </c>
      <c r="M83" s="64" t="n"/>
      <c r="N83" s="39" t="n">
        <v>1</v>
      </c>
      <c r="O83" t="n">
        <v>55</v>
      </c>
      <c r="P83" s="35" t="inlineStr">
        <is>
          <t>差:-3156.49元 (-98.3%) 来源:售楼处</t>
        </is>
      </c>
      <c r="Q83" s="35" t="n"/>
      <c r="R83" s="35" t="n"/>
    </row>
    <row r="84" outlineLevel="1" customFormat="1" s="39">
      <c r="A84" s="26" t="inlineStr">
        <is>
          <t>四</t>
        </is>
      </c>
      <c r="B84" s="27" t="inlineStr">
        <is>
          <t>一层电梯厅（DT3）</t>
        </is>
      </c>
      <c r="C84" s="27" t="n"/>
      <c r="D84" s="27" t="n"/>
      <c r="E84" s="27" t="n"/>
      <c r="F84" s="28" t="n"/>
      <c r="G84" s="61" t="n"/>
      <c r="H84" s="62" t="n"/>
      <c r="I84" s="65" t="n"/>
      <c r="J84" s="62" t="n"/>
      <c r="K84" s="63" t="n"/>
      <c r="L84" s="33" t="n"/>
      <c r="M84" s="64" t="n"/>
      <c r="P84" s="35" t="n"/>
      <c r="Q84" s="35" t="n"/>
      <c r="R84" s="35" t="n"/>
    </row>
    <row r="85" outlineLevel="1" customFormat="1" s="39">
      <c r="A85" s="36" t="n"/>
      <c r="B85" s="27" t="inlineStr">
        <is>
          <t>地面工程</t>
        </is>
      </c>
      <c r="C85" s="27" t="n"/>
      <c r="D85" s="27" t="n"/>
      <c r="E85" s="27" t="n"/>
      <c r="F85" s="28" t="n"/>
      <c r="G85" s="61" t="n"/>
      <c r="H85" s="62" t="n"/>
      <c r="I85" s="65" t="n"/>
      <c r="J85" s="62" t="n"/>
      <c r="K85" s="63" t="n"/>
      <c r="L85" s="33" t="n"/>
      <c r="M85" s="64" t="n"/>
      <c r="P85" s="35" t="n"/>
      <c r="Q85" s="35" t="n"/>
      <c r="R85" s="35" t="n"/>
    </row>
    <row r="86" outlineLevel="2" ht="108" customFormat="1" customHeight="1" s="39">
      <c r="A86" s="37">
        <f>1+N(A85)</f>
        <v/>
      </c>
      <c r="B86" s="27" t="inlineStr">
        <is>
          <t>地面铺贴大理石ST-01</t>
        </is>
      </c>
      <c r="C86" s="27" t="inlineStr">
        <is>
          <t>1.地面20mm大理石ST-01、铺贴、厚度及样式按物料书为准；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86"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86" s="27" t="inlineStr">
        <is>
          <t xml:space="preserve">执行《GB/T50854-2024房屋建筑与装饰工程工程量计算标准》，按设计图示尺寸
以面积计算。 </t>
        </is>
      </c>
      <c r="F86" s="28" t="inlineStr">
        <is>
          <t>m2</t>
        </is>
      </c>
      <c r="G86" s="61" t="n">
        <v>4.86</v>
      </c>
      <c r="H86" s="62" t="n">
        <v>218.75017</v>
      </c>
      <c r="I86" s="65" t="n"/>
      <c r="J86" s="62">
        <f>H86*(1-$I$4)</f>
        <v/>
      </c>
      <c r="K86" s="63">
        <f>G86*J86</f>
        <v/>
      </c>
      <c r="L86" s="33" t="inlineStr">
        <is>
          <t>石材</t>
        </is>
      </c>
      <c r="M86" s="64" t="n"/>
      <c r="N86" s="39" t="n">
        <v>1</v>
      </c>
      <c r="O86" t="n">
        <v>130</v>
      </c>
      <c r="P86" s="35" t="inlineStr">
        <is>
          <t>差:-88.75元 (-40.6%) 来源:售楼处</t>
        </is>
      </c>
      <c r="Q86" s="35" t="n"/>
      <c r="R86" s="35" t="n"/>
    </row>
    <row r="87" outlineLevel="2" ht="108" customFormat="1" customHeight="1" s="39">
      <c r="A87" s="37">
        <f>1+N(A86)</f>
        <v/>
      </c>
      <c r="B87" s="27" t="inlineStr">
        <is>
          <t>地面铺贴大理石ST-01.02拼花</t>
        </is>
      </c>
      <c r="C87" s="27" t="inlineStr">
        <is>
          <t>1.地面20mm大理石拼花、参考3F-DF-01样式、ST-01、ST-02按物料书为准；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87"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87" s="27" t="inlineStr">
        <is>
          <t xml:space="preserve">执行《GB/T50854-2024房屋建筑与装饰工程工程量计算标准》，按设计图示尺寸
以面积计算。 </t>
        </is>
      </c>
      <c r="F87" s="28" t="inlineStr">
        <is>
          <t>m2</t>
        </is>
      </c>
      <c r="G87" s="61" t="n">
        <v>11.36</v>
      </c>
      <c r="H87" s="62" t="n">
        <v>242.35017</v>
      </c>
      <c r="I87" s="65" t="n"/>
      <c r="J87" s="62">
        <f>H87*(1-$I$4)</f>
        <v/>
      </c>
      <c r="K87" s="63">
        <f>G87*J87</f>
        <v/>
      </c>
      <c r="L87" s="33" t="inlineStr">
        <is>
          <t>石材</t>
        </is>
      </c>
      <c r="M87" s="64" t="n"/>
      <c r="N87" s="39" t="n">
        <v>1</v>
      </c>
      <c r="O87" t="n">
        <v>130</v>
      </c>
      <c r="P87" s="35" t="inlineStr">
        <is>
          <t>差:-112.35元 (-46.4%) 来源:售楼处</t>
        </is>
      </c>
      <c r="Q87" s="35" t="n"/>
      <c r="R87" s="35" t="n"/>
    </row>
    <row r="88" outlineLevel="2" ht="108" customFormat="1" customHeight="1" s="39">
      <c r="A88" s="37">
        <f>1+N(A87)</f>
        <v/>
      </c>
      <c r="B88" s="27" t="inlineStr">
        <is>
          <t>实心铜条5mm宽</t>
        </is>
      </c>
      <c r="C88" s="27" t="inlineStr">
        <is>
          <t>1.实心铜条5mm宽；
2.包含完成该项内容所有工作及费用并满足设计图纸、规范等要求；</t>
        </is>
      </c>
      <c r="D88"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88" s="27" t="inlineStr">
        <is>
          <t>按设计图示尺寸以长度计算。</t>
        </is>
      </c>
      <c r="F88" s="28" t="inlineStr">
        <is>
          <t>m</t>
        </is>
      </c>
      <c r="G88" s="61" t="n">
        <v>13.36</v>
      </c>
      <c r="H88" s="62" t="n">
        <v>89.267</v>
      </c>
      <c r="I88" s="65" t="n"/>
      <c r="J88" s="62">
        <f>H88*(1-$I$4)</f>
        <v/>
      </c>
      <c r="K88" s="63">
        <f>G88*J88</f>
        <v/>
      </c>
      <c r="L88" s="33" t="inlineStr">
        <is>
          <t>/</t>
        </is>
      </c>
      <c r="M88" s="64" t="n"/>
      <c r="N88" s="39" t="n">
        <v>1</v>
      </c>
      <c r="O88" t="n">
        <v>12</v>
      </c>
      <c r="P88" s="35" t="inlineStr">
        <is>
          <t>差:-77.27元 (-86.6%) 来源:售楼处</t>
        </is>
      </c>
      <c r="Q88" s="35" t="n"/>
      <c r="R88" s="35" t="n"/>
    </row>
    <row r="89" outlineLevel="2" ht="108" customFormat="1" customHeight="1" s="39">
      <c r="A89" s="37">
        <f>1+N(A88)</f>
        <v/>
      </c>
      <c r="B89" s="27" t="inlineStr">
        <is>
          <t>地面石材晶面处理</t>
        </is>
      </c>
      <c r="C89" s="27" t="inlineStr">
        <is>
          <t>1.石材结晶处理(结晶水及石材保养剂,中性清洁剂)；
2.包含完成该项内容所有工作及费用并满足设计图纸、规范等要求；</t>
        </is>
      </c>
      <c r="D89"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89" s="27" t="inlineStr">
        <is>
          <t xml:space="preserve">执行《GB/T50854-2024房屋建筑与装饰工程工程量计算标准》，按设计图示尺寸
以面积计算。 </t>
        </is>
      </c>
      <c r="F89" s="28" t="inlineStr">
        <is>
          <t>m2</t>
        </is>
      </c>
      <c r="G89" s="61" t="n">
        <v>16.22</v>
      </c>
      <c r="H89" s="62" t="n">
        <v>64.90000000000001</v>
      </c>
      <c r="I89" s="65" t="n"/>
      <c r="J89" s="62">
        <f>H89*(1-$I$4)</f>
        <v/>
      </c>
      <c r="K89" s="63">
        <f>G89*J89</f>
        <v/>
      </c>
      <c r="L89" s="33" t="inlineStr">
        <is>
          <t>/</t>
        </is>
      </c>
      <c r="M89" s="64" t="n"/>
      <c r="N89" s="39" t="n">
        <v>1</v>
      </c>
      <c r="O89" t="n">
        <v>40</v>
      </c>
      <c r="P89" s="35" t="inlineStr">
        <is>
          <t>差:-24.90元 (-38.4%) 来源:售楼处</t>
        </is>
      </c>
      <c r="Q89" s="35" t="n"/>
      <c r="R89" s="35" t="n"/>
    </row>
    <row r="90" outlineLevel="1" customFormat="1" s="39">
      <c r="A90" s="36" t="n"/>
      <c r="B90" s="27" t="inlineStr">
        <is>
          <t>墙柱面工程</t>
        </is>
      </c>
      <c r="C90" s="27" t="n"/>
      <c r="D90" s="27" t="n"/>
      <c r="E90" s="27" t="n"/>
      <c r="F90" s="28" t="n"/>
      <c r="G90" s="61" t="n"/>
      <c r="H90" s="62" t="n"/>
      <c r="I90" s="65" t="n"/>
      <c r="J90" s="62" t="n"/>
      <c r="K90" s="63" t="n"/>
      <c r="L90" s="33" t="n"/>
      <c r="M90" s="64" t="n"/>
      <c r="P90" s="35" t="n"/>
      <c r="Q90" s="35" t="n"/>
      <c r="R90" s="35" t="n"/>
    </row>
    <row r="91" outlineLevel="2" ht="144" customFormat="1" customHeight="1" s="39">
      <c r="A91" s="37">
        <f>1+N(A90)</f>
        <v/>
      </c>
      <c r="B91" s="27" t="inlineStr">
        <is>
          <t>墙面湿贴石材ST-05</t>
        </is>
      </c>
      <c r="C91" s="27" t="inlineStr">
        <is>
          <t>1、墙面湿贴石材ST-05
2、8mm厚石材专用胶粘剂WC粘结层
3、界面剂拉毛处理
4、石材的开槽、磨边、倒角、粘接、形成所需之凹坑、抛光、六面防污防渗等一切处理费用均在主材费中考虑，不再另行计取
5、包含完成该项内容所有工作及费用并满足设计图纸、规范等要求</t>
        </is>
      </c>
      <c r="D91" s="27" t="inlineStr">
        <is>
          <t>具体工作内容除详见项目特征外，且不限于以下内容:1.包含材料的下车、场内运输；2.清理基层、找标高、弹线定位；3.试拼试排；4.砂浆拌和、铺找平层（粘结层）砂浆；5.面层铺设、灌缝、擦缝；6.打蜡、养护；配合留设墙面开关、插座等末端设备等全部内容；包含成品保护、安全文明施工等达到验收合格的全部施工内容。</t>
        </is>
      </c>
      <c r="E91" s="27" t="inlineStr">
        <is>
          <t>执行《GB/T50854-2024房屋建筑与装饰工程工程量计算标准》，按设计图示镶贴后外围面积计算</t>
        </is>
      </c>
      <c r="F91" s="28" t="inlineStr">
        <is>
          <t>m2</t>
        </is>
      </c>
      <c r="G91" s="61" t="n">
        <v>4.78</v>
      </c>
      <c r="H91" s="62" t="n">
        <v>177</v>
      </c>
      <c r="I91" s="65" t="n"/>
      <c r="J91" s="62">
        <f>H91*(1-$I$4)</f>
        <v/>
      </c>
      <c r="K91" s="63">
        <f>G91*J91</f>
        <v/>
      </c>
      <c r="L91" s="33" t="inlineStr">
        <is>
          <t>石材</t>
        </is>
      </c>
      <c r="M91" s="64" t="n"/>
      <c r="N91" s="39" t="n">
        <v>1</v>
      </c>
      <c r="O91" t="n">
        <v>95</v>
      </c>
      <c r="P91" s="35" t="inlineStr">
        <is>
          <t>差:-82.00元 (-46.3%) 来源:售楼处</t>
        </is>
      </c>
      <c r="Q91" s="35" t="n"/>
      <c r="R91" s="35" t="n"/>
    </row>
    <row r="92" outlineLevel="2" ht="180" customFormat="1" customHeight="1" s="39">
      <c r="A92" s="37">
        <f>1+N(A91)</f>
        <v/>
      </c>
      <c r="B92" s="27" t="inlineStr">
        <is>
          <t>墙面干挂ST-05石材</t>
        </is>
      </c>
      <c r="C92" s="27" t="inlineStr">
        <is>
          <t>1、墙面干挂ST-05石材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is>
      </c>
      <c r="D92"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92" s="27" t="inlineStr">
        <is>
          <t>执行《GB/T50854-2024房屋建筑与装饰工程工程量计算标准》，按设计图示镶贴后外围面积计算</t>
        </is>
      </c>
      <c r="F92" s="28" t="inlineStr">
        <is>
          <t>m2</t>
        </is>
      </c>
      <c r="G92" s="61" t="n">
        <v>25.18</v>
      </c>
      <c r="H92" s="62" t="n">
        <v>283.2</v>
      </c>
      <c r="I92" s="65" t="n"/>
      <c r="J92" s="62">
        <f>H92*(1-$I$4)</f>
        <v/>
      </c>
      <c r="K92" s="63">
        <f>G92*J92</f>
        <v/>
      </c>
      <c r="L92" s="33" t="inlineStr">
        <is>
          <t>石材</t>
        </is>
      </c>
      <c r="M92" s="64" t="n"/>
      <c r="N92" s="39" t="n">
        <v>1</v>
      </c>
      <c r="O92" t="n">
        <v>145</v>
      </c>
      <c r="P92" s="35" t="inlineStr">
        <is>
          <t>差:-138.20元 (-48.8%) 来源:售楼处</t>
        </is>
      </c>
      <c r="Q92" s="35" t="n"/>
      <c r="R92" s="35" t="n"/>
    </row>
    <row r="93" outlineLevel="2" ht="180" customFormat="1" customHeight="1" s="39">
      <c r="A93" s="37">
        <f>1+N(A92)</f>
        <v/>
      </c>
      <c r="B93" s="27" t="inlineStr">
        <is>
          <t>电梯不锈钢门套</t>
        </is>
      </c>
      <c r="C93" s="27" t="inlineStr">
        <is>
          <t>1、1.2mm厚 MT-01古铜不锈钢门套，结构胶固定
2、9厘玻镁板基层
3、工程量以展开面积计算
4、包含完成该项内容所有工作及费用并满足设计图纸、规范等要求</t>
        </is>
      </c>
      <c r="D93"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93" s="27" t="inlineStr">
        <is>
          <t>执行《GB/T50854-2024房屋建筑与装饰工程工程量计算标准》，按设计图示饰面外围尺寸
以面积计算。 扣除门窗洞口面积，不扣除单个面积≤0.3㎡的孔洞所占面积。</t>
        </is>
      </c>
      <c r="F93" s="28" t="inlineStr">
        <is>
          <t>m2</t>
        </is>
      </c>
      <c r="G93" s="61" t="n">
        <v>3.56</v>
      </c>
      <c r="H93" s="62" t="n">
        <v>630.651</v>
      </c>
      <c r="I93" s="65" t="n"/>
      <c r="J93" s="62">
        <f>H93*(1-$I$4)</f>
        <v/>
      </c>
      <c r="K93" s="63">
        <f>G93*J93</f>
        <v/>
      </c>
      <c r="L93" s="33" t="inlineStr">
        <is>
          <t>/</t>
        </is>
      </c>
      <c r="M93" s="64" t="n"/>
      <c r="N93" s="39" t="n">
        <v>1</v>
      </c>
      <c r="O93" t="n">
        <v>110</v>
      </c>
      <c r="P93" s="35" t="inlineStr">
        <is>
          <t>差:-520.65元 (-82.6%) 来源:售楼处</t>
        </is>
      </c>
      <c r="Q93" s="35" t="n"/>
      <c r="R93" s="35" t="n"/>
    </row>
    <row r="94" outlineLevel="2" ht="180" customFormat="1" customHeight="1" s="39">
      <c r="A94" s="37">
        <f>1+N(A93)</f>
        <v/>
      </c>
      <c r="B94" s="27" t="inlineStr">
        <is>
          <t>电梯不锈钢门头</t>
        </is>
      </c>
      <c r="C94" s="27" t="inlineStr">
        <is>
          <t>1、1.2mm厚 MT-01古铜不锈钢门头，结构胶固定
2、12mm阻燃板，轻钢副龙骨@400
3、电梯门顶内置亚克力，内部面层刮白处理
4、工程量以展开面积计算
5、包含完成该项内容所有工作及费用并满足设计图纸、规范等要求</t>
        </is>
      </c>
      <c r="D94"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94" s="27" t="inlineStr">
        <is>
          <t>执行《GB/T50854-2024房屋建筑与装饰工程工程量计算标准》，按设计图示饰面外围尺寸
以面积计算。 扣除门窗洞口面积，不扣除单个面积≤0.3㎡的孔洞所占面积。</t>
        </is>
      </c>
      <c r="F94" s="28" t="inlineStr">
        <is>
          <t>m2</t>
        </is>
      </c>
      <c r="G94" s="61" t="n">
        <v>1.85</v>
      </c>
      <c r="H94" s="62" t="n">
        <v>812.961</v>
      </c>
      <c r="I94" s="65" t="n"/>
      <c r="J94" s="62">
        <f>H94*(1-$I$4)</f>
        <v/>
      </c>
      <c r="K94" s="63">
        <f>G94*J94</f>
        <v/>
      </c>
      <c r="L94" s="33" t="inlineStr">
        <is>
          <t>/</t>
        </is>
      </c>
      <c r="M94" s="64" t="n"/>
      <c r="N94" s="39" t="n">
        <v>1</v>
      </c>
      <c r="O94" t="n">
        <v>110</v>
      </c>
      <c r="P94" s="35" t="inlineStr">
        <is>
          <t>差:-702.96元 (-86.5%) 来源:售楼处</t>
        </is>
      </c>
      <c r="Q94" s="35" t="n"/>
      <c r="R94" s="35" t="n"/>
    </row>
    <row r="95" outlineLevel="2" ht="180" customFormat="1" customHeight="1" s="39">
      <c r="A95" s="37">
        <f>1+N(A94)</f>
        <v/>
      </c>
      <c r="B95" s="27" t="inlineStr">
        <is>
          <t>MT-01古铜不锈钢饰面（电梯按钮处）</t>
        </is>
      </c>
      <c r="C95" s="27" t="inlineStr">
        <is>
          <t>1、1.2mm厚 MT-01古铜不锈钢饰面
2、12mm阻燃板基层，轻钢副龙骨@400
3、工程量以展开面积计算
4、包含完成该项内容所有工作及费用并满足设计图纸、规范等要求</t>
        </is>
      </c>
      <c r="D95"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95" s="27" t="inlineStr">
        <is>
          <t>执行《GB/T50854-2024房屋建筑与装饰工程工程量计算标准》，按设计图示饰面外围尺寸
以面积计算。 扣除门窗洞口面积，不扣除单个面积≤0.3㎡的孔洞所占面积。</t>
        </is>
      </c>
      <c r="F95" s="28" t="inlineStr">
        <is>
          <t>m2</t>
        </is>
      </c>
      <c r="G95" s="61" t="n">
        <v>0.26</v>
      </c>
      <c r="H95" s="62" t="n">
        <v>295</v>
      </c>
      <c r="I95" s="65" t="n"/>
      <c r="J95" s="62">
        <f>H95*(1-$I$4)</f>
        <v/>
      </c>
      <c r="K95" s="63">
        <f>G95*J95</f>
        <v/>
      </c>
      <c r="L95" s="33" t="inlineStr">
        <is>
          <t>不锈钢饰面</t>
        </is>
      </c>
      <c r="M95" s="64" t="n"/>
      <c r="N95" s="39" t="n">
        <v>1</v>
      </c>
      <c r="O95" t="n">
        <v>110</v>
      </c>
      <c r="P95" s="35" t="inlineStr">
        <is>
          <t>差:-185.00元 (-62.7%) 来源:售楼处</t>
        </is>
      </c>
      <c r="Q95" s="35" t="n"/>
      <c r="R95" s="35" t="n"/>
    </row>
    <row r="96" outlineLevel="2" ht="144" customFormat="1" customHeight="1" s="39">
      <c r="A96" s="37">
        <f>1+N(A95)</f>
        <v/>
      </c>
      <c r="B96" s="27" t="inlineStr">
        <is>
          <t>MT-01古铜不锈钢踢脚线（高20mm）</t>
        </is>
      </c>
      <c r="C96" s="27" t="inlineStr">
        <is>
          <t>1、1.2mm厚 MT-01古铜不锈钢踢脚线（高20mm，展开面为46mm），结构胶固定
2、9厘玻镁板基层
3、包含完成该项内容所有工作及费用并满足设计图纸、规范等要求</t>
        </is>
      </c>
      <c r="D96"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96" s="27" t="inlineStr">
        <is>
          <t>按设计图示尺寸以长度计算。</t>
        </is>
      </c>
      <c r="F96" s="28" t="inlineStr">
        <is>
          <t>m</t>
        </is>
      </c>
      <c r="G96" s="61" t="n">
        <v>10.3</v>
      </c>
      <c r="H96" s="62" t="n">
        <v>31.86</v>
      </c>
      <c r="I96" s="65" t="n"/>
      <c r="J96" s="62">
        <f>H96*(1-$I$4)</f>
        <v/>
      </c>
      <c r="K96" s="63">
        <f>G96*J96</f>
        <v/>
      </c>
      <c r="L96" s="33" t="inlineStr">
        <is>
          <t>不锈钢踢脚线</t>
        </is>
      </c>
      <c r="M96" s="64" t="n"/>
      <c r="N96" s="39" t="n">
        <v>1</v>
      </c>
      <c r="O96" t="n">
        <v>12</v>
      </c>
      <c r="P96" s="35" t="inlineStr">
        <is>
          <t>差:-19.86元 (-62.3%) 来源:售楼处</t>
        </is>
      </c>
      <c r="Q96" s="35" t="n"/>
      <c r="R96" s="35" t="n"/>
    </row>
    <row r="97" outlineLevel="2" ht="144" customFormat="1" customHeight="1" s="39">
      <c r="A97" s="37">
        <f>1+N(A96)</f>
        <v/>
      </c>
      <c r="B97" s="27" t="inlineStr">
        <is>
          <t>MT-01古铜不锈钢线条（展开面为54mm）</t>
        </is>
      </c>
      <c r="C97" s="27" t="inlineStr">
        <is>
          <t>1、1.2mm厚 MT-01古铜不锈钢线条（展开面为54mm），结构胶固定
2、9厘玻镁板基层
3、包含完成该项内容所有工作及费用并满足设计图纸、规范等要求</t>
        </is>
      </c>
      <c r="D97"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97" s="27" t="inlineStr">
        <is>
          <t>按设计图示尺寸以长度计算。</t>
        </is>
      </c>
      <c r="F97" s="28" t="inlineStr">
        <is>
          <t>m</t>
        </is>
      </c>
      <c r="G97" s="61" t="n">
        <v>0.34</v>
      </c>
      <c r="H97" s="62" t="n">
        <v>67.307908</v>
      </c>
      <c r="I97" s="65" t="n"/>
      <c r="J97" s="62">
        <f>H97*(1-$I$4)</f>
        <v/>
      </c>
      <c r="K97" s="63">
        <f>G97*J97</f>
        <v/>
      </c>
      <c r="L97" s="33" t="inlineStr">
        <is>
          <t>/</t>
        </is>
      </c>
      <c r="M97" s="64" t="n"/>
      <c r="N97" s="39" t="n">
        <v>1</v>
      </c>
      <c r="O97" t="n">
        <v>12</v>
      </c>
      <c r="P97" s="35" t="inlineStr">
        <is>
          <t>差:-55.31元 (-82.2%) 来源:售楼处</t>
        </is>
      </c>
      <c r="Q97" s="35" t="n"/>
      <c r="R97" s="35" t="n"/>
    </row>
    <row r="98" outlineLevel="2" ht="144" customFormat="1" customHeight="1" s="39">
      <c r="A98" s="37">
        <f>1+N(A97)</f>
        <v/>
      </c>
      <c r="B98" s="27" t="inlineStr">
        <is>
          <t>MT-01古铜不锈钢线条（展开面为114mm）</t>
        </is>
      </c>
      <c r="C98" s="27" t="inlineStr">
        <is>
          <t>1、1.2mm厚 MT-01古铜不锈钢线条（展开面为114mm），结构胶固定
2、9厘玻镁板基层
3、包含完成该项内容所有工作及费用并满足设计图纸、规范等要求</t>
        </is>
      </c>
      <c r="D98"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98" s="27" t="inlineStr">
        <is>
          <t>按设计图示尺寸以长度计算。</t>
        </is>
      </c>
      <c r="F98" s="28" t="inlineStr">
        <is>
          <t>m</t>
        </is>
      </c>
      <c r="G98" s="61" t="n">
        <v>9.960000000000001</v>
      </c>
      <c r="H98" s="62" t="n">
        <v>117.84424</v>
      </c>
      <c r="I98" s="65" t="n"/>
      <c r="J98" s="62">
        <f>H98*(1-$I$4)</f>
        <v/>
      </c>
      <c r="K98" s="63">
        <f>G98*J98</f>
        <v/>
      </c>
      <c r="L98" s="33" t="inlineStr">
        <is>
          <t>/</t>
        </is>
      </c>
      <c r="M98" s="64" t="n"/>
      <c r="N98" s="39" t="n">
        <v>1</v>
      </c>
      <c r="O98" t="n">
        <v>22</v>
      </c>
      <c r="P98" s="35" t="inlineStr">
        <is>
          <t>差:-95.84元 (-81.3%) 来源:售楼处</t>
        </is>
      </c>
      <c r="Q98" s="35" t="n"/>
      <c r="R98" s="35" t="n"/>
    </row>
    <row r="99" outlineLevel="2" ht="144" customFormat="1" customHeight="1" s="39">
      <c r="A99" s="37">
        <f>1+N(A98)</f>
        <v/>
      </c>
      <c r="B99" s="27" t="inlineStr">
        <is>
          <t>MT-01古铜不锈钢顶部收口条（展开面为41mm）</t>
        </is>
      </c>
      <c r="C99" s="27" t="inlineStr">
        <is>
          <t>1、1.2mm厚 MT-01古铜不锈钢顶部收口条（展开面为41mm），结构胶固定
2、9厘玻镁板基层
3、包含完成该项内容所有工作及费用并满足设计图纸、规范等要求</t>
        </is>
      </c>
      <c r="D99"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99" s="27" t="inlineStr">
        <is>
          <t>按设计图示尺寸以长度计算。</t>
        </is>
      </c>
      <c r="F99" s="28" t="inlineStr">
        <is>
          <t>m</t>
        </is>
      </c>
      <c r="G99" s="61" t="n">
        <v>10.3</v>
      </c>
      <c r="H99" s="62" t="n">
        <v>64.24509999999999</v>
      </c>
      <c r="I99" s="65" t="n"/>
      <c r="J99" s="62">
        <f>H99*(1-$I$4)</f>
        <v/>
      </c>
      <c r="K99" s="63">
        <f>G99*J99</f>
        <v/>
      </c>
      <c r="L99" s="33" t="inlineStr">
        <is>
          <t>/</t>
        </is>
      </c>
      <c r="M99" s="64" t="n"/>
      <c r="N99" s="39" t="n">
        <v>1</v>
      </c>
      <c r="O99" t="n">
        <v>12</v>
      </c>
      <c r="P99" s="35" t="inlineStr">
        <is>
          <t>差:-52.25元 (-81.3%) 来源:售楼处</t>
        </is>
      </c>
      <c r="Q99" s="35" t="n"/>
      <c r="R99" s="35" t="n"/>
    </row>
    <row r="100" outlineLevel="1" customFormat="1" s="39">
      <c r="A100" s="36" t="n"/>
      <c r="B100" s="27" t="inlineStr">
        <is>
          <t>天花工程</t>
        </is>
      </c>
      <c r="C100" s="27" t="n"/>
      <c r="D100" s="27" t="n"/>
      <c r="E100" s="27" t="n"/>
      <c r="F100" s="28" t="n"/>
      <c r="G100" s="61" t="n"/>
      <c r="H100" s="62" t="n"/>
      <c r="I100" s="65" t="n"/>
      <c r="J100" s="62" t="n"/>
      <c r="K100" s="63" t="n"/>
      <c r="L100" s="33" t="n"/>
      <c r="M100" s="64" t="n"/>
      <c r="P100" s="35" t="n"/>
      <c r="Q100" s="35" t="n"/>
      <c r="R100" s="35" t="n"/>
    </row>
    <row r="101" outlineLevel="2" ht="192" customFormat="1" customHeight="1" s="39">
      <c r="A101" s="37">
        <f>1+N(A100)</f>
        <v/>
      </c>
      <c r="B101" s="27" t="inlineStr">
        <is>
          <t>造型石膏板吊顶</t>
        </is>
      </c>
      <c r="C101" s="27" t="inlineStr">
        <is>
          <t>1.60系列轻钢主龙骨@900，60系列轻钢副龙骨@400，60系列横撑龙骨@600，08螺纹吊杆@900不上人天花吊顶（投影面计算）
2.玻镁板、双层9.5厚石膏板基层，含开孔、检修口、10*10凹槽等费用；
3.含除灯槽外的侧面高差及其连接件、吊件；
4.包含完成该项内容所有工作及费用并满足设计图纸、规范等要求；</t>
        </is>
      </c>
      <c r="D101" s="27" t="inlineStr">
        <is>
          <t>1.基层清理。
2.弹线定位、排版。
3.吊杆及连接件安装调平、收口及密封处理。
4.材料切割处理找平、石膏板安装及调整，打胶密封与清理.
5.收口及其他处理：检修口等制作安装、收边收口、配合预留安装、机电等专业孔洞及孔洞收口处理。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101" s="27" t="inlineStr">
        <is>
          <t>按设计图示尺寸以水平投影面积计算。不扣除间壁墙、检查口、附墙烟囱、柱垛和管道所占面积,扣除单个&gt;0.3m3的孔洞、非密拼吊顶空隙所占的面积、独立柱及与天棚相连的窗帘盒所占的面积。</t>
        </is>
      </c>
      <c r="F101" s="28" t="inlineStr">
        <is>
          <t>m2</t>
        </is>
      </c>
      <c r="G101" s="61" t="n">
        <v>16.22</v>
      </c>
      <c r="H101" s="62" t="n">
        <v>174.574444444444</v>
      </c>
      <c r="I101" s="65" t="n"/>
      <c r="J101" s="62">
        <f>H101*(1-$I$4)</f>
        <v/>
      </c>
      <c r="K101" s="63">
        <f>G101*J101</f>
        <v/>
      </c>
      <c r="L101" s="33" t="inlineStr">
        <is>
          <t>/</t>
        </is>
      </c>
      <c r="M101" s="64" t="n"/>
      <c r="N101" s="39" t="n">
        <v>1</v>
      </c>
      <c r="O101" t="n">
        <v>70</v>
      </c>
      <c r="P101" s="35" t="inlineStr">
        <is>
          <t>差:-104.57元 (-59.9%) 来源:售楼处</t>
        </is>
      </c>
      <c r="Q101" s="35" t="n"/>
      <c r="R101" s="35" t="n"/>
    </row>
    <row r="102" outlineLevel="2" ht="72" customFormat="1" customHeight="1" s="39">
      <c r="A102" s="37">
        <f>1+N(A101)</f>
        <v/>
      </c>
      <c r="B102" s="27" t="inlineStr">
        <is>
          <t>灯槽（100mm*200mm）</t>
        </is>
      </c>
      <c r="C102" s="27" t="inlineStr">
        <is>
          <t>1.灯槽（100mm*200mm）；
2.双层板：9mm玻镁板、9.5厚石膏板；
3.包含完成该项内容所有工作及费用并满足设计图纸、规范等要求；</t>
        </is>
      </c>
      <c r="D102" s="27" t="inlineStr">
        <is>
          <t>自现有现场条件下按照合同约定范围、图纸（含设计变更）及甲方要求内容以及规范、标准、相关做法等要求完成并达到总包合同全部目标的全部工作内容。</t>
        </is>
      </c>
      <c r="E102" s="27" t="inlineStr">
        <is>
          <t>依据经承包人确认的施工部位,按设计图示尺寸以延长米计算。</t>
        </is>
      </c>
      <c r="F102" s="28" t="inlineStr">
        <is>
          <t>m</t>
        </is>
      </c>
      <c r="G102" s="61" t="n">
        <v>13.55</v>
      </c>
      <c r="H102" s="62" t="n">
        <v>112.159</v>
      </c>
      <c r="I102" s="65" t="n"/>
      <c r="J102" s="62">
        <f>H102*(1-$I$4)</f>
        <v/>
      </c>
      <c r="K102" s="63">
        <f>G102*J102</f>
        <v/>
      </c>
      <c r="L102" s="33" t="inlineStr">
        <is>
          <t>/</t>
        </is>
      </c>
      <c r="M102" s="64" t="n"/>
      <c r="N102" s="39" t="n">
        <v>1</v>
      </c>
      <c r="O102" t="n">
        <v>50</v>
      </c>
      <c r="P102" s="35" t="inlineStr">
        <is>
          <t>差:-62.16元 (-55.4%) 来源:售楼处</t>
        </is>
      </c>
      <c r="Q102" s="35" t="n"/>
      <c r="R102" s="35" t="n"/>
    </row>
    <row r="103" outlineLevel="2" ht="72" customFormat="1" customHeight="1" s="39">
      <c r="A103" s="37">
        <f>1+N(A102)</f>
        <v/>
      </c>
      <c r="B103" s="27" t="inlineStr">
        <is>
          <t>成品石膏线条</t>
        </is>
      </c>
      <c r="C103" s="27" t="inlineStr">
        <is>
          <t>1.成品石膏线条（50mm*50mm）；
2.按图纸造型；
3.包含完成该项内容所有工作及费用并满足设计图纸、规范等要求；</t>
        </is>
      </c>
      <c r="D103" s="27" t="inlineStr">
        <is>
          <t>自现有现场条件下按照合同约定范围、图纸（含设计变更）及甲方要求内容以及规范、标准、相关做法等要求完成并达到总包合同全部目标的全部工作内容。</t>
        </is>
      </c>
      <c r="E103" s="27" t="inlineStr">
        <is>
          <t>依据经承包人确认的施工部位,按设计图示尺寸以延长米计算。</t>
        </is>
      </c>
      <c r="F103" s="28" t="inlineStr">
        <is>
          <t>m</t>
        </is>
      </c>
      <c r="G103" s="61" t="n">
        <v>13.55</v>
      </c>
      <c r="H103" s="62" t="n">
        <v>20.06</v>
      </c>
      <c r="I103" s="65" t="n"/>
      <c r="J103" s="62">
        <f>H103*(1-$I$4)</f>
        <v/>
      </c>
      <c r="K103" s="63">
        <f>G103*J103</f>
        <v/>
      </c>
      <c r="L103" s="33" t="inlineStr">
        <is>
          <t>成品石膏线条</t>
        </is>
      </c>
      <c r="M103" s="64" t="n"/>
      <c r="N103" s="39" t="n">
        <v>1</v>
      </c>
      <c r="O103" t="n">
        <v>18</v>
      </c>
      <c r="P103" s="35" t="inlineStr">
        <is>
          <t>差:-2.06元 (-10.3%) 来源:售楼处</t>
        </is>
      </c>
      <c r="Q103" s="35" t="n"/>
      <c r="R103" s="35" t="n"/>
    </row>
    <row r="104" outlineLevel="2" ht="72" customFormat="1" customHeight="1" s="39">
      <c r="A104" s="37">
        <f>1+N(A103)</f>
        <v/>
      </c>
      <c r="B104" s="27" t="inlineStr">
        <is>
          <t>条形空调风口（150mm）</t>
        </is>
      </c>
      <c r="C104" s="27" t="inlineStr">
        <is>
          <t>1.条形空调风口（150mm）；
2.风口周边阻燃板封边加固处理；
3.包含完成该项内容所有工作及费用并满足设计图纸、规范等要求；</t>
        </is>
      </c>
      <c r="D104" s="27" t="inlineStr">
        <is>
          <t>自现有现场条件下按照合同约定范围、图纸（含设计变更）及甲方要求内容以及规范、标准、相关做法等要求完成并达到总包合同全部目标的全部工作内容。</t>
        </is>
      </c>
      <c r="E104" s="27" t="inlineStr">
        <is>
          <t>依据经承包人确认的施工部位,按设计图示尺寸以延长米计算。</t>
        </is>
      </c>
      <c r="F104" s="28" t="inlineStr">
        <is>
          <t>m</t>
        </is>
      </c>
      <c r="G104" s="61" t="n">
        <v>2.4</v>
      </c>
      <c r="H104" s="62" t="n">
        <v>109.74</v>
      </c>
      <c r="I104" s="65" t="n"/>
      <c r="J104" s="62">
        <f>H104*(1-$I$4)</f>
        <v/>
      </c>
      <c r="K104" s="63">
        <f>G104*J104</f>
        <v/>
      </c>
      <c r="L104" s="33" t="inlineStr">
        <is>
          <t>空调风口</t>
        </is>
      </c>
      <c r="M104" s="64" t="n"/>
      <c r="N104" s="39" t="n">
        <v>1</v>
      </c>
      <c r="O104" t="n">
        <v>30</v>
      </c>
      <c r="P104" s="35" t="inlineStr">
        <is>
          <t>差:-79.74元 (-72.7%) 来源:售楼处</t>
        </is>
      </c>
      <c r="Q104" s="35" t="n"/>
      <c r="R104" s="35" t="n"/>
    </row>
    <row r="105" outlineLevel="2" ht="192" customFormat="1" customHeight="1" s="39">
      <c r="A105" s="37">
        <f>1+N(A104)</f>
        <v/>
      </c>
      <c r="B105" s="27" t="inlineStr">
        <is>
          <t>天花肌理无机涂料PT-01</t>
        </is>
      </c>
      <c r="C105" s="27" t="inlineStr">
        <is>
          <t>1.天花肌理无机涂料PT-01；
2.刮腻子二遍磨平；
3.底漆1遍，面漆2遍；
4.包含完成该项内容所有工作及费用并满足设计图纸、规范等要求；</t>
        </is>
      </c>
      <c r="D105" s="27" t="inlineStr">
        <is>
          <t>包括但不限于材料计划、采购、卸车倒运、保管、检验试验费、测量放线，包含四周阴角找平直、含天棚四周阴角找平直，打磨，简易脚手架搭拆及操作平台、升降机，基层清理、打磨平整、底层找补、满刮涂料（含阴阳角塑料条）、涂料打磨、补遗处理、配合其他分包施工、完工后场清、成品保护、保修等直到达到竣工交付标准的全部工作内容。包括所有为完成工作所需的小型机具；包括所有为完成工作所需的附属工作；包括但不限于以上内容。</t>
        </is>
      </c>
      <c r="E105" s="27" t="inlineStr">
        <is>
          <t>执行《GB/T50854-2024房屋建筑与装饰工程工程量计算标准》，按设计图示尺寸以面积计算。扣除0.3平方米以上洞口的面积；梁侧面及檐口天棚并入天棚计算；以设计图纸和技术交底为基础</t>
        </is>
      </c>
      <c r="F105" s="28" t="inlineStr">
        <is>
          <t>m2</t>
        </is>
      </c>
      <c r="G105" s="61" t="n">
        <v>20.29</v>
      </c>
      <c r="H105" s="62" t="n">
        <v>48.38</v>
      </c>
      <c r="I105" s="65" t="n"/>
      <c r="J105" s="62">
        <f>H105*(1-$I$4)</f>
        <v/>
      </c>
      <c r="K105" s="63">
        <f>G105*J105</f>
        <v/>
      </c>
      <c r="L105" s="33" t="inlineStr">
        <is>
          <t>涂料</t>
        </is>
      </c>
      <c r="M105" s="64" t="n"/>
      <c r="N105" s="39" t="n">
        <v>1</v>
      </c>
      <c r="O105" t="n">
        <v>45</v>
      </c>
      <c r="P105" s="35" t="inlineStr">
        <is>
          <t>差:-3.38元 (-7.0%) 来源:售楼处</t>
        </is>
      </c>
      <c r="Q105" s="35" t="n"/>
      <c r="R105" s="35" t="n"/>
    </row>
    <row r="106" outlineLevel="1" customFormat="1" s="39">
      <c r="A106" s="36" t="n"/>
      <c r="B106" s="27" t="inlineStr">
        <is>
          <t>门窗、家具工程</t>
        </is>
      </c>
      <c r="C106" s="27" t="n"/>
      <c r="D106" s="27" t="n"/>
      <c r="E106" s="27" t="n"/>
      <c r="F106" s="28" t="n"/>
      <c r="G106" s="61" t="n"/>
      <c r="H106" s="62" t="n"/>
      <c r="I106" s="65" t="n"/>
      <c r="J106" s="62" t="n"/>
      <c r="K106" s="63" t="n"/>
      <c r="L106" s="33" t="n"/>
      <c r="M106" s="64" t="n"/>
      <c r="P106" s="35" t="n"/>
      <c r="Q106" s="35" t="n"/>
      <c r="R106" s="35" t="n"/>
    </row>
    <row r="107" outlineLevel="2" ht="72" customFormat="1" customHeight="1" s="39">
      <c r="A107" s="37">
        <f>1+N(A106)</f>
        <v/>
      </c>
      <c r="B107" s="27" t="inlineStr">
        <is>
          <t>水井暗门(不含面层)</t>
        </is>
      </c>
      <c r="C107" s="27" t="inlineStr">
        <is>
          <t>1、40x40x5mm热镀锌方管骨架、背封铝塑板
2、含天地轴、门吸等五金配件
3、包含完成该项内容所有工作及费用并满足设计图纸、规范等要求</t>
        </is>
      </c>
      <c r="D107" s="27" t="inlineStr">
        <is>
          <t>自现有现场条件下按照合同约定范围、图纸（含设计变更）及甲方要求内容以及规范、标准、相关做法等要求完成并达到总包合同全部目标的全部工作内容。</t>
        </is>
      </c>
      <c r="E107" s="27" t="inlineStr">
        <is>
          <t>以最终验收合格的工程量计算</t>
        </is>
      </c>
      <c r="F107" s="28" t="inlineStr">
        <is>
          <t>m2</t>
        </is>
      </c>
      <c r="G107" s="61" t="n">
        <v>2.25</v>
      </c>
      <c r="H107" s="62" t="n">
        <v>962.6833333333331</v>
      </c>
      <c r="I107" s="65" t="n"/>
      <c r="J107" s="62">
        <f>H107*(1-$I$4)</f>
        <v/>
      </c>
      <c r="K107" s="63">
        <f>G107*J107</f>
        <v/>
      </c>
      <c r="L107" s="33" t="inlineStr">
        <is>
          <t>/</t>
        </is>
      </c>
      <c r="M107" s="64" t="n"/>
      <c r="N107" s="39" t="n">
        <v>1</v>
      </c>
      <c r="O107" t="n">
        <v>165</v>
      </c>
      <c r="P107" s="35" t="inlineStr">
        <is>
          <t>差:-797.68元 (-82.9%) 来源:售楼处</t>
        </is>
      </c>
      <c r="Q107" s="35" t="n"/>
      <c r="R107" s="35" t="n"/>
    </row>
    <row r="108" outlineLevel="2" ht="72" customFormat="1" customHeight="1" s="39">
      <c r="A108" s="37">
        <f>1+N(A107)</f>
        <v/>
      </c>
      <c r="B108" s="27" t="inlineStr">
        <is>
          <t>消防栓暗门(不含面层)</t>
        </is>
      </c>
      <c r="C108" s="27" t="inlineStr">
        <is>
          <t>1、40x40x5mm热镀锌方管骨架、背封铝塑板
2、含天地轴、门吸等五金配件
3、包含完成该项内容所有工作及费用并满足设计图纸、规范等要求</t>
        </is>
      </c>
      <c r="D108" s="27" t="inlineStr">
        <is>
          <t>自现有现场条件下按照合同约定范围、图纸（含设计变更）及甲方要求内容以及规范、标准、相关做法等要求完成并达到总包合同全部目标的全部工作内容。</t>
        </is>
      </c>
      <c r="E108" s="27" t="inlineStr">
        <is>
          <t>以最终验收合格的工程量计算</t>
        </is>
      </c>
      <c r="F108" s="28" t="inlineStr">
        <is>
          <t>m2</t>
        </is>
      </c>
      <c r="G108" s="61" t="n">
        <v>2.1</v>
      </c>
      <c r="H108" s="62" t="n">
        <v>962.6833333333331</v>
      </c>
      <c r="I108" s="65" t="n"/>
      <c r="J108" s="62">
        <f>H108*(1-$I$4)</f>
        <v/>
      </c>
      <c r="K108" s="63">
        <f>G108*J108</f>
        <v/>
      </c>
      <c r="L108" s="33" t="inlineStr">
        <is>
          <t>/</t>
        </is>
      </c>
      <c r="M108" s="64" t="n"/>
      <c r="N108" s="39" t="n">
        <v>1</v>
      </c>
      <c r="O108" t="n">
        <v>165</v>
      </c>
      <c r="P108" s="35" t="inlineStr">
        <is>
          <t>差:-797.68元 (-82.9%) 来源:售楼处</t>
        </is>
      </c>
      <c r="Q108" s="35" t="n"/>
      <c r="R108" s="35" t="n"/>
    </row>
    <row r="109" outlineLevel="2" ht="108" customFormat="1" customHeight="1" s="39">
      <c r="A109" s="37">
        <f>1+N(A108)</f>
        <v/>
      </c>
      <c r="B109" s="27" t="inlineStr">
        <is>
          <t>电梯厅门（参DR01）</t>
        </is>
      </c>
      <c r="C109" s="27" t="inlineStr">
        <is>
          <t>1、门扇：1.2mm厚 MT-01古铜不锈钢饰面、GL-01超白钢化玻璃、ST-08石材、L40*40*4镀锌角钢骨架
2、门套：1.2mm厚 MT-01古铜不锈钢饰面
3、定制成品套装门制安
4、含电机、暗铰链、地弹簧等五金配件
5、包含完成该项内容所有工作及费用并满足设计图纸、规范等要求</t>
        </is>
      </c>
      <c r="D109" s="27" t="inlineStr">
        <is>
          <t>自现有现场条件下按照合同约定范围、图纸（含设计变更）及甲方要求内容以及规范、标准、相关做法等要求完成并达到总包合同全部目标的全部工作内容。</t>
        </is>
      </c>
      <c r="E109" s="27" t="inlineStr">
        <is>
          <t>以最终验收合格的工程量计算</t>
        </is>
      </c>
      <c r="F109" s="28" t="inlineStr">
        <is>
          <t>m2</t>
        </is>
      </c>
      <c r="G109" s="61" t="n">
        <v>5.52</v>
      </c>
      <c r="H109" s="62" t="n">
        <v>7530.96521739131</v>
      </c>
      <c r="I109" s="65" t="n"/>
      <c r="J109" s="62">
        <f>H109*(1-$I$4)</f>
        <v/>
      </c>
      <c r="K109" s="63">
        <f>G109*J109</f>
        <v/>
      </c>
      <c r="L109" s="33" t="inlineStr">
        <is>
          <t>/</t>
        </is>
      </c>
      <c r="M109" s="64" t="n"/>
      <c r="N109" s="39" t="n">
        <v>1</v>
      </c>
      <c r="O109" t="n">
        <v>145</v>
      </c>
      <c r="P109" s="35" t="inlineStr">
        <is>
          <t>差:-7385.97元 (-98.1%) 来源:售楼处</t>
        </is>
      </c>
      <c r="Q109" s="35" t="n"/>
      <c r="R109" s="35" t="n"/>
    </row>
    <row r="110" outlineLevel="2" ht="72" customFormat="1" customHeight="1" s="39">
      <c r="A110" s="37">
        <f>1+N(A109)</f>
        <v/>
      </c>
      <c r="B110" s="27" t="inlineStr">
        <is>
          <t>固定玻璃隔断</t>
        </is>
      </c>
      <c r="C110" s="27" t="inlineStr">
        <is>
          <t>1、GL-01超白钢化玻璃饰面
2、1.2mm厚 MT-01古铜不锈钢饰面边框
3、包含完成该项内容所有工作及费用并满足设计图纸、规范等要求</t>
        </is>
      </c>
      <c r="D110" s="27" t="inlineStr">
        <is>
          <t>自现有现场条件下按照合同约定范围、图纸（含设计变更）及甲方要求内容以及规范、标准、相关做法等要求完成并达到总包合同全部目标的全部工作内容。</t>
        </is>
      </c>
      <c r="E110" s="27" t="inlineStr">
        <is>
          <t>以最终验收合格的工程量计算</t>
        </is>
      </c>
      <c r="F110" s="28" t="inlineStr">
        <is>
          <t>m2</t>
        </is>
      </c>
      <c r="G110" s="61" t="n">
        <v>1.53</v>
      </c>
      <c r="H110" s="62" t="n">
        <v>610.895315789474</v>
      </c>
      <c r="I110" s="65" t="n"/>
      <c r="J110" s="62">
        <f>H110*(1-$I$4)</f>
        <v/>
      </c>
      <c r="K110" s="63">
        <f>G110*J110</f>
        <v/>
      </c>
      <c r="L110" s="33" t="inlineStr">
        <is>
          <t>/</t>
        </is>
      </c>
      <c r="M110" s="64" t="n"/>
      <c r="N110" s="39" t="n">
        <v>1</v>
      </c>
      <c r="O110" t="n">
        <v>110</v>
      </c>
      <c r="P110" s="35" t="inlineStr">
        <is>
          <t>差:-500.90元 (-82.0%) 来源:售楼处</t>
        </is>
      </c>
      <c r="Q110" s="35" t="n"/>
      <c r="R110" s="35" t="n"/>
    </row>
    <row r="111" outlineLevel="1" customFormat="1" s="39">
      <c r="A111" s="26" t="inlineStr">
        <is>
          <t>五</t>
        </is>
      </c>
      <c r="B111" s="27" t="inlineStr">
        <is>
          <t>一层储物间</t>
        </is>
      </c>
      <c r="C111" s="27" t="n"/>
      <c r="D111" s="27" t="n"/>
      <c r="E111" s="27" t="n"/>
      <c r="F111" s="28" t="n"/>
      <c r="G111" s="61" t="n"/>
      <c r="H111" s="62" t="n"/>
      <c r="I111" s="65" t="n"/>
      <c r="J111" s="62" t="n"/>
      <c r="K111" s="63" t="n"/>
      <c r="L111" s="33" t="n"/>
      <c r="M111" s="64" t="n"/>
      <c r="P111" s="35" t="n"/>
      <c r="Q111" s="35" t="n"/>
      <c r="R111" s="35" t="n"/>
    </row>
    <row r="112" outlineLevel="1" customFormat="1" s="39">
      <c r="A112" s="36" t="n"/>
      <c r="B112" s="27" t="inlineStr">
        <is>
          <t>地面工程</t>
        </is>
      </c>
      <c r="C112" s="27" t="n"/>
      <c r="D112" s="27" t="n"/>
      <c r="E112" s="27" t="n"/>
      <c r="F112" s="28" t="n"/>
      <c r="G112" s="61" t="n"/>
      <c r="H112" s="62" t="n"/>
      <c r="I112" s="65" t="n"/>
      <c r="J112" s="62" t="n"/>
      <c r="K112" s="63" t="n"/>
      <c r="L112" s="33" t="n"/>
      <c r="M112" s="64" t="n"/>
      <c r="P112" s="35" t="n"/>
      <c r="Q112" s="35" t="n"/>
      <c r="R112" s="35" t="n"/>
    </row>
    <row r="113" outlineLevel="2" ht="108" customFormat="1" customHeight="1" s="39">
      <c r="A113" s="37">
        <f>1+N(A112)</f>
        <v/>
      </c>
      <c r="B113" s="27" t="inlineStr">
        <is>
          <t>地面铺贴大理石ST-01</t>
        </is>
      </c>
      <c r="C113" s="27" t="inlineStr">
        <is>
          <t>1.地面20mm大理石ST-01、铺贴、厚度及样式按物料书为准；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113"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13" s="27" t="inlineStr">
        <is>
          <t xml:space="preserve">执行《GB/T50854-2024房屋建筑与装饰工程工程量计算标准》，按设计图示尺寸
以面积计算。 </t>
        </is>
      </c>
      <c r="F113" s="28" t="inlineStr">
        <is>
          <t>m2</t>
        </is>
      </c>
      <c r="G113" s="61" t="n">
        <v>0.35</v>
      </c>
      <c r="H113" s="62" t="n">
        <v>218.75017</v>
      </c>
      <c r="I113" s="65" t="n"/>
      <c r="J113" s="62">
        <f>H113*(1-$I$4)</f>
        <v/>
      </c>
      <c r="K113" s="63">
        <f>G113*J113</f>
        <v/>
      </c>
      <c r="L113" s="33" t="inlineStr">
        <is>
          <t>石材</t>
        </is>
      </c>
      <c r="M113" s="64" t="n"/>
      <c r="N113" s="39" t="n">
        <v>1</v>
      </c>
      <c r="O113" t="n">
        <v>130</v>
      </c>
      <c r="P113" s="35" t="inlineStr">
        <is>
          <t>差:-88.75元 (-40.6%) 来源:售楼处</t>
        </is>
      </c>
      <c r="Q113" s="35" t="n"/>
      <c r="R113" s="35" t="n"/>
    </row>
    <row r="114" outlineLevel="2" ht="108" customFormat="1" customHeight="1" s="39">
      <c r="A114" s="37">
        <f>1+N(A113)</f>
        <v/>
      </c>
      <c r="B114" s="27" t="inlineStr">
        <is>
          <t>地面地砖 CT-06</t>
        </is>
      </c>
      <c r="C114" s="27" t="inlineStr">
        <is>
          <t>1.地面花砖CT-06；
2.10mm厚专用粘结剂；
3.80mm厚DS-M15干混砂浆找平；
4.基层清理；
5.含切边、倒角、拼接等处理；
6.包含完成该项内容所有工作及费用并满足设计图纸、规范等要求；</t>
        </is>
      </c>
      <c r="D114"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14" s="27" t="inlineStr">
        <is>
          <t xml:space="preserve">执行《GB/T50854-2024房屋建筑与装饰工程工程量计算标准》，按设计图示尺寸
以面积计算。 </t>
        </is>
      </c>
      <c r="F114" s="28" t="inlineStr">
        <is>
          <t>m2</t>
        </is>
      </c>
      <c r="G114" s="61" t="n">
        <v>22.55</v>
      </c>
      <c r="H114" s="62" t="n">
        <v>164.71148</v>
      </c>
      <c r="I114" s="65" t="n"/>
      <c r="J114" s="62">
        <f>H114*(1-$I$4)</f>
        <v/>
      </c>
      <c r="K114" s="63">
        <f>G114*J114</f>
        <v/>
      </c>
      <c r="L114" s="33" t="inlineStr">
        <is>
          <t>瓷砖</t>
        </is>
      </c>
      <c r="M114" s="64" t="n"/>
      <c r="N114" s="39" t="n">
        <v>1</v>
      </c>
      <c r="O114" t="n">
        <v>77</v>
      </c>
      <c r="P114" s="35" t="inlineStr">
        <is>
          <t>差:-87.71元 (-53.3%) 来源:售楼处</t>
        </is>
      </c>
      <c r="Q114" s="35" t="n"/>
      <c r="R114" s="35" t="n"/>
    </row>
    <row r="115" outlineLevel="2" ht="108" customFormat="1" customHeight="1" s="39">
      <c r="A115" s="37">
        <f>1+N(A114)</f>
        <v/>
      </c>
      <c r="B115" s="27" t="inlineStr">
        <is>
          <t>地面石材晶面处理</t>
        </is>
      </c>
      <c r="C115" s="27" t="inlineStr">
        <is>
          <t>1.石材结晶处理(结晶水及石材保养剂,中性清洁剂)；
2.包含完成该项内容所有工作及费用并满足设计图纸、规范等要求；</t>
        </is>
      </c>
      <c r="D115"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15" s="27" t="inlineStr">
        <is>
          <t xml:space="preserve">执行《GB/T50854-2024房屋建筑与装饰工程工程量计算标准》，按设计图示尺寸
以面积计算。 </t>
        </is>
      </c>
      <c r="F115" s="28" t="inlineStr">
        <is>
          <t>m2</t>
        </is>
      </c>
      <c r="G115" s="61" t="n">
        <v>0.35</v>
      </c>
      <c r="H115" s="62" t="n">
        <v>64.90000000000001</v>
      </c>
      <c r="I115" s="65" t="n"/>
      <c r="J115" s="62">
        <f>H115*(1-$I$4)</f>
        <v/>
      </c>
      <c r="K115" s="63">
        <f>G115*J115</f>
        <v/>
      </c>
      <c r="L115" s="33" t="inlineStr">
        <is>
          <t>/</t>
        </is>
      </c>
      <c r="M115" s="64" t="n"/>
      <c r="N115" s="39" t="n">
        <v>1</v>
      </c>
      <c r="O115" t="n">
        <v>40</v>
      </c>
      <c r="P115" s="35" t="inlineStr">
        <is>
          <t>差:-24.90元 (-38.4%) 来源:售楼处</t>
        </is>
      </c>
      <c r="Q115" s="35" t="n"/>
      <c r="R115" s="35" t="n"/>
    </row>
    <row r="116" outlineLevel="1" customFormat="1" s="39">
      <c r="A116" s="36" t="n"/>
      <c r="B116" s="27" t="inlineStr">
        <is>
          <t>墙柱面工程</t>
        </is>
      </c>
      <c r="C116" s="27" t="n"/>
      <c r="D116" s="27" t="n"/>
      <c r="E116" s="27" t="n"/>
      <c r="F116" s="28" t="n"/>
      <c r="G116" s="61" t="n"/>
      <c r="H116" s="62" t="n"/>
      <c r="I116" s="65" t="n"/>
      <c r="J116" s="62" t="n"/>
      <c r="K116" s="63" t="n"/>
      <c r="L116" s="33" t="n"/>
      <c r="M116" s="64" t="n"/>
      <c r="P116" s="35" t="n"/>
      <c r="Q116" s="35" t="n"/>
      <c r="R116" s="35" t="n"/>
    </row>
    <row r="117" outlineLevel="2" ht="144" customFormat="1" customHeight="1" s="39">
      <c r="A117" s="37">
        <f>1+N(A116)</f>
        <v/>
      </c>
      <c r="B117" s="27" t="inlineStr">
        <is>
          <t>墙面PT-02白色防水无机涂料</t>
        </is>
      </c>
      <c r="C117" s="27" t="inlineStr">
        <is>
          <t>1、墙面PT-02白色防水无机涂料(底漆1遍，面漆2遍)
2、刮白胶腻子找平二遍，打磨
3、阴、阳角护角收边
4、双层9.5mm纸面石膏板
5、轻钢龙骨基层找平
6、包含完成该项内容所有工作及费用并满足设计图纸、规范等要求</t>
        </is>
      </c>
      <c r="D117"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17" s="27" t="inlineStr">
        <is>
          <t xml:space="preserve">执行《GB/T50854-2024房屋建筑与装饰工程工程量计算标准》，按设计图示尺寸
以面积计算。 </t>
        </is>
      </c>
      <c r="F117" s="28" t="inlineStr">
        <is>
          <t>m2</t>
        </is>
      </c>
      <c r="G117" s="61" t="n">
        <v>70.39</v>
      </c>
      <c r="H117" s="62" t="n">
        <v>207.68</v>
      </c>
      <c r="I117" s="65" t="n"/>
      <c r="J117" s="62">
        <f>H117*(1-$I$4)</f>
        <v/>
      </c>
      <c r="K117" s="63">
        <f>G117*J117</f>
        <v/>
      </c>
      <c r="L117" s="33" t="inlineStr">
        <is>
          <t>涂料</t>
        </is>
      </c>
      <c r="M117" s="64" t="n"/>
      <c r="N117" s="39" t="n">
        <v>1</v>
      </c>
      <c r="O117" t="n">
        <v>91.5</v>
      </c>
      <c r="P117" s="35" t="inlineStr">
        <is>
          <t>差:-116.18元 (-55.9%) 来源:售楼处</t>
        </is>
      </c>
      <c r="Q117" s="35" t="n"/>
      <c r="R117" s="35" t="n"/>
    </row>
    <row r="118" outlineLevel="2" ht="180" customFormat="1" customHeight="1" s="39">
      <c r="A118" s="37">
        <f>1+N(A117)</f>
        <v/>
      </c>
      <c r="B118" s="27" t="inlineStr">
        <is>
          <t>设备间不锈钢门套</t>
        </is>
      </c>
      <c r="C118" s="27" t="inlineStr">
        <is>
          <t>1、1.2mm厚 MT-01古铜不锈钢门套，结构胶固定
2、9厘玻镁板基层
3、工程量以展开面积计算
4、包含完成该项内容所有工作及费用并满足设计图纸、规范等要求</t>
        </is>
      </c>
      <c r="D118"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18" s="27" t="inlineStr">
        <is>
          <t>执行《GB/T50854-2024房屋建筑与装饰工程工程量计算标准》，按设计图示饰面外围尺寸
以面积计算。 扣除门窗洞口面积，不扣除单个面积≤0.3㎡的孔洞所占面积。</t>
        </is>
      </c>
      <c r="F118" s="28" t="inlineStr">
        <is>
          <t>m2</t>
        </is>
      </c>
      <c r="G118" s="61" t="n">
        <v>2.28</v>
      </c>
      <c r="H118" s="62" t="n">
        <v>630.651</v>
      </c>
      <c r="I118" s="65" t="n"/>
      <c r="J118" s="62">
        <f>H118*(1-$I$4)</f>
        <v/>
      </c>
      <c r="K118" s="63">
        <f>G118*J118</f>
        <v/>
      </c>
      <c r="L118" s="33" t="inlineStr">
        <is>
          <t>/</t>
        </is>
      </c>
      <c r="M118" s="64" t="n"/>
      <c r="N118" s="39" t="n">
        <v>1</v>
      </c>
      <c r="O118" t="n">
        <v>110</v>
      </c>
      <c r="P118" s="35" t="inlineStr">
        <is>
          <t>差:-520.65元 (-82.6%) 来源:售楼处</t>
        </is>
      </c>
      <c r="Q118" s="35" t="n"/>
      <c r="R118" s="35" t="n"/>
    </row>
    <row r="119" outlineLevel="2" ht="144" customFormat="1" customHeight="1" s="39">
      <c r="A119" s="37">
        <f>1+N(A118)</f>
        <v/>
      </c>
      <c r="B119" s="27" t="inlineStr">
        <is>
          <t>50mm CT-06瓷砖踢脚</t>
        </is>
      </c>
      <c r="C119" s="27" t="inlineStr">
        <is>
          <t>1、50mm CT-06瓷砖踢脚,瓷砖填缝剂处理
2、背覆胶处理
3、C1T等级抗滑移水泥基胶粘剂
4、界面剂拉毛处理
5、包含完成该项内容所有工作及费用并满足设计图纸、规范等要求</t>
        </is>
      </c>
      <c r="D119" s="27" t="inlineStr">
        <is>
          <t>具体工作内容除详见项目特征外，且不限于以下内容:1.包含材料的下车、场内运输；2.清理基层、找标高、弹线定位；3.试拼试排；4.砂浆拌和、铺找平层（粘结层）砂浆；5.面层铺设、灌缝、擦缝；6.打蜡、养护；配合留设墙面开关、插座等末端设备等全部内容；包含成品保护、安全文明施工等达到验收合格的全部施工内容。</t>
        </is>
      </c>
      <c r="E119" s="27" t="inlineStr">
        <is>
          <t>执行《GB/T50854-2024房屋建筑与装饰工程工程量计算标准》，按设计图示镶贴后外围面积计算</t>
        </is>
      </c>
      <c r="F119" s="28" t="inlineStr">
        <is>
          <t>m2</t>
        </is>
      </c>
      <c r="G119" s="61" t="n">
        <v>1.18</v>
      </c>
      <c r="H119" s="62" t="n">
        <v>370.7324</v>
      </c>
      <c r="I119" s="65" t="n"/>
      <c r="J119" s="62">
        <f>H119*(1-$I$4)</f>
        <v/>
      </c>
      <c r="K119" s="63">
        <f>G119*J119</f>
        <v/>
      </c>
      <c r="L119" s="33" t="inlineStr">
        <is>
          <t>瓷砖</t>
        </is>
      </c>
      <c r="M119" s="64" t="n"/>
      <c r="N119" s="39" t="n">
        <v>1</v>
      </c>
      <c r="O119" t="n">
        <v>120</v>
      </c>
      <c r="P119" s="35" t="inlineStr">
        <is>
          <t>差:-250.73元 (-67.6%) 来源:售楼处</t>
        </is>
      </c>
      <c r="Q119" s="35" t="n"/>
      <c r="R119" s="35" t="n"/>
    </row>
    <row r="120" outlineLevel="1" customFormat="1" s="39">
      <c r="A120" s="36" t="n"/>
      <c r="B120" s="27" t="inlineStr">
        <is>
          <t>天花工程</t>
        </is>
      </c>
      <c r="C120" s="27" t="n"/>
      <c r="D120" s="27" t="n"/>
      <c r="E120" s="27" t="n"/>
      <c r="F120" s="28" t="n"/>
      <c r="G120" s="61" t="n"/>
      <c r="H120" s="62" t="n"/>
      <c r="I120" s="65" t="n"/>
      <c r="J120" s="62" t="n"/>
      <c r="K120" s="63" t="n"/>
      <c r="L120" s="33" t="n"/>
      <c r="M120" s="64" t="n"/>
      <c r="P120" s="35" t="n"/>
      <c r="Q120" s="35" t="n"/>
      <c r="R120" s="35" t="n"/>
    </row>
    <row r="121" outlineLevel="2" ht="192" customFormat="1" customHeight="1" s="39">
      <c r="A121" s="37">
        <f>1+N(A120)</f>
        <v/>
      </c>
      <c r="B121" s="27" t="inlineStr">
        <is>
          <t>造型石膏板吊顶</t>
        </is>
      </c>
      <c r="C121" s="27" t="inlineStr">
        <is>
          <t>1.60系列轻钢主龙骨@900，60系列轻钢副龙骨@400，60系列横撑龙骨@600，08螺纹吊杆@900不上人天花吊顶（投影面计算）
2.玻镁板、双层9.5厚石膏板基层，含开孔、检修口、10*10凹槽等费用；
3.含除灯槽外的侧面高差及其连接件、吊件；
4.包含完成该项内容所有工作及费用并满足设计图纸、规范等要求；</t>
        </is>
      </c>
      <c r="D121" s="27" t="inlineStr">
        <is>
          <t>1.基层清理。
2.弹线定位、排版。
3.吊杆及连接件安装调平、收口及密封处理。
4.材料切割处理找平、石膏板安装及调整，打胶密封与清理.
5.收口及其他处理：检修口等制作安装、收边收口、配合预留安装、机电等专业孔洞及孔洞收口处理。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121" s="27" t="inlineStr">
        <is>
          <t>按设计图示尺寸以水平投影面积计算。不扣除间壁墙、检查口、附墙烟囱、柱垛和管道所占面积,扣除单个&gt;0.3m3的孔洞、非密拼吊顶空隙所占的面积、独立柱及与天棚相连的窗帘盒所占的面积。</t>
        </is>
      </c>
      <c r="F121" s="28" t="inlineStr">
        <is>
          <t>m2</t>
        </is>
      </c>
      <c r="G121" s="61" t="n">
        <v>22.55</v>
      </c>
      <c r="H121" s="62" t="n">
        <v>174.574444444444</v>
      </c>
      <c r="I121" s="65" t="n"/>
      <c r="J121" s="62">
        <f>H121*(1-$I$4)</f>
        <v/>
      </c>
      <c r="K121" s="63">
        <f>G121*J121</f>
        <v/>
      </c>
      <c r="L121" s="33" t="inlineStr">
        <is>
          <t>/</t>
        </is>
      </c>
      <c r="M121" s="64" t="n"/>
      <c r="N121" s="39" t="n">
        <v>1</v>
      </c>
      <c r="O121" t="n">
        <v>70</v>
      </c>
      <c r="P121" s="35" t="inlineStr">
        <is>
          <t>差:-104.57元 (-59.9%) 来源:售楼处</t>
        </is>
      </c>
      <c r="Q121" s="35" t="n"/>
      <c r="R121" s="35" t="n"/>
    </row>
    <row r="122" outlineLevel="2" ht="192" customFormat="1" customHeight="1" s="39">
      <c r="A122" s="37">
        <f>1+N(A121)</f>
        <v/>
      </c>
      <c r="B122" s="27" t="inlineStr">
        <is>
          <t>天花白色防水无机涂料PT-02</t>
        </is>
      </c>
      <c r="C122" s="27" t="inlineStr">
        <is>
          <t>1.天花白色防水无机涂料PT-02；
2.刮腻子二遍磨平；
3.底漆1遍，面漆2遍；
4.包含完成该项内容所有工作及费用并满足设计图纸、规范等要求；</t>
        </is>
      </c>
      <c r="D122" s="27" t="inlineStr">
        <is>
          <t>包括但不限于材料计划、采购、卸车倒运、保管、检验试验费、测量放线，包含四周阴角找平直、含天棚四周阴角找平直，打磨，简易脚手架搭拆及操作平台、升降机，基层清理、打磨平整、底层找补、满刮涂料（含阴阳角塑料条）、涂料打磨、补遗处理、配合其他分包施工、完工后场清、成品保护、保修等直到达到竣工交付标准的全部工作内容。包括所有为完成工作所需的小型机具；包括所有为完成工作所需的附属工作；包括但不限于以上内容。</t>
        </is>
      </c>
      <c r="E122" s="27" t="inlineStr">
        <is>
          <t>执行《GB/T50854-2024房屋建筑与装饰工程工程量计算标准》，按设计图示尺寸以面积计算。扣除0.3平方米以上洞口的面积；梁侧面及檐口天棚并入天棚计算；以设计图纸和技术交底为基础</t>
        </is>
      </c>
      <c r="F122" s="28" t="inlineStr">
        <is>
          <t>m2</t>
        </is>
      </c>
      <c r="G122" s="61" t="n">
        <v>13.55</v>
      </c>
      <c r="H122" s="62" t="n">
        <v>35.99</v>
      </c>
      <c r="I122" s="65" t="n"/>
      <c r="J122" s="62">
        <f>H122*(1-$I$4)</f>
        <v/>
      </c>
      <c r="K122" s="63">
        <f>G122*J122</f>
        <v/>
      </c>
      <c r="L122" s="33" t="inlineStr">
        <is>
          <t>涂料</t>
        </is>
      </c>
      <c r="M122" s="64" t="n"/>
      <c r="N122" s="39" t="n">
        <v>1</v>
      </c>
      <c r="O122" t="n">
        <v>28.5</v>
      </c>
      <c r="P122" s="35" t="inlineStr">
        <is>
          <t>差:-7.49元 (-20.8%) 来源:售楼处</t>
        </is>
      </c>
      <c r="Q122" s="35" t="n"/>
      <c r="R122" s="35" t="n"/>
    </row>
    <row r="123" outlineLevel="2" ht="72" customFormat="1" customHeight="1" s="39">
      <c r="A123" s="37">
        <f>1+N(A122)</f>
        <v/>
      </c>
      <c r="B123" s="27" t="inlineStr">
        <is>
          <t>条形空调风口（150mm）</t>
        </is>
      </c>
      <c r="C123" s="27" t="inlineStr">
        <is>
          <t>1.条形空调风口（150mm）；
2.风口周边阻燃板封边加固处理；
3.包含完成该项内容所有工作及费用并满足设计图纸、规范等要求；</t>
        </is>
      </c>
      <c r="D123" s="27" t="inlineStr">
        <is>
          <t>自现有现场条件下按照合同约定范围、图纸（含设计变更）及甲方要求内容以及规范、标准、相关做法等要求完成并达到总包合同全部目标的全部工作内容。</t>
        </is>
      </c>
      <c r="E123" s="27" t="inlineStr">
        <is>
          <t>依据经承包人确认的施工部位,按设计图示尺寸以延长米计算。</t>
        </is>
      </c>
      <c r="F123" s="28" t="inlineStr">
        <is>
          <t>m</t>
        </is>
      </c>
      <c r="G123" s="61" t="n">
        <v>2.4</v>
      </c>
      <c r="H123" s="62" t="n">
        <v>109.74</v>
      </c>
      <c r="I123" s="65" t="n"/>
      <c r="J123" s="62">
        <f>H123*(1-$I$4)</f>
        <v/>
      </c>
      <c r="K123" s="63">
        <f>G123*J123</f>
        <v/>
      </c>
      <c r="L123" s="33" t="inlineStr">
        <is>
          <t>空调风口</t>
        </is>
      </c>
      <c r="M123" s="64" t="n"/>
      <c r="N123" s="39" t="n">
        <v>1</v>
      </c>
      <c r="O123" t="n">
        <v>30</v>
      </c>
      <c r="P123" s="35" t="inlineStr">
        <is>
          <t>差:-79.74元 (-72.7%) 来源:售楼处</t>
        </is>
      </c>
      <c r="Q123" s="35" t="n"/>
      <c r="R123" s="35" t="n"/>
    </row>
    <row r="124" outlineLevel="1" customFormat="1" s="39">
      <c r="A124" s="36" t="n"/>
      <c r="B124" s="27" t="inlineStr">
        <is>
          <t>门窗、家具工程</t>
        </is>
      </c>
      <c r="C124" s="27" t="n"/>
      <c r="D124" s="27" t="n"/>
      <c r="E124" s="27" t="n"/>
      <c r="F124" s="28" t="n"/>
      <c r="G124" s="61" t="n"/>
      <c r="H124" s="62" t="n"/>
      <c r="I124" s="65" t="n"/>
      <c r="J124" s="62" t="n"/>
      <c r="K124" s="63" t="n"/>
      <c r="L124" s="33" t="n"/>
      <c r="M124" s="64" t="n"/>
      <c r="P124" s="35" t="n"/>
      <c r="Q124" s="35" t="n"/>
      <c r="R124" s="35" t="n"/>
    </row>
    <row r="125" outlineLevel="2" ht="108" customFormat="1" customHeight="1" s="39">
      <c r="A125" s="36" t="n">
        <v>1</v>
      </c>
      <c r="B125" s="27" t="inlineStr">
        <is>
          <t>转轴门(DR03)</t>
        </is>
      </c>
      <c r="C125" s="27" t="inlineStr">
        <is>
          <t>1、正门扇：1.2mm厚 MT-01古铜不锈钢、ST-05石材、不锈钢干挂件、镀锌扁通钢架
2、反门扇：WD-04木饰面、12mm玻镁板
3、定制成品套装门制安
4、含转轴、暗藏闭门器、门把手等五金配件
5、包含完成该项内容所有工作及费用并满足设计图纸、规范等要求</t>
        </is>
      </c>
      <c r="D125" s="27" t="inlineStr">
        <is>
          <t>自现有现场条件下按照合同约定范围、图纸（含设计变更）及甲方要求内容以及规范、标准、相关做法等要求完成并达到总包合同全部目标的全部工作内容。</t>
        </is>
      </c>
      <c r="E125" s="27" t="inlineStr">
        <is>
          <t>以最终验收合格的工程量计算</t>
        </is>
      </c>
      <c r="F125" s="28" t="inlineStr">
        <is>
          <t>m2</t>
        </is>
      </c>
      <c r="G125" s="61" t="n">
        <v>3</v>
      </c>
      <c r="H125" s="62" t="n">
        <v>3504.99333333333</v>
      </c>
      <c r="I125" s="65" t="n"/>
      <c r="J125" s="62">
        <f>H125*(1-$I$4)</f>
        <v/>
      </c>
      <c r="K125" s="63">
        <f>G125*J125</f>
        <v/>
      </c>
      <c r="L125" s="33" t="inlineStr">
        <is>
          <t>/</t>
        </is>
      </c>
      <c r="M125" s="64" t="n"/>
      <c r="N125" s="39" t="n">
        <v>1</v>
      </c>
      <c r="O125" t="n">
        <v>145</v>
      </c>
      <c r="P125" s="35" t="inlineStr">
        <is>
          <t>差:-3359.99元 (-95.9%) 来源:售楼处</t>
        </is>
      </c>
      <c r="Q125" s="35" t="n"/>
      <c r="R125" s="35" t="n"/>
    </row>
    <row r="126" outlineLevel="1" customFormat="1" s="39">
      <c r="A126" s="26" t="inlineStr">
        <is>
          <t>六</t>
        </is>
      </c>
      <c r="B126" s="27" t="inlineStr">
        <is>
          <t>一层入户大堂(下）</t>
        </is>
      </c>
      <c r="C126" s="27" t="n"/>
      <c r="D126" s="27" t="n"/>
      <c r="E126" s="27" t="n"/>
      <c r="F126" s="28" t="n"/>
      <c r="G126" s="61" t="n"/>
      <c r="H126" s="62" t="n"/>
      <c r="I126" s="65" t="n"/>
      <c r="J126" s="62" t="n"/>
      <c r="K126" s="63" t="n"/>
      <c r="L126" s="33" t="n"/>
      <c r="M126" s="64" t="n"/>
      <c r="P126" s="35" t="n"/>
      <c r="Q126" s="35" t="n"/>
      <c r="R126" s="35" t="n"/>
    </row>
    <row r="127" outlineLevel="1" customFormat="1" s="39">
      <c r="A127" s="36" t="n"/>
      <c r="B127" s="27" t="inlineStr">
        <is>
          <t>地面工程</t>
        </is>
      </c>
      <c r="C127" s="27" t="n"/>
      <c r="D127" s="27" t="n"/>
      <c r="E127" s="27" t="n"/>
      <c r="F127" s="28" t="n"/>
      <c r="G127" s="61" t="n"/>
      <c r="H127" s="62" t="n"/>
      <c r="I127" s="65" t="n"/>
      <c r="J127" s="62" t="n"/>
      <c r="K127" s="63" t="n"/>
      <c r="L127" s="33" t="n"/>
      <c r="M127" s="64" t="n"/>
      <c r="P127" s="35" t="n"/>
      <c r="Q127" s="35" t="n"/>
      <c r="R127" s="35" t="n"/>
    </row>
    <row r="128" outlineLevel="2" ht="108" customFormat="1" customHeight="1" s="39">
      <c r="A128" s="37">
        <f>1+N(A127)</f>
        <v/>
      </c>
      <c r="B128" s="27" t="inlineStr">
        <is>
          <t>地面铺贴大理石ST-01</t>
        </is>
      </c>
      <c r="C128" s="27" t="inlineStr">
        <is>
          <t>1.地面20mm大理石ST-01、铺贴、厚度及样式按物料书为准；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128"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28" s="27" t="inlineStr">
        <is>
          <t xml:space="preserve">执行《GB/T50854-2024房屋建筑与装饰工程工程量计算标准》，按设计图示尺寸
以面积计算。 </t>
        </is>
      </c>
      <c r="F128" s="28" t="inlineStr">
        <is>
          <t>m2</t>
        </is>
      </c>
      <c r="G128" s="61" t="n">
        <v>43.66</v>
      </c>
      <c r="H128" s="62" t="n">
        <v>218.75017</v>
      </c>
      <c r="I128" s="65" t="n"/>
      <c r="J128" s="62">
        <f>H128*(1-$I$4)</f>
        <v/>
      </c>
      <c r="K128" s="63">
        <f>G128*J128</f>
        <v/>
      </c>
      <c r="L128" s="33" t="inlineStr">
        <is>
          <t>石材</t>
        </is>
      </c>
      <c r="M128" s="64" t="n"/>
      <c r="N128" s="39" t="n">
        <v>1</v>
      </c>
      <c r="O128" t="n">
        <v>130</v>
      </c>
      <c r="P128" s="35" t="inlineStr">
        <is>
          <t>差:-88.75元 (-40.6%) 来源:售楼处</t>
        </is>
      </c>
      <c r="Q128" s="35" t="n"/>
      <c r="R128" s="35" t="n"/>
    </row>
    <row r="129" outlineLevel="2" ht="108" customFormat="1" customHeight="1" s="39">
      <c r="A129" s="37">
        <f>1+N(A128)</f>
        <v/>
      </c>
      <c r="B129" s="27" t="inlineStr">
        <is>
          <t>地面铺贴大理石ST-01.02拼花</t>
        </is>
      </c>
      <c r="C129" s="27" t="inlineStr">
        <is>
          <t>1.地面20mm大理石拼花、参考3F-DF-01样式、ST-01、ST-02按物料书为准；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129"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29" s="27" t="inlineStr">
        <is>
          <t xml:space="preserve">执行《GB/T50854-2024房屋建筑与装饰工程工程量计算标准》，按设计图示尺寸
以面积计算。 </t>
        </is>
      </c>
      <c r="F129" s="28" t="inlineStr">
        <is>
          <t>m2</t>
        </is>
      </c>
      <c r="G129" s="61" t="n">
        <v>42.04</v>
      </c>
      <c r="H129" s="62" t="n">
        <v>242.35017</v>
      </c>
      <c r="I129" s="65" t="n"/>
      <c r="J129" s="62">
        <f>H129*(1-$I$4)</f>
        <v/>
      </c>
      <c r="K129" s="63">
        <f>G129*J129</f>
        <v/>
      </c>
      <c r="L129" s="33" t="inlineStr">
        <is>
          <t>石材</t>
        </is>
      </c>
      <c r="M129" s="64" t="n"/>
      <c r="N129" s="39" t="n">
        <v>1</v>
      </c>
      <c r="O129" t="n">
        <v>130</v>
      </c>
      <c r="P129" s="35" t="inlineStr">
        <is>
          <t>差:-112.35元 (-46.4%) 来源:售楼处</t>
        </is>
      </c>
      <c r="Q129" s="35" t="n"/>
      <c r="R129" s="35" t="n"/>
    </row>
    <row r="130" outlineLevel="2" ht="108" customFormat="1" customHeight="1" s="39">
      <c r="A130" s="37">
        <f>1+N(A129)</f>
        <v/>
      </c>
      <c r="B130" s="27" t="inlineStr">
        <is>
          <t>实心铜条5mm宽</t>
        </is>
      </c>
      <c r="C130" s="27" t="inlineStr">
        <is>
          <t>1.实心铜条5mm宽；
2.包含完成该项内容所有工作及费用并满足设计图纸、规范等要求；</t>
        </is>
      </c>
      <c r="D130"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30" s="27" t="inlineStr">
        <is>
          <t>按设计图示尺寸以长度计算。</t>
        </is>
      </c>
      <c r="F130" s="28" t="inlineStr">
        <is>
          <t>m</t>
        </is>
      </c>
      <c r="G130" s="61" t="n">
        <v>31.67</v>
      </c>
      <c r="H130" s="62" t="n">
        <v>89.267</v>
      </c>
      <c r="I130" s="65" t="n"/>
      <c r="J130" s="62">
        <f>H130*(1-$I$4)</f>
        <v/>
      </c>
      <c r="K130" s="63">
        <f>G130*J130</f>
        <v/>
      </c>
      <c r="L130" s="33" t="inlineStr">
        <is>
          <t>/</t>
        </is>
      </c>
      <c r="M130" s="64" t="n"/>
      <c r="N130" s="39" t="n">
        <v>1</v>
      </c>
      <c r="O130" t="n">
        <v>12</v>
      </c>
      <c r="P130" s="35" t="inlineStr">
        <is>
          <t>差:-77.27元 (-86.6%) 来源:售楼处</t>
        </is>
      </c>
      <c r="Q130" s="35" t="n"/>
      <c r="R130" s="35" t="n"/>
    </row>
    <row r="131" outlineLevel="2" ht="108" customFormat="1" customHeight="1" s="39">
      <c r="A131" s="37">
        <f>1+N(A130)</f>
        <v/>
      </c>
      <c r="B131" s="27" t="inlineStr">
        <is>
          <t>地面石材晶面处理</t>
        </is>
      </c>
      <c r="C131" s="27" t="inlineStr">
        <is>
          <t>1.石材结晶处理(结晶水及石材保养剂,中性清洁剂)；
2.包含完成该项内容所有工作及费用并满足设计图纸、规范等要求；</t>
        </is>
      </c>
      <c r="D131"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31" s="27" t="inlineStr">
        <is>
          <t xml:space="preserve">执行《GB/T50854-2024房屋建筑与装饰工程工程量计算标准》，按设计图示尺寸
以面积计算。 </t>
        </is>
      </c>
      <c r="F131" s="28" t="inlineStr">
        <is>
          <t>m2</t>
        </is>
      </c>
      <c r="G131" s="61" t="n">
        <v>85.7</v>
      </c>
      <c r="H131" s="62" t="n">
        <v>64.90000000000001</v>
      </c>
      <c r="I131" s="65" t="n"/>
      <c r="J131" s="62">
        <f>H131*(1-$I$4)</f>
        <v/>
      </c>
      <c r="K131" s="63">
        <f>G131*J131</f>
        <v/>
      </c>
      <c r="L131" s="33" t="inlineStr">
        <is>
          <t>/</t>
        </is>
      </c>
      <c r="M131" s="64" t="n"/>
      <c r="N131" s="39" t="n">
        <v>1</v>
      </c>
      <c r="O131" t="n">
        <v>40</v>
      </c>
      <c r="P131" s="35" t="inlineStr">
        <is>
          <t>差:-24.90元 (-38.4%) 来源:售楼处</t>
        </is>
      </c>
      <c r="Q131" s="35" t="n"/>
      <c r="R131" s="35" t="n"/>
    </row>
    <row r="132" outlineLevel="1" customFormat="1" s="39">
      <c r="A132" s="36" t="n"/>
      <c r="B132" s="27" t="inlineStr">
        <is>
          <t>墙柱面工程</t>
        </is>
      </c>
      <c r="C132" s="27" t="n"/>
      <c r="D132" s="27" t="n"/>
      <c r="E132" s="27" t="n"/>
      <c r="F132" s="28" t="n"/>
      <c r="G132" s="61" t="n"/>
      <c r="H132" s="62" t="n"/>
      <c r="I132" s="65" t="n"/>
      <c r="J132" s="62" t="n"/>
      <c r="K132" s="63" t="n"/>
      <c r="L132" s="33" t="n"/>
      <c r="M132" s="64" t="n"/>
      <c r="P132" s="35" t="n"/>
      <c r="Q132" s="35" t="n"/>
      <c r="R132" s="35" t="n"/>
    </row>
    <row r="133" outlineLevel="2" ht="144" customFormat="1" customHeight="1" s="39">
      <c r="A133" s="37">
        <f>1+N(A132)</f>
        <v/>
      </c>
      <c r="B133" s="27" t="inlineStr">
        <is>
          <t>墙面湿贴石材ST-05</t>
        </is>
      </c>
      <c r="C133" s="27" t="inlineStr">
        <is>
          <t>1、墙面湿贴石材ST-05
2、8mm厚石材专用胶粘剂WC粘结层
3、界面剂拉毛处理
4、石材的开槽、磨边、倒角、粘接、形成所需之凹坑、抛光、六面防污防渗等一切处理费用均在主材费中考虑，不再另行计取
5、包含完成该项内容所有工作及费用并满足设计图纸、规范等要求</t>
        </is>
      </c>
      <c r="D133" s="27" t="inlineStr">
        <is>
          <t>具体工作内容除详见项目特征外，且不限于以下内容:1.包含材料的下车、场内运输；2.清理基层、找标高、弹线定位；3.试拼试排；4.砂浆拌和、铺找平层（粘结层）砂浆；5.面层铺设、灌缝、擦缝；6.打蜡、养护；配合留设墙面开关、插座等末端设备等全部内容；包含成品保护、安全文明施工等达到验收合格的全部施工内容。</t>
        </is>
      </c>
      <c r="E133" s="27" t="inlineStr">
        <is>
          <t>执行《GB/T50854-2024房屋建筑与装饰工程工程量计算标准》，按设计图示镶贴后外围面积计算</t>
        </is>
      </c>
      <c r="F133" s="28" t="inlineStr">
        <is>
          <t>m2</t>
        </is>
      </c>
      <c r="G133" s="61" t="n">
        <v>21.43</v>
      </c>
      <c r="H133" s="62" t="n">
        <v>177</v>
      </c>
      <c r="I133" s="65" t="n"/>
      <c r="J133" s="62">
        <f>H133*(1-$I$4)</f>
        <v/>
      </c>
      <c r="K133" s="63">
        <f>G133*J133</f>
        <v/>
      </c>
      <c r="L133" s="33" t="inlineStr">
        <is>
          <t>石材</t>
        </is>
      </c>
      <c r="M133" s="64" t="n"/>
      <c r="N133" s="39" t="n">
        <v>1</v>
      </c>
      <c r="O133" t="n">
        <v>95</v>
      </c>
      <c r="P133" s="35" t="inlineStr">
        <is>
          <t>差:-82.00元 (-46.3%) 来源:售楼处</t>
        </is>
      </c>
      <c r="Q133" s="35" t="n"/>
      <c r="R133" s="35" t="n"/>
    </row>
    <row r="134" outlineLevel="2" ht="180" customFormat="1" customHeight="1" s="39">
      <c r="A134" s="37">
        <f>1+N(A133)</f>
        <v/>
      </c>
      <c r="B134" s="27" t="inlineStr">
        <is>
          <t>墙面干挂ST-05石材</t>
        </is>
      </c>
      <c r="C134" s="27" t="inlineStr">
        <is>
          <t>1、墙面干挂ST-05石材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is>
      </c>
      <c r="D134"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34" s="27" t="inlineStr">
        <is>
          <t>执行《GB/T50854-2024房屋建筑与装饰工程工程量计算标准》，按设计图示镶贴后外围面积计算</t>
        </is>
      </c>
      <c r="F134" s="28" t="inlineStr">
        <is>
          <t>m2</t>
        </is>
      </c>
      <c r="G134" s="61" t="n">
        <v>128.31</v>
      </c>
      <c r="H134" s="62" t="n">
        <v>283.2</v>
      </c>
      <c r="I134" s="65" t="n"/>
      <c r="J134" s="62">
        <f>H134*(1-$I$4)</f>
        <v/>
      </c>
      <c r="K134" s="63">
        <f>G134*J134</f>
        <v/>
      </c>
      <c r="L134" s="33" t="inlineStr">
        <is>
          <t>石材</t>
        </is>
      </c>
      <c r="M134" s="64" t="n"/>
      <c r="N134" s="39" t="n">
        <v>1</v>
      </c>
      <c r="O134" t="n">
        <v>145</v>
      </c>
      <c r="P134" s="35" t="inlineStr">
        <is>
          <t>差:-138.20元 (-48.8%) 来源:售楼处</t>
        </is>
      </c>
      <c r="Q134" s="35" t="n"/>
      <c r="R134" s="35" t="n"/>
    </row>
    <row r="135" outlineLevel="2" ht="180" customFormat="1" customHeight="1" s="39">
      <c r="A135" s="37">
        <f>1+N(A134)</f>
        <v/>
      </c>
      <c r="B135" s="27" t="inlineStr">
        <is>
          <t>墙面干挂ST-05石材（波浪造型）</t>
        </is>
      </c>
      <c r="C135" s="27" t="inlineStr">
        <is>
          <t>1、墙面干挂ST-05石材（波浪造型）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is>
      </c>
      <c r="D135"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35" s="27" t="inlineStr">
        <is>
          <t>执行《GB/T50854-2024房屋建筑与装饰工程工程量计算标准》，按设计图示镶贴后外围面积计算</t>
        </is>
      </c>
      <c r="F135" s="28" t="inlineStr">
        <is>
          <t>m2</t>
        </is>
      </c>
      <c r="G135" s="61" t="n">
        <v>13.98</v>
      </c>
      <c r="H135" s="62" t="n">
        <v>283.2</v>
      </c>
      <c r="I135" s="65" t="n"/>
      <c r="J135" s="62">
        <f>H135*(1-$I$4)</f>
        <v/>
      </c>
      <c r="K135" s="63">
        <f>G135*J135</f>
        <v/>
      </c>
      <c r="L135" s="33" t="inlineStr">
        <is>
          <t>石材</t>
        </is>
      </c>
      <c r="M135" s="64" t="n"/>
      <c r="N135" s="39" t="n">
        <v>1</v>
      </c>
      <c r="O135" t="n">
        <v>145</v>
      </c>
      <c r="P135" s="35" t="inlineStr">
        <is>
          <t>差:-138.20元 (-48.8%) 来源:售楼处</t>
        </is>
      </c>
      <c r="Q135" s="35" t="n"/>
      <c r="R135" s="35" t="n"/>
    </row>
    <row r="136" outlineLevel="2" ht="180" customFormat="1" customHeight="1" s="39">
      <c r="A136" s="37">
        <f>1+N(A135)</f>
        <v/>
      </c>
      <c r="B136" s="27" t="inlineStr">
        <is>
          <t>墙面SP-01手绘壁画</t>
        </is>
      </c>
      <c r="C136" s="27" t="inlineStr">
        <is>
          <t>1、墙面SP-01手绘壁画
2、12mm阻燃板、9mm纸面石膏板、轻钢龙骨构件
3、包含完成该项内容所有工作及费用并满足设计图纸、规范等要求</t>
        </is>
      </c>
      <c r="D136"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36" s="27" t="inlineStr">
        <is>
          <t>执行《GB/T50854-2024房屋建筑与装饰工程工程量计算标准》，按设计图示饰尺寸以面积计算。</t>
        </is>
      </c>
      <c r="F136" s="28" t="inlineStr">
        <is>
          <t>m2</t>
        </is>
      </c>
      <c r="G136" s="61" t="n">
        <v>28.76</v>
      </c>
      <c r="H136" s="62" t="n">
        <v>205.32</v>
      </c>
      <c r="I136" s="65" t="n"/>
      <c r="J136" s="62">
        <f>H136*(1-$I$4)</f>
        <v/>
      </c>
      <c r="K136" s="63">
        <f>G136*J136</f>
        <v/>
      </c>
      <c r="L136" s="33" t="inlineStr">
        <is>
          <t>手绘壁画</t>
        </is>
      </c>
      <c r="M136" s="64" t="n"/>
      <c r="N136" s="39" t="n">
        <v>1</v>
      </c>
      <c r="O136" t="n">
        <v>350</v>
      </c>
      <c r="P136" s="35" t="inlineStr">
        <is>
          <t>差:+144.68元 (+70.5%) 来源:售楼处</t>
        </is>
      </c>
      <c r="Q136" s="35" t="n"/>
      <c r="R136" s="35" t="n"/>
    </row>
    <row r="137" outlineLevel="2" ht="180" customFormat="1" customHeight="1" s="39">
      <c r="A137" s="37">
        <f>1+N(A136)</f>
        <v/>
      </c>
      <c r="B137" s="27" t="inlineStr">
        <is>
          <t>MT-01古铜不锈钢饰面</t>
        </is>
      </c>
      <c r="C137" s="27" t="inlineStr">
        <is>
          <t>1、1.2mm厚 MT-01古铜不锈钢饰面，结构胶固定
2、9厘玻镁板基层
3、包含完成该项内容所有工作及费用并满足设计图纸、规范等要求</t>
        </is>
      </c>
      <c r="D137"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37" s="27" t="inlineStr">
        <is>
          <t>执行《GB/T50854-2024房屋建筑与装饰工程工程量计算标准》，按设计图示饰面外围尺寸
以面积计算。 扣除门窗洞口面积，不扣除单个面积≤0.3㎡的孔洞所占面积。</t>
        </is>
      </c>
      <c r="F137" s="28" t="inlineStr">
        <is>
          <t>m2</t>
        </is>
      </c>
      <c r="G137" s="61" t="n">
        <v>30.65</v>
      </c>
      <c r="H137" s="62" t="n">
        <v>259.6</v>
      </c>
      <c r="I137" s="65" t="n"/>
      <c r="J137" s="62">
        <f>H137*(1-$I$4)</f>
        <v/>
      </c>
      <c r="K137" s="63">
        <f>G137*J137</f>
        <v/>
      </c>
      <c r="L137" s="33" t="inlineStr">
        <is>
          <t>不锈钢饰面</t>
        </is>
      </c>
      <c r="M137" s="64" t="n"/>
      <c r="N137" s="39" t="n">
        <v>1</v>
      </c>
      <c r="O137" t="n">
        <v>110</v>
      </c>
      <c r="P137" s="35" t="inlineStr">
        <is>
          <t>差:-149.60元 (-57.6%) 来源:售楼处</t>
        </is>
      </c>
      <c r="Q137" s="35" t="n"/>
      <c r="R137" s="35" t="n"/>
    </row>
    <row r="138" outlineLevel="2" ht="144" customFormat="1" customHeight="1" s="39">
      <c r="A138" s="37">
        <f>1+N(A137)</f>
        <v/>
      </c>
      <c r="B138" s="27" t="inlineStr">
        <is>
          <t>MT-01古铜不锈钢踢脚线（高20mm）</t>
        </is>
      </c>
      <c r="C138" s="27" t="inlineStr">
        <is>
          <t>1、1.2mm厚 MT-01古铜不锈钢踢脚线（高20mm，展开面为46mm），结构胶固定
2、9厘玻镁板基层
3、包含完成该项内容所有工作及费用并满足设计图纸、规范等要求</t>
        </is>
      </c>
      <c r="D138"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38" s="27" t="inlineStr">
        <is>
          <t>按设计图示尺寸以长度计算。</t>
        </is>
      </c>
      <c r="F138" s="28" t="inlineStr">
        <is>
          <t>m</t>
        </is>
      </c>
      <c r="G138" s="61" t="n">
        <v>41.6</v>
      </c>
      <c r="H138" s="62" t="n">
        <v>31.86</v>
      </c>
      <c r="I138" s="65" t="n"/>
      <c r="J138" s="62">
        <f>H138*(1-$I$4)</f>
        <v/>
      </c>
      <c r="K138" s="63">
        <f>G138*J138</f>
        <v/>
      </c>
      <c r="L138" s="33" t="inlineStr">
        <is>
          <t>不锈钢踢脚线</t>
        </is>
      </c>
      <c r="M138" s="64" t="n"/>
      <c r="N138" s="39" t="n">
        <v>1</v>
      </c>
      <c r="O138" t="n">
        <v>12</v>
      </c>
      <c r="P138" s="35" t="inlineStr">
        <is>
          <t>差:-19.86元 (-62.3%) 来源:售楼处</t>
        </is>
      </c>
      <c r="Q138" s="35" t="n"/>
      <c r="R138" s="35" t="n"/>
    </row>
    <row r="139" outlineLevel="2" ht="144" customFormat="1" customHeight="1" s="39">
      <c r="A139" s="37">
        <f>1+N(A138)</f>
        <v/>
      </c>
      <c r="B139" s="27" t="inlineStr">
        <is>
          <t>MT-01古铜不锈钢线条（展开面为114mm）</t>
        </is>
      </c>
      <c r="C139" s="27" t="inlineStr">
        <is>
          <t>1、1.2mm厚 MT-01古铜不锈钢线条（展开面为114mm），结构胶固定
2、9厘玻镁板基层
3、包含完成该项内容所有工作及费用并满足设计图纸、规范等要求</t>
        </is>
      </c>
      <c r="D139"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39" s="27" t="inlineStr">
        <is>
          <t>按设计图示尺寸以长度计算。</t>
        </is>
      </c>
      <c r="F139" s="28" t="inlineStr">
        <is>
          <t>m</t>
        </is>
      </c>
      <c r="G139" s="61" t="n">
        <v>31.56</v>
      </c>
      <c r="H139" s="62" t="n">
        <v>117.84424</v>
      </c>
      <c r="I139" s="65" t="n"/>
      <c r="J139" s="62">
        <f>H139*(1-$I$4)</f>
        <v/>
      </c>
      <c r="K139" s="63">
        <f>G139*J139</f>
        <v/>
      </c>
      <c r="L139" s="33" t="inlineStr">
        <is>
          <t>/</t>
        </is>
      </c>
      <c r="M139" s="64" t="n"/>
      <c r="N139" s="39" t="n">
        <v>1</v>
      </c>
      <c r="O139" t="n">
        <v>22</v>
      </c>
      <c r="P139" s="35" t="inlineStr">
        <is>
          <t>差:-95.84元 (-81.3%) 来源:售楼处</t>
        </is>
      </c>
      <c r="Q139" s="35" t="n"/>
      <c r="R139" s="35" t="n"/>
    </row>
    <row r="140" outlineLevel="2" ht="144" customFormat="1" customHeight="1" s="39">
      <c r="A140" s="37">
        <f>1+N(A139)</f>
        <v/>
      </c>
      <c r="B140" s="27" t="inlineStr">
        <is>
          <t>MT-01古铜不锈钢顶部收口条（展开面为41mm）</t>
        </is>
      </c>
      <c r="C140" s="27" t="inlineStr">
        <is>
          <t>1、1.2mm厚 MT-01古铜不锈钢顶部收口条（展开面为41mm），结构胶固定
2、9厘玻镁板基层
3、包含完成该项内容所有工作及费用并满足设计图纸、规范等要求</t>
        </is>
      </c>
      <c r="D140"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40" s="27" t="inlineStr">
        <is>
          <t>按设计图示尺寸以长度计算。</t>
        </is>
      </c>
      <c r="F140" s="28" t="inlineStr">
        <is>
          <t>m</t>
        </is>
      </c>
      <c r="G140" s="61" t="n">
        <v>41.6</v>
      </c>
      <c r="H140" s="62" t="n">
        <v>64.24509999999999</v>
      </c>
      <c r="I140" s="65" t="n"/>
      <c r="J140" s="62">
        <f>H140*(1-$I$4)</f>
        <v/>
      </c>
      <c r="K140" s="63">
        <f>G140*J140</f>
        <v/>
      </c>
      <c r="L140" s="33" t="inlineStr">
        <is>
          <t>/</t>
        </is>
      </c>
      <c r="M140" s="64" t="n"/>
      <c r="N140" s="39" t="n">
        <v>1</v>
      </c>
      <c r="O140" t="n">
        <v>12</v>
      </c>
      <c r="P140" s="35" t="inlineStr">
        <is>
          <t>差:-52.25元 (-81.3%) 来源:售楼处</t>
        </is>
      </c>
      <c r="Q140" s="35" t="n"/>
      <c r="R140" s="35" t="n"/>
    </row>
    <row r="141" outlineLevel="1" customFormat="1" s="39">
      <c r="A141" s="36" t="n"/>
      <c r="B141" s="27" t="inlineStr">
        <is>
          <t>天花工程</t>
        </is>
      </c>
      <c r="C141" s="27" t="n"/>
      <c r="D141" s="27" t="n"/>
      <c r="E141" s="27" t="n"/>
      <c r="F141" s="28" t="n"/>
      <c r="G141" s="61" t="n"/>
      <c r="H141" s="62" t="n"/>
      <c r="I141" s="65" t="n"/>
      <c r="J141" s="62" t="n"/>
      <c r="K141" s="63" t="n"/>
      <c r="L141" s="33" t="n"/>
      <c r="M141" s="64" t="n"/>
      <c r="P141" s="35" t="n"/>
      <c r="Q141" s="35" t="n"/>
      <c r="R141" s="35" t="n"/>
    </row>
    <row r="142" outlineLevel="2" ht="192" customFormat="1" customHeight="1" s="39">
      <c r="A142" s="37">
        <f>1+N(A141)</f>
        <v/>
      </c>
      <c r="B142" s="27" t="inlineStr">
        <is>
          <t>造型石膏板吊顶</t>
        </is>
      </c>
      <c r="C142" s="27" t="inlineStr">
        <is>
          <t>1.60系列轻钢主龙骨@900，60系列轻钢副龙骨@400，60系列横撑龙骨@600，08螺纹吊杆@900不上人天花吊顶（投影面计算）
2.玻镁板、双层9.5厚石膏板基层，含开孔、检修口、10*10凹槽等费用；
3.含除灯槽外的侧面高差及其连接件、吊件；
4.包含完成该项内容所有工作及费用并满足设计图纸、规范等要求；</t>
        </is>
      </c>
      <c r="D142" s="27" t="inlineStr">
        <is>
          <t>1.基层清理。
2.弹线定位、排版。
3.吊杆及连接件安装调平、收口及密封处理。
4.材料切割处理找平、石膏板安装及调整，打胶密封与清理.
5.收口及其他处理：检修口等制作安装、收边收口、配合预留安装、机电等专业孔洞及孔洞收口处理。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142" s="27" t="inlineStr">
        <is>
          <t>按设计图示尺寸以水平投影面积计算。不扣除间壁墙、检查口、附墙烟囱、柱垛和管道所占面积,扣除单个&gt;0.3m3的孔洞、非密拼吊顶空隙所占的面积、独立柱及与天棚相连的窗帘盒所占的面积。</t>
        </is>
      </c>
      <c r="F142" s="28" t="inlineStr">
        <is>
          <t>m2</t>
        </is>
      </c>
      <c r="G142" s="61" t="n">
        <v>63.5</v>
      </c>
      <c r="H142" s="62" t="n">
        <v>174.574444444444</v>
      </c>
      <c r="I142" s="65" t="n"/>
      <c r="J142" s="62">
        <f>H142*(1-$I$4)</f>
        <v/>
      </c>
      <c r="K142" s="63">
        <f>G142*J142</f>
        <v/>
      </c>
      <c r="L142" s="33" t="inlineStr">
        <is>
          <t>/</t>
        </is>
      </c>
      <c r="M142" s="64" t="n"/>
      <c r="N142" s="39" t="n">
        <v>1</v>
      </c>
      <c r="O142" t="n">
        <v>70</v>
      </c>
      <c r="P142" s="35" t="inlineStr">
        <is>
          <t>差:-104.57元 (-59.9%) 来源:售楼处</t>
        </is>
      </c>
      <c r="Q142" s="35" t="n"/>
      <c r="R142" s="35" t="n"/>
    </row>
    <row r="143" outlineLevel="2" ht="192" customFormat="1" customHeight="1" s="39">
      <c r="A143" s="37">
        <f>1+N(A142)</f>
        <v/>
      </c>
      <c r="B143" s="27" t="inlineStr">
        <is>
          <t>造型石膏板吊顶（标高7.15m)</t>
        </is>
      </c>
      <c r="C143" s="27" t="inlineStr">
        <is>
          <t>1.60系列轻钢主龙骨@900，60系列轻钢副龙骨@400，60系列横撑龙骨@600，08螺纹吊杆@900不上人天花吊顶（标高7.15m 投影面计算）
2.玻镁板、双层9.5厚石膏板基层，含开孔、检修口、10*10凹槽等费用；
3.含除灯槽外的侧面高差及其连接件、吊件；
4.包含完成该项内容所有工作及费用并满足设计图纸、规范等要求；</t>
        </is>
      </c>
      <c r="D143" s="27" t="inlineStr">
        <is>
          <t>1.基层清理。
2.弹线定位、排版。
3.吊杆及连接件安装调平、收口及密封处理。
4.材料切割处理找平、石膏板安装及调整，打胶密封与清理.
5.收口及其他处理：检修口等制作安装、收边收口、配合预留安装、机电等专业孔洞及孔洞收口处理。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143" s="27" t="inlineStr">
        <is>
          <t>按设计图示尺寸以水平投影面积计算。不扣除间壁墙、检查口、附墙烟囱、柱垛和管道所占面积,扣除单个&gt;0.3m3的孔洞、非密拼吊顶空隙所占的面积、独立柱及与天棚相连的窗帘盒所占的面积。</t>
        </is>
      </c>
      <c r="F143" s="28" t="inlineStr">
        <is>
          <t>m2</t>
        </is>
      </c>
      <c r="G143" s="61" t="n">
        <v>22.2</v>
      </c>
      <c r="H143" s="62" t="n">
        <v>291.165</v>
      </c>
      <c r="I143" s="65" t="n"/>
      <c r="J143" s="62">
        <f>H143*(1-$I$4)</f>
        <v/>
      </c>
      <c r="K143" s="63">
        <f>G143*J143</f>
        <v/>
      </c>
      <c r="L143" s="33" t="inlineStr">
        <is>
          <t>/</t>
        </is>
      </c>
      <c r="M143" s="64" t="n"/>
      <c r="N143" s="39" t="n">
        <v>1</v>
      </c>
      <c r="O143" t="n">
        <v>150</v>
      </c>
      <c r="P143" s="35" t="inlineStr">
        <is>
          <t>差:-141.17元 (-48.5%) 来源:售楼处</t>
        </is>
      </c>
      <c r="Q143" s="35" t="n"/>
      <c r="R143" s="35" t="n"/>
    </row>
    <row r="144" outlineLevel="2" ht="72" customFormat="1" customHeight="1" s="39">
      <c r="A144" s="37">
        <f>1+N(A143)</f>
        <v/>
      </c>
      <c r="B144" s="27" t="inlineStr">
        <is>
          <t>灯槽（100mm*200mm）</t>
        </is>
      </c>
      <c r="C144" s="27" t="inlineStr">
        <is>
          <t>1.灯槽（100mm*200mm）；
2.双层板：9mm玻镁板、9.5厚石膏板；
3.包含完成该项内容所有工作及费用并满足设计图纸、规范等要求；</t>
        </is>
      </c>
      <c r="D144" s="27" t="inlineStr">
        <is>
          <t>自现有现场条件下按照合同约定范围、图纸（含设计变更）及甲方要求内容以及规范、标准、相关做法等要求完成并达到总包合同全部目标的全部工作内容。</t>
        </is>
      </c>
      <c r="E144" s="27" t="inlineStr">
        <is>
          <t>依据经承包人确认的施工部位,按设计图示尺寸以延长米计算。</t>
        </is>
      </c>
      <c r="F144" s="28" t="inlineStr">
        <is>
          <t>m</t>
        </is>
      </c>
      <c r="G144" s="61" t="n">
        <v>25.18</v>
      </c>
      <c r="H144" s="62" t="n">
        <v>112.159</v>
      </c>
      <c r="I144" s="65" t="n"/>
      <c r="J144" s="62">
        <f>H144*(1-$I$4)</f>
        <v/>
      </c>
      <c r="K144" s="63">
        <f>G144*J144</f>
        <v/>
      </c>
      <c r="L144" s="33" t="inlineStr">
        <is>
          <t>/</t>
        </is>
      </c>
      <c r="M144" s="64" t="n"/>
      <c r="N144" s="39" t="n">
        <v>1</v>
      </c>
      <c r="O144" t="n">
        <v>50</v>
      </c>
      <c r="P144" s="35" t="inlineStr">
        <is>
          <t>差:-62.16元 (-55.4%) 来源:售楼处</t>
        </is>
      </c>
      <c r="Q144" s="35" t="n"/>
      <c r="R144" s="35" t="n"/>
    </row>
    <row r="145" outlineLevel="2" ht="72" customFormat="1" customHeight="1" s="39">
      <c r="A145" s="37">
        <f>1+N(A144)</f>
        <v/>
      </c>
      <c r="B145" s="27" t="inlineStr">
        <is>
          <t>成品石膏线条</t>
        </is>
      </c>
      <c r="C145" s="27" t="inlineStr">
        <is>
          <t>1.成品石膏线条（50mm*50mm）；
2.按图纸造型；
3.包含完成该项内容所有工作及费用并满足设计图纸、规范等要求；</t>
        </is>
      </c>
      <c r="D145" s="27" t="inlineStr">
        <is>
          <t>自现有现场条件下按照合同约定范围、图纸（含设计变更）及甲方要求内容以及规范、标准、相关做法等要求完成并达到总包合同全部目标的全部工作内容。</t>
        </is>
      </c>
      <c r="E145" s="27" t="inlineStr">
        <is>
          <t>依据经承包人确认的施工部位,按设计图示尺寸以延长米计算。</t>
        </is>
      </c>
      <c r="F145" s="28" t="inlineStr">
        <is>
          <t>m</t>
        </is>
      </c>
      <c r="G145" s="61" t="n">
        <v>25.18</v>
      </c>
      <c r="H145" s="62" t="n">
        <v>20.06</v>
      </c>
      <c r="I145" s="65" t="n"/>
      <c r="J145" s="62">
        <f>H145*(1-$I$4)</f>
        <v/>
      </c>
      <c r="K145" s="63">
        <f>G145*J145</f>
        <v/>
      </c>
      <c r="L145" s="33" t="inlineStr">
        <is>
          <t>成品石膏线条</t>
        </is>
      </c>
      <c r="M145" s="64" t="n"/>
      <c r="N145" s="39" t="n">
        <v>1</v>
      </c>
      <c r="O145" t="n">
        <v>18</v>
      </c>
      <c r="P145" s="35" t="inlineStr">
        <is>
          <t>差:-2.06元 (-10.3%) 来源:售楼处</t>
        </is>
      </c>
      <c r="Q145" s="35" t="n"/>
      <c r="R145" s="35" t="n"/>
    </row>
    <row r="146" outlineLevel="2" ht="72" customFormat="1" customHeight="1" s="39">
      <c r="A146" s="37">
        <f>1+N(A145)</f>
        <v/>
      </c>
      <c r="B146" s="27" t="inlineStr">
        <is>
          <t>条形空调风口（150mm）</t>
        </is>
      </c>
      <c r="C146" s="27" t="inlineStr">
        <is>
          <t>1.条形空调风口（150mm）；
2.风口周边阻燃板封边加固处理；
3.包含完成该项内容所有工作及费用并满足设计图纸、规范等要求；</t>
        </is>
      </c>
      <c r="D146" s="27" t="inlineStr">
        <is>
          <t>自现有现场条件下按照合同约定范围、图纸（含设计变更）及甲方要求内容以及规范、标准、相关做法等要求完成并达到总包合同全部目标的全部工作内容。</t>
        </is>
      </c>
      <c r="E146" s="27" t="inlineStr">
        <is>
          <t>依据经承包人确认的施工部位,按设计图示尺寸以延长米计算。</t>
        </is>
      </c>
      <c r="F146" s="28" t="inlineStr">
        <is>
          <t>m</t>
        </is>
      </c>
      <c r="G146" s="61" t="n">
        <v>7.2</v>
      </c>
      <c r="H146" s="62" t="n">
        <v>109.74</v>
      </c>
      <c r="I146" s="65" t="n"/>
      <c r="J146" s="62">
        <f>H146*(1-$I$4)</f>
        <v/>
      </c>
      <c r="K146" s="63">
        <f>G146*J146</f>
        <v/>
      </c>
      <c r="L146" s="33" t="inlineStr">
        <is>
          <t>空调风口</t>
        </is>
      </c>
      <c r="M146" s="64" t="n"/>
      <c r="N146" s="39" t="n">
        <v>1</v>
      </c>
      <c r="O146" t="n">
        <v>30</v>
      </c>
      <c r="P146" s="35" t="inlineStr">
        <is>
          <t>差:-79.74元 (-72.7%) 来源:售楼处</t>
        </is>
      </c>
      <c r="Q146" s="35" t="n"/>
      <c r="R146" s="35" t="n"/>
    </row>
    <row r="147" outlineLevel="2" ht="192" customFormat="1" customHeight="1" s="39">
      <c r="A147" s="37">
        <f>1+N(A146)</f>
        <v/>
      </c>
      <c r="B147" s="27" t="inlineStr">
        <is>
          <t>天花肌理无机涂料PT-01</t>
        </is>
      </c>
      <c r="C147" s="27" t="inlineStr">
        <is>
          <t>1.天花肌理无机涂料PT-01；
2.刮腻子二遍磨平；
3.底漆1遍，面漆2遍；
4.包含完成该项内容所有工作及费用并满足设计图纸、规范等要求；</t>
        </is>
      </c>
      <c r="D147" s="27" t="inlineStr">
        <is>
          <t>包括但不限于材料计划、采购、卸车倒运、保管、检验试验费、测量放线，包含四周阴角找平直、含天棚四周阴角找平直，打磨，简易脚手架搭拆及操作平台、升降机，基层清理、打磨平整、底层找补、满刮涂料（含阴阳角塑料条）、涂料打磨、补遗处理、配合其他分包施工、完工后场清、成品保护、保修等直到达到竣工交付标准的全部工作内容。包括所有为完成工作所需的小型机具；包括所有为完成工作所需的附属工作；包括但不限于以上内容。</t>
        </is>
      </c>
      <c r="E147" s="27" t="inlineStr">
        <is>
          <t>执行《GB/T50854-2024房屋建筑与装饰工程工程量计算标准》，按设计图示尺寸以面积计算。扣除0.3平方米以上洞口的面积；梁侧面及檐口天棚并入天棚计算；以设计图纸和技术交底为基础</t>
        </is>
      </c>
      <c r="F147" s="28" t="inlineStr">
        <is>
          <t>m2</t>
        </is>
      </c>
      <c r="G147" s="61" t="n">
        <v>93.26000000000001</v>
      </c>
      <c r="H147" s="62" t="n">
        <v>48.38</v>
      </c>
      <c r="I147" s="65" t="n"/>
      <c r="J147" s="62">
        <f>H147*(1-$I$4)</f>
        <v/>
      </c>
      <c r="K147" s="63">
        <f>G147*J147</f>
        <v/>
      </c>
      <c r="L147" s="33" t="inlineStr">
        <is>
          <t>涂料</t>
        </is>
      </c>
      <c r="M147" s="64" t="n"/>
      <c r="N147" s="39" t="n">
        <v>1</v>
      </c>
      <c r="O147" t="n">
        <v>45</v>
      </c>
      <c r="P147" s="35" t="inlineStr">
        <is>
          <t>差:-3.38元 (-7.0%) 来源:售楼处</t>
        </is>
      </c>
      <c r="Q147" s="35" t="n"/>
      <c r="R147" s="35" t="n"/>
    </row>
    <row r="148" outlineLevel="1" customFormat="1" s="39">
      <c r="A148" s="36" t="n"/>
      <c r="B148" s="27" t="inlineStr">
        <is>
          <t>门窗、家具工程</t>
        </is>
      </c>
      <c r="C148" s="27" t="n"/>
      <c r="D148" s="27" t="n"/>
      <c r="E148" s="27" t="n"/>
      <c r="F148" s="28" t="n"/>
      <c r="G148" s="61" t="n"/>
      <c r="H148" s="62" t="n"/>
      <c r="I148" s="65" t="n"/>
      <c r="J148" s="62" t="n"/>
      <c r="K148" s="63" t="n"/>
      <c r="L148" s="33" t="n"/>
      <c r="M148" s="64" t="n"/>
      <c r="P148" s="35" t="n"/>
      <c r="Q148" s="35" t="n"/>
      <c r="R148" s="35" t="n"/>
    </row>
    <row r="149" outlineLevel="2" ht="120" customFormat="1" customHeight="1" s="39">
      <c r="A149" s="37">
        <f>1+N(A148)</f>
        <v/>
      </c>
      <c r="B149" s="27" t="inlineStr">
        <is>
          <t>服务台</t>
        </is>
      </c>
      <c r="C149" s="27" t="inlineStr">
        <is>
          <t>1、服务台（2400mm*800mm*1000mm）
2.包括但不限于制作安装、钢结构骨架、石材及石材防污处理、9mm阻燃板基层、ST-07石材台面、1.2mm厚 MT-01古铜不锈钢饰面、SF-05贝母漆、WD-04木饰面；
3.含拉手、抽屉、含相应的线孔洞开设；
4.包含完成该项内容所有工作及费用并满足设计图纸、规范等要求；</t>
        </is>
      </c>
      <c r="D149" s="27" t="inlineStr">
        <is>
          <t>自现有现场条件下按照合同约定范围、图纸（含设计变更）及甲方要求内容以及规范、标准、相关做法等要求完成并达到总包合同全部目标的全部工作内容。</t>
        </is>
      </c>
      <c r="E149" s="27" t="inlineStr">
        <is>
          <t>以最终验收合格的工程量计算</t>
        </is>
      </c>
      <c r="F149" s="28" t="inlineStr">
        <is>
          <t>套</t>
        </is>
      </c>
      <c r="G149" s="61" t="n">
        <v>1</v>
      </c>
      <c r="H149" s="62" t="n">
        <v>23512.503</v>
      </c>
      <c r="I149" s="65" t="n"/>
      <c r="J149" s="62">
        <f>H149*(1-$I$4)</f>
        <v/>
      </c>
      <c r="K149" s="63">
        <f>G149*J149</f>
        <v/>
      </c>
      <c r="L149" s="33" t="inlineStr">
        <is>
          <t>/</t>
        </is>
      </c>
      <c r="M149" s="64" t="n"/>
      <c r="N149" s="39" t="n">
        <v>1</v>
      </c>
      <c r="O149" t="n">
        <v>1920</v>
      </c>
      <c r="P149" s="35" t="inlineStr">
        <is>
          <t>差:-21592.50元 (-91.8%) 来源:售楼处</t>
        </is>
      </c>
      <c r="Q149" s="35" t="n"/>
      <c r="R149" s="35" t="n"/>
    </row>
    <row r="150" outlineLevel="2" ht="72" customFormat="1" customHeight="1" s="39">
      <c r="A150" s="37">
        <f>1+N(A149)</f>
        <v/>
      </c>
      <c r="B150" s="27" t="inlineStr">
        <is>
          <t>消防栓暗门(不含面层)</t>
        </is>
      </c>
      <c r="C150" s="27" t="inlineStr">
        <is>
          <t>1、40x40x5mm热镀锌方管骨架、背封铝塑板
2、含天地轴、门吸等五金配件
3、包含完成该项内容所有工作及费用并满足设计图纸、规范等要求</t>
        </is>
      </c>
      <c r="D150" s="27" t="inlineStr">
        <is>
          <t>自现有现场条件下按照合同约定范围、图纸（含设计变更）及甲方要求内容以及规范、标准、相关做法等要求完成并达到总包合同全部目标的全部工作内容。</t>
        </is>
      </c>
      <c r="E150" s="27" t="inlineStr">
        <is>
          <t>以最终验收合格的工程量计算</t>
        </is>
      </c>
      <c r="F150" s="28" t="inlineStr">
        <is>
          <t>m2</t>
        </is>
      </c>
      <c r="G150" s="61" t="n">
        <v>2.15</v>
      </c>
      <c r="H150" s="62" t="n">
        <v>962.6833333333331</v>
      </c>
      <c r="I150" s="65" t="n"/>
      <c r="J150" s="62">
        <f>H150*(1-$I$4)</f>
        <v/>
      </c>
      <c r="K150" s="63">
        <f>G150*J150</f>
        <v/>
      </c>
      <c r="L150" s="33" t="inlineStr">
        <is>
          <t>/</t>
        </is>
      </c>
      <c r="M150" s="64" t="n"/>
      <c r="N150" s="39" t="n">
        <v>1</v>
      </c>
      <c r="O150" t="n">
        <v>165</v>
      </c>
      <c r="P150" s="35" t="inlineStr">
        <is>
          <t>差:-797.68元 (-82.9%) 来源:售楼处</t>
        </is>
      </c>
      <c r="Q150" s="35" t="n"/>
      <c r="R150" s="35" t="n"/>
    </row>
    <row r="151" outlineLevel="1" customFormat="1" s="39">
      <c r="A151" s="26" t="inlineStr">
        <is>
          <t>七</t>
        </is>
      </c>
      <c r="B151" s="27" t="inlineStr">
        <is>
          <t>一层过厅通小区</t>
        </is>
      </c>
      <c r="C151" s="27" t="n"/>
      <c r="D151" s="27" t="n"/>
      <c r="E151" s="27" t="n"/>
      <c r="F151" s="28" t="n"/>
      <c r="G151" s="61" t="n"/>
      <c r="H151" s="62" t="n"/>
      <c r="I151" s="65" t="n"/>
      <c r="J151" s="62" t="n"/>
      <c r="K151" s="63" t="n"/>
      <c r="L151" s="33" t="n"/>
      <c r="M151" s="64" t="n"/>
      <c r="P151" s="35" t="n"/>
      <c r="Q151" s="35" t="n"/>
      <c r="R151" s="35" t="n"/>
    </row>
    <row r="152" outlineLevel="1" customFormat="1" s="39">
      <c r="A152" s="36" t="n"/>
      <c r="B152" s="27" t="inlineStr">
        <is>
          <t>地面工程</t>
        </is>
      </c>
      <c r="C152" s="27" t="n"/>
      <c r="D152" s="27" t="n"/>
      <c r="E152" s="27" t="n"/>
      <c r="F152" s="28" t="n"/>
      <c r="G152" s="61" t="n"/>
      <c r="H152" s="62" t="n"/>
      <c r="I152" s="65" t="n"/>
      <c r="J152" s="62" t="n"/>
      <c r="K152" s="63" t="n"/>
      <c r="L152" s="33" t="n"/>
      <c r="M152" s="64" t="n"/>
      <c r="P152" s="35" t="n"/>
      <c r="Q152" s="35" t="n"/>
      <c r="R152" s="35" t="n"/>
    </row>
    <row r="153" outlineLevel="2" ht="108" customFormat="1" customHeight="1" s="39">
      <c r="A153" s="37">
        <f>1+N(A152)</f>
        <v/>
      </c>
      <c r="B153" s="27" t="inlineStr">
        <is>
          <t>地面铺贴大理石ST-01</t>
        </is>
      </c>
      <c r="C153" s="27" t="inlineStr">
        <is>
          <t>1.地面20mm大理石ST-01、铺贴、厚度及样式按物料书为准；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153"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53" s="27" t="inlineStr">
        <is>
          <t xml:space="preserve">执行《GB/T50854-2024房屋建筑与装饰工程工程量计算标准》，按设计图示尺寸
以面积计算。 </t>
        </is>
      </c>
      <c r="F153" s="28" t="inlineStr">
        <is>
          <t>m2</t>
        </is>
      </c>
      <c r="G153" s="61" t="n">
        <v>17.64</v>
      </c>
      <c r="H153" s="62" t="n">
        <v>218.75017</v>
      </c>
      <c r="I153" s="65" t="n"/>
      <c r="J153" s="62">
        <f>H153*(1-$I$4)</f>
        <v/>
      </c>
      <c r="K153" s="63">
        <f>G153*J153</f>
        <v/>
      </c>
      <c r="L153" s="33" t="inlineStr">
        <is>
          <t>石材</t>
        </is>
      </c>
      <c r="M153" s="64" t="n"/>
      <c r="N153" s="39" t="n">
        <v>1</v>
      </c>
      <c r="O153" t="n">
        <v>130</v>
      </c>
      <c r="P153" s="35" t="inlineStr">
        <is>
          <t>差:-88.75元 (-40.6%) 来源:售楼处</t>
        </is>
      </c>
      <c r="Q153" s="35" t="n"/>
      <c r="R153" s="35" t="n"/>
    </row>
    <row r="154" outlineLevel="2" ht="108" customFormat="1" customHeight="1" s="39">
      <c r="A154" s="37">
        <f>1+N(A153)</f>
        <v/>
      </c>
      <c r="B154" s="27" t="inlineStr">
        <is>
          <t>地面石材晶面处理</t>
        </is>
      </c>
      <c r="C154" s="27" t="inlineStr">
        <is>
          <t>1.石材结晶处理(结晶水及石材保养剂,中性清洁剂)；
2.包含完成该项内容所有工作及费用并满足设计图纸、规范等要求；</t>
        </is>
      </c>
      <c r="D154"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54" s="27" t="inlineStr">
        <is>
          <t xml:space="preserve">执行《GB/T50854-2024房屋建筑与装饰工程工程量计算标准》，按设计图示尺寸
以面积计算。 </t>
        </is>
      </c>
      <c r="F154" s="28" t="inlineStr">
        <is>
          <t>m2</t>
        </is>
      </c>
      <c r="G154" s="61" t="n">
        <v>17.64</v>
      </c>
      <c r="H154" s="62" t="n">
        <v>64.90000000000001</v>
      </c>
      <c r="I154" s="65" t="n"/>
      <c r="J154" s="62">
        <f>H154*(1-$I$4)</f>
        <v/>
      </c>
      <c r="K154" s="63">
        <f>G154*J154</f>
        <v/>
      </c>
      <c r="L154" s="33" t="inlineStr">
        <is>
          <t>/</t>
        </is>
      </c>
      <c r="M154" s="64" t="n"/>
      <c r="N154" s="39" t="n">
        <v>1</v>
      </c>
      <c r="O154" t="n">
        <v>40</v>
      </c>
      <c r="P154" s="35" t="inlineStr">
        <is>
          <t>差:-24.90元 (-38.4%) 来源:售楼处</t>
        </is>
      </c>
      <c r="Q154" s="35" t="n"/>
      <c r="R154" s="35" t="n"/>
    </row>
    <row r="155" outlineLevel="1" customFormat="1" s="39">
      <c r="A155" s="36" t="n"/>
      <c r="B155" s="27" t="inlineStr">
        <is>
          <t>墙柱面工程</t>
        </is>
      </c>
      <c r="C155" s="27" t="n"/>
      <c r="D155" s="27" t="n"/>
      <c r="E155" s="27" t="n"/>
      <c r="F155" s="28" t="n"/>
      <c r="G155" s="61" t="n"/>
      <c r="H155" s="62" t="n"/>
      <c r="I155" s="65" t="n"/>
      <c r="J155" s="62" t="n"/>
      <c r="K155" s="63" t="n"/>
      <c r="L155" s="33" t="n"/>
      <c r="M155" s="64" t="n"/>
      <c r="P155" s="35" t="n"/>
      <c r="Q155" s="35" t="n"/>
      <c r="R155" s="35" t="n"/>
    </row>
    <row r="156" outlineLevel="2" ht="144" customFormat="1" customHeight="1" s="39">
      <c r="A156" s="37">
        <f>1+N(A155)</f>
        <v/>
      </c>
      <c r="B156" s="27" t="inlineStr">
        <is>
          <t>墙面湿贴石材ST-05</t>
        </is>
      </c>
      <c r="C156" s="27" t="inlineStr">
        <is>
          <t>1、墙面湿贴石材ST-05
2、8mm厚石材专用胶粘剂WC粘结层
3、界面剂拉毛处理
4、石材的开槽、磨边、倒角、粘接、形成所需之凹坑、抛光、六面防污防渗等一切处理费用均在主材费中考虑，不再另行计取
5、包含完成该项内容所有工作及费用并满足设计图纸、规范等要求</t>
        </is>
      </c>
      <c r="D156" s="27" t="inlineStr">
        <is>
          <t>具体工作内容除详见项目特征外，且不限于以下内容:1.包含材料的下车、场内运输；2.清理基层、找标高、弹线定位；3.试拼试排；4.砂浆拌和、铺找平层（粘结层）砂浆；5.面层铺设、灌缝、擦缝；6.打蜡、养护；配合留设墙面开关、插座等末端设备等全部内容；包含成品保护、安全文明施工等达到验收合格的全部施工内容。</t>
        </is>
      </c>
      <c r="E156" s="27" t="inlineStr">
        <is>
          <t>执行《GB/T50854-2024房屋建筑与装饰工程工程量计算标准》，按设计图示镶贴后外围面积计算</t>
        </is>
      </c>
      <c r="F156" s="28" t="inlineStr">
        <is>
          <t>m2</t>
        </is>
      </c>
      <c r="G156" s="61" t="n">
        <v>8.619999999999999</v>
      </c>
      <c r="H156" s="62" t="n">
        <v>177</v>
      </c>
      <c r="I156" s="65" t="n"/>
      <c r="J156" s="62">
        <f>H156*(1-$I$4)</f>
        <v/>
      </c>
      <c r="K156" s="63">
        <f>G156*J156</f>
        <v/>
      </c>
      <c r="L156" s="33" t="inlineStr">
        <is>
          <t>石材</t>
        </is>
      </c>
      <c r="M156" s="64" t="n"/>
      <c r="N156" s="39" t="n">
        <v>1</v>
      </c>
      <c r="O156" t="n">
        <v>95</v>
      </c>
      <c r="P156" s="35" t="inlineStr">
        <is>
          <t>差:-82.00元 (-46.3%) 来源:售楼处</t>
        </is>
      </c>
      <c r="Q156" s="35" t="n"/>
      <c r="R156" s="35" t="n"/>
    </row>
    <row r="157" outlineLevel="2" ht="180" customFormat="1" customHeight="1" s="39">
      <c r="A157" s="37">
        <f>1+N(A156)</f>
        <v/>
      </c>
      <c r="B157" s="27" t="inlineStr">
        <is>
          <t>墙面干挂ST-05石材</t>
        </is>
      </c>
      <c r="C157" s="27" t="inlineStr">
        <is>
          <t>1、墙面干挂ST-05石材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is>
      </c>
      <c r="D157"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57" s="27" t="inlineStr">
        <is>
          <t>执行《GB/T50854-2024房屋建筑与装饰工程工程量计算标准》，按设计图示镶贴后外围面积计算</t>
        </is>
      </c>
      <c r="F157" s="28" t="inlineStr">
        <is>
          <t>m2</t>
        </is>
      </c>
      <c r="G157" s="61" t="n">
        <v>36.36</v>
      </c>
      <c r="H157" s="62" t="n">
        <v>283.2</v>
      </c>
      <c r="I157" s="65" t="n"/>
      <c r="J157" s="62">
        <f>H157*(1-$I$4)</f>
        <v/>
      </c>
      <c r="K157" s="63">
        <f>G157*J157</f>
        <v/>
      </c>
      <c r="L157" s="33" t="inlineStr">
        <is>
          <t>石材</t>
        </is>
      </c>
      <c r="M157" s="64" t="n"/>
      <c r="N157" s="39" t="n">
        <v>1</v>
      </c>
      <c r="O157" t="n">
        <v>145</v>
      </c>
      <c r="P157" s="35" t="inlineStr">
        <is>
          <t>差:-138.20元 (-48.8%) 来源:售楼处</t>
        </is>
      </c>
      <c r="Q157" s="35" t="n"/>
      <c r="R157" s="35" t="n"/>
    </row>
    <row r="158" outlineLevel="2" ht="144" customFormat="1" customHeight="1" s="39">
      <c r="A158" s="37">
        <f>1+N(A157)</f>
        <v/>
      </c>
      <c r="B158" s="27" t="inlineStr">
        <is>
          <t>MT-01古铜不锈钢踢脚线（高20mm）</t>
        </is>
      </c>
      <c r="C158" s="27" t="inlineStr">
        <is>
          <t>1、1.2mm厚 MT-01古铜不锈钢踢脚线（高20mm，展开面为46mm），结构胶固定
2、9厘玻镁板基层
3、包含完成该项内容所有工作及费用并满足设计图纸、规范等要求</t>
        </is>
      </c>
      <c r="D158"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58" s="27" t="inlineStr">
        <is>
          <t>按设计图示尺寸以长度计算。</t>
        </is>
      </c>
      <c r="F158" s="28" t="inlineStr">
        <is>
          <t>m</t>
        </is>
      </c>
      <c r="G158" s="61" t="n">
        <v>15.28</v>
      </c>
      <c r="H158" s="62" t="n">
        <v>31.86</v>
      </c>
      <c r="I158" s="65" t="n"/>
      <c r="J158" s="62">
        <f>H158*(1-$I$4)</f>
        <v/>
      </c>
      <c r="K158" s="63">
        <f>G158*J158</f>
        <v/>
      </c>
      <c r="L158" s="33" t="inlineStr">
        <is>
          <t>不锈钢踢脚线</t>
        </is>
      </c>
      <c r="M158" s="64" t="n"/>
      <c r="N158" s="39" t="n">
        <v>1</v>
      </c>
      <c r="O158" t="n">
        <v>12</v>
      </c>
      <c r="P158" s="35" t="inlineStr">
        <is>
          <t>差:-19.86元 (-62.3%) 来源:售楼处</t>
        </is>
      </c>
      <c r="Q158" s="35" t="n"/>
      <c r="R158" s="35" t="n"/>
    </row>
    <row r="159" outlineLevel="2" ht="144" customFormat="1" customHeight="1" s="39">
      <c r="A159" s="37">
        <f>1+N(A158)</f>
        <v/>
      </c>
      <c r="B159" s="27" t="inlineStr">
        <is>
          <t>MT-01古铜不锈钢线条（展开面为114mm）</t>
        </is>
      </c>
      <c r="C159" s="27" t="inlineStr">
        <is>
          <t>1、1.2mm厚 MT-01古铜不锈钢线条（展开面为114mm），结构胶固定
2、9厘玻镁板基层
3、包含完成该项内容所有工作及费用并满足设计图纸、规范等要求</t>
        </is>
      </c>
      <c r="D159"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59" s="27" t="inlineStr">
        <is>
          <t>按设计图示尺寸以长度计算。</t>
        </is>
      </c>
      <c r="F159" s="28" t="inlineStr">
        <is>
          <t>m</t>
        </is>
      </c>
      <c r="G159" s="61" t="n">
        <v>15.28</v>
      </c>
      <c r="H159" s="62" t="n">
        <v>117.84424</v>
      </c>
      <c r="I159" s="65" t="n"/>
      <c r="J159" s="62">
        <f>H159*(1-$I$4)</f>
        <v/>
      </c>
      <c r="K159" s="63">
        <f>G159*J159</f>
        <v/>
      </c>
      <c r="L159" s="33" t="inlineStr">
        <is>
          <t>/</t>
        </is>
      </c>
      <c r="M159" s="64" t="n"/>
      <c r="N159" s="39" t="n">
        <v>1</v>
      </c>
      <c r="O159" t="n">
        <v>22</v>
      </c>
      <c r="P159" s="35" t="inlineStr">
        <is>
          <t>差:-95.84元 (-81.3%) 来源:售楼处</t>
        </is>
      </c>
      <c r="Q159" s="35" t="n"/>
      <c r="R159" s="35" t="n"/>
    </row>
    <row r="160" outlineLevel="2" ht="144" customFormat="1" customHeight="1" s="39">
      <c r="A160" s="37">
        <f>1+N(A159)</f>
        <v/>
      </c>
      <c r="B160" s="27" t="inlineStr">
        <is>
          <t>MT-01古铜不锈钢顶部收口条（展开面为41mm）</t>
        </is>
      </c>
      <c r="C160" s="27" t="inlineStr">
        <is>
          <t>1、1.2mm厚 MT-01古铜不锈钢顶部收口条（展开面为41mm），结构胶固定
2、9厘玻镁板基层
3、包含完成该项内容所有工作及费用并满足设计图纸、规范等要求</t>
        </is>
      </c>
      <c r="D160"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60" s="27" t="inlineStr">
        <is>
          <t>按设计图示尺寸以长度计算。</t>
        </is>
      </c>
      <c r="F160" s="28" t="inlineStr">
        <is>
          <t>m</t>
        </is>
      </c>
      <c r="G160" s="61" t="n">
        <v>15.28</v>
      </c>
      <c r="H160" s="62" t="n">
        <v>64.24509999999999</v>
      </c>
      <c r="I160" s="65" t="n"/>
      <c r="J160" s="62">
        <f>H160*(1-$I$4)</f>
        <v/>
      </c>
      <c r="K160" s="63">
        <f>G160*J160</f>
        <v/>
      </c>
      <c r="L160" s="33" t="inlineStr">
        <is>
          <t>/</t>
        </is>
      </c>
      <c r="M160" s="64" t="n"/>
      <c r="N160" s="39" t="n">
        <v>1</v>
      </c>
      <c r="O160" t="n">
        <v>12</v>
      </c>
      <c r="P160" s="35" t="inlineStr">
        <is>
          <t>差:-52.25元 (-81.3%) 来源:售楼处</t>
        </is>
      </c>
      <c r="Q160" s="35" t="n"/>
      <c r="R160" s="35" t="n"/>
    </row>
    <row r="161" outlineLevel="1" customFormat="1" s="39">
      <c r="A161" s="36" t="n"/>
      <c r="B161" s="27" t="inlineStr">
        <is>
          <t>天花工程</t>
        </is>
      </c>
      <c r="C161" s="27" t="n"/>
      <c r="D161" s="27" t="n"/>
      <c r="E161" s="27" t="n"/>
      <c r="F161" s="28" t="n"/>
      <c r="G161" s="61" t="n"/>
      <c r="H161" s="62" t="n"/>
      <c r="I161" s="65" t="n"/>
      <c r="J161" s="62" t="n"/>
      <c r="K161" s="63" t="n"/>
      <c r="L161" s="33" t="n"/>
      <c r="M161" s="64" t="n"/>
      <c r="P161" s="35" t="n"/>
      <c r="Q161" s="35" t="n"/>
      <c r="R161" s="35" t="n"/>
    </row>
    <row r="162" outlineLevel="2" ht="192" customFormat="1" customHeight="1" s="39">
      <c r="A162" s="37">
        <f>1+N(A161)</f>
        <v/>
      </c>
      <c r="B162" s="27" t="inlineStr">
        <is>
          <t>造型石膏板吊顶</t>
        </is>
      </c>
      <c r="C162" s="27" t="inlineStr">
        <is>
          <t>1.60系列轻钢主龙骨@900，60系列轻钢副龙骨@400，60系列横撑龙骨@600，08螺纹吊杆@900不上人天花吊顶（投影面计算）
2.玻镁板、双层9.5厚石膏板基层，含开孔、检修口、10*10凹槽等费用；
3.含除灯槽外的侧面高差及其连接件、吊件；
4.包含完成该项内容所有工作及费用并满足设计图纸、规范等要求；</t>
        </is>
      </c>
      <c r="D162" s="27" t="inlineStr">
        <is>
          <t>1.基层清理。
2.弹线定位、排版。
3.吊杆及连接件安装调平、收口及密封处理。
4.材料切割处理找平、石膏板安装及调整，打胶密封与清理.
5.收口及其他处理：检修口等制作安装、收边收口、配合预留安装、机电等专业孔洞及孔洞收口处理。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162" s="27" t="inlineStr">
        <is>
          <t>按设计图示尺寸以水平投影面积计算。不扣除间壁墙、检查口、附墙烟囱、柱垛和管道所占面积,扣除单个&gt;0.3m3的孔洞、非密拼吊顶空隙所占的面积、独立柱及与天棚相连的窗帘盒所占的面积。</t>
        </is>
      </c>
      <c r="F162" s="28" t="inlineStr">
        <is>
          <t>m2</t>
        </is>
      </c>
      <c r="G162" s="61" t="n">
        <v>17.64</v>
      </c>
      <c r="H162" s="62" t="n">
        <v>174.574444444444</v>
      </c>
      <c r="I162" s="65" t="n"/>
      <c r="J162" s="62">
        <f>H162*(1-$I$4)</f>
        <v/>
      </c>
      <c r="K162" s="63">
        <f>G162*J162</f>
        <v/>
      </c>
      <c r="L162" s="33" t="inlineStr">
        <is>
          <t>/</t>
        </is>
      </c>
      <c r="M162" s="64" t="n"/>
      <c r="N162" s="39" t="n">
        <v>1</v>
      </c>
      <c r="O162" t="n">
        <v>70</v>
      </c>
      <c r="P162" s="35" t="inlineStr">
        <is>
          <t>差:-104.57元 (-59.9%) 来源:售楼处</t>
        </is>
      </c>
      <c r="Q162" s="35" t="n"/>
      <c r="R162" s="35" t="n"/>
    </row>
    <row r="163" outlineLevel="2" ht="192" customFormat="1" customHeight="1" s="39">
      <c r="A163" s="37">
        <f>1+N(A162)</f>
        <v/>
      </c>
      <c r="B163" s="27" t="inlineStr">
        <is>
          <t>天花肌理无机涂料PT-01</t>
        </is>
      </c>
      <c r="C163" s="27" t="inlineStr">
        <is>
          <t>1.天花肌理无机涂料PT-01；
2.刮腻子二遍磨平；
3.底漆1遍，面漆2遍；
4.包含完成该项内容所有工作及费用并满足设计图纸、规范等要求；</t>
        </is>
      </c>
      <c r="D163" s="27" t="inlineStr">
        <is>
          <t>包括但不限于材料计划、采购、卸车倒运、保管、检验试验费、测量放线，包含四周阴角找平直、含天棚四周阴角找平直，打磨，简易脚手架搭拆及操作平台、升降机，基层清理、打磨平整、底层找补、满刮涂料（含阴阳角塑料条）、涂料打磨、补遗处理、配合其他分包施工、完工后场清、成品保护、保修等直到达到竣工交付标准的全部工作内容。包括所有为完成工作所需的小型机具；包括所有为完成工作所需的附属工作；包括但不限于以上内容。</t>
        </is>
      </c>
      <c r="E163" s="27" t="inlineStr">
        <is>
          <t>执行《GB/T50854-2024房屋建筑与装饰工程工程量计算标准》，按设计图示尺寸以面积计算。扣除0.3平方米以上洞口的面积；梁侧面及檐口天棚并入天棚计算；以设计图纸和技术交底为基础</t>
        </is>
      </c>
      <c r="F163" s="28" t="inlineStr">
        <is>
          <t>m2</t>
        </is>
      </c>
      <c r="G163" s="61" t="n">
        <v>17.64</v>
      </c>
      <c r="H163" s="62" t="n">
        <v>48.38</v>
      </c>
      <c r="I163" s="65" t="n"/>
      <c r="J163" s="62">
        <f>H163*(1-$I$4)</f>
        <v/>
      </c>
      <c r="K163" s="63">
        <f>G163*J163</f>
        <v/>
      </c>
      <c r="L163" s="33" t="inlineStr">
        <is>
          <t>涂料</t>
        </is>
      </c>
      <c r="M163" s="64" t="n"/>
      <c r="N163" s="39" t="n">
        <v>1</v>
      </c>
      <c r="O163" t="n">
        <v>45</v>
      </c>
      <c r="P163" s="35" t="inlineStr">
        <is>
          <t>差:-3.38元 (-7.0%) 来源:售楼处</t>
        </is>
      </c>
      <c r="Q163" s="35" t="n"/>
      <c r="R163" s="35" t="n"/>
    </row>
    <row r="164" outlineLevel="1" customFormat="1" s="39">
      <c r="A164" s="36" t="n"/>
      <c r="B164" s="27" t="inlineStr">
        <is>
          <t>门窗、家具工程</t>
        </is>
      </c>
      <c r="C164" s="27" t="n"/>
      <c r="D164" s="27" t="n"/>
      <c r="E164" s="27" t="n"/>
      <c r="F164" s="28" t="n"/>
      <c r="G164" s="61" t="n"/>
      <c r="H164" s="62" t="n"/>
      <c r="I164" s="65" t="n"/>
      <c r="J164" s="62" t="n"/>
      <c r="K164" s="63" t="n"/>
      <c r="L164" s="33" t="n"/>
      <c r="M164" s="64" t="n"/>
      <c r="P164" s="35" t="n"/>
      <c r="Q164" s="35" t="n"/>
      <c r="R164" s="35" t="n"/>
    </row>
    <row r="165" outlineLevel="1" customFormat="1" s="39">
      <c r="A165" s="26" t="inlineStr">
        <is>
          <t>八</t>
        </is>
      </c>
      <c r="B165" s="27" t="inlineStr">
        <is>
          <t>零星工程</t>
        </is>
      </c>
      <c r="C165" s="27" t="n"/>
      <c r="D165" s="27" t="n"/>
      <c r="E165" s="27" t="n"/>
      <c r="F165" s="28" t="n"/>
      <c r="G165" s="61" t="n"/>
      <c r="H165" s="62" t="n"/>
      <c r="I165" s="65" t="n"/>
      <c r="J165" s="62" t="n"/>
      <c r="K165" s="63" t="n"/>
      <c r="L165" s="33" t="n"/>
      <c r="M165" s="64" t="n"/>
      <c r="P165" s="35" t="n"/>
      <c r="Q165" s="35" t="n"/>
      <c r="R165" s="35" t="n"/>
    </row>
    <row r="166" outlineLevel="1" customFormat="1" s="39">
      <c r="A166" s="36" t="n"/>
      <c r="B166" s="27" t="inlineStr">
        <is>
          <t>土建工程</t>
        </is>
      </c>
      <c r="C166" s="27" t="n"/>
      <c r="D166" s="27" t="n"/>
      <c r="E166" s="27" t="n"/>
      <c r="F166" s="28" t="n"/>
      <c r="G166" s="61" t="n"/>
      <c r="H166" s="62" t="n"/>
      <c r="I166" s="65" t="n"/>
      <c r="J166" s="62" t="n"/>
      <c r="K166" s="63" t="n"/>
      <c r="L166" s="33" t="n"/>
      <c r="M166" s="64" t="n"/>
      <c r="P166" s="35" t="n"/>
      <c r="Q166" s="35" t="n"/>
      <c r="R166" s="35" t="n"/>
    </row>
    <row r="167" outlineLevel="2" ht="144" customFormat="1" customHeight="1" s="39">
      <c r="A167" s="37">
        <f>1+N(A166)</f>
        <v/>
      </c>
      <c r="B167" s="27" t="inlineStr">
        <is>
          <t>新建钢结构隔墙</t>
        </is>
      </c>
      <c r="C167" s="27" t="inlineStr">
        <is>
          <t>1、新建钢结构隔墙
2、8#热镀锌竖向槽钢龙骨间距小于0.9米，并要求至结构楼板底生根固定，横向5#角钢龙骨，间距根据砖面尺寸排列，所有的钢骨架均需做防锈处理
3、具体施工做法详见国家相关规范条文
4、包含完成该项内容所有工作及费用并满足设计图纸、规范等要求</t>
        </is>
      </c>
      <c r="D167"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67" s="27" t="inlineStr">
        <is>
          <t>执行《GB/T50854-2024房屋建筑与装饰工程工程量计算标准》，按设计图示框外围尺寸以面积计算。不扣除单个面积≤0.3㎡的孔洞所占面积；</t>
        </is>
      </c>
      <c r="F167" s="28" t="inlineStr">
        <is>
          <t>m2</t>
        </is>
      </c>
      <c r="G167" s="61" t="n">
        <v>246.1</v>
      </c>
      <c r="H167" s="62" t="n">
        <v>205.025</v>
      </c>
      <c r="I167" s="65" t="n"/>
      <c r="J167" s="62">
        <f>H167*(1-$I$4)</f>
        <v/>
      </c>
      <c r="K167" s="63">
        <f>G167*J167</f>
        <v/>
      </c>
      <c r="L167" s="33" t="inlineStr">
        <is>
          <t>/</t>
        </is>
      </c>
      <c r="M167" s="64" t="n"/>
      <c r="N167" s="39" t="n">
        <v>1</v>
      </c>
      <c r="O167" t="n">
        <v>65</v>
      </c>
      <c r="P167" s="35" t="inlineStr">
        <is>
          <t>差:-140.03元 (-68.3%) 来源:售楼处</t>
        </is>
      </c>
      <c r="Q167" s="35" t="n"/>
      <c r="R167" s="35" t="n"/>
    </row>
    <row r="168" customFormat="1" s="39">
      <c r="A168" s="26" t="inlineStr">
        <is>
          <t>B</t>
        </is>
      </c>
      <c r="B168" s="20" t="inlineStr">
        <is>
          <t>首层装修部分（南向）</t>
        </is>
      </c>
      <c r="C168" s="27" t="n"/>
      <c r="D168" s="27" t="n"/>
      <c r="E168" s="27" t="n"/>
      <c r="F168" s="28" t="n"/>
      <c r="G168" s="61" t="n"/>
      <c r="H168" s="62" t="n"/>
      <c r="I168" s="65" t="n"/>
      <c r="J168" s="62" t="n"/>
      <c r="K168" s="63" t="n"/>
      <c r="L168" s="33" t="n"/>
      <c r="M168" s="64" t="n"/>
      <c r="O168" s="38" t="n"/>
      <c r="P168" s="35" t="n"/>
      <c r="Q168" s="35" t="n"/>
      <c r="R168" s="35" t="n"/>
    </row>
    <row r="169" outlineLevel="1" customFormat="1" s="39">
      <c r="A169" s="26" t="inlineStr">
        <is>
          <t>一</t>
        </is>
      </c>
      <c r="B169" s="27" t="inlineStr">
        <is>
          <t>一层咖啡吧（DT6-DT8）</t>
        </is>
      </c>
      <c r="C169" s="27" t="n"/>
      <c r="D169" s="27" t="n"/>
      <c r="E169" s="27" t="n"/>
      <c r="F169" s="28" t="n"/>
      <c r="G169" s="61" t="n"/>
      <c r="H169" s="62" t="n"/>
      <c r="I169" s="65" t="n"/>
      <c r="J169" s="62" t="n"/>
      <c r="K169" s="63" t="n"/>
      <c r="L169" s="33" t="n"/>
      <c r="M169" s="64" t="n"/>
      <c r="O169" s="38" t="n"/>
      <c r="P169" s="35" t="n"/>
      <c r="Q169" s="35" t="n"/>
      <c r="R169" s="35" t="n"/>
    </row>
    <row r="170" outlineLevel="1" customFormat="1" s="39">
      <c r="A170" s="36" t="n"/>
      <c r="B170" s="27" t="inlineStr">
        <is>
          <t>地面工程</t>
        </is>
      </c>
      <c r="C170" s="27" t="n"/>
      <c r="D170" s="27" t="n"/>
      <c r="E170" s="27" t="n"/>
      <c r="F170" s="28" t="n"/>
      <c r="G170" s="61" t="n"/>
      <c r="H170" s="62" t="n"/>
      <c r="I170" s="65" t="n"/>
      <c r="J170" s="62" t="n"/>
      <c r="K170" s="63" t="n"/>
      <c r="L170" s="33" t="n"/>
      <c r="M170" s="64" t="n"/>
      <c r="P170" s="35" t="n"/>
      <c r="Q170" s="35" t="n"/>
      <c r="R170" s="35" t="n"/>
    </row>
    <row r="171" outlineLevel="2" ht="108" customFormat="1" customHeight="1" s="39">
      <c r="A171" s="37">
        <f>1+N(A170)</f>
        <v/>
      </c>
      <c r="B171" s="27" t="inlineStr">
        <is>
          <t>地面地砖 CT-01</t>
        </is>
      </c>
      <c r="C171" s="27" t="inlineStr">
        <is>
          <t>1.地面花砖CT-01；
2.10mm厚专用粘结剂；
3.80mm厚DS-M15干混砂浆找平；
4.基层清理；
5.含切边、倒角、拼接等处理；
6.包含完成该项内容所有工作及费用并满足设计图纸、规范等要求；</t>
        </is>
      </c>
      <c r="D171"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71" s="27" t="inlineStr">
        <is>
          <t xml:space="preserve">执行《GB/T50854-2024房屋建筑与装饰工程工程量计算标准》，按设计图示尺寸
以面积计算。 </t>
        </is>
      </c>
      <c r="F171" s="28" t="inlineStr">
        <is>
          <t>m2</t>
        </is>
      </c>
      <c r="G171" s="61" t="n">
        <v>61.55</v>
      </c>
      <c r="H171" s="62" t="n">
        <v>164.71148</v>
      </c>
      <c r="I171" s="65" t="n"/>
      <c r="J171" s="62">
        <f>H171*(1-$I$4)</f>
        <v/>
      </c>
      <c r="K171" s="63">
        <f>G171*J171</f>
        <v/>
      </c>
      <c r="L171" s="33" t="inlineStr">
        <is>
          <t>瓷砖</t>
        </is>
      </c>
      <c r="M171" s="64" t="n"/>
      <c r="N171" s="39" t="n">
        <v>1</v>
      </c>
      <c r="O171" t="n">
        <v>80</v>
      </c>
      <c r="P171" s="35" t="inlineStr">
        <is>
          <t>差:-84.71元 (-51.4%) 来源:售楼处</t>
        </is>
      </c>
      <c r="Q171" s="35" t="n"/>
      <c r="R171" s="35" t="n"/>
    </row>
    <row r="172" outlineLevel="2" ht="216" customFormat="1" customHeight="1" s="39">
      <c r="A172" s="37">
        <f>1+N(A171)</f>
        <v/>
      </c>
      <c r="B172" s="27" t="inlineStr">
        <is>
          <t>水泥砂浆找平层</t>
        </is>
      </c>
      <c r="C172" s="27" t="inlineStr">
        <is>
          <t>1.95mm厚DS干混砂浆找平层、需铺符合设计要求标高；
2.完成需收光、压实处理；
3.包含完成该项内容所有工作及费用并满足设计图纸、规范等要求；</t>
        </is>
      </c>
      <c r="D172" s="27" t="inlineStr">
        <is>
          <t>包含完成地面所有施工工序所需的人工、材料（甲供材除外）、机械、管理费、利润；包括但不限于材料计划、卸车倒运（含多次）、保管、测量放线、基底清理、标高检测、配合检测、贴饼冲筋、砂浆找平、抹压、压光、设置分格缝、阻水台（按照方案及交底要求施工）、地面留槽回填及二次处理，所有洞口、管根的补遗处理，养护、配合水电安装、现场清理及分包施工作业面的及时清理、清扫等、装卸费、场内倒运费，配合承包人实验员做好冬季测温记录、坍落度实验及砼试块制作，成品保护、保修等全部工作内容。</t>
        </is>
      </c>
      <c r="E172" s="27" t="inlineStr">
        <is>
          <t>执行《GB/T50854-2024房屋建筑与装饰工程工程量计算标准》，按设计图示尺寸以面积计算。扣除凸出地面构筑物、设备基础、室内管道、地沟等所占面积，不扣除间壁墙及≤0.3 ㎡柱、垛、附墙烟囱及孔洞所占面积。门洞、空圈、暖气包槽、壁龛的开口部分不增加面积。</t>
        </is>
      </c>
      <c r="F172" s="28" t="inlineStr">
        <is>
          <t>m2</t>
        </is>
      </c>
      <c r="G172" s="61" t="n">
        <v>2.78</v>
      </c>
      <c r="H172" s="62" t="n">
        <v>94.33244500000001</v>
      </c>
      <c r="I172" s="65" t="n"/>
      <c r="J172" s="62">
        <f>H172*(1-$I$4)</f>
        <v/>
      </c>
      <c r="K172" s="63">
        <f>G172*J172</f>
        <v/>
      </c>
      <c r="L172" s="33" t="inlineStr">
        <is>
          <t>/</t>
        </is>
      </c>
      <c r="M172" s="64" t="n"/>
      <c r="N172" s="39" t="n">
        <v>1</v>
      </c>
      <c r="O172" t="n">
        <v>28</v>
      </c>
      <c r="P172" s="35" t="inlineStr">
        <is>
          <t>差:-66.33元 (-70.3%) 来源:售楼处</t>
        </is>
      </c>
      <c r="Q172" s="35" t="n"/>
      <c r="R172" s="35" t="n"/>
    </row>
    <row r="173" outlineLevel="2" ht="108" customFormat="1" customHeight="1" s="39">
      <c r="A173" s="37">
        <f>1+N(A172)</f>
        <v/>
      </c>
      <c r="B173" s="27" t="inlineStr">
        <is>
          <t>实心铜条5mm宽</t>
        </is>
      </c>
      <c r="C173" s="27" t="inlineStr">
        <is>
          <t>1.实心铜条5mm宽；
2.包含完成该项内容所有工作及费用并满足设计图纸、规范等要求；</t>
        </is>
      </c>
      <c r="D173"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73" s="27" t="inlineStr">
        <is>
          <t>按设计图示尺寸以长度计算。</t>
        </is>
      </c>
      <c r="F173" s="28" t="inlineStr">
        <is>
          <t>m</t>
        </is>
      </c>
      <c r="G173" s="61" t="n">
        <v>1.65</v>
      </c>
      <c r="H173" s="62" t="n">
        <v>89.267</v>
      </c>
      <c r="I173" s="65" t="n"/>
      <c r="J173" s="62">
        <f>H173*(1-$I$4)</f>
        <v/>
      </c>
      <c r="K173" s="63">
        <f>G173*J173</f>
        <v/>
      </c>
      <c r="L173" s="33" t="inlineStr">
        <is>
          <t>/</t>
        </is>
      </c>
      <c r="M173" s="64" t="n"/>
      <c r="N173" s="39" t="n">
        <v>1</v>
      </c>
      <c r="O173" t="n">
        <v>12</v>
      </c>
      <c r="P173" s="35" t="inlineStr">
        <is>
          <t>差:-77.27元 (-86.6%) 来源:售楼处</t>
        </is>
      </c>
      <c r="Q173" s="35" t="n"/>
      <c r="R173" s="35" t="n"/>
    </row>
    <row r="174" outlineLevel="1" customFormat="1" s="39">
      <c r="A174" s="36" t="n"/>
      <c r="B174" s="27" t="inlineStr">
        <is>
          <t>墙柱面工程</t>
        </is>
      </c>
      <c r="C174" s="27" t="n"/>
      <c r="D174" s="27" t="n"/>
      <c r="E174" s="27" t="n"/>
      <c r="F174" s="28" t="n"/>
      <c r="G174" s="61" t="n"/>
      <c r="H174" s="62" t="n"/>
      <c r="I174" s="65" t="n"/>
      <c r="J174" s="62" t="n"/>
      <c r="K174" s="63" t="n"/>
      <c r="L174" s="33" t="n"/>
      <c r="M174" s="64" t="n"/>
      <c r="P174" s="35" t="n"/>
      <c r="Q174" s="35" t="n"/>
      <c r="R174" s="35" t="n"/>
    </row>
    <row r="175" outlineLevel="2" ht="144" customFormat="1" customHeight="1" s="39">
      <c r="A175" s="37">
        <f>1+N(A174)</f>
        <v/>
      </c>
      <c r="B175" s="27" t="inlineStr">
        <is>
          <t>墙面湿贴石材ST-05</t>
        </is>
      </c>
      <c r="C175" s="27" t="inlineStr">
        <is>
          <t>1、墙面湿贴石材ST-05
2、8mm厚石材专用胶粘剂WC粘结层
3、界面剂拉毛处理
4、石材的开槽、磨边、倒角、粘接、形成所需之凹坑、抛光、六面防污防渗等一切处理费用均在主材费中考虑，不再另行计取
5、包含完成该项内容所有工作及费用并满足设计图纸、规范等要求</t>
        </is>
      </c>
      <c r="D175" s="27" t="inlineStr">
        <is>
          <t>具体工作内容除详见项目特征外，且不限于以下内容:1.包含材料的下车、场内运输；2.清理基层、找标高、弹线定位；3.试拼试排；4.砂浆拌和、铺找平层（粘结层）砂浆；5.面层铺设、灌缝、擦缝；6.打蜡、养护；配合留设墙面开关、插座等末端设备等全部内容；包含成品保护、安全文明施工等达到验收合格的全部施工内容。</t>
        </is>
      </c>
      <c r="E175" s="27" t="inlineStr">
        <is>
          <t>执行《GB/T50854-2024房屋建筑与装饰工程工程量计算标准》，按设计图示镶贴后外围面积计算</t>
        </is>
      </c>
      <c r="F175" s="28" t="inlineStr">
        <is>
          <t>m2</t>
        </is>
      </c>
      <c r="G175" s="61" t="n">
        <v>1.71</v>
      </c>
      <c r="H175" s="62" t="n">
        <v>177</v>
      </c>
      <c r="I175" s="65" t="n"/>
      <c r="J175" s="62">
        <f>H175*(1-$I$4)</f>
        <v/>
      </c>
      <c r="K175" s="63">
        <f>G175*J175</f>
        <v/>
      </c>
      <c r="L175" s="33" t="inlineStr">
        <is>
          <t>石材</t>
        </is>
      </c>
      <c r="M175" s="64" t="n"/>
      <c r="N175" s="39" t="n">
        <v>1</v>
      </c>
      <c r="O175" t="n">
        <v>95</v>
      </c>
      <c r="P175" s="35" t="inlineStr">
        <is>
          <t>差:-82.00元 (-46.3%) 来源:售楼处</t>
        </is>
      </c>
      <c r="Q175" s="35" t="n"/>
      <c r="R175" s="35" t="n"/>
    </row>
    <row r="176" outlineLevel="2" ht="180" customFormat="1" customHeight="1" s="39">
      <c r="A176" s="37">
        <f>1+N(A175)</f>
        <v/>
      </c>
      <c r="B176" s="27" t="inlineStr">
        <is>
          <t>墙面干挂ST-05石材</t>
        </is>
      </c>
      <c r="C176" s="27" t="inlineStr">
        <is>
          <t>1、墙面干挂ST-05石材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is>
      </c>
      <c r="D176"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76" s="27" t="inlineStr">
        <is>
          <t>执行《GB/T50854-2024房屋建筑与装饰工程工程量计算标准》，按设计图示镶贴后外围面积计算</t>
        </is>
      </c>
      <c r="F176" s="28" t="inlineStr">
        <is>
          <t>m2</t>
        </is>
      </c>
      <c r="G176" s="61" t="n">
        <v>8.369999999999999</v>
      </c>
      <c r="H176" s="62" t="n">
        <v>283.2</v>
      </c>
      <c r="I176" s="65" t="n"/>
      <c r="J176" s="62">
        <f>H176*(1-$I$4)</f>
        <v/>
      </c>
      <c r="K176" s="63">
        <f>G176*J176</f>
        <v/>
      </c>
      <c r="L176" s="33" t="inlineStr">
        <is>
          <t>石材</t>
        </is>
      </c>
      <c r="M176" s="64" t="n"/>
      <c r="N176" s="39" t="n">
        <v>1</v>
      </c>
      <c r="O176" t="n">
        <v>145</v>
      </c>
      <c r="P176" s="35" t="inlineStr">
        <is>
          <t>差:-138.20元 (-48.8%) 来源:售楼处</t>
        </is>
      </c>
      <c r="Q176" s="35" t="n"/>
      <c r="R176" s="35" t="n"/>
    </row>
    <row r="177" outlineLevel="2" ht="144" customFormat="1" customHeight="1" s="39">
      <c r="A177" s="37">
        <f>1+N(A176)</f>
        <v/>
      </c>
      <c r="B177" s="27" t="inlineStr">
        <is>
          <t>墙面CT-05瓷砖</t>
        </is>
      </c>
      <c r="C177" s="27" t="inlineStr">
        <is>
          <t>1、CT-05瓷砖,瓷砖填缝剂处理
2、背覆胶处理
3、12mm水泥纤维板、轻钢龙骨构件
4、界面剂拉毛处理
5、包含完成该项内容所有工作及费用并满足设计图纸、规范等要求</t>
        </is>
      </c>
      <c r="D177" s="27" t="inlineStr">
        <is>
          <t>具体工作内容除详见项目特征外，且不限于以下内容:1.包含材料的下车、场内运输；2.清理基层、找标高、弹线定位；3.试拼试排；4.砂浆拌和、铺找平层（粘结层）砂浆；5.面层铺设、灌缝、擦缝；6.打蜡、养护；配合留设墙面开关、插座等末端设备等全部内容；包含成品保护、安全文明施工等达到验收合格的全部施工内容。</t>
        </is>
      </c>
      <c r="E177" s="27" t="inlineStr">
        <is>
          <t>执行《GB/T50854-2024房屋建筑与装饰工程工程量计算标准》，按设计图示镶贴后外围面积计算</t>
        </is>
      </c>
      <c r="F177" s="28" t="inlineStr">
        <is>
          <t>m2</t>
        </is>
      </c>
      <c r="G177" s="61" t="n">
        <v>8.35</v>
      </c>
      <c r="H177" s="62" t="n">
        <v>316.24</v>
      </c>
      <c r="I177" s="65" t="n"/>
      <c r="J177" s="62">
        <f>H177*(1-$I$4)</f>
        <v/>
      </c>
      <c r="K177" s="63">
        <f>G177*J177</f>
        <v/>
      </c>
      <c r="L177" s="33" t="inlineStr">
        <is>
          <t>瓷砖</t>
        </is>
      </c>
      <c r="M177" s="64" t="n"/>
      <c r="N177" s="39" t="n">
        <v>1</v>
      </c>
      <c r="O177" t="n">
        <v>89</v>
      </c>
      <c r="P177" s="35" t="inlineStr">
        <is>
          <t>差:-227.24元 (-71.9%) 来源:售楼处</t>
        </is>
      </c>
      <c r="Q177" s="35" t="n"/>
      <c r="R177" s="35" t="n"/>
    </row>
    <row r="178" outlineLevel="2" ht="144" customFormat="1" customHeight="1" s="39">
      <c r="A178" s="37">
        <f>1+N(A177)</f>
        <v/>
      </c>
      <c r="B178" s="27" t="inlineStr">
        <is>
          <t>墙面PT-02白色防水无机涂料</t>
        </is>
      </c>
      <c r="C178" s="27" t="inlineStr">
        <is>
          <t>1、墙面PT-02白色防水无机涂料(底漆1遍，面漆2遍)
2、刮白胶腻子找平二遍，打磨
3、阴、阳角护角收边
4、双层9.5mm纸面石膏板
5、轻钢龙骨基层找平
6、包含完成该项内容所有工作及费用并满足设计图纸、规范等要求</t>
        </is>
      </c>
      <c r="D178"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78" s="27" t="inlineStr">
        <is>
          <t xml:space="preserve">执行《GB/T50854-2024房屋建筑与装饰工程工程量计算标准》，按设计图示尺寸
以面积计算。 </t>
        </is>
      </c>
      <c r="F178" s="28" t="inlineStr">
        <is>
          <t>m2</t>
        </is>
      </c>
      <c r="G178" s="61" t="n">
        <v>22.7</v>
      </c>
      <c r="H178" s="62" t="n">
        <v>207.68</v>
      </c>
      <c r="I178" s="65" t="n"/>
      <c r="J178" s="62">
        <f>H178*(1-$I$4)</f>
        <v/>
      </c>
      <c r="K178" s="63">
        <f>G178*J178</f>
        <v/>
      </c>
      <c r="L178" s="33" t="inlineStr">
        <is>
          <t>涂料</t>
        </is>
      </c>
      <c r="M178" s="64" t="n"/>
      <c r="N178" s="39" t="n">
        <v>1</v>
      </c>
      <c r="O178" t="n">
        <v>91.5</v>
      </c>
      <c r="P178" s="35" t="inlineStr">
        <is>
          <t>差:-116.18元 (-55.9%) 来源:售楼处</t>
        </is>
      </c>
      <c r="Q178" s="35" t="n"/>
      <c r="R178" s="35" t="n"/>
    </row>
    <row r="179" outlineLevel="2" ht="144" customFormat="1" customHeight="1" s="39">
      <c r="A179" s="37">
        <f>1+N(A178)</f>
        <v/>
      </c>
      <c r="B179" s="27" t="inlineStr">
        <is>
          <t>墙面PT-03米色肌理无机涂料</t>
        </is>
      </c>
      <c r="C179" s="27" t="inlineStr">
        <is>
          <t>1、墙面PT-03米色肌理无机涂料(底漆1遍，面漆2遍)
2、刮白胶腻子找平二遍，打磨
3、阴、阳角护角收边
4、双层9.5mm纸面石膏板
5、轻钢龙骨基层找平
6、包含完成该项内容所有工作及费用并满足设计图纸、规范等要求</t>
        </is>
      </c>
      <c r="D179"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79" s="27" t="inlineStr">
        <is>
          <t xml:space="preserve">执行《GB/T50854-2024房屋建筑与装饰工程工程量计算标准》，按设计图示尺寸
以面积计算。 </t>
        </is>
      </c>
      <c r="F179" s="28" t="inlineStr">
        <is>
          <t>m2</t>
        </is>
      </c>
      <c r="G179" s="61" t="n">
        <v>78.54000000000001</v>
      </c>
      <c r="H179" s="62" t="n">
        <v>207.68</v>
      </c>
      <c r="I179" s="65" t="n"/>
      <c r="J179" s="62">
        <f>H179*(1-$I$4)</f>
        <v/>
      </c>
      <c r="K179" s="63">
        <f>G179*J179</f>
        <v/>
      </c>
      <c r="L179" s="33" t="inlineStr">
        <is>
          <t>涂料</t>
        </is>
      </c>
      <c r="M179" s="64" t="n"/>
      <c r="N179" s="39" t="n">
        <v>1</v>
      </c>
      <c r="O179" t="n">
        <v>110</v>
      </c>
      <c r="P179" s="35" t="inlineStr">
        <is>
          <t>差:-97.68元 (-47.0%) 来源:售楼处</t>
        </is>
      </c>
      <c r="Q179" s="35" t="n"/>
      <c r="R179" s="35" t="n"/>
    </row>
    <row r="180" outlineLevel="2" ht="144" customFormat="1" customHeight="1" s="39">
      <c r="A180" s="37">
        <f>1+N(A179)</f>
        <v/>
      </c>
      <c r="B180" s="27" t="inlineStr">
        <is>
          <t>MR-01银镜</t>
        </is>
      </c>
      <c r="C180" s="27" t="inlineStr">
        <is>
          <t>1、MR-01银镜
2、胶粘剂固定(中性胶)
3、12mm阻燃板基层
4、膨胀螺栓、轻钢龙骨(钢结构)基层找平
5、包含完成该项内容所有工作及费用并满足设计图纸、规范等要求</t>
        </is>
      </c>
      <c r="D180"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80" s="27" t="inlineStr">
        <is>
          <t>执行《GB/T50854-2024房屋建筑与装饰工程工程量计算标准》，按设计图示饰面外围尺寸以面积计算。</t>
        </is>
      </c>
      <c r="F180" s="28" t="inlineStr">
        <is>
          <t>m2</t>
        </is>
      </c>
      <c r="G180" s="61" t="n">
        <v>3.52</v>
      </c>
      <c r="H180" s="62" t="n">
        <v>214.76</v>
      </c>
      <c r="I180" s="65" t="n"/>
      <c r="J180" s="62">
        <f>H180*(1-$I$4)</f>
        <v/>
      </c>
      <c r="K180" s="63">
        <f>G180*J180</f>
        <v/>
      </c>
      <c r="L180" s="33" t="inlineStr">
        <is>
          <t>银镜</t>
        </is>
      </c>
      <c r="M180" s="64" t="n"/>
      <c r="N180" s="39" t="n">
        <v>1</v>
      </c>
      <c r="O180" t="n">
        <v>110</v>
      </c>
      <c r="P180" s="35" t="inlineStr">
        <is>
          <t>差:-104.76元 (-48.8%) 来源:售楼处</t>
        </is>
      </c>
      <c r="Q180" s="35" t="n"/>
      <c r="R180" s="35" t="n"/>
    </row>
    <row r="181" outlineLevel="2" ht="180" customFormat="1" customHeight="1" s="39">
      <c r="A181" s="37">
        <f>1+N(A180)</f>
        <v/>
      </c>
      <c r="B181" s="27" t="inlineStr">
        <is>
          <t>MT-01古铜不锈钢饰面</t>
        </is>
      </c>
      <c r="C181" s="27" t="inlineStr">
        <is>
          <t>1、1.2mm厚 MT-01古铜不锈钢饰面，结构胶固定
2、9厘玻镁板基层
3、包含完成该项内容所有工作及费用并满足设计图纸、规范等要求</t>
        </is>
      </c>
      <c r="D181"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81" s="27" t="inlineStr">
        <is>
          <t>执行《GB/T50854-2024房屋建筑与装饰工程工程量计算标准》，按设计图示饰面外围尺寸
以面积计算。 扣除门窗洞口面积，不扣除单个面积≤0.3㎡的孔洞所占面积。</t>
        </is>
      </c>
      <c r="F181" s="28" t="inlineStr">
        <is>
          <t>m2</t>
        </is>
      </c>
      <c r="G181" s="61" t="n">
        <v>1.29</v>
      </c>
      <c r="H181" s="62" t="n">
        <v>247.8</v>
      </c>
      <c r="I181" s="65" t="n"/>
      <c r="J181" s="62">
        <f>H181*(1-$I$4)</f>
        <v/>
      </c>
      <c r="K181" s="63">
        <f>G181*J181</f>
        <v/>
      </c>
      <c r="L181" s="33" t="inlineStr">
        <is>
          <t>不锈钢饰面</t>
        </is>
      </c>
      <c r="M181" s="64" t="n"/>
      <c r="N181" s="39" t="n">
        <v>1</v>
      </c>
      <c r="O181" t="n">
        <v>110</v>
      </c>
      <c r="P181" s="35" t="inlineStr">
        <is>
          <t>差:-137.80元 (-55.6%) 来源:售楼处</t>
        </is>
      </c>
      <c r="Q181" s="35" t="n"/>
      <c r="R181" s="35" t="n"/>
    </row>
    <row r="182" outlineLevel="2" ht="144" customFormat="1" customHeight="1" s="39">
      <c r="A182" s="37">
        <f>1+N(A181)</f>
        <v/>
      </c>
      <c r="B182" s="27" t="inlineStr">
        <is>
          <t>MT-01古铜不锈钢踢脚线（高20mm）</t>
        </is>
      </c>
      <c r="C182" s="27" t="inlineStr">
        <is>
          <t>1、1.2mm厚 MT-01古铜不锈钢踢脚线（高20mm，展开面为46mm），结构胶固定
2、9厘玻镁板基层
3、包含完成该项内容所有工作及费用并满足设计图纸、规范等要求</t>
        </is>
      </c>
      <c r="D182"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82" s="27" t="inlineStr">
        <is>
          <t>按设计图示尺寸以长度计算。</t>
        </is>
      </c>
      <c r="F182" s="28" t="inlineStr">
        <is>
          <t>m</t>
        </is>
      </c>
      <c r="G182" s="61" t="n">
        <v>36.44</v>
      </c>
      <c r="H182" s="62" t="n">
        <v>31.86</v>
      </c>
      <c r="I182" s="65" t="n"/>
      <c r="J182" s="62">
        <f>H182*(1-$I$4)</f>
        <v/>
      </c>
      <c r="K182" s="63">
        <f>G182*J182</f>
        <v/>
      </c>
      <c r="L182" s="33" t="inlineStr">
        <is>
          <t>不锈钢踢脚线</t>
        </is>
      </c>
      <c r="M182" s="64" t="n"/>
      <c r="N182" s="39" t="n">
        <v>1</v>
      </c>
      <c r="O182" t="n">
        <v>12</v>
      </c>
      <c r="P182" s="35" t="inlineStr">
        <is>
          <t>差:-19.86元 (-62.3%) 来源:售楼处</t>
        </is>
      </c>
      <c r="Q182" s="35" t="n"/>
      <c r="R182" s="35" t="n"/>
    </row>
    <row r="183" outlineLevel="2" ht="144" customFormat="1" customHeight="1" s="39">
      <c r="A183" s="37">
        <f>1+N(A182)</f>
        <v/>
      </c>
      <c r="B183" s="27" t="inlineStr">
        <is>
          <t>MT-01古铜不锈钢线条（展开面为114mm）</t>
        </is>
      </c>
      <c r="C183" s="27" t="inlineStr">
        <is>
          <t>1、1.2mm厚 MT-01古铜不锈钢线条（展开面为114mm），结构胶固定
2、9厘玻镁板基层
3、包含完成该项内容所有工作及费用并满足设计图纸、规范等要求</t>
        </is>
      </c>
      <c r="D183"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83" s="27" t="inlineStr">
        <is>
          <t>按设计图示尺寸以长度计算。</t>
        </is>
      </c>
      <c r="F183" s="28" t="inlineStr">
        <is>
          <t>m</t>
        </is>
      </c>
      <c r="G183" s="61" t="n">
        <v>36.44</v>
      </c>
      <c r="H183" s="62" t="n">
        <v>117.84424</v>
      </c>
      <c r="I183" s="65" t="n"/>
      <c r="J183" s="62">
        <f>H183*(1-$I$4)</f>
        <v/>
      </c>
      <c r="K183" s="63">
        <f>G183*J183</f>
        <v/>
      </c>
      <c r="L183" s="33" t="inlineStr">
        <is>
          <t>/</t>
        </is>
      </c>
      <c r="M183" s="64" t="n"/>
      <c r="N183" s="39" t="n">
        <v>1</v>
      </c>
      <c r="O183" t="n">
        <v>22</v>
      </c>
      <c r="P183" s="35" t="inlineStr">
        <is>
          <t>差:-95.84元 (-81.3%) 来源:售楼处</t>
        </is>
      </c>
      <c r="Q183" s="35" t="n"/>
      <c r="R183" s="35" t="n"/>
    </row>
    <row r="184" outlineLevel="2" ht="144" customFormat="1" customHeight="1" s="39">
      <c r="A184" s="37">
        <f>1+N(A183)</f>
        <v/>
      </c>
      <c r="B184" s="27" t="inlineStr">
        <is>
          <t>MT-01古铜不锈钢顶部收口条（展开面为41mm）</t>
        </is>
      </c>
      <c r="C184" s="27" t="inlineStr">
        <is>
          <t>1、1.2mm厚 MT-01古铜不锈钢顶部收口条（展开面为41mm），结构胶固定
2、9厘玻镁板基层
3、包含完成该项内容所有工作及费用并满足设计图纸、规范等要求</t>
        </is>
      </c>
      <c r="D184"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84" s="27" t="inlineStr">
        <is>
          <t>按设计图示尺寸以长度计算。</t>
        </is>
      </c>
      <c r="F184" s="28" t="inlineStr">
        <is>
          <t>m</t>
        </is>
      </c>
      <c r="G184" s="61" t="n">
        <v>42.44</v>
      </c>
      <c r="H184" s="62" t="n">
        <v>64.24509999999999</v>
      </c>
      <c r="I184" s="65" t="n"/>
      <c r="J184" s="62">
        <f>H184*(1-$I$4)</f>
        <v/>
      </c>
      <c r="K184" s="63">
        <f>G184*J184</f>
        <v/>
      </c>
      <c r="L184" s="33" t="inlineStr">
        <is>
          <t>/</t>
        </is>
      </c>
      <c r="M184" s="64" t="n"/>
      <c r="N184" s="39" t="n">
        <v>1</v>
      </c>
      <c r="O184" t="n">
        <v>12</v>
      </c>
      <c r="P184" s="35" t="inlineStr">
        <is>
          <t>差:-52.25元 (-81.3%) 来源:售楼处</t>
        </is>
      </c>
      <c r="Q184" s="35" t="n"/>
      <c r="R184" s="35" t="n"/>
    </row>
    <row r="185" outlineLevel="1" customFormat="1" s="39">
      <c r="A185" s="36" t="n"/>
      <c r="B185" s="27" t="inlineStr">
        <is>
          <t>天花工程</t>
        </is>
      </c>
      <c r="C185" s="27" t="n"/>
      <c r="D185" s="27" t="n"/>
      <c r="E185" s="27" t="n"/>
      <c r="F185" s="28" t="n"/>
      <c r="G185" s="61" t="n"/>
      <c r="H185" s="62" t="n"/>
      <c r="I185" s="65" t="n"/>
      <c r="J185" s="62" t="n"/>
      <c r="K185" s="63" t="n"/>
      <c r="L185" s="33" t="n"/>
      <c r="M185" s="64" t="n"/>
      <c r="P185" s="35" t="n"/>
      <c r="Q185" s="35" t="n"/>
      <c r="R185" s="35" t="n"/>
    </row>
    <row r="186" outlineLevel="2" ht="192" customFormat="1" customHeight="1" s="39">
      <c r="A186" s="37">
        <f>1+N(A185)</f>
        <v/>
      </c>
      <c r="B186" s="27" t="inlineStr">
        <is>
          <t>造型石膏板吊顶</t>
        </is>
      </c>
      <c r="C186" s="27" t="inlineStr">
        <is>
          <t>1.60系列轻钢主龙骨@900，60系列轻钢副龙骨@400，60系列横撑龙骨@600，08螺纹吊杆@900不上人天花吊顶（投影面计算）
2.玻镁板、双层9.5厚石膏板基层，含开孔、检修口、10*10凹槽等费用；
3.含除灯槽外的侧面高差及其连接件、吊件；
4.包含完成该项内容所有工作及费用并满足设计图纸、规范等要求；</t>
        </is>
      </c>
      <c r="D186" s="27" t="inlineStr">
        <is>
          <t>1.基层清理。
2.弹线定位、排版。
3.吊杆及连接件安装调平、收口及密封处理。
4.材料切割处理找平、石膏板安装及调整，打胶密封与清理.
5.收口及其他处理：检修口等制作安装、收边收口、配合预留安装、机电等专业孔洞及孔洞收口处理。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186" s="27" t="inlineStr">
        <is>
          <t>按设计图示尺寸以水平投影面积计算。不扣除间壁墙、检查口、附墙烟囱、柱垛和管道所占面积,扣除单个&gt;0.3m3的孔洞、非密拼吊顶空隙所占的面积、独立柱及与天棚相连的窗帘盒所占的面积。</t>
        </is>
      </c>
      <c r="F186" s="28" t="inlineStr">
        <is>
          <t>m2</t>
        </is>
      </c>
      <c r="G186" s="61" t="n">
        <v>64.33</v>
      </c>
      <c r="H186" s="62" t="n">
        <v>174.574444444444</v>
      </c>
      <c r="I186" s="65" t="n"/>
      <c r="J186" s="62">
        <f>H186*(1-$I$4)</f>
        <v/>
      </c>
      <c r="K186" s="63">
        <f>G186*J186</f>
        <v/>
      </c>
      <c r="L186" s="33" t="inlineStr">
        <is>
          <t>/</t>
        </is>
      </c>
      <c r="M186" s="64" t="n"/>
      <c r="N186" s="39" t="n">
        <v>1</v>
      </c>
      <c r="O186" t="n">
        <v>70</v>
      </c>
      <c r="P186" s="35" t="inlineStr">
        <is>
          <t>差:-104.57元 (-59.9%) 来源:售楼处</t>
        </is>
      </c>
      <c r="Q186" s="35" t="n"/>
      <c r="R186" s="35" t="n"/>
    </row>
    <row r="187" outlineLevel="2" ht="72" customFormat="1" customHeight="1" s="39">
      <c r="A187" s="37">
        <f>1+N(A186)</f>
        <v/>
      </c>
      <c r="B187" s="27" t="inlineStr">
        <is>
          <t>灯槽（100mm*200mm）</t>
        </is>
      </c>
      <c r="C187" s="27" t="inlineStr">
        <is>
          <t>1.灯槽（100mm*200mm）；
2.双层板：9mm玻镁板、9.5厚石膏板；
3.包含完成该项内容所有工作及费用并满足设计图纸、规范等要求；</t>
        </is>
      </c>
      <c r="D187" s="27" t="inlineStr">
        <is>
          <t>自现有现场条件下按照合同约定范围、图纸（含设计变更）及甲方要求内容以及规范、标准、相关做法等要求完成并达到总包合同全部目标的全部工作内容。</t>
        </is>
      </c>
      <c r="E187" s="27" t="inlineStr">
        <is>
          <t>依据经承包人确认的施工部位,按设计图示尺寸以延长米计算。</t>
        </is>
      </c>
      <c r="F187" s="28" t="inlineStr">
        <is>
          <t>m</t>
        </is>
      </c>
      <c r="G187" s="61" t="n">
        <v>18.36</v>
      </c>
      <c r="H187" s="62" t="n">
        <v>112.159</v>
      </c>
      <c r="I187" s="65" t="n"/>
      <c r="J187" s="62">
        <f>H187*(1-$I$4)</f>
        <v/>
      </c>
      <c r="K187" s="63">
        <f>G187*J187</f>
        <v/>
      </c>
      <c r="L187" s="33" t="inlineStr">
        <is>
          <t>/</t>
        </is>
      </c>
      <c r="M187" s="64" t="n"/>
      <c r="N187" s="39" t="n">
        <v>1</v>
      </c>
      <c r="O187" t="n">
        <v>50</v>
      </c>
      <c r="P187" s="35" t="inlineStr">
        <is>
          <t>差:-62.16元 (-55.4%) 来源:售楼处</t>
        </is>
      </c>
      <c r="Q187" s="35" t="n"/>
      <c r="R187" s="35" t="n"/>
    </row>
    <row r="188" outlineLevel="2" ht="72" customFormat="1" customHeight="1" s="39">
      <c r="A188" s="37">
        <f>1+N(A187)</f>
        <v/>
      </c>
      <c r="B188" s="27" t="inlineStr">
        <is>
          <t>成品石膏线条</t>
        </is>
      </c>
      <c r="C188" s="27" t="inlineStr">
        <is>
          <t>1.成品石膏线条（50mm*50mm）；
2.按图纸造型；
3.包含完成该项内容所有工作及费用并满足设计图纸、规范等要求；</t>
        </is>
      </c>
      <c r="D188" s="27" t="inlineStr">
        <is>
          <t>自现有现场条件下按照合同约定范围、图纸（含设计变更）及甲方要求内容以及规范、标准、相关做法等要求完成并达到总包合同全部目标的全部工作内容。</t>
        </is>
      </c>
      <c r="E188" s="27" t="inlineStr">
        <is>
          <t>依据经承包人确认的施工部位,按设计图示尺寸以延长米计算。</t>
        </is>
      </c>
      <c r="F188" s="28" t="inlineStr">
        <is>
          <t>m</t>
        </is>
      </c>
      <c r="G188" s="61" t="n">
        <v>18.36</v>
      </c>
      <c r="H188" s="62" t="n">
        <v>20.06</v>
      </c>
      <c r="I188" s="65" t="n"/>
      <c r="J188" s="62">
        <f>H188*(1-$I$4)</f>
        <v/>
      </c>
      <c r="K188" s="63">
        <f>G188*J188</f>
        <v/>
      </c>
      <c r="L188" s="33" t="inlineStr">
        <is>
          <t>成品石膏线条</t>
        </is>
      </c>
      <c r="M188" s="64" t="n"/>
      <c r="N188" s="39" t="n">
        <v>1</v>
      </c>
      <c r="O188" t="n">
        <v>18</v>
      </c>
      <c r="P188" s="35" t="inlineStr">
        <is>
          <t>差:-2.06元 (-10.3%) 来源:售楼处</t>
        </is>
      </c>
      <c r="Q188" s="35" t="n"/>
      <c r="R188" s="35" t="n"/>
    </row>
    <row r="189" outlineLevel="2" ht="192" customFormat="1" customHeight="1" s="39">
      <c r="A189" s="37">
        <f>1+N(A188)</f>
        <v/>
      </c>
      <c r="B189" s="27" t="inlineStr">
        <is>
          <t>天花肌理无机涂料PT-01</t>
        </is>
      </c>
      <c r="C189" s="27" t="inlineStr">
        <is>
          <t>1.天花肌理无机涂料PT-01；
2.刮腻子二遍磨平；
3.底漆1遍，面漆2遍；
4.包含完成该项内容所有工作及费用并满足设计图纸、规范等要求；</t>
        </is>
      </c>
      <c r="D189" s="27" t="inlineStr">
        <is>
          <t>包括但不限于材料计划、采购、卸车倒运、保管、检验试验费、测量放线，包含四周阴角找平直、含天棚四周阴角找平直，打磨，简易脚手架搭拆及操作平台、升降机，基层清理、打磨平整、底层找补、满刮涂料（含阴阳角塑料条）、涂料打磨、补遗处理、配合其他分包施工、完工后场清、成品保护、保修等直到达到竣工交付标准的全部工作内容。包括所有为完成工作所需的小型机具；包括所有为完成工作所需的附属工作；包括但不限于以上内容。</t>
        </is>
      </c>
      <c r="E189" s="27" t="inlineStr">
        <is>
          <t>执行《GB/T50854-2024房屋建筑与装饰工程工程量计算标准》，按设计图示尺寸以面积计算。扣除0.3平方米以上洞口的面积；梁侧面及檐口天棚并入天棚计算；以设计图纸和技术交底为基础</t>
        </is>
      </c>
      <c r="F189" s="28" t="inlineStr">
        <is>
          <t>m2</t>
        </is>
      </c>
      <c r="G189" s="61" t="n">
        <v>69.84</v>
      </c>
      <c r="H189" s="62" t="n">
        <v>48.38</v>
      </c>
      <c r="I189" s="65" t="n"/>
      <c r="J189" s="62">
        <f>H189*(1-$I$4)</f>
        <v/>
      </c>
      <c r="K189" s="63">
        <f>G189*J189</f>
        <v/>
      </c>
      <c r="L189" s="33" t="inlineStr">
        <is>
          <t>涂料</t>
        </is>
      </c>
      <c r="M189" s="64" t="n"/>
      <c r="N189" s="39" t="n">
        <v>1</v>
      </c>
      <c r="O189" t="n">
        <v>45</v>
      </c>
      <c r="P189" s="35" t="inlineStr">
        <is>
          <t>差:-3.38元 (-7.0%) 来源:售楼处</t>
        </is>
      </c>
      <c r="Q189" s="35" t="n"/>
      <c r="R189" s="35" t="n"/>
    </row>
    <row r="190" outlineLevel="1" customFormat="1" s="39">
      <c r="A190" s="36" t="n"/>
      <c r="B190" s="27" t="inlineStr">
        <is>
          <t>门窗、家具工程</t>
        </is>
      </c>
      <c r="C190" s="27" t="n"/>
      <c r="D190" s="27" t="n"/>
      <c r="E190" s="27" t="n"/>
      <c r="F190" s="28" t="n"/>
      <c r="G190" s="61" t="n"/>
      <c r="H190" s="62" t="n"/>
      <c r="I190" s="65" t="n"/>
      <c r="J190" s="62" t="n"/>
      <c r="K190" s="63" t="n"/>
      <c r="L190" s="33" t="n"/>
      <c r="M190" s="64" t="n"/>
      <c r="P190" s="35" t="n"/>
      <c r="Q190" s="35" t="n"/>
      <c r="R190" s="35" t="n"/>
    </row>
    <row r="191" outlineLevel="2" ht="108" customFormat="1" customHeight="1" s="39">
      <c r="A191" s="37">
        <f>1+N(A190)</f>
        <v/>
      </c>
      <c r="B191" s="27" t="inlineStr">
        <is>
          <t>入户大堂门（参DR01）</t>
        </is>
      </c>
      <c r="C191" s="27" t="inlineStr">
        <is>
          <t>1、门扇：1.2mm厚 MT-01古铜不锈钢饰面、GL-01超白钢化玻璃、ST-08石材、L40*40*4镀锌角钢骨架
2、门套：1.2mm厚 MT-01古铜不锈钢饰面
3、定制成品套装门制安
4、含电机、暗铰链、地弹簧等五金配件
5、包含完成该项内容所有工作及费用并满足设计图纸、规范等要求</t>
        </is>
      </c>
      <c r="D191" s="27" t="inlineStr">
        <is>
          <t>自现有现场条件下按照合同约定范围、图纸（含设计变更）及甲方要求内容以及规范、标准、相关做法等要求完成并达到总包合同全部目标的全部工作内容。</t>
        </is>
      </c>
      <c r="E191" s="27" t="inlineStr">
        <is>
          <t>以最终验收合格的工程量计算</t>
        </is>
      </c>
      <c r="F191" s="28" t="inlineStr">
        <is>
          <t>m2</t>
        </is>
      </c>
      <c r="G191" s="61" t="n">
        <v>5.4</v>
      </c>
      <c r="H191" s="62" t="n">
        <v>7530.96521739131</v>
      </c>
      <c r="I191" s="65" t="n"/>
      <c r="J191" s="62">
        <f>H191*(1-$I$4)</f>
        <v/>
      </c>
      <c r="K191" s="63">
        <f>G191*J191</f>
        <v/>
      </c>
      <c r="L191" s="33" t="inlineStr">
        <is>
          <t>/</t>
        </is>
      </c>
      <c r="M191" s="64" t="n"/>
      <c r="N191" s="39" t="n">
        <v>1</v>
      </c>
      <c r="O191" t="n">
        <v>145</v>
      </c>
      <c r="P191" s="35" t="inlineStr">
        <is>
          <t>差:-7385.97元 (-98.1%) 来源:售楼处</t>
        </is>
      </c>
      <c r="Q191" s="35" t="n"/>
      <c r="R191" s="35" t="n"/>
    </row>
    <row r="192" outlineLevel="2" ht="72" customFormat="1" customHeight="1" s="39">
      <c r="A192" s="37">
        <f>1+N(A191)</f>
        <v/>
      </c>
      <c r="B192" s="27" t="inlineStr">
        <is>
          <t>消防栓暗门(不含面层)</t>
        </is>
      </c>
      <c r="C192" s="27" t="inlineStr">
        <is>
          <t>1、40x40x5mm热镀锌方管骨架、背封铝塑板
2、含天地轴、门吸等五金配件
3、包含完成该项内容所有工作及费用并满足设计图纸、规范等要求</t>
        </is>
      </c>
      <c r="D192" s="27" t="inlineStr">
        <is>
          <t>自现有现场条件下按照合同约定范围、图纸（含设计变更）及甲方要求内容以及规范、标准、相关做法等要求完成并达到总包合同全部目标的全部工作内容。</t>
        </is>
      </c>
      <c r="E192" s="27" t="inlineStr">
        <is>
          <t>以最终验收合格的工程量计算</t>
        </is>
      </c>
      <c r="F192" s="28" t="inlineStr">
        <is>
          <t>m2</t>
        </is>
      </c>
      <c r="G192" s="61" t="n">
        <v>2.18</v>
      </c>
      <c r="H192" s="62" t="n">
        <v>962.6833333333331</v>
      </c>
      <c r="I192" s="65" t="n"/>
      <c r="J192" s="62">
        <f>H192*(1-$I$4)</f>
        <v/>
      </c>
      <c r="K192" s="63">
        <f>G192*J192</f>
        <v/>
      </c>
      <c r="L192" s="33" t="inlineStr">
        <is>
          <t>/</t>
        </is>
      </c>
      <c r="M192" s="64" t="n"/>
      <c r="N192" s="39" t="n">
        <v>1</v>
      </c>
      <c r="O192" t="n">
        <v>165</v>
      </c>
      <c r="P192" s="35" t="inlineStr">
        <is>
          <t>差:-797.68元 (-82.9%) 来源:售楼处</t>
        </is>
      </c>
      <c r="Q192" s="35" t="n"/>
      <c r="R192" s="35" t="n"/>
    </row>
    <row r="193" outlineLevel="2" ht="108" customFormat="1" customHeight="1" s="39">
      <c r="A193" s="37">
        <f>1+N(A192)</f>
        <v/>
      </c>
      <c r="B193" s="27" t="inlineStr">
        <is>
          <t>L形吧台柜</t>
        </is>
      </c>
      <c r="C193" s="27" t="inlineStr">
        <is>
          <t>1、L形吧台柜（1575+4200mm*600mm*850mm）
2.包括但不限于制作安装、钢结构骨架、石材及石材防污处理、阻燃板基层、ST-06石材台面、1.2mm厚 MT-01古铜不锈钢饰面、WD-04木饰面；
3.含五金配件、相应的线孔洞开设
4.包含完成该项内容所有工作及费用并满足设计图纸、规范等要求</t>
        </is>
      </c>
      <c r="D193" s="27" t="inlineStr">
        <is>
          <t>自现有现场条件下按照合同约定范围、图纸（含设计变更）及甲方要求内容以及规范、标准、相关做法等要求完成并达到总包合同全部目标的全部工作内容。</t>
        </is>
      </c>
      <c r="E193" s="27" t="inlineStr">
        <is>
          <t>以最终验收合格的工程量计算</t>
        </is>
      </c>
      <c r="F193" s="28" t="inlineStr">
        <is>
          <t>套</t>
        </is>
      </c>
      <c r="G193" s="61" t="n">
        <v>1</v>
      </c>
      <c r="H193" s="62" t="n">
        <v>30138.24843</v>
      </c>
      <c r="I193" s="65" t="n"/>
      <c r="J193" s="62">
        <f>H193*(1-$I$4)</f>
        <v/>
      </c>
      <c r="K193" s="63">
        <f>G193*J193</f>
        <v/>
      </c>
      <c r="L193" s="33" t="inlineStr">
        <is>
          <t>/</t>
        </is>
      </c>
      <c r="M193" s="64" t="n"/>
      <c r="N193" s="39" t="n">
        <v>1</v>
      </c>
      <c r="O193" s="39" t="n">
        <v>490.875</v>
      </c>
      <c r="P193" s="35" t="inlineStr">
        <is>
          <t>差:-29647.37元 (-98.4%) 来源:售楼处</t>
        </is>
      </c>
      <c r="Q193" s="35" t="n"/>
      <c r="R193" s="35" t="n"/>
    </row>
    <row r="194" outlineLevel="2" ht="72" customFormat="1" customHeight="1" s="39">
      <c r="A194" s="37">
        <f>1+N(A193)</f>
        <v/>
      </c>
      <c r="B194" s="27" t="inlineStr">
        <is>
          <t>MT-02古铜不锈钢置物架</t>
        </is>
      </c>
      <c r="C194" s="27" t="inlineStr">
        <is>
          <t>1、MT-02古铜不锈钢置物架（L*450mm*130mm）
2、包含完成该项内容所有工作及费用并满足设计图纸、规范等要求</t>
        </is>
      </c>
      <c r="D194" s="27" t="inlineStr">
        <is>
          <t>自现有现场条件下按照合同约定范围、图纸（含设计变更）及甲方要求内容以及规范、标准、相关做法等要求完成并达到总包合同全部目标的全部工作内容。</t>
        </is>
      </c>
      <c r="E194" s="27" t="inlineStr">
        <is>
          <t>以最终验收合格的工程量计算</t>
        </is>
      </c>
      <c r="F194" s="28" t="inlineStr">
        <is>
          <t>m</t>
        </is>
      </c>
      <c r="G194" s="61" t="n">
        <v>4.38</v>
      </c>
      <c r="H194" s="62" t="n">
        <v>3324.65</v>
      </c>
      <c r="I194" s="65" t="n"/>
      <c r="J194" s="62">
        <f>H194*(1-$I$4)</f>
        <v/>
      </c>
      <c r="K194" s="63">
        <f>G194*J194</f>
        <v/>
      </c>
      <c r="L194" s="33" t="inlineStr">
        <is>
          <t>/</t>
        </is>
      </c>
      <c r="M194" s="64" t="n"/>
      <c r="N194" s="39" t="n">
        <v>1</v>
      </c>
      <c r="O194" s="39" t="n">
        <v>35</v>
      </c>
      <c r="P194" s="35" t="inlineStr">
        <is>
          <t>差:-3289.65元 (-98.9%) 来源:售楼处</t>
        </is>
      </c>
      <c r="Q194" s="35" t="n"/>
      <c r="R194" s="35" t="n"/>
    </row>
    <row r="195" outlineLevel="1" customFormat="1" s="39">
      <c r="A195" s="26" t="inlineStr">
        <is>
          <t>二</t>
        </is>
      </c>
      <c r="B195" s="27" t="inlineStr">
        <is>
          <t>一层艺术过厅（DT6-DT8）</t>
        </is>
      </c>
      <c r="C195" s="27" t="n"/>
      <c r="D195" s="27" t="n"/>
      <c r="E195" s="27" t="n"/>
      <c r="F195" s="28" t="n"/>
      <c r="G195" s="61" t="n"/>
      <c r="H195" s="62" t="n"/>
      <c r="I195" s="65" t="n"/>
      <c r="J195" s="62" t="n"/>
      <c r="K195" s="63" t="n"/>
      <c r="L195" s="33" t="n"/>
      <c r="M195" s="64" t="n"/>
      <c r="O195" s="38" t="n"/>
      <c r="P195" s="35" t="n"/>
      <c r="Q195" s="35" t="n"/>
      <c r="R195" s="35" t="n"/>
    </row>
    <row r="196" outlineLevel="1" customFormat="1" s="39">
      <c r="A196" s="36" t="n"/>
      <c r="B196" s="27" t="inlineStr">
        <is>
          <t>地面工程</t>
        </is>
      </c>
      <c r="C196" s="27" t="n"/>
      <c r="D196" s="27" t="n"/>
      <c r="E196" s="27" t="n"/>
      <c r="F196" s="28" t="n"/>
      <c r="G196" s="61" t="n"/>
      <c r="H196" s="62" t="n"/>
      <c r="I196" s="65" t="n"/>
      <c r="J196" s="62" t="n"/>
      <c r="K196" s="63" t="n"/>
      <c r="L196" s="33" t="n"/>
      <c r="M196" s="64" t="n"/>
      <c r="P196" s="35" t="n"/>
      <c r="Q196" s="35" t="n"/>
      <c r="R196" s="35" t="n"/>
    </row>
    <row r="197" outlineLevel="2" ht="108" customFormat="1" customHeight="1" s="39">
      <c r="A197" s="37">
        <f>1+N(A196)</f>
        <v/>
      </c>
      <c r="B197" s="27" t="inlineStr">
        <is>
          <t>地面地砖 CT-01</t>
        </is>
      </c>
      <c r="C197" s="27" t="inlineStr">
        <is>
          <t>1.地面花砖CT-01；
2.10mm厚专用粘结剂；
3.80mm厚DS-M15干混砂浆找平；
4.基层清理；
5.含切边、倒角、拼接等处理；
6.包含完成该项内容所有工作及费用并满足设计图纸、规范等要求；</t>
        </is>
      </c>
      <c r="D197"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97" s="27" t="inlineStr">
        <is>
          <t xml:space="preserve">执行《GB/T50854-2024房屋建筑与装饰工程工程量计算标准》，按设计图示尺寸
以面积计算。 </t>
        </is>
      </c>
      <c r="F197" s="28" t="inlineStr">
        <is>
          <t>m2</t>
        </is>
      </c>
      <c r="G197" s="61" t="n">
        <v>21.5</v>
      </c>
      <c r="H197" s="62" t="n">
        <v>164.71148</v>
      </c>
      <c r="I197" s="65" t="n"/>
      <c r="J197" s="62">
        <f>H197*(1-$I$4)</f>
        <v/>
      </c>
      <c r="K197" s="63">
        <f>G197*J197</f>
        <v/>
      </c>
      <c r="L197" s="33" t="inlineStr">
        <is>
          <t>瓷砖</t>
        </is>
      </c>
      <c r="M197" s="64" t="n"/>
      <c r="N197" s="39" t="n">
        <v>1</v>
      </c>
      <c r="O197" t="n">
        <v>80</v>
      </c>
      <c r="P197" s="35" t="inlineStr">
        <is>
          <t>差:-84.71元 (-51.4%) 来源:售楼处</t>
        </is>
      </c>
      <c r="Q197" s="35" t="n"/>
      <c r="R197" s="35" t="n"/>
    </row>
    <row r="198" outlineLevel="2" ht="108" customFormat="1" customHeight="1" s="39">
      <c r="A198" s="37">
        <f>1+N(A197)</f>
        <v/>
      </c>
      <c r="B198" s="27" t="inlineStr">
        <is>
          <t>实心铜条5mm宽</t>
        </is>
      </c>
      <c r="C198" s="27" t="inlineStr">
        <is>
          <t>1.实心铜条5mm宽；
2.包含完成该项内容所有工作及费用并满足设计图纸、规范等要求；</t>
        </is>
      </c>
      <c r="D198"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98" s="27" t="inlineStr">
        <is>
          <t>按设计图示尺寸以长度计算。</t>
        </is>
      </c>
      <c r="F198" s="28" t="inlineStr">
        <is>
          <t>m</t>
        </is>
      </c>
      <c r="G198" s="61" t="n">
        <v>2.1</v>
      </c>
      <c r="H198" s="62" t="n">
        <v>89.267</v>
      </c>
      <c r="I198" s="65" t="n"/>
      <c r="J198" s="62">
        <f>H198*(1-$I$4)</f>
        <v/>
      </c>
      <c r="K198" s="63">
        <f>G198*J198</f>
        <v/>
      </c>
      <c r="L198" s="33" t="inlineStr">
        <is>
          <t>/</t>
        </is>
      </c>
      <c r="M198" s="64" t="n"/>
      <c r="N198" s="39" t="n">
        <v>1</v>
      </c>
      <c r="O198" t="n">
        <v>12</v>
      </c>
      <c r="P198" s="35" t="inlineStr">
        <is>
          <t>差:-77.27元 (-86.6%) 来源:售楼处</t>
        </is>
      </c>
      <c r="Q198" s="35" t="n"/>
      <c r="R198" s="35" t="n"/>
    </row>
    <row r="199" outlineLevel="1" customFormat="1" s="39">
      <c r="A199" s="36" t="n"/>
      <c r="B199" s="27" t="inlineStr">
        <is>
          <t>墙柱面工程</t>
        </is>
      </c>
      <c r="C199" s="27" t="n"/>
      <c r="D199" s="27" t="n"/>
      <c r="E199" s="27" t="n"/>
      <c r="F199" s="28" t="n"/>
      <c r="G199" s="61" t="n"/>
      <c r="H199" s="62" t="n"/>
      <c r="I199" s="65" t="n"/>
      <c r="J199" s="62" t="n"/>
      <c r="K199" s="63" t="n"/>
      <c r="L199" s="33" t="n"/>
      <c r="M199" s="64" t="n"/>
      <c r="P199" s="35" t="n"/>
      <c r="Q199" s="35" t="n"/>
      <c r="R199" s="35" t="n"/>
    </row>
    <row r="200" outlineLevel="2" ht="144" customFormat="1" customHeight="1" s="39">
      <c r="A200" s="37">
        <f>1+N(A199)</f>
        <v/>
      </c>
      <c r="B200" s="27" t="inlineStr">
        <is>
          <t>墙面PT-03米色肌理无机涂料</t>
        </is>
      </c>
      <c r="C200" s="27" t="inlineStr">
        <is>
          <t>1、墙面PT-03米色肌理无机涂料(底漆1遍，面漆2遍)
2、刮白胶腻子找平二遍，打磨
3、阴、阳角护角收边
4、双层9.5mm纸面石膏板
5、轻钢龙骨基层找平
6、包含完成该项内容所有工作及费用并满足设计图纸、规范等要求</t>
        </is>
      </c>
      <c r="D200"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200" s="27" t="inlineStr">
        <is>
          <t xml:space="preserve">执行《GB/T50854-2024房屋建筑与装饰工程工程量计算标准》，按设计图示尺寸
以面积计算。 </t>
        </is>
      </c>
      <c r="F200" s="28" t="inlineStr">
        <is>
          <t>m2</t>
        </is>
      </c>
      <c r="G200" s="61" t="n">
        <v>27.01</v>
      </c>
      <c r="H200" s="62" t="n">
        <v>207.68</v>
      </c>
      <c r="I200" s="65" t="n"/>
      <c r="J200" s="62">
        <f>H200*(1-$I$4)</f>
        <v/>
      </c>
      <c r="K200" s="63">
        <f>G200*J200</f>
        <v/>
      </c>
      <c r="L200" s="33" t="inlineStr">
        <is>
          <t>涂料</t>
        </is>
      </c>
      <c r="M200" s="64" t="n"/>
      <c r="N200" s="39" t="n">
        <v>1</v>
      </c>
      <c r="O200" t="n">
        <v>110</v>
      </c>
      <c r="P200" s="35" t="inlineStr">
        <is>
          <t>差:-97.68元 (-47.0%) 来源:售楼处</t>
        </is>
      </c>
      <c r="Q200" s="35" t="n"/>
      <c r="R200" s="35" t="n"/>
    </row>
    <row r="201" outlineLevel="2" ht="144" customFormat="1" customHeight="1" s="39">
      <c r="A201" s="37">
        <f>1+N(A200)</f>
        <v/>
      </c>
      <c r="B201" s="27" t="inlineStr">
        <is>
          <t>MT-01古铜不锈钢踢脚线（高20mm）</t>
        </is>
      </c>
      <c r="C201" s="27" t="inlineStr">
        <is>
          <t>1、1.2mm厚 MT-01古铜不锈钢踢脚线（高20mm，展开面为46mm），结构胶固定
2、9厘玻镁板基层
3、包含完成该项内容所有工作及费用并满足设计图纸、规范等要求</t>
        </is>
      </c>
      <c r="D201"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201" s="27" t="inlineStr">
        <is>
          <t>按设计图示尺寸以长度计算。</t>
        </is>
      </c>
      <c r="F201" s="28" t="inlineStr">
        <is>
          <t>m</t>
        </is>
      </c>
      <c r="G201" s="61" t="n">
        <v>9.15</v>
      </c>
      <c r="H201" s="62" t="n">
        <v>31.86</v>
      </c>
      <c r="I201" s="65" t="n"/>
      <c r="J201" s="62">
        <f>H201*(1-$I$4)</f>
        <v/>
      </c>
      <c r="K201" s="63">
        <f>G201*J201</f>
        <v/>
      </c>
      <c r="L201" s="33" t="inlineStr">
        <is>
          <t>不锈钢踢脚线</t>
        </is>
      </c>
      <c r="M201" s="64" t="n"/>
      <c r="N201" s="39" t="n">
        <v>1</v>
      </c>
      <c r="O201" t="n">
        <v>12</v>
      </c>
      <c r="P201" s="35" t="inlineStr">
        <is>
          <t>差:-19.86元 (-62.3%) 来源:售楼处</t>
        </is>
      </c>
      <c r="Q201" s="35" t="n"/>
      <c r="R201" s="35" t="n"/>
    </row>
    <row r="202" outlineLevel="2" ht="144" customFormat="1" customHeight="1" s="39">
      <c r="A202" s="37">
        <f>1+N(A201)</f>
        <v/>
      </c>
      <c r="B202" s="27" t="inlineStr">
        <is>
          <t>MT-01古铜不锈钢线条（展开面为114mm）</t>
        </is>
      </c>
      <c r="C202" s="27" t="inlineStr">
        <is>
          <t>1、1.2mm厚 MT-01古铜不锈钢线条（展开面为114mm），结构胶固定
2、9厘玻镁板基层
3、包含完成该项内容所有工作及费用并满足设计图纸、规范等要求</t>
        </is>
      </c>
      <c r="D202"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202" s="27" t="inlineStr">
        <is>
          <t>按设计图示尺寸以长度计算。</t>
        </is>
      </c>
      <c r="F202" s="28" t="inlineStr">
        <is>
          <t>m</t>
        </is>
      </c>
      <c r="G202" s="61" t="n">
        <v>9.15</v>
      </c>
      <c r="H202" s="62" t="n">
        <v>117.84424</v>
      </c>
      <c r="I202" s="65" t="n"/>
      <c r="J202" s="62">
        <f>H202*(1-$I$4)</f>
        <v/>
      </c>
      <c r="K202" s="63">
        <f>G202*J202</f>
        <v/>
      </c>
      <c r="L202" s="33" t="inlineStr">
        <is>
          <t>/</t>
        </is>
      </c>
      <c r="M202" s="64" t="n"/>
      <c r="N202" s="39" t="n">
        <v>1</v>
      </c>
      <c r="O202" t="n">
        <v>22</v>
      </c>
      <c r="P202" s="35" t="inlineStr">
        <is>
          <t>差:-95.84元 (-81.3%) 来源:售楼处</t>
        </is>
      </c>
      <c r="Q202" s="35" t="n"/>
      <c r="R202" s="35" t="n"/>
    </row>
    <row r="203" outlineLevel="2" ht="144" customFormat="1" customHeight="1" s="39">
      <c r="A203" s="37">
        <f>1+N(A202)</f>
        <v/>
      </c>
      <c r="B203" s="27" t="inlineStr">
        <is>
          <t>MT-01古铜不锈钢顶部收口条（展开面为41mm）</t>
        </is>
      </c>
      <c r="C203" s="27" t="inlineStr">
        <is>
          <t>1、1.2mm厚 MT-01古铜不锈钢顶部收口条（展开面为41mm），结构胶固定
2、9厘玻镁板基层
3、包含完成该项内容所有工作及费用并满足设计图纸、规范等要求</t>
        </is>
      </c>
      <c r="D203"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203" s="27" t="inlineStr">
        <is>
          <t>按设计图示尺寸以长度计算。</t>
        </is>
      </c>
      <c r="F203" s="28" t="inlineStr">
        <is>
          <t>m</t>
        </is>
      </c>
      <c r="G203" s="61" t="n">
        <v>9.15</v>
      </c>
      <c r="H203" s="62" t="n">
        <v>64.24509999999999</v>
      </c>
      <c r="I203" s="65" t="n"/>
      <c r="J203" s="62">
        <f>H203*(1-$I$4)</f>
        <v/>
      </c>
      <c r="K203" s="63">
        <f>G203*J203</f>
        <v/>
      </c>
      <c r="L203" s="33" t="inlineStr">
        <is>
          <t>/</t>
        </is>
      </c>
      <c r="M203" s="64" t="n"/>
      <c r="N203" s="39" t="n">
        <v>1</v>
      </c>
      <c r="O203" t="n">
        <v>12</v>
      </c>
      <c r="P203" s="35" t="inlineStr">
        <is>
          <t>差:-52.25元 (-81.3%) 来源:售楼处</t>
        </is>
      </c>
      <c r="Q203" s="35" t="n"/>
      <c r="R203" s="35" t="n"/>
    </row>
    <row r="204" outlineLevel="1" customFormat="1" s="39">
      <c r="A204" s="36" t="n"/>
      <c r="B204" s="27" t="inlineStr">
        <is>
          <t>天花工程</t>
        </is>
      </c>
      <c r="C204" s="27" t="n"/>
      <c r="D204" s="27" t="n"/>
      <c r="E204" s="27" t="n"/>
      <c r="F204" s="28" t="n"/>
      <c r="G204" s="61" t="n"/>
      <c r="H204" s="62" t="n"/>
      <c r="I204" s="65" t="n"/>
      <c r="J204" s="62" t="n"/>
      <c r="K204" s="63" t="n"/>
      <c r="L204" s="33" t="n"/>
      <c r="M204" s="64" t="n"/>
      <c r="P204" s="35" t="n"/>
      <c r="Q204" s="35" t="n"/>
      <c r="R204" s="35" t="n"/>
    </row>
    <row r="205" outlineLevel="2" ht="192" customFormat="1" customHeight="1" s="39">
      <c r="A205" s="37">
        <f>1+N(A204)</f>
        <v/>
      </c>
      <c r="B205" s="27" t="inlineStr">
        <is>
          <t>造型石膏板吊顶</t>
        </is>
      </c>
      <c r="C205" s="27" t="inlineStr">
        <is>
          <t>1.60系列轻钢主龙骨@900，60系列轻钢副龙骨@400，60系列横撑龙骨@600，08螺纹吊杆@900不上人天花吊顶（投影面计算）
2.玻镁板、双层9.5厚石膏板基层，含开孔、检修口、10*10凹槽等费用；
3.含除灯槽外的侧面高差及其连接件、吊件；
4.包含完成该项内容所有工作及费用并满足设计图纸、规范等要求；</t>
        </is>
      </c>
      <c r="D205" s="27" t="inlineStr">
        <is>
          <t>1.基层清理。
2.弹线定位、排版。
3.吊杆及连接件安装调平、收口及密封处理。
4.材料切割处理找平、石膏板安装及调整，打胶密封与清理.
5.收口及其他处理：检修口等制作安装、收边收口、配合预留安装、机电等专业孔洞及孔洞收口处理。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205" s="27" t="inlineStr">
        <is>
          <t>按设计图示尺寸以水平投影面积计算。不扣除间壁墙、检查口、附墙烟囱、柱垛和管道所占面积,扣除单个&gt;0.3m3的孔洞、非密拼吊顶空隙所占的面积、独立柱及与天棚相连的窗帘盒所占的面积。</t>
        </is>
      </c>
      <c r="F205" s="28" t="inlineStr">
        <is>
          <t>m2</t>
        </is>
      </c>
      <c r="G205" s="61" t="n">
        <v>21.5</v>
      </c>
      <c r="H205" s="62" t="n">
        <v>174.574444444444</v>
      </c>
      <c r="I205" s="65" t="n"/>
      <c r="J205" s="62">
        <f>H205*(1-$I$4)</f>
        <v/>
      </c>
      <c r="K205" s="63">
        <f>G205*J205</f>
        <v/>
      </c>
      <c r="L205" s="33" t="inlineStr">
        <is>
          <t>/</t>
        </is>
      </c>
      <c r="M205" s="64" t="n"/>
      <c r="N205" s="39" t="n">
        <v>1</v>
      </c>
      <c r="O205" t="n">
        <v>70</v>
      </c>
      <c r="P205" s="35" t="inlineStr">
        <is>
          <t>差:-104.57元 (-59.9%) 来源:售楼处</t>
        </is>
      </c>
      <c r="Q205" s="35" t="n"/>
      <c r="R205" s="35" t="n"/>
    </row>
    <row r="206" outlineLevel="2" ht="192" customFormat="1" customHeight="1" s="39">
      <c r="A206" s="37">
        <f>1+N(A205)</f>
        <v/>
      </c>
      <c r="B206" s="27" t="inlineStr">
        <is>
          <t>天花肌理无机涂料PT-01</t>
        </is>
      </c>
      <c r="C206" s="27" t="inlineStr">
        <is>
          <t>1.天花肌理无机涂料PT-01；
2.刮腻子二遍磨平；
3.底漆1遍，面漆2遍；
4.包含完成该项内容所有工作及费用并满足设计图纸、规范等要求；</t>
        </is>
      </c>
      <c r="D206" s="27" t="inlineStr">
        <is>
          <t>包括但不限于材料计划、采购、卸车倒运、保管、检验试验费、测量放线，包含四周阴角找平直、含天棚四周阴角找平直，打磨，简易脚手架搭拆及操作平台、升降机，基层清理、打磨平整、底层找补、满刮涂料（含阴阳角塑料条）、涂料打磨、补遗处理、配合其他分包施工、完工后场清、成品保护、保修等直到达到竣工交付标准的全部工作内容。包括所有为完成工作所需的小型机具；包括所有为完成工作所需的附属工作；包括但不限于以上内容。</t>
        </is>
      </c>
      <c r="E206" s="27" t="inlineStr">
        <is>
          <t>执行《GB/T50854-2024房屋建筑与装饰工程工程量计算标准》，按设计图示尺寸以面积计算。扣除0.3平方米以上洞口的面积；梁侧面及檐口天棚并入天棚计算；以设计图纸和技术交底为基础</t>
        </is>
      </c>
      <c r="F206" s="28" t="inlineStr">
        <is>
          <t>m2</t>
        </is>
      </c>
      <c r="G206" s="61" t="n">
        <v>21.5</v>
      </c>
      <c r="H206" s="62" t="n">
        <v>48.38</v>
      </c>
      <c r="I206" s="65" t="n"/>
      <c r="J206" s="62">
        <f>H206*(1-$I$4)</f>
        <v/>
      </c>
      <c r="K206" s="63">
        <f>G206*J206</f>
        <v/>
      </c>
      <c r="L206" s="33" t="inlineStr">
        <is>
          <t>涂料</t>
        </is>
      </c>
      <c r="M206" s="64" t="n"/>
      <c r="N206" s="39" t="n">
        <v>1</v>
      </c>
      <c r="O206" t="n">
        <v>45</v>
      </c>
      <c r="P206" s="35" t="inlineStr">
        <is>
          <t>差:-3.38元 (-7.0%) 来源:售楼处</t>
        </is>
      </c>
      <c r="Q206" s="35" t="n"/>
      <c r="R206" s="35" t="n"/>
    </row>
    <row r="207" outlineLevel="1" customFormat="1" s="39">
      <c r="A207" s="36" t="n"/>
      <c r="B207" s="27" t="inlineStr">
        <is>
          <t>门窗、家具工程</t>
        </is>
      </c>
      <c r="C207" s="27" t="n"/>
      <c r="D207" s="27" t="n"/>
      <c r="E207" s="27" t="n"/>
      <c r="F207" s="28" t="n"/>
      <c r="G207" s="61" t="n"/>
      <c r="H207" s="62" t="n"/>
      <c r="I207" s="65" t="n"/>
      <c r="J207" s="62" t="n"/>
      <c r="K207" s="63" t="n"/>
      <c r="L207" s="33" t="n"/>
      <c r="M207" s="64" t="n"/>
      <c r="P207" s="35" t="n"/>
      <c r="Q207" s="35" t="n"/>
      <c r="R207" s="35" t="n"/>
    </row>
    <row r="208" outlineLevel="1" customFormat="1" s="39">
      <c r="A208" s="26" t="inlineStr">
        <is>
          <t>三</t>
        </is>
      </c>
      <c r="B208" s="27" t="inlineStr">
        <is>
          <t>一层卫生间（DT6-DT8）</t>
        </is>
      </c>
      <c r="C208" s="27" t="n"/>
      <c r="D208" s="27" t="n"/>
      <c r="E208" s="27" t="n"/>
      <c r="F208" s="28" t="n"/>
      <c r="G208" s="61" t="n"/>
      <c r="H208" s="62" t="n"/>
      <c r="I208" s="65" t="n"/>
      <c r="J208" s="62" t="n"/>
      <c r="K208" s="63" t="n"/>
      <c r="L208" s="33" t="n"/>
      <c r="M208" s="64" t="n"/>
      <c r="O208" s="38" t="n"/>
      <c r="P208" s="35" t="n"/>
      <c r="Q208" s="35" t="n"/>
      <c r="R208" s="35" t="n"/>
    </row>
    <row r="209" outlineLevel="1" customFormat="1" s="39">
      <c r="A209" s="36" t="n"/>
      <c r="B209" s="27" t="inlineStr">
        <is>
          <t>地面工程</t>
        </is>
      </c>
      <c r="C209" s="27" t="n"/>
      <c r="D209" s="27" t="n"/>
      <c r="E209" s="27" t="n"/>
      <c r="F209" s="28" t="n"/>
      <c r="G209" s="61" t="n"/>
      <c r="H209" s="62" t="n"/>
      <c r="I209" s="65" t="n"/>
      <c r="J209" s="62" t="n"/>
      <c r="K209" s="63" t="n"/>
      <c r="L209" s="33" t="n"/>
      <c r="M209" s="64" t="n"/>
      <c r="P209" s="35" t="n"/>
      <c r="Q209" s="35" t="n"/>
      <c r="R209" s="35" t="n"/>
    </row>
    <row r="210" outlineLevel="2" ht="156" customFormat="1" customHeight="1" s="39">
      <c r="A210" s="37">
        <f>1+N(A209)</f>
        <v/>
      </c>
      <c r="B210" s="27" t="inlineStr">
        <is>
          <t>沉箱陶粒回填</t>
        </is>
      </c>
      <c r="C210" s="27" t="inlineStr">
        <is>
          <t>1、陶粒混凝土回填
2、回填厚度200mm厚
3、完成本清单项目所需的一切相关工作内容，未尽事项详见图纸、工程量清单计价说明、国家相关规范等</t>
        </is>
      </c>
      <c r="D210" s="27" t="inlineStr">
        <is>
          <t>包括但不限于材料计划、卸车倒运（含多次）、保管、测量放线、基底清理、标高检测、配合检测、陶粒混凝土、抹压、压光、地面留槽回填及二次处理，所有洞口、管根的补遗处理，养护、配合水电安装、现场清理及分包施工作业面的及时清理、清扫等、装卸费、场内倒运费，配合承包人实验员做好冬季测温记录、坍落度实验及砼试块制作，成品保护、保修等全部工作内容。</t>
        </is>
      </c>
      <c r="E210" s="27" t="inlineStr">
        <is>
          <t>按设计图示填充部位的尺寸，以面积计算</t>
        </is>
      </c>
      <c r="F210" s="28" t="inlineStr">
        <is>
          <t>m2</t>
        </is>
      </c>
      <c r="G210" s="61" t="n">
        <v>3.12</v>
      </c>
      <c r="H210" s="62" t="n">
        <v>155.94762</v>
      </c>
      <c r="I210" s="65" t="n"/>
      <c r="J210" s="62">
        <f>H210*(1-$I$4)</f>
        <v/>
      </c>
      <c r="K210" s="63">
        <f>G210*J210</f>
        <v/>
      </c>
      <c r="L210" s="33" t="inlineStr">
        <is>
          <t>/</t>
        </is>
      </c>
      <c r="M210" s="64" t="n"/>
      <c r="N210" s="39" t="n">
        <v>1</v>
      </c>
      <c r="O210" t="n">
        <v>10.5</v>
      </c>
      <c r="P210" s="35" t="inlineStr">
        <is>
          <t>差:-145.45元 (-93.3%) 来源:售楼处</t>
        </is>
      </c>
      <c r="Q210" s="35" t="n"/>
      <c r="R210" s="35" t="n"/>
    </row>
    <row r="211" outlineLevel="2" ht="216" customFormat="1" customHeight="1" s="39">
      <c r="A211" s="37">
        <f>1+N(A210)</f>
        <v/>
      </c>
      <c r="B211" s="27" t="inlineStr">
        <is>
          <t>20mm厚防水找平层(1:3干硬性水泥砂浆)</t>
        </is>
      </c>
      <c r="C211" s="27" t="inlineStr">
        <is>
          <t>1.20mm厚防水找平层(1:3干硬性水泥砂浆)；
2.界面剂一道；
3.包含完成该项内容所有工作及费用并满足设计图纸、规范等要求；</t>
        </is>
      </c>
      <c r="D211" s="27" t="inlineStr">
        <is>
          <t>包含完成地面所有施工工序所需的人工、材料（甲供材除外）、机械、管理费、利润；包括但不限于材料计划、卸车倒运（含多次）、保管、测量放线、基底清理、标高检测、配合检测、贴饼冲筋、砂浆找平、抹压、压光、设置分格缝、阻水台（按照方案及交底要求施工）、地面留槽回填及二次处理，所有洞口、管根的补遗处理，养护、配合水电安装、现场清理及分包施工作业面的及时清理、清扫等、装卸费、场内倒运费，配合承包人实验员做好冬季测温记录、坍落度实验及砼试块制作，成品保护、保修等全部工作内容。</t>
        </is>
      </c>
      <c r="E211" s="27" t="inlineStr">
        <is>
          <t>执行《GB/T50854-2024房屋建筑与装饰工程工程量计算标准》，按设计图示尺寸以面积计算。扣除凸出地面构筑物、设备基础、室内管道、地沟等所占面积，不扣除间壁墙及≤0.3 ㎡柱、垛、附墙烟囱及孔洞所占面积。门洞、空圈、暖气包槽、壁龛的开口部分不增加面积。</t>
        </is>
      </c>
      <c r="F211" s="28" t="inlineStr">
        <is>
          <t>m2</t>
        </is>
      </c>
      <c r="G211" s="61" t="n">
        <v>3.12</v>
      </c>
      <c r="H211" s="62" t="n">
        <v>50.86331</v>
      </c>
      <c r="I211" s="65" t="n"/>
      <c r="J211" s="62">
        <f>H211*(1-$I$4)</f>
        <v/>
      </c>
      <c r="K211" s="63">
        <f>G211*J211</f>
        <v/>
      </c>
      <c r="L211" s="33" t="inlineStr">
        <is>
          <t>/</t>
        </is>
      </c>
      <c r="M211" s="64" t="n"/>
      <c r="N211" s="39" t="n">
        <v>1</v>
      </c>
      <c r="O211" t="n">
        <v>22</v>
      </c>
      <c r="P211" s="35" t="inlineStr">
        <is>
          <t>差:-28.86元 (-56.7%) 来源:售楼处</t>
        </is>
      </c>
      <c r="Q211" s="35" t="n"/>
      <c r="R211" s="35" t="n"/>
    </row>
    <row r="212" outlineLevel="2" ht="96" customFormat="1" customHeight="1" s="39">
      <c r="A212" s="37">
        <f>1+N(A211)</f>
        <v/>
      </c>
      <c r="B212" s="27" t="inlineStr">
        <is>
          <t>防水无纺布</t>
        </is>
      </c>
      <c r="C212" s="27" t="inlineStr">
        <is>
          <t>1.防水无纺布完成面上翻300高(80g/平米)
2.包含完成该项内容所有工作及费用并满足设计图纸、规范等要求；</t>
        </is>
      </c>
      <c r="D212" s="27" t="inlineStr">
        <is>
          <t>1.基层处理。
2.隔离层铺设，附加层、泛水、防水收头处理。
3.材料检验、各类专项检测。
4.场内外运输、废料清理等。
5.安全文明施工、成品保护等直到验收合格及后期保修的所有工作内容。</t>
        </is>
      </c>
      <c r="E212" s="27" t="inlineStr">
        <is>
          <t>按施工图范围内实际验收合格面积以平方米计算。</t>
        </is>
      </c>
      <c r="F212" s="28" t="inlineStr">
        <is>
          <t>m2</t>
        </is>
      </c>
      <c r="G212" s="61" t="n">
        <v>3.12</v>
      </c>
      <c r="H212" s="62" t="n">
        <v>17.7</v>
      </c>
      <c r="I212" s="65" t="n"/>
      <c r="J212" s="62">
        <f>H212*(1-$I$4)</f>
        <v/>
      </c>
      <c r="K212" s="63">
        <f>G212*J212</f>
        <v/>
      </c>
      <c r="L212" s="33" t="inlineStr">
        <is>
          <t>/</t>
        </is>
      </c>
      <c r="M212" s="64" t="n"/>
      <c r="N212" s="39" t="n">
        <v>1</v>
      </c>
      <c r="O212" t="n">
        <v>30</v>
      </c>
      <c r="P212" s="35" t="inlineStr">
        <is>
          <t>差:+12.30元 (+69.5%) 来源:售楼处</t>
        </is>
      </c>
      <c r="Q212" s="35" t="n"/>
      <c r="R212" s="35" t="n"/>
    </row>
    <row r="213" outlineLevel="2" ht="156" customFormat="1" customHeight="1" s="39">
      <c r="A213" s="37">
        <f>1+N(A212)</f>
        <v/>
      </c>
      <c r="B213" s="27" t="inlineStr">
        <is>
          <t>2mm厚JS防水层</t>
        </is>
      </c>
      <c r="C213" s="27" t="inlineStr">
        <is>
          <t>1.2mm厚JS防水层（两遍）；
2.包含完成该项内容所有工作及费用并满足设计图纸、规范等要求；</t>
        </is>
      </c>
      <c r="D213" s="27" t="inlineStr">
        <is>
          <t>1.清理基层。
2.基层喷水潮湿；必要的弹线，防水涂料调制；防水涂料涂刷；细部防水处理；防污染措施等。
3.材料检验、闭水试验、淋水实验、蓄水实验、各类专项检测的送检及检测。
4.操作架/平台搭拆。
5.安全文明施工、成品保护、场内外运输、废料清理等直到验收合格及后期保修的所有工作内容。</t>
        </is>
      </c>
      <c r="E213" s="27" t="inlineStr">
        <is>
          <t>按施工图范围内实际验收合格面积以平方米计算，施工图要求的上翻部分按实计算。</t>
        </is>
      </c>
      <c r="F213" s="28" t="inlineStr">
        <is>
          <t>m2</t>
        </is>
      </c>
      <c r="G213" s="61" t="n">
        <v>3.12</v>
      </c>
      <c r="H213" s="62" t="n">
        <v>55.873</v>
      </c>
      <c r="I213" s="65" t="n"/>
      <c r="J213" s="62">
        <f>H213*(1-$I$4)</f>
        <v/>
      </c>
      <c r="K213" s="63">
        <f>G213*J213</f>
        <v/>
      </c>
      <c r="L213" s="33" t="inlineStr">
        <is>
          <t>/</t>
        </is>
      </c>
      <c r="M213" s="64" t="n"/>
      <c r="N213" s="39" t="n">
        <v>1</v>
      </c>
      <c r="O213" t="n">
        <v>42</v>
      </c>
      <c r="P213" s="35" t="inlineStr">
        <is>
          <t>差:-13.87元 (-24.8%) 来源:售楼处</t>
        </is>
      </c>
      <c r="Q213" s="35" t="n"/>
      <c r="R213" s="35" t="n"/>
    </row>
    <row r="214" outlineLevel="2" ht="108" customFormat="1" customHeight="1" s="39">
      <c r="A214" s="37">
        <f>1+N(A213)</f>
        <v/>
      </c>
      <c r="B214" s="27" t="inlineStr">
        <is>
          <t>地面地砖 CT-06</t>
        </is>
      </c>
      <c r="C214" s="27" t="inlineStr">
        <is>
          <t>1.地面花砖CT-06；
2.10mm厚专用粘结剂；
3.80mm厚DS-M15干混砂浆找平；
4.基层清理；
5.含切边、倒角、拼接等处理；
6.包含完成该项内容所有工作及费用并满足设计图纸、规范等要求；</t>
        </is>
      </c>
      <c r="D214"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214" s="27" t="inlineStr">
        <is>
          <t xml:space="preserve">执行《GB/T50854-2024房屋建筑与装饰工程工程量计算标准》，按设计图示尺寸
以面积计算。 </t>
        </is>
      </c>
      <c r="F214" s="28" t="inlineStr">
        <is>
          <t>m2</t>
        </is>
      </c>
      <c r="G214" s="61" t="n">
        <v>3.12</v>
      </c>
      <c r="H214" s="62" t="n">
        <v>164.71148</v>
      </c>
      <c r="I214" s="65" t="n"/>
      <c r="J214" s="62">
        <f>H214*(1-$I$4)</f>
        <v/>
      </c>
      <c r="K214" s="63">
        <f>G214*J214</f>
        <v/>
      </c>
      <c r="L214" s="33" t="inlineStr">
        <is>
          <t>瓷砖</t>
        </is>
      </c>
      <c r="M214" s="64" t="n"/>
      <c r="N214" s="39" t="n">
        <v>1</v>
      </c>
      <c r="O214" t="n">
        <v>77</v>
      </c>
      <c r="P214" s="35" t="inlineStr">
        <is>
          <t>差:-87.71元 (-53.3%) 来源:售楼处</t>
        </is>
      </c>
      <c r="Q214" s="35" t="n"/>
      <c r="R214" s="35" t="n"/>
    </row>
    <row r="215" outlineLevel="2" ht="108" customFormat="1" customHeight="1" s="39">
      <c r="A215" s="37">
        <f>1+N(A214)</f>
        <v/>
      </c>
      <c r="B215" s="27" t="inlineStr">
        <is>
          <t>地面铺贴大理石ST-01</t>
        </is>
      </c>
      <c r="C215" s="27" t="inlineStr">
        <is>
          <t>1.地面20mm大理石ST-01、铺贴、厚度及样式按物料书为准；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215"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215" s="27" t="inlineStr">
        <is>
          <t xml:space="preserve">执行《GB/T50854-2024房屋建筑与装饰工程工程量计算标准》，按设计图示尺寸
以面积计算。 </t>
        </is>
      </c>
      <c r="F215" s="28" t="inlineStr">
        <is>
          <t>m2</t>
        </is>
      </c>
      <c r="G215" s="61" t="n">
        <v>0.25</v>
      </c>
      <c r="H215" s="62" t="n">
        <v>218.75017</v>
      </c>
      <c r="I215" s="65" t="n"/>
      <c r="J215" s="62">
        <f>H215*(1-$I$4)</f>
        <v/>
      </c>
      <c r="K215" s="63">
        <f>G215*J215</f>
        <v/>
      </c>
      <c r="L215" s="33" t="inlineStr">
        <is>
          <t>瓷砖</t>
        </is>
      </c>
      <c r="M215" s="64" t="n"/>
      <c r="N215" s="39" t="n">
        <v>1</v>
      </c>
      <c r="O215" t="n">
        <v>130</v>
      </c>
      <c r="P215" s="35" t="inlineStr">
        <is>
          <t>差:-88.75元 (-40.6%) 来源:售楼处</t>
        </is>
      </c>
      <c r="Q215" s="35" t="n"/>
      <c r="R215" s="35" t="n"/>
    </row>
    <row r="216" outlineLevel="2" ht="108" customFormat="1" customHeight="1" s="39">
      <c r="A216" s="37">
        <f>1+N(A215)</f>
        <v/>
      </c>
      <c r="B216" s="27" t="inlineStr">
        <is>
          <t>地面石材晶面处理</t>
        </is>
      </c>
      <c r="C216" s="27" t="inlineStr">
        <is>
          <t>1.石材结晶处理(结晶水及石材保养剂,中性清洁剂)；
2.包含完成该项内容所有工作及费用并满足设计图纸、规范等要求；</t>
        </is>
      </c>
      <c r="D216"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216" s="27" t="inlineStr">
        <is>
          <t xml:space="preserve">执行《GB/T50854-2024房屋建筑与装饰工程工程量计算标准》，按设计图示尺寸
以面积计算。 </t>
        </is>
      </c>
      <c r="F216" s="28" t="inlineStr">
        <is>
          <t>m2</t>
        </is>
      </c>
      <c r="G216" s="61" t="n">
        <v>0.25</v>
      </c>
      <c r="H216" s="62" t="n">
        <v>64.90000000000001</v>
      </c>
      <c r="I216" s="65" t="n"/>
      <c r="J216" s="62">
        <f>H216*(1-$I$4)</f>
        <v/>
      </c>
      <c r="K216" s="63">
        <f>G216*J216</f>
        <v/>
      </c>
      <c r="L216" s="33" t="inlineStr">
        <is>
          <t>/</t>
        </is>
      </c>
      <c r="M216" s="64" t="n"/>
      <c r="N216" s="39" t="n">
        <v>1</v>
      </c>
      <c r="O216" t="n">
        <v>40</v>
      </c>
      <c r="P216" s="35" t="inlineStr">
        <is>
          <t>差:-24.90元 (-38.4%) 来源:售楼处</t>
        </is>
      </c>
      <c r="Q216" s="35" t="n"/>
      <c r="R216" s="35" t="n"/>
    </row>
    <row r="217" outlineLevel="1" customFormat="1" s="39">
      <c r="A217" s="36" t="n"/>
      <c r="B217" s="27" t="inlineStr">
        <is>
          <t>墙柱面工程</t>
        </is>
      </c>
      <c r="C217" s="27" t="n"/>
      <c r="D217" s="27" t="n"/>
      <c r="E217" s="27" t="n"/>
      <c r="F217" s="28" t="n"/>
      <c r="G217" s="61" t="n"/>
      <c r="H217" s="62" t="n"/>
      <c r="I217" s="65" t="n"/>
      <c r="J217" s="62" t="n"/>
      <c r="K217" s="63" t="n"/>
      <c r="L217" s="33" t="n"/>
      <c r="M217" s="64" t="n"/>
      <c r="P217" s="35" t="n"/>
      <c r="Q217" s="35" t="n"/>
      <c r="R217" s="35" t="n"/>
    </row>
    <row r="218" outlineLevel="2" ht="144" customFormat="1" customHeight="1" s="39">
      <c r="A218" s="37">
        <f>1+N(A217)</f>
        <v/>
      </c>
      <c r="B218" s="27" t="inlineStr">
        <is>
          <t>墙面CT-06瓷砖</t>
        </is>
      </c>
      <c r="C218" s="27" t="inlineStr">
        <is>
          <t>1、墙面CT-06瓷砖，瓷砖填缝剂处理
2、背覆胶处理
3、C1T等级抗滑移水泥基胶粘剂
4、界面剂拉毛处理
5、包含完成该项内容所有工作及费用并满足设计图纸、规范等要求</t>
        </is>
      </c>
      <c r="D218" s="27" t="inlineStr">
        <is>
          <t>具体工作内容除详见项目特征外，且不限于以下内容:1.包含材料的下车、场内运输；2.清理基层、找标高、弹线定位；3.试拼试排；4.砂浆拌和、铺找平层（粘结层）砂浆；5.面层铺设、灌缝、擦缝；6.打蜡、养护；配合留设墙面开关、插座等末端设备等全部内容；包含成品保护、安全文明施工等达到验收合格的全部施工内容。</t>
        </is>
      </c>
      <c r="E218" s="27" t="inlineStr">
        <is>
          <t>执行《GB/T50854-2024房屋建筑与装饰工程工程量计算标准》，按设计图示镶贴后外围面积计算</t>
        </is>
      </c>
      <c r="F218" s="28" t="inlineStr">
        <is>
          <t>m2</t>
        </is>
      </c>
      <c r="G218" s="61" t="n">
        <v>18.33</v>
      </c>
      <c r="H218" s="62" t="n">
        <v>123.9</v>
      </c>
      <c r="I218" s="65" t="n"/>
      <c r="J218" s="62">
        <f>H218*(1-$I$4)</f>
        <v/>
      </c>
      <c r="K218" s="63">
        <f>G218*J218</f>
        <v/>
      </c>
      <c r="L218" s="33" t="inlineStr">
        <is>
          <t>瓷砖</t>
        </is>
      </c>
      <c r="M218" s="64" t="n"/>
      <c r="N218" s="39" t="n">
        <v>1</v>
      </c>
      <c r="O218" t="n">
        <v>45</v>
      </c>
      <c r="P218" s="35" t="inlineStr">
        <is>
          <t>差:-78.90元 (-63.7%) 来源:售楼处</t>
        </is>
      </c>
      <c r="Q218" s="35" t="n"/>
      <c r="R218" s="35" t="n"/>
    </row>
    <row r="219" outlineLevel="2" ht="156" customFormat="1" customHeight="1" s="39">
      <c r="A219" s="37">
        <f>1+N(A218)</f>
        <v/>
      </c>
      <c r="B219" s="27" t="inlineStr">
        <is>
          <t>1.2mm厚JS-Ⅱ聚合物水泥防水涂料</t>
        </is>
      </c>
      <c r="C219" s="27" t="inlineStr">
        <is>
          <t>1、1.2mm厚JS-Ⅱ聚合物水泥防水涂料
2、包含完成该项内容所有工作及费用并满足设计图纸、规范等要求</t>
        </is>
      </c>
      <c r="D219" s="27" t="inlineStr">
        <is>
          <t>1.清理基层。
2.基层喷水潮湿；必要的弹线，防水涂料调制；防水涂料涂刷；细部防水处理；防污染措施等。
3.材料检验、闭水试验、淋水实验、蓄水实验、各类专项检测的送检及检测。
4.操作架/平台搭拆。
5.安全文明施工、成品保护、场内外运输、废料清理等直到验收合格及后期保修的所有工作内容。</t>
        </is>
      </c>
      <c r="E219" s="27" t="inlineStr">
        <is>
          <t>按施工图范围内实际验收合格面积以平方米计算，施工图要求的上翻部分按实计算。</t>
        </is>
      </c>
      <c r="F219" s="28" t="inlineStr">
        <is>
          <t>m2</t>
        </is>
      </c>
      <c r="G219" s="61" t="n">
        <v>18.33</v>
      </c>
      <c r="H219" s="62" t="n">
        <v>55.873</v>
      </c>
      <c r="I219" s="65" t="n"/>
      <c r="J219" s="62">
        <f>H219*(1-$I$4)</f>
        <v/>
      </c>
      <c r="K219" s="63">
        <f>G219*J219</f>
        <v/>
      </c>
      <c r="L219" s="33" t="inlineStr">
        <is>
          <t>/</t>
        </is>
      </c>
      <c r="M219" s="64" t="n"/>
      <c r="N219" s="39" t="n">
        <v>1</v>
      </c>
      <c r="O219" t="n">
        <v>18</v>
      </c>
      <c r="P219" s="35" t="inlineStr">
        <is>
          <t>差:-37.87元 (-67.8%) 来源:售楼处</t>
        </is>
      </c>
      <c r="Q219" s="35" t="n"/>
      <c r="R219" s="35" t="n"/>
    </row>
    <row r="220" outlineLevel="1" customFormat="1" s="39">
      <c r="A220" s="36" t="n"/>
      <c r="B220" s="27" t="inlineStr">
        <is>
          <t>天花工程</t>
        </is>
      </c>
      <c r="C220" s="27" t="n"/>
      <c r="D220" s="27" t="n"/>
      <c r="E220" s="27" t="n"/>
      <c r="F220" s="28" t="n"/>
      <c r="G220" s="61" t="n"/>
      <c r="H220" s="62" t="n"/>
      <c r="I220" s="65" t="n"/>
      <c r="J220" s="62" t="n"/>
      <c r="K220" s="63" t="n"/>
      <c r="L220" s="33" t="n"/>
      <c r="M220" s="64" t="n"/>
      <c r="P220" s="35" t="n"/>
      <c r="Q220" s="35" t="n"/>
      <c r="R220" s="35" t="n"/>
    </row>
    <row r="221" outlineLevel="2" ht="192" customFormat="1" customHeight="1" s="39">
      <c r="A221" s="37">
        <f>1+N(A220)</f>
        <v/>
      </c>
      <c r="B221" s="27" t="inlineStr">
        <is>
          <t>造型石膏板吊顶</t>
        </is>
      </c>
      <c r="C221" s="27" t="inlineStr">
        <is>
          <t>1.60系列轻钢主龙骨@900，60系列轻钢副龙骨@400，60系列横撑龙骨@600，08螺纹吊杆@900不上人天花吊顶（投影面计算）
2.玻镁板、双层9.5厚石膏板基层，含开孔、检修口、10*10凹槽等费用；
3.含除灯槽外的侧面高差及其连接件、吊件；
4.包含完成该项内容所有工作及费用并满足设计图纸、规范等要求；</t>
        </is>
      </c>
      <c r="D221" s="27" t="inlineStr">
        <is>
          <t>1.基层清理。
2.弹线定位、排版。
3.吊杆及连接件安装调平、收口及密封处理。
4.材料切割处理找平、石膏板安装及调整，打胶密封与清理.
5.收口及其他处理：检修口等制作安装、收边收口、配合预留安装、机电等专业孔洞及孔洞收口处理。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221" s="27" t="inlineStr">
        <is>
          <t>按设计图示尺寸以水平投影面积计算。不扣除间壁墙、检查口、附墙烟囱、柱垛和管道所占面积,扣除单个&gt;0.3m3的孔洞、非密拼吊顶空隙所占的面积、独立柱及与天棚相连的窗帘盒所占的面积。</t>
        </is>
      </c>
      <c r="F221" s="28" t="inlineStr">
        <is>
          <t>m2</t>
        </is>
      </c>
      <c r="G221" s="61" t="n">
        <v>3.12</v>
      </c>
      <c r="H221" s="62" t="n">
        <v>174.574444444444</v>
      </c>
      <c r="I221" s="65" t="n"/>
      <c r="J221" s="62">
        <f>H221*(1-$I$4)</f>
        <v/>
      </c>
      <c r="K221" s="63">
        <f>G221*J221</f>
        <v/>
      </c>
      <c r="L221" s="33" t="inlineStr">
        <is>
          <t>/</t>
        </is>
      </c>
      <c r="M221" s="64" t="n"/>
      <c r="N221" s="39" t="n">
        <v>1</v>
      </c>
      <c r="O221" t="n">
        <v>70</v>
      </c>
      <c r="P221" s="35" t="inlineStr">
        <is>
          <t>差:-104.57元 (-59.9%) 来源:售楼处</t>
        </is>
      </c>
      <c r="Q221" s="35" t="n"/>
      <c r="R221" s="35" t="n"/>
    </row>
    <row r="222" outlineLevel="2" ht="72" customFormat="1" customHeight="1" s="39">
      <c r="A222" s="37">
        <f>1+N(A221)</f>
        <v/>
      </c>
      <c r="B222" s="27" t="inlineStr">
        <is>
          <t>灯槽（100mm*200mm）</t>
        </is>
      </c>
      <c r="C222" s="27" t="inlineStr">
        <is>
          <t>1.灯槽（100mm*200mm）；
2.双层板：9mm玻镁板、9.5厚石膏板；
3.包含完成该项内容所有工作及费用并满足设计图纸、规范等要求；</t>
        </is>
      </c>
      <c r="D222" s="27" t="inlineStr">
        <is>
          <t>自现有现场条件下按照合同约定范围、图纸（含设计变更）及甲方要求内容以及规范、标准、相关做法等要求完成并达到总包合同全部目标的全部工作内容。</t>
        </is>
      </c>
      <c r="E222" s="27" t="inlineStr">
        <is>
          <t>依据经承包人确认的施工部位,按设计图示尺寸以延长米计算。</t>
        </is>
      </c>
      <c r="F222" s="28" t="inlineStr">
        <is>
          <t>m</t>
        </is>
      </c>
      <c r="G222" s="61" t="n">
        <v>1.94</v>
      </c>
      <c r="H222" s="62" t="n">
        <v>112.159</v>
      </c>
      <c r="I222" s="65" t="n"/>
      <c r="J222" s="62">
        <f>H222*(1-$I$4)</f>
        <v/>
      </c>
      <c r="K222" s="63">
        <f>G222*J222</f>
        <v/>
      </c>
      <c r="L222" s="33" t="inlineStr">
        <is>
          <t>/</t>
        </is>
      </c>
      <c r="M222" s="64" t="n"/>
      <c r="N222" s="39" t="n">
        <v>1</v>
      </c>
      <c r="O222" t="n">
        <v>50</v>
      </c>
      <c r="P222" s="35" t="inlineStr">
        <is>
          <t>差:-62.16元 (-55.4%) 来源:售楼处</t>
        </is>
      </c>
      <c r="Q222" s="35" t="n"/>
      <c r="R222" s="35" t="n"/>
    </row>
    <row r="223" outlineLevel="2" ht="192" customFormat="1" customHeight="1" s="39">
      <c r="A223" s="37">
        <f>1+N(A222)</f>
        <v/>
      </c>
      <c r="B223" s="27" t="inlineStr">
        <is>
          <t>天花深色肌理无机涂料PT-02</t>
        </is>
      </c>
      <c r="C223" s="27" t="inlineStr">
        <is>
          <t>1.天花深色肌理无机涂料PT-02；
2.刮腻子二遍磨平；
3.底漆1遍，面漆2遍；
4.包含完成该项内容所有工作及费用并满足设计图纸、规范等要求；</t>
        </is>
      </c>
      <c r="D223" s="27" t="inlineStr">
        <is>
          <t>包括但不限于材料计划、采购、卸车倒运、保管、检验试验费、测量放线，包含四周阴角找平直、含天棚四周阴角找平直，打磨，简易脚手架搭拆及操作平台、升降机，基层清理、打磨平整、底层找补、满刮涂料（含阴阳角塑料条）、涂料打磨、补遗处理、配合其他分包施工、完工后场清、成品保护、保修等直到达到竣工交付标准的全部工作内容。包括所有为完成工作所需的小型机具；包括所有为完成工作所需的附属工作；包括但不限于以上内容。</t>
        </is>
      </c>
      <c r="E223" s="27" t="inlineStr">
        <is>
          <t>执行《GB/T50854-2024房屋建筑与装饰工程工程量计算标准》，按设计图示尺寸以面积计算。扣除0.3平方米以上洞口的面积；梁侧面及檐口天棚并入天棚计算；以设计图纸和技术交底为基础</t>
        </is>
      </c>
      <c r="F223" s="28" t="inlineStr">
        <is>
          <t>m2</t>
        </is>
      </c>
      <c r="G223" s="61" t="n">
        <v>3.71</v>
      </c>
      <c r="H223" s="62" t="n">
        <v>48.38</v>
      </c>
      <c r="I223" s="65" t="n"/>
      <c r="J223" s="62">
        <f>H223*(1-$I$4)</f>
        <v/>
      </c>
      <c r="K223" s="63">
        <f>G223*J223</f>
        <v/>
      </c>
      <c r="L223" s="33" t="inlineStr">
        <is>
          <t>涂料</t>
        </is>
      </c>
      <c r="M223" s="64" t="n"/>
      <c r="N223" s="39" t="n">
        <v>1</v>
      </c>
      <c r="O223" t="n">
        <v>45</v>
      </c>
      <c r="P223" s="35" t="inlineStr">
        <is>
          <t>差:-3.38元 (-7.0%) 来源:售楼处</t>
        </is>
      </c>
      <c r="Q223" s="35" t="n"/>
      <c r="R223" s="35" t="n"/>
    </row>
    <row r="224" outlineLevel="1" customFormat="1" s="39">
      <c r="A224" s="36" t="n"/>
      <c r="B224" s="27" t="inlineStr">
        <is>
          <t>门窗、家具工程</t>
        </is>
      </c>
      <c r="C224" s="27" t="n"/>
      <c r="D224" s="27" t="n"/>
      <c r="E224" s="27" t="n"/>
      <c r="F224" s="28" t="n"/>
      <c r="G224" s="61" t="n"/>
      <c r="H224" s="62" t="n"/>
      <c r="I224" s="65" t="n"/>
      <c r="J224" s="62" t="n"/>
      <c r="K224" s="63" t="n"/>
      <c r="L224" s="33" t="n"/>
      <c r="M224" s="64" t="n"/>
      <c r="P224" s="35" t="n"/>
      <c r="Q224" s="35" t="n"/>
      <c r="R224" s="35" t="n"/>
    </row>
    <row r="225" outlineLevel="1" customFormat="1" s="39">
      <c r="A225" s="26" t="inlineStr">
        <is>
          <t>四</t>
        </is>
      </c>
      <c r="B225" s="27" t="inlineStr">
        <is>
          <t>一层儿童区（DT6-DT8）</t>
        </is>
      </c>
      <c r="C225" s="27" t="n"/>
      <c r="D225" s="27" t="n"/>
      <c r="E225" s="27" t="n"/>
      <c r="F225" s="28" t="n"/>
      <c r="G225" s="61" t="n"/>
      <c r="H225" s="62" t="n"/>
      <c r="I225" s="65" t="n"/>
      <c r="J225" s="62" t="n"/>
      <c r="K225" s="63" t="n"/>
      <c r="L225" s="33" t="n"/>
      <c r="M225" s="64" t="n"/>
      <c r="O225" s="38" t="n"/>
      <c r="P225" s="35" t="n"/>
      <c r="Q225" s="35" t="n"/>
      <c r="R225" s="35" t="n"/>
    </row>
    <row r="226" outlineLevel="1" customFormat="1" s="39">
      <c r="A226" s="36" t="n"/>
      <c r="B226" s="27" t="inlineStr">
        <is>
          <t>地面工程</t>
        </is>
      </c>
      <c r="C226" s="27" t="n"/>
      <c r="D226" s="27" t="n"/>
      <c r="E226" s="27" t="n"/>
      <c r="F226" s="28" t="n"/>
      <c r="G226" s="61" t="n"/>
      <c r="H226" s="62" t="n"/>
      <c r="I226" s="65" t="n"/>
      <c r="J226" s="62" t="n"/>
      <c r="K226" s="63" t="n"/>
      <c r="L226" s="33" t="n"/>
      <c r="M226" s="64" t="n"/>
      <c r="P226" s="35" t="n"/>
      <c r="Q226" s="35" t="n"/>
      <c r="R226" s="35" t="n"/>
    </row>
    <row r="227" outlineLevel="2" ht="216" customFormat="1" customHeight="1" s="39">
      <c r="A227" s="37">
        <f>1+N(A226)</f>
        <v/>
      </c>
      <c r="B227" s="27" t="inlineStr">
        <is>
          <t>水泥砂浆找平层</t>
        </is>
      </c>
      <c r="C227" s="27" t="inlineStr">
        <is>
          <t>1.75mm厚DS干混砂浆找平层、需铺符合设计要求标高；
2.完成需收光、压实处理\面层需做自流平（地毯铺设前）；
3.包含完成该项内容所有工作及费用并满足设计图纸、规范等要求；</t>
        </is>
      </c>
      <c r="D227" s="27" t="inlineStr">
        <is>
          <t>包含完成地面所有施工工序所需的人工、材料（甲供材除外）、机械、管理费、利润；包括但不限于材料计划、卸车倒运（含多次）、保管、测量放线、基底清理、标高检测、配合检测、贴饼冲筋、砂浆找平、抹压、压光、设置分格缝、阻水台（按照方案及交底要求施工）、地面留槽回填及二次处理，所有洞口、管根的补遗处理，养护、配合水电安装、现场清理及分包施工作业面的及时清理、清扫等、装卸费、场内倒运费，配合承包人实验员做好冬季测温记录、坍落度实验及砼试块制作，成品保护、保修等全部工作内容。</t>
        </is>
      </c>
      <c r="E227" s="27" t="inlineStr">
        <is>
          <t>执行《GB/T50854-2024房屋建筑与装饰工程工程量计算标准》，按设计图示尺寸以面积计算。扣除凸出地面构筑物、设备基础、室内管道、地沟等所占面积，不扣除间壁墙及≤0.3 ㎡柱、垛、附墙烟囱及孔洞所占面积。门洞、空圈、暖气包槽、壁龛的开口部分不增加面积。</t>
        </is>
      </c>
      <c r="F227" s="28" t="inlineStr">
        <is>
          <t>m2</t>
        </is>
      </c>
      <c r="G227" s="61" t="n">
        <v>4.83</v>
      </c>
      <c r="H227" s="62" t="n">
        <v>78.50982500000001</v>
      </c>
      <c r="I227" s="65" t="n"/>
      <c r="J227" s="62">
        <f>H227*(1-$I$4)</f>
        <v/>
      </c>
      <c r="K227" s="63">
        <f>G227*J227</f>
        <v/>
      </c>
      <c r="L227" s="33" t="inlineStr">
        <is>
          <t>/</t>
        </is>
      </c>
      <c r="M227" s="64" t="n"/>
      <c r="N227" s="39" t="n">
        <v>1</v>
      </c>
      <c r="O227" t="n">
        <v>28</v>
      </c>
      <c r="P227" s="35" t="inlineStr">
        <is>
          <t>差:-50.51元 (-64.3%) 来源:售楼处</t>
        </is>
      </c>
      <c r="Q227" s="35" t="n"/>
      <c r="R227" s="35" t="n"/>
    </row>
    <row r="228" outlineLevel="2" ht="108" customFormat="1" customHeight="1" s="39">
      <c r="A228" s="37">
        <f>1+N(A227)</f>
        <v/>
      </c>
      <c r="B228" s="27" t="inlineStr">
        <is>
          <t>地面铺贴水磨石VF-01.02</t>
        </is>
      </c>
      <c r="C228" s="27" t="inlineStr">
        <is>
          <t>1.地面铺贴水磨石VF-01.02米色、绿色拼铺、厚度及样式按物料书为准；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228"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t>
        </is>
      </c>
      <c r="E228" s="27" t="inlineStr">
        <is>
          <t xml:space="preserve">执行《GB/T50854-2024房屋建筑与装饰工程工程量计算标准》，按设计图示尺寸
以面积计算。 </t>
        </is>
      </c>
      <c r="F228" s="28" t="inlineStr">
        <is>
          <t>m2</t>
        </is>
      </c>
      <c r="G228" s="61" t="n">
        <v>68.59999999999999</v>
      </c>
      <c r="H228" s="62" t="n">
        <v>270.67017</v>
      </c>
      <c r="I228" s="65" t="n"/>
      <c r="J228" s="62">
        <f>H228*(1-$I$4)</f>
        <v/>
      </c>
      <c r="K228" s="63">
        <f>G228*J228</f>
        <v/>
      </c>
      <c r="L228" s="33" t="inlineStr">
        <is>
          <t>石材</t>
        </is>
      </c>
      <c r="M228" s="64" t="n"/>
      <c r="N228" s="39" t="n">
        <v>1</v>
      </c>
      <c r="O228" t="n">
        <v>80</v>
      </c>
      <c r="P228" s="35" t="inlineStr">
        <is>
          <t>差:-190.67元 (-70.4%) 来源:售楼处</t>
        </is>
      </c>
      <c r="Q228" s="35" t="n"/>
      <c r="R228" s="35" t="n"/>
    </row>
    <row r="229" outlineLevel="2" ht="108" customFormat="1" customHeight="1" s="39">
      <c r="A229" s="37">
        <f>1+N(A228)</f>
        <v/>
      </c>
      <c r="B229" s="27" t="inlineStr">
        <is>
          <t>地面铺贴地胶垫VF-03</t>
        </is>
      </c>
      <c r="C229" s="27" t="inlineStr">
        <is>
          <t>1.地面铺贴地胶垫VF-03；
2.粘贴层；
3.自流平
4.包含完成该项内容所有工作及费用并满足设计图纸、规范等要求；</t>
        </is>
      </c>
      <c r="D229"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t>
        </is>
      </c>
      <c r="E229" s="27" t="inlineStr">
        <is>
          <t xml:space="preserve">执行《GB/T50854-2024房屋建筑与装饰工程工程量计算标准》，按设计图示尺寸
以面积计算。 </t>
        </is>
      </c>
      <c r="F229" s="28" t="inlineStr">
        <is>
          <t>m2</t>
        </is>
      </c>
      <c r="G229" s="61" t="n">
        <v>5.13</v>
      </c>
      <c r="H229" s="62" t="n">
        <v>340.43</v>
      </c>
      <c r="I229" s="65" t="n"/>
      <c r="J229" s="62">
        <f>H229*(1-$I$4)</f>
        <v/>
      </c>
      <c r="K229" s="63">
        <f>G229*J229</f>
        <v/>
      </c>
      <c r="L229" s="33" t="inlineStr">
        <is>
          <t>/</t>
        </is>
      </c>
      <c r="M229" s="64" t="n"/>
      <c r="N229" s="39" t="n">
        <v>1</v>
      </c>
      <c r="O229" t="n">
        <v>45.5</v>
      </c>
      <c r="P229" s="35" t="inlineStr">
        <is>
          <t>差:-294.93元 (-86.6%) 来源:售楼处</t>
        </is>
      </c>
      <c r="Q229" s="35" t="n"/>
      <c r="R229" s="35" t="n"/>
    </row>
    <row r="230" outlineLevel="2" ht="108" customFormat="1" customHeight="1" s="39">
      <c r="A230" s="37">
        <f>1+N(A229)</f>
        <v/>
      </c>
      <c r="B230" s="27" t="inlineStr">
        <is>
          <t>实心铜条5mm宽</t>
        </is>
      </c>
      <c r="C230" s="27" t="inlineStr">
        <is>
          <t>1.实心铜条5mm宽；
2.包含完成该项内容所有工作及费用并满足设计图纸、规范等要求；</t>
        </is>
      </c>
      <c r="D230"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230" s="27" t="inlineStr">
        <is>
          <t>按设计图示尺寸以长度计算。</t>
        </is>
      </c>
      <c r="F230" s="28" t="inlineStr">
        <is>
          <t>m</t>
        </is>
      </c>
      <c r="G230" s="61" t="n">
        <v>12.6</v>
      </c>
      <c r="H230" s="62" t="n">
        <v>89.267</v>
      </c>
      <c r="I230" s="65" t="n"/>
      <c r="J230" s="62">
        <f>H230*(1-$I$4)</f>
        <v/>
      </c>
      <c r="K230" s="63">
        <f>G230*J230</f>
        <v/>
      </c>
      <c r="L230" s="33" t="inlineStr">
        <is>
          <t>/</t>
        </is>
      </c>
      <c r="M230" s="64" t="n"/>
      <c r="N230" s="39" t="n">
        <v>1</v>
      </c>
      <c r="O230" t="n">
        <v>12</v>
      </c>
      <c r="P230" s="35" t="inlineStr">
        <is>
          <t>差:-77.27元 (-86.6%) 来源:售楼处</t>
        </is>
      </c>
      <c r="Q230" s="35" t="n"/>
      <c r="R230" s="35" t="n"/>
    </row>
    <row r="231" outlineLevel="1" customFormat="1" s="39">
      <c r="A231" s="36" t="n"/>
      <c r="B231" s="27" t="inlineStr">
        <is>
          <t>墙柱面工程</t>
        </is>
      </c>
      <c r="C231" s="27" t="n"/>
      <c r="D231" s="27" t="n"/>
      <c r="E231" s="27" t="n"/>
      <c r="F231" s="28" t="n"/>
      <c r="G231" s="61" t="n"/>
      <c r="H231" s="62" t="n"/>
      <c r="I231" s="65" t="n"/>
      <c r="J231" s="62" t="n"/>
      <c r="K231" s="63" t="n"/>
      <c r="L231" s="33" t="n"/>
      <c r="M231" s="64" t="n"/>
      <c r="P231" s="35" t="n"/>
      <c r="Q231" s="35" t="n"/>
      <c r="R231" s="35" t="n"/>
    </row>
    <row r="232" outlineLevel="2" ht="144" customFormat="1" customHeight="1" s="39">
      <c r="A232" s="37">
        <f>1+N(A231)</f>
        <v/>
      </c>
      <c r="B232" s="27" t="inlineStr">
        <is>
          <t>墙面PT-03米色肌理无机涂料</t>
        </is>
      </c>
      <c r="C232" s="27" t="inlineStr">
        <is>
          <t>1、墙面PT-03米色肌理无机涂料(底漆1遍，面漆2遍)
2、刮白胶腻子找平二遍，打磨
3、阴、阳角护角收边
4、双层9.5mm纸面石膏板
5、轻钢龙骨基层找平
6、包含完成该项内容所有工作及费用并满足设计图纸、规范等要求</t>
        </is>
      </c>
      <c r="D232"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232" s="27" t="inlineStr">
        <is>
          <t xml:space="preserve">执行《GB/T50854-2024房屋建筑与装饰工程工程量计算标准》，按设计图示尺寸
以面积计算。 </t>
        </is>
      </c>
      <c r="F232" s="28" t="inlineStr">
        <is>
          <t>m2</t>
        </is>
      </c>
      <c r="G232" s="61" t="n">
        <v>15.4</v>
      </c>
      <c r="H232" s="62" t="n">
        <v>207.68</v>
      </c>
      <c r="I232" s="65" t="n"/>
      <c r="J232" s="62">
        <f>H232*(1-$I$4)</f>
        <v/>
      </c>
      <c r="K232" s="63">
        <f>G232*J232</f>
        <v/>
      </c>
      <c r="L232" s="33" t="inlineStr">
        <is>
          <t>涂料</t>
        </is>
      </c>
      <c r="M232" s="64" t="n"/>
      <c r="N232" s="39" t="n">
        <v>1</v>
      </c>
      <c r="O232" t="n">
        <v>110</v>
      </c>
      <c r="P232" s="35" t="inlineStr">
        <is>
          <t>差:-97.68元 (-47.0%) 来源:售楼处</t>
        </is>
      </c>
      <c r="Q232" s="35" t="n"/>
      <c r="R232" s="35" t="n"/>
    </row>
    <row r="233" outlineLevel="2" ht="144" customFormat="1" customHeight="1" s="39">
      <c r="A233" s="37">
        <f>1+N(A232)</f>
        <v/>
      </c>
      <c r="B233" s="27" t="inlineStr">
        <is>
          <t>墙面PT-04绿色肌理无机涂料</t>
        </is>
      </c>
      <c r="C233" s="27" t="inlineStr">
        <is>
          <t>1、墙面PT-04绿色肌理无机涂料(底漆1遍，面漆2遍)
2、刮白胶腻子找平二遍，打磨
3、阴、阳角护角收边
4、双层9.5mm纸面石膏板
5、轻钢龙骨基层找平
6、包含完成该项内容所有工作及费用并满足设计图纸、规范等要求</t>
        </is>
      </c>
      <c r="D233"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233" s="27" t="inlineStr">
        <is>
          <t xml:space="preserve">执行《GB/T50854-2024房屋建筑与装饰工程工程量计算标准》，按设计图示尺寸
以面积计算。 </t>
        </is>
      </c>
      <c r="F233" s="28" t="inlineStr">
        <is>
          <t>m2</t>
        </is>
      </c>
      <c r="G233" s="61" t="n">
        <v>104.18</v>
      </c>
      <c r="H233" s="62" t="n">
        <v>207.68</v>
      </c>
      <c r="I233" s="65" t="n"/>
      <c r="J233" s="62">
        <f>H233*(1-$I$4)</f>
        <v/>
      </c>
      <c r="K233" s="63">
        <f>G233*J233</f>
        <v/>
      </c>
      <c r="L233" s="33" t="inlineStr">
        <is>
          <t>涂料</t>
        </is>
      </c>
      <c r="M233" s="64" t="n"/>
      <c r="N233" s="39" t="n">
        <v>1</v>
      </c>
      <c r="O233" t="n">
        <v>110</v>
      </c>
      <c r="P233" s="35" t="inlineStr">
        <is>
          <t>差:-97.68元 (-47.0%) 来源:售楼处</t>
        </is>
      </c>
      <c r="Q233" s="35" t="n"/>
      <c r="R233" s="35" t="n"/>
    </row>
    <row r="234" outlineLevel="2" ht="144" customFormat="1" customHeight="1" s="39">
      <c r="A234" s="37">
        <f>1+N(A233)</f>
        <v/>
      </c>
      <c r="B234" s="27" t="inlineStr">
        <is>
          <t>MT-01古铜不锈钢踢脚线（高20mm）</t>
        </is>
      </c>
      <c r="C234" s="27" t="inlineStr">
        <is>
          <t>1、1.2mm厚 MT-01古铜不锈钢踢脚线（高20mm，展开面为46mm），结构胶固定
2、9厘玻镁板基层
3、包含完成该项内容所有工作及费用并满足设计图纸、规范等要求</t>
        </is>
      </c>
      <c r="D234"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234" s="27" t="inlineStr">
        <is>
          <t>按设计图示尺寸以长度计算。</t>
        </is>
      </c>
      <c r="F234" s="28" t="inlineStr">
        <is>
          <t>m</t>
        </is>
      </c>
      <c r="G234" s="61" t="n">
        <v>39.95</v>
      </c>
      <c r="H234" s="62" t="n">
        <v>31.86</v>
      </c>
      <c r="I234" s="65" t="n"/>
      <c r="J234" s="62">
        <f>H234*(1-$I$4)</f>
        <v/>
      </c>
      <c r="K234" s="63">
        <f>G234*J234</f>
        <v/>
      </c>
      <c r="L234" s="33" t="inlineStr">
        <is>
          <t>不锈钢踢脚线</t>
        </is>
      </c>
      <c r="M234" s="64" t="n"/>
      <c r="N234" s="39" t="n">
        <v>1</v>
      </c>
      <c r="O234" t="n">
        <v>12</v>
      </c>
      <c r="P234" s="35" t="inlineStr">
        <is>
          <t>差:-19.86元 (-62.3%) 来源:售楼处</t>
        </is>
      </c>
      <c r="Q234" s="35" t="n"/>
      <c r="R234" s="35" t="n"/>
    </row>
    <row r="235" outlineLevel="2" ht="144" customFormat="1" customHeight="1" s="39">
      <c r="A235" s="37">
        <f>1+N(A234)</f>
        <v/>
      </c>
      <c r="B235" s="27" t="inlineStr">
        <is>
          <t>MT-01古铜不锈钢顶部收口条（展开面为41mm）</t>
        </is>
      </c>
      <c r="C235" s="27" t="inlineStr">
        <is>
          <t>1、1.2mm厚 MT-01古铜不锈钢顶部收口条（展开面为41mm），结构胶固定
2、9厘玻镁板基层
3、包含完成该项内容所有工作及费用并满足设计图纸、规范等要求</t>
        </is>
      </c>
      <c r="D235"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235" s="27" t="inlineStr">
        <is>
          <t>按设计图示尺寸以长度计算。</t>
        </is>
      </c>
      <c r="F235" s="28" t="inlineStr">
        <is>
          <t>m</t>
        </is>
      </c>
      <c r="G235" s="61" t="n">
        <v>39.95</v>
      </c>
      <c r="H235" s="62" t="n">
        <v>64.24509999999999</v>
      </c>
      <c r="I235" s="65" t="n"/>
      <c r="J235" s="62">
        <f>H235*(1-$I$4)</f>
        <v/>
      </c>
      <c r="K235" s="63">
        <f>G235*J235</f>
        <v/>
      </c>
      <c r="L235" s="33" t="inlineStr">
        <is>
          <t>/</t>
        </is>
      </c>
      <c r="M235" s="64" t="n"/>
      <c r="N235" s="39" t="n">
        <v>1</v>
      </c>
      <c r="O235" t="n">
        <v>12</v>
      </c>
      <c r="P235" s="35" t="inlineStr">
        <is>
          <t>差:-52.25元 (-81.3%) 来源:售楼处</t>
        </is>
      </c>
      <c r="Q235" s="35" t="n"/>
      <c r="R235" s="35" t="n"/>
    </row>
    <row r="236" outlineLevel="1" customFormat="1" s="39">
      <c r="A236" s="36" t="n"/>
      <c r="B236" s="27" t="inlineStr">
        <is>
          <t>天花工程</t>
        </is>
      </c>
      <c r="C236" s="27" t="n"/>
      <c r="D236" s="27" t="n"/>
      <c r="E236" s="27" t="n"/>
      <c r="F236" s="28" t="n"/>
      <c r="G236" s="61" t="n"/>
      <c r="H236" s="62" t="n"/>
      <c r="I236" s="65" t="n"/>
      <c r="J236" s="62" t="n"/>
      <c r="K236" s="63" t="n"/>
      <c r="L236" s="33" t="n"/>
      <c r="M236" s="64" t="n"/>
      <c r="P236" s="35" t="n"/>
      <c r="Q236" s="35" t="n"/>
      <c r="R236" s="35" t="n"/>
    </row>
    <row r="237" outlineLevel="2" ht="192" customFormat="1" customHeight="1" s="39">
      <c r="A237" s="37">
        <f>1+N(A236)</f>
        <v/>
      </c>
      <c r="B237" s="27" t="inlineStr">
        <is>
          <t>造型石膏板吊顶</t>
        </is>
      </c>
      <c r="C237" s="27" t="inlineStr">
        <is>
          <t>1.60系列轻钢主龙骨@900，60系列轻钢副龙骨@400，60系列横撑龙骨@600，08螺纹吊杆@900不上人天花吊顶（投影面计算）
2.玻镁板、双层9.5厚石膏板基层，含开孔、检修口、10*10凹槽等费用；
3.含除灯槽外的侧面高差及其连接件、吊件；
4.包含完成该项内容所有工作及费用并满足设计图纸、规范等要求；</t>
        </is>
      </c>
      <c r="D237" s="27" t="inlineStr">
        <is>
          <t>1.基层清理。
2.弹线定位、排版。
3.吊杆及连接件安装调平、收口及密封处理。
4.材料切割处理找平、石膏板安装及调整，打胶密封与清理.
5.收口及其他处理：检修口等制作安装、收边收口、配合预留安装、机电等专业孔洞及孔洞收口处理。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237" s="27" t="inlineStr">
        <is>
          <t>按设计图示尺寸以水平投影面积计算。不扣除间壁墙、检查口、附墙烟囱、柱垛和管道所占面积,扣除单个&gt;0.3m3的孔洞、非密拼吊顶空隙所占的面积、独立柱及与天棚相连的窗帘盒所占的面积。</t>
        </is>
      </c>
      <c r="F237" s="28" t="inlineStr">
        <is>
          <t>m2</t>
        </is>
      </c>
      <c r="G237" s="61" t="n">
        <v>78.56</v>
      </c>
      <c r="H237" s="62" t="n">
        <v>174.574444444444</v>
      </c>
      <c r="I237" s="65" t="n"/>
      <c r="J237" s="62">
        <f>H237*(1-$I$4)</f>
        <v/>
      </c>
      <c r="K237" s="63">
        <f>G237*J237</f>
        <v/>
      </c>
      <c r="L237" s="33" t="inlineStr">
        <is>
          <t>/</t>
        </is>
      </c>
      <c r="M237" s="64" t="n"/>
      <c r="N237" s="39" t="n">
        <v>1</v>
      </c>
      <c r="O237" t="n">
        <v>70</v>
      </c>
      <c r="P237" s="35" t="inlineStr">
        <is>
          <t>差:-104.57元 (-59.9%) 来源:售楼处</t>
        </is>
      </c>
      <c r="Q237" s="35" t="n"/>
      <c r="R237" s="35" t="n"/>
    </row>
    <row r="238" outlineLevel="2" ht="72" customFormat="1" customHeight="1" s="39">
      <c r="A238" s="37">
        <f>1+N(A237)</f>
        <v/>
      </c>
      <c r="B238" s="27" t="inlineStr">
        <is>
          <t>灯槽（100mm*200mm）</t>
        </is>
      </c>
      <c r="C238" s="27" t="inlineStr">
        <is>
          <t>1.灯槽（100mm*200mm）；
2.双层板：9mm玻镁板、9.5厚石膏板；
3.包含完成该项内容所有工作及费用并满足设计图纸、规范等要求；</t>
        </is>
      </c>
      <c r="D238" s="27" t="inlineStr">
        <is>
          <t>自现有现场条件下按照合同约定范围、图纸（含设计变更）及甲方要求内容以及规范、标准、相关做法等要求完成并达到总包合同全部目标的全部工作内容。</t>
        </is>
      </c>
      <c r="E238" s="27" t="inlineStr">
        <is>
          <t>依据经承包人确认的施工部位,按设计图示尺寸以延长米计算。</t>
        </is>
      </c>
      <c r="F238" s="28" t="inlineStr">
        <is>
          <t>m</t>
        </is>
      </c>
      <c r="G238" s="61" t="n">
        <v>40.93</v>
      </c>
      <c r="H238" s="62" t="n">
        <v>112.159</v>
      </c>
      <c r="I238" s="65" t="n"/>
      <c r="J238" s="62">
        <f>H238*(1-$I$4)</f>
        <v/>
      </c>
      <c r="K238" s="63">
        <f>G238*J238</f>
        <v/>
      </c>
      <c r="L238" s="33" t="inlineStr">
        <is>
          <t>/</t>
        </is>
      </c>
      <c r="M238" s="64" t="n"/>
      <c r="N238" s="39" t="n">
        <v>1</v>
      </c>
      <c r="O238" t="n">
        <v>50</v>
      </c>
      <c r="P238" s="35" t="inlineStr">
        <is>
          <t>差:-62.16元 (-55.4%) 来源:售楼处</t>
        </is>
      </c>
      <c r="Q238" s="35" t="n"/>
      <c r="R238" s="35" t="n"/>
    </row>
    <row r="239" outlineLevel="2" ht="72" customFormat="1" customHeight="1" s="39">
      <c r="A239" s="37">
        <f>1+N(A238)</f>
        <v/>
      </c>
      <c r="B239" s="27" t="inlineStr">
        <is>
          <t>成品石膏线条</t>
        </is>
      </c>
      <c r="C239" s="27" t="inlineStr">
        <is>
          <t>1.成品石膏线条（50mm*50mm）；
2.按图纸造型；
3.包含完成该项内容所有工作及费用并满足设计图纸、规范等要求；</t>
        </is>
      </c>
      <c r="D239" s="27" t="inlineStr">
        <is>
          <t>自现有现场条件下按照合同约定范围、图纸（含设计变更）及甲方要求内容以及规范、标准、相关做法等要求完成并达到总包合同全部目标的全部工作内容。</t>
        </is>
      </c>
      <c r="E239" s="27" t="inlineStr">
        <is>
          <t>依据经承包人确认的施工部位,按设计图示尺寸以延长米计算。</t>
        </is>
      </c>
      <c r="F239" s="28" t="inlineStr">
        <is>
          <t>m</t>
        </is>
      </c>
      <c r="G239" s="61" t="n">
        <v>40.93</v>
      </c>
      <c r="H239" s="62" t="n">
        <v>20.06</v>
      </c>
      <c r="I239" s="65" t="n"/>
      <c r="J239" s="62">
        <f>H239*(1-$I$4)</f>
        <v/>
      </c>
      <c r="K239" s="63">
        <f>G239*J239</f>
        <v/>
      </c>
      <c r="L239" s="33" t="inlineStr">
        <is>
          <t>成品石膏线条</t>
        </is>
      </c>
      <c r="M239" s="64" t="n"/>
      <c r="N239" s="39" t="n">
        <v>1</v>
      </c>
      <c r="O239" t="n">
        <v>18</v>
      </c>
      <c r="P239" s="35" t="inlineStr">
        <is>
          <t>差:-2.06元 (-10.3%) 来源:售楼处</t>
        </is>
      </c>
      <c r="Q239" s="35" t="n"/>
      <c r="R239" s="35" t="n"/>
    </row>
    <row r="240" outlineLevel="2" ht="192" customFormat="1" customHeight="1" s="39">
      <c r="A240" s="37">
        <f>1+N(A239)</f>
        <v/>
      </c>
      <c r="B240" s="27" t="inlineStr">
        <is>
          <t>天花肌理无机涂料PT-01</t>
        </is>
      </c>
      <c r="C240" s="27" t="inlineStr">
        <is>
          <t>1.天花肌理无机涂料PT-01；
2.刮腻子二遍磨平；
3.底漆1遍，面漆2遍；
4.包含完成该项内容所有工作及费用并满足设计图纸、规范等要求；</t>
        </is>
      </c>
      <c r="D240" s="27" t="inlineStr">
        <is>
          <t>包括但不限于材料计划、采购、卸车倒运、保管、检验试验费、测量放线，包含四周阴角找平直、含天棚四周阴角找平直，打磨，简易脚手架搭拆及操作平台、升降机，基层清理、打磨平整、底层找补、满刮涂料（含阴阳角塑料条）、涂料打磨、补遗处理、配合其他分包施工、完工后场清、成品保护、保修等直到达到竣工交付标准的全部工作内容。包括所有为完成工作所需的小型机具；包括所有为完成工作所需的附属工作；包括但不限于以上内容。</t>
        </is>
      </c>
      <c r="E240" s="27" t="inlineStr">
        <is>
          <t>执行《GB/T50854-2024房屋建筑与装饰工程工程量计算标准》，按设计图示尺寸以面积计算。扣除0.3平方米以上洞口的面积；梁侧面及檐口天棚并入天棚计算；以设计图纸和技术交底为基础</t>
        </is>
      </c>
      <c r="F240" s="28" t="inlineStr">
        <is>
          <t>m2</t>
        </is>
      </c>
      <c r="G240" s="61" t="n">
        <v>90.84</v>
      </c>
      <c r="H240" s="62" t="n">
        <v>48.38</v>
      </c>
      <c r="I240" s="65" t="n"/>
      <c r="J240" s="62">
        <f>H240*(1-$I$4)</f>
        <v/>
      </c>
      <c r="K240" s="63">
        <f>G240*J240</f>
        <v/>
      </c>
      <c r="L240" s="33" t="inlineStr">
        <is>
          <t>涂料</t>
        </is>
      </c>
      <c r="M240" s="64" t="n"/>
      <c r="N240" s="39" t="n">
        <v>1</v>
      </c>
      <c r="O240" t="n">
        <v>45</v>
      </c>
      <c r="P240" s="35" t="inlineStr">
        <is>
          <t>差:-3.38元 (-7.0%) 来源:售楼处</t>
        </is>
      </c>
      <c r="Q240" s="35" t="n"/>
      <c r="R240" s="35" t="n"/>
    </row>
    <row r="241" outlineLevel="1" customFormat="1" s="39">
      <c r="A241" s="36" t="n"/>
      <c r="B241" s="27" t="inlineStr">
        <is>
          <t>门窗、家具工程</t>
        </is>
      </c>
      <c r="C241" s="27" t="n"/>
      <c r="D241" s="27" t="n"/>
      <c r="E241" s="27" t="n"/>
      <c r="F241" s="28" t="n"/>
      <c r="G241" s="61" t="n"/>
      <c r="H241" s="62" t="n"/>
      <c r="I241" s="65" t="n"/>
      <c r="J241" s="62" t="n"/>
      <c r="K241" s="63" t="n"/>
      <c r="L241" s="33" t="n"/>
      <c r="M241" s="64" t="n"/>
      <c r="P241" s="35" t="n"/>
      <c r="Q241" s="35" t="n"/>
      <c r="R241" s="35" t="n"/>
    </row>
    <row r="242" outlineLevel="2" ht="72" customFormat="1" customHeight="1" s="39">
      <c r="A242" s="37">
        <f>1+N(A241)</f>
        <v/>
      </c>
      <c r="B242" s="27" t="inlineStr">
        <is>
          <t>消防栓暗门(不含面层)</t>
        </is>
      </c>
      <c r="C242" s="27" t="inlineStr">
        <is>
          <t>1、40x40x5mm热镀锌方管骨架、背封铝塑板
2、含天地轴、门吸等五金配件
3、包含完成该项内容所有工作及费用并满足设计图纸、规范等要求</t>
        </is>
      </c>
      <c r="D242" s="27" t="inlineStr">
        <is>
          <t>自现有现场条件下按照合同约定范围、图纸（含设计变更）及甲方要求内容以及规范、标准、相关做法等要求完成并达到总包合同全部目标的全部工作内容。</t>
        </is>
      </c>
      <c r="E242" s="27" t="inlineStr">
        <is>
          <t>以最终验收合格的工程量计算</t>
        </is>
      </c>
      <c r="F242" s="28" t="inlineStr">
        <is>
          <t>m2</t>
        </is>
      </c>
      <c r="G242" s="61" t="n">
        <v>2.1</v>
      </c>
      <c r="H242" s="62" t="n">
        <v>962.6833333333331</v>
      </c>
      <c r="I242" s="65" t="n"/>
      <c r="J242" s="62">
        <f>H242*(1-$I$4)</f>
        <v/>
      </c>
      <c r="K242" s="63">
        <f>G242*J242</f>
        <v/>
      </c>
      <c r="L242" s="33" t="inlineStr">
        <is>
          <t>/</t>
        </is>
      </c>
      <c r="M242" s="64" t="n"/>
      <c r="N242" s="39" t="n">
        <v>1</v>
      </c>
      <c r="O242" t="n">
        <v>165</v>
      </c>
      <c r="P242" s="35" t="inlineStr">
        <is>
          <t>差:-797.68元 (-82.9%) 来源:售楼处</t>
        </is>
      </c>
      <c r="Q242" s="35" t="n"/>
      <c r="R242" s="35" t="n"/>
    </row>
    <row r="243" outlineLevel="1" customFormat="1" s="39">
      <c r="A243" s="26" t="inlineStr">
        <is>
          <t>五</t>
        </is>
      </c>
      <c r="B243" s="27" t="inlineStr">
        <is>
          <t>一层电梯前厅（DT7-DT8）</t>
        </is>
      </c>
      <c r="C243" s="27" t="n"/>
      <c r="D243" s="27" t="n"/>
      <c r="E243" s="27" t="n"/>
      <c r="F243" s="28" t="n"/>
      <c r="G243" s="61" t="n"/>
      <c r="H243" s="62" t="n"/>
      <c r="I243" s="65" t="n"/>
      <c r="J243" s="62" t="n"/>
      <c r="K243" s="63" t="n"/>
      <c r="L243" s="33" t="n"/>
      <c r="M243" s="64" t="n"/>
      <c r="O243" s="38" t="n"/>
      <c r="P243" s="35" t="n"/>
      <c r="Q243" s="35" t="n"/>
      <c r="R243" s="35" t="n"/>
    </row>
    <row r="244" outlineLevel="1" customFormat="1" s="39">
      <c r="A244" s="36" t="n"/>
      <c r="B244" s="27" t="inlineStr">
        <is>
          <t>地面工程</t>
        </is>
      </c>
      <c r="C244" s="27" t="n"/>
      <c r="D244" s="27" t="n"/>
      <c r="E244" s="27" t="n"/>
      <c r="F244" s="28" t="n"/>
      <c r="G244" s="61" t="n"/>
      <c r="H244" s="62" t="n"/>
      <c r="I244" s="65" t="n"/>
      <c r="J244" s="62" t="n"/>
      <c r="K244" s="63" t="n"/>
      <c r="L244" s="33" t="n"/>
      <c r="M244" s="64" t="n"/>
      <c r="P244" s="35" t="n"/>
      <c r="Q244" s="35" t="n"/>
      <c r="R244" s="35" t="n"/>
    </row>
    <row r="245" outlineLevel="2" ht="108" customFormat="1" customHeight="1" s="39">
      <c r="A245" s="37">
        <f>1+N(A244)</f>
        <v/>
      </c>
      <c r="B245" s="27" t="inlineStr">
        <is>
          <t>地面铺贴大理石ST-01</t>
        </is>
      </c>
      <c r="C245" s="27" t="inlineStr">
        <is>
          <t>1.地面20mm大理石ST-01、铺贴、厚度及样式按物料书为准；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245"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245" s="27" t="inlineStr">
        <is>
          <t xml:space="preserve">执行《GB/T50854-2024房屋建筑与装饰工程工程量计算标准》，按设计图示尺寸
以面积计算。 </t>
        </is>
      </c>
      <c r="F245" s="28" t="inlineStr">
        <is>
          <t>m2</t>
        </is>
      </c>
      <c r="G245" s="61" t="n">
        <v>9.800000000000001</v>
      </c>
      <c r="H245" s="62" t="n">
        <v>218.75017</v>
      </c>
      <c r="I245" s="65" t="n"/>
      <c r="J245" s="62">
        <f>H245*(1-$I$4)</f>
        <v/>
      </c>
      <c r="K245" s="63">
        <f>G245*J245</f>
        <v/>
      </c>
      <c r="L245" s="33" t="inlineStr">
        <is>
          <t>石材</t>
        </is>
      </c>
      <c r="M245" s="64" t="n"/>
      <c r="N245" s="39" t="n">
        <v>1</v>
      </c>
      <c r="O245" t="n">
        <v>130</v>
      </c>
      <c r="P245" s="35" t="inlineStr">
        <is>
          <t>差:-88.75元 (-40.6%) 来源:售楼处</t>
        </is>
      </c>
      <c r="Q245" s="35" t="n"/>
      <c r="R245" s="35" t="n"/>
    </row>
    <row r="246" outlineLevel="2" ht="108" customFormat="1" customHeight="1" s="39">
      <c r="A246" s="37">
        <f>1+N(A245)</f>
        <v/>
      </c>
      <c r="B246" s="27" t="inlineStr">
        <is>
          <t>地面铺贴大理石ST-01.02拼花</t>
        </is>
      </c>
      <c r="C246" s="27" t="inlineStr">
        <is>
          <t>1.地面20mm大理石拼花、参考3F-DF-01样式、ST-01、ST-02按物料书为准；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246"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246" s="27" t="inlineStr">
        <is>
          <t xml:space="preserve">执行《GB/T50854-2024房屋建筑与装饰工程工程量计算标准》，按设计图示尺寸
以面积计算。 </t>
        </is>
      </c>
      <c r="F246" s="28" t="inlineStr">
        <is>
          <t>m2</t>
        </is>
      </c>
      <c r="G246" s="61" t="n">
        <v>10.6</v>
      </c>
      <c r="H246" s="62" t="n">
        <v>242.35017</v>
      </c>
      <c r="I246" s="65" t="n"/>
      <c r="J246" s="62">
        <f>H246*(1-$I$4)</f>
        <v/>
      </c>
      <c r="K246" s="63">
        <f>G246*J246</f>
        <v/>
      </c>
      <c r="L246" s="33" t="inlineStr">
        <is>
          <t>石材</t>
        </is>
      </c>
      <c r="M246" s="64" t="n"/>
      <c r="N246" s="39" t="n">
        <v>1</v>
      </c>
      <c r="O246" t="n">
        <v>130</v>
      </c>
      <c r="P246" s="35" t="inlineStr">
        <is>
          <t>差:-112.35元 (-46.4%) 来源:售楼处</t>
        </is>
      </c>
      <c r="Q246" s="35" t="n"/>
      <c r="R246" s="35" t="n"/>
    </row>
    <row r="247" outlineLevel="2" ht="108" customFormat="1" customHeight="1" s="39">
      <c r="A247" s="37">
        <f>1+N(A246)</f>
        <v/>
      </c>
      <c r="B247" s="27" t="inlineStr">
        <is>
          <t>实心铜条5mm宽</t>
        </is>
      </c>
      <c r="C247" s="27" t="inlineStr">
        <is>
          <t>1.实心铜条5mm宽；
2.包含完成该项内容所有工作及费用并满足设计图纸、规范等要求；</t>
        </is>
      </c>
      <c r="D247"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247" s="27" t="inlineStr">
        <is>
          <t>按设计图示尺寸以长度计算。</t>
        </is>
      </c>
      <c r="F247" s="28" t="inlineStr">
        <is>
          <t>m</t>
        </is>
      </c>
      <c r="G247" s="61" t="n">
        <v>12.6</v>
      </c>
      <c r="H247" s="62" t="n">
        <v>89.267</v>
      </c>
      <c r="I247" s="65" t="n"/>
      <c r="J247" s="62">
        <f>H247*(1-$I$4)</f>
        <v/>
      </c>
      <c r="K247" s="63">
        <f>G247*J247</f>
        <v/>
      </c>
      <c r="L247" s="33" t="inlineStr">
        <is>
          <t>/</t>
        </is>
      </c>
      <c r="M247" s="64" t="n"/>
      <c r="N247" s="39" t="n">
        <v>1</v>
      </c>
      <c r="O247" t="n">
        <v>12</v>
      </c>
      <c r="P247" s="35" t="inlineStr">
        <is>
          <t>差:-77.27元 (-86.6%) 来源:售楼处</t>
        </is>
      </c>
      <c r="Q247" s="35" t="n"/>
      <c r="R247" s="35" t="n"/>
    </row>
    <row r="248" outlineLevel="2" ht="108" customFormat="1" customHeight="1" s="39">
      <c r="A248" s="37">
        <f>1+N(A247)</f>
        <v/>
      </c>
      <c r="B248" s="27" t="inlineStr">
        <is>
          <t>地面石材晶面处理</t>
        </is>
      </c>
      <c r="C248" s="27" t="inlineStr">
        <is>
          <t>1.石材结晶处理(结晶水及石材保养剂,中性清洁剂)；
2.包含完成该项内容所有工作及费用并满足设计图纸、规范等要求；</t>
        </is>
      </c>
      <c r="D248"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248" s="27" t="inlineStr">
        <is>
          <t xml:space="preserve">执行《GB/T50854-2024房屋建筑与装饰工程工程量计算标准》，按设计图示尺寸
以面积计算。 </t>
        </is>
      </c>
      <c r="F248" s="28" t="inlineStr">
        <is>
          <t>m2</t>
        </is>
      </c>
      <c r="G248" s="61" t="n">
        <v>20.4</v>
      </c>
      <c r="H248" s="62" t="n">
        <v>64.90000000000001</v>
      </c>
      <c r="I248" s="65" t="n"/>
      <c r="J248" s="62">
        <f>H248*(1-$I$4)</f>
        <v/>
      </c>
      <c r="K248" s="63">
        <f>G248*J248</f>
        <v/>
      </c>
      <c r="L248" s="33" t="inlineStr">
        <is>
          <t>/</t>
        </is>
      </c>
      <c r="M248" s="64" t="n"/>
      <c r="N248" s="39" t="n">
        <v>1</v>
      </c>
      <c r="O248" t="n">
        <v>40</v>
      </c>
      <c r="P248" s="35" t="inlineStr">
        <is>
          <t>差:-24.90元 (-38.4%) 来源:售楼处</t>
        </is>
      </c>
      <c r="Q248" s="35" t="n"/>
      <c r="R248" s="35" t="n"/>
    </row>
    <row r="249" outlineLevel="1" customFormat="1" s="39">
      <c r="A249" s="36" t="n"/>
      <c r="B249" s="27" t="inlineStr">
        <is>
          <t>墙柱面工程</t>
        </is>
      </c>
      <c r="C249" s="27" t="n"/>
      <c r="D249" s="27" t="n"/>
      <c r="E249" s="27" t="n"/>
      <c r="F249" s="28" t="n"/>
      <c r="G249" s="61" t="n"/>
      <c r="H249" s="62" t="n"/>
      <c r="I249" s="65" t="n"/>
      <c r="J249" s="62" t="n"/>
      <c r="K249" s="63" t="n"/>
      <c r="L249" s="33" t="n"/>
      <c r="M249" s="64" t="n"/>
      <c r="P249" s="35" t="n"/>
      <c r="Q249" s="35" t="n"/>
      <c r="R249" s="35" t="n"/>
    </row>
    <row r="250" outlineLevel="2" ht="144" customFormat="1" customHeight="1" s="39">
      <c r="A250" s="37">
        <f>1+N(A249)</f>
        <v/>
      </c>
      <c r="B250" s="27" t="inlineStr">
        <is>
          <t>墙面湿贴石材ST-05</t>
        </is>
      </c>
      <c r="C250" s="27" t="inlineStr">
        <is>
          <t>1、墙面湿贴石材ST-05
2、8mm厚石材专用胶粘剂WC粘结层
3、界面剂拉毛处理
4、石材的开槽、磨边、倒角、粘接、形成所需之凹坑、抛光、六面防污防渗等一切处理费用均在主材费中考虑，不再另行计取
5、包含完成该项内容所有工作及费用并满足设计图纸、规范等要求</t>
        </is>
      </c>
      <c r="D250" s="27" t="inlineStr">
        <is>
          <t>具体工作内容除详见项目特征外，且不限于以下内容:1.包含材料的下车、场内运输；2.清理基层、找标高、弹线定位；3.试拼试排；4.砂浆拌和、铺找平层（粘结层）砂浆；5.面层铺设、灌缝、擦缝；6.打蜡、养护；配合留设墙面开关、插座等末端设备等全部内容；包含成品保护、安全文明施工等达到验收合格的全部施工内容。</t>
        </is>
      </c>
      <c r="E250" s="27" t="inlineStr">
        <is>
          <t>执行《GB/T50854-2024房屋建筑与装饰工程工程量计算标准》，按设计图示镶贴后外围面积计算</t>
        </is>
      </c>
      <c r="F250" s="28" t="inlineStr">
        <is>
          <t>m2</t>
        </is>
      </c>
      <c r="G250" s="61" t="n">
        <v>8.17</v>
      </c>
      <c r="H250" s="62" t="n">
        <v>177</v>
      </c>
      <c r="I250" s="65" t="n"/>
      <c r="J250" s="62">
        <f>H250*(1-$I$4)</f>
        <v/>
      </c>
      <c r="K250" s="63">
        <f>G250*J250</f>
        <v/>
      </c>
      <c r="L250" s="33" t="inlineStr">
        <is>
          <t>石材</t>
        </is>
      </c>
      <c r="M250" s="64" t="n"/>
      <c r="N250" s="39" t="n">
        <v>1</v>
      </c>
      <c r="O250" t="n">
        <v>95</v>
      </c>
      <c r="P250" s="35" t="inlineStr">
        <is>
          <t>差:-82.00元 (-46.3%) 来源:售楼处</t>
        </is>
      </c>
      <c r="Q250" s="35" t="n"/>
      <c r="R250" s="35" t="n"/>
    </row>
    <row r="251" outlineLevel="2" ht="180" customFormat="1" customHeight="1" s="39">
      <c r="A251" s="37">
        <f>1+N(A250)</f>
        <v/>
      </c>
      <c r="B251" s="27" t="inlineStr">
        <is>
          <t>墙面干挂ST-05石材</t>
        </is>
      </c>
      <c r="C251" s="27" t="inlineStr">
        <is>
          <t>1、墙面干挂ST-05石材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is>
      </c>
      <c r="D251"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251" s="27" t="inlineStr">
        <is>
          <t>执行《GB/T50854-2024房屋建筑与装饰工程工程量计算标准》，按设计图示镶贴后外围面积计算</t>
        </is>
      </c>
      <c r="F251" s="28" t="inlineStr">
        <is>
          <t>m2</t>
        </is>
      </c>
      <c r="G251" s="61" t="n">
        <v>39.49</v>
      </c>
      <c r="H251" s="62" t="n">
        <v>283.2</v>
      </c>
      <c r="I251" s="65" t="n"/>
      <c r="J251" s="62">
        <f>H251*(1-$I$4)</f>
        <v/>
      </c>
      <c r="K251" s="63">
        <f>G251*J251</f>
        <v/>
      </c>
      <c r="L251" s="33" t="inlineStr">
        <is>
          <t>石材</t>
        </is>
      </c>
      <c r="M251" s="64" t="n"/>
      <c r="N251" s="39" t="n">
        <v>1</v>
      </c>
      <c r="O251" t="n">
        <v>145</v>
      </c>
      <c r="P251" s="35" t="inlineStr">
        <is>
          <t>差:-138.20元 (-48.8%) 来源:售楼处</t>
        </is>
      </c>
      <c r="Q251" s="35" t="n"/>
      <c r="R251" s="35" t="n"/>
    </row>
    <row r="252" outlineLevel="2" ht="180" customFormat="1" customHeight="1" s="39">
      <c r="A252" s="37">
        <f>1+N(A251)</f>
        <v/>
      </c>
      <c r="B252" s="27" t="inlineStr">
        <is>
          <t>电梯不锈钢门套</t>
        </is>
      </c>
      <c r="C252" s="27" t="inlineStr">
        <is>
          <t>1、1.2mm厚 MT-01古铜不锈钢门套，结构胶固定
2、9厘玻镁板基层
3、工程量以展开面积计算
4、包含完成该项内容所有工作及费用并满足设计图纸、规范等要求</t>
        </is>
      </c>
      <c r="D252"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252" s="27" t="inlineStr">
        <is>
          <t>执行《GB/T50854-2024房屋建筑与装饰工程工程量计算标准》，按设计图示饰面外围尺寸
以面积计算。 扣除门窗洞口面积，不扣除单个面积≤0.3㎡的孔洞所占面积。</t>
        </is>
      </c>
      <c r="F252" s="28" t="inlineStr">
        <is>
          <t>m2</t>
        </is>
      </c>
      <c r="G252" s="61" t="n">
        <v>3.56</v>
      </c>
      <c r="H252" s="62" t="n">
        <v>630.651</v>
      </c>
      <c r="I252" s="65" t="n"/>
      <c r="J252" s="62">
        <f>H252*(1-$I$4)</f>
        <v/>
      </c>
      <c r="K252" s="63">
        <f>G252*J252</f>
        <v/>
      </c>
      <c r="L252" s="33" t="inlineStr">
        <is>
          <t>/</t>
        </is>
      </c>
      <c r="M252" s="64" t="n"/>
      <c r="N252" s="39" t="n">
        <v>1</v>
      </c>
      <c r="O252" t="n">
        <v>110</v>
      </c>
      <c r="P252" s="35" t="inlineStr">
        <is>
          <t>差:-520.65元 (-82.6%) 来源:售楼处</t>
        </is>
      </c>
      <c r="Q252" s="35" t="n"/>
      <c r="R252" s="35" t="n"/>
    </row>
    <row r="253" outlineLevel="2" ht="180" customFormat="1" customHeight="1" s="39">
      <c r="A253" s="37">
        <f>1+N(A252)</f>
        <v/>
      </c>
      <c r="B253" s="27" t="inlineStr">
        <is>
          <t>电梯不锈钢门头</t>
        </is>
      </c>
      <c r="C253" s="27" t="inlineStr">
        <is>
          <t>1、1.2mm厚 MT-01古铜不锈钢门头，结构胶固定
2、12mm阻燃板，轻钢副龙骨@400
3、电梯门顶内置亚克力，内部面层刮白处理
4、工程量以展开面积计算
5、包含完成该项内容所有工作及费用并满足设计图纸、规范等要求</t>
        </is>
      </c>
      <c r="D253"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253" s="27" t="inlineStr">
        <is>
          <t>执行《GB/T50854-2024房屋建筑与装饰工程工程量计算标准》，按设计图示饰面外围尺寸
以面积计算。 扣除门窗洞口面积，不扣除单个面积≤0.3㎡的孔洞所占面积。</t>
        </is>
      </c>
      <c r="F253" s="28" t="inlineStr">
        <is>
          <t>m2</t>
        </is>
      </c>
      <c r="G253" s="61" t="n">
        <v>1.85</v>
      </c>
      <c r="H253" s="62" t="n">
        <v>812.961</v>
      </c>
      <c r="I253" s="65" t="n"/>
      <c r="J253" s="62">
        <f>H253*(1-$I$4)</f>
        <v/>
      </c>
      <c r="K253" s="63">
        <f>G253*J253</f>
        <v/>
      </c>
      <c r="L253" s="33" t="inlineStr">
        <is>
          <t>/</t>
        </is>
      </c>
      <c r="M253" s="64" t="n"/>
      <c r="N253" s="39" t="n">
        <v>1</v>
      </c>
      <c r="O253" t="n">
        <v>110</v>
      </c>
      <c r="P253" s="35" t="inlineStr">
        <is>
          <t>差:-702.96元 (-86.5%) 来源:售楼处</t>
        </is>
      </c>
      <c r="Q253" s="35" t="n"/>
      <c r="R253" s="35" t="n"/>
    </row>
    <row r="254" outlineLevel="2" ht="180" customFormat="1" customHeight="1" s="39">
      <c r="A254" s="37">
        <f>1+N(A253)</f>
        <v/>
      </c>
      <c r="B254" s="27" t="inlineStr">
        <is>
          <t>MT-01古铜不锈钢饰面（电梯按钮处）</t>
        </is>
      </c>
      <c r="C254" s="27" t="inlineStr">
        <is>
          <t>1、1.2mm厚 MT-01古铜不锈钢饰面
2、12mm阻燃板基层，轻钢副龙骨@400
3、工程量以展开面积计算
4、包含完成该项内容所有工作及费用并满足设计图纸、规范等要求</t>
        </is>
      </c>
      <c r="D254"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254" s="27" t="inlineStr">
        <is>
          <t>执行《GB/T50854-2024房屋建筑与装饰工程工程量计算标准》，按设计图示饰面外围尺寸
以面积计算。 扣除门窗洞口面积，不扣除单个面积≤0.3㎡的孔洞所占面积。</t>
        </is>
      </c>
      <c r="F254" s="28" t="inlineStr">
        <is>
          <t>m2</t>
        </is>
      </c>
      <c r="G254" s="61" t="n">
        <v>0.26</v>
      </c>
      <c r="H254" s="62" t="n">
        <v>295</v>
      </c>
      <c r="I254" s="65" t="n"/>
      <c r="J254" s="62">
        <f>H254*(1-$I$4)</f>
        <v/>
      </c>
      <c r="K254" s="63">
        <f>G254*J254</f>
        <v/>
      </c>
      <c r="L254" s="33" t="inlineStr">
        <is>
          <t>不锈钢饰面</t>
        </is>
      </c>
      <c r="M254" s="64" t="n"/>
      <c r="N254" s="39" t="n">
        <v>1</v>
      </c>
      <c r="O254" t="n">
        <v>110</v>
      </c>
      <c r="P254" s="35" t="inlineStr">
        <is>
          <t>差:-185.00元 (-62.7%) 来源:售楼处</t>
        </is>
      </c>
      <c r="Q254" s="35" t="n"/>
      <c r="R254" s="35" t="n"/>
    </row>
    <row r="255" outlineLevel="2" ht="144" customFormat="1" customHeight="1" s="39">
      <c r="A255" s="37">
        <f>1+N(A254)</f>
        <v/>
      </c>
      <c r="B255" s="27" t="inlineStr">
        <is>
          <t>MT-01古铜不锈钢踢脚线（高20mm）</t>
        </is>
      </c>
      <c r="C255" s="27" t="inlineStr">
        <is>
          <t>1、1.2mm厚 MT-01古铜不锈钢踢脚线（高20mm，展开面为46mm），结构胶固定
2、9厘玻镁板基层
3、包含完成该项内容所有工作及费用并满足设计图纸、规范等要求</t>
        </is>
      </c>
      <c r="D255"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255" s="27" t="inlineStr">
        <is>
          <t>按设计图示尺寸以长度计算。</t>
        </is>
      </c>
      <c r="F255" s="28" t="inlineStr">
        <is>
          <t>m</t>
        </is>
      </c>
      <c r="G255" s="61" t="n">
        <v>16.3</v>
      </c>
      <c r="H255" s="62" t="n">
        <v>31.86</v>
      </c>
      <c r="I255" s="65" t="n"/>
      <c r="J255" s="62">
        <f>H255*(1-$I$4)</f>
        <v/>
      </c>
      <c r="K255" s="63">
        <f>G255*J255</f>
        <v/>
      </c>
      <c r="L255" s="33" t="inlineStr">
        <is>
          <t>不锈钢踢脚线</t>
        </is>
      </c>
      <c r="M255" s="64" t="n"/>
      <c r="N255" s="39" t="n">
        <v>1</v>
      </c>
      <c r="O255" t="n">
        <v>12</v>
      </c>
      <c r="P255" s="35" t="inlineStr">
        <is>
          <t>差:-19.86元 (-62.3%) 来源:售楼处</t>
        </is>
      </c>
      <c r="Q255" s="35" t="n"/>
      <c r="R255" s="35" t="n"/>
    </row>
    <row r="256" outlineLevel="2" ht="144" customFormat="1" customHeight="1" s="39">
      <c r="A256" s="37">
        <f>1+N(A255)</f>
        <v/>
      </c>
      <c r="B256" s="27" t="inlineStr">
        <is>
          <t>MT-01古铜不锈钢线条（展开面为54mm）</t>
        </is>
      </c>
      <c r="C256" s="27" t="inlineStr">
        <is>
          <t>1、1.2mm厚 MT-01古铜不锈钢线条（展开面为54mm），结构胶固定
2、9厘玻镁板基层
3、包含完成该项内容所有工作及费用并满足设计图纸、规范等要求</t>
        </is>
      </c>
      <c r="D256"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256" s="27" t="inlineStr">
        <is>
          <t>按设计图示尺寸以长度计算。</t>
        </is>
      </c>
      <c r="F256" s="28" t="inlineStr">
        <is>
          <t>m</t>
        </is>
      </c>
      <c r="G256" s="61" t="n">
        <v>0.34</v>
      </c>
      <c r="H256" s="62" t="n">
        <v>67.307908</v>
      </c>
      <c r="I256" s="65" t="n"/>
      <c r="J256" s="62">
        <f>H256*(1-$I$4)</f>
        <v/>
      </c>
      <c r="K256" s="63">
        <f>G256*J256</f>
        <v/>
      </c>
      <c r="L256" s="33" t="inlineStr">
        <is>
          <t>/</t>
        </is>
      </c>
      <c r="M256" s="64" t="n"/>
      <c r="N256" s="39" t="n">
        <v>1</v>
      </c>
      <c r="O256" t="n">
        <v>12</v>
      </c>
      <c r="P256" s="35" t="inlineStr">
        <is>
          <t>差:-55.31元 (-82.2%) 来源:售楼处</t>
        </is>
      </c>
      <c r="Q256" s="35" t="n"/>
      <c r="R256" s="35" t="n"/>
    </row>
    <row r="257" outlineLevel="2" ht="144" customFormat="1" customHeight="1" s="39">
      <c r="A257" s="37">
        <f>1+N(A256)</f>
        <v/>
      </c>
      <c r="B257" s="27" t="inlineStr">
        <is>
          <t>MT-01古铜不锈钢线条（展开面为114mm）</t>
        </is>
      </c>
      <c r="C257" s="27" t="inlineStr">
        <is>
          <t>1、1.2mm厚 MT-01古铜不锈钢线条（展开面为114mm），结构胶固定
2、9厘玻镁板基层
3、包含完成该项内容所有工作及费用并满足设计图纸、规范等要求</t>
        </is>
      </c>
      <c r="D257"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257" s="27" t="inlineStr">
        <is>
          <t>按设计图示尺寸以长度计算。</t>
        </is>
      </c>
      <c r="F257" s="28" t="inlineStr">
        <is>
          <t>m</t>
        </is>
      </c>
      <c r="G257" s="61" t="n">
        <v>14.44</v>
      </c>
      <c r="H257" s="62" t="n">
        <v>117.84424</v>
      </c>
      <c r="I257" s="65" t="n"/>
      <c r="J257" s="62">
        <f>H257*(1-$I$4)</f>
        <v/>
      </c>
      <c r="K257" s="63">
        <f>G257*J257</f>
        <v/>
      </c>
      <c r="L257" s="33" t="inlineStr">
        <is>
          <t>/</t>
        </is>
      </c>
      <c r="M257" s="64" t="n"/>
      <c r="N257" s="39" t="n">
        <v>1</v>
      </c>
      <c r="O257" t="n">
        <v>22</v>
      </c>
      <c r="P257" s="35" t="inlineStr">
        <is>
          <t>差:-95.84元 (-81.3%) 来源:售楼处</t>
        </is>
      </c>
      <c r="Q257" s="35" t="n"/>
      <c r="R257" s="35" t="n"/>
    </row>
    <row r="258" outlineLevel="2" ht="144" customFormat="1" customHeight="1" s="39">
      <c r="A258" s="37">
        <f>1+N(A257)</f>
        <v/>
      </c>
      <c r="B258" s="27" t="inlineStr">
        <is>
          <t>MT-01古铜不锈钢顶部收口条（展开面为41mm）</t>
        </is>
      </c>
      <c r="C258" s="27" t="inlineStr">
        <is>
          <t>1、1.2mm厚 MT-01古铜不锈钢顶部收口条（展开面为41mm），结构胶固定
2、9厘玻镁板基层
3、包含完成该项内容所有工作及费用并满足设计图纸、规范等要求</t>
        </is>
      </c>
      <c r="D258"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258" s="27" t="inlineStr">
        <is>
          <t>按设计图示尺寸以长度计算。</t>
        </is>
      </c>
      <c r="F258" s="28" t="inlineStr">
        <is>
          <t>m</t>
        </is>
      </c>
      <c r="G258" s="61" t="n">
        <v>16.12</v>
      </c>
      <c r="H258" s="62" t="n">
        <v>64.24509999999999</v>
      </c>
      <c r="I258" s="65" t="n"/>
      <c r="J258" s="62">
        <f>H258*(1-$I$4)</f>
        <v/>
      </c>
      <c r="K258" s="63">
        <f>G258*J258</f>
        <v/>
      </c>
      <c r="L258" s="33" t="inlineStr">
        <is>
          <t>/</t>
        </is>
      </c>
      <c r="M258" s="64" t="n"/>
      <c r="N258" s="39" t="n">
        <v>1</v>
      </c>
      <c r="O258" t="n">
        <v>12</v>
      </c>
      <c r="P258" s="35" t="inlineStr">
        <is>
          <t>差:-52.25元 (-81.3%) 来源:售楼处</t>
        </is>
      </c>
      <c r="Q258" s="35" t="n"/>
      <c r="R258" s="35" t="n"/>
    </row>
    <row r="259" outlineLevel="1" customFormat="1" s="39">
      <c r="A259" s="36" t="n"/>
      <c r="B259" s="27" t="inlineStr">
        <is>
          <t>天花工程</t>
        </is>
      </c>
      <c r="C259" s="27" t="n"/>
      <c r="D259" s="27" t="n"/>
      <c r="E259" s="27" t="n"/>
      <c r="F259" s="28" t="n"/>
      <c r="G259" s="61" t="n"/>
      <c r="H259" s="62" t="n"/>
      <c r="I259" s="65" t="n"/>
      <c r="J259" s="62" t="n"/>
      <c r="K259" s="63" t="n"/>
      <c r="L259" s="33" t="n"/>
      <c r="M259" s="64" t="n"/>
      <c r="P259" s="35" t="n"/>
      <c r="Q259" s="35" t="n"/>
      <c r="R259" s="35" t="n"/>
    </row>
    <row r="260" outlineLevel="2" ht="192" customFormat="1" customHeight="1" s="39">
      <c r="A260" s="37">
        <f>1+N(A259)</f>
        <v/>
      </c>
      <c r="B260" s="27" t="inlineStr">
        <is>
          <t>造型石膏板吊顶</t>
        </is>
      </c>
      <c r="C260" s="27" t="inlineStr">
        <is>
          <t>1.60系列轻钢主龙骨@900，60系列轻钢副龙骨@400，60系列横撑龙骨@600，08螺纹吊杆@900不上人天花吊顶（投影面计算）
2.玻镁板、双层9.5厚石膏板基层，含开孔、检修口、10*10凹槽等费用；
3.含除灯槽外的侧面高差及其连接件、吊件；
4.包含完成该项内容所有工作及费用并满足设计图纸、规范等要求；</t>
        </is>
      </c>
      <c r="D260" s="27" t="inlineStr">
        <is>
          <t>1.基层清理。
2.弹线定位、排版。
3.吊杆及连接件安装调平、收口及密封处理。
4.材料切割处理找平、石膏板安装及调整，打胶密封与清理.
5.收口及其他处理：检修口等制作安装、收边收口、配合预留安装、机电等专业孔洞及孔洞收口处理。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260" s="27" t="inlineStr">
        <is>
          <t>按设计图示尺寸以水平投影面积计算。不扣除间壁墙、检查口、附墙烟囱、柱垛和管道所占面积,扣除单个&gt;0.3m3的孔洞、非密拼吊顶空隙所占的面积、独立柱及与天棚相连的窗帘盒所占的面积。</t>
        </is>
      </c>
      <c r="F260" s="28" t="inlineStr">
        <is>
          <t>m2</t>
        </is>
      </c>
      <c r="G260" s="61" t="n">
        <v>20.4</v>
      </c>
      <c r="H260" s="62" t="n">
        <v>174.574444444444</v>
      </c>
      <c r="I260" s="65" t="n"/>
      <c r="J260" s="62">
        <f>H260*(1-$I$4)</f>
        <v/>
      </c>
      <c r="K260" s="63">
        <f>G260*J260</f>
        <v/>
      </c>
      <c r="L260" s="33" t="inlineStr">
        <is>
          <t>/</t>
        </is>
      </c>
      <c r="M260" s="64" t="n"/>
      <c r="N260" s="39" t="n">
        <v>1</v>
      </c>
      <c r="O260" t="n">
        <v>70</v>
      </c>
      <c r="P260" s="35" t="inlineStr">
        <is>
          <t>差:-104.57元 (-59.9%) 来源:售楼处</t>
        </is>
      </c>
      <c r="Q260" s="35" t="n"/>
      <c r="R260" s="35" t="n"/>
    </row>
    <row r="261" outlineLevel="2" ht="72" customFormat="1" customHeight="1" s="39">
      <c r="A261" s="37">
        <f>1+N(A260)</f>
        <v/>
      </c>
      <c r="B261" s="27" t="inlineStr">
        <is>
          <t>灯槽（100mm*200mm）</t>
        </is>
      </c>
      <c r="C261" s="27" t="inlineStr">
        <is>
          <t>1.灯槽（100mm*200mm）；
2.双层板：9mm玻镁板、9.5厚石膏板；
3.包含完成该项内容所有工作及费用并满足设计图纸、规范等要求；</t>
        </is>
      </c>
      <c r="D261" s="27" t="inlineStr">
        <is>
          <t>自现有现场条件下按照合同约定范围、图纸（含设计变更）及甲方要求内容以及规范、标准、相关做法等要求完成并达到总包合同全部目标的全部工作内容。</t>
        </is>
      </c>
      <c r="E261" s="27" t="inlineStr">
        <is>
          <t>依据经承包人确认的施工部位,按设计图示尺寸以延长米计算。</t>
        </is>
      </c>
      <c r="F261" s="28" t="inlineStr">
        <is>
          <t>m</t>
        </is>
      </c>
      <c r="G261" s="61" t="n">
        <v>12.63</v>
      </c>
      <c r="H261" s="62" t="n">
        <v>112.159</v>
      </c>
      <c r="I261" s="65" t="n"/>
      <c r="J261" s="62">
        <f>H261*(1-$I$4)</f>
        <v/>
      </c>
      <c r="K261" s="63">
        <f>G261*J261</f>
        <v/>
      </c>
      <c r="L261" s="33" t="inlineStr">
        <is>
          <t>/</t>
        </is>
      </c>
      <c r="M261" s="64" t="n"/>
      <c r="N261" s="39" t="n">
        <v>1</v>
      </c>
      <c r="O261" t="n">
        <v>50</v>
      </c>
      <c r="P261" s="35" t="inlineStr">
        <is>
          <t>差:-62.16元 (-55.4%) 来源:售楼处</t>
        </is>
      </c>
      <c r="Q261" s="35" t="n"/>
      <c r="R261" s="35" t="n"/>
    </row>
    <row r="262" outlineLevel="2" ht="72" customFormat="1" customHeight="1" s="39">
      <c r="A262" s="37">
        <f>1+N(A261)</f>
        <v/>
      </c>
      <c r="B262" s="27" t="inlineStr">
        <is>
          <t>成品石膏线条</t>
        </is>
      </c>
      <c r="C262" s="27" t="inlineStr">
        <is>
          <t>1.成品石膏线条（50mm*50mm）；
2.按图纸造型；
3.包含完成该项内容所有工作及费用并满足设计图纸、规范等要求；</t>
        </is>
      </c>
      <c r="D262" s="27" t="inlineStr">
        <is>
          <t>自现有现场条件下按照合同约定范围、图纸（含设计变更）及甲方要求内容以及规范、标准、相关做法等要求完成并达到总包合同全部目标的全部工作内容。</t>
        </is>
      </c>
      <c r="E262" s="27" t="inlineStr">
        <is>
          <t>依据经承包人确认的施工部位,按设计图示尺寸以延长米计算。</t>
        </is>
      </c>
      <c r="F262" s="28" t="inlineStr">
        <is>
          <t>m</t>
        </is>
      </c>
      <c r="G262" s="61" t="n">
        <v>12.63</v>
      </c>
      <c r="H262" s="62" t="n">
        <v>20.06</v>
      </c>
      <c r="I262" s="65" t="n"/>
      <c r="J262" s="62">
        <f>H262*(1-$I$4)</f>
        <v/>
      </c>
      <c r="K262" s="63">
        <f>G262*J262</f>
        <v/>
      </c>
      <c r="L262" s="33" t="inlineStr">
        <is>
          <t>成品石膏线条</t>
        </is>
      </c>
      <c r="M262" s="64" t="n"/>
      <c r="N262" s="39" t="n">
        <v>1</v>
      </c>
      <c r="O262" t="n">
        <v>18</v>
      </c>
      <c r="P262" s="35" t="inlineStr">
        <is>
          <t>差:-2.06元 (-10.3%) 来源:售楼处</t>
        </is>
      </c>
      <c r="Q262" s="35" t="n"/>
      <c r="R262" s="35" t="n"/>
    </row>
    <row r="263" outlineLevel="2" ht="192" customFormat="1" customHeight="1" s="39">
      <c r="A263" s="37">
        <f>1+N(A262)</f>
        <v/>
      </c>
      <c r="B263" s="27" t="inlineStr">
        <is>
          <t>天花肌理无机涂料PT-01</t>
        </is>
      </c>
      <c r="C263" s="27" t="inlineStr">
        <is>
          <t>1.天花肌理无机涂料PT-01；
2.刮腻子二遍磨平；
3.底漆1遍，面漆2遍；
4.包含完成该项内容所有工作及费用并满足设计图纸、规范等要求；</t>
        </is>
      </c>
      <c r="D263" s="27" t="inlineStr">
        <is>
          <t>包括但不限于材料计划、采购、卸车倒运、保管、检验试验费、测量放线，包含四周阴角找平直、含天棚四周阴角找平直，打磨，简易脚手架搭拆及操作平台、升降机，基层清理、打磨平整、底层找补、满刮涂料（含阴阳角塑料条）、涂料打磨、补遗处理、配合其他分包施工、完工后场清、成品保护、保修等直到达到竣工交付标准的全部工作内容。包括所有为完成工作所需的小型机具；包括所有为完成工作所需的附属工作；包括但不限于以上内容。</t>
        </is>
      </c>
      <c r="E263" s="27" t="inlineStr">
        <is>
          <t>执行《GB/T50854-2024房屋建筑与装饰工程工程量计算标准》，按设计图示尺寸以面积计算。扣除0.3平方米以上洞口的面积；梁侧面及檐口天棚并入天棚计算；以设计图纸和技术交底为基础</t>
        </is>
      </c>
      <c r="F263" s="28" t="inlineStr">
        <is>
          <t>m2</t>
        </is>
      </c>
      <c r="G263" s="61" t="n">
        <v>24.19</v>
      </c>
      <c r="H263" s="62" t="n">
        <v>48.38</v>
      </c>
      <c r="I263" s="65" t="n"/>
      <c r="J263" s="62">
        <f>H263*(1-$I$4)</f>
        <v/>
      </c>
      <c r="K263" s="63">
        <f>G263*J263</f>
        <v/>
      </c>
      <c r="L263" s="33" t="inlineStr">
        <is>
          <t>涂料</t>
        </is>
      </c>
      <c r="M263" s="64" t="n"/>
      <c r="N263" s="39" t="n">
        <v>1</v>
      </c>
      <c r="O263" t="n">
        <v>45</v>
      </c>
      <c r="P263" s="35" t="inlineStr">
        <is>
          <t>差:-3.38元 (-7.0%) 来源:售楼处</t>
        </is>
      </c>
      <c r="Q263" s="35" t="n"/>
      <c r="R263" s="35" t="n"/>
    </row>
    <row r="264" outlineLevel="1" customFormat="1" s="39">
      <c r="A264" s="36" t="n"/>
      <c r="B264" s="27" t="inlineStr">
        <is>
          <t>门窗、家具工程</t>
        </is>
      </c>
      <c r="C264" s="27" t="n"/>
      <c r="D264" s="27" t="n"/>
      <c r="E264" s="27" t="n"/>
      <c r="F264" s="28" t="n"/>
      <c r="G264" s="61" t="n"/>
      <c r="H264" s="62" t="n"/>
      <c r="I264" s="65" t="n"/>
      <c r="J264" s="62" t="n"/>
      <c r="K264" s="63" t="n"/>
      <c r="L264" s="33" t="n"/>
      <c r="M264" s="64" t="n"/>
      <c r="P264" s="35" t="n"/>
      <c r="Q264" s="35" t="n"/>
      <c r="R264" s="35" t="n"/>
    </row>
    <row r="265" outlineLevel="2" ht="72" customFormat="1" customHeight="1" s="39">
      <c r="A265" s="37">
        <f>1+N(A264)</f>
        <v/>
      </c>
      <c r="B265" s="27" t="inlineStr">
        <is>
          <t>消防栓暗门(不含面层)</t>
        </is>
      </c>
      <c r="C265" s="27" t="inlineStr">
        <is>
          <t>1、40x40x5mm热镀锌方管骨架、背封铝塑板
2、含天地轴、门吸等五金配件
3、包含完成该项内容所有工作及费用并满足设计图纸、规范等要求</t>
        </is>
      </c>
      <c r="D265" s="27" t="inlineStr">
        <is>
          <t>自现有现场条件下按照合同约定范围、图纸（含设计变更）及甲方要求内容以及规范、标准、相关做法等要求完成并达到总包合同全部目标的全部工作内容。</t>
        </is>
      </c>
      <c r="E265" s="27" t="inlineStr">
        <is>
          <t>以最终验收合格的工程量计算</t>
        </is>
      </c>
      <c r="F265" s="28" t="inlineStr">
        <is>
          <t>m2</t>
        </is>
      </c>
      <c r="G265" s="61" t="n">
        <v>2.1</v>
      </c>
      <c r="H265" s="62" t="n">
        <v>962.6833333333331</v>
      </c>
      <c r="I265" s="65" t="n"/>
      <c r="J265" s="62">
        <f>H265*(1-$I$4)</f>
        <v/>
      </c>
      <c r="K265" s="63">
        <f>G265*J265</f>
        <v/>
      </c>
      <c r="L265" s="33" t="inlineStr">
        <is>
          <t>/</t>
        </is>
      </c>
      <c r="M265" s="64" t="n"/>
      <c r="N265" s="39" t="n">
        <v>1</v>
      </c>
      <c r="O265" t="n">
        <v>165</v>
      </c>
      <c r="P265" s="35" t="inlineStr">
        <is>
          <t>差:-797.68元 (-82.9%) 来源:售楼处</t>
        </is>
      </c>
      <c r="Q265" s="35" t="n"/>
      <c r="R265" s="35" t="n"/>
    </row>
    <row r="266" outlineLevel="2" ht="108" customFormat="1" customHeight="1" s="39">
      <c r="A266" s="37">
        <f>1+N(A265)</f>
        <v/>
      </c>
      <c r="B266" s="27" t="inlineStr">
        <is>
          <t>电梯厅门（参DR01）</t>
        </is>
      </c>
      <c r="C266" s="27" t="inlineStr">
        <is>
          <t>1、门扇：1.2mm厚 MT-01古铜不锈钢饰面、GL-01超白钢化玻璃、ST-08石材、L40*40*4镀锌角钢骨架
2、门套：1.2mm厚 MT-01古铜不锈钢饰面
3、定制成品套装门制安
4、含电机、暗铰链、地弹簧等五金配件
5、包含完成该项内容所有工作及费用并满足设计图纸、规范等要求</t>
        </is>
      </c>
      <c r="D266" s="27" t="inlineStr">
        <is>
          <t>自现有现场条件下按照合同约定范围、图纸（含设计变更）及甲方要求内容以及规范、标准、相关做法等要求完成并达到总包合同全部目标的全部工作内容。</t>
        </is>
      </c>
      <c r="E266" s="27" t="inlineStr">
        <is>
          <t>以最终验收合格的工程量计算</t>
        </is>
      </c>
      <c r="F266" s="28" t="inlineStr">
        <is>
          <t>m2</t>
        </is>
      </c>
      <c r="G266" s="61" t="n">
        <v>6</v>
      </c>
      <c r="H266" s="62" t="n">
        <v>7530.96521739131</v>
      </c>
      <c r="I266" s="65" t="n"/>
      <c r="J266" s="62">
        <f>H266*(1-$I$4)</f>
        <v/>
      </c>
      <c r="K266" s="63">
        <f>G266*J266</f>
        <v/>
      </c>
      <c r="L266" s="33" t="inlineStr">
        <is>
          <t>/</t>
        </is>
      </c>
      <c r="M266" s="64" t="n"/>
      <c r="N266" s="39" t="n">
        <v>1</v>
      </c>
      <c r="O266" t="n">
        <v>145</v>
      </c>
      <c r="P266" s="35" t="inlineStr">
        <is>
          <t>差:-7385.97元 (-98.1%) 来源:售楼处</t>
        </is>
      </c>
      <c r="Q266" s="35" t="n"/>
      <c r="R266" s="35" t="n"/>
    </row>
    <row r="267" outlineLevel="2" ht="72" customFormat="1" customHeight="1" s="39">
      <c r="A267" s="37">
        <f>1+N(A266)</f>
        <v/>
      </c>
      <c r="B267" s="27" t="inlineStr">
        <is>
          <t>固定玻璃隔断</t>
        </is>
      </c>
      <c r="C267" s="27" t="inlineStr">
        <is>
          <t>1、GL-01超白钢化玻璃饰面
2、1.2mm厚 MT-01古铜不锈钢饰面边框
3、包含完成该项内容所有工作及费用并满足设计图纸、规范等要求</t>
        </is>
      </c>
      <c r="D267" s="27" t="inlineStr">
        <is>
          <t>自现有现场条件下按照合同约定范围、图纸（含设计变更）及甲方要求内容以及规范、标准、相关做法等要求完成并达到总包合同全部目标的全部工作内容。</t>
        </is>
      </c>
      <c r="E267" s="27" t="inlineStr">
        <is>
          <t>以最终验收合格的工程量计算</t>
        </is>
      </c>
      <c r="F267" s="28" t="inlineStr">
        <is>
          <t>m2</t>
        </is>
      </c>
      <c r="G267" s="61" t="n">
        <v>4.35</v>
      </c>
      <c r="H267" s="62" t="n">
        <v>610.895315789474</v>
      </c>
      <c r="I267" s="65" t="n"/>
      <c r="J267" s="62">
        <f>H267*(1-$I$4)</f>
        <v/>
      </c>
      <c r="K267" s="63">
        <f>G267*J267</f>
        <v/>
      </c>
      <c r="L267" s="33" t="inlineStr">
        <is>
          <t>/</t>
        </is>
      </c>
      <c r="M267" s="64" t="n"/>
      <c r="N267" s="39" t="n">
        <v>1</v>
      </c>
      <c r="O267" t="n">
        <v>110</v>
      </c>
      <c r="P267" s="35" t="inlineStr">
        <is>
          <t>差:-500.90元 (-82.0%) 来源:售楼处</t>
        </is>
      </c>
      <c r="Q267" s="35" t="n"/>
      <c r="R267" s="35" t="n"/>
    </row>
    <row r="268" outlineLevel="1" customFormat="1" s="39">
      <c r="A268" s="26" t="inlineStr">
        <is>
          <t>六</t>
        </is>
      </c>
      <c r="B268" s="27" t="inlineStr">
        <is>
          <t>一层入户大堂\景观廊道（DT6）</t>
        </is>
      </c>
      <c r="C268" s="27" t="n"/>
      <c r="D268" s="27" t="n"/>
      <c r="E268" s="27" t="n"/>
      <c r="F268" s="28" t="n"/>
      <c r="G268" s="61" t="n"/>
      <c r="H268" s="62" t="n"/>
      <c r="I268" s="65" t="n"/>
      <c r="J268" s="62" t="n"/>
      <c r="K268" s="63" t="n"/>
      <c r="L268" s="33" t="n"/>
      <c r="M268" s="64" t="n"/>
      <c r="O268" s="38" t="n"/>
      <c r="P268" s="35" t="n"/>
      <c r="Q268" s="35" t="n"/>
      <c r="R268" s="35" t="n"/>
    </row>
    <row r="269" outlineLevel="1" customFormat="1" s="39">
      <c r="A269" s="36" t="n"/>
      <c r="B269" s="27" t="inlineStr">
        <is>
          <t>地面工程</t>
        </is>
      </c>
      <c r="C269" s="27" t="n"/>
      <c r="D269" s="27" t="n"/>
      <c r="E269" s="27" t="n"/>
      <c r="F269" s="28" t="n"/>
      <c r="G269" s="61" t="n"/>
      <c r="H269" s="62" t="n"/>
      <c r="I269" s="65" t="n"/>
      <c r="J269" s="62" t="n"/>
      <c r="K269" s="63" t="n"/>
      <c r="L269" s="33" t="n"/>
      <c r="M269" s="64" t="n"/>
      <c r="P269" s="35" t="n"/>
      <c r="Q269" s="35" t="n"/>
      <c r="R269" s="35" t="n"/>
    </row>
    <row r="270" outlineLevel="2" ht="108" customFormat="1" customHeight="1" s="39">
      <c r="A270" s="37">
        <f>1+N(A269)</f>
        <v/>
      </c>
      <c r="B270" s="27" t="inlineStr">
        <is>
          <t>地面铺贴大理石ST-01</t>
        </is>
      </c>
      <c r="C270" s="27" t="inlineStr">
        <is>
          <t>1.地面20mm大理石ST-01、铺贴、厚度及样式按物料书为准；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270"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270" s="27" t="inlineStr">
        <is>
          <t xml:space="preserve">执行《GB/T50854-2024房屋建筑与装饰工程工程量计算标准》，按设计图示尺寸
以面积计算。 </t>
        </is>
      </c>
      <c r="F270" s="28" t="inlineStr">
        <is>
          <t>m2</t>
        </is>
      </c>
      <c r="G270" s="61" t="n">
        <v>46.2</v>
      </c>
      <c r="H270" s="62" t="n">
        <v>218.75017</v>
      </c>
      <c r="I270" s="65" t="n"/>
      <c r="J270" s="62">
        <f>H270*(1-$I$4)</f>
        <v/>
      </c>
      <c r="K270" s="63">
        <f>G270*J270</f>
        <v/>
      </c>
      <c r="L270" s="33" t="inlineStr">
        <is>
          <t>石材</t>
        </is>
      </c>
      <c r="M270" s="64" t="n"/>
      <c r="N270" s="39" t="n">
        <v>1</v>
      </c>
      <c r="O270" t="n">
        <v>130</v>
      </c>
      <c r="P270" s="35" t="inlineStr">
        <is>
          <t>差:-88.75元 (-40.6%) 来源:售楼处</t>
        </is>
      </c>
      <c r="Q270" s="35" t="n"/>
      <c r="R270" s="35" t="n"/>
    </row>
    <row r="271" outlineLevel="2" ht="108" customFormat="1" customHeight="1" s="39">
      <c r="A271" s="37">
        <f>1+N(A270)</f>
        <v/>
      </c>
      <c r="B271" s="27" t="inlineStr">
        <is>
          <t>地面铺贴大理石ST-01.03拼花</t>
        </is>
      </c>
      <c r="C271" s="27" t="inlineStr">
        <is>
          <t>1.地面20mm大理石拼花、参考3F-DF-01样式、ST-01、ST-03按物料书为准；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271"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271" s="27" t="inlineStr">
        <is>
          <t xml:space="preserve">执行《GB/T50854-2024房屋建筑与装饰工程工程量计算标准》，按设计图示尺寸
以面积计算。 </t>
        </is>
      </c>
      <c r="F271" s="28" t="inlineStr">
        <is>
          <t>m2</t>
        </is>
      </c>
      <c r="G271" s="61" t="n">
        <v>41.1</v>
      </c>
      <c r="H271" s="62" t="n">
        <v>242.35017</v>
      </c>
      <c r="I271" s="65" t="n"/>
      <c r="J271" s="62">
        <f>H271*(1-$I$4)</f>
        <v/>
      </c>
      <c r="K271" s="63">
        <f>G271*J271</f>
        <v/>
      </c>
      <c r="L271" s="33" t="inlineStr">
        <is>
          <t>石材</t>
        </is>
      </c>
      <c r="M271" s="64" t="n"/>
      <c r="N271" s="39" t="n">
        <v>1</v>
      </c>
      <c r="O271" t="n">
        <v>130</v>
      </c>
      <c r="P271" s="35" t="inlineStr">
        <is>
          <t>差:-112.35元 (-46.4%) 来源:售楼处</t>
        </is>
      </c>
      <c r="Q271" s="35" t="n"/>
      <c r="R271" s="35" t="n"/>
    </row>
    <row r="272" outlineLevel="2" ht="108" customFormat="1" customHeight="1" s="39">
      <c r="A272" s="37">
        <f>1+N(A271)</f>
        <v/>
      </c>
      <c r="B272" s="27" t="inlineStr">
        <is>
          <t>实心铜条5mm宽</t>
        </is>
      </c>
      <c r="C272" s="27" t="inlineStr">
        <is>
          <t>1.实心铜条5mm宽；
2.包含完成该项内容所有工作及费用并满足设计图纸、规范等要求；</t>
        </is>
      </c>
      <c r="D272"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272" s="27" t="inlineStr">
        <is>
          <t>按设计图示尺寸以长度计算。</t>
        </is>
      </c>
      <c r="F272" s="28" t="inlineStr">
        <is>
          <t>m</t>
        </is>
      </c>
      <c r="G272" s="61" t="n">
        <v>24.96</v>
      </c>
      <c r="H272" s="62" t="n">
        <v>89.267</v>
      </c>
      <c r="I272" s="65" t="n"/>
      <c r="J272" s="62">
        <f>H272*(1-$I$4)</f>
        <v/>
      </c>
      <c r="K272" s="63">
        <f>G272*J272</f>
        <v/>
      </c>
      <c r="L272" s="33" t="inlineStr">
        <is>
          <t>/</t>
        </is>
      </c>
      <c r="M272" s="64" t="n"/>
      <c r="N272" s="39" t="n">
        <v>1</v>
      </c>
      <c r="O272" t="n">
        <v>12</v>
      </c>
      <c r="P272" s="35" t="inlineStr">
        <is>
          <t>差:-77.27元 (-86.6%) 来源:售楼处</t>
        </is>
      </c>
      <c r="Q272" s="35" t="n"/>
      <c r="R272" s="35" t="n"/>
    </row>
    <row r="273" outlineLevel="2" ht="108" customFormat="1" customHeight="1" s="39">
      <c r="A273" s="37">
        <f>1+N(A272)</f>
        <v/>
      </c>
      <c r="B273" s="27" t="inlineStr">
        <is>
          <t>地面石材晶面处理</t>
        </is>
      </c>
      <c r="C273" s="27" t="inlineStr">
        <is>
          <t>1.石材结晶处理(结晶水及石材保养剂,中性清洁剂)；
2.包含完成该项内容所有工作及费用并满足设计图纸、规范等要求；</t>
        </is>
      </c>
      <c r="D273"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273" s="27" t="inlineStr">
        <is>
          <t xml:space="preserve">执行《GB/T50854-2024房屋建筑与装饰工程工程量计算标准》，按设计图示尺寸
以面积计算。 </t>
        </is>
      </c>
      <c r="F273" s="28" t="inlineStr">
        <is>
          <t>m2</t>
        </is>
      </c>
      <c r="G273" s="61" t="n">
        <v>87.3</v>
      </c>
      <c r="H273" s="62" t="n">
        <v>64.90000000000001</v>
      </c>
      <c r="I273" s="65" t="n"/>
      <c r="J273" s="62">
        <f>H273*(1-$I$4)</f>
        <v/>
      </c>
      <c r="K273" s="63">
        <f>G273*J273</f>
        <v/>
      </c>
      <c r="L273" s="33" t="inlineStr">
        <is>
          <t>/</t>
        </is>
      </c>
      <c r="M273" s="64" t="n"/>
      <c r="N273" s="39" t="n">
        <v>1</v>
      </c>
      <c r="O273" t="n">
        <v>40</v>
      </c>
      <c r="P273" s="35" t="inlineStr">
        <is>
          <t>差:-24.90元 (-38.4%) 来源:售楼处</t>
        </is>
      </c>
      <c r="Q273" s="35" t="n"/>
      <c r="R273" s="35" t="n"/>
    </row>
    <row r="274" outlineLevel="1" customFormat="1" s="39">
      <c r="A274" s="36" t="n"/>
      <c r="B274" s="27" t="inlineStr">
        <is>
          <t>墙柱面工程</t>
        </is>
      </c>
      <c r="C274" s="27" t="n"/>
      <c r="D274" s="27" t="n"/>
      <c r="E274" s="27" t="n"/>
      <c r="F274" s="28" t="n"/>
      <c r="G274" s="61" t="n"/>
      <c r="H274" s="62" t="n"/>
      <c r="I274" s="65" t="n"/>
      <c r="J274" s="62" t="n"/>
      <c r="K274" s="63" t="n"/>
      <c r="L274" s="33" t="n"/>
      <c r="M274" s="64" t="n"/>
      <c r="P274" s="35" t="n"/>
      <c r="Q274" s="35" t="n"/>
      <c r="R274" s="35" t="n"/>
    </row>
    <row r="275" outlineLevel="2" ht="144" customFormat="1" customHeight="1" s="39">
      <c r="A275" s="37">
        <f>1+N(A274)</f>
        <v/>
      </c>
      <c r="B275" s="27" t="inlineStr">
        <is>
          <t>墙面湿贴石材ST-05</t>
        </is>
      </c>
      <c r="C275" s="27" t="inlineStr">
        <is>
          <t>1、墙面湿贴石材ST-05
2、8mm厚石材专用胶粘剂WC粘结层
3、界面剂拉毛处理
4、石材的开槽、磨边、倒角、粘接、形成所需之凹坑、抛光、六面防污防渗等一切处理费用均在主材费中考虑，不再另行计取
5、包含完成该项内容所有工作及费用并满足设计图纸、规范等要求</t>
        </is>
      </c>
      <c r="D275" s="27" t="inlineStr">
        <is>
          <t>具体工作内容除详见项目特征外，且不限于以下内容:1.包含材料的下车、场内运输；2.清理基层、找标高、弹线定位；3.试拼试排；4.砂浆拌和、铺找平层（粘结层）砂浆；5.面层铺设、灌缝、擦缝；6.打蜡、养护；配合留设墙面开关、插座等末端设备等全部内容；包含成品保护、安全文明施工等达到验收合格的全部施工内容。</t>
        </is>
      </c>
      <c r="E275" s="27" t="inlineStr">
        <is>
          <t>执行《GB/T50854-2024房屋建筑与装饰工程工程量计算标准》，按设计图示镶贴后外围面积计算</t>
        </is>
      </c>
      <c r="F275" s="28" t="inlineStr">
        <is>
          <t>m2</t>
        </is>
      </c>
      <c r="G275" s="61" t="n">
        <v>18.68</v>
      </c>
      <c r="H275" s="62" t="n">
        <v>177</v>
      </c>
      <c r="I275" s="65" t="n"/>
      <c r="J275" s="62">
        <f>H275*(1-$I$4)</f>
        <v/>
      </c>
      <c r="K275" s="63">
        <f>G275*J275</f>
        <v/>
      </c>
      <c r="L275" s="33" t="inlineStr">
        <is>
          <t>石材</t>
        </is>
      </c>
      <c r="M275" s="64" t="n"/>
      <c r="N275" s="39" t="n">
        <v>1</v>
      </c>
      <c r="O275" t="n">
        <v>95</v>
      </c>
      <c r="P275" s="35" t="inlineStr">
        <is>
          <t>差:-82.00元 (-46.3%) 来源:售楼处</t>
        </is>
      </c>
      <c r="Q275" s="35" t="n"/>
      <c r="R275" s="35" t="n"/>
    </row>
    <row r="276" outlineLevel="2" ht="180" customFormat="1" customHeight="1" s="39">
      <c r="A276" s="37">
        <f>1+N(A275)</f>
        <v/>
      </c>
      <c r="B276" s="27" t="inlineStr">
        <is>
          <t>墙面干挂ST-05石材</t>
        </is>
      </c>
      <c r="C276" s="27" t="inlineStr">
        <is>
          <t>1、墙面干挂ST-05石材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is>
      </c>
      <c r="D276"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276" s="27" t="inlineStr">
        <is>
          <t>执行《GB/T50854-2024房屋建筑与装饰工程工程量计算标准》，按设计图示镶贴后外围面积计算</t>
        </is>
      </c>
      <c r="F276" s="28" t="inlineStr">
        <is>
          <t>m2</t>
        </is>
      </c>
      <c r="G276" s="61" t="n">
        <v>74.89</v>
      </c>
      <c r="H276" s="62" t="n">
        <v>283.2</v>
      </c>
      <c r="I276" s="65" t="n"/>
      <c r="J276" s="62">
        <f>H276*(1-$I$4)</f>
        <v/>
      </c>
      <c r="K276" s="63">
        <f>G276*J276</f>
        <v/>
      </c>
      <c r="L276" s="33" t="inlineStr">
        <is>
          <t>石材</t>
        </is>
      </c>
      <c r="M276" s="64" t="n"/>
      <c r="N276" s="39" t="n">
        <v>1</v>
      </c>
      <c r="O276" t="n">
        <v>145</v>
      </c>
      <c r="P276" s="35" t="inlineStr">
        <is>
          <t>差:-138.20元 (-48.8%) 来源:售楼处</t>
        </is>
      </c>
      <c r="Q276" s="35" t="n"/>
      <c r="R276" s="35" t="n"/>
    </row>
    <row r="277" outlineLevel="2" ht="144" customFormat="1" customHeight="1" s="39">
      <c r="A277" s="37">
        <f>1+N(A276)</f>
        <v/>
      </c>
      <c r="B277" s="27" t="inlineStr">
        <is>
          <t>墙面PT-02白色防水无机涂料</t>
        </is>
      </c>
      <c r="C277" s="27" t="inlineStr">
        <is>
          <t>1、墙面PT-02白色防水无机涂料(底漆1遍，面漆2遍)
2、刮白胶腻子找平二遍，打磨
3、阴、阳角护角收边
4、双层9.5mm纸面石膏板
5、轻钢龙骨基层找平
6、包含完成该项内容所有工作及费用并满足设计图纸、规范等要求</t>
        </is>
      </c>
      <c r="D277"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277" s="27" t="inlineStr">
        <is>
          <t xml:space="preserve">执行《GB/T50854-2024房屋建筑与装饰工程工程量计算标准》，按设计图示尺寸
以面积计算。 </t>
        </is>
      </c>
      <c r="F277" s="28" t="inlineStr">
        <is>
          <t>m2</t>
        </is>
      </c>
      <c r="G277" s="61" t="n">
        <v>18.71</v>
      </c>
      <c r="H277" s="62" t="n">
        <v>207.68</v>
      </c>
      <c r="I277" s="65" t="n"/>
      <c r="J277" s="62">
        <f>H277*(1-$I$4)</f>
        <v/>
      </c>
      <c r="K277" s="63">
        <f>G277*J277</f>
        <v/>
      </c>
      <c r="L277" s="33" t="inlineStr">
        <is>
          <t>涂料</t>
        </is>
      </c>
      <c r="M277" s="64" t="n"/>
      <c r="N277" s="39" t="n">
        <v>1</v>
      </c>
      <c r="O277" t="n">
        <v>91.5</v>
      </c>
      <c r="P277" s="35" t="inlineStr">
        <is>
          <t>差:-116.18元 (-55.9%) 来源:售楼处</t>
        </is>
      </c>
      <c r="Q277" s="35" t="n"/>
      <c r="R277" s="35" t="n"/>
    </row>
    <row r="278" outlineLevel="2" ht="144" customFormat="1" customHeight="1" s="39">
      <c r="A278" s="37">
        <f>1+N(A277)</f>
        <v/>
      </c>
      <c r="B278" s="27" t="inlineStr">
        <is>
          <t>MT-01古铜不锈钢踢脚线（高20mm）</t>
        </is>
      </c>
      <c r="C278" s="27" t="inlineStr">
        <is>
          <t>1、1.2mm厚 MT-01古铜不锈钢踢脚线（高20mm，展开面为46mm），结构胶固定
2、9厘玻镁板基层
3、包含完成该项内容所有工作及费用并满足设计图纸、规范等要求</t>
        </is>
      </c>
      <c r="D278"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278" s="27" t="inlineStr">
        <is>
          <t>按设计图示尺寸以长度计算。</t>
        </is>
      </c>
      <c r="F278" s="28" t="inlineStr">
        <is>
          <t>m</t>
        </is>
      </c>
      <c r="G278" s="61" t="n">
        <v>37.67</v>
      </c>
      <c r="H278" s="62" t="n">
        <v>31.86</v>
      </c>
      <c r="I278" s="65" t="n"/>
      <c r="J278" s="62">
        <f>H278*(1-$I$4)</f>
        <v/>
      </c>
      <c r="K278" s="63">
        <f>G278*J278</f>
        <v/>
      </c>
      <c r="L278" s="33" t="inlineStr">
        <is>
          <t>不锈钢踢脚线</t>
        </is>
      </c>
      <c r="M278" s="64" t="n"/>
      <c r="N278" s="39" t="n">
        <v>1</v>
      </c>
      <c r="O278" t="n">
        <v>12</v>
      </c>
      <c r="P278" s="35" t="inlineStr">
        <is>
          <t>差:-19.86元 (-62.3%) 来源:售楼处</t>
        </is>
      </c>
      <c r="Q278" s="35" t="n"/>
      <c r="R278" s="35" t="n"/>
    </row>
    <row r="279" outlineLevel="2" ht="144" customFormat="1" customHeight="1" s="39">
      <c r="A279" s="37">
        <f>1+N(A278)</f>
        <v/>
      </c>
      <c r="B279" s="27" t="inlineStr">
        <is>
          <t>MT-01古铜不锈钢线条（展开面为114mm）</t>
        </is>
      </c>
      <c r="C279" s="27" t="inlineStr">
        <is>
          <t>1、1.2mm厚 MT-01古铜不锈钢线条（展开面为114mm），结构胶固定
2、9厘玻镁板基层
3、包含完成该项内容所有工作及费用并满足设计图纸、规范等要求</t>
        </is>
      </c>
      <c r="D279"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279" s="27" t="inlineStr">
        <is>
          <t>按设计图示尺寸以长度计算。</t>
        </is>
      </c>
      <c r="F279" s="28" t="inlineStr">
        <is>
          <t>m</t>
        </is>
      </c>
      <c r="G279" s="61" t="n">
        <v>37.67</v>
      </c>
      <c r="H279" s="62" t="n">
        <v>117.84424</v>
      </c>
      <c r="I279" s="65" t="n"/>
      <c r="J279" s="62">
        <f>H279*(1-$I$4)</f>
        <v/>
      </c>
      <c r="K279" s="63">
        <f>G279*J279</f>
        <v/>
      </c>
      <c r="L279" s="33" t="inlineStr">
        <is>
          <t>/</t>
        </is>
      </c>
      <c r="M279" s="64" t="n"/>
      <c r="N279" s="39" t="n">
        <v>1</v>
      </c>
      <c r="O279" t="n">
        <v>22</v>
      </c>
      <c r="P279" s="35" t="inlineStr">
        <is>
          <t>差:-95.84元 (-81.3%) 来源:售楼处</t>
        </is>
      </c>
      <c r="Q279" s="35" t="n"/>
      <c r="R279" s="35" t="n"/>
    </row>
    <row r="280" outlineLevel="2" ht="144" customFormat="1" customHeight="1" s="39">
      <c r="A280" s="37">
        <f>1+N(A279)</f>
        <v/>
      </c>
      <c r="B280" s="27" t="inlineStr">
        <is>
          <t>MT-01古铜不锈钢顶部收口条（展开面为41mm）</t>
        </is>
      </c>
      <c r="C280" s="27" t="inlineStr">
        <is>
          <t>1、1.2mm厚 MT-01古铜不锈钢顶部收口条（展开面为41mm），结构胶固定
2、9厘玻镁板基层
3、包含完成该项内容所有工作及费用并满足设计图纸、规范等要求</t>
        </is>
      </c>
      <c r="D280"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280" s="27" t="inlineStr">
        <is>
          <t>按设计图示尺寸以长度计算。</t>
        </is>
      </c>
      <c r="F280" s="28" t="inlineStr">
        <is>
          <t>m</t>
        </is>
      </c>
      <c r="G280" s="61" t="n">
        <v>38.87</v>
      </c>
      <c r="H280" s="62" t="n">
        <v>64.24509999999999</v>
      </c>
      <c r="I280" s="65" t="n"/>
      <c r="J280" s="62">
        <f>H280*(1-$I$4)</f>
        <v/>
      </c>
      <c r="K280" s="63">
        <f>G280*J280</f>
        <v/>
      </c>
      <c r="L280" s="33" t="inlineStr">
        <is>
          <t>/</t>
        </is>
      </c>
      <c r="M280" s="64" t="n"/>
      <c r="N280" s="39" t="n">
        <v>1</v>
      </c>
      <c r="O280" t="n">
        <v>12</v>
      </c>
      <c r="P280" s="35" t="inlineStr">
        <is>
          <t>差:-52.25元 (-81.3%) 来源:售楼处</t>
        </is>
      </c>
      <c r="Q280" s="35" t="n"/>
      <c r="R280" s="35" t="n"/>
    </row>
    <row r="281" outlineLevel="1" customFormat="1" s="39">
      <c r="A281" s="36" t="n"/>
      <c r="B281" s="27" t="inlineStr">
        <is>
          <t>天花工程</t>
        </is>
      </c>
      <c r="C281" s="27" t="n"/>
      <c r="D281" s="27" t="n"/>
      <c r="E281" s="27" t="n"/>
      <c r="F281" s="28" t="n"/>
      <c r="G281" s="61" t="n"/>
      <c r="H281" s="62" t="n"/>
      <c r="I281" s="65" t="n"/>
      <c r="J281" s="62" t="n"/>
      <c r="K281" s="63" t="n"/>
      <c r="L281" s="33" t="n"/>
      <c r="M281" s="64" t="n"/>
      <c r="P281" s="35" t="n"/>
      <c r="Q281" s="35" t="n"/>
      <c r="R281" s="35" t="n"/>
    </row>
    <row r="282" outlineLevel="2" ht="192" customFormat="1" customHeight="1" s="39">
      <c r="A282" s="37">
        <f>1+N(A281)</f>
        <v/>
      </c>
      <c r="B282" s="27" t="inlineStr">
        <is>
          <t>造型石膏板吊顶</t>
        </is>
      </c>
      <c r="C282" s="27" t="inlineStr">
        <is>
          <t>1.60系列轻钢主龙骨@900，60系列轻钢副龙骨@400，60系列横撑龙骨@600，08螺纹吊杆@900不上人天花吊顶（投影面计算）
2.玻镁板、双层9.5厚石膏板基层，含开孔、检修口、10*10凹槽等费用；
3.含除灯槽外的侧面高差及其连接件、吊件；
4.包含完成该项内容所有工作及费用并满足设计图纸、规范等要求；</t>
        </is>
      </c>
      <c r="D282" s="27" t="inlineStr">
        <is>
          <t>1.基层清理。
2.弹线定位、排版。
3.吊杆及连接件安装调平、收口及密封处理。
4.材料切割处理找平、石膏板安装及调整，打胶密封与清理.
5.收口及其他处理：检修口等制作安装、收边收口、配合预留安装、机电等专业孔洞及孔洞收口处理。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282" s="27" t="inlineStr">
        <is>
          <t>按设计图示尺寸以水平投影面积计算。不扣除间壁墙、检查口、附墙烟囱、柱垛和管道所占面积,扣除单个&gt;0.3m3的孔洞、非密拼吊顶空隙所占的面积、独立柱及与天棚相连的窗帘盒所占的面积。</t>
        </is>
      </c>
      <c r="F282" s="28" t="inlineStr">
        <is>
          <t>m2</t>
        </is>
      </c>
      <c r="G282" s="61" t="n">
        <v>51.46</v>
      </c>
      <c r="H282" s="62" t="n">
        <v>174.574444444444</v>
      </c>
      <c r="I282" s="65" t="n"/>
      <c r="J282" s="62">
        <f>H282*(1-$I$4)</f>
        <v/>
      </c>
      <c r="K282" s="63">
        <f>G282*J282</f>
        <v/>
      </c>
      <c r="L282" s="33" t="inlineStr">
        <is>
          <t>/</t>
        </is>
      </c>
      <c r="M282" s="64" t="n"/>
      <c r="N282" s="39" t="n">
        <v>1</v>
      </c>
      <c r="O282" t="n">
        <v>70</v>
      </c>
      <c r="P282" s="35" t="inlineStr">
        <is>
          <t>差:-104.57元 (-59.9%) 来源:售楼处</t>
        </is>
      </c>
      <c r="Q282" s="35" t="n"/>
      <c r="R282" s="35" t="n"/>
    </row>
    <row r="283" outlineLevel="2" ht="192" customFormat="1" customHeight="1" s="39">
      <c r="A283" s="37">
        <f>1+N(A282)</f>
        <v/>
      </c>
      <c r="B283" s="27" t="inlineStr">
        <is>
          <t>造型石膏板吊顶（标高7.15m)</t>
        </is>
      </c>
      <c r="C283" s="27" t="inlineStr">
        <is>
          <t>1.60系列轻钢主龙骨@900，60系列轻钢副龙骨@400，60系列横撑龙骨@600，08螺纹吊杆@900不上人天花吊顶（标高7.15m 投影面计算）
2.玻镁板、双层9.5厚石膏板基层，含开孔、检修口、10*10凹槽等费用；
3.含除灯槽外的侧面高差及其连接件、吊件；
4.包含完成该项内容所有工作及费用并满足设计图纸、规范等要求；</t>
        </is>
      </c>
      <c r="D283" s="27" t="inlineStr">
        <is>
          <t>1.基层清理。
2.弹线定位、排版。
3.吊杆及连接件安装调平、收口及密封处理。
4.材料切割处理找平、石膏板安装及调整，打胶密封与清理.
5.收口及其他处理：检修口等制作安装、收边收口、配合预留安装、机电等专业孔洞及孔洞收口处理。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283" s="27" t="inlineStr">
        <is>
          <t>按设计图示尺寸以水平投影面积计算。不扣除间壁墙、检查口、附墙烟囱、柱垛和管道所占面积,扣除单个&gt;0.3m3的孔洞、非密拼吊顶空隙所占的面积、独立柱及与天棚相连的窗帘盒所占的面积。</t>
        </is>
      </c>
      <c r="F283" s="28" t="inlineStr">
        <is>
          <t>m2</t>
        </is>
      </c>
      <c r="G283" s="61" t="n">
        <v>35.84</v>
      </c>
      <c r="H283" s="62" t="n">
        <v>291.165</v>
      </c>
      <c r="I283" s="65" t="n"/>
      <c r="J283" s="62">
        <f>H283*(1-$I$4)</f>
        <v/>
      </c>
      <c r="K283" s="63">
        <f>G283*J283</f>
        <v/>
      </c>
      <c r="L283" s="33" t="inlineStr">
        <is>
          <t>/</t>
        </is>
      </c>
      <c r="M283" s="64" t="n"/>
      <c r="N283" s="39" t="n">
        <v>1</v>
      </c>
      <c r="O283" t="n">
        <v>150</v>
      </c>
      <c r="P283" s="35" t="inlineStr">
        <is>
          <t>差:-141.17元 (-48.5%) 来源:售楼处</t>
        </is>
      </c>
      <c r="Q283" s="35" t="n"/>
      <c r="R283" s="35" t="n"/>
    </row>
    <row r="284" outlineLevel="2" ht="72" customFormat="1" customHeight="1" s="39">
      <c r="A284" s="37">
        <f>1+N(A283)</f>
        <v/>
      </c>
      <c r="B284" s="27" t="inlineStr">
        <is>
          <t>灯槽（100mm*200mm）</t>
        </is>
      </c>
      <c r="C284" s="27" t="inlineStr">
        <is>
          <t>1.灯槽（100mm*200mm）；
2.双层板：9mm玻镁板、9.5厚石膏板；
3.包含完成该项内容所有工作及费用并满足设计图纸、规范等要求；</t>
        </is>
      </c>
      <c r="D284" s="27" t="inlineStr">
        <is>
          <t>自现有现场条件下按照合同约定范围、图纸（含设计变更）及甲方要求内容以及规范、标准、相关做法等要求完成并达到总包合同全部目标的全部工作内容。</t>
        </is>
      </c>
      <c r="E284" s="27" t="inlineStr">
        <is>
          <t>依据经承包人确认的施工部位,按设计图示尺寸以延长米计算。</t>
        </is>
      </c>
      <c r="F284" s="28" t="inlineStr">
        <is>
          <t>m</t>
        </is>
      </c>
      <c r="G284" s="61" t="n">
        <v>75.58</v>
      </c>
      <c r="H284" s="62" t="n">
        <v>112.159</v>
      </c>
      <c r="I284" s="65" t="n"/>
      <c r="J284" s="62">
        <f>H284*(1-$I$4)</f>
        <v/>
      </c>
      <c r="K284" s="63">
        <f>G284*J284</f>
        <v/>
      </c>
      <c r="L284" s="33" t="inlineStr">
        <is>
          <t>/</t>
        </is>
      </c>
      <c r="M284" s="64" t="n"/>
      <c r="N284" s="39" t="n">
        <v>1</v>
      </c>
      <c r="O284" t="n">
        <v>50</v>
      </c>
      <c r="P284" s="35" t="inlineStr">
        <is>
          <t>差:-62.16元 (-55.4%) 来源:售楼处</t>
        </is>
      </c>
      <c r="Q284" s="35" t="n"/>
      <c r="R284" s="35" t="n"/>
    </row>
    <row r="285" outlineLevel="2" ht="72" customFormat="1" customHeight="1" s="39">
      <c r="A285" s="37">
        <f>1+N(A284)</f>
        <v/>
      </c>
      <c r="B285" s="27" t="inlineStr">
        <is>
          <t>成品石膏线条</t>
        </is>
      </c>
      <c r="C285" s="27" t="inlineStr">
        <is>
          <t>1.成品石膏线条（50mm*50mm）；
2.按图纸造型；
3.包含完成该项内容所有工作及费用并满足设计图纸、规范等要求；</t>
        </is>
      </c>
      <c r="D285" s="27" t="inlineStr">
        <is>
          <t>自现有现场条件下按照合同约定范围、图纸（含设计变更）及甲方要求内容以及规范、标准、相关做法等要求完成并达到总包合同全部目标的全部工作内容。</t>
        </is>
      </c>
      <c r="E285" s="27" t="inlineStr">
        <is>
          <t>依据经承包人确认的施工部位,按设计图示尺寸以延长米计算。</t>
        </is>
      </c>
      <c r="F285" s="28" t="inlineStr">
        <is>
          <t>m</t>
        </is>
      </c>
      <c r="G285" s="61" t="n">
        <v>75.58</v>
      </c>
      <c r="H285" s="62" t="n">
        <v>20.06</v>
      </c>
      <c r="I285" s="65" t="n"/>
      <c r="J285" s="62">
        <f>H285*(1-$I$4)</f>
        <v/>
      </c>
      <c r="K285" s="63">
        <f>G285*J285</f>
        <v/>
      </c>
      <c r="L285" s="33" t="inlineStr">
        <is>
          <t>成品石膏线条</t>
        </is>
      </c>
      <c r="M285" s="64" t="n"/>
      <c r="N285" s="39" t="n">
        <v>1</v>
      </c>
      <c r="O285" t="n">
        <v>18</v>
      </c>
      <c r="P285" s="35" t="inlineStr">
        <is>
          <t>差:-2.06元 (-10.3%) 来源:售楼处</t>
        </is>
      </c>
      <c r="Q285" s="35" t="n"/>
      <c r="R285" s="35" t="n"/>
    </row>
    <row r="286" outlineLevel="2" ht="192" customFormat="1" customHeight="1" s="39">
      <c r="A286" s="37">
        <f>1+N(A285)</f>
        <v/>
      </c>
      <c r="B286" s="27" t="inlineStr">
        <is>
          <t>天花肌理无机涂料PT-01</t>
        </is>
      </c>
      <c r="C286" s="27" t="inlineStr">
        <is>
          <t>1.天花肌理无机涂料PT-01；
2.刮腻子二遍磨平；
3.底漆1遍，面漆2遍；
4.包含完成该项内容所有工作及费用并满足设计图纸、规范等要求；</t>
        </is>
      </c>
      <c r="D286" s="27" t="inlineStr">
        <is>
          <t>包括但不限于材料计划、采购、卸车倒运、保管、检验试验费、测量放线，包含四周阴角找平直、含天棚四周阴角找平直，打磨，简易脚手架搭拆及操作平台、升降机，基层清理、打磨平整、底层找补、满刮涂料（含阴阳角塑料条）、涂料打磨、补遗处理、配合其他分包施工、完工后场清、成品保护、保修等直到达到竣工交付标准的全部工作内容。包括所有为完成工作所需的小型机具；包括所有为完成工作所需的附属工作；包括但不限于以上内容。</t>
        </is>
      </c>
      <c r="E286" s="27" t="inlineStr">
        <is>
          <t>执行《GB/T50854-2024房屋建筑与装饰工程工程量计算标准》，按设计图示尺寸以面积计算。扣除0.3平方米以上洞口的面积；梁侧面及檐口天棚并入天棚计算；以设计图纸和技术交底为基础</t>
        </is>
      </c>
      <c r="F286" s="28" t="inlineStr">
        <is>
          <t>m2</t>
        </is>
      </c>
      <c r="G286" s="61" t="n">
        <v>109.98</v>
      </c>
      <c r="H286" s="62" t="n">
        <v>48.38</v>
      </c>
      <c r="I286" s="65" t="n"/>
      <c r="J286" s="62">
        <f>H286*(1-$I$4)</f>
        <v/>
      </c>
      <c r="K286" s="63">
        <f>G286*J286</f>
        <v/>
      </c>
      <c r="L286" s="33" t="inlineStr">
        <is>
          <t>涂料</t>
        </is>
      </c>
      <c r="M286" s="64" t="n"/>
      <c r="N286" s="39" t="n">
        <v>1</v>
      </c>
      <c r="O286" t="n">
        <v>45</v>
      </c>
      <c r="P286" s="35" t="inlineStr">
        <is>
          <t>差:-3.38元 (-7.0%) 来源:售楼处</t>
        </is>
      </c>
      <c r="Q286" s="35" t="n"/>
      <c r="R286" s="35" t="n"/>
    </row>
    <row r="287" outlineLevel="1" customFormat="1" s="39">
      <c r="A287" s="36" t="n"/>
      <c r="B287" s="27" t="inlineStr">
        <is>
          <t>门窗、家具工程</t>
        </is>
      </c>
      <c r="C287" s="27" t="n"/>
      <c r="D287" s="27" t="n"/>
      <c r="E287" s="27" t="n"/>
      <c r="F287" s="28" t="n"/>
      <c r="G287" s="61" t="n"/>
      <c r="H287" s="62" t="n"/>
      <c r="I287" s="65" t="n"/>
      <c r="J287" s="62" t="n"/>
      <c r="K287" s="63" t="n"/>
      <c r="L287" s="33" t="n"/>
      <c r="M287" s="64" t="n"/>
      <c r="P287" s="35" t="n"/>
      <c r="Q287" s="35" t="n"/>
      <c r="R287" s="35" t="n"/>
    </row>
    <row r="288" outlineLevel="2" ht="72" customFormat="1" customHeight="1" s="39">
      <c r="A288" s="37">
        <f>1+N(A287)</f>
        <v/>
      </c>
      <c r="B288" s="27" t="inlineStr">
        <is>
          <t>消防栓暗门(不含面层)</t>
        </is>
      </c>
      <c r="C288" s="27" t="inlineStr">
        <is>
          <t>1、40x40x5mm热镀锌方管骨架、背封铝塑板
2、含天地轴、门吸等五金配件
3、包含完成该项内容所有工作及费用并满足设计图纸、规范等要求</t>
        </is>
      </c>
      <c r="D288" s="27" t="inlineStr">
        <is>
          <t>自现有现场条件下按照合同约定范围、图纸（含设计变更）及甲方要求内容以及规范、标准、相关做法等要求完成并达到总包合同全部目标的全部工作内容。</t>
        </is>
      </c>
      <c r="E288" s="27" t="inlineStr">
        <is>
          <t>以最终验收合格的工程量计算</t>
        </is>
      </c>
      <c r="F288" s="28" t="inlineStr">
        <is>
          <t>m2</t>
        </is>
      </c>
      <c r="G288" s="61" t="n">
        <v>2.1</v>
      </c>
      <c r="H288" s="62" t="n">
        <v>962.6833333333331</v>
      </c>
      <c r="I288" s="65" t="n"/>
      <c r="J288" s="62">
        <f>H288*(1-$I$4)</f>
        <v/>
      </c>
      <c r="K288" s="63">
        <f>G288*J288</f>
        <v/>
      </c>
      <c r="L288" s="33" t="inlineStr">
        <is>
          <t>/</t>
        </is>
      </c>
      <c r="M288" s="64" t="n"/>
      <c r="N288" s="39" t="n">
        <v>1</v>
      </c>
      <c r="O288" t="n">
        <v>165</v>
      </c>
      <c r="P288" s="35" t="inlineStr">
        <is>
          <t>差:-797.68元 (-82.9%) 来源:售楼处</t>
        </is>
      </c>
      <c r="Q288" s="35" t="n"/>
      <c r="R288" s="35" t="n"/>
    </row>
    <row r="289" outlineLevel="1" customFormat="1" s="39">
      <c r="A289" s="26" t="inlineStr">
        <is>
          <t>七</t>
        </is>
      </c>
      <c r="B289" s="27" t="inlineStr">
        <is>
          <t>一层消防控制室前厅（DT6）</t>
        </is>
      </c>
      <c r="C289" s="27" t="n"/>
      <c r="D289" s="27" t="n"/>
      <c r="E289" s="27" t="n"/>
      <c r="F289" s="28" t="n"/>
      <c r="G289" s="61" t="n"/>
      <c r="H289" s="62" t="n"/>
      <c r="I289" s="65" t="n"/>
      <c r="J289" s="62" t="n"/>
      <c r="K289" s="63" t="n"/>
      <c r="L289" s="33" t="n"/>
      <c r="M289" s="64" t="n"/>
      <c r="O289" s="38" t="n"/>
      <c r="P289" s="35" t="n"/>
      <c r="Q289" s="35" t="n"/>
      <c r="R289" s="35" t="n"/>
    </row>
    <row r="290" outlineLevel="1" customFormat="1" s="39">
      <c r="A290" s="36" t="n"/>
      <c r="B290" s="27" t="inlineStr">
        <is>
          <t>地面工程</t>
        </is>
      </c>
      <c r="C290" s="27" t="n"/>
      <c r="D290" s="27" t="n"/>
      <c r="E290" s="27" t="n"/>
      <c r="F290" s="28" t="n"/>
      <c r="G290" s="61" t="n"/>
      <c r="H290" s="62" t="n"/>
      <c r="I290" s="65" t="n"/>
      <c r="J290" s="62" t="n"/>
      <c r="K290" s="63" t="n"/>
      <c r="L290" s="33" t="n"/>
      <c r="M290" s="64" t="n"/>
      <c r="P290" s="35" t="n"/>
      <c r="Q290" s="35" t="n"/>
      <c r="R290" s="35" t="n"/>
    </row>
    <row r="291" outlineLevel="2" ht="108" customFormat="1" customHeight="1" s="39">
      <c r="A291" s="37">
        <f>1+N(A290)</f>
        <v/>
      </c>
      <c r="B291" s="27" t="inlineStr">
        <is>
          <t>地面铺贴大理石ST-01</t>
        </is>
      </c>
      <c r="C291" s="27" t="inlineStr">
        <is>
          <t>1.地面20mm大理石ST-01、铺贴、厚度及样式按物料书为准；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291"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291" s="27" t="inlineStr">
        <is>
          <t xml:space="preserve">执行《GB/T50854-2024房屋建筑与装饰工程工程量计算标准》，按设计图示尺寸
以面积计算。 </t>
        </is>
      </c>
      <c r="F291" s="28" t="inlineStr">
        <is>
          <t>m2</t>
        </is>
      </c>
      <c r="G291" s="61" t="n">
        <v>0.52</v>
      </c>
      <c r="H291" s="62" t="n">
        <v>218.75017</v>
      </c>
      <c r="I291" s="65" t="n"/>
      <c r="J291" s="62">
        <f>H291*(1-$I$4)</f>
        <v/>
      </c>
      <c r="K291" s="63">
        <f>G291*J291</f>
        <v/>
      </c>
      <c r="L291" s="33" t="inlineStr">
        <is>
          <t>石材</t>
        </is>
      </c>
      <c r="M291" s="64" t="n"/>
      <c r="N291" s="39" t="n">
        <v>1</v>
      </c>
      <c r="O291" t="n">
        <v>130</v>
      </c>
      <c r="P291" s="35" t="inlineStr">
        <is>
          <t>差:-88.75元 (-40.6%) 来源:售楼处</t>
        </is>
      </c>
      <c r="Q291" s="35" t="n"/>
      <c r="R291" s="35" t="n"/>
    </row>
    <row r="292" outlineLevel="2" ht="108" customFormat="1" customHeight="1" s="39">
      <c r="A292" s="37">
        <f>1+N(A291)</f>
        <v/>
      </c>
      <c r="B292" s="27" t="inlineStr">
        <is>
          <t>地面地砖 CT-06</t>
        </is>
      </c>
      <c r="C292" s="27" t="inlineStr">
        <is>
          <t>1.地面花砖CT-06；
2.10mm厚专用粘结剂；
3.80mm厚DS-M15干混砂浆找平；
4.基层清理；
5.含切边、倒角、拼接等处理；
6.包含完成该项内容所有工作及费用并满足设计图纸、规范等要求；</t>
        </is>
      </c>
      <c r="D292"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292" s="27" t="inlineStr">
        <is>
          <t xml:space="preserve">执行《GB/T50854-2024房屋建筑与装饰工程工程量计算标准》，按设计图示尺寸
以面积计算。 </t>
        </is>
      </c>
      <c r="F292" s="28" t="inlineStr">
        <is>
          <t>m2</t>
        </is>
      </c>
      <c r="G292" s="61" t="n">
        <v>2.42</v>
      </c>
      <c r="H292" s="62" t="n">
        <v>164.71148</v>
      </c>
      <c r="I292" s="65" t="n"/>
      <c r="J292" s="62">
        <f>H292*(1-$I$4)</f>
        <v/>
      </c>
      <c r="K292" s="63">
        <f>G292*J292</f>
        <v/>
      </c>
      <c r="L292" s="33" t="inlineStr">
        <is>
          <t>瓷砖</t>
        </is>
      </c>
      <c r="M292" s="64" t="n"/>
      <c r="N292" s="39" t="n">
        <v>1</v>
      </c>
      <c r="O292" t="n">
        <v>77</v>
      </c>
      <c r="P292" s="35" t="inlineStr">
        <is>
          <t>差:-87.71元 (-53.3%) 来源:售楼处</t>
        </is>
      </c>
      <c r="Q292" s="35" t="n"/>
      <c r="R292" s="35" t="n"/>
    </row>
    <row r="293" outlineLevel="2" ht="108" customFormat="1" customHeight="1" s="39">
      <c r="A293" s="37">
        <f>1+N(A292)</f>
        <v/>
      </c>
      <c r="B293" s="27" t="inlineStr">
        <is>
          <t>地面石材晶面处理</t>
        </is>
      </c>
      <c r="C293" s="27" t="inlineStr">
        <is>
          <t>1.石材结晶处理(结晶水及石材保养剂,中性清洁剂)；
2.包含完成该项内容所有工作及费用并满足设计图纸、规范等要求；</t>
        </is>
      </c>
      <c r="D293"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293" s="27" t="inlineStr">
        <is>
          <t xml:space="preserve">执行《GB/T50854-2024房屋建筑与装饰工程工程量计算标准》，按设计图示尺寸
以面积计算。 </t>
        </is>
      </c>
      <c r="F293" s="28" t="inlineStr">
        <is>
          <t>m2</t>
        </is>
      </c>
      <c r="G293" s="61" t="n">
        <v>0.52</v>
      </c>
      <c r="H293" s="62" t="n">
        <v>64.90000000000001</v>
      </c>
      <c r="I293" s="65" t="n"/>
      <c r="J293" s="62">
        <f>H293*(1-$I$4)</f>
        <v/>
      </c>
      <c r="K293" s="63">
        <f>G293*J293</f>
        <v/>
      </c>
      <c r="L293" s="33" t="inlineStr">
        <is>
          <t>/</t>
        </is>
      </c>
      <c r="M293" s="64" t="n"/>
      <c r="N293" s="39" t="n">
        <v>1</v>
      </c>
      <c r="O293" t="n">
        <v>40</v>
      </c>
      <c r="P293" s="35" t="inlineStr">
        <is>
          <t>差:-24.90元 (-38.4%) 来源:售楼处</t>
        </is>
      </c>
      <c r="Q293" s="35" t="n"/>
      <c r="R293" s="35" t="n"/>
    </row>
    <row r="294" outlineLevel="1" customFormat="1" s="39">
      <c r="A294" s="36" t="n"/>
      <c r="B294" s="27" t="inlineStr">
        <is>
          <t>墙柱面工程</t>
        </is>
      </c>
      <c r="C294" s="27" t="n"/>
      <c r="D294" s="27" t="n"/>
      <c r="E294" s="27" t="n"/>
      <c r="F294" s="28" t="n"/>
      <c r="G294" s="61" t="n"/>
      <c r="H294" s="62" t="n"/>
      <c r="I294" s="65" t="n"/>
      <c r="J294" s="62" t="n"/>
      <c r="K294" s="63" t="n"/>
      <c r="L294" s="33" t="n"/>
      <c r="M294" s="64" t="n"/>
      <c r="P294" s="35" t="n"/>
      <c r="Q294" s="35" t="n"/>
      <c r="R294" s="35" t="n"/>
    </row>
    <row r="295" outlineLevel="2" ht="144" customFormat="1" customHeight="1" s="39">
      <c r="A295" s="37">
        <f>1+N(A294)</f>
        <v/>
      </c>
      <c r="B295" s="27" t="inlineStr">
        <is>
          <t>墙面PT-02白色防水无机涂料</t>
        </is>
      </c>
      <c r="C295" s="27" t="inlineStr">
        <is>
          <t>1、墙面PT-02白色防水无机涂料(底漆1遍，面漆2遍)
2、刮白胶腻子找平二遍，打磨
3、阴、阳角护角收边
4、双层9.5mm纸面石膏板
5、轻钢龙骨基层找平
6、包含完成该项内容所有工作及费用并满足设计图纸、规范等要求</t>
        </is>
      </c>
      <c r="D295"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295" s="27" t="inlineStr">
        <is>
          <t xml:space="preserve">执行《GB/T50854-2024房屋建筑与装饰工程工程量计算标准》，按设计图示尺寸
以面积计算。 </t>
        </is>
      </c>
      <c r="F295" s="28" t="inlineStr">
        <is>
          <t>m2</t>
        </is>
      </c>
      <c r="G295" s="61" t="n">
        <v>11.66</v>
      </c>
      <c r="H295" s="62" t="n">
        <v>207.68</v>
      </c>
      <c r="I295" s="65" t="n"/>
      <c r="J295" s="62">
        <f>H295*(1-$I$4)</f>
        <v/>
      </c>
      <c r="K295" s="63">
        <f>G295*J295</f>
        <v/>
      </c>
      <c r="L295" s="33" t="inlineStr">
        <is>
          <t>涂料</t>
        </is>
      </c>
      <c r="M295" s="64" t="n"/>
      <c r="N295" s="39" t="n">
        <v>1</v>
      </c>
      <c r="O295" t="n">
        <v>91.5</v>
      </c>
      <c r="P295" s="35" t="inlineStr">
        <is>
          <t>差:-116.18元 (-55.9%) 来源:售楼处</t>
        </is>
      </c>
      <c r="Q295" s="35" t="n"/>
      <c r="R295" s="35" t="n"/>
    </row>
    <row r="296" outlineLevel="2" ht="180" customFormat="1" customHeight="1" s="39">
      <c r="A296" s="37">
        <f>1+N(A295)</f>
        <v/>
      </c>
      <c r="B296" s="27" t="inlineStr">
        <is>
          <t>设备间不锈钢门套</t>
        </is>
      </c>
      <c r="C296" s="27" t="inlineStr">
        <is>
          <t>1、1.2mm厚 MT-01古铜不锈钢门套，结构胶固定
2、9厘玻镁板基层
3、工程量以展开面积计算
4、包含完成该项内容所有工作及费用并满足设计图纸、规范等要求</t>
        </is>
      </c>
      <c r="D296"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296" s="27" t="inlineStr">
        <is>
          <t>执行《GB/T50854-2024房屋建筑与装饰工程工程量计算标准》，按设计图示饰面外围尺寸
以面积计算。 扣除门窗洞口面积，不扣除单个面积≤0.3㎡的孔洞所占面积。</t>
        </is>
      </c>
      <c r="F296" s="28" t="inlineStr">
        <is>
          <t>m2</t>
        </is>
      </c>
      <c r="G296" s="61" t="n">
        <v>1.69</v>
      </c>
      <c r="H296" s="62" t="n">
        <v>630.651</v>
      </c>
      <c r="I296" s="65" t="n"/>
      <c r="J296" s="62">
        <f>H296*(1-$I$4)</f>
        <v/>
      </c>
      <c r="K296" s="63">
        <f>G296*J296</f>
        <v/>
      </c>
      <c r="L296" s="33" t="inlineStr">
        <is>
          <t>/</t>
        </is>
      </c>
      <c r="M296" s="64" t="n"/>
      <c r="N296" s="39" t="n">
        <v>1</v>
      </c>
      <c r="O296" t="n">
        <v>110</v>
      </c>
      <c r="P296" s="35" t="inlineStr">
        <is>
          <t>差:-520.65元 (-82.6%) 来源:售楼处</t>
        </is>
      </c>
      <c r="Q296" s="35" t="n"/>
      <c r="R296" s="35" t="n"/>
    </row>
    <row r="297" outlineLevel="2" ht="144" customFormat="1" customHeight="1" s="39">
      <c r="A297" s="37">
        <f>1+N(A296)</f>
        <v/>
      </c>
      <c r="B297" s="27" t="inlineStr">
        <is>
          <t>MT-01古铜不锈钢踢脚线（高20mm）</t>
        </is>
      </c>
      <c r="C297" s="27" t="inlineStr">
        <is>
          <t>1、1.2mm厚 MT-01古铜不锈钢踢脚线（高20mm，展开面为46mm），结构胶固定
2、9厘玻镁板基层
3、包含完成该项内容所有工作及费用并满足设计图纸、规范等要求</t>
        </is>
      </c>
      <c r="D297"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297" s="27" t="inlineStr">
        <is>
          <t>按设计图示尺寸以长度计算。</t>
        </is>
      </c>
      <c r="F297" s="28" t="inlineStr">
        <is>
          <t>m</t>
        </is>
      </c>
      <c r="G297" s="61" t="n">
        <v>3.95</v>
      </c>
      <c r="H297" s="62" t="n">
        <v>31.86</v>
      </c>
      <c r="I297" s="65" t="n"/>
      <c r="J297" s="62">
        <f>H297*(1-$I$4)</f>
        <v/>
      </c>
      <c r="K297" s="63">
        <f>G297*J297</f>
        <v/>
      </c>
      <c r="L297" s="33" t="inlineStr">
        <is>
          <t>不锈钢踢脚线</t>
        </is>
      </c>
      <c r="M297" s="64" t="n"/>
      <c r="N297" s="39" t="n">
        <v>1</v>
      </c>
      <c r="O297" t="n">
        <v>12</v>
      </c>
      <c r="P297" s="35" t="inlineStr">
        <is>
          <t>差:-19.86元 (-62.3%) 来源:售楼处</t>
        </is>
      </c>
      <c r="Q297" s="35" t="n"/>
      <c r="R297" s="35" t="n"/>
    </row>
    <row r="298" outlineLevel="2" ht="144" customFormat="1" customHeight="1" s="39">
      <c r="A298" s="37">
        <f>1+N(A297)</f>
        <v/>
      </c>
      <c r="B298" s="27" t="inlineStr">
        <is>
          <t>MT-01古铜不锈钢线条（展开面为114mm）</t>
        </is>
      </c>
      <c r="C298" s="27" t="inlineStr">
        <is>
          <t>1、1.2mm厚 MT-01古铜不锈钢线条（展开面为114mm），结构胶固定
2、9厘玻镁板基层
3、包含完成该项内容所有工作及费用并满足设计图纸、规范等要求</t>
        </is>
      </c>
      <c r="D298"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298" s="27" t="inlineStr">
        <is>
          <t>按设计图示尺寸以长度计算。</t>
        </is>
      </c>
      <c r="F298" s="28" t="inlineStr">
        <is>
          <t>m</t>
        </is>
      </c>
      <c r="G298" s="61" t="n">
        <v>3.95</v>
      </c>
      <c r="H298" s="62" t="n">
        <v>117.84424</v>
      </c>
      <c r="I298" s="65" t="n"/>
      <c r="J298" s="62">
        <f>H298*(1-$I$4)</f>
        <v/>
      </c>
      <c r="K298" s="63">
        <f>G298*J298</f>
        <v/>
      </c>
      <c r="L298" s="33" t="inlineStr">
        <is>
          <t>/</t>
        </is>
      </c>
      <c r="M298" s="64" t="n"/>
      <c r="N298" s="39" t="n">
        <v>1</v>
      </c>
      <c r="O298" t="n">
        <v>22</v>
      </c>
      <c r="P298" s="35" t="inlineStr">
        <is>
          <t>差:-95.84元 (-81.3%) 来源:售楼处</t>
        </is>
      </c>
      <c r="Q298" s="35" t="n"/>
      <c r="R298" s="35" t="n"/>
    </row>
    <row r="299" outlineLevel="2" ht="144" customFormat="1" customHeight="1" s="39">
      <c r="A299" s="37">
        <f>1+N(A298)</f>
        <v/>
      </c>
      <c r="B299" s="27" t="inlineStr">
        <is>
          <t>MT-01古铜不锈钢顶部收口条（展开面为41mm）</t>
        </is>
      </c>
      <c r="C299" s="27" t="inlineStr">
        <is>
          <t>1、1.2mm厚 MT-01古铜不锈钢顶部收口条（展开面为41mm），结构胶固定
2、9厘玻镁板基层
3、包含完成该项内容所有工作及费用并满足设计图纸、规范等要求</t>
        </is>
      </c>
      <c r="D299"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299" s="27" t="inlineStr">
        <is>
          <t>按设计图示尺寸以长度计算。</t>
        </is>
      </c>
      <c r="F299" s="28" t="inlineStr">
        <is>
          <t>m</t>
        </is>
      </c>
      <c r="G299" s="61" t="n">
        <v>3.95</v>
      </c>
      <c r="H299" s="62" t="n">
        <v>64.24509999999999</v>
      </c>
      <c r="I299" s="65" t="n"/>
      <c r="J299" s="62">
        <f>H299*(1-$I$4)</f>
        <v/>
      </c>
      <c r="K299" s="63">
        <f>G299*J299</f>
        <v/>
      </c>
      <c r="L299" s="33" t="inlineStr">
        <is>
          <t>/</t>
        </is>
      </c>
      <c r="M299" s="64" t="n"/>
      <c r="N299" s="39" t="n">
        <v>1</v>
      </c>
      <c r="O299" t="n">
        <v>12</v>
      </c>
      <c r="P299" s="35" t="inlineStr">
        <is>
          <t>差:-52.25元 (-81.3%) 来源:售楼处</t>
        </is>
      </c>
      <c r="Q299" s="35" t="n"/>
      <c r="R299" s="35" t="n"/>
    </row>
    <row r="300" outlineLevel="1" customFormat="1" s="39">
      <c r="A300" s="36" t="n"/>
      <c r="B300" s="27" t="inlineStr">
        <is>
          <t>天花工程</t>
        </is>
      </c>
      <c r="C300" s="27" t="n"/>
      <c r="D300" s="27" t="n"/>
      <c r="E300" s="27" t="n"/>
      <c r="F300" s="28" t="n"/>
      <c r="G300" s="61" t="n"/>
      <c r="H300" s="62" t="n"/>
      <c r="I300" s="65" t="n"/>
      <c r="J300" s="62" t="n"/>
      <c r="K300" s="63" t="n"/>
      <c r="L300" s="33" t="n"/>
      <c r="M300" s="64" t="n"/>
      <c r="P300" s="35" t="n"/>
      <c r="Q300" s="35" t="n"/>
      <c r="R300" s="35" t="n"/>
    </row>
    <row r="301" outlineLevel="2" ht="192" customFormat="1" customHeight="1" s="39">
      <c r="A301" s="37">
        <f>1+N(A300)</f>
        <v/>
      </c>
      <c r="B301" s="27" t="inlineStr">
        <is>
          <t>造型石膏板吊顶</t>
        </is>
      </c>
      <c r="C301" s="27" t="inlineStr">
        <is>
          <t>1.60系列轻钢主龙骨@900，60系列轻钢副龙骨@400，60系列横撑龙骨@600，08螺纹吊杆@900不上人天花吊顶（投影面计算）
2.玻镁板、双层9.5厚石膏板基层，含开孔、检修口、10*10凹槽等费用；
3.含除灯槽外的侧面高差及其连接件、吊件；
4.包含完成该项内容所有工作及费用并满足设计图纸、规范等要求；</t>
        </is>
      </c>
      <c r="D301" s="27" t="inlineStr">
        <is>
          <t>1.基层清理。
2.弹线定位、排版。
3.吊杆及连接件安装调平、收口及密封处理。
4.材料切割处理找平、石膏板安装及调整，打胶密封与清理.
5.收口及其他处理：检修口等制作安装、收边收口、配合预留安装、机电等专业孔洞及孔洞收口处理。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301" s="27" t="inlineStr">
        <is>
          <t>按设计图示尺寸以水平投影面积计算。不扣除间壁墙、检查口、附墙烟囱、柱垛和管道所占面积,扣除单个&gt;0.3m3的孔洞、非密拼吊顶空隙所占的面积、独立柱及与天棚相连的窗帘盒所占的面积。</t>
        </is>
      </c>
      <c r="F301" s="28" t="inlineStr">
        <is>
          <t>m2</t>
        </is>
      </c>
      <c r="G301" s="61" t="n">
        <v>2.42</v>
      </c>
      <c r="H301" s="62" t="n">
        <v>174.574444444444</v>
      </c>
      <c r="I301" s="65" t="n"/>
      <c r="J301" s="62">
        <f>H301*(1-$I$4)</f>
        <v/>
      </c>
      <c r="K301" s="63">
        <f>G301*J301</f>
        <v/>
      </c>
      <c r="L301" s="33" t="inlineStr">
        <is>
          <t>/</t>
        </is>
      </c>
      <c r="M301" s="64" t="n"/>
      <c r="N301" s="39" t="n">
        <v>1</v>
      </c>
      <c r="O301" t="n">
        <v>70</v>
      </c>
      <c r="P301" s="35" t="inlineStr">
        <is>
          <t>差:-104.57元 (-59.9%) 来源:售楼处</t>
        </is>
      </c>
      <c r="Q301" s="35" t="n"/>
      <c r="R301" s="35" t="n"/>
    </row>
    <row r="302" outlineLevel="2" ht="192" customFormat="1" customHeight="1" s="39">
      <c r="A302" s="37">
        <f>1+N(A301)</f>
        <v/>
      </c>
      <c r="B302" s="27" t="inlineStr">
        <is>
          <t>天花肌理无机涂料PT-01</t>
        </is>
      </c>
      <c r="C302" s="27" t="inlineStr">
        <is>
          <t>1.天花肌理无机涂料PT-01；
2.刮腻子二遍磨平；
3.底漆1遍，面漆2遍；
4.包含完成该项内容所有工作及费用并满足设计图纸、规范等要求；</t>
        </is>
      </c>
      <c r="D302" s="27" t="inlineStr">
        <is>
          <t>包括但不限于材料计划、采购、卸车倒运、保管、检验试验费、测量放线，包含四周阴角找平直、含天棚四周阴角找平直，打磨，简易脚手架搭拆及操作平台、升降机，基层清理、打磨平整、底层找补、满刮涂料（含阴阳角塑料条）、涂料打磨、补遗处理、配合其他分包施工、完工后场清、成品保护、保修等直到达到竣工交付标准的全部工作内容。包括所有为完成工作所需的小型机具；包括所有为完成工作所需的附属工作；包括但不限于以上内容。</t>
        </is>
      </c>
      <c r="E302" s="27" t="inlineStr">
        <is>
          <t>执行《GB/T50854-2024房屋建筑与装饰工程工程量计算标准》，按设计图示尺寸以面积计算。扣除0.3平方米以上洞口的面积；梁侧面及檐口天棚并入天棚计算；以设计图纸和技术交底为基础</t>
        </is>
      </c>
      <c r="F302" s="28" t="inlineStr">
        <is>
          <t>m2</t>
        </is>
      </c>
      <c r="G302" s="61" t="n">
        <v>2.42</v>
      </c>
      <c r="H302" s="62" t="n">
        <v>48.38</v>
      </c>
      <c r="I302" s="65" t="n"/>
      <c r="J302" s="62">
        <f>H302*(1-$I$4)</f>
        <v/>
      </c>
      <c r="K302" s="63">
        <f>G302*J302</f>
        <v/>
      </c>
      <c r="L302" s="33" t="inlineStr">
        <is>
          <t>涂料</t>
        </is>
      </c>
      <c r="M302" s="64" t="n"/>
      <c r="N302" s="39" t="n">
        <v>1</v>
      </c>
      <c r="O302" t="n">
        <v>45</v>
      </c>
      <c r="P302" s="35" t="inlineStr">
        <is>
          <t>差:-3.38元 (-7.0%) 来源:售楼处</t>
        </is>
      </c>
      <c r="Q302" s="35" t="n"/>
      <c r="R302" s="35" t="n"/>
    </row>
    <row r="303" outlineLevel="1" customFormat="1" s="39">
      <c r="A303" s="36" t="n"/>
      <c r="B303" s="27" t="inlineStr">
        <is>
          <t>门窗、家具工程</t>
        </is>
      </c>
      <c r="C303" s="27" t="n"/>
      <c r="D303" s="27" t="n"/>
      <c r="E303" s="27" t="n"/>
      <c r="F303" s="28" t="n"/>
      <c r="G303" s="61" t="n"/>
      <c r="H303" s="62" t="n"/>
      <c r="I303" s="65" t="n"/>
      <c r="J303" s="62" t="n"/>
      <c r="K303" s="63" t="n"/>
      <c r="L303" s="33" t="n"/>
      <c r="M303" s="64" t="n"/>
      <c r="P303" s="35" t="n"/>
      <c r="Q303" s="35" t="n"/>
      <c r="R303" s="35" t="n"/>
    </row>
    <row r="304" outlineLevel="2" ht="84" customFormat="1" customHeight="1" s="39">
      <c r="A304" s="37">
        <f>1+N(A303)</f>
        <v/>
      </c>
      <c r="B304" s="27" t="inlineStr">
        <is>
          <t>双开平开门(DR04)</t>
        </is>
      </c>
      <c r="C304" s="27" t="inlineStr">
        <is>
          <t>1、门扇：颜色材质同消防门、12mm玻镁板、1.2mm厚 MT-01古铜不锈钢饰面
2、定制成品套装门制安
3、含暗藏闭门器、暗合页、门把手等五金配件
4、包含完成该项内容所有工作及费用并满足设计图纸、规范等要求</t>
        </is>
      </c>
      <c r="D304" s="27" t="inlineStr">
        <is>
          <t>自现有现场条件下按照合同约定范围、图纸（含设计变更）及甲方要求内容以及规范、标准、相关做法等要求完成并达到总包合同全部目标的全部工作内容。</t>
        </is>
      </c>
      <c r="E304" s="27" t="inlineStr">
        <is>
          <t>以最终验收合格的工程量计算</t>
        </is>
      </c>
      <c r="F304" s="28" t="inlineStr">
        <is>
          <t>m2</t>
        </is>
      </c>
      <c r="G304" s="61" t="n">
        <v>3.72</v>
      </c>
      <c r="H304" s="62" t="n">
        <v>3187.45279569892</v>
      </c>
      <c r="I304" s="65" t="n"/>
      <c r="J304" s="62">
        <f>H304*(1-$I$4)</f>
        <v/>
      </c>
      <c r="K304" s="63">
        <f>G304*J304</f>
        <v/>
      </c>
      <c r="L304" s="33" t="inlineStr">
        <is>
          <t>/</t>
        </is>
      </c>
      <c r="M304" s="64" t="n"/>
      <c r="N304" s="39" t="n">
        <v>1</v>
      </c>
      <c r="O304" t="n">
        <v>145</v>
      </c>
      <c r="P304" s="35" t="inlineStr">
        <is>
          <t>差:-3042.45元 (-95.5%) 来源:售楼处</t>
        </is>
      </c>
      <c r="Q304" s="35" t="n"/>
      <c r="R304" s="35" t="n"/>
    </row>
    <row r="305" outlineLevel="1" customFormat="1" s="39">
      <c r="A305" s="26" t="inlineStr">
        <is>
          <t>八</t>
        </is>
      </c>
      <c r="B305" s="27" t="inlineStr">
        <is>
          <t>一层电梯前厅（DT5-DT6）</t>
        </is>
      </c>
      <c r="C305" s="27" t="n"/>
      <c r="D305" s="27" t="n"/>
      <c r="E305" s="27" t="n"/>
      <c r="F305" s="28" t="n"/>
      <c r="G305" s="61" t="n"/>
      <c r="H305" s="62" t="n"/>
      <c r="I305" s="65" t="n"/>
      <c r="J305" s="62" t="n"/>
      <c r="K305" s="63" t="n"/>
      <c r="L305" s="33" t="n"/>
      <c r="M305" s="64" t="n"/>
      <c r="O305" s="38" t="n"/>
      <c r="P305" s="35" t="n"/>
      <c r="Q305" s="35" t="n"/>
      <c r="R305" s="35" t="n"/>
    </row>
    <row r="306" outlineLevel="1" customFormat="1" s="39">
      <c r="A306" s="36" t="n"/>
      <c r="B306" s="27" t="inlineStr">
        <is>
          <t>地面工程</t>
        </is>
      </c>
      <c r="C306" s="27" t="n"/>
      <c r="D306" s="27" t="n"/>
      <c r="E306" s="27" t="n"/>
      <c r="F306" s="28" t="n"/>
      <c r="G306" s="61" t="n"/>
      <c r="H306" s="62" t="n"/>
      <c r="I306" s="65" t="n"/>
      <c r="J306" s="62" t="n"/>
      <c r="K306" s="63" t="n"/>
      <c r="L306" s="33" t="n"/>
      <c r="M306" s="64" t="n"/>
      <c r="P306" s="35" t="n"/>
      <c r="Q306" s="35" t="n"/>
      <c r="R306" s="35" t="n"/>
    </row>
    <row r="307" outlineLevel="2" ht="108" customFormat="1" customHeight="1" s="39">
      <c r="A307" s="37">
        <f>1+N(A306)</f>
        <v/>
      </c>
      <c r="B307" s="27" t="inlineStr">
        <is>
          <t>地面铺贴大理石ST-01</t>
        </is>
      </c>
      <c r="C307" s="27" t="inlineStr">
        <is>
          <t>1.地面20mm大理石ST-01、铺贴、厚度及样式按物料书为准；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307"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307" s="27" t="inlineStr">
        <is>
          <t xml:space="preserve">执行《GB/T50854-2024房屋建筑与装饰工程工程量计算标准》，按设计图示尺寸
以面积计算。 </t>
        </is>
      </c>
      <c r="F307" s="28" t="inlineStr">
        <is>
          <t>m2</t>
        </is>
      </c>
      <c r="G307" s="61" t="n">
        <v>16.8</v>
      </c>
      <c r="H307" s="62" t="n">
        <v>218.75017</v>
      </c>
      <c r="I307" s="65" t="n"/>
      <c r="J307" s="62">
        <f>H307*(1-$I$4)</f>
        <v/>
      </c>
      <c r="K307" s="63">
        <f>G307*J307</f>
        <v/>
      </c>
      <c r="L307" s="33" t="inlineStr">
        <is>
          <t>石材</t>
        </is>
      </c>
      <c r="M307" s="64" t="n"/>
      <c r="N307" s="39" t="n">
        <v>1</v>
      </c>
      <c r="O307" t="n">
        <v>130</v>
      </c>
      <c r="P307" s="35" t="inlineStr">
        <is>
          <t>差:-88.75元 (-40.6%) 来源:售楼处</t>
        </is>
      </c>
      <c r="Q307" s="35" t="n"/>
      <c r="R307" s="35" t="n"/>
    </row>
    <row r="308" outlineLevel="2" ht="108" customFormat="1" customHeight="1" s="39">
      <c r="A308" s="37">
        <f>1+N(A307)</f>
        <v/>
      </c>
      <c r="B308" s="27" t="inlineStr">
        <is>
          <t>地面铺贴大理石ST-01.02拼花</t>
        </is>
      </c>
      <c r="C308" s="27" t="inlineStr">
        <is>
          <t>1.地面20mm大理石拼花、参考3F-DF-01样式、ST-01、ST-02按物料书为准；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308"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308" s="27" t="inlineStr">
        <is>
          <t xml:space="preserve">执行《GB/T50854-2024房屋建筑与装饰工程工程量计算标准》，按设计图示尺寸
以面积计算。 </t>
        </is>
      </c>
      <c r="F308" s="28" t="inlineStr">
        <is>
          <t>m2</t>
        </is>
      </c>
      <c r="G308" s="61" t="n">
        <v>8.1</v>
      </c>
      <c r="H308" s="62" t="n">
        <v>242.35017</v>
      </c>
      <c r="I308" s="65" t="n"/>
      <c r="J308" s="62">
        <f>H308*(1-$I$4)</f>
        <v/>
      </c>
      <c r="K308" s="63">
        <f>G308*J308</f>
        <v/>
      </c>
      <c r="L308" s="33" t="inlineStr">
        <is>
          <t>石材</t>
        </is>
      </c>
      <c r="M308" s="64" t="n"/>
      <c r="N308" s="39" t="n">
        <v>1</v>
      </c>
      <c r="O308" t="n">
        <v>130</v>
      </c>
      <c r="P308" s="35" t="inlineStr">
        <is>
          <t>差:-112.35元 (-46.4%) 来源:售楼处</t>
        </is>
      </c>
      <c r="Q308" s="35" t="n"/>
      <c r="R308" s="35" t="n"/>
    </row>
    <row r="309" outlineLevel="2" ht="108" customFormat="1" customHeight="1" s="39">
      <c r="A309" s="37">
        <f>1+N(A308)</f>
        <v/>
      </c>
      <c r="B309" s="27" t="inlineStr">
        <is>
          <t>实心铜条5mm宽</t>
        </is>
      </c>
      <c r="C309" s="27" t="inlineStr">
        <is>
          <t>1.实心铜条5mm宽；
2.包含完成该项内容所有工作及费用并满足设计图纸、规范等要求；</t>
        </is>
      </c>
      <c r="D309"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309" s="27" t="inlineStr">
        <is>
          <t>按设计图示尺寸以长度计算。</t>
        </is>
      </c>
      <c r="F309" s="28" t="inlineStr">
        <is>
          <t>m</t>
        </is>
      </c>
      <c r="G309" s="61" t="n">
        <v>10.75</v>
      </c>
      <c r="H309" s="62" t="n">
        <v>89.267</v>
      </c>
      <c r="I309" s="65" t="n"/>
      <c r="J309" s="62">
        <f>H309*(1-$I$4)</f>
        <v/>
      </c>
      <c r="K309" s="63">
        <f>G309*J309</f>
        <v/>
      </c>
      <c r="L309" s="33" t="inlineStr">
        <is>
          <t>/</t>
        </is>
      </c>
      <c r="M309" s="64" t="n"/>
      <c r="N309" s="39" t="n">
        <v>1</v>
      </c>
      <c r="O309" t="n">
        <v>12</v>
      </c>
      <c r="P309" s="35" t="inlineStr">
        <is>
          <t>差:-77.27元 (-86.6%) 来源:售楼处</t>
        </is>
      </c>
      <c r="Q309" s="35" t="n"/>
      <c r="R309" s="35" t="n"/>
    </row>
    <row r="310" outlineLevel="2" ht="108" customFormat="1" customHeight="1" s="39">
      <c r="A310" s="37">
        <f>1+N(A309)</f>
        <v/>
      </c>
      <c r="B310" s="27" t="inlineStr">
        <is>
          <t>地面石材晶面处理</t>
        </is>
      </c>
      <c r="C310" s="27" t="inlineStr">
        <is>
          <t>1.石材结晶处理(结晶水及石材保养剂,中性清洁剂)；
2.包含完成该项内容所有工作及费用并满足设计图纸、规范等要求；</t>
        </is>
      </c>
      <c r="D310"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310" s="27" t="inlineStr">
        <is>
          <t xml:space="preserve">执行《GB/T50854-2024房屋建筑与装饰工程工程量计算标准》，按设计图示尺寸
以面积计算。 </t>
        </is>
      </c>
      <c r="F310" s="28" t="inlineStr">
        <is>
          <t>m2</t>
        </is>
      </c>
      <c r="G310" s="61" t="n">
        <v>24.9</v>
      </c>
      <c r="H310" s="62" t="n">
        <v>64.90000000000001</v>
      </c>
      <c r="I310" s="65" t="n"/>
      <c r="J310" s="62">
        <f>H310*(1-$I$4)</f>
        <v/>
      </c>
      <c r="K310" s="63">
        <f>G310*J310</f>
        <v/>
      </c>
      <c r="L310" s="33" t="inlineStr">
        <is>
          <t>/</t>
        </is>
      </c>
      <c r="M310" s="64" t="n"/>
      <c r="N310" s="39" t="n">
        <v>1</v>
      </c>
      <c r="O310" t="n">
        <v>40</v>
      </c>
      <c r="P310" s="35" t="inlineStr">
        <is>
          <t>差:-24.90元 (-38.4%) 来源:售楼处</t>
        </is>
      </c>
      <c r="Q310" s="35" t="n"/>
      <c r="R310" s="35" t="n"/>
    </row>
    <row r="311" outlineLevel="1" customFormat="1" s="39">
      <c r="A311" s="36" t="n"/>
      <c r="B311" s="27" t="inlineStr">
        <is>
          <t>墙柱面工程</t>
        </is>
      </c>
      <c r="C311" s="27" t="n"/>
      <c r="D311" s="27" t="n"/>
      <c r="E311" s="27" t="n"/>
      <c r="F311" s="28" t="n"/>
      <c r="G311" s="61" t="n"/>
      <c r="H311" s="62" t="n"/>
      <c r="I311" s="65" t="n"/>
      <c r="J311" s="62" t="n"/>
      <c r="K311" s="63" t="n"/>
      <c r="L311" s="33" t="n"/>
      <c r="M311" s="64" t="n"/>
      <c r="P311" s="35" t="n"/>
      <c r="Q311" s="35" t="n"/>
      <c r="R311" s="35" t="n"/>
    </row>
    <row r="312" outlineLevel="2" ht="144" customFormat="1" customHeight="1" s="39">
      <c r="A312" s="37">
        <f>1+N(A311)</f>
        <v/>
      </c>
      <c r="B312" s="27" t="inlineStr">
        <is>
          <t>墙面湿贴石材ST-05</t>
        </is>
      </c>
      <c r="C312" s="27" t="inlineStr">
        <is>
          <t>1、墙面湿贴石材ST-05
2、8mm厚石材专用胶粘剂WC粘结层
3、界面剂拉毛处理
4、石材的开槽、磨边、倒角、粘接、形成所需之凹坑、抛光、六面防污防渗等一切处理费用均在主材费中考虑，不再另行计取
5、包含完成该项内容所有工作及费用并满足设计图纸、规范等要求</t>
        </is>
      </c>
      <c r="D312" s="27" t="inlineStr">
        <is>
          <t>具体工作内容除详见项目特征外，且不限于以下内容:1.包含材料的下车、场内运输；2.清理基层、找标高、弹线定位；3.试拼试排；4.砂浆拌和、铺找平层（粘结层）砂浆；5.面层铺设、灌缝、擦缝；6.打蜡、养护；配合留设墙面开关、插座等末端设备等全部内容；包含成品保护、安全文明施工等达到验收合格的全部施工内容。</t>
        </is>
      </c>
      <c r="E312" s="27" t="inlineStr">
        <is>
          <t>执行《GB/T50854-2024房屋建筑与装饰工程工程量计算标准》，按设计图示镶贴后外围面积计算</t>
        </is>
      </c>
      <c r="F312" s="28" t="inlineStr">
        <is>
          <t>m2</t>
        </is>
      </c>
      <c r="G312" s="61" t="n">
        <v>13.09</v>
      </c>
      <c r="H312" s="62" t="n">
        <v>177</v>
      </c>
      <c r="I312" s="65" t="n"/>
      <c r="J312" s="62">
        <f>H312*(1-$I$4)</f>
        <v/>
      </c>
      <c r="K312" s="63">
        <f>G312*J312</f>
        <v/>
      </c>
      <c r="L312" s="33" t="inlineStr">
        <is>
          <t>石材</t>
        </is>
      </c>
      <c r="M312" s="64" t="n"/>
      <c r="N312" s="39" t="n">
        <v>1</v>
      </c>
      <c r="O312" t="n">
        <v>95</v>
      </c>
      <c r="P312" s="35" t="inlineStr">
        <is>
          <t>差:-82.00元 (-46.3%) 来源:售楼处</t>
        </is>
      </c>
      <c r="Q312" s="35" t="n"/>
      <c r="R312" s="35" t="n"/>
    </row>
    <row r="313" outlineLevel="2" ht="180" customFormat="1" customHeight="1" s="39">
      <c r="A313" s="37">
        <f>1+N(A312)</f>
        <v/>
      </c>
      <c r="B313" s="27" t="inlineStr">
        <is>
          <t>墙面干挂ST-05石材</t>
        </is>
      </c>
      <c r="C313" s="27" t="inlineStr">
        <is>
          <t>1、墙面干挂ST-05石材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is>
      </c>
      <c r="D313"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313" s="27" t="inlineStr">
        <is>
          <t>执行《GB/T50854-2024房屋建筑与装饰工程工程量计算标准》，按设计图示镶贴后外围面积计算</t>
        </is>
      </c>
      <c r="F313" s="28" t="inlineStr">
        <is>
          <t>m2</t>
        </is>
      </c>
      <c r="G313" s="61" t="n">
        <v>57.36</v>
      </c>
      <c r="H313" s="62" t="n">
        <v>283.2</v>
      </c>
      <c r="I313" s="65" t="n"/>
      <c r="J313" s="62">
        <f>H313*(1-$I$4)</f>
        <v/>
      </c>
      <c r="K313" s="63">
        <f>G313*J313</f>
        <v/>
      </c>
      <c r="L313" s="33" t="inlineStr">
        <is>
          <t>石材</t>
        </is>
      </c>
      <c r="M313" s="64" t="n"/>
      <c r="N313" s="39" t="n">
        <v>1</v>
      </c>
      <c r="O313" t="n">
        <v>145</v>
      </c>
      <c r="P313" s="35" t="inlineStr">
        <is>
          <t>差:-138.20元 (-48.8%) 来源:售楼处</t>
        </is>
      </c>
      <c r="Q313" s="35" t="n"/>
      <c r="R313" s="35" t="n"/>
    </row>
    <row r="314" outlineLevel="2" ht="180" customFormat="1" customHeight="1" s="39">
      <c r="A314" s="37">
        <f>1+N(A313)</f>
        <v/>
      </c>
      <c r="B314" s="27" t="inlineStr">
        <is>
          <t>墙面干挂ST-05石材（波浪造型）</t>
        </is>
      </c>
      <c r="C314" s="27" t="inlineStr">
        <is>
          <t>1、墙面干挂ST-05石材（波浪造型）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is>
      </c>
      <c r="D314"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314" s="27" t="inlineStr">
        <is>
          <t>执行《GB/T50854-2024房屋建筑与装饰工程工程量计算标准》，按设计图示镶贴后外围面积计算</t>
        </is>
      </c>
      <c r="F314" s="28" t="inlineStr">
        <is>
          <t>m2</t>
        </is>
      </c>
      <c r="G314" s="61" t="n">
        <v>2.91</v>
      </c>
      <c r="H314" s="62" t="n">
        <v>283.2</v>
      </c>
      <c r="I314" s="65" t="n"/>
      <c r="J314" s="62">
        <f>H314*(1-$I$4)</f>
        <v/>
      </c>
      <c r="K314" s="63">
        <f>G314*J314</f>
        <v/>
      </c>
      <c r="L314" s="33" t="inlineStr">
        <is>
          <t>石材</t>
        </is>
      </c>
      <c r="M314" s="64" t="n"/>
      <c r="N314" s="39" t="n">
        <v>1</v>
      </c>
      <c r="O314" t="n">
        <v>145</v>
      </c>
      <c r="P314" s="35" t="inlineStr">
        <is>
          <t>差:-138.20元 (-48.8%) 来源:售楼处</t>
        </is>
      </c>
      <c r="Q314" s="35" t="n"/>
      <c r="R314" s="35" t="n"/>
    </row>
    <row r="315" outlineLevel="2" ht="180" customFormat="1" customHeight="1" s="39">
      <c r="A315" s="37">
        <f>1+N(A314)</f>
        <v/>
      </c>
      <c r="B315" s="27" t="inlineStr">
        <is>
          <t>电梯不锈钢门套</t>
        </is>
      </c>
      <c r="C315" s="27" t="inlineStr">
        <is>
          <t>1、1.2mm厚 MT-01古铜不锈钢门套，结构胶固定
2、9厘玻镁板基层
3、工程量以展开面积计算
4、包含完成该项内容所有工作及费用并满足设计图纸、规范等要求</t>
        </is>
      </c>
      <c r="D315"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315" s="27" t="inlineStr">
        <is>
          <t>执行《GB/T50854-2024房屋建筑与装饰工程工程量计算标准》，按设计图示饰面外围尺寸
以面积计算。 扣除门窗洞口面积，不扣除单个面积≤0.3㎡的孔洞所占面积。</t>
        </is>
      </c>
      <c r="F315" s="28" t="inlineStr">
        <is>
          <t>m2</t>
        </is>
      </c>
      <c r="G315" s="61" t="n">
        <v>3.56</v>
      </c>
      <c r="H315" s="62" t="n">
        <v>630.651</v>
      </c>
      <c r="I315" s="65" t="n"/>
      <c r="J315" s="62">
        <f>H315*(1-$I$4)</f>
        <v/>
      </c>
      <c r="K315" s="63">
        <f>G315*J315</f>
        <v/>
      </c>
      <c r="L315" s="33" t="inlineStr">
        <is>
          <t>/</t>
        </is>
      </c>
      <c r="M315" s="64" t="n"/>
      <c r="N315" s="39" t="n">
        <v>1</v>
      </c>
      <c r="O315" t="n">
        <v>110</v>
      </c>
      <c r="P315" s="35" t="inlineStr">
        <is>
          <t>差:-520.65元 (-82.6%) 来源:售楼处</t>
        </is>
      </c>
      <c r="Q315" s="35" t="n"/>
      <c r="R315" s="35" t="n"/>
    </row>
    <row r="316" outlineLevel="2" ht="180" customFormat="1" customHeight="1" s="39">
      <c r="A316" s="37">
        <f>1+N(A315)</f>
        <v/>
      </c>
      <c r="B316" s="27" t="inlineStr">
        <is>
          <t>电梯不锈钢门头</t>
        </is>
      </c>
      <c r="C316" s="27" t="inlineStr">
        <is>
          <t>1、1.2mm厚 MT-01古铜不锈钢门头，结构胶固定
2、12mm阻燃板，轻钢副龙骨@400
3、电梯门顶内置亚克力，内部面层刮白处理
4、工程量以展开面积计算
5、包含完成该项内容所有工作及费用并满足设计图纸、规范等要求</t>
        </is>
      </c>
      <c r="D316"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316" s="27" t="inlineStr">
        <is>
          <t>执行《GB/T50854-2024房屋建筑与装饰工程工程量计算标准》，按设计图示饰面外围尺寸
以面积计算。 扣除门窗洞口面积，不扣除单个面积≤0.3㎡的孔洞所占面积。</t>
        </is>
      </c>
      <c r="F316" s="28" t="inlineStr">
        <is>
          <t>m2</t>
        </is>
      </c>
      <c r="G316" s="61" t="n">
        <v>1.85</v>
      </c>
      <c r="H316" s="62" t="n">
        <v>812.961</v>
      </c>
      <c r="I316" s="65" t="n"/>
      <c r="J316" s="62">
        <f>H316*(1-$I$4)</f>
        <v/>
      </c>
      <c r="K316" s="63">
        <f>G316*J316</f>
        <v/>
      </c>
      <c r="L316" s="33" t="inlineStr">
        <is>
          <t>/</t>
        </is>
      </c>
      <c r="M316" s="64" t="n"/>
      <c r="N316" s="39" t="n">
        <v>1</v>
      </c>
      <c r="O316" t="n">
        <v>110</v>
      </c>
      <c r="P316" s="35" t="inlineStr">
        <is>
          <t>差:-702.96元 (-86.5%) 来源:售楼处</t>
        </is>
      </c>
      <c r="Q316" s="35" t="n"/>
      <c r="R316" s="35" t="n"/>
    </row>
    <row r="317" outlineLevel="2" ht="180" customFormat="1" customHeight="1" s="39">
      <c r="A317" s="37">
        <f>1+N(A316)</f>
        <v/>
      </c>
      <c r="B317" s="27" t="inlineStr">
        <is>
          <t>MT-01古铜不锈钢饰面（电梯按钮处）</t>
        </is>
      </c>
      <c r="C317" s="27" t="inlineStr">
        <is>
          <t>1、1.2mm厚 MT-01古铜不锈钢饰面
2、12mm阻燃板基层，轻钢副龙骨@400
3、工程量以展开面积计算
4、包含完成该项内容所有工作及费用并满足设计图纸、规范等要求</t>
        </is>
      </c>
      <c r="D317"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317" s="27" t="inlineStr">
        <is>
          <t>执行《GB/T50854-2024房屋建筑与装饰工程工程量计算标准》，按设计图示饰面外围尺寸
以面积计算。 扣除门窗洞口面积，不扣除单个面积≤0.3㎡的孔洞所占面积。</t>
        </is>
      </c>
      <c r="F317" s="28" t="inlineStr">
        <is>
          <t>m2</t>
        </is>
      </c>
      <c r="G317" s="61" t="n">
        <v>0.26</v>
      </c>
      <c r="H317" s="62" t="n">
        <v>295</v>
      </c>
      <c r="I317" s="65" t="n"/>
      <c r="J317" s="62">
        <f>H317*(1-$I$4)</f>
        <v/>
      </c>
      <c r="K317" s="63">
        <f>G317*J317</f>
        <v/>
      </c>
      <c r="L317" s="33" t="inlineStr">
        <is>
          <t>不锈钢饰面</t>
        </is>
      </c>
      <c r="M317" s="64" t="n"/>
      <c r="N317" s="39" t="n">
        <v>1</v>
      </c>
      <c r="O317" t="n">
        <v>110</v>
      </c>
      <c r="P317" s="35" t="inlineStr">
        <is>
          <t>差:-185.00元 (-62.7%) 来源:售楼处</t>
        </is>
      </c>
      <c r="Q317" s="35" t="n"/>
      <c r="R317" s="35" t="n"/>
    </row>
    <row r="318" outlineLevel="2" ht="144" customFormat="1" customHeight="1" s="39">
      <c r="A318" s="37">
        <f>1+N(A317)</f>
        <v/>
      </c>
      <c r="B318" s="27" t="inlineStr">
        <is>
          <t>MT-01古铜不锈钢踢脚线（高20mm）</t>
        </is>
      </c>
      <c r="C318" s="27" t="inlineStr">
        <is>
          <t>1、1.2mm厚 MT-01古铜不锈钢踢脚线（高20mm，展开面为46mm），结构胶固定
2、9厘玻镁板基层
3、包含完成该项内容所有工作及费用并满足设计图纸、规范等要求</t>
        </is>
      </c>
      <c r="D318"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318" s="27" t="inlineStr">
        <is>
          <t>按设计图示尺寸以长度计算。</t>
        </is>
      </c>
      <c r="F318" s="28" t="inlineStr">
        <is>
          <t>m</t>
        </is>
      </c>
      <c r="G318" s="61" t="n">
        <v>25.02</v>
      </c>
      <c r="H318" s="62" t="n">
        <v>31.86</v>
      </c>
      <c r="I318" s="65" t="n"/>
      <c r="J318" s="62">
        <f>H318*(1-$I$4)</f>
        <v/>
      </c>
      <c r="K318" s="63">
        <f>G318*J318</f>
        <v/>
      </c>
      <c r="L318" s="33" t="inlineStr">
        <is>
          <t>不锈钢踢脚线</t>
        </is>
      </c>
      <c r="M318" s="64" t="n"/>
      <c r="N318" s="39" t="n">
        <v>1</v>
      </c>
      <c r="O318" t="n">
        <v>12</v>
      </c>
      <c r="P318" s="35" t="inlineStr">
        <is>
          <t>差:-19.86元 (-62.3%) 来源:售楼处</t>
        </is>
      </c>
      <c r="Q318" s="35" t="n"/>
      <c r="R318" s="35" t="n"/>
    </row>
    <row r="319" outlineLevel="2" ht="144" customFormat="1" customHeight="1" s="39">
      <c r="A319" s="37">
        <f>1+N(A318)</f>
        <v/>
      </c>
      <c r="B319" s="27" t="inlineStr">
        <is>
          <t>MT-01古铜不锈钢线条（展开面为54mm）</t>
        </is>
      </c>
      <c r="C319" s="27" t="inlineStr">
        <is>
          <t>1、1.2mm厚 MT-01古铜不锈钢线条（展开面为54mm），结构胶固定
2、9厘玻镁板基层
3、包含完成该项内容所有工作及费用并满足设计图纸、规范等要求</t>
        </is>
      </c>
      <c r="D319"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319" s="27" t="inlineStr">
        <is>
          <t>按设计图示尺寸以长度计算。</t>
        </is>
      </c>
      <c r="F319" s="28" t="inlineStr">
        <is>
          <t>m</t>
        </is>
      </c>
      <c r="G319" s="61" t="n">
        <v>0.34</v>
      </c>
      <c r="H319" s="62" t="n">
        <v>67.307908</v>
      </c>
      <c r="I319" s="65" t="n"/>
      <c r="J319" s="62">
        <f>H319*(1-$I$4)</f>
        <v/>
      </c>
      <c r="K319" s="63">
        <f>G319*J319</f>
        <v/>
      </c>
      <c r="L319" s="33" t="inlineStr">
        <is>
          <t>/</t>
        </is>
      </c>
      <c r="M319" s="64" t="n"/>
      <c r="N319" s="39" t="n">
        <v>1</v>
      </c>
      <c r="O319" t="n">
        <v>12</v>
      </c>
      <c r="P319" s="35" t="inlineStr">
        <is>
          <t>差:-55.31元 (-82.2%) 来源:售楼处</t>
        </is>
      </c>
      <c r="Q319" s="35" t="n"/>
      <c r="R319" s="35" t="n"/>
    </row>
    <row r="320" outlineLevel="2" ht="144" customFormat="1" customHeight="1" s="39">
      <c r="A320" s="37">
        <f>1+N(A319)</f>
        <v/>
      </c>
      <c r="B320" s="27" t="inlineStr">
        <is>
          <t>MT-01古铜不锈钢线条（展开面为114mm）</t>
        </is>
      </c>
      <c r="C320" s="27" t="inlineStr">
        <is>
          <t>1、1.2mm厚 MT-01古铜不锈钢线条（展开面为114mm），结构胶固定
2、9厘玻镁板基层
3、包含完成该项内容所有工作及费用并满足设计图纸、规范等要求</t>
        </is>
      </c>
      <c r="D320"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320" s="27" t="inlineStr">
        <is>
          <t>按设计图示尺寸以长度计算。</t>
        </is>
      </c>
      <c r="F320" s="28" t="inlineStr">
        <is>
          <t>m</t>
        </is>
      </c>
      <c r="G320" s="61" t="n">
        <v>24.68</v>
      </c>
      <c r="H320" s="62" t="n">
        <v>117.84424</v>
      </c>
      <c r="I320" s="65" t="n"/>
      <c r="J320" s="62">
        <f>H320*(1-$I$4)</f>
        <v/>
      </c>
      <c r="K320" s="63">
        <f>G320*J320</f>
        <v/>
      </c>
      <c r="L320" s="33" t="inlineStr">
        <is>
          <t>/</t>
        </is>
      </c>
      <c r="M320" s="64" t="n"/>
      <c r="N320" s="39" t="n">
        <v>1</v>
      </c>
      <c r="O320" t="n">
        <v>22</v>
      </c>
      <c r="P320" s="35" t="inlineStr">
        <is>
          <t>差:-95.84元 (-81.3%) 来源:售楼处</t>
        </is>
      </c>
      <c r="Q320" s="35" t="n"/>
      <c r="R320" s="35" t="n"/>
    </row>
    <row r="321" outlineLevel="2" ht="144" customFormat="1" customHeight="1" s="39">
      <c r="A321" s="37">
        <f>1+N(A320)</f>
        <v/>
      </c>
      <c r="B321" s="27" t="inlineStr">
        <is>
          <t>MT-01古铜不锈钢顶部收口条（展开面为41mm）</t>
        </is>
      </c>
      <c r="C321" s="27" t="inlineStr">
        <is>
          <t>1、1.2mm厚 MT-01古铜不锈钢顶部收口条（展开面为41mm），结构胶固定
2、9厘玻镁板基层
3、包含完成该项内容所有工作及费用并满足设计图纸、规范等要求</t>
        </is>
      </c>
      <c r="D321"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321" s="27" t="inlineStr">
        <is>
          <t>按设计图示尺寸以长度计算。</t>
        </is>
      </c>
      <c r="F321" s="28" t="inlineStr">
        <is>
          <t>m</t>
        </is>
      </c>
      <c r="G321" s="61" t="n">
        <v>25.02</v>
      </c>
      <c r="H321" s="62" t="n">
        <v>64.24509999999999</v>
      </c>
      <c r="I321" s="65" t="n"/>
      <c r="J321" s="62">
        <f>H321*(1-$I$4)</f>
        <v/>
      </c>
      <c r="K321" s="63">
        <f>G321*J321</f>
        <v/>
      </c>
      <c r="L321" s="33" t="inlineStr">
        <is>
          <t>/</t>
        </is>
      </c>
      <c r="M321" s="64" t="n"/>
      <c r="N321" s="39" t="n">
        <v>1</v>
      </c>
      <c r="O321" t="n">
        <v>12</v>
      </c>
      <c r="P321" s="35" t="inlineStr">
        <is>
          <t>差:-52.25元 (-81.3%) 来源:售楼处</t>
        </is>
      </c>
      <c r="Q321" s="35" t="n"/>
      <c r="R321" s="35" t="n"/>
    </row>
    <row r="322" outlineLevel="1" customFormat="1" s="39">
      <c r="A322" s="36" t="n"/>
      <c r="B322" s="27" t="inlineStr">
        <is>
          <t>天花工程</t>
        </is>
      </c>
      <c r="C322" s="27" t="n"/>
      <c r="D322" s="27" t="n"/>
      <c r="E322" s="27" t="n"/>
      <c r="F322" s="28" t="n"/>
      <c r="G322" s="61" t="n"/>
      <c r="H322" s="62" t="n"/>
      <c r="I322" s="65" t="n"/>
      <c r="J322" s="62" t="n"/>
      <c r="K322" s="63" t="n"/>
      <c r="L322" s="33" t="n"/>
      <c r="M322" s="64" t="n"/>
      <c r="P322" s="35" t="n"/>
      <c r="Q322" s="35" t="n"/>
      <c r="R322" s="35" t="n"/>
    </row>
    <row r="323" outlineLevel="2" ht="192" customFormat="1" customHeight="1" s="39">
      <c r="A323" s="37">
        <f>1+N(A322)</f>
        <v/>
      </c>
      <c r="B323" s="27" t="inlineStr">
        <is>
          <t>造型石膏板吊顶</t>
        </is>
      </c>
      <c r="C323" s="27" t="inlineStr">
        <is>
          <t>1.60系列轻钢主龙骨@900，60系列轻钢副龙骨@400，60系列横撑龙骨@600，08螺纹吊杆@900不上人天花吊顶（投影面计算）
2.玻镁板、双层9.5厚石膏板基层，含开孔、检修口、10*10凹槽等费用；
3.含除灯槽外的侧面高差及其连接件、吊件；
4.包含完成该项内容所有工作及费用并满足设计图纸、规范等要求；</t>
        </is>
      </c>
      <c r="D323" s="27" t="inlineStr">
        <is>
          <t>1.基层清理。
2.弹线定位、排版。
3.吊杆及连接件安装调平、收口及密封处理。
4.材料切割处理找平、石膏板安装及调整，打胶密封与清理.
5.收口及其他处理：检修口等制作安装、收边收口、配合预留安装、机电等专业孔洞及孔洞收口处理。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323" s="27" t="inlineStr">
        <is>
          <t>按设计图示尺寸以水平投影面积计算。不扣除间壁墙、检查口、附墙烟囱、柱垛和管道所占面积,扣除单个&gt;0.3m3的孔洞、非密拼吊顶空隙所占的面积、独立柱及与天棚相连的窗帘盒所占的面积。</t>
        </is>
      </c>
      <c r="F323" s="28" t="inlineStr">
        <is>
          <t>m2</t>
        </is>
      </c>
      <c r="G323" s="61" t="n">
        <v>24.9</v>
      </c>
      <c r="H323" s="62" t="n">
        <v>174.574444444444</v>
      </c>
      <c r="I323" s="65" t="n"/>
      <c r="J323" s="62">
        <f>H323*(1-$I$4)</f>
        <v/>
      </c>
      <c r="K323" s="63">
        <f>G323*J323</f>
        <v/>
      </c>
      <c r="L323" s="33" t="inlineStr">
        <is>
          <t>/</t>
        </is>
      </c>
      <c r="M323" s="64" t="n"/>
      <c r="N323" s="39" t="n">
        <v>1</v>
      </c>
      <c r="O323" t="n">
        <v>70</v>
      </c>
      <c r="P323" s="35" t="inlineStr">
        <is>
          <t>差:-104.57元 (-59.9%) 来源:售楼处</t>
        </is>
      </c>
      <c r="Q323" s="35" t="n"/>
      <c r="R323" s="35" t="n"/>
    </row>
    <row r="324" outlineLevel="2" ht="72" customFormat="1" customHeight="1" s="39">
      <c r="A324" s="37">
        <f>1+N(A323)</f>
        <v/>
      </c>
      <c r="B324" s="27" t="inlineStr">
        <is>
          <t>灯槽（100mm*200mm）</t>
        </is>
      </c>
      <c r="C324" s="27" t="inlineStr">
        <is>
          <t>1.灯槽（100mm*200mm）；
2.双层板：9mm玻镁板、9.5厚石膏板；
3.包含完成该项内容所有工作及费用并满足设计图纸、规范等要求；</t>
        </is>
      </c>
      <c r="D324" s="27" t="inlineStr">
        <is>
          <t>自现有现场条件下按照合同约定范围、图纸（含设计变更）及甲方要求内容以及规范、标准、相关做法等要求完成并达到总包合同全部目标的全部工作内容。</t>
        </is>
      </c>
      <c r="E324" s="27" t="inlineStr">
        <is>
          <t>依据经承包人确认的施工部位,按设计图示尺寸以延长米计算。</t>
        </is>
      </c>
      <c r="F324" s="28" t="inlineStr">
        <is>
          <t>m</t>
        </is>
      </c>
      <c r="G324" s="61" t="n">
        <v>10.73</v>
      </c>
      <c r="H324" s="62" t="n">
        <v>112.159</v>
      </c>
      <c r="I324" s="65" t="n"/>
      <c r="J324" s="62">
        <f>H324*(1-$I$4)</f>
        <v/>
      </c>
      <c r="K324" s="63">
        <f>G324*J324</f>
        <v/>
      </c>
      <c r="L324" s="33" t="inlineStr">
        <is>
          <t>/</t>
        </is>
      </c>
      <c r="M324" s="64" t="n"/>
      <c r="N324" s="39" t="n">
        <v>1</v>
      </c>
      <c r="O324" t="n">
        <v>50</v>
      </c>
      <c r="P324" s="35" t="inlineStr">
        <is>
          <t>差:-62.16元 (-55.4%) 来源:售楼处</t>
        </is>
      </c>
      <c r="Q324" s="35" t="n"/>
      <c r="R324" s="35" t="n"/>
    </row>
    <row r="325" outlineLevel="2" ht="72" customFormat="1" customHeight="1" s="39">
      <c r="A325" s="37">
        <f>1+N(A324)</f>
        <v/>
      </c>
      <c r="B325" s="27" t="inlineStr">
        <is>
          <t>成品石膏线条</t>
        </is>
      </c>
      <c r="C325" s="27" t="inlineStr">
        <is>
          <t>1.成品石膏线条（50mm*50mm）；
2.按图纸造型；
3.包含完成该项内容所有工作及费用并满足设计图纸、规范等要求；</t>
        </is>
      </c>
      <c r="D325" s="27" t="inlineStr">
        <is>
          <t>自现有现场条件下按照合同约定范围、图纸（含设计变更）及甲方要求内容以及规范、标准、相关做法等要求完成并达到总包合同全部目标的全部工作内容。</t>
        </is>
      </c>
      <c r="E325" s="27" t="inlineStr">
        <is>
          <t>依据经承包人确认的施工部位,按设计图示尺寸以延长米计算。</t>
        </is>
      </c>
      <c r="F325" s="28" t="inlineStr">
        <is>
          <t>m</t>
        </is>
      </c>
      <c r="G325" s="61" t="n">
        <v>10.73</v>
      </c>
      <c r="H325" s="62" t="n">
        <v>20.06</v>
      </c>
      <c r="I325" s="65" t="n"/>
      <c r="J325" s="62">
        <f>H325*(1-$I$4)</f>
        <v/>
      </c>
      <c r="K325" s="63">
        <f>G325*J325</f>
        <v/>
      </c>
      <c r="L325" s="33" t="inlineStr">
        <is>
          <t>成品石膏线条</t>
        </is>
      </c>
      <c r="M325" s="64" t="n"/>
      <c r="N325" s="39" t="n">
        <v>1</v>
      </c>
      <c r="O325" t="n">
        <v>18</v>
      </c>
      <c r="P325" s="35" t="inlineStr">
        <is>
          <t>差:-2.06元 (-10.3%) 来源:售楼处</t>
        </is>
      </c>
      <c r="Q325" s="35" t="n"/>
      <c r="R325" s="35" t="n"/>
    </row>
    <row r="326" outlineLevel="2" ht="192" customFormat="1" customHeight="1" s="39">
      <c r="A326" s="37">
        <f>1+N(A325)</f>
        <v/>
      </c>
      <c r="B326" s="27" t="inlineStr">
        <is>
          <t>天花肌理无机涂料PT-01</t>
        </is>
      </c>
      <c r="C326" s="27" t="inlineStr">
        <is>
          <t>1.天花肌理无机涂料PT-01；
2.刮腻子二遍磨平；
3.底漆1遍，面漆2遍；
4.包含完成该项内容所有工作及费用并满足设计图纸、规范等要求；</t>
        </is>
      </c>
      <c r="D326" s="27" t="inlineStr">
        <is>
          <t>包括但不限于材料计划、采购、卸车倒运、保管、检验试验费、测量放线，包含四周阴角找平直、含天棚四周阴角找平直，打磨，简易脚手架搭拆及操作平台、升降机，基层清理、打磨平整、底层找补、满刮涂料（含阴阳角塑料条）、涂料打磨、补遗处理、配合其他分包施工、完工后场清、成品保护、保修等直到达到竣工交付标准的全部工作内容。包括所有为完成工作所需的小型机具；包括所有为完成工作所需的附属工作；包括但不限于以上内容。</t>
        </is>
      </c>
      <c r="E326" s="27" t="inlineStr">
        <is>
          <t>执行《GB/T50854-2024房屋建筑与装饰工程工程量计算标准》，按设计图示尺寸以面积计算。扣除0.3平方米以上洞口的面积；梁侧面及檐口天棚并入天棚计算；以设计图纸和技术交底为基础</t>
        </is>
      </c>
      <c r="F326" s="28" t="inlineStr">
        <is>
          <t>m2</t>
        </is>
      </c>
      <c r="G326" s="61" t="n">
        <v>28.12</v>
      </c>
      <c r="H326" s="62" t="n">
        <v>48.38</v>
      </c>
      <c r="I326" s="65" t="n"/>
      <c r="J326" s="62">
        <f>H326*(1-$I$4)</f>
        <v/>
      </c>
      <c r="K326" s="63">
        <f>G326*J326</f>
        <v/>
      </c>
      <c r="L326" s="33" t="inlineStr">
        <is>
          <t>涂料</t>
        </is>
      </c>
      <c r="M326" s="64" t="n"/>
      <c r="N326" s="39" t="n">
        <v>1</v>
      </c>
      <c r="O326" t="n">
        <v>45</v>
      </c>
      <c r="P326" s="35" t="inlineStr">
        <is>
          <t>差:-3.38元 (-7.0%) 来源:售楼处</t>
        </is>
      </c>
      <c r="Q326" s="35" t="n"/>
      <c r="R326" s="35" t="n"/>
    </row>
    <row r="327" outlineLevel="1" customFormat="1" s="39">
      <c r="A327" s="36" t="n"/>
      <c r="B327" s="27" t="inlineStr">
        <is>
          <t>门窗、家具工程</t>
        </is>
      </c>
      <c r="C327" s="27" t="n"/>
      <c r="D327" s="27" t="n"/>
      <c r="E327" s="27" t="n"/>
      <c r="F327" s="28" t="n"/>
      <c r="G327" s="61" t="n"/>
      <c r="H327" s="62" t="n"/>
      <c r="I327" s="65" t="n"/>
      <c r="J327" s="62" t="n"/>
      <c r="K327" s="63" t="n"/>
      <c r="L327" s="33" t="n"/>
      <c r="M327" s="64" t="n"/>
      <c r="P327" s="35" t="n"/>
      <c r="Q327" s="35" t="n"/>
      <c r="R327" s="35" t="n"/>
    </row>
    <row r="328" outlineLevel="2" ht="72" customFormat="1" customHeight="1" s="39">
      <c r="A328" s="37">
        <f>1+N(A327)</f>
        <v/>
      </c>
      <c r="B328" s="27" t="inlineStr">
        <is>
          <t>强弱电井暗门(不含面层)</t>
        </is>
      </c>
      <c r="C328" s="27" t="inlineStr">
        <is>
          <t>1、40x40x5mm热镀锌方管骨架、背封铝塑板
2、含天地轴、门吸等五金配件
3、包含完成该项内容所有工作及费用并满足设计图纸、规范等要求</t>
        </is>
      </c>
      <c r="D328" s="27" t="inlineStr">
        <is>
          <t>自现有现场条件下按照合同约定范围、图纸（含设计变更）及甲方要求内容以及规范、标准、相关做法等要求完成并达到总包合同全部目标的全部工作内容。</t>
        </is>
      </c>
      <c r="E328" s="27" t="inlineStr">
        <is>
          <t>以最终验收合格的工程量计算</t>
        </is>
      </c>
      <c r="F328" s="28" t="inlineStr">
        <is>
          <t>m2</t>
        </is>
      </c>
      <c r="G328" s="61" t="n">
        <v>2.25</v>
      </c>
      <c r="H328" s="62" t="n">
        <v>962.6833333333331</v>
      </c>
      <c r="I328" s="65" t="n"/>
      <c r="J328" s="62">
        <f>H328*(1-$I$4)</f>
        <v/>
      </c>
      <c r="K328" s="63">
        <f>G328*J328</f>
        <v/>
      </c>
      <c r="L328" s="33" t="inlineStr">
        <is>
          <t>/</t>
        </is>
      </c>
      <c r="M328" s="64" t="n"/>
      <c r="N328" s="39" t="n">
        <v>1</v>
      </c>
      <c r="O328" t="n">
        <v>165</v>
      </c>
      <c r="P328" s="35" t="inlineStr">
        <is>
          <t>差:-797.68元 (-82.9%) 来源:售楼处</t>
        </is>
      </c>
      <c r="Q328" s="35" t="n"/>
      <c r="R328" s="35" t="n"/>
    </row>
    <row r="329" outlineLevel="2" ht="108" customFormat="1" customHeight="1" s="39">
      <c r="A329" s="37">
        <f>1+N(A328)</f>
        <v/>
      </c>
      <c r="B329" s="27" t="inlineStr">
        <is>
          <t>电梯厅门（参DR01）</t>
        </is>
      </c>
      <c r="C329" s="27" t="inlineStr">
        <is>
          <t>1、门扇：1.2mm厚 MT-01古铜不锈钢饰面、GL-01超白钢化玻璃、ST-08石材、L40*40*4镀锌角钢骨架
2、门套：1.2mm厚 MT-01古铜不锈钢饰面
3、定制成品套装门制安
4、含电机、暗铰链、地弹簧等五金配件
5、包含完成该项内容所有工作及费用并满足设计图纸、规范等要求</t>
        </is>
      </c>
      <c r="D329" s="27" t="inlineStr">
        <is>
          <t>自现有现场条件下按照合同约定范围、图纸（含设计变更）及甲方要求内容以及规范、标准、相关做法等要求完成并达到总包合同全部目标的全部工作内容。</t>
        </is>
      </c>
      <c r="E329" s="27" t="inlineStr">
        <is>
          <t>以最终验收合格的工程量计算</t>
        </is>
      </c>
      <c r="F329" s="28" t="inlineStr">
        <is>
          <t>m2</t>
        </is>
      </c>
      <c r="G329" s="61" t="n">
        <v>5.52</v>
      </c>
      <c r="H329" s="62" t="n">
        <v>7530.96521739131</v>
      </c>
      <c r="I329" s="65" t="n"/>
      <c r="J329" s="62">
        <f>H329*(1-$I$4)</f>
        <v/>
      </c>
      <c r="K329" s="63">
        <f>G329*J329</f>
        <v/>
      </c>
      <c r="L329" s="33" t="inlineStr">
        <is>
          <t>/</t>
        </is>
      </c>
      <c r="M329" s="64" t="n"/>
      <c r="N329" s="39" t="n">
        <v>1</v>
      </c>
      <c r="O329" t="n">
        <v>145</v>
      </c>
      <c r="P329" s="35" t="inlineStr">
        <is>
          <t>差:-7385.97元 (-98.1%) 来源:售楼处</t>
        </is>
      </c>
      <c r="Q329" s="35" t="n"/>
      <c r="R329" s="35" t="n"/>
    </row>
    <row r="330" outlineLevel="2" ht="72" customFormat="1" customHeight="1" s="39">
      <c r="A330" s="37">
        <f>1+N(A329)</f>
        <v/>
      </c>
      <c r="B330" s="27" t="inlineStr">
        <is>
          <t>固定玻璃隔断</t>
        </is>
      </c>
      <c r="C330" s="27" t="inlineStr">
        <is>
          <t>1、GL-01超白钢化玻璃饰面
2、1.2mm厚 MT-01古铜不锈钢饰面边框
3、包含完成该项内容所有工作及费用并满足设计图纸、规范等要求</t>
        </is>
      </c>
      <c r="D330" s="27" t="inlineStr">
        <is>
          <t>自现有现场条件下按照合同约定范围、图纸（含设计变更）及甲方要求内容以及规范、标准、相关做法等要求完成并达到总包合同全部目标的全部工作内容。</t>
        </is>
      </c>
      <c r="E330" s="27" t="inlineStr">
        <is>
          <t>以最终验收合格的工程量计算</t>
        </is>
      </c>
      <c r="F330" s="28" t="inlineStr">
        <is>
          <t>m2</t>
        </is>
      </c>
      <c r="G330" s="61" t="n">
        <v>4.23</v>
      </c>
      <c r="H330" s="62" t="n">
        <v>610.895315789474</v>
      </c>
      <c r="I330" s="65" t="n"/>
      <c r="J330" s="62">
        <f>H330*(1-$I$4)</f>
        <v/>
      </c>
      <c r="K330" s="63">
        <f>G330*J330</f>
        <v/>
      </c>
      <c r="L330" s="33" t="inlineStr">
        <is>
          <t>/</t>
        </is>
      </c>
      <c r="M330" s="64" t="n"/>
      <c r="N330" s="39" t="n">
        <v>1</v>
      </c>
      <c r="O330" t="n">
        <v>110</v>
      </c>
      <c r="P330" s="35" t="inlineStr">
        <is>
          <t>差:-500.90元 (-82.0%) 来源:售楼处</t>
        </is>
      </c>
      <c r="Q330" s="35" t="n"/>
      <c r="R330" s="35" t="n"/>
    </row>
    <row r="331" outlineLevel="1" customFormat="1" s="39">
      <c r="A331" s="26" t="inlineStr">
        <is>
          <t>九</t>
        </is>
      </c>
      <c r="B331" s="27" t="inlineStr">
        <is>
          <t>零星工程</t>
        </is>
      </c>
      <c r="C331" s="27" t="n"/>
      <c r="D331" s="27" t="n"/>
      <c r="E331" s="27" t="n"/>
      <c r="F331" s="28" t="n"/>
      <c r="G331" s="61" t="n"/>
      <c r="H331" s="62" t="n"/>
      <c r="I331" s="65" t="n"/>
      <c r="J331" s="62" t="n"/>
      <c r="K331" s="63" t="n"/>
      <c r="L331" s="33" t="n"/>
      <c r="M331" s="64" t="n"/>
      <c r="P331" s="35" t="n"/>
      <c r="Q331" s="35" t="n"/>
      <c r="R331" s="35" t="n"/>
    </row>
    <row r="332" outlineLevel="1" customFormat="1" s="39">
      <c r="A332" s="36" t="n"/>
      <c r="B332" s="27" t="inlineStr">
        <is>
          <t>土建工程</t>
        </is>
      </c>
      <c r="C332" s="27" t="n"/>
      <c r="D332" s="27" t="n"/>
      <c r="E332" s="27" t="n"/>
      <c r="F332" s="28" t="n"/>
      <c r="G332" s="61" t="n"/>
      <c r="H332" s="62" t="n"/>
      <c r="I332" s="65" t="n"/>
      <c r="J332" s="62" t="n"/>
      <c r="K332" s="63" t="n"/>
      <c r="L332" s="33" t="n"/>
      <c r="M332" s="64" t="n"/>
      <c r="P332" s="35" t="n"/>
      <c r="Q332" s="35" t="n"/>
      <c r="R332" s="35" t="n"/>
    </row>
    <row r="333" outlineLevel="2" ht="168" customFormat="1" customHeight="1" s="39">
      <c r="A333" s="37">
        <f>1+N(A332)</f>
        <v/>
      </c>
      <c r="B333" s="27" t="inlineStr">
        <is>
          <t>新建轻质砖隔墙</t>
        </is>
      </c>
      <c r="C333" s="27" t="inlineStr">
        <is>
          <t>1、新建轻质砖隔墙
2、砂浆强度等级、配合比综合考虑，符合设计要求
3、墙厚：综合考虑
4、具体施工做法详见国家相关规范条文
5、包含完成该项内容所有工作及费用并满足设计图纸、规范等要求</t>
        </is>
      </c>
      <c r="D333" s="27" t="inlineStr">
        <is>
          <t>1.材料配合卸车倒运、保管，砂浆制作及倒运。
2.基层处理、弹线、立杆、砌筑施工、勾缝、墙拉筋制作安装（包括植筋或膨胀螺栓焊接钢板等连接形式）、斜砌砖塞缝、射钉块安装。
3.构造柱、圈梁、压顶等钢筋制作与安装，模板支拆，混凝土浇筑、养护。
4.砌筑、浇筑用脚手架及操作平台的搭拆。
5.成品保护、垃圾清理运至指定地点等全部工作内容。</t>
        </is>
      </c>
      <c r="E333" s="27" t="inlineStr">
        <is>
          <t>按设计图示尺寸以体积计算；扣除门窗洞口及凹进墙内的壁龛、管槽、暖气槽、消火栓箱所占体积，不扣除单个面积≤0.3㎡的孔洞及墙内檩头、垫木、木楞头、沿缘木、木砖、门窗走头、加固钢筋、木筋、铁件、管道所占的体积；凸出墙面的墙垛及圈梁、构造柱、过梁、压顶、反坎等体积并入计算；砌体钢筋制作安装，构造柱、圈过梁等钢筋制作安装、混凝土浇筑、模板搭拆、脚手架及操作平台搭拆不单独计算。</t>
        </is>
      </c>
      <c r="F333" s="28" t="inlineStr">
        <is>
          <t>m3</t>
        </is>
      </c>
      <c r="G333" s="61" t="n">
        <v>20.81</v>
      </c>
      <c r="H333" s="62" t="n">
        <v>383.5</v>
      </c>
      <c r="I333" s="65" t="n"/>
      <c r="J333" s="62">
        <f>H333*(1-$I$4)</f>
        <v/>
      </c>
      <c r="K333" s="63">
        <f>G333*J333</f>
        <v/>
      </c>
      <c r="L333" s="33" t="inlineStr">
        <is>
          <t>砖</t>
        </is>
      </c>
      <c r="M333" s="64" t="n"/>
      <c r="N333" s="39" t="n">
        <v>1</v>
      </c>
      <c r="O333" t="n">
        <v>275</v>
      </c>
      <c r="P333" s="35" t="inlineStr">
        <is>
          <t>差:-108.50元 (-28.3%) 来源:售楼处</t>
        </is>
      </c>
      <c r="Q333" s="35" t="n"/>
      <c r="R333" s="35" t="n"/>
    </row>
    <row r="334" outlineLevel="2" ht="204" customFormat="1" customHeight="1" s="39">
      <c r="A334" s="37">
        <f>1+N(A333)</f>
        <v/>
      </c>
      <c r="B334" s="27" t="inlineStr">
        <is>
          <t>墙面一般抹灰</t>
        </is>
      </c>
      <c r="C334" s="27" t="inlineStr">
        <is>
          <t>1、墙面一般抹灰
2、具体施工做法详见国家相关规范条文
3、包含完成该项内容所有工作及费用并满足设计图纸、规范等要求</t>
        </is>
      </c>
      <c r="D334" s="27" t="inlineStr">
        <is>
          <t>1.材料场内倒运、清理、修补、湿润基层表面、铺网格布或钢丝网（综合考虑不同墙界面交接处、管线开槽处的局部挂钢丝网以及公区人流通道等砌体墙满挂钢丝网）、调运砂浆、清扫落地灰，简易脚手架及操作平台搭拆。
2.基层处理，贴饼冲筋、拍浆/刷浆、局部找平、抹灰找平、洒水湿润、罩面压光。
3.所有门窗洞口、箱、盒、管线、踢脚线等部位的二次收口工作、嵌缝修补、檐口等滴水线条抹灰塞缝收边。
4.完工清理，养护、成品保护、保修等全部工作内容。</t>
        </is>
      </c>
      <c r="E334" s="27" t="inlineStr">
        <is>
          <t>1.按设计图示尺寸以面积计算。扣除墙裙、门窗洞口及单个＞0.3 m2的孔洞面积，不扣除踢脚线、挂镜线和墙与构件交接处的面积，附墙柱、梁、垛、烟囱侧壁并入相应的墙面面积内。
2.门窗洞口和孔洞侧面、顶面和底面不计算面积。
3.不因地面、墙面工施工工序调整而调整计算规则。</t>
        </is>
      </c>
      <c r="F334" s="28" t="inlineStr">
        <is>
          <t>m2</t>
        </is>
      </c>
      <c r="G334" s="61" t="n">
        <v>118.88</v>
      </c>
      <c r="H334" s="62" t="n">
        <v>51.825895</v>
      </c>
      <c r="I334" s="65" t="n"/>
      <c r="J334" s="62">
        <f>H334*(1-$I$4)</f>
        <v/>
      </c>
      <c r="K334" s="63">
        <f>G334*J334</f>
        <v/>
      </c>
      <c r="L334" s="33" t="inlineStr">
        <is>
          <t>/</t>
        </is>
      </c>
      <c r="M334" s="64" t="n"/>
      <c r="N334" s="39" t="n">
        <v>1</v>
      </c>
      <c r="O334" t="n">
        <v>22</v>
      </c>
      <c r="P334" s="35" t="inlineStr">
        <is>
          <t>差:-29.83元 (-57.6%) 来源:售楼处</t>
        </is>
      </c>
      <c r="Q334" s="35" t="n"/>
      <c r="R334" s="35" t="n"/>
    </row>
    <row r="335" outlineLevel="2" ht="144" customFormat="1" customHeight="1" s="39">
      <c r="A335" s="37">
        <f>1+N(A334)</f>
        <v/>
      </c>
      <c r="B335" s="27" t="inlineStr">
        <is>
          <t>新建钢结构隔墙</t>
        </is>
      </c>
      <c r="C335" s="27" t="inlineStr">
        <is>
          <t>1、新建钢结构隔墙
2、8#热镀锌竖向槽钢龙骨间距小于0.9米，并要求至结构楼板底生根固定，横向5#角钢龙骨，间距根据砖面尺寸排列，所有的钢骨架均需做防锈处理
3、具体施工做法详见国家相关规范条文
4、包含完成该项内容所有工作及费用并满足设计图纸、规范等要求</t>
        </is>
      </c>
      <c r="D335"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335" s="27" t="inlineStr">
        <is>
          <t>执行《GB/T50854-2024房屋建筑与装饰工程工程量计算标准》，按设计图示框外围尺寸以面积计算。不扣除单个面积≤0.3㎡的孔洞所占面积；</t>
        </is>
      </c>
      <c r="F335" s="28" t="inlineStr">
        <is>
          <t>m2</t>
        </is>
      </c>
      <c r="G335" s="61" t="n">
        <v>176.85</v>
      </c>
      <c r="H335" s="62" t="n">
        <v>205.025</v>
      </c>
      <c r="I335" s="65" t="n"/>
      <c r="J335" s="62">
        <f>H335*(1-$I$4)</f>
        <v/>
      </c>
      <c r="K335" s="63">
        <f>G335*J335</f>
        <v/>
      </c>
      <c r="L335" s="33" t="inlineStr">
        <is>
          <t>/</t>
        </is>
      </c>
      <c r="M335" s="64" t="n"/>
      <c r="N335" s="39" t="n">
        <v>1</v>
      </c>
      <c r="O335" t="n">
        <v>65</v>
      </c>
      <c r="P335" s="35" t="inlineStr">
        <is>
          <t>差:-140.03元 (-68.3%) 来源:售楼处</t>
        </is>
      </c>
      <c r="Q335" s="35" t="n"/>
      <c r="R335" s="35" t="n"/>
    </row>
    <row r="336" customFormat="1" s="39">
      <c r="A336" s="26" t="inlineStr">
        <is>
          <t>C</t>
        </is>
      </c>
      <c r="B336" s="20" t="inlineStr">
        <is>
          <t>标准层装修部分</t>
        </is>
      </c>
      <c r="C336" s="27" t="n"/>
      <c r="D336" s="27" t="n"/>
      <c r="E336" s="27" t="n"/>
      <c r="F336" s="28" t="n"/>
      <c r="G336" s="61" t="n"/>
      <c r="H336" s="62" t="n"/>
      <c r="I336" s="65" t="n"/>
      <c r="J336" s="62" t="n"/>
      <c r="K336" s="63" t="n"/>
      <c r="L336" s="33" t="n"/>
      <c r="M336" s="64" t="n"/>
      <c r="O336" s="38" t="n"/>
      <c r="P336" s="35" t="n"/>
      <c r="Q336" s="35" t="n"/>
      <c r="R336" s="35" t="n"/>
    </row>
    <row r="337" outlineLevel="1" customFormat="1" s="39">
      <c r="A337" s="26" t="inlineStr">
        <is>
          <t>一</t>
        </is>
      </c>
      <c r="B337" s="27" t="inlineStr">
        <is>
          <t>电梯厅(DT1-DT2)</t>
        </is>
      </c>
      <c r="C337" s="27" t="n"/>
      <c r="D337" s="27" t="n"/>
      <c r="E337" s="27" t="n"/>
      <c r="F337" s="28" t="n"/>
      <c r="G337" s="61" t="n"/>
      <c r="H337" s="62" t="n"/>
      <c r="I337" s="65" t="n"/>
      <c r="J337" s="62" t="n"/>
      <c r="K337" s="63" t="n"/>
      <c r="L337" s="33" t="n"/>
      <c r="M337" s="64" t="n"/>
      <c r="O337" s="38" t="n"/>
      <c r="P337" s="35" t="n"/>
      <c r="Q337" s="35" t="n"/>
      <c r="R337" s="35" t="n"/>
    </row>
    <row r="338" outlineLevel="1" customFormat="1" s="39">
      <c r="A338" s="36" t="n"/>
      <c r="B338" s="27" t="inlineStr">
        <is>
          <t>地面工程</t>
        </is>
      </c>
      <c r="C338" s="27" t="n"/>
      <c r="D338" s="27" t="n"/>
      <c r="E338" s="27" t="n"/>
      <c r="F338" s="28" t="n"/>
      <c r="G338" s="61" t="n"/>
      <c r="H338" s="62" t="n"/>
      <c r="I338" s="65" t="n"/>
      <c r="J338" s="62" t="n"/>
      <c r="K338" s="63" t="n"/>
      <c r="L338" s="33" t="n"/>
      <c r="M338" s="64" t="n"/>
      <c r="P338" s="35" t="n"/>
      <c r="Q338" s="35" t="n"/>
      <c r="R338" s="35" t="n"/>
    </row>
    <row r="339" outlineLevel="2" ht="108" customFormat="1" customHeight="1" s="39">
      <c r="A339" s="37">
        <f>1+N(A338)</f>
        <v/>
      </c>
      <c r="B339" s="27" t="inlineStr">
        <is>
          <t>地面铺贴大理石ST-03</t>
        </is>
      </c>
      <c r="C339" s="27" t="inlineStr">
        <is>
          <t>1.地面20mm大理石ST-03、铺贴、厚度及样式按物料书为准；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339"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339" s="27" t="inlineStr">
        <is>
          <t xml:space="preserve">执行《GB/T50854-2024房屋建筑与装饰工程工程量计算标准》，按设计图示尺寸
以面积计算。 </t>
        </is>
      </c>
      <c r="F339" s="28" t="inlineStr">
        <is>
          <t>m2</t>
        </is>
      </c>
      <c r="G339" s="61" t="n">
        <v>37.8</v>
      </c>
      <c r="H339" s="62" t="n">
        <v>218.75017</v>
      </c>
      <c r="I339" s="65" t="n"/>
      <c r="J339" s="62">
        <f>H339*(1-$I$4)</f>
        <v/>
      </c>
      <c r="K339" s="63">
        <f>G339*J339</f>
        <v/>
      </c>
      <c r="L339" s="33" t="inlineStr">
        <is>
          <t>石材</t>
        </is>
      </c>
      <c r="M339" s="64" t="n"/>
      <c r="N339" s="39" t="n">
        <v>1</v>
      </c>
      <c r="O339" t="n">
        <v>130</v>
      </c>
      <c r="P339" s="35" t="inlineStr">
        <is>
          <t>差:-88.75元 (-40.6%) 来源:售楼处</t>
        </is>
      </c>
      <c r="Q339" s="35" t="n"/>
      <c r="R339" s="35" t="n"/>
    </row>
    <row r="340" outlineLevel="2" ht="108" customFormat="1" customHeight="1" s="39">
      <c r="A340" s="37">
        <f>1+N(A339)</f>
        <v/>
      </c>
      <c r="B340" s="27" t="inlineStr">
        <is>
          <t>地面地砖 CT-01</t>
        </is>
      </c>
      <c r="C340" s="27" t="inlineStr">
        <is>
          <t>1.地面花砖CT-01；
2.10mm厚专用粘结剂；
3.80mm厚DS-M15干混砂浆找平；
4.基层清理；
5.含切边、倒角、拼接等处理；
6.包含完成该项内容所有工作及费用并满足设计图纸、规范等要求；</t>
        </is>
      </c>
      <c r="D340"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340" s="27" t="inlineStr">
        <is>
          <t xml:space="preserve">执行《GB/T50854-2024房屋建筑与装饰工程工程量计算标准》，按设计图示尺寸
以面积计算。 </t>
        </is>
      </c>
      <c r="F340" s="28" t="inlineStr">
        <is>
          <t>m2</t>
        </is>
      </c>
      <c r="G340" s="61" t="n">
        <v>177.52</v>
      </c>
      <c r="H340" s="62" t="n">
        <v>164.71148</v>
      </c>
      <c r="I340" s="65" t="n"/>
      <c r="J340" s="62">
        <f>H340*(1-$I$4)</f>
        <v/>
      </c>
      <c r="K340" s="63">
        <f>G340*J340</f>
        <v/>
      </c>
      <c r="L340" s="33" t="inlineStr">
        <is>
          <t>瓷砖</t>
        </is>
      </c>
      <c r="M340" s="64" t="n"/>
      <c r="N340" s="39" t="n">
        <v>1</v>
      </c>
      <c r="O340" t="n">
        <v>80</v>
      </c>
      <c r="P340" s="35" t="inlineStr">
        <is>
          <t>差:-84.71元 (-51.4%) 来源:售楼处</t>
        </is>
      </c>
      <c r="Q340" s="35" t="n"/>
      <c r="R340" s="35" t="n"/>
    </row>
    <row r="341" outlineLevel="2" ht="108" customFormat="1" customHeight="1" s="39">
      <c r="A341" s="37">
        <f>1+N(A340)</f>
        <v/>
      </c>
      <c r="B341" s="27" t="inlineStr">
        <is>
          <t>地面地砖拼花 CT-01.02</t>
        </is>
      </c>
      <c r="C341" s="27" t="inlineStr">
        <is>
          <t>1.地面地砖拼花 CT-01.02；
2.10mm厚专用粘结剂；
3.80mm厚DS-M15干混砂浆找平；
4.基层清理；
5.含切边、倒角、拼接等处理；
6.包含完成该项内容所有工作及费用并满足设计图纸、规范等要求；</t>
        </is>
      </c>
      <c r="D341"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341" s="27" t="inlineStr">
        <is>
          <t xml:space="preserve">执行《GB/T50854-2024房屋建筑与装饰工程工程量计算标准》，按设计图示尺寸
以面积计算。 </t>
        </is>
      </c>
      <c r="F341" s="28" t="inlineStr">
        <is>
          <t>m2</t>
        </is>
      </c>
      <c r="G341" s="61" t="n">
        <v>130.48</v>
      </c>
      <c r="H341" s="62" t="n">
        <v>235.51148</v>
      </c>
      <c r="I341" s="65" t="n"/>
      <c r="J341" s="62">
        <f>H341*(1-$I$4)</f>
        <v/>
      </c>
      <c r="K341" s="63">
        <f>G341*J341</f>
        <v/>
      </c>
      <c r="L341" s="33" t="inlineStr">
        <is>
          <t>瓷砖</t>
        </is>
      </c>
      <c r="M341" s="64" t="n"/>
      <c r="N341" s="39" t="n">
        <v>1</v>
      </c>
      <c r="O341" t="n">
        <v>80</v>
      </c>
      <c r="P341" s="35" t="inlineStr">
        <is>
          <t>差:-155.51元 (-66.0%) 来源:售楼处</t>
        </is>
      </c>
      <c r="Q341" s="35" t="n"/>
      <c r="R341" s="35" t="n"/>
    </row>
    <row r="342" outlineLevel="2" ht="108" customFormat="1" customHeight="1" s="39">
      <c r="A342" s="37">
        <f>1+N(A341)</f>
        <v/>
      </c>
      <c r="B342" s="27" t="inlineStr">
        <is>
          <t>实心铜条5mm宽</t>
        </is>
      </c>
      <c r="C342" s="27" t="inlineStr">
        <is>
          <t>1.实心铜条5mm宽；
2.包含完成该项内容所有工作及费用并满足设计图纸、规范等要求；</t>
        </is>
      </c>
      <c r="D342"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342" s="27" t="inlineStr">
        <is>
          <t>按设计图示尺寸以长度计算。</t>
        </is>
      </c>
      <c r="F342" s="28" t="inlineStr">
        <is>
          <t>m</t>
        </is>
      </c>
      <c r="G342" s="61" t="n">
        <v>237.16</v>
      </c>
      <c r="H342" s="62" t="n">
        <v>89.267</v>
      </c>
      <c r="I342" s="65" t="n"/>
      <c r="J342" s="62">
        <f>H342*(1-$I$4)</f>
        <v/>
      </c>
      <c r="K342" s="63">
        <f>G342*J342</f>
        <v/>
      </c>
      <c r="L342" s="33" t="inlineStr">
        <is>
          <t>/</t>
        </is>
      </c>
      <c r="M342" s="64" t="n"/>
      <c r="N342" s="39" t="n">
        <v>1</v>
      </c>
      <c r="O342" t="n">
        <v>12</v>
      </c>
      <c r="P342" s="35" t="inlineStr">
        <is>
          <t>差:-77.27元 (-86.6%) 来源:售楼处</t>
        </is>
      </c>
      <c r="Q342" s="35" t="n"/>
      <c r="R342" s="35" t="n"/>
    </row>
    <row r="343" outlineLevel="2" ht="108" customFormat="1" customHeight="1" s="39">
      <c r="A343" s="37">
        <f>1+N(A342)</f>
        <v/>
      </c>
      <c r="B343" s="27" t="inlineStr">
        <is>
          <t>地面石材晶面处理</t>
        </is>
      </c>
      <c r="C343" s="27" t="inlineStr">
        <is>
          <t>1.石材结晶处理(结晶水及石材保养剂,中性清洁剂)；
2.包含完成该项内容所有工作及费用并满足设计图纸、规范等要求；</t>
        </is>
      </c>
      <c r="D343"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343" s="27" t="inlineStr">
        <is>
          <t xml:space="preserve">执行《GB/T50854-2024房屋建筑与装饰工程工程量计算标准》，按设计图示尺寸
以面积计算。 </t>
        </is>
      </c>
      <c r="F343" s="28" t="inlineStr">
        <is>
          <t>m2</t>
        </is>
      </c>
      <c r="G343" s="61" t="n">
        <v>37.8</v>
      </c>
      <c r="H343" s="62" t="n">
        <v>64.90000000000001</v>
      </c>
      <c r="I343" s="65" t="n"/>
      <c r="J343" s="62">
        <f>H343*(1-$I$4)</f>
        <v/>
      </c>
      <c r="K343" s="63">
        <f>G343*J343</f>
        <v/>
      </c>
      <c r="L343" s="33" t="inlineStr">
        <is>
          <t>/</t>
        </is>
      </c>
      <c r="M343" s="64" t="n"/>
      <c r="N343" s="39" t="n">
        <v>1</v>
      </c>
      <c r="O343" t="n">
        <v>40</v>
      </c>
      <c r="P343" s="35" t="inlineStr">
        <is>
          <t>差:-24.90元 (-38.4%) 来源:售楼处</t>
        </is>
      </c>
      <c r="Q343" s="35" t="n"/>
      <c r="R343" s="35" t="n"/>
    </row>
    <row r="344" outlineLevel="1" customFormat="1" s="39">
      <c r="A344" s="36" t="n"/>
      <c r="B344" s="27" t="inlineStr">
        <is>
          <t>墙柱面工程</t>
        </is>
      </c>
      <c r="C344" s="27" t="n"/>
      <c r="D344" s="27" t="n"/>
      <c r="E344" s="27" t="n"/>
      <c r="F344" s="28" t="n"/>
      <c r="G344" s="61" t="n"/>
      <c r="H344" s="62" t="n"/>
      <c r="I344" s="65" t="n"/>
      <c r="J344" s="62" t="n"/>
      <c r="K344" s="63" t="n"/>
      <c r="L344" s="33" t="n"/>
      <c r="M344" s="64" t="n"/>
      <c r="P344" s="35" t="n"/>
      <c r="Q344" s="35" t="n"/>
      <c r="R344" s="35" t="n"/>
    </row>
    <row r="345" outlineLevel="2" ht="180" customFormat="1" customHeight="1" s="39">
      <c r="A345" s="37">
        <f>1+N(A344)</f>
        <v/>
      </c>
      <c r="B345" s="27" t="inlineStr">
        <is>
          <t>墙面WD-08摩素板</t>
        </is>
      </c>
      <c r="C345" s="27" t="inlineStr">
        <is>
          <t>1、墙面WD-08摩素板(结构胶固定)
2、12厘玻镁板基层
3、膨胀螺栓、轻钢龙骨(钢结构)基层找平
4、包含完成该项内容所有工作及费用并满足设计图纸、规范等要求</t>
        </is>
      </c>
      <c r="D345"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345" s="27" t="inlineStr">
        <is>
          <t>执行《GB/T50854-2024房屋建筑与装饰工程工程量计算标准》，按设计图示饰面外围尺寸
以面积计算。 扣除门窗洞口面积，不扣除单个面积≤0.3㎡的孔洞所占面积。</t>
        </is>
      </c>
      <c r="F345" s="28" t="inlineStr">
        <is>
          <t>m2</t>
        </is>
      </c>
      <c r="G345" s="61" t="n">
        <v>41.14</v>
      </c>
      <c r="H345" s="62" t="n">
        <v>186.44</v>
      </c>
      <c r="I345" s="65" t="n"/>
      <c r="J345" s="62">
        <f>H345*(1-$I$4)</f>
        <v/>
      </c>
      <c r="K345" s="63">
        <f>G345*J345</f>
        <v/>
      </c>
      <c r="L345" s="33" t="inlineStr">
        <is>
          <t>摩素板</t>
        </is>
      </c>
      <c r="M345" s="64" t="n"/>
      <c r="N345" s="39" t="n">
        <v>1</v>
      </c>
      <c r="O345" t="n">
        <v>35</v>
      </c>
      <c r="P345" s="35" t="inlineStr">
        <is>
          <t>差:-151.44元 (-81.2%) 来源:售楼处</t>
        </is>
      </c>
      <c r="Q345" s="35" t="n"/>
      <c r="R345" s="35" t="n"/>
    </row>
    <row r="346" outlineLevel="2" ht="180" customFormat="1" customHeight="1" s="39">
      <c r="A346" s="37">
        <f>1+N(A345)</f>
        <v/>
      </c>
      <c r="B346" s="27" t="inlineStr">
        <is>
          <t>WD-07摩素板</t>
        </is>
      </c>
      <c r="C346" s="27" t="inlineStr">
        <is>
          <t>1、墙面WD-07摩素板(结构胶固定)
2、12厘玻镁板基层
3、膨胀螺栓、轻钢龙骨(钢结构)基层找平
4、包含完成该项内容所有工作及费用并满足设计图纸、规范等要求</t>
        </is>
      </c>
      <c r="D346"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346" s="27" t="inlineStr">
        <is>
          <t>执行《GB/T50854-2024房屋建筑与装饰工程工程量计算标准》，按设计图示饰面外围尺寸以面积计算。 扣除门窗洞口面积，不扣除单个面积≤0.3㎡的孔洞所占面积。</t>
        </is>
      </c>
      <c r="F346" s="28" t="inlineStr">
        <is>
          <t>m2</t>
        </is>
      </c>
      <c r="G346" s="61" t="n">
        <v>262.42</v>
      </c>
      <c r="H346" s="62" t="n">
        <v>186.44</v>
      </c>
      <c r="I346" s="65" t="n"/>
      <c r="J346" s="62">
        <f>H346*(1-$I$4)</f>
        <v/>
      </c>
      <c r="K346" s="63">
        <f>G346*J346</f>
        <v/>
      </c>
      <c r="L346" s="33" t="inlineStr">
        <is>
          <t>摩素板</t>
        </is>
      </c>
      <c r="M346" s="64" t="n"/>
      <c r="N346" s="39" t="n">
        <v>1</v>
      </c>
      <c r="O346" t="n">
        <v>35</v>
      </c>
      <c r="P346" s="35" t="inlineStr">
        <is>
          <t>差:-151.44元 (-81.2%) 来源:售楼处</t>
        </is>
      </c>
      <c r="Q346" s="35" t="n"/>
      <c r="R346" s="35" t="n"/>
    </row>
    <row r="347" outlineLevel="2" ht="144" customFormat="1" customHeight="1" s="39">
      <c r="A347" s="37">
        <f>1+N(A346)</f>
        <v/>
      </c>
      <c r="B347" s="27" t="inlineStr">
        <is>
          <t>墙面PT-01肌理无机涂料</t>
        </is>
      </c>
      <c r="C347" s="27" t="inlineStr">
        <is>
          <t>1、墙面PT-01肌理无机涂料(底漆1遍，面漆2遍)
2、刮白胶腻子找平二遍，打磨
3、阴、阳角护角收边
4、双层9.5mm纸面石膏板
5、轻钢龙骨基层找平
6、包含完成该项内容所有工作及费用并满足设计图纸、规范等要求</t>
        </is>
      </c>
      <c r="D347"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347" s="27" t="inlineStr">
        <is>
          <t xml:space="preserve">执行《GB/T50854-2024房屋建筑与装饰工程工程量计算标准》，按设计图示尺寸
以面积计算。 </t>
        </is>
      </c>
      <c r="F347" s="28" t="inlineStr">
        <is>
          <t>m2</t>
        </is>
      </c>
      <c r="G347" s="61" t="n">
        <v>326.15</v>
      </c>
      <c r="H347" s="62" t="n">
        <v>207.68</v>
      </c>
      <c r="I347" s="65" t="n"/>
      <c r="J347" s="62">
        <f>H347*(1-$I$4)</f>
        <v/>
      </c>
      <c r="K347" s="63">
        <f>G347*J347</f>
        <v/>
      </c>
      <c r="L347" s="33" t="inlineStr">
        <is>
          <t>涂料</t>
        </is>
      </c>
      <c r="M347" s="64" t="n"/>
      <c r="N347" s="39" t="n">
        <v>1</v>
      </c>
      <c r="O347" t="n">
        <v>110</v>
      </c>
      <c r="P347" s="35" t="inlineStr">
        <is>
          <t>差:-97.68元 (-47.0%) 来源:售楼处</t>
        </is>
      </c>
      <c r="Q347" s="35" t="n"/>
      <c r="R347" s="35" t="n"/>
    </row>
    <row r="348" outlineLevel="2" ht="180" customFormat="1" customHeight="1" s="39">
      <c r="A348" s="37">
        <f>1+N(A347)</f>
        <v/>
      </c>
      <c r="B348" s="27" t="inlineStr">
        <is>
          <t>MT-01古铜不锈钢饰面</t>
        </is>
      </c>
      <c r="C348" s="27" t="inlineStr">
        <is>
          <t>1、1.2mm厚 MT-01古铜不锈钢饰面，结构胶固定
2、12厘玻镁板基层
3、包含完成该项内容所有工作及费用并满足设计图纸、规范等要求</t>
        </is>
      </c>
      <c r="D348"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348" s="27" t="inlineStr">
        <is>
          <t>执行《GB/T50854-2024房屋建筑与装饰工程工程量计算标准》，按设计图示饰面外围尺寸
以面积计算。 扣除门窗洞口面积，不扣除单个面积≤0.3㎡的孔洞所占面积。</t>
        </is>
      </c>
      <c r="F348" s="28" t="inlineStr">
        <is>
          <t>m2</t>
        </is>
      </c>
      <c r="G348" s="61" t="n">
        <v>55.59</v>
      </c>
      <c r="H348" s="62" t="n">
        <v>247.8</v>
      </c>
      <c r="I348" s="65" t="n"/>
      <c r="J348" s="62">
        <f>H348*(1-$I$4)</f>
        <v/>
      </c>
      <c r="K348" s="63">
        <f>G348*J348</f>
        <v/>
      </c>
      <c r="L348" s="33" t="inlineStr">
        <is>
          <t>不锈钢饰面</t>
        </is>
      </c>
      <c r="M348" s="64" t="n"/>
      <c r="N348" s="39" t="n">
        <v>1</v>
      </c>
      <c r="O348" t="n">
        <v>110</v>
      </c>
      <c r="P348" s="35" t="inlineStr">
        <is>
          <t>差:-137.80元 (-55.6%) 来源:售楼处</t>
        </is>
      </c>
      <c r="Q348" s="35" t="n"/>
      <c r="R348" s="35" t="n"/>
    </row>
    <row r="349" outlineLevel="2" ht="144" customFormat="1" customHeight="1" s="39">
      <c r="A349" s="37">
        <f>1+N(A348)</f>
        <v/>
      </c>
      <c r="B349" s="27" t="inlineStr">
        <is>
          <t>MT-04手敲铜不锈钢饰面</t>
        </is>
      </c>
      <c r="C349" s="27" t="inlineStr">
        <is>
          <t>1、1.2mm厚 MT-04手敲铜不锈钢饰面，结构胶固定
2、12厘玻镁板基层
3、包含完成该项内容所有工作及费用并满足设计图纸、规范等要求</t>
        </is>
      </c>
      <c r="D349"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349" s="27" t="inlineStr">
        <is>
          <t>执行《GB/T50854-2024房屋建筑与装饰工程工程量计算标准》，按设计图示饰面外围尺寸以面积计算。</t>
        </is>
      </c>
      <c r="F349" s="28" t="inlineStr">
        <is>
          <t>m2</t>
        </is>
      </c>
      <c r="G349" s="61" t="n">
        <v>52.81</v>
      </c>
      <c r="H349" s="62" t="n">
        <v>247.8</v>
      </c>
      <c r="I349" s="65" t="n"/>
      <c r="J349" s="62">
        <f>H349*(1-$I$4)</f>
        <v/>
      </c>
      <c r="K349" s="63">
        <f>G349*J349</f>
        <v/>
      </c>
      <c r="L349" s="33" t="inlineStr">
        <is>
          <t>不锈钢饰面</t>
        </is>
      </c>
      <c r="M349" s="64" t="n"/>
      <c r="N349" s="39" t="n">
        <v>1</v>
      </c>
      <c r="O349" t="n">
        <v>110</v>
      </c>
      <c r="P349" s="35" t="inlineStr">
        <is>
          <t>差:-137.80元 (-55.6%) 来源:售楼处</t>
        </is>
      </c>
      <c r="Q349" s="35" t="n"/>
      <c r="R349" s="35" t="n"/>
    </row>
    <row r="350" outlineLevel="2" ht="144" customFormat="1" customHeight="1" s="39">
      <c r="A350" s="37">
        <f>1+N(A349)</f>
        <v/>
      </c>
      <c r="B350" s="27" t="inlineStr">
        <is>
          <t>SF-03透光片</t>
        </is>
      </c>
      <c r="C350" s="27" t="inlineStr">
        <is>
          <t>1、SF-03透光片，结构胶固定
2、12厘玻镁板基层
3、包含完成该项内容所有工作及费用并满足设计图纸、规范等要求</t>
        </is>
      </c>
      <c r="D350"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350" s="27" t="inlineStr">
        <is>
          <t>执行《GB/T50854-2024房屋建筑与装饰工程工程量计算标准》，按设计图示饰面外围尺寸以面积计算。</t>
        </is>
      </c>
      <c r="F350" s="28" t="inlineStr">
        <is>
          <t>m2</t>
        </is>
      </c>
      <c r="G350" s="61" t="n">
        <v>1.58</v>
      </c>
      <c r="H350" s="62" t="n">
        <v>812.312</v>
      </c>
      <c r="I350" s="65" t="n"/>
      <c r="J350" s="62">
        <f>H350*(1-$I$4)</f>
        <v/>
      </c>
      <c r="K350" s="63">
        <f>G350*J350</f>
        <v/>
      </c>
      <c r="L350" s="33" t="inlineStr">
        <is>
          <t>/</t>
        </is>
      </c>
      <c r="M350" s="64" t="n"/>
      <c r="N350" s="39" t="n">
        <v>1</v>
      </c>
      <c r="O350" t="n">
        <v>150</v>
      </c>
      <c r="P350" s="35" t="inlineStr">
        <is>
          <t>差:-662.31元 (-81.5%) 来源:售楼处</t>
        </is>
      </c>
      <c r="Q350" s="35" t="n"/>
      <c r="R350" s="35" t="n"/>
    </row>
    <row r="351" outlineLevel="2" ht="180" customFormat="1" customHeight="1" s="39">
      <c r="A351" s="37">
        <f>1+N(A350)</f>
        <v/>
      </c>
      <c r="B351" s="27" t="inlineStr">
        <is>
          <t>电梯不锈钢门头</t>
        </is>
      </c>
      <c r="C351" s="27" t="inlineStr">
        <is>
          <t>1、1.2mm厚 MT-01古铜不锈钢门头，结构胶固定
2、12mm阻燃板，轻钢副龙骨@400
3、电梯门顶内置亚克力，内部面层刮白处理
4、工程量以展开面积计算
5、包含完成该项内容所有工作及费用并满足设计图纸、规范等要求</t>
        </is>
      </c>
      <c r="D351"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351" s="27" t="inlineStr">
        <is>
          <t>执行《GB/T50854-2024房屋建筑与装饰工程工程量计算标准》，按设计图示饰面外围尺寸
以面积计算。 扣除门窗洞口面积，不扣除单个面积≤0.3㎡的孔洞所占面积。</t>
        </is>
      </c>
      <c r="F351" s="28" t="inlineStr">
        <is>
          <t>m2</t>
        </is>
      </c>
      <c r="G351" s="61" t="n">
        <v>20.33</v>
      </c>
      <c r="H351" s="62" t="n">
        <v>812.961</v>
      </c>
      <c r="I351" s="65" t="n"/>
      <c r="J351" s="62">
        <f>H351*(1-$I$4)</f>
        <v/>
      </c>
      <c r="K351" s="63">
        <f>G351*J351</f>
        <v/>
      </c>
      <c r="L351" s="33" t="inlineStr">
        <is>
          <t>/</t>
        </is>
      </c>
      <c r="M351" s="64" t="n"/>
      <c r="N351" s="39" t="n">
        <v>1</v>
      </c>
      <c r="O351" t="n">
        <v>110</v>
      </c>
      <c r="P351" s="35" t="inlineStr">
        <is>
          <t>差:-702.96元 (-86.5%) 来源:售楼处</t>
        </is>
      </c>
      <c r="Q351" s="35" t="n"/>
      <c r="R351" s="35" t="n"/>
    </row>
    <row r="352" outlineLevel="2" ht="144" customFormat="1" customHeight="1" s="39">
      <c r="A352" s="37">
        <f>1+N(A351)</f>
        <v/>
      </c>
      <c r="B352" s="27" t="inlineStr">
        <is>
          <t>MT-01古铜不锈钢踢脚线（高20mm）</t>
        </is>
      </c>
      <c r="C352" s="27" t="inlineStr">
        <is>
          <t>1、1.2mm厚 MT-01古铜不锈钢踢脚线（高20mm，展开面为46mm），结构胶固定
2、9厘玻镁板基层
3、包含完成该项内容所有工作及费用并满足设计图纸、规范等要求</t>
        </is>
      </c>
      <c r="D352"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352" s="27" t="inlineStr">
        <is>
          <t>按设计图示尺寸以长度计算。</t>
        </is>
      </c>
      <c r="F352" s="28" t="inlineStr">
        <is>
          <t>m</t>
        </is>
      </c>
      <c r="G352" s="61" t="n">
        <v>305.88</v>
      </c>
      <c r="H352" s="62" t="n">
        <v>31.86</v>
      </c>
      <c r="I352" s="65" t="n"/>
      <c r="J352" s="62">
        <f>H352*(1-$I$4)</f>
        <v/>
      </c>
      <c r="K352" s="63">
        <f>G352*J352</f>
        <v/>
      </c>
      <c r="L352" s="33" t="inlineStr">
        <is>
          <t>不锈钢踢脚线</t>
        </is>
      </c>
      <c r="M352" s="64" t="n"/>
      <c r="N352" s="39" t="n">
        <v>1</v>
      </c>
      <c r="O352" t="n">
        <v>12</v>
      </c>
      <c r="P352" s="35" t="inlineStr">
        <is>
          <t>差:-19.86元 (-62.3%) 来源:售楼处</t>
        </is>
      </c>
      <c r="Q352" s="35" t="n"/>
      <c r="R352" s="35" t="n"/>
    </row>
    <row r="353" outlineLevel="2" ht="144" customFormat="1" customHeight="1" s="39">
      <c r="A353" s="37">
        <f>1+N(A352)</f>
        <v/>
      </c>
      <c r="B353" s="27" t="inlineStr">
        <is>
          <t>MT-01古铜不锈钢线条（展开面为32mm）</t>
        </is>
      </c>
      <c r="C353" s="27" t="inlineStr">
        <is>
          <t>1、1.2mm厚 MT-01古铜不锈钢线条（展开面为32mm），结构胶固定
2、12厘玻镁板基层
3、包含完成该项内容所有工作及费用并满足设计图纸、规范等要求</t>
        </is>
      </c>
      <c r="D353"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353" s="27" t="inlineStr">
        <is>
          <t>按设计图示尺寸以长度计算。</t>
        </is>
      </c>
      <c r="F353" s="28" t="inlineStr">
        <is>
          <t>m</t>
        </is>
      </c>
      <c r="G353" s="61" t="n">
        <v>659.6799999999999</v>
      </c>
      <c r="H353" s="62" t="n">
        <v>56.362464</v>
      </c>
      <c r="I353" s="65" t="n"/>
      <c r="J353" s="62">
        <f>H353*(1-$I$4)</f>
        <v/>
      </c>
      <c r="K353" s="63">
        <f>G353*J353</f>
        <v/>
      </c>
      <c r="L353" s="33" t="inlineStr">
        <is>
          <t>/</t>
        </is>
      </c>
      <c r="M353" s="64" t="n"/>
      <c r="N353" s="39" t="n">
        <v>1</v>
      </c>
      <c r="O353" t="n">
        <v>15</v>
      </c>
      <c r="P353" s="35" t="inlineStr">
        <is>
          <t>差:-41.36元 (-73.4%) 来源:售楼处</t>
        </is>
      </c>
      <c r="Q353" s="35" t="n"/>
      <c r="R353" s="35" t="n"/>
    </row>
    <row r="354" outlineLevel="2" ht="144" customFormat="1" customHeight="1" s="39">
      <c r="A354" s="37">
        <f>1+N(A353)</f>
        <v/>
      </c>
      <c r="B354" s="27" t="inlineStr">
        <is>
          <t>MT-01古铜不锈钢线条（展开面为33mm）</t>
        </is>
      </c>
      <c r="C354" s="27" t="inlineStr">
        <is>
          <t>1、1.2mm厚 MT-01古铜不锈钢线条（展开面为33mm），结构胶固定
2、12厘玻镁板基层
3、包含完成该项内容所有工作及费用并满足设计图纸、规范等要求</t>
        </is>
      </c>
      <c r="D354"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354" s="27" t="inlineStr">
        <is>
          <t>按设计图示尺寸以长度计算。</t>
        </is>
      </c>
      <c r="F354" s="28" t="inlineStr">
        <is>
          <t>m</t>
        </is>
      </c>
      <c r="G354" s="61" t="n">
        <v>91.28</v>
      </c>
      <c r="H354" s="62" t="n">
        <v>57.128166</v>
      </c>
      <c r="I354" s="65" t="n"/>
      <c r="J354" s="62">
        <f>H354*(1-$I$4)</f>
        <v/>
      </c>
      <c r="K354" s="63">
        <f>G354*J354</f>
        <v/>
      </c>
      <c r="L354" s="33" t="inlineStr">
        <is>
          <t>/</t>
        </is>
      </c>
      <c r="M354" s="64" t="n"/>
      <c r="N354" s="39" t="n">
        <v>1</v>
      </c>
      <c r="O354" t="n">
        <v>15</v>
      </c>
      <c r="P354" s="35" t="inlineStr">
        <is>
          <t>差:-42.13元 (-73.7%) 来源:售楼处</t>
        </is>
      </c>
      <c r="Q354" s="35" t="n"/>
      <c r="R354" s="35" t="n"/>
    </row>
    <row r="355" outlineLevel="2" ht="144" customFormat="1" customHeight="1" s="39">
      <c r="A355" s="37">
        <f>1+N(A354)</f>
        <v/>
      </c>
      <c r="B355" s="27" t="inlineStr">
        <is>
          <t>MT-01古铜不锈钢顶部收口条（展开面为41mm）</t>
        </is>
      </c>
      <c r="C355" s="27" t="inlineStr">
        <is>
          <t>1、1.2mm厚 MT-01古铜不锈钢顶部收口条（展开面为41mm），结构胶固定
2、9厘玻镁板基层
3、包含完成该项内容所有工作及费用并满足设计图纸、规范等要求</t>
        </is>
      </c>
      <c r="D355"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355" s="27" t="inlineStr">
        <is>
          <t>按设计图示尺寸以长度计算。</t>
        </is>
      </c>
      <c r="F355" s="28" t="inlineStr">
        <is>
          <t>m</t>
        </is>
      </c>
      <c r="G355" s="61" t="n">
        <v>305.88</v>
      </c>
      <c r="H355" s="62" t="n">
        <v>64.24509999999999</v>
      </c>
      <c r="I355" s="65" t="n"/>
      <c r="J355" s="62">
        <f>H355*(1-$I$4)</f>
        <v/>
      </c>
      <c r="K355" s="63">
        <f>G355*J355</f>
        <v/>
      </c>
      <c r="L355" s="33" t="inlineStr">
        <is>
          <t>/</t>
        </is>
      </c>
      <c r="M355" s="64" t="n"/>
      <c r="N355" s="39" t="n">
        <v>1</v>
      </c>
      <c r="O355" t="n">
        <v>12</v>
      </c>
      <c r="P355" s="35" t="inlineStr">
        <is>
          <t>差:-52.25元 (-81.3%) 来源:售楼处</t>
        </is>
      </c>
      <c r="Q355" s="35" t="n"/>
      <c r="R355" s="35" t="n"/>
    </row>
    <row r="356" outlineLevel="2" ht="72" customFormat="1" customHeight="1" s="39">
      <c r="A356" s="37">
        <f>1+N(A355)</f>
        <v/>
      </c>
      <c r="B356" s="27" t="inlineStr">
        <is>
          <t>MT-01古铜不锈钢窗套（展开面为95mm）</t>
        </is>
      </c>
      <c r="C356" s="27" t="inlineStr">
        <is>
          <t>1、1.2mm厚 MT-01古铜不锈钢窗套（展开面为95mm），结构胶固定
2、9厘玻镁板基层
3、包含完成该项内容所有工作及费用并满足设计图纸、规范等要求</t>
        </is>
      </c>
      <c r="D356" s="27" t="inlineStr">
        <is>
          <t>自现有现场条件下按照合同约定范围、图纸（含设计变更）及甲方要求内容以及规范、标准、相关做法等要求完成并达到总包合同全部目标的全部工作内容。</t>
        </is>
      </c>
      <c r="E356" s="27" t="inlineStr">
        <is>
          <t>以最终验收合格的工程量计算</t>
        </is>
      </c>
      <c r="F356" s="28" t="inlineStr">
        <is>
          <t>m2</t>
        </is>
      </c>
      <c r="G356" s="61" t="n">
        <v>13.04</v>
      </c>
      <c r="H356" s="62" t="n">
        <v>630.651</v>
      </c>
      <c r="I356" s="65" t="n"/>
      <c r="J356" s="62">
        <f>H356*(1-$I$4)</f>
        <v/>
      </c>
      <c r="K356" s="63">
        <f>G356*J356</f>
        <v/>
      </c>
      <c r="L356" s="33" t="inlineStr">
        <is>
          <t>/</t>
        </is>
      </c>
      <c r="M356" s="64" t="n"/>
      <c r="N356" s="39" t="n">
        <v>1</v>
      </c>
      <c r="O356" t="n">
        <v>110</v>
      </c>
      <c r="P356" s="35" t="inlineStr">
        <is>
          <t>差:-520.65元 (-82.6%) 来源:售楼处</t>
        </is>
      </c>
      <c r="Q356" s="35" t="n"/>
      <c r="R356" s="35" t="n"/>
    </row>
    <row r="357" outlineLevel="1" customFormat="1" s="39">
      <c r="A357" s="36" t="n"/>
      <c r="B357" s="27" t="inlineStr">
        <is>
          <t>天花工程</t>
        </is>
      </c>
      <c r="C357" s="27" t="n"/>
      <c r="D357" s="27" t="n"/>
      <c r="E357" s="27" t="n"/>
      <c r="F357" s="28" t="n"/>
      <c r="G357" s="61" t="n"/>
      <c r="H357" s="62" t="n"/>
      <c r="I357" s="65" t="n"/>
      <c r="J357" s="62" t="n"/>
      <c r="K357" s="63" t="n"/>
      <c r="L357" s="33" t="n"/>
      <c r="M357" s="64" t="n"/>
      <c r="P357" s="35" t="n"/>
      <c r="Q357" s="35" t="n"/>
      <c r="R357" s="35" t="n"/>
    </row>
    <row r="358" outlineLevel="2" ht="192" customFormat="1" customHeight="1" s="39">
      <c r="A358" s="37">
        <f>1+N(A357)</f>
        <v/>
      </c>
      <c r="B358" s="27" t="inlineStr">
        <is>
          <t>造型石膏板吊顶</t>
        </is>
      </c>
      <c r="C358" s="27" t="inlineStr">
        <is>
          <t>1.60系列轻钢主龙骨@900，60系列轻钢副龙骨@400，60系列横撑龙骨@600，08螺纹吊杆@900不上人天花吊顶（投影面计算）
2.玻镁板、双层9.5厚石膏板基层，含开孔、检修口、10*10凹槽等费用；
3.含除灯槽外的侧面高差及其连接件、吊件；
4.包含完成该项内容所有工作及费用并满足设计图纸、规范等要求；</t>
        </is>
      </c>
      <c r="D358" s="27" t="inlineStr">
        <is>
          <t>1.基层清理。
2.弹线定位、排版。
3.吊杆及连接件安装调平、收口及密封处理。
4.材料切割处理找平、石膏板安装及调整，打胶密封与清理.
5.收口及其他处理：检修口等制作安装、收边收口、配合预留安装、机电等专业孔洞及孔洞收口处理。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358" s="27" t="inlineStr">
        <is>
          <t>按设计图示尺寸以水平投影面积计算。不扣除间壁墙、检查口、附墙烟囱、柱垛和管道所占面积,扣除单个&gt;0.3m3的孔洞、非密拼吊顶空隙所占的面积、独立柱及与天棚相连的窗帘盒所占的面积。</t>
        </is>
      </c>
      <c r="F358" s="28" t="inlineStr">
        <is>
          <t>m2</t>
        </is>
      </c>
      <c r="G358" s="61" t="n">
        <v>308</v>
      </c>
      <c r="H358" s="62" t="n">
        <v>150.712222222222</v>
      </c>
      <c r="I358" s="65" t="n"/>
      <c r="J358" s="62">
        <f>H358*(1-$I$4)</f>
        <v/>
      </c>
      <c r="K358" s="63">
        <f>G358*J358</f>
        <v/>
      </c>
      <c r="L358" s="33" t="inlineStr">
        <is>
          <t>/</t>
        </is>
      </c>
      <c r="M358" s="64" t="n"/>
      <c r="N358" s="39" t="n">
        <v>1</v>
      </c>
      <c r="O358" t="n">
        <v>70</v>
      </c>
      <c r="P358" s="35" t="inlineStr">
        <is>
          <t>差:-80.71元 (-53.6%) 来源:售楼处</t>
        </is>
      </c>
      <c r="Q358" s="35" t="n"/>
      <c r="R358" s="35" t="n"/>
    </row>
    <row r="359" outlineLevel="2" ht="72" customFormat="1" customHeight="1" s="39">
      <c r="A359" s="37">
        <f>1+N(A358)</f>
        <v/>
      </c>
      <c r="B359" s="27" t="inlineStr">
        <is>
          <t>灯槽（100mm*200mm）</t>
        </is>
      </c>
      <c r="C359" s="27" t="inlineStr">
        <is>
          <t>1.灯槽（100mm*200mm）；
2.双层板：9mm玻镁板、9.5厚石膏板；
3.包含完成该项内容所有工作及费用并满足设计图纸、规范等要求；</t>
        </is>
      </c>
      <c r="D359" s="27" t="inlineStr">
        <is>
          <t>自现有现场条件下按照合同约定范围、图纸（含设计变更）及甲方要求内容以及规范、标准、相关做法等要求完成并达到总包合同全部目标的全部工作内容。</t>
        </is>
      </c>
      <c r="E359" s="27" t="inlineStr">
        <is>
          <t>依据经承包人确认的施工部位,按设计图示尺寸以延长米计算。</t>
        </is>
      </c>
      <c r="F359" s="28" t="inlineStr">
        <is>
          <t>m</t>
        </is>
      </c>
      <c r="G359" s="61" t="n">
        <v>254.8</v>
      </c>
      <c r="H359" s="62" t="n">
        <v>112.159</v>
      </c>
      <c r="I359" s="65" t="n"/>
      <c r="J359" s="62">
        <f>H359*(1-$I$4)</f>
        <v/>
      </c>
      <c r="K359" s="63">
        <f>G359*J359</f>
        <v/>
      </c>
      <c r="L359" s="33" t="inlineStr">
        <is>
          <t>/</t>
        </is>
      </c>
      <c r="M359" s="64" t="n"/>
      <c r="N359" s="39" t="n">
        <v>1</v>
      </c>
      <c r="O359" t="n">
        <v>50</v>
      </c>
      <c r="P359" s="35" t="inlineStr">
        <is>
          <t>差:-62.16元 (-55.4%) 来源:售楼处</t>
        </is>
      </c>
      <c r="Q359" s="35" t="n"/>
      <c r="R359" s="35" t="n"/>
    </row>
    <row r="360" outlineLevel="2" ht="72" customFormat="1" customHeight="1" s="39">
      <c r="A360" s="37">
        <f>1+N(A359)</f>
        <v/>
      </c>
      <c r="B360" s="27" t="inlineStr">
        <is>
          <t>成品石膏线条</t>
        </is>
      </c>
      <c r="C360" s="27" t="inlineStr">
        <is>
          <t>1.成品石膏线条（50mm*50mm）；
2.按图纸造型；
3.包含完成该项内容所有工作及费用并满足设计图纸、规范等要求；</t>
        </is>
      </c>
      <c r="D360" s="27" t="inlineStr">
        <is>
          <t>自现有现场条件下按照合同约定范围、图纸（含设计变更）及甲方要求内容以及规范、标准、相关做法等要求完成并达到总包合同全部目标的全部工作内容。</t>
        </is>
      </c>
      <c r="E360" s="27" t="inlineStr">
        <is>
          <t>依据经承包人确认的施工部位,按设计图示尺寸以延长米计算。</t>
        </is>
      </c>
      <c r="F360" s="28" t="inlineStr">
        <is>
          <t>m</t>
        </is>
      </c>
      <c r="G360" s="61" t="n">
        <v>254.8</v>
      </c>
      <c r="H360" s="62" t="n">
        <v>20.06</v>
      </c>
      <c r="I360" s="65" t="n"/>
      <c r="J360" s="62">
        <f>H360*(1-$I$4)</f>
        <v/>
      </c>
      <c r="K360" s="63">
        <f>G360*J360</f>
        <v/>
      </c>
      <c r="L360" s="33" t="inlineStr">
        <is>
          <t>成品石膏线条</t>
        </is>
      </c>
      <c r="M360" s="64" t="n"/>
      <c r="N360" s="39" t="n">
        <v>1</v>
      </c>
      <c r="O360" t="n">
        <v>18</v>
      </c>
      <c r="P360" s="35" t="inlineStr">
        <is>
          <t>差:-2.06元 (-10.3%) 来源:售楼处</t>
        </is>
      </c>
      <c r="Q360" s="35" t="n"/>
      <c r="R360" s="35" t="n"/>
    </row>
    <row r="361" outlineLevel="2" ht="192" customFormat="1" customHeight="1" s="39">
      <c r="A361" s="37">
        <f>1+N(A360)</f>
        <v/>
      </c>
      <c r="B361" s="27" t="inlineStr">
        <is>
          <t>天花肌理无机涂料PT-01</t>
        </is>
      </c>
      <c r="C361" s="27" t="inlineStr">
        <is>
          <t>1.天花肌理无机涂料PT-01；
2.刮腻子二遍磨平；
3.底漆1遍，面漆2遍；
4.包含完成该项内容所有工作及费用并满足设计图纸、规范等要求；</t>
        </is>
      </c>
      <c r="D361" s="27" t="inlineStr">
        <is>
          <t>包括但不限于材料计划、采购、卸车倒运、保管、检验试验费、测量放线，包含四周阴角找平直、含天棚四周阴角找平直，打磨，简易脚手架搭拆及操作平台、升降机，基层清理、打磨平整、底层找补、满刮涂料（含阴阳角塑料条）、涂料打磨、补遗处理、配合其他分包施工、完工后场清、成品保护、保修等直到达到竣工交付标准的全部工作内容。包括所有为完成工作所需的小型机具；包括所有为完成工作所需的附属工作；包括但不限于以上内容。</t>
        </is>
      </c>
      <c r="E361" s="27" t="inlineStr">
        <is>
          <t>执行《GB/T50854-2024房屋建筑与装饰工程工程量计算标准》，按设计图示尺寸以面积计算。扣除0.3平方米以上洞口的面积；梁侧面及檐口天棚并入天棚计算；以设计图纸和技术交底为基础</t>
        </is>
      </c>
      <c r="F361" s="28" t="inlineStr">
        <is>
          <t>m2</t>
        </is>
      </c>
      <c r="G361" s="61" t="n">
        <v>384.44</v>
      </c>
      <c r="H361" s="62" t="n">
        <v>48.38</v>
      </c>
      <c r="I361" s="65" t="n"/>
      <c r="J361" s="62">
        <f>H361*(1-$I$4)</f>
        <v/>
      </c>
      <c r="K361" s="63">
        <f>G361*J361</f>
        <v/>
      </c>
      <c r="L361" s="33" t="inlineStr">
        <is>
          <t>涂料</t>
        </is>
      </c>
      <c r="M361" s="64" t="n"/>
      <c r="N361" s="39" t="n">
        <v>1</v>
      </c>
      <c r="O361" t="n">
        <v>45</v>
      </c>
      <c r="P361" s="35" t="inlineStr">
        <is>
          <t>差:-3.38元 (-7.0%) 来源:售楼处</t>
        </is>
      </c>
      <c r="Q361" s="35" t="n"/>
      <c r="R361" s="35" t="n"/>
    </row>
    <row r="362" outlineLevel="1" customFormat="1" s="39">
      <c r="A362" s="36" t="n"/>
      <c r="B362" s="27" t="inlineStr">
        <is>
          <t>门窗、家具工程</t>
        </is>
      </c>
      <c r="C362" s="27" t="n"/>
      <c r="D362" s="27" t="n"/>
      <c r="E362" s="27" t="n"/>
      <c r="F362" s="28" t="n"/>
      <c r="G362" s="61" t="n"/>
      <c r="H362" s="62" t="n"/>
      <c r="I362" s="65" t="n"/>
      <c r="J362" s="62" t="n"/>
      <c r="K362" s="63" t="n"/>
      <c r="L362" s="33" t="n"/>
      <c r="M362" s="64" t="n"/>
      <c r="P362" s="35" t="n"/>
      <c r="Q362" s="35" t="n"/>
      <c r="R362" s="35" t="n"/>
    </row>
    <row r="363" outlineLevel="2" ht="72" customFormat="1" customHeight="1" s="39">
      <c r="A363" s="37">
        <f>1+N(A362)</f>
        <v/>
      </c>
      <c r="B363" s="27" t="inlineStr">
        <is>
          <t>消防栓暗门(不含面层)</t>
        </is>
      </c>
      <c r="C363" s="27" t="inlineStr">
        <is>
          <t>1、40x40x5mm热镀锌方管骨架、背封铝塑板
2、含天地轴、门吸等五金配件
3、包含完成该项内容所有工作及费用并满足设计图纸、规范等要求</t>
        </is>
      </c>
      <c r="D363" s="27" t="inlineStr">
        <is>
          <t>自现有现场条件下按照合同约定范围、图纸（含设计变更）及甲方要求内容以及规范、标准、相关做法等要求完成并达到总包合同全部目标的全部工作内容。</t>
        </is>
      </c>
      <c r="E363" s="27" t="inlineStr">
        <is>
          <t>以最终验收合格的工程量计算</t>
        </is>
      </c>
      <c r="F363" s="28" t="inlineStr">
        <is>
          <t>m2</t>
        </is>
      </c>
      <c r="G363" s="61" t="n">
        <v>43.68</v>
      </c>
      <c r="H363" s="62" t="n">
        <v>962.6833333333331</v>
      </c>
      <c r="I363" s="65" t="n"/>
      <c r="J363" s="62">
        <f>H363*(1-$I$4)</f>
        <v/>
      </c>
      <c r="K363" s="63">
        <f>G363*J363</f>
        <v/>
      </c>
      <c r="L363" s="33" t="inlineStr">
        <is>
          <t>/</t>
        </is>
      </c>
      <c r="M363" s="64" t="n"/>
      <c r="N363" s="39" t="n">
        <v>1</v>
      </c>
      <c r="O363" t="n">
        <v>165</v>
      </c>
      <c r="P363" s="35" t="inlineStr">
        <is>
          <t>差:-797.68元 (-82.9%) 来源:售楼处</t>
        </is>
      </c>
      <c r="Q363" s="35" t="n"/>
      <c r="R363" s="35" t="n"/>
    </row>
    <row r="364" outlineLevel="1" customFormat="1" s="39">
      <c r="A364" s="26" t="inlineStr">
        <is>
          <t>二</t>
        </is>
      </c>
      <c r="B364" s="27" t="inlineStr">
        <is>
          <t>电梯厅(DT3-DT4)</t>
        </is>
      </c>
      <c r="C364" s="27" t="n"/>
      <c r="D364" s="27" t="n"/>
      <c r="E364" s="27" t="n"/>
      <c r="F364" s="28" t="n"/>
      <c r="G364" s="61" t="n"/>
      <c r="H364" s="62" t="n"/>
      <c r="I364" s="65" t="n"/>
      <c r="J364" s="62" t="n"/>
      <c r="K364" s="63" t="n"/>
      <c r="L364" s="33" t="n"/>
      <c r="M364" s="64" t="n"/>
      <c r="O364" s="38" t="n"/>
      <c r="P364" s="35" t="n"/>
      <c r="Q364" s="35" t="n"/>
      <c r="R364" s="35" t="n"/>
    </row>
    <row r="365" outlineLevel="1" customFormat="1" s="39">
      <c r="A365" s="36" t="n"/>
      <c r="B365" s="27" t="inlineStr">
        <is>
          <t>地面工程</t>
        </is>
      </c>
      <c r="C365" s="27" t="n"/>
      <c r="D365" s="27" t="n"/>
      <c r="E365" s="27" t="n"/>
      <c r="F365" s="28" t="n"/>
      <c r="G365" s="61" t="n"/>
      <c r="H365" s="62" t="n"/>
      <c r="I365" s="65" t="n"/>
      <c r="J365" s="62" t="n"/>
      <c r="K365" s="63" t="n"/>
      <c r="L365" s="33" t="n"/>
      <c r="M365" s="64" t="n"/>
      <c r="P365" s="35" t="n"/>
      <c r="Q365" s="35" t="n"/>
      <c r="R365" s="35" t="n"/>
    </row>
    <row r="366" outlineLevel="2" ht="108" customFormat="1" customHeight="1" s="39">
      <c r="A366" s="37">
        <f>1+N(A365)</f>
        <v/>
      </c>
      <c r="B366" s="27" t="inlineStr">
        <is>
          <t>地面铺贴大理石ST-03</t>
        </is>
      </c>
      <c r="C366" s="27" t="inlineStr">
        <is>
          <t>1.地面20mm大理石ST-03、铺贴、厚度及样式按物料书为准；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366"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366" s="27" t="inlineStr">
        <is>
          <t xml:space="preserve">执行《GB/T50854-2024房屋建筑与装饰工程工程量计算标准》，按设计图示尺寸
以面积计算。 </t>
        </is>
      </c>
      <c r="F366" s="28" t="inlineStr">
        <is>
          <t>m2</t>
        </is>
      </c>
      <c r="G366" s="61" t="n">
        <v>50.68</v>
      </c>
      <c r="H366" s="62" t="n">
        <v>218.75017</v>
      </c>
      <c r="I366" s="65" t="n"/>
      <c r="J366" s="62">
        <f>H366*(1-$I$4)</f>
        <v/>
      </c>
      <c r="K366" s="63">
        <f>G366*J366</f>
        <v/>
      </c>
      <c r="L366" s="33" t="inlineStr">
        <is>
          <t>石材</t>
        </is>
      </c>
      <c r="M366" s="64" t="n"/>
      <c r="N366" s="39" t="n">
        <v>1</v>
      </c>
      <c r="O366" t="n">
        <v>130</v>
      </c>
      <c r="P366" s="35" t="inlineStr">
        <is>
          <t>差:-88.75元 (-40.6%) 来源:售楼处</t>
        </is>
      </c>
      <c r="Q366" s="35" t="n"/>
      <c r="R366" s="35" t="n"/>
    </row>
    <row r="367" outlineLevel="2" ht="108" customFormat="1" customHeight="1" s="39">
      <c r="A367" s="37">
        <f>1+N(A366)</f>
        <v/>
      </c>
      <c r="B367" s="27" t="inlineStr">
        <is>
          <t>地面地砖 CT-01</t>
        </is>
      </c>
      <c r="C367" s="27" t="inlineStr">
        <is>
          <t>1.地面花砖CT-01；
2.10mm厚专用粘结剂；
3.80mm厚DS-M15干混砂浆找平；
4.基层清理；
5.含切边、倒角、拼接等处理；
6.包含完成该项内容所有工作及费用并满足设计图纸、规范等要求；</t>
        </is>
      </c>
      <c r="D367"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367" s="27" t="inlineStr">
        <is>
          <t xml:space="preserve">执行《GB/T50854-2024房屋建筑与装饰工程工程量计算标准》，按设计图示尺寸
以面积计算。 </t>
        </is>
      </c>
      <c r="F367" s="28" t="inlineStr">
        <is>
          <t>m2</t>
        </is>
      </c>
      <c r="G367" s="61" t="n">
        <v>240.24</v>
      </c>
      <c r="H367" s="62" t="n">
        <v>164.71148</v>
      </c>
      <c r="I367" s="65" t="n"/>
      <c r="J367" s="62">
        <f>H367*(1-$I$4)</f>
        <v/>
      </c>
      <c r="K367" s="63">
        <f>G367*J367</f>
        <v/>
      </c>
      <c r="L367" s="33" t="inlineStr">
        <is>
          <t>瓷砖</t>
        </is>
      </c>
      <c r="M367" s="64" t="n"/>
      <c r="N367" s="39" t="n">
        <v>1</v>
      </c>
      <c r="O367" t="n">
        <v>80</v>
      </c>
      <c r="P367" s="35" t="inlineStr">
        <is>
          <t>差:-84.71元 (-51.4%) 来源:售楼处</t>
        </is>
      </c>
      <c r="Q367" s="35" t="n"/>
      <c r="R367" s="35" t="n"/>
    </row>
    <row r="368" outlineLevel="2" ht="108" customFormat="1" customHeight="1" s="39">
      <c r="A368" s="37">
        <f>1+N(A367)</f>
        <v/>
      </c>
      <c r="B368" s="27" t="inlineStr">
        <is>
          <t>地面地砖拼花 CT-01.02</t>
        </is>
      </c>
      <c r="C368" s="27" t="inlineStr">
        <is>
          <t>1.地面地砖拼花 CT-01.02；
2.10mm厚专用粘结剂；
3.80mm厚DS-M15干混砂浆找平；
4.基层清理；
5.含切边、倒角、拼接等处理；
6.包含完成该项内容所有工作及费用并满足设计图纸、规范等要求；</t>
        </is>
      </c>
      <c r="D368"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368" s="27" t="inlineStr">
        <is>
          <t xml:space="preserve">执行《GB/T50854-2024房屋建筑与装饰工程工程量计算标准》，按设计图示尺寸
以面积计算。 </t>
        </is>
      </c>
      <c r="F368" s="28" t="inlineStr">
        <is>
          <t>m2</t>
        </is>
      </c>
      <c r="G368" s="61" t="n">
        <v>206.08</v>
      </c>
      <c r="H368" s="62" t="n">
        <v>235.51148</v>
      </c>
      <c r="I368" s="65" t="n"/>
      <c r="J368" s="62">
        <f>H368*(1-$I$4)</f>
        <v/>
      </c>
      <c r="K368" s="63">
        <f>G368*J368</f>
        <v/>
      </c>
      <c r="L368" s="33" t="inlineStr">
        <is>
          <t>瓷砖</t>
        </is>
      </c>
      <c r="M368" s="64" t="n"/>
      <c r="N368" s="39" t="n">
        <v>1</v>
      </c>
      <c r="O368" t="n">
        <v>80</v>
      </c>
      <c r="P368" s="35" t="inlineStr">
        <is>
          <t>差:-155.51元 (-66.0%) 来源:售楼处</t>
        </is>
      </c>
      <c r="Q368" s="35" t="n"/>
      <c r="R368" s="35" t="n"/>
    </row>
    <row r="369" outlineLevel="2" ht="108" customFormat="1" customHeight="1" s="39">
      <c r="A369" s="37">
        <f>1+N(A368)</f>
        <v/>
      </c>
      <c r="B369" s="27" t="inlineStr">
        <is>
          <t>实心铜条5mm宽</t>
        </is>
      </c>
      <c r="C369" s="27" t="inlineStr">
        <is>
          <t>1.实心铜条5mm宽；
2.包含完成该项内容所有工作及费用并满足设计图纸、规范等要求；</t>
        </is>
      </c>
      <c r="D369"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369" s="27" t="inlineStr">
        <is>
          <t>按设计图示尺寸以长度计算。</t>
        </is>
      </c>
      <c r="F369" s="28" t="inlineStr">
        <is>
          <t>m</t>
        </is>
      </c>
      <c r="G369" s="61" t="n">
        <v>316.4</v>
      </c>
      <c r="H369" s="62" t="n">
        <v>89.267</v>
      </c>
      <c r="I369" s="65" t="n"/>
      <c r="J369" s="62">
        <f>H369*(1-$I$4)</f>
        <v/>
      </c>
      <c r="K369" s="63">
        <f>G369*J369</f>
        <v/>
      </c>
      <c r="L369" s="33" t="inlineStr">
        <is>
          <t>/</t>
        </is>
      </c>
      <c r="M369" s="64" t="n"/>
      <c r="N369" s="39" t="n">
        <v>1</v>
      </c>
      <c r="O369" t="n">
        <v>12</v>
      </c>
      <c r="P369" s="35" t="inlineStr">
        <is>
          <t>差:-77.27元 (-86.6%) 来源:售楼处</t>
        </is>
      </c>
      <c r="Q369" s="35" t="n"/>
      <c r="R369" s="35" t="n"/>
    </row>
    <row r="370" outlineLevel="2" ht="108" customFormat="1" customHeight="1" s="39">
      <c r="A370" s="37">
        <f>1+N(A369)</f>
        <v/>
      </c>
      <c r="B370" s="27" t="inlineStr">
        <is>
          <t>地面石材晶面处理</t>
        </is>
      </c>
      <c r="C370" s="27" t="inlineStr">
        <is>
          <t>1.石材结晶处理(结晶水及石材保养剂,中性清洁剂)；
2.包含完成该项内容所有工作及费用并满足设计图纸、规范等要求；</t>
        </is>
      </c>
      <c r="D370"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370" s="27" t="inlineStr">
        <is>
          <t xml:space="preserve">执行《GB/T50854-2024房屋建筑与装饰工程工程量计算标准》，按设计图示尺寸
以面积计算。 </t>
        </is>
      </c>
      <c r="F370" s="28" t="inlineStr">
        <is>
          <t>m2</t>
        </is>
      </c>
      <c r="G370" s="61" t="n">
        <v>50.68</v>
      </c>
      <c r="H370" s="62" t="n">
        <v>64.90000000000001</v>
      </c>
      <c r="I370" s="65" t="n"/>
      <c r="J370" s="62">
        <f>H370*(1-$I$4)</f>
        <v/>
      </c>
      <c r="K370" s="63">
        <f>G370*J370</f>
        <v/>
      </c>
      <c r="L370" s="33" t="inlineStr">
        <is>
          <t>/</t>
        </is>
      </c>
      <c r="M370" s="64" t="n"/>
      <c r="N370" s="39" t="n">
        <v>1</v>
      </c>
      <c r="O370" t="n">
        <v>40</v>
      </c>
      <c r="P370" s="35" t="inlineStr">
        <is>
          <t>差:-24.90元 (-38.4%) 来源:售楼处</t>
        </is>
      </c>
      <c r="Q370" s="35" t="n"/>
      <c r="R370" s="35" t="n"/>
    </row>
    <row r="371" outlineLevel="1" customFormat="1" s="39">
      <c r="A371" s="36" t="n"/>
      <c r="B371" s="27" t="inlineStr">
        <is>
          <t>墙柱面工程</t>
        </is>
      </c>
      <c r="C371" s="27" t="n"/>
      <c r="D371" s="27" t="n"/>
      <c r="E371" s="27" t="n"/>
      <c r="F371" s="28" t="n"/>
      <c r="G371" s="61" t="n"/>
      <c r="H371" s="62" t="n"/>
      <c r="I371" s="65" t="n"/>
      <c r="J371" s="62" t="n"/>
      <c r="K371" s="63" t="n"/>
      <c r="L371" s="33" t="n"/>
      <c r="M371" s="64" t="n"/>
      <c r="P371" s="35" t="n"/>
      <c r="Q371" s="35" t="n"/>
      <c r="R371" s="35" t="n"/>
    </row>
    <row r="372" outlineLevel="2" ht="180" customFormat="1" customHeight="1" s="39">
      <c r="A372" s="37">
        <f>1+N(A371)</f>
        <v/>
      </c>
      <c r="B372" s="27" t="inlineStr">
        <is>
          <t>墙面WD-08摩素板</t>
        </is>
      </c>
      <c r="C372" s="27" t="inlineStr">
        <is>
          <t>1、墙面WD-08摩素板(结构胶固定)
2、12厘玻镁板基层
3、膨胀螺栓、轻钢龙骨(钢结构)基层找平
4、包含完成该项内容所有工作及费用并满足设计图纸、规范等要求</t>
        </is>
      </c>
      <c r="D372"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372" s="27" t="inlineStr">
        <is>
          <t>执行《GB/T50854-2024房屋建筑与装饰工程工程量计算标准》，按设计图示饰面外围尺寸
以面积计算。 扣除门窗洞口面积，不扣除单个面积≤0.3㎡的孔洞所占面积。</t>
        </is>
      </c>
      <c r="F372" s="28" t="inlineStr">
        <is>
          <t>m2</t>
        </is>
      </c>
      <c r="G372" s="61" t="n">
        <v>50.94</v>
      </c>
      <c r="H372" s="62" t="n">
        <v>186.44</v>
      </c>
      <c r="I372" s="65" t="n"/>
      <c r="J372" s="62">
        <f>H372*(1-$I$4)</f>
        <v/>
      </c>
      <c r="K372" s="63">
        <f>G372*J372</f>
        <v/>
      </c>
      <c r="L372" s="33" t="inlineStr">
        <is>
          <t>摩素板</t>
        </is>
      </c>
      <c r="M372" s="64" t="n"/>
      <c r="N372" s="39" t="n">
        <v>1</v>
      </c>
      <c r="O372" t="n">
        <v>35</v>
      </c>
      <c r="P372" s="35" t="inlineStr">
        <is>
          <t>差:-151.44元 (-81.2%) 来源:售楼处</t>
        </is>
      </c>
      <c r="Q372" s="35" t="n"/>
      <c r="R372" s="35" t="n"/>
    </row>
    <row r="373" outlineLevel="2" ht="180" customFormat="1" customHeight="1" s="39">
      <c r="A373" s="37">
        <f>1+N(A372)</f>
        <v/>
      </c>
      <c r="B373" s="27" t="inlineStr">
        <is>
          <t>WD-07摩素板</t>
        </is>
      </c>
      <c r="C373" s="27" t="inlineStr">
        <is>
          <t>1、墙面WD-07摩素板(结构胶固定)
2、12厘玻镁板基层
3、膨胀螺栓、轻钢龙骨(钢结构)基层找平
4、包含完成该项内容所有工作及费用并满足设计图纸、规范等要求</t>
        </is>
      </c>
      <c r="D373"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373" s="27" t="inlineStr">
        <is>
          <t>执行《GB/T50854-2024房屋建筑与装饰工程工程量计算标准》，按设计图示饰面外围尺寸以面积计算。 扣除门窗洞口面积，不扣除单个面积≤0.3㎡的孔洞所占面积。</t>
        </is>
      </c>
      <c r="F373" s="28" t="inlineStr">
        <is>
          <t>m2</t>
        </is>
      </c>
      <c r="G373" s="61" t="n">
        <v>304.06</v>
      </c>
      <c r="H373" s="62" t="n">
        <v>186.44</v>
      </c>
      <c r="I373" s="65" t="n"/>
      <c r="J373" s="62">
        <f>H373*(1-$I$4)</f>
        <v/>
      </c>
      <c r="K373" s="63">
        <f>G373*J373</f>
        <v/>
      </c>
      <c r="L373" s="33" t="inlineStr">
        <is>
          <t>摩素板</t>
        </is>
      </c>
      <c r="M373" s="64" t="n"/>
      <c r="N373" s="39" t="n">
        <v>1</v>
      </c>
      <c r="O373" t="n">
        <v>35</v>
      </c>
      <c r="P373" s="35" t="inlineStr">
        <is>
          <t>差:-151.44元 (-81.2%) 来源:售楼处</t>
        </is>
      </c>
      <c r="Q373" s="35" t="n"/>
      <c r="R373" s="35" t="n"/>
    </row>
    <row r="374" outlineLevel="2" ht="144" customFormat="1" customHeight="1" s="39">
      <c r="A374" s="37">
        <f>1+N(A373)</f>
        <v/>
      </c>
      <c r="B374" s="27" t="inlineStr">
        <is>
          <t>墙面PT-01肌理无机涂料</t>
        </is>
      </c>
      <c r="C374" s="27" t="inlineStr">
        <is>
          <t>1、墙面PT-01肌理无机涂料(底漆1遍，面漆2遍)
2、刮白胶腻子找平二遍，打磨
3、阴、阳角护角收边
4、双层9.5mm纸面石膏板
5、轻钢龙骨基层找平
6、包含完成该项内容所有工作及费用并满足设计图纸、规范等要求</t>
        </is>
      </c>
      <c r="D374"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374" s="27" t="inlineStr">
        <is>
          <t xml:space="preserve">执行《GB/T50854-2024房屋建筑与装饰工程工程量计算标准》，按设计图示尺寸
以面积计算。 </t>
        </is>
      </c>
      <c r="F374" s="28" t="inlineStr">
        <is>
          <t>m2</t>
        </is>
      </c>
      <c r="G374" s="61" t="n">
        <v>512.9400000000001</v>
      </c>
      <c r="H374" s="62" t="n">
        <v>207.68</v>
      </c>
      <c r="I374" s="65" t="n"/>
      <c r="J374" s="62">
        <f>H374*(1-$I$4)</f>
        <v/>
      </c>
      <c r="K374" s="63">
        <f>G374*J374</f>
        <v/>
      </c>
      <c r="L374" s="33" t="inlineStr">
        <is>
          <t>涂料</t>
        </is>
      </c>
      <c r="M374" s="64" t="n"/>
      <c r="N374" s="39" t="n">
        <v>1</v>
      </c>
      <c r="O374" t="n">
        <v>110</v>
      </c>
      <c r="P374" s="35" t="inlineStr">
        <is>
          <t>差:-97.68元 (-47.0%) 来源:售楼处</t>
        </is>
      </c>
      <c r="Q374" s="35" t="n"/>
      <c r="R374" s="35" t="n"/>
    </row>
    <row r="375" outlineLevel="2" ht="180" customFormat="1" customHeight="1" s="39">
      <c r="A375" s="37">
        <f>1+N(A374)</f>
        <v/>
      </c>
      <c r="B375" s="27" t="inlineStr">
        <is>
          <t>MT-01古铜不锈钢饰面</t>
        </is>
      </c>
      <c r="C375" s="27" t="inlineStr">
        <is>
          <t>1、1.2mm厚 MT-01古铜不锈钢饰面，结构胶固定
2、12厘玻镁板基层
3、包含完成该项内容所有工作及费用并满足设计图纸、规范等要求</t>
        </is>
      </c>
      <c r="D375"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375" s="27" t="inlineStr">
        <is>
          <t>执行《GB/T50854-2024房屋建筑与装饰工程工程量计算标准》，按设计图示饰面外围尺寸
以面积计算。 扣除门窗洞口面积，不扣除单个面积≤0.3㎡的孔洞所占面积。</t>
        </is>
      </c>
      <c r="F375" s="28" t="inlineStr">
        <is>
          <t>m2</t>
        </is>
      </c>
      <c r="G375" s="61" t="n">
        <v>55.59</v>
      </c>
      <c r="H375" s="62" t="n">
        <v>247.8</v>
      </c>
      <c r="I375" s="65" t="n"/>
      <c r="J375" s="62">
        <f>H375*(1-$I$4)</f>
        <v/>
      </c>
      <c r="K375" s="63">
        <f>G375*J375</f>
        <v/>
      </c>
      <c r="L375" s="33" t="inlineStr">
        <is>
          <t>不锈钢饰面</t>
        </is>
      </c>
      <c r="M375" s="64" t="n"/>
      <c r="N375" s="39" t="n">
        <v>1</v>
      </c>
      <c r="O375" t="n">
        <v>110</v>
      </c>
      <c r="P375" s="35" t="inlineStr">
        <is>
          <t>差:-137.80元 (-55.6%) 来源:售楼处</t>
        </is>
      </c>
      <c r="Q375" s="35" t="n"/>
      <c r="R375" s="35" t="n"/>
    </row>
    <row r="376" outlineLevel="2" ht="144" customFormat="1" customHeight="1" s="39">
      <c r="A376" s="37">
        <f>1+N(A375)</f>
        <v/>
      </c>
      <c r="B376" s="27" t="inlineStr">
        <is>
          <t>MT-04手敲铜不锈钢饰面</t>
        </is>
      </c>
      <c r="C376" s="27" t="inlineStr">
        <is>
          <t>1、1.2mm厚 MT-04手敲铜不锈钢饰面，结构胶固定
2、12厘玻镁板基层
3、包含完成该项内容所有工作及费用并满足设计图纸、规范等要求</t>
        </is>
      </c>
      <c r="D376"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376" s="27" t="inlineStr">
        <is>
          <t>执行《GB/T50854-2024房屋建筑与装饰工程工程量计算标准》，按设计图示饰面外围尺寸以面积计算。</t>
        </is>
      </c>
      <c r="F376" s="28" t="inlineStr">
        <is>
          <t>m2</t>
        </is>
      </c>
      <c r="G376" s="61" t="n">
        <v>58.13</v>
      </c>
      <c r="H376" s="62" t="n">
        <v>247.8</v>
      </c>
      <c r="I376" s="65" t="n"/>
      <c r="J376" s="62">
        <f>H376*(1-$I$4)</f>
        <v/>
      </c>
      <c r="K376" s="63">
        <f>G376*J376</f>
        <v/>
      </c>
      <c r="L376" s="33" t="inlineStr">
        <is>
          <t>不锈钢饰面</t>
        </is>
      </c>
      <c r="M376" s="64" t="n"/>
      <c r="N376" s="39" t="n">
        <v>1</v>
      </c>
      <c r="O376" t="n">
        <v>110</v>
      </c>
      <c r="P376" s="35" t="inlineStr">
        <is>
          <t>差:-137.80元 (-55.6%) 来源:售楼处</t>
        </is>
      </c>
      <c r="Q376" s="35" t="n"/>
      <c r="R376" s="35" t="n"/>
    </row>
    <row r="377" outlineLevel="2" ht="144" customFormat="1" customHeight="1" s="39">
      <c r="A377" s="37">
        <f>1+N(A376)</f>
        <v/>
      </c>
      <c r="B377" s="27" t="inlineStr">
        <is>
          <t>SF-03透光片</t>
        </is>
      </c>
      <c r="C377" s="27" t="inlineStr">
        <is>
          <t>1、SF-03透光片，结构胶固定
2、12厘玻镁板基层
3、包含完成该项内容所有工作及费用并满足设计图纸、规范等要求</t>
        </is>
      </c>
      <c r="D377"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377" s="27" t="inlineStr">
        <is>
          <t>执行《GB/T50854-2024房屋建筑与装饰工程工程量计算标准》，按设计图示饰面外围尺寸以面积计算。</t>
        </is>
      </c>
      <c r="F377" s="28" t="inlineStr">
        <is>
          <t>m2</t>
        </is>
      </c>
      <c r="G377" s="61" t="n">
        <v>1.58</v>
      </c>
      <c r="H377" s="62" t="n">
        <v>812.312</v>
      </c>
      <c r="I377" s="65" t="n"/>
      <c r="J377" s="62">
        <f>H377*(1-$I$4)</f>
        <v/>
      </c>
      <c r="K377" s="63">
        <f>G377*J377</f>
        <v/>
      </c>
      <c r="L377" s="33" t="inlineStr">
        <is>
          <t>/</t>
        </is>
      </c>
      <c r="M377" s="64" t="n"/>
      <c r="N377" s="39" t="n">
        <v>1</v>
      </c>
      <c r="O377" t="n">
        <v>150</v>
      </c>
      <c r="P377" s="35" t="inlineStr">
        <is>
          <t>差:-662.31元 (-81.5%) 来源:售楼处</t>
        </is>
      </c>
      <c r="Q377" s="35" t="n"/>
      <c r="R377" s="35" t="n"/>
    </row>
    <row r="378" outlineLevel="2" ht="180" customFormat="1" customHeight="1" s="39">
      <c r="A378" s="37">
        <f>1+N(A377)</f>
        <v/>
      </c>
      <c r="B378" s="27" t="inlineStr">
        <is>
          <t>电梯不锈钢门头</t>
        </is>
      </c>
      <c r="C378" s="27" t="inlineStr">
        <is>
          <t>1、1.2mm厚 MT-01古铜不锈钢门头，结构胶固定
2、12mm阻燃板，轻钢副龙骨@400
3、电梯门顶内置亚克力，内部面层刮白处理
4、工程量以展开面积计算
5、包含完成该项内容所有工作及费用并满足设计图纸、规范等要求</t>
        </is>
      </c>
      <c r="D378"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378" s="27" t="inlineStr">
        <is>
          <t>执行《GB/T50854-2024房屋建筑与装饰工程工程量计算标准》，按设计图示饰面外围尺寸
以面积计算。 扣除门窗洞口面积，不扣除单个面积≤0.3㎡的孔洞所占面积。</t>
        </is>
      </c>
      <c r="F378" s="28" t="inlineStr">
        <is>
          <t>m2</t>
        </is>
      </c>
      <c r="G378" s="61" t="n">
        <v>20.33</v>
      </c>
      <c r="H378" s="62" t="n">
        <v>812.961</v>
      </c>
      <c r="I378" s="65" t="n"/>
      <c r="J378" s="62">
        <f>H378*(1-$I$4)</f>
        <v/>
      </c>
      <c r="K378" s="63">
        <f>G378*J378</f>
        <v/>
      </c>
      <c r="L378" s="33" t="inlineStr">
        <is>
          <t>/</t>
        </is>
      </c>
      <c r="M378" s="64" t="n"/>
      <c r="N378" s="39" t="n">
        <v>1</v>
      </c>
      <c r="O378" t="n">
        <v>110</v>
      </c>
      <c r="P378" s="35" t="inlineStr">
        <is>
          <t>差:-702.96元 (-86.5%) 来源:售楼处</t>
        </is>
      </c>
      <c r="Q378" s="35" t="n"/>
      <c r="R378" s="35" t="n"/>
    </row>
    <row r="379" outlineLevel="2" ht="144" customFormat="1" customHeight="1" s="39">
      <c r="A379" s="37">
        <f>1+N(A378)</f>
        <v/>
      </c>
      <c r="B379" s="27" t="inlineStr">
        <is>
          <t>MT-01古铜不锈钢踢脚线（高20mm）</t>
        </is>
      </c>
      <c r="C379" s="27" t="inlineStr">
        <is>
          <t>1、1.2mm厚 MT-01古铜不锈钢踢脚线（高20mm，展开面为46mm），结构胶固定
2、9厘玻镁板基层
3、包含完成该项内容所有工作及费用并满足设计图纸、规范等要求</t>
        </is>
      </c>
      <c r="D379"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379" s="27" t="inlineStr">
        <is>
          <t>按设计图示尺寸以长度计算。</t>
        </is>
      </c>
      <c r="F379" s="28" t="inlineStr">
        <is>
          <t>m</t>
        </is>
      </c>
      <c r="G379" s="61" t="n">
        <v>429.08</v>
      </c>
      <c r="H379" s="62" t="n">
        <v>31.86</v>
      </c>
      <c r="I379" s="65" t="n"/>
      <c r="J379" s="62">
        <f>H379*(1-$I$4)</f>
        <v/>
      </c>
      <c r="K379" s="63">
        <f>G379*J379</f>
        <v/>
      </c>
      <c r="L379" s="33" t="inlineStr">
        <is>
          <t>不锈钢踢脚线</t>
        </is>
      </c>
      <c r="M379" s="64" t="n"/>
      <c r="N379" s="39" t="n">
        <v>1</v>
      </c>
      <c r="O379" t="n">
        <v>12</v>
      </c>
      <c r="P379" s="35" t="inlineStr">
        <is>
          <t>差:-19.86元 (-62.3%) 来源:售楼处</t>
        </is>
      </c>
      <c r="Q379" s="35" t="n"/>
      <c r="R379" s="35" t="n"/>
    </row>
    <row r="380" outlineLevel="2" ht="144" customFormat="1" customHeight="1" s="39">
      <c r="A380" s="37">
        <f>1+N(A379)</f>
        <v/>
      </c>
      <c r="B380" s="27" t="inlineStr">
        <is>
          <t>MT-01古铜不锈钢线条（展开面为32mm）</t>
        </is>
      </c>
      <c r="C380" s="27" t="inlineStr">
        <is>
          <t>1、1.2mm厚 MT-01古铜不锈钢线条（展开面为32mm），结构胶固定
2、12厘玻镁板基层
3、包含完成该项内容所有工作及费用并满足设计图纸、规范等要求</t>
        </is>
      </c>
      <c r="D380"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380" s="27" t="inlineStr">
        <is>
          <t>按设计图示尺寸以长度计算。</t>
        </is>
      </c>
      <c r="F380" s="28" t="inlineStr">
        <is>
          <t>m</t>
        </is>
      </c>
      <c r="G380" s="61" t="n">
        <v>662.48</v>
      </c>
      <c r="H380" s="62" t="n">
        <v>56.362464</v>
      </c>
      <c r="I380" s="65" t="n"/>
      <c r="J380" s="62">
        <f>H380*(1-$I$4)</f>
        <v/>
      </c>
      <c r="K380" s="63">
        <f>G380*J380</f>
        <v/>
      </c>
      <c r="L380" s="33" t="inlineStr">
        <is>
          <t>/</t>
        </is>
      </c>
      <c r="M380" s="64" t="n"/>
      <c r="N380" s="39" t="n">
        <v>1</v>
      </c>
      <c r="O380" t="n">
        <v>15</v>
      </c>
      <c r="P380" s="35" t="inlineStr">
        <is>
          <t>差:-41.36元 (-73.4%) 来源:售楼处</t>
        </is>
      </c>
      <c r="Q380" s="35" t="n"/>
      <c r="R380" s="35" t="n"/>
    </row>
    <row r="381" outlineLevel="2" ht="144" customFormat="1" customHeight="1" s="39">
      <c r="A381" s="37">
        <f>1+N(A380)</f>
        <v/>
      </c>
      <c r="B381" s="27" t="inlineStr">
        <is>
          <t>MT-01古铜不锈钢线条（展开面为33mm）</t>
        </is>
      </c>
      <c r="C381" s="27" t="inlineStr">
        <is>
          <t>1、1.2mm厚 MT-01古铜不锈钢线条（展开面为33mm），结构胶固定
2、12厘玻镁板基层
3、包含完成该项内容所有工作及费用并满足设计图纸、规范等要求</t>
        </is>
      </c>
      <c r="D381"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381" s="27" t="inlineStr">
        <is>
          <t>按设计图示尺寸以长度计算。</t>
        </is>
      </c>
      <c r="F381" s="28" t="inlineStr">
        <is>
          <t>m</t>
        </is>
      </c>
      <c r="G381" s="61" t="n">
        <v>113.12</v>
      </c>
      <c r="H381" s="62" t="n">
        <v>57.128166</v>
      </c>
      <c r="I381" s="65" t="n"/>
      <c r="J381" s="62">
        <f>H381*(1-$I$4)</f>
        <v/>
      </c>
      <c r="K381" s="63">
        <f>G381*J381</f>
        <v/>
      </c>
      <c r="L381" s="33" t="inlineStr">
        <is>
          <t>/</t>
        </is>
      </c>
      <c r="M381" s="64" t="n"/>
      <c r="N381" s="39" t="n">
        <v>1</v>
      </c>
      <c r="O381" t="n">
        <v>15</v>
      </c>
      <c r="P381" s="35" t="inlineStr">
        <is>
          <t>差:-42.13元 (-73.7%) 来源:售楼处</t>
        </is>
      </c>
      <c r="Q381" s="35" t="n"/>
      <c r="R381" s="35" t="n"/>
    </row>
    <row r="382" outlineLevel="2" ht="144" customFormat="1" customHeight="1" s="39">
      <c r="A382" s="37">
        <f>1+N(A381)</f>
        <v/>
      </c>
      <c r="B382" s="27" t="inlineStr">
        <is>
          <t>MT-01古铜不锈钢顶部收口条（展开面为41mm）</t>
        </is>
      </c>
      <c r="C382" s="27" t="inlineStr">
        <is>
          <t>1、1.2mm厚 MT-01古铜不锈钢顶部收口条（展开面为41mm），结构胶固定
2、9厘玻镁板基层
3、包含完成该项内容所有工作及费用并满足设计图纸、规范等要求</t>
        </is>
      </c>
      <c r="D382"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382" s="27" t="inlineStr">
        <is>
          <t>按设计图示尺寸以长度计算。</t>
        </is>
      </c>
      <c r="F382" s="28" t="inlineStr">
        <is>
          <t>m</t>
        </is>
      </c>
      <c r="G382" s="61" t="n">
        <v>429.08</v>
      </c>
      <c r="H382" s="62" t="n">
        <v>64.24509999999999</v>
      </c>
      <c r="I382" s="65" t="n"/>
      <c r="J382" s="62">
        <f>H382*(1-$I$4)</f>
        <v/>
      </c>
      <c r="K382" s="63">
        <f>G382*J382</f>
        <v/>
      </c>
      <c r="L382" s="33" t="inlineStr">
        <is>
          <t>/</t>
        </is>
      </c>
      <c r="M382" s="64" t="n"/>
      <c r="N382" s="39" t="n">
        <v>1</v>
      </c>
      <c r="O382" t="n">
        <v>12</v>
      </c>
      <c r="P382" s="35" t="inlineStr">
        <is>
          <t>差:-52.25元 (-81.3%) 来源:售楼处</t>
        </is>
      </c>
      <c r="Q382" s="35" t="n"/>
      <c r="R382" s="35" t="n"/>
    </row>
    <row r="383" outlineLevel="2" ht="72" customFormat="1" customHeight="1" s="39">
      <c r="A383" s="37">
        <f>1+N(A382)</f>
        <v/>
      </c>
      <c r="B383" s="27" t="inlineStr">
        <is>
          <t>MT-01古铜不锈钢窗套（展开面为95mm）</t>
        </is>
      </c>
      <c r="C383" s="27" t="inlineStr">
        <is>
          <t>1、1.2mm厚 MT-01古铜不锈钢窗套（展开面为95mm），结构胶固定
2、9厘玻镁板基层
3、包含完成该项内容所有工作及费用并满足设计图纸、规范等要求</t>
        </is>
      </c>
      <c r="D383" s="27" t="inlineStr">
        <is>
          <t>自现有现场条件下按照合同约定范围、图纸（含设计变更）及甲方要求内容以及规范、标准、相关做法等要求完成并达到总包合同全部目标的全部工作内容。</t>
        </is>
      </c>
      <c r="E383" s="27" t="inlineStr">
        <is>
          <t>以最终验收合格的工程量计算</t>
        </is>
      </c>
      <c r="F383" s="28" t="inlineStr">
        <is>
          <t>m2</t>
        </is>
      </c>
      <c r="G383" s="61" t="n">
        <v>20.49</v>
      </c>
      <c r="H383" s="62" t="n">
        <v>630.651</v>
      </c>
      <c r="I383" s="65" t="n"/>
      <c r="J383" s="62">
        <f>H383*(1-$I$4)</f>
        <v/>
      </c>
      <c r="K383" s="63">
        <f>G383*J383</f>
        <v/>
      </c>
      <c r="L383" s="33" t="inlineStr">
        <is>
          <t>/</t>
        </is>
      </c>
      <c r="M383" s="64" t="n"/>
      <c r="N383" s="39" t="n">
        <v>1</v>
      </c>
      <c r="O383" t="n">
        <v>110</v>
      </c>
      <c r="P383" s="35" t="inlineStr">
        <is>
          <t>差:-520.65元 (-82.6%) 来源:售楼处</t>
        </is>
      </c>
      <c r="Q383" s="35" t="n"/>
      <c r="R383" s="35" t="n"/>
    </row>
    <row r="384" outlineLevel="1" customFormat="1" s="39">
      <c r="A384" s="36" t="n"/>
      <c r="B384" s="27" t="inlineStr">
        <is>
          <t>天花工程</t>
        </is>
      </c>
      <c r="C384" s="27" t="n"/>
      <c r="D384" s="27" t="n"/>
      <c r="E384" s="27" t="n"/>
      <c r="F384" s="28" t="n"/>
      <c r="G384" s="61" t="n"/>
      <c r="H384" s="62" t="n"/>
      <c r="I384" s="65" t="n"/>
      <c r="J384" s="62" t="n"/>
      <c r="K384" s="63" t="n"/>
      <c r="L384" s="33" t="n"/>
      <c r="M384" s="64" t="n"/>
      <c r="P384" s="35" t="n"/>
      <c r="Q384" s="35" t="n"/>
      <c r="R384" s="35" t="n"/>
    </row>
    <row r="385" outlineLevel="2" ht="192" customFormat="1" customHeight="1" s="39">
      <c r="A385" s="37">
        <f>1+N(A384)</f>
        <v/>
      </c>
      <c r="B385" s="27" t="inlineStr">
        <is>
          <t>造型石膏板吊顶</t>
        </is>
      </c>
      <c r="C385" s="27" t="inlineStr">
        <is>
          <t>1.60系列轻钢主龙骨@900，60系列轻钢副龙骨@400，60系列横撑龙骨@600，08螺纹吊杆@900不上人天花吊顶（投影面计算）
2.玻镁板、双层9.5厚石膏板基层，含开孔、检修口、10*10凹槽等费用；
3.含除灯槽外的侧面高差及其连接件、吊件；
4.包含完成该项内容所有工作及费用并满足设计图纸、规范等要求；</t>
        </is>
      </c>
      <c r="D385" s="27" t="inlineStr">
        <is>
          <t>1.基层清理。
2.弹线定位、排版。
3.吊杆及连接件安装调平、收口及密封处理。
4.材料切割处理找平、石膏板安装及调整，打胶密封与清理.
5.收口及其他处理：检修口等制作安装、收边收口、配合预留安装、机电等专业孔洞及孔洞收口处理。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385" s="27" t="inlineStr">
        <is>
          <t>按设计图示尺寸以水平投影面积计算。不扣除间壁墙、检查口、附墙烟囱、柱垛和管道所占面积,扣除单个&gt;0.3m3的孔洞、非密拼吊顶空隙所占的面积、独立柱及与天棚相连的窗帘盒所占的面积。</t>
        </is>
      </c>
      <c r="F385" s="28" t="inlineStr">
        <is>
          <t>m2</t>
        </is>
      </c>
      <c r="G385" s="61" t="n">
        <v>446.32</v>
      </c>
      <c r="H385" s="62" t="n">
        <v>150.712222222222</v>
      </c>
      <c r="I385" s="65" t="n"/>
      <c r="J385" s="62">
        <f>H385*(1-$I$4)</f>
        <v/>
      </c>
      <c r="K385" s="63">
        <f>G385*J385</f>
        <v/>
      </c>
      <c r="L385" s="33" t="inlineStr">
        <is>
          <t>/</t>
        </is>
      </c>
      <c r="M385" s="64" t="n"/>
      <c r="N385" s="39" t="n">
        <v>1</v>
      </c>
      <c r="O385" t="n">
        <v>70</v>
      </c>
      <c r="P385" s="35" t="inlineStr">
        <is>
          <t>差:-80.71元 (-53.6%) 来源:售楼处</t>
        </is>
      </c>
      <c r="Q385" s="35" t="n"/>
      <c r="R385" s="35" t="n"/>
    </row>
    <row r="386" outlineLevel="2" ht="72" customFormat="1" customHeight="1" s="39">
      <c r="A386" s="37">
        <f>1+N(A385)</f>
        <v/>
      </c>
      <c r="B386" s="27" t="inlineStr">
        <is>
          <t>灯槽（100mm*200mm）</t>
        </is>
      </c>
      <c r="C386" s="27" t="inlineStr">
        <is>
          <t>1.灯槽（100mm*200mm）；
2.双层板：9mm玻镁板、9.5厚石膏板；
3.包含完成该项内容所有工作及费用并满足设计图纸、规范等要求；</t>
        </is>
      </c>
      <c r="D386" s="27" t="inlineStr">
        <is>
          <t>自现有现场条件下按照合同约定范围、图纸（含设计变更）及甲方要求内容以及规范、标准、相关做法等要求完成并达到总包合同全部目标的全部工作内容。</t>
        </is>
      </c>
      <c r="E386" s="27" t="inlineStr">
        <is>
          <t>依据经承包人确认的施工部位,按设计图示尺寸以延长米计算。</t>
        </is>
      </c>
      <c r="F386" s="28" t="inlineStr">
        <is>
          <t>m</t>
        </is>
      </c>
      <c r="G386" s="61" t="n">
        <v>254.8</v>
      </c>
      <c r="H386" s="62" t="n">
        <v>112.159</v>
      </c>
      <c r="I386" s="65" t="n"/>
      <c r="J386" s="62">
        <f>H386*(1-$I$4)</f>
        <v/>
      </c>
      <c r="K386" s="63">
        <f>G386*J386</f>
        <v/>
      </c>
      <c r="L386" s="33" t="inlineStr">
        <is>
          <t>/</t>
        </is>
      </c>
      <c r="M386" s="64" t="n"/>
      <c r="N386" s="39" t="n">
        <v>1</v>
      </c>
      <c r="O386" t="n">
        <v>50</v>
      </c>
      <c r="P386" s="35" t="inlineStr">
        <is>
          <t>差:-62.16元 (-55.4%) 来源:售楼处</t>
        </is>
      </c>
      <c r="Q386" s="35" t="n"/>
      <c r="R386" s="35" t="n"/>
    </row>
    <row r="387" outlineLevel="2" ht="72" customFormat="1" customHeight="1" s="39">
      <c r="A387" s="37">
        <f>1+N(A386)</f>
        <v/>
      </c>
      <c r="B387" s="27" t="inlineStr">
        <is>
          <t>成品石膏线条</t>
        </is>
      </c>
      <c r="C387" s="27" t="inlineStr">
        <is>
          <t>1.成品石膏线条（50mm*50mm）；
2.按图纸造型；
3.包含完成该项内容所有工作及费用并满足设计图纸、规范等要求；</t>
        </is>
      </c>
      <c r="D387" s="27" t="inlineStr">
        <is>
          <t>自现有现场条件下按照合同约定范围、图纸（含设计变更）及甲方要求内容以及规范、标准、相关做法等要求完成并达到总包合同全部目标的全部工作内容。</t>
        </is>
      </c>
      <c r="E387" s="27" t="inlineStr">
        <is>
          <t>依据经承包人确认的施工部位,按设计图示尺寸以延长米计算。</t>
        </is>
      </c>
      <c r="F387" s="28" t="inlineStr">
        <is>
          <t>m</t>
        </is>
      </c>
      <c r="G387" s="61" t="n">
        <v>254.8</v>
      </c>
      <c r="H387" s="62" t="n">
        <v>20.06</v>
      </c>
      <c r="I387" s="65" t="n"/>
      <c r="J387" s="62">
        <f>H387*(1-$I$4)</f>
        <v/>
      </c>
      <c r="K387" s="63">
        <f>G387*J387</f>
        <v/>
      </c>
      <c r="L387" s="33" t="inlineStr">
        <is>
          <t>成品石膏线条</t>
        </is>
      </c>
      <c r="M387" s="64" t="n"/>
      <c r="N387" s="39" t="n">
        <v>1</v>
      </c>
      <c r="O387" t="n">
        <v>18</v>
      </c>
      <c r="P387" s="35" t="inlineStr">
        <is>
          <t>差:-2.06元 (-10.3%) 来源:售楼处</t>
        </is>
      </c>
      <c r="Q387" s="35" t="n"/>
      <c r="R387" s="35" t="n"/>
    </row>
    <row r="388" outlineLevel="2" ht="192" customFormat="1" customHeight="1" s="39">
      <c r="A388" s="37">
        <f>1+N(A387)</f>
        <v/>
      </c>
      <c r="B388" s="27" t="inlineStr">
        <is>
          <t>天花肌理无机涂料PT-01</t>
        </is>
      </c>
      <c r="C388" s="27" t="inlineStr">
        <is>
          <t>1.天花肌理无机涂料PT-01；
2.刮腻子二遍磨平；
3.底漆1遍，面漆2遍；
4.包含完成该项内容所有工作及费用并满足设计图纸、规范等要求；</t>
        </is>
      </c>
      <c r="D388" s="27" t="inlineStr">
        <is>
          <t>包括但不限于材料计划、采购、卸车倒运、保管、检验试验费、测量放线，包含四周阴角找平直、含天棚四周阴角找平直，打磨，简易脚手架搭拆及操作平台、升降机，基层清理、打磨平整、底层找补、满刮涂料（含阴阳角塑料条）、涂料打磨、补遗处理、配合其他分包施工、完工后场清、成品保护、保修等直到达到竣工交付标准的全部工作内容。包括所有为完成工作所需的小型机具；包括所有为完成工作所需的附属工作；包括但不限于以上内容。</t>
        </is>
      </c>
      <c r="E388" s="27" t="inlineStr">
        <is>
          <t>执行《GB/T50854-2024房屋建筑与装饰工程工程量计算标准》，按设计图示尺寸以面积计算。扣除0.3平方米以上洞口的面积；梁侧面及檐口天棚并入天棚计算；以设计图纸和技术交底为基础</t>
        </is>
      </c>
      <c r="F388" s="28" t="inlineStr">
        <is>
          <t>m2</t>
        </is>
      </c>
      <c r="G388" s="61" t="n">
        <v>522.76</v>
      </c>
      <c r="H388" s="62" t="n">
        <v>48.38</v>
      </c>
      <c r="I388" s="65" t="n"/>
      <c r="J388" s="62">
        <f>H388*(1-$I$4)</f>
        <v/>
      </c>
      <c r="K388" s="63">
        <f>G388*J388</f>
        <v/>
      </c>
      <c r="L388" s="33" t="inlineStr">
        <is>
          <t>涂料</t>
        </is>
      </c>
      <c r="M388" s="64" t="n"/>
      <c r="N388" s="39" t="n">
        <v>1</v>
      </c>
      <c r="O388" t="n">
        <v>45</v>
      </c>
      <c r="P388" s="35" t="inlineStr">
        <is>
          <t>差:-3.38元 (-7.0%) 来源:售楼处</t>
        </is>
      </c>
      <c r="Q388" s="35" t="n"/>
      <c r="R388" s="35" t="n"/>
    </row>
    <row r="389" outlineLevel="1" customFormat="1" s="39">
      <c r="A389" s="36" t="n"/>
      <c r="B389" s="27" t="inlineStr">
        <is>
          <t>门窗、家具工程</t>
        </is>
      </c>
      <c r="C389" s="27" t="n"/>
      <c r="D389" s="27" t="n"/>
      <c r="E389" s="27" t="n"/>
      <c r="F389" s="28" t="n"/>
      <c r="G389" s="61" t="n"/>
      <c r="H389" s="62" t="n"/>
      <c r="I389" s="65" t="n"/>
      <c r="J389" s="62" t="n"/>
      <c r="K389" s="63" t="n"/>
      <c r="L389" s="33" t="n"/>
      <c r="M389" s="64" t="n"/>
      <c r="P389" s="35" t="n"/>
      <c r="Q389" s="35" t="n"/>
      <c r="R389" s="35" t="n"/>
    </row>
    <row r="390" outlineLevel="2" ht="72" customFormat="1" customHeight="1" s="39">
      <c r="A390" s="37">
        <f>1+N(A389)</f>
        <v/>
      </c>
      <c r="B390" s="27" t="inlineStr">
        <is>
          <t>消防栓暗门(不含面层)</t>
        </is>
      </c>
      <c r="C390" s="27" t="inlineStr">
        <is>
          <t>1、40x40x5mm热镀锌方管骨架、背封铝塑板
2、含天地轴、门吸等五金配件
3、包含完成该项内容所有工作及费用并满足设计图纸、规范等要求</t>
        </is>
      </c>
      <c r="D390" s="27" t="inlineStr">
        <is>
          <t>自现有现场条件下按照合同约定范围、图纸（含设计变更）及甲方要求内容以及规范、标准、相关做法等要求完成并达到总包合同全部目标的全部工作内容。</t>
        </is>
      </c>
      <c r="E390" s="27" t="inlineStr">
        <is>
          <t>以最终验收合格的工程量计算</t>
        </is>
      </c>
      <c r="F390" s="28" t="inlineStr">
        <is>
          <t>m2</t>
        </is>
      </c>
      <c r="G390" s="61" t="n">
        <v>47.04</v>
      </c>
      <c r="H390" s="62" t="n">
        <v>962.6833333333331</v>
      </c>
      <c r="I390" s="65" t="n"/>
      <c r="J390" s="62">
        <f>H390*(1-$I$4)</f>
        <v/>
      </c>
      <c r="K390" s="63">
        <f>G390*J390</f>
        <v/>
      </c>
      <c r="L390" s="33" t="inlineStr">
        <is>
          <t>/</t>
        </is>
      </c>
      <c r="M390" s="64" t="n"/>
      <c r="N390" s="39" t="n">
        <v>1</v>
      </c>
      <c r="O390" t="n">
        <v>165</v>
      </c>
      <c r="P390" s="35" t="inlineStr">
        <is>
          <t>差:-797.68元 (-82.9%) 来源:售楼处</t>
        </is>
      </c>
      <c r="Q390" s="35" t="n"/>
      <c r="R390" s="35" t="n"/>
    </row>
    <row r="391" outlineLevel="1" customFormat="1" s="39">
      <c r="A391" s="26" t="inlineStr">
        <is>
          <t>三</t>
        </is>
      </c>
      <c r="B391" s="27" t="inlineStr">
        <is>
          <t>电梯厅(DT6)</t>
        </is>
      </c>
      <c r="C391" s="27" t="n"/>
      <c r="D391" s="27" t="n"/>
      <c r="E391" s="27" t="n"/>
      <c r="F391" s="28" t="n"/>
      <c r="G391" s="61" t="n"/>
      <c r="H391" s="62" t="n"/>
      <c r="I391" s="65" t="n"/>
      <c r="J391" s="62" t="n"/>
      <c r="K391" s="63" t="n"/>
      <c r="L391" s="33" t="n"/>
      <c r="M391" s="64" t="n"/>
      <c r="O391" s="38" t="n"/>
      <c r="P391" s="35" t="n"/>
      <c r="Q391" s="35" t="n"/>
      <c r="R391" s="35" t="n"/>
    </row>
    <row r="392" outlineLevel="1" customFormat="1" s="39">
      <c r="A392" s="36" t="n"/>
      <c r="B392" s="27" t="inlineStr">
        <is>
          <t>地面工程</t>
        </is>
      </c>
      <c r="C392" s="27" t="n"/>
      <c r="D392" s="27" t="n"/>
      <c r="E392" s="27" t="n"/>
      <c r="F392" s="28" t="n"/>
      <c r="G392" s="61" t="n"/>
      <c r="H392" s="62" t="n"/>
      <c r="I392" s="65" t="n"/>
      <c r="J392" s="62" t="n"/>
      <c r="K392" s="63" t="n"/>
      <c r="L392" s="33" t="n"/>
      <c r="M392" s="64" t="n"/>
      <c r="P392" s="35" t="n"/>
      <c r="Q392" s="35" t="n"/>
      <c r="R392" s="35" t="n"/>
    </row>
    <row r="393" outlineLevel="2" ht="108" customFormat="1" customHeight="1" s="39">
      <c r="A393" s="37">
        <f>1+N(A392)</f>
        <v/>
      </c>
      <c r="B393" s="27" t="inlineStr">
        <is>
          <t>地面铺贴大理石ST-03</t>
        </is>
      </c>
      <c r="C393" s="27" t="inlineStr">
        <is>
          <t>1.地面20mm大理石ST-03、铺贴、厚度及样式按物料书为准；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393"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393" s="27" t="inlineStr">
        <is>
          <t xml:space="preserve">执行《GB/T50854-2024房屋建筑与装饰工程工程量计算标准》，按设计图示尺寸
以面积计算。 </t>
        </is>
      </c>
      <c r="F393" s="28" t="inlineStr">
        <is>
          <t>m2</t>
        </is>
      </c>
      <c r="G393" s="61" t="n">
        <v>36.96</v>
      </c>
      <c r="H393" s="62" t="n">
        <v>218.75017</v>
      </c>
      <c r="I393" s="65" t="n"/>
      <c r="J393" s="62">
        <f>H393*(1-$I$4)</f>
        <v/>
      </c>
      <c r="K393" s="63">
        <f>G393*J393</f>
        <v/>
      </c>
      <c r="L393" s="33" t="inlineStr">
        <is>
          <t>石材</t>
        </is>
      </c>
      <c r="M393" s="64" t="n"/>
      <c r="N393" s="39" t="n">
        <v>1</v>
      </c>
      <c r="O393" t="n">
        <v>130</v>
      </c>
      <c r="P393" s="35" t="inlineStr">
        <is>
          <t>差:-88.75元 (-40.6%) 来源:售楼处</t>
        </is>
      </c>
      <c r="Q393" s="35" t="n"/>
      <c r="R393" s="35" t="n"/>
    </row>
    <row r="394" outlineLevel="2" ht="108" customFormat="1" customHeight="1" s="39">
      <c r="A394" s="37">
        <f>1+N(A393)</f>
        <v/>
      </c>
      <c r="B394" s="27" t="inlineStr">
        <is>
          <t>地面地砖 CT-01</t>
        </is>
      </c>
      <c r="C394" s="27" t="inlineStr">
        <is>
          <t>1.地面花砖CT-01；
2.10mm厚专用粘结剂；
3.80mm厚DS-M15干混砂浆找平；
4.基层清理；
5.含切边、倒角、拼接等处理；
6.包含完成该项内容所有工作及费用并满足设计图纸、规范等要求；</t>
        </is>
      </c>
      <c r="D394"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394" s="27" t="inlineStr">
        <is>
          <t xml:space="preserve">执行《GB/T50854-2024房屋建筑与装饰工程工程量计算标准》，按设计图示尺寸
以面积计算。 </t>
        </is>
      </c>
      <c r="F394" s="28" t="inlineStr">
        <is>
          <t>m2</t>
        </is>
      </c>
      <c r="G394" s="61" t="n">
        <v>164.64</v>
      </c>
      <c r="H394" s="62" t="n">
        <v>164.71148</v>
      </c>
      <c r="I394" s="65" t="n"/>
      <c r="J394" s="62">
        <f>H394*(1-$I$4)</f>
        <v/>
      </c>
      <c r="K394" s="63">
        <f>G394*J394</f>
        <v/>
      </c>
      <c r="L394" s="33" t="inlineStr">
        <is>
          <t>瓷砖</t>
        </is>
      </c>
      <c r="M394" s="64" t="n"/>
      <c r="N394" s="39" t="n">
        <v>1</v>
      </c>
      <c r="O394" t="n">
        <v>80</v>
      </c>
      <c r="P394" s="35" t="inlineStr">
        <is>
          <t>差:-84.71元 (-51.4%) 来源:售楼处</t>
        </is>
      </c>
      <c r="Q394" s="35" t="n"/>
      <c r="R394" s="35" t="n"/>
    </row>
    <row r="395" outlineLevel="2" ht="108" customFormat="1" customHeight="1" s="39">
      <c r="A395" s="37">
        <f>1+N(A394)</f>
        <v/>
      </c>
      <c r="B395" s="27" t="inlineStr">
        <is>
          <t>地面地砖拼花 CT-01.02</t>
        </is>
      </c>
      <c r="C395" s="27" t="inlineStr">
        <is>
          <t>1.地面地砖拼花 CT-01.02；
2.10mm厚专用粘结剂；
3.80mm厚DS-M15干混砂浆找平；
4.基层清理；
5.含切边、倒角、拼接等处理；
6.包含完成该项内容所有工作及费用并满足设计图纸、规范等要求；</t>
        </is>
      </c>
      <c r="D395"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395" s="27" t="inlineStr">
        <is>
          <t xml:space="preserve">执行《GB/T50854-2024房屋建筑与装饰工程工程量计算标准》，按设计图示尺寸
以面积计算。 </t>
        </is>
      </c>
      <c r="F395" s="28" t="inlineStr">
        <is>
          <t>m2</t>
        </is>
      </c>
      <c r="G395" s="61" t="n">
        <v>130.48</v>
      </c>
      <c r="H395" s="62" t="n">
        <v>235.51148</v>
      </c>
      <c r="I395" s="65" t="n"/>
      <c r="J395" s="62">
        <f>H395*(1-$I$4)</f>
        <v/>
      </c>
      <c r="K395" s="63">
        <f>G395*J395</f>
        <v/>
      </c>
      <c r="L395" s="33" t="inlineStr">
        <is>
          <t>瓷砖</t>
        </is>
      </c>
      <c r="M395" s="64" t="n"/>
      <c r="N395" s="39" t="n">
        <v>1</v>
      </c>
      <c r="O395" t="n">
        <v>80</v>
      </c>
      <c r="P395" s="35" t="inlineStr">
        <is>
          <t>差:-155.51元 (-66.0%) 来源:售楼处</t>
        </is>
      </c>
      <c r="Q395" s="35" t="n"/>
      <c r="R395" s="35" t="n"/>
    </row>
    <row r="396" outlineLevel="2" ht="108" customFormat="1" customHeight="1" s="39">
      <c r="A396" s="37">
        <f>1+N(A395)</f>
        <v/>
      </c>
      <c r="B396" s="27" t="inlineStr">
        <is>
          <t>实心铜条5mm宽</t>
        </is>
      </c>
      <c r="C396" s="27" t="inlineStr">
        <is>
          <t>1.实心铜条5mm宽；
2.包含完成该项内容所有工作及费用并满足设计图纸、规范等要求；</t>
        </is>
      </c>
      <c r="D396"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396" s="27" t="inlineStr">
        <is>
          <t>按设计图示尺寸以长度计算。</t>
        </is>
      </c>
      <c r="F396" s="28" t="inlineStr">
        <is>
          <t>m</t>
        </is>
      </c>
      <c r="G396" s="61" t="n">
        <v>236.6</v>
      </c>
      <c r="H396" s="62" t="n">
        <v>89.267</v>
      </c>
      <c r="I396" s="65" t="n"/>
      <c r="J396" s="62">
        <f>H396*(1-$I$4)</f>
        <v/>
      </c>
      <c r="K396" s="63">
        <f>G396*J396</f>
        <v/>
      </c>
      <c r="L396" s="33" t="inlineStr">
        <is>
          <t>/</t>
        </is>
      </c>
      <c r="M396" s="64" t="n"/>
      <c r="N396" s="39" t="n">
        <v>1</v>
      </c>
      <c r="O396" t="n">
        <v>12</v>
      </c>
      <c r="P396" s="35" t="inlineStr">
        <is>
          <t>差:-77.27元 (-86.6%) 来源:售楼处</t>
        </is>
      </c>
      <c r="Q396" s="35" t="n"/>
      <c r="R396" s="35" t="n"/>
    </row>
    <row r="397" outlineLevel="2" ht="108" customFormat="1" customHeight="1" s="39">
      <c r="A397" s="37">
        <f>1+N(A396)</f>
        <v/>
      </c>
      <c r="B397" s="27" t="inlineStr">
        <is>
          <t>地面石材晶面处理</t>
        </is>
      </c>
      <c r="C397" s="27" t="inlineStr">
        <is>
          <t>1.石材结晶处理(结晶水及石材保养剂,中性清洁剂)；
2.包含完成该项内容所有工作及费用并满足设计图纸、规范等要求；</t>
        </is>
      </c>
      <c r="D397"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397" s="27" t="inlineStr">
        <is>
          <t xml:space="preserve">执行《GB/T50854-2024房屋建筑与装饰工程工程量计算标准》，按设计图示尺寸
以面积计算。 </t>
        </is>
      </c>
      <c r="F397" s="28" t="inlineStr">
        <is>
          <t>m2</t>
        </is>
      </c>
      <c r="G397" s="61" t="n">
        <v>36.96</v>
      </c>
      <c r="H397" s="62" t="n">
        <v>64.90000000000001</v>
      </c>
      <c r="I397" s="65" t="n"/>
      <c r="J397" s="62">
        <f>H397*(1-$I$4)</f>
        <v/>
      </c>
      <c r="K397" s="63">
        <f>G397*J397</f>
        <v/>
      </c>
      <c r="L397" s="33" t="inlineStr">
        <is>
          <t>/</t>
        </is>
      </c>
      <c r="M397" s="64" t="n"/>
      <c r="N397" s="39" t="n">
        <v>1</v>
      </c>
      <c r="O397" t="n">
        <v>40</v>
      </c>
      <c r="P397" s="35" t="inlineStr">
        <is>
          <t>差:-24.90元 (-38.4%) 来源:售楼处</t>
        </is>
      </c>
      <c r="Q397" s="35" t="n"/>
      <c r="R397" s="35" t="n"/>
    </row>
    <row r="398" outlineLevel="1" customFormat="1" s="39">
      <c r="A398" s="36" t="n"/>
      <c r="B398" s="27" t="inlineStr">
        <is>
          <t>墙柱面工程</t>
        </is>
      </c>
      <c r="C398" s="27" t="n"/>
      <c r="D398" s="27" t="n"/>
      <c r="E398" s="27" t="n"/>
      <c r="F398" s="28" t="n"/>
      <c r="G398" s="61" t="n"/>
      <c r="H398" s="62" t="n"/>
      <c r="I398" s="65" t="n"/>
      <c r="J398" s="62" t="n"/>
      <c r="K398" s="63" t="n"/>
      <c r="L398" s="33" t="n"/>
      <c r="M398" s="64" t="n"/>
      <c r="P398" s="35" t="n"/>
      <c r="Q398" s="35" t="n"/>
      <c r="R398" s="35" t="n"/>
    </row>
    <row r="399" outlineLevel="2" ht="180" customFormat="1" customHeight="1" s="39">
      <c r="A399" s="37">
        <f>1+N(A398)</f>
        <v/>
      </c>
      <c r="B399" s="27" t="inlineStr">
        <is>
          <t>墙面WD-08摩素板</t>
        </is>
      </c>
      <c r="C399" s="27" t="inlineStr">
        <is>
          <t>1、墙面WD-08摩素板(结构胶固定)
2、12厘玻镁板基层
3、膨胀螺栓、轻钢龙骨(钢结构)基层找平
4、包含完成该项内容所有工作及费用并满足设计图纸、规范等要求</t>
        </is>
      </c>
      <c r="D399"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399" s="27" t="inlineStr">
        <is>
          <t>执行《GB/T50854-2024房屋建筑与装饰工程工程量计算标准》，按设计图示饰面外围尺寸
以面积计算。 扣除门窗洞口面积，不扣除单个面积≤0.3㎡的孔洞所占面积。</t>
        </is>
      </c>
      <c r="F399" s="28" t="inlineStr">
        <is>
          <t>m2</t>
        </is>
      </c>
      <c r="G399" s="61" t="n">
        <v>45.17</v>
      </c>
      <c r="H399" s="62" t="n">
        <v>186.44</v>
      </c>
      <c r="I399" s="65" t="n"/>
      <c r="J399" s="62">
        <f>H399*(1-$I$4)</f>
        <v/>
      </c>
      <c r="K399" s="63">
        <f>G399*J399</f>
        <v/>
      </c>
      <c r="L399" s="33" t="inlineStr">
        <is>
          <t>摩素板</t>
        </is>
      </c>
      <c r="M399" s="64" t="n"/>
      <c r="N399" s="39" t="n">
        <v>1</v>
      </c>
      <c r="O399" t="n">
        <v>35</v>
      </c>
      <c r="P399" s="35" t="inlineStr">
        <is>
          <t>差:-151.44元 (-81.2%) 来源:售楼处</t>
        </is>
      </c>
      <c r="Q399" s="35" t="n"/>
      <c r="R399" s="35" t="n"/>
    </row>
    <row r="400" outlineLevel="2" ht="180" customFormat="1" customHeight="1" s="39">
      <c r="A400" s="37">
        <f>1+N(A399)</f>
        <v/>
      </c>
      <c r="B400" s="27" t="inlineStr">
        <is>
          <t>WD-07摩素板</t>
        </is>
      </c>
      <c r="C400" s="27" t="inlineStr">
        <is>
          <t>1、墙面WD-07摩素板(结构胶固定)
2、12厘玻镁板基层
3、膨胀螺栓、轻钢龙骨(钢结构)基层找平
4、包含完成该项内容所有工作及费用并满足设计图纸、规范等要求</t>
        </is>
      </c>
      <c r="D400"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400" s="27" t="inlineStr">
        <is>
          <t>执行《GB/T50854-2024房屋建筑与装饰工程工程量计算标准》，按设计图示饰面外围尺寸以面积计算。 扣除门窗洞口面积，不扣除单个面积≤0.3㎡的孔洞所占面积。</t>
        </is>
      </c>
      <c r="F400" s="28" t="inlineStr">
        <is>
          <t>m2</t>
        </is>
      </c>
      <c r="G400" s="61" t="n">
        <v>279.58</v>
      </c>
      <c r="H400" s="62" t="n">
        <v>186.44</v>
      </c>
      <c r="I400" s="65" t="n"/>
      <c r="J400" s="62">
        <f>H400*(1-$I$4)</f>
        <v/>
      </c>
      <c r="K400" s="63">
        <f>G400*J400</f>
        <v/>
      </c>
      <c r="L400" s="33" t="inlineStr">
        <is>
          <t>摩素板</t>
        </is>
      </c>
      <c r="M400" s="64" t="n"/>
      <c r="N400" s="39" t="n">
        <v>1</v>
      </c>
      <c r="O400" t="n">
        <v>35</v>
      </c>
      <c r="P400" s="35" t="inlineStr">
        <is>
          <t>差:-151.44元 (-81.2%) 来源:售楼处</t>
        </is>
      </c>
      <c r="Q400" s="35" t="n"/>
      <c r="R400" s="35" t="n"/>
    </row>
    <row r="401" outlineLevel="2" ht="144" customFormat="1" customHeight="1" s="39">
      <c r="A401" s="37">
        <f>1+N(A400)</f>
        <v/>
      </c>
      <c r="B401" s="27" t="inlineStr">
        <is>
          <t>墙面PT-01肌理无机涂料</t>
        </is>
      </c>
      <c r="C401" s="27" t="inlineStr">
        <is>
          <t>1、墙面PT-01肌理无机涂料(底漆1遍，面漆2遍)
2、刮白胶腻子找平二遍，打磨
3、阴、阳角护角收边
4、双层9.5mm纸面石膏板
5、轻钢龙骨基层找平
6、包含完成该项内容所有工作及费用并满足设计图纸、规范等要求</t>
        </is>
      </c>
      <c r="D401"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401" s="27" t="inlineStr">
        <is>
          <t xml:space="preserve">执行《GB/T50854-2024房屋建筑与装饰工程工程量计算标准》，按设计图示尺寸
以面积计算。 </t>
        </is>
      </c>
      <c r="F401" s="28" t="inlineStr">
        <is>
          <t>m2</t>
        </is>
      </c>
      <c r="G401" s="61" t="n">
        <v>306.94</v>
      </c>
      <c r="H401" s="62" t="n">
        <v>207.68</v>
      </c>
      <c r="I401" s="65" t="n"/>
      <c r="J401" s="62">
        <f>H401*(1-$I$4)</f>
        <v/>
      </c>
      <c r="K401" s="63">
        <f>G401*J401</f>
        <v/>
      </c>
      <c r="L401" s="33" t="inlineStr">
        <is>
          <t>涂料</t>
        </is>
      </c>
      <c r="M401" s="64" t="n"/>
      <c r="N401" s="39" t="n">
        <v>1</v>
      </c>
      <c r="O401" t="n">
        <v>110</v>
      </c>
      <c r="P401" s="35" t="inlineStr">
        <is>
          <t>差:-97.68元 (-47.0%) 来源:售楼处</t>
        </is>
      </c>
      <c r="Q401" s="35" t="n"/>
      <c r="R401" s="35" t="n"/>
    </row>
    <row r="402" outlineLevel="2" ht="180" customFormat="1" customHeight="1" s="39">
      <c r="A402" s="37">
        <f>1+N(A401)</f>
        <v/>
      </c>
      <c r="B402" s="27" t="inlineStr">
        <is>
          <t>MT-01古铜不锈钢饰面</t>
        </is>
      </c>
      <c r="C402" s="27" t="inlineStr">
        <is>
          <t>1、1.2mm厚 MT-01古铜不锈钢饰面，结构胶固定
2、12厘玻镁板基层
3、包含完成该项内容所有工作及费用并满足设计图纸、规范等要求</t>
        </is>
      </c>
      <c r="D402"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402" s="27" t="inlineStr">
        <is>
          <t>执行《GB/T50854-2024房屋建筑与装饰工程工程量计算标准》，按设计图示饰面外围尺寸
以面积计算。 扣除门窗洞口面积，不扣除单个面积≤0.3㎡的孔洞所占面积。</t>
        </is>
      </c>
      <c r="F402" s="28" t="inlineStr">
        <is>
          <t>m2</t>
        </is>
      </c>
      <c r="G402" s="61" t="n">
        <v>55.59</v>
      </c>
      <c r="H402" s="62" t="n">
        <v>247.8</v>
      </c>
      <c r="I402" s="65" t="n"/>
      <c r="J402" s="62">
        <f>H402*(1-$I$4)</f>
        <v/>
      </c>
      <c r="K402" s="63">
        <f>G402*J402</f>
        <v/>
      </c>
      <c r="L402" s="33" t="inlineStr">
        <is>
          <t>不锈钢饰面</t>
        </is>
      </c>
      <c r="M402" s="64" t="n"/>
      <c r="N402" s="39" t="n">
        <v>1</v>
      </c>
      <c r="O402" t="n">
        <v>110</v>
      </c>
      <c r="P402" s="35" t="inlineStr">
        <is>
          <t>差:-137.80元 (-55.6%) 来源:售楼处</t>
        </is>
      </c>
      <c r="Q402" s="35" t="n"/>
      <c r="R402" s="35" t="n"/>
    </row>
    <row r="403" outlineLevel="2" ht="144" customFormat="1" customHeight="1" s="39">
      <c r="A403" s="37">
        <f>1+N(A402)</f>
        <v/>
      </c>
      <c r="B403" s="27" t="inlineStr">
        <is>
          <t>MT-04手敲铜不锈钢饰面</t>
        </is>
      </c>
      <c r="C403" s="27" t="inlineStr">
        <is>
          <t>1、1.2mm厚 MT-04手敲铜不锈钢饰面，结构胶固定
2、12厘玻镁板基层
3、包含完成该项内容所有工作及费用并满足设计图纸、规范等要求</t>
        </is>
      </c>
      <c r="D403"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403" s="27" t="inlineStr">
        <is>
          <t>执行《GB/T50854-2024房屋建筑与装饰工程工程量计算标准》，按设计图示饰面外围尺寸以面积计算。</t>
        </is>
      </c>
      <c r="F403" s="28" t="inlineStr">
        <is>
          <t>m2</t>
        </is>
      </c>
      <c r="G403" s="61" t="n">
        <v>52.81</v>
      </c>
      <c r="H403" s="62" t="n">
        <v>247.8</v>
      </c>
      <c r="I403" s="65" t="n"/>
      <c r="J403" s="62">
        <f>H403*(1-$I$4)</f>
        <v/>
      </c>
      <c r="K403" s="63">
        <f>G403*J403</f>
        <v/>
      </c>
      <c r="L403" s="33" t="inlineStr">
        <is>
          <t>不锈钢饰面</t>
        </is>
      </c>
      <c r="M403" s="64" t="n"/>
      <c r="N403" s="39" t="n">
        <v>1</v>
      </c>
      <c r="O403" t="n">
        <v>110</v>
      </c>
      <c r="P403" s="35" t="inlineStr">
        <is>
          <t>差:-137.80元 (-55.6%) 来源:售楼处</t>
        </is>
      </c>
      <c r="Q403" s="35" t="n"/>
      <c r="R403" s="35" t="n"/>
    </row>
    <row r="404" outlineLevel="2" ht="144" customFormat="1" customHeight="1" s="39">
      <c r="A404" s="37">
        <f>1+N(A403)</f>
        <v/>
      </c>
      <c r="B404" s="27" t="inlineStr">
        <is>
          <t>SF-03透光片</t>
        </is>
      </c>
      <c r="C404" s="27" t="inlineStr">
        <is>
          <t>1、SF-03透光片，结构胶固定
2、12厘玻镁板基层
3、包含完成该项内容所有工作及费用并满足设计图纸、规范等要求</t>
        </is>
      </c>
      <c r="D404"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404" s="27" t="inlineStr">
        <is>
          <t>执行《GB/T50854-2024房屋建筑与装饰工程工程量计算标准》，按设计图示饰面外围尺寸以面积计算。</t>
        </is>
      </c>
      <c r="F404" s="28" t="inlineStr">
        <is>
          <t>m2</t>
        </is>
      </c>
      <c r="G404" s="61" t="n">
        <v>1.58</v>
      </c>
      <c r="H404" s="62" t="n">
        <v>812.312</v>
      </c>
      <c r="I404" s="65" t="n"/>
      <c r="J404" s="62">
        <f>H404*(1-$I$4)</f>
        <v/>
      </c>
      <c r="K404" s="63">
        <f>G404*J404</f>
        <v/>
      </c>
      <c r="L404" s="33" t="inlineStr">
        <is>
          <t>/</t>
        </is>
      </c>
      <c r="M404" s="64" t="n"/>
      <c r="N404" s="39" t="n">
        <v>1</v>
      </c>
      <c r="O404" t="n">
        <v>150</v>
      </c>
      <c r="P404" s="35" t="inlineStr">
        <is>
          <t>差:-662.31元 (-81.5%) 来源:售楼处</t>
        </is>
      </c>
      <c r="Q404" s="35" t="n"/>
      <c r="R404" s="35" t="n"/>
    </row>
    <row r="405" outlineLevel="2" ht="180" customFormat="1" customHeight="1" s="39">
      <c r="A405" s="37">
        <f>1+N(A404)</f>
        <v/>
      </c>
      <c r="B405" s="27" t="inlineStr">
        <is>
          <t>电梯不锈钢门头</t>
        </is>
      </c>
      <c r="C405" s="27" t="inlineStr">
        <is>
          <t>1、1.2mm厚 MT-01古铜不锈钢门头，结构胶固定
2、12mm阻燃板，轻钢副龙骨@400
3、电梯门顶内置亚克力，内部面层刮白处理
4、工程量以展开面积计算
5、包含完成该项内容所有工作及费用并满足设计图纸、规范等要求</t>
        </is>
      </c>
      <c r="D405"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405" s="27" t="inlineStr">
        <is>
          <t>执行《GB/T50854-2024房屋建筑与装饰工程工程量计算标准》，按设计图示饰面外围尺寸
以面积计算。 扣除门窗洞口面积，不扣除单个面积≤0.3㎡的孔洞所占面积。</t>
        </is>
      </c>
      <c r="F405" s="28" t="inlineStr">
        <is>
          <t>m2</t>
        </is>
      </c>
      <c r="G405" s="61" t="n">
        <v>20.33</v>
      </c>
      <c r="H405" s="62" t="n">
        <v>812.961</v>
      </c>
      <c r="I405" s="65" t="n"/>
      <c r="J405" s="62">
        <f>H405*(1-$I$4)</f>
        <v/>
      </c>
      <c r="K405" s="63">
        <f>G405*J405</f>
        <v/>
      </c>
      <c r="L405" s="33" t="inlineStr">
        <is>
          <t>/</t>
        </is>
      </c>
      <c r="M405" s="64" t="n"/>
      <c r="N405" s="39" t="n">
        <v>1</v>
      </c>
      <c r="O405" t="n">
        <v>110</v>
      </c>
      <c r="P405" s="35" t="inlineStr">
        <is>
          <t>差:-702.96元 (-86.5%) 来源:售楼处</t>
        </is>
      </c>
      <c r="Q405" s="35" t="n"/>
      <c r="R405" s="35" t="n"/>
    </row>
    <row r="406" outlineLevel="2" ht="144" customFormat="1" customHeight="1" s="39">
      <c r="A406" s="37">
        <f>1+N(A405)</f>
        <v/>
      </c>
      <c r="B406" s="27" t="inlineStr">
        <is>
          <t>MT-01古铜不锈钢踢脚线（高20mm）</t>
        </is>
      </c>
      <c r="C406" s="27" t="inlineStr">
        <is>
          <t>1、1.2mm厚 MT-01古铜不锈钢踢脚线（高20mm，展开面为46mm），结构胶固定
2、9厘玻镁板基层
3、包含完成该项内容所有工作及费用并满足设计图纸、规范等要求</t>
        </is>
      </c>
      <c r="D406"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406" s="27" t="inlineStr">
        <is>
          <t>按设计图示尺寸以长度计算。</t>
        </is>
      </c>
      <c r="F406" s="28" t="inlineStr">
        <is>
          <t>m</t>
        </is>
      </c>
      <c r="G406" s="61" t="n">
        <v>306.44</v>
      </c>
      <c r="H406" s="62" t="n">
        <v>31.86</v>
      </c>
      <c r="I406" s="65" t="n"/>
      <c r="J406" s="62">
        <f>H406*(1-$I$4)</f>
        <v/>
      </c>
      <c r="K406" s="63">
        <f>G406*J406</f>
        <v/>
      </c>
      <c r="L406" s="33" t="inlineStr">
        <is>
          <t>不锈钢踢脚线</t>
        </is>
      </c>
      <c r="M406" s="64" t="n"/>
      <c r="N406" s="39" t="n">
        <v>1</v>
      </c>
      <c r="O406" t="n">
        <v>12</v>
      </c>
      <c r="P406" s="35" t="inlineStr">
        <is>
          <t>差:-19.86元 (-62.3%) 来源:售楼处</t>
        </is>
      </c>
      <c r="Q406" s="35" t="n"/>
      <c r="R406" s="35" t="n"/>
    </row>
    <row r="407" outlineLevel="2" ht="144" customFormat="1" customHeight="1" s="39">
      <c r="A407" s="37">
        <f>1+N(A406)</f>
        <v/>
      </c>
      <c r="B407" s="27" t="inlineStr">
        <is>
          <t>MT-01古铜不锈钢线条（展开面为32mm）</t>
        </is>
      </c>
      <c r="C407" s="27" t="inlineStr">
        <is>
          <t>1、1.2mm厚 MT-01古铜不锈钢线条（展开面为32mm），结构胶固定
2、12厘玻镁板基层
3、包含完成该项内容所有工作及费用并满足设计图纸、规范等要求</t>
        </is>
      </c>
      <c r="D407"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407" s="27" t="inlineStr">
        <is>
          <t>按设计图示尺寸以长度计算。</t>
        </is>
      </c>
      <c r="F407" s="28" t="inlineStr">
        <is>
          <t>m</t>
        </is>
      </c>
      <c r="G407" s="61" t="n">
        <v>659.6799999999999</v>
      </c>
      <c r="H407" s="62" t="n">
        <v>56.362464</v>
      </c>
      <c r="I407" s="65" t="n"/>
      <c r="J407" s="62">
        <f>H407*(1-$I$4)</f>
        <v/>
      </c>
      <c r="K407" s="63">
        <f>G407*J407</f>
        <v/>
      </c>
      <c r="L407" s="33" t="inlineStr">
        <is>
          <t>/</t>
        </is>
      </c>
      <c r="M407" s="64" t="n"/>
      <c r="N407" s="39" t="n">
        <v>1</v>
      </c>
      <c r="O407" t="n">
        <v>15</v>
      </c>
      <c r="P407" s="35" t="inlineStr">
        <is>
          <t>差:-41.36元 (-73.4%) 来源:售楼处</t>
        </is>
      </c>
      <c r="Q407" s="35" t="n"/>
      <c r="R407" s="35" t="n"/>
    </row>
    <row r="408" outlineLevel="2" ht="144" customFormat="1" customHeight="1" s="39">
      <c r="A408" s="37">
        <f>1+N(A407)</f>
        <v/>
      </c>
      <c r="B408" s="27" t="inlineStr">
        <is>
          <t>MT-01古铜不锈钢线条（展开面为33mm）</t>
        </is>
      </c>
      <c r="C408" s="27" t="inlineStr">
        <is>
          <t>1、1.2mm厚 MT-01古铜不锈钢线条（展开面为33mm），结构胶固定
2、12厘玻镁板基层
3、包含完成该项内容所有工作及费用并满足设计图纸、规范等要求</t>
        </is>
      </c>
      <c r="D408"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408" s="27" t="inlineStr">
        <is>
          <t>按设计图示尺寸以长度计算。</t>
        </is>
      </c>
      <c r="F408" s="28" t="inlineStr">
        <is>
          <t>m</t>
        </is>
      </c>
      <c r="G408" s="61" t="n">
        <v>90.33</v>
      </c>
      <c r="H408" s="62" t="n">
        <v>57.128166</v>
      </c>
      <c r="I408" s="65" t="n"/>
      <c r="J408" s="62">
        <f>H408*(1-$I$4)</f>
        <v/>
      </c>
      <c r="K408" s="63">
        <f>G408*J408</f>
        <v/>
      </c>
      <c r="L408" s="33" t="inlineStr">
        <is>
          <t>/</t>
        </is>
      </c>
      <c r="M408" s="64" t="n"/>
      <c r="N408" s="39" t="n">
        <v>1</v>
      </c>
      <c r="O408" t="n">
        <v>15</v>
      </c>
      <c r="P408" s="35" t="inlineStr">
        <is>
          <t>差:-42.13元 (-73.7%) 来源:售楼处</t>
        </is>
      </c>
      <c r="Q408" s="35" t="n"/>
      <c r="R408" s="35" t="n"/>
    </row>
    <row r="409" outlineLevel="2" ht="144" customFormat="1" customHeight="1" s="39">
      <c r="A409" s="37">
        <f>1+N(A408)</f>
        <v/>
      </c>
      <c r="B409" s="27" t="inlineStr">
        <is>
          <t>MT-01古铜不锈钢顶部收口条（展开面为41mm）</t>
        </is>
      </c>
      <c r="C409" s="27" t="inlineStr">
        <is>
          <t>1、1.2mm厚 MT-01古铜不锈钢顶部收口条（展开面为41mm），结构胶固定
2、9厘玻镁板基层
3、包含完成该项内容所有工作及费用并满足设计图纸、规范等要求</t>
        </is>
      </c>
      <c r="D409"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409" s="27" t="inlineStr">
        <is>
          <t>按设计图示尺寸以长度计算。</t>
        </is>
      </c>
      <c r="F409" s="28" t="inlineStr">
        <is>
          <t>m</t>
        </is>
      </c>
      <c r="G409" s="61" t="n">
        <v>306.44</v>
      </c>
      <c r="H409" s="62" t="n">
        <v>64.24509999999999</v>
      </c>
      <c r="I409" s="65" t="n"/>
      <c r="J409" s="62">
        <f>H409*(1-$I$4)</f>
        <v/>
      </c>
      <c r="K409" s="63">
        <f>G409*J409</f>
        <v/>
      </c>
      <c r="L409" s="33" t="inlineStr">
        <is>
          <t>/</t>
        </is>
      </c>
      <c r="M409" s="64" t="n"/>
      <c r="N409" s="39" t="n">
        <v>1</v>
      </c>
      <c r="O409" t="n">
        <v>12</v>
      </c>
      <c r="P409" s="35" t="inlineStr">
        <is>
          <t>差:-52.25元 (-81.3%) 来源:售楼处</t>
        </is>
      </c>
      <c r="Q409" s="35" t="n"/>
      <c r="R409" s="35" t="n"/>
    </row>
    <row r="410" outlineLevel="2" ht="72" customFormat="1" customHeight="1" s="39">
      <c r="A410" s="37">
        <f>1+N(A409)</f>
        <v/>
      </c>
      <c r="B410" s="27" t="inlineStr">
        <is>
          <t>MT-01古铜不锈钢窗套（展开面为95mm）</t>
        </is>
      </c>
      <c r="C410" s="27" t="inlineStr">
        <is>
          <t>1、1.2mm厚 MT-01古铜不锈钢窗套（展开面为95mm），结构胶固定
2、9厘玻镁板基层
3、包含完成该项内容所有工作及费用并满足设计图纸、规范等要求</t>
        </is>
      </c>
      <c r="D410" s="27" t="inlineStr">
        <is>
          <t>自现有现场条件下按照合同约定范围、图纸（含设计变更）及甲方要求内容以及规范、标准、相关做法等要求完成并达到总包合同全部目标的全部工作内容。</t>
        </is>
      </c>
      <c r="E410" s="27" t="inlineStr">
        <is>
          <t>以最终验收合格的工程量计算</t>
        </is>
      </c>
      <c r="F410" s="28" t="inlineStr">
        <is>
          <t>m2</t>
        </is>
      </c>
      <c r="G410" s="61" t="n">
        <v>13.04</v>
      </c>
      <c r="H410" s="62" t="n">
        <v>630.651</v>
      </c>
      <c r="I410" s="65" t="n"/>
      <c r="J410" s="62">
        <f>H410*(1-$I$4)</f>
        <v/>
      </c>
      <c r="K410" s="63">
        <f>G410*J410</f>
        <v/>
      </c>
      <c r="L410" s="33" t="inlineStr">
        <is>
          <t>/</t>
        </is>
      </c>
      <c r="M410" s="64" t="n"/>
      <c r="N410" s="39" t="n">
        <v>1</v>
      </c>
      <c r="O410" t="n">
        <v>110</v>
      </c>
      <c r="P410" s="35" t="inlineStr">
        <is>
          <t>差:-520.65元 (-82.6%) 来源:售楼处</t>
        </is>
      </c>
      <c r="Q410" s="35" t="n"/>
      <c r="R410" s="35" t="n"/>
    </row>
    <row r="411" outlineLevel="1" customFormat="1" s="39">
      <c r="A411" s="36" t="n"/>
      <c r="B411" s="27" t="inlineStr">
        <is>
          <t>天花工程</t>
        </is>
      </c>
      <c r="C411" s="27" t="n"/>
      <c r="D411" s="27" t="n"/>
      <c r="E411" s="27" t="n"/>
      <c r="F411" s="28" t="n"/>
      <c r="G411" s="61" t="n"/>
      <c r="H411" s="62" t="n"/>
      <c r="I411" s="65" t="n"/>
      <c r="J411" s="62" t="n"/>
      <c r="K411" s="63" t="n"/>
      <c r="L411" s="33" t="n"/>
      <c r="M411" s="64" t="n"/>
      <c r="P411" s="35" t="n"/>
      <c r="Q411" s="35" t="n"/>
      <c r="R411" s="35" t="n"/>
    </row>
    <row r="412" outlineLevel="2" ht="192" customFormat="1" customHeight="1" s="39">
      <c r="A412" s="37">
        <f>1+N(A411)</f>
        <v/>
      </c>
      <c r="B412" s="27" t="inlineStr">
        <is>
          <t>造型石膏板吊顶</t>
        </is>
      </c>
      <c r="C412" s="27" t="inlineStr">
        <is>
          <t>1.60系列轻钢主龙骨@900，60系列轻钢副龙骨@400，60系列横撑龙骨@600，08螺纹吊杆@900不上人天花吊顶（投影面计算）
2.玻镁板、双层9.5厚石膏板基层，含开孔、检修口、10*10凹槽等费用；
3.含除灯槽外的侧面高差及其连接件、吊件；
4.包含完成该项内容所有工作及费用并满足设计图纸、规范等要求；</t>
        </is>
      </c>
      <c r="D412" s="27" t="inlineStr">
        <is>
          <t>1.基层清理。
2.弹线定位、排版。
3.吊杆及连接件安装调平、收口及密封处理。
4.材料切割处理找平、石膏板安装及调整，打胶密封与清理.
5.收口及其他处理：检修口等制作安装、收边收口、配合预留安装、机电等专业孔洞及孔洞收口处理。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412" s="27" t="inlineStr">
        <is>
          <t>按设计图示尺寸以水平投影面积计算。不扣除间壁墙、检查口、附墙烟囱、柱垛和管道所占面积,扣除单个&gt;0.3m3的孔洞、非密拼吊顶空隙所占的面积、独立柱及与天棚相连的窗帘盒所占的面积。</t>
        </is>
      </c>
      <c r="F412" s="28" t="inlineStr">
        <is>
          <t>m2</t>
        </is>
      </c>
      <c r="G412" s="61" t="n">
        <v>295.12</v>
      </c>
      <c r="H412" s="62" t="n">
        <v>150.712222222222</v>
      </c>
      <c r="I412" s="65" t="n"/>
      <c r="J412" s="62">
        <f>H412*(1-$I$4)</f>
        <v/>
      </c>
      <c r="K412" s="63">
        <f>G412*J412</f>
        <v/>
      </c>
      <c r="L412" s="33" t="inlineStr">
        <is>
          <t>/</t>
        </is>
      </c>
      <c r="M412" s="64" t="n"/>
      <c r="N412" s="39" t="n">
        <v>1</v>
      </c>
      <c r="O412" t="n">
        <v>70</v>
      </c>
      <c r="P412" s="35" t="inlineStr">
        <is>
          <t>差:-80.71元 (-53.6%) 来源:售楼处</t>
        </is>
      </c>
      <c r="Q412" s="35" t="n"/>
      <c r="R412" s="35" t="n"/>
    </row>
    <row r="413" outlineLevel="2" ht="72" customFormat="1" customHeight="1" s="39">
      <c r="A413" s="37">
        <f>1+N(A412)</f>
        <v/>
      </c>
      <c r="B413" s="27" t="inlineStr">
        <is>
          <t>灯槽（100mm*200mm）</t>
        </is>
      </c>
      <c r="C413" s="27" t="inlineStr">
        <is>
          <t>1.灯槽（100mm*200mm）；
2.双层板：9mm玻镁板、9.5厚石膏板；
3.包含完成该项内容所有工作及费用并满足设计图纸、规范等要求；</t>
        </is>
      </c>
      <c r="D413" s="27" t="inlineStr">
        <is>
          <t>自现有现场条件下按照合同约定范围、图纸（含设计变更）及甲方要求内容以及规范、标准、相关做法等要求完成并达到总包合同全部目标的全部工作内容。</t>
        </is>
      </c>
      <c r="E413" s="27" t="inlineStr">
        <is>
          <t>依据经承包人确认的施工部位,按设计图示尺寸以延长米计算。</t>
        </is>
      </c>
      <c r="F413" s="28" t="inlineStr">
        <is>
          <t>m</t>
        </is>
      </c>
      <c r="G413" s="61" t="n">
        <v>254.8</v>
      </c>
      <c r="H413" s="62" t="n">
        <v>112.159</v>
      </c>
      <c r="I413" s="65" t="n"/>
      <c r="J413" s="62">
        <f>H413*(1-$I$4)</f>
        <v/>
      </c>
      <c r="K413" s="63">
        <f>G413*J413</f>
        <v/>
      </c>
      <c r="L413" s="33" t="inlineStr">
        <is>
          <t>/</t>
        </is>
      </c>
      <c r="M413" s="64" t="n"/>
      <c r="N413" s="39" t="n">
        <v>1</v>
      </c>
      <c r="O413" t="n">
        <v>50</v>
      </c>
      <c r="P413" s="35" t="inlineStr">
        <is>
          <t>差:-62.16元 (-55.4%) 来源:售楼处</t>
        </is>
      </c>
      <c r="Q413" s="35" t="n"/>
      <c r="R413" s="35" t="n"/>
    </row>
    <row r="414" outlineLevel="2" ht="72" customFormat="1" customHeight="1" s="39">
      <c r="A414" s="37">
        <f>1+N(A413)</f>
        <v/>
      </c>
      <c r="B414" s="27" t="inlineStr">
        <is>
          <t>成品石膏线条</t>
        </is>
      </c>
      <c r="C414" s="27" t="inlineStr">
        <is>
          <t>1.成品石膏线条（50mm*50mm）；
2.按图纸造型；
3.包含完成该项内容所有工作及费用并满足设计图纸、规范等要求；</t>
        </is>
      </c>
      <c r="D414" s="27" t="inlineStr">
        <is>
          <t>自现有现场条件下按照合同约定范围、图纸（含设计变更）及甲方要求内容以及规范、标准、相关做法等要求完成并达到总包合同全部目标的全部工作内容。</t>
        </is>
      </c>
      <c r="E414" s="27" t="inlineStr">
        <is>
          <t>依据经承包人确认的施工部位,按设计图示尺寸以延长米计算。</t>
        </is>
      </c>
      <c r="F414" s="28" t="inlineStr">
        <is>
          <t>m</t>
        </is>
      </c>
      <c r="G414" s="61" t="n">
        <v>254.8</v>
      </c>
      <c r="H414" s="62" t="n">
        <v>20.06</v>
      </c>
      <c r="I414" s="65" t="n"/>
      <c r="J414" s="62">
        <f>H414*(1-$I$4)</f>
        <v/>
      </c>
      <c r="K414" s="63">
        <f>G414*J414</f>
        <v/>
      </c>
      <c r="L414" s="33" t="inlineStr">
        <is>
          <t>成品石膏线条</t>
        </is>
      </c>
      <c r="M414" s="64" t="n"/>
      <c r="N414" s="39" t="n">
        <v>1</v>
      </c>
      <c r="O414" t="n">
        <v>18</v>
      </c>
      <c r="P414" s="35" t="inlineStr">
        <is>
          <t>差:-2.06元 (-10.3%) 来源:售楼处</t>
        </is>
      </c>
      <c r="Q414" s="35" t="n"/>
      <c r="R414" s="35" t="n"/>
    </row>
    <row r="415" outlineLevel="2" ht="192" customFormat="1" customHeight="1" s="39">
      <c r="A415" s="37">
        <f>1+N(A414)</f>
        <v/>
      </c>
      <c r="B415" s="27" t="inlineStr">
        <is>
          <t>天花肌理无机涂料PT-01</t>
        </is>
      </c>
      <c r="C415" s="27" t="inlineStr">
        <is>
          <t>1.天花肌理无机涂料PT-01；
2.刮腻子二遍磨平；
3.底漆1遍，面漆2遍；
4.包含完成该项内容所有工作及费用并满足设计图纸、规范等要求；</t>
        </is>
      </c>
      <c r="D415" s="27" t="inlineStr">
        <is>
          <t>包括但不限于材料计划、采购、卸车倒运、保管、检验试验费、测量放线，包含四周阴角找平直、含天棚四周阴角找平直，打磨，简易脚手架搭拆及操作平台、升降机，基层清理、打磨平整、底层找补、满刮涂料（含阴阳角塑料条）、涂料打磨、补遗处理、配合其他分包施工、完工后场清、成品保护、保修等直到达到竣工交付标准的全部工作内容。包括所有为完成工作所需的小型机具；包括所有为完成工作所需的附属工作；包括但不限于以上内容。</t>
        </is>
      </c>
      <c r="E415" s="27" t="inlineStr">
        <is>
          <t>执行《GB/T50854-2024房屋建筑与装饰工程工程量计算标准》，按设计图示尺寸以面积计算。扣除0.3平方米以上洞口的面积；梁侧面及檐口天棚并入天棚计算；以设计图纸和技术交底为基础</t>
        </is>
      </c>
      <c r="F415" s="28" t="inlineStr">
        <is>
          <t>m2</t>
        </is>
      </c>
      <c r="G415" s="61" t="n">
        <v>371.56</v>
      </c>
      <c r="H415" s="62" t="n">
        <v>48.38</v>
      </c>
      <c r="I415" s="65" t="n"/>
      <c r="J415" s="62">
        <f>H415*(1-$I$4)</f>
        <v/>
      </c>
      <c r="K415" s="63">
        <f>G415*J415</f>
        <v/>
      </c>
      <c r="L415" s="33" t="inlineStr">
        <is>
          <t>涂料</t>
        </is>
      </c>
      <c r="M415" s="64" t="n"/>
      <c r="N415" s="39" t="n">
        <v>1</v>
      </c>
      <c r="O415" t="n">
        <v>45</v>
      </c>
      <c r="P415" s="35" t="inlineStr">
        <is>
          <t>差:-3.38元 (-7.0%) 来源:售楼处</t>
        </is>
      </c>
      <c r="Q415" s="35" t="n"/>
      <c r="R415" s="35" t="n"/>
    </row>
    <row r="416" outlineLevel="1" customFormat="1" s="39">
      <c r="A416" s="36" t="n"/>
      <c r="B416" s="27" t="inlineStr">
        <is>
          <t>门窗、家具工程</t>
        </is>
      </c>
      <c r="C416" s="27" t="n"/>
      <c r="D416" s="27" t="n"/>
      <c r="E416" s="27" t="n"/>
      <c r="F416" s="28" t="n"/>
      <c r="G416" s="61" t="n"/>
      <c r="H416" s="62" t="n"/>
      <c r="I416" s="65" t="n"/>
      <c r="J416" s="62" t="n"/>
      <c r="K416" s="63" t="n"/>
      <c r="L416" s="33" t="n"/>
      <c r="M416" s="64" t="n"/>
      <c r="P416" s="35" t="n"/>
      <c r="Q416" s="35" t="n"/>
      <c r="R416" s="35" t="n"/>
    </row>
    <row r="417" outlineLevel="2" ht="72" customFormat="1" customHeight="1" s="39">
      <c r="A417" s="37">
        <f>1+N(A416)</f>
        <v/>
      </c>
      <c r="B417" s="27" t="inlineStr">
        <is>
          <t>消防栓暗门(不含面层)</t>
        </is>
      </c>
      <c r="C417" s="27" t="inlineStr">
        <is>
          <t>1、40x40x5mm热镀锌方管骨架、背封铝塑板
2、含天地轴、门吸等五金配件
3、包含完成该项内容所有工作及费用并满足设计图纸、规范等要求</t>
        </is>
      </c>
      <c r="D417" s="27" t="inlineStr">
        <is>
          <t>自现有现场条件下按照合同约定范围、图纸（含设计变更）及甲方要求内容以及规范、标准、相关做法等要求完成并达到总包合同全部目标的全部工作内容。</t>
        </is>
      </c>
      <c r="E417" s="27" t="inlineStr">
        <is>
          <t>以最终验收合格的工程量计算</t>
        </is>
      </c>
      <c r="F417" s="28" t="inlineStr">
        <is>
          <t>m2</t>
        </is>
      </c>
      <c r="G417" s="61" t="n">
        <v>43.68</v>
      </c>
      <c r="H417" s="62" t="n">
        <v>962.6833333333331</v>
      </c>
      <c r="I417" s="65" t="n"/>
      <c r="J417" s="62">
        <f>H417*(1-$I$4)</f>
        <v/>
      </c>
      <c r="K417" s="63">
        <f>G417*J417</f>
        <v/>
      </c>
      <c r="L417" s="33" t="inlineStr">
        <is>
          <t>/</t>
        </is>
      </c>
      <c r="M417" s="64" t="n"/>
      <c r="N417" s="39" t="n">
        <v>1</v>
      </c>
      <c r="O417" t="n">
        <v>165</v>
      </c>
      <c r="P417" s="35" t="inlineStr">
        <is>
          <t>差:-797.68元 (-82.9%) 来源:售楼处</t>
        </is>
      </c>
      <c r="Q417" s="35" t="n"/>
      <c r="R417" s="35" t="n"/>
    </row>
    <row r="418" outlineLevel="1" customFormat="1" s="39">
      <c r="A418" s="26" t="inlineStr">
        <is>
          <t>四</t>
        </is>
      </c>
      <c r="B418" s="27" t="inlineStr">
        <is>
          <t>电梯厅(DT7)</t>
        </is>
      </c>
      <c r="C418" s="27" t="n"/>
      <c r="D418" s="27" t="n"/>
      <c r="E418" s="27" t="n"/>
      <c r="F418" s="28" t="n"/>
      <c r="G418" s="61" t="n"/>
      <c r="H418" s="62" t="n"/>
      <c r="I418" s="65" t="n"/>
      <c r="J418" s="62" t="n"/>
      <c r="K418" s="63" t="n"/>
      <c r="L418" s="33" t="n"/>
      <c r="M418" s="64" t="n"/>
      <c r="O418" s="38" t="n"/>
      <c r="P418" s="35" t="n"/>
      <c r="Q418" s="35" t="n"/>
      <c r="R418" s="35" t="n"/>
    </row>
    <row r="419" outlineLevel="1" customFormat="1" s="39">
      <c r="A419" s="36" t="n"/>
      <c r="B419" s="27" t="inlineStr">
        <is>
          <t>地面工程</t>
        </is>
      </c>
      <c r="C419" s="27" t="n"/>
      <c r="D419" s="27" t="n"/>
      <c r="E419" s="27" t="n"/>
      <c r="F419" s="28" t="n"/>
      <c r="G419" s="61" t="n"/>
      <c r="H419" s="62" t="n"/>
      <c r="I419" s="65" t="n"/>
      <c r="J419" s="62" t="n"/>
      <c r="K419" s="63" t="n"/>
      <c r="L419" s="33" t="n"/>
      <c r="M419" s="64" t="n"/>
      <c r="P419" s="35" t="n"/>
      <c r="Q419" s="35" t="n"/>
      <c r="R419" s="35" t="n"/>
    </row>
    <row r="420" outlineLevel="2" ht="108" customFormat="1" customHeight="1" s="39">
      <c r="A420" s="37">
        <f>1+N(A419)</f>
        <v/>
      </c>
      <c r="B420" s="27" t="inlineStr">
        <is>
          <t>地面铺贴大理石ST-03</t>
        </is>
      </c>
      <c r="C420" s="27" t="inlineStr">
        <is>
          <t>1.地面20mm大理石ST-03、铺贴、厚度及样式按物料书为准；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420"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420" s="27" t="inlineStr">
        <is>
          <t xml:space="preserve">执行《GB/T50854-2024房屋建筑与装饰工程工程量计算标准》，按设计图示尺寸
以面积计算。 </t>
        </is>
      </c>
      <c r="F420" s="28" t="inlineStr">
        <is>
          <t>m2</t>
        </is>
      </c>
      <c r="G420" s="61" t="n">
        <v>49</v>
      </c>
      <c r="H420" s="62" t="n">
        <v>218.75017</v>
      </c>
      <c r="I420" s="65" t="n"/>
      <c r="J420" s="62">
        <f>H420*(1-$I$4)</f>
        <v/>
      </c>
      <c r="K420" s="63">
        <f>G420*J420</f>
        <v/>
      </c>
      <c r="L420" s="33" t="inlineStr">
        <is>
          <t>石材</t>
        </is>
      </c>
      <c r="M420" s="64" t="n"/>
      <c r="N420" s="39" t="n">
        <v>1</v>
      </c>
      <c r="O420" t="n">
        <v>130</v>
      </c>
      <c r="P420" s="35" t="inlineStr">
        <is>
          <t>差:-88.75元 (-40.6%) 来源:售楼处</t>
        </is>
      </c>
      <c r="Q420" s="35" t="n"/>
      <c r="R420" s="35" t="n"/>
    </row>
    <row r="421" outlineLevel="2" ht="108" customFormat="1" customHeight="1" s="39">
      <c r="A421" s="37">
        <f>1+N(A420)</f>
        <v/>
      </c>
      <c r="B421" s="27" t="inlineStr">
        <is>
          <t>地面地砖 CT-01</t>
        </is>
      </c>
      <c r="C421" s="27" t="inlineStr">
        <is>
          <t>1.地面花砖CT-01；
2.10mm厚专用粘结剂；
3.80mm厚DS-M15干混砂浆找平；
4.基层清理；
5.含切边、倒角、拼接等处理；
6.包含完成该项内容所有工作及费用并满足设计图纸、规范等要求；</t>
        </is>
      </c>
      <c r="D421"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421" s="27" t="inlineStr">
        <is>
          <t xml:space="preserve">执行《GB/T50854-2024房屋建筑与装饰工程工程量计算标准》，按设计图示尺寸
以面积计算。 </t>
        </is>
      </c>
      <c r="F421" s="28" t="inlineStr">
        <is>
          <t>m2</t>
        </is>
      </c>
      <c r="G421" s="61" t="n">
        <v>229.6</v>
      </c>
      <c r="H421" s="62" t="n">
        <v>164.71148</v>
      </c>
      <c r="I421" s="65" t="n"/>
      <c r="J421" s="62">
        <f>H421*(1-$I$4)</f>
        <v/>
      </c>
      <c r="K421" s="63">
        <f>G421*J421</f>
        <v/>
      </c>
      <c r="L421" s="33" t="inlineStr">
        <is>
          <t>瓷砖</t>
        </is>
      </c>
      <c r="M421" s="64" t="n"/>
      <c r="N421" s="39" t="n">
        <v>1</v>
      </c>
      <c r="O421" t="n">
        <v>80</v>
      </c>
      <c r="P421" s="35" t="inlineStr">
        <is>
          <t>差:-84.71元 (-51.4%) 来源:售楼处</t>
        </is>
      </c>
      <c r="Q421" s="35" t="n"/>
      <c r="R421" s="35" t="n"/>
    </row>
    <row r="422" outlineLevel="2" ht="108" customFormat="1" customHeight="1" s="39">
      <c r="A422" s="37">
        <f>1+N(A421)</f>
        <v/>
      </c>
      <c r="B422" s="27" t="inlineStr">
        <is>
          <t>地面地砖拼花 CT-01.02</t>
        </is>
      </c>
      <c r="C422" s="27" t="inlineStr">
        <is>
          <t>1.地面地砖拼花 CT-01.02；
2.10mm厚专用粘结剂；
3.80mm厚DS-M15干混砂浆找平；
4.基层清理；
5.含切边、倒角、拼接等处理；
6.包含完成该项内容所有工作及费用并满足设计图纸、规范等要求；</t>
        </is>
      </c>
      <c r="D422"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422" s="27" t="inlineStr">
        <is>
          <t xml:space="preserve">执行《GB/T50854-2024房屋建筑与装饰工程工程量计算标准》，按设计图示尺寸
以面积计算。 </t>
        </is>
      </c>
      <c r="F422" s="28" t="inlineStr">
        <is>
          <t>m2</t>
        </is>
      </c>
      <c r="G422" s="61" t="n">
        <v>210</v>
      </c>
      <c r="H422" s="62" t="n">
        <v>235.51148</v>
      </c>
      <c r="I422" s="65" t="n"/>
      <c r="J422" s="62">
        <f>H422*(1-$I$4)</f>
        <v/>
      </c>
      <c r="K422" s="63">
        <f>G422*J422</f>
        <v/>
      </c>
      <c r="L422" s="33" t="inlineStr">
        <is>
          <t>瓷砖</t>
        </is>
      </c>
      <c r="M422" s="64" t="n"/>
      <c r="N422" s="39" t="n">
        <v>1</v>
      </c>
      <c r="O422" t="n">
        <v>80</v>
      </c>
      <c r="P422" s="35" t="inlineStr">
        <is>
          <t>差:-155.51元 (-66.0%) 来源:售楼处</t>
        </is>
      </c>
      <c r="Q422" s="35" t="n"/>
      <c r="R422" s="35" t="n"/>
    </row>
    <row r="423" outlineLevel="2" ht="108" customFormat="1" customHeight="1" s="39">
      <c r="A423" s="37">
        <f>1+N(A422)</f>
        <v/>
      </c>
      <c r="B423" s="27" t="inlineStr">
        <is>
          <t>实心铜条5mm宽</t>
        </is>
      </c>
      <c r="C423" s="27" t="inlineStr">
        <is>
          <t>1.实心铜条5mm宽；
2.包含完成该项内容所有工作及费用并满足设计图纸、规范等要求；</t>
        </is>
      </c>
      <c r="D423"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423" s="27" t="inlineStr">
        <is>
          <t>按设计图示尺寸以长度计算。</t>
        </is>
      </c>
      <c r="F423" s="28" t="inlineStr">
        <is>
          <t>m</t>
        </is>
      </c>
      <c r="G423" s="61" t="n">
        <v>316.4</v>
      </c>
      <c r="H423" s="62" t="n">
        <v>89.267</v>
      </c>
      <c r="I423" s="65" t="n"/>
      <c r="J423" s="62">
        <f>H423*(1-$I$4)</f>
        <v/>
      </c>
      <c r="K423" s="63">
        <f>G423*J423</f>
        <v/>
      </c>
      <c r="L423" s="33" t="inlineStr">
        <is>
          <t>/</t>
        </is>
      </c>
      <c r="M423" s="64" t="n"/>
      <c r="N423" s="39" t="n">
        <v>1</v>
      </c>
      <c r="O423" t="n">
        <v>12</v>
      </c>
      <c r="P423" s="35" t="inlineStr">
        <is>
          <t>差:-77.27元 (-86.6%) 来源:售楼处</t>
        </is>
      </c>
      <c r="Q423" s="35" t="n"/>
      <c r="R423" s="35" t="n"/>
    </row>
    <row r="424" outlineLevel="2" ht="108" customFormat="1" customHeight="1" s="39">
      <c r="A424" s="37">
        <f>1+N(A423)</f>
        <v/>
      </c>
      <c r="B424" s="27" t="inlineStr">
        <is>
          <t>地面石材晶面处理</t>
        </is>
      </c>
      <c r="C424" s="27" t="inlineStr">
        <is>
          <t>1.石材结晶处理(结晶水及石材保养剂,中性清洁剂)；
2.包含完成该项内容所有工作及费用并满足设计图纸、规范等要求；</t>
        </is>
      </c>
      <c r="D424"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424" s="27" t="inlineStr">
        <is>
          <t xml:space="preserve">执行《GB/T50854-2024房屋建筑与装饰工程工程量计算标准》，按设计图示尺寸
以面积计算。 </t>
        </is>
      </c>
      <c r="F424" s="28" t="inlineStr">
        <is>
          <t>m2</t>
        </is>
      </c>
      <c r="G424" s="61" t="n">
        <v>49</v>
      </c>
      <c r="H424" s="62" t="n">
        <v>64.90000000000001</v>
      </c>
      <c r="I424" s="65" t="n"/>
      <c r="J424" s="62">
        <f>H424*(1-$I$4)</f>
        <v/>
      </c>
      <c r="K424" s="63">
        <f>G424*J424</f>
        <v/>
      </c>
      <c r="L424" s="33" t="inlineStr">
        <is>
          <t>/</t>
        </is>
      </c>
      <c r="M424" s="64" t="n"/>
      <c r="N424" s="39" t="n">
        <v>1</v>
      </c>
      <c r="O424" t="n">
        <v>40</v>
      </c>
      <c r="P424" s="35" t="inlineStr">
        <is>
          <t>差:-24.90元 (-38.4%) 来源:售楼处</t>
        </is>
      </c>
      <c r="Q424" s="35" t="n"/>
      <c r="R424" s="35" t="n"/>
    </row>
    <row r="425" outlineLevel="1" customFormat="1" s="39">
      <c r="A425" s="36" t="n"/>
      <c r="B425" s="27" t="inlineStr">
        <is>
          <t>墙柱面工程</t>
        </is>
      </c>
      <c r="C425" s="27" t="n"/>
      <c r="D425" s="27" t="n"/>
      <c r="E425" s="27" t="n"/>
      <c r="F425" s="28" t="n"/>
      <c r="G425" s="61" t="n"/>
      <c r="H425" s="62" t="n"/>
      <c r="I425" s="65" t="n"/>
      <c r="J425" s="62" t="n"/>
      <c r="K425" s="63" t="n"/>
      <c r="L425" s="33" t="n"/>
      <c r="M425" s="64" t="n"/>
      <c r="P425" s="35" t="n"/>
      <c r="Q425" s="35" t="n"/>
      <c r="R425" s="35" t="n"/>
    </row>
    <row r="426" outlineLevel="2" ht="180" customFormat="1" customHeight="1" s="39">
      <c r="A426" s="37">
        <f>1+N(A425)</f>
        <v/>
      </c>
      <c r="B426" s="27" t="inlineStr">
        <is>
          <t>墙面WD-08摩素板</t>
        </is>
      </c>
      <c r="C426" s="27" t="inlineStr">
        <is>
          <t>1、墙面WD-08摩素板(结构胶固定)
2、12厘玻镁板基层
3、膨胀螺栓、轻钢龙骨(钢结构)基层找平
4、包含完成该项内容所有工作及费用并满足设计图纸、规范等要求</t>
        </is>
      </c>
      <c r="D426"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426" s="27" t="inlineStr">
        <is>
          <t>执行《GB/T50854-2024房屋建筑与装饰工程工程量计算标准》，按设计图示饰面外围尺寸
以面积计算。 扣除门窗洞口面积，不扣除单个面积≤0.3㎡的孔洞所占面积。</t>
        </is>
      </c>
      <c r="F426" s="28" t="inlineStr">
        <is>
          <t>m2</t>
        </is>
      </c>
      <c r="G426" s="61" t="n">
        <v>76.98</v>
      </c>
      <c r="H426" s="62" t="n">
        <v>186.44</v>
      </c>
      <c r="I426" s="65" t="n"/>
      <c r="J426" s="62">
        <f>H426*(1-$I$4)</f>
        <v/>
      </c>
      <c r="K426" s="63">
        <f>G426*J426</f>
        <v/>
      </c>
      <c r="L426" s="33" t="inlineStr">
        <is>
          <t>摩素板</t>
        </is>
      </c>
      <c r="M426" s="64" t="n"/>
      <c r="N426" s="39" t="n">
        <v>1</v>
      </c>
      <c r="O426" t="n">
        <v>35</v>
      </c>
      <c r="P426" s="35" t="inlineStr">
        <is>
          <t>差:-151.44元 (-81.2%) 来源:售楼处</t>
        </is>
      </c>
      <c r="Q426" s="35" t="n"/>
      <c r="R426" s="35" t="n"/>
    </row>
    <row r="427" outlineLevel="2" ht="180" customFormat="1" customHeight="1" s="39">
      <c r="A427" s="37">
        <f>1+N(A426)</f>
        <v/>
      </c>
      <c r="B427" s="27" t="inlineStr">
        <is>
          <t>WD-07摩素板</t>
        </is>
      </c>
      <c r="C427" s="27" t="inlineStr">
        <is>
          <t>1、墙面WD-07摩素板(结构胶固定)
2、12厘玻镁板基层
3、膨胀螺栓、轻钢龙骨(钢结构)基层找平
4、包含完成该项内容所有工作及费用并满足设计图纸、规范等要求</t>
        </is>
      </c>
      <c r="D427"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427" s="27" t="inlineStr">
        <is>
          <t>执行《GB/T50854-2024房屋建筑与装饰工程工程量计算标准》，按设计图示饰面外围尺寸以面积计算。 扣除门窗洞口面积，不扣除单个面积≤0.3㎡的孔洞所占面积。</t>
        </is>
      </c>
      <c r="F427" s="28" t="inlineStr">
        <is>
          <t>m2</t>
        </is>
      </c>
      <c r="G427" s="61" t="n">
        <v>386.54</v>
      </c>
      <c r="H427" s="62" t="n">
        <v>186.44</v>
      </c>
      <c r="I427" s="65" t="n"/>
      <c r="J427" s="62">
        <f>H427*(1-$I$4)</f>
        <v/>
      </c>
      <c r="K427" s="63">
        <f>G427*J427</f>
        <v/>
      </c>
      <c r="L427" s="33" t="inlineStr">
        <is>
          <t>摩素板</t>
        </is>
      </c>
      <c r="M427" s="64" t="n"/>
      <c r="N427" s="39" t="n">
        <v>1</v>
      </c>
      <c r="O427" t="n">
        <v>35</v>
      </c>
      <c r="P427" s="35" t="inlineStr">
        <is>
          <t>差:-151.44元 (-81.2%) 来源:售楼处</t>
        </is>
      </c>
      <c r="Q427" s="35" t="n"/>
      <c r="R427" s="35" t="n"/>
    </row>
    <row r="428" outlineLevel="2" ht="144" customFormat="1" customHeight="1" s="39">
      <c r="A428" s="37">
        <f>1+N(A427)</f>
        <v/>
      </c>
      <c r="B428" s="27" t="inlineStr">
        <is>
          <t>墙面PT-01肌理无机涂料</t>
        </is>
      </c>
      <c r="C428" s="27" t="inlineStr">
        <is>
          <t>1、墙面PT-01肌理无机涂料(底漆1遍，面漆2遍)
2、刮白胶腻子找平二遍，打磨
3、阴、阳角护角收边
4、双层9.5mm纸面石膏板
5、轻钢龙骨基层找平
6、包含完成该项内容所有工作及费用并满足设计图纸、规范等要求</t>
        </is>
      </c>
      <c r="D428"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428" s="27" t="inlineStr">
        <is>
          <t xml:space="preserve">执行《GB/T50854-2024房屋建筑与装饰工程工程量计算标准》，按设计图示尺寸
以面积计算。 </t>
        </is>
      </c>
      <c r="F428" s="28" t="inlineStr">
        <is>
          <t>m2</t>
        </is>
      </c>
      <c r="G428" s="61" t="n">
        <v>338.89</v>
      </c>
      <c r="H428" s="62" t="n">
        <v>207.68</v>
      </c>
      <c r="I428" s="65" t="n"/>
      <c r="J428" s="62">
        <f>H428*(1-$I$4)</f>
        <v/>
      </c>
      <c r="K428" s="63">
        <f>G428*J428</f>
        <v/>
      </c>
      <c r="L428" s="33" t="inlineStr">
        <is>
          <t>涂料</t>
        </is>
      </c>
      <c r="M428" s="64" t="n"/>
      <c r="N428" s="39" t="n">
        <v>1</v>
      </c>
      <c r="O428" t="n">
        <v>110</v>
      </c>
      <c r="P428" s="35" t="inlineStr">
        <is>
          <t>差:-97.68元 (-47.0%) 来源:售楼处</t>
        </is>
      </c>
      <c r="Q428" s="35" t="n"/>
      <c r="R428" s="35" t="n"/>
    </row>
    <row r="429" outlineLevel="2" ht="180" customFormat="1" customHeight="1" s="39">
      <c r="A429" s="37">
        <f>1+N(A428)</f>
        <v/>
      </c>
      <c r="B429" s="27" t="inlineStr">
        <is>
          <t>MT-01古铜不锈钢饰面</t>
        </is>
      </c>
      <c r="C429" s="27" t="inlineStr">
        <is>
          <t>1、1.2mm厚 MT-01古铜不锈钢饰面，结构胶固定
2、12厘玻镁板基层
3、包含完成该项内容所有工作及费用并满足设计图纸、规范等要求</t>
        </is>
      </c>
      <c r="D429"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429" s="27" t="inlineStr">
        <is>
          <t>执行《GB/T50854-2024房屋建筑与装饰工程工程量计算标准》，按设计图示饰面外围尺寸
以面积计算。 扣除门窗洞口面积，不扣除单个面积≤0.3㎡的孔洞所占面积。</t>
        </is>
      </c>
      <c r="F429" s="28" t="inlineStr">
        <is>
          <t>m2</t>
        </is>
      </c>
      <c r="G429" s="61" t="n">
        <v>55.59</v>
      </c>
      <c r="H429" s="62" t="n">
        <v>247.8</v>
      </c>
      <c r="I429" s="65" t="n"/>
      <c r="J429" s="62">
        <f>H429*(1-$I$4)</f>
        <v/>
      </c>
      <c r="K429" s="63">
        <f>G429*J429</f>
        <v/>
      </c>
      <c r="L429" s="33" t="inlineStr">
        <is>
          <t>不锈钢饰面</t>
        </is>
      </c>
      <c r="M429" s="64" t="n"/>
      <c r="N429" s="39" t="n">
        <v>1</v>
      </c>
      <c r="O429" t="n">
        <v>110</v>
      </c>
      <c r="P429" s="35" t="inlineStr">
        <is>
          <t>差:-137.80元 (-55.6%) 来源:售楼处</t>
        </is>
      </c>
      <c r="Q429" s="35" t="n"/>
      <c r="R429" s="35" t="n"/>
    </row>
    <row r="430" outlineLevel="2" ht="144" customFormat="1" customHeight="1" s="39">
      <c r="A430" s="37">
        <f>1+N(A429)</f>
        <v/>
      </c>
      <c r="B430" s="27" t="inlineStr">
        <is>
          <t>MT-04手敲铜不锈钢饰面</t>
        </is>
      </c>
      <c r="C430" s="27" t="inlineStr">
        <is>
          <t>1、1.2mm厚 MT-04手敲铜不锈钢饰面，结构胶固定
2、12厘玻镁板基层
3、包含完成该项内容所有工作及费用并满足设计图纸、规范等要求</t>
        </is>
      </c>
      <c r="D430"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430" s="27" t="inlineStr">
        <is>
          <t>执行《GB/T50854-2024房屋建筑与装饰工程工程量计算标准》，按设计图示饰面外围尺寸以面积计算。</t>
        </is>
      </c>
      <c r="F430" s="28" t="inlineStr">
        <is>
          <t>m2</t>
        </is>
      </c>
      <c r="G430" s="61" t="n">
        <v>52.81</v>
      </c>
      <c r="H430" s="62" t="n">
        <v>247.8</v>
      </c>
      <c r="I430" s="65" t="n"/>
      <c r="J430" s="62">
        <f>H430*(1-$I$4)</f>
        <v/>
      </c>
      <c r="K430" s="63">
        <f>G430*J430</f>
        <v/>
      </c>
      <c r="L430" s="33" t="inlineStr">
        <is>
          <t>不锈钢饰面</t>
        </is>
      </c>
      <c r="M430" s="64" t="n"/>
      <c r="N430" s="39" t="n">
        <v>1</v>
      </c>
      <c r="O430" t="n">
        <v>110</v>
      </c>
      <c r="P430" s="35" t="inlineStr">
        <is>
          <t>差:-137.80元 (-55.6%) 来源:售楼处</t>
        </is>
      </c>
      <c r="Q430" s="35" t="n"/>
      <c r="R430" s="35" t="n"/>
    </row>
    <row r="431" outlineLevel="2" ht="144" customFormat="1" customHeight="1" s="39">
      <c r="A431" s="37">
        <f>1+N(A430)</f>
        <v/>
      </c>
      <c r="B431" s="27" t="inlineStr">
        <is>
          <t>SF-03透光片</t>
        </is>
      </c>
      <c r="C431" s="27" t="inlineStr">
        <is>
          <t>1、SF-03透光片，结构胶固定
2、12厘玻镁板基层
3、包含完成该项内容所有工作及费用并满足设计图纸、规范等要求</t>
        </is>
      </c>
      <c r="D431"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431" s="27" t="inlineStr">
        <is>
          <t>执行《GB/T50854-2024房屋建筑与装饰工程工程量计算标准》，按设计图示饰面外围尺寸以面积计算。</t>
        </is>
      </c>
      <c r="F431" s="28" t="inlineStr">
        <is>
          <t>m2</t>
        </is>
      </c>
      <c r="G431" s="61" t="n">
        <v>1.58</v>
      </c>
      <c r="H431" s="62" t="n">
        <v>812.312</v>
      </c>
      <c r="I431" s="65" t="n"/>
      <c r="J431" s="62">
        <f>H431*(1-$I$4)</f>
        <v/>
      </c>
      <c r="K431" s="63">
        <f>G431*J431</f>
        <v/>
      </c>
      <c r="L431" s="33" t="inlineStr">
        <is>
          <t>/</t>
        </is>
      </c>
      <c r="M431" s="64" t="n"/>
      <c r="N431" s="39" t="n">
        <v>1</v>
      </c>
      <c r="O431" t="n">
        <v>150</v>
      </c>
      <c r="P431" s="35" t="inlineStr">
        <is>
          <t>差:-662.31元 (-81.5%) 来源:售楼处</t>
        </is>
      </c>
      <c r="Q431" s="35" t="n"/>
      <c r="R431" s="35" t="n"/>
    </row>
    <row r="432" outlineLevel="2" ht="180" customFormat="1" customHeight="1" s="39">
      <c r="A432" s="37">
        <f>1+N(A431)</f>
        <v/>
      </c>
      <c r="B432" s="27" t="inlineStr">
        <is>
          <t>电梯不锈钢门头</t>
        </is>
      </c>
      <c r="C432" s="27" t="inlineStr">
        <is>
          <t>1、1.2mm厚 MT-01古铜不锈钢门头，结构胶固定
2、12mm阻燃板，轻钢副龙骨@400
3、电梯门顶内置亚克力，内部面层刮白处理
4、工程量以展开面积计算
5、包含完成该项内容所有工作及费用并满足设计图纸、规范等要求</t>
        </is>
      </c>
      <c r="D432"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432" s="27" t="inlineStr">
        <is>
          <t>执行《GB/T50854-2024房屋建筑与装饰工程工程量计算标准》，按设计图示饰面外围尺寸
以面积计算。 扣除门窗洞口面积，不扣除单个面积≤0.3㎡的孔洞所占面积。</t>
        </is>
      </c>
      <c r="F432" s="28" t="inlineStr">
        <is>
          <t>m2</t>
        </is>
      </c>
      <c r="G432" s="61" t="n">
        <v>20.33</v>
      </c>
      <c r="H432" s="62" t="n">
        <v>812.961</v>
      </c>
      <c r="I432" s="65" t="n"/>
      <c r="J432" s="62">
        <f>H432*(1-$I$4)</f>
        <v/>
      </c>
      <c r="K432" s="63">
        <f>G432*J432</f>
        <v/>
      </c>
      <c r="L432" s="33" t="inlineStr">
        <is>
          <t>/</t>
        </is>
      </c>
      <c r="M432" s="64" t="n"/>
      <c r="N432" s="39" t="n">
        <v>1</v>
      </c>
      <c r="O432" t="n">
        <v>110</v>
      </c>
      <c r="P432" s="35" t="inlineStr">
        <is>
          <t>差:-702.96元 (-86.5%) 来源:售楼处</t>
        </is>
      </c>
      <c r="Q432" s="35" t="n"/>
      <c r="R432" s="35" t="n"/>
    </row>
    <row r="433" outlineLevel="2" ht="144" customFormat="1" customHeight="1" s="39">
      <c r="A433" s="37">
        <f>1+N(A432)</f>
        <v/>
      </c>
      <c r="B433" s="27" t="inlineStr">
        <is>
          <t>MT-01古铜不锈钢踢脚线（高20mm）</t>
        </is>
      </c>
      <c r="C433" s="27" t="inlineStr">
        <is>
          <t>1、1.2mm厚 MT-01古铜不锈钢踢脚线（高20mm，展开面为46mm），结构胶固定
2、9厘玻镁板基层
3、包含完成该项内容所有工作及费用并满足设计图纸、规范等要求</t>
        </is>
      </c>
      <c r="D433"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433" s="27" t="inlineStr">
        <is>
          <t>按设计图示尺寸以长度计算。</t>
        </is>
      </c>
      <c r="F433" s="28" t="inlineStr">
        <is>
          <t>m</t>
        </is>
      </c>
      <c r="G433" s="61" t="n">
        <v>409.95</v>
      </c>
      <c r="H433" s="62" t="n">
        <v>31.86</v>
      </c>
      <c r="I433" s="65" t="n"/>
      <c r="J433" s="62">
        <f>H433*(1-$I$4)</f>
        <v/>
      </c>
      <c r="K433" s="63">
        <f>G433*J433</f>
        <v/>
      </c>
      <c r="L433" s="33" t="inlineStr">
        <is>
          <t>不锈钢踢脚线</t>
        </is>
      </c>
      <c r="M433" s="64" t="n"/>
      <c r="N433" s="39" t="n">
        <v>1</v>
      </c>
      <c r="O433" t="n">
        <v>12</v>
      </c>
      <c r="P433" s="35" t="inlineStr">
        <is>
          <t>差:-19.86元 (-62.3%) 来源:售楼处</t>
        </is>
      </c>
      <c r="Q433" s="35" t="n"/>
      <c r="R433" s="35" t="n"/>
    </row>
    <row r="434" outlineLevel="2" ht="144" customFormat="1" customHeight="1" s="39">
      <c r="A434" s="37">
        <f>1+N(A433)</f>
        <v/>
      </c>
      <c r="B434" s="27" t="inlineStr">
        <is>
          <t>MT-01古铜不锈钢线条（展开面为32mm）</t>
        </is>
      </c>
      <c r="C434" s="27" t="inlineStr">
        <is>
          <t>1、1.2mm厚 MT-01古铜不锈钢线条（展开面为32mm），结构胶固定
2、12厘玻镁板基层
3、包含完成该项内容所有工作及费用并满足设计图纸、规范等要求</t>
        </is>
      </c>
      <c r="D434"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434" s="27" t="inlineStr">
        <is>
          <t>按设计图示尺寸以长度计算。</t>
        </is>
      </c>
      <c r="F434" s="28" t="inlineStr">
        <is>
          <t>m</t>
        </is>
      </c>
      <c r="G434" s="61" t="n">
        <v>659.6799999999999</v>
      </c>
      <c r="H434" s="62" t="n">
        <v>56.362464</v>
      </c>
      <c r="I434" s="65" t="n"/>
      <c r="J434" s="62">
        <f>H434*(1-$I$4)</f>
        <v/>
      </c>
      <c r="K434" s="63">
        <f>G434*J434</f>
        <v/>
      </c>
      <c r="L434" s="33" t="inlineStr">
        <is>
          <t>/</t>
        </is>
      </c>
      <c r="M434" s="64" t="n"/>
      <c r="N434" s="39" t="n">
        <v>1</v>
      </c>
      <c r="O434" t="n">
        <v>15</v>
      </c>
      <c r="P434" s="35" t="inlineStr">
        <is>
          <t>差:-41.36元 (-73.4%) 来源:售楼处</t>
        </is>
      </c>
      <c r="Q434" s="35" t="n"/>
      <c r="R434" s="35" t="n"/>
    </row>
    <row r="435" outlineLevel="2" ht="144" customFormat="1" customHeight="1" s="39">
      <c r="A435" s="37">
        <f>1+N(A434)</f>
        <v/>
      </c>
      <c r="B435" s="27" t="inlineStr">
        <is>
          <t>MT-01古铜不锈钢线条（展开面为33mm）</t>
        </is>
      </c>
      <c r="C435" s="27" t="inlineStr">
        <is>
          <t>1、1.2mm厚 MT-01古铜不锈钢线条（展开面为33mm），结构胶固定
2、12厘玻镁板基层
3、包含完成该项内容所有工作及费用并满足设计图纸、规范等要求</t>
        </is>
      </c>
      <c r="D435"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435" s="27" t="inlineStr">
        <is>
          <t>按设计图示尺寸以长度计算。</t>
        </is>
      </c>
      <c r="F435" s="28" t="inlineStr">
        <is>
          <t>m</t>
        </is>
      </c>
      <c r="G435" s="61" t="n">
        <v>171.08</v>
      </c>
      <c r="H435" s="62" t="n">
        <v>57.128166</v>
      </c>
      <c r="I435" s="65" t="n"/>
      <c r="J435" s="62">
        <f>H435*(1-$I$4)</f>
        <v/>
      </c>
      <c r="K435" s="63">
        <f>G435*J435</f>
        <v/>
      </c>
      <c r="L435" s="33" t="inlineStr">
        <is>
          <t>/</t>
        </is>
      </c>
      <c r="M435" s="64" t="n"/>
      <c r="N435" s="39" t="n">
        <v>1</v>
      </c>
      <c r="O435" t="n">
        <v>15</v>
      </c>
      <c r="P435" s="35" t="inlineStr">
        <is>
          <t>差:-42.13元 (-73.7%) 来源:售楼处</t>
        </is>
      </c>
      <c r="Q435" s="35" t="n"/>
      <c r="R435" s="35" t="n"/>
    </row>
    <row r="436" outlineLevel="2" ht="144" customFormat="1" customHeight="1" s="39">
      <c r="A436" s="37">
        <f>1+N(A435)</f>
        <v/>
      </c>
      <c r="B436" s="27" t="inlineStr">
        <is>
          <t>MT-01古铜不锈钢顶部收口条（展开面为41mm）</t>
        </is>
      </c>
      <c r="C436" s="27" t="inlineStr">
        <is>
          <t>1、1.2mm厚 MT-01古铜不锈钢顶部收口条（展开面为41mm），结构胶固定
2、9厘玻镁板基层
3、包含完成该项内容所有工作及费用并满足设计图纸、规范等要求</t>
        </is>
      </c>
      <c r="D436"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436" s="27" t="inlineStr">
        <is>
          <t>按设计图示尺寸以长度计算。</t>
        </is>
      </c>
      <c r="F436" s="28" t="inlineStr">
        <is>
          <t>m</t>
        </is>
      </c>
      <c r="G436" s="61" t="n">
        <v>409.95</v>
      </c>
      <c r="H436" s="62" t="n">
        <v>64.24509999999999</v>
      </c>
      <c r="I436" s="65" t="n"/>
      <c r="J436" s="62">
        <f>H436*(1-$I$4)</f>
        <v/>
      </c>
      <c r="K436" s="63">
        <f>G436*J436</f>
        <v/>
      </c>
      <c r="L436" s="33" t="inlineStr">
        <is>
          <t>/</t>
        </is>
      </c>
      <c r="M436" s="64" t="n"/>
      <c r="N436" s="39" t="n">
        <v>1</v>
      </c>
      <c r="O436" t="n">
        <v>12</v>
      </c>
      <c r="P436" s="35" t="inlineStr">
        <is>
          <t>差:-52.25元 (-81.3%) 来源:售楼处</t>
        </is>
      </c>
      <c r="Q436" s="35" t="n"/>
      <c r="R436" s="35" t="n"/>
    </row>
    <row r="437" outlineLevel="2" ht="72" customFormat="1" customHeight="1" s="39">
      <c r="A437" s="37">
        <f>1+N(A436)</f>
        <v/>
      </c>
      <c r="B437" s="27" t="inlineStr">
        <is>
          <t>MT-01古铜不锈钢窗套（展开面为95mm）</t>
        </is>
      </c>
      <c r="C437" s="27" t="inlineStr">
        <is>
          <t>1、1.2mm厚 MT-01古铜不锈钢窗套（展开面为95mm），结构胶固定
2、9厘玻镁板基层
3、包含完成该项内容所有工作及费用并满足设计图纸、规范等要求</t>
        </is>
      </c>
      <c r="D437" s="27" t="inlineStr">
        <is>
          <t>自现有现场条件下按照合同约定范围、图纸（含设计变更）及甲方要求内容以及规范、标准、相关做法等要求完成并达到总包合同全部目标的全部工作内容。</t>
        </is>
      </c>
      <c r="E437" s="27" t="inlineStr">
        <is>
          <t>以最终验收合格的工程量计算</t>
        </is>
      </c>
      <c r="F437" s="28" t="inlineStr">
        <is>
          <t>m2</t>
        </is>
      </c>
      <c r="G437" s="61" t="n">
        <v>31.87</v>
      </c>
      <c r="H437" s="62" t="n">
        <v>630.651</v>
      </c>
      <c r="I437" s="65" t="n"/>
      <c r="J437" s="62">
        <f>H437*(1-$I$4)</f>
        <v/>
      </c>
      <c r="K437" s="63">
        <f>G437*J437</f>
        <v/>
      </c>
      <c r="L437" s="33" t="inlineStr">
        <is>
          <t>/</t>
        </is>
      </c>
      <c r="M437" s="64" t="n"/>
      <c r="N437" s="39" t="n">
        <v>1</v>
      </c>
      <c r="O437" t="n">
        <v>110</v>
      </c>
      <c r="P437" s="35" t="inlineStr">
        <is>
          <t>差:-520.65元 (-82.6%) 来源:售楼处</t>
        </is>
      </c>
      <c r="Q437" s="35" t="n"/>
      <c r="R437" s="35" t="n"/>
    </row>
    <row r="438" outlineLevel="1" customFormat="1" s="39">
      <c r="A438" s="36" t="n"/>
      <c r="B438" s="27" t="inlineStr">
        <is>
          <t>天花工程</t>
        </is>
      </c>
      <c r="C438" s="27" t="n"/>
      <c r="D438" s="27" t="n"/>
      <c r="E438" s="27" t="n"/>
      <c r="F438" s="28" t="n"/>
      <c r="G438" s="61" t="n"/>
      <c r="H438" s="62" t="n"/>
      <c r="I438" s="65" t="n"/>
      <c r="J438" s="62" t="n"/>
      <c r="K438" s="63" t="n"/>
      <c r="L438" s="33" t="n"/>
      <c r="M438" s="64" t="n"/>
      <c r="P438" s="35" t="n"/>
      <c r="Q438" s="35" t="n"/>
      <c r="R438" s="35" t="n"/>
    </row>
    <row r="439" outlineLevel="2" ht="192" customFormat="1" customHeight="1" s="39">
      <c r="A439" s="37">
        <f>1+N(A438)</f>
        <v/>
      </c>
      <c r="B439" s="27" t="inlineStr">
        <is>
          <t>造型石膏板吊顶</t>
        </is>
      </c>
      <c r="C439" s="27" t="inlineStr">
        <is>
          <t>1.60系列轻钢主龙骨@900，60系列轻钢副龙骨@400，60系列横撑龙骨@600，08螺纹吊杆@900不上人天花吊顶（投影面计算）
2.玻镁板、双层9.5厚石膏板基层，含开孔、检修口、10*10凹槽等费用；
3.含除灯槽外的侧面高差及其连接件、吊件；
4.包含完成该项内容所有工作及费用并满足设计图纸、规范等要求；</t>
        </is>
      </c>
      <c r="D439" s="27" t="inlineStr">
        <is>
          <t>1.基层清理。
2.弹线定位、排版。
3.吊杆及连接件安装调平、收口及密封处理。
4.材料切割处理找平、石膏板安装及调整，打胶密封与清理.
5.收口及其他处理：检修口等制作安装、收边收口、配合预留安装、机电等专业孔洞及孔洞收口处理。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439" s="27" t="inlineStr">
        <is>
          <t>按设计图示尺寸以水平投影面积计算。不扣除间壁墙、检查口、附墙烟囱、柱垛和管道所占面积,扣除单个&gt;0.3m3的孔洞、非密拼吊顶空隙所占的面积、独立柱及与天棚相连的窗帘盒所占的面积。</t>
        </is>
      </c>
      <c r="F439" s="28" t="inlineStr">
        <is>
          <t>m2</t>
        </is>
      </c>
      <c r="G439" s="61" t="n">
        <v>439.6</v>
      </c>
      <c r="H439" s="62" t="n">
        <v>150.712222222222</v>
      </c>
      <c r="I439" s="65" t="n"/>
      <c r="J439" s="62">
        <f>H439*(1-$I$4)</f>
        <v/>
      </c>
      <c r="K439" s="63">
        <f>G439*J439</f>
        <v/>
      </c>
      <c r="L439" s="33" t="inlineStr">
        <is>
          <t>/</t>
        </is>
      </c>
      <c r="M439" s="64" t="n"/>
      <c r="N439" s="39" t="n">
        <v>1</v>
      </c>
      <c r="O439" t="n">
        <v>70</v>
      </c>
      <c r="P439" s="35" t="inlineStr">
        <is>
          <t>差:-80.71元 (-53.6%) 来源:售楼处</t>
        </is>
      </c>
      <c r="Q439" s="35" t="n"/>
      <c r="R439" s="35" t="n"/>
    </row>
    <row r="440" outlineLevel="2" ht="72" customFormat="1" customHeight="1" s="39">
      <c r="A440" s="37">
        <f>1+N(A439)</f>
        <v/>
      </c>
      <c r="B440" s="27" t="inlineStr">
        <is>
          <t>灯槽（100mm*200mm）</t>
        </is>
      </c>
      <c r="C440" s="27" t="inlineStr">
        <is>
          <t>1.灯槽（100mm*200mm）；
2.双层板：9mm玻镁板、9.5厚石膏板；
3.包含完成该项内容所有工作及费用并满足设计图纸、规范等要求；</t>
        </is>
      </c>
      <c r="D440" s="27" t="inlineStr">
        <is>
          <t>自现有现场条件下按照合同约定范围、图纸（含设计变更）及甲方要求内容以及规范、标准、相关做法等要求完成并达到总包合同全部目标的全部工作内容。</t>
        </is>
      </c>
      <c r="E440" s="27" t="inlineStr">
        <is>
          <t>依据经承包人确认的施工部位,按设计图示尺寸以延长米计算。</t>
        </is>
      </c>
      <c r="F440" s="28" t="inlineStr">
        <is>
          <t>m</t>
        </is>
      </c>
      <c r="G440" s="61" t="n">
        <v>254.8</v>
      </c>
      <c r="H440" s="62" t="n">
        <v>112.159</v>
      </c>
      <c r="I440" s="65" t="n"/>
      <c r="J440" s="62">
        <f>H440*(1-$I$4)</f>
        <v/>
      </c>
      <c r="K440" s="63">
        <f>G440*J440</f>
        <v/>
      </c>
      <c r="L440" s="33" t="inlineStr">
        <is>
          <t>/</t>
        </is>
      </c>
      <c r="M440" s="64" t="n"/>
      <c r="N440" s="39" t="n">
        <v>1</v>
      </c>
      <c r="O440" t="n">
        <v>50</v>
      </c>
      <c r="P440" s="35" t="inlineStr">
        <is>
          <t>差:-62.16元 (-55.4%) 来源:售楼处</t>
        </is>
      </c>
      <c r="Q440" s="35" t="n"/>
      <c r="R440" s="35" t="n"/>
    </row>
    <row r="441" outlineLevel="2" ht="72" customFormat="1" customHeight="1" s="39">
      <c r="A441" s="37">
        <f>1+N(A440)</f>
        <v/>
      </c>
      <c r="B441" s="27" t="inlineStr">
        <is>
          <t>成品石膏线条</t>
        </is>
      </c>
      <c r="C441" s="27" t="inlineStr">
        <is>
          <t>1.成品石膏线条（50mm*50mm）；
2.按图纸造型；
3.包含完成该项内容所有工作及费用并满足设计图纸、规范等要求；</t>
        </is>
      </c>
      <c r="D441" s="27" t="inlineStr">
        <is>
          <t>自现有现场条件下按照合同约定范围、图纸（含设计变更）及甲方要求内容以及规范、标准、相关做法等要求完成并达到总包合同全部目标的全部工作内容。</t>
        </is>
      </c>
      <c r="E441" s="27" t="inlineStr">
        <is>
          <t>依据经承包人确认的施工部位,按设计图示尺寸以延长米计算。</t>
        </is>
      </c>
      <c r="F441" s="28" t="inlineStr">
        <is>
          <t>m</t>
        </is>
      </c>
      <c r="G441" s="61" t="n">
        <v>254.8</v>
      </c>
      <c r="H441" s="62" t="n">
        <v>20.06</v>
      </c>
      <c r="I441" s="65" t="n"/>
      <c r="J441" s="62">
        <f>H441*(1-$I$4)</f>
        <v/>
      </c>
      <c r="K441" s="63">
        <f>G441*J441</f>
        <v/>
      </c>
      <c r="L441" s="33" t="inlineStr">
        <is>
          <t>成品石膏线条</t>
        </is>
      </c>
      <c r="M441" s="64" t="n"/>
      <c r="N441" s="39" t="n">
        <v>1</v>
      </c>
      <c r="O441" t="n">
        <v>18</v>
      </c>
      <c r="P441" s="35" t="inlineStr">
        <is>
          <t>差:-2.06元 (-10.3%) 来源:售楼处</t>
        </is>
      </c>
      <c r="Q441" s="35" t="n"/>
      <c r="R441" s="35" t="n"/>
    </row>
    <row r="442" outlineLevel="2" ht="192" customFormat="1" customHeight="1" s="39">
      <c r="A442" s="37">
        <f>1+N(A441)</f>
        <v/>
      </c>
      <c r="B442" s="27" t="inlineStr">
        <is>
          <t>天花肌理无机涂料PT-01</t>
        </is>
      </c>
      <c r="C442" s="27" t="inlineStr">
        <is>
          <t>1.天花肌理无机涂料PT-01；
2.刮腻子二遍磨平；
3.底漆1遍，面漆2遍；
4.包含完成该项内容所有工作及费用并满足设计图纸、规范等要求；</t>
        </is>
      </c>
      <c r="D442" s="27" t="inlineStr">
        <is>
          <t>包括但不限于材料计划、采购、卸车倒运、保管、检验试验费、测量放线，包含四周阴角找平直、含天棚四周阴角找平直，打磨，简易脚手架搭拆及操作平台、升降机，基层清理、打磨平整、底层找补、满刮涂料（含阴阳角塑料条）、涂料打磨、补遗处理、配合其他分包施工、完工后场清、成品保护、保修等直到达到竣工交付标准的全部工作内容。包括所有为完成工作所需的小型机具；包括所有为完成工作所需的附属工作；包括但不限于以上内容。</t>
        </is>
      </c>
      <c r="E442" s="27" t="inlineStr">
        <is>
          <t>执行《GB/T50854-2024房屋建筑与装饰工程工程量计算标准》，按设计图示尺寸以面积计算。扣除0.3平方米以上洞口的面积；梁侧面及檐口天棚并入天棚计算；以设计图纸和技术交底为基础</t>
        </is>
      </c>
      <c r="F442" s="28" t="inlineStr">
        <is>
          <t>m2</t>
        </is>
      </c>
      <c r="G442" s="61" t="n">
        <v>516.04</v>
      </c>
      <c r="H442" s="62" t="n">
        <v>48.38</v>
      </c>
      <c r="I442" s="65" t="n"/>
      <c r="J442" s="62">
        <f>H442*(1-$I$4)</f>
        <v/>
      </c>
      <c r="K442" s="63">
        <f>G442*J442</f>
        <v/>
      </c>
      <c r="L442" s="33" t="inlineStr">
        <is>
          <t>涂料</t>
        </is>
      </c>
      <c r="M442" s="64" t="n"/>
      <c r="N442" s="39" t="n">
        <v>1</v>
      </c>
      <c r="O442" t="n">
        <v>45</v>
      </c>
      <c r="P442" s="35" t="inlineStr">
        <is>
          <t>差:-3.38元 (-7.0%) 来源:售楼处</t>
        </is>
      </c>
      <c r="Q442" s="35" t="n"/>
      <c r="R442" s="35" t="n"/>
    </row>
    <row r="443" outlineLevel="1" customFormat="1" s="39">
      <c r="A443" s="36" t="n"/>
      <c r="B443" s="27" t="inlineStr">
        <is>
          <t>门窗、家具工程</t>
        </is>
      </c>
      <c r="C443" s="27" t="n"/>
      <c r="D443" s="27" t="n"/>
      <c r="E443" s="27" t="n"/>
      <c r="F443" s="28" t="n"/>
      <c r="G443" s="61" t="n"/>
      <c r="H443" s="62" t="n"/>
      <c r="I443" s="65" t="n"/>
      <c r="J443" s="62" t="n"/>
      <c r="K443" s="63" t="n"/>
      <c r="L443" s="33" t="n"/>
      <c r="M443" s="64" t="n"/>
      <c r="P443" s="35" t="n"/>
      <c r="Q443" s="35" t="n"/>
      <c r="R443" s="35" t="n"/>
    </row>
    <row r="444" outlineLevel="2" ht="72" customFormat="1" customHeight="1" s="39">
      <c r="A444" s="37">
        <f>1+N(A443)</f>
        <v/>
      </c>
      <c r="B444" s="27" t="inlineStr">
        <is>
          <t>消防栓暗门(不含面层)</t>
        </is>
      </c>
      <c r="C444" s="27" t="inlineStr">
        <is>
          <t>1、40x40x5mm热镀锌方管骨架、背封铝塑板
2、含天地轴、门吸等五金配件
3、包含完成该项内容所有工作及费用并满足设计图纸、规范等要求</t>
        </is>
      </c>
      <c r="D444" s="27" t="inlineStr">
        <is>
          <t>自现有现场条件下按照合同约定范围、图纸（含设计变更）及甲方要求内容以及规范、标准、相关做法等要求完成并达到总包合同全部目标的全部工作内容。</t>
        </is>
      </c>
      <c r="E444" s="27" t="inlineStr">
        <is>
          <t>以最终验收合格的工程量计算</t>
        </is>
      </c>
      <c r="F444" s="28" t="inlineStr">
        <is>
          <t>m2</t>
        </is>
      </c>
      <c r="G444" s="61" t="n">
        <v>47.04</v>
      </c>
      <c r="H444" s="62" t="n">
        <v>962.6833333333331</v>
      </c>
      <c r="I444" s="65" t="n"/>
      <c r="J444" s="62">
        <f>H444*(1-$I$4)</f>
        <v/>
      </c>
      <c r="K444" s="63">
        <f>G444*J444</f>
        <v/>
      </c>
      <c r="L444" s="33" t="inlineStr">
        <is>
          <t>/</t>
        </is>
      </c>
      <c r="M444" s="64" t="n"/>
      <c r="N444" s="39" t="n">
        <v>1</v>
      </c>
      <c r="O444" t="n">
        <v>165</v>
      </c>
      <c r="P444" s="35" t="inlineStr">
        <is>
          <t>差:-797.68元 (-82.9%) 来源:售楼处</t>
        </is>
      </c>
      <c r="Q444" s="35" t="n"/>
      <c r="R444" s="35" t="n"/>
    </row>
    <row r="445" outlineLevel="1" customFormat="1" s="39">
      <c r="A445" s="26" t="n"/>
      <c r="B445" s="27" t="inlineStr">
        <is>
          <t>零星工程</t>
        </is>
      </c>
      <c r="C445" s="27" t="n"/>
      <c r="D445" s="27" t="n"/>
      <c r="E445" s="27" t="n"/>
      <c r="F445" s="28" t="n"/>
      <c r="G445" s="61" t="n"/>
      <c r="H445" s="62" t="n"/>
      <c r="I445" s="65" t="n"/>
      <c r="J445" s="62" t="n"/>
      <c r="K445" s="63" t="n"/>
      <c r="L445" s="33" t="n"/>
      <c r="M445" s="64" t="n"/>
      <c r="P445" s="35" t="n"/>
      <c r="Q445" s="35" t="n"/>
      <c r="R445" s="35" t="n"/>
    </row>
    <row r="446" outlineLevel="1" customFormat="1" s="39">
      <c r="A446" s="36" t="n"/>
      <c r="B446" s="27" t="inlineStr">
        <is>
          <t>土建工程</t>
        </is>
      </c>
      <c r="C446" s="27" t="n"/>
      <c r="D446" s="27" t="n"/>
      <c r="E446" s="27" t="n"/>
      <c r="F446" s="28" t="n"/>
      <c r="G446" s="61" t="n"/>
      <c r="H446" s="62" t="n"/>
      <c r="I446" s="65" t="n"/>
      <c r="J446" s="62" t="n"/>
      <c r="K446" s="63" t="n"/>
      <c r="L446" s="33" t="n"/>
      <c r="M446" s="64" t="n"/>
      <c r="P446" s="35" t="n"/>
      <c r="Q446" s="35" t="n"/>
      <c r="R446" s="35" t="n"/>
    </row>
    <row r="447" outlineLevel="2" ht="60" customFormat="1" customHeight="1" s="39">
      <c r="A447" s="37">
        <f>1+N(A446)</f>
        <v/>
      </c>
      <c r="B447" s="27" t="inlineStr">
        <is>
          <t>拆除墙体</t>
        </is>
      </c>
      <c r="C447" s="27" t="inlineStr">
        <is>
          <t>1、拆除墙体
2、墙厚：综合考虑
3、包含完成该项内容所有工作及费用并满足设计图纸、规范等要求</t>
        </is>
      </c>
      <c r="D447" s="27" t="inlineStr">
        <is>
          <t>综合单价包含除税金以外的人工、机械、管理费、利润、地方税等完成该项工作内容的所有产生的费用，墙体拆除及垃圾清运至场内指定地点。</t>
        </is>
      </c>
      <c r="E447" s="27" t="inlineStr">
        <is>
          <t>按设计图示尺寸以体积计算。</t>
        </is>
      </c>
      <c r="F447" s="28" t="inlineStr">
        <is>
          <t>m3</t>
        </is>
      </c>
      <c r="G447" s="61" t="n">
        <v>34.32</v>
      </c>
      <c r="H447" s="62" t="n">
        <v>236</v>
      </c>
      <c r="I447" s="65" t="n"/>
      <c r="J447" s="62">
        <f>H447*(1-$I$4)</f>
        <v/>
      </c>
      <c r="K447" s="63">
        <f>G447*J447</f>
        <v/>
      </c>
      <c r="L447" s="33" t="inlineStr">
        <is>
          <t>/</t>
        </is>
      </c>
      <c r="M447" s="64" t="n"/>
      <c r="N447" s="39" t="n">
        <v>1</v>
      </c>
      <c r="O447" t="n">
        <v>675</v>
      </c>
      <c r="P447" s="35" t="inlineStr">
        <is>
          <t>差:+439.00元 (+186.0%) 来源:售楼处</t>
        </is>
      </c>
      <c r="Q447" s="35" t="n"/>
      <c r="R447" s="35" t="n"/>
    </row>
    <row r="448" customFormat="1" s="4">
      <c r="A448" s="40" t="inlineStr">
        <is>
          <t>D</t>
        </is>
      </c>
      <c r="B448" s="20" t="inlineStr">
        <is>
          <t>会所装修部分（第三层）</t>
        </is>
      </c>
      <c r="C448" s="27" t="n"/>
      <c r="D448" s="27" t="n"/>
      <c r="E448" s="27" t="n"/>
      <c r="F448" s="28" t="n"/>
      <c r="G448" s="61" t="n"/>
      <c r="H448" s="62" t="n"/>
      <c r="I448" s="65" t="n"/>
      <c r="J448" s="62" t="n"/>
      <c r="K448" s="63" t="n"/>
      <c r="L448" s="33" t="n"/>
      <c r="M448" s="64" t="n"/>
      <c r="P448" s="35" t="n"/>
    </row>
    <row r="449" outlineLevel="1" customFormat="1" s="39">
      <c r="A449" s="26" t="n"/>
      <c r="B449" s="27" t="inlineStr">
        <is>
          <t>门厅</t>
        </is>
      </c>
      <c r="C449" s="27" t="n"/>
      <c r="D449" s="27" t="n"/>
      <c r="E449" s="27" t="n"/>
      <c r="F449" s="28" t="n"/>
      <c r="G449" s="61" t="n"/>
      <c r="H449" s="62" t="n"/>
      <c r="I449" s="65" t="n"/>
      <c r="J449" s="62" t="n"/>
      <c r="K449" s="63" t="n"/>
      <c r="L449" s="33" t="n"/>
      <c r="M449" s="64" t="n"/>
      <c r="P449" s="35" t="n"/>
      <c r="Q449" s="35" t="n"/>
      <c r="R449" s="35" t="n"/>
    </row>
    <row r="450" outlineLevel="1" customFormat="1" s="39">
      <c r="A450" s="36" t="n"/>
      <c r="B450" s="27" t="inlineStr">
        <is>
          <t>地面工程</t>
        </is>
      </c>
      <c r="C450" s="27" t="n"/>
      <c r="D450" s="27" t="n"/>
      <c r="E450" s="27" t="n"/>
      <c r="F450" s="28" t="n"/>
      <c r="G450" s="61" t="n"/>
      <c r="H450" s="62" t="n"/>
      <c r="I450" s="65" t="n"/>
      <c r="J450" s="62" t="n"/>
      <c r="K450" s="63" t="n"/>
      <c r="L450" s="33" t="n"/>
      <c r="M450" s="64" t="n"/>
      <c r="P450" s="35" t="n"/>
      <c r="Q450" s="35" t="n"/>
      <c r="R450" s="35" t="n"/>
    </row>
    <row r="451" outlineLevel="2" ht="156" customFormat="1" customHeight="1" s="39">
      <c r="A451" s="37">
        <f>1+N(A450)</f>
        <v/>
      </c>
      <c r="B451" s="27" t="inlineStr">
        <is>
          <t>地面1:3:5(水泥:沙:陶粒)</t>
        </is>
      </c>
      <c r="C451" s="27" t="inlineStr">
        <is>
          <t>1、陶粒混凝土回填
2、回填厚度165mm厚
3、完成本清单项目所需的一切相关工作内容，未尽事项详见图纸、工程量清单计价说明、国家相关规范等</t>
        </is>
      </c>
      <c r="D451" s="27" t="inlineStr">
        <is>
          <t>包括但不限于材料计划、卸车倒运（含多次）、保管、测量放线、基底清理、标高检测、配合检测、陶粒混凝土、抹压、压光、地面留槽回填及二次处理，所有洞口、管根的补遗处理，养护、配合水电安装、现场清理及分包施工作业面的及时清理、清扫等、装卸费、场内倒运费，配合承包人实验员做好冬季测温记录、坍落度实验及砼试块制作，成品保护、保修等全部工作内容。</t>
        </is>
      </c>
      <c r="E451" s="27" t="inlineStr">
        <is>
          <t>按设计图示填充部位的尺寸，以面积计算</t>
        </is>
      </c>
      <c r="F451" s="28" t="inlineStr">
        <is>
          <t>m2</t>
        </is>
      </c>
      <c r="G451" s="61" t="n">
        <v>5.36</v>
      </c>
      <c r="H451" s="62" t="n">
        <v>142.5291615</v>
      </c>
      <c r="I451" s="65" t="n"/>
      <c r="J451" s="62">
        <f>H451*(1-$I$4)</f>
        <v/>
      </c>
      <c r="K451" s="63">
        <f>G451*J451</f>
        <v/>
      </c>
      <c r="L451" s="33" t="inlineStr">
        <is>
          <t>/</t>
        </is>
      </c>
      <c r="M451" s="64" t="n"/>
      <c r="N451" s="39" t="n">
        <v>1</v>
      </c>
      <c r="O451" t="n">
        <v>45</v>
      </c>
      <c r="P451" s="35" t="inlineStr">
        <is>
          <t>差:-97.53元 (-68.4%) 来源:售楼处</t>
        </is>
      </c>
      <c r="Q451" s="35" t="n"/>
      <c r="R451" s="35" t="n"/>
    </row>
    <row r="452" outlineLevel="2" ht="108" customFormat="1" customHeight="1" s="39">
      <c r="A452" s="37">
        <f>1+N(A451)</f>
        <v/>
      </c>
      <c r="B452" s="27" t="inlineStr">
        <is>
          <t>地台钢支架围挡</t>
        </is>
      </c>
      <c r="C452" s="27" t="inlineStr">
        <is>
          <t>1.地台钢支架围挡 H260mm
2.预埋5mm厚度镀锌钢板与支架成型、防锈防腐处理
3.包含完成该项内容所有工作及费用并满足设计图纸、规范等要求；</t>
        </is>
      </c>
      <c r="D452"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452" s="27" t="inlineStr">
        <is>
          <t>按设计图示尺寸以长度计算。</t>
        </is>
      </c>
      <c r="F452" s="28" t="inlineStr">
        <is>
          <t>m</t>
        </is>
      </c>
      <c r="G452" s="61" t="n">
        <v>11.35</v>
      </c>
      <c r="H452" s="62" t="n">
        <v>59</v>
      </c>
      <c r="I452" s="65" t="n"/>
      <c r="J452" s="62">
        <f>H452*(1-$I$4)</f>
        <v/>
      </c>
      <c r="K452" s="63">
        <f>G452*J452</f>
        <v/>
      </c>
      <c r="L452" s="33" t="inlineStr">
        <is>
          <t>/</t>
        </is>
      </c>
      <c r="M452" s="64" t="n"/>
      <c r="N452" s="39" t="n">
        <v>1</v>
      </c>
      <c r="O452" t="n">
        <v>45</v>
      </c>
      <c r="P452" s="35" t="inlineStr">
        <is>
          <t>差:-14.00元 (-23.7%) 来源:售楼处</t>
        </is>
      </c>
      <c r="Q452" s="35" t="n"/>
      <c r="R452" s="35" t="n"/>
    </row>
    <row r="453" outlineLevel="2" ht="120" customFormat="1" customHeight="1" s="39">
      <c r="A453" s="37">
        <f>1+N(A452)</f>
        <v/>
      </c>
      <c r="B453" s="27" t="inlineStr">
        <is>
          <t>地面铺贴大理石ST-01</t>
        </is>
      </c>
      <c r="C453" s="27" t="inlineStr">
        <is>
          <t>1.地面20mm大理石ST-01、皮革面与非皮革面错位铺贴、厚度及样式按物料书为准；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453"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453" s="27" t="inlineStr">
        <is>
          <t xml:space="preserve">执行《GB/T50854-2024房屋建筑与装饰工程工程量计算标准》，按设计图示尺寸
以面积计算。 </t>
        </is>
      </c>
      <c r="F453" s="28" t="inlineStr">
        <is>
          <t>m2</t>
        </is>
      </c>
      <c r="G453" s="61" t="n">
        <v>85.43000000000001</v>
      </c>
      <c r="H453" s="62" t="n">
        <v>218.75017</v>
      </c>
      <c r="I453" s="65" t="n"/>
      <c r="J453" s="62">
        <f>H453*(1-$I$4)</f>
        <v/>
      </c>
      <c r="K453" s="63">
        <f>G453*J453</f>
        <v/>
      </c>
      <c r="L453" s="33" t="inlineStr">
        <is>
          <t>石材</t>
        </is>
      </c>
      <c r="M453" s="64" t="n"/>
      <c r="N453" s="39" t="n">
        <v>1</v>
      </c>
      <c r="O453" t="n">
        <v>130</v>
      </c>
      <c r="P453" s="35" t="inlineStr">
        <is>
          <t>差:-88.75元 (-40.6%) 来源:售楼处</t>
        </is>
      </c>
      <c r="Q453" s="35" t="n"/>
      <c r="R453" s="35" t="n"/>
    </row>
    <row r="454" outlineLevel="2" ht="108" customFormat="1" customHeight="1" s="39">
      <c r="A454" s="37">
        <f>1+N(A453)</f>
        <v/>
      </c>
      <c r="B454" s="27" t="inlineStr">
        <is>
          <t>地面铺贴大理石ST-01拼花</t>
        </is>
      </c>
      <c r="C454" s="27" t="inlineStr">
        <is>
          <t>1.地面20mm大理石拼花、参考3F-DF-01样式、ST-01按物料书为准；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454"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454" s="27" t="inlineStr">
        <is>
          <t xml:space="preserve">执行《GB/T50854-2024房屋建筑与装饰工程工程量计算标准》，按设计图示尺寸
以面积计算。 </t>
        </is>
      </c>
      <c r="F454" s="28" t="inlineStr">
        <is>
          <t>m2</t>
        </is>
      </c>
      <c r="G454" s="61" t="n">
        <v>24.83</v>
      </c>
      <c r="H454" s="62" t="n">
        <v>242.35017</v>
      </c>
      <c r="I454" s="65" t="n"/>
      <c r="J454" s="62">
        <f>H454*(1-$I$4)</f>
        <v/>
      </c>
      <c r="K454" s="63">
        <f>G454*J454</f>
        <v/>
      </c>
      <c r="L454" s="33" t="inlineStr">
        <is>
          <t>石材</t>
        </is>
      </c>
      <c r="M454" s="64" t="n"/>
      <c r="N454" s="39" t="n">
        <v>1</v>
      </c>
      <c r="O454" t="n">
        <v>130</v>
      </c>
      <c r="P454" s="35" t="inlineStr">
        <is>
          <t>差:-112.35元 (-46.4%) 来源:售楼处</t>
        </is>
      </c>
      <c r="Q454" s="35" t="n"/>
      <c r="R454" s="35" t="n"/>
    </row>
    <row r="455" outlineLevel="2" ht="108" customFormat="1" customHeight="1" s="39">
      <c r="A455" s="37">
        <f>1+N(A454)</f>
        <v/>
      </c>
      <c r="B455" s="27" t="inlineStr">
        <is>
          <t>地面铺贴大理石ST-05</t>
        </is>
      </c>
      <c r="C455" s="27" t="inlineStr">
        <is>
          <t>1.地面大理石ST-05铺贴、厚度及样式按物料书为准；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455"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455" s="27" t="inlineStr">
        <is>
          <t xml:space="preserve">执行《GB/T50854-2024房屋建筑与装饰工程工程量计算标准》，按设计图示尺寸
以面积计算。 </t>
        </is>
      </c>
      <c r="F455" s="28" t="inlineStr">
        <is>
          <t>m2</t>
        </is>
      </c>
      <c r="G455" s="61" t="n">
        <v>7.24</v>
      </c>
      <c r="H455" s="62" t="n">
        <v>218.75017</v>
      </c>
      <c r="I455" s="65" t="n"/>
      <c r="J455" s="62">
        <f>H455*(1-$I$4)</f>
        <v/>
      </c>
      <c r="K455" s="63">
        <f>G455*J455</f>
        <v/>
      </c>
      <c r="L455" s="33" t="inlineStr">
        <is>
          <t>石材</t>
        </is>
      </c>
      <c r="M455" s="64" t="n"/>
      <c r="N455" s="39" t="n">
        <v>1</v>
      </c>
      <c r="O455" t="n">
        <v>130</v>
      </c>
      <c r="P455" s="35" t="inlineStr">
        <is>
          <t>差:-88.75元 (-40.6%) 来源:售楼处</t>
        </is>
      </c>
      <c r="Q455" s="35" t="n"/>
      <c r="R455" s="35" t="n"/>
    </row>
    <row r="456" outlineLevel="2" ht="108" customFormat="1" customHeight="1" s="39">
      <c r="A456" s="37">
        <f>1+N(A455)</f>
        <v/>
      </c>
      <c r="B456" s="27" t="inlineStr">
        <is>
          <t>实心铜条5mm宽</t>
        </is>
      </c>
      <c r="C456" s="27" t="inlineStr">
        <is>
          <t>1.实心铜条5mm宽；
2.包含完成该项内容所有工作及费用并满足设计图纸、规范等要求；</t>
        </is>
      </c>
      <c r="D456"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456" s="27" t="inlineStr">
        <is>
          <t>按设计图示尺寸以长度计算。</t>
        </is>
      </c>
      <c r="F456" s="28" t="inlineStr">
        <is>
          <t>m</t>
        </is>
      </c>
      <c r="G456" s="61" t="n">
        <v>19.84</v>
      </c>
      <c r="H456" s="62" t="n">
        <v>89.267</v>
      </c>
      <c r="I456" s="65" t="n"/>
      <c r="J456" s="62">
        <f>H456*(1-$I$4)</f>
        <v/>
      </c>
      <c r="K456" s="63">
        <f>G456*J456</f>
        <v/>
      </c>
      <c r="L456" s="33" t="inlineStr">
        <is>
          <t>/</t>
        </is>
      </c>
      <c r="M456" s="64" t="n"/>
      <c r="N456" s="39" t="n">
        <v>1</v>
      </c>
      <c r="O456" t="n">
        <v>12</v>
      </c>
      <c r="P456" s="35" t="inlineStr">
        <is>
          <t>差:-77.27元 (-86.6%) 来源:售楼处</t>
        </is>
      </c>
      <c r="Q456" s="35" t="n"/>
      <c r="R456" s="35" t="n"/>
    </row>
    <row r="457" outlineLevel="2" ht="108" customFormat="1" customHeight="1" s="39">
      <c r="A457" s="37">
        <f>1+N(A456)</f>
        <v/>
      </c>
      <c r="B457" s="27" t="inlineStr">
        <is>
          <t>地面石材晶面处理</t>
        </is>
      </c>
      <c r="C457" s="27" t="inlineStr">
        <is>
          <t>1.石材结晶处理(结晶水及石材保养剂,中性清洁剂)；
2.包含完成该项内容所有工作及费用并满足设计图纸、规范等要求；</t>
        </is>
      </c>
      <c r="D457"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457" s="27" t="inlineStr">
        <is>
          <t xml:space="preserve">执行《GB/T50854-2024房屋建筑与装饰工程工程量计算标准》，按设计图示尺寸
以面积计算。 </t>
        </is>
      </c>
      <c r="F457" s="28" t="inlineStr">
        <is>
          <t>m2</t>
        </is>
      </c>
      <c r="G457" s="61" t="n">
        <v>117.49</v>
      </c>
      <c r="H457" s="62" t="n">
        <v>64.90000000000001</v>
      </c>
      <c r="I457" s="65" t="n"/>
      <c r="J457" s="62">
        <f>H457*(1-$I$4)</f>
        <v/>
      </c>
      <c r="K457" s="63">
        <f>G457*J457</f>
        <v/>
      </c>
      <c r="L457" s="33" t="inlineStr">
        <is>
          <t>/</t>
        </is>
      </c>
      <c r="M457" s="64" t="n"/>
      <c r="N457" s="39" t="n">
        <v>1</v>
      </c>
      <c r="O457" t="n">
        <v>40</v>
      </c>
      <c r="P457" s="35" t="inlineStr">
        <is>
          <t>差:-24.90元 (-38.4%) 来源:售楼处</t>
        </is>
      </c>
      <c r="Q457" s="35" t="n"/>
      <c r="R457" s="35" t="n"/>
    </row>
    <row r="458" outlineLevel="1" customFormat="1" s="39">
      <c r="A458" s="36" t="n"/>
      <c r="B458" s="27" t="inlineStr">
        <is>
          <t>墙柱面工程</t>
        </is>
      </c>
      <c r="C458" s="27" t="n"/>
      <c r="D458" s="27" t="n"/>
      <c r="E458" s="27" t="n"/>
      <c r="F458" s="28" t="n"/>
      <c r="G458" s="61" t="n"/>
      <c r="H458" s="62" t="n"/>
      <c r="I458" s="65" t="n"/>
      <c r="J458" s="62" t="n"/>
      <c r="K458" s="63" t="n"/>
      <c r="L458" s="33" t="n"/>
      <c r="M458" s="64" t="n"/>
      <c r="P458" s="35" t="n"/>
      <c r="Q458" s="35" t="n"/>
      <c r="R458" s="35" t="n"/>
    </row>
    <row r="459" outlineLevel="2" ht="180" customFormat="1" customHeight="1" s="39">
      <c r="A459" s="37">
        <f>1+N(A458)</f>
        <v/>
      </c>
      <c r="B459" s="27" t="inlineStr">
        <is>
          <t>墙面干挂ST-05石材</t>
        </is>
      </c>
      <c r="C459" s="27" t="inlineStr">
        <is>
          <t>1、墙面干挂ST-05石材（含不锈钢线条）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is>
      </c>
      <c r="D459"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459" s="27" t="inlineStr">
        <is>
          <t>执行《GB/T50854-2024房屋建筑与装饰工程工程量计算标准》，按设计图示镶贴后外围面积计算</t>
        </is>
      </c>
      <c r="F459" s="28" t="inlineStr">
        <is>
          <t>m2</t>
        </is>
      </c>
      <c r="G459" s="61" t="n">
        <v>312.96</v>
      </c>
      <c r="H459" s="62" t="n">
        <v>283.2</v>
      </c>
      <c r="I459" s="65" t="n"/>
      <c r="J459" s="62">
        <f>H459*(1-$I$4)</f>
        <v/>
      </c>
      <c r="K459" s="63">
        <f>G459*J459</f>
        <v/>
      </c>
      <c r="L459" s="33" t="inlineStr">
        <is>
          <t>石材</t>
        </is>
      </c>
      <c r="M459" s="64" t="n"/>
      <c r="N459" s="39" t="n">
        <v>1</v>
      </c>
      <c r="O459" t="n">
        <v>140</v>
      </c>
      <c r="P459" s="35" t="inlineStr">
        <is>
          <t>差:-143.20元 (-50.6%) 来源:售楼处</t>
        </is>
      </c>
      <c r="Q459" s="35" t="n"/>
      <c r="R459" s="35" t="n"/>
    </row>
    <row r="460" outlineLevel="2" ht="180" customFormat="1" customHeight="1" s="39">
      <c r="A460" s="37">
        <f>1+N(A459)</f>
        <v/>
      </c>
      <c r="B460" s="27" t="inlineStr">
        <is>
          <t>墙面干挂ST-05石材（波浪造型）</t>
        </is>
      </c>
      <c r="C460" s="27" t="inlineStr">
        <is>
          <t>1、墙面干挂ST-05石材（波浪造型，含不锈钢线条）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is>
      </c>
      <c r="D460"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460" s="27" t="inlineStr">
        <is>
          <t>执行《GB/T50854-2024房屋建筑与装饰工程工程量计算标准》，按设计图示镶贴后外围面积计算</t>
        </is>
      </c>
      <c r="F460" s="28" t="inlineStr">
        <is>
          <t>m2</t>
        </is>
      </c>
      <c r="G460" s="61" t="n">
        <v>43.09</v>
      </c>
      <c r="H460" s="62" t="n">
        <v>283.2</v>
      </c>
      <c r="I460" s="65" t="n"/>
      <c r="J460" s="62">
        <f>H460*(1-$I$4)</f>
        <v/>
      </c>
      <c r="K460" s="63">
        <f>G460*J460</f>
        <v/>
      </c>
      <c r="L460" s="33" t="inlineStr">
        <is>
          <t>石材</t>
        </is>
      </c>
      <c r="M460" s="64" t="n"/>
      <c r="N460" s="39" t="n">
        <v>1</v>
      </c>
      <c r="O460" t="n">
        <v>140</v>
      </c>
      <c r="P460" s="35" t="inlineStr">
        <is>
          <t>差:-143.20元 (-50.6%) 来源:售楼处</t>
        </is>
      </c>
      <c r="Q460" s="35" t="n"/>
      <c r="R460" s="35" t="n"/>
    </row>
    <row r="461" outlineLevel="2" ht="180" customFormat="1" customHeight="1" s="39">
      <c r="A461" s="37">
        <f>1+N(A460)</f>
        <v/>
      </c>
      <c r="B461" s="27" t="inlineStr">
        <is>
          <t>墙面WD-03木饰面</t>
        </is>
      </c>
      <c r="C461" s="27" t="inlineStr">
        <is>
          <t>1、墙面WD-03木饰面（含不锈钢线条）
2、结构胶固定
3、12mm阻燃板基层
4、膨胀螺栓、轻钢龙骨(钢结构)基层找平
5、包含完成该项内容所有工作及费用并满足设计图纸、规范等要求</t>
        </is>
      </c>
      <c r="D461"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461" s="27" t="inlineStr">
        <is>
          <t>执行《GB/T50854-2024房屋建筑与装饰工程工程量计算标准》，按设计图示饰面外围尺寸
以面积计算。 扣除门窗洞口面积，不扣除单个面积≤0.3㎡的孔洞所占面积。</t>
        </is>
      </c>
      <c r="F461" s="28" t="inlineStr">
        <is>
          <t>m2</t>
        </is>
      </c>
      <c r="G461" s="61" t="n">
        <v>42.99</v>
      </c>
      <c r="H461" s="62" t="n">
        <v>253.7</v>
      </c>
      <c r="I461" s="65" t="n"/>
      <c r="J461" s="62">
        <f>H461*(1-$I$4)</f>
        <v/>
      </c>
      <c r="K461" s="63">
        <f>G461*J461</f>
        <v/>
      </c>
      <c r="L461" s="33" t="inlineStr">
        <is>
          <t>木饰面</t>
        </is>
      </c>
      <c r="M461" s="64" t="n"/>
      <c r="N461" s="39" t="n">
        <v>1</v>
      </c>
      <c r="O461" t="n">
        <v>75</v>
      </c>
      <c r="P461" s="35" t="inlineStr">
        <is>
          <t>差:-178.70元 (-70.4%) 来源:售楼处</t>
        </is>
      </c>
      <c r="Q461" s="35" t="n"/>
      <c r="R461" s="35" t="n"/>
    </row>
    <row r="462" outlineLevel="2" ht="144" customFormat="1" customHeight="1" s="39">
      <c r="A462" s="37">
        <f>1+N(A461)</f>
        <v/>
      </c>
      <c r="B462" s="27" t="inlineStr">
        <is>
          <t>墙面PT-03米色肌理无机涂料</t>
        </is>
      </c>
      <c r="C462" s="27" t="inlineStr">
        <is>
          <t>1、墙面PT-03米色肌理无机涂料(底漆1遍，面漆2遍)
2、刮白胶腻子找平二遍，打磨
3、阴、阳角护角收边
4、双层9.5mm纸面石膏板
5、轻钢龙骨基层找平
6、包含完成该项内容所有工作及费用并满足设计图纸、规范等要求</t>
        </is>
      </c>
      <c r="D462"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462" s="27" t="inlineStr">
        <is>
          <t xml:space="preserve">执行《GB/T50854-2024房屋建筑与装饰工程工程量计算标准》，按设计图示尺寸
以面积计算。 </t>
        </is>
      </c>
      <c r="F462" s="28" t="inlineStr">
        <is>
          <t>m2</t>
        </is>
      </c>
      <c r="G462" s="61" t="n">
        <v>0.68</v>
      </c>
      <c r="H462" s="62" t="n">
        <v>207.68</v>
      </c>
      <c r="I462" s="65" t="n"/>
      <c r="J462" s="62">
        <f>H462*(1-$I$4)</f>
        <v/>
      </c>
      <c r="K462" s="63">
        <f>G462*J462</f>
        <v/>
      </c>
      <c r="L462" s="33" t="inlineStr">
        <is>
          <t>涂料</t>
        </is>
      </c>
      <c r="M462" s="64" t="n"/>
      <c r="N462" s="39" t="n">
        <v>1</v>
      </c>
      <c r="O462" t="n">
        <v>110</v>
      </c>
      <c r="P462" s="35" t="inlineStr">
        <is>
          <t>差:-97.68元 (-47.0%) 来源:售楼处</t>
        </is>
      </c>
      <c r="Q462" s="35" t="n"/>
      <c r="R462" s="35" t="n"/>
    </row>
    <row r="463" outlineLevel="2" ht="144" customFormat="1" customHeight="1" s="39">
      <c r="A463" s="37">
        <f>1+N(A462)</f>
        <v/>
      </c>
      <c r="B463" s="27" t="inlineStr">
        <is>
          <t>MR-01银镜</t>
        </is>
      </c>
      <c r="C463" s="27" t="inlineStr">
        <is>
          <t>1、MR-01银镜（含不锈钢线条）
2、胶粘剂固定(中性胶)
3、12mm阻燃板基层
4、膨胀螺栓、轻钢龙骨(钢结构)基层找平
5、包含完成该项内容所有工作及费用并满足设计图纸、规范等要求</t>
        </is>
      </c>
      <c r="D463"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463" s="27" t="inlineStr">
        <is>
          <t>执行《GB/T50854-2024房屋建筑与装饰工程工程量计算标准》，按设计图示饰面外围尺寸以面积计算。</t>
        </is>
      </c>
      <c r="F463" s="28" t="inlineStr">
        <is>
          <t>m2</t>
        </is>
      </c>
      <c r="G463" s="61" t="n">
        <v>0.68</v>
      </c>
      <c r="H463" s="62" t="n">
        <v>214.76</v>
      </c>
      <c r="I463" s="65" t="n"/>
      <c r="J463" s="62">
        <f>H463*(1-$I$4)</f>
        <v/>
      </c>
      <c r="K463" s="63">
        <f>G463*J463</f>
        <v/>
      </c>
      <c r="L463" s="33" t="inlineStr">
        <is>
          <t>银镜</t>
        </is>
      </c>
      <c r="M463" s="64" t="n"/>
      <c r="N463" s="39" t="n">
        <v>1</v>
      </c>
      <c r="O463" t="n">
        <v>110</v>
      </c>
      <c r="P463" s="35" t="inlineStr">
        <is>
          <t>差:-104.76元 (-48.8%) 来源:售楼处</t>
        </is>
      </c>
      <c r="Q463" s="35" t="n"/>
      <c r="R463" s="35" t="n"/>
    </row>
    <row r="464" outlineLevel="2" ht="144" customFormat="1" customHeight="1" s="39">
      <c r="A464" s="37">
        <f>1+N(A463)</f>
        <v/>
      </c>
      <c r="B464" s="27" t="inlineStr">
        <is>
          <t>12mm阻燃板+9.5mm纸面石膏板(刷白处理)</t>
        </is>
      </c>
      <c r="C464" s="27" t="inlineStr">
        <is>
          <t>1、12mm阻燃板+9.5mm纸面石膏板(刷白处理)
2、包含完成该项内容所有工作及费用并满足设计图纸、规范等要求</t>
        </is>
      </c>
      <c r="D464"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464" s="27" t="inlineStr">
        <is>
          <t>执行《GB/T50854-2024房屋建筑与装饰工程工程量计算标准》，按设计图示饰面外围尺寸以面积计算。</t>
        </is>
      </c>
      <c r="F464" s="28" t="inlineStr">
        <is>
          <t>m2</t>
        </is>
      </c>
      <c r="G464" s="61" t="n">
        <v>36.55</v>
      </c>
      <c r="H464" s="62" t="n">
        <v>194.7</v>
      </c>
      <c r="I464" s="65" t="n"/>
      <c r="J464" s="62">
        <f>H464*(1-$I$4)</f>
        <v/>
      </c>
      <c r="K464" s="63">
        <f>G464*J464</f>
        <v/>
      </c>
      <c r="L464" s="33" t="inlineStr">
        <is>
          <t>/</t>
        </is>
      </c>
      <c r="M464" s="64" t="n"/>
      <c r="N464" s="39" t="n">
        <v>1</v>
      </c>
      <c r="O464" t="n">
        <v>70</v>
      </c>
      <c r="P464" s="35" t="inlineStr">
        <is>
          <t>差:-124.70元 (-64.0%) 来源:售楼处</t>
        </is>
      </c>
      <c r="Q464" s="35" t="n"/>
      <c r="R464" s="35" t="n"/>
    </row>
    <row r="465" outlineLevel="2" ht="144" customFormat="1" customHeight="1" s="39">
      <c r="A465" s="37">
        <f>1+N(A464)</f>
        <v/>
      </c>
      <c r="B465" s="27" t="inlineStr">
        <is>
          <t>MT-01古铜不锈钢踢脚线（高20mm）</t>
        </is>
      </c>
      <c r="C465" s="27" t="inlineStr">
        <is>
          <t>1、1.2mm厚 MT-01古铜不锈钢踢脚线（高20mm，展开面为46mm），结构胶固定
2、9厘玻镁板基层
3、包含完成该项内容所有工作及费用并满足设计图纸、规范等要求</t>
        </is>
      </c>
      <c r="D465"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465" s="27" t="inlineStr">
        <is>
          <t>按设计图示尺寸以长度计算。</t>
        </is>
      </c>
      <c r="F465" s="28" t="inlineStr">
        <is>
          <t>m</t>
        </is>
      </c>
      <c r="G465" s="61" t="n">
        <v>87.52</v>
      </c>
      <c r="H465" s="62" t="n">
        <v>31.86</v>
      </c>
      <c r="I465" s="65" t="n"/>
      <c r="J465" s="62">
        <f>H465*(1-$I$4)</f>
        <v/>
      </c>
      <c r="K465" s="63">
        <f>G465*J465</f>
        <v/>
      </c>
      <c r="L465" s="33" t="inlineStr">
        <is>
          <t>不锈钢踢脚线</t>
        </is>
      </c>
      <c r="M465" s="64" t="n"/>
      <c r="N465" s="39" t="n">
        <v>1</v>
      </c>
      <c r="O465" t="n">
        <v>12</v>
      </c>
      <c r="P465" s="35" t="inlineStr">
        <is>
          <t>差:-19.86元 (-62.3%) 来源:售楼处</t>
        </is>
      </c>
      <c r="Q465" s="35" t="n"/>
      <c r="R465" s="35" t="n"/>
    </row>
    <row r="466" outlineLevel="2" ht="72" customFormat="1" customHeight="1" s="39">
      <c r="A466" s="37">
        <f>1+N(A465)</f>
        <v/>
      </c>
      <c r="B466" s="27" t="inlineStr">
        <is>
          <t>MT-01古铜不锈钢窗套（展开面为95mm）</t>
        </is>
      </c>
      <c r="C466" s="27" t="inlineStr">
        <is>
          <t>1、1.2mm厚 MT-01古铜不锈钢窗套（展开面为95mm），结构胶固定
2、9厘玻镁板基层
3、包含完成该项内容所有工作及费用并满足设计图纸、规范等要求</t>
        </is>
      </c>
      <c r="D466" s="27" t="inlineStr">
        <is>
          <t>自现有现场条件下按照合同约定范围、图纸（含设计变更）及甲方要求内容以及规范、标准、相关做法等要求完成并达到总包合同全部目标的全部工作内容。</t>
        </is>
      </c>
      <c r="E466" s="27" t="inlineStr">
        <is>
          <t>以最终验收合格的工程量计算</t>
        </is>
      </c>
      <c r="F466" s="28" t="inlineStr">
        <is>
          <t>m2</t>
        </is>
      </c>
      <c r="G466" s="61" t="n">
        <v>2.37</v>
      </c>
      <c r="H466" s="62" t="n">
        <v>630.651</v>
      </c>
      <c r="I466" s="65" t="n"/>
      <c r="J466" s="62">
        <f>H466*(1-$I$4)</f>
        <v/>
      </c>
      <c r="K466" s="63">
        <f>G466*J466</f>
        <v/>
      </c>
      <c r="L466" s="33" t="inlineStr">
        <is>
          <t>/</t>
        </is>
      </c>
      <c r="M466" s="64" t="n"/>
      <c r="N466" s="39" t="n">
        <v>1</v>
      </c>
      <c r="O466" t="n">
        <v>110</v>
      </c>
      <c r="P466" s="35" t="inlineStr">
        <is>
          <t>差:-520.65元 (-82.6%) 来源:售楼处</t>
        </is>
      </c>
      <c r="Q466" s="35" t="n"/>
      <c r="R466" s="35" t="n"/>
    </row>
    <row r="467" outlineLevel="1" customFormat="1" s="39">
      <c r="A467" s="36" t="n"/>
      <c r="B467" s="27" t="inlineStr">
        <is>
          <t>天花工程</t>
        </is>
      </c>
      <c r="C467" s="27" t="n"/>
      <c r="D467" s="27" t="n"/>
      <c r="E467" s="27" t="n"/>
      <c r="F467" s="28" t="n"/>
      <c r="G467" s="61" t="n"/>
      <c r="H467" s="62" t="n"/>
      <c r="I467" s="65" t="n"/>
      <c r="J467" s="62" t="n"/>
      <c r="K467" s="63" t="n"/>
      <c r="L467" s="33" t="n"/>
      <c r="M467" s="64" t="n"/>
      <c r="P467" s="35" t="n"/>
      <c r="Q467" s="35" t="n"/>
      <c r="R467" s="35" t="n"/>
    </row>
    <row r="468" outlineLevel="2" ht="192" customFormat="1" customHeight="1" s="39">
      <c r="A468" s="37">
        <f>1+N(A467)</f>
        <v/>
      </c>
      <c r="B468" s="27" t="inlineStr">
        <is>
          <t>造型石膏板吊顶</t>
        </is>
      </c>
      <c r="C468" s="27" t="inlineStr">
        <is>
          <t>1.60系列轻钢主龙骨@900，60系列轻钢副龙骨@400，60系列横撑龙骨@600，08螺纹吊杆@900不上人天花吊顶（投影面计算）
2.双层9.5厚石膏板基层，含开孔、检修口、10*10凹槽等费用；
3.含除灯槽外的侧面高差及其连接件、吊件；
4.包含完成该项内容所有工作及费用并满足设计图纸、规范等要求；</t>
        </is>
      </c>
      <c r="D468" s="27" t="inlineStr">
        <is>
          <t>1.基层清理。
2.弹线定位、排版。
3.吊杆及连接件安装调平、收口及密封处理。
4.材料切割处理找平、石膏板安装及调整，打胶密封与清理.
5.收口及其他处理：检修口等制作安装、收边收口、配合预留安装、机电等专业孔洞及孔洞收口处理。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468" s="27" t="inlineStr">
        <is>
          <t>按设计图示尺寸以水平投影面积计算。不扣除间壁墙、检查口、附墙烟囱、柱垛和管道所占面积,扣除单个&gt;0.3m3的孔洞、非密拼吊顶空隙所占的面积、独立柱及与天棚相连的窗帘盒所占的面积。</t>
        </is>
      </c>
      <c r="F468" s="28" t="inlineStr">
        <is>
          <t>m2</t>
        </is>
      </c>
      <c r="G468" s="61" t="n">
        <v>100.42</v>
      </c>
      <c r="H468" s="62" t="n">
        <v>174.574444444444</v>
      </c>
      <c r="I468" s="65" t="n"/>
      <c r="J468" s="62">
        <f>H468*(1-$I$4)</f>
        <v/>
      </c>
      <c r="K468" s="63">
        <f>G468*J468</f>
        <v/>
      </c>
      <c r="L468" s="33" t="inlineStr">
        <is>
          <t>/</t>
        </is>
      </c>
      <c r="M468" s="64" t="n"/>
      <c r="N468" s="39" t="n">
        <v>1</v>
      </c>
      <c r="O468" t="n">
        <v>75</v>
      </c>
      <c r="P468" s="35" t="inlineStr">
        <is>
          <t>差:-99.57元 (-57.0%) 来源:售楼处</t>
        </is>
      </c>
      <c r="Q468" s="35" t="n"/>
      <c r="R468" s="35" t="n"/>
    </row>
    <row r="469" outlineLevel="2" ht="204" customFormat="1" customHeight="1" s="39">
      <c r="A469" s="37">
        <f>1+N(A468)</f>
        <v/>
      </c>
      <c r="B469" s="27" t="inlineStr">
        <is>
          <t>可拆卸天花铝板吊顶</t>
        </is>
      </c>
      <c r="C469" s="27" t="inlineStr">
        <is>
          <t>1.异形勾搭龙骨，08螺纹吊杆@900不上人天花吊顶（投影面计算）
2.可拆卸天花铝板吊顶，含开孔、检修口、10*10凹槽等费用；
3.含除灯槽外的侧面高差及其连接件、吊件；
4.包含完成该项内容所有工作及费用并满足设计图纸、规范等要求；</t>
        </is>
      </c>
      <c r="D469" s="27" t="inlineStr">
        <is>
          <t>1.基层清理。
2.弹线定位、排版。
3.吊杆及连接件制作、安装、调平。
4.材料切割处理找平、铝条板安装及调整，打胶密封与清理。
5.收口及其他处理：侧封板、检修口等制作安装、收边收口、配合预留安装、机电等专业孔洞及孔洞收口处理。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469" s="27" t="inlineStr">
        <is>
          <t>按设计图示尺寸以水平投影面积计算。不扣除间壁墙、检查口、附墙烟囱、柱垛和管道所占面积,扣除单个&gt;0.3m2的孔洞、非密拼吊顶空隙所占的面积、独立柱及与天棚相连的窗帘盒所占的面积。</t>
        </is>
      </c>
      <c r="F469" s="28" t="inlineStr">
        <is>
          <t>m2</t>
        </is>
      </c>
      <c r="G469" s="61" t="n">
        <v>15.2</v>
      </c>
      <c r="H469" s="62" t="n">
        <v>159.3</v>
      </c>
      <c r="I469" s="65" t="n"/>
      <c r="J469" s="62">
        <f>H469*(1-$I$4)</f>
        <v/>
      </c>
      <c r="K469" s="63">
        <f>G469*J469</f>
        <v/>
      </c>
      <c r="L469" s="33" t="inlineStr">
        <is>
          <t>铝板吊顶</t>
        </is>
      </c>
      <c r="M469" s="64" t="n"/>
      <c r="N469" s="39" t="n">
        <v>1</v>
      </c>
      <c r="O469" t="n">
        <v>75</v>
      </c>
      <c r="P469" s="35" t="inlineStr">
        <is>
          <t>差:-84.30元 (-52.9%) 来源:售楼处</t>
        </is>
      </c>
      <c r="Q469" s="35" t="n"/>
      <c r="R469" s="35" t="n"/>
    </row>
    <row r="470" outlineLevel="2" ht="72" customFormat="1" customHeight="1" s="39">
      <c r="A470" s="37">
        <f>1+N(A469)</f>
        <v/>
      </c>
      <c r="B470" s="27" t="inlineStr">
        <is>
          <t>条形空调风口（150mm）</t>
        </is>
      </c>
      <c r="C470" s="27" t="inlineStr">
        <is>
          <t>1.条形空调风口（150mm）；
2.风口周边阻燃板封边加固处理；
3.包含完成该项内容所有工作及费用并满足设计图纸、规范等要求；</t>
        </is>
      </c>
      <c r="D470" s="27" t="inlineStr">
        <is>
          <t>自现有现场条件下按照合同约定范围、图纸（含设计变更）及甲方要求内容以及规范、标准、相关做法等要求完成并达到总包合同全部目标的全部工作内容。</t>
        </is>
      </c>
      <c r="E470" s="27" t="inlineStr">
        <is>
          <t>依据经承包人确认的施工部位,按设计图示尺寸以延长米计算。</t>
        </is>
      </c>
      <c r="F470" s="28" t="inlineStr">
        <is>
          <t>m</t>
        </is>
      </c>
      <c r="G470" s="61" t="n">
        <v>9.6</v>
      </c>
      <c r="H470" s="62" t="n">
        <v>109.74</v>
      </c>
      <c r="I470" s="65" t="n"/>
      <c r="J470" s="62">
        <f>H470*(1-$I$4)</f>
        <v/>
      </c>
      <c r="K470" s="63">
        <f>G470*J470</f>
        <v/>
      </c>
      <c r="L470" s="33" t="inlineStr">
        <is>
          <t>空调风口</t>
        </is>
      </c>
      <c r="M470" s="64" t="n"/>
      <c r="N470" s="39" t="n">
        <v>1</v>
      </c>
      <c r="O470" t="n">
        <v>30</v>
      </c>
      <c r="P470" s="35" t="inlineStr">
        <is>
          <t>差:-79.74元 (-72.7%) 来源:售楼处</t>
        </is>
      </c>
      <c r="Q470" s="35" t="n"/>
      <c r="R470" s="35" t="n"/>
    </row>
    <row r="471" outlineLevel="2" ht="72" customFormat="1" customHeight="1" s="39">
      <c r="A471" s="37">
        <f>1+N(A470)</f>
        <v/>
      </c>
      <c r="B471" s="27" t="inlineStr">
        <is>
          <t>灯槽（100mm*200mm）</t>
        </is>
      </c>
      <c r="C471" s="27" t="inlineStr">
        <is>
          <t>1.灯槽（100mm*200mm）；
2.双层板：9mm玻镁板、9.5厚石膏板；
3.包含完成该项内容所有工作及费用并满足设计图纸、规范等要求；</t>
        </is>
      </c>
      <c r="D471" s="27" t="inlineStr">
        <is>
          <t>自现有现场条件下按照合同约定范围、图纸（含设计变更）及甲方要求内容以及规范、标准、相关做法等要求完成并达到总包合同全部目标的全部工作内容。</t>
        </is>
      </c>
      <c r="E471" s="27" t="inlineStr">
        <is>
          <t>依据经承包人确认的施工部位,按设计图示尺寸以延长米计算。</t>
        </is>
      </c>
      <c r="F471" s="28" t="inlineStr">
        <is>
          <t>m</t>
        </is>
      </c>
      <c r="G471" s="61" t="n">
        <v>44.85</v>
      </c>
      <c r="H471" s="62" t="n">
        <v>112.159</v>
      </c>
      <c r="I471" s="65" t="n"/>
      <c r="J471" s="62">
        <f>H471*(1-$I$4)</f>
        <v/>
      </c>
      <c r="K471" s="63">
        <f>G471*J471</f>
        <v/>
      </c>
      <c r="L471" s="33" t="inlineStr">
        <is>
          <t>/</t>
        </is>
      </c>
      <c r="M471" s="64" t="n"/>
      <c r="N471" s="39" t="n">
        <v>1</v>
      </c>
      <c r="O471" t="n">
        <v>50</v>
      </c>
      <c r="P471" s="35" t="inlineStr">
        <is>
          <t>差:-62.16元 (-55.4%) 来源:售楼处</t>
        </is>
      </c>
      <c r="Q471" s="35" t="n"/>
      <c r="R471" s="35" t="n"/>
    </row>
    <row r="472" outlineLevel="2" ht="72" customFormat="1" customHeight="1" s="39">
      <c r="A472" s="37">
        <f>1+N(A471)</f>
        <v/>
      </c>
      <c r="B472" s="27" t="inlineStr">
        <is>
          <t>窗帘盒（200mm*200mm）</t>
        </is>
      </c>
      <c r="C472" s="27" t="inlineStr">
        <is>
          <t>1.窗帘盒窗帘盒（200mm*200mm）；
2.双层板：9mm玻镁板、9.5厚石膏板；
3.50系列轻钢龙骨及其连接件、吊件；
4.包含完成该项内容所有工作及费用并满足设计图纸、规范等要求；</t>
        </is>
      </c>
      <c r="D472" s="27" t="inlineStr">
        <is>
          <t>自现有现场条件下按照合同约定范围、图纸（含设计变更）及甲方要求内容以及规范、标准、相关做法等要求完成并达到总包合同全部目标的全部工作内容。</t>
        </is>
      </c>
      <c r="E472" s="27" t="inlineStr">
        <is>
          <t>依据经承包人确认的施工部位,按设计图示尺寸以延长米计算。</t>
        </is>
      </c>
      <c r="F472" s="28" t="inlineStr">
        <is>
          <t>m</t>
        </is>
      </c>
      <c r="G472" s="61" t="n">
        <v>9.56</v>
      </c>
      <c r="H472" s="62" t="n">
        <v>123.192</v>
      </c>
      <c r="I472" s="65" t="n"/>
      <c r="J472" s="62">
        <f>H472*(1-$I$4)</f>
        <v/>
      </c>
      <c r="K472" s="63">
        <f>G472*J472</f>
        <v/>
      </c>
      <c r="L472" s="33" t="inlineStr">
        <is>
          <t>/</t>
        </is>
      </c>
      <c r="M472" s="64" t="n"/>
      <c r="N472" s="39" t="n">
        <v>1</v>
      </c>
      <c r="O472" t="n">
        <v>55</v>
      </c>
      <c r="P472" s="35" t="inlineStr">
        <is>
          <t>差:-68.19元 (-55.4%) 来源:售楼处</t>
        </is>
      </c>
      <c r="Q472" s="35" t="n"/>
      <c r="R472" s="35" t="n"/>
    </row>
    <row r="473" outlineLevel="2" ht="72" customFormat="1" customHeight="1" s="39">
      <c r="A473" s="37">
        <f>1+N(A472)</f>
        <v/>
      </c>
      <c r="B473" s="27" t="inlineStr">
        <is>
          <t>成品石膏线条</t>
        </is>
      </c>
      <c r="C473" s="27" t="inlineStr">
        <is>
          <t>1.成品石膏线条（50mm*50mm）；
2.按图纸造型；
3.包含完成该项内容所有工作及费用并满足设计图纸、规范等要求；</t>
        </is>
      </c>
      <c r="D473" s="27" t="inlineStr">
        <is>
          <t>自现有现场条件下按照合同约定范围、图纸（含设计变更）及甲方要求内容以及规范、标准、相关做法等要求完成并达到总包合同全部目标的全部工作内容。</t>
        </is>
      </c>
      <c r="E473" s="27" t="inlineStr">
        <is>
          <t>依据经承包人确认的施工部位,按设计图示尺寸以延长米计算。</t>
        </is>
      </c>
      <c r="F473" s="28" t="inlineStr">
        <is>
          <t>m</t>
        </is>
      </c>
      <c r="G473" s="61" t="n">
        <v>44.85</v>
      </c>
      <c r="H473" s="62" t="n">
        <v>20.06</v>
      </c>
      <c r="I473" s="65" t="n"/>
      <c r="J473" s="62">
        <f>H473*(1-$I$4)</f>
        <v/>
      </c>
      <c r="K473" s="63">
        <f>G473*J473</f>
        <v/>
      </c>
      <c r="L473" s="33" t="inlineStr">
        <is>
          <t>成品石膏线条</t>
        </is>
      </c>
      <c r="M473" s="64" t="n"/>
      <c r="N473" s="39" t="n">
        <v>1</v>
      </c>
      <c r="O473" t="n">
        <v>18</v>
      </c>
      <c r="P473" s="35" t="inlineStr">
        <is>
          <t>差:-2.06元 (-10.3%) 来源:售楼处</t>
        </is>
      </c>
      <c r="Q473" s="35" t="n"/>
      <c r="R473" s="35" t="n"/>
    </row>
    <row r="474" outlineLevel="2" ht="192" customFormat="1" customHeight="1" s="39">
      <c r="A474" s="37">
        <f>1+N(A473)</f>
        <v/>
      </c>
      <c r="B474" s="27" t="inlineStr">
        <is>
          <t>天花肌理无机涂料PT-01</t>
        </is>
      </c>
      <c r="C474" s="27" t="inlineStr">
        <is>
          <t>1.天花肌理无机涂料PT-01；
2.刮腻子二遍磨平；
3.底漆1遍，面漆2遍；
4.包含完成该项内容所有工作及费用并满足设计图纸、规范等要求；</t>
        </is>
      </c>
      <c r="D474" s="27" t="inlineStr">
        <is>
          <t>包括但不限于材料计划、采购、卸车倒运、保管、检验试验费、测量放线，包含四周阴角找平直、含天棚四周阴角找平直，打磨，简易脚手架搭拆及操作平台、升降机，基层清理、打磨平整、底层找补、满刮涂料（含阴阳角塑料条）、涂料打磨、补遗处理、配合其他分包施工、完工后场清、成品保护、保修等直到达到竣工交付标准的全部工作内容。包括所有为完成工作所需的小型机具；包括所有为完成工作所需的附属工作；包括但不限于以上内容。</t>
        </is>
      </c>
      <c r="E474" s="27" t="inlineStr">
        <is>
          <t>执行《GB/T50854-2024房屋建筑与装饰工程工程量计算标准》，按设计图示尺寸以面积计算。扣除0.3平方米以上洞口的面积；梁侧面及檐口天棚并入天棚计算；以设计图纸和技术交底为基础</t>
        </is>
      </c>
      <c r="F474" s="28" t="inlineStr">
        <is>
          <t>m2</t>
        </is>
      </c>
      <c r="G474" s="61" t="n">
        <v>132.9</v>
      </c>
      <c r="H474" s="62" t="n">
        <v>48.38</v>
      </c>
      <c r="I474" s="65" t="n"/>
      <c r="J474" s="62">
        <f>H474*(1-$I$4)</f>
        <v/>
      </c>
      <c r="K474" s="63">
        <f>G474*J474</f>
        <v/>
      </c>
      <c r="L474" s="33" t="inlineStr">
        <is>
          <t>涂料</t>
        </is>
      </c>
      <c r="M474" s="64" t="n"/>
      <c r="N474" s="39" t="n">
        <v>1</v>
      </c>
      <c r="O474" t="n">
        <v>45</v>
      </c>
      <c r="P474" s="35" t="inlineStr">
        <is>
          <t>差:-3.38元 (-7.0%) 来源:售楼处</t>
        </is>
      </c>
      <c r="Q474" s="35" t="n"/>
      <c r="R474" s="35" t="n"/>
    </row>
    <row r="475" outlineLevel="2" ht="204" customFormat="1" customHeight="1" s="39">
      <c r="A475" s="37">
        <f>1+N(A474)</f>
        <v/>
      </c>
      <c r="B475" s="27" t="inlineStr">
        <is>
          <t>天花内部喷白涂料</t>
        </is>
      </c>
      <c r="C475" s="27" t="inlineStr">
        <is>
          <t>1.天花内部喷白涂料；
2.可拆卸天花内部构件、管道、楼板喷白处理；
3.底漆1遍，面漆1遍（按天棚投影面积计算）；
4.包含完成该项内容所有工作及费用并满足设计图纸、规范等要求；</t>
        </is>
      </c>
      <c r="D475" s="27" t="inlineStr">
        <is>
          <t>1.基层清理。
2.弹线定位、排版。
3.吊杆及连接件制作、安装、调平。
4.材料切割处理找平、铝条板安装及调整，打胶密封与清理。
5.收口及其他处理：侧封板、检修口等制作安装、收边收口、配合预留安装、机电等专业孔洞及孔洞收口处理。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475" s="27" t="inlineStr">
        <is>
          <t>按设计图示尺寸以水平投影面积计算。不扣除间壁墙、检查口、附墙烟囱、柱垛和管道所占面积,扣除单个&gt;0.3m2的孔洞、非密拼吊顶空隙所占的面积、独立柱及与天棚相连的窗帘盒所占的面积。</t>
        </is>
      </c>
      <c r="F475" s="28" t="inlineStr">
        <is>
          <t>m2</t>
        </is>
      </c>
      <c r="G475" s="61" t="n">
        <v>15.2</v>
      </c>
      <c r="H475" s="62" t="n">
        <v>23.6</v>
      </c>
      <c r="I475" s="65" t="n"/>
      <c r="J475" s="62">
        <f>H475*(1-$I$4)</f>
        <v/>
      </c>
      <c r="K475" s="63">
        <f>G475*J475</f>
        <v/>
      </c>
      <c r="L475" s="33" t="inlineStr">
        <is>
          <t>涂料</t>
        </is>
      </c>
      <c r="M475" s="64" t="n"/>
      <c r="N475" s="39" t="n">
        <v>1</v>
      </c>
      <c r="O475" t="n">
        <v>12</v>
      </c>
      <c r="P475" s="35" t="inlineStr">
        <is>
          <t>差:-11.60元 (-49.2%) 来源:售楼处</t>
        </is>
      </c>
      <c r="Q475" s="35" t="n"/>
      <c r="R475" s="35" t="n"/>
    </row>
    <row r="476" outlineLevel="1" customFormat="1" s="39">
      <c r="A476" s="36" t="n"/>
      <c r="B476" s="27" t="inlineStr">
        <is>
          <t>门窗、家具工程</t>
        </is>
      </c>
      <c r="C476" s="27" t="n"/>
      <c r="D476" s="27" t="n"/>
      <c r="E476" s="27" t="n"/>
      <c r="F476" s="28" t="n"/>
      <c r="G476" s="61" t="n"/>
      <c r="H476" s="62" t="n"/>
      <c r="I476" s="65" t="n"/>
      <c r="J476" s="62" t="n"/>
      <c r="K476" s="63" t="n"/>
      <c r="L476" s="33" t="n"/>
      <c r="M476" s="64" t="n"/>
      <c r="P476" s="35" t="n"/>
      <c r="Q476" s="35" t="n"/>
      <c r="R476" s="35" t="n"/>
    </row>
    <row r="477" outlineLevel="2" ht="96" customFormat="1" customHeight="1" s="39">
      <c r="A477" s="37">
        <f>1+N(A476)</f>
        <v/>
      </c>
      <c r="B477" s="27" t="inlineStr">
        <is>
          <t>装饰屏风（1810mm*100mm*3400mm）</t>
        </is>
      </c>
      <c r="C477" s="27" t="inlineStr">
        <is>
          <t>1.装饰屏风（1810mm*100mm*3400mm）；
2.包括但不限于制作安装、钢结构骨架、阻燃板基层、WD-01木饰面、WD-06木皮、1.2mm厚 MT-01古铜不锈钢、MT-04手敲铜不锈钢；
3.包含完成该项内容所有工作及费用并满足设计图纸、规范等要求</t>
        </is>
      </c>
      <c r="D477" s="27" t="inlineStr">
        <is>
          <t>自现有现场条件下按照合同约定范围、图纸（含设计变更）及甲方要求内容以及规范、标准、相关做法等要求完成并达到总包合同全部目标的全部工作内容。</t>
        </is>
      </c>
      <c r="E477" s="27" t="inlineStr">
        <is>
          <t>以最终验收合格的工程量计算</t>
        </is>
      </c>
      <c r="F477" s="28" t="inlineStr">
        <is>
          <t>m2</t>
        </is>
      </c>
      <c r="G477" s="61" t="n">
        <v>30.77</v>
      </c>
      <c r="H477" s="62" t="n">
        <v>5005.2886</v>
      </c>
      <c r="I477" s="65" t="n"/>
      <c r="J477" s="62">
        <f>H477*(1-$I$4)</f>
        <v/>
      </c>
      <c r="K477" s="63">
        <f>G477*J477</f>
        <v/>
      </c>
      <c r="L477" s="33" t="inlineStr">
        <is>
          <t>/</t>
        </is>
      </c>
      <c r="M477" s="64" t="n"/>
      <c r="N477" s="39" t="n">
        <v>1</v>
      </c>
      <c r="O477" t="n">
        <v>55</v>
      </c>
      <c r="P477" s="35" t="inlineStr">
        <is>
          <t>差:-4950.29元 (-98.9%) 来源:售楼处</t>
        </is>
      </c>
      <c r="Q477" s="35" t="n"/>
      <c r="R477" s="35" t="n"/>
    </row>
    <row r="478" outlineLevel="2" ht="84" customFormat="1" customHeight="1" s="39">
      <c r="A478" s="37">
        <f>1+N(A477)</f>
        <v/>
      </c>
      <c r="B478" s="27" t="inlineStr">
        <is>
          <t>接待台</t>
        </is>
      </c>
      <c r="C478" s="27" t="inlineStr">
        <is>
          <t>1、接待台（3550mm*1100mm*1100mm）
2.包括但不限于制作安装、钢结构骨架、石材及石材防污处理、9mm阻燃板基层、ST-07石材台面、WD-04木饰面；
3.含五金配件、相应的线孔洞开设等；
4.包含完成该项内容所有工作及费用并满足设计图纸、规范等要求；</t>
        </is>
      </c>
      <c r="D478" s="27" t="inlineStr">
        <is>
          <t>自现有现场条件下按照合同约定范围、图纸（含设计变更）及甲方要求内容以及规范、标准、相关做法等要求完成并达到总包合同全部目标的全部工作内容。</t>
        </is>
      </c>
      <c r="E478" s="27" t="inlineStr">
        <is>
          <t>以最终验收合格的工程量计算</t>
        </is>
      </c>
      <c r="F478" s="28" t="inlineStr">
        <is>
          <t>套</t>
        </is>
      </c>
      <c r="G478" s="61" t="n">
        <v>1</v>
      </c>
      <c r="H478" s="62" t="n">
        <v>50903.26893</v>
      </c>
      <c r="I478" s="65" t="n"/>
      <c r="J478" s="62">
        <f>H478*(1-$I$4)</f>
        <v/>
      </c>
      <c r="K478" s="63">
        <f>G478*J478</f>
        <v/>
      </c>
      <c r="L478" s="33" t="inlineStr">
        <is>
          <t>/</t>
        </is>
      </c>
      <c r="M478" s="64" t="n"/>
      <c r="N478" s="39" t="n">
        <v>1</v>
      </c>
      <c r="O478" t="n">
        <v>2563</v>
      </c>
      <c r="P478" s="35" t="inlineStr">
        <is>
          <t>差:-48340.27元 (-95.0%) 来源:售楼处</t>
        </is>
      </c>
      <c r="Q478" s="35" t="n"/>
      <c r="R478" s="35" t="n"/>
    </row>
    <row r="479" outlineLevel="1" customFormat="1" s="39">
      <c r="A479" s="26" t="inlineStr">
        <is>
          <t>一</t>
        </is>
      </c>
      <c r="B479" s="27" t="inlineStr">
        <is>
          <t>电梯厅、艺术过厅</t>
        </is>
      </c>
      <c r="C479" s="27" t="n"/>
      <c r="D479" s="27" t="n"/>
      <c r="E479" s="27" t="n"/>
      <c r="F479" s="28" t="n"/>
      <c r="G479" s="61" t="n"/>
      <c r="H479" s="62" t="n"/>
      <c r="I479" s="65" t="n"/>
      <c r="J479" s="62" t="n"/>
      <c r="K479" s="63" t="n"/>
      <c r="L479" s="33" t="n"/>
      <c r="M479" s="64" t="n"/>
      <c r="P479" s="35" t="n"/>
      <c r="Q479" s="35" t="n"/>
      <c r="R479" s="35" t="n"/>
    </row>
    <row r="480" outlineLevel="1" customFormat="1" s="39">
      <c r="A480" s="36" t="n"/>
      <c r="B480" s="27" t="inlineStr">
        <is>
          <t>地面工程</t>
        </is>
      </c>
      <c r="C480" s="27" t="n"/>
      <c r="D480" s="27" t="n"/>
      <c r="E480" s="27" t="n"/>
      <c r="F480" s="28" t="n"/>
      <c r="G480" s="61" t="n"/>
      <c r="H480" s="62" t="n"/>
      <c r="I480" s="65" t="n"/>
      <c r="J480" s="62" t="n"/>
      <c r="K480" s="63" t="n"/>
      <c r="L480" s="33" t="n"/>
      <c r="M480" s="64" t="n"/>
      <c r="P480" s="35" t="n"/>
      <c r="Q480" s="35" t="n"/>
      <c r="R480" s="35" t="n"/>
    </row>
    <row r="481" outlineLevel="2" ht="108" customFormat="1" customHeight="1" s="39">
      <c r="A481" s="37">
        <f>1+N(A480)</f>
        <v/>
      </c>
      <c r="B481" s="27" t="inlineStr">
        <is>
          <t>地面铺贴大理石ST-01</t>
        </is>
      </c>
      <c r="C481" s="27" t="inlineStr">
        <is>
          <t>1.地面20mm大理石ST-01、铺贴、厚度及样式按物料书为准；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481"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481" s="27" t="inlineStr">
        <is>
          <t xml:space="preserve">执行《GB/T50854-2024房屋建筑与装饰工程工程量计算标准》，按设计图示尺寸
以面积计算。 </t>
        </is>
      </c>
      <c r="F481" s="28" t="inlineStr">
        <is>
          <t>m2</t>
        </is>
      </c>
      <c r="G481" s="61" t="n">
        <v>23.22</v>
      </c>
      <c r="H481" s="62" t="n">
        <v>218.75017</v>
      </c>
      <c r="I481" s="65" t="n"/>
      <c r="J481" s="62">
        <f>H481*(1-$I$4)</f>
        <v/>
      </c>
      <c r="K481" s="63">
        <f>G481*J481</f>
        <v/>
      </c>
      <c r="L481" s="33" t="inlineStr">
        <is>
          <t>石材</t>
        </is>
      </c>
      <c r="M481" s="64" t="n"/>
      <c r="N481" s="39" t="n">
        <v>1</v>
      </c>
      <c r="O481" t="n">
        <v>130</v>
      </c>
      <c r="P481" s="35" t="inlineStr">
        <is>
          <t>差:-88.75元 (-40.6%) 来源:售楼处</t>
        </is>
      </c>
      <c r="Q481" s="35" t="n"/>
      <c r="R481" s="35" t="n"/>
    </row>
    <row r="482" outlineLevel="2" ht="108" customFormat="1" customHeight="1" s="39">
      <c r="A482" s="37">
        <f>1+N(A481)</f>
        <v/>
      </c>
      <c r="B482" s="27" t="inlineStr">
        <is>
          <t>地面铺贴大理石ST-01拼花</t>
        </is>
      </c>
      <c r="C482" s="27" t="inlineStr">
        <is>
          <t>1.地面20mm大理石拼花、参考3F-DF-01样式、ST-01按物料书为准；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482"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482" s="27" t="inlineStr">
        <is>
          <t xml:space="preserve">执行《GB/T50854-2024房屋建筑与装饰工程工程量计算标准》，按设计图示尺寸
以面积计算。 </t>
        </is>
      </c>
      <c r="F482" s="28" t="inlineStr">
        <is>
          <t>m2</t>
        </is>
      </c>
      <c r="G482" s="61" t="n">
        <v>3.5</v>
      </c>
      <c r="H482" s="62" t="n">
        <v>242.35017</v>
      </c>
      <c r="I482" s="65" t="n"/>
      <c r="J482" s="62">
        <f>H482*(1-$I$4)</f>
        <v/>
      </c>
      <c r="K482" s="63">
        <f>G482*J482</f>
        <v/>
      </c>
      <c r="L482" s="33" t="inlineStr">
        <is>
          <t>石材</t>
        </is>
      </c>
      <c r="M482" s="64" t="n"/>
      <c r="N482" s="39" t="n">
        <v>1</v>
      </c>
      <c r="O482" t="n">
        <v>130</v>
      </c>
      <c r="P482" s="35" t="inlineStr">
        <is>
          <t>差:-112.35元 (-46.4%) 来源:售楼处</t>
        </is>
      </c>
      <c r="Q482" s="35" t="n"/>
      <c r="R482" s="35" t="n"/>
    </row>
    <row r="483" outlineLevel="2" ht="108" customFormat="1" customHeight="1" s="39">
      <c r="A483" s="37">
        <f>1+N(A482)</f>
        <v/>
      </c>
      <c r="B483" s="27" t="inlineStr">
        <is>
          <t>实心铜条5mm宽</t>
        </is>
      </c>
      <c r="C483" s="27" t="inlineStr">
        <is>
          <t>1.实心铜条5mm宽；
2.包含完成该项内容所有工作及费用并满足设计图纸、规范等要求；</t>
        </is>
      </c>
      <c r="D483"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483" s="27" t="inlineStr">
        <is>
          <t>按设计图示尺寸以长度计算。</t>
        </is>
      </c>
      <c r="F483" s="28" t="inlineStr">
        <is>
          <t>m</t>
        </is>
      </c>
      <c r="G483" s="61" t="n">
        <v>7.1</v>
      </c>
      <c r="H483" s="62" t="n">
        <v>89.267</v>
      </c>
      <c r="I483" s="65" t="n"/>
      <c r="J483" s="62">
        <f>H483*(1-$I$4)</f>
        <v/>
      </c>
      <c r="K483" s="63">
        <f>G483*J483</f>
        <v/>
      </c>
      <c r="L483" s="33" t="inlineStr">
        <is>
          <t>/</t>
        </is>
      </c>
      <c r="M483" s="64" t="n"/>
      <c r="N483" s="39" t="n">
        <v>1</v>
      </c>
      <c r="O483" t="n">
        <v>12</v>
      </c>
      <c r="P483" s="35" t="inlineStr">
        <is>
          <t>差:-77.27元 (-86.6%) 来源:售楼处</t>
        </is>
      </c>
      <c r="Q483" s="35" t="n"/>
      <c r="R483" s="35" t="n"/>
    </row>
    <row r="484" outlineLevel="2" ht="108" customFormat="1" customHeight="1" s="39">
      <c r="A484" s="37">
        <f>1+N(A483)</f>
        <v/>
      </c>
      <c r="B484" s="27" t="inlineStr">
        <is>
          <t>地面石材晶面处理</t>
        </is>
      </c>
      <c r="C484" s="27" t="inlineStr">
        <is>
          <t>1.石材结晶处理(结晶水及石材保养剂,中性清洁剂)；
2.包含完成该项内容所有工作及费用并满足设计图纸、规范等要求；</t>
        </is>
      </c>
      <c r="D484"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484" s="27" t="inlineStr">
        <is>
          <t xml:space="preserve">执行《GB/T50854-2024房屋建筑与装饰工程工程量计算标准》，按设计图示尺寸
以面积计算。 </t>
        </is>
      </c>
      <c r="F484" s="28" t="inlineStr">
        <is>
          <t>m2</t>
        </is>
      </c>
      <c r="G484" s="61" t="n">
        <v>26.72</v>
      </c>
      <c r="H484" s="62" t="n">
        <v>64.90000000000001</v>
      </c>
      <c r="I484" s="65" t="n"/>
      <c r="J484" s="62">
        <f>H484*(1-$I$4)</f>
        <v/>
      </c>
      <c r="K484" s="63">
        <f>G484*J484</f>
        <v/>
      </c>
      <c r="L484" s="33" t="inlineStr">
        <is>
          <t>/</t>
        </is>
      </c>
      <c r="M484" s="64" t="n"/>
      <c r="N484" s="39" t="n">
        <v>1</v>
      </c>
      <c r="O484" t="n">
        <v>40</v>
      </c>
      <c r="P484" s="35" t="inlineStr">
        <is>
          <t>差:-24.90元 (-38.4%) 来源:售楼处</t>
        </is>
      </c>
      <c r="Q484" s="35" t="n"/>
      <c r="R484" s="35" t="n"/>
    </row>
    <row r="485" outlineLevel="1" customFormat="1" s="39">
      <c r="A485" s="36" t="n"/>
      <c r="B485" s="27" t="inlineStr">
        <is>
          <t>墙柱面工程</t>
        </is>
      </c>
      <c r="C485" s="27" t="n"/>
      <c r="D485" s="27" t="n"/>
      <c r="E485" s="27" t="n"/>
      <c r="F485" s="28" t="n"/>
      <c r="G485" s="61" t="n"/>
      <c r="H485" s="62" t="n"/>
      <c r="I485" s="65" t="n"/>
      <c r="J485" s="62" t="n"/>
      <c r="K485" s="63" t="n"/>
      <c r="L485" s="33" t="n"/>
      <c r="M485" s="64" t="n"/>
      <c r="P485" s="35" t="n"/>
      <c r="Q485" s="35" t="n"/>
      <c r="R485" s="35" t="n"/>
    </row>
    <row r="486" outlineLevel="2" ht="180" customFormat="1" customHeight="1" s="39">
      <c r="A486" s="37">
        <f>1+N(A485)</f>
        <v/>
      </c>
      <c r="B486" s="27" t="inlineStr">
        <is>
          <t>墙面干挂ST-05石材</t>
        </is>
      </c>
      <c r="C486" s="27" t="inlineStr">
        <is>
          <t>1、墙面干挂ST-05石材（含不锈钢线条）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is>
      </c>
      <c r="D486"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486" s="27" t="inlineStr">
        <is>
          <t>执行《GB/T50854-2024房屋建筑与装饰工程工程量计算标准》，按设计图示镶贴后外围面积计算</t>
        </is>
      </c>
      <c r="F486" s="28" t="inlineStr">
        <is>
          <t>m2</t>
        </is>
      </c>
      <c r="G486" s="61" t="n">
        <v>26.22</v>
      </c>
      <c r="H486" s="62" t="n">
        <v>283.2</v>
      </c>
      <c r="I486" s="65" t="n"/>
      <c r="J486" s="62">
        <f>H486*(1-$I$4)</f>
        <v/>
      </c>
      <c r="K486" s="63">
        <f>G486*J486</f>
        <v/>
      </c>
      <c r="L486" s="33" t="inlineStr">
        <is>
          <t>石材</t>
        </is>
      </c>
      <c r="M486" s="64" t="n"/>
      <c r="N486" s="39" t="n">
        <v>1</v>
      </c>
      <c r="O486" t="n">
        <v>140</v>
      </c>
      <c r="P486" s="35" t="inlineStr">
        <is>
          <t>差:-143.20元 (-50.6%) 来源:售楼处</t>
        </is>
      </c>
      <c r="Q486" s="35" t="n"/>
      <c r="R486" s="35" t="n"/>
    </row>
    <row r="487" outlineLevel="2" ht="180" customFormat="1" customHeight="1" s="39">
      <c r="A487" s="37">
        <f>1+N(A486)</f>
        <v/>
      </c>
      <c r="B487" s="27" t="inlineStr">
        <is>
          <t>墙面WD-03木饰面</t>
        </is>
      </c>
      <c r="C487" s="27" t="inlineStr">
        <is>
          <t>1、墙面WD-03木饰面（含不锈钢线条）
2、结构胶固定
3、12mm阻燃板基层
4、膨胀螺栓、轻钢龙骨(钢结构)基层找平
5、包含完成该项内容所有工作及费用并满足设计图纸、规范等要求</t>
        </is>
      </c>
      <c r="D487"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487" s="27" t="inlineStr">
        <is>
          <t>执行《GB/T50854-2024房屋建筑与装饰工程工程量计算标准》，按设计图示饰面外围尺寸
以面积计算。 扣除门窗洞口面积，不扣除单个面积≤0.3㎡的孔洞所占面积。</t>
        </is>
      </c>
      <c r="F487" s="28" t="inlineStr">
        <is>
          <t>m2</t>
        </is>
      </c>
      <c r="G487" s="61" t="n">
        <v>34.98</v>
      </c>
      <c r="H487" s="62" t="n">
        <v>253.7</v>
      </c>
      <c r="I487" s="65" t="n"/>
      <c r="J487" s="62">
        <f>H487*(1-$I$4)</f>
        <v/>
      </c>
      <c r="K487" s="63">
        <f>G487*J487</f>
        <v/>
      </c>
      <c r="L487" s="33" t="inlineStr">
        <is>
          <t>木饰面</t>
        </is>
      </c>
      <c r="M487" s="64" t="n"/>
      <c r="N487" s="39" t="n">
        <v>1</v>
      </c>
      <c r="O487" t="n">
        <v>75</v>
      </c>
      <c r="P487" s="35" t="inlineStr">
        <is>
          <t>差:-178.70元 (-70.4%) 来源:售楼处</t>
        </is>
      </c>
      <c r="Q487" s="35" t="n"/>
      <c r="R487" s="35" t="n"/>
    </row>
    <row r="488" outlineLevel="2" ht="144" customFormat="1" customHeight="1" s="39">
      <c r="A488" s="37">
        <f>1+N(A487)</f>
        <v/>
      </c>
      <c r="B488" s="27" t="inlineStr">
        <is>
          <t>MR-01银镜</t>
        </is>
      </c>
      <c r="C488" s="27" t="inlineStr">
        <is>
          <t>1、MR-01银镜（含不锈钢线条）
2、胶粘剂固定(中性胶)
3、12mm阻燃板基层
4、膨胀螺栓、轻钢龙骨(钢结构)基层找平
5、包含完成该项内容所有工作及费用并满足设计图纸、规范等要求</t>
        </is>
      </c>
      <c r="D488"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488" s="27" t="inlineStr">
        <is>
          <t>执行《GB/T50854-2024房屋建筑与装饰工程工程量计算标准》，按设计图示饰面外围尺寸以面积计算。</t>
        </is>
      </c>
      <c r="F488" s="28" t="inlineStr">
        <is>
          <t>m2</t>
        </is>
      </c>
      <c r="G488" s="61" t="n">
        <v>32.93</v>
      </c>
      <c r="H488" s="62" t="n">
        <v>214.76</v>
      </c>
      <c r="I488" s="65" t="n"/>
      <c r="J488" s="62">
        <f>H488*(1-$I$4)</f>
        <v/>
      </c>
      <c r="K488" s="63">
        <f>G488*J488</f>
        <v/>
      </c>
      <c r="L488" s="33" t="inlineStr">
        <is>
          <t>银镜</t>
        </is>
      </c>
      <c r="M488" s="64" t="n"/>
      <c r="N488" s="39" t="n">
        <v>1</v>
      </c>
      <c r="O488" t="n">
        <v>110</v>
      </c>
      <c r="P488" s="35" t="inlineStr">
        <is>
          <t>差:-104.76元 (-48.8%) 来源:售楼处</t>
        </is>
      </c>
      <c r="Q488" s="35" t="n"/>
      <c r="R488" s="35" t="n"/>
    </row>
    <row r="489" outlineLevel="2" ht="180" customFormat="1" customHeight="1" s="39">
      <c r="A489" s="37">
        <f>1+N(A488)</f>
        <v/>
      </c>
      <c r="B489" s="27" t="inlineStr">
        <is>
          <t>MT-01古铜不锈钢饰面（电梯按钮处）</t>
        </is>
      </c>
      <c r="C489" s="27" t="inlineStr">
        <is>
          <t>1、1.2mm厚 MT-01古铜不锈钢饰面
2、12mm阻燃板基层，轻钢副龙骨@400
3、工程量以展开面积计算
4、包含完成该项内容所有工作及费用并满足设计图纸、规范等要求</t>
        </is>
      </c>
      <c r="D489"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489" s="27" t="inlineStr">
        <is>
          <t>执行《GB/T50854-2024房屋建筑与装饰工程工程量计算标准》，按设计图示饰面外围尺寸
以面积计算。 扣除门窗洞口面积，不扣除单个面积≤0.3㎡的孔洞所占面积。</t>
        </is>
      </c>
      <c r="F489" s="28" t="inlineStr">
        <is>
          <t>m2</t>
        </is>
      </c>
      <c r="G489" s="61" t="n">
        <v>0.26</v>
      </c>
      <c r="H489" s="62" t="n">
        <v>295</v>
      </c>
      <c r="I489" s="65" t="n"/>
      <c r="J489" s="62">
        <f>H489*(1-$I$4)</f>
        <v/>
      </c>
      <c r="K489" s="63">
        <f>G489*J489</f>
        <v/>
      </c>
      <c r="L489" s="33" t="inlineStr">
        <is>
          <t>不锈钢饰面</t>
        </is>
      </c>
      <c r="M489" s="64" t="n"/>
      <c r="N489" s="39" t="n">
        <v>1</v>
      </c>
      <c r="O489" t="n">
        <v>110</v>
      </c>
      <c r="P489" s="35" t="inlineStr">
        <is>
          <t>差:-185.00元 (-62.7%) 来源:售楼处</t>
        </is>
      </c>
      <c r="Q489" s="35" t="n"/>
      <c r="R489" s="35" t="n"/>
    </row>
    <row r="490" outlineLevel="2" ht="144" customFormat="1" customHeight="1" s="39">
      <c r="A490" s="37">
        <f>1+N(A489)</f>
        <v/>
      </c>
      <c r="B490" s="27" t="inlineStr">
        <is>
          <t>MT-01古铜不锈钢踢脚线（高20mm）</t>
        </is>
      </c>
      <c r="C490" s="27" t="inlineStr">
        <is>
          <t>1、1.2mm厚 MT-01古铜不锈钢踢脚线（高20mm，展开面为46mm），结构胶固定
2、9厘玻镁板基层
3、包含完成该项内容所有工作及费用并满足设计图纸、规范等要求</t>
        </is>
      </c>
      <c r="D490"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490" s="27" t="inlineStr">
        <is>
          <t>按设计图示尺寸以长度计算。</t>
        </is>
      </c>
      <c r="F490" s="28" t="inlineStr">
        <is>
          <t>m</t>
        </is>
      </c>
      <c r="G490" s="61" t="n">
        <v>27.8</v>
      </c>
      <c r="H490" s="62" t="n">
        <v>31.86</v>
      </c>
      <c r="I490" s="65" t="n"/>
      <c r="J490" s="62">
        <f>H490*(1-$I$4)</f>
        <v/>
      </c>
      <c r="K490" s="63">
        <f>G490*J490</f>
        <v/>
      </c>
      <c r="L490" s="33" t="inlineStr">
        <is>
          <t>不锈钢踢脚线</t>
        </is>
      </c>
      <c r="M490" s="64" t="n"/>
      <c r="N490" s="39" t="n">
        <v>1</v>
      </c>
      <c r="O490" t="n">
        <v>12</v>
      </c>
      <c r="P490" s="35" t="inlineStr">
        <is>
          <t>差:-19.86元 (-62.3%) 来源:售楼处</t>
        </is>
      </c>
      <c r="Q490" s="35" t="n"/>
      <c r="R490" s="35" t="n"/>
    </row>
    <row r="491" outlineLevel="1" customFormat="1" s="39">
      <c r="A491" s="36" t="n"/>
      <c r="B491" s="27" t="inlineStr">
        <is>
          <t>天花工程</t>
        </is>
      </c>
      <c r="C491" s="27" t="n"/>
      <c r="D491" s="27" t="n"/>
      <c r="E491" s="27" t="n"/>
      <c r="F491" s="28" t="n"/>
      <c r="G491" s="61" t="n"/>
      <c r="H491" s="62" t="n"/>
      <c r="I491" s="65" t="n"/>
      <c r="J491" s="62" t="n"/>
      <c r="K491" s="63" t="n"/>
      <c r="L491" s="33" t="n"/>
      <c r="M491" s="64" t="n"/>
      <c r="P491" s="35" t="n"/>
      <c r="Q491" s="35" t="n"/>
      <c r="R491" s="35" t="n"/>
    </row>
    <row r="492" outlineLevel="2" ht="192" customFormat="1" customHeight="1" s="39">
      <c r="A492" s="37">
        <f>1+N(A491)</f>
        <v/>
      </c>
      <c r="B492" s="27" t="inlineStr">
        <is>
          <t>造型石膏板吊顶（含圆侧）</t>
        </is>
      </c>
      <c r="C492" s="27" t="inlineStr">
        <is>
          <t>1.60系列轻钢主龙骨@900，60系列轻钢副龙骨@400，60系列横撑龙骨@600，08螺纹吊杆@900不上人天花吊顶（投影面计算）
2.玻镁板、双层9.5厚石膏板基层，含开孔、检修口、10*10凹槽等费用；
3.含除灯槽外的侧面高差及其连接件、吊件；
4.包含完成该项内容所有工作及费用并满足设计图纸、规范等要求；</t>
        </is>
      </c>
      <c r="D492" s="27" t="inlineStr">
        <is>
          <t>1.基层清理。
2.弹线定位、排版。
3.吊杆及连接件安装调平、收口及密封处理。
4.材料切割处理找平、石膏板安装及调整，打胶密封与清理.
5.收口及其他处理：检修口等制作安装、收边收口、配合预留安装、机电等专业孔洞及孔洞收口处理。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492" s="27" t="inlineStr">
        <is>
          <t>按设计图示尺寸以水平投影面积计算。不扣除间壁墙、检查口、附墙烟囱、柱垛和管道所占面积,扣除单个&gt;0.3m3的孔洞、非密拼吊顶空隙所占的面积、独立柱及与天棚相连的窗帘盒所占的面积。</t>
        </is>
      </c>
      <c r="F492" s="28" t="inlineStr">
        <is>
          <t>m2</t>
        </is>
      </c>
      <c r="G492" s="61" t="n">
        <v>26.72</v>
      </c>
      <c r="H492" s="62" t="n">
        <v>268.922</v>
      </c>
      <c r="I492" s="65" t="n"/>
      <c r="J492" s="62">
        <f>H492*(1-$I$4)</f>
        <v/>
      </c>
      <c r="K492" s="63">
        <f>G492*J492</f>
        <v/>
      </c>
      <c r="L492" s="33" t="inlineStr">
        <is>
          <t>/</t>
        </is>
      </c>
      <c r="M492" s="64" t="n"/>
      <c r="N492" s="39" t="n">
        <v>1</v>
      </c>
      <c r="O492" t="n">
        <v>85</v>
      </c>
      <c r="P492" s="35" t="inlineStr">
        <is>
          <t>差:-183.92元 (-68.4%) 来源:售楼处</t>
        </is>
      </c>
      <c r="Q492" s="35" t="n"/>
      <c r="R492" s="35" t="n"/>
    </row>
    <row r="493" outlineLevel="2" ht="72" customFormat="1" customHeight="1" s="39">
      <c r="A493" s="37">
        <f>1+N(A492)</f>
        <v/>
      </c>
      <c r="B493" s="27" t="inlineStr">
        <is>
          <t>透光膜天棚</t>
        </is>
      </c>
      <c r="C493" s="27" t="inlineStr">
        <is>
          <t>1.透光膜天棚\施工时透气孔和穿线洞口\需加装防虫网防虫措施；
2.不锈钢压边；
3.包含完成该项内容所有工作及费用并满足设计图纸、规范等要求；</t>
        </is>
      </c>
      <c r="D493" s="27" t="inlineStr">
        <is>
          <t>自现有现场条件下按照合同约定范围、图纸（含设计变更）及甲方要求内容以及规范、标准、相关做法等要求完成并达到总包合同全部目标的全部工作内容。</t>
        </is>
      </c>
      <c r="E493" s="27" t="inlineStr">
        <is>
          <t xml:space="preserve">执行《GB/T50854-2024房屋建筑与装饰工程工程量计算标准》，按设计图示尺寸
以面积计算。 </t>
        </is>
      </c>
      <c r="F493" s="28" t="inlineStr">
        <is>
          <t>m2</t>
        </is>
      </c>
      <c r="G493" s="61" t="n">
        <v>2.58</v>
      </c>
      <c r="H493" s="62" t="n">
        <v>472.708</v>
      </c>
      <c r="I493" s="65" t="n"/>
      <c r="J493" s="62">
        <f>H493*(1-$I$4)</f>
        <v/>
      </c>
      <c r="K493" s="63">
        <f>G493*J493</f>
        <v/>
      </c>
      <c r="L493" s="33" t="inlineStr">
        <is>
          <t>/</t>
        </is>
      </c>
      <c r="M493" s="64" t="n"/>
      <c r="N493" s="39" t="n">
        <v>1</v>
      </c>
      <c r="O493" t="n">
        <v>80</v>
      </c>
      <c r="P493" s="35" t="inlineStr">
        <is>
          <t>差:-392.71元 (-83.1%) 来源:售楼处</t>
        </is>
      </c>
      <c r="Q493" s="35" t="n"/>
      <c r="R493" s="35" t="n"/>
    </row>
    <row r="494" outlineLevel="2" ht="72" customFormat="1" customHeight="1" s="39">
      <c r="A494" s="37">
        <f>1+N(A493)</f>
        <v/>
      </c>
      <c r="B494" s="27" t="inlineStr">
        <is>
          <t>条形空调风口（150mm）</t>
        </is>
      </c>
      <c r="C494" s="27" t="inlineStr">
        <is>
          <t>1.条形空调风口（150mm）；
2.风口周边阻燃板封边加固处理；
3.包含完成该项内容所有工作及费用并满足设计图纸、规范等要求；</t>
        </is>
      </c>
      <c r="D494" s="27" t="inlineStr">
        <is>
          <t>自现有现场条件下按照合同约定范围、图纸（含设计变更）及甲方要求内容以及规范、标准、相关做法等要求完成并达到总包合同全部目标的全部工作内容。</t>
        </is>
      </c>
      <c r="E494" s="27" t="inlineStr">
        <is>
          <t>依据经承包人确认的施工部位,按设计图示尺寸以延长米计算。</t>
        </is>
      </c>
      <c r="F494" s="28" t="inlineStr">
        <is>
          <t>m</t>
        </is>
      </c>
      <c r="G494" s="61" t="n">
        <v>2.4</v>
      </c>
      <c r="H494" s="62" t="n">
        <v>109.74</v>
      </c>
      <c r="I494" s="65" t="n"/>
      <c r="J494" s="62">
        <f>H494*(1-$I$4)</f>
        <v/>
      </c>
      <c r="K494" s="63">
        <f>G494*J494</f>
        <v/>
      </c>
      <c r="L494" s="33" t="inlineStr">
        <is>
          <t>空调风口</t>
        </is>
      </c>
      <c r="M494" s="64" t="n"/>
      <c r="N494" s="39" t="n">
        <v>1</v>
      </c>
      <c r="O494" t="n">
        <v>30</v>
      </c>
      <c r="P494" s="35" t="inlineStr">
        <is>
          <t>差:-79.74元 (-72.7%) 来源:售楼处</t>
        </is>
      </c>
      <c r="Q494" s="35" t="n"/>
      <c r="R494" s="35" t="n"/>
    </row>
    <row r="495" outlineLevel="2" ht="72" customFormat="1" customHeight="1" s="39">
      <c r="A495" s="37">
        <f>1+N(A494)</f>
        <v/>
      </c>
      <c r="B495" s="27" t="inlineStr">
        <is>
          <t>灯槽（100mm*200mm）</t>
        </is>
      </c>
      <c r="C495" s="27" t="inlineStr">
        <is>
          <t>1.灯槽（100mm*200mm）；
2.双层板：9mm玻镁板、9.5厚石膏板；
3.包含完成该项内容所有工作及费用并满足设计图纸、规范等要求；</t>
        </is>
      </c>
      <c r="D495" s="27" t="inlineStr">
        <is>
          <t>自现有现场条件下按照合同约定范围、图纸（含设计变更）及甲方要求内容以及规范、标准、相关做法等要求完成并达到总包合同全部目标的全部工作内容。</t>
        </is>
      </c>
      <c r="E495" s="27" t="inlineStr">
        <is>
          <t>依据经承包人确认的施工部位,按设计图示尺寸以延长米计算。</t>
        </is>
      </c>
      <c r="F495" s="28" t="inlineStr">
        <is>
          <t>m</t>
        </is>
      </c>
      <c r="G495" s="61" t="n">
        <v>7.84</v>
      </c>
      <c r="H495" s="62" t="n">
        <v>112.159</v>
      </c>
      <c r="I495" s="65" t="n"/>
      <c r="J495" s="62">
        <f>H495*(1-$I$4)</f>
        <v/>
      </c>
      <c r="K495" s="63">
        <f>G495*J495</f>
        <v/>
      </c>
      <c r="L495" s="33" t="inlineStr">
        <is>
          <t>/</t>
        </is>
      </c>
      <c r="M495" s="64" t="n"/>
      <c r="N495" s="39" t="n">
        <v>1</v>
      </c>
      <c r="O495" t="n">
        <v>50</v>
      </c>
      <c r="P495" s="35" t="inlineStr">
        <is>
          <t>差:-62.16元 (-55.4%) 来源:售楼处</t>
        </is>
      </c>
      <c r="Q495" s="35" t="n"/>
      <c r="R495" s="35" t="n"/>
    </row>
    <row r="496" outlineLevel="2" ht="72" customFormat="1" customHeight="1" s="39">
      <c r="A496" s="37">
        <f>1+N(A495)</f>
        <v/>
      </c>
      <c r="B496" s="27" t="inlineStr">
        <is>
          <t>成品石膏线条</t>
        </is>
      </c>
      <c r="C496" s="27" t="inlineStr">
        <is>
          <t>1.成品石膏线条（50mm*50mm）；
2.按图纸造型；
3.包含完成该项内容所有工作及费用并满足设计图纸、规范等要求；</t>
        </is>
      </c>
      <c r="D496" s="27" t="inlineStr">
        <is>
          <t>自现有现场条件下按照合同约定范围、图纸（含设计变更）及甲方要求内容以及规范、标准、相关做法等要求完成并达到总包合同全部目标的全部工作内容。</t>
        </is>
      </c>
      <c r="E496" s="27" t="inlineStr">
        <is>
          <t>依据经承包人确认的施工部位,按设计图示尺寸以延长米计算。</t>
        </is>
      </c>
      <c r="F496" s="28" t="inlineStr">
        <is>
          <t>m</t>
        </is>
      </c>
      <c r="G496" s="61" t="n">
        <v>7.84</v>
      </c>
      <c r="H496" s="62" t="n">
        <v>20.06</v>
      </c>
      <c r="I496" s="65" t="n"/>
      <c r="J496" s="62">
        <f>H496*(1-$I$4)</f>
        <v/>
      </c>
      <c r="K496" s="63">
        <f>G496*J496</f>
        <v/>
      </c>
      <c r="L496" s="33" t="inlineStr">
        <is>
          <t>成品石膏线条</t>
        </is>
      </c>
      <c r="M496" s="64" t="n"/>
      <c r="N496" s="39" t="n">
        <v>1</v>
      </c>
      <c r="O496" t="n">
        <v>18</v>
      </c>
      <c r="P496" s="35" t="inlineStr">
        <is>
          <t>差:-2.06元 (-10.3%) 来源:售楼处</t>
        </is>
      </c>
      <c r="Q496" s="35" t="n"/>
      <c r="R496" s="35" t="n"/>
    </row>
    <row r="497" outlineLevel="2" ht="192" customFormat="1" customHeight="1" s="39">
      <c r="A497" s="37">
        <f>1+N(A496)</f>
        <v/>
      </c>
      <c r="B497" s="27" t="inlineStr">
        <is>
          <t>天花肌理无机涂料PT-01</t>
        </is>
      </c>
      <c r="C497" s="27" t="inlineStr">
        <is>
          <t>1.天花肌理无机涂料PT-01；
2.刮腻子二遍磨平；
3.底漆1遍，面漆2遍；
4.包含完成该项内容所有工作及费用并满足设计图纸、规范等要求；</t>
        </is>
      </c>
      <c r="D497" s="27" t="inlineStr">
        <is>
          <t>包括但不限于材料计划、采购、卸车倒运、保管、检验试验费、测量放线，包含四周阴角找平直、含天棚四周阴角找平直，打磨，简易脚手架搭拆及操作平台、升降机，基层清理、打磨平整、底层找补、满刮涂料（含阴阳角塑料条）、涂料打磨、补遗处理、配合其他分包施工、完工后场清、成品保护、保修等直到达到竣工交付标准的全部工作内容。包括所有为完成工作所需的小型机具；包括所有为完成工作所需的附属工作；包括但不限于以上内容。</t>
        </is>
      </c>
      <c r="E497" s="27" t="inlineStr">
        <is>
          <t>执行《GB/T50854-2024房屋建筑与装饰工程工程量计算标准》，按设计图示尺寸以面积计算。扣除0.3平方米以上洞口的面积；梁侧面及檐口天棚并入天棚计算；以设计图纸和技术交底为基础</t>
        </is>
      </c>
      <c r="F497" s="28" t="inlineStr">
        <is>
          <t>m2</t>
        </is>
      </c>
      <c r="G497" s="61" t="n">
        <v>32.83</v>
      </c>
      <c r="H497" s="62" t="n">
        <v>48.38</v>
      </c>
      <c r="I497" s="65" t="n"/>
      <c r="J497" s="62">
        <f>H497*(1-$I$4)</f>
        <v/>
      </c>
      <c r="K497" s="63">
        <f>G497*J497</f>
        <v/>
      </c>
      <c r="L497" s="33" t="inlineStr">
        <is>
          <t>涂料</t>
        </is>
      </c>
      <c r="M497" s="64" t="n"/>
      <c r="N497" s="39" t="n">
        <v>1</v>
      </c>
      <c r="O497" t="n">
        <v>45</v>
      </c>
      <c r="P497" s="35" t="inlineStr">
        <is>
          <t>差:-3.38元 (-7.0%) 来源:售楼处</t>
        </is>
      </c>
      <c r="Q497" s="35" t="n"/>
      <c r="R497" s="35" t="n"/>
    </row>
    <row r="498" outlineLevel="1" customFormat="1" s="39">
      <c r="A498" s="36" t="n"/>
      <c r="B498" s="27" t="inlineStr">
        <is>
          <t>门窗、家具工程</t>
        </is>
      </c>
      <c r="C498" s="27" t="n"/>
      <c r="D498" s="27" t="n"/>
      <c r="E498" s="27" t="n"/>
      <c r="F498" s="28" t="n"/>
      <c r="G498" s="61" t="n"/>
      <c r="H498" s="62" t="n"/>
      <c r="I498" s="65" t="n"/>
      <c r="J498" s="62" t="n"/>
      <c r="K498" s="63" t="n"/>
      <c r="L498" s="33" t="n"/>
      <c r="M498" s="64" t="n"/>
      <c r="P498" s="35" t="n"/>
      <c r="Q498" s="35" t="n"/>
      <c r="R498" s="35" t="n"/>
    </row>
    <row r="499" outlineLevel="2" ht="72" customFormat="1" customHeight="1" s="39">
      <c r="A499" s="37">
        <f>1+N(A498)</f>
        <v/>
      </c>
      <c r="B499" s="27" t="inlineStr">
        <is>
          <t>消防栓暗门(不含面层)</t>
        </is>
      </c>
      <c r="C499" s="27" t="inlineStr">
        <is>
          <t>1、40x40x5mm热镀锌方管骨架、背封铝塑板
2、含天地轴、门吸等五金配件
3、包含完成该项内容所有工作及费用并满足设计图纸、规范等要求</t>
        </is>
      </c>
      <c r="D499" s="27" t="inlineStr">
        <is>
          <t>自现有现场条件下按照合同约定范围、图纸（含设计变更）及甲方要求内容以及规范、标准、相关做法等要求完成并达到总包合同全部目标的全部工作内容。</t>
        </is>
      </c>
      <c r="E499" s="27" t="inlineStr">
        <is>
          <t>以最终验收合格的工程量计算</t>
        </is>
      </c>
      <c r="F499" s="28" t="inlineStr">
        <is>
          <t>m2</t>
        </is>
      </c>
      <c r="G499" s="61" t="n">
        <v>2.72</v>
      </c>
      <c r="H499" s="62" t="n">
        <v>962.6833333333331</v>
      </c>
      <c r="I499" s="65" t="n"/>
      <c r="J499" s="62">
        <f>H499*(1-$I$4)</f>
        <v/>
      </c>
      <c r="K499" s="63">
        <f>G499*J499</f>
        <v/>
      </c>
      <c r="L499" s="33" t="inlineStr">
        <is>
          <t>/</t>
        </is>
      </c>
      <c r="M499" s="64" t="n"/>
      <c r="N499" s="39" t="n">
        <v>1</v>
      </c>
      <c r="O499" t="n">
        <v>165</v>
      </c>
      <c r="P499" s="35" t="inlineStr">
        <is>
          <t>差:-797.68元 (-82.9%) 来源:售楼处</t>
        </is>
      </c>
      <c r="Q499" s="35" t="n"/>
      <c r="R499" s="35" t="n"/>
    </row>
    <row r="500" outlineLevel="2" ht="72" customFormat="1" customHeight="1" s="39">
      <c r="A500" s="37">
        <f>1+N(A499)</f>
        <v/>
      </c>
      <c r="B500" s="27" t="inlineStr">
        <is>
          <t>电表间暗门(不含面层)</t>
        </is>
      </c>
      <c r="C500" s="27" t="inlineStr">
        <is>
          <t>1、40x40x5mm热镀锌方管骨架、背封铝塑板
2、含天地轴、门吸等五金配件
3、包含完成该项内容所有工作及费用并满足设计图纸、规范等要求</t>
        </is>
      </c>
      <c r="D500" s="27" t="inlineStr">
        <is>
          <t>自现有现场条件下按照合同约定范围、图纸（含设计变更）及甲方要求内容以及规范、标准、相关做法等要求完成并达到总包合同全部目标的全部工作内容。</t>
        </is>
      </c>
      <c r="E500" s="27" t="inlineStr">
        <is>
          <t>以最终验收合格的工程量计算</t>
        </is>
      </c>
      <c r="F500" s="28" t="inlineStr">
        <is>
          <t>m2</t>
        </is>
      </c>
      <c r="G500" s="61" t="n">
        <v>3.4</v>
      </c>
      <c r="H500" s="62" t="n">
        <v>962.6833333333331</v>
      </c>
      <c r="I500" s="65" t="n"/>
      <c r="J500" s="62">
        <f>H500*(1-$I$4)</f>
        <v/>
      </c>
      <c r="K500" s="63">
        <f>G500*J500</f>
        <v/>
      </c>
      <c r="L500" s="33" t="inlineStr">
        <is>
          <t>/</t>
        </is>
      </c>
      <c r="M500" s="64" t="n"/>
      <c r="N500" s="39" t="n">
        <v>1</v>
      </c>
      <c r="O500" t="n">
        <v>165</v>
      </c>
      <c r="P500" s="35" t="inlineStr">
        <is>
          <t>差:-797.68元 (-82.9%) 来源:售楼处</t>
        </is>
      </c>
      <c r="Q500" s="35" t="n"/>
      <c r="R500" s="35" t="n"/>
    </row>
    <row r="501" outlineLevel="1" customFormat="1" s="39">
      <c r="A501" s="26" t="inlineStr">
        <is>
          <t>二</t>
        </is>
      </c>
      <c r="B501" s="27" t="inlineStr">
        <is>
          <t>半户外花园</t>
        </is>
      </c>
      <c r="C501" s="27" t="n"/>
      <c r="D501" s="27" t="n"/>
      <c r="E501" s="27" t="n"/>
      <c r="F501" s="28" t="n"/>
      <c r="G501" s="61" t="n"/>
      <c r="H501" s="62" t="n"/>
      <c r="I501" s="65" t="n"/>
      <c r="J501" s="62" t="n"/>
      <c r="K501" s="63" t="n"/>
      <c r="L501" s="33" t="n"/>
      <c r="M501" s="64" t="n"/>
      <c r="P501" s="35" t="n"/>
      <c r="Q501" s="35" t="n"/>
      <c r="R501" s="35" t="n"/>
    </row>
    <row r="502" outlineLevel="1" customFormat="1" s="39">
      <c r="A502" s="36" t="n"/>
      <c r="B502" s="27" t="inlineStr">
        <is>
          <t>地面工程</t>
        </is>
      </c>
      <c r="C502" s="27" t="n"/>
      <c r="D502" s="27" t="n"/>
      <c r="E502" s="27" t="n"/>
      <c r="F502" s="28" t="n"/>
      <c r="G502" s="61" t="n"/>
      <c r="H502" s="62" t="n"/>
      <c r="I502" s="65" t="n"/>
      <c r="J502" s="62" t="n"/>
      <c r="K502" s="63" t="n"/>
      <c r="L502" s="33" t="n"/>
      <c r="M502" s="64" t="n"/>
      <c r="P502" s="35" t="n"/>
      <c r="Q502" s="35" t="n"/>
      <c r="R502" s="35" t="n"/>
    </row>
    <row r="503" outlineLevel="2" ht="108" customFormat="1" customHeight="1" s="39">
      <c r="A503" s="37">
        <f>1+N(A502)</f>
        <v/>
      </c>
      <c r="B503" s="27" t="inlineStr">
        <is>
          <t>地面地砖 CT-05</t>
        </is>
      </c>
      <c r="C503" s="27" t="inlineStr">
        <is>
          <t>1.地面花砖CT-05；
2.10mm厚专用粘结剂；
3.80mm厚DS-M15干混砂浆找平；
4.基层清理；
5.含切边、倒角、拼接等处理；
6.包含完成该项内容所有工作及费用并满足设计图纸、规范等要求；</t>
        </is>
      </c>
      <c r="D503"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503" s="27" t="inlineStr">
        <is>
          <t xml:space="preserve">执行《GB/T50854-2024房屋建筑与装饰工程工程量计算标准》，按设计图示尺寸
以面积计算。 </t>
        </is>
      </c>
      <c r="F503" s="28" t="inlineStr">
        <is>
          <t>m2</t>
        </is>
      </c>
      <c r="G503" s="61" t="n">
        <v>17.86</v>
      </c>
      <c r="H503" s="62" t="n">
        <v>235.51148</v>
      </c>
      <c r="I503" s="65" t="n"/>
      <c r="J503" s="62">
        <f>H503*(1-$I$4)</f>
        <v/>
      </c>
      <c r="K503" s="63">
        <f>G503*J503</f>
        <v/>
      </c>
      <c r="L503" s="33" t="inlineStr">
        <is>
          <t>瓷砖</t>
        </is>
      </c>
      <c r="M503" s="64" t="n"/>
      <c r="N503" s="39" t="n">
        <v>1</v>
      </c>
      <c r="O503" t="n">
        <v>90</v>
      </c>
      <c r="P503" s="35" t="inlineStr">
        <is>
          <t>差:-145.51元 (-61.8%) 来源:售楼处</t>
        </is>
      </c>
      <c r="Q503" s="35" t="n"/>
      <c r="R503" s="35" t="n"/>
    </row>
    <row r="504" outlineLevel="1" customFormat="1" s="39">
      <c r="A504" s="36" t="n"/>
      <c r="B504" s="27" t="inlineStr">
        <is>
          <t>墙柱面工程</t>
        </is>
      </c>
      <c r="C504" s="27" t="n"/>
      <c r="D504" s="27" t="n"/>
      <c r="E504" s="27" t="n"/>
      <c r="F504" s="28" t="n"/>
      <c r="G504" s="61" t="n"/>
      <c r="H504" s="62" t="n"/>
      <c r="I504" s="65" t="n"/>
      <c r="J504" s="62" t="n"/>
      <c r="K504" s="63" t="n"/>
      <c r="L504" s="33" t="n"/>
      <c r="M504" s="64" t="n"/>
      <c r="P504" s="35" t="n"/>
      <c r="Q504" s="35" t="n"/>
      <c r="R504" s="35" t="n"/>
    </row>
    <row r="505" outlineLevel="1" customFormat="1" s="39">
      <c r="A505" s="36" t="n"/>
      <c r="B505" s="27" t="inlineStr">
        <is>
          <t>天花工程</t>
        </is>
      </c>
      <c r="C505" s="27" t="n"/>
      <c r="D505" s="27" t="n"/>
      <c r="E505" s="27" t="n"/>
      <c r="F505" s="28" t="n"/>
      <c r="G505" s="61" t="n"/>
      <c r="H505" s="62" t="n"/>
      <c r="I505" s="65" t="n"/>
      <c r="J505" s="62" t="n"/>
      <c r="K505" s="63" t="n"/>
      <c r="L505" s="33" t="n"/>
      <c r="M505" s="64" t="n"/>
      <c r="P505" s="35" t="n"/>
      <c r="Q505" s="35" t="n"/>
      <c r="R505" s="35" t="n"/>
    </row>
    <row r="506" outlineLevel="2" ht="192" customFormat="1" customHeight="1" s="39">
      <c r="A506" s="37">
        <f>1+N(A505)</f>
        <v/>
      </c>
      <c r="B506" s="27" t="inlineStr">
        <is>
          <t>天花白色无机涂料PT-01</t>
        </is>
      </c>
      <c r="C506" s="27" t="inlineStr">
        <is>
          <t>1.天花白色无机涂料PT-01；
2.刮腻子二遍磨平；
3.底漆1遍，面漆2遍；
4.包含完成该项内容所有工作及费用并满足设计图纸、规范等要求；</t>
        </is>
      </c>
      <c r="D506" s="27" t="inlineStr">
        <is>
          <t>包括但不限于材料计划、采购、卸车倒运、保管、检验试验费、测量放线，包含四周阴角找平直、含天棚四周阴角找平直，打磨，简易脚手架搭拆及操作平台、升降机，基层清理、打磨平整、底层找补、满刮涂料（含阴阳角塑料条）、涂料打磨、补遗处理、配合其他分包施工、完工后场清、成品保护、保修等直到达到竣工交付标准的全部工作内容。包括所有为完成工作所需的小型机具；包括所有为完成工作所需的附属工作；包括但不限于以上内容。</t>
        </is>
      </c>
      <c r="E506" s="27" t="inlineStr">
        <is>
          <t>执行《GB/T50854-2024房屋建筑与装饰工程工程量计算标准》，按设计图示尺寸以面积计算。扣除0.3平方米以上洞口的面积；梁侧面及檐口天棚并入天棚计算；以设计图纸和技术交底为基础</t>
        </is>
      </c>
      <c r="F506" s="28" t="inlineStr">
        <is>
          <t>m2</t>
        </is>
      </c>
      <c r="G506" s="61" t="n">
        <v>17.86</v>
      </c>
      <c r="H506" s="62" t="n">
        <v>48.321</v>
      </c>
      <c r="I506" s="65" t="n"/>
      <c r="J506" s="62">
        <f>H506*(1-$I$4)</f>
        <v/>
      </c>
      <c r="K506" s="63">
        <f>G506*J506</f>
        <v/>
      </c>
      <c r="L506" s="33" t="inlineStr">
        <is>
          <t>/</t>
        </is>
      </c>
      <c r="M506" s="64" t="n"/>
      <c r="N506" s="39" t="n">
        <v>1</v>
      </c>
      <c r="O506" t="n">
        <v>28.5</v>
      </c>
      <c r="P506" s="35" t="inlineStr">
        <is>
          <t>差:-19.82元 (-41.0%) 来源:售楼处</t>
        </is>
      </c>
      <c r="Q506" s="35" t="n"/>
      <c r="R506" s="35" t="n"/>
    </row>
    <row r="507" outlineLevel="1" customFormat="1" s="39">
      <c r="A507" s="36" t="n"/>
      <c r="B507" s="27" t="inlineStr">
        <is>
          <t>门窗、家具工程</t>
        </is>
      </c>
      <c r="C507" s="27" t="n"/>
      <c r="D507" s="27" t="n"/>
      <c r="E507" s="27" t="n"/>
      <c r="F507" s="28" t="n"/>
      <c r="G507" s="61" t="n"/>
      <c r="H507" s="62" t="n"/>
      <c r="I507" s="65" t="n"/>
      <c r="J507" s="62" t="n"/>
      <c r="K507" s="63" t="n"/>
      <c r="L507" s="33" t="n"/>
      <c r="M507" s="64" t="n"/>
      <c r="P507" s="35" t="n"/>
      <c r="Q507" s="35" t="n"/>
      <c r="R507" s="35" t="n"/>
    </row>
    <row r="508" outlineLevel="1" customFormat="1" s="39">
      <c r="A508" s="26" t="inlineStr">
        <is>
          <t>三</t>
        </is>
      </c>
      <c r="B508" s="27" t="inlineStr">
        <is>
          <t>男卫、女卫、清洁间</t>
        </is>
      </c>
      <c r="C508" s="27" t="n"/>
      <c r="D508" s="27" t="n"/>
      <c r="E508" s="27" t="n"/>
      <c r="F508" s="28" t="n"/>
      <c r="G508" s="61" t="n"/>
      <c r="H508" s="62" t="n"/>
      <c r="I508" s="65" t="n"/>
      <c r="J508" s="62" t="n"/>
      <c r="K508" s="63" t="n"/>
      <c r="L508" s="33" t="n"/>
      <c r="M508" s="64" t="n"/>
      <c r="P508" s="35" t="n"/>
      <c r="Q508" s="35" t="n"/>
      <c r="R508" s="35" t="n"/>
    </row>
    <row r="509" outlineLevel="1" customFormat="1" s="39">
      <c r="A509" s="36" t="n"/>
      <c r="B509" s="27" t="inlineStr">
        <is>
          <t>地面工程</t>
        </is>
      </c>
      <c r="C509" s="27" t="n"/>
      <c r="D509" s="27" t="n"/>
      <c r="E509" s="27" t="n"/>
      <c r="F509" s="28" t="n"/>
      <c r="G509" s="61" t="n"/>
      <c r="H509" s="62" t="n"/>
      <c r="I509" s="65" t="n"/>
      <c r="J509" s="62" t="n"/>
      <c r="K509" s="63" t="n"/>
      <c r="L509" s="33" t="n"/>
      <c r="M509" s="64" t="n"/>
      <c r="P509" s="35" t="n"/>
      <c r="Q509" s="35" t="n"/>
      <c r="R509" s="35" t="n"/>
    </row>
    <row r="510" outlineLevel="2" ht="156" customFormat="1" customHeight="1" s="39">
      <c r="A510" s="37">
        <f>1+N(A509)</f>
        <v/>
      </c>
      <c r="B510" s="27" t="inlineStr">
        <is>
          <t>沉箱陶粒回填</t>
        </is>
      </c>
      <c r="C510" s="27" t="inlineStr">
        <is>
          <t>1、陶粒混凝土回填
2、回填厚度200mm厚
3、完成本清单项目所需的一切相关工作内容，未尽事项详见图纸、工程量清单计价说明、国家相关规范等</t>
        </is>
      </c>
      <c r="D510" s="27" t="inlineStr">
        <is>
          <t>包括但不限于材料计划、卸车倒运（含多次）、保管、测量放线、基底清理、标高检测、配合检测、陶粒混凝土、抹压、压光、地面留槽回填及二次处理，所有洞口、管根的补遗处理，养护、配合水电安装、现场清理及分包施工作业面的及时清理、清扫等、装卸费、场内倒运费，配合承包人实验员做好冬季测温记录、坍落度实验及砼试块制作，成品保护、保修等全部工作内容。</t>
        </is>
      </c>
      <c r="E510" s="27" t="inlineStr">
        <is>
          <t>按设计图示填充部位的尺寸，以面积计算</t>
        </is>
      </c>
      <c r="F510" s="28" t="inlineStr">
        <is>
          <t>m2</t>
        </is>
      </c>
      <c r="G510" s="61" t="n">
        <v>25.33</v>
      </c>
      <c r="H510" s="62" t="n">
        <v>155.94762</v>
      </c>
      <c r="I510" s="65" t="n"/>
      <c r="J510" s="62">
        <f>H510*(1-$I$4)</f>
        <v/>
      </c>
      <c r="K510" s="63">
        <f>G510*J510</f>
        <v/>
      </c>
      <c r="L510" s="33" t="inlineStr">
        <is>
          <t>/</t>
        </is>
      </c>
      <c r="M510" s="64" t="n"/>
      <c r="N510" s="39" t="n">
        <v>1</v>
      </c>
      <c r="O510" t="n">
        <v>10.5</v>
      </c>
      <c r="P510" s="35" t="inlineStr">
        <is>
          <t>差:-145.45元 (-93.3%) 来源:售楼处</t>
        </is>
      </c>
      <c r="Q510" s="35" t="n"/>
      <c r="R510" s="35" t="n"/>
    </row>
    <row r="511" outlineLevel="2" ht="216" customFormat="1" customHeight="1" s="39">
      <c r="A511" s="37">
        <f>1+N(A510)</f>
        <v/>
      </c>
      <c r="B511" s="27" t="inlineStr">
        <is>
          <t>20mm厚防水找平层(1:3干硬性水泥砂浆)</t>
        </is>
      </c>
      <c r="C511" s="27" t="inlineStr">
        <is>
          <t>1.20mm厚防水找平层(1:3干硬性水泥砂浆)；
2.界面剂一道；
3.包含完成该项内容所有工作及费用并满足设计图纸、规范等要求；</t>
        </is>
      </c>
      <c r="D511" s="27" t="inlineStr">
        <is>
          <t>包含完成地面所有施工工序所需的人工、材料（甲供材除外）、机械、管理费、利润；包括但不限于材料计划、卸车倒运（含多次）、保管、测量放线、基底清理、标高检测、配合检测、贴饼冲筋、砂浆找平、抹压、压光、设置分格缝、阻水台（按照方案及交底要求施工）、地面留槽回填及二次处理，所有洞口、管根的补遗处理，养护、配合水电安装、现场清理及分包施工作业面的及时清理、清扫等、装卸费、场内倒运费，配合承包人实验员做好冬季测温记录、坍落度实验及砼试块制作，成品保护、保修等全部工作内容。</t>
        </is>
      </c>
      <c r="E511" s="27" t="inlineStr">
        <is>
          <t>执行《GB/T50854-2024房屋建筑与装饰工程工程量计算标准》，按设计图示尺寸以面积计算。扣除凸出地面构筑物、设备基础、室内管道、地沟等所占面积，不扣除间壁墙及≤0.3 ㎡柱、垛、附墙烟囱及孔洞所占面积。门洞、空圈、暖气包槽、壁龛的开口部分不增加面积。</t>
        </is>
      </c>
      <c r="F511" s="28" t="inlineStr">
        <is>
          <t>m2</t>
        </is>
      </c>
      <c r="G511" s="61" t="n">
        <v>25.33</v>
      </c>
      <c r="H511" s="62" t="n">
        <v>50.86331</v>
      </c>
      <c r="I511" s="65" t="n"/>
      <c r="J511" s="62">
        <f>H511*(1-$I$4)</f>
        <v/>
      </c>
      <c r="K511" s="63">
        <f>G511*J511</f>
        <v/>
      </c>
      <c r="L511" s="33" t="inlineStr">
        <is>
          <t>/</t>
        </is>
      </c>
      <c r="M511" s="64" t="n"/>
      <c r="N511" s="39" t="n">
        <v>1</v>
      </c>
      <c r="O511" t="n">
        <v>22</v>
      </c>
      <c r="P511" s="35" t="inlineStr">
        <is>
          <t>差:-28.86元 (-56.7%) 来源:售楼处</t>
        </is>
      </c>
      <c r="Q511" s="35" t="n"/>
      <c r="R511" s="35" t="n"/>
    </row>
    <row r="512" outlineLevel="2" ht="96" customFormat="1" customHeight="1" s="39">
      <c r="A512" s="37">
        <f>1+N(A511)</f>
        <v/>
      </c>
      <c r="B512" s="27" t="inlineStr">
        <is>
          <t>防水无纺布</t>
        </is>
      </c>
      <c r="C512" s="27" t="inlineStr">
        <is>
          <t>1.防水无纺布完成面上翻300高(80g/平米)
2.包含完成该项内容所有工作及费用并满足设计图纸、规范等要求；</t>
        </is>
      </c>
      <c r="D512" s="27" t="inlineStr">
        <is>
          <t>1.基层处理。
2.隔离层铺设，附加层、泛水、防水收头处理。
3.材料检验、各类专项检测。
4.场内外运输、废料清理等。
5.安全文明施工、成品保护等直到验收合格及后期保修的所有工作内容。</t>
        </is>
      </c>
      <c r="E512" s="27" t="inlineStr">
        <is>
          <t>按施工图范围内实际验收合格面积以平方米计算。</t>
        </is>
      </c>
      <c r="F512" s="28" t="inlineStr">
        <is>
          <t>m2</t>
        </is>
      </c>
      <c r="G512" s="61" t="n">
        <v>25.33</v>
      </c>
      <c r="H512" s="62" t="n">
        <v>17.7</v>
      </c>
      <c r="I512" s="65" t="n"/>
      <c r="J512" s="62">
        <f>H512*(1-$I$4)</f>
        <v/>
      </c>
      <c r="K512" s="63">
        <f>G512*J512</f>
        <v/>
      </c>
      <c r="L512" s="33" t="inlineStr">
        <is>
          <t>/</t>
        </is>
      </c>
      <c r="M512" s="64" t="n"/>
      <c r="N512" s="39" t="n">
        <v>1</v>
      </c>
      <c r="O512" t="n">
        <v>30</v>
      </c>
      <c r="P512" s="35" t="inlineStr">
        <is>
          <t>差:+12.30元 (+69.5%) 来源:售楼处</t>
        </is>
      </c>
      <c r="Q512" s="35" t="n"/>
      <c r="R512" s="35" t="n"/>
    </row>
    <row r="513" outlineLevel="2" ht="156" customFormat="1" customHeight="1" s="39">
      <c r="A513" s="37">
        <f>1+N(A512)</f>
        <v/>
      </c>
      <c r="B513" s="27" t="inlineStr">
        <is>
          <t>2mm厚JS防水层</t>
        </is>
      </c>
      <c r="C513" s="27" t="inlineStr">
        <is>
          <t>1.2mm厚JS防水层（两遍）；
2.包含完成该项内容所有工作及费用并满足设计图纸、规范等要求；</t>
        </is>
      </c>
      <c r="D513" s="27" t="inlineStr">
        <is>
          <t>1.清理基层。
2.基层喷水潮湿；必要的弹线，防水涂料调制；防水涂料涂刷；细部防水处理；防污染措施等。
3.材料检验、闭水试验、淋水实验、蓄水实验、各类专项检测的送检及检测。
4.操作架/平台搭拆。
5.安全文明施工、成品保护、场内外运输、废料清理等直到验收合格及后期保修的所有工作内容。</t>
        </is>
      </c>
      <c r="E513" s="27" t="inlineStr">
        <is>
          <t>按施工图范围内实际验收合格面积以平方米计算，施工图要求的上翻部分按实计算。</t>
        </is>
      </c>
      <c r="F513" s="28" t="inlineStr">
        <is>
          <t>m2</t>
        </is>
      </c>
      <c r="G513" s="61" t="n">
        <v>25.33</v>
      </c>
      <c r="H513" s="62" t="n">
        <v>55.873</v>
      </c>
      <c r="I513" s="65" t="n"/>
      <c r="J513" s="62">
        <f>H513*(1-$I$4)</f>
        <v/>
      </c>
      <c r="K513" s="63">
        <f>G513*J513</f>
        <v/>
      </c>
      <c r="L513" s="33" t="inlineStr">
        <is>
          <t>/</t>
        </is>
      </c>
      <c r="M513" s="64" t="n"/>
      <c r="N513" s="39" t="n">
        <v>1</v>
      </c>
      <c r="O513" t="n">
        <v>42</v>
      </c>
      <c r="P513" s="35" t="inlineStr">
        <is>
          <t>差:-13.87元 (-24.8%) 来源:售楼处</t>
        </is>
      </c>
      <c r="Q513" s="35" t="n"/>
      <c r="R513" s="35" t="n"/>
    </row>
    <row r="514" outlineLevel="2" ht="108" customFormat="1" customHeight="1" s="39">
      <c r="A514" s="37">
        <f>1+N(A513)</f>
        <v/>
      </c>
      <c r="B514" s="27" t="inlineStr">
        <is>
          <t>地面铺贴大理石ST-01</t>
        </is>
      </c>
      <c r="C514" s="27" t="inlineStr">
        <is>
          <t>1.地面20mm大理石ST-01、铺贴、厚度及样式按物料书为准；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514"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514" s="27" t="inlineStr">
        <is>
          <t xml:space="preserve">执行《GB/T50854-2024房屋建筑与装饰工程工程量计算标准》，按设计图示尺寸
以面积计算。 </t>
        </is>
      </c>
      <c r="F514" s="28" t="inlineStr">
        <is>
          <t>m2</t>
        </is>
      </c>
      <c r="G514" s="61" t="n">
        <v>25.33</v>
      </c>
      <c r="H514" s="62" t="n">
        <v>218.75017</v>
      </c>
      <c r="I514" s="65" t="n"/>
      <c r="J514" s="62">
        <f>H514*(1-$I$4)</f>
        <v/>
      </c>
      <c r="K514" s="63">
        <f>G514*J514</f>
        <v/>
      </c>
      <c r="L514" s="33" t="inlineStr">
        <is>
          <t>石材</t>
        </is>
      </c>
      <c r="M514" s="64" t="n"/>
      <c r="N514" s="39" t="n">
        <v>1</v>
      </c>
      <c r="O514" t="n">
        <v>130</v>
      </c>
      <c r="P514" s="35" t="inlineStr">
        <is>
          <t>差:-88.75元 (-40.6%) 来源:售楼处</t>
        </is>
      </c>
      <c r="Q514" s="35" t="n"/>
      <c r="R514" s="35" t="n"/>
    </row>
    <row r="515" outlineLevel="2" ht="108" customFormat="1" customHeight="1" s="39">
      <c r="A515" s="37">
        <f>1+N(A514)</f>
        <v/>
      </c>
      <c r="B515" s="27" t="inlineStr">
        <is>
          <t>地面石材晶面处理</t>
        </is>
      </c>
      <c r="C515" s="27" t="inlineStr">
        <is>
          <t>1.石材结晶处理(结晶水及石材保养剂,中性清洁剂)；
2.包含完成该项内容所有工作及费用并满足设计图纸、规范等要求；</t>
        </is>
      </c>
      <c r="D515"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515" s="27" t="inlineStr">
        <is>
          <t xml:space="preserve">执行《GB/T50854-2024房屋建筑与装饰工程工程量计算标准》，按设计图示尺寸
以面积计算。 </t>
        </is>
      </c>
      <c r="F515" s="28" t="inlineStr">
        <is>
          <t>m2</t>
        </is>
      </c>
      <c r="G515" s="61" t="n">
        <v>25.33</v>
      </c>
      <c r="H515" s="62" t="n">
        <v>64.90000000000001</v>
      </c>
      <c r="I515" s="65" t="n"/>
      <c r="J515" s="62">
        <f>H515*(1-$I$4)</f>
        <v/>
      </c>
      <c r="K515" s="63">
        <f>G515*J515</f>
        <v/>
      </c>
      <c r="L515" s="33" t="inlineStr">
        <is>
          <t>/</t>
        </is>
      </c>
      <c r="M515" s="64" t="n"/>
      <c r="N515" s="39" t="n">
        <v>1</v>
      </c>
      <c r="O515" t="n">
        <v>40</v>
      </c>
      <c r="P515" s="35" t="inlineStr">
        <is>
          <t>差:-24.90元 (-38.4%) 来源:售楼处</t>
        </is>
      </c>
      <c r="Q515" s="35" t="n"/>
      <c r="R515" s="35" t="n"/>
    </row>
    <row r="516" outlineLevel="1" customFormat="1" s="39">
      <c r="A516" s="36" t="n"/>
      <c r="B516" s="27" t="inlineStr">
        <is>
          <t>墙柱面工程</t>
        </is>
      </c>
      <c r="C516" s="27" t="n"/>
      <c r="D516" s="27" t="n"/>
      <c r="E516" s="27" t="n"/>
      <c r="F516" s="28" t="n"/>
      <c r="G516" s="61" t="n"/>
      <c r="H516" s="62" t="n"/>
      <c r="I516" s="65" t="n"/>
      <c r="J516" s="62" t="n"/>
      <c r="K516" s="63" t="n"/>
      <c r="L516" s="33" t="n"/>
      <c r="M516" s="64" t="n"/>
      <c r="P516" s="35" t="n"/>
      <c r="Q516" s="35" t="n"/>
      <c r="R516" s="35" t="n"/>
    </row>
    <row r="517" outlineLevel="2" ht="180" customFormat="1" customHeight="1" s="39">
      <c r="A517" s="37">
        <f>1+N(A516)</f>
        <v/>
      </c>
      <c r="B517" s="27" t="inlineStr">
        <is>
          <t>墙面干挂ST-03石材</t>
        </is>
      </c>
      <c r="C517" s="27" t="inlineStr">
        <is>
          <t>1、墙面干挂ST-03石材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is>
      </c>
      <c r="D517"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517" s="27" t="inlineStr">
        <is>
          <t>执行《GB/T50854-2024房屋建筑与装饰工程工程量计算标准》，按设计图示镶贴后外围面积计算</t>
        </is>
      </c>
      <c r="F517" s="28" t="inlineStr">
        <is>
          <t>m2</t>
        </is>
      </c>
      <c r="G517" s="61" t="n">
        <v>3.46</v>
      </c>
      <c r="H517" s="62" t="n">
        <v>283.2</v>
      </c>
      <c r="I517" s="65" t="n"/>
      <c r="J517" s="62">
        <f>H517*(1-$I$4)</f>
        <v/>
      </c>
      <c r="K517" s="63">
        <f>G517*J517</f>
        <v/>
      </c>
      <c r="L517" s="33" t="inlineStr">
        <is>
          <t>石材</t>
        </is>
      </c>
      <c r="M517" s="64" t="n"/>
      <c r="N517" s="39" t="n">
        <v>1</v>
      </c>
      <c r="O517" t="n">
        <v>140</v>
      </c>
      <c r="P517" s="35" t="inlineStr">
        <is>
          <t>差:-143.20元 (-50.6%) 来源:售楼处</t>
        </is>
      </c>
      <c r="Q517" s="35" t="n"/>
      <c r="R517" s="35" t="n"/>
    </row>
    <row r="518" outlineLevel="2" ht="180" customFormat="1" customHeight="1" s="39">
      <c r="A518" s="37">
        <f>1+N(A517)</f>
        <v/>
      </c>
      <c r="B518" s="27" t="inlineStr">
        <is>
          <t>墙面WD-04木饰面</t>
        </is>
      </c>
      <c r="C518" s="27" t="inlineStr">
        <is>
          <t>1、墙面WD-04木饰面（含不锈钢线条）
2、结构胶固定
3、12mm阻燃板基层
4、膨胀螺栓、轻钢龙骨(钢结构)基层找平
5、包含完成该项内容所有工作及费用并满足设计图纸、规范等要求</t>
        </is>
      </c>
      <c r="D518"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518" s="27" t="inlineStr">
        <is>
          <t>执行《GB/T50854-2024房屋建筑与装饰工程工程量计算标准》，按设计图示饰面外围尺寸
以面积计算。 扣除门窗洞口面积，不扣除单个面积≤0.3㎡的孔洞所占面积。</t>
        </is>
      </c>
      <c r="F518" s="28" t="inlineStr">
        <is>
          <t>m2</t>
        </is>
      </c>
      <c r="G518" s="61" t="n">
        <v>14.81</v>
      </c>
      <c r="H518" s="62" t="n">
        <v>253.7</v>
      </c>
      <c r="I518" s="65" t="n"/>
      <c r="J518" s="62">
        <f>H518*(1-$I$4)</f>
        <v/>
      </c>
      <c r="K518" s="63">
        <f>G518*J518</f>
        <v/>
      </c>
      <c r="L518" s="33" t="inlineStr">
        <is>
          <t>木饰面</t>
        </is>
      </c>
      <c r="M518" s="64" t="n"/>
      <c r="N518" s="39" t="n">
        <v>1</v>
      </c>
      <c r="O518" t="n">
        <v>55</v>
      </c>
      <c r="P518" s="35" t="inlineStr">
        <is>
          <t>差:-198.70元 (-78.3%) 来源:售楼处</t>
        </is>
      </c>
      <c r="Q518" s="35" t="n"/>
      <c r="R518" s="35" t="n"/>
    </row>
    <row r="519" outlineLevel="2" ht="144" customFormat="1" customHeight="1" s="39">
      <c r="A519" s="37">
        <f>1+N(A518)</f>
        <v/>
      </c>
      <c r="B519" s="27" t="inlineStr">
        <is>
          <t>WP-03墙布</t>
        </is>
      </c>
      <c r="C519" s="27" t="inlineStr">
        <is>
          <t>1、WP-03墙布，结构胶固定（含不锈钢线条）
2、12mm阻燃板，轻钢副龙骨@400
3、包含完成该项内容所有工作及费用并满足设计图纸、规范等要求</t>
        </is>
      </c>
      <c r="D519"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519" s="27" t="inlineStr">
        <is>
          <t xml:space="preserve">执行《GB/T50854-2024房屋建筑与装饰工程工程量计算标准》，按设计图示尺寸以面积计算。 </t>
        </is>
      </c>
      <c r="F519" s="28" t="inlineStr">
        <is>
          <t>m2</t>
        </is>
      </c>
      <c r="G519" s="61" t="n">
        <v>71.73999999999999</v>
      </c>
      <c r="H519" s="62" t="n">
        <v>205.32</v>
      </c>
      <c r="I519" s="65" t="n"/>
      <c r="J519" s="62">
        <f>H519*(1-$I$4)</f>
        <v/>
      </c>
      <c r="K519" s="63">
        <f>G519*J519</f>
        <v/>
      </c>
      <c r="L519" s="33" t="inlineStr">
        <is>
          <t>墙布</t>
        </is>
      </c>
      <c r="M519" s="64" t="n"/>
      <c r="N519" s="39" t="n">
        <v>1</v>
      </c>
      <c r="O519" t="n">
        <v>76.5</v>
      </c>
      <c r="P519" s="35" t="inlineStr">
        <is>
          <t>差:-128.82元 (-62.7%) 来源:售楼处</t>
        </is>
      </c>
      <c r="Q519" s="35" t="n"/>
      <c r="R519" s="35" t="n"/>
    </row>
    <row r="520" outlineLevel="2" ht="144" customFormat="1" customHeight="1" s="39">
      <c r="A520" s="37">
        <f>1+N(A519)</f>
        <v/>
      </c>
      <c r="B520" s="27" t="inlineStr">
        <is>
          <t>墙面CT-06瓷砖</t>
        </is>
      </c>
      <c r="C520" s="27" t="inlineStr">
        <is>
          <t>1、CT-06瓷砖,瓷砖填缝剂处理
2、背覆胶处理
3、12mm水泥纤维板、轻钢龙骨构件
4、界面剂拉毛处理
5、包含完成该项内容所有工作及费用并满足设计图纸、规范等要求</t>
        </is>
      </c>
      <c r="D520" s="27" t="inlineStr">
        <is>
          <t>具体工作内容除详见项目特征外，且不限于以下内容:1.包含材料的下车、场内运输；2.清理基层、找标高、弹线定位；3.试拼试排；4.砂浆拌和、铺找平层（粘结层）砂浆；5.面层铺设、灌缝、擦缝；6.打蜡、养护；配合留设墙面开关、插座等末端设备等全部内容；包含成品保护、安全文明施工等达到验收合格的全部施工内容。</t>
        </is>
      </c>
      <c r="E520" s="27" t="inlineStr">
        <is>
          <t>执行《GB/T50854-2024房屋建筑与装饰工程工程量计算标准》，按设计图示镶贴后外围面积计算</t>
        </is>
      </c>
      <c r="F520" s="28" t="inlineStr">
        <is>
          <t>m2</t>
        </is>
      </c>
      <c r="G520" s="61" t="n">
        <v>13.74</v>
      </c>
      <c r="H520" s="62" t="n">
        <v>239.54</v>
      </c>
      <c r="I520" s="65" t="n"/>
      <c r="J520" s="62">
        <f>H520*(1-$I$4)</f>
        <v/>
      </c>
      <c r="K520" s="63">
        <f>G520*J520</f>
        <v/>
      </c>
      <c r="L520" s="33" t="inlineStr">
        <is>
          <t>瓷砖</t>
        </is>
      </c>
      <c r="M520" s="64" t="n"/>
      <c r="N520" s="39" t="n">
        <v>1</v>
      </c>
      <c r="O520" t="n">
        <v>89</v>
      </c>
      <c r="P520" s="35" t="inlineStr">
        <is>
          <t>差:-150.54元 (-62.8%) 来源:售楼处</t>
        </is>
      </c>
      <c r="Q520" s="35" t="n"/>
      <c r="R520" s="35" t="n"/>
    </row>
    <row r="521" outlineLevel="2" ht="156" customFormat="1" customHeight="1" s="39">
      <c r="A521" s="37">
        <f>1+N(A520)</f>
        <v/>
      </c>
      <c r="B521" s="27" t="inlineStr">
        <is>
          <t>1.2mm厚JS-Ⅱ聚合物水泥防水涂料</t>
        </is>
      </c>
      <c r="C521" s="27" t="inlineStr">
        <is>
          <t>1、1.2mm厚JS-Ⅱ聚合物水泥防水涂料
2、包含完成该项内容所有工作及费用并满足设计图纸、规范等要求</t>
        </is>
      </c>
      <c r="D521" s="27" t="inlineStr">
        <is>
          <t>1.清理基层。
2.基层喷水潮湿；必要的弹线，防水涂料调制；防水涂料涂刷；细部防水处理；防污染措施等。
3.材料检验、闭水试验、淋水实验、蓄水实验、各类专项检测的送检及检测。
4.操作架/平台搭拆。
5.安全文明施工、成品保护、场内外运输、废料清理等直到验收合格及后期保修的所有工作内容。</t>
        </is>
      </c>
      <c r="E521" s="27" t="inlineStr">
        <is>
          <t>按施工图范围内实际验收合格面积以平方米计算，施工图要求的上翻部分按实计算。</t>
        </is>
      </c>
      <c r="F521" s="28" t="inlineStr">
        <is>
          <t>m2</t>
        </is>
      </c>
      <c r="G521" s="61" t="n">
        <v>119.89</v>
      </c>
      <c r="H521" s="62" t="n">
        <v>55.873</v>
      </c>
      <c r="I521" s="65" t="n"/>
      <c r="J521" s="62">
        <f>H521*(1-$I$4)</f>
        <v/>
      </c>
      <c r="K521" s="63">
        <f>G521*J521</f>
        <v/>
      </c>
      <c r="L521" s="33" t="inlineStr">
        <is>
          <t>/</t>
        </is>
      </c>
      <c r="M521" s="64" t="n"/>
      <c r="N521" s="39" t="n">
        <v>1</v>
      </c>
      <c r="O521" t="n">
        <v>18</v>
      </c>
      <c r="P521" s="35" t="inlineStr">
        <is>
          <t>差:-37.87元 (-67.8%) 来源:售楼处</t>
        </is>
      </c>
      <c r="Q521" s="35" t="n"/>
      <c r="R521" s="35" t="n"/>
    </row>
    <row r="522" outlineLevel="2" ht="180" customFormat="1" customHeight="1" s="39">
      <c r="A522" s="37">
        <f>1+N(A521)</f>
        <v/>
      </c>
      <c r="B522" s="27" t="inlineStr">
        <is>
          <t>不锈钢门套</t>
        </is>
      </c>
      <c r="C522" s="27" t="inlineStr">
        <is>
          <t>1、1.2mm厚 MT-01古铜不锈钢门套，结构胶固定
2、9厘玻镁板基层
3、工程量以展开面积计算
4、包含完成该项内容所有工作及费用并满足设计图纸、规范等要求</t>
        </is>
      </c>
      <c r="D522"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522" s="27" t="inlineStr">
        <is>
          <t>执行《GB/T50854-2024房屋建筑与装饰工程工程量计算标准》，按设计图示饰面外围尺寸
以面积计算。 扣除门窗洞口面积，不扣除单个面积≤0.3㎡的孔洞所占面积。</t>
        </is>
      </c>
      <c r="F522" s="28" t="inlineStr">
        <is>
          <t>m2</t>
        </is>
      </c>
      <c r="G522" s="61" t="n">
        <v>1.51</v>
      </c>
      <c r="H522" s="62" t="n">
        <v>630.651</v>
      </c>
      <c r="I522" s="65" t="n"/>
      <c r="J522" s="62">
        <f>H522*(1-$I$4)</f>
        <v/>
      </c>
      <c r="K522" s="63">
        <f>G522*J522</f>
        <v/>
      </c>
      <c r="L522" s="33" t="inlineStr">
        <is>
          <t>/</t>
        </is>
      </c>
      <c r="M522" s="64" t="n"/>
      <c r="N522" s="39" t="n">
        <v>1</v>
      </c>
      <c r="O522" t="n">
        <v>110</v>
      </c>
      <c r="P522" s="35" t="inlineStr">
        <is>
          <t>差:-520.65元 (-82.6%) 来源:售楼处</t>
        </is>
      </c>
      <c r="Q522" s="35" t="n"/>
      <c r="R522" s="35" t="n"/>
    </row>
    <row r="523" outlineLevel="2" ht="144" customFormat="1" customHeight="1" s="39">
      <c r="A523" s="37">
        <f>1+N(A522)</f>
        <v/>
      </c>
      <c r="B523" s="27" t="inlineStr">
        <is>
          <t>MT-01古铜不锈钢踢脚线（高20mm）</t>
        </is>
      </c>
      <c r="C523" s="27" t="inlineStr">
        <is>
          <t>1、1.2mm厚 MT-01古铜不锈钢踢脚线（高20mm，展开面为46mm），结构胶固定
2、9厘玻镁板基层
3、包含完成该项内容所有工作及费用并满足设计图纸、规范等要求</t>
        </is>
      </c>
      <c r="D523"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523" s="27" t="inlineStr">
        <is>
          <t>按设计图示尺寸以长度计算。</t>
        </is>
      </c>
      <c r="F523" s="28" t="inlineStr">
        <is>
          <t>m</t>
        </is>
      </c>
      <c r="G523" s="61" t="n">
        <v>26.75</v>
      </c>
      <c r="H523" s="62" t="n">
        <v>31.86</v>
      </c>
      <c r="I523" s="65" t="n"/>
      <c r="J523" s="62">
        <f>H523*(1-$I$4)</f>
        <v/>
      </c>
      <c r="K523" s="63">
        <f>G523*J523</f>
        <v/>
      </c>
      <c r="L523" s="33" t="inlineStr">
        <is>
          <t>不锈钢踢脚线</t>
        </is>
      </c>
      <c r="M523" s="64" t="n"/>
      <c r="N523" s="39" t="n">
        <v>1</v>
      </c>
      <c r="O523" t="n">
        <v>12</v>
      </c>
      <c r="P523" s="35" t="inlineStr">
        <is>
          <t>差:-19.86元 (-62.3%) 来源:售楼处</t>
        </is>
      </c>
      <c r="Q523" s="35" t="n"/>
      <c r="R523" s="35" t="n"/>
    </row>
    <row r="524" outlineLevel="2" ht="72" customFormat="1" customHeight="1" s="39">
      <c r="A524" s="37">
        <f>1+N(A523)</f>
        <v/>
      </c>
      <c r="B524" s="27" t="inlineStr">
        <is>
          <t>MT-01古铜不锈钢窗套（展开面为95mm）</t>
        </is>
      </c>
      <c r="C524" s="27" t="inlineStr">
        <is>
          <t>1、1.2mm厚 MT-01古铜不锈钢窗套（展开面为95mm），结构胶固定
2、9厘玻镁板基层
3、包含完成该项内容所有工作及费用并满足设计图纸、规范等要求</t>
        </is>
      </c>
      <c r="D524" s="27" t="inlineStr">
        <is>
          <t>自现有现场条件下按照合同约定范围、图纸（含设计变更）及甲方要求内容以及规范、标准、相关做法等要求完成并达到总包合同全部目标的全部工作内容。</t>
        </is>
      </c>
      <c r="E524" s="27" t="inlineStr">
        <is>
          <t>以最终验收合格的工程量计算</t>
        </is>
      </c>
      <c r="F524" s="28" t="inlineStr">
        <is>
          <t>m2</t>
        </is>
      </c>
      <c r="G524" s="61" t="n">
        <v>1.19</v>
      </c>
      <c r="H524" s="62" t="n">
        <v>630.651</v>
      </c>
      <c r="I524" s="65" t="n"/>
      <c r="J524" s="62">
        <f>H524*(1-$I$4)</f>
        <v/>
      </c>
      <c r="K524" s="63">
        <f>G524*J524</f>
        <v/>
      </c>
      <c r="L524" s="33" t="inlineStr">
        <is>
          <t>/</t>
        </is>
      </c>
      <c r="M524" s="64" t="n"/>
      <c r="N524" s="39" t="n">
        <v>1</v>
      </c>
      <c r="O524" t="n">
        <v>110</v>
      </c>
      <c r="P524" s="35" t="inlineStr">
        <is>
          <t>差:-520.65元 (-82.6%) 来源:售楼处</t>
        </is>
      </c>
      <c r="Q524" s="35" t="n"/>
      <c r="R524" s="35" t="n"/>
    </row>
    <row r="525" outlineLevel="1" customFormat="1" s="39">
      <c r="A525" s="36" t="n"/>
      <c r="B525" s="27" t="inlineStr">
        <is>
          <t>天花工程</t>
        </is>
      </c>
      <c r="C525" s="27" t="n"/>
      <c r="D525" s="27" t="n"/>
      <c r="E525" s="27" t="n"/>
      <c r="F525" s="28" t="n"/>
      <c r="G525" s="61" t="n"/>
      <c r="H525" s="62" t="n"/>
      <c r="I525" s="65" t="n"/>
      <c r="J525" s="62" t="n"/>
      <c r="K525" s="63" t="n"/>
      <c r="L525" s="33" t="n"/>
      <c r="M525" s="64" t="n"/>
      <c r="P525" s="35" t="n"/>
      <c r="Q525" s="35" t="n"/>
      <c r="R525" s="35" t="n"/>
    </row>
    <row r="526" outlineLevel="2" ht="192" customFormat="1" customHeight="1" s="39">
      <c r="A526" s="37">
        <f>1+N(A525)</f>
        <v/>
      </c>
      <c r="B526" s="27" t="inlineStr">
        <is>
          <t>造型石膏板吊顶</t>
        </is>
      </c>
      <c r="C526" s="27" t="inlineStr">
        <is>
          <t>1.60系列轻钢主龙骨@900，60系列轻钢副龙骨@400，60系列横撑龙骨@600，08螺纹吊杆@900不上人天花吊顶（投影面计算）
2.玻镁板、双层9.5厚石膏板基层，含开孔、检修口、10*10凹槽等费用；
3.含除灯槽外的侧面高差及其连接件、吊件；
4.包含完成该项内容所有工作及费用并满足设计图纸、规范等要求；</t>
        </is>
      </c>
      <c r="D526" s="27" t="inlineStr">
        <is>
          <t>1.基层清理。
2.弹线定位、排版。
3.吊杆及连接件安装调平、收口及密封处理。
4.材料切割处理找平、石膏板安装及调整，打胶密封与清理.
5.收口及其他处理：检修口等制作安装、收边收口、配合预留安装、机电等专业孔洞及孔洞收口处理。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526" s="27" t="inlineStr">
        <is>
          <t>按设计图示尺寸以水平投影面积计算。不扣除间壁墙、检查口、附墙烟囱、柱垛和管道所占面积,扣除单个&gt;0.3m3的孔洞、非密拼吊顶空隙所占的面积、独立柱及与天棚相连的窗帘盒所占的面积。</t>
        </is>
      </c>
      <c r="F526" s="28" t="inlineStr">
        <is>
          <t>m2</t>
        </is>
      </c>
      <c r="G526" s="61" t="n">
        <v>25.33</v>
      </c>
      <c r="H526" s="62" t="n">
        <v>174.574444444444</v>
      </c>
      <c r="I526" s="65" t="n"/>
      <c r="J526" s="62">
        <f>H526*(1-$I$4)</f>
        <v/>
      </c>
      <c r="K526" s="63">
        <f>G526*J526</f>
        <v/>
      </c>
      <c r="L526" s="33" t="inlineStr">
        <is>
          <t>/</t>
        </is>
      </c>
      <c r="M526" s="64" t="n"/>
      <c r="N526" s="39" t="n">
        <v>1</v>
      </c>
      <c r="O526" t="n">
        <v>70</v>
      </c>
      <c r="P526" s="35" t="inlineStr">
        <is>
          <t>差:-104.57元 (-59.9%) 来源:售楼处</t>
        </is>
      </c>
      <c r="Q526" s="35" t="n"/>
      <c r="R526" s="35" t="n"/>
    </row>
    <row r="527" outlineLevel="2" ht="72" customFormat="1" customHeight="1" s="39">
      <c r="A527" s="37">
        <f>1+N(A526)</f>
        <v/>
      </c>
      <c r="B527" s="27" t="inlineStr">
        <is>
          <t>灯槽（100mm*200mm）</t>
        </is>
      </c>
      <c r="C527" s="27" t="inlineStr">
        <is>
          <t>1.灯槽（100mm*200mm）；
2.双层板：9mm玻镁板、9.5厚石膏板；
3.包含完成该项内容所有工作及费用并满足设计图纸、规范等要求；</t>
        </is>
      </c>
      <c r="D527" s="27" t="inlineStr">
        <is>
          <t>自现有现场条件下按照合同约定范围、图纸（含设计变更）及甲方要求内容以及规范、标准、相关做法等要求完成并达到总包合同全部目标的全部工作内容。</t>
        </is>
      </c>
      <c r="E527" s="27" t="inlineStr">
        <is>
          <t>依据经承包人确认的施工部位,按设计图示尺寸以延长米计算。</t>
        </is>
      </c>
      <c r="F527" s="28" t="inlineStr">
        <is>
          <t>m</t>
        </is>
      </c>
      <c r="G527" s="61" t="n">
        <v>12.08</v>
      </c>
      <c r="H527" s="62" t="n">
        <v>112.159</v>
      </c>
      <c r="I527" s="65" t="n"/>
      <c r="J527" s="62">
        <f>H527*(1-$I$4)</f>
        <v/>
      </c>
      <c r="K527" s="63">
        <f>G527*J527</f>
        <v/>
      </c>
      <c r="L527" s="33" t="inlineStr">
        <is>
          <t>/</t>
        </is>
      </c>
      <c r="M527" s="64" t="n"/>
      <c r="N527" s="39" t="n">
        <v>1</v>
      </c>
      <c r="O527" t="n">
        <v>50</v>
      </c>
      <c r="P527" s="35" t="inlineStr">
        <is>
          <t>差:-62.16元 (-55.4%) 来源:售楼处</t>
        </is>
      </c>
      <c r="Q527" s="35" t="n"/>
      <c r="R527" s="35" t="n"/>
    </row>
    <row r="528" outlineLevel="2" ht="72" customFormat="1" customHeight="1" s="39">
      <c r="A528" s="37">
        <f>1+N(A527)</f>
        <v/>
      </c>
      <c r="B528" s="27" t="inlineStr">
        <is>
          <t>条形空调风口（150mm宽）</t>
        </is>
      </c>
      <c r="C528" s="27" t="inlineStr">
        <is>
          <t>1.条形空调风口（150mm宽）；
2.风口周边阻燃板封边加固处理；
3.包含完成该项内容所有工作及费用并满足设计图纸、规范等要求；</t>
        </is>
      </c>
      <c r="D528" s="27" t="inlineStr">
        <is>
          <t>自现有现场条件下按照合同约定范围、图纸（含设计变更）及甲方要求内容以及规范、标准、相关做法等要求完成并达到总包合同全部目标的全部工作内容。</t>
        </is>
      </c>
      <c r="E528" s="27" t="inlineStr">
        <is>
          <t>依据经承包人确认的施工部位,按设计图示尺寸以延长米计算。</t>
        </is>
      </c>
      <c r="F528" s="28" t="inlineStr">
        <is>
          <t>m</t>
        </is>
      </c>
      <c r="G528" s="61" t="n">
        <v>9.52</v>
      </c>
      <c r="H528" s="62" t="n">
        <v>109.74</v>
      </c>
      <c r="I528" s="65" t="n"/>
      <c r="J528" s="62">
        <f>H528*(1-$I$4)</f>
        <v/>
      </c>
      <c r="K528" s="63">
        <f>G528*J528</f>
        <v/>
      </c>
      <c r="L528" s="33" t="inlineStr">
        <is>
          <t>空调风口</t>
        </is>
      </c>
      <c r="M528" s="64" t="n"/>
      <c r="N528" s="39" t="n">
        <v>1</v>
      </c>
      <c r="O528" t="n">
        <v>30</v>
      </c>
      <c r="P528" s="35" t="inlineStr">
        <is>
          <t>差:-79.74元 (-72.7%) 来源:售楼处</t>
        </is>
      </c>
      <c r="Q528" s="35" t="n"/>
      <c r="R528" s="35" t="n"/>
    </row>
    <row r="529" outlineLevel="2" ht="192" customFormat="1" customHeight="1" s="39">
      <c r="A529" s="37">
        <f>1+N(A528)</f>
        <v/>
      </c>
      <c r="B529" s="27" t="inlineStr">
        <is>
          <t>天花白色防水无机涂料PT-02</t>
        </is>
      </c>
      <c r="C529" s="27" t="inlineStr">
        <is>
          <t>1.天花白色防水无机涂料PT-02；
2.刮腻子二遍磨平；
3.底漆1遍，面漆2遍；
4.包含完成该项内容所有工作及费用并满足设计图纸、规范等要求；</t>
        </is>
      </c>
      <c r="D529" s="27" t="inlineStr">
        <is>
          <t>包括但不限于材料计划、采购、卸车倒运、保管、检验试验费、测量放线，包含四周阴角找平直、含天棚四周阴角找平直，打磨，简易脚手架搭拆及操作平台、升降机，基层清理、打磨平整、底层找补、满刮涂料（含阴阳角塑料条）、涂料打磨、补遗处理、配合其他分包施工、完工后场清、成品保护、保修等直到达到竣工交付标准的全部工作内容。包括所有为完成工作所需的小型机具；包括所有为完成工作所需的附属工作；包括但不限于以上内容。</t>
        </is>
      </c>
      <c r="E529" s="27" t="inlineStr">
        <is>
          <t>执行《GB/T50854-2024房屋建筑与装饰工程工程量计算标准》，按设计图示尺寸以面积计算。扣除0.3平方米以上洞口的面积；梁侧面及檐口天棚并入天棚计算；以设计图纸和技术交底为基础</t>
        </is>
      </c>
      <c r="F529" s="28" t="inlineStr">
        <is>
          <t>m2</t>
        </is>
      </c>
      <c r="G529" s="61" t="n">
        <v>28.96</v>
      </c>
      <c r="H529" s="62" t="n">
        <v>35.99</v>
      </c>
      <c r="I529" s="65" t="n"/>
      <c r="J529" s="62">
        <f>H529*(1-$I$4)</f>
        <v/>
      </c>
      <c r="K529" s="63">
        <f>G529*J529</f>
        <v/>
      </c>
      <c r="L529" s="33" t="inlineStr">
        <is>
          <t>涂料</t>
        </is>
      </c>
      <c r="M529" s="64" t="n"/>
      <c r="N529" s="39" t="n">
        <v>1</v>
      </c>
      <c r="O529" t="n">
        <v>28.5</v>
      </c>
      <c r="P529" s="35" t="inlineStr">
        <is>
          <t>差:-7.49元 (-20.8%) 来源:售楼处</t>
        </is>
      </c>
      <c r="Q529" s="35" t="n"/>
      <c r="R529" s="35" t="n"/>
    </row>
    <row r="530" outlineLevel="1" customFormat="1" s="39">
      <c r="A530" s="36" t="n"/>
      <c r="B530" s="27" t="inlineStr">
        <is>
          <t>门窗工程</t>
        </is>
      </c>
      <c r="C530" s="27" t="n"/>
      <c r="D530" s="27" t="n"/>
      <c r="E530" s="27" t="n"/>
      <c r="F530" s="28" t="n"/>
      <c r="G530" s="61" t="n"/>
      <c r="H530" s="62" t="n"/>
      <c r="I530" s="65" t="n"/>
      <c r="J530" s="62" t="n"/>
      <c r="K530" s="63" t="n"/>
      <c r="L530" s="33" t="n"/>
      <c r="M530" s="64" t="n"/>
      <c r="P530" s="35" t="n"/>
      <c r="Q530" s="35" t="n"/>
      <c r="R530" s="35" t="n"/>
    </row>
    <row r="531" outlineLevel="2" ht="84" customFormat="1" customHeight="1" s="39">
      <c r="A531" s="37">
        <f>1+N(A530)</f>
        <v/>
      </c>
      <c r="B531" s="27" t="inlineStr">
        <is>
          <t>卫生间门（DR01）</t>
        </is>
      </c>
      <c r="C531" s="27" t="inlineStr">
        <is>
          <t>1、门扇：WD-03木饰面、20*40mm热镀锌矩管、9mm厚玻镁板基层
2、门套：WD-03木饰面
3、定制成品套装门制安
4、含暗合页、门把手等五金配件
5、包含完成该项内容所有工作及费用并满足设计图纸、规范等要求</t>
        </is>
      </c>
      <c r="D531" s="27" t="inlineStr">
        <is>
          <t>自现有现场条件下按照合同约定范围、图纸（含设计变更）及甲方要求内容以及规范、标准、相关做法等要求完成并达到总包合同全部目标的全部工作内容。</t>
        </is>
      </c>
      <c r="E531" s="27" t="inlineStr">
        <is>
          <t>以最终验收合格的工程量计算</t>
        </is>
      </c>
      <c r="F531" s="28" t="inlineStr">
        <is>
          <t>m2</t>
        </is>
      </c>
      <c r="G531" s="61" t="n">
        <v>6.8</v>
      </c>
      <c r="H531" s="62" t="n">
        <v>2447.18117647059</v>
      </c>
      <c r="I531" s="65" t="n"/>
      <c r="J531" s="62">
        <f>H531*(1-$I$4)</f>
        <v/>
      </c>
      <c r="K531" s="63">
        <f>G531*J531</f>
        <v/>
      </c>
      <c r="L531" s="33" t="inlineStr">
        <is>
          <t>/</t>
        </is>
      </c>
      <c r="M531" s="64" t="n"/>
      <c r="N531" s="39" t="n">
        <v>1</v>
      </c>
      <c r="O531" t="n">
        <v>145</v>
      </c>
      <c r="P531" s="35" t="inlineStr">
        <is>
          <t>差:-2302.18元 (-94.1%) 来源:售楼处</t>
        </is>
      </c>
      <c r="Q531" s="35" t="n"/>
      <c r="R531" s="35" t="n"/>
    </row>
    <row r="532" outlineLevel="2" ht="72" customFormat="1" customHeight="1" s="39">
      <c r="A532" s="37">
        <f>1+N(A531)</f>
        <v/>
      </c>
      <c r="B532" s="27" t="inlineStr">
        <is>
          <t>清洁间门</t>
        </is>
      </c>
      <c r="C532" s="27" t="inlineStr">
        <is>
          <t>1、门扇：WD-03木饰面、20*40mm热镀锌矩管、9mm厚玻镁板基层
2、定制成品套装门制安
3、含暗合页、门把手等五金配件
4、包含完成该项内容所有工作及费用并满足设计图纸、规范等要求</t>
        </is>
      </c>
      <c r="D532" s="27" t="inlineStr">
        <is>
          <t>自现有现场条件下按照合同约定范围、图纸（含设计变更）及甲方要求内容以及规范、标准、相关做法等要求完成并达到总包合同全部目标的全部工作内容。</t>
        </is>
      </c>
      <c r="E532" s="27" t="inlineStr">
        <is>
          <t>以最终验收合格的工程量计算</t>
        </is>
      </c>
      <c r="F532" s="28" t="inlineStr">
        <is>
          <t>m2</t>
        </is>
      </c>
      <c r="G532" s="61" t="n">
        <v>2.21</v>
      </c>
      <c r="H532" s="62" t="n">
        <v>1785.20117647059</v>
      </c>
      <c r="I532" s="65" t="n"/>
      <c r="J532" s="62">
        <f>H532*(1-$I$4)</f>
        <v/>
      </c>
      <c r="K532" s="63">
        <f>G532*J532</f>
        <v/>
      </c>
      <c r="L532" s="33" t="inlineStr">
        <is>
          <t>/</t>
        </is>
      </c>
      <c r="M532" s="64" t="n"/>
      <c r="N532" s="39" t="n">
        <v>1</v>
      </c>
      <c r="O532" t="n">
        <v>145</v>
      </c>
      <c r="P532" s="35" t="inlineStr">
        <is>
          <t>差:-1640.20元 (-91.9%) 来源:售楼处</t>
        </is>
      </c>
      <c r="Q532" s="35" t="n"/>
      <c r="R532" s="35" t="n"/>
    </row>
    <row r="533" outlineLevel="2" ht="120" customFormat="1" customHeight="1" s="39">
      <c r="A533" s="37">
        <f>1+N(A532)</f>
        <v/>
      </c>
      <c r="B533" s="27" t="inlineStr">
        <is>
          <t>洗手台镜柜一体</t>
        </is>
      </c>
      <c r="C533" s="27" t="inlineStr">
        <is>
          <t>1、洗手台镜柜一体（1790mm*660mm*2550mm）
2.包括但不限于制作安装、钢结构骨架、石材及石材防污处理、10mm水泥纤维板基层、ST-06石材台面、1.2mm厚 MT-01古铜不锈钢饰面、WD-04木饰面、MR-01银镜；
3.含五金配件、相应的线孔洞开设
4.包含完成该项内容所有工作及费用并满足设计图纸、规范等要求</t>
        </is>
      </c>
      <c r="D533" s="27" t="inlineStr">
        <is>
          <t>自现有现场条件下按照合同约定范围、图纸（含设计变更）及甲方要求内容以及规范、标准、相关做法等要求完成并达到总包合同全部目标的全部工作内容。</t>
        </is>
      </c>
      <c r="E533" s="27" t="inlineStr">
        <is>
          <t>以最终验收合格的工程量计算</t>
        </is>
      </c>
      <c r="F533" s="28" t="inlineStr">
        <is>
          <t>套</t>
        </is>
      </c>
      <c r="G533" s="61" t="n">
        <v>2</v>
      </c>
      <c r="H533" s="62" t="n">
        <v>14160.865648</v>
      </c>
      <c r="I533" s="65" t="n"/>
      <c r="J533" s="62">
        <f>H533*(1-$I$4)</f>
        <v/>
      </c>
      <c r="K533" s="63">
        <f>G533*J533</f>
        <v/>
      </c>
      <c r="L533" s="33" t="inlineStr">
        <is>
          <t>/</t>
        </is>
      </c>
      <c r="M533" s="64" t="n"/>
      <c r="N533" s="39" t="n">
        <v>1</v>
      </c>
      <c r="O533" t="n">
        <v>353</v>
      </c>
      <c r="P533" s="35" t="inlineStr">
        <is>
          <t>差:-13807.87元 (-97.5%) 来源:售楼处</t>
        </is>
      </c>
      <c r="Q533" s="35" t="n"/>
      <c r="R533" s="35" t="n"/>
    </row>
    <row r="534" outlineLevel="2" ht="72" customFormat="1" customHeight="1" s="39">
      <c r="A534" s="37">
        <f>1+N(A533)</f>
        <v/>
      </c>
      <c r="B534" s="27" t="inlineStr">
        <is>
          <t>WD-04木饰面隔断</t>
        </is>
      </c>
      <c r="C534" s="27" t="inlineStr">
        <is>
          <t>1、WD-04木饰面隔断
2、含五金配件及门
3、包含完成该项内容所有工作及费用并满足设计图纸、规范等要求</t>
        </is>
      </c>
      <c r="D534" s="27" t="inlineStr">
        <is>
          <t>自现有现场条件下按照合同约定范围、图纸（含设计变更）及甲方要求内容以及规范、标准、相关做法等要求完成并达到总包合同全部目标的全部工作内容。</t>
        </is>
      </c>
      <c r="E534" s="27" t="inlineStr">
        <is>
          <t>以最终验收合格的工程量计算</t>
        </is>
      </c>
      <c r="F534" s="28" t="inlineStr">
        <is>
          <t>m2</t>
        </is>
      </c>
      <c r="G534" s="61" t="n">
        <v>36.69</v>
      </c>
      <c r="H534" s="62" t="n">
        <v>1250.8</v>
      </c>
      <c r="I534" s="65" t="n"/>
      <c r="J534" s="62">
        <f>H534*(1-$I$4)</f>
        <v/>
      </c>
      <c r="K534" s="63">
        <f>G534*J534</f>
        <v/>
      </c>
      <c r="L534" s="33" t="inlineStr">
        <is>
          <t>/</t>
        </is>
      </c>
      <c r="M534" s="64" t="n"/>
      <c r="N534" s="39" t="n">
        <v>1</v>
      </c>
      <c r="O534" t="n">
        <v>45</v>
      </c>
      <c r="P534" s="35" t="inlineStr">
        <is>
          <t>差:-1205.80元 (-96.4%) 来源:售楼处</t>
        </is>
      </c>
      <c r="Q534" s="35" t="n"/>
      <c r="R534" s="35" t="n"/>
    </row>
    <row r="535" outlineLevel="2" ht="84" customFormat="1" customHeight="1" s="39">
      <c r="A535" s="37">
        <f>1+N(A534)</f>
        <v/>
      </c>
      <c r="B535" s="27" t="inlineStr">
        <is>
          <t>GL-02艺术玻璃隔断</t>
        </is>
      </c>
      <c r="C535" s="27" t="inlineStr">
        <is>
          <t>1、GL-02艺术玻璃隔断（400mm*50mm*1070mm）
2、GL-02艺术玻璃饰面、MT-01古铜不锈钢边框、20x40x3mm热镀锌方管、3mm热镀锌钢板U型槽
3、包含完成该项内容所有工作及费用并满足设计图纸、规范等要求</t>
        </is>
      </c>
      <c r="D535" s="27" t="inlineStr">
        <is>
          <t>自现有现场条件下按照合同约定范围、图纸（含设计变更）及甲方要求内容以及规范、标准、相关做法等要求完成并达到总包合同全部目标的全部工作内容。</t>
        </is>
      </c>
      <c r="E535" s="27" t="inlineStr">
        <is>
          <t>以最终验收合格的工程量计算</t>
        </is>
      </c>
      <c r="F535" s="28" t="inlineStr">
        <is>
          <t>m2</t>
        </is>
      </c>
      <c r="G535" s="61" t="n">
        <v>0.86</v>
      </c>
      <c r="H535" s="62" t="n">
        <v>3215.5</v>
      </c>
      <c r="I535" s="65" t="n"/>
      <c r="J535" s="62">
        <f>H535*(1-$I$4)</f>
        <v/>
      </c>
      <c r="K535" s="63">
        <f>G535*J535</f>
        <v/>
      </c>
      <c r="L535" s="33" t="inlineStr">
        <is>
          <t>/</t>
        </is>
      </c>
      <c r="M535" s="64" t="n"/>
      <c r="N535" s="39" t="n">
        <v>1</v>
      </c>
      <c r="O535" t="n">
        <v>110</v>
      </c>
      <c r="P535" s="35" t="inlineStr">
        <is>
          <t>差:-3105.50元 (-96.6%) 来源:售楼处</t>
        </is>
      </c>
      <c r="Q535" s="35" t="n"/>
      <c r="R535" s="35" t="n"/>
    </row>
    <row r="536" outlineLevel="1" customFormat="1" s="39">
      <c r="A536" s="26" t="inlineStr">
        <is>
          <t>四</t>
        </is>
      </c>
      <c r="B536" s="27" t="inlineStr">
        <is>
          <t>洽谈区\沙盘区\水吧区</t>
        </is>
      </c>
      <c r="C536" s="27" t="n"/>
      <c r="D536" s="27" t="n"/>
      <c r="E536" s="27" t="n"/>
      <c r="F536" s="28" t="n"/>
      <c r="G536" s="61" t="n"/>
      <c r="H536" s="62" t="n"/>
      <c r="I536" s="65" t="n"/>
      <c r="J536" s="62" t="n"/>
      <c r="K536" s="63" t="n"/>
      <c r="L536" s="33" t="n"/>
      <c r="M536" s="64" t="n"/>
      <c r="P536" s="35" t="n"/>
      <c r="Q536" s="35" t="n"/>
      <c r="R536" s="35" t="n"/>
    </row>
    <row r="537" outlineLevel="1" customFormat="1" s="39">
      <c r="A537" s="36" t="n"/>
      <c r="B537" s="27" t="inlineStr">
        <is>
          <t>地面工程</t>
        </is>
      </c>
      <c r="C537" s="27" t="n"/>
      <c r="D537" s="27" t="n"/>
      <c r="E537" s="27" t="n"/>
      <c r="F537" s="28" t="n"/>
      <c r="G537" s="61" t="n"/>
      <c r="H537" s="62" t="n"/>
      <c r="I537" s="65" t="n"/>
      <c r="J537" s="62" t="n"/>
      <c r="K537" s="63" t="n"/>
      <c r="L537" s="33" t="n"/>
      <c r="M537" s="64" t="n"/>
      <c r="P537" s="35" t="n"/>
      <c r="Q537" s="35" t="n"/>
      <c r="R537" s="35" t="n"/>
    </row>
    <row r="538" outlineLevel="2" ht="120" customFormat="1" customHeight="1" s="39">
      <c r="A538" s="37">
        <f>1+N(A537)</f>
        <v/>
      </c>
      <c r="B538" s="27" t="inlineStr">
        <is>
          <t>地面铺贴大理石ST-01</t>
        </is>
      </c>
      <c r="C538" s="27" t="inlineStr">
        <is>
          <t>1.地面20mm大理石ST-01、皮革面与非皮革面错位铺贴、厚度及样式按物料书为准；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538"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538" s="27" t="inlineStr">
        <is>
          <t xml:space="preserve">执行《GB/T50854-2024房屋建筑与装饰工程工程量计算标准》，按设计图示尺寸
以面积计算。 </t>
        </is>
      </c>
      <c r="F538" s="28" t="inlineStr">
        <is>
          <t>m2</t>
        </is>
      </c>
      <c r="G538" s="61" t="n">
        <v>252.64</v>
      </c>
      <c r="H538" s="62" t="n">
        <v>218.75017</v>
      </c>
      <c r="I538" s="65" t="n"/>
      <c r="J538" s="62">
        <f>H538*(1-$I$4)</f>
        <v/>
      </c>
      <c r="K538" s="63">
        <f>G538*J538</f>
        <v/>
      </c>
      <c r="L538" s="33" t="inlineStr">
        <is>
          <t>石材</t>
        </is>
      </c>
      <c r="M538" s="64" t="n"/>
      <c r="N538" s="39" t="n">
        <v>1</v>
      </c>
      <c r="O538" t="n">
        <v>130</v>
      </c>
      <c r="P538" s="35" t="inlineStr">
        <is>
          <t>差:-88.75元 (-40.6%) 来源:售楼处</t>
        </is>
      </c>
      <c r="Q538" s="35" t="n"/>
      <c r="R538" s="35" t="n"/>
    </row>
    <row r="539" outlineLevel="2" ht="216" customFormat="1" customHeight="1" s="39">
      <c r="A539" s="37">
        <f>1+N(A538)</f>
        <v/>
      </c>
      <c r="B539" s="27" t="inlineStr">
        <is>
          <t>水泥砂浆找平层</t>
        </is>
      </c>
      <c r="C539" s="27" t="inlineStr">
        <is>
          <t>1.75mm厚DS干混砂浆找平层、需铺符合设计要求标高；
2.完成需收光、压实处理；
3.包含完成该项内容所有工作及费用并满足设计图纸、规范等要求；</t>
        </is>
      </c>
      <c r="D539" s="27" t="inlineStr">
        <is>
          <t>包含完成地面所有施工工序所需的人工、材料（甲供材除外）、机械、管理费、利润；包括但不限于材料计划、卸车倒运（含多次）、保管、测量放线、基底清理、标高检测、配合检测、贴饼冲筋、砂浆找平、抹压、压光、设置分格缝、阻水台（按照方案及交底要求施工）、地面留槽回填及二次处理，所有洞口、管根的补遗处理，养护、配合水电安装、现场清理及分包施工作业面的及时清理、清扫等、装卸费、场内倒运费，配合承包人实验员做好冬季测温记录、坍落度实验及砼试块制作，成品保护、保修等全部工作内容。</t>
        </is>
      </c>
      <c r="E539" s="27" t="inlineStr">
        <is>
          <t>执行《GB/T50854-2024房屋建筑与装饰工程工程量计算标准》，按设计图示尺寸以面积计算。扣除凸出地面构筑物、设备基础、室内管道、地沟等所占面积，不扣除间壁墙及≤0.3 ㎡柱、垛、附墙烟囱及孔洞所占面积。门洞、空圈、暖气包槽、壁龛的开口部分不增加面积。</t>
        </is>
      </c>
      <c r="F539" s="28" t="inlineStr">
        <is>
          <t>m2</t>
        </is>
      </c>
      <c r="G539" s="61" t="n">
        <v>10.84</v>
      </c>
      <c r="H539" s="62" t="n">
        <v>78.50982500000001</v>
      </c>
      <c r="I539" s="65" t="n"/>
      <c r="J539" s="62">
        <f>H539*(1-$I$4)</f>
        <v/>
      </c>
      <c r="K539" s="63">
        <f>G539*J539</f>
        <v/>
      </c>
      <c r="L539" s="33" t="inlineStr">
        <is>
          <t>/</t>
        </is>
      </c>
      <c r="M539" s="64" t="n"/>
      <c r="N539" s="39" t="n">
        <v>1</v>
      </c>
      <c r="O539" t="n">
        <v>28</v>
      </c>
      <c r="P539" s="35" t="inlineStr">
        <is>
          <t>差:-50.51元 (-64.3%) 来源:售楼处</t>
        </is>
      </c>
      <c r="Q539" s="35" t="n"/>
      <c r="R539" s="35" t="n"/>
    </row>
    <row r="540" outlineLevel="2" ht="108" customFormat="1" customHeight="1" s="39">
      <c r="A540" s="37">
        <f>1+N(A539)</f>
        <v/>
      </c>
      <c r="B540" s="27" t="inlineStr">
        <is>
          <t>实心铜条5mm宽</t>
        </is>
      </c>
      <c r="C540" s="27" t="inlineStr">
        <is>
          <t>1.实心铜条5mm宽；
2.包含完成该项内容所有工作及费用并满足设计图纸、规范等要求；</t>
        </is>
      </c>
      <c r="D540"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540" s="27" t="inlineStr">
        <is>
          <t>按设计图示尺寸以长度计算。</t>
        </is>
      </c>
      <c r="F540" s="28" t="inlineStr">
        <is>
          <t>m</t>
        </is>
      </c>
      <c r="G540" s="61" t="n">
        <v>11.88</v>
      </c>
      <c r="H540" s="62" t="n">
        <v>89.267</v>
      </c>
      <c r="I540" s="65" t="n"/>
      <c r="J540" s="62">
        <f>H540*(1-$I$4)</f>
        <v/>
      </c>
      <c r="K540" s="63">
        <f>G540*J540</f>
        <v/>
      </c>
      <c r="L540" s="33" t="inlineStr">
        <is>
          <t>/</t>
        </is>
      </c>
      <c r="M540" s="64" t="n"/>
      <c r="N540" s="39" t="n">
        <v>1</v>
      </c>
      <c r="O540" t="n">
        <v>12</v>
      </c>
      <c r="P540" s="35" t="inlineStr">
        <is>
          <t>差:-77.27元 (-86.6%) 来源:售楼处</t>
        </is>
      </c>
      <c r="Q540" s="35" t="n"/>
      <c r="R540" s="35" t="n"/>
    </row>
    <row r="541" outlineLevel="2" ht="108" customFormat="1" customHeight="1" s="39">
      <c r="A541" s="37">
        <f>1+N(A540)</f>
        <v/>
      </c>
      <c r="B541" s="27" t="inlineStr">
        <is>
          <t>地面石材晶面处理</t>
        </is>
      </c>
      <c r="C541" s="27" t="inlineStr">
        <is>
          <t>1.石材结晶处理(结晶水及石材保养剂,中性清洁剂)；
2.包含完成该项内容所有工作及费用并满足设计图纸、规范等要求；</t>
        </is>
      </c>
      <c r="D541"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541" s="27" t="inlineStr">
        <is>
          <t xml:space="preserve">执行《GB/T50854-2024房屋建筑与装饰工程工程量计算标准》，按设计图示尺寸
以面积计算。 </t>
        </is>
      </c>
      <c r="F541" s="28" t="inlineStr">
        <is>
          <t>m2</t>
        </is>
      </c>
      <c r="G541" s="61" t="n">
        <v>252.64</v>
      </c>
      <c r="H541" s="62" t="n">
        <v>64.90000000000001</v>
      </c>
      <c r="I541" s="65" t="n"/>
      <c r="J541" s="62">
        <f>H541*(1-$I$4)</f>
        <v/>
      </c>
      <c r="K541" s="63">
        <f>G541*J541</f>
        <v/>
      </c>
      <c r="L541" s="33" t="inlineStr">
        <is>
          <t>/</t>
        </is>
      </c>
      <c r="M541" s="64" t="n"/>
      <c r="N541" s="39" t="n">
        <v>1</v>
      </c>
      <c r="O541" t="n">
        <v>40</v>
      </c>
      <c r="P541" s="35" t="inlineStr">
        <is>
          <t>差:-24.90元 (-38.4%) 来源:售楼处</t>
        </is>
      </c>
      <c r="Q541" s="35" t="n"/>
      <c r="R541" s="35" t="n"/>
    </row>
    <row r="542" outlineLevel="1" customFormat="1" s="39">
      <c r="A542" s="36" t="n"/>
      <c r="B542" s="27" t="inlineStr">
        <is>
          <t>墙柱面工程</t>
        </is>
      </c>
      <c r="C542" s="27" t="n"/>
      <c r="D542" s="27" t="n"/>
      <c r="E542" s="27" t="n"/>
      <c r="F542" s="28" t="n"/>
      <c r="G542" s="61" t="n"/>
      <c r="H542" s="62" t="n"/>
      <c r="I542" s="65" t="n"/>
      <c r="J542" s="62" t="n"/>
      <c r="K542" s="63" t="n"/>
      <c r="L542" s="33" t="n"/>
      <c r="M542" s="64" t="n"/>
      <c r="P542" s="35" t="n"/>
      <c r="Q542" s="35" t="n"/>
      <c r="R542" s="35" t="n"/>
    </row>
    <row r="543" outlineLevel="2" ht="180" customFormat="1" customHeight="1" s="39">
      <c r="A543" s="37">
        <f>1+N(A542)</f>
        <v/>
      </c>
      <c r="B543" s="27" t="inlineStr">
        <is>
          <t>墙面干挂ST-05石材</t>
        </is>
      </c>
      <c r="C543" s="27" t="inlineStr">
        <is>
          <t>1、墙面干挂ST-05石材（含不锈钢线条）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is>
      </c>
      <c r="D543"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543" s="27" t="inlineStr">
        <is>
          <t>执行《GB/T50854-2024房屋建筑与装饰工程工程量计算标准》，按设计图示镶贴后外围面积计算</t>
        </is>
      </c>
      <c r="F543" s="28" t="inlineStr">
        <is>
          <t>m2</t>
        </is>
      </c>
      <c r="G543" s="61" t="n">
        <v>289.98</v>
      </c>
      <c r="H543" s="62" t="n">
        <v>283.2</v>
      </c>
      <c r="I543" s="65" t="n"/>
      <c r="J543" s="62">
        <f>H543*(1-$I$4)</f>
        <v/>
      </c>
      <c r="K543" s="63">
        <f>G543*J543</f>
        <v/>
      </c>
      <c r="L543" s="33" t="inlineStr">
        <is>
          <t>石材</t>
        </is>
      </c>
      <c r="M543" s="64" t="n"/>
      <c r="N543" s="39" t="n">
        <v>1</v>
      </c>
      <c r="O543" t="n">
        <v>140</v>
      </c>
      <c r="P543" s="35" t="inlineStr">
        <is>
          <t>差:-143.20元 (-50.6%) 来源:售楼处</t>
        </is>
      </c>
      <c r="Q543" s="35" t="n"/>
      <c r="R543" s="35" t="n"/>
    </row>
    <row r="544" outlineLevel="2" ht="180" customFormat="1" customHeight="1" s="39">
      <c r="A544" s="37">
        <f>1+N(A543)</f>
        <v/>
      </c>
      <c r="B544" s="27" t="inlineStr">
        <is>
          <t>墙面干挂ST-05石材（波浪造型）</t>
        </is>
      </c>
      <c r="C544" s="27" t="inlineStr">
        <is>
          <t>1、墙面干挂ST-05石材（波浪造型，含不锈钢线条）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is>
      </c>
      <c r="D544"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544" s="27" t="inlineStr">
        <is>
          <t>执行《GB/T50854-2024房屋建筑与装饰工程工程量计算标准》，按设计图示镶贴后外围面积计算</t>
        </is>
      </c>
      <c r="F544" s="28" t="inlineStr">
        <is>
          <t>m2</t>
        </is>
      </c>
      <c r="G544" s="61" t="n">
        <v>40.79</v>
      </c>
      <c r="H544" s="62" t="n">
        <v>283.2</v>
      </c>
      <c r="I544" s="65" t="n"/>
      <c r="J544" s="62">
        <f>H544*(1-$I$4)</f>
        <v/>
      </c>
      <c r="K544" s="63">
        <f>G544*J544</f>
        <v/>
      </c>
      <c r="L544" s="33" t="inlineStr">
        <is>
          <t>石材</t>
        </is>
      </c>
      <c r="M544" s="64" t="n"/>
      <c r="N544" s="39" t="n">
        <v>1</v>
      </c>
      <c r="O544" t="n">
        <v>140</v>
      </c>
      <c r="P544" s="35" t="inlineStr">
        <is>
          <t>差:-143.20元 (-50.6%) 来源:售楼处</t>
        </is>
      </c>
      <c r="Q544" s="35" t="n"/>
      <c r="R544" s="35" t="n"/>
    </row>
    <row r="545" outlineLevel="2" ht="180" customFormat="1" customHeight="1" s="39">
      <c r="A545" s="37">
        <f>1+N(A544)</f>
        <v/>
      </c>
      <c r="B545" s="27" t="inlineStr">
        <is>
          <t>墙面WD-01木饰面</t>
        </is>
      </c>
      <c r="C545" s="27" t="inlineStr">
        <is>
          <t>1、墙面WD-01木饰面（含不锈钢线条）
2、结构胶固定
3、12mm阻燃板基层
4、膨胀螺栓、轻钢龙骨(钢结构)基层找平
5、包含完成该项内容所有工作及费用并满足设计图纸、规范等要求</t>
        </is>
      </c>
      <c r="D545"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545" s="27" t="inlineStr">
        <is>
          <t>执行《GB/T50854-2024房屋建筑与装饰工程工程量计算标准》，按设计图示饰面外围尺寸
以面积计算。 扣除门窗洞口面积，不扣除单个面积≤0.3㎡的孔洞所占面积。</t>
        </is>
      </c>
      <c r="F545" s="28" t="inlineStr">
        <is>
          <t>m2</t>
        </is>
      </c>
      <c r="G545" s="61" t="n">
        <v>18.76</v>
      </c>
      <c r="H545" s="62" t="n">
        <v>253.7</v>
      </c>
      <c r="I545" s="65" t="n"/>
      <c r="J545" s="62">
        <f>H545*(1-$I$4)</f>
        <v/>
      </c>
      <c r="K545" s="63">
        <f>G545*J545</f>
        <v/>
      </c>
      <c r="L545" s="33" t="inlineStr">
        <is>
          <t>木饰面</t>
        </is>
      </c>
      <c r="M545" s="64" t="n"/>
      <c r="N545" s="39" t="n">
        <v>1</v>
      </c>
      <c r="O545" t="n">
        <v>75</v>
      </c>
      <c r="P545" s="35" t="inlineStr">
        <is>
          <t>差:-178.70元 (-70.4%) 来源:售楼处</t>
        </is>
      </c>
      <c r="Q545" s="35" t="n"/>
      <c r="R545" s="35" t="n"/>
    </row>
    <row r="546" outlineLevel="2" ht="180" customFormat="1" customHeight="1" s="39">
      <c r="A546" s="37">
        <f>1+N(A545)</f>
        <v/>
      </c>
      <c r="B546" s="27" t="inlineStr">
        <is>
          <t>墙面WD-03木饰面</t>
        </is>
      </c>
      <c r="C546" s="27" t="inlineStr">
        <is>
          <t>1、墙面WD-03木饰面（含不锈钢线条）
2、结构胶固定
3、12mm阻燃板基层
4、膨胀螺栓、轻钢龙骨(钢结构)基层找平
5、包含完成该项内容所有工作及费用并满足设计图纸、规范等要求</t>
        </is>
      </c>
      <c r="D546"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546" s="27" t="inlineStr">
        <is>
          <t>执行《GB/T50854-2024房屋建筑与装饰工程工程量计算标准》，按设计图示饰面外围尺寸
以面积计算。 扣除门窗洞口面积，不扣除单个面积≤0.3㎡的孔洞所占面积。</t>
        </is>
      </c>
      <c r="F546" s="28" t="inlineStr">
        <is>
          <t>m2</t>
        </is>
      </c>
      <c r="G546" s="61" t="n">
        <v>48.7</v>
      </c>
      <c r="H546" s="62" t="n">
        <v>253.7</v>
      </c>
      <c r="I546" s="65" t="n"/>
      <c r="J546" s="62">
        <f>H546*(1-$I$4)</f>
        <v/>
      </c>
      <c r="K546" s="63">
        <f>G546*J546</f>
        <v/>
      </c>
      <c r="L546" s="33" t="inlineStr">
        <is>
          <t>木饰面</t>
        </is>
      </c>
      <c r="M546" s="64" t="n"/>
      <c r="N546" s="39" t="n">
        <v>1</v>
      </c>
      <c r="O546" t="n">
        <v>75</v>
      </c>
      <c r="P546" s="35" t="inlineStr">
        <is>
          <t>差:-178.70元 (-70.4%) 来源:售楼处</t>
        </is>
      </c>
      <c r="Q546" s="35" t="n"/>
      <c r="R546" s="35" t="n"/>
    </row>
    <row r="547" outlineLevel="2" ht="144" customFormat="1" customHeight="1" s="39">
      <c r="A547" s="37">
        <f>1+N(A546)</f>
        <v/>
      </c>
      <c r="B547" s="27" t="inlineStr">
        <is>
          <t>墙面PT-03米色肌理无机涂料</t>
        </is>
      </c>
      <c r="C547" s="27" t="inlineStr">
        <is>
          <t>1、墙面PT-03米色肌理无机涂料(底漆1遍，面漆2遍)
2、刮白胶腻子找平二遍，打磨
3、阴、阳角护角收边
4、双层9.5mm纸面石膏板
5、轻钢龙骨基层找平
6、包含完成该项内容所有工作及费用并满足设计图纸、规范等要求</t>
        </is>
      </c>
      <c r="D547"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547" s="27" t="inlineStr">
        <is>
          <t xml:space="preserve">执行《GB/T50854-2024房屋建筑与装饰工程工程量计算标准》，按设计图示尺寸
以面积计算。 </t>
        </is>
      </c>
      <c r="F547" s="28" t="inlineStr">
        <is>
          <t>m2</t>
        </is>
      </c>
      <c r="G547" s="61" t="n">
        <v>68.84</v>
      </c>
      <c r="H547" s="62" t="n">
        <v>207.68</v>
      </c>
      <c r="I547" s="65" t="n"/>
      <c r="J547" s="62">
        <f>H547*(1-$I$4)</f>
        <v/>
      </c>
      <c r="K547" s="63">
        <f>G547*J547</f>
        <v/>
      </c>
      <c r="L547" s="33" t="inlineStr">
        <is>
          <t>涂料</t>
        </is>
      </c>
      <c r="M547" s="64" t="n"/>
      <c r="N547" s="39" t="n">
        <v>1</v>
      </c>
      <c r="O547" t="n">
        <v>110</v>
      </c>
      <c r="P547" s="35" t="inlineStr">
        <is>
          <t>差:-97.68元 (-47.0%) 来源:售楼处</t>
        </is>
      </c>
      <c r="Q547" s="35" t="n"/>
      <c r="R547" s="35" t="n"/>
    </row>
    <row r="548" outlineLevel="2" ht="144" customFormat="1" customHeight="1" s="39">
      <c r="A548" s="37">
        <f>1+N(A547)</f>
        <v/>
      </c>
      <c r="B548" s="27" t="inlineStr">
        <is>
          <t>MR-01银镜</t>
        </is>
      </c>
      <c r="C548" s="27" t="inlineStr">
        <is>
          <t>1、MR-01银镜（含不锈钢线条）
2、胶粘剂固定(中性胶)
3、12mm阻燃板基层
4、膨胀螺栓、轻钢龙骨(钢结构)基层找平
5、包含完成该项内容所有工作及费用并满足设计图纸、规范等要求</t>
        </is>
      </c>
      <c r="D548"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548" s="27" t="inlineStr">
        <is>
          <t>执行《GB/T50854-2024房屋建筑与装饰工程工程量计算标准》，按设计图示饰面外围尺寸以面积计算。</t>
        </is>
      </c>
      <c r="F548" s="28" t="inlineStr">
        <is>
          <t>m2</t>
        </is>
      </c>
      <c r="G548" s="61" t="n">
        <v>17.91</v>
      </c>
      <c r="H548" s="62" t="n">
        <v>214.76</v>
      </c>
      <c r="I548" s="65" t="n"/>
      <c r="J548" s="62">
        <f>H548*(1-$I$4)</f>
        <v/>
      </c>
      <c r="K548" s="63">
        <f>G548*J548</f>
        <v/>
      </c>
      <c r="L548" s="33" t="inlineStr">
        <is>
          <t>银镜</t>
        </is>
      </c>
      <c r="M548" s="64" t="n"/>
      <c r="N548" s="39" t="n">
        <v>1</v>
      </c>
      <c r="O548" t="n">
        <v>110</v>
      </c>
      <c r="P548" s="35" t="inlineStr">
        <is>
          <t>差:-104.76元 (-48.8%) 来源:售楼处</t>
        </is>
      </c>
      <c r="Q548" s="35" t="n"/>
      <c r="R548" s="35" t="n"/>
    </row>
    <row r="549" outlineLevel="2" ht="144" customFormat="1" customHeight="1" s="39">
      <c r="A549" s="37">
        <f>1+N(A548)</f>
        <v/>
      </c>
      <c r="B549" s="27" t="inlineStr">
        <is>
          <t>SF-04陶瓷砖</t>
        </is>
      </c>
      <c r="C549" s="27" t="inlineStr">
        <is>
          <t>1、SF-04陶瓷砖，结构胶固定
2、12厘玻镁板基层
3、包含完成该项内容所有工作及费用并满足设计图纸、规范等要求</t>
        </is>
      </c>
      <c r="D549"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549" s="27" t="inlineStr">
        <is>
          <t>执行《GB/T50854-2024房屋建筑与装饰工程工程量计算标准》，按设计图示饰面外围尺寸以面积计算。</t>
        </is>
      </c>
      <c r="F549" s="28" t="inlineStr">
        <is>
          <t>m2</t>
        </is>
      </c>
      <c r="G549" s="61" t="n">
        <v>11.74</v>
      </c>
      <c r="H549" s="62" t="n">
        <v>230.1</v>
      </c>
      <c r="I549" s="65" t="n"/>
      <c r="J549" s="62">
        <f>H549*(1-$I$4)</f>
        <v/>
      </c>
      <c r="K549" s="63">
        <f>G549*J549</f>
        <v/>
      </c>
      <c r="L549" s="33" t="inlineStr">
        <is>
          <t>陶瓷砖</t>
        </is>
      </c>
      <c r="M549" s="64" t="n"/>
      <c r="N549" s="39" t="n">
        <v>1</v>
      </c>
      <c r="O549" t="n">
        <v>89</v>
      </c>
      <c r="P549" s="35" t="inlineStr">
        <is>
          <t>差:-141.10元 (-61.3%) 来源:售楼处</t>
        </is>
      </c>
      <c r="Q549" s="35" t="n"/>
      <c r="R549" s="35" t="n"/>
    </row>
    <row r="550" outlineLevel="2" ht="144" customFormat="1" customHeight="1" s="39">
      <c r="A550" s="37">
        <f>1+N(A549)</f>
        <v/>
      </c>
      <c r="B550" s="27" t="inlineStr">
        <is>
          <t>MT-01古铜不锈钢踢脚线（高20mm）</t>
        </is>
      </c>
      <c r="C550" s="27" t="inlineStr">
        <is>
          <t>1、1.2mm厚 MT-01古铜不锈钢踢脚线（高20mm，展开面为46mm），结构胶固定
2、9厘玻镁板基层
3、包含完成该项内容所有工作及费用并满足设计图纸、规范等要求</t>
        </is>
      </c>
      <c r="D550"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550" s="27" t="inlineStr">
        <is>
          <t>按设计图示尺寸以长度计算。</t>
        </is>
      </c>
      <c r="F550" s="28" t="inlineStr">
        <is>
          <t>m</t>
        </is>
      </c>
      <c r="G550" s="61" t="n">
        <v>126.53</v>
      </c>
      <c r="H550" s="62" t="n">
        <v>31.86</v>
      </c>
      <c r="I550" s="65" t="n"/>
      <c r="J550" s="62">
        <f>H550*(1-$I$4)</f>
        <v/>
      </c>
      <c r="K550" s="63">
        <f>G550*J550</f>
        <v/>
      </c>
      <c r="L550" s="33" t="inlineStr">
        <is>
          <t>不锈钢踢脚线</t>
        </is>
      </c>
      <c r="M550" s="64" t="n"/>
      <c r="N550" s="39" t="n">
        <v>1</v>
      </c>
      <c r="O550" t="n">
        <v>12</v>
      </c>
      <c r="P550" s="35" t="inlineStr">
        <is>
          <t>差:-19.86元 (-62.3%) 来源:售楼处</t>
        </is>
      </c>
      <c r="Q550" s="35" t="n"/>
      <c r="R550" s="35" t="n"/>
    </row>
    <row r="551" outlineLevel="2" ht="144" customFormat="1" customHeight="1" s="39">
      <c r="A551" s="37">
        <f>1+N(A550)</f>
        <v/>
      </c>
      <c r="B551" s="27" t="inlineStr">
        <is>
          <t>MT-01古铜不锈钢线条（展开面为61mm）</t>
        </is>
      </c>
      <c r="C551" s="27" t="inlineStr">
        <is>
          <t>1、1.2mm厚 MT-01古铜不锈钢线条（展开面为61mm），结构胶固定
2、9厘玻镁板基层
3、包含完成该项内容所有工作及费用并满足设计图纸、规范等要求</t>
        </is>
      </c>
      <c r="D551"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551" s="27" t="inlineStr">
        <is>
          <t>按设计图示尺寸以长度计算。</t>
        </is>
      </c>
      <c r="F551" s="28" t="inlineStr">
        <is>
          <t>m</t>
        </is>
      </c>
      <c r="G551" s="61" t="n">
        <v>13.46</v>
      </c>
      <c r="H551" s="62" t="n">
        <v>72.667822</v>
      </c>
      <c r="I551" s="65" t="n"/>
      <c r="J551" s="62">
        <f>H551*(1-$I$4)</f>
        <v/>
      </c>
      <c r="K551" s="63">
        <f>G551*J551</f>
        <v/>
      </c>
      <c r="L551" s="33" t="inlineStr">
        <is>
          <t>/</t>
        </is>
      </c>
      <c r="M551" s="64" t="n"/>
      <c r="N551" s="39" t="n">
        <v>1</v>
      </c>
      <c r="O551" t="n">
        <v>15</v>
      </c>
      <c r="P551" s="35" t="inlineStr">
        <is>
          <t>差:-57.67元 (-79.4%) 来源:售楼处</t>
        </is>
      </c>
      <c r="Q551" s="35" t="n"/>
      <c r="R551" s="35" t="n"/>
    </row>
    <row r="552" outlineLevel="2" ht="144" customFormat="1" customHeight="1" s="39">
      <c r="A552" s="37">
        <f>1+N(A551)</f>
        <v/>
      </c>
      <c r="B552" s="27" t="inlineStr">
        <is>
          <t>MT-01古铜不锈钢线条（展开面为104mm）</t>
        </is>
      </c>
      <c r="C552" s="27" t="inlineStr">
        <is>
          <t>1、1.2mm厚 MT-01古铜不锈钢线条（展开面为104mm），结构胶固定
2、9厘玻镁板基层
3、包含完成该项内容所有工作及费用并满足设计图纸、规范等要求</t>
        </is>
      </c>
      <c r="D552"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552" s="27" t="inlineStr">
        <is>
          <t>按设计图示尺寸以长度计算。</t>
        </is>
      </c>
      <c r="F552" s="28" t="inlineStr">
        <is>
          <t>m</t>
        </is>
      </c>
      <c r="G552" s="61" t="n">
        <v>5.57</v>
      </c>
      <c r="H552" s="62" t="n">
        <v>110.18722</v>
      </c>
      <c r="I552" s="65" t="n"/>
      <c r="J552" s="62">
        <f>H552*(1-$I$4)</f>
        <v/>
      </c>
      <c r="K552" s="63">
        <f>G552*J552</f>
        <v/>
      </c>
      <c r="L552" s="33" t="inlineStr">
        <is>
          <t>/</t>
        </is>
      </c>
      <c r="M552" s="64" t="n"/>
      <c r="N552" s="39" t="n">
        <v>1</v>
      </c>
      <c r="O552" t="n">
        <v>25</v>
      </c>
      <c r="P552" s="35" t="inlineStr">
        <is>
          <t>差:-85.19元 (-77.3%) 来源:售楼处</t>
        </is>
      </c>
      <c r="Q552" s="35" t="n"/>
      <c r="R552" s="35" t="n"/>
    </row>
    <row r="553" outlineLevel="2" ht="72" customFormat="1" customHeight="1" s="39">
      <c r="A553" s="37">
        <f>1+N(A552)</f>
        <v/>
      </c>
      <c r="B553" s="27" t="inlineStr">
        <is>
          <t>MT-01古铜不锈钢窗套（展开面为95mm）</t>
        </is>
      </c>
      <c r="C553" s="27" t="inlineStr">
        <is>
          <t>1、1.2mm厚 MT-01古铜不锈钢窗套（展开面为95mm），结构胶固定
2、9厘玻镁板基层
3、包含完成该项内容所有工作及费用并满足设计图纸、规范等要求</t>
        </is>
      </c>
      <c r="D553" s="27" t="inlineStr">
        <is>
          <t>自现有现场条件下按照合同约定范围、图纸（含设计变更）及甲方要求内容以及规范、标准、相关做法等要求完成并达到总包合同全部目标的全部工作内容。</t>
        </is>
      </c>
      <c r="E553" s="27" t="inlineStr">
        <is>
          <t>以最终验收合格的工程量计算</t>
        </is>
      </c>
      <c r="F553" s="28" t="inlineStr">
        <is>
          <t>m2</t>
        </is>
      </c>
      <c r="G553" s="61" t="n">
        <v>8.48</v>
      </c>
      <c r="H553" s="62" t="n">
        <v>630.651</v>
      </c>
      <c r="I553" s="65" t="n"/>
      <c r="J553" s="62">
        <f>H553*(1-$I$4)</f>
        <v/>
      </c>
      <c r="K553" s="63">
        <f>G553*J553</f>
        <v/>
      </c>
      <c r="L553" s="33" t="inlineStr">
        <is>
          <t>/</t>
        </is>
      </c>
      <c r="M553" s="64" t="n"/>
      <c r="N553" s="39" t="n">
        <v>1</v>
      </c>
      <c r="O553" t="n">
        <v>110</v>
      </c>
      <c r="P553" s="35" t="inlineStr">
        <is>
          <t>差:-520.65元 (-82.6%) 来源:售楼处</t>
        </is>
      </c>
      <c r="Q553" s="35" t="n"/>
      <c r="R553" s="35" t="n"/>
    </row>
    <row r="554" outlineLevel="1" customFormat="1" s="39">
      <c r="A554" s="36" t="n"/>
      <c r="B554" s="27" t="inlineStr">
        <is>
          <t>天花工程</t>
        </is>
      </c>
      <c r="C554" s="27" t="n"/>
      <c r="D554" s="27" t="n"/>
      <c r="E554" s="27" t="n"/>
      <c r="F554" s="28" t="n"/>
      <c r="G554" s="61" t="n"/>
      <c r="H554" s="62" t="n"/>
      <c r="I554" s="65" t="n"/>
      <c r="J554" s="62" t="n"/>
      <c r="K554" s="63" t="n"/>
      <c r="L554" s="33" t="n"/>
      <c r="M554" s="64" t="n"/>
      <c r="P554" s="35" t="n"/>
      <c r="Q554" s="35" t="n"/>
      <c r="R554" s="35" t="n"/>
    </row>
    <row r="555" outlineLevel="2" ht="192" customFormat="1" customHeight="1" s="39">
      <c r="A555" s="37">
        <f>1+N(A554)</f>
        <v/>
      </c>
      <c r="B555" s="27" t="inlineStr">
        <is>
          <t>造型石膏板吊顶</t>
        </is>
      </c>
      <c r="C555" s="27" t="inlineStr">
        <is>
          <t>1.60系列轻钢主龙骨@900，60系列轻钢副龙骨@400，60系列横撑龙骨@600，08螺纹吊杆@900不上人天花吊顶（投影面计算）
2.玻镁板、双层9.5厚石膏板基层，含开孔、检修口、10*10凹槽等费用；
3.含除灯槽外的侧面高差及其连接件、吊件；
4.包含完成该项内容所有工作及费用并满足设计图纸、规范等要求；</t>
        </is>
      </c>
      <c r="D555" s="27" t="inlineStr">
        <is>
          <t>1.基层清理。
2.弹线定位、排版。
3.吊杆及连接件安装调平、收口及密封处理。
4.材料切割处理找平、石膏板安装及调整，打胶密封与清理.
5.收口及其他处理：检修口等制作安装、收边收口、配合预留安装、机电等专业孔洞及孔洞收口处理。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555" s="27" t="inlineStr">
        <is>
          <t>按设计图示尺寸以水平投影面积计算。不扣除间壁墙、检查口、附墙烟囱、柱垛和管道所占面积,扣除单个&gt;0.3m3的孔洞、非密拼吊顶空隙所占的面积、独立柱及与天棚相连的窗帘盒所占的面积。</t>
        </is>
      </c>
      <c r="F555" s="28" t="inlineStr">
        <is>
          <t>m2</t>
        </is>
      </c>
      <c r="G555" s="61" t="n">
        <v>185.89</v>
      </c>
      <c r="H555" s="62" t="n">
        <v>174.574444444444</v>
      </c>
      <c r="I555" s="65" t="n"/>
      <c r="J555" s="62">
        <f>H555*(1-$I$4)</f>
        <v/>
      </c>
      <c r="K555" s="63">
        <f>G555*J555</f>
        <v/>
      </c>
      <c r="L555" s="33" t="inlineStr">
        <is>
          <t>/</t>
        </is>
      </c>
      <c r="M555" s="64" t="n"/>
      <c r="N555" s="39" t="n">
        <v>1</v>
      </c>
      <c r="O555" t="n">
        <v>70</v>
      </c>
      <c r="P555" s="35" t="inlineStr">
        <is>
          <t>差:-104.57元 (-59.9%) 来源:售楼处</t>
        </is>
      </c>
      <c r="Q555" s="35" t="n"/>
      <c r="R555" s="35" t="n"/>
    </row>
    <row r="556" outlineLevel="2" ht="192" customFormat="1" customHeight="1" s="39">
      <c r="A556" s="37">
        <f>1+N(A555)</f>
        <v/>
      </c>
      <c r="B556" s="27" t="inlineStr">
        <is>
          <t>造型石膏板吊顶（内顶多层叠型）</t>
        </is>
      </c>
      <c r="C556" s="27" t="inlineStr">
        <is>
          <t>1.60系列轻钢主龙骨@900，60系列轻钢副龙骨@400，60系列横撑龙骨@600，08螺纹吊杆@900不上人天花吊顶（投影面计算）
2.玻镁板、多层9.5厚石膏板基层，含开孔、检修口、10*10凹槽等费用；
3.含除灯槽外的侧面高差及其连接件、吊件；
4.包含完成该项内容所有工作及费用并满足设计图纸、规范等要求；</t>
        </is>
      </c>
      <c r="D556" s="27" t="inlineStr">
        <is>
          <t>1.基层清理。
2.弹线定位、排版。
3.吊杆及连接件安装调平、收口及密封处理。
4.材料切割处理找平、石膏板安装及调整，打胶密封与清理.
5.收口及其他处理：检修口等制作安装、收边收口、配合预留安装、机电等专业孔洞及孔洞收口处理。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556" s="27" t="inlineStr">
        <is>
          <t>按设计图示尺寸以水平投影面积计算。不扣除间壁墙、检查口、附墙烟囱、柱垛和管道所占面积,扣除单个&gt;0.3m3的孔洞、非密拼吊顶空隙所占的面积、独立柱及与天棚相连的窗帘盒所占的面积。</t>
        </is>
      </c>
      <c r="F556" s="28" t="inlineStr">
        <is>
          <t>m2</t>
        </is>
      </c>
      <c r="G556" s="61" t="n">
        <v>62.59</v>
      </c>
      <c r="H556" s="62" t="n">
        <v>360.195</v>
      </c>
      <c r="I556" s="65" t="n"/>
      <c r="J556" s="62">
        <f>H556*(1-$I$4)</f>
        <v/>
      </c>
      <c r="K556" s="63">
        <f>G556*J556</f>
        <v/>
      </c>
      <c r="L556" s="33" t="inlineStr">
        <is>
          <t>/</t>
        </is>
      </c>
      <c r="M556" s="64" t="n"/>
      <c r="N556" s="39" t="n">
        <v>1</v>
      </c>
      <c r="O556" t="n">
        <v>150</v>
      </c>
      <c r="P556" s="35" t="inlineStr">
        <is>
          <t>差:-210.19元 (-58.4%) 来源:售楼处</t>
        </is>
      </c>
      <c r="Q556" s="35" t="n"/>
      <c r="R556" s="35" t="n"/>
    </row>
    <row r="557" outlineLevel="2" ht="204" customFormat="1" customHeight="1" s="39">
      <c r="A557" s="37">
        <f>1+N(A556)</f>
        <v/>
      </c>
      <c r="B557" s="27" t="inlineStr">
        <is>
          <t>可拆卸天花铝板吊顶</t>
        </is>
      </c>
      <c r="C557" s="27" t="inlineStr">
        <is>
          <t>1.异形勾搭龙骨，08螺纹吊杆@900不上人天花吊顶（投影面计算）
2.可拆卸天花铝板吊顶，含开孔、检修口、10*10凹槽等费用；
3.含除灯槽外的侧面高差及其连接件、吊件；
4.包含完成该项内容所有工作及费用并满足设计图纸、规范等要求；</t>
        </is>
      </c>
      <c r="D557" s="27" t="inlineStr">
        <is>
          <t>1.基层清理。
2.弹线定位、排版。
3.吊杆及连接件制作、安装、调平。
4.材料切割处理找平、铝条板安装及调整，打胶密封与清理。
5.收口及其他处理：侧封板、检修口等制作安装、收边收口、配合预留安装、机电等专业孔洞及孔洞收口处理。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557" s="27" t="inlineStr">
        <is>
          <t>按设计图示尺寸以水平投影面积计算。不扣除间壁墙、检查口、附墙烟囱、柱垛和管道所占面积,扣除单个&gt;0.3m2的孔洞、非密拼吊顶空隙所占的面积、独立柱及与天棚相连的窗帘盒所占的面积。</t>
        </is>
      </c>
      <c r="F557" s="28" t="inlineStr">
        <is>
          <t>m2</t>
        </is>
      </c>
      <c r="G557" s="61" t="n">
        <v>15</v>
      </c>
      <c r="H557" s="62" t="n">
        <v>159.3</v>
      </c>
      <c r="I557" s="65" t="n"/>
      <c r="J557" s="62">
        <f>H557*(1-$I$4)</f>
        <v/>
      </c>
      <c r="K557" s="63">
        <f>G557*J557</f>
        <v/>
      </c>
      <c r="L557" s="33" t="inlineStr">
        <is>
          <t>铝板吊顶</t>
        </is>
      </c>
      <c r="M557" s="64" t="n"/>
      <c r="N557" s="39" t="n">
        <v>1</v>
      </c>
      <c r="O557" t="n">
        <v>75</v>
      </c>
      <c r="P557" s="35" t="inlineStr">
        <is>
          <t>差:-84.30元 (-52.9%) 来源:售楼处</t>
        </is>
      </c>
      <c r="Q557" s="35" t="n"/>
      <c r="R557" s="35" t="n"/>
    </row>
    <row r="558" outlineLevel="2" ht="72" customFormat="1" customHeight="1" s="39">
      <c r="A558" s="37">
        <f>1+N(A557)</f>
        <v/>
      </c>
      <c r="B558" s="27" t="inlineStr">
        <is>
          <t>灯槽（100mm*200mm）</t>
        </is>
      </c>
      <c r="C558" s="27" t="inlineStr">
        <is>
          <t>1.灯槽（100mm*200mm）；
2.双层板：9mm玻镁板、9.5厚石膏板；
3.包含完成该项内容所有工作及费用并满足设计图纸、规范等要求；</t>
        </is>
      </c>
      <c r="D558" s="27" t="inlineStr">
        <is>
          <t>自现有现场条件下按照合同约定范围、图纸（含设计变更）及甲方要求内容以及规范、标准、相关做法等要求完成并达到总包合同全部目标的全部工作内容。</t>
        </is>
      </c>
      <c r="E558" s="27" t="inlineStr">
        <is>
          <t>依据经承包人确认的施工部位,按设计图示尺寸以延长米计算。</t>
        </is>
      </c>
      <c r="F558" s="28" t="inlineStr">
        <is>
          <t>m</t>
        </is>
      </c>
      <c r="G558" s="61" t="n">
        <v>52.4</v>
      </c>
      <c r="H558" s="62" t="n">
        <v>112.159</v>
      </c>
      <c r="I558" s="65" t="n"/>
      <c r="J558" s="62">
        <f>H558*(1-$I$4)</f>
        <v/>
      </c>
      <c r="K558" s="63">
        <f>G558*J558</f>
        <v/>
      </c>
      <c r="L558" s="33" t="inlineStr">
        <is>
          <t>/</t>
        </is>
      </c>
      <c r="M558" s="64" t="n"/>
      <c r="N558" s="39" t="n">
        <v>1</v>
      </c>
      <c r="O558" t="n">
        <v>50</v>
      </c>
      <c r="P558" s="35" t="inlineStr">
        <is>
          <t>差:-62.16元 (-55.4%) 来源:售楼处</t>
        </is>
      </c>
      <c r="Q558" s="35" t="n"/>
      <c r="R558" s="35" t="n"/>
    </row>
    <row r="559" outlineLevel="2" ht="72" customFormat="1" customHeight="1" s="39">
      <c r="A559" s="37">
        <f>1+N(A558)</f>
        <v/>
      </c>
      <c r="B559" s="27" t="inlineStr">
        <is>
          <t>成品石膏线条</t>
        </is>
      </c>
      <c r="C559" s="27" t="inlineStr">
        <is>
          <t>1.成品石膏线条（50mm*50mm）；
2.按图纸造型；
3.包含完成该项内容所有工作及费用并满足设计图纸、规范等要求；</t>
        </is>
      </c>
      <c r="D559" s="27" t="inlineStr">
        <is>
          <t>自现有现场条件下按照合同约定范围、图纸（含设计变更）及甲方要求内容以及规范、标准、相关做法等要求完成并达到总包合同全部目标的全部工作内容。</t>
        </is>
      </c>
      <c r="E559" s="27" t="inlineStr">
        <is>
          <t>依据经承包人确认的施工部位,按设计图示尺寸以延长米计算。</t>
        </is>
      </c>
      <c r="F559" s="28" t="inlineStr">
        <is>
          <t>m</t>
        </is>
      </c>
      <c r="G559" s="61" t="n">
        <v>52.4</v>
      </c>
      <c r="H559" s="62" t="n">
        <v>20.06</v>
      </c>
      <c r="I559" s="65" t="n"/>
      <c r="J559" s="62">
        <f>H559*(1-$I$4)</f>
        <v/>
      </c>
      <c r="K559" s="63">
        <f>G559*J559</f>
        <v/>
      </c>
      <c r="L559" s="33" t="inlineStr">
        <is>
          <t>成品石膏线条</t>
        </is>
      </c>
      <c r="M559" s="64" t="n"/>
      <c r="N559" s="39" t="n">
        <v>1</v>
      </c>
      <c r="O559" t="n">
        <v>18</v>
      </c>
      <c r="P559" s="35" t="inlineStr">
        <is>
          <t>差:-2.06元 (-10.3%) 来源:售楼处</t>
        </is>
      </c>
      <c r="Q559" s="35" t="n"/>
      <c r="R559" s="35" t="n"/>
    </row>
    <row r="560" outlineLevel="2" ht="72" customFormat="1" customHeight="1" s="39">
      <c r="A560" s="37">
        <f>1+N(A559)</f>
        <v/>
      </c>
      <c r="B560" s="27" t="inlineStr">
        <is>
          <t>窗帘盒（200mm*200mm）</t>
        </is>
      </c>
      <c r="C560" s="27" t="inlineStr">
        <is>
          <t>1.窗帘盒窗帘盒（200mm*200mm）；
2.双层板：9mm玻镁板、9.5厚石膏板；
3.50系列轻钢龙骨及其连接件、吊件；
4.包含完成该项内容所有工作及费用并满足设计图纸、规范等要求；</t>
        </is>
      </c>
      <c r="D560" s="27" t="inlineStr">
        <is>
          <t>自现有现场条件下按照合同约定范围、图纸（含设计变更）及甲方要求内容以及规范、标准、相关做法等要求完成并达到总包合同全部目标的全部工作内容。</t>
        </is>
      </c>
      <c r="E560" s="27" t="inlineStr">
        <is>
          <t>依据经承包人确认的施工部位,按设计图示尺寸以延长米计算。</t>
        </is>
      </c>
      <c r="F560" s="28" t="inlineStr">
        <is>
          <t>m</t>
        </is>
      </c>
      <c r="G560" s="61" t="n">
        <v>17.4</v>
      </c>
      <c r="H560" s="62" t="n">
        <v>123.192</v>
      </c>
      <c r="I560" s="65" t="n"/>
      <c r="J560" s="62">
        <f>H560*(1-$I$4)</f>
        <v/>
      </c>
      <c r="K560" s="63">
        <f>G560*J560</f>
        <v/>
      </c>
      <c r="L560" s="33" t="inlineStr">
        <is>
          <t>/</t>
        </is>
      </c>
      <c r="M560" s="64" t="n"/>
      <c r="N560" s="39" t="n">
        <v>1</v>
      </c>
      <c r="O560" t="n">
        <v>55</v>
      </c>
      <c r="P560" s="35" t="inlineStr">
        <is>
          <t>差:-68.19元 (-55.4%) 来源:售楼处</t>
        </is>
      </c>
      <c r="Q560" s="35" t="n"/>
      <c r="R560" s="35" t="n"/>
    </row>
    <row r="561" outlineLevel="2" ht="72" customFormat="1" customHeight="1" s="39">
      <c r="A561" s="37">
        <f>1+N(A560)</f>
        <v/>
      </c>
      <c r="B561" s="27" t="inlineStr">
        <is>
          <t>条形空调风口（150mm）</t>
        </is>
      </c>
      <c r="C561" s="27" t="inlineStr">
        <is>
          <t>1.条形空调风口（150mm）；
2.风口周边阻燃板封边加固处理；
3.包含完成该项内容所有工作及费用并满足设计图纸、规范等要求；</t>
        </is>
      </c>
      <c r="D561" s="27" t="inlineStr">
        <is>
          <t>自现有现场条件下按照合同约定范围、图纸（含设计变更）及甲方要求内容以及规范、标准、相关做法等要求完成并达到总包合同全部目标的全部工作内容。</t>
        </is>
      </c>
      <c r="E561" s="27" t="inlineStr">
        <is>
          <t>依据经承包人确认的施工部位,按设计图示尺寸以延长米计算。</t>
        </is>
      </c>
      <c r="F561" s="28" t="inlineStr">
        <is>
          <t>m</t>
        </is>
      </c>
      <c r="G561" s="61" t="n">
        <v>34.1</v>
      </c>
      <c r="H561" s="62" t="n">
        <v>109.74</v>
      </c>
      <c r="I561" s="65" t="n"/>
      <c r="J561" s="62">
        <f>H561*(1-$I$4)</f>
        <v/>
      </c>
      <c r="K561" s="63">
        <f>G561*J561</f>
        <v/>
      </c>
      <c r="L561" s="33" t="inlineStr">
        <is>
          <t>空调风口</t>
        </is>
      </c>
      <c r="M561" s="64" t="n"/>
      <c r="N561" s="39" t="n">
        <v>1</v>
      </c>
      <c r="O561" t="n">
        <v>30</v>
      </c>
      <c r="P561" s="35" t="inlineStr">
        <is>
          <t>差:-79.74元 (-72.7%) 来源:售楼处</t>
        </is>
      </c>
      <c r="Q561" s="35" t="n"/>
      <c r="R561" s="35" t="n"/>
    </row>
    <row r="562" outlineLevel="2" ht="192" customFormat="1" customHeight="1" s="39">
      <c r="A562" s="37">
        <f>1+N(A561)</f>
        <v/>
      </c>
      <c r="B562" s="27" t="inlineStr">
        <is>
          <t>天花肌理无机涂料PT-01</t>
        </is>
      </c>
      <c r="C562" s="27" t="inlineStr">
        <is>
          <t>1.天花肌理无机涂料PT-01；
2.刮腻子二遍磨平；
3.底漆1遍，面漆2遍；
4.包含完成该项内容所有工作及费用并满足设计图纸、规范等要求；</t>
        </is>
      </c>
      <c r="D562" s="27" t="inlineStr">
        <is>
          <t>包括但不限于材料计划、采购、卸车倒运、保管、检验试验费、测量放线，包含四周阴角找平直、含天棚四周阴角找平直，打磨，简易脚手架搭拆及操作平台、升降机，基层清理、打磨平整、底层找补、满刮涂料（含阴阳角塑料条）、涂料打磨、补遗处理、配合其他分包施工、完工后场清、成品保护、保修等直到达到竣工交付标准的全部工作内容。包括所有为完成工作所需的小型机具；包括所有为完成工作所需的附属工作；包括但不限于以上内容。</t>
        </is>
      </c>
      <c r="E562" s="27" t="inlineStr">
        <is>
          <t>执行《GB/T50854-2024房屋建筑与装饰工程工程量计算标准》，按设计图示尺寸以面积计算。扣除0.3平方米以上洞口的面积；梁侧面及檐口天棚并入天棚计算；以设计图纸和技术交底为基础</t>
        </is>
      </c>
      <c r="F562" s="28" t="inlineStr">
        <is>
          <t>m2</t>
        </is>
      </c>
      <c r="G562" s="61" t="n">
        <v>289.29</v>
      </c>
      <c r="H562" s="62" t="n">
        <v>48.38</v>
      </c>
      <c r="I562" s="65" t="n"/>
      <c r="J562" s="62">
        <f>H562*(1-$I$4)</f>
        <v/>
      </c>
      <c r="K562" s="63">
        <f>G562*J562</f>
        <v/>
      </c>
      <c r="L562" s="33" t="inlineStr">
        <is>
          <t>涂料</t>
        </is>
      </c>
      <c r="M562" s="64" t="n"/>
      <c r="N562" s="39" t="n">
        <v>1</v>
      </c>
      <c r="O562" t="n">
        <v>45</v>
      </c>
      <c r="P562" s="35" t="inlineStr">
        <is>
          <t>差:-3.38元 (-7.0%) 来源:售楼处</t>
        </is>
      </c>
      <c r="Q562" s="35" t="n"/>
      <c r="R562" s="35" t="n"/>
    </row>
    <row r="563" outlineLevel="2" ht="204" customFormat="1" customHeight="1" s="39">
      <c r="A563" s="37">
        <f>1+N(A562)</f>
        <v/>
      </c>
      <c r="B563" s="27" t="inlineStr">
        <is>
          <t>天花内部喷白涂料</t>
        </is>
      </c>
      <c r="C563" s="27" t="inlineStr">
        <is>
          <t>1.天花内部喷白涂料；
2.可拆卸天花内部构件、管道、楼板喷白处理；
3.底漆1遍，面漆1遍（按天棚投影面积计算）；
4.包含完成该项内容所有工作及费用并满足设计图纸、规范等要求；</t>
        </is>
      </c>
      <c r="D563" s="27" t="inlineStr">
        <is>
          <t>1.基层清理。
2.弹线定位、排版。
3.吊杆及连接件制作、安装、调平。
4.材料切割处理找平、铝条板安装及调整，打胶密封与清理。
5.收口及其他处理：侧封板、检修口等制作安装、收边收口、配合预留安装、机电等专业孔洞及孔洞收口处理。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563" s="27" t="inlineStr">
        <is>
          <t>按设计图示尺寸以水平投影面积计算。不扣除间壁墙、检查口、附墙烟囱、柱垛和管道所占面积,扣除单个&gt;0.3m2的孔洞、非密拼吊顶空隙所占的面积、独立柱及与天棚相连的窗帘盒所占的面积。</t>
        </is>
      </c>
      <c r="F563" s="28" t="inlineStr">
        <is>
          <t>m2</t>
        </is>
      </c>
      <c r="G563" s="61" t="n">
        <v>15</v>
      </c>
      <c r="H563" s="62" t="n">
        <v>23.6</v>
      </c>
      <c r="I563" s="65" t="n"/>
      <c r="J563" s="62">
        <f>H563*(1-$I$4)</f>
        <v/>
      </c>
      <c r="K563" s="63">
        <f>G563*J563</f>
        <v/>
      </c>
      <c r="L563" s="33" t="inlineStr">
        <is>
          <t>涂料</t>
        </is>
      </c>
      <c r="M563" s="64" t="n"/>
      <c r="N563" s="39" t="n">
        <v>1</v>
      </c>
      <c r="O563" t="n">
        <v>12</v>
      </c>
      <c r="P563" s="35" t="inlineStr">
        <is>
          <t>差:-11.60元 (-49.2%) 来源:售楼处</t>
        </is>
      </c>
      <c r="Q563" s="35" t="n"/>
      <c r="R563" s="35" t="n"/>
    </row>
    <row r="564" outlineLevel="1" customFormat="1" s="39">
      <c r="A564" s="36" t="n"/>
      <c r="B564" s="27" t="inlineStr">
        <is>
          <t>门窗、家具工程</t>
        </is>
      </c>
      <c r="C564" s="27" t="n"/>
      <c r="D564" s="27" t="n"/>
      <c r="E564" s="27" t="n"/>
      <c r="F564" s="28" t="n"/>
      <c r="G564" s="61" t="n"/>
      <c r="H564" s="62" t="n"/>
      <c r="I564" s="65" t="n"/>
      <c r="J564" s="62" t="n"/>
      <c r="K564" s="63" t="n"/>
      <c r="L564" s="33" t="n"/>
      <c r="M564" s="64" t="n"/>
      <c r="P564" s="35" t="n"/>
      <c r="Q564" s="35" t="n"/>
      <c r="R564" s="35" t="n"/>
    </row>
    <row r="565" outlineLevel="2" ht="72" customFormat="1" customHeight="1" s="39">
      <c r="A565" s="37">
        <f>1+N(A564)</f>
        <v/>
      </c>
      <c r="B565" s="27" t="inlineStr">
        <is>
          <t>消防栓暗门(不含面层)</t>
        </is>
      </c>
      <c r="C565" s="27" t="inlineStr">
        <is>
          <t>1、40x40x5mm热镀锌方管骨架、背封铝塑板
2、含天地轴、门吸等五金配件
3、包含完成该项内容所有工作及费用并满足设计图纸、规范等要求</t>
        </is>
      </c>
      <c r="D565" s="27" t="inlineStr">
        <is>
          <t>自现有现场条件下按照合同约定范围、图纸（含设计变更）及甲方要求内容以及规范、标准、相关做法等要求完成并达到总包合同全部目标的全部工作内容。</t>
        </is>
      </c>
      <c r="E565" s="27" t="inlineStr">
        <is>
          <t>以最终验收合格的工程量计算</t>
        </is>
      </c>
      <c r="F565" s="28" t="inlineStr">
        <is>
          <t>m2</t>
        </is>
      </c>
      <c r="G565" s="61" t="n">
        <v>2.72</v>
      </c>
      <c r="H565" s="62" t="n">
        <v>962.6833333333331</v>
      </c>
      <c r="I565" s="65" t="n"/>
      <c r="J565" s="62">
        <f>H565*(1-$I$4)</f>
        <v/>
      </c>
      <c r="K565" s="63">
        <f>G565*J565</f>
        <v/>
      </c>
      <c r="L565" s="33" t="inlineStr">
        <is>
          <t>/</t>
        </is>
      </c>
      <c r="M565" s="64" t="n"/>
      <c r="N565" s="39" t="n">
        <v>1</v>
      </c>
      <c r="O565" t="n">
        <v>165</v>
      </c>
      <c r="P565" s="35" t="inlineStr">
        <is>
          <t>差:-797.68元 (-82.9%) 来源:售楼处</t>
        </is>
      </c>
      <c r="Q565" s="35" t="n"/>
      <c r="R565" s="35" t="n"/>
    </row>
    <row r="566" outlineLevel="2" ht="72" customFormat="1" customHeight="1" s="39">
      <c r="A566" s="37">
        <f>1+N(A565)</f>
        <v/>
      </c>
      <c r="B566" s="27" t="inlineStr">
        <is>
          <t>配电间暗门(不含面层)</t>
        </is>
      </c>
      <c r="C566" s="27" t="inlineStr">
        <is>
          <t>1、40x40x5mm热镀锌方管骨架、背封铝塑板
2、含天地轴、门吸等五金配件
3、包含完成该项内容所有工作及费用并满足设计图纸、规范等要求</t>
        </is>
      </c>
      <c r="D566" s="27" t="inlineStr">
        <is>
          <t>自现有现场条件下按照合同约定范围、图纸（含设计变更）及甲方要求内容以及规范、标准、相关做法等要求完成并达到总包合同全部目标的全部工作内容。</t>
        </is>
      </c>
      <c r="E566" s="27" t="inlineStr">
        <is>
          <t>以最终验收合格的工程量计算</t>
        </is>
      </c>
      <c r="F566" s="28" t="inlineStr">
        <is>
          <t>m2</t>
        </is>
      </c>
      <c r="G566" s="61" t="n">
        <v>3.4</v>
      </c>
      <c r="H566" s="62" t="n">
        <v>962.6833333333331</v>
      </c>
      <c r="I566" s="65" t="n"/>
      <c r="J566" s="62">
        <f>H566*(1-$I$4)</f>
        <v/>
      </c>
      <c r="K566" s="63">
        <f>G566*J566</f>
        <v/>
      </c>
      <c r="L566" s="33" t="inlineStr">
        <is>
          <t>/</t>
        </is>
      </c>
      <c r="M566" s="64" t="n"/>
      <c r="N566" s="39" t="n">
        <v>1</v>
      </c>
      <c r="O566" t="n">
        <v>165</v>
      </c>
      <c r="P566" s="35" t="inlineStr">
        <is>
          <t>差:-797.68元 (-82.9%) 来源:售楼处</t>
        </is>
      </c>
      <c r="Q566" s="35" t="n"/>
      <c r="R566" s="35" t="n"/>
    </row>
    <row r="567" outlineLevel="2" ht="96" customFormat="1" customHeight="1" s="39">
      <c r="A567" s="37">
        <f>1+N(A566)</f>
        <v/>
      </c>
      <c r="B567" s="27" t="inlineStr">
        <is>
          <t>装饰屏风（800mm*100mm*3200mm）</t>
        </is>
      </c>
      <c r="C567" s="27" t="inlineStr">
        <is>
          <t>1.装饰屏风（800mm*100mm*3200mm）；
2.包括但不限于制作安装、钢结构骨架、阻燃板基层、WD-02木饰面、1.2mm厚 MT-01古铜不锈钢、MT-04手敲铜不锈钢；
3.包含完成该项内容所有工作及费用并满足设计图纸、规范等要求</t>
        </is>
      </c>
      <c r="D567" s="27" t="inlineStr">
        <is>
          <t>自现有现场条件下按照合同约定范围、图纸（含设计变更）及甲方要求内容以及规范、标准、相关做法等要求完成并达到总包合同全部目标的全部工作内容。</t>
        </is>
      </c>
      <c r="E567" s="27" t="inlineStr">
        <is>
          <t>以最终验收合格的工程量计算</t>
        </is>
      </c>
      <c r="F567" s="28" t="inlineStr">
        <is>
          <t>m2</t>
        </is>
      </c>
      <c r="G567" s="61" t="n">
        <v>15.36</v>
      </c>
      <c r="H567" s="62" t="n">
        <v>3211.488</v>
      </c>
      <c r="I567" s="65" t="n"/>
      <c r="J567" s="62">
        <f>H567*(1-$I$4)</f>
        <v/>
      </c>
      <c r="K567" s="63">
        <f>G567*J567</f>
        <v/>
      </c>
      <c r="L567" s="33" t="inlineStr">
        <is>
          <t>/</t>
        </is>
      </c>
      <c r="M567" s="64" t="n"/>
      <c r="N567" s="39" t="n">
        <v>1</v>
      </c>
      <c r="O567" t="n">
        <v>55</v>
      </c>
      <c r="P567" s="35" t="inlineStr">
        <is>
          <t>差:-3156.49元 (-98.3%) 来源:售楼处</t>
        </is>
      </c>
      <c r="Q567" s="35" t="n"/>
      <c r="R567" s="35" t="n"/>
    </row>
    <row r="568" outlineLevel="2" ht="96" customFormat="1" customHeight="1" s="39">
      <c r="A568" s="37">
        <f>1+N(A567)</f>
        <v/>
      </c>
      <c r="B568" s="27" t="inlineStr">
        <is>
          <t>装饰屏风（1810mm*100mm*3400mm）</t>
        </is>
      </c>
      <c r="C568" s="27" t="inlineStr">
        <is>
          <t>1.装饰屏风（1810mm*100mm*3400mm）；
2.包括但不限于制作安装、钢结构骨架、阻燃板基层、WD-01木饰面、WD-06木皮、1.2mm厚 MT-01古铜不锈钢、MT-04手敲铜不锈钢；
3.包含完成该项内容所有工作及费用并满足设计图纸、规范等要求</t>
        </is>
      </c>
      <c r="D568" s="27" t="inlineStr">
        <is>
          <t>自现有现场条件下按照合同约定范围、图纸（含设计变更）及甲方要求内容以及规范、标准、相关做法等要求完成并达到总包合同全部目标的全部工作内容。</t>
        </is>
      </c>
      <c r="E568" s="27" t="inlineStr">
        <is>
          <t>以最终验收合格的工程量计算</t>
        </is>
      </c>
      <c r="F568" s="28" t="inlineStr">
        <is>
          <t>m2</t>
        </is>
      </c>
      <c r="G568" s="61" t="n">
        <v>18.47</v>
      </c>
      <c r="H568" s="62" t="n">
        <v>5005.2886</v>
      </c>
      <c r="I568" s="65" t="n"/>
      <c r="J568" s="62">
        <f>H568*(1-$I$4)</f>
        <v/>
      </c>
      <c r="K568" s="63">
        <f>G568*J568</f>
        <v/>
      </c>
      <c r="L568" s="33" t="inlineStr">
        <is>
          <t>/</t>
        </is>
      </c>
      <c r="M568" s="64" t="n"/>
      <c r="N568" s="39" t="n">
        <v>1</v>
      </c>
      <c r="O568" t="n">
        <v>55</v>
      </c>
      <c r="P568" s="35" t="inlineStr">
        <is>
          <t>差:-4950.29元 (-98.9%) 来源:售楼处</t>
        </is>
      </c>
      <c r="Q568" s="35" t="n"/>
      <c r="R568" s="35" t="n"/>
    </row>
    <row r="569" outlineLevel="2" ht="96" customFormat="1" customHeight="1" s="39">
      <c r="A569" s="37">
        <f>1+N(A568)</f>
        <v/>
      </c>
      <c r="B569" s="27" t="inlineStr">
        <is>
          <t>沙盘</t>
        </is>
      </c>
      <c r="C569" s="27" t="inlineStr">
        <is>
          <t>1、沙盘（3500mm*2500mm*850mm）
2.包括但不限于制作安装、钢结构骨架、石材及石材防污处理、阻燃板基层、ST-07石材、1.2mm厚 MT-01古铜不锈钢饰面、GL-01超白钢化玻璃；
3.含五金配件、相应的线孔洞开设
4.包含完成该项内容所有工作及费用并满足设计图纸、规范等要求</t>
        </is>
      </c>
      <c r="D569" s="27" t="inlineStr">
        <is>
          <t>自现有现场条件下按照合同约定范围、图纸（含设计变更）及甲方要求内容以及规范、标准、相关做法等要求完成并达到总包合同全部目标的全部工作内容。</t>
        </is>
      </c>
      <c r="E569" s="27" t="inlineStr">
        <is>
          <t>以最终验收合格的工程量计算</t>
        </is>
      </c>
      <c r="F569" s="28" t="inlineStr">
        <is>
          <t>套</t>
        </is>
      </c>
      <c r="G569" s="61" t="n">
        <v>1</v>
      </c>
      <c r="H569" s="62" t="n">
        <v>79040.660685</v>
      </c>
      <c r="I569" s="65" t="n"/>
      <c r="J569" s="62">
        <f>H569*(1-$I$4)</f>
        <v/>
      </c>
      <c r="K569" s="63">
        <f>G569*J569</f>
        <v/>
      </c>
      <c r="L569" s="33" t="inlineStr">
        <is>
          <t>/</t>
        </is>
      </c>
      <c r="M569" s="64" t="n"/>
      <c r="N569" s="39" t="n">
        <v>1</v>
      </c>
      <c r="O569" t="n">
        <v>4256.25</v>
      </c>
      <c r="P569" s="35" t="inlineStr">
        <is>
          <t>差:-74784.41元 (-94.6%) 来源:售楼处</t>
        </is>
      </c>
      <c r="Q569" s="35" t="n"/>
      <c r="R569" s="35" t="n"/>
    </row>
    <row r="570" outlineLevel="2" ht="108" customFormat="1" customHeight="1" s="39">
      <c r="A570" s="37">
        <f>1+N(A569)</f>
        <v/>
      </c>
      <c r="B570" s="27" t="inlineStr">
        <is>
          <t>洽谈区柜</t>
        </is>
      </c>
      <c r="C570" s="27" t="inlineStr">
        <is>
          <t>1、洽谈区柜（4050mm*350mm*3400mm）
2.包括但不限于制作安装、钢结构骨架、阻燃板基层、1.2mm厚 MT-01古铜不锈钢线条、WD-04木饰面、GL-02艺术玻璃；
3.含相应的线孔洞开设
4.包含完成该项内容所有工作及费用并满足设计图纸、规范等要求</t>
        </is>
      </c>
      <c r="D570" s="27" t="inlineStr">
        <is>
          <t>自现有现场条件下按照合同约定范围、图纸（含设计变更）及甲方要求内容以及规范、标准、相关做法等要求完成并达到总包合同全部目标的全部工作内容。</t>
        </is>
      </c>
      <c r="E570" s="27" t="inlineStr">
        <is>
          <t>以最终验收合格的工程量计算</t>
        </is>
      </c>
      <c r="F570" s="28" t="inlineStr">
        <is>
          <t>m2</t>
        </is>
      </c>
      <c r="G570" s="61" t="n">
        <v>13.77</v>
      </c>
      <c r="H570" s="62" t="n">
        <v>4470.843</v>
      </c>
      <c r="I570" s="65" t="n"/>
      <c r="J570" s="62">
        <f>H570*(1-$I$4)</f>
        <v/>
      </c>
      <c r="K570" s="63">
        <f>G570*J570</f>
        <v/>
      </c>
      <c r="L570" s="33" t="inlineStr">
        <is>
          <t>/</t>
        </is>
      </c>
      <c r="M570" s="64" t="n"/>
      <c r="N570" s="39" t="n">
        <v>1</v>
      </c>
      <c r="O570" t="n">
        <v>50</v>
      </c>
      <c r="P570" s="35" t="inlineStr">
        <is>
          <t>差:-4420.84元 (-98.9%) 来源:售楼处</t>
        </is>
      </c>
      <c r="Q570" s="35" t="n"/>
      <c r="R570" s="35" t="n"/>
    </row>
    <row r="571" outlineLevel="2" ht="120" customFormat="1" customHeight="1" s="39">
      <c r="A571" s="37">
        <f>1+N(A570)</f>
        <v/>
      </c>
      <c r="B571" s="27" t="inlineStr">
        <is>
          <t>水吧台</t>
        </is>
      </c>
      <c r="C571" s="27" t="inlineStr">
        <is>
          <t>1、水吧台（6800mm*1100mm*3400mm）
2.包括但不限于制作安装、钢结构骨架、石材及石材防污处理、9mm阻燃板基层、ST-06石材台面、MT-08镜面不锈钢饰面、MT-01不锈钢、MT-02不锈钢、SF-03透光片；
3.含层板、五金配件、相应的线孔洞开设；
4.包含完成该项内容所有工作及费用并满足设计图纸、规范等要求；</t>
        </is>
      </c>
      <c r="D571" s="27" t="inlineStr">
        <is>
          <t>自现有现场条件下按照合同约定范围、图纸（含设计变更）及甲方要求内容以及规范、标准、相关做法等要求完成并达到总包合同全部目标的全部工作内容。</t>
        </is>
      </c>
      <c r="E571" s="27" t="inlineStr">
        <is>
          <t>以最终验收合格的工程量计算</t>
        </is>
      </c>
      <c r="F571" s="28" t="inlineStr">
        <is>
          <t>套</t>
        </is>
      </c>
      <c r="G571" s="61" t="n">
        <v>1</v>
      </c>
      <c r="H571" s="62" t="n">
        <v>74191.177515</v>
      </c>
      <c r="I571" s="65" t="n"/>
      <c r="J571" s="62">
        <f>H571*(1-$I$4)</f>
        <v/>
      </c>
      <c r="K571" s="63">
        <f>G571*J571</f>
        <v/>
      </c>
      <c r="L571" s="33" t="inlineStr">
        <is>
          <t>/</t>
        </is>
      </c>
      <c r="M571" s="64" t="n"/>
      <c r="N571" s="39" t="n">
        <v>1</v>
      </c>
      <c r="O571" t="n">
        <v>10843</v>
      </c>
      <c r="P571" s="35" t="inlineStr">
        <is>
          <t>差:-63348.18元 (-85.4%) 来源:售楼处</t>
        </is>
      </c>
      <c r="Q571" s="35" t="n"/>
      <c r="R571" s="35" t="n"/>
    </row>
    <row r="572" outlineLevel="1" customFormat="1" s="39">
      <c r="A572" s="26" t="inlineStr">
        <is>
          <t>五</t>
        </is>
      </c>
      <c r="B572" s="27" t="inlineStr">
        <is>
          <t>VIP室</t>
        </is>
      </c>
      <c r="C572" s="27" t="n"/>
      <c r="D572" s="27" t="n"/>
      <c r="E572" s="27" t="n"/>
      <c r="F572" s="28" t="n"/>
      <c r="G572" s="61" t="n"/>
      <c r="H572" s="62" t="n"/>
      <c r="I572" s="65" t="n"/>
      <c r="J572" s="62" t="n"/>
      <c r="K572" s="63" t="n"/>
      <c r="L572" s="33" t="n"/>
      <c r="M572" s="64" t="n"/>
      <c r="P572" s="35" t="n"/>
      <c r="Q572" s="35" t="n"/>
      <c r="R572" s="35" t="n"/>
    </row>
    <row r="573" outlineLevel="1" customFormat="1" s="39">
      <c r="A573" s="36" t="n"/>
      <c r="B573" s="27" t="inlineStr">
        <is>
          <t>地面工程</t>
        </is>
      </c>
      <c r="C573" s="27" t="n"/>
      <c r="D573" s="27" t="n"/>
      <c r="E573" s="27" t="n"/>
      <c r="F573" s="28" t="n"/>
      <c r="G573" s="61" t="n"/>
      <c r="H573" s="62" t="n"/>
      <c r="I573" s="65" t="n"/>
      <c r="J573" s="62" t="n"/>
      <c r="K573" s="63" t="n"/>
      <c r="L573" s="33" t="n"/>
      <c r="M573" s="64" t="n"/>
      <c r="P573" s="35" t="n"/>
      <c r="Q573" s="35" t="n"/>
      <c r="R573" s="35" t="n"/>
    </row>
    <row r="574" outlineLevel="2" ht="108" customFormat="1" customHeight="1" s="39">
      <c r="A574" s="37">
        <f>1+N(A573)</f>
        <v/>
      </c>
      <c r="B574" s="27" t="inlineStr">
        <is>
          <t>地面铺木地板</t>
        </is>
      </c>
      <c r="C574" s="27" t="inlineStr">
        <is>
          <t>1.地面防潮木地板WF-03；
2.防潮膜；
3.自流平
4.包含完成该项内容所有工作及费用并满足设计图纸、规范等要求；</t>
        </is>
      </c>
      <c r="D574"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t>
        </is>
      </c>
      <c r="E574" s="27" t="inlineStr">
        <is>
          <t xml:space="preserve">执行《GB/T50854-2024房屋建筑与装饰工程工程量计算标准》，按设计图示尺寸
以面积计算。 </t>
        </is>
      </c>
      <c r="F574" s="28" t="inlineStr">
        <is>
          <t>m2</t>
        </is>
      </c>
      <c r="G574" s="61" t="n">
        <v>24.35</v>
      </c>
      <c r="H574" s="62" t="n">
        <v>92.04000000000001</v>
      </c>
      <c r="I574" s="65" t="n"/>
      <c r="J574" s="62">
        <f>H574*(1-$I$4)</f>
        <v/>
      </c>
      <c r="K574" s="63">
        <f>G574*J574</f>
        <v/>
      </c>
      <c r="L574" s="33" t="inlineStr">
        <is>
          <t>木地板</t>
        </is>
      </c>
      <c r="M574" s="64" t="n"/>
      <c r="N574" s="39" t="n">
        <v>1</v>
      </c>
      <c r="O574" t="n">
        <v>36</v>
      </c>
      <c r="P574" s="35" t="inlineStr">
        <is>
          <t>差:-56.04元 (-60.9%) 来源:售楼处</t>
        </is>
      </c>
      <c r="Q574" s="35" t="n"/>
      <c r="R574" s="35" t="n"/>
    </row>
    <row r="575" outlineLevel="2" ht="216" customFormat="1" customHeight="1" s="39">
      <c r="A575" s="37">
        <f>1+N(A574)</f>
        <v/>
      </c>
      <c r="B575" s="27" t="inlineStr">
        <is>
          <t>水泥砂浆找平层</t>
        </is>
      </c>
      <c r="C575" s="27" t="inlineStr">
        <is>
          <t>1.75mm厚DS干混砂浆找平层、需铺符合设计要求标高；
2.完成需收光、压实处理；
3.包含完成该项内容所有工作及费用并满足设计图纸、规范等要求；</t>
        </is>
      </c>
      <c r="D575" s="27" t="inlineStr">
        <is>
          <t>包含完成地面所有施工工序所需的人工、材料（甲供材除外）、机械、管理费、利润；包括但不限于材料计划、卸车倒运（含多次）、保管、测量放线、基底清理、标高检测、配合检测、贴饼冲筋、砂浆找平、抹压、压光、设置分格缝、阻水台（按照方案及交底要求施工）、地面留槽回填及二次处理，所有洞口、管根的补遗处理，养护、配合水电安装、现场清理及分包施工作业面的及时清理、清扫等、装卸费、场内倒运费，配合承包人实验员做好冬季测温记录、坍落度实验及砼试块制作，成品保护、保修等全部工作内容。</t>
        </is>
      </c>
      <c r="E575" s="27" t="inlineStr">
        <is>
          <t>执行《GB/T50854-2024房屋建筑与装饰工程工程量计算标准》，按设计图示尺寸以面积计算。扣除凸出地面构筑物、设备基础、室内管道、地沟等所占面积，不扣除间壁墙及≤0.3 ㎡柱、垛、附墙烟囱及孔洞所占面积。门洞、空圈、暖气包槽、壁龛的开口部分不增加面积。</t>
        </is>
      </c>
      <c r="F575" s="28" t="inlineStr">
        <is>
          <t>m2</t>
        </is>
      </c>
      <c r="G575" s="61" t="n">
        <v>24.35</v>
      </c>
      <c r="H575" s="62" t="n">
        <v>78.50982500000001</v>
      </c>
      <c r="I575" s="65" t="n"/>
      <c r="J575" s="62">
        <f>H575*(1-$I$4)</f>
        <v/>
      </c>
      <c r="K575" s="63">
        <f>G575*J575</f>
        <v/>
      </c>
      <c r="L575" s="33" t="inlineStr">
        <is>
          <t>/</t>
        </is>
      </c>
      <c r="M575" s="64" t="n"/>
      <c r="N575" s="39" t="n">
        <v>1</v>
      </c>
      <c r="O575" t="n">
        <v>28</v>
      </c>
      <c r="P575" s="35" t="inlineStr">
        <is>
          <t>差:-50.51元 (-64.3%) 来源:售楼处</t>
        </is>
      </c>
      <c r="Q575" s="35" t="n"/>
      <c r="R575" s="35" t="n"/>
    </row>
    <row r="576" outlineLevel="2" ht="108" customFormat="1" customHeight="1" s="39">
      <c r="A576" s="37">
        <f>1+N(A575)</f>
        <v/>
      </c>
      <c r="B576" s="27" t="inlineStr">
        <is>
          <t>实心铜条5mm宽</t>
        </is>
      </c>
      <c r="C576" s="27" t="inlineStr">
        <is>
          <t>1.实心铜条5mm宽；
2.包含完成该项内容所有工作及费用并满足设计图纸、规范等要求；</t>
        </is>
      </c>
      <c r="D576"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576" s="27" t="inlineStr">
        <is>
          <t>按设计图示尺寸以长度计算。</t>
        </is>
      </c>
      <c r="F576" s="28" t="inlineStr">
        <is>
          <t>m</t>
        </is>
      </c>
      <c r="G576" s="61" t="n">
        <v>3.9</v>
      </c>
      <c r="H576" s="62" t="n">
        <v>89.267</v>
      </c>
      <c r="I576" s="65" t="n"/>
      <c r="J576" s="62">
        <f>H576*(1-$I$4)</f>
        <v/>
      </c>
      <c r="K576" s="63">
        <f>G576*J576</f>
        <v/>
      </c>
      <c r="L576" s="33" t="inlineStr">
        <is>
          <t>/</t>
        </is>
      </c>
      <c r="M576" s="64" t="n"/>
      <c r="N576" s="39" t="n">
        <v>1</v>
      </c>
      <c r="O576" t="n">
        <v>12</v>
      </c>
      <c r="P576" s="35" t="inlineStr">
        <is>
          <t>差:-77.27元 (-86.6%) 来源:售楼处</t>
        </is>
      </c>
      <c r="Q576" s="35" t="n"/>
      <c r="R576" s="35" t="n"/>
    </row>
    <row r="577" outlineLevel="1" customFormat="1" s="39">
      <c r="A577" s="36" t="n"/>
      <c r="B577" s="27" t="inlineStr">
        <is>
          <t>墙柱面工程</t>
        </is>
      </c>
      <c r="C577" s="27" t="n"/>
      <c r="D577" s="27" t="n"/>
      <c r="E577" s="27" t="n"/>
      <c r="F577" s="28" t="n"/>
      <c r="G577" s="61" t="n"/>
      <c r="H577" s="62" t="n"/>
      <c r="I577" s="65" t="n"/>
      <c r="J577" s="62" t="n"/>
      <c r="K577" s="63" t="n"/>
      <c r="L577" s="33" t="n"/>
      <c r="M577" s="64" t="n"/>
      <c r="P577" s="35" t="n"/>
      <c r="Q577" s="35" t="n"/>
      <c r="R577" s="35" t="n"/>
    </row>
    <row r="578" outlineLevel="2" ht="180" customFormat="1" customHeight="1" s="39">
      <c r="A578" s="37">
        <f>1+N(A577)</f>
        <v/>
      </c>
      <c r="B578" s="27" t="inlineStr">
        <is>
          <t>墙面WD-04木饰面</t>
        </is>
      </c>
      <c r="C578" s="27" t="inlineStr">
        <is>
          <t>1、墙面WD-04木饰面
2、结构胶固定
3、12mm阻燃板基层
4、膨胀螺栓、轻钢龙骨(钢结构)基层找平
5、包含完成该项内容所有工作及费用并满足设计图纸、规范等要求</t>
        </is>
      </c>
      <c r="D578"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578" s="27" t="inlineStr">
        <is>
          <t>执行《GB/T50854-2024房屋建筑与装饰工程工程量计算标准》，按设计图示饰面外围尺寸
以面积计算。 扣除门窗洞口面积，不扣除单个面积≤0.3㎡的孔洞所占面积。</t>
        </is>
      </c>
      <c r="F578" s="28" t="inlineStr">
        <is>
          <t>m2</t>
        </is>
      </c>
      <c r="G578" s="61" t="n">
        <v>12.86</v>
      </c>
      <c r="H578" s="62" t="n">
        <v>253.7</v>
      </c>
      <c r="I578" s="65" t="n"/>
      <c r="J578" s="62">
        <f>H578*(1-$I$4)</f>
        <v/>
      </c>
      <c r="K578" s="63">
        <f>G578*J578</f>
        <v/>
      </c>
      <c r="L578" s="33" t="inlineStr">
        <is>
          <t>木饰面</t>
        </is>
      </c>
      <c r="M578" s="64" t="n"/>
      <c r="N578" s="39" t="n">
        <v>1</v>
      </c>
      <c r="O578" t="n">
        <v>75</v>
      </c>
      <c r="P578" s="35" t="inlineStr">
        <is>
          <t>差:-178.70元 (-70.4%) 来源:售楼处</t>
        </is>
      </c>
      <c r="Q578" s="35" t="n"/>
      <c r="R578" s="35" t="n"/>
    </row>
    <row r="579" outlineLevel="2" ht="144" customFormat="1" customHeight="1" s="39">
      <c r="A579" s="37">
        <f>1+N(A578)</f>
        <v/>
      </c>
      <c r="B579" s="27" t="inlineStr">
        <is>
          <t>UP-02皮革</t>
        </is>
      </c>
      <c r="C579" s="27" t="inlineStr">
        <is>
          <t>1、UP-02皮革，结构胶固定（含不锈钢线条）
2、12mm阻燃板，轻钢副龙骨@400
3、包含完成该项内容所有工作及费用并满足设计图纸、规范等要求</t>
        </is>
      </c>
      <c r="D579"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579" s="27" t="inlineStr">
        <is>
          <t>执行《GB/T50854-2024房屋建筑与装饰工程工程量计算标准》，按设计图示饰面外围尺寸以面积计算。</t>
        </is>
      </c>
      <c r="F579" s="28" t="inlineStr">
        <is>
          <t>m2</t>
        </is>
      </c>
      <c r="G579" s="61" t="n">
        <v>37.1</v>
      </c>
      <c r="H579" s="62" t="n">
        <v>378.78</v>
      </c>
      <c r="I579" s="65" t="n"/>
      <c r="J579" s="62">
        <f>H579*(1-$I$4)</f>
        <v/>
      </c>
      <c r="K579" s="63">
        <f>G579*J579</f>
        <v/>
      </c>
      <c r="L579" s="33" t="inlineStr">
        <is>
          <t>皮革</t>
        </is>
      </c>
      <c r="M579" s="64" t="n"/>
      <c r="N579" s="39" t="n">
        <v>1</v>
      </c>
      <c r="O579" t="n">
        <v>95</v>
      </c>
      <c r="P579" s="35" t="inlineStr">
        <is>
          <t>差:-283.78元 (-74.9%) 来源:售楼处</t>
        </is>
      </c>
      <c r="Q579" s="35" t="n"/>
      <c r="R579" s="35" t="n"/>
    </row>
    <row r="580" outlineLevel="2" ht="180" customFormat="1" customHeight="1" s="39">
      <c r="A580" s="37">
        <f>1+N(A579)</f>
        <v/>
      </c>
      <c r="B580" s="27" t="inlineStr">
        <is>
          <t>不锈钢门套</t>
        </is>
      </c>
      <c r="C580" s="27" t="inlineStr">
        <is>
          <t>1、1.2mm厚 MT-01古铜不锈钢门套，结构胶固定
2、9厘玻镁板基层
3、工程量以展开面积计算
4、包含完成该项内容所有工作及费用并满足设计图纸、规范等要求</t>
        </is>
      </c>
      <c r="D580"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580" s="27" t="inlineStr">
        <is>
          <t>执行《GB/T50854-2024房屋建筑与装饰工程工程量计算标准》，按设计图示饰面外围尺寸
以面积计算。 扣除门窗洞口面积，不扣除单个面积≤0.3㎡的孔洞所占面积。</t>
        </is>
      </c>
      <c r="F580" s="28" t="inlineStr">
        <is>
          <t>m2</t>
        </is>
      </c>
      <c r="G580" s="61" t="n">
        <v>12.08</v>
      </c>
      <c r="H580" s="62" t="n">
        <v>630.651</v>
      </c>
      <c r="I580" s="65" t="n"/>
      <c r="J580" s="62">
        <f>H580*(1-$I$4)</f>
        <v/>
      </c>
      <c r="K580" s="63">
        <f>G580*J580</f>
        <v/>
      </c>
      <c r="L580" s="33" t="inlineStr">
        <is>
          <t>/</t>
        </is>
      </c>
      <c r="M580" s="64" t="n"/>
      <c r="N580" s="39" t="n">
        <v>1</v>
      </c>
      <c r="O580" t="n">
        <v>110</v>
      </c>
      <c r="P580" s="35" t="inlineStr">
        <is>
          <t>差:-520.65元 (-82.6%) 来源:售楼处</t>
        </is>
      </c>
      <c r="Q580" s="35" t="n"/>
      <c r="R580" s="35" t="n"/>
    </row>
    <row r="581" outlineLevel="2" ht="72" customFormat="1" customHeight="1" s="39">
      <c r="A581" s="37">
        <f>1+N(A580)</f>
        <v/>
      </c>
      <c r="B581" s="27" t="inlineStr">
        <is>
          <t>MT-01古铜不锈钢窗套（展开面为95mm）</t>
        </is>
      </c>
      <c r="C581" s="27" t="inlineStr">
        <is>
          <t>1、1.2mm厚 MT-01古铜不锈钢窗套（展开面为95mm），结构胶固定
2、9厘玻镁板基层
3、包含完成该项内容所有工作及费用并满足设计图纸、规范等要求</t>
        </is>
      </c>
      <c r="D581" s="27" t="inlineStr">
        <is>
          <t>自现有现场条件下按照合同约定范围、图纸（含设计变更）及甲方要求内容以及规范、标准、相关做法等要求完成并达到总包合同全部目标的全部工作内容。</t>
        </is>
      </c>
      <c r="E581" s="27" t="inlineStr">
        <is>
          <t>以最终验收合格的工程量计算</t>
        </is>
      </c>
      <c r="F581" s="28" t="inlineStr">
        <is>
          <t>m2</t>
        </is>
      </c>
      <c r="G581" s="61" t="n">
        <v>0.77</v>
      </c>
      <c r="H581" s="62" t="n">
        <v>630.651</v>
      </c>
      <c r="I581" s="65" t="n"/>
      <c r="J581" s="62">
        <f>H581*(1-$I$4)</f>
        <v/>
      </c>
      <c r="K581" s="63">
        <f>G581*J581</f>
        <v/>
      </c>
      <c r="L581" s="33" t="inlineStr">
        <is>
          <t>/</t>
        </is>
      </c>
      <c r="M581" s="64" t="n"/>
      <c r="N581" s="39" t="n">
        <v>1</v>
      </c>
      <c r="O581" t="n">
        <v>110</v>
      </c>
      <c r="P581" s="35" t="inlineStr">
        <is>
          <t>差:-520.65元 (-82.6%) 来源:售楼处</t>
        </is>
      </c>
      <c r="Q581" s="35" t="n"/>
      <c r="R581" s="35" t="n"/>
    </row>
    <row r="582" outlineLevel="1" customFormat="1" s="39">
      <c r="A582" s="36" t="n"/>
      <c r="B582" s="27" t="inlineStr">
        <is>
          <t>天花工程</t>
        </is>
      </c>
      <c r="C582" s="27" t="n"/>
      <c r="D582" s="27" t="n"/>
      <c r="E582" s="27" t="n"/>
      <c r="F582" s="28" t="n"/>
      <c r="G582" s="61" t="n"/>
      <c r="H582" s="62" t="n"/>
      <c r="I582" s="65" t="n"/>
      <c r="J582" s="62" t="n"/>
      <c r="K582" s="63" t="n"/>
      <c r="L582" s="33" t="n"/>
      <c r="M582" s="64" t="n"/>
      <c r="P582" s="35" t="n"/>
      <c r="Q582" s="35" t="n"/>
      <c r="R582" s="35" t="n"/>
    </row>
    <row r="583" outlineLevel="2" ht="192" customFormat="1" customHeight="1" s="39">
      <c r="A583" s="37">
        <f>1+N(A582)</f>
        <v/>
      </c>
      <c r="B583" s="27" t="inlineStr">
        <is>
          <t>造型石膏板吊顶</t>
        </is>
      </c>
      <c r="C583" s="27" t="inlineStr">
        <is>
          <t>1.60系列轻钢主龙骨@900，60系列轻钢副龙骨@400，60系列横撑龙骨@600，08螺纹吊杆@900不上人天花吊顶（投影面计算）
2.玻镁板、双层9.5厚石膏板基层，含开孔、检修口、10*10凹槽等费用；
3.含除灯槽外的侧面高差及其连接件、吊件；
4.包含完成该项内容所有工作及费用并满足设计图纸、规范等要求；</t>
        </is>
      </c>
      <c r="D583" s="27" t="inlineStr">
        <is>
          <t>1.基层清理。
2.弹线定位、排版。
3.吊杆及连接件安装调平、收口及密封处理。
4.材料切割处理找平、石膏板安装及调整，打胶密封与清理.
5.收口及其他处理：检修口等制作安装、收边收口、配合预留安装、机电等专业孔洞及孔洞收口处理。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583" s="27" t="inlineStr">
        <is>
          <t>按设计图示尺寸以水平投影面积计算。不扣除间壁墙、检查口、附墙烟囱、柱垛和管道所占面积,扣除单个&gt;0.3m3的孔洞、非密拼吊顶空隙所占的面积、独立柱及与天棚相连的窗帘盒所占的面积。</t>
        </is>
      </c>
      <c r="F583" s="28" t="inlineStr">
        <is>
          <t>m2</t>
        </is>
      </c>
      <c r="G583" s="61" t="n">
        <v>24.35</v>
      </c>
      <c r="H583" s="62" t="n">
        <v>174.574444444444</v>
      </c>
      <c r="I583" s="65" t="n"/>
      <c r="J583" s="62">
        <f>H583*(1-$I$4)</f>
        <v/>
      </c>
      <c r="K583" s="63">
        <f>G583*J583</f>
        <v/>
      </c>
      <c r="L583" s="33" t="inlineStr">
        <is>
          <t>/</t>
        </is>
      </c>
      <c r="M583" s="64" t="n"/>
      <c r="N583" s="39" t="n">
        <v>1</v>
      </c>
      <c r="O583" t="n">
        <v>70</v>
      </c>
      <c r="P583" s="35" t="inlineStr">
        <is>
          <t>差:-104.57元 (-59.9%) 来源:售楼处</t>
        </is>
      </c>
      <c r="Q583" s="35" t="n"/>
      <c r="R583" s="35" t="n"/>
    </row>
    <row r="584" outlineLevel="2" ht="72" customFormat="1" customHeight="1" s="39">
      <c r="A584" s="37">
        <f>1+N(A583)</f>
        <v/>
      </c>
      <c r="B584" s="27" t="inlineStr">
        <is>
          <t>灯槽（100mm*200mm）</t>
        </is>
      </c>
      <c r="C584" s="27" t="inlineStr">
        <is>
          <t>1.灯槽（100mm*200mm）；
2.双层板：9mm玻镁板、9.5厚石膏板；
3.包含完成该项内容所有工作及费用并满足设计图纸、规范等要求；</t>
        </is>
      </c>
      <c r="D584" s="27" t="inlineStr">
        <is>
          <t>自现有现场条件下按照合同约定范围、图纸（含设计变更）及甲方要求内容以及规范、标准、相关做法等要求完成并达到总包合同全部目标的全部工作内容。</t>
        </is>
      </c>
      <c r="E584" s="27" t="inlineStr">
        <is>
          <t>依据经承包人确认的施工部位,按设计图示尺寸以延长米计算。</t>
        </is>
      </c>
      <c r="F584" s="28" t="inlineStr">
        <is>
          <t>m</t>
        </is>
      </c>
      <c r="G584" s="61" t="n">
        <v>15.1</v>
      </c>
      <c r="H584" s="62" t="n">
        <v>112.159</v>
      </c>
      <c r="I584" s="65" t="n"/>
      <c r="J584" s="62">
        <f>H584*(1-$I$4)</f>
        <v/>
      </c>
      <c r="K584" s="63">
        <f>G584*J584</f>
        <v/>
      </c>
      <c r="L584" s="33" t="inlineStr">
        <is>
          <t>/</t>
        </is>
      </c>
      <c r="M584" s="64" t="n"/>
      <c r="N584" s="39" t="n">
        <v>1</v>
      </c>
      <c r="O584" t="n">
        <v>50</v>
      </c>
      <c r="P584" s="35" t="inlineStr">
        <is>
          <t>差:-62.16元 (-55.4%) 来源:售楼处</t>
        </is>
      </c>
      <c r="Q584" s="35" t="n"/>
      <c r="R584" s="35" t="n"/>
    </row>
    <row r="585" outlineLevel="2" ht="72" customFormat="1" customHeight="1" s="39">
      <c r="A585" s="37">
        <f>1+N(A584)</f>
        <v/>
      </c>
      <c r="B585" s="27" t="inlineStr">
        <is>
          <t>成品石膏线条</t>
        </is>
      </c>
      <c r="C585" s="27" t="inlineStr">
        <is>
          <t>1.成品石膏线条（50mm*50mm）；
2.按图纸造型；
3.包含完成该项内容所有工作及费用并满足设计图纸、规范等要求；</t>
        </is>
      </c>
      <c r="D585" s="27" t="inlineStr">
        <is>
          <t>自现有现场条件下按照合同约定范围、图纸（含设计变更）及甲方要求内容以及规范、标准、相关做法等要求完成并达到总包合同全部目标的全部工作内容。</t>
        </is>
      </c>
      <c r="E585" s="27" t="inlineStr">
        <is>
          <t>依据经承包人确认的施工部位,按设计图示尺寸以延长米计算。</t>
        </is>
      </c>
      <c r="F585" s="28" t="inlineStr">
        <is>
          <t>m</t>
        </is>
      </c>
      <c r="G585" s="61" t="n">
        <v>15.1</v>
      </c>
      <c r="H585" s="62" t="n">
        <v>20.06</v>
      </c>
      <c r="I585" s="65" t="n"/>
      <c r="J585" s="62">
        <f>H585*(1-$I$4)</f>
        <v/>
      </c>
      <c r="K585" s="63">
        <f>G585*J585</f>
        <v/>
      </c>
      <c r="L585" s="33" t="inlineStr">
        <is>
          <t>成品石膏线条</t>
        </is>
      </c>
      <c r="M585" s="64" t="n"/>
      <c r="N585" s="39" t="n">
        <v>1</v>
      </c>
      <c r="O585" t="n">
        <v>18</v>
      </c>
      <c r="P585" s="35" t="inlineStr">
        <is>
          <t>差:-2.06元 (-10.3%) 来源:售楼处</t>
        </is>
      </c>
      <c r="Q585" s="35" t="n"/>
      <c r="R585" s="35" t="n"/>
    </row>
    <row r="586" outlineLevel="2" ht="72" customFormat="1" customHeight="1" s="39">
      <c r="A586" s="37">
        <f>1+N(A585)</f>
        <v/>
      </c>
      <c r="B586" s="27" t="inlineStr">
        <is>
          <t>窗帘盒（200mm*200mm）</t>
        </is>
      </c>
      <c r="C586" s="27" t="inlineStr">
        <is>
          <t>1.窗帘盒窗帘盒（200mm*200mm）；
2.双层板：9mm玻镁板、9.5厚石膏板；
3.50系列轻钢龙骨及其连接件、吊件；
4.包含完成该项内容所有工作及费用并满足设计图纸、规范等要求；</t>
        </is>
      </c>
      <c r="D586" s="27" t="inlineStr">
        <is>
          <t>自现有现场条件下按照合同约定范围、图纸（含设计变更）及甲方要求内容以及规范、标准、相关做法等要求完成并达到总包合同全部目标的全部工作内容。</t>
        </is>
      </c>
      <c r="E586" s="27" t="inlineStr">
        <is>
          <t>依据经承包人确认的施工部位,按设计图示尺寸以延长米计算。</t>
        </is>
      </c>
      <c r="F586" s="28" t="inlineStr">
        <is>
          <t>m</t>
        </is>
      </c>
      <c r="G586" s="61" t="n">
        <v>4.65</v>
      </c>
      <c r="H586" s="62" t="n">
        <v>123.192</v>
      </c>
      <c r="I586" s="65" t="n"/>
      <c r="J586" s="62">
        <f>H586*(1-$I$4)</f>
        <v/>
      </c>
      <c r="K586" s="63">
        <f>G586*J586</f>
        <v/>
      </c>
      <c r="L586" s="33" t="inlineStr">
        <is>
          <t>/</t>
        </is>
      </c>
      <c r="M586" s="64" t="n"/>
      <c r="N586" s="39" t="n">
        <v>1</v>
      </c>
      <c r="O586" t="n">
        <v>55</v>
      </c>
      <c r="P586" s="35" t="inlineStr">
        <is>
          <t>差:-68.19元 (-55.4%) 来源:售楼处</t>
        </is>
      </c>
      <c r="Q586" s="35" t="n"/>
      <c r="R586" s="35" t="n"/>
    </row>
    <row r="587" outlineLevel="2" ht="72" customFormat="1" customHeight="1" s="39">
      <c r="A587" s="37">
        <f>1+N(A586)</f>
        <v/>
      </c>
      <c r="B587" s="27" t="inlineStr">
        <is>
          <t>条形空调风口（150mm）</t>
        </is>
      </c>
      <c r="C587" s="27" t="inlineStr">
        <is>
          <t>1.条形空调风口（150mm）；
2.风口周边阻燃板封边加固处理；
3.包含完成该项内容所有工作及费用并满足设计图纸、规范等要求；</t>
        </is>
      </c>
      <c r="D587" s="27" t="inlineStr">
        <is>
          <t>自现有现场条件下按照合同约定范围、图纸（含设计变更）及甲方要求内容以及规范、标准、相关做法等要求完成并达到总包合同全部目标的全部工作内容。</t>
        </is>
      </c>
      <c r="E587" s="27" t="inlineStr">
        <is>
          <t>依据经承包人确认的施工部位,按设计图示尺寸以延长米计算。</t>
        </is>
      </c>
      <c r="F587" s="28" t="inlineStr">
        <is>
          <t>m</t>
        </is>
      </c>
      <c r="G587" s="61" t="n">
        <v>2.4</v>
      </c>
      <c r="H587" s="62" t="n">
        <v>109.74</v>
      </c>
      <c r="I587" s="65" t="n"/>
      <c r="J587" s="62">
        <f>H587*(1-$I$4)</f>
        <v/>
      </c>
      <c r="K587" s="63">
        <f>G587*J587</f>
        <v/>
      </c>
      <c r="L587" s="33" t="inlineStr">
        <is>
          <t>空调风口</t>
        </is>
      </c>
      <c r="M587" s="64" t="n"/>
      <c r="N587" s="39" t="n">
        <v>1</v>
      </c>
      <c r="O587" t="n">
        <v>30</v>
      </c>
      <c r="P587" s="35" t="inlineStr">
        <is>
          <t>差:-79.74元 (-72.7%) 来源:售楼处</t>
        </is>
      </c>
      <c r="Q587" s="35" t="n"/>
      <c r="R587" s="35" t="n"/>
    </row>
    <row r="588" outlineLevel="2" ht="192" customFormat="1" customHeight="1" s="39">
      <c r="A588" s="37">
        <f>1+N(A587)</f>
        <v/>
      </c>
      <c r="B588" s="27" t="inlineStr">
        <is>
          <t>天花肌理无机涂料PT-01</t>
        </is>
      </c>
      <c r="C588" s="27" t="inlineStr">
        <is>
          <t>1.天花肌理无机涂料PT-01；
2.刮腻子二遍磨平；
3.底漆1遍，面漆2遍；
4.包含完成该项内容所有工作及费用并满足设计图纸、规范等要求；</t>
        </is>
      </c>
      <c r="D588" s="27" t="inlineStr">
        <is>
          <t>包括但不限于材料计划、采购、卸车倒运、保管、检验试验费、测量放线，包含四周阴角找平直、含天棚四周阴角找平直，打磨，简易脚手架搭拆及操作平台、升降机，基层清理、打磨平整、底层找补、满刮涂料（含阴阳角塑料条）、涂料打磨、补遗处理、配合其他分包施工、完工后场清、成品保护、保修等直到达到竣工交付标准的全部工作内容。包括所有为完成工作所需的小型机具；包括所有为完成工作所需的附属工作；包括但不限于以上内容。</t>
        </is>
      </c>
      <c r="E588" s="27" t="inlineStr">
        <is>
          <t>执行《GB/T50854-2024房屋建筑与装饰工程工程量计算标准》，按设计图示尺寸以面积计算。扣除0.3平方米以上洞口的面积；梁侧面及檐口天棚并入天棚计算；以设计图纸和技术交底为基础</t>
        </is>
      </c>
      <c r="F588" s="28" t="inlineStr">
        <is>
          <t>m2</t>
        </is>
      </c>
      <c r="G588" s="61" t="n">
        <v>30.74</v>
      </c>
      <c r="H588" s="62" t="n">
        <v>48.38</v>
      </c>
      <c r="I588" s="65" t="n"/>
      <c r="J588" s="62">
        <f>H588*(1-$I$4)</f>
        <v/>
      </c>
      <c r="K588" s="63">
        <f>G588*J588</f>
        <v/>
      </c>
      <c r="L588" s="33" t="inlineStr">
        <is>
          <t>涂料</t>
        </is>
      </c>
      <c r="M588" s="64" t="n"/>
      <c r="N588" s="39" t="n">
        <v>1</v>
      </c>
      <c r="O588" t="n">
        <v>45</v>
      </c>
      <c r="P588" s="35" t="inlineStr">
        <is>
          <t>差:-3.38元 (-7.0%) 来源:售楼处</t>
        </is>
      </c>
      <c r="Q588" s="35" t="n"/>
      <c r="R588" s="35" t="n"/>
    </row>
    <row r="589" outlineLevel="1" customFormat="1" s="39">
      <c r="A589" s="36" t="n"/>
      <c r="B589" s="27" t="inlineStr">
        <is>
          <t>门窗、家具工程</t>
        </is>
      </c>
      <c r="C589" s="27" t="n"/>
      <c r="D589" s="27" t="n"/>
      <c r="E589" s="27" t="n"/>
      <c r="F589" s="28" t="n"/>
      <c r="G589" s="61" t="n"/>
      <c r="H589" s="62" t="n"/>
      <c r="I589" s="65" t="n"/>
      <c r="J589" s="62" t="n"/>
      <c r="K589" s="63" t="n"/>
      <c r="L589" s="33" t="n"/>
      <c r="M589" s="64" t="n"/>
      <c r="P589" s="35" t="n"/>
      <c r="Q589" s="35" t="n"/>
      <c r="R589" s="35" t="n"/>
    </row>
    <row r="590" outlineLevel="2" ht="84" customFormat="1" customHeight="1" s="39">
      <c r="A590" s="37">
        <f>1+N(A589)</f>
        <v/>
      </c>
      <c r="B590" s="27" t="inlineStr">
        <is>
          <t>转轴门(DR03)</t>
        </is>
      </c>
      <c r="C590" s="27" t="inlineStr">
        <is>
          <t>1、门扇：1.2mm厚 MT-01古铜不锈钢饰面、GL-02艺术玻璃、ST-08石材、50*50热镀锌矩管、9mm厚玻镁板基层
2、定制成品套装门制安
3、含天地轴等五金配件
4、包含完成该项内容所有工作及费用并满足设计图纸、规范等要求</t>
        </is>
      </c>
      <c r="D590" s="27" t="inlineStr">
        <is>
          <t>自现有现场条件下按照合同约定范围、图纸（含设计变更）及甲方要求内容以及规范、标准、相关做法等要求完成并达到总包合同全部目标的全部工作内容。</t>
        </is>
      </c>
      <c r="E590" s="27" t="inlineStr">
        <is>
          <t>以最终验收合格的工程量计算</t>
        </is>
      </c>
      <c r="F590" s="28" t="inlineStr">
        <is>
          <t>m2</t>
        </is>
      </c>
      <c r="G590" s="61" t="n">
        <v>13.1</v>
      </c>
      <c r="H590" s="62" t="n">
        <v>5635.3106870229</v>
      </c>
      <c r="I590" s="65" t="n"/>
      <c r="J590" s="62">
        <f>H590*(1-$I$4)</f>
        <v/>
      </c>
      <c r="K590" s="63">
        <f>G590*J590</f>
        <v/>
      </c>
      <c r="L590" s="33" t="inlineStr">
        <is>
          <t>/</t>
        </is>
      </c>
      <c r="M590" s="64" t="n"/>
      <c r="N590" s="39" t="n">
        <v>1</v>
      </c>
      <c r="O590" t="n">
        <v>145</v>
      </c>
      <c r="P590" s="35" t="inlineStr">
        <is>
          <t>差:-5490.31元 (-97.4%) 来源:售楼处</t>
        </is>
      </c>
      <c r="Q590" s="35" t="n"/>
      <c r="R590" s="35" t="n"/>
    </row>
    <row r="591" outlineLevel="1" customFormat="1" s="39">
      <c r="A591" s="26" t="inlineStr">
        <is>
          <t>六</t>
        </is>
      </c>
      <c r="B591" s="27" t="inlineStr">
        <is>
          <t>艺术过厅</t>
        </is>
      </c>
      <c r="C591" s="27" t="n"/>
      <c r="D591" s="27" t="n"/>
      <c r="E591" s="27" t="n"/>
      <c r="F591" s="28" t="n"/>
      <c r="G591" s="61" t="n"/>
      <c r="H591" s="62" t="n"/>
      <c r="I591" s="65" t="n"/>
      <c r="J591" s="62" t="n"/>
      <c r="K591" s="63" t="n"/>
      <c r="L591" s="33" t="n"/>
      <c r="M591" s="64" t="n"/>
      <c r="P591" s="35" t="n"/>
      <c r="Q591" s="35" t="n"/>
      <c r="R591" s="35" t="n"/>
    </row>
    <row r="592" outlineLevel="1" customFormat="1" s="39">
      <c r="A592" s="36" t="n"/>
      <c r="B592" s="27" t="inlineStr">
        <is>
          <t>地面工程</t>
        </is>
      </c>
      <c r="C592" s="27" t="n"/>
      <c r="D592" s="27" t="n"/>
      <c r="E592" s="27" t="n"/>
      <c r="F592" s="28" t="n"/>
      <c r="G592" s="61" t="n"/>
      <c r="H592" s="62" t="n"/>
      <c r="I592" s="65" t="n"/>
      <c r="J592" s="62" t="n"/>
      <c r="K592" s="63" t="n"/>
      <c r="L592" s="33" t="n"/>
      <c r="M592" s="64" t="n"/>
      <c r="P592" s="35" t="n"/>
      <c r="Q592" s="35" t="n"/>
      <c r="R592" s="35" t="n"/>
    </row>
    <row r="593" outlineLevel="2" ht="108" customFormat="1" customHeight="1" s="39">
      <c r="A593" s="37">
        <f>1+N(A592)</f>
        <v/>
      </c>
      <c r="B593" s="27" t="inlineStr">
        <is>
          <t>地面铺木地板</t>
        </is>
      </c>
      <c r="C593" s="27" t="inlineStr">
        <is>
          <t>1.地面防潮木地板WF-02；
2.防潮膜；
3.自流平
4.包含完成该项内容所有工作及费用并满足设计图纸、规范等要求；</t>
        </is>
      </c>
      <c r="D593"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t>
        </is>
      </c>
      <c r="E593" s="27" t="inlineStr">
        <is>
          <t xml:space="preserve">执行《GB/T50854-2024房屋建筑与装饰工程工程量计算标准》，按设计图示尺寸
以面积计算。 </t>
        </is>
      </c>
      <c r="F593" s="28" t="inlineStr">
        <is>
          <t>m2</t>
        </is>
      </c>
      <c r="G593" s="61" t="n">
        <v>12.95</v>
      </c>
      <c r="H593" s="62" t="n">
        <v>92.04000000000001</v>
      </c>
      <c r="I593" s="65" t="n"/>
      <c r="J593" s="62">
        <f>H593*(1-$I$4)</f>
        <v/>
      </c>
      <c r="K593" s="63">
        <f>G593*J593</f>
        <v/>
      </c>
      <c r="L593" s="33" t="inlineStr">
        <is>
          <t>木地板</t>
        </is>
      </c>
      <c r="M593" s="64" t="n"/>
      <c r="N593" s="39" t="n">
        <v>1</v>
      </c>
      <c r="O593" t="n">
        <v>36</v>
      </c>
      <c r="P593" s="35" t="inlineStr">
        <is>
          <t>差:-56.04元 (-60.9%) 来源:售楼处</t>
        </is>
      </c>
      <c r="Q593" s="35" t="n"/>
      <c r="R593" s="35" t="n"/>
    </row>
    <row r="594" outlineLevel="2" ht="216" customFormat="1" customHeight="1" s="39">
      <c r="A594" s="37">
        <f>1+N(A593)</f>
        <v/>
      </c>
      <c r="B594" s="27" t="inlineStr">
        <is>
          <t>水泥砂浆找平层</t>
        </is>
      </c>
      <c r="C594" s="27" t="inlineStr">
        <is>
          <t>1.75mm厚DS干混砂浆找平层、需铺符合设计要求标高；
2.完成需收光、压实处理；
3.包含完成该项内容所有工作及费用并满足设计图纸、规范等要求；</t>
        </is>
      </c>
      <c r="D594" s="27" t="inlineStr">
        <is>
          <t>包含完成地面所有施工工序所需的人工、材料（甲供材除外）、机械、管理费、利润；包括但不限于材料计划、卸车倒运（含多次）、保管、测量放线、基底清理、标高检测、配合检测、贴饼冲筋、砂浆找平、抹压、压光、设置分格缝、阻水台（按照方案及交底要求施工）、地面留槽回填及二次处理，所有洞口、管根的补遗处理，养护、配合水电安装、现场清理及分包施工作业面的及时清理、清扫等、装卸费、场内倒运费，配合承包人实验员做好冬季测温记录、坍落度实验及砼试块制作，成品保护、保修等全部工作内容。</t>
        </is>
      </c>
      <c r="E594" s="27" t="inlineStr">
        <is>
          <t>执行《GB/T50854-2024房屋建筑与装饰工程工程量计算标准》，按设计图示尺寸以面积计算。扣除凸出地面构筑物、设备基础、室内管道、地沟等所占面积，不扣除间壁墙及≤0.3 ㎡柱、垛、附墙烟囱及孔洞所占面积。门洞、空圈、暖气包槽、壁龛的开口部分不增加面积。</t>
        </is>
      </c>
      <c r="F594" s="28" t="inlineStr">
        <is>
          <t>m2</t>
        </is>
      </c>
      <c r="G594" s="61" t="n">
        <v>12.95</v>
      </c>
      <c r="H594" s="62" t="n">
        <v>78.50982500000001</v>
      </c>
      <c r="I594" s="65" t="n"/>
      <c r="J594" s="62">
        <f>H594*(1-$I$4)</f>
        <v/>
      </c>
      <c r="K594" s="63">
        <f>G594*J594</f>
        <v/>
      </c>
      <c r="L594" s="33" t="inlineStr">
        <is>
          <t>/</t>
        </is>
      </c>
      <c r="M594" s="64" t="n"/>
      <c r="N594" s="39" t="n">
        <v>1</v>
      </c>
      <c r="O594" t="n">
        <v>28</v>
      </c>
      <c r="P594" s="35" t="inlineStr">
        <is>
          <t>差:-50.51元 (-64.3%) 来源:售楼处</t>
        </is>
      </c>
      <c r="Q594" s="35" t="n"/>
      <c r="R594" s="35" t="n"/>
    </row>
    <row r="595" outlineLevel="2" ht="108" customFormat="1" customHeight="1" s="39">
      <c r="A595" s="37">
        <f>1+N(A594)</f>
        <v/>
      </c>
      <c r="B595" s="27" t="inlineStr">
        <is>
          <t>实心铜条5mm宽</t>
        </is>
      </c>
      <c r="C595" s="27" t="inlineStr">
        <is>
          <t>1.实心铜条5mm宽；
2.包含完成该项内容所有工作及费用并满足设计图纸、规范等要求；</t>
        </is>
      </c>
      <c r="D595"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595" s="27" t="inlineStr">
        <is>
          <t>按设计图示尺寸以长度计算。</t>
        </is>
      </c>
      <c r="F595" s="28" t="inlineStr">
        <is>
          <t>m</t>
        </is>
      </c>
      <c r="G595" s="61" t="n">
        <v>1.45</v>
      </c>
      <c r="H595" s="62" t="n">
        <v>89.267</v>
      </c>
      <c r="I595" s="65" t="n"/>
      <c r="J595" s="62">
        <f>H595*(1-$I$4)</f>
        <v/>
      </c>
      <c r="K595" s="63">
        <f>G595*J595</f>
        <v/>
      </c>
      <c r="L595" s="33" t="inlineStr">
        <is>
          <t>/</t>
        </is>
      </c>
      <c r="M595" s="64" t="n"/>
      <c r="N595" s="39" t="n">
        <v>1</v>
      </c>
      <c r="O595" t="n">
        <v>12</v>
      </c>
      <c r="P595" s="35" t="inlineStr">
        <is>
          <t>差:-77.27元 (-86.6%) 来源:售楼处</t>
        </is>
      </c>
      <c r="Q595" s="35" t="n"/>
      <c r="R595" s="35" t="n"/>
    </row>
    <row r="596" outlineLevel="1" customFormat="1" s="39">
      <c r="A596" s="36" t="n"/>
      <c r="B596" s="27" t="inlineStr">
        <is>
          <t>墙柱面工程</t>
        </is>
      </c>
      <c r="C596" s="27" t="n"/>
      <c r="D596" s="27" t="n"/>
      <c r="E596" s="27" t="n"/>
      <c r="F596" s="28" t="n"/>
      <c r="G596" s="61" t="n"/>
      <c r="H596" s="62" t="n"/>
      <c r="I596" s="65" t="n"/>
      <c r="J596" s="62" t="n"/>
      <c r="K596" s="63" t="n"/>
      <c r="L596" s="33" t="n"/>
      <c r="M596" s="64" t="n"/>
      <c r="P596" s="35" t="n"/>
      <c r="Q596" s="35" t="n"/>
      <c r="R596" s="35" t="n"/>
    </row>
    <row r="597" outlineLevel="2" ht="180" customFormat="1" customHeight="1" s="39">
      <c r="A597" s="37">
        <f>1+N(A596)</f>
        <v/>
      </c>
      <c r="B597" s="27" t="inlineStr">
        <is>
          <t>墙面干挂ST-05石材</t>
        </is>
      </c>
      <c r="C597" s="27" t="inlineStr">
        <is>
          <t>1、墙面干挂ST-05石材（含不锈钢线条）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is>
      </c>
      <c r="D597"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597" s="27" t="inlineStr">
        <is>
          <t>执行《GB/T50854-2024房屋建筑与装饰工程工程量计算标准》，按设计图示镶贴后外围面积计算</t>
        </is>
      </c>
      <c r="F597" s="28" t="inlineStr">
        <is>
          <t>m2</t>
        </is>
      </c>
      <c r="G597" s="61" t="n">
        <v>29.28</v>
      </c>
      <c r="H597" s="62" t="n">
        <v>283.2</v>
      </c>
      <c r="I597" s="65" t="n"/>
      <c r="J597" s="62">
        <f>H597*(1-$I$4)</f>
        <v/>
      </c>
      <c r="K597" s="63">
        <f>G597*J597</f>
        <v/>
      </c>
      <c r="L597" s="33" t="inlineStr">
        <is>
          <t>石材</t>
        </is>
      </c>
      <c r="M597" s="64" t="n"/>
      <c r="N597" s="39" t="n">
        <v>1</v>
      </c>
      <c r="O597" t="n">
        <v>140</v>
      </c>
      <c r="P597" s="35" t="inlineStr">
        <is>
          <t>差:-143.20元 (-50.6%) 来源:售楼处</t>
        </is>
      </c>
      <c r="Q597" s="35" t="n"/>
      <c r="R597" s="35" t="n"/>
    </row>
    <row r="598" outlineLevel="2" ht="180" customFormat="1" customHeight="1" s="39">
      <c r="A598" s="37">
        <f>1+N(A597)</f>
        <v/>
      </c>
      <c r="B598" s="27" t="inlineStr">
        <is>
          <t>墙面干挂ST-05石材（波浪造型）</t>
        </is>
      </c>
      <c r="C598" s="27" t="inlineStr">
        <is>
          <t>1、墙面干挂ST-05石材（波浪造型，含不锈钢线条）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is>
      </c>
      <c r="D598"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598" s="27" t="inlineStr">
        <is>
          <t>执行《GB/T50854-2024房屋建筑与装饰工程工程量计算标准》，按设计图示镶贴后外围面积计算</t>
        </is>
      </c>
      <c r="F598" s="28" t="inlineStr">
        <is>
          <t>m2</t>
        </is>
      </c>
      <c r="G598" s="61" t="n">
        <v>11.59</v>
      </c>
      <c r="H598" s="62" t="n">
        <v>283.2</v>
      </c>
      <c r="I598" s="65" t="n"/>
      <c r="J598" s="62">
        <f>H598*(1-$I$4)</f>
        <v/>
      </c>
      <c r="K598" s="63">
        <f>G598*J598</f>
        <v/>
      </c>
      <c r="L598" s="33" t="inlineStr">
        <is>
          <t>石材</t>
        </is>
      </c>
      <c r="M598" s="64" t="n"/>
      <c r="N598" s="39" t="n">
        <v>1</v>
      </c>
      <c r="O598" t="n">
        <v>140</v>
      </c>
      <c r="P598" s="35" t="inlineStr">
        <is>
          <t>差:-143.20元 (-50.6%) 来源:售楼处</t>
        </is>
      </c>
      <c r="Q598" s="35" t="n"/>
      <c r="R598" s="35" t="n"/>
    </row>
    <row r="599" outlineLevel="2" ht="144" customFormat="1" customHeight="1" s="39">
      <c r="A599" s="37">
        <f>1+N(A598)</f>
        <v/>
      </c>
      <c r="B599" s="27" t="inlineStr">
        <is>
          <t>MT-01古铜不锈钢踢脚线（高20mm）</t>
        </is>
      </c>
      <c r="C599" s="27" t="inlineStr">
        <is>
          <t>1、1.2mm厚 MT-01古铜不锈钢踢脚线（高20mm，展开面为46mm），结构胶固定
2、9厘玻镁板基层
3、包含完成该项内容所有工作及费用并满足设计图纸、规范等要求</t>
        </is>
      </c>
      <c r="D599"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599" s="27" t="inlineStr">
        <is>
          <t>按设计图示尺寸以长度计算。</t>
        </is>
      </c>
      <c r="F599" s="28" t="inlineStr">
        <is>
          <t>m</t>
        </is>
      </c>
      <c r="G599" s="61" t="n">
        <v>12.18</v>
      </c>
      <c r="H599" s="62" t="n">
        <v>31.86</v>
      </c>
      <c r="I599" s="65" t="n"/>
      <c r="J599" s="62">
        <f>H599*(1-$I$4)</f>
        <v/>
      </c>
      <c r="K599" s="63">
        <f>G599*J599</f>
        <v/>
      </c>
      <c r="L599" s="33" t="inlineStr">
        <is>
          <t>不锈钢踢脚线</t>
        </is>
      </c>
      <c r="M599" s="64" t="n"/>
      <c r="N599" s="39" t="n">
        <v>1</v>
      </c>
      <c r="O599" t="n">
        <v>12</v>
      </c>
      <c r="P599" s="35" t="inlineStr">
        <is>
          <t>差:-19.86元 (-62.3%) 来源:售楼处</t>
        </is>
      </c>
      <c r="Q599" s="35" t="n"/>
      <c r="R599" s="35" t="n"/>
    </row>
    <row r="600" outlineLevel="1" customFormat="1" s="39">
      <c r="A600" s="36" t="n"/>
      <c r="B600" s="27" t="inlineStr">
        <is>
          <t>天花工程</t>
        </is>
      </c>
      <c r="C600" s="27" t="n"/>
      <c r="D600" s="27" t="n"/>
      <c r="E600" s="27" t="n"/>
      <c r="F600" s="28" t="n"/>
      <c r="G600" s="61" t="n"/>
      <c r="H600" s="62" t="n"/>
      <c r="I600" s="65" t="n"/>
      <c r="J600" s="62" t="n"/>
      <c r="K600" s="63" t="n"/>
      <c r="L600" s="33" t="n"/>
      <c r="M600" s="64" t="n"/>
      <c r="P600" s="35" t="n"/>
      <c r="Q600" s="35" t="n"/>
      <c r="R600" s="35" t="n"/>
    </row>
    <row r="601" outlineLevel="2" ht="192" customFormat="1" customHeight="1" s="39">
      <c r="A601" s="37">
        <f>1+N(A600)</f>
        <v/>
      </c>
      <c r="B601" s="27" t="inlineStr">
        <is>
          <t>造型石膏板吊顶</t>
        </is>
      </c>
      <c r="C601" s="27" t="inlineStr">
        <is>
          <t>1.60系列轻钢主龙骨@900，60系列轻钢副龙骨@400，60系列横撑龙骨@600，08螺纹吊杆@900不上人天花吊顶（投影面计算）
2.玻镁板、双层9.5厚石膏板基层，含开孔、检修口、10*10凹槽等费用；
3.含除灯槽外的侧面高差及其连接件、吊件；
4.包含完成该项内容所有工作及费用并满足设计图纸、规范等要求；</t>
        </is>
      </c>
      <c r="D601" s="27" t="inlineStr">
        <is>
          <t>1.基层清理。
2.弹线定位、排版。
3.吊杆及连接件安装调平、收口及密封处理。
4.材料切割处理找平、石膏板安装及调整，打胶密封与清理.
5.收口及其他处理：检修口等制作安装、收边收口、配合预留安装、机电等专业孔洞及孔洞收口处理。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601" s="27" t="inlineStr">
        <is>
          <t>按设计图示尺寸以水平投影面积计算。不扣除间壁墙、检查口、附墙烟囱、柱垛和管道所占面积,扣除单个&gt;0.3m3的孔洞、非密拼吊顶空隙所占的面积、独立柱及与天棚相连的窗帘盒所占的面积。</t>
        </is>
      </c>
      <c r="F601" s="28" t="inlineStr">
        <is>
          <t>m2</t>
        </is>
      </c>
      <c r="G601" s="61" t="n">
        <v>8.15</v>
      </c>
      <c r="H601" s="62" t="n">
        <v>174.574444444444</v>
      </c>
      <c r="I601" s="65" t="n"/>
      <c r="J601" s="62">
        <f>H601*(1-$I$4)</f>
        <v/>
      </c>
      <c r="K601" s="63">
        <f>G601*J601</f>
        <v/>
      </c>
      <c r="L601" s="33" t="inlineStr">
        <is>
          <t>/</t>
        </is>
      </c>
      <c r="M601" s="64" t="n"/>
      <c r="N601" s="39" t="n">
        <v>1</v>
      </c>
      <c r="O601" t="n">
        <v>70</v>
      </c>
      <c r="P601" s="35" t="inlineStr">
        <is>
          <t>差:-104.57元 (-59.9%) 来源:售楼处</t>
        </is>
      </c>
      <c r="Q601" s="35" t="n"/>
      <c r="R601" s="35" t="n"/>
    </row>
    <row r="602" outlineLevel="2" ht="204" customFormat="1" customHeight="1" s="39">
      <c r="A602" s="37">
        <f>1+N(A601)</f>
        <v/>
      </c>
      <c r="B602" s="27" t="inlineStr">
        <is>
          <t>可拆卸天花铝板吊顶</t>
        </is>
      </c>
      <c r="C602" s="27" t="inlineStr">
        <is>
          <t>1.异形勾搭龙骨，08螺纹吊杆@900不上人天花吊顶（投影面计算）
2.可拆卸天花铝板吊顶，含开孔、检修口、10*10凹槽等费用；
3.含除灯槽外的侧面高差及其连接件、吊件；
4.包含完成该项内容所有工作及费用并满足设计图纸、规范等要求；</t>
        </is>
      </c>
      <c r="D602" s="27" t="inlineStr">
        <is>
          <t>1.基层清理。
2.弹线定位、排版。
3.吊杆及连接件制作、安装、调平。
4.材料切割处理找平、铝条板安装及调整，打胶密封与清理。
5.收口及其他处理：侧封板、检修口等制作安装、收边收口、配合预留安装、机电等专业孔洞及孔洞收口处理。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602" s="27" t="inlineStr">
        <is>
          <t>按设计图示尺寸以水平投影面积计算。不扣除间壁墙、检查口、附墙烟囱、柱垛和管道所占面积,扣除单个&gt;0.3m2的孔洞、非密拼吊顶空隙所占的面积、独立柱及与天棚相连的窗帘盒所占的面积。</t>
        </is>
      </c>
      <c r="F602" s="28" t="inlineStr">
        <is>
          <t>m2</t>
        </is>
      </c>
      <c r="G602" s="61" t="n">
        <v>4.8</v>
      </c>
      <c r="H602" s="62" t="n">
        <v>159.3</v>
      </c>
      <c r="I602" s="65" t="n"/>
      <c r="J602" s="62">
        <f>H602*(1-$I$4)</f>
        <v/>
      </c>
      <c r="K602" s="63">
        <f>G602*J602</f>
        <v/>
      </c>
      <c r="L602" s="33" t="inlineStr">
        <is>
          <t>铝板吊顶</t>
        </is>
      </c>
      <c r="M602" s="64" t="n"/>
      <c r="N602" s="39" t="n">
        <v>1</v>
      </c>
      <c r="O602" t="n">
        <v>75</v>
      </c>
      <c r="P602" s="35" t="inlineStr">
        <is>
          <t>差:-84.30元 (-52.9%) 来源:售楼处</t>
        </is>
      </c>
      <c r="Q602" s="35" t="n"/>
      <c r="R602" s="35" t="n"/>
    </row>
    <row r="603" outlineLevel="2" ht="72" customFormat="1" customHeight="1" s="39">
      <c r="A603" s="37">
        <f>1+N(A602)</f>
        <v/>
      </c>
      <c r="B603" s="27" t="inlineStr">
        <is>
          <t>条形空调风口（150mm）</t>
        </is>
      </c>
      <c r="C603" s="27" t="inlineStr">
        <is>
          <t>1.条形空调风口（150mm）；
2.风口周边阻燃板封边加固处理；
3.包含完成该项内容所有工作及费用并满足设计图纸、规范等要求；</t>
        </is>
      </c>
      <c r="D603" s="27" t="inlineStr">
        <is>
          <t>自现有现场条件下按照合同约定范围、图纸（含设计变更）及甲方要求内容以及规范、标准、相关做法等要求完成并达到总包合同全部目标的全部工作内容。</t>
        </is>
      </c>
      <c r="E603" s="27" t="inlineStr">
        <is>
          <t>依据经承包人确认的施工部位,按设计图示尺寸以延长米计算。</t>
        </is>
      </c>
      <c r="F603" s="28" t="inlineStr">
        <is>
          <t>m</t>
        </is>
      </c>
      <c r="G603" s="61" t="n">
        <v>3.9</v>
      </c>
      <c r="H603" s="62" t="n">
        <v>109.74</v>
      </c>
      <c r="I603" s="65" t="n"/>
      <c r="J603" s="62">
        <f>H603*(1-$I$4)</f>
        <v/>
      </c>
      <c r="K603" s="63">
        <f>G603*J603</f>
        <v/>
      </c>
      <c r="L603" s="33" t="inlineStr">
        <is>
          <t>空调风口</t>
        </is>
      </c>
      <c r="M603" s="64" t="n"/>
      <c r="N603" s="39" t="n">
        <v>1</v>
      </c>
      <c r="O603" t="n">
        <v>30</v>
      </c>
      <c r="P603" s="35" t="inlineStr">
        <is>
          <t>差:-79.74元 (-72.7%) 来源:售楼处</t>
        </is>
      </c>
      <c r="Q603" s="35" t="n"/>
      <c r="R603" s="35" t="n"/>
    </row>
    <row r="604" outlineLevel="2" ht="192" customFormat="1" customHeight="1" s="39">
      <c r="A604" s="37">
        <f>1+N(A603)</f>
        <v/>
      </c>
      <c r="B604" s="27" t="inlineStr">
        <is>
          <t>天花肌理无机涂料PT-01</t>
        </is>
      </c>
      <c r="C604" s="27" t="inlineStr">
        <is>
          <t>1.天花肌理无机涂料PT-01；
2.刮腻子二遍磨平；
3.底漆1遍，面漆2遍；
4.包含完成该项内容所有工作及费用并满足设计图纸、规范等要求；</t>
        </is>
      </c>
      <c r="D604" s="27" t="inlineStr">
        <is>
          <t>包括但不限于材料计划、采购、卸车倒运、保管、检验试验费、测量放线，包含四周阴角找平直、含天棚四周阴角找平直，打磨，简易脚手架搭拆及操作平台、升降机，基层清理、打磨平整、底层找补、满刮涂料（含阴阳角塑料条）、涂料打磨、补遗处理、配合其他分包施工、完工后场清、成品保护、保修等直到达到竣工交付标准的全部工作内容。包括所有为完成工作所需的小型机具；包括所有为完成工作所需的附属工作；包括但不限于以上内容。</t>
        </is>
      </c>
      <c r="E604" s="27" t="inlineStr">
        <is>
          <t>执行《GB/T50854-2024房屋建筑与装饰工程工程量计算标准》，按设计图示尺寸以面积计算。扣除0.3平方米以上洞口的面积；梁侧面及檐口天棚并入天棚计算；以设计图纸和技术交底为基础</t>
        </is>
      </c>
      <c r="F604" s="28" t="inlineStr">
        <is>
          <t>m2</t>
        </is>
      </c>
      <c r="G604" s="61" t="n">
        <v>8.15</v>
      </c>
      <c r="H604" s="62" t="n">
        <v>48.38</v>
      </c>
      <c r="I604" s="65" t="n"/>
      <c r="J604" s="62">
        <f>H604*(1-$I$4)</f>
        <v/>
      </c>
      <c r="K604" s="63">
        <f>G604*J604</f>
        <v/>
      </c>
      <c r="L604" s="33" t="inlineStr">
        <is>
          <t>涂料</t>
        </is>
      </c>
      <c r="M604" s="64" t="n"/>
      <c r="N604" s="39" t="n">
        <v>1</v>
      </c>
      <c r="O604" t="n">
        <v>45</v>
      </c>
      <c r="P604" s="35" t="inlineStr">
        <is>
          <t>差:-3.38元 (-7.0%) 来源:售楼处</t>
        </is>
      </c>
      <c r="Q604" s="35" t="n"/>
      <c r="R604" s="35" t="n"/>
    </row>
    <row r="605" outlineLevel="2" ht="204" customFormat="1" customHeight="1" s="39">
      <c r="A605" s="37">
        <f>1+N(A604)</f>
        <v/>
      </c>
      <c r="B605" s="27" t="inlineStr">
        <is>
          <t>天花内部喷白涂料</t>
        </is>
      </c>
      <c r="C605" s="27" t="inlineStr">
        <is>
          <t>1.天花内部喷白涂料；
2.可拆卸天花内部构件、管道、楼板喷白处理；
3.底漆1遍，面漆1遍（按天棚投影面积计算）；
4.包含完成该项内容所有工作及费用并满足设计图纸、规范等要求；</t>
        </is>
      </c>
      <c r="D605" s="27" t="inlineStr">
        <is>
          <t>1.基层清理。
2.弹线定位、排版。
3.吊杆及连接件制作、安装、调平。
4.材料切割处理找平、铝条板安装及调整，打胶密封与清理。
5.收口及其他处理：侧封板、检修口等制作安装、收边收口、配合预留安装、机电等专业孔洞及孔洞收口处理。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605" s="27" t="inlineStr">
        <is>
          <t>按设计图示尺寸以水平投影面积计算。不扣除间壁墙、检查口、附墙烟囱、柱垛和管道所占面积,扣除单个&gt;0.3m2的孔洞、非密拼吊顶空隙所占的面积、独立柱及与天棚相连的窗帘盒所占的面积。</t>
        </is>
      </c>
      <c r="F605" s="28" t="inlineStr">
        <is>
          <t>m2</t>
        </is>
      </c>
      <c r="G605" s="61" t="n">
        <v>4.8</v>
      </c>
      <c r="H605" s="62" t="n">
        <v>23.6</v>
      </c>
      <c r="I605" s="65" t="n"/>
      <c r="J605" s="62">
        <f>H605*(1-$I$4)</f>
        <v/>
      </c>
      <c r="K605" s="63">
        <f>G605*J605</f>
        <v/>
      </c>
      <c r="L605" s="33" t="inlineStr">
        <is>
          <t>涂料</t>
        </is>
      </c>
      <c r="M605" s="64" t="n"/>
      <c r="N605" s="39" t="n">
        <v>1</v>
      </c>
      <c r="O605" t="n">
        <v>12</v>
      </c>
      <c r="P605" s="35" t="inlineStr">
        <is>
          <t>差:-11.60元 (-49.2%) 来源:售楼处</t>
        </is>
      </c>
      <c r="Q605" s="35" t="n"/>
      <c r="R605" s="35" t="n"/>
    </row>
    <row r="606" outlineLevel="1" customFormat="1" s="39">
      <c r="A606" s="36" t="n"/>
      <c r="B606" s="27" t="inlineStr">
        <is>
          <t>门窗、家具工程</t>
        </is>
      </c>
      <c r="C606" s="27" t="n"/>
      <c r="D606" s="27" t="n"/>
      <c r="E606" s="27" t="n"/>
      <c r="F606" s="28" t="n"/>
      <c r="G606" s="61" t="n"/>
      <c r="H606" s="62" t="n"/>
      <c r="I606" s="65" t="n"/>
      <c r="J606" s="62" t="n"/>
      <c r="K606" s="63" t="n"/>
      <c r="L606" s="33" t="n"/>
      <c r="M606" s="64" t="n"/>
      <c r="P606" s="35" t="n"/>
      <c r="Q606" s="35" t="n"/>
      <c r="R606" s="35" t="n"/>
    </row>
    <row r="607" outlineLevel="2" ht="72" customFormat="1" customHeight="1" s="39">
      <c r="A607" s="37">
        <f>1+N(A606)</f>
        <v/>
      </c>
      <c r="B607" s="27" t="inlineStr">
        <is>
          <t>消防栓暗门(不含面层)</t>
        </is>
      </c>
      <c r="C607" s="27" t="inlineStr">
        <is>
          <t>1、40x40x5mm热镀锌方管骨架、背封铝塑板
2、含天地轴、门吸等五金配件
3、包含完成该项内容所有工作及费用并满足设计图纸、规范等要求</t>
        </is>
      </c>
      <c r="D607" s="27" t="inlineStr">
        <is>
          <t>自现有现场条件下按照合同约定范围、图纸（含设计变更）及甲方要求内容以及规范、标准、相关做法等要求完成并达到总包合同全部目标的全部工作内容。</t>
        </is>
      </c>
      <c r="E607" s="27" t="inlineStr">
        <is>
          <t>以最终验收合格的工程量计算</t>
        </is>
      </c>
      <c r="F607" s="28" t="inlineStr">
        <is>
          <t>m2</t>
        </is>
      </c>
      <c r="G607" s="61" t="n">
        <v>2.72</v>
      </c>
      <c r="H607" s="62" t="n">
        <v>962.6833333333331</v>
      </c>
      <c r="I607" s="65" t="n"/>
      <c r="J607" s="62">
        <f>H607*(1-$I$4)</f>
        <v/>
      </c>
      <c r="K607" s="63">
        <f>G607*J607</f>
        <v/>
      </c>
      <c r="L607" s="33" t="inlineStr">
        <is>
          <t>/</t>
        </is>
      </c>
      <c r="M607" s="64" t="n"/>
      <c r="N607" s="39" t="n">
        <v>1</v>
      </c>
      <c r="O607" t="n">
        <v>165</v>
      </c>
      <c r="P607" s="35" t="inlineStr">
        <is>
          <t>差:-797.68元 (-82.9%) 来源:售楼处</t>
        </is>
      </c>
      <c r="Q607" s="35" t="n"/>
      <c r="R607" s="35" t="n"/>
    </row>
    <row r="608" outlineLevel="1" customFormat="1" s="39">
      <c r="A608" s="26" t="inlineStr">
        <is>
          <t>七</t>
        </is>
      </c>
      <c r="B608" s="27" t="inlineStr">
        <is>
          <t>财务签约室</t>
        </is>
      </c>
      <c r="C608" s="27" t="n"/>
      <c r="D608" s="27" t="n"/>
      <c r="E608" s="27" t="n"/>
      <c r="F608" s="28" t="n"/>
      <c r="G608" s="61" t="n"/>
      <c r="H608" s="62" t="n"/>
      <c r="I608" s="65" t="n"/>
      <c r="J608" s="62" t="n"/>
      <c r="K608" s="63" t="n"/>
      <c r="L608" s="33" t="n"/>
      <c r="M608" s="64" t="n"/>
      <c r="P608" s="35" t="n"/>
      <c r="Q608" s="35" t="n"/>
      <c r="R608" s="35" t="n"/>
    </row>
    <row r="609" outlineLevel="1" customFormat="1" s="39">
      <c r="A609" s="36" t="n"/>
      <c r="B609" s="27" t="inlineStr">
        <is>
          <t>地面工程</t>
        </is>
      </c>
      <c r="C609" s="27" t="n"/>
      <c r="D609" s="27" t="n"/>
      <c r="E609" s="27" t="n"/>
      <c r="F609" s="28" t="n"/>
      <c r="G609" s="61" t="n"/>
      <c r="H609" s="62" t="n"/>
      <c r="I609" s="65" t="n"/>
      <c r="J609" s="62" t="n"/>
      <c r="K609" s="63" t="n"/>
      <c r="L609" s="33" t="n"/>
      <c r="M609" s="64" t="n"/>
      <c r="P609" s="35" t="n"/>
      <c r="Q609" s="35" t="n"/>
      <c r="R609" s="35" t="n"/>
    </row>
    <row r="610" outlineLevel="2" ht="108" customFormat="1" customHeight="1" s="39">
      <c r="A610" s="37">
        <f>1+N(A609)</f>
        <v/>
      </c>
      <c r="B610" s="27" t="inlineStr">
        <is>
          <t>地面铺木地板</t>
        </is>
      </c>
      <c r="C610" s="27" t="inlineStr">
        <is>
          <t>1.地面防潮木地板WF-03；
2.防潮膜；
3.自流平
4.包含完成该项内容所有工作及费用并满足设计图纸、规范等要求；</t>
        </is>
      </c>
      <c r="D610"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t>
        </is>
      </c>
      <c r="E610" s="27" t="inlineStr">
        <is>
          <t xml:space="preserve">执行《GB/T50854-2024房屋建筑与装饰工程工程量计算标准》，按设计图示尺寸
以面积计算。 </t>
        </is>
      </c>
      <c r="F610" s="28" t="inlineStr">
        <is>
          <t>m2</t>
        </is>
      </c>
      <c r="G610" s="61" t="n">
        <v>23.89</v>
      </c>
      <c r="H610" s="62" t="n">
        <v>92.04000000000001</v>
      </c>
      <c r="I610" s="65" t="n"/>
      <c r="J610" s="62">
        <f>H610*(1-$I$4)</f>
        <v/>
      </c>
      <c r="K610" s="63">
        <f>G610*J610</f>
        <v/>
      </c>
      <c r="L610" s="33" t="inlineStr">
        <is>
          <t>木地板</t>
        </is>
      </c>
      <c r="M610" s="64" t="n"/>
      <c r="N610" s="39" t="n">
        <v>1</v>
      </c>
      <c r="O610" t="n">
        <v>36</v>
      </c>
      <c r="P610" s="35" t="inlineStr">
        <is>
          <t>差:-56.04元 (-60.9%) 来源:售楼处</t>
        </is>
      </c>
      <c r="Q610" s="35" t="n"/>
      <c r="R610" s="35" t="n"/>
    </row>
    <row r="611" outlineLevel="2" ht="216" customFormat="1" customHeight="1" s="39">
      <c r="A611" s="37">
        <f>1+N(A610)</f>
        <v/>
      </c>
      <c r="B611" s="27" t="inlineStr">
        <is>
          <t>水泥砂浆找平层</t>
        </is>
      </c>
      <c r="C611" s="27" t="inlineStr">
        <is>
          <t>1.75mm厚DS干混砂浆找平层、需铺符合设计要求标高；
2.完成需收光、压实处理；
3.包含完成该项内容所有工作及费用并满足设计图纸、规范等要求；</t>
        </is>
      </c>
      <c r="D611" s="27" t="inlineStr">
        <is>
          <t>包含完成地面所有施工工序所需的人工、材料（甲供材除外）、机械、管理费、利润；包括但不限于材料计划、卸车倒运（含多次）、保管、测量放线、基底清理、标高检测、配合检测、贴饼冲筋、砂浆找平、抹压、压光、设置分格缝、阻水台（按照方案及交底要求施工）、地面留槽回填及二次处理，所有洞口、管根的补遗处理，养护、配合水电安装、现场清理及分包施工作业面的及时清理、清扫等、装卸费、场内倒运费，配合承包人实验员做好冬季测温记录、坍落度实验及砼试块制作，成品保护、保修等全部工作内容。</t>
        </is>
      </c>
      <c r="E611" s="27" t="inlineStr">
        <is>
          <t>执行《GB/T50854-2024房屋建筑与装饰工程工程量计算标准》，按设计图示尺寸以面积计算。扣除凸出地面构筑物、设备基础、室内管道、地沟等所占面积，不扣除间壁墙及≤0.3 ㎡柱、垛、附墙烟囱及孔洞所占面积。门洞、空圈、暖气包槽、壁龛的开口部分不增加面积。</t>
        </is>
      </c>
      <c r="F611" s="28" t="inlineStr">
        <is>
          <t>m2</t>
        </is>
      </c>
      <c r="G611" s="61" t="n">
        <v>23.89</v>
      </c>
      <c r="H611" s="62" t="n">
        <v>78.50982500000001</v>
      </c>
      <c r="I611" s="65" t="n"/>
      <c r="J611" s="62">
        <f>H611*(1-$I$4)</f>
        <v/>
      </c>
      <c r="K611" s="63">
        <f>G611*J611</f>
        <v/>
      </c>
      <c r="L611" s="33" t="inlineStr">
        <is>
          <t>/</t>
        </is>
      </c>
      <c r="M611" s="64" t="n"/>
      <c r="N611" s="39" t="n">
        <v>1</v>
      </c>
      <c r="O611" t="n">
        <v>28</v>
      </c>
      <c r="P611" s="35" t="inlineStr">
        <is>
          <t>差:-50.51元 (-64.3%) 来源:售楼处</t>
        </is>
      </c>
      <c r="Q611" s="35" t="n"/>
      <c r="R611" s="35" t="n"/>
    </row>
    <row r="612" outlineLevel="2" ht="108" customFormat="1" customHeight="1" s="39">
      <c r="A612" s="37">
        <f>1+N(A611)</f>
        <v/>
      </c>
      <c r="B612" s="27" t="inlineStr">
        <is>
          <t>地面铺贴大理石ST-01</t>
        </is>
      </c>
      <c r="C612" s="27" t="inlineStr">
        <is>
          <t>1.地面20mm大理石ST-01、铺贴、厚度及样式按物料书为准；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612"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612" s="27" t="inlineStr">
        <is>
          <t xml:space="preserve">执行《GB/T50854-2024房屋建筑与装饰工程工程量计算标准》，按设计图示尺寸
以面积计算。 </t>
        </is>
      </c>
      <c r="F612" s="28" t="inlineStr">
        <is>
          <t>m2</t>
        </is>
      </c>
      <c r="G612" s="61" t="n">
        <v>0.3</v>
      </c>
      <c r="H612" s="62" t="n">
        <v>218.75017</v>
      </c>
      <c r="I612" s="65" t="n"/>
      <c r="J612" s="62">
        <f>H612*(1-$I$4)</f>
        <v/>
      </c>
      <c r="K612" s="63">
        <f>G612*J612</f>
        <v/>
      </c>
      <c r="L612" s="33" t="inlineStr">
        <is>
          <t>石材</t>
        </is>
      </c>
      <c r="M612" s="64" t="n"/>
      <c r="N612" s="39" t="n">
        <v>1</v>
      </c>
      <c r="O612" t="n">
        <v>130</v>
      </c>
      <c r="P612" s="35" t="inlineStr">
        <is>
          <t>差:-88.75元 (-40.6%) 来源:售楼处</t>
        </is>
      </c>
      <c r="Q612" s="35" t="n"/>
      <c r="R612" s="35" t="n"/>
    </row>
    <row r="613" outlineLevel="2" ht="108" customFormat="1" customHeight="1" s="39">
      <c r="A613" s="37">
        <f>1+N(A612)</f>
        <v/>
      </c>
      <c r="B613" s="27" t="inlineStr">
        <is>
          <t>地面石材晶面处理</t>
        </is>
      </c>
      <c r="C613" s="27" t="inlineStr">
        <is>
          <t>1.石材结晶处理(结晶水及石材保养剂,中性清洁剂)；
2.包含完成该项内容所有工作及费用并满足设计图纸、规范等要求；</t>
        </is>
      </c>
      <c r="D613"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613" s="27" t="inlineStr">
        <is>
          <t xml:space="preserve">执行《GB/T50854-2024房屋建筑与装饰工程工程量计算标准》，按设计图示尺寸
以面积计算。 </t>
        </is>
      </c>
      <c r="F613" s="28" t="inlineStr">
        <is>
          <t>m2</t>
        </is>
      </c>
      <c r="G613" s="61" t="n">
        <v>0.3</v>
      </c>
      <c r="H613" s="62" t="n">
        <v>64.90000000000001</v>
      </c>
      <c r="I613" s="65" t="n"/>
      <c r="J613" s="62">
        <f>H613*(1-$I$4)</f>
        <v/>
      </c>
      <c r="K613" s="63">
        <f>G613*J613</f>
        <v/>
      </c>
      <c r="L613" s="33" t="inlineStr">
        <is>
          <t>/</t>
        </is>
      </c>
      <c r="M613" s="64" t="n"/>
      <c r="N613" s="39" t="n">
        <v>1</v>
      </c>
      <c r="O613" t="n">
        <v>40</v>
      </c>
      <c r="P613" s="35" t="inlineStr">
        <is>
          <t>差:-24.90元 (-38.4%) 来源:售楼处</t>
        </is>
      </c>
      <c r="Q613" s="35" t="n"/>
      <c r="R613" s="35" t="n"/>
    </row>
    <row r="614" outlineLevel="2" ht="108" customFormat="1" customHeight="1" s="39">
      <c r="A614" s="37">
        <f>1+N(A613)</f>
        <v/>
      </c>
      <c r="B614" s="27" t="inlineStr">
        <is>
          <t>实心铜条5mm宽</t>
        </is>
      </c>
      <c r="C614" s="27" t="inlineStr">
        <is>
          <t>1.实心铜条5mm宽；
2.包含完成该项内容所有工作及费用并满足设计图纸、规范等要求；</t>
        </is>
      </c>
      <c r="D614"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614" s="27" t="inlineStr">
        <is>
          <t>按设计图示尺寸以长度计算。</t>
        </is>
      </c>
      <c r="F614" s="28" t="inlineStr">
        <is>
          <t>m</t>
        </is>
      </c>
      <c r="G614" s="61" t="n">
        <v>1.96</v>
      </c>
      <c r="H614" s="62" t="n">
        <v>89.267</v>
      </c>
      <c r="I614" s="65" t="n"/>
      <c r="J614" s="62">
        <f>H614*(1-$I$4)</f>
        <v/>
      </c>
      <c r="K614" s="63">
        <f>G614*J614</f>
        <v/>
      </c>
      <c r="L614" s="33" t="inlineStr">
        <is>
          <t>/</t>
        </is>
      </c>
      <c r="M614" s="64" t="n"/>
      <c r="N614" s="39" t="n">
        <v>1</v>
      </c>
      <c r="O614" t="n">
        <v>12</v>
      </c>
      <c r="P614" s="35" t="inlineStr">
        <is>
          <t>差:-77.27元 (-86.6%) 来源:售楼处</t>
        </is>
      </c>
      <c r="Q614" s="35" t="n"/>
      <c r="R614" s="35" t="n"/>
    </row>
    <row r="615" outlineLevel="1" customFormat="1" s="39">
      <c r="A615" s="36" t="n"/>
      <c r="B615" s="27" t="inlineStr">
        <is>
          <t>墙柱面工程</t>
        </is>
      </c>
      <c r="C615" s="27" t="n"/>
      <c r="D615" s="27" t="n"/>
      <c r="E615" s="27" t="n"/>
      <c r="F615" s="28" t="n"/>
      <c r="G615" s="61" t="n"/>
      <c r="H615" s="62" t="n"/>
      <c r="I615" s="65" t="n"/>
      <c r="J615" s="62" t="n"/>
      <c r="K615" s="63" t="n"/>
      <c r="L615" s="33" t="n"/>
      <c r="M615" s="64" t="n"/>
      <c r="P615" s="35" t="n"/>
      <c r="Q615" s="35" t="n"/>
      <c r="R615" s="35" t="n"/>
    </row>
    <row r="616" outlineLevel="2" ht="144" customFormat="1" customHeight="1" s="39">
      <c r="A616" s="37">
        <f>1+N(A615)</f>
        <v/>
      </c>
      <c r="B616" s="27" t="inlineStr">
        <is>
          <t>WP-05墙布</t>
        </is>
      </c>
      <c r="C616" s="27" t="inlineStr">
        <is>
          <t>1、WP-05墙布，结构胶固定（含不锈钢线条）
2、12mm阻燃板，轻钢副龙骨@400
3、包含完成该项内容所有工作及费用并满足设计图纸、规范等要求</t>
        </is>
      </c>
      <c r="D616"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616" s="27" t="inlineStr">
        <is>
          <t xml:space="preserve">执行《GB/T50854-2024房屋建筑与装饰工程工程量计算标准》，按设计图示尺寸以面积计算。 </t>
        </is>
      </c>
      <c r="F616" s="28" t="inlineStr">
        <is>
          <t>m2</t>
        </is>
      </c>
      <c r="G616" s="61" t="n">
        <v>59.15</v>
      </c>
      <c r="H616" s="62" t="n">
        <v>205.32</v>
      </c>
      <c r="I616" s="65" t="n"/>
      <c r="J616" s="62">
        <f>H616*(1-$I$4)</f>
        <v/>
      </c>
      <c r="K616" s="63">
        <f>G616*J616</f>
        <v/>
      </c>
      <c r="L616" s="33" t="inlineStr">
        <is>
          <t>墙布</t>
        </is>
      </c>
      <c r="M616" s="64" t="n"/>
      <c r="N616" s="39" t="n">
        <v>1</v>
      </c>
      <c r="O616" t="n">
        <v>76.5</v>
      </c>
      <c r="P616" s="35" t="inlineStr">
        <is>
          <t>差:-128.82元 (-62.7%) 来源:售楼处</t>
        </is>
      </c>
      <c r="Q616" s="35" t="n"/>
      <c r="R616" s="35" t="n"/>
    </row>
    <row r="617" outlineLevel="2" ht="144" customFormat="1" customHeight="1" s="39">
      <c r="A617" s="37">
        <f>1+N(A616)</f>
        <v/>
      </c>
      <c r="B617" s="27" t="inlineStr">
        <is>
          <t>MT-01古铜不锈钢踢脚线（高20mm）</t>
        </is>
      </c>
      <c r="C617" s="27" t="inlineStr">
        <is>
          <t>1、1.2mm厚 MT-01古铜不锈钢踢脚线（高20mm，展开面为46mm），结构胶固定
2、9厘玻镁板基层
3、包含完成该项内容所有工作及费用并满足设计图纸、规范等要求</t>
        </is>
      </c>
      <c r="D617"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617" s="27" t="inlineStr">
        <is>
          <t>按设计图示尺寸以长度计算。</t>
        </is>
      </c>
      <c r="F617" s="28" t="inlineStr">
        <is>
          <t>m</t>
        </is>
      </c>
      <c r="G617" s="61" t="n">
        <v>20.06</v>
      </c>
      <c r="H617" s="62" t="n">
        <v>31.86</v>
      </c>
      <c r="I617" s="65" t="n"/>
      <c r="J617" s="62">
        <f>H617*(1-$I$4)</f>
        <v/>
      </c>
      <c r="K617" s="63">
        <f>G617*J617</f>
        <v/>
      </c>
      <c r="L617" s="33" t="inlineStr">
        <is>
          <t>不锈钢踢脚线</t>
        </is>
      </c>
      <c r="M617" s="64" t="n"/>
      <c r="N617" s="39" t="n">
        <v>1</v>
      </c>
      <c r="O617" t="n">
        <v>12</v>
      </c>
      <c r="P617" s="35" t="inlineStr">
        <is>
          <t>差:-19.86元 (-62.3%) 来源:售楼处</t>
        </is>
      </c>
      <c r="Q617" s="35" t="n"/>
      <c r="R617" s="35" t="n"/>
    </row>
    <row r="618" outlineLevel="2" ht="72" customFormat="1" customHeight="1" s="39">
      <c r="A618" s="37">
        <f>1+N(A617)</f>
        <v/>
      </c>
      <c r="B618" s="27" t="inlineStr">
        <is>
          <t>MT-01古铜不锈钢窗套（展开面为95mm）</t>
        </is>
      </c>
      <c r="C618" s="27" t="inlineStr">
        <is>
          <t>1、1.2mm厚 MT-01古铜不锈钢窗套（展开面为95mm），结构胶固定
2、9厘玻镁板基层
3、包含完成该项内容所有工作及费用并满足设计图纸、规范等要求</t>
        </is>
      </c>
      <c r="D618" s="27" t="inlineStr">
        <is>
          <t>自现有现场条件下按照合同约定范围、图纸（含设计变更）及甲方要求内容以及规范、标准、相关做法等要求完成并达到总包合同全部目标的全部工作内容。</t>
        </is>
      </c>
      <c r="E618" s="27" t="inlineStr">
        <is>
          <t>以最终验收合格的工程量计算</t>
        </is>
      </c>
      <c r="F618" s="28" t="inlineStr">
        <is>
          <t>m2</t>
        </is>
      </c>
      <c r="G618" s="61" t="n">
        <v>1.54</v>
      </c>
      <c r="H618" s="62" t="n">
        <v>630.651</v>
      </c>
      <c r="I618" s="65" t="n"/>
      <c r="J618" s="62">
        <f>H618*(1-$I$4)</f>
        <v/>
      </c>
      <c r="K618" s="63">
        <f>G618*J618</f>
        <v/>
      </c>
      <c r="L618" s="33" t="inlineStr">
        <is>
          <t>/</t>
        </is>
      </c>
      <c r="M618" s="64" t="n"/>
      <c r="N618" s="39" t="n">
        <v>1</v>
      </c>
      <c r="O618" t="n">
        <v>110</v>
      </c>
      <c r="P618" s="35" t="inlineStr">
        <is>
          <t>差:-520.65元 (-82.6%) 来源:售楼处</t>
        </is>
      </c>
      <c r="Q618" s="35" t="n"/>
      <c r="R618" s="35" t="n"/>
    </row>
    <row r="619" outlineLevel="1" customFormat="1" s="39">
      <c r="A619" s="36" t="n"/>
      <c r="B619" s="27" t="inlineStr">
        <is>
          <t>天花工程</t>
        </is>
      </c>
      <c r="C619" s="27" t="n"/>
      <c r="D619" s="27" t="n"/>
      <c r="E619" s="27" t="n"/>
      <c r="F619" s="28" t="n"/>
      <c r="G619" s="61" t="n"/>
      <c r="H619" s="62" t="n"/>
      <c r="I619" s="65" t="n"/>
      <c r="J619" s="62" t="n"/>
      <c r="K619" s="63" t="n"/>
      <c r="L619" s="33" t="n"/>
      <c r="M619" s="64" t="n"/>
      <c r="P619" s="35" t="n"/>
      <c r="Q619" s="35" t="n"/>
      <c r="R619" s="35" t="n"/>
    </row>
    <row r="620" outlineLevel="2" ht="192" customFormat="1" customHeight="1" s="39">
      <c r="A620" s="37">
        <f>1+N(A619)</f>
        <v/>
      </c>
      <c r="B620" s="27" t="inlineStr">
        <is>
          <t>造型石膏板吊顶</t>
        </is>
      </c>
      <c r="C620" s="27" t="inlineStr">
        <is>
          <t>1.60系列轻钢主龙骨@900，60系列轻钢副龙骨@400，60系列横撑龙骨@600，08螺纹吊杆@900不上人天花吊顶（投影面计算）
2.玻镁板、双层9.5厚石膏板基层，含开孔、检修口、10*10凹槽等费用；
3.含除灯槽外的侧面高差及其连接件、吊件；
4.包含完成该项内容所有工作及费用并满足设计图纸、规范等要求；</t>
        </is>
      </c>
      <c r="D620" s="27" t="inlineStr">
        <is>
          <t>1.基层清理。
2.弹线定位、排版。
3.吊杆及连接件安装调平、收口及密封处理。
4.材料切割处理找平、石膏板安装及调整，打胶密封与清理.
5.收口及其他处理：检修口等制作安装、收边收口、配合预留安装、机电等专业孔洞及孔洞收口处理。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620" s="27" t="inlineStr">
        <is>
          <t>按设计图示尺寸以水平投影面积计算。不扣除间壁墙、检查口、附墙烟囱、柱垛和管道所占面积,扣除单个&gt;0.3m3的孔洞、非密拼吊顶空隙所占的面积、独立柱及与天棚相连的窗帘盒所占的面积。</t>
        </is>
      </c>
      <c r="F620" s="28" t="inlineStr">
        <is>
          <t>m2</t>
        </is>
      </c>
      <c r="G620" s="61" t="n">
        <v>23.89</v>
      </c>
      <c r="H620" s="62" t="n">
        <v>174.574444444444</v>
      </c>
      <c r="I620" s="65" t="n"/>
      <c r="J620" s="62">
        <f>H620*(1-$I$4)</f>
        <v/>
      </c>
      <c r="K620" s="63">
        <f>G620*J620</f>
        <v/>
      </c>
      <c r="L620" s="33" t="inlineStr">
        <is>
          <t>/</t>
        </is>
      </c>
      <c r="M620" s="64" t="n"/>
      <c r="N620" s="39" t="n">
        <v>1</v>
      </c>
      <c r="O620" t="n">
        <v>70</v>
      </c>
      <c r="P620" s="35" t="inlineStr">
        <is>
          <t>差:-104.57元 (-59.9%) 来源:售楼处</t>
        </is>
      </c>
      <c r="Q620" s="35" t="n"/>
      <c r="R620" s="35" t="n"/>
    </row>
    <row r="621" outlineLevel="2" ht="72" customFormat="1" customHeight="1" s="39">
      <c r="A621" s="37">
        <f>1+N(A620)</f>
        <v/>
      </c>
      <c r="B621" s="27" t="inlineStr">
        <is>
          <t>灯槽（100mm*200mm）</t>
        </is>
      </c>
      <c r="C621" s="27" t="inlineStr">
        <is>
          <t>1.灯槽（100mm*200mm）；
2.双层板：9mm玻镁板、9.5厚石膏板；
3.包含完成该项内容所有工作及费用并满足设计图纸、规范等要求；</t>
        </is>
      </c>
      <c r="D621" s="27" t="inlineStr">
        <is>
          <t>自现有现场条件下按照合同约定范围、图纸（含设计变更）及甲方要求内容以及规范、标准、相关做法等要求完成并达到总包合同全部目标的全部工作内容。</t>
        </is>
      </c>
      <c r="E621" s="27" t="inlineStr">
        <is>
          <t>依据经承包人确认的施工部位,按设计图示尺寸以延长米计算。</t>
        </is>
      </c>
      <c r="F621" s="28" t="inlineStr">
        <is>
          <t>m</t>
        </is>
      </c>
      <c r="G621" s="61" t="n">
        <v>11.5</v>
      </c>
      <c r="H621" s="62" t="n">
        <v>112.159</v>
      </c>
      <c r="I621" s="65" t="n"/>
      <c r="J621" s="62">
        <f>H621*(1-$I$4)</f>
        <v/>
      </c>
      <c r="K621" s="63">
        <f>G621*J621</f>
        <v/>
      </c>
      <c r="L621" s="33" t="inlineStr">
        <is>
          <t>/</t>
        </is>
      </c>
      <c r="M621" s="64" t="n"/>
      <c r="N621" s="39" t="n">
        <v>1</v>
      </c>
      <c r="O621" t="n">
        <v>50</v>
      </c>
      <c r="P621" s="35" t="inlineStr">
        <is>
          <t>差:-62.16元 (-55.4%) 来源:售楼处</t>
        </is>
      </c>
      <c r="Q621" s="35" t="n"/>
      <c r="R621" s="35" t="n"/>
    </row>
    <row r="622" outlineLevel="2" ht="72" customFormat="1" customHeight="1" s="39">
      <c r="A622" s="37">
        <f>1+N(A621)</f>
        <v/>
      </c>
      <c r="B622" s="27" t="inlineStr">
        <is>
          <t>成品石膏线条</t>
        </is>
      </c>
      <c r="C622" s="27" t="inlineStr">
        <is>
          <t>1.成品石膏线条（50mm*50mm）；
2.按图纸造型；
3.包含完成该项内容所有工作及费用并满足设计图纸、规范等要求；</t>
        </is>
      </c>
      <c r="D622" s="27" t="inlineStr">
        <is>
          <t>自现有现场条件下按照合同约定范围、图纸（含设计变更）及甲方要求内容以及规范、标准、相关做法等要求完成并达到总包合同全部目标的全部工作内容。</t>
        </is>
      </c>
      <c r="E622" s="27" t="inlineStr">
        <is>
          <t>依据经承包人确认的施工部位,按设计图示尺寸以延长米计算。</t>
        </is>
      </c>
      <c r="F622" s="28" t="inlineStr">
        <is>
          <t>m</t>
        </is>
      </c>
      <c r="G622" s="61" t="n">
        <v>11.5</v>
      </c>
      <c r="H622" s="62" t="n">
        <v>20.06</v>
      </c>
      <c r="I622" s="65" t="n"/>
      <c r="J622" s="62">
        <f>H622*(1-$I$4)</f>
        <v/>
      </c>
      <c r="K622" s="63">
        <f>G622*J622</f>
        <v/>
      </c>
      <c r="L622" s="33" t="inlineStr">
        <is>
          <t>成品石膏线条</t>
        </is>
      </c>
      <c r="M622" s="64" t="n"/>
      <c r="N622" s="39" t="n">
        <v>1</v>
      </c>
      <c r="O622" t="n">
        <v>18</v>
      </c>
      <c r="P622" s="35" t="inlineStr">
        <is>
          <t>差:-2.06元 (-10.3%) 来源:售楼处</t>
        </is>
      </c>
      <c r="Q622" s="35" t="n"/>
      <c r="R622" s="35" t="n"/>
    </row>
    <row r="623" outlineLevel="2" ht="72" customFormat="1" customHeight="1" s="39">
      <c r="A623" s="37">
        <f>1+N(A622)</f>
        <v/>
      </c>
      <c r="B623" s="27" t="inlineStr">
        <is>
          <t>窗帘盒（200mm*200mm）</t>
        </is>
      </c>
      <c r="C623" s="27" t="inlineStr">
        <is>
          <t>1.窗帘盒窗帘盒（200mm*200mm）；
2.双层板：9mm玻镁板、9.5厚石膏板；
3.50系列轻钢龙骨及其连接件、吊件；
4.包含完成该项内容所有工作及费用并满足设计图纸、规范等要求；</t>
        </is>
      </c>
      <c r="D623" s="27" t="inlineStr">
        <is>
          <t>自现有现场条件下按照合同约定范围、图纸（含设计变更）及甲方要求内容以及规范、标准、相关做法等要求完成并达到总包合同全部目标的全部工作内容。</t>
        </is>
      </c>
      <c r="E623" s="27" t="inlineStr">
        <is>
          <t>依据经承包人确认的施工部位,按设计图示尺寸以延长米计算。</t>
        </is>
      </c>
      <c r="F623" s="28" t="inlineStr">
        <is>
          <t>m</t>
        </is>
      </c>
      <c r="G623" s="61" t="n">
        <v>7.34</v>
      </c>
      <c r="H623" s="62" t="n">
        <v>123.192</v>
      </c>
      <c r="I623" s="65" t="n"/>
      <c r="J623" s="62">
        <f>H623*(1-$I$4)</f>
        <v/>
      </c>
      <c r="K623" s="63">
        <f>G623*J623</f>
        <v/>
      </c>
      <c r="L623" s="33" t="inlineStr">
        <is>
          <t>/</t>
        </is>
      </c>
      <c r="M623" s="64" t="n"/>
      <c r="N623" s="39" t="n">
        <v>1</v>
      </c>
      <c r="O623" t="n">
        <v>55</v>
      </c>
      <c r="P623" s="35" t="inlineStr">
        <is>
          <t>差:-68.19元 (-55.4%) 来源:售楼处</t>
        </is>
      </c>
      <c r="Q623" s="35" t="n"/>
      <c r="R623" s="35" t="n"/>
    </row>
    <row r="624" outlineLevel="2" ht="72" customFormat="1" customHeight="1" s="39">
      <c r="A624" s="37">
        <f>1+N(A623)</f>
        <v/>
      </c>
      <c r="B624" s="27" t="inlineStr">
        <is>
          <t>条形空调风口（150mm）</t>
        </is>
      </c>
      <c r="C624" s="27" t="inlineStr">
        <is>
          <t>1.条形空调风口（150mm）；
2.风口周边阻燃板封边加固处理；
3.包含完成该项内容所有工作及费用并满足设计图纸、规范等要求；</t>
        </is>
      </c>
      <c r="D624" s="27" t="inlineStr">
        <is>
          <t>自现有现场条件下按照合同约定范围、图纸（含设计变更）及甲方要求内容以及规范、标准、相关做法等要求完成并达到总包合同全部目标的全部工作内容。</t>
        </is>
      </c>
      <c r="E624" s="27" t="inlineStr">
        <is>
          <t>依据经承包人确认的施工部位,按设计图示尺寸以延长米计算。</t>
        </is>
      </c>
      <c r="F624" s="28" t="inlineStr">
        <is>
          <t>m</t>
        </is>
      </c>
      <c r="G624" s="61" t="n">
        <v>2.4</v>
      </c>
      <c r="H624" s="62" t="n">
        <v>109.74</v>
      </c>
      <c r="I624" s="65" t="n"/>
      <c r="J624" s="62">
        <f>H624*(1-$I$4)</f>
        <v/>
      </c>
      <c r="K624" s="63">
        <f>G624*J624</f>
        <v/>
      </c>
      <c r="L624" s="33" t="inlineStr">
        <is>
          <t>空调风口</t>
        </is>
      </c>
      <c r="M624" s="64" t="n"/>
      <c r="N624" s="39" t="n">
        <v>1</v>
      </c>
      <c r="O624" t="n">
        <v>30</v>
      </c>
      <c r="P624" s="35" t="inlineStr">
        <is>
          <t>差:-79.74元 (-72.7%) 来源:售楼处</t>
        </is>
      </c>
      <c r="Q624" s="35" t="n"/>
      <c r="R624" s="35" t="n"/>
    </row>
    <row r="625" outlineLevel="2" ht="192" customFormat="1" customHeight="1" s="39">
      <c r="A625" s="37">
        <f>1+N(A624)</f>
        <v/>
      </c>
      <c r="B625" s="27" t="inlineStr">
        <is>
          <t>天花肌理无机涂料PT-01</t>
        </is>
      </c>
      <c r="C625" s="27" t="inlineStr">
        <is>
          <t>1.天花肌理无机涂料PT-01；
2.刮腻子二遍磨平；
3.底漆1遍，面漆2遍；
4.包含完成该项内容所有工作及费用并满足设计图纸、规范等要求；</t>
        </is>
      </c>
      <c r="D625" s="27" t="inlineStr">
        <is>
          <t>包括但不限于材料计划、采购、卸车倒运、保管、检验试验费、测量放线，包含四周阴角找平直、含天棚四周阴角找平直，打磨，简易脚手架搭拆及操作平台、升降机，基层清理、打磨平整、底层找补、满刮涂料（含阴阳角塑料条）、涂料打磨、补遗处理、配合其他分包施工、完工后场清、成品保护、保修等直到达到竣工交付标准的全部工作内容。包括所有为完成工作所需的小型机具；包括所有为完成工作所需的附属工作；包括但不限于以上内容。</t>
        </is>
      </c>
      <c r="E625" s="27" t="inlineStr">
        <is>
          <t>执行《GB/T50854-2024房屋建筑与装饰工程工程量计算标准》，按设计图示尺寸以面积计算。扣除0.3平方米以上洞口的面积；梁侧面及檐口天棚并入天棚计算；以设计图纸和技术交底为基础</t>
        </is>
      </c>
      <c r="F625" s="28" t="inlineStr">
        <is>
          <t>m2</t>
        </is>
      </c>
      <c r="G625" s="61" t="n">
        <v>23.89</v>
      </c>
      <c r="H625" s="62" t="n">
        <v>48.38</v>
      </c>
      <c r="I625" s="65" t="n"/>
      <c r="J625" s="62">
        <f>H625*(1-$I$4)</f>
        <v/>
      </c>
      <c r="K625" s="63">
        <f>G625*J625</f>
        <v/>
      </c>
      <c r="L625" s="33" t="inlineStr">
        <is>
          <t>涂料</t>
        </is>
      </c>
      <c r="M625" s="64" t="n"/>
      <c r="N625" s="39" t="n">
        <v>1</v>
      </c>
      <c r="O625" t="n">
        <v>45</v>
      </c>
      <c r="P625" s="35" t="inlineStr">
        <is>
          <t>差:-3.38元 (-7.0%) 来源:售楼处</t>
        </is>
      </c>
      <c r="Q625" s="35" t="n"/>
      <c r="R625" s="35" t="n"/>
    </row>
    <row r="626" outlineLevel="1" customFormat="1" s="39">
      <c r="A626" s="36" t="n"/>
      <c r="B626" s="27" t="inlineStr">
        <is>
          <t>门窗、家具工程</t>
        </is>
      </c>
      <c r="C626" s="27" t="n"/>
      <c r="D626" s="27" t="n"/>
      <c r="E626" s="27" t="n"/>
      <c r="F626" s="28" t="n"/>
      <c r="G626" s="61" t="n"/>
      <c r="H626" s="62" t="n"/>
      <c r="I626" s="65" t="n"/>
      <c r="J626" s="62" t="n"/>
      <c r="K626" s="63" t="n"/>
      <c r="L626" s="33" t="n"/>
      <c r="M626" s="64" t="n"/>
      <c r="P626" s="35" t="n"/>
      <c r="Q626" s="35" t="n"/>
      <c r="R626" s="35" t="n"/>
    </row>
    <row r="627" outlineLevel="2" ht="84" customFormat="1" customHeight="1" s="39">
      <c r="A627" s="37">
        <f>1+N(A626)</f>
        <v/>
      </c>
      <c r="B627" s="27" t="inlineStr">
        <is>
          <t>平开门(DR04)</t>
        </is>
      </c>
      <c r="C627" s="27" t="inlineStr">
        <is>
          <t>1、门扇：WD-03木饰面、20*40mm热镀锌矩管、9mm厚玻镁板基层
2、门套：WD-03木饰面
3、定制成品套装门制安
4、含暗合页、门把手等五金配件
5、包含完成该项内容所有工作及费用并满足设计图纸、规范等要求</t>
        </is>
      </c>
      <c r="D627" s="27" t="inlineStr">
        <is>
          <t>自现有现场条件下按照合同约定范围、图纸（含设计变更）及甲方要求内容以及规范、标准、相关做法等要求完成并达到总包合同全部目标的全部工作内容。</t>
        </is>
      </c>
      <c r="E627" s="27" t="inlineStr">
        <is>
          <t>以最终验收合格的工程量计算</t>
        </is>
      </c>
      <c r="F627" s="28" t="inlineStr">
        <is>
          <t>m2</t>
        </is>
      </c>
      <c r="G627" s="61" t="n">
        <v>3.54</v>
      </c>
      <c r="H627" s="62" t="n">
        <v>2447.18117647059</v>
      </c>
      <c r="I627" s="65" t="n"/>
      <c r="J627" s="62">
        <f>H627*(1-$I$4)</f>
        <v/>
      </c>
      <c r="K627" s="63">
        <f>G627*J627</f>
        <v/>
      </c>
      <c r="L627" s="33" t="inlineStr">
        <is>
          <t>/</t>
        </is>
      </c>
      <c r="M627" s="64" t="n"/>
      <c r="N627" s="39" t="n">
        <v>1</v>
      </c>
      <c r="O627" t="n">
        <v>145</v>
      </c>
      <c r="P627" s="35" t="inlineStr">
        <is>
          <t>差:-2302.18元 (-94.1%) 来源:售楼处</t>
        </is>
      </c>
      <c r="Q627" s="35" t="n"/>
      <c r="R627" s="35" t="n"/>
    </row>
    <row r="628" outlineLevel="1" customFormat="1" s="39">
      <c r="A628" s="26" t="inlineStr">
        <is>
          <t>八</t>
        </is>
      </c>
      <c r="B628" s="27" t="inlineStr">
        <is>
          <t>销售办公室</t>
        </is>
      </c>
      <c r="C628" s="27" t="n"/>
      <c r="D628" s="27" t="n"/>
      <c r="E628" s="27" t="n"/>
      <c r="F628" s="28" t="n"/>
      <c r="G628" s="61" t="n"/>
      <c r="H628" s="62" t="n"/>
      <c r="I628" s="65" t="n"/>
      <c r="J628" s="62" t="n"/>
      <c r="K628" s="63" t="n"/>
      <c r="L628" s="33" t="n"/>
      <c r="M628" s="64" t="n"/>
      <c r="P628" s="35" t="n"/>
      <c r="Q628" s="35" t="n"/>
      <c r="R628" s="35" t="n"/>
    </row>
    <row r="629" outlineLevel="1" customFormat="1" s="39">
      <c r="A629" s="36" t="n"/>
      <c r="B629" s="27" t="inlineStr">
        <is>
          <t>地面工程</t>
        </is>
      </c>
      <c r="C629" s="27" t="n"/>
      <c r="D629" s="27" t="n"/>
      <c r="E629" s="27" t="n"/>
      <c r="F629" s="28" t="n"/>
      <c r="G629" s="61" t="n"/>
      <c r="H629" s="62" t="n"/>
      <c r="I629" s="65" t="n"/>
      <c r="J629" s="62" t="n"/>
      <c r="K629" s="63" t="n"/>
      <c r="L629" s="33" t="n"/>
      <c r="M629" s="64" t="n"/>
      <c r="P629" s="35" t="n"/>
      <c r="Q629" s="35" t="n"/>
      <c r="R629" s="35" t="n"/>
    </row>
    <row r="630" outlineLevel="2" ht="108" customFormat="1" customHeight="1" s="39">
      <c r="A630" s="37">
        <f>1+N(A629)</f>
        <v/>
      </c>
      <c r="B630" s="27" t="inlineStr">
        <is>
          <t>地面铺木地板</t>
        </is>
      </c>
      <c r="C630" s="27" t="inlineStr">
        <is>
          <t>1.地面防潮木地板WF-03；
2.防潮膜；
3.自流平
4.包含完成该项内容所有工作及费用并满足设计图纸、规范等要求；</t>
        </is>
      </c>
      <c r="D630"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t>
        </is>
      </c>
      <c r="E630" s="27" t="inlineStr">
        <is>
          <t xml:space="preserve">执行《GB/T50854-2024房屋建筑与装饰工程工程量计算标准》，按设计图示尺寸
以面积计算。 </t>
        </is>
      </c>
      <c r="F630" s="28" t="inlineStr">
        <is>
          <t>m2</t>
        </is>
      </c>
      <c r="G630" s="61" t="n">
        <v>20.76</v>
      </c>
      <c r="H630" s="62" t="n">
        <v>92.04000000000001</v>
      </c>
      <c r="I630" s="65" t="n"/>
      <c r="J630" s="62">
        <f>H630*(1-$I$4)</f>
        <v/>
      </c>
      <c r="K630" s="63">
        <f>G630*J630</f>
        <v/>
      </c>
      <c r="L630" s="33" t="inlineStr">
        <is>
          <t>木地板</t>
        </is>
      </c>
      <c r="M630" s="64" t="n"/>
      <c r="N630" s="39" t="n">
        <v>1</v>
      </c>
      <c r="O630" t="n">
        <v>36</v>
      </c>
      <c r="P630" s="35" t="inlineStr">
        <is>
          <t>差:-56.04元 (-60.9%) 来源:售楼处</t>
        </is>
      </c>
      <c r="Q630" s="35" t="n"/>
      <c r="R630" s="35" t="n"/>
    </row>
    <row r="631" outlineLevel="2" ht="216" customFormat="1" customHeight="1" s="39">
      <c r="A631" s="37">
        <f>1+N(A630)</f>
        <v/>
      </c>
      <c r="B631" s="27" t="inlineStr">
        <is>
          <t>水泥砂浆找平层</t>
        </is>
      </c>
      <c r="C631" s="27" t="inlineStr">
        <is>
          <t>1.75mm厚DS干混砂浆找平层、需铺符合设计要求标高；
2.完成需收光、压实处理；
3.包含完成该项内容所有工作及费用并满足设计图纸、规范等要求；</t>
        </is>
      </c>
      <c r="D631" s="27" t="inlineStr">
        <is>
          <t>包含完成地面所有施工工序所需的人工、材料（甲供材除外）、机械、管理费、利润；包括但不限于材料计划、卸车倒运（含多次）、保管、测量放线、基底清理、标高检测、配合检测、贴饼冲筋、砂浆找平、抹压、压光、设置分格缝、阻水台（按照方案及交底要求施工）、地面留槽回填及二次处理，所有洞口、管根的补遗处理，养护、配合水电安装、现场清理及分包施工作业面的及时清理、清扫等、装卸费、场内倒运费，配合承包人实验员做好冬季测温记录、坍落度实验及砼试块制作，成品保护、保修等全部工作内容。</t>
        </is>
      </c>
      <c r="E631" s="27" t="inlineStr">
        <is>
          <t>执行《GB/T50854-2024房屋建筑与装饰工程工程量计算标准》，按设计图示尺寸以面积计算。扣除凸出地面构筑物、设备基础、室内管道、地沟等所占面积，不扣除间壁墙及≤0.3 ㎡柱、垛、附墙烟囱及孔洞所占面积。门洞、空圈、暖气包槽、壁龛的开口部分不增加面积。</t>
        </is>
      </c>
      <c r="F631" s="28" t="inlineStr">
        <is>
          <t>m2</t>
        </is>
      </c>
      <c r="G631" s="61" t="n">
        <v>20.76</v>
      </c>
      <c r="H631" s="62" t="n">
        <v>78.50982500000001</v>
      </c>
      <c r="I631" s="65" t="n"/>
      <c r="J631" s="62">
        <f>H631*(1-$I$4)</f>
        <v/>
      </c>
      <c r="K631" s="63">
        <f>G631*J631</f>
        <v/>
      </c>
      <c r="L631" s="33" t="inlineStr">
        <is>
          <t>/</t>
        </is>
      </c>
      <c r="M631" s="64" t="n"/>
      <c r="N631" s="39" t="n">
        <v>1</v>
      </c>
      <c r="O631" t="n">
        <v>28</v>
      </c>
      <c r="P631" s="35" t="inlineStr">
        <is>
          <t>差:-50.51元 (-64.3%) 来源:售楼处</t>
        </is>
      </c>
      <c r="Q631" s="35" t="n"/>
      <c r="R631" s="35" t="n"/>
    </row>
    <row r="632" outlineLevel="2" ht="108" customFormat="1" customHeight="1" s="39">
      <c r="A632" s="37">
        <f>1+N(A631)</f>
        <v/>
      </c>
      <c r="B632" s="27" t="inlineStr">
        <is>
          <t>地面铺贴大理石ST-01</t>
        </is>
      </c>
      <c r="C632" s="27" t="inlineStr">
        <is>
          <t>1.地面20mm大理石ST-01、铺贴、厚度及样式按物料书为准；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632"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632" s="27" t="inlineStr">
        <is>
          <t xml:space="preserve">执行《GB/T50854-2024房屋建筑与装饰工程工程量计算标准》，按设计图示尺寸
以面积计算。 </t>
        </is>
      </c>
      <c r="F632" s="28" t="inlineStr">
        <is>
          <t>m2</t>
        </is>
      </c>
      <c r="G632" s="61" t="n">
        <v>0.39</v>
      </c>
      <c r="H632" s="62" t="n">
        <v>218.75017</v>
      </c>
      <c r="I632" s="65" t="n"/>
      <c r="J632" s="62">
        <f>H632*(1-$I$4)</f>
        <v/>
      </c>
      <c r="K632" s="63">
        <f>G632*J632</f>
        <v/>
      </c>
      <c r="L632" s="33" t="inlineStr">
        <is>
          <t>石材</t>
        </is>
      </c>
      <c r="M632" s="64" t="n"/>
      <c r="N632" s="39" t="n">
        <v>1</v>
      </c>
      <c r="O632" t="n">
        <v>130</v>
      </c>
      <c r="P632" s="35" t="inlineStr">
        <is>
          <t>差:-88.75元 (-40.6%) 来源:售楼处</t>
        </is>
      </c>
      <c r="Q632" s="35" t="n"/>
      <c r="R632" s="35" t="n"/>
    </row>
    <row r="633" outlineLevel="2" ht="108" customFormat="1" customHeight="1" s="39">
      <c r="A633" s="37">
        <f>1+N(A632)</f>
        <v/>
      </c>
      <c r="B633" s="27" t="inlineStr">
        <is>
          <t>地面石材晶面处理</t>
        </is>
      </c>
      <c r="C633" s="27" t="inlineStr">
        <is>
          <t>1.石材结晶处理(结晶水及石材保养剂,中性清洁剂)；
2.包含完成该项内容所有工作及费用并满足设计图纸、规范等要求；</t>
        </is>
      </c>
      <c r="D633"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633" s="27" t="inlineStr">
        <is>
          <t xml:space="preserve">执行《GB/T50854-2024房屋建筑与装饰工程工程量计算标准》，按设计图示尺寸
以面积计算。 </t>
        </is>
      </c>
      <c r="F633" s="28" t="inlineStr">
        <is>
          <t>m2</t>
        </is>
      </c>
      <c r="G633" s="61" t="n">
        <v>0.39</v>
      </c>
      <c r="H633" s="62" t="n">
        <v>64.90000000000001</v>
      </c>
      <c r="I633" s="65" t="n"/>
      <c r="J633" s="62">
        <f>H633*(1-$I$4)</f>
        <v/>
      </c>
      <c r="K633" s="63">
        <f>G633*J633</f>
        <v/>
      </c>
      <c r="L633" s="33" t="inlineStr">
        <is>
          <t>/</t>
        </is>
      </c>
      <c r="M633" s="64" t="n"/>
      <c r="N633" s="39" t="n">
        <v>1</v>
      </c>
      <c r="O633" t="n">
        <v>40</v>
      </c>
      <c r="P633" s="35" t="inlineStr">
        <is>
          <t>差:-24.90元 (-38.4%) 来源:售楼处</t>
        </is>
      </c>
      <c r="Q633" s="35" t="n"/>
      <c r="R633" s="35" t="n"/>
    </row>
    <row r="634" outlineLevel="2" ht="108" customFormat="1" customHeight="1" s="39">
      <c r="A634" s="37">
        <f>1+N(A633)</f>
        <v/>
      </c>
      <c r="B634" s="27" t="inlineStr">
        <is>
          <t>实心铜条5mm宽</t>
        </is>
      </c>
      <c r="C634" s="27" t="inlineStr">
        <is>
          <t>1.实心铜条5mm宽；
2.包含完成该项内容所有工作及费用并满足设计图纸、规范等要求；</t>
        </is>
      </c>
      <c r="D634"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634" s="27" t="inlineStr">
        <is>
          <t>按设计图示尺寸以长度计算。</t>
        </is>
      </c>
      <c r="F634" s="28" t="inlineStr">
        <is>
          <t>m</t>
        </is>
      </c>
      <c r="G634" s="61" t="n">
        <v>1.96</v>
      </c>
      <c r="H634" s="62" t="n">
        <v>89.267</v>
      </c>
      <c r="I634" s="65" t="n"/>
      <c r="J634" s="62">
        <f>H634*(1-$I$4)</f>
        <v/>
      </c>
      <c r="K634" s="63">
        <f>G634*J634</f>
        <v/>
      </c>
      <c r="L634" s="33" t="inlineStr">
        <is>
          <t>/</t>
        </is>
      </c>
      <c r="M634" s="64" t="n"/>
      <c r="N634" s="39" t="n">
        <v>1</v>
      </c>
      <c r="O634" t="n">
        <v>12</v>
      </c>
      <c r="P634" s="35" t="inlineStr">
        <is>
          <t>差:-77.27元 (-86.6%) 来源:售楼处</t>
        </is>
      </c>
      <c r="Q634" s="35" t="n"/>
      <c r="R634" s="35" t="n"/>
    </row>
    <row r="635" outlineLevel="1" customFormat="1" s="39">
      <c r="A635" s="36" t="n"/>
      <c r="B635" s="27" t="inlineStr">
        <is>
          <t>墙柱面工程</t>
        </is>
      </c>
      <c r="C635" s="27" t="n"/>
      <c r="D635" s="27" t="n"/>
      <c r="E635" s="27" t="n"/>
      <c r="F635" s="28" t="n"/>
      <c r="G635" s="61" t="n"/>
      <c r="H635" s="62" t="n"/>
      <c r="I635" s="65" t="n"/>
      <c r="J635" s="62" t="n"/>
      <c r="K635" s="63" t="n"/>
      <c r="L635" s="33" t="n"/>
      <c r="M635" s="64" t="n"/>
      <c r="P635" s="35" t="n"/>
      <c r="Q635" s="35" t="n"/>
      <c r="R635" s="35" t="n"/>
    </row>
    <row r="636" outlineLevel="2" ht="144" customFormat="1" customHeight="1" s="39">
      <c r="A636" s="37">
        <f>1+N(A635)</f>
        <v/>
      </c>
      <c r="B636" s="27" t="inlineStr">
        <is>
          <t>WP-05墙布</t>
        </is>
      </c>
      <c r="C636" s="27" t="inlineStr">
        <is>
          <t>1、WP-05墙布，结构胶固定（含不锈钢线条）
2、12mm阻燃板，轻钢副龙骨@400
3、包含完成该项内容所有工作及费用并满足设计图纸、规范等要求</t>
        </is>
      </c>
      <c r="D636"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636" s="27" t="inlineStr">
        <is>
          <t xml:space="preserve">执行《GB/T50854-2024房屋建筑与装饰工程工程量计算标准》，按设计图示尺寸以面积计算。 </t>
        </is>
      </c>
      <c r="F636" s="28" t="inlineStr">
        <is>
          <t>m2</t>
        </is>
      </c>
      <c r="G636" s="61" t="n">
        <v>64.68000000000001</v>
      </c>
      <c r="H636" s="62" t="n">
        <v>205.32</v>
      </c>
      <c r="I636" s="65" t="n"/>
      <c r="J636" s="62">
        <f>H636*(1-$I$4)</f>
        <v/>
      </c>
      <c r="K636" s="63">
        <f>G636*J636</f>
        <v/>
      </c>
      <c r="L636" s="33" t="inlineStr">
        <is>
          <t>墙布</t>
        </is>
      </c>
      <c r="M636" s="64" t="n"/>
      <c r="N636" s="39" t="n">
        <v>1</v>
      </c>
      <c r="O636" t="n">
        <v>76.5</v>
      </c>
      <c r="P636" s="35" t="inlineStr">
        <is>
          <t>差:-128.82元 (-62.7%) 来源:售楼处</t>
        </is>
      </c>
      <c r="Q636" s="35" t="n"/>
      <c r="R636" s="35" t="n"/>
    </row>
    <row r="637" outlineLevel="2" ht="180" customFormat="1" customHeight="1" s="39">
      <c r="A637" s="37">
        <f>1+N(A636)</f>
        <v/>
      </c>
      <c r="B637" s="27" t="inlineStr">
        <is>
          <t>不锈钢门套</t>
        </is>
      </c>
      <c r="C637" s="27" t="inlineStr">
        <is>
          <t>1、1.2mm厚 MT-01古铜不锈钢门套，结构胶固定
2、9厘玻镁板基层
3、工程量以展开面积计算
4、包含完成该项内容所有工作及费用并满足设计图纸、规范等要求</t>
        </is>
      </c>
      <c r="D637"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637" s="27" t="inlineStr">
        <is>
          <t>执行《GB/T50854-2024房屋建筑与装饰工程工程量计算标准》，按设计图示饰面外围尺寸
以面积计算。 扣除门窗洞口面积，不扣除单个面积≤0.3㎡的孔洞所占面积。</t>
        </is>
      </c>
      <c r="F637" s="28" t="inlineStr">
        <is>
          <t>m2</t>
        </is>
      </c>
      <c r="G637" s="61" t="n">
        <v>4.23</v>
      </c>
      <c r="H637" s="62" t="n">
        <v>630.651</v>
      </c>
      <c r="I637" s="65" t="n"/>
      <c r="J637" s="62">
        <f>H637*(1-$I$4)</f>
        <v/>
      </c>
      <c r="K637" s="63">
        <f>G637*J637</f>
        <v/>
      </c>
      <c r="L637" s="33" t="inlineStr">
        <is>
          <t>/</t>
        </is>
      </c>
      <c r="M637" s="64" t="n"/>
      <c r="N637" s="39" t="n">
        <v>1</v>
      </c>
      <c r="O637" t="n">
        <v>110</v>
      </c>
      <c r="P637" s="35" t="inlineStr">
        <is>
          <t>差:-520.65元 (-82.6%) 来源:售楼处</t>
        </is>
      </c>
      <c r="Q637" s="35" t="n"/>
      <c r="R637" s="35" t="n"/>
    </row>
    <row r="638" outlineLevel="2" ht="144" customFormat="1" customHeight="1" s="39">
      <c r="A638" s="37">
        <f>1+N(A637)</f>
        <v/>
      </c>
      <c r="B638" s="27" t="inlineStr">
        <is>
          <t>MT-01古铜不锈钢踢脚线（高20mm）</t>
        </is>
      </c>
      <c r="C638" s="27" t="inlineStr">
        <is>
          <t>1、1.2mm厚 MT-01古铜不锈钢踢脚线（高20mm，展开面为46mm），结构胶固定
2、9厘玻镁板基层
3、包含完成该项内容所有工作及费用并满足设计图纸、规范等要求</t>
        </is>
      </c>
      <c r="D638"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638" s="27" t="inlineStr">
        <is>
          <t>按设计图示尺寸以长度计算。</t>
        </is>
      </c>
      <c r="F638" s="28" t="inlineStr">
        <is>
          <t>m</t>
        </is>
      </c>
      <c r="G638" s="61" t="n">
        <v>21.45</v>
      </c>
      <c r="H638" s="62" t="n">
        <v>31.86</v>
      </c>
      <c r="I638" s="65" t="n"/>
      <c r="J638" s="62">
        <f>H638*(1-$I$4)</f>
        <v/>
      </c>
      <c r="K638" s="63">
        <f>G638*J638</f>
        <v/>
      </c>
      <c r="L638" s="33" t="inlineStr">
        <is>
          <t>不锈钢踢脚线</t>
        </is>
      </c>
      <c r="M638" s="64" t="n"/>
      <c r="N638" s="39" t="n">
        <v>1</v>
      </c>
      <c r="O638" t="n">
        <v>12</v>
      </c>
      <c r="P638" s="35" t="inlineStr">
        <is>
          <t>差:-19.86元 (-62.3%) 来源:售楼处</t>
        </is>
      </c>
      <c r="Q638" s="35" t="n"/>
      <c r="R638" s="35" t="n"/>
    </row>
    <row r="639" outlineLevel="2" ht="72" customFormat="1" customHeight="1" s="39">
      <c r="A639" s="37">
        <f>1+N(A638)</f>
        <v/>
      </c>
      <c r="B639" s="27" t="inlineStr">
        <is>
          <t>MT-01古铜不锈钢窗套（展开面为95mm）</t>
        </is>
      </c>
      <c r="C639" s="27" t="inlineStr">
        <is>
          <t>1、1.2mm厚 MT-01古铜不锈钢窗套（展开面为95mm），结构胶固定
2、9厘玻镁板基层
3、包含完成该项内容所有工作及费用并满足设计图纸、规范等要求</t>
        </is>
      </c>
      <c r="D639" s="27" t="inlineStr">
        <is>
          <t>自现有现场条件下按照合同约定范围、图纸（含设计变更）及甲方要求内容以及规范、标准、相关做法等要求完成并达到总包合同全部目标的全部工作内容。</t>
        </is>
      </c>
      <c r="E639" s="27" t="inlineStr">
        <is>
          <t>以最终验收合格的工程量计算</t>
        </is>
      </c>
      <c r="F639" s="28" t="inlineStr">
        <is>
          <t>m2</t>
        </is>
      </c>
      <c r="G639" s="61" t="n">
        <v>1.51</v>
      </c>
      <c r="H639" s="62" t="n">
        <v>630.651</v>
      </c>
      <c r="I639" s="65" t="n"/>
      <c r="J639" s="62">
        <f>H639*(1-$I$4)</f>
        <v/>
      </c>
      <c r="K639" s="63">
        <f>G639*J639</f>
        <v/>
      </c>
      <c r="L639" s="33" t="inlineStr">
        <is>
          <t>/</t>
        </is>
      </c>
      <c r="M639" s="64" t="n"/>
      <c r="N639" s="39" t="n">
        <v>1</v>
      </c>
      <c r="O639" t="n">
        <v>110</v>
      </c>
      <c r="P639" s="35" t="inlineStr">
        <is>
          <t>差:-520.65元 (-82.6%) 来源:售楼处</t>
        </is>
      </c>
      <c r="Q639" s="35" t="n"/>
      <c r="R639" s="35" t="n"/>
    </row>
    <row r="640" outlineLevel="1" customFormat="1" s="39">
      <c r="A640" s="36" t="n"/>
      <c r="B640" s="27" t="inlineStr">
        <is>
          <t>天花工程</t>
        </is>
      </c>
      <c r="C640" s="27" t="n"/>
      <c r="D640" s="27" t="n"/>
      <c r="E640" s="27" t="n"/>
      <c r="F640" s="28" t="n"/>
      <c r="G640" s="61" t="n"/>
      <c r="H640" s="62" t="n"/>
      <c r="I640" s="65" t="n"/>
      <c r="J640" s="62" t="n"/>
      <c r="K640" s="63" t="n"/>
      <c r="L640" s="33" t="n"/>
      <c r="M640" s="64" t="n"/>
      <c r="P640" s="35" t="n"/>
      <c r="Q640" s="35" t="n"/>
      <c r="R640" s="35" t="n"/>
    </row>
    <row r="641" outlineLevel="2" ht="192" customFormat="1" customHeight="1" s="39">
      <c r="A641" s="37">
        <f>1+N(A640)</f>
        <v/>
      </c>
      <c r="B641" s="27" t="inlineStr">
        <is>
          <t>造型石膏板吊顶</t>
        </is>
      </c>
      <c r="C641" s="27" t="inlineStr">
        <is>
          <t>1.60系列轻钢主龙骨@900，60系列轻钢副龙骨@400，60系列横撑龙骨@600，08螺纹吊杆@900不上人天花吊顶（投影面计算）
2.玻镁板、双层9.5厚石膏板基层，含开孔、检修口、10*10凹槽等费用；
3.含除灯槽外的侧面高差及其连接件、吊件；
4.包含完成该项内容所有工作及费用并满足设计图纸、规范等要求；</t>
        </is>
      </c>
      <c r="D641" s="27" t="inlineStr">
        <is>
          <t>1.基层清理。
2.弹线定位、排版。
3.吊杆及连接件安装调平、收口及密封处理。
4.材料切割处理找平、石膏板安装及调整，打胶密封与清理.
5.收口及其他处理：检修口等制作安装、收边收口、配合预留安装、机电等专业孔洞及孔洞收口处理。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641" s="27" t="inlineStr">
        <is>
          <t>按设计图示尺寸以水平投影面积计算。不扣除间壁墙、检查口、附墙烟囱、柱垛和管道所占面积,扣除单个&gt;0.3m3的孔洞、非密拼吊顶空隙所占的面积、独立柱及与天棚相连的窗帘盒所占的面积。</t>
        </is>
      </c>
      <c r="F641" s="28" t="inlineStr">
        <is>
          <t>m2</t>
        </is>
      </c>
      <c r="G641" s="61" t="n">
        <v>20.76</v>
      </c>
      <c r="H641" s="62" t="n">
        <v>174.574444444444</v>
      </c>
      <c r="I641" s="65" t="n"/>
      <c r="J641" s="62">
        <f>H641*(1-$I$4)</f>
        <v/>
      </c>
      <c r="K641" s="63">
        <f>G641*J641</f>
        <v/>
      </c>
      <c r="L641" s="33" t="inlineStr">
        <is>
          <t>/</t>
        </is>
      </c>
      <c r="M641" s="64" t="n"/>
      <c r="N641" s="39" t="n">
        <v>1</v>
      </c>
      <c r="O641" t="n">
        <v>70</v>
      </c>
      <c r="P641" s="35" t="inlineStr">
        <is>
          <t>差:-104.57元 (-59.9%) 来源:售楼处</t>
        </is>
      </c>
      <c r="Q641" s="35" t="n"/>
      <c r="R641" s="35" t="n"/>
    </row>
    <row r="642" outlineLevel="2" ht="72" customFormat="1" customHeight="1" s="39">
      <c r="A642" s="37">
        <f>1+N(A641)</f>
        <v/>
      </c>
      <c r="B642" s="27" t="inlineStr">
        <is>
          <t>灯槽（100mm*200mm）</t>
        </is>
      </c>
      <c r="C642" s="27" t="inlineStr">
        <is>
          <t>1.灯槽（100mm*200mm）；
2.双层板：9mm玻镁板、9.5厚石膏板；
3.包含完成该项内容所有工作及费用并满足设计图纸、规范等要求；</t>
        </is>
      </c>
      <c r="D642" s="27" t="inlineStr">
        <is>
          <t>自现有现场条件下按照合同约定范围、图纸（含设计变更）及甲方要求内容以及规范、标准、相关做法等要求完成并达到总包合同全部目标的全部工作内容。</t>
        </is>
      </c>
      <c r="E642" s="27" t="inlineStr">
        <is>
          <t>依据经承包人确认的施工部位,按设计图示尺寸以延长米计算。</t>
        </is>
      </c>
      <c r="F642" s="28" t="inlineStr">
        <is>
          <t>m</t>
        </is>
      </c>
      <c r="G642" s="61" t="n">
        <v>12.65</v>
      </c>
      <c r="H642" s="62" t="n">
        <v>112.159</v>
      </c>
      <c r="I642" s="65" t="n"/>
      <c r="J642" s="62">
        <f>H642*(1-$I$4)</f>
        <v/>
      </c>
      <c r="K642" s="63">
        <f>G642*J642</f>
        <v/>
      </c>
      <c r="L642" s="33" t="inlineStr">
        <is>
          <t>/</t>
        </is>
      </c>
      <c r="M642" s="64" t="n"/>
      <c r="N642" s="39" t="n">
        <v>1</v>
      </c>
      <c r="O642" t="n">
        <v>50</v>
      </c>
      <c r="P642" s="35" t="inlineStr">
        <is>
          <t>差:-62.16元 (-55.4%) 来源:售楼处</t>
        </is>
      </c>
      <c r="Q642" s="35" t="n"/>
      <c r="R642" s="35" t="n"/>
    </row>
    <row r="643" outlineLevel="2" ht="72" customFormat="1" customHeight="1" s="39">
      <c r="A643" s="37">
        <f>1+N(A642)</f>
        <v/>
      </c>
      <c r="B643" s="27" t="inlineStr">
        <is>
          <t>成品石膏线条</t>
        </is>
      </c>
      <c r="C643" s="27" t="inlineStr">
        <is>
          <t>1.成品石膏线条（50mm*50mm）；
2.按图纸造型；
3.包含完成该项内容所有工作及费用并满足设计图纸、规范等要求；</t>
        </is>
      </c>
      <c r="D643" s="27" t="inlineStr">
        <is>
          <t>自现有现场条件下按照合同约定范围、图纸（含设计变更）及甲方要求内容以及规范、标准、相关做法等要求完成并达到总包合同全部目标的全部工作内容。</t>
        </is>
      </c>
      <c r="E643" s="27" t="inlineStr">
        <is>
          <t>依据经承包人确认的施工部位,按设计图示尺寸以延长米计算。</t>
        </is>
      </c>
      <c r="F643" s="28" t="inlineStr">
        <is>
          <t>m</t>
        </is>
      </c>
      <c r="G643" s="61" t="n">
        <v>12.65</v>
      </c>
      <c r="H643" s="62" t="n">
        <v>20.06</v>
      </c>
      <c r="I643" s="65" t="n"/>
      <c r="J643" s="62">
        <f>H643*(1-$I$4)</f>
        <v/>
      </c>
      <c r="K643" s="63">
        <f>G643*J643</f>
        <v/>
      </c>
      <c r="L643" s="33" t="inlineStr">
        <is>
          <t>成品石膏线条</t>
        </is>
      </c>
      <c r="M643" s="64" t="n"/>
      <c r="N643" s="39" t="n">
        <v>1</v>
      </c>
      <c r="O643" t="n">
        <v>18</v>
      </c>
      <c r="P643" s="35" t="inlineStr">
        <is>
          <t>差:-2.06元 (-10.3%) 来源:售楼处</t>
        </is>
      </c>
      <c r="Q643" s="35" t="n"/>
      <c r="R643" s="35" t="n"/>
    </row>
    <row r="644" outlineLevel="2" ht="72" customFormat="1" customHeight="1" s="39">
      <c r="A644" s="37">
        <f>1+N(A643)</f>
        <v/>
      </c>
      <c r="B644" s="27" t="inlineStr">
        <is>
          <t>窗帘盒（200mm*200mm）</t>
        </is>
      </c>
      <c r="C644" s="27" t="inlineStr">
        <is>
          <t>1.窗帘盒窗帘盒（200mm*200mm）；
2.双层板：9mm玻镁板、9.5厚石膏板；
3.50系列轻钢龙骨及其连接件、吊件；
4.包含完成该项内容所有工作及费用并满足设计图纸、规范等要求；</t>
        </is>
      </c>
      <c r="D644" s="27" t="inlineStr">
        <is>
          <t>自现有现场条件下按照合同约定范围、图纸（含设计变更）及甲方要求内容以及规范、标准、相关做法等要求完成并达到总包合同全部目标的全部工作内容。</t>
        </is>
      </c>
      <c r="E644" s="27" t="inlineStr">
        <is>
          <t>依据经承包人确认的施工部位,按设计图示尺寸以延长米计算。</t>
        </is>
      </c>
      <c r="F644" s="28" t="inlineStr">
        <is>
          <t>m</t>
        </is>
      </c>
      <c r="G644" s="61" t="n">
        <v>4.5</v>
      </c>
      <c r="H644" s="62" t="n">
        <v>123.192</v>
      </c>
      <c r="I644" s="65" t="n"/>
      <c r="J644" s="62">
        <f>H644*(1-$I$4)</f>
        <v/>
      </c>
      <c r="K644" s="63">
        <f>G644*J644</f>
        <v/>
      </c>
      <c r="L644" s="33" t="inlineStr">
        <is>
          <t>/</t>
        </is>
      </c>
      <c r="M644" s="64" t="n"/>
      <c r="N644" s="39" t="n">
        <v>1</v>
      </c>
      <c r="O644" t="n">
        <v>55</v>
      </c>
      <c r="P644" s="35" t="inlineStr">
        <is>
          <t>差:-68.19元 (-55.4%) 来源:售楼处</t>
        </is>
      </c>
      <c r="Q644" s="35" t="n"/>
      <c r="R644" s="35" t="n"/>
    </row>
    <row r="645" outlineLevel="2" ht="72" customFormat="1" customHeight="1" s="39">
      <c r="A645" s="37">
        <f>1+N(A644)</f>
        <v/>
      </c>
      <c r="B645" s="27" t="inlineStr">
        <is>
          <t>条形空调风口（150mm）</t>
        </is>
      </c>
      <c r="C645" s="27" t="inlineStr">
        <is>
          <t>1.条形空调风口（150mm）；
2.风口周边阻燃板封边加固处理；
3.包含完成该项内容所有工作及费用并满足设计图纸、规范等要求；</t>
        </is>
      </c>
      <c r="D645" s="27" t="inlineStr">
        <is>
          <t>自现有现场条件下按照合同约定范围、图纸（含设计变更）及甲方要求内容以及规范、标准、相关做法等要求完成并达到总包合同全部目标的全部工作内容。</t>
        </is>
      </c>
      <c r="E645" s="27" t="inlineStr">
        <is>
          <t>依据经承包人确认的施工部位,按设计图示尺寸以延长米计算。</t>
        </is>
      </c>
      <c r="F645" s="28" t="inlineStr">
        <is>
          <t>m</t>
        </is>
      </c>
      <c r="G645" s="61" t="n">
        <v>2.4</v>
      </c>
      <c r="H645" s="62" t="n">
        <v>109.74</v>
      </c>
      <c r="I645" s="65" t="n"/>
      <c r="J645" s="62">
        <f>H645*(1-$I$4)</f>
        <v/>
      </c>
      <c r="K645" s="63">
        <f>G645*J645</f>
        <v/>
      </c>
      <c r="L645" s="33" t="inlineStr">
        <is>
          <t>空调风口</t>
        </is>
      </c>
      <c r="M645" s="64" t="n"/>
      <c r="N645" s="39" t="n">
        <v>1</v>
      </c>
      <c r="O645" t="n">
        <v>30</v>
      </c>
      <c r="P645" s="35" t="inlineStr">
        <is>
          <t>差:-79.74元 (-72.7%) 来源:售楼处</t>
        </is>
      </c>
      <c r="Q645" s="35" t="n"/>
      <c r="R645" s="35" t="n"/>
    </row>
    <row r="646" outlineLevel="2" ht="192" customFormat="1" customHeight="1" s="39">
      <c r="A646" s="37">
        <f>1+N(A645)</f>
        <v/>
      </c>
      <c r="B646" s="27" t="inlineStr">
        <is>
          <t>天花肌理无机涂料PT-01</t>
        </is>
      </c>
      <c r="C646" s="27" t="inlineStr">
        <is>
          <t>1.天花肌理无机涂料PT-01；
2.刮腻子二遍磨平；
3.底漆1遍，面漆2遍；
4.包含完成该项内容所有工作及费用并满足设计图纸、规范等要求；</t>
        </is>
      </c>
      <c r="D646" s="27" t="inlineStr">
        <is>
          <t>包括但不限于材料计划、采购、卸车倒运、保管、检验试验费、测量放线，包含四周阴角找平直、含天棚四周阴角找平直，打磨，简易脚手架搭拆及操作平台、升降机，基层清理、打磨平整、底层找补、满刮涂料（含阴阳角塑料条）、涂料打磨、补遗处理、配合其他分包施工、完工后场清、成品保护、保修等直到达到竣工交付标准的全部工作内容。包括所有为完成工作所需的小型机具；包括所有为完成工作所需的附属工作；包括但不限于以上内容。</t>
        </is>
      </c>
      <c r="E646" s="27" t="inlineStr">
        <is>
          <t>执行《GB/T50854-2024房屋建筑与装饰工程工程量计算标准》，按设计图示尺寸以面积计算。扣除0.3平方米以上洞口的面积；梁侧面及檐口天棚并入天棚计算；以设计图纸和技术交底为基础</t>
        </is>
      </c>
      <c r="F646" s="28" t="inlineStr">
        <is>
          <t>m2</t>
        </is>
      </c>
      <c r="G646" s="61" t="n">
        <v>26.36</v>
      </c>
      <c r="H646" s="62" t="n">
        <v>48.38</v>
      </c>
      <c r="I646" s="65" t="n"/>
      <c r="J646" s="62">
        <f>H646*(1-$I$4)</f>
        <v/>
      </c>
      <c r="K646" s="63">
        <f>G646*J646</f>
        <v/>
      </c>
      <c r="L646" s="33" t="inlineStr">
        <is>
          <t>涂料</t>
        </is>
      </c>
      <c r="M646" s="64" t="n"/>
      <c r="N646" s="39" t="n">
        <v>1</v>
      </c>
      <c r="O646" t="n">
        <v>45</v>
      </c>
      <c r="P646" s="35" t="inlineStr">
        <is>
          <t>差:-3.38元 (-7.0%) 来源:售楼处</t>
        </is>
      </c>
      <c r="Q646" s="35" t="n"/>
      <c r="R646" s="35" t="n"/>
    </row>
    <row r="647" outlineLevel="1" customFormat="1" s="39">
      <c r="A647" s="36" t="n"/>
      <c r="B647" s="27" t="inlineStr">
        <is>
          <t>门窗、家具工程</t>
        </is>
      </c>
      <c r="C647" s="27" t="n"/>
      <c r="D647" s="27" t="n"/>
      <c r="E647" s="27" t="n"/>
      <c r="F647" s="28" t="n"/>
      <c r="G647" s="61" t="n"/>
      <c r="H647" s="62" t="n"/>
      <c r="I647" s="65" t="n"/>
      <c r="J647" s="62" t="n"/>
      <c r="K647" s="63" t="n"/>
      <c r="L647" s="33" t="n"/>
      <c r="M647" s="64" t="n"/>
      <c r="P647" s="35" t="n"/>
      <c r="Q647" s="35" t="n"/>
      <c r="R647" s="35" t="n"/>
    </row>
    <row r="648" outlineLevel="2" ht="96" customFormat="1" customHeight="1" s="39">
      <c r="A648" s="37">
        <f>1+N(A647)</f>
        <v/>
      </c>
      <c r="B648" s="27" t="inlineStr">
        <is>
          <t>办公室门(DR06)</t>
        </is>
      </c>
      <c r="C648" s="27" t="inlineStr">
        <is>
          <t>1、正门扇：1.2mm厚 MT-01古铜不锈钢、WD-03木饰面、镀锌扁通钢架、9mm厚玻镁板基层
2、反门扇：SF-02软瓷
3、定制成品套装门制安
4、含暗合页、门把手等五金配件
5、包含完成该项内容所有工作及费用并满足设计图纸、规范等要求</t>
        </is>
      </c>
      <c r="D648" s="27" t="inlineStr">
        <is>
          <t>自现有现场条件下按照合同约定范围、图纸（含设计变更）及甲方要求内容以及规范、标准、相关做法等要求完成并达到总包合同全部目标的全部工作内容。</t>
        </is>
      </c>
      <c r="E648" s="27" t="inlineStr">
        <is>
          <t>以最终验收合格的工程量计算</t>
        </is>
      </c>
      <c r="F648" s="28" t="inlineStr">
        <is>
          <t>m2</t>
        </is>
      </c>
      <c r="G648" s="61" t="n">
        <v>2.97</v>
      </c>
      <c r="H648" s="62" t="n">
        <v>3128.40324324324</v>
      </c>
      <c r="I648" s="65" t="n"/>
      <c r="J648" s="62">
        <f>H648*(1-$I$4)</f>
        <v/>
      </c>
      <c r="K648" s="63">
        <f>G648*J648</f>
        <v/>
      </c>
      <c r="L648" s="33" t="inlineStr">
        <is>
          <t>/</t>
        </is>
      </c>
      <c r="M648" s="64" t="n"/>
      <c r="N648" s="39" t="n">
        <v>1</v>
      </c>
      <c r="O648" t="n">
        <v>145</v>
      </c>
      <c r="P648" s="35" t="inlineStr">
        <is>
          <t>差:-2983.40元 (-95.4%) 来源:售楼处</t>
        </is>
      </c>
      <c r="Q648" s="35" t="n"/>
      <c r="R648" s="35" t="n"/>
    </row>
    <row r="649" outlineLevel="1" customFormat="1" s="39">
      <c r="A649" s="26" t="inlineStr">
        <is>
          <t>九</t>
        </is>
      </c>
      <c r="B649" s="27" t="inlineStr">
        <is>
          <t>电梯厅(DT5.DT6)</t>
        </is>
      </c>
      <c r="C649" s="27" t="n"/>
      <c r="D649" s="27" t="n"/>
      <c r="E649" s="27" t="n"/>
      <c r="F649" s="28" t="n"/>
      <c r="G649" s="61" t="n"/>
      <c r="H649" s="62" t="n"/>
      <c r="I649" s="65" t="n"/>
      <c r="J649" s="62" t="n"/>
      <c r="K649" s="63" t="n"/>
      <c r="L649" s="33" t="n"/>
      <c r="M649" s="64" t="n"/>
      <c r="P649" s="35" t="n"/>
      <c r="Q649" s="35" t="n"/>
      <c r="R649" s="35" t="n"/>
    </row>
    <row r="650" outlineLevel="1" customFormat="1" s="39">
      <c r="A650" s="36" t="n"/>
      <c r="B650" s="27" t="inlineStr">
        <is>
          <t>地面工程</t>
        </is>
      </c>
      <c r="C650" s="27" t="n"/>
      <c r="D650" s="27" t="n"/>
      <c r="E650" s="27" t="n"/>
      <c r="F650" s="28" t="n"/>
      <c r="G650" s="61" t="n"/>
      <c r="H650" s="62" t="n"/>
      <c r="I650" s="65" t="n"/>
      <c r="J650" s="62" t="n"/>
      <c r="K650" s="63" t="n"/>
      <c r="L650" s="33" t="n"/>
      <c r="M650" s="64" t="n"/>
      <c r="P650" s="35" t="n"/>
      <c r="Q650" s="35" t="n"/>
      <c r="R650" s="35" t="n"/>
    </row>
    <row r="651" outlineLevel="2" ht="108" customFormat="1" customHeight="1" s="39">
      <c r="A651" s="37">
        <f>1+N(A650)</f>
        <v/>
      </c>
      <c r="B651" s="27" t="inlineStr">
        <is>
          <t>地面铺贴大理石ST-01</t>
        </is>
      </c>
      <c r="C651" s="27" t="inlineStr">
        <is>
          <t>1.地面20mm大理石ST-01、铺贴、厚度及样式按物料书为准；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651"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651" s="27" t="inlineStr">
        <is>
          <t xml:space="preserve">执行《GB/T50854-2024房屋建筑与装饰工程工程量计算标准》，按设计图示尺寸
以面积计算。 </t>
        </is>
      </c>
      <c r="F651" s="28" t="inlineStr">
        <is>
          <t>m2</t>
        </is>
      </c>
      <c r="G651" s="61" t="n">
        <v>5.45</v>
      </c>
      <c r="H651" s="62" t="n">
        <v>218.75017</v>
      </c>
      <c r="I651" s="65" t="n"/>
      <c r="J651" s="62">
        <f>H651*(1-$I$4)</f>
        <v/>
      </c>
      <c r="K651" s="63">
        <f>G651*J651</f>
        <v/>
      </c>
      <c r="L651" s="33" t="inlineStr">
        <is>
          <t>石材</t>
        </is>
      </c>
      <c r="M651" s="64" t="n"/>
      <c r="N651" s="39" t="n">
        <v>1</v>
      </c>
      <c r="O651" t="n">
        <v>130</v>
      </c>
      <c r="P651" s="35" t="inlineStr">
        <is>
          <t>差:-88.75元 (-40.6%) 来源:售楼处</t>
        </is>
      </c>
      <c r="Q651" s="35" t="n"/>
      <c r="R651" s="35" t="n"/>
    </row>
    <row r="652" outlineLevel="2" ht="108" customFormat="1" customHeight="1" s="39">
      <c r="A652" s="37">
        <f>1+N(A651)</f>
        <v/>
      </c>
      <c r="B652" s="27" t="inlineStr">
        <is>
          <t>地面铺贴大理石ST-01.02拼花</t>
        </is>
      </c>
      <c r="C652" s="27" t="inlineStr">
        <is>
          <t>1.地面20mm大理石拼花、参考3F-DF-01样式、ST-01、ST-02按物料书为准；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652"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652" s="27" t="inlineStr">
        <is>
          <t xml:space="preserve">执行《GB/T50854-2024房屋建筑与装饰工程工程量计算标准》，按设计图示尺寸
以面积计算。 </t>
        </is>
      </c>
      <c r="F652" s="28" t="inlineStr">
        <is>
          <t>m2</t>
        </is>
      </c>
      <c r="G652" s="61" t="n">
        <v>8.199999999999999</v>
      </c>
      <c r="H652" s="62" t="n">
        <v>242.35017</v>
      </c>
      <c r="I652" s="65" t="n"/>
      <c r="J652" s="62">
        <f>H652*(1-$I$4)</f>
        <v/>
      </c>
      <c r="K652" s="63">
        <f>G652*J652</f>
        <v/>
      </c>
      <c r="L652" s="33" t="inlineStr">
        <is>
          <t>石材</t>
        </is>
      </c>
      <c r="M652" s="64" t="n"/>
      <c r="N652" s="39" t="n">
        <v>1</v>
      </c>
      <c r="O652" t="n">
        <v>130</v>
      </c>
      <c r="P652" s="35" t="inlineStr">
        <is>
          <t>差:-112.35元 (-46.4%) 来源:售楼处</t>
        </is>
      </c>
      <c r="Q652" s="35" t="n"/>
      <c r="R652" s="35" t="n"/>
    </row>
    <row r="653" outlineLevel="2" ht="108" customFormat="1" customHeight="1" s="39">
      <c r="A653" s="37">
        <f>1+N(A652)</f>
        <v/>
      </c>
      <c r="B653" s="27" t="inlineStr">
        <is>
          <t>地面石材晶面处理</t>
        </is>
      </c>
      <c r="C653" s="27" t="inlineStr">
        <is>
          <t>1.石材结晶处理(结晶水及石材保养剂,中性清洁剂)；
2.包含完成该项内容所有工作及费用并满足设计图纸、规范等要求；</t>
        </is>
      </c>
      <c r="D653"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653" s="27" t="inlineStr">
        <is>
          <t xml:space="preserve">执行《GB/T50854-2024房屋建筑与装饰工程工程量计算标准》，按设计图示尺寸
以面积计算。 </t>
        </is>
      </c>
      <c r="F653" s="28" t="inlineStr">
        <is>
          <t>m2</t>
        </is>
      </c>
      <c r="G653" s="61" t="n">
        <v>13.65</v>
      </c>
      <c r="H653" s="62" t="n">
        <v>64.90000000000001</v>
      </c>
      <c r="I653" s="65" t="n"/>
      <c r="J653" s="62">
        <f>H653*(1-$I$4)</f>
        <v/>
      </c>
      <c r="K653" s="63">
        <f>G653*J653</f>
        <v/>
      </c>
      <c r="L653" s="33" t="inlineStr">
        <is>
          <t>/</t>
        </is>
      </c>
      <c r="M653" s="64" t="n"/>
      <c r="N653" s="39" t="n">
        <v>1</v>
      </c>
      <c r="O653" t="n">
        <v>40</v>
      </c>
      <c r="P653" s="35" t="inlineStr">
        <is>
          <t>差:-24.90元 (-38.4%) 来源:售楼处</t>
        </is>
      </c>
      <c r="Q653" s="35" t="n"/>
      <c r="R653" s="35" t="n"/>
    </row>
    <row r="654" outlineLevel="2" ht="108" customFormat="1" customHeight="1" s="39">
      <c r="A654" s="37">
        <f>1+N(A653)</f>
        <v/>
      </c>
      <c r="B654" s="27" t="inlineStr">
        <is>
          <t>实心铜条5mm宽</t>
        </is>
      </c>
      <c r="C654" s="27" t="inlineStr">
        <is>
          <t>1.实心铜条5mm宽；
2.包含完成该项内容所有工作及费用并满足设计图纸、规范等要求；</t>
        </is>
      </c>
      <c r="D654"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654" s="27" t="inlineStr">
        <is>
          <t>按设计图示尺寸以长度计算。</t>
        </is>
      </c>
      <c r="F654" s="28" t="inlineStr">
        <is>
          <t>m</t>
        </is>
      </c>
      <c r="G654" s="61" t="n">
        <v>10.6</v>
      </c>
      <c r="H654" s="62" t="n">
        <v>89.267</v>
      </c>
      <c r="I654" s="65" t="n"/>
      <c r="J654" s="62">
        <f>H654*(1-$I$4)</f>
        <v/>
      </c>
      <c r="K654" s="63">
        <f>G654*J654</f>
        <v/>
      </c>
      <c r="L654" s="33" t="inlineStr">
        <is>
          <t>/</t>
        </is>
      </c>
      <c r="M654" s="64" t="n"/>
      <c r="N654" s="39" t="n">
        <v>1</v>
      </c>
      <c r="O654" t="n">
        <v>12</v>
      </c>
      <c r="P654" s="35" t="inlineStr">
        <is>
          <t>差:-77.27元 (-86.6%) 来源:售楼处</t>
        </is>
      </c>
      <c r="Q654" s="35" t="n"/>
      <c r="R654" s="35" t="n"/>
    </row>
    <row r="655" outlineLevel="1" customFormat="1" s="39">
      <c r="A655" s="36" t="n"/>
      <c r="B655" s="27" t="inlineStr">
        <is>
          <t>墙柱面工程</t>
        </is>
      </c>
      <c r="C655" s="27" t="n"/>
      <c r="D655" s="27" t="n"/>
      <c r="E655" s="27" t="n"/>
      <c r="F655" s="28" t="n"/>
      <c r="G655" s="61" t="n"/>
      <c r="H655" s="62" t="n"/>
      <c r="I655" s="65" t="n"/>
      <c r="J655" s="62" t="n"/>
      <c r="K655" s="63" t="n"/>
      <c r="L655" s="33" t="n"/>
      <c r="M655" s="64" t="n"/>
      <c r="P655" s="35" t="n"/>
      <c r="Q655" s="35" t="n"/>
      <c r="R655" s="35" t="n"/>
    </row>
    <row r="656" outlineLevel="2" ht="180" customFormat="1" customHeight="1" s="39">
      <c r="A656" s="37">
        <f>1+N(A655)</f>
        <v/>
      </c>
      <c r="B656" s="27" t="inlineStr">
        <is>
          <t>墙面干挂ST-05石材</t>
        </is>
      </c>
      <c r="C656" s="27" t="inlineStr">
        <is>
          <t>1、墙面干挂ST-05石材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is>
      </c>
      <c r="D656"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656" s="27" t="inlineStr">
        <is>
          <t>执行《GB/T50854-2024房屋建筑与装饰工程工程量计算标准》，按设计图示镶贴后外围面积计算</t>
        </is>
      </c>
      <c r="F656" s="28" t="inlineStr">
        <is>
          <t>m2</t>
        </is>
      </c>
      <c r="G656" s="61" t="n">
        <v>35.16</v>
      </c>
      <c r="H656" s="62" t="n">
        <v>283.2</v>
      </c>
      <c r="I656" s="65" t="n"/>
      <c r="J656" s="62">
        <f>H656*(1-$I$4)</f>
        <v/>
      </c>
      <c r="K656" s="63">
        <f>G656*J656</f>
        <v/>
      </c>
      <c r="L656" s="33" t="inlineStr">
        <is>
          <t>石材</t>
        </is>
      </c>
      <c r="M656" s="64" t="n"/>
      <c r="N656" s="39" t="n">
        <v>1</v>
      </c>
      <c r="O656" t="n">
        <v>145</v>
      </c>
      <c r="P656" s="35" t="inlineStr">
        <is>
          <t>差:-138.20元 (-48.8%) 来源:售楼处</t>
        </is>
      </c>
      <c r="Q656" s="35" t="n"/>
      <c r="R656" s="35" t="n"/>
    </row>
    <row r="657" outlineLevel="2" ht="180" customFormat="1" customHeight="1" s="39">
      <c r="A657" s="37">
        <f>1+N(A656)</f>
        <v/>
      </c>
      <c r="B657" s="27" t="inlineStr">
        <is>
          <t>不锈钢门套</t>
        </is>
      </c>
      <c r="C657" s="27" t="inlineStr">
        <is>
          <t>1、1.2mm厚 MT-01古铜不锈钢门套，结构胶固定
2、9厘玻镁板基层
3、工程量以展开面积计算
4、包含完成该项内容所有工作及费用并满足设计图纸、规范等要求</t>
        </is>
      </c>
      <c r="D657"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657" s="27" t="inlineStr">
        <is>
          <t>执行《GB/T50854-2024房屋建筑与装饰工程工程量计算标准》，按设计图示饰面外围尺寸
以面积计算。 扣除门窗洞口面积，不扣除单个面积≤0.3㎡的孔洞所占面积。</t>
        </is>
      </c>
      <c r="F657" s="28" t="inlineStr">
        <is>
          <t>m2</t>
        </is>
      </c>
      <c r="G657" s="61" t="n">
        <v>9.609999999999999</v>
      </c>
      <c r="H657" s="62" t="n">
        <v>630.651</v>
      </c>
      <c r="I657" s="65" t="n"/>
      <c r="J657" s="62">
        <f>H657*(1-$I$4)</f>
        <v/>
      </c>
      <c r="K657" s="63">
        <f>G657*J657</f>
        <v/>
      </c>
      <c r="L657" s="33" t="inlineStr">
        <is>
          <t>/</t>
        </is>
      </c>
      <c r="M657" s="64" t="n"/>
      <c r="N657" s="39" t="n">
        <v>1</v>
      </c>
      <c r="O657" t="n">
        <v>110</v>
      </c>
      <c r="P657" s="35" t="inlineStr">
        <is>
          <t>差:-520.65元 (-82.6%) 来源:售楼处</t>
        </is>
      </c>
      <c r="Q657" s="35" t="n"/>
      <c r="R657" s="35" t="n"/>
    </row>
    <row r="658" outlineLevel="2" ht="180" customFormat="1" customHeight="1" s="39">
      <c r="A658" s="37">
        <f>1+N(A657)</f>
        <v/>
      </c>
      <c r="B658" s="27" t="inlineStr">
        <is>
          <t>电梯不锈钢门套</t>
        </is>
      </c>
      <c r="C658" s="27" t="inlineStr">
        <is>
          <t>1、1.2mm厚 MT-01古铜不锈钢门套，结构胶固定
2、9厘玻镁板基层
3、工程量以展开面积计算
4、包含完成该项内容所有工作及费用并满足设计图纸、规范等要求</t>
        </is>
      </c>
      <c r="D658"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658" s="27" t="inlineStr">
        <is>
          <t>执行《GB/T50854-2024房屋建筑与装饰工程工程量计算标准》，按设计图示饰面外围尺寸
以面积计算。 扣除门窗洞口面积，不扣除单个面积≤0.3㎡的孔洞所占面积。</t>
        </is>
      </c>
      <c r="F658" s="28" t="inlineStr">
        <is>
          <t>m2</t>
        </is>
      </c>
      <c r="G658" s="61" t="n">
        <v>4.63</v>
      </c>
      <c r="H658" s="62" t="n">
        <v>630.651</v>
      </c>
      <c r="I658" s="65" t="n"/>
      <c r="J658" s="62">
        <f>H658*(1-$I$4)</f>
        <v/>
      </c>
      <c r="K658" s="63">
        <f>G658*J658</f>
        <v/>
      </c>
      <c r="L658" s="33" t="inlineStr">
        <is>
          <t>/</t>
        </is>
      </c>
      <c r="M658" s="64" t="n"/>
      <c r="N658" s="39" t="n">
        <v>1</v>
      </c>
      <c r="O658" t="n">
        <v>110</v>
      </c>
      <c r="P658" s="35" t="inlineStr">
        <is>
          <t>差:-520.65元 (-82.6%) 来源:售楼处</t>
        </is>
      </c>
      <c r="Q658" s="35" t="n"/>
      <c r="R658" s="35" t="n"/>
    </row>
    <row r="659" outlineLevel="2" ht="180" customFormat="1" customHeight="1" s="39">
      <c r="A659" s="37">
        <f>1+N(A658)</f>
        <v/>
      </c>
      <c r="B659" s="27" t="inlineStr">
        <is>
          <t>电梯不锈钢门头</t>
        </is>
      </c>
      <c r="C659" s="27" t="inlineStr">
        <is>
          <t>1、1.2mm厚 MT-01古铜不锈钢门头，结构胶固定
2、12mm阻燃板，轻钢副龙骨@400
3、电梯门顶内置亚克力，内部面层刮白处理
4、工程量以展开面积计算
5、包含完成该项内容所有工作及费用并满足设计图纸、规范等要求</t>
        </is>
      </c>
      <c r="D659"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659" s="27" t="inlineStr">
        <is>
          <t>执行《GB/T50854-2024房屋建筑与装饰工程工程量计算标准》，按设计图示饰面外围尺寸
以面积计算。 扣除门窗洞口面积，不扣除单个面积≤0.3㎡的孔洞所占面积。</t>
        </is>
      </c>
      <c r="F659" s="28" t="inlineStr">
        <is>
          <t>m2</t>
        </is>
      </c>
      <c r="G659" s="61" t="n">
        <v>2.55</v>
      </c>
      <c r="H659" s="62" t="n">
        <v>812.961</v>
      </c>
      <c r="I659" s="65" t="n"/>
      <c r="J659" s="62">
        <f>H659*(1-$I$4)</f>
        <v/>
      </c>
      <c r="K659" s="63">
        <f>G659*J659</f>
        <v/>
      </c>
      <c r="L659" s="33" t="inlineStr">
        <is>
          <t>/</t>
        </is>
      </c>
      <c r="M659" s="64" t="n"/>
      <c r="N659" s="39" t="n">
        <v>1</v>
      </c>
      <c r="O659" t="n">
        <v>110</v>
      </c>
      <c r="P659" s="35" t="inlineStr">
        <is>
          <t>差:-702.96元 (-86.5%) 来源:售楼处</t>
        </is>
      </c>
      <c r="Q659" s="35" t="n"/>
      <c r="R659" s="35" t="n"/>
    </row>
    <row r="660" outlineLevel="2" ht="180" customFormat="1" customHeight="1" s="39">
      <c r="A660" s="37">
        <f>1+N(A659)</f>
        <v/>
      </c>
      <c r="B660" s="27" t="inlineStr">
        <is>
          <t>MT-01古铜不锈钢饰面（电梯按钮处）</t>
        </is>
      </c>
      <c r="C660" s="27" t="inlineStr">
        <is>
          <t>1、1.2mm厚 MT-01古铜不锈钢饰面
2、12mm阻燃板基层，轻钢副龙骨@400
3、工程量以展开面积计算
4、包含完成该项内容所有工作及费用并满足设计图纸、规范等要求</t>
        </is>
      </c>
      <c r="D660"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660" s="27" t="inlineStr">
        <is>
          <t>执行《GB/T50854-2024房屋建筑与装饰工程工程量计算标准》，按设计图示饰面外围尺寸
以面积计算。 扣除门窗洞口面积，不扣除单个面积≤0.3㎡的孔洞所占面积。</t>
        </is>
      </c>
      <c r="F660" s="28" t="inlineStr">
        <is>
          <t>m2</t>
        </is>
      </c>
      <c r="G660" s="61" t="n">
        <v>0.26</v>
      </c>
      <c r="H660" s="62" t="n">
        <v>295</v>
      </c>
      <c r="I660" s="65" t="n"/>
      <c r="J660" s="62">
        <f>H660*(1-$I$4)</f>
        <v/>
      </c>
      <c r="K660" s="63">
        <f>G660*J660</f>
        <v/>
      </c>
      <c r="L660" s="33" t="inlineStr">
        <is>
          <t>不锈钢饰面</t>
        </is>
      </c>
      <c r="M660" s="64" t="n"/>
      <c r="N660" s="39" t="n">
        <v>1</v>
      </c>
      <c r="O660" t="n">
        <v>110</v>
      </c>
      <c r="P660" s="35" t="inlineStr">
        <is>
          <t>差:-185.00元 (-62.7%) 来源:售楼处</t>
        </is>
      </c>
      <c r="Q660" s="35" t="n"/>
      <c r="R660" s="35" t="n"/>
    </row>
    <row r="661" outlineLevel="2" ht="144" customFormat="1" customHeight="1" s="39">
      <c r="A661" s="37">
        <f>1+N(A660)</f>
        <v/>
      </c>
      <c r="B661" s="27" t="inlineStr">
        <is>
          <t>MT-01古铜不锈钢踢脚线（高20mm）</t>
        </is>
      </c>
      <c r="C661" s="27" t="inlineStr">
        <is>
          <t>1、1.2mm厚 MT-01古铜不锈钢踢脚线（高20mm，展开面为46mm），结构胶固定
2、9厘玻镁板基层
3、包含完成该项内容所有工作及费用并满足设计图纸、规范等要求</t>
        </is>
      </c>
      <c r="D661"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661" s="27" t="inlineStr">
        <is>
          <t>按设计图示尺寸以长度计算。</t>
        </is>
      </c>
      <c r="F661" s="28" t="inlineStr">
        <is>
          <t>m</t>
        </is>
      </c>
      <c r="G661" s="61" t="n">
        <v>10.53</v>
      </c>
      <c r="H661" s="62" t="n">
        <v>31.86</v>
      </c>
      <c r="I661" s="65" t="n"/>
      <c r="J661" s="62">
        <f>H661*(1-$I$4)</f>
        <v/>
      </c>
      <c r="K661" s="63">
        <f>G661*J661</f>
        <v/>
      </c>
      <c r="L661" s="33" t="inlineStr">
        <is>
          <t>不锈钢踢脚线</t>
        </is>
      </c>
      <c r="M661" s="64" t="n"/>
      <c r="N661" s="39" t="n">
        <v>1</v>
      </c>
      <c r="O661" t="n">
        <v>12</v>
      </c>
      <c r="P661" s="35" t="inlineStr">
        <is>
          <t>差:-19.86元 (-62.3%) 来源:售楼处</t>
        </is>
      </c>
      <c r="Q661" s="35" t="n"/>
      <c r="R661" s="35" t="n"/>
    </row>
    <row r="662" outlineLevel="2" ht="144" customFormat="1" customHeight="1" s="39">
      <c r="A662" s="37">
        <f>1+N(A661)</f>
        <v/>
      </c>
      <c r="B662" s="27" t="inlineStr">
        <is>
          <t>MT-01古铜不锈钢线条（展开面为54mm）</t>
        </is>
      </c>
      <c r="C662" s="27" t="inlineStr">
        <is>
          <t>1、1.2mm厚 MT-01古铜不锈钢线条（展开面为54mm），结构胶固定
2、9厘玻镁板基层
3、包含完成该项内容所有工作及费用并满足设计图纸、规范等要求</t>
        </is>
      </c>
      <c r="D662"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662" s="27" t="inlineStr">
        <is>
          <t>按设计图示尺寸以长度计算。</t>
        </is>
      </c>
      <c r="F662" s="28" t="inlineStr">
        <is>
          <t>m</t>
        </is>
      </c>
      <c r="G662" s="61" t="n">
        <v>0.34</v>
      </c>
      <c r="H662" s="62" t="n">
        <v>67.307908</v>
      </c>
      <c r="I662" s="65" t="n"/>
      <c r="J662" s="62">
        <f>H662*(1-$I$4)</f>
        <v/>
      </c>
      <c r="K662" s="63">
        <f>G662*J662</f>
        <v/>
      </c>
      <c r="L662" s="33" t="inlineStr">
        <is>
          <t>/</t>
        </is>
      </c>
      <c r="M662" s="64" t="n"/>
      <c r="N662" s="39" t="n">
        <v>1</v>
      </c>
      <c r="O662" t="n">
        <v>12</v>
      </c>
      <c r="P662" s="35" t="inlineStr">
        <is>
          <t>差:-55.31元 (-82.2%) 来源:售楼处</t>
        </is>
      </c>
      <c r="Q662" s="35" t="n"/>
      <c r="R662" s="35" t="n"/>
    </row>
    <row r="663" outlineLevel="2" ht="144" customFormat="1" customHeight="1" s="39">
      <c r="A663" s="37">
        <f>1+N(A662)</f>
        <v/>
      </c>
      <c r="B663" s="27" t="inlineStr">
        <is>
          <t>MT-01古铜不锈钢线条（展开面为114mm）</t>
        </is>
      </c>
      <c r="C663" s="27" t="inlineStr">
        <is>
          <t>1、1.2mm厚 MT-01古铜不锈钢线条（展开面为114mm），结构胶固定
2、9厘玻镁板基层
3、包含完成该项内容所有工作及费用并满足设计图纸、规范等要求</t>
        </is>
      </c>
      <c r="D663"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663" s="27" t="inlineStr">
        <is>
          <t>按设计图示尺寸以长度计算。</t>
        </is>
      </c>
      <c r="F663" s="28" t="inlineStr">
        <is>
          <t>m</t>
        </is>
      </c>
      <c r="G663" s="61" t="n">
        <v>10.19</v>
      </c>
      <c r="H663" s="62" t="n">
        <v>117.84424</v>
      </c>
      <c r="I663" s="65" t="n"/>
      <c r="J663" s="62">
        <f>H663*(1-$I$4)</f>
        <v/>
      </c>
      <c r="K663" s="63">
        <f>G663*J663</f>
        <v/>
      </c>
      <c r="L663" s="33" t="inlineStr">
        <is>
          <t>/</t>
        </is>
      </c>
      <c r="M663" s="64" t="n"/>
      <c r="N663" s="39" t="n">
        <v>1</v>
      </c>
      <c r="O663" t="n">
        <v>22</v>
      </c>
      <c r="P663" s="35" t="inlineStr">
        <is>
          <t>差:-95.84元 (-81.3%) 来源:售楼处</t>
        </is>
      </c>
      <c r="Q663" s="35" t="n"/>
      <c r="R663" s="35" t="n"/>
    </row>
    <row r="664" outlineLevel="2" ht="144" customFormat="1" customHeight="1" s="39">
      <c r="A664" s="37">
        <f>1+N(A663)</f>
        <v/>
      </c>
      <c r="B664" s="27" t="inlineStr">
        <is>
          <t>MT-01古铜不锈钢顶部收口条（展开面为41mm）</t>
        </is>
      </c>
      <c r="C664" s="27" t="inlineStr">
        <is>
          <t>1、1.2mm厚 MT-01古铜不锈钢顶部收口条（展开面为41mm），结构胶固定
2、9厘玻镁板基层
3、包含完成该项内容所有工作及费用并满足设计图纸、规范等要求</t>
        </is>
      </c>
      <c r="D664"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664" s="27" t="inlineStr">
        <is>
          <t>按设计图示尺寸以长度计算。</t>
        </is>
      </c>
      <c r="F664" s="28" t="inlineStr">
        <is>
          <t>m</t>
        </is>
      </c>
      <c r="G664" s="61" t="n">
        <v>10.53</v>
      </c>
      <c r="H664" s="62" t="n">
        <v>64.24509999999999</v>
      </c>
      <c r="I664" s="65" t="n"/>
      <c r="J664" s="62">
        <f>H664*(1-$I$4)</f>
        <v/>
      </c>
      <c r="K664" s="63">
        <f>G664*J664</f>
        <v/>
      </c>
      <c r="L664" s="33" t="inlineStr">
        <is>
          <t>/</t>
        </is>
      </c>
      <c r="M664" s="64" t="n"/>
      <c r="N664" s="39" t="n">
        <v>1</v>
      </c>
      <c r="O664" t="n">
        <v>12</v>
      </c>
      <c r="P664" s="35" t="inlineStr">
        <is>
          <t>差:-52.25元 (-81.3%) 来源:售楼处</t>
        </is>
      </c>
      <c r="Q664" s="35" t="n"/>
      <c r="R664" s="35" t="n"/>
    </row>
    <row r="665" outlineLevel="1" customFormat="1" s="39">
      <c r="A665" s="36" t="n"/>
      <c r="B665" s="27" t="inlineStr">
        <is>
          <t>天花工程</t>
        </is>
      </c>
      <c r="C665" s="27" t="n"/>
      <c r="D665" s="27" t="n"/>
      <c r="E665" s="27" t="n"/>
      <c r="F665" s="28" t="n"/>
      <c r="G665" s="61" t="n"/>
      <c r="H665" s="62" t="n"/>
      <c r="I665" s="65" t="n"/>
      <c r="J665" s="62" t="n"/>
      <c r="K665" s="63" t="n"/>
      <c r="L665" s="33" t="n"/>
      <c r="M665" s="64" t="n"/>
      <c r="P665" s="35" t="n"/>
      <c r="Q665" s="35" t="n"/>
      <c r="R665" s="35" t="n"/>
    </row>
    <row r="666" outlineLevel="2" ht="192" customFormat="1" customHeight="1" s="39">
      <c r="A666" s="37">
        <f>1+N(A665)</f>
        <v/>
      </c>
      <c r="B666" s="27" t="inlineStr">
        <is>
          <t>造型石膏板吊顶</t>
        </is>
      </c>
      <c r="C666" s="27" t="inlineStr">
        <is>
          <t>1.60系列轻钢主龙骨@900，60系列轻钢副龙骨@400，60系列横撑龙骨@600，08螺纹吊杆@900不上人天花吊顶（投影面计算）
2.玻镁板、双层9.5厚石膏板基层，含开孔、检修口、10*10凹槽等费用；
3.含除灯槽外的侧面高差及其连接件、吊件；
4.包含完成该项内容所有工作及费用并满足设计图纸、规范等要求；</t>
        </is>
      </c>
      <c r="D666" s="27" t="inlineStr">
        <is>
          <t>1.基层清理。
2.弹线定位、排版。
3.吊杆及连接件安装调平、收口及密封处理。
4.材料切割处理找平、石膏板安装及调整，打胶密封与清理.
5.收口及其他处理：检修口等制作安装、收边收口、配合预留安装、机电等专业孔洞及孔洞收口处理。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666" s="27" t="inlineStr">
        <is>
          <t>按设计图示尺寸以水平投影面积计算。不扣除间壁墙、检查口、附墙烟囱、柱垛和管道所占面积,扣除单个&gt;0.3m3的孔洞、非密拼吊顶空隙所占的面积、独立柱及与天棚相连的窗帘盒所占的面积。</t>
        </is>
      </c>
      <c r="F666" s="28" t="inlineStr">
        <is>
          <t>m2</t>
        </is>
      </c>
      <c r="G666" s="61" t="n">
        <v>13.65</v>
      </c>
      <c r="H666" s="62" t="n">
        <v>174.574444444444</v>
      </c>
      <c r="I666" s="65" t="n"/>
      <c r="J666" s="62">
        <f>H666*(1-$I$4)</f>
        <v/>
      </c>
      <c r="K666" s="63">
        <f>G666*J666</f>
        <v/>
      </c>
      <c r="L666" s="33" t="inlineStr">
        <is>
          <t>/</t>
        </is>
      </c>
      <c r="M666" s="64" t="n"/>
      <c r="N666" s="39" t="n">
        <v>1</v>
      </c>
      <c r="O666" t="n">
        <v>70</v>
      </c>
      <c r="P666" s="35" t="inlineStr">
        <is>
          <t>差:-104.57元 (-59.9%) 来源:售楼处</t>
        </is>
      </c>
      <c r="Q666" s="35" t="n"/>
      <c r="R666" s="35" t="n"/>
    </row>
    <row r="667" outlineLevel="2" ht="72" customFormat="1" customHeight="1" s="39">
      <c r="A667" s="37">
        <f>1+N(A666)</f>
        <v/>
      </c>
      <c r="B667" s="27" t="inlineStr">
        <is>
          <t>灯槽（100mm*200mm）</t>
        </is>
      </c>
      <c r="C667" s="27" t="inlineStr">
        <is>
          <t>1.灯槽（100mm*200mm）；
2.双层板：9mm玻镁板、9.5厚石膏板；
3.包含完成该项内容所有工作及费用并满足设计图纸、规范等要求；</t>
        </is>
      </c>
      <c r="D667" s="27" t="inlineStr">
        <is>
          <t>自现有现场条件下按照合同约定范围、图纸（含设计变更）及甲方要求内容以及规范、标准、相关做法等要求完成并达到总包合同全部目标的全部工作内容。</t>
        </is>
      </c>
      <c r="E667" s="27" t="inlineStr">
        <is>
          <t>依据经承包人确认的施工部位,按设计图示尺寸以延长米计算。</t>
        </is>
      </c>
      <c r="F667" s="28" t="inlineStr">
        <is>
          <t>m</t>
        </is>
      </c>
      <c r="G667" s="61" t="n">
        <v>10.36</v>
      </c>
      <c r="H667" s="62" t="n">
        <v>112.159</v>
      </c>
      <c r="I667" s="65" t="n"/>
      <c r="J667" s="62">
        <f>H667*(1-$I$4)</f>
        <v/>
      </c>
      <c r="K667" s="63">
        <f>G667*J667</f>
        <v/>
      </c>
      <c r="L667" s="33" t="inlineStr">
        <is>
          <t>/</t>
        </is>
      </c>
      <c r="M667" s="64" t="n"/>
      <c r="N667" s="39" t="n">
        <v>1</v>
      </c>
      <c r="O667" t="n">
        <v>50</v>
      </c>
      <c r="P667" s="35" t="inlineStr">
        <is>
          <t>差:-62.16元 (-55.4%) 来源:售楼处</t>
        </is>
      </c>
      <c r="Q667" s="35" t="n"/>
      <c r="R667" s="35" t="n"/>
    </row>
    <row r="668" outlineLevel="2" ht="72" customFormat="1" customHeight="1" s="39">
      <c r="A668" s="37">
        <f>1+N(A667)</f>
        <v/>
      </c>
      <c r="B668" s="27" t="inlineStr">
        <is>
          <t>成品石膏线条</t>
        </is>
      </c>
      <c r="C668" s="27" t="inlineStr">
        <is>
          <t>1.成品石膏线条（50mm*50mm）；
2.按图纸造型；
3.包含完成该项内容所有工作及费用并满足设计图纸、规范等要求；</t>
        </is>
      </c>
      <c r="D668" s="27" t="inlineStr">
        <is>
          <t>自现有现场条件下按照合同约定范围、图纸（含设计变更）及甲方要求内容以及规范、标准、相关做法等要求完成并达到总包合同全部目标的全部工作内容。</t>
        </is>
      </c>
      <c r="E668" s="27" t="inlineStr">
        <is>
          <t>依据经承包人确认的施工部位,按设计图示尺寸以延长米计算。</t>
        </is>
      </c>
      <c r="F668" s="28" t="inlineStr">
        <is>
          <t>m</t>
        </is>
      </c>
      <c r="G668" s="61" t="n">
        <v>10.36</v>
      </c>
      <c r="H668" s="62" t="n">
        <v>20.06</v>
      </c>
      <c r="I668" s="65" t="n"/>
      <c r="J668" s="62">
        <f>H668*(1-$I$4)</f>
        <v/>
      </c>
      <c r="K668" s="63">
        <f>G668*J668</f>
        <v/>
      </c>
      <c r="L668" s="33" t="inlineStr">
        <is>
          <t>成品石膏线条</t>
        </is>
      </c>
      <c r="M668" s="64" t="n"/>
      <c r="N668" s="39" t="n">
        <v>1</v>
      </c>
      <c r="O668" t="n">
        <v>18</v>
      </c>
      <c r="P668" s="35" t="inlineStr">
        <is>
          <t>差:-2.06元 (-10.3%) 来源:售楼处</t>
        </is>
      </c>
      <c r="Q668" s="35" t="n"/>
      <c r="R668" s="35" t="n"/>
    </row>
    <row r="669" outlineLevel="2" ht="72" customFormat="1" customHeight="1" s="39">
      <c r="A669" s="37">
        <f>1+N(A668)</f>
        <v/>
      </c>
      <c r="B669" s="27" t="inlineStr">
        <is>
          <t>条形空调风口（150mm）</t>
        </is>
      </c>
      <c r="C669" s="27" t="inlineStr">
        <is>
          <t>1.条形空调风口（150mm）；
2.风口周边阻燃板封边加固处理；
3.包含完成该项内容所有工作及费用并满足设计图纸、规范等要求；</t>
        </is>
      </c>
      <c r="D669" s="27" t="inlineStr">
        <is>
          <t>自现有现场条件下按照合同约定范围、图纸（含设计变更）及甲方要求内容以及规范、标准、相关做法等要求完成并达到总包合同全部目标的全部工作内容。</t>
        </is>
      </c>
      <c r="E669" s="27" t="inlineStr">
        <is>
          <t>依据经承包人确认的施工部位,按设计图示尺寸以延长米计算。</t>
        </is>
      </c>
      <c r="F669" s="28" t="inlineStr">
        <is>
          <t>m</t>
        </is>
      </c>
      <c r="G669" s="61" t="n">
        <v>2.4</v>
      </c>
      <c r="H669" s="62" t="n">
        <v>109.74</v>
      </c>
      <c r="I669" s="65" t="n"/>
      <c r="J669" s="62">
        <f>H669*(1-$I$4)</f>
        <v/>
      </c>
      <c r="K669" s="63">
        <f>G669*J669</f>
        <v/>
      </c>
      <c r="L669" s="33" t="inlineStr">
        <is>
          <t>空调风口</t>
        </is>
      </c>
      <c r="M669" s="64" t="n"/>
      <c r="N669" s="39" t="n">
        <v>1</v>
      </c>
      <c r="O669" t="n">
        <v>30</v>
      </c>
      <c r="P669" s="35" t="inlineStr">
        <is>
          <t>差:-79.74元 (-72.7%) 来源:售楼处</t>
        </is>
      </c>
      <c r="Q669" s="35" t="n"/>
      <c r="R669" s="35" t="n"/>
    </row>
    <row r="670" outlineLevel="2" ht="192" customFormat="1" customHeight="1" s="39">
      <c r="A670" s="37">
        <f>1+N(A669)</f>
        <v/>
      </c>
      <c r="B670" s="27" t="inlineStr">
        <is>
          <t>天花肌理无机涂料PT-01</t>
        </is>
      </c>
      <c r="C670" s="27" t="inlineStr">
        <is>
          <t>1.天花肌理无机涂料PT-01；
2.刮腻子二遍磨平；
3.底漆1遍，面漆2遍；
4.包含完成该项内容所有工作及费用并满足设计图纸、规范等要求；</t>
        </is>
      </c>
      <c r="D670" s="27" t="inlineStr">
        <is>
          <t>包括但不限于材料计划、采购、卸车倒运、保管、检验试验费、测量放线，包含四周阴角找平直、含天棚四周阴角找平直，打磨，简易脚手架搭拆及操作平台、升降机，基层清理、打磨平整、底层找补、满刮涂料（含阴阳角塑料条）、涂料打磨、补遗处理、配合其他分包施工、完工后场清、成品保护、保修等直到达到竣工交付标准的全部工作内容。包括所有为完成工作所需的小型机具；包括所有为完成工作所需的附属工作；包括但不限于以上内容。</t>
        </is>
      </c>
      <c r="E670" s="27" t="inlineStr">
        <is>
          <t>执行《GB/T50854-2024房屋建筑与装饰工程工程量计算标准》，按设计图示尺寸以面积计算。扣除0.3平方米以上洞口的面积；梁侧面及檐口天棚并入天棚计算；以设计图纸和技术交底为基础</t>
        </is>
      </c>
      <c r="F670" s="28" t="inlineStr">
        <is>
          <t>m2</t>
        </is>
      </c>
      <c r="G670" s="61" t="n">
        <v>16.76</v>
      </c>
      <c r="H670" s="62" t="n">
        <v>48.38</v>
      </c>
      <c r="I670" s="65" t="n"/>
      <c r="J670" s="62">
        <f>H670*(1-$I$4)</f>
        <v/>
      </c>
      <c r="K670" s="63">
        <f>G670*J670</f>
        <v/>
      </c>
      <c r="L670" s="33" t="inlineStr">
        <is>
          <t>涂料</t>
        </is>
      </c>
      <c r="M670" s="64" t="n"/>
      <c r="N670" s="39" t="n">
        <v>1</v>
      </c>
      <c r="O670" t="n">
        <v>45</v>
      </c>
      <c r="P670" s="35" t="inlineStr">
        <is>
          <t>差:-3.38元 (-7.0%) 来源:售楼处</t>
        </is>
      </c>
      <c r="Q670" s="35" t="n"/>
      <c r="R670" s="35" t="n"/>
    </row>
    <row r="671" outlineLevel="1" customFormat="1" s="39">
      <c r="A671" s="36" t="n"/>
      <c r="B671" s="27" t="inlineStr">
        <is>
          <t>门窗、家具工程</t>
        </is>
      </c>
      <c r="C671" s="27" t="n"/>
      <c r="D671" s="27" t="n"/>
      <c r="E671" s="27" t="n"/>
      <c r="F671" s="28" t="n"/>
      <c r="G671" s="61" t="n"/>
      <c r="H671" s="62" t="n"/>
      <c r="I671" s="65" t="n"/>
      <c r="J671" s="62" t="n"/>
      <c r="K671" s="63" t="n"/>
      <c r="L671" s="33" t="n"/>
      <c r="M671" s="64" t="n"/>
      <c r="P671" s="35" t="n"/>
      <c r="Q671" s="35" t="n"/>
      <c r="R671" s="35" t="n"/>
    </row>
    <row r="672" outlineLevel="2" ht="84" customFormat="1" customHeight="1" s="39">
      <c r="A672" s="37">
        <f>1+N(A671)</f>
        <v/>
      </c>
      <c r="B672" s="27" t="inlineStr">
        <is>
          <t>电梯厅门（参DR05）</t>
        </is>
      </c>
      <c r="C672" s="27" t="inlineStr">
        <is>
          <t>1、门扇：1.2mm厚 MT-01古铜不锈钢饰面、GL-02艺术玻璃、ST-08石材、50*50热镀锌矩管、9mm厚玻镁板基层
2、定制成品套装门制安
3、含天地轴等五金配件
4、包含完成该项内容所有工作及费用并满足设计图纸、规范等要求</t>
        </is>
      </c>
      <c r="D672" s="27" t="inlineStr">
        <is>
          <t>自现有现场条件下按照合同约定范围、图纸（含设计变更）及甲方要求内容以及规范、标准、相关做法等要求完成并达到总包合同全部目标的全部工作内容。</t>
        </is>
      </c>
      <c r="E672" s="27" t="inlineStr">
        <is>
          <t>以最终验收合格的工程量计算</t>
        </is>
      </c>
      <c r="F672" s="28" t="inlineStr">
        <is>
          <t>m2</t>
        </is>
      </c>
      <c r="G672" s="61" t="n">
        <v>5.96</v>
      </c>
      <c r="H672" s="62" t="n">
        <v>5975.5943697479</v>
      </c>
      <c r="I672" s="65" t="n"/>
      <c r="J672" s="62">
        <f>H672*(1-$I$4)</f>
        <v/>
      </c>
      <c r="K672" s="63">
        <f>G672*J672</f>
        <v/>
      </c>
      <c r="L672" s="33" t="inlineStr">
        <is>
          <t>/</t>
        </is>
      </c>
      <c r="M672" s="64" t="n"/>
      <c r="N672" s="39" t="n">
        <v>1</v>
      </c>
      <c r="O672" t="n">
        <v>145</v>
      </c>
      <c r="P672" s="35" t="inlineStr">
        <is>
          <t>差:-5830.59元 (-97.6%) 来源:售楼处</t>
        </is>
      </c>
      <c r="Q672" s="35" t="n"/>
      <c r="R672" s="35" t="n"/>
    </row>
    <row r="673" outlineLevel="2" ht="72" customFormat="1" customHeight="1" s="39">
      <c r="A673" s="37">
        <f>1+N(A672)</f>
        <v/>
      </c>
      <c r="B673" s="27" t="inlineStr">
        <is>
          <t>强弱电井暗门(不含面层)</t>
        </is>
      </c>
      <c r="C673" s="27" t="inlineStr">
        <is>
          <t>1、40x40x5mm热镀锌方管骨架、背封铝塑板
2、含天地轴、门吸等五金配件
3、包含完成该项内容所有工作及费用并满足设计图纸、规范等要求</t>
        </is>
      </c>
      <c r="D673" s="27" t="inlineStr">
        <is>
          <t>自现有现场条件下按照合同约定范围、图纸（含设计变更）及甲方要求内容以及规范、标准、相关做法等要求完成并达到总包合同全部目标的全部工作内容。</t>
        </is>
      </c>
      <c r="E673" s="27" t="inlineStr">
        <is>
          <t>以最终验收合格的工程量计算</t>
        </is>
      </c>
      <c r="F673" s="28" t="inlineStr">
        <is>
          <t>m2</t>
        </is>
      </c>
      <c r="G673" s="61" t="n">
        <v>2.55</v>
      </c>
      <c r="H673" s="62" t="n">
        <v>962.6833333333331</v>
      </c>
      <c r="I673" s="65" t="n"/>
      <c r="J673" s="62">
        <f>H673*(1-$I$4)</f>
        <v/>
      </c>
      <c r="K673" s="63">
        <f>G673*J673</f>
        <v/>
      </c>
      <c r="L673" s="33" t="inlineStr">
        <is>
          <t>/</t>
        </is>
      </c>
      <c r="M673" s="64" t="n"/>
      <c r="N673" s="39" t="n">
        <v>1</v>
      </c>
      <c r="O673" t="n">
        <v>165</v>
      </c>
      <c r="P673" s="35" t="inlineStr">
        <is>
          <t>差:-797.68元 (-82.9%) 来源:售楼处</t>
        </is>
      </c>
      <c r="Q673" s="35" t="n"/>
      <c r="R673" s="35" t="n"/>
    </row>
    <row r="674" outlineLevel="1" customFormat="1" s="39">
      <c r="A674" s="26" t="inlineStr">
        <is>
          <t>十</t>
        </is>
      </c>
      <c r="B674" s="27" t="inlineStr">
        <is>
          <t>行政酒廊</t>
        </is>
      </c>
      <c r="C674" s="27" t="n"/>
      <c r="D674" s="27" t="n"/>
      <c r="E674" s="27" t="n"/>
      <c r="F674" s="28" t="n"/>
      <c r="G674" s="61" t="n"/>
      <c r="H674" s="62" t="n"/>
      <c r="I674" s="65" t="n"/>
      <c r="J674" s="62" t="n"/>
      <c r="K674" s="63" t="n"/>
      <c r="L674" s="33" t="n"/>
      <c r="M674" s="64" t="n"/>
      <c r="P674" s="35" t="n"/>
      <c r="Q674" s="35" t="n"/>
      <c r="R674" s="35" t="n"/>
    </row>
    <row r="675" outlineLevel="1" customFormat="1" s="39">
      <c r="A675" s="36" t="n"/>
      <c r="B675" s="27" t="inlineStr">
        <is>
          <t>地面工程</t>
        </is>
      </c>
      <c r="C675" s="27" t="n"/>
      <c r="D675" s="27" t="n"/>
      <c r="E675" s="27" t="n"/>
      <c r="F675" s="28" t="n"/>
      <c r="G675" s="61" t="n"/>
      <c r="H675" s="62" t="n"/>
      <c r="I675" s="65" t="n"/>
      <c r="J675" s="62" t="n"/>
      <c r="K675" s="63" t="n"/>
      <c r="L675" s="33" t="n"/>
      <c r="M675" s="64" t="n"/>
      <c r="P675" s="35" t="n"/>
      <c r="Q675" s="35" t="n"/>
      <c r="R675" s="35" t="n"/>
    </row>
    <row r="676" outlineLevel="2" ht="108" customFormat="1" customHeight="1" s="39">
      <c r="A676" s="37">
        <f>1+N(A675)</f>
        <v/>
      </c>
      <c r="B676" s="27" t="inlineStr">
        <is>
          <t>地面铺木地板</t>
        </is>
      </c>
      <c r="C676" s="27" t="inlineStr">
        <is>
          <t>1.地面防潮木地板WF-02；
2.防潮膜；
3.自流平
4.包含完成该项内容所有工作及费用并满足设计图纸、规范等要求；</t>
        </is>
      </c>
      <c r="D676"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t>
        </is>
      </c>
      <c r="E676" s="27" t="inlineStr">
        <is>
          <t xml:space="preserve">执行《GB/T50854-2024房屋建筑与装饰工程工程量计算标准》，按设计图示尺寸
以面积计算。 </t>
        </is>
      </c>
      <c r="F676" s="28" t="inlineStr">
        <is>
          <t>m2</t>
        </is>
      </c>
      <c r="G676" s="61" t="n">
        <v>41</v>
      </c>
      <c r="H676" s="62" t="n">
        <v>92.04000000000001</v>
      </c>
      <c r="I676" s="65" t="n"/>
      <c r="J676" s="62">
        <f>H676*(1-$I$4)</f>
        <v/>
      </c>
      <c r="K676" s="63">
        <f>G676*J676</f>
        <v/>
      </c>
      <c r="L676" s="33" t="inlineStr">
        <is>
          <t>木地板</t>
        </is>
      </c>
      <c r="M676" s="64" t="n"/>
      <c r="N676" s="39" t="n">
        <v>1</v>
      </c>
      <c r="O676" t="n">
        <v>36</v>
      </c>
      <c r="P676" s="35" t="inlineStr">
        <is>
          <t>差:-56.04元 (-60.9%) 来源:售楼处</t>
        </is>
      </c>
      <c r="Q676" s="35" t="n"/>
      <c r="R676" s="35" t="n"/>
    </row>
    <row r="677" outlineLevel="2" ht="216" customFormat="1" customHeight="1" s="39">
      <c r="A677" s="37">
        <f>1+N(A676)</f>
        <v/>
      </c>
      <c r="B677" s="27" t="inlineStr">
        <is>
          <t>水泥砂浆找平层</t>
        </is>
      </c>
      <c r="C677" s="27" t="inlineStr">
        <is>
          <t>1.75mm厚DS干混砂浆找平层、需铺符合设计要求标高；
2.完成需收光、压实处理\面层需做自流平（地毯铺设前）；
3.包含完成该项内容所有工作及费用并满足设计图纸、规范等要求；</t>
        </is>
      </c>
      <c r="D677" s="27" t="inlineStr">
        <is>
          <t>包含完成地面所有施工工序所需的人工、材料（甲供材除外）、机械、管理费、利润；包括但不限于材料计划、卸车倒运（含多次）、保管、测量放线、基底清理、标高检测、配合检测、贴饼冲筋、砂浆找平、抹压、压光、设置分格缝、阻水台（按照方案及交底要求施工）、地面留槽回填及二次处理，所有洞口、管根的补遗处理，养护、配合水电安装、现场清理及分包施工作业面的及时清理、清扫等、装卸费、场内倒运费，配合承包人实验员做好冬季测温记录、坍落度实验及砼试块制作，成品保护、保修等全部工作内容。</t>
        </is>
      </c>
      <c r="E677" s="27" t="inlineStr">
        <is>
          <t>执行《GB/T50854-2024房屋建筑与装饰工程工程量计算标准》，按设计图示尺寸以面积计算。扣除凸出地面构筑物、设备基础、室内管道、地沟等所占面积，不扣除间壁墙及≤0.3 ㎡柱、垛、附墙烟囱及孔洞所占面积。门洞、空圈、暖气包槽、壁龛的开口部分不增加面积。</t>
        </is>
      </c>
      <c r="F677" s="28" t="inlineStr">
        <is>
          <t>m2</t>
        </is>
      </c>
      <c r="G677" s="61" t="n">
        <v>65.09999999999999</v>
      </c>
      <c r="H677" s="62" t="n">
        <v>112.032445</v>
      </c>
      <c r="I677" s="65" t="n"/>
      <c r="J677" s="62">
        <f>H677*(1-$I$4)</f>
        <v/>
      </c>
      <c r="K677" s="63">
        <f>G677*J677</f>
        <v/>
      </c>
      <c r="L677" s="33" t="inlineStr">
        <is>
          <t>/</t>
        </is>
      </c>
      <c r="M677" s="64" t="n"/>
      <c r="N677" s="39" t="n">
        <v>1</v>
      </c>
      <c r="O677" t="n">
        <v>28</v>
      </c>
      <c r="P677" s="35" t="inlineStr">
        <is>
          <t>差:-84.03元 (-75.0%) 来源:售楼处</t>
        </is>
      </c>
      <c r="Q677" s="35" t="n"/>
      <c r="R677" s="35" t="n"/>
    </row>
    <row r="678" outlineLevel="2" ht="108" customFormat="1" customHeight="1" s="39">
      <c r="A678" s="37">
        <f>1+N(A677)</f>
        <v/>
      </c>
      <c r="B678" s="27" t="inlineStr">
        <is>
          <t>实心铜条5mm宽</t>
        </is>
      </c>
      <c r="C678" s="27" t="inlineStr">
        <is>
          <t>1.实心铜条5mm宽；
2.包含完成该项内容所有工作及费用并满足设计图纸、规范等要求；</t>
        </is>
      </c>
      <c r="D678"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678" s="27" t="inlineStr">
        <is>
          <t>按设计图示尺寸以长度计算。</t>
        </is>
      </c>
      <c r="F678" s="28" t="inlineStr">
        <is>
          <t>m</t>
        </is>
      </c>
      <c r="G678" s="61" t="n">
        <v>48.4</v>
      </c>
      <c r="H678" s="62" t="n">
        <v>89.267</v>
      </c>
      <c r="I678" s="65" t="n"/>
      <c r="J678" s="62">
        <f>H678*(1-$I$4)</f>
        <v/>
      </c>
      <c r="K678" s="63">
        <f>G678*J678</f>
        <v/>
      </c>
      <c r="L678" s="33" t="inlineStr">
        <is>
          <t>/</t>
        </is>
      </c>
      <c r="M678" s="64" t="n"/>
      <c r="N678" s="39" t="n">
        <v>1</v>
      </c>
      <c r="O678" t="n">
        <v>12</v>
      </c>
      <c r="P678" s="35" t="inlineStr">
        <is>
          <t>差:-77.27元 (-86.6%) 来源:售楼处</t>
        </is>
      </c>
      <c r="Q678" s="35" t="n"/>
      <c r="R678" s="35" t="n"/>
    </row>
    <row r="679" outlineLevel="1" customFormat="1" s="39">
      <c r="A679" s="36" t="n"/>
      <c r="B679" s="27" t="inlineStr">
        <is>
          <t>墙柱面工程</t>
        </is>
      </c>
      <c r="C679" s="27" t="n"/>
      <c r="D679" s="27" t="n"/>
      <c r="E679" s="27" t="n"/>
      <c r="F679" s="28" t="n"/>
      <c r="G679" s="61" t="n"/>
      <c r="H679" s="62" t="n"/>
      <c r="I679" s="65" t="n"/>
      <c r="J679" s="62" t="n"/>
      <c r="K679" s="63" t="n"/>
      <c r="L679" s="33" t="n"/>
      <c r="M679" s="64" t="n"/>
      <c r="P679" s="35" t="n"/>
      <c r="Q679" s="35" t="n"/>
      <c r="R679" s="35" t="n"/>
    </row>
    <row r="680" outlineLevel="2" ht="180" customFormat="1" customHeight="1" s="39">
      <c r="A680" s="37">
        <f>1+N(A679)</f>
        <v/>
      </c>
      <c r="B680" s="27" t="inlineStr">
        <is>
          <t>墙面干挂ST-09石材</t>
        </is>
      </c>
      <c r="C680" s="27" t="inlineStr">
        <is>
          <t>1、墙面干挂ST-09石材（含不锈钢线条）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is>
      </c>
      <c r="D680"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680" s="27" t="inlineStr">
        <is>
          <t>执行《GB/T50854-2024房屋建筑与装饰工程工程量计算标准》，按设计图示镶贴后外围面积计算</t>
        </is>
      </c>
      <c r="F680" s="28" t="inlineStr">
        <is>
          <t>m2</t>
        </is>
      </c>
      <c r="G680" s="61" t="n">
        <v>19.69</v>
      </c>
      <c r="H680" s="62" t="n">
        <v>283.2</v>
      </c>
      <c r="I680" s="65" t="n"/>
      <c r="J680" s="62">
        <f>H680*(1-$I$4)</f>
        <v/>
      </c>
      <c r="K680" s="63">
        <f>G680*J680</f>
        <v/>
      </c>
      <c r="L680" s="33" t="inlineStr">
        <is>
          <t>石材</t>
        </is>
      </c>
      <c r="M680" s="64" t="n"/>
      <c r="N680" s="39" t="n">
        <v>1</v>
      </c>
      <c r="O680" t="n">
        <v>150</v>
      </c>
      <c r="P680" s="35" t="inlineStr">
        <is>
          <t>差:-133.20元 (-47.0%) 来源:售楼处</t>
        </is>
      </c>
      <c r="Q680" s="35" t="n"/>
      <c r="R680" s="35" t="n"/>
    </row>
    <row r="681" outlineLevel="2" ht="144" customFormat="1" customHeight="1" s="39">
      <c r="A681" s="37">
        <f>1+N(A680)</f>
        <v/>
      </c>
      <c r="B681" s="27" t="inlineStr">
        <is>
          <t>MR-01银镜</t>
        </is>
      </c>
      <c r="C681" s="27" t="inlineStr">
        <is>
          <t>1、MR-01银镜（含不锈钢线条）
2、胶粘剂固定(中性胶)
3、12mm阻燃板基层
4、膨胀螺栓、轻钢龙骨(钢结构)基层找平
5、包含完成该项内容所有工作及费用并满足设计图纸、规范等要求</t>
        </is>
      </c>
      <c r="D681"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681" s="27" t="inlineStr">
        <is>
          <t>执行《GB/T50854-2024房屋建筑与装饰工程工程量计算标准》，按设计图示饰面外围尺寸以面积计算。</t>
        </is>
      </c>
      <c r="F681" s="28" t="inlineStr">
        <is>
          <t>m2</t>
        </is>
      </c>
      <c r="G681" s="61" t="n">
        <v>13.3</v>
      </c>
      <c r="H681" s="62" t="n">
        <v>214.76</v>
      </c>
      <c r="I681" s="65" t="n"/>
      <c r="J681" s="62">
        <f>H681*(1-$I$4)</f>
        <v/>
      </c>
      <c r="K681" s="63">
        <f>G681*J681</f>
        <v/>
      </c>
      <c r="L681" s="33" t="inlineStr">
        <is>
          <t>银镜</t>
        </is>
      </c>
      <c r="M681" s="64" t="n"/>
      <c r="N681" s="39" t="n">
        <v>1</v>
      </c>
      <c r="O681" t="n">
        <v>110</v>
      </c>
      <c r="P681" s="35" t="inlineStr">
        <is>
          <t>差:-104.76元 (-48.8%) 来源:售楼处</t>
        </is>
      </c>
      <c r="Q681" s="35" t="n"/>
      <c r="R681" s="35" t="n"/>
    </row>
    <row r="682" outlineLevel="2" ht="144" customFormat="1" customHeight="1" s="39">
      <c r="A682" s="37">
        <f>1+N(A681)</f>
        <v/>
      </c>
      <c r="B682" s="27" t="inlineStr">
        <is>
          <t>SF-02软瓷</t>
        </is>
      </c>
      <c r="C682" s="27" t="inlineStr">
        <is>
          <t>1、SF-02软瓷，结构胶固定
2、12厘玻镁板基层
3、包含完成该项内容所有工作及费用并满足设计图纸、规范等要求</t>
        </is>
      </c>
      <c r="D682"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682" s="27" t="inlineStr">
        <is>
          <t>执行《GB/T50854-2024房屋建筑与装饰工程工程量计算标准》，按设计图示饰面外围尺寸以面积计算。</t>
        </is>
      </c>
      <c r="F682" s="28" t="inlineStr">
        <is>
          <t>m2</t>
        </is>
      </c>
      <c r="G682" s="61" t="n">
        <v>40.18</v>
      </c>
      <c r="H682" s="62" t="n">
        <v>245.44</v>
      </c>
      <c r="I682" s="65" t="n"/>
      <c r="J682" s="62">
        <f>H682*(1-$I$4)</f>
        <v/>
      </c>
      <c r="K682" s="63">
        <f>G682*J682</f>
        <v/>
      </c>
      <c r="L682" s="33" t="inlineStr">
        <is>
          <t>软瓷</t>
        </is>
      </c>
      <c r="M682" s="64" t="n"/>
      <c r="N682" s="39" t="n">
        <v>1</v>
      </c>
      <c r="O682" t="n">
        <v>75</v>
      </c>
      <c r="P682" s="35" t="inlineStr">
        <is>
          <t>差:-170.44元 (-69.4%) 来源:售楼处</t>
        </is>
      </c>
      <c r="Q682" s="35" t="n"/>
      <c r="R682" s="35" t="n"/>
    </row>
    <row r="683" outlineLevel="2" ht="144" customFormat="1" customHeight="1" s="39">
      <c r="A683" s="37">
        <f>1+N(A682)</f>
        <v/>
      </c>
      <c r="B683" s="27" t="inlineStr">
        <is>
          <t>UP-01皮革</t>
        </is>
      </c>
      <c r="C683" s="27" t="inlineStr">
        <is>
          <t>1、UP-01皮革，结构胶固定（含不锈钢线条）
2、12mm阻燃板，轻钢副龙骨@400
3、包含完成该项内容所有工作及费用并满足设计图纸、规范等要求</t>
        </is>
      </c>
      <c r="D683"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683" s="27" t="inlineStr">
        <is>
          <t>执行《GB/T50854-2024房屋建筑与装饰工程工程量计算标准》，按设计图示饰面外围尺寸以面积计算。</t>
        </is>
      </c>
      <c r="F683" s="28" t="inlineStr">
        <is>
          <t>m2</t>
        </is>
      </c>
      <c r="G683" s="61" t="n">
        <v>53.77</v>
      </c>
      <c r="H683" s="62" t="n">
        <v>378.78</v>
      </c>
      <c r="I683" s="65" t="n"/>
      <c r="J683" s="62">
        <f>H683*(1-$I$4)</f>
        <v/>
      </c>
      <c r="K683" s="63">
        <f>G683*J683</f>
        <v/>
      </c>
      <c r="L683" s="33" t="inlineStr">
        <is>
          <t>皮革</t>
        </is>
      </c>
      <c r="M683" s="64" t="n"/>
      <c r="N683" s="39" t="n">
        <v>1</v>
      </c>
      <c r="O683" t="n">
        <v>95</v>
      </c>
      <c r="P683" s="35" t="inlineStr">
        <is>
          <t>差:-283.78元 (-74.9%) 来源:售楼处</t>
        </is>
      </c>
      <c r="Q683" s="35" t="n"/>
      <c r="R683" s="35" t="n"/>
    </row>
    <row r="684" outlineLevel="2" ht="180" customFormat="1" customHeight="1" s="39">
      <c r="A684" s="37">
        <f>1+N(A683)</f>
        <v/>
      </c>
      <c r="B684" s="27" t="inlineStr">
        <is>
          <t>不锈钢门套</t>
        </is>
      </c>
      <c r="C684" s="27" t="inlineStr">
        <is>
          <t>1、1.2mm厚 MT-01古铜不锈钢门套，结构胶固定
2、9厘玻镁板基层
3、工程量以展开面积计算
4、包含完成该项内容所有工作及费用并满足设计图纸、规范等要求</t>
        </is>
      </c>
      <c r="D684"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684" s="27" t="inlineStr">
        <is>
          <t>执行《GB/T50854-2024房屋建筑与装饰工程工程量计算标准》，按设计图示饰面外围尺寸
以面积计算。 扣除门窗洞口面积，不扣除单个面积≤0.3㎡的孔洞所占面积。</t>
        </is>
      </c>
      <c r="F684" s="28" t="inlineStr">
        <is>
          <t>m2</t>
        </is>
      </c>
      <c r="G684" s="61" t="n">
        <v>16.85</v>
      </c>
      <c r="H684" s="62" t="n">
        <v>630.651</v>
      </c>
      <c r="I684" s="65" t="n"/>
      <c r="J684" s="62">
        <f>H684*(1-$I$4)</f>
        <v/>
      </c>
      <c r="K684" s="63">
        <f>G684*J684</f>
        <v/>
      </c>
      <c r="L684" s="33" t="inlineStr">
        <is>
          <t>/</t>
        </is>
      </c>
      <c r="M684" s="64" t="n"/>
      <c r="N684" s="39" t="n">
        <v>1</v>
      </c>
      <c r="O684" t="n">
        <v>110</v>
      </c>
      <c r="P684" s="35" t="inlineStr">
        <is>
          <t>差:-520.65元 (-82.6%) 来源:售楼处</t>
        </is>
      </c>
      <c r="Q684" s="35" t="n"/>
      <c r="R684" s="35" t="n"/>
    </row>
    <row r="685" outlineLevel="2" ht="144" customFormat="1" customHeight="1" s="39">
      <c r="A685" s="37">
        <f>1+N(A684)</f>
        <v/>
      </c>
      <c r="B685" s="27" t="inlineStr">
        <is>
          <t>MT-01古铜不锈钢踢脚线（高20mm）</t>
        </is>
      </c>
      <c r="C685" s="27" t="inlineStr">
        <is>
          <t>1、1.2mm厚 MT-01古铜不锈钢踢脚线（高20mm，展开面为46mm），结构胶固定
2、9厘玻镁板基层
3、包含完成该项内容所有工作及费用并满足设计图纸、规范等要求</t>
        </is>
      </c>
      <c r="D685"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685" s="27" t="inlineStr">
        <is>
          <t>按设计图示尺寸以长度计算。</t>
        </is>
      </c>
      <c r="F685" s="28" t="inlineStr">
        <is>
          <t>m</t>
        </is>
      </c>
      <c r="G685" s="61" t="n">
        <v>44.9</v>
      </c>
      <c r="H685" s="62" t="n">
        <v>31.86</v>
      </c>
      <c r="I685" s="65" t="n"/>
      <c r="J685" s="62">
        <f>H685*(1-$I$4)</f>
        <v/>
      </c>
      <c r="K685" s="63">
        <f>G685*J685</f>
        <v/>
      </c>
      <c r="L685" s="33" t="inlineStr">
        <is>
          <t>不锈钢踢脚线</t>
        </is>
      </c>
      <c r="M685" s="64" t="n"/>
      <c r="N685" s="39" t="n">
        <v>1</v>
      </c>
      <c r="O685" t="n">
        <v>12</v>
      </c>
      <c r="P685" s="35" t="inlineStr">
        <is>
          <t>差:-19.86元 (-62.3%) 来源:售楼处</t>
        </is>
      </c>
      <c r="Q685" s="35" t="n"/>
      <c r="R685" s="35" t="n"/>
    </row>
    <row r="686" outlineLevel="2" ht="144" customFormat="1" customHeight="1" s="39">
      <c r="A686" s="37">
        <f>1+N(A685)</f>
        <v/>
      </c>
      <c r="B686" s="27" t="inlineStr">
        <is>
          <t>MT-01古铜不锈钢线条（展开面为118mm）</t>
        </is>
      </c>
      <c r="C686" s="27" t="inlineStr">
        <is>
          <t>1、1.2mm厚MT-01古铜不锈钢线条（展开面为118mm），结构胶固定
2、9厘玻镁板基层
3、包含完成该项内容所有工作及费用并满足设计图纸、规范等要求</t>
        </is>
      </c>
      <c r="D686"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686" s="27" t="inlineStr">
        <is>
          <t>按设计图示尺寸以长度计算。</t>
        </is>
      </c>
      <c r="F686" s="28" t="inlineStr">
        <is>
          <t>m</t>
        </is>
      </c>
      <c r="G686" s="61" t="n">
        <v>10.3</v>
      </c>
      <c r="H686" s="62" t="n">
        <v>117.84424</v>
      </c>
      <c r="I686" s="65" t="n"/>
      <c r="J686" s="62">
        <f>H686*(1-$I$4)</f>
        <v/>
      </c>
      <c r="K686" s="63">
        <f>G686*J686</f>
        <v/>
      </c>
      <c r="L686" s="33" t="inlineStr">
        <is>
          <t>/</t>
        </is>
      </c>
      <c r="M686" s="64" t="n"/>
      <c r="N686" s="39" t="n">
        <v>1</v>
      </c>
      <c r="O686" t="n">
        <v>25</v>
      </c>
      <c r="P686" s="35" t="inlineStr">
        <is>
          <t>差:-92.84元 (-78.8%) 来源:售楼处</t>
        </is>
      </c>
      <c r="Q686" s="35" t="n"/>
      <c r="R686" s="35" t="n"/>
    </row>
    <row r="687" outlineLevel="2" ht="72" customFormat="1" customHeight="1" s="39">
      <c r="A687" s="37">
        <f>1+N(A686)</f>
        <v/>
      </c>
      <c r="B687" s="27" t="inlineStr">
        <is>
          <t>MT-01古铜不锈钢窗套（展开面为95mm）</t>
        </is>
      </c>
      <c r="C687" s="27" t="inlineStr">
        <is>
          <t>1、1.2mm厚 MT-01古铜不锈钢窗套（展开面为95mm），结构胶固定
2、9厘玻镁板基层
3、包含完成该项内容所有工作及费用并满足设计图纸、规范等要求</t>
        </is>
      </c>
      <c r="D687" s="27" t="inlineStr">
        <is>
          <t>自现有现场条件下按照合同约定范围、图纸（含设计变更）及甲方要求内容以及规范、标准、相关做法等要求完成并达到总包合同全部目标的全部工作内容。</t>
        </is>
      </c>
      <c r="E687" s="27" t="inlineStr">
        <is>
          <t>以最终验收合格的工程量计算</t>
        </is>
      </c>
      <c r="F687" s="28" t="inlineStr">
        <is>
          <t>m2</t>
        </is>
      </c>
      <c r="G687" s="61" t="n">
        <v>2.93</v>
      </c>
      <c r="H687" s="62" t="n">
        <v>630.651</v>
      </c>
      <c r="I687" s="65" t="n"/>
      <c r="J687" s="62">
        <f>H687*(1-$I$4)</f>
        <v/>
      </c>
      <c r="K687" s="63">
        <f>G687*J687</f>
        <v/>
      </c>
      <c r="L687" s="33" t="inlineStr">
        <is>
          <t>/</t>
        </is>
      </c>
      <c r="M687" s="64" t="n"/>
      <c r="N687" s="39" t="n">
        <v>1</v>
      </c>
      <c r="O687" t="n">
        <v>110</v>
      </c>
      <c r="P687" s="35" t="inlineStr">
        <is>
          <t>差:-520.65元 (-82.6%) 来源:售楼处</t>
        </is>
      </c>
      <c r="Q687" s="35" t="n"/>
      <c r="R687" s="35" t="n"/>
    </row>
    <row r="688" outlineLevel="1" customFormat="1" s="39">
      <c r="A688" s="36" t="n"/>
      <c r="B688" s="27" t="inlineStr">
        <is>
          <t>天花工程</t>
        </is>
      </c>
      <c r="C688" s="27" t="n"/>
      <c r="D688" s="27" t="n"/>
      <c r="E688" s="27" t="n"/>
      <c r="F688" s="28" t="n"/>
      <c r="G688" s="61" t="n"/>
      <c r="H688" s="62" t="n"/>
      <c r="I688" s="65" t="n"/>
      <c r="J688" s="62" t="n"/>
      <c r="K688" s="63" t="n"/>
      <c r="L688" s="33" t="n"/>
      <c r="M688" s="64" t="n"/>
      <c r="P688" s="35" t="n"/>
      <c r="Q688" s="35" t="n"/>
      <c r="R688" s="35" t="n"/>
    </row>
    <row r="689" outlineLevel="2" ht="192" customFormat="1" customHeight="1" s="39">
      <c r="A689" s="37">
        <f>1+N(A688)</f>
        <v/>
      </c>
      <c r="B689" s="27" t="inlineStr">
        <is>
          <t>造型石膏板吊顶</t>
        </is>
      </c>
      <c r="C689" s="27" t="inlineStr">
        <is>
          <t>1.60系列轻钢主龙骨@900，60系列轻钢副龙骨@400，60系列横撑龙骨@600，08螺纹吊杆@900不上人天花吊顶（投影面计算）
2.玻镁板、双层9.5厚石膏板基层，含开孔、检修口、10*10凹槽等费用；
3.含除灯槽外的侧面高差及其连接件、吊件；
4.包含完成该项内容所有工作及费用并满足设计图纸、规范等要求；</t>
        </is>
      </c>
      <c r="D689" s="27" t="inlineStr">
        <is>
          <t>1.基层清理。
2.弹线定位、排版。
3.吊杆及连接件安装调平、收口及密封处理。
4.材料切割处理找平、石膏板安装及调整，打胶密封与清理.
5.收口及其他处理：检修口等制作安装、收边收口、配合预留安装、机电等专业孔洞及孔洞收口处理。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689" s="27" t="inlineStr">
        <is>
          <t>按设计图示尺寸以水平投影面积计算。不扣除间壁墙、检查口、附墙烟囱、柱垛和管道所占面积,扣除单个&gt;0.3m3的孔洞、非密拼吊顶空隙所占的面积、独立柱及与天棚相连的窗帘盒所占的面积。</t>
        </is>
      </c>
      <c r="F689" s="28" t="inlineStr">
        <is>
          <t>m2</t>
        </is>
      </c>
      <c r="G689" s="61" t="n">
        <v>106.1</v>
      </c>
      <c r="H689" s="62" t="n">
        <v>174.574444444444</v>
      </c>
      <c r="I689" s="65" t="n"/>
      <c r="J689" s="62">
        <f>H689*(1-$I$4)</f>
        <v/>
      </c>
      <c r="K689" s="63">
        <f>G689*J689</f>
        <v/>
      </c>
      <c r="L689" s="33" t="inlineStr">
        <is>
          <t>/</t>
        </is>
      </c>
      <c r="M689" s="64" t="n"/>
      <c r="N689" s="39" t="n">
        <v>1</v>
      </c>
      <c r="O689" t="n">
        <v>70</v>
      </c>
      <c r="P689" s="35" t="inlineStr">
        <is>
          <t>差:-104.57元 (-59.9%) 来源:售楼处</t>
        </is>
      </c>
      <c r="Q689" s="35" t="n"/>
      <c r="R689" s="35" t="n"/>
    </row>
    <row r="690" outlineLevel="2" ht="72" customFormat="1" customHeight="1" s="39">
      <c r="A690" s="37">
        <f>1+N(A689)</f>
        <v/>
      </c>
      <c r="B690" s="27" t="inlineStr">
        <is>
          <t>灯槽（100mm*200mm）</t>
        </is>
      </c>
      <c r="C690" s="27" t="inlineStr">
        <is>
          <t>1.灯槽（100mm*200mm）；
2.双层板：9mm玻镁板、9.5厚石膏板；
3.包含完成该项内容所有工作及费用并满足设计图纸、规范等要求；</t>
        </is>
      </c>
      <c r="D690" s="27" t="inlineStr">
        <is>
          <t>自现有现场条件下按照合同约定范围、图纸（含设计变更）及甲方要求内容以及规范、标准、相关做法等要求完成并达到总包合同全部目标的全部工作内容。</t>
        </is>
      </c>
      <c r="E690" s="27" t="inlineStr">
        <is>
          <t>依据经承包人确认的施工部位,按设计图示尺寸以延长米计算。</t>
        </is>
      </c>
      <c r="F690" s="28" t="inlineStr">
        <is>
          <t>m</t>
        </is>
      </c>
      <c r="G690" s="61" t="n">
        <v>39.02</v>
      </c>
      <c r="H690" s="62" t="n">
        <v>112.159</v>
      </c>
      <c r="I690" s="65" t="n"/>
      <c r="J690" s="62">
        <f>H690*(1-$I$4)</f>
        <v/>
      </c>
      <c r="K690" s="63">
        <f>G690*J690</f>
        <v/>
      </c>
      <c r="L690" s="33" t="inlineStr">
        <is>
          <t>/</t>
        </is>
      </c>
      <c r="M690" s="64" t="n"/>
      <c r="N690" s="39" t="n">
        <v>1</v>
      </c>
      <c r="O690" t="n">
        <v>50</v>
      </c>
      <c r="P690" s="35" t="inlineStr">
        <is>
          <t>差:-62.16元 (-55.4%) 来源:售楼处</t>
        </is>
      </c>
      <c r="Q690" s="35" t="n"/>
      <c r="R690" s="35" t="n"/>
    </row>
    <row r="691" outlineLevel="2" ht="72" customFormat="1" customHeight="1" s="39">
      <c r="A691" s="37">
        <f>1+N(A690)</f>
        <v/>
      </c>
      <c r="B691" s="27" t="inlineStr">
        <is>
          <t>成品石膏线条</t>
        </is>
      </c>
      <c r="C691" s="27" t="inlineStr">
        <is>
          <t>1.成品石膏线条（50mm*50mm）；
2.按图纸造型；
3.包含完成该项内容所有工作及费用并满足设计图纸、规范等要求；</t>
        </is>
      </c>
      <c r="D691" s="27" t="inlineStr">
        <is>
          <t>自现有现场条件下按照合同约定范围、图纸（含设计变更）及甲方要求内容以及规范、标准、相关做法等要求完成并达到总包合同全部目标的全部工作内容。</t>
        </is>
      </c>
      <c r="E691" s="27" t="inlineStr">
        <is>
          <t>依据经承包人确认的施工部位,按设计图示尺寸以延长米计算。</t>
        </is>
      </c>
      <c r="F691" s="28" t="inlineStr">
        <is>
          <t>m</t>
        </is>
      </c>
      <c r="G691" s="61" t="n">
        <v>39.02</v>
      </c>
      <c r="H691" s="62" t="n">
        <v>20.06</v>
      </c>
      <c r="I691" s="65" t="n"/>
      <c r="J691" s="62">
        <f>H691*(1-$I$4)</f>
        <v/>
      </c>
      <c r="K691" s="63">
        <f>G691*J691</f>
        <v/>
      </c>
      <c r="L691" s="33" t="inlineStr">
        <is>
          <t>成品石膏线条</t>
        </is>
      </c>
      <c r="M691" s="64" t="n"/>
      <c r="N691" s="39" t="n">
        <v>1</v>
      </c>
      <c r="O691" t="n">
        <v>18</v>
      </c>
      <c r="P691" s="35" t="inlineStr">
        <is>
          <t>差:-2.06元 (-10.3%) 来源:售楼处</t>
        </is>
      </c>
      <c r="Q691" s="35" t="n"/>
      <c r="R691" s="35" t="n"/>
    </row>
    <row r="692" outlineLevel="2" ht="72" customFormat="1" customHeight="1" s="39">
      <c r="A692" s="37">
        <f>1+N(A691)</f>
        <v/>
      </c>
      <c r="B692" s="27" t="inlineStr">
        <is>
          <t>条形空调风口（150mm）</t>
        </is>
      </c>
      <c r="C692" s="27" t="inlineStr">
        <is>
          <t>1.条形空调风口（150mm）；
2.风口周边阻燃板封边加固处理；
3.包含完成该项内容所有工作及费用并满足设计图纸、规范等要求；</t>
        </is>
      </c>
      <c r="D692" s="27" t="inlineStr">
        <is>
          <t>自现有现场条件下按照合同约定范围、图纸（含设计变更）及甲方要求内容以及规范、标准、相关做法等要求完成并达到总包合同全部目标的全部工作内容。</t>
        </is>
      </c>
      <c r="E692" s="27" t="inlineStr">
        <is>
          <t>依据经承包人确认的施工部位,按设计图示尺寸以延长米计算。</t>
        </is>
      </c>
      <c r="F692" s="28" t="inlineStr">
        <is>
          <t>m</t>
        </is>
      </c>
      <c r="G692" s="61" t="n">
        <v>9.6</v>
      </c>
      <c r="H692" s="62" t="n">
        <v>109.74</v>
      </c>
      <c r="I692" s="65" t="n"/>
      <c r="J692" s="62">
        <f>H692*(1-$I$4)</f>
        <v/>
      </c>
      <c r="K692" s="63">
        <f>G692*J692</f>
        <v/>
      </c>
      <c r="L692" s="33" t="inlineStr">
        <is>
          <t>空调风口</t>
        </is>
      </c>
      <c r="M692" s="64" t="n"/>
      <c r="N692" s="39" t="n">
        <v>1</v>
      </c>
      <c r="O692" t="n">
        <v>30</v>
      </c>
      <c r="P692" s="35" t="inlineStr">
        <is>
          <t>差:-79.74元 (-72.7%) 来源:售楼处</t>
        </is>
      </c>
      <c r="Q692" s="35" t="n"/>
      <c r="R692" s="35" t="n"/>
    </row>
    <row r="693" outlineLevel="2" ht="192" customFormat="1" customHeight="1" s="39">
      <c r="A693" s="37">
        <f>1+N(A692)</f>
        <v/>
      </c>
      <c r="B693" s="27" t="inlineStr">
        <is>
          <t>天花肌理无机涂料PT-01</t>
        </is>
      </c>
      <c r="C693" s="27" t="inlineStr">
        <is>
          <t>1.天花肌理无机涂料PT-01；
2.刮腻子二遍磨平；
3.底漆1遍，面漆2遍；
4.包含完成该项内容所有工作及费用并满足设计图纸、规范等要求；</t>
        </is>
      </c>
      <c r="D693" s="27" t="inlineStr">
        <is>
          <t>包括但不限于材料计划、采购、卸车倒运、保管、检验试验费、测量放线，包含四周阴角找平直、含天棚四周阴角找平直，打磨，简易脚手架搭拆及操作平台、升降机，基层清理、打磨平整、底层找补、满刮涂料（含阴阳角塑料条）、涂料打磨、补遗处理、配合其他分包施工、完工后场清、成品保护、保修等直到达到竣工交付标准的全部工作内容。包括所有为完成工作所需的小型机具；包括所有为完成工作所需的附属工作；包括但不限于以上内容。</t>
        </is>
      </c>
      <c r="E693" s="27" t="inlineStr">
        <is>
          <t>执行《GB/T50854-2024房屋建筑与装饰工程工程量计算标准》，按设计图示尺寸以面积计算。扣除0.3平方米以上洞口的面积；梁侧面及檐口天棚并入天棚计算；以设计图纸和技术交底为基础</t>
        </is>
      </c>
      <c r="F693" s="28" t="inlineStr">
        <is>
          <t>m2</t>
        </is>
      </c>
      <c r="G693" s="61" t="n">
        <v>117.81</v>
      </c>
      <c r="H693" s="62" t="n">
        <v>48.38</v>
      </c>
      <c r="I693" s="65" t="n"/>
      <c r="J693" s="62">
        <f>H693*(1-$I$4)</f>
        <v/>
      </c>
      <c r="K693" s="63">
        <f>G693*J693</f>
        <v/>
      </c>
      <c r="L693" s="33" t="inlineStr">
        <is>
          <t>涂料</t>
        </is>
      </c>
      <c r="M693" s="64" t="n"/>
      <c r="N693" s="39" t="n">
        <v>1</v>
      </c>
      <c r="O693" t="n">
        <v>45</v>
      </c>
      <c r="P693" s="35" t="inlineStr">
        <is>
          <t>差:-3.38元 (-7.0%) 来源:售楼处</t>
        </is>
      </c>
      <c r="Q693" s="35" t="n"/>
      <c r="R693" s="35" t="n"/>
    </row>
    <row r="694" outlineLevel="1" customFormat="1" s="39">
      <c r="A694" s="36" t="n"/>
      <c r="B694" s="27" t="inlineStr">
        <is>
          <t>门窗、家具工程</t>
        </is>
      </c>
      <c r="C694" s="27" t="n"/>
      <c r="D694" s="27" t="n"/>
      <c r="E694" s="27" t="n"/>
      <c r="F694" s="28" t="n"/>
      <c r="G694" s="61" t="n"/>
      <c r="H694" s="62" t="n"/>
      <c r="I694" s="65" t="n"/>
      <c r="J694" s="62" t="n"/>
      <c r="K694" s="63" t="n"/>
      <c r="L694" s="33" t="n"/>
      <c r="M694" s="64" t="n"/>
      <c r="P694" s="35" t="n"/>
      <c r="Q694" s="35" t="n"/>
      <c r="R694" s="35" t="n"/>
    </row>
    <row r="695" outlineLevel="2" ht="84" customFormat="1" customHeight="1" s="39">
      <c r="A695" s="37">
        <f>1+N(A694)</f>
        <v/>
      </c>
      <c r="B695" s="27" t="inlineStr">
        <is>
          <t>甲级防火门（DR05）</t>
        </is>
      </c>
      <c r="C695" s="27" t="inlineStr">
        <is>
          <t>1、门扇：1.2mm厚 MT-01古铜不锈钢饰面、GL-02艺术玻璃、ST-08石材、50*50热镀锌矩管、9mm厚玻镁板基层
2、定制成品套装门制安
3、含天地轴等五金配件
4、包含完成该项内容所有工作及费用并满足设计图纸、规范等要求</t>
        </is>
      </c>
      <c r="D695" s="27" t="inlineStr">
        <is>
          <t>自现有现场条件下按照合同约定范围、图纸（含设计变更）及甲方要求内容以及规范、标准、相关做法等要求完成并达到总包合同全部目标的全部工作内容。</t>
        </is>
      </c>
      <c r="E695" s="27" t="inlineStr">
        <is>
          <t>以最终验收合格的工程量计算</t>
        </is>
      </c>
      <c r="F695" s="28" t="inlineStr">
        <is>
          <t>m2</t>
        </is>
      </c>
      <c r="G695" s="61" t="n">
        <v>5.96</v>
      </c>
      <c r="H695" s="62" t="n">
        <v>5975.5943697479</v>
      </c>
      <c r="I695" s="65" t="n"/>
      <c r="J695" s="62">
        <f>H695*(1-$I$4)</f>
        <v/>
      </c>
      <c r="K695" s="63">
        <f>G695*J695</f>
        <v/>
      </c>
      <c r="L695" s="33" t="inlineStr">
        <is>
          <t>/</t>
        </is>
      </c>
      <c r="M695" s="64" t="n"/>
      <c r="N695" s="39" t="n">
        <v>1</v>
      </c>
      <c r="O695" t="n">
        <v>145</v>
      </c>
      <c r="P695" s="35" t="inlineStr">
        <is>
          <t>差:-5830.59元 (-97.6%) 来源:售楼处</t>
        </is>
      </c>
      <c r="Q695" s="35" t="n"/>
      <c r="R695" s="35" t="n"/>
    </row>
    <row r="696" outlineLevel="2" ht="84" customFormat="1" customHeight="1" s="39">
      <c r="A696" s="37">
        <f>1+N(A695)</f>
        <v/>
      </c>
      <c r="B696" s="27" t="inlineStr">
        <is>
          <t>甲级防火门(DR07)</t>
        </is>
      </c>
      <c r="C696" s="27" t="inlineStr">
        <is>
          <t>1、门扇：1.2mm厚 MT-01古铜不锈钢饰面、GL-02艺术玻璃、ST-08石材、50*50热镀锌矩管、9mm厚玻镁板基层
2、定制成品套装门制安
3、含天地轴等五金配件
4、包含完成该项内容所有工作及费用并满足设计图纸、规范等要求</t>
        </is>
      </c>
      <c r="D696" s="27" t="inlineStr">
        <is>
          <t>自现有现场条件下按照合同约定范围、图纸（含设计变更）及甲方要求内容以及规范、标准、相关做法等要求完成并达到总包合同全部目标的全部工作内容。</t>
        </is>
      </c>
      <c r="E696" s="27" t="inlineStr">
        <is>
          <t>以最终验收合格的工程量计算</t>
        </is>
      </c>
      <c r="F696" s="28" t="inlineStr">
        <is>
          <t>m2</t>
        </is>
      </c>
      <c r="G696" s="61" t="n">
        <v>8.869999999999999</v>
      </c>
      <c r="H696" s="62" t="n">
        <v>5975.5943697479</v>
      </c>
      <c r="I696" s="65" t="n"/>
      <c r="J696" s="62">
        <f>H696*(1-$I$4)</f>
        <v/>
      </c>
      <c r="K696" s="63">
        <f>G696*J696</f>
        <v/>
      </c>
      <c r="L696" s="33" t="inlineStr">
        <is>
          <t>/</t>
        </is>
      </c>
      <c r="M696" s="64" t="n"/>
      <c r="N696" s="39" t="n">
        <v>1</v>
      </c>
      <c r="O696" t="n">
        <v>145</v>
      </c>
      <c r="P696" s="35" t="inlineStr">
        <is>
          <t>差:-5830.59元 (-97.6%) 来源:售楼处</t>
        </is>
      </c>
      <c r="Q696" s="35" t="n"/>
      <c r="R696" s="35" t="n"/>
    </row>
    <row r="697" outlineLevel="2" ht="96" customFormat="1" customHeight="1" s="39">
      <c r="A697" s="37">
        <f>1+N(A696)</f>
        <v/>
      </c>
      <c r="B697" s="27" t="inlineStr">
        <is>
          <t>装饰屏风（800mm*100mm*3200mm）</t>
        </is>
      </c>
      <c r="C697" s="27" t="inlineStr">
        <is>
          <t>1.装饰屏风（800mm*100mm*3200mm）；
2.包括但不限于制作安装、钢结构骨架、阻燃板基层、WD-02木饰面、1.2mm厚 MT-01古铜不锈钢、MT-04手敲铜不锈钢；
3.包含完成该项内容所有工作及费用并满足设计图纸、规范等要求</t>
        </is>
      </c>
      <c r="D697" s="27" t="inlineStr">
        <is>
          <t>自现有现场条件下按照合同约定范围、图纸（含设计变更）及甲方要求内容以及规范、标准、相关做法等要求完成并达到总包合同全部目标的全部工作内容。</t>
        </is>
      </c>
      <c r="E697" s="27" t="inlineStr">
        <is>
          <t>以最终验收合格的工程量计算</t>
        </is>
      </c>
      <c r="F697" s="28" t="inlineStr">
        <is>
          <t>m2</t>
        </is>
      </c>
      <c r="G697" s="61" t="n">
        <v>10.24</v>
      </c>
      <c r="H697" s="62" t="n">
        <v>3211.488</v>
      </c>
      <c r="I697" s="65" t="n"/>
      <c r="J697" s="62">
        <f>H697*(1-$I$4)</f>
        <v/>
      </c>
      <c r="K697" s="63">
        <f>G697*J697</f>
        <v/>
      </c>
      <c r="L697" s="33" t="inlineStr">
        <is>
          <t>/</t>
        </is>
      </c>
      <c r="M697" s="64" t="n"/>
      <c r="N697" s="39" t="n">
        <v>1</v>
      </c>
      <c r="O697" t="n">
        <v>55</v>
      </c>
      <c r="P697" s="35" t="inlineStr">
        <is>
          <t>差:-3156.49元 (-98.3%) 来源:售楼处</t>
        </is>
      </c>
      <c r="Q697" s="35" t="n"/>
      <c r="R697" s="35" t="n"/>
    </row>
    <row r="698" outlineLevel="1" customFormat="1" s="39">
      <c r="A698" s="26" t="inlineStr">
        <is>
          <t>十一</t>
        </is>
      </c>
      <c r="B698" s="27" t="inlineStr">
        <is>
          <t>送餐通道、主题壁画通道</t>
        </is>
      </c>
      <c r="C698" s="27" t="n"/>
      <c r="D698" s="27" t="n"/>
      <c r="E698" s="27" t="n"/>
      <c r="F698" s="28" t="n"/>
      <c r="G698" s="61" t="n"/>
      <c r="H698" s="62" t="n"/>
      <c r="I698" s="65" t="n"/>
      <c r="J698" s="62" t="n"/>
      <c r="K698" s="63" t="n"/>
      <c r="L698" s="33" t="n"/>
      <c r="M698" s="64" t="n"/>
      <c r="P698" s="35" t="n"/>
      <c r="Q698" s="35" t="n"/>
      <c r="R698" s="35" t="n"/>
    </row>
    <row r="699" outlineLevel="1" customFormat="1" s="39">
      <c r="A699" s="36" t="n"/>
      <c r="B699" s="27" t="inlineStr">
        <is>
          <t>地面工程</t>
        </is>
      </c>
      <c r="C699" s="27" t="n"/>
      <c r="D699" s="27" t="n"/>
      <c r="E699" s="27" t="n"/>
      <c r="F699" s="28" t="n"/>
      <c r="G699" s="61" t="n"/>
      <c r="H699" s="62" t="n"/>
      <c r="I699" s="65" t="n"/>
      <c r="J699" s="62" t="n"/>
      <c r="K699" s="63" t="n"/>
      <c r="L699" s="33" t="n"/>
      <c r="M699" s="64" t="n"/>
      <c r="P699" s="35" t="n"/>
      <c r="Q699" s="35" t="n"/>
      <c r="R699" s="35" t="n"/>
    </row>
    <row r="700" outlineLevel="2" ht="108" customFormat="1" customHeight="1" s="39">
      <c r="A700" s="37">
        <f>1+N(A699)</f>
        <v/>
      </c>
      <c r="B700" s="27" t="inlineStr">
        <is>
          <t>地面铺贴大理石ST-01</t>
        </is>
      </c>
      <c r="C700" s="27" t="inlineStr">
        <is>
          <t>1.地面20mm大理石ST-01、铺贴、厚度及样式按物料书为准；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700"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700" s="27" t="inlineStr">
        <is>
          <t xml:space="preserve">执行《GB/T50854-2024房屋建筑与装饰工程工程量计算标准》，按设计图示尺寸
以面积计算。 </t>
        </is>
      </c>
      <c r="F700" s="28" t="inlineStr">
        <is>
          <t>m2</t>
        </is>
      </c>
      <c r="G700" s="61" t="n">
        <v>1.38</v>
      </c>
      <c r="H700" s="62" t="n">
        <v>218.75017</v>
      </c>
      <c r="I700" s="65" t="n"/>
      <c r="J700" s="62">
        <f>H700*(1-$I$4)</f>
        <v/>
      </c>
      <c r="K700" s="63">
        <f>G700*J700</f>
        <v/>
      </c>
      <c r="L700" s="33" t="inlineStr">
        <is>
          <t>石材</t>
        </is>
      </c>
      <c r="M700" s="64" t="n"/>
      <c r="N700" s="39" t="n">
        <v>1</v>
      </c>
      <c r="O700" t="n">
        <v>130</v>
      </c>
      <c r="P700" s="35" t="inlineStr">
        <is>
          <t>差:-88.75元 (-40.6%) 来源:售楼处</t>
        </is>
      </c>
      <c r="Q700" s="35" t="n"/>
      <c r="R700" s="35" t="n"/>
    </row>
    <row r="701" outlineLevel="2" ht="108" customFormat="1" customHeight="1" s="39">
      <c r="A701" s="37">
        <f>1+N(A700)</f>
        <v/>
      </c>
      <c r="B701" s="27" t="inlineStr">
        <is>
          <t>地面铺贴大理石ST-03</t>
        </is>
      </c>
      <c r="C701" s="27" t="inlineStr">
        <is>
          <t>1.地面20mm大理石ST-03、铺贴、厚度及样式按物料书为准；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701"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701" s="27" t="inlineStr">
        <is>
          <t xml:space="preserve">执行《GB/T50854-2024房屋建筑与装饰工程工程量计算标准》，按设计图示尺寸
以面积计算。 </t>
        </is>
      </c>
      <c r="F701" s="28" t="inlineStr">
        <is>
          <t>m2</t>
        </is>
      </c>
      <c r="G701" s="61" t="n">
        <v>42.13</v>
      </c>
      <c r="H701" s="62" t="n">
        <v>218.75017</v>
      </c>
      <c r="I701" s="65" t="n"/>
      <c r="J701" s="62">
        <f>H701*(1-$I$4)</f>
        <v/>
      </c>
      <c r="K701" s="63">
        <f>G701*J701</f>
        <v/>
      </c>
      <c r="L701" s="33" t="inlineStr">
        <is>
          <t>石材</t>
        </is>
      </c>
      <c r="M701" s="64" t="n"/>
      <c r="N701" s="39" t="n">
        <v>1</v>
      </c>
      <c r="O701" t="n">
        <v>130</v>
      </c>
      <c r="P701" s="35" t="inlineStr">
        <is>
          <t>差:-88.75元 (-40.6%) 来源:售楼处</t>
        </is>
      </c>
      <c r="Q701" s="35" t="n"/>
      <c r="R701" s="35" t="n"/>
    </row>
    <row r="702" outlineLevel="2" ht="108" customFormat="1" customHeight="1" s="39">
      <c r="A702" s="37">
        <f>1+N(A701)</f>
        <v/>
      </c>
      <c r="B702" s="27" t="inlineStr">
        <is>
          <t>实心铜条5mm宽</t>
        </is>
      </c>
      <c r="C702" s="27" t="inlineStr">
        <is>
          <t>1.实心铜条5mm宽；
2.包含完成该项内容所有工作及费用并满足设计图纸、规范等要求；</t>
        </is>
      </c>
      <c r="D702"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702" s="27" t="inlineStr">
        <is>
          <t>按设计图示尺寸以长度计算。</t>
        </is>
      </c>
      <c r="F702" s="28" t="inlineStr">
        <is>
          <t>m</t>
        </is>
      </c>
      <c r="G702" s="61" t="n">
        <v>48.4</v>
      </c>
      <c r="H702" s="62" t="n">
        <v>89.267</v>
      </c>
      <c r="I702" s="65" t="n"/>
      <c r="J702" s="62">
        <f>H702*(1-$I$4)</f>
        <v/>
      </c>
      <c r="K702" s="63">
        <f>G702*J702</f>
        <v/>
      </c>
      <c r="L702" s="33" t="inlineStr">
        <is>
          <t>/</t>
        </is>
      </c>
      <c r="M702" s="64" t="n"/>
      <c r="N702" s="39" t="n">
        <v>1</v>
      </c>
      <c r="O702" t="n">
        <v>12</v>
      </c>
      <c r="P702" s="35" t="inlineStr">
        <is>
          <t>差:-77.27元 (-86.6%) 来源:售楼处</t>
        </is>
      </c>
      <c r="Q702" s="35" t="n"/>
      <c r="R702" s="35" t="n"/>
    </row>
    <row r="703" outlineLevel="1" customFormat="1" s="39">
      <c r="A703" s="36" t="n"/>
      <c r="B703" s="27" t="inlineStr">
        <is>
          <t>墙柱面工程</t>
        </is>
      </c>
      <c r="C703" s="27" t="n"/>
      <c r="D703" s="27" t="n"/>
      <c r="E703" s="27" t="n"/>
      <c r="F703" s="28" t="n"/>
      <c r="G703" s="61" t="n"/>
      <c r="H703" s="62" t="n"/>
      <c r="I703" s="65" t="n"/>
      <c r="J703" s="62" t="n"/>
      <c r="K703" s="63" t="n"/>
      <c r="L703" s="33" t="n"/>
      <c r="M703" s="64" t="n"/>
      <c r="P703" s="35" t="n"/>
      <c r="Q703" s="35" t="n"/>
      <c r="R703" s="35" t="n"/>
    </row>
    <row r="704" outlineLevel="2" ht="180" customFormat="1" customHeight="1" s="39">
      <c r="A704" s="37">
        <f>1+N(A703)</f>
        <v/>
      </c>
      <c r="B704" s="27" t="inlineStr">
        <is>
          <t>墙面干挂ST-05石材</t>
        </is>
      </c>
      <c r="C704" s="27" t="inlineStr">
        <is>
          <t>1、墙面干挂ST-05石材（含不锈钢线条）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is>
      </c>
      <c r="D704"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704" s="27" t="inlineStr">
        <is>
          <t>执行《GB/T50854-2024房屋建筑与装饰工程工程量计算标准》，按设计图示镶贴后外围面积计算</t>
        </is>
      </c>
      <c r="F704" s="28" t="inlineStr">
        <is>
          <t>m2</t>
        </is>
      </c>
      <c r="G704" s="61" t="n">
        <v>1.06</v>
      </c>
      <c r="H704" s="62" t="n">
        <v>283.2</v>
      </c>
      <c r="I704" s="65" t="n"/>
      <c r="J704" s="62">
        <f>H704*(1-$I$4)</f>
        <v/>
      </c>
      <c r="K704" s="63">
        <f>G704*J704</f>
        <v/>
      </c>
      <c r="L704" s="33" t="inlineStr">
        <is>
          <t>石材</t>
        </is>
      </c>
      <c r="M704" s="64" t="n"/>
      <c r="N704" s="39" t="n">
        <v>1</v>
      </c>
      <c r="O704" t="n">
        <v>140</v>
      </c>
      <c r="P704" s="35" t="inlineStr">
        <is>
          <t>差:-143.20元 (-50.6%) 来源:售楼处</t>
        </is>
      </c>
      <c r="Q704" s="35" t="n"/>
      <c r="R704" s="35" t="n"/>
    </row>
    <row r="705" outlineLevel="2" ht="180" customFormat="1" customHeight="1" s="39">
      <c r="A705" s="37">
        <f>1+N(A704)</f>
        <v/>
      </c>
      <c r="B705" s="27" t="inlineStr">
        <is>
          <t>墙面干挂ST-05石材（波浪造型）</t>
        </is>
      </c>
      <c r="C705" s="27" t="inlineStr">
        <is>
          <t>1、墙面干挂ST-05石材（波浪造型，含不锈钢线条）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is>
      </c>
      <c r="D705"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705" s="27" t="inlineStr">
        <is>
          <t>执行《GB/T50854-2024房屋建筑与装饰工程工程量计算标准》，按设计图示镶贴后外围面积计算</t>
        </is>
      </c>
      <c r="F705" s="28" t="inlineStr">
        <is>
          <t>m2</t>
        </is>
      </c>
      <c r="G705" s="61" t="n">
        <v>1.06</v>
      </c>
      <c r="H705" s="62" t="n">
        <v>283.2</v>
      </c>
      <c r="I705" s="65" t="n"/>
      <c r="J705" s="62">
        <f>H705*(1-$I$4)</f>
        <v/>
      </c>
      <c r="K705" s="63">
        <f>G705*J705</f>
        <v/>
      </c>
      <c r="L705" s="33" t="inlineStr">
        <is>
          <t>石材</t>
        </is>
      </c>
      <c r="M705" s="64" t="n"/>
      <c r="N705" s="39" t="n">
        <v>1</v>
      </c>
      <c r="O705" t="n">
        <v>140</v>
      </c>
      <c r="P705" s="35" t="inlineStr">
        <is>
          <t>差:-143.20元 (-50.6%) 来源:售楼处</t>
        </is>
      </c>
      <c r="Q705" s="35" t="n"/>
      <c r="R705" s="35" t="n"/>
    </row>
    <row r="706" outlineLevel="2" ht="180" customFormat="1" customHeight="1" s="39">
      <c r="A706" s="37">
        <f>1+N(A705)</f>
        <v/>
      </c>
      <c r="B706" s="27" t="inlineStr">
        <is>
          <t>墙面干挂ST-09石材</t>
        </is>
      </c>
      <c r="C706" s="27" t="inlineStr">
        <is>
          <t>1、墙面干挂ST-09石材（含不锈钢线条）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is>
      </c>
      <c r="D706"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706" s="27" t="inlineStr">
        <is>
          <t>执行《GB/T50854-2024房屋建筑与装饰工程工程量计算标准》，按设计图示镶贴后外围面积计算</t>
        </is>
      </c>
      <c r="F706" s="28" t="inlineStr">
        <is>
          <t>m2</t>
        </is>
      </c>
      <c r="G706" s="61" t="n">
        <v>16.27</v>
      </c>
      <c r="H706" s="62" t="n">
        <v>283.2</v>
      </c>
      <c r="I706" s="65" t="n"/>
      <c r="J706" s="62">
        <f>H706*(1-$I$4)</f>
        <v/>
      </c>
      <c r="K706" s="63">
        <f>G706*J706</f>
        <v/>
      </c>
      <c r="L706" s="33" t="inlineStr">
        <is>
          <t>石材</t>
        </is>
      </c>
      <c r="M706" s="64" t="n"/>
      <c r="N706" s="39" t="n">
        <v>1</v>
      </c>
      <c r="O706" t="n">
        <v>150</v>
      </c>
      <c r="P706" s="35" t="inlineStr">
        <is>
          <t>差:-133.20元 (-47.0%) 来源:售楼处</t>
        </is>
      </c>
      <c r="Q706" s="35" t="n"/>
      <c r="R706" s="35" t="n"/>
    </row>
    <row r="707" outlineLevel="2" ht="180" customFormat="1" customHeight="1" s="39">
      <c r="A707" s="37">
        <f>1+N(A706)</f>
        <v/>
      </c>
      <c r="B707" s="27" t="inlineStr">
        <is>
          <t>墙面WD-03木饰面</t>
        </is>
      </c>
      <c r="C707" s="27" t="inlineStr">
        <is>
          <t>1、墙面WD-03木饰面（含不锈钢线条）
2、结构胶固定
3、12mm阻燃板基层
4、膨胀螺栓、轻钢龙骨(钢结构)基层找平
5、包含完成该项内容所有工作及费用并满足设计图纸、规范等要求</t>
        </is>
      </c>
      <c r="D707"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707" s="27" t="inlineStr">
        <is>
          <t>执行《GB/T50854-2024房屋建筑与装饰工程工程量计算标准》，按设计图示饰面外围尺寸
以面积计算。 扣除门窗洞口面积，不扣除单个面积≤0.3㎡的孔洞所占面积。</t>
        </is>
      </c>
      <c r="F707" s="28" t="inlineStr">
        <is>
          <t>m2</t>
        </is>
      </c>
      <c r="G707" s="61" t="n">
        <v>35.52</v>
      </c>
      <c r="H707" s="62" t="n">
        <v>253.7</v>
      </c>
      <c r="I707" s="65" t="n"/>
      <c r="J707" s="62">
        <f>H707*(1-$I$4)</f>
        <v/>
      </c>
      <c r="K707" s="63">
        <f>G707*J707</f>
        <v/>
      </c>
      <c r="L707" s="33" t="inlineStr">
        <is>
          <t>木饰面</t>
        </is>
      </c>
      <c r="M707" s="64" t="n"/>
      <c r="N707" s="39" t="n">
        <v>1</v>
      </c>
      <c r="O707" t="n">
        <v>75</v>
      </c>
      <c r="P707" s="35" t="inlineStr">
        <is>
          <t>差:-178.70元 (-70.4%) 来源:售楼处</t>
        </is>
      </c>
      <c r="Q707" s="35" t="n"/>
      <c r="R707" s="35" t="n"/>
    </row>
    <row r="708" outlineLevel="2" ht="144" customFormat="1" customHeight="1" s="39">
      <c r="A708" s="37">
        <f>1+N(A707)</f>
        <v/>
      </c>
      <c r="B708" s="27" t="inlineStr">
        <is>
          <t>SF-02软瓷</t>
        </is>
      </c>
      <c r="C708" s="27" t="inlineStr">
        <is>
          <t>1、SF-02软瓷，结构胶固定
2、12厘玻镁板基层
3、包含完成该项内容所有工作及费用并满足设计图纸、规范等要求</t>
        </is>
      </c>
      <c r="D708"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708" s="27" t="inlineStr">
        <is>
          <t>执行《GB/T50854-2024房屋建筑与装饰工程工程量计算标准》，按设计图示饰面外围尺寸以面积计算。</t>
        </is>
      </c>
      <c r="F708" s="28" t="inlineStr">
        <is>
          <t>m2</t>
        </is>
      </c>
      <c r="G708" s="61" t="n">
        <v>67.63</v>
      </c>
      <c r="H708" s="62" t="n">
        <v>245.44</v>
      </c>
      <c r="I708" s="65" t="n"/>
      <c r="J708" s="62">
        <f>H708*(1-$I$4)</f>
        <v/>
      </c>
      <c r="K708" s="63">
        <f>G708*J708</f>
        <v/>
      </c>
      <c r="L708" s="33" t="inlineStr">
        <is>
          <t>软瓷</t>
        </is>
      </c>
      <c r="M708" s="64" t="n"/>
      <c r="N708" s="39" t="n">
        <v>1</v>
      </c>
      <c r="O708" t="n">
        <v>75</v>
      </c>
      <c r="P708" s="35" t="inlineStr">
        <is>
          <t>差:-170.44元 (-69.4%) 来源:售楼处</t>
        </is>
      </c>
      <c r="Q708" s="35" t="n"/>
      <c r="R708" s="35" t="n"/>
    </row>
    <row r="709" outlineLevel="2" ht="144" customFormat="1" customHeight="1" s="39">
      <c r="A709" s="37">
        <f>1+N(A708)</f>
        <v/>
      </c>
      <c r="B709" s="27" t="inlineStr">
        <is>
          <t>MT-01古铜不锈钢踢脚线（高20mm）</t>
        </is>
      </c>
      <c r="C709" s="27" t="inlineStr">
        <is>
          <t>1、1.2mm厚 MT-01古铜不锈钢踢脚线（高20mm，展开面为46mm），结构胶固定
2、9厘玻镁板基层
3、包含完成该项内容所有工作及费用并满足设计图纸、规范等要求</t>
        </is>
      </c>
      <c r="D709"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709" s="27" t="inlineStr">
        <is>
          <t>按设计图示尺寸以长度计算。</t>
        </is>
      </c>
      <c r="F709" s="28" t="inlineStr">
        <is>
          <t>m</t>
        </is>
      </c>
      <c r="G709" s="61" t="n">
        <v>35.57</v>
      </c>
      <c r="H709" s="62" t="n">
        <v>31.86</v>
      </c>
      <c r="I709" s="65" t="n"/>
      <c r="J709" s="62">
        <f>H709*(1-$I$4)</f>
        <v/>
      </c>
      <c r="K709" s="63">
        <f>G709*J709</f>
        <v/>
      </c>
      <c r="L709" s="33" t="inlineStr">
        <is>
          <t>不锈钢踢脚线</t>
        </is>
      </c>
      <c r="M709" s="64" t="n"/>
      <c r="N709" s="39" t="n">
        <v>1</v>
      </c>
      <c r="O709" t="n">
        <v>12</v>
      </c>
      <c r="P709" s="35" t="inlineStr">
        <is>
          <t>差:-19.86元 (-62.3%) 来源:售楼处</t>
        </is>
      </c>
      <c r="Q709" s="35" t="n"/>
      <c r="R709" s="35" t="n"/>
    </row>
    <row r="710" outlineLevel="1" customFormat="1" s="39">
      <c r="A710" s="36" t="n"/>
      <c r="B710" s="27" t="inlineStr">
        <is>
          <t>天花工程</t>
        </is>
      </c>
      <c r="C710" s="27" t="n"/>
      <c r="D710" s="27" t="n"/>
      <c r="E710" s="27" t="n"/>
      <c r="F710" s="28" t="n"/>
      <c r="G710" s="61" t="n"/>
      <c r="H710" s="62" t="n"/>
      <c r="I710" s="65" t="n"/>
      <c r="J710" s="62" t="n"/>
      <c r="K710" s="63" t="n"/>
      <c r="L710" s="33" t="n"/>
      <c r="M710" s="64" t="n"/>
      <c r="P710" s="35" t="n"/>
      <c r="Q710" s="35" t="n"/>
      <c r="R710" s="35" t="n"/>
    </row>
    <row r="711" outlineLevel="2" ht="192" customFormat="1" customHeight="1" s="39">
      <c r="A711" s="37">
        <f>1+N(A710)</f>
        <v/>
      </c>
      <c r="B711" s="27" t="inlineStr">
        <is>
          <t>造型石膏板吊顶</t>
        </is>
      </c>
      <c r="C711" s="27" t="inlineStr">
        <is>
          <t>1.60系列轻钢主龙骨@900，60系列轻钢副龙骨@400，60系列横撑龙骨@600，08螺纹吊杆@900不上人天花吊顶（投影面计算）
2.玻镁板、双层9.5厚石膏板基层，含开孔、检修口、10*10凹槽等费用；
3.含除灯槽外的侧面高差及其连接件、吊件；
4.包含完成该项内容所有工作及费用并满足设计图纸、规范等要求；</t>
        </is>
      </c>
      <c r="D711" s="27" t="inlineStr">
        <is>
          <t>1.基层清理。
2.弹线定位、排版。
3.吊杆及连接件安装调平、收口及密封处理。
4.材料切割处理找平、石膏板安装及调整，打胶密封与清理.
5.收口及其他处理：检修口等制作安装、收边收口、配合预留安装、机电等专业孔洞及孔洞收口处理。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711" s="27" t="inlineStr">
        <is>
          <t>按设计图示尺寸以水平投影面积计算。不扣除间壁墙、检查口、附墙烟囱、柱垛和管道所占面积,扣除单个&gt;0.3m3的孔洞、非密拼吊顶空隙所占的面积、独立柱及与天棚相连的窗帘盒所占的面积。</t>
        </is>
      </c>
      <c r="F711" s="28" t="inlineStr">
        <is>
          <t>m2</t>
        </is>
      </c>
      <c r="G711" s="61" t="n">
        <v>42.13</v>
      </c>
      <c r="H711" s="62" t="n">
        <v>174.574444444444</v>
      </c>
      <c r="I711" s="65" t="n"/>
      <c r="J711" s="62">
        <f>H711*(1-$I$4)</f>
        <v/>
      </c>
      <c r="K711" s="63">
        <f>G711*J711</f>
        <v/>
      </c>
      <c r="L711" s="33" t="inlineStr">
        <is>
          <t>/</t>
        </is>
      </c>
      <c r="M711" s="64" t="n"/>
      <c r="N711" s="39" t="n">
        <v>1</v>
      </c>
      <c r="O711" t="n">
        <v>70</v>
      </c>
      <c r="P711" s="35" t="inlineStr">
        <is>
          <t>差:-104.57元 (-59.9%) 来源:售楼处</t>
        </is>
      </c>
      <c r="Q711" s="35" t="n"/>
      <c r="R711" s="35" t="n"/>
    </row>
    <row r="712" outlineLevel="2" ht="204" customFormat="1" customHeight="1" s="39">
      <c r="A712" s="37">
        <f>1+N(A711)</f>
        <v/>
      </c>
      <c r="B712" s="27" t="inlineStr">
        <is>
          <t>可拆卸天花铝板吊顶</t>
        </is>
      </c>
      <c r="C712" s="27" t="inlineStr">
        <is>
          <t>1.异形勾搭龙骨，08螺纹吊杆@900不上人天花吊顶（投影面计算）
2.可拆卸天花铝板吊顶，含开孔、检修口、10*10凹槽等费用；
3.含除灯槽外的侧面高差及其连接件、吊件；
4.包含完成该项内容所有工作及费用并满足设计图纸、规范等要求；</t>
        </is>
      </c>
      <c r="D712" s="27" t="inlineStr">
        <is>
          <t>1.基层清理。
2.弹线定位、排版。
3.吊杆及连接件制作、安装、调平。
4.材料切割处理找平、铝条板安装及调整，打胶密封与清理。
5.收口及其他处理：侧封板、检修口等制作安装、收边收口、配合预留安装、机电等专业孔洞及孔洞收口处理。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712" s="27" t="inlineStr">
        <is>
          <t>按设计图示尺寸以水平投影面积计算。不扣除间壁墙、检查口、附墙烟囱、柱垛和管道所占面积,扣除单个&gt;0.3m2的孔洞、非密拼吊顶空隙所占的面积、独立柱及与天棚相连的窗帘盒所占的面积。</t>
        </is>
      </c>
      <c r="F712" s="28" t="inlineStr">
        <is>
          <t>m2</t>
        </is>
      </c>
      <c r="G712" s="61" t="n">
        <v>7.33</v>
      </c>
      <c r="H712" s="62" t="n">
        <v>159.3</v>
      </c>
      <c r="I712" s="65" t="n"/>
      <c r="J712" s="62">
        <f>H712*(1-$I$4)</f>
        <v/>
      </c>
      <c r="K712" s="63">
        <f>G712*J712</f>
        <v/>
      </c>
      <c r="L712" s="33" t="inlineStr">
        <is>
          <t>铝板吊顶</t>
        </is>
      </c>
      <c r="M712" s="64" t="n"/>
      <c r="N712" s="39" t="n">
        <v>1</v>
      </c>
      <c r="O712" t="n">
        <v>75</v>
      </c>
      <c r="P712" s="35" t="inlineStr">
        <is>
          <t>差:-84.30元 (-52.9%) 来源:售楼处</t>
        </is>
      </c>
      <c r="Q712" s="35" t="n"/>
      <c r="R712" s="35" t="n"/>
    </row>
    <row r="713" outlineLevel="2" ht="72" customFormat="1" customHeight="1" s="39">
      <c r="A713" s="37">
        <f>1+N(A712)</f>
        <v/>
      </c>
      <c r="B713" s="27" t="inlineStr">
        <is>
          <t>条形空调风口（150mm）</t>
        </is>
      </c>
      <c r="C713" s="27" t="inlineStr">
        <is>
          <t>1.条形空调风口（150mm）；
2.风口周边阻燃板封边加固处理；
3.包含完成该项内容所有工作及费用并满足设计图纸、规范等要求；</t>
        </is>
      </c>
      <c r="D713" s="27" t="inlineStr">
        <is>
          <t>自现有现场条件下按照合同约定范围、图纸（含设计变更）及甲方要求内容以及规范、标准、相关做法等要求完成并达到总包合同全部目标的全部工作内容。</t>
        </is>
      </c>
      <c r="E713" s="27" t="inlineStr">
        <is>
          <t>依据经承包人确认的施工部位,按设计图示尺寸以延长米计算。</t>
        </is>
      </c>
      <c r="F713" s="28" t="inlineStr">
        <is>
          <t>m</t>
        </is>
      </c>
      <c r="G713" s="61" t="n">
        <v>10.4</v>
      </c>
      <c r="H713" s="62" t="n">
        <v>109.74</v>
      </c>
      <c r="I713" s="65" t="n"/>
      <c r="J713" s="62">
        <f>H713*(1-$I$4)</f>
        <v/>
      </c>
      <c r="K713" s="63">
        <f>G713*J713</f>
        <v/>
      </c>
      <c r="L713" s="33" t="inlineStr">
        <is>
          <t>空调风口</t>
        </is>
      </c>
      <c r="M713" s="64" t="n"/>
      <c r="N713" s="39" t="n">
        <v>1</v>
      </c>
      <c r="O713" t="n">
        <v>30</v>
      </c>
      <c r="P713" s="35" t="inlineStr">
        <is>
          <t>差:-79.74元 (-72.7%) 来源:售楼处</t>
        </is>
      </c>
      <c r="Q713" s="35" t="n"/>
      <c r="R713" s="35" t="n"/>
    </row>
    <row r="714" outlineLevel="2" ht="192" customFormat="1" customHeight="1" s="39">
      <c r="A714" s="37">
        <f>1+N(A713)</f>
        <v/>
      </c>
      <c r="B714" s="27" t="inlineStr">
        <is>
          <t>天花肌理无机涂料PT-01</t>
        </is>
      </c>
      <c r="C714" s="27" t="inlineStr">
        <is>
          <t>1.天花肌理无机涂料PT-01；
2.刮腻子二遍磨平；
3.底漆1遍，面漆2遍；
4.包含完成该项内容所有工作及费用并满足设计图纸、规范等要求；</t>
        </is>
      </c>
      <c r="D714" s="27" t="inlineStr">
        <is>
          <t>包括但不限于材料计划、采购、卸车倒运、保管、检验试验费、测量放线，包含四周阴角找平直、含天棚四周阴角找平直，打磨，简易脚手架搭拆及操作平台、升降机，基层清理、打磨平整、底层找补、满刮涂料（含阴阳角塑料条）、涂料打磨、补遗处理、配合其他分包施工、完工后场清、成品保护、保修等直到达到竣工交付标准的全部工作内容。包括所有为完成工作所需的小型机具；包括所有为完成工作所需的附属工作；包括但不限于以上内容。</t>
        </is>
      </c>
      <c r="E714" s="27" t="inlineStr">
        <is>
          <t>执行《GB/T50854-2024房屋建筑与装饰工程工程量计算标准》，按设计图示尺寸以面积计算。扣除0.3平方米以上洞口的面积；梁侧面及檐口天棚并入天棚计算；以设计图纸和技术交底为基础</t>
        </is>
      </c>
      <c r="F714" s="28" t="inlineStr">
        <is>
          <t>m2</t>
        </is>
      </c>
      <c r="G714" s="61" t="n">
        <v>42.13</v>
      </c>
      <c r="H714" s="62" t="n">
        <v>48.38</v>
      </c>
      <c r="I714" s="65" t="n"/>
      <c r="J714" s="62">
        <f>H714*(1-$I$4)</f>
        <v/>
      </c>
      <c r="K714" s="63">
        <f>G714*J714</f>
        <v/>
      </c>
      <c r="L714" s="33" t="inlineStr">
        <is>
          <t>涂料</t>
        </is>
      </c>
      <c r="M714" s="64" t="n"/>
      <c r="N714" s="39" t="n">
        <v>1</v>
      </c>
      <c r="O714" t="n">
        <v>45</v>
      </c>
      <c r="P714" s="35" t="inlineStr">
        <is>
          <t>差:-3.38元 (-7.0%) 来源:售楼处</t>
        </is>
      </c>
      <c r="Q714" s="35" t="n"/>
      <c r="R714" s="35" t="n"/>
    </row>
    <row r="715" outlineLevel="2" ht="204" customFormat="1" customHeight="1" s="39">
      <c r="A715" s="37">
        <f>1+N(A714)</f>
        <v/>
      </c>
      <c r="B715" s="27" t="inlineStr">
        <is>
          <t>天花内部喷白涂料</t>
        </is>
      </c>
      <c r="C715" s="27" t="inlineStr">
        <is>
          <t>1.天花内部喷白涂料；
2.可拆卸天花内部构件、管道、楼板喷白处理；
3.底漆1遍，面漆1遍（按天棚投影面积计算）；
4.包含完成该项内容所有工作及费用并满足设计图纸、规范等要求；</t>
        </is>
      </c>
      <c r="D715" s="27" t="inlineStr">
        <is>
          <t>1.基层清理。
2.弹线定位、排版。
3.吊杆及连接件制作、安装、调平。
4.材料切割处理找平、铝条板安装及调整，打胶密封与清理。
5.收口及其他处理：侧封板、检修口等制作安装、收边收口、配合预留安装、机电等专业孔洞及孔洞收口处理。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715" s="27" t="inlineStr">
        <is>
          <t>按设计图示尺寸以水平投影面积计算。不扣除间壁墙、检查口、附墙烟囱、柱垛和管道所占面积,扣除单个&gt;0.3m2的孔洞、非密拼吊顶空隙所占的面积、独立柱及与天棚相连的窗帘盒所占的面积。</t>
        </is>
      </c>
      <c r="F715" s="28" t="inlineStr">
        <is>
          <t>m2</t>
        </is>
      </c>
      <c r="G715" s="61" t="n">
        <v>7.33</v>
      </c>
      <c r="H715" s="62" t="n">
        <v>23.6</v>
      </c>
      <c r="I715" s="65" t="n"/>
      <c r="J715" s="62">
        <f>H715*(1-$I$4)</f>
        <v/>
      </c>
      <c r="K715" s="63">
        <f>G715*J715</f>
        <v/>
      </c>
      <c r="L715" s="33" t="inlineStr">
        <is>
          <t>涂料</t>
        </is>
      </c>
      <c r="M715" s="64" t="n"/>
      <c r="N715" s="39" t="n">
        <v>1</v>
      </c>
      <c r="O715" t="n">
        <v>12</v>
      </c>
      <c r="P715" s="35" t="inlineStr">
        <is>
          <t>差:-11.60元 (-49.2%) 来源:售楼处</t>
        </is>
      </c>
      <c r="Q715" s="35" t="n"/>
      <c r="R715" s="35" t="n"/>
    </row>
    <row r="716" outlineLevel="1" customFormat="1" s="39">
      <c r="A716" s="36" t="n"/>
      <c r="B716" s="27" t="inlineStr">
        <is>
          <t>门窗、家具工程</t>
        </is>
      </c>
      <c r="C716" s="27" t="n"/>
      <c r="D716" s="27" t="n"/>
      <c r="E716" s="27" t="n"/>
      <c r="F716" s="28" t="n"/>
      <c r="G716" s="61" t="n"/>
      <c r="H716" s="62" t="n"/>
      <c r="I716" s="65" t="n"/>
      <c r="J716" s="62" t="n"/>
      <c r="K716" s="63" t="n"/>
      <c r="L716" s="33" t="n"/>
      <c r="M716" s="64" t="n"/>
      <c r="P716" s="35" t="n"/>
      <c r="Q716" s="35" t="n"/>
      <c r="R716" s="35" t="n"/>
    </row>
    <row r="717" outlineLevel="2" ht="72" customFormat="1" customHeight="1" s="39">
      <c r="A717" s="37">
        <f>1+N(A716)</f>
        <v/>
      </c>
      <c r="B717" s="27" t="inlineStr">
        <is>
          <t>消防栓暗门(不含面层)</t>
        </is>
      </c>
      <c r="C717" s="27" t="inlineStr">
        <is>
          <t>1、40x40x5mm热镀锌方管骨架、背封铝塑板
2、含天地轴、门吸等五金配件
3、包含完成该项内容所有工作及费用并满足设计图纸、规范等要求</t>
        </is>
      </c>
      <c r="D717" s="27" t="inlineStr">
        <is>
          <t>自现有现场条件下按照合同约定范围、图纸（含设计变更）及甲方要求内容以及规范、标准、相关做法等要求完成并达到总包合同全部目标的全部工作内容。</t>
        </is>
      </c>
      <c r="E717" s="27" t="inlineStr">
        <is>
          <t>以最终验收合格的工程量计算</t>
        </is>
      </c>
      <c r="F717" s="28" t="inlineStr">
        <is>
          <t>m2</t>
        </is>
      </c>
      <c r="G717" s="61" t="n">
        <v>2.72</v>
      </c>
      <c r="H717" s="62" t="n">
        <v>962.6833333333331</v>
      </c>
      <c r="I717" s="65" t="n"/>
      <c r="J717" s="62">
        <f>H717*(1-$I$4)</f>
        <v/>
      </c>
      <c r="K717" s="63">
        <f>G717*J717</f>
        <v/>
      </c>
      <c r="L717" s="33" t="inlineStr">
        <is>
          <t>/</t>
        </is>
      </c>
      <c r="M717" s="64" t="n"/>
      <c r="N717" s="39" t="n">
        <v>1</v>
      </c>
      <c r="O717" t="n">
        <v>165</v>
      </c>
      <c r="P717" s="35" t="inlineStr">
        <is>
          <t>差:-797.68元 (-82.9%) 来源:售楼处</t>
        </is>
      </c>
      <c r="Q717" s="35" t="n"/>
      <c r="R717" s="35" t="n"/>
    </row>
    <row r="718" outlineLevel="1" customFormat="1" s="39">
      <c r="A718" s="26" t="inlineStr">
        <is>
          <t>十二</t>
        </is>
      </c>
      <c r="B718" s="27" t="inlineStr">
        <is>
          <t>储物间\半户外花园</t>
        </is>
      </c>
      <c r="C718" s="27" t="n"/>
      <c r="D718" s="27" t="n"/>
      <c r="E718" s="27" t="n"/>
      <c r="F718" s="28" t="n"/>
      <c r="G718" s="61" t="n"/>
      <c r="H718" s="62" t="n"/>
      <c r="I718" s="65" t="n"/>
      <c r="J718" s="62" t="n"/>
      <c r="K718" s="63" t="n"/>
      <c r="L718" s="33" t="n"/>
      <c r="M718" s="64" t="n"/>
      <c r="P718" s="35" t="n"/>
      <c r="Q718" s="35" t="n"/>
      <c r="R718" s="35" t="n"/>
    </row>
    <row r="719" outlineLevel="1" customFormat="1" s="39">
      <c r="A719" s="36" t="n"/>
      <c r="B719" s="27" t="inlineStr">
        <is>
          <t>地面工程</t>
        </is>
      </c>
      <c r="C719" s="27" t="n"/>
      <c r="D719" s="27" t="n"/>
      <c r="E719" s="27" t="n"/>
      <c r="F719" s="28" t="n"/>
      <c r="G719" s="61" t="n"/>
      <c r="H719" s="62" t="n"/>
      <c r="I719" s="65" t="n"/>
      <c r="J719" s="62" t="n"/>
      <c r="K719" s="63" t="n"/>
      <c r="L719" s="33" t="n"/>
      <c r="M719" s="64" t="n"/>
      <c r="P719" s="35" t="n"/>
      <c r="Q719" s="35" t="n"/>
      <c r="R719" s="35" t="n"/>
    </row>
    <row r="720" outlineLevel="2" ht="108" customFormat="1" customHeight="1" s="39">
      <c r="A720" s="37">
        <f>1+N(A719)</f>
        <v/>
      </c>
      <c r="B720" s="27" t="inlineStr">
        <is>
          <t>地面地砖 CT-05</t>
        </is>
      </c>
      <c r="C720" s="27" t="inlineStr">
        <is>
          <t>1.地面花砖CT-05；
2.10mm厚专用粘结剂；
3.80mm厚DS-M15干混砂浆找平；
4.基层清理；
5.含切边、倒角、拼接等处理；
6.包含完成该项内容所有工作及费用并满足设计图纸、规范等要求；</t>
        </is>
      </c>
      <c r="D720"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720" s="27" t="inlineStr">
        <is>
          <t xml:space="preserve">执行《GB/T50854-2024房屋建筑与装饰工程工程量计算标准》，按设计图示尺寸
以面积计算。 </t>
        </is>
      </c>
      <c r="F720" s="28" t="inlineStr">
        <is>
          <t>m2</t>
        </is>
      </c>
      <c r="G720" s="61" t="n">
        <v>20.55</v>
      </c>
      <c r="H720" s="62" t="n">
        <v>235.51148</v>
      </c>
      <c r="I720" s="65" t="n"/>
      <c r="J720" s="62">
        <f>H720*(1-$I$4)</f>
        <v/>
      </c>
      <c r="K720" s="63">
        <f>G720*J720</f>
        <v/>
      </c>
      <c r="L720" s="33" t="inlineStr">
        <is>
          <t>瓷砖</t>
        </is>
      </c>
      <c r="M720" s="64" t="n"/>
      <c r="N720" s="39" t="n">
        <v>1</v>
      </c>
      <c r="O720" t="n">
        <v>90</v>
      </c>
      <c r="P720" s="35" t="inlineStr">
        <is>
          <t>差:-145.51元 (-61.8%) 来源:售楼处</t>
        </is>
      </c>
      <c r="Q720" s="35" t="n"/>
      <c r="R720" s="35" t="n"/>
    </row>
    <row r="721" outlineLevel="2" ht="108" customFormat="1" customHeight="1" s="39">
      <c r="A721" s="37">
        <f>1+N(A720)</f>
        <v/>
      </c>
      <c r="B721" s="27" t="inlineStr">
        <is>
          <t>地面地砖 CT-06</t>
        </is>
      </c>
      <c r="C721" s="27" t="inlineStr">
        <is>
          <t>1.地面花砖CT-06；
2.10mm厚专用粘结剂；
3.80mm厚DS-M15干混砂浆找平；
4.基层清理；
5.含切边、倒角、拼接等处理；
6.包含完成该项内容所有工作及费用并满足设计图纸、规范等要求；</t>
        </is>
      </c>
      <c r="D721"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721" s="27" t="inlineStr">
        <is>
          <t xml:space="preserve">执行《GB/T50854-2024房屋建筑与装饰工程工程量计算标准》，按设计图示尺寸
以面积计算。 </t>
        </is>
      </c>
      <c r="F721" s="28" t="inlineStr">
        <is>
          <t>m2</t>
        </is>
      </c>
      <c r="G721" s="61" t="n">
        <v>3.52</v>
      </c>
      <c r="H721" s="62" t="n">
        <v>164.71148</v>
      </c>
      <c r="I721" s="65" t="n"/>
      <c r="J721" s="62">
        <f>H721*(1-$I$4)</f>
        <v/>
      </c>
      <c r="K721" s="63">
        <f>G721*J721</f>
        <v/>
      </c>
      <c r="L721" s="33" t="inlineStr">
        <is>
          <t>瓷砖</t>
        </is>
      </c>
      <c r="M721" s="64" t="n"/>
      <c r="N721" s="39" t="n">
        <v>1</v>
      </c>
      <c r="O721" t="n">
        <v>77</v>
      </c>
      <c r="P721" s="35" t="inlineStr">
        <is>
          <t>差:-87.71元 (-53.3%) 来源:售楼处</t>
        </is>
      </c>
      <c r="Q721" s="35" t="n"/>
      <c r="R721" s="35" t="n"/>
    </row>
    <row r="722" outlineLevel="1" customFormat="1" s="39">
      <c r="A722" s="36" t="n"/>
      <c r="B722" s="27" t="inlineStr">
        <is>
          <t>墙柱面工程</t>
        </is>
      </c>
      <c r="C722" s="27" t="n"/>
      <c r="D722" s="27" t="n"/>
      <c r="E722" s="27" t="n"/>
      <c r="F722" s="28" t="n"/>
      <c r="G722" s="61" t="n"/>
      <c r="H722" s="62" t="n"/>
      <c r="I722" s="65" t="n"/>
      <c r="J722" s="62" t="n"/>
      <c r="K722" s="63" t="n"/>
      <c r="L722" s="33" t="n"/>
      <c r="M722" s="64" t="n"/>
      <c r="P722" s="35" t="n"/>
      <c r="Q722" s="35" t="n"/>
      <c r="R722" s="35" t="n"/>
    </row>
    <row r="723" outlineLevel="2" ht="144" customFormat="1" customHeight="1" s="39">
      <c r="A723" s="37">
        <f>1+N(A722)</f>
        <v/>
      </c>
      <c r="B723" s="27" t="inlineStr">
        <is>
          <t>墙面PT-02白色防水无机涂料</t>
        </is>
      </c>
      <c r="C723" s="27" t="inlineStr">
        <is>
          <t>1、墙面PT-02白色防水无机涂料(底漆1遍，面漆2遍)
2、刮白胶腻子找平二遍，打磨
3、阴、阳角护角收边
4、双层9.5mm纸面石膏板
5、轻钢龙骨基层找平
6、包含完成该项内容所有工作及费用并满足设计图纸、规范等要求</t>
        </is>
      </c>
      <c r="D723"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723" s="27" t="inlineStr">
        <is>
          <t xml:space="preserve">执行《GB/T50854-2024房屋建筑与装饰工程工程量计算标准》，按设计图示尺寸
以面积计算。 </t>
        </is>
      </c>
      <c r="F723" s="28" t="inlineStr">
        <is>
          <t>m2</t>
        </is>
      </c>
      <c r="G723" s="61" t="n">
        <v>21.53</v>
      </c>
      <c r="H723" s="62" t="n">
        <v>207.68</v>
      </c>
      <c r="I723" s="65" t="n"/>
      <c r="J723" s="62">
        <f>H723*(1-$I$4)</f>
        <v/>
      </c>
      <c r="K723" s="63">
        <f>G723*J723</f>
        <v/>
      </c>
      <c r="L723" s="33" t="inlineStr">
        <is>
          <t>涂料</t>
        </is>
      </c>
      <c r="M723" s="64" t="n"/>
      <c r="N723" s="39" t="n">
        <v>1</v>
      </c>
      <c r="O723" t="n">
        <v>91.5</v>
      </c>
      <c r="P723" s="35" t="inlineStr">
        <is>
          <t>差:-116.18元 (-55.9%) 来源:售楼处</t>
        </is>
      </c>
      <c r="Q723" s="35" t="n"/>
      <c r="R723" s="35" t="n"/>
    </row>
    <row r="724" outlineLevel="2" ht="144" customFormat="1" customHeight="1" s="39">
      <c r="A724" s="37">
        <f>1+N(A723)</f>
        <v/>
      </c>
      <c r="B724" s="27" t="inlineStr">
        <is>
          <t>50mm CT-06瓷砖踢脚</t>
        </is>
      </c>
      <c r="C724" s="27" t="inlineStr">
        <is>
          <t>1、50mm CT-06瓷砖踢脚,瓷砖填缝剂处理
2、背覆胶处理
3、C1T等级抗滑移水泥基胶粘剂
4、界面剂拉毛处理
5、包含完成该项内容所有工作及费用并满足设计图纸、规范等要求</t>
        </is>
      </c>
      <c r="D724" s="27" t="inlineStr">
        <is>
          <t>具体工作内容除详见项目特征外，且不限于以下内容:1.包含材料的下车、场内运输；2.清理基层、找标高、弹线定位；3.试拼试排；4.砂浆拌和、铺找平层（粘结层）砂浆；5.面层铺设、灌缝、擦缝；6.打蜡、养护；配合留设墙面开关、插座等末端设备等全部内容；包含成品保护、安全文明施工等达到验收合格的全部施工内容。</t>
        </is>
      </c>
      <c r="E724" s="27" t="inlineStr">
        <is>
          <t>执行《GB/T50854-2024房屋建筑与装饰工程工程量计算标准》，按设计图示镶贴后外围面积计算</t>
        </is>
      </c>
      <c r="F724" s="28" t="inlineStr">
        <is>
          <t>m2</t>
        </is>
      </c>
      <c r="G724" s="61" t="n">
        <v>0.33</v>
      </c>
      <c r="H724" s="62" t="n">
        <v>370.7324</v>
      </c>
      <c r="I724" s="65" t="n"/>
      <c r="J724" s="62">
        <f>H724*(1-$I$4)</f>
        <v/>
      </c>
      <c r="K724" s="63">
        <f>G724*J724</f>
        <v/>
      </c>
      <c r="L724" s="33" t="inlineStr">
        <is>
          <t>瓷砖</t>
        </is>
      </c>
      <c r="M724" s="64" t="n"/>
      <c r="N724" s="39" t="n">
        <v>1</v>
      </c>
      <c r="O724" t="n">
        <v>120</v>
      </c>
      <c r="P724" s="35" t="inlineStr">
        <is>
          <t>差:-250.73元 (-67.6%) 来源:售楼处</t>
        </is>
      </c>
      <c r="Q724" s="35" t="n"/>
      <c r="R724" s="35" t="n"/>
    </row>
    <row r="725" outlineLevel="2" ht="180" customFormat="1" customHeight="1" s="39">
      <c r="A725" s="37">
        <f>1+N(A724)</f>
        <v/>
      </c>
      <c r="B725" s="27" t="inlineStr">
        <is>
          <t>不锈钢门套</t>
        </is>
      </c>
      <c r="C725" s="27" t="inlineStr">
        <is>
          <t>1、1.2mm厚 MT-01古铜不锈钢门套，结构胶固定
2、9厘玻镁板基层
3、工程量以展开面积计算
4、包含完成该项内容所有工作及费用并满足设计图纸、规范等要求</t>
        </is>
      </c>
      <c r="D725"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725" s="27" t="inlineStr">
        <is>
          <t>执行《GB/T50854-2024房屋建筑与装饰工程工程量计算标准》，按设计图示饰面外围尺寸
以面积计算。 扣除门窗洞口面积，不扣除单个面积≤0.3㎡的孔洞所占面积。</t>
        </is>
      </c>
      <c r="F725" s="28" t="inlineStr">
        <is>
          <t>m2</t>
        </is>
      </c>
      <c r="G725" s="61" t="n">
        <v>1.32</v>
      </c>
      <c r="H725" s="62" t="n">
        <v>630.651</v>
      </c>
      <c r="I725" s="65" t="n"/>
      <c r="J725" s="62">
        <f>H725*(1-$I$4)</f>
        <v/>
      </c>
      <c r="K725" s="63">
        <f>G725*J725</f>
        <v/>
      </c>
      <c r="L725" s="33" t="inlineStr">
        <is>
          <t>/</t>
        </is>
      </c>
      <c r="M725" s="64" t="n"/>
      <c r="N725" s="39" t="n">
        <v>1</v>
      </c>
      <c r="O725" t="n">
        <v>110</v>
      </c>
      <c r="P725" s="35" t="inlineStr">
        <is>
          <t>差:-520.65元 (-82.6%) 来源:售楼处</t>
        </is>
      </c>
      <c r="Q725" s="35" t="n"/>
      <c r="R725" s="35" t="n"/>
    </row>
    <row r="726" outlineLevel="1" customFormat="1" s="39">
      <c r="A726" s="36" t="n"/>
      <c r="B726" s="27" t="inlineStr">
        <is>
          <t>天花工程</t>
        </is>
      </c>
      <c r="C726" s="27" t="n"/>
      <c r="D726" s="27" t="n"/>
      <c r="E726" s="27" t="n"/>
      <c r="F726" s="28" t="n"/>
      <c r="G726" s="61" t="n"/>
      <c r="H726" s="62" t="n"/>
      <c r="I726" s="65" t="n"/>
      <c r="J726" s="62" t="n"/>
      <c r="K726" s="63" t="n"/>
      <c r="L726" s="33" t="n"/>
      <c r="M726" s="64" t="n"/>
      <c r="P726" s="35" t="n"/>
      <c r="Q726" s="35" t="n"/>
      <c r="R726" s="35" t="n"/>
    </row>
    <row r="727" outlineLevel="2" ht="192" customFormat="1" customHeight="1" s="39">
      <c r="A727" s="37">
        <f>1+N(A726)</f>
        <v/>
      </c>
      <c r="B727" s="27" t="inlineStr">
        <is>
          <t>天花白色无机涂料PT-01</t>
        </is>
      </c>
      <c r="C727" s="27" t="inlineStr">
        <is>
          <t>1.天花白色无机涂料PT-01；
2.刮腻子二遍磨平；
3.底漆1遍，面漆2遍；
4.包含完成该项内容所有工作及费用并满足设计图纸、规范等要求；</t>
        </is>
      </c>
      <c r="D727" s="27" t="inlineStr">
        <is>
          <t>包括但不限于材料计划、采购、卸车倒运、保管、检验试验费、测量放线，包含四周阴角找平直、含天棚四周阴角找平直，打磨，简易脚手架搭拆及操作平台、升降机，基层清理、打磨平整、底层找补、满刮涂料（含阴阳角塑料条）、涂料打磨、补遗处理、配合其他分包施工、完工后场清、成品保护、保修等直到达到竣工交付标准的全部工作内容。包括所有为完成工作所需的小型机具；包括所有为完成工作所需的附属工作；包括但不限于以上内容。</t>
        </is>
      </c>
      <c r="E727" s="27" t="inlineStr">
        <is>
          <t>执行《GB/T50854-2024房屋建筑与装饰工程工程量计算标准》，按设计图示尺寸以面积计算。扣除0.3平方米以上洞口的面积；梁侧面及檐口天棚并入天棚计算；以设计图纸和技术交底为基础</t>
        </is>
      </c>
      <c r="F727" s="28" t="inlineStr">
        <is>
          <t>m2</t>
        </is>
      </c>
      <c r="G727" s="61" t="n">
        <v>24.07</v>
      </c>
      <c r="H727" s="62" t="n">
        <v>35.99</v>
      </c>
      <c r="I727" s="65" t="n"/>
      <c r="J727" s="62">
        <f>H727*(1-$I$4)</f>
        <v/>
      </c>
      <c r="K727" s="63">
        <f>G727*J727</f>
        <v/>
      </c>
      <c r="L727" s="33" t="inlineStr">
        <is>
          <t>涂料</t>
        </is>
      </c>
      <c r="M727" s="64" t="n"/>
      <c r="N727" s="39" t="n">
        <v>1</v>
      </c>
      <c r="O727" t="n">
        <v>28.5</v>
      </c>
      <c r="P727" s="35" t="inlineStr">
        <is>
          <t>差:-7.49元 (-20.8%) 来源:售楼处</t>
        </is>
      </c>
      <c r="Q727" s="35" t="n"/>
      <c r="R727" s="35" t="n"/>
    </row>
    <row r="728" outlineLevel="1" customFormat="1" s="39">
      <c r="A728" s="36" t="n"/>
      <c r="B728" s="27" t="inlineStr">
        <is>
          <t>门窗、家具工程</t>
        </is>
      </c>
      <c r="C728" s="27" t="n"/>
      <c r="D728" s="27" t="n"/>
      <c r="E728" s="27" t="n"/>
      <c r="F728" s="28" t="n"/>
      <c r="G728" s="61" t="n"/>
      <c r="H728" s="62" t="n"/>
      <c r="I728" s="65" t="n"/>
      <c r="J728" s="62" t="n"/>
      <c r="K728" s="63" t="n"/>
      <c r="L728" s="33" t="n"/>
      <c r="M728" s="64" t="n"/>
      <c r="P728" s="35" t="n"/>
      <c r="Q728" s="35" t="n"/>
      <c r="R728" s="35" t="n"/>
    </row>
    <row r="729" outlineLevel="1" customFormat="1" s="39">
      <c r="A729" s="26" t="inlineStr">
        <is>
          <t>十三</t>
        </is>
      </c>
      <c r="B729" s="27" t="inlineStr">
        <is>
          <t>私宴(小包房)</t>
        </is>
      </c>
      <c r="C729" s="27" t="n"/>
      <c r="D729" s="27" t="n"/>
      <c r="E729" s="27" t="n"/>
      <c r="F729" s="28" t="n"/>
      <c r="G729" s="61" t="n"/>
      <c r="H729" s="62" t="n"/>
      <c r="I729" s="65" t="n"/>
      <c r="J729" s="62" t="n"/>
      <c r="K729" s="63" t="n"/>
      <c r="L729" s="33" t="n"/>
      <c r="M729" s="64" t="n"/>
      <c r="P729" s="35" t="n"/>
      <c r="Q729" s="35" t="n"/>
      <c r="R729" s="35" t="n"/>
    </row>
    <row r="730" outlineLevel="1" customFormat="1" s="39">
      <c r="A730" s="36" t="n"/>
      <c r="B730" s="27" t="inlineStr">
        <is>
          <t>地面工程</t>
        </is>
      </c>
      <c r="C730" s="27" t="n"/>
      <c r="D730" s="27" t="n"/>
      <c r="E730" s="27" t="n"/>
      <c r="F730" s="28" t="n"/>
      <c r="G730" s="61" t="n"/>
      <c r="H730" s="62" t="n"/>
      <c r="I730" s="65" t="n"/>
      <c r="J730" s="62" t="n"/>
      <c r="K730" s="63" t="n"/>
      <c r="L730" s="33" t="n"/>
      <c r="M730" s="64" t="n"/>
      <c r="P730" s="35" t="n"/>
      <c r="Q730" s="35" t="n"/>
      <c r="R730" s="35" t="n"/>
    </row>
    <row r="731" outlineLevel="2" ht="108" customFormat="1" customHeight="1" s="39">
      <c r="A731" s="37">
        <f>1+N(A730)</f>
        <v/>
      </c>
      <c r="B731" s="27" t="inlineStr">
        <is>
          <t>地面铺贴大理石ST-01</t>
        </is>
      </c>
      <c r="C731" s="27" t="inlineStr">
        <is>
          <t>1.地面20mm大理石ST-01、铺贴、厚度及样式按物料书为准；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731"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731" s="27" t="inlineStr">
        <is>
          <t xml:space="preserve">执行《GB/T50854-2024房屋建筑与装饰工程工程量计算标准》，按设计图示尺寸
以面积计算。 </t>
        </is>
      </c>
      <c r="F731" s="28" t="inlineStr">
        <is>
          <t>m2</t>
        </is>
      </c>
      <c r="G731" s="61" t="n">
        <v>9.6</v>
      </c>
      <c r="H731" s="62" t="n">
        <v>218.75017</v>
      </c>
      <c r="I731" s="65" t="n"/>
      <c r="J731" s="62">
        <f>H731*(1-$I$4)</f>
        <v/>
      </c>
      <c r="K731" s="63">
        <f>G731*J731</f>
        <v/>
      </c>
      <c r="L731" s="33" t="inlineStr">
        <is>
          <t>石材</t>
        </is>
      </c>
      <c r="M731" s="64" t="n"/>
      <c r="N731" s="39" t="n">
        <v>1</v>
      </c>
      <c r="O731" t="n">
        <v>130</v>
      </c>
      <c r="P731" s="35" t="inlineStr">
        <is>
          <t>差:-88.75元 (-40.6%) 来源:售楼处</t>
        </is>
      </c>
      <c r="Q731" s="35" t="n"/>
      <c r="R731" s="35" t="n"/>
    </row>
    <row r="732" outlineLevel="2" ht="108" customFormat="1" customHeight="1" s="39">
      <c r="A732" s="37">
        <f>1+N(A731)</f>
        <v/>
      </c>
      <c r="B732" s="27" t="inlineStr">
        <is>
          <t>地面铺贴大理石ST-03</t>
        </is>
      </c>
      <c r="C732" s="27" t="inlineStr">
        <is>
          <t>1.地面20mm大理石ST-03、铺贴、厚度及样式按物料书为准；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732"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732" s="27" t="inlineStr">
        <is>
          <t xml:space="preserve">执行《GB/T50854-2024房屋建筑与装饰工程工程量计算标准》，按设计图示尺寸
以面积计算。 </t>
        </is>
      </c>
      <c r="F732" s="28" t="inlineStr">
        <is>
          <t>m2</t>
        </is>
      </c>
      <c r="G732" s="61" t="n">
        <v>2.65</v>
      </c>
      <c r="H732" s="62" t="n">
        <v>218.75017</v>
      </c>
      <c r="I732" s="65" t="n"/>
      <c r="J732" s="62">
        <f>H732*(1-$I$4)</f>
        <v/>
      </c>
      <c r="K732" s="63">
        <f>G732*J732</f>
        <v/>
      </c>
      <c r="L732" s="33" t="inlineStr">
        <is>
          <t>石材</t>
        </is>
      </c>
      <c r="M732" s="64" t="n"/>
      <c r="N732" s="39" t="n">
        <v>1</v>
      </c>
      <c r="O732" t="n">
        <v>130</v>
      </c>
      <c r="P732" s="35" t="inlineStr">
        <is>
          <t>差:-88.75元 (-40.6%) 来源:售楼处</t>
        </is>
      </c>
      <c r="Q732" s="35" t="n"/>
      <c r="R732" s="35" t="n"/>
    </row>
    <row r="733" outlineLevel="2" ht="108" customFormat="1" customHeight="1" s="39">
      <c r="A733" s="37">
        <f>1+N(A732)</f>
        <v/>
      </c>
      <c r="B733" s="27" t="inlineStr">
        <is>
          <t>地面铺木地板</t>
        </is>
      </c>
      <c r="C733" s="27" t="inlineStr">
        <is>
          <t>1.地面防潮木地板WF-03；
2.防潮膜；
3.自流平
4.包含完成该项内容所有工作及费用并满足设计图纸、规范等要求；</t>
        </is>
      </c>
      <c r="D733"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t>
        </is>
      </c>
      <c r="E733" s="27" t="inlineStr">
        <is>
          <t xml:space="preserve">执行《GB/T50854-2024房屋建筑与装饰工程工程量计算标准》，按设计图示尺寸
以面积计算。 </t>
        </is>
      </c>
      <c r="F733" s="28" t="inlineStr">
        <is>
          <t>m2</t>
        </is>
      </c>
      <c r="G733" s="61" t="n">
        <v>23.58</v>
      </c>
      <c r="H733" s="62" t="n">
        <v>92.04000000000001</v>
      </c>
      <c r="I733" s="65" t="n"/>
      <c r="J733" s="62">
        <f>H733*(1-$I$4)</f>
        <v/>
      </c>
      <c r="K733" s="63">
        <f>G733*J733</f>
        <v/>
      </c>
      <c r="L733" s="33" t="inlineStr">
        <is>
          <t>木地板</t>
        </is>
      </c>
      <c r="M733" s="64" t="n"/>
      <c r="N733" s="39" t="n">
        <v>1</v>
      </c>
      <c r="O733" t="n">
        <v>36</v>
      </c>
      <c r="P733" s="35" t="inlineStr">
        <is>
          <t>差:-56.04元 (-60.9%) 来源:售楼处</t>
        </is>
      </c>
      <c r="Q733" s="35" t="n"/>
      <c r="R733" s="35" t="n"/>
    </row>
    <row r="734" outlineLevel="2" ht="216" customFormat="1" customHeight="1" s="39">
      <c r="A734" s="37">
        <f>1+N(A733)</f>
        <v/>
      </c>
      <c r="B734" s="27" t="inlineStr">
        <is>
          <t>水泥砂浆找平层</t>
        </is>
      </c>
      <c r="C734" s="27" t="inlineStr">
        <is>
          <t>1.75mm厚DS干混砂浆找平层、需铺符合设计要求标高；
2.完成需收光、压实处理；
3.包含完成该项内容所有工作及费用并满足设计图纸、规范等要求；</t>
        </is>
      </c>
      <c r="D734" s="27" t="inlineStr">
        <is>
          <t>包含完成地面所有施工工序所需的人工、材料（甲供材除外）、机械、管理费、利润；包括但不限于材料计划、卸车倒运（含多次）、保管、测量放线、基底清理、标高检测、配合检测、贴饼冲筋、砂浆找平、抹压、压光、设置分格缝、阻水台（按照方案及交底要求施工）、地面留槽回填及二次处理，所有洞口、管根的补遗处理，养护、配合水电安装、现场清理及分包施工作业面的及时清理、清扫等、装卸费、场内倒运费，配合承包人实验员做好冬季测温记录、坍落度实验及砼试块制作，成品保护、保修等全部工作内容。</t>
        </is>
      </c>
      <c r="E734" s="27" t="inlineStr">
        <is>
          <t>执行《GB/T50854-2024房屋建筑与装饰工程工程量计算标准》，按设计图示尺寸以面积计算。扣除凸出地面构筑物、设备基础、室内管道、地沟等所占面积，不扣除间壁墙及≤0.3 ㎡柱、垛、附墙烟囱及孔洞所占面积。门洞、空圈、暖气包槽、壁龛的开口部分不增加面积。</t>
        </is>
      </c>
      <c r="F734" s="28" t="inlineStr">
        <is>
          <t>m2</t>
        </is>
      </c>
      <c r="G734" s="61" t="n">
        <v>23.58</v>
      </c>
      <c r="H734" s="62" t="n">
        <v>78.50982500000001</v>
      </c>
      <c r="I734" s="65" t="n"/>
      <c r="J734" s="62">
        <f>H734*(1-$I$4)</f>
        <v/>
      </c>
      <c r="K734" s="63">
        <f>G734*J734</f>
        <v/>
      </c>
      <c r="L734" s="33" t="inlineStr">
        <is>
          <t>/</t>
        </is>
      </c>
      <c r="M734" s="64" t="n"/>
      <c r="N734" s="39" t="n">
        <v>1</v>
      </c>
      <c r="O734" t="n">
        <v>28</v>
      </c>
      <c r="P734" s="35" t="inlineStr">
        <is>
          <t>差:-50.51元 (-64.3%) 来源:售楼处</t>
        </is>
      </c>
      <c r="Q734" s="35" t="n"/>
      <c r="R734" s="35" t="n"/>
    </row>
    <row r="735" outlineLevel="2" ht="108" customFormat="1" customHeight="1" s="39">
      <c r="A735" s="37">
        <f>1+N(A734)</f>
        <v/>
      </c>
      <c r="B735" s="27" t="inlineStr">
        <is>
          <t>地面石材晶面处理</t>
        </is>
      </c>
      <c r="C735" s="27" t="inlineStr">
        <is>
          <t>1.石材结晶处理(结晶水及石材保养剂,中性清洁剂)；
2.包含完成该项内容所有工作及费用并满足设计图纸、规范等要求；</t>
        </is>
      </c>
      <c r="D735"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735" s="27" t="inlineStr">
        <is>
          <t xml:space="preserve">执行《GB/T50854-2024房屋建筑与装饰工程工程量计算标准》，按设计图示尺寸
以面积计算。 </t>
        </is>
      </c>
      <c r="F735" s="28" t="inlineStr">
        <is>
          <t>m2</t>
        </is>
      </c>
      <c r="G735" s="61" t="n">
        <v>12.25</v>
      </c>
      <c r="H735" s="62" t="n">
        <v>64.90000000000001</v>
      </c>
      <c r="I735" s="65" t="n"/>
      <c r="J735" s="62">
        <f>H735*(1-$I$4)</f>
        <v/>
      </c>
      <c r="K735" s="63">
        <f>G735*J735</f>
        <v/>
      </c>
      <c r="L735" s="33" t="inlineStr">
        <is>
          <t>/</t>
        </is>
      </c>
      <c r="M735" s="64" t="n"/>
      <c r="N735" s="39" t="n">
        <v>1</v>
      </c>
      <c r="O735" t="n">
        <v>40</v>
      </c>
      <c r="P735" s="35" t="inlineStr">
        <is>
          <t>差:-24.90元 (-38.4%) 来源:售楼处</t>
        </is>
      </c>
      <c r="Q735" s="35" t="n"/>
      <c r="R735" s="35" t="n"/>
    </row>
    <row r="736" outlineLevel="2" ht="108" customFormat="1" customHeight="1" s="39">
      <c r="A736" s="37">
        <f>1+N(A735)</f>
        <v/>
      </c>
      <c r="B736" s="27" t="inlineStr">
        <is>
          <t>实心铜条5mm宽</t>
        </is>
      </c>
      <c r="C736" s="27" t="inlineStr">
        <is>
          <t>1.实心铜条5mm宽；
2.包含完成该项内容所有工作及费用并满足设计图纸、规范等要求；</t>
        </is>
      </c>
      <c r="D736"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736" s="27" t="inlineStr">
        <is>
          <t>按设计图示尺寸以长度计算。</t>
        </is>
      </c>
      <c r="F736" s="28" t="inlineStr">
        <is>
          <t>m</t>
        </is>
      </c>
      <c r="G736" s="61" t="n">
        <v>5.66</v>
      </c>
      <c r="H736" s="62" t="n">
        <v>89.267</v>
      </c>
      <c r="I736" s="65" t="n"/>
      <c r="J736" s="62">
        <f>H736*(1-$I$4)</f>
        <v/>
      </c>
      <c r="K736" s="63">
        <f>G736*J736</f>
        <v/>
      </c>
      <c r="L736" s="33" t="inlineStr">
        <is>
          <t>/</t>
        </is>
      </c>
      <c r="M736" s="64" t="n"/>
      <c r="N736" s="39" t="n">
        <v>1</v>
      </c>
      <c r="O736" t="n">
        <v>12</v>
      </c>
      <c r="P736" s="35" t="inlineStr">
        <is>
          <t>差:-77.27元 (-86.6%) 来源:售楼处</t>
        </is>
      </c>
      <c r="Q736" s="35" t="n"/>
      <c r="R736" s="35" t="n"/>
    </row>
    <row r="737" outlineLevel="1" customFormat="1" s="39">
      <c r="A737" s="36" t="n"/>
      <c r="B737" s="27" t="inlineStr">
        <is>
          <t>墙柱面工程</t>
        </is>
      </c>
      <c r="C737" s="27" t="n"/>
      <c r="D737" s="27" t="n"/>
      <c r="E737" s="27" t="n"/>
      <c r="F737" s="28" t="n"/>
      <c r="G737" s="61" t="n"/>
      <c r="H737" s="62" t="n"/>
      <c r="I737" s="65" t="n"/>
      <c r="J737" s="62" t="n"/>
      <c r="K737" s="63" t="n"/>
      <c r="L737" s="33" t="n"/>
      <c r="M737" s="64" t="n"/>
      <c r="P737" s="35" t="n"/>
      <c r="Q737" s="35" t="n"/>
      <c r="R737" s="35" t="n"/>
    </row>
    <row r="738" outlineLevel="2" ht="144" customFormat="1" customHeight="1" s="39">
      <c r="A738" s="37">
        <f>1+N(A737)</f>
        <v/>
      </c>
      <c r="B738" s="27" t="inlineStr">
        <is>
          <t>MR-01银镜</t>
        </is>
      </c>
      <c r="C738" s="27" t="inlineStr">
        <is>
          <t>1、MR-01银镜（含不锈钢线条）
2、胶粘剂固定(中性胶)
3、12mm阻燃板基层
4、膨胀螺栓、轻钢龙骨(钢结构)基层找平
5、包含完成该项内容所有工作及费用并满足设计图纸、规范等要求</t>
        </is>
      </c>
      <c r="D738"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738" s="27" t="inlineStr">
        <is>
          <t>执行《GB/T50854-2024房屋建筑与装饰工程工程量计算标准》，按设计图示饰面外围尺寸以面积计算。</t>
        </is>
      </c>
      <c r="F738" s="28" t="inlineStr">
        <is>
          <t>m2</t>
        </is>
      </c>
      <c r="G738" s="61" t="n">
        <v>18.48</v>
      </c>
      <c r="H738" s="62" t="n">
        <v>214.76</v>
      </c>
      <c r="I738" s="65" t="n"/>
      <c r="J738" s="62">
        <f>H738*(1-$I$4)</f>
        <v/>
      </c>
      <c r="K738" s="63">
        <f>G738*J738</f>
        <v/>
      </c>
      <c r="L738" s="33" t="inlineStr">
        <is>
          <t>银镜</t>
        </is>
      </c>
      <c r="M738" s="64" t="n"/>
      <c r="N738" s="39" t="n">
        <v>1</v>
      </c>
      <c r="O738" t="n">
        <v>110</v>
      </c>
      <c r="P738" s="35" t="inlineStr">
        <is>
          <t>差:-104.76元 (-48.8%) 来源:售楼处</t>
        </is>
      </c>
      <c r="Q738" s="35" t="n"/>
      <c r="R738" s="35" t="n"/>
    </row>
    <row r="739" outlineLevel="2" ht="144" customFormat="1" customHeight="1" s="39">
      <c r="A739" s="37">
        <f>1+N(A738)</f>
        <v/>
      </c>
      <c r="B739" s="27" t="inlineStr">
        <is>
          <t>WP-02墙布</t>
        </is>
      </c>
      <c r="C739" s="27" t="inlineStr">
        <is>
          <t>1、WP-02墙布，结构胶固定（含不锈钢线条）
2、12mm阻燃板，轻钢副龙骨@400
3、包含完成该项内容所有工作及费用并满足设计图纸、规范等要求</t>
        </is>
      </c>
      <c r="D739"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739" s="27" t="inlineStr">
        <is>
          <t xml:space="preserve">执行《GB/T50854-2024房屋建筑与装饰工程工程量计算标准》，按设计图示尺寸以面积计算。 </t>
        </is>
      </c>
      <c r="F739" s="28" t="inlineStr">
        <is>
          <t>m2</t>
        </is>
      </c>
      <c r="G739" s="61" t="n">
        <v>13.3</v>
      </c>
      <c r="H739" s="62" t="n">
        <v>205.32</v>
      </c>
      <c r="I739" s="65" t="n"/>
      <c r="J739" s="62">
        <f>H739*(1-$I$4)</f>
        <v/>
      </c>
      <c r="K739" s="63">
        <f>G739*J739</f>
        <v/>
      </c>
      <c r="L739" s="33" t="inlineStr">
        <is>
          <t>墙布</t>
        </is>
      </c>
      <c r="M739" s="64" t="n"/>
      <c r="N739" s="39" t="n">
        <v>1</v>
      </c>
      <c r="O739" t="n">
        <v>76.5</v>
      </c>
      <c r="P739" s="35" t="inlineStr">
        <is>
          <t>差:-128.82元 (-62.7%) 来源:售楼处</t>
        </is>
      </c>
      <c r="Q739" s="35" t="n"/>
      <c r="R739" s="35" t="n"/>
    </row>
    <row r="740" outlineLevel="2" ht="144" customFormat="1" customHeight="1" s="39">
      <c r="A740" s="37">
        <f>1+N(A739)</f>
        <v/>
      </c>
      <c r="B740" s="27" t="inlineStr">
        <is>
          <t>UP-01皮革</t>
        </is>
      </c>
      <c r="C740" s="27" t="inlineStr">
        <is>
          <t>1、UP-01皮革，结构胶固定（含不锈钢线条）
2、12mm阻燃板，轻钢副龙骨@400
3、包含完成该项内容所有工作及费用并满足设计图纸、规范等要求</t>
        </is>
      </c>
      <c r="D740"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740" s="27" t="inlineStr">
        <is>
          <t>执行《GB/T50854-2024房屋建筑与装饰工程工程量计算标准》，按设计图示饰面外围尺寸以面积计算。</t>
        </is>
      </c>
      <c r="F740" s="28" t="inlineStr">
        <is>
          <t>m2</t>
        </is>
      </c>
      <c r="G740" s="61" t="n">
        <v>25.18</v>
      </c>
      <c r="H740" s="62" t="n">
        <v>378.78</v>
      </c>
      <c r="I740" s="65" t="n"/>
      <c r="J740" s="62">
        <f>H740*(1-$I$4)</f>
        <v/>
      </c>
      <c r="K740" s="63">
        <f>G740*J740</f>
        <v/>
      </c>
      <c r="L740" s="33" t="inlineStr">
        <is>
          <t>皮革</t>
        </is>
      </c>
      <c r="M740" s="64" t="n"/>
      <c r="N740" s="39" t="n">
        <v>1</v>
      </c>
      <c r="O740" t="n">
        <v>95</v>
      </c>
      <c r="P740" s="35" t="inlineStr">
        <is>
          <t>差:-283.78元 (-74.9%) 来源:售楼处</t>
        </is>
      </c>
      <c r="Q740" s="35" t="n"/>
      <c r="R740" s="35" t="n"/>
    </row>
    <row r="741" outlineLevel="2" ht="180" customFormat="1" customHeight="1" s="39">
      <c r="A741" s="37">
        <f>1+N(A740)</f>
        <v/>
      </c>
      <c r="B741" s="27" t="inlineStr">
        <is>
          <t>不锈钢门套</t>
        </is>
      </c>
      <c r="C741" s="27" t="inlineStr">
        <is>
          <t>1、1.2mm厚 MT-01古铜不锈钢门套，结构胶固定
2、9厘玻镁板基层
3、工程量以展开面积计算
4、包含完成该项内容所有工作及费用并满足设计图纸、规范等要求</t>
        </is>
      </c>
      <c r="D741"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741" s="27" t="inlineStr">
        <is>
          <t>执行《GB/T50854-2024房屋建筑与装饰工程工程量计算标准》，按设计图示饰面外围尺寸
以面积计算。 扣除门窗洞口面积，不扣除单个面积≤0.3㎡的孔洞所占面积。</t>
        </is>
      </c>
      <c r="F741" s="28" t="inlineStr">
        <is>
          <t>m2</t>
        </is>
      </c>
      <c r="G741" s="61" t="n">
        <v>9.880000000000001</v>
      </c>
      <c r="H741" s="62" t="n">
        <v>630.651</v>
      </c>
      <c r="I741" s="65" t="n"/>
      <c r="J741" s="62">
        <f>H741*(1-$I$4)</f>
        <v/>
      </c>
      <c r="K741" s="63">
        <f>G741*J741</f>
        <v/>
      </c>
      <c r="L741" s="33" t="inlineStr">
        <is>
          <t>/</t>
        </is>
      </c>
      <c r="M741" s="64" t="n"/>
      <c r="N741" s="39" t="n">
        <v>1</v>
      </c>
      <c r="O741" t="n">
        <v>110</v>
      </c>
      <c r="P741" s="35" t="inlineStr">
        <is>
          <t>差:-520.65元 (-82.6%) 来源:售楼处</t>
        </is>
      </c>
      <c r="Q741" s="35" t="n"/>
      <c r="R741" s="35" t="n"/>
    </row>
    <row r="742" outlineLevel="2" ht="144" customFormat="1" customHeight="1" s="39">
      <c r="A742" s="37">
        <f>1+N(A741)</f>
        <v/>
      </c>
      <c r="B742" s="27" t="inlineStr">
        <is>
          <t>MT-01古铜不锈钢踢脚线（高20mm）</t>
        </is>
      </c>
      <c r="C742" s="27" t="inlineStr">
        <is>
          <t>1、1.2mm厚 MT-01古铜不锈钢踢脚线（高20mm，展开面为46mm），结构胶固定
2、9厘玻镁板基层
3、包含完成该项内容所有工作及费用并满足设计图纸、规范等要求</t>
        </is>
      </c>
      <c r="D742"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742" s="27" t="inlineStr">
        <is>
          <t>按设计图示尺寸以长度计算。</t>
        </is>
      </c>
      <c r="F742" s="28" t="inlineStr">
        <is>
          <t>m</t>
        </is>
      </c>
      <c r="G742" s="61" t="n">
        <v>19.59</v>
      </c>
      <c r="H742" s="62" t="n">
        <v>31.86</v>
      </c>
      <c r="I742" s="65" t="n"/>
      <c r="J742" s="62">
        <f>H742*(1-$I$4)</f>
        <v/>
      </c>
      <c r="K742" s="63">
        <f>G742*J742</f>
        <v/>
      </c>
      <c r="L742" s="33" t="inlineStr">
        <is>
          <t>不锈钢踢脚线</t>
        </is>
      </c>
      <c r="M742" s="64" t="n"/>
      <c r="N742" s="39" t="n">
        <v>1</v>
      </c>
      <c r="O742" t="n">
        <v>12</v>
      </c>
      <c r="P742" s="35" t="inlineStr">
        <is>
          <t>差:-19.86元 (-62.3%) 来源:售楼处</t>
        </is>
      </c>
      <c r="Q742" s="35" t="n"/>
      <c r="R742" s="35" t="n"/>
    </row>
    <row r="743" outlineLevel="2" ht="72" customFormat="1" customHeight="1" s="39">
      <c r="A743" s="37">
        <f>1+N(A742)</f>
        <v/>
      </c>
      <c r="B743" s="27" t="inlineStr">
        <is>
          <t>MT-01古铜不锈钢窗套（展开面为95mm）</t>
        </is>
      </c>
      <c r="C743" s="27" t="inlineStr">
        <is>
          <t>1、1.2mm厚 MT-01古铜不锈钢窗套（展开面为95mm），结构胶固定
2、9厘玻镁板基层
3、包含完成该项内容所有工作及费用并满足设计图纸、规范等要求</t>
        </is>
      </c>
      <c r="D743" s="27" t="inlineStr">
        <is>
          <t>自现有现场条件下按照合同约定范围、图纸（含设计变更）及甲方要求内容以及规范、标准、相关做法等要求完成并达到总包合同全部目标的全部工作内容。</t>
        </is>
      </c>
      <c r="E743" s="27" t="inlineStr">
        <is>
          <t>以最终验收合格的工程量计算</t>
        </is>
      </c>
      <c r="F743" s="28" t="inlineStr">
        <is>
          <t>m2</t>
        </is>
      </c>
      <c r="G743" s="61" t="n">
        <v>1.54</v>
      </c>
      <c r="H743" s="62" t="n">
        <v>630.651</v>
      </c>
      <c r="I743" s="65" t="n"/>
      <c r="J743" s="62">
        <f>H743*(1-$I$4)</f>
        <v/>
      </c>
      <c r="K743" s="63">
        <f>G743*J743</f>
        <v/>
      </c>
      <c r="L743" s="33" t="inlineStr">
        <is>
          <t>/</t>
        </is>
      </c>
      <c r="M743" s="64" t="n"/>
      <c r="N743" s="39" t="n">
        <v>1</v>
      </c>
      <c r="O743" t="n">
        <v>110</v>
      </c>
      <c r="P743" s="35" t="inlineStr">
        <is>
          <t>差:-520.65元 (-82.6%) 来源:售楼处</t>
        </is>
      </c>
      <c r="Q743" s="35" t="n"/>
      <c r="R743" s="35" t="n"/>
    </row>
    <row r="744" outlineLevel="1" customFormat="1" s="39">
      <c r="A744" s="36" t="n"/>
      <c r="B744" s="27" t="inlineStr">
        <is>
          <t>天花工程</t>
        </is>
      </c>
      <c r="C744" s="27" t="n"/>
      <c r="D744" s="27" t="n"/>
      <c r="E744" s="27" t="n"/>
      <c r="F744" s="28" t="n"/>
      <c r="G744" s="61" t="n"/>
      <c r="H744" s="62" t="n"/>
      <c r="I744" s="65" t="n"/>
      <c r="J744" s="62" t="n"/>
      <c r="K744" s="63" t="n"/>
      <c r="L744" s="33" t="n"/>
      <c r="M744" s="64" t="n"/>
      <c r="P744" s="35" t="n"/>
      <c r="Q744" s="35" t="n"/>
      <c r="R744" s="35" t="n"/>
    </row>
    <row r="745" outlineLevel="2" ht="192" customFormat="1" customHeight="1" s="39">
      <c r="A745" s="37">
        <f>1+N(A744)</f>
        <v/>
      </c>
      <c r="B745" s="27" t="inlineStr">
        <is>
          <t>造型石膏板吊顶</t>
        </is>
      </c>
      <c r="C745" s="27" t="inlineStr">
        <is>
          <t>1.60系列轻钢主龙骨@900，60系列轻钢副龙骨@400，60系列横撑龙骨@600，08螺纹吊杆@900不上人天花吊顶（投影面计算）
2.玻镁板、双层9.5厚石膏板基层，含开孔、检修口、10*10凹槽等费用；
3.含除灯槽外的侧面高差及其连接件、吊件；
4.包含完成该项内容所有工作及费用并满足设计图纸、规范等要求；</t>
        </is>
      </c>
      <c r="D745" s="27" t="inlineStr">
        <is>
          <t>1.基层清理。
2.弹线定位、排版。
3.吊杆及连接件安装调平、收口及密封处理。
4.材料切割处理找平、石膏板安装及调整，打胶密封与清理.
5.收口及其他处理：检修口等制作安装、收边收口、配合预留安装、机电等专业孔洞及孔洞收口处理。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745" s="27" t="inlineStr">
        <is>
          <t>按设计图示尺寸以水平投影面积计算。不扣除间壁墙、检查口、附墙烟囱、柱垛和管道所占面积,扣除单个&gt;0.3m3的孔洞、非密拼吊顶空隙所占的面积、独立柱及与天棚相连的窗帘盒所占的面积。</t>
        </is>
      </c>
      <c r="F745" s="28" t="inlineStr">
        <is>
          <t>m2</t>
        </is>
      </c>
      <c r="G745" s="61" t="n">
        <v>16.41</v>
      </c>
      <c r="H745" s="62" t="n">
        <v>174.574444444444</v>
      </c>
      <c r="I745" s="65" t="n"/>
      <c r="J745" s="62">
        <f>H745*(1-$I$4)</f>
        <v/>
      </c>
      <c r="K745" s="63">
        <f>G745*J745</f>
        <v/>
      </c>
      <c r="L745" s="33" t="inlineStr">
        <is>
          <t>/</t>
        </is>
      </c>
      <c r="M745" s="64" t="n"/>
      <c r="N745" s="39" t="n">
        <v>1</v>
      </c>
      <c r="O745" t="n">
        <v>70</v>
      </c>
      <c r="P745" s="35" t="inlineStr">
        <is>
          <t>差:-104.57元 (-59.9%) 来源:售楼处</t>
        </is>
      </c>
      <c r="Q745" s="35" t="n"/>
      <c r="R745" s="35" t="n"/>
    </row>
    <row r="746" outlineLevel="2" ht="204" customFormat="1" customHeight="1" s="39">
      <c r="A746" s="37">
        <f>1+N(A745)</f>
        <v/>
      </c>
      <c r="B746" s="27" t="inlineStr">
        <is>
          <t>镜面不锈钢吊顶</t>
        </is>
      </c>
      <c r="C746" s="27" t="inlineStr">
        <is>
          <t>1.60系列轻钢主龙骨@900，60系列轻钢副龙骨@400，60系列横撑龙骨@600，08螺纹吊杆@900不上人天花吊顶（投影面计算）
2.玻镁板、复合9mm蜂窝不锈钢MT-08，含开孔、检修口等费用；
3.含除灯槽外的侧面高差及其连接件、吊件；
4.包含完成该项内容所有工作及费用并满足设计图纸、规范等要求；</t>
        </is>
      </c>
      <c r="D746" s="27" t="inlineStr">
        <is>
          <t>1.基层清理。
2.弹线定位、排版。
3.吊杆及连接件制作、安装、调平。
4.材料切割处理找平、铝条板安装及调整，打胶密封与清理。
5.收口及其他处理：侧封板、检修口等制作安装、收边收口、配合预留安装、机电等专业孔洞及孔洞收口处理。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746" s="27" t="inlineStr">
        <is>
          <t>按设计图示尺寸以水平投影面积计算。不扣除间壁墙、检查口、附墙烟囱、柱垛和管道所占面积,扣除单个&gt;0.3m2的孔洞、非密拼吊顶空隙所占的面积、独立柱及与天棚相连的窗帘盒所占的面积。</t>
        </is>
      </c>
      <c r="F746" s="28" t="inlineStr">
        <is>
          <t>m2</t>
        </is>
      </c>
      <c r="G746" s="61" t="n">
        <v>9.82</v>
      </c>
      <c r="H746" s="62" t="n">
        <v>182.9</v>
      </c>
      <c r="I746" s="65" t="n"/>
      <c r="J746" s="62">
        <f>H746*(1-$I$4)</f>
        <v/>
      </c>
      <c r="K746" s="63">
        <f>G746*J746</f>
        <v/>
      </c>
      <c r="L746" s="33" t="inlineStr">
        <is>
          <t>不锈钢吊顶</t>
        </is>
      </c>
      <c r="M746" s="64" t="n"/>
      <c r="N746" s="39" t="n">
        <v>1</v>
      </c>
      <c r="O746" t="n">
        <v>110</v>
      </c>
      <c r="P746" s="35" t="inlineStr">
        <is>
          <t>差:-72.90元 (-39.9%) 来源:售楼处</t>
        </is>
      </c>
      <c r="Q746" s="35" t="n"/>
      <c r="R746" s="35" t="n"/>
    </row>
    <row r="747" outlineLevel="2" ht="72" customFormat="1" customHeight="1" s="39">
      <c r="A747" s="37">
        <f>1+N(A746)</f>
        <v/>
      </c>
      <c r="B747" s="27" t="inlineStr">
        <is>
          <t>条形空调风口（150mm）</t>
        </is>
      </c>
      <c r="C747" s="27" t="inlineStr">
        <is>
          <t>1.条形空调风口（150mm）；
2.风口周边阻燃板封边加固处理；
3.包含完成该项内容所有工作及费用并满足设计图纸、规范等要求；</t>
        </is>
      </c>
      <c r="D747" s="27" t="inlineStr">
        <is>
          <t>自现有现场条件下按照合同约定范围、图纸（含设计变更）及甲方要求内容以及规范、标准、相关做法等要求完成并达到总包合同全部目标的全部工作内容。</t>
        </is>
      </c>
      <c r="E747" s="27" t="inlineStr">
        <is>
          <t>依据经承包人确认的施工部位,按设计图示尺寸以延长米计算。</t>
        </is>
      </c>
      <c r="F747" s="28" t="inlineStr">
        <is>
          <t>m</t>
        </is>
      </c>
      <c r="G747" s="61" t="n">
        <v>3.6</v>
      </c>
      <c r="H747" s="62" t="n">
        <v>109.74</v>
      </c>
      <c r="I747" s="65" t="n"/>
      <c r="J747" s="62">
        <f>H747*(1-$I$4)</f>
        <v/>
      </c>
      <c r="K747" s="63">
        <f>G747*J747</f>
        <v/>
      </c>
      <c r="L747" s="33" t="inlineStr">
        <is>
          <t>空调风口</t>
        </is>
      </c>
      <c r="M747" s="64" t="n"/>
      <c r="N747" s="39" t="n">
        <v>1</v>
      </c>
      <c r="O747" t="n">
        <v>30</v>
      </c>
      <c r="P747" s="35" t="inlineStr">
        <is>
          <t>差:-79.74元 (-72.7%) 来源:售楼处</t>
        </is>
      </c>
      <c r="Q747" s="35" t="n"/>
      <c r="R747" s="35" t="n"/>
    </row>
    <row r="748" outlineLevel="2" ht="72" customFormat="1" customHeight="1" s="39">
      <c r="A748" s="37">
        <f>1+N(A747)</f>
        <v/>
      </c>
      <c r="B748" s="27" t="inlineStr">
        <is>
          <t>灯槽（100mm*200mm）</t>
        </is>
      </c>
      <c r="C748" s="27" t="inlineStr">
        <is>
          <t>1.灯槽（100mm*200mm）；
2.双层板：9mm玻镁板、9.5厚石膏板；
3.包含完成该项内容所有工作及费用并满足设计图纸、规范等要求；</t>
        </is>
      </c>
      <c r="D748" s="27" t="inlineStr">
        <is>
          <t>自现有现场条件下按照合同约定范围、图纸（含设计变更）及甲方要求内容以及规范、标准、相关做法等要求完成并达到总包合同全部目标的全部工作内容。</t>
        </is>
      </c>
      <c r="E748" s="27" t="inlineStr">
        <is>
          <t>依据经承包人确认的施工部位,按设计图示尺寸以延长米计算。</t>
        </is>
      </c>
      <c r="F748" s="28" t="inlineStr">
        <is>
          <t>m</t>
        </is>
      </c>
      <c r="G748" s="61" t="n">
        <v>19.2</v>
      </c>
      <c r="H748" s="62" t="n">
        <v>112.159</v>
      </c>
      <c r="I748" s="65" t="n"/>
      <c r="J748" s="62">
        <f>H748*(1-$I$4)</f>
        <v/>
      </c>
      <c r="K748" s="63">
        <f>G748*J748</f>
        <v/>
      </c>
      <c r="L748" s="33" t="inlineStr">
        <is>
          <t>/</t>
        </is>
      </c>
      <c r="M748" s="64" t="n"/>
      <c r="N748" s="39" t="n">
        <v>1</v>
      </c>
      <c r="O748" t="n">
        <v>50</v>
      </c>
      <c r="P748" s="35" t="inlineStr">
        <is>
          <t>差:-62.16元 (-55.4%) 来源:售楼处</t>
        </is>
      </c>
      <c r="Q748" s="35" t="n"/>
      <c r="R748" s="35" t="n"/>
    </row>
    <row r="749" outlineLevel="2" ht="72" customFormat="1" customHeight="1" s="39">
      <c r="A749" s="37">
        <f>1+N(A748)</f>
        <v/>
      </c>
      <c r="B749" s="27" t="inlineStr">
        <is>
          <t>成品石膏线条</t>
        </is>
      </c>
      <c r="C749" s="27" t="inlineStr">
        <is>
          <t>1.成品石膏线条（50mm*50mm）；
2.按图纸造型；
3.包含完成该项内容所有工作及费用并满足设计图纸、规范等要求；</t>
        </is>
      </c>
      <c r="D749" s="27" t="inlineStr">
        <is>
          <t>自现有现场条件下按照合同约定范围、图纸（含设计变更）及甲方要求内容以及规范、标准、相关做法等要求完成并达到总包合同全部目标的全部工作内容。</t>
        </is>
      </c>
      <c r="E749" s="27" t="inlineStr">
        <is>
          <t>依据经承包人确认的施工部位,按设计图示尺寸以延长米计算。</t>
        </is>
      </c>
      <c r="F749" s="28" t="inlineStr">
        <is>
          <t>m</t>
        </is>
      </c>
      <c r="G749" s="61" t="n">
        <v>19.2</v>
      </c>
      <c r="H749" s="62" t="n">
        <v>20.06</v>
      </c>
      <c r="I749" s="65" t="n"/>
      <c r="J749" s="62">
        <f>H749*(1-$I$4)</f>
        <v/>
      </c>
      <c r="K749" s="63">
        <f>G749*J749</f>
        <v/>
      </c>
      <c r="L749" s="33" t="inlineStr">
        <is>
          <t>成品石膏线条</t>
        </is>
      </c>
      <c r="M749" s="64" t="n"/>
      <c r="N749" s="39" t="n">
        <v>1</v>
      </c>
      <c r="O749" t="n">
        <v>18</v>
      </c>
      <c r="P749" s="35" t="inlineStr">
        <is>
          <t>差:-2.06元 (-10.3%) 来源:售楼处</t>
        </is>
      </c>
      <c r="Q749" s="35" t="n"/>
      <c r="R749" s="35" t="n"/>
    </row>
    <row r="750" outlineLevel="2" ht="72" customFormat="1" customHeight="1" s="39">
      <c r="A750" s="37">
        <f>1+N(A749)</f>
        <v/>
      </c>
      <c r="B750" s="27" t="inlineStr">
        <is>
          <t>窗帘盒（200mm*200mm）</t>
        </is>
      </c>
      <c r="C750" s="27" t="inlineStr">
        <is>
          <t>1.窗帘盒窗帘盒（200mm*200mm）；
2.双层板：9mm玻镁板、9.5厚石膏板；
3.50系列轻钢龙骨及其连接件、吊件；
4.包含完成该项内容所有工作及费用并满足设计图纸、规范等要求；</t>
        </is>
      </c>
      <c r="D750" s="27" t="inlineStr">
        <is>
          <t>自现有现场条件下按照合同约定范围、图纸（含设计变更）及甲方要求内容以及规范、标准、相关做法等要求完成并达到总包合同全部目标的全部工作内容。</t>
        </is>
      </c>
      <c r="E750" s="27" t="inlineStr">
        <is>
          <t>依据经承包人确认的施工部位,按设计图示尺寸以延长米计算。</t>
        </is>
      </c>
      <c r="F750" s="28" t="inlineStr">
        <is>
          <t>m</t>
        </is>
      </c>
      <c r="G750" s="61" t="n">
        <v>9.4</v>
      </c>
      <c r="H750" s="62" t="n">
        <v>123.192</v>
      </c>
      <c r="I750" s="65" t="n"/>
      <c r="J750" s="62">
        <f>H750*(1-$I$4)</f>
        <v/>
      </c>
      <c r="K750" s="63">
        <f>G750*J750</f>
        <v/>
      </c>
      <c r="L750" s="33" t="inlineStr">
        <is>
          <t>/</t>
        </is>
      </c>
      <c r="M750" s="64" t="n"/>
      <c r="N750" s="39" t="n">
        <v>1</v>
      </c>
      <c r="O750" t="n">
        <v>55</v>
      </c>
      <c r="P750" s="35" t="inlineStr">
        <is>
          <t>差:-68.19元 (-55.4%) 来源:售楼处</t>
        </is>
      </c>
      <c r="Q750" s="35" t="n"/>
      <c r="R750" s="35" t="n"/>
    </row>
    <row r="751" outlineLevel="2" ht="192" customFormat="1" customHeight="1" s="39">
      <c r="A751" s="37">
        <f>1+N(A750)</f>
        <v/>
      </c>
      <c r="B751" s="27" t="inlineStr">
        <is>
          <t>天花肌理无机涂料PT-01</t>
        </is>
      </c>
      <c r="C751" s="27" t="inlineStr">
        <is>
          <t>1.天花肌理无机涂料PT-01；
2.刮腻子二遍磨平；
3.底漆1遍，面漆2遍；
4.包含完成该项内容所有工作及费用并满足设计图纸、规范等要求；</t>
        </is>
      </c>
      <c r="D751" s="27" t="inlineStr">
        <is>
          <t>包括但不限于材料计划、采购、卸车倒运、保管、检验试验费、测量放线，包含四周阴角找平直、含天棚四周阴角找平直，打磨，简易脚手架搭拆及操作平台、升降机，基层清理、打磨平整、底层找补、满刮涂料（含阴阳角塑料条）、涂料打磨、补遗处理、配合其他分包施工、完工后场清、成品保护、保修等直到达到竣工交付标准的全部工作内容。包括所有为完成工作所需的小型机具；包括所有为完成工作所需的附属工作；包括但不限于以上内容。</t>
        </is>
      </c>
      <c r="E751" s="27" t="inlineStr">
        <is>
          <t>执行《GB/T50854-2024房屋建筑与装饰工程工程量计算标准》，按设计图示尺寸以面积计算。扣除0.3平方米以上洞口的面积；梁侧面及檐口天棚并入天棚计算；以设计图纸和技术交底为基础</t>
        </is>
      </c>
      <c r="F751" s="28" t="inlineStr">
        <is>
          <t>m2</t>
        </is>
      </c>
      <c r="G751" s="61" t="n">
        <v>25.93</v>
      </c>
      <c r="H751" s="62" t="n">
        <v>48.38</v>
      </c>
      <c r="I751" s="65" t="n"/>
      <c r="J751" s="62">
        <f>H751*(1-$I$4)</f>
        <v/>
      </c>
      <c r="K751" s="63">
        <f>G751*J751</f>
        <v/>
      </c>
      <c r="L751" s="33" t="inlineStr">
        <is>
          <t>涂料</t>
        </is>
      </c>
      <c r="M751" s="64" t="n"/>
      <c r="N751" s="39" t="n">
        <v>1</v>
      </c>
      <c r="O751" t="n">
        <v>45</v>
      </c>
      <c r="P751" s="35" t="inlineStr">
        <is>
          <t>差:-3.38元 (-7.0%) 来源:售楼处</t>
        </is>
      </c>
      <c r="Q751" s="35" t="n"/>
      <c r="R751" s="35" t="n"/>
    </row>
    <row r="752" outlineLevel="1" customFormat="1" s="39">
      <c r="A752" s="36" t="n"/>
      <c r="B752" s="27" t="inlineStr">
        <is>
          <t>门窗、家具工程</t>
        </is>
      </c>
      <c r="C752" s="27" t="n"/>
      <c r="D752" s="27" t="n"/>
      <c r="E752" s="27" t="n"/>
      <c r="F752" s="28" t="n"/>
      <c r="G752" s="61" t="n"/>
      <c r="H752" s="62" t="n"/>
      <c r="I752" s="65" t="n"/>
      <c r="J752" s="62" t="n"/>
      <c r="K752" s="63" t="n"/>
      <c r="L752" s="33" t="n"/>
      <c r="M752" s="64" t="n"/>
      <c r="P752" s="35" t="n"/>
      <c r="Q752" s="35" t="n"/>
      <c r="R752" s="35" t="n"/>
    </row>
    <row r="753" outlineLevel="2" ht="84" customFormat="1" customHeight="1" s="39">
      <c r="A753" s="37">
        <f>1+N(A752)</f>
        <v/>
      </c>
      <c r="B753" s="27" t="inlineStr">
        <is>
          <t>转轴门(DR08)</t>
        </is>
      </c>
      <c r="C753" s="27" t="inlineStr">
        <is>
          <t>1、门扇：1.2mm厚 MT-01古铜不锈钢饰面、GL-02艺术玻璃、ST-08石材、50*50热镀锌矩管、9mm厚玻镁板基层
2、定制成品套装门制安
3、含天地轴等五金配件
4、包含完成该项内容所有工作及费用并满足设计图纸、规范等要求</t>
        </is>
      </c>
      <c r="D753" s="27" t="inlineStr">
        <is>
          <t>自现有现场条件下按照合同约定范围、图纸（含设计变更）及甲方要求内容以及规范、标准、相关做法等要求完成并达到总包合同全部目标的全部工作内容。</t>
        </is>
      </c>
      <c r="E753" s="27" t="inlineStr">
        <is>
          <t>以最终验收合格的工程量计算</t>
        </is>
      </c>
      <c r="F753" s="28" t="inlineStr">
        <is>
          <t>m2</t>
        </is>
      </c>
      <c r="G753" s="61" t="n">
        <v>3.19</v>
      </c>
      <c r="H753" s="62" t="n">
        <v>5625.2806870229</v>
      </c>
      <c r="I753" s="65" t="n"/>
      <c r="J753" s="62">
        <f>H753*(1-$I$4)</f>
        <v/>
      </c>
      <c r="K753" s="63">
        <f>G753*J753</f>
        <v/>
      </c>
      <c r="L753" s="33" t="inlineStr">
        <is>
          <t>/</t>
        </is>
      </c>
      <c r="M753" s="64" t="n"/>
      <c r="N753" s="39" t="n">
        <v>1</v>
      </c>
      <c r="O753" t="n">
        <v>145</v>
      </c>
      <c r="P753" s="35" t="inlineStr">
        <is>
          <t>差:-5480.28元 (-97.4%) 来源:售楼处</t>
        </is>
      </c>
      <c r="Q753" s="35" t="n"/>
      <c r="R753" s="35" t="n"/>
    </row>
    <row r="754" outlineLevel="2" ht="72" customFormat="1" customHeight="1" s="39">
      <c r="A754" s="37">
        <f>1+N(A753)</f>
        <v/>
      </c>
      <c r="B754" s="27" t="inlineStr">
        <is>
          <t>GL-04艺术玻璃隔断</t>
        </is>
      </c>
      <c r="C754" s="27" t="inlineStr">
        <is>
          <t>1、GL-04艺术玻璃隔断、MT-01古铜不锈钢边框（由专业厂家深化）
2、包含完成该项内容所有工作及费用并满足设计图纸、规范等要求</t>
        </is>
      </c>
      <c r="D754" s="27" t="inlineStr">
        <is>
          <t>自现有现场条件下按照合同约定范围、图纸（含设计变更）及甲方要求内容以及规范、标准、相关做法等要求完成并达到总包合同全部目标的全部工作内容。</t>
        </is>
      </c>
      <c r="E754" s="27" t="inlineStr">
        <is>
          <t>以最终验收合格的工程量计算</t>
        </is>
      </c>
      <c r="F754" s="28" t="inlineStr">
        <is>
          <t>m2</t>
        </is>
      </c>
      <c r="G754" s="61" t="n">
        <v>23.06</v>
      </c>
      <c r="H754" s="62" t="n">
        <v>2395.4</v>
      </c>
      <c r="I754" s="65" t="n"/>
      <c r="J754" s="62">
        <f>H754*(1-$I$4)</f>
        <v/>
      </c>
      <c r="K754" s="63">
        <f>G754*J754</f>
        <v/>
      </c>
      <c r="L754" s="33" t="inlineStr">
        <is>
          <t>/</t>
        </is>
      </c>
      <c r="M754" s="64" t="n"/>
      <c r="N754" s="39" t="n">
        <v>1</v>
      </c>
      <c r="O754" t="n">
        <v>110</v>
      </c>
      <c r="P754" s="35" t="inlineStr">
        <is>
          <t>差:-2285.40元 (-95.4%) 来源:售楼处</t>
        </is>
      </c>
      <c r="Q754" s="35" t="n"/>
      <c r="R754" s="35" t="n"/>
    </row>
    <row r="755" outlineLevel="2" ht="72" customFormat="1" customHeight="1" s="39">
      <c r="A755" s="37">
        <f>1+N(A754)</f>
        <v/>
      </c>
      <c r="B755" s="27" t="inlineStr">
        <is>
          <t>GL-04艺术玻璃平开门</t>
        </is>
      </c>
      <c r="C755" s="27" t="inlineStr">
        <is>
          <t>1、GL-04艺术玻璃平开门、MT-01古铜不锈钢边框（由专业厂家深化）
2、包含完成该项内容所有工作及费用并满足设计图纸、规范等要求</t>
        </is>
      </c>
      <c r="D755" s="27" t="inlineStr">
        <is>
          <t>自现有现场条件下按照合同约定范围、图纸（含设计变更）及甲方要求内容以及规范、标准、相关做法等要求完成并达到总包合同全部目标的全部工作内容。</t>
        </is>
      </c>
      <c r="E755" s="27" t="inlineStr">
        <is>
          <t>以最终验收合格的工程量计算</t>
        </is>
      </c>
      <c r="F755" s="28" t="inlineStr">
        <is>
          <t>m2</t>
        </is>
      </c>
      <c r="G755" s="61" t="n">
        <v>5.44</v>
      </c>
      <c r="H755" s="62" t="n">
        <v>2312.45294117647</v>
      </c>
      <c r="I755" s="65" t="n"/>
      <c r="J755" s="62">
        <f>H755*(1-$I$4)</f>
        <v/>
      </c>
      <c r="K755" s="63">
        <f>G755*J755</f>
        <v/>
      </c>
      <c r="L755" s="33" t="inlineStr">
        <is>
          <t>/</t>
        </is>
      </c>
      <c r="M755" s="64" t="n"/>
      <c r="N755" s="39" t="n">
        <v>1</v>
      </c>
      <c r="O755" t="n">
        <v>135</v>
      </c>
      <c r="P755" s="35" t="inlineStr">
        <is>
          <t>差:-2177.45元 (-94.2%) 来源:售楼处</t>
        </is>
      </c>
      <c r="Q755" s="35" t="n"/>
      <c r="R755" s="35" t="n"/>
    </row>
    <row r="756" outlineLevel="2" ht="72" customFormat="1" customHeight="1" s="39">
      <c r="A756" s="37">
        <f>1+N(A755)</f>
        <v/>
      </c>
      <c r="B756" s="27" t="inlineStr">
        <is>
          <t>酒窖收纳架</t>
        </is>
      </c>
      <c r="C756" s="27" t="inlineStr">
        <is>
          <t>1、酒窖收纳架（1545mm*1545mm*3400mm）
2、包含完成该项内容所有工作及费用并满足设计图纸、规范等要求</t>
        </is>
      </c>
      <c r="D756" s="27" t="inlineStr">
        <is>
          <t>自现有现场条件下按照合同约定范围、图纸（含设计变更）及甲方要求内容以及规范、标准、相关做法等要求完成并达到总包合同全部目标的全部工作内容。</t>
        </is>
      </c>
      <c r="E756" s="27" t="inlineStr">
        <is>
          <t>以最终验收合格的工程量计算</t>
        </is>
      </c>
      <c r="F756" s="28" t="inlineStr">
        <is>
          <t>套</t>
        </is>
      </c>
      <c r="G756" s="61" t="n">
        <v>2</v>
      </c>
      <c r="H756" s="62" t="n">
        <v>27612</v>
      </c>
      <c r="I756" s="65" t="n"/>
      <c r="J756" s="62">
        <f>H756*(1-$I$4)</f>
        <v/>
      </c>
      <c r="K756" s="63">
        <f>G756*J756</f>
        <v/>
      </c>
      <c r="L756" s="33" t="inlineStr">
        <is>
          <t>/</t>
        </is>
      </c>
      <c r="M756" s="64" t="n"/>
      <c r="N756" s="39" t="n">
        <v>1</v>
      </c>
      <c r="O756" t="n">
        <v>600</v>
      </c>
      <c r="P756" s="35" t="inlineStr">
        <is>
          <t>差:-27012.00元 (-97.8%) 来源:售楼处</t>
        </is>
      </c>
      <c r="Q756" s="35" t="n"/>
      <c r="R756" s="35" t="n"/>
    </row>
    <row r="757" outlineLevel="1" customFormat="1" s="39">
      <c r="A757" s="26" t="inlineStr">
        <is>
          <t>十四</t>
        </is>
      </c>
      <c r="B757" s="27" t="inlineStr">
        <is>
          <t>候梯厅(消防电梯前室)</t>
        </is>
      </c>
      <c r="C757" s="27" t="n"/>
      <c r="D757" s="27" t="n"/>
      <c r="E757" s="27" t="n"/>
      <c r="F757" s="28" t="n"/>
      <c r="G757" s="61" t="n"/>
      <c r="H757" s="62" t="n"/>
      <c r="I757" s="65" t="n"/>
      <c r="J757" s="62" t="n"/>
      <c r="K757" s="63" t="n"/>
      <c r="L757" s="33" t="n"/>
      <c r="M757" s="64" t="n"/>
      <c r="P757" s="35" t="n"/>
      <c r="Q757" s="35" t="n"/>
      <c r="R757" s="35" t="n"/>
    </row>
    <row r="758" outlineLevel="1" customFormat="1" s="39">
      <c r="A758" s="36" t="n"/>
      <c r="B758" s="27" t="inlineStr">
        <is>
          <t>地面工程</t>
        </is>
      </c>
      <c r="C758" s="27" t="n"/>
      <c r="D758" s="27" t="n"/>
      <c r="E758" s="27" t="n"/>
      <c r="F758" s="28" t="n"/>
      <c r="G758" s="61" t="n"/>
      <c r="H758" s="62" t="n"/>
      <c r="I758" s="65" t="n"/>
      <c r="J758" s="62" t="n"/>
      <c r="K758" s="63" t="n"/>
      <c r="L758" s="33" t="n"/>
      <c r="M758" s="64" t="n"/>
      <c r="P758" s="35" t="n"/>
      <c r="Q758" s="35" t="n"/>
      <c r="R758" s="35" t="n"/>
    </row>
    <row r="759" outlineLevel="2" ht="108" customFormat="1" customHeight="1" s="39">
      <c r="A759" s="37">
        <f>1+N(A758)</f>
        <v/>
      </c>
      <c r="B759" s="27" t="inlineStr">
        <is>
          <t>地面铺贴大理石ST-01</t>
        </is>
      </c>
      <c r="C759" s="27" t="inlineStr">
        <is>
          <t>1.地面20mm大理石ST-01、铺贴、厚度及样式按物料书为准；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759"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759" s="27" t="inlineStr">
        <is>
          <t xml:space="preserve">执行《GB/T50854-2024房屋建筑与装饰工程工程量计算标准》，按设计图示尺寸
以面积计算。 </t>
        </is>
      </c>
      <c r="F759" s="28" t="inlineStr">
        <is>
          <t>m2</t>
        </is>
      </c>
      <c r="G759" s="61" t="n">
        <v>5.1</v>
      </c>
      <c r="H759" s="62" t="n">
        <v>218.75017</v>
      </c>
      <c r="I759" s="65" t="n"/>
      <c r="J759" s="62">
        <f>H759*(1-$I$4)</f>
        <v/>
      </c>
      <c r="K759" s="63">
        <f>G759*J759</f>
        <v/>
      </c>
      <c r="L759" s="33" t="inlineStr">
        <is>
          <t>石材</t>
        </is>
      </c>
      <c r="M759" s="64" t="n"/>
      <c r="N759" s="39" t="n">
        <v>1</v>
      </c>
      <c r="O759" t="n">
        <v>130</v>
      </c>
      <c r="P759" s="35" t="inlineStr">
        <is>
          <t>差:-88.75元 (-40.6%) 来源:售楼处</t>
        </is>
      </c>
      <c r="Q759" s="35" t="n"/>
      <c r="R759" s="35" t="n"/>
    </row>
    <row r="760" outlineLevel="2" ht="108" customFormat="1" customHeight="1" s="39">
      <c r="A760" s="37">
        <f>1+N(A759)</f>
        <v/>
      </c>
      <c r="B760" s="27" t="inlineStr">
        <is>
          <t>地面铺贴大理石ST-01.02拼花</t>
        </is>
      </c>
      <c r="C760" s="27" t="inlineStr">
        <is>
          <t>1.地面20mm大理石拼花、参考3F-DF-01样式、ST-01、ST-02按物料书为准；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760"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760" s="27" t="inlineStr">
        <is>
          <t xml:space="preserve">执行《GB/T50854-2024房屋建筑与装饰工程工程量计算标准》，按设计图示尺寸
以面积计算。 </t>
        </is>
      </c>
      <c r="F760" s="28" t="inlineStr">
        <is>
          <t>m2</t>
        </is>
      </c>
      <c r="G760" s="61" t="n">
        <v>4.9</v>
      </c>
      <c r="H760" s="62" t="n">
        <v>242.35017</v>
      </c>
      <c r="I760" s="65" t="n"/>
      <c r="J760" s="62">
        <f>H760*(1-$I$4)</f>
        <v/>
      </c>
      <c r="K760" s="63">
        <f>G760*J760</f>
        <v/>
      </c>
      <c r="L760" s="33" t="inlineStr">
        <is>
          <t>石材</t>
        </is>
      </c>
      <c r="M760" s="64" t="n"/>
      <c r="N760" s="39" t="n">
        <v>1</v>
      </c>
      <c r="O760" t="n">
        <v>130</v>
      </c>
      <c r="P760" s="35" t="inlineStr">
        <is>
          <t>差:-112.35元 (-46.4%) 来源:售楼处</t>
        </is>
      </c>
      <c r="Q760" s="35" t="n"/>
      <c r="R760" s="35" t="n"/>
    </row>
    <row r="761" outlineLevel="2" ht="108" customFormat="1" customHeight="1" s="39">
      <c r="A761" s="37">
        <f>1+N(A760)</f>
        <v/>
      </c>
      <c r="B761" s="27" t="inlineStr">
        <is>
          <t>地面石材晶面处理</t>
        </is>
      </c>
      <c r="C761" s="27" t="inlineStr">
        <is>
          <t>1.石材结晶处理(结晶水及石材保养剂,中性清洁剂)；
2.包含完成该项内容所有工作及费用并满足设计图纸、规范等要求；</t>
        </is>
      </c>
      <c r="D761"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761" s="27" t="inlineStr">
        <is>
          <t xml:space="preserve">执行《GB/T50854-2024房屋建筑与装饰工程工程量计算标准》，按设计图示尺寸
以面积计算。 </t>
        </is>
      </c>
      <c r="F761" s="28" t="inlineStr">
        <is>
          <t>m2</t>
        </is>
      </c>
      <c r="G761" s="61" t="n">
        <v>10</v>
      </c>
      <c r="H761" s="62" t="n">
        <v>64.90000000000001</v>
      </c>
      <c r="I761" s="65" t="n"/>
      <c r="J761" s="62">
        <f>H761*(1-$I$4)</f>
        <v/>
      </c>
      <c r="K761" s="63">
        <f>G761*J761</f>
        <v/>
      </c>
      <c r="L761" s="33" t="inlineStr">
        <is>
          <t>/</t>
        </is>
      </c>
      <c r="M761" s="64" t="n"/>
      <c r="N761" s="39" t="n">
        <v>1</v>
      </c>
      <c r="O761" t="n">
        <v>40</v>
      </c>
      <c r="P761" s="35" t="inlineStr">
        <is>
          <t>差:-24.90元 (-38.4%) 来源:售楼处</t>
        </is>
      </c>
      <c r="Q761" s="35" t="n"/>
      <c r="R761" s="35" t="n"/>
    </row>
    <row r="762" outlineLevel="2" ht="108" customFormat="1" customHeight="1" s="39">
      <c r="A762" s="37">
        <f>1+N(A761)</f>
        <v/>
      </c>
      <c r="B762" s="27" t="inlineStr">
        <is>
          <t>实心铜条5mm宽</t>
        </is>
      </c>
      <c r="C762" s="27" t="inlineStr">
        <is>
          <t>1.实心铜条5mm宽；
2.包含完成该项内容所有工作及费用并满足设计图纸、规范等要求；</t>
        </is>
      </c>
      <c r="D762"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762" s="27" t="inlineStr">
        <is>
          <t>按设计图示尺寸以长度计算。</t>
        </is>
      </c>
      <c r="F762" s="28" t="inlineStr">
        <is>
          <t>m</t>
        </is>
      </c>
      <c r="G762" s="61" t="n">
        <v>8.300000000000001</v>
      </c>
      <c r="H762" s="62" t="n">
        <v>89.267</v>
      </c>
      <c r="I762" s="65" t="n"/>
      <c r="J762" s="62">
        <f>H762*(1-$I$4)</f>
        <v/>
      </c>
      <c r="K762" s="63">
        <f>G762*J762</f>
        <v/>
      </c>
      <c r="L762" s="33" t="inlineStr">
        <is>
          <t>/</t>
        </is>
      </c>
      <c r="M762" s="64" t="n"/>
      <c r="N762" s="39" t="n">
        <v>1</v>
      </c>
      <c r="O762" t="n">
        <v>12</v>
      </c>
      <c r="P762" s="35" t="inlineStr">
        <is>
          <t>差:-77.27元 (-86.6%) 来源:售楼处</t>
        </is>
      </c>
      <c r="Q762" s="35" t="n"/>
      <c r="R762" s="35" t="n"/>
    </row>
    <row r="763" outlineLevel="1" customFormat="1" s="39">
      <c r="A763" s="36" t="n"/>
      <c r="B763" s="27" t="inlineStr">
        <is>
          <t>墙柱面工程</t>
        </is>
      </c>
      <c r="C763" s="27" t="n"/>
      <c r="D763" s="27" t="n"/>
      <c r="E763" s="27" t="n"/>
      <c r="F763" s="28" t="n"/>
      <c r="G763" s="61" t="n"/>
      <c r="H763" s="62" t="n"/>
      <c r="I763" s="65" t="n"/>
      <c r="J763" s="62" t="n"/>
      <c r="K763" s="63" t="n"/>
      <c r="L763" s="33" t="n"/>
      <c r="M763" s="64" t="n"/>
      <c r="P763" s="35" t="n"/>
      <c r="Q763" s="35" t="n"/>
      <c r="R763" s="35" t="n"/>
    </row>
    <row r="764" outlineLevel="2" ht="180" customFormat="1" customHeight="1" s="39">
      <c r="A764" s="37">
        <f>1+N(A763)</f>
        <v/>
      </c>
      <c r="B764" s="27" t="inlineStr">
        <is>
          <t>墙面干挂ST-05石材</t>
        </is>
      </c>
      <c r="C764" s="27" t="inlineStr">
        <is>
          <t>1、墙面干挂ST-05石材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is>
      </c>
      <c r="D764"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764" s="27" t="inlineStr">
        <is>
          <t>执行《GB/T50854-2024房屋建筑与装饰工程工程量计算标准》，按设计图示镶贴后外围面积计算</t>
        </is>
      </c>
      <c r="F764" s="28" t="inlineStr">
        <is>
          <t>m2</t>
        </is>
      </c>
      <c r="G764" s="61" t="n">
        <v>23.77</v>
      </c>
      <c r="H764" s="62" t="n">
        <v>283.2</v>
      </c>
      <c r="I764" s="65" t="n"/>
      <c r="J764" s="62">
        <f>H764*(1-$I$4)</f>
        <v/>
      </c>
      <c r="K764" s="63">
        <f>G764*J764</f>
        <v/>
      </c>
      <c r="L764" s="33" t="inlineStr">
        <is>
          <t>石材</t>
        </is>
      </c>
      <c r="M764" s="64" t="n"/>
      <c r="N764" s="39" t="n">
        <v>1</v>
      </c>
      <c r="O764" t="n">
        <v>145</v>
      </c>
      <c r="P764" s="35" t="inlineStr">
        <is>
          <t>差:-138.20元 (-48.8%) 来源:售楼处</t>
        </is>
      </c>
      <c r="Q764" s="35" t="n"/>
      <c r="R764" s="35" t="n"/>
    </row>
    <row r="765" outlineLevel="2" ht="180" customFormat="1" customHeight="1" s="39">
      <c r="A765" s="37">
        <f>1+N(A764)</f>
        <v/>
      </c>
      <c r="B765" s="27" t="inlineStr">
        <is>
          <t>不锈钢门套</t>
        </is>
      </c>
      <c r="C765" s="27" t="inlineStr">
        <is>
          <t>1、1.2mm厚 MT-01古铜不锈钢门套，结构胶固定
2、9厘玻镁板基层
3、工程量以展开面积计算
4、包含完成该项内容所有工作及费用并满足设计图纸、规范等要求</t>
        </is>
      </c>
      <c r="D765"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765" s="27" t="inlineStr">
        <is>
          <t>执行《GB/T50854-2024房屋建筑与装饰工程工程量计算标准》，按设计图示饰面外围尺寸
以面积计算。 扣除门窗洞口面积，不扣除单个面积≤0.3㎡的孔洞所占面积。</t>
        </is>
      </c>
      <c r="F765" s="28" t="inlineStr">
        <is>
          <t>m2</t>
        </is>
      </c>
      <c r="G765" s="61" t="n">
        <v>8.48</v>
      </c>
      <c r="H765" s="62" t="n">
        <v>630.651</v>
      </c>
      <c r="I765" s="65" t="n"/>
      <c r="J765" s="62">
        <f>H765*(1-$I$4)</f>
        <v/>
      </c>
      <c r="K765" s="63">
        <f>G765*J765</f>
        <v/>
      </c>
      <c r="L765" s="33" t="inlineStr">
        <is>
          <t>/</t>
        </is>
      </c>
      <c r="M765" s="64" t="n"/>
      <c r="N765" s="39" t="n">
        <v>1</v>
      </c>
      <c r="O765" t="n">
        <v>110</v>
      </c>
      <c r="P765" s="35" t="inlineStr">
        <is>
          <t>差:-520.65元 (-82.6%) 来源:售楼处</t>
        </is>
      </c>
      <c r="Q765" s="35" t="n"/>
      <c r="R765" s="35" t="n"/>
    </row>
    <row r="766" outlineLevel="2" ht="180" customFormat="1" customHeight="1" s="39">
      <c r="A766" s="37">
        <f>1+N(A765)</f>
        <v/>
      </c>
      <c r="B766" s="27" t="inlineStr">
        <is>
          <t>电梯不锈钢门套</t>
        </is>
      </c>
      <c r="C766" s="27" t="inlineStr">
        <is>
          <t>1、1.2mm厚 MT-01古铜不锈钢门套，结构胶固定
2、9厘玻镁板基层
3、工程量以展开面积计算
4、包含完成该项内容所有工作及费用并满足设计图纸、规范等要求</t>
        </is>
      </c>
      <c r="D766"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766" s="27" t="inlineStr">
        <is>
          <t>执行《GB/T50854-2024房屋建筑与装饰工程工程量计算标准》，按设计图示饰面外围尺寸
以面积计算。 扣除门窗洞口面积，不扣除单个面积≤0.3㎡的孔洞所占面积。</t>
        </is>
      </c>
      <c r="F766" s="28" t="inlineStr">
        <is>
          <t>m2</t>
        </is>
      </c>
      <c r="G766" s="61" t="n">
        <v>4.63</v>
      </c>
      <c r="H766" s="62" t="n">
        <v>630.651</v>
      </c>
      <c r="I766" s="65" t="n"/>
      <c r="J766" s="62">
        <f>H766*(1-$I$4)</f>
        <v/>
      </c>
      <c r="K766" s="63">
        <f>G766*J766</f>
        <v/>
      </c>
      <c r="L766" s="33" t="inlineStr">
        <is>
          <t>/</t>
        </is>
      </c>
      <c r="M766" s="64" t="n"/>
      <c r="N766" s="39" t="n">
        <v>1</v>
      </c>
      <c r="O766" t="n">
        <v>110</v>
      </c>
      <c r="P766" s="35" t="inlineStr">
        <is>
          <t>差:-520.65元 (-82.6%) 来源:售楼处</t>
        </is>
      </c>
      <c r="Q766" s="35" t="n"/>
      <c r="R766" s="35" t="n"/>
    </row>
    <row r="767" outlineLevel="2" ht="180" customFormat="1" customHeight="1" s="39">
      <c r="A767" s="37">
        <f>1+N(A766)</f>
        <v/>
      </c>
      <c r="B767" s="27" t="inlineStr">
        <is>
          <t>电梯不锈钢门头</t>
        </is>
      </c>
      <c r="C767" s="27" t="inlineStr">
        <is>
          <t>1、1.2mm厚 MT-01古铜不锈钢门头，结构胶固定
2、12mm阻燃板，轻钢副龙骨@400
3、电梯门顶内置亚克力，内部面层刮白处理
4、工程量以展开面积计算
5、包含完成该项内容所有工作及费用并满足设计图纸、规范等要求</t>
        </is>
      </c>
      <c r="D767"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767" s="27" t="inlineStr">
        <is>
          <t>执行《GB/T50854-2024房屋建筑与装饰工程工程量计算标准》，按设计图示饰面外围尺寸
以面积计算。 扣除门窗洞口面积，不扣除单个面积≤0.3㎡的孔洞所占面积。</t>
        </is>
      </c>
      <c r="F767" s="28" t="inlineStr">
        <is>
          <t>m2</t>
        </is>
      </c>
      <c r="G767" s="61" t="n">
        <v>2.55</v>
      </c>
      <c r="H767" s="62" t="n">
        <v>812.961</v>
      </c>
      <c r="I767" s="65" t="n"/>
      <c r="J767" s="62">
        <f>H767*(1-$I$4)</f>
        <v/>
      </c>
      <c r="K767" s="63">
        <f>G767*J767</f>
        <v/>
      </c>
      <c r="L767" s="33" t="inlineStr">
        <is>
          <t>/</t>
        </is>
      </c>
      <c r="M767" s="64" t="n"/>
      <c r="N767" s="39" t="n">
        <v>1</v>
      </c>
      <c r="O767" t="n">
        <v>110</v>
      </c>
      <c r="P767" s="35" t="inlineStr">
        <is>
          <t>差:-702.96元 (-86.5%) 来源:售楼处</t>
        </is>
      </c>
      <c r="Q767" s="35" t="n"/>
      <c r="R767" s="35" t="n"/>
    </row>
    <row r="768" outlineLevel="2" ht="180" customFormat="1" customHeight="1" s="39">
      <c r="A768" s="37">
        <f>1+N(A767)</f>
        <v/>
      </c>
      <c r="B768" s="27" t="inlineStr">
        <is>
          <t>MT-01古铜不锈钢饰面（电梯按钮处）</t>
        </is>
      </c>
      <c r="C768" s="27" t="inlineStr">
        <is>
          <t>1、1.2mm厚 MT-01古铜不锈钢饰面
2、12mm阻燃板基层，轻钢副龙骨@400
3、工程量以展开面积计算
4、包含完成该项内容所有工作及费用并满足设计图纸、规范等要求</t>
        </is>
      </c>
      <c r="D768"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768" s="27" t="inlineStr">
        <is>
          <t>执行《GB/T50854-2024房屋建筑与装饰工程工程量计算标准》，按设计图示饰面外围尺寸
以面积计算。 扣除门窗洞口面积，不扣除单个面积≤0.3㎡的孔洞所占面积。</t>
        </is>
      </c>
      <c r="F768" s="28" t="inlineStr">
        <is>
          <t>m2</t>
        </is>
      </c>
      <c r="G768" s="61" t="n">
        <v>0.26</v>
      </c>
      <c r="H768" s="62" t="n">
        <v>295</v>
      </c>
      <c r="I768" s="65" t="n"/>
      <c r="J768" s="62">
        <f>H768*(1-$I$4)</f>
        <v/>
      </c>
      <c r="K768" s="63">
        <f>G768*J768</f>
        <v/>
      </c>
      <c r="L768" s="33" t="inlineStr">
        <is>
          <t>不锈钢饰面</t>
        </is>
      </c>
      <c r="M768" s="64" t="n"/>
      <c r="N768" s="39" t="n">
        <v>1</v>
      </c>
      <c r="O768" t="n">
        <v>110</v>
      </c>
      <c r="P768" s="35" t="inlineStr">
        <is>
          <t>差:-185.00元 (-62.7%) 来源:售楼处</t>
        </is>
      </c>
      <c r="Q768" s="35" t="n"/>
      <c r="R768" s="35" t="n"/>
    </row>
    <row r="769" outlineLevel="2" ht="144" customFormat="1" customHeight="1" s="39">
      <c r="A769" s="37">
        <f>1+N(A768)</f>
        <v/>
      </c>
      <c r="B769" s="27" t="inlineStr">
        <is>
          <t>MT-01古铜不锈钢踢脚线（高20mm）</t>
        </is>
      </c>
      <c r="C769" s="27" t="inlineStr">
        <is>
          <t>1、1.2mm厚 MT-01古铜不锈钢踢脚线（高20mm，展开面为46mm），结构胶固定
2、9厘玻镁板基层
3、包含完成该项内容所有工作及费用并满足设计图纸、规范等要求</t>
        </is>
      </c>
      <c r="D769"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769" s="27" t="inlineStr">
        <is>
          <t>按设计图示尺寸以长度计算。</t>
        </is>
      </c>
      <c r="F769" s="28" t="inlineStr">
        <is>
          <t>m</t>
        </is>
      </c>
      <c r="G769" s="61" t="n">
        <v>7.26</v>
      </c>
      <c r="H769" s="62" t="n">
        <v>31.86</v>
      </c>
      <c r="I769" s="65" t="n"/>
      <c r="J769" s="62">
        <f>H769*(1-$I$4)</f>
        <v/>
      </c>
      <c r="K769" s="63">
        <f>G769*J769</f>
        <v/>
      </c>
      <c r="L769" s="33" t="inlineStr">
        <is>
          <t>不锈钢踢脚线</t>
        </is>
      </c>
      <c r="M769" s="64" t="n"/>
      <c r="N769" s="39" t="n">
        <v>1</v>
      </c>
      <c r="O769" t="n">
        <v>12</v>
      </c>
      <c r="P769" s="35" t="inlineStr">
        <is>
          <t>差:-19.86元 (-62.3%) 来源:售楼处</t>
        </is>
      </c>
      <c r="Q769" s="35" t="n"/>
      <c r="R769" s="35" t="n"/>
    </row>
    <row r="770" outlineLevel="2" ht="144" customFormat="1" customHeight="1" s="39">
      <c r="A770" s="37">
        <f>1+N(A769)</f>
        <v/>
      </c>
      <c r="B770" s="27" t="inlineStr">
        <is>
          <t>MT-01古铜不锈钢线条（展开面为54mm）</t>
        </is>
      </c>
      <c r="C770" s="27" t="inlineStr">
        <is>
          <t>1、1.2mm厚 MT-01古铜不锈钢线条（展开面为54mm），结构胶固定
2、9厘玻镁板基层
3、包含完成该项内容所有工作及费用并满足设计图纸、规范等要求</t>
        </is>
      </c>
      <c r="D770"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770" s="27" t="inlineStr">
        <is>
          <t>按设计图示尺寸以长度计算。</t>
        </is>
      </c>
      <c r="F770" s="28" t="inlineStr">
        <is>
          <t>m</t>
        </is>
      </c>
      <c r="G770" s="61" t="n">
        <v>0.34</v>
      </c>
      <c r="H770" s="62" t="n">
        <v>67.307908</v>
      </c>
      <c r="I770" s="65" t="n"/>
      <c r="J770" s="62">
        <f>H770*(1-$I$4)</f>
        <v/>
      </c>
      <c r="K770" s="63">
        <f>G770*J770</f>
        <v/>
      </c>
      <c r="L770" s="33" t="inlineStr">
        <is>
          <t>/</t>
        </is>
      </c>
      <c r="M770" s="64" t="n"/>
      <c r="N770" s="39" t="n">
        <v>1</v>
      </c>
      <c r="O770" t="n">
        <v>12</v>
      </c>
      <c r="P770" s="35" t="inlineStr">
        <is>
          <t>差:-55.31元 (-82.2%) 来源:售楼处</t>
        </is>
      </c>
      <c r="Q770" s="35" t="n"/>
      <c r="R770" s="35" t="n"/>
    </row>
    <row r="771" outlineLevel="2" ht="144" customFormat="1" customHeight="1" s="39">
      <c r="A771" s="37">
        <f>1+N(A770)</f>
        <v/>
      </c>
      <c r="B771" s="27" t="inlineStr">
        <is>
          <t>MT-01古铜不锈钢线条（展开面为114mm）</t>
        </is>
      </c>
      <c r="C771" s="27" t="inlineStr">
        <is>
          <t>1、1.2mm厚 MT-01古铜不锈钢线条（展开面为114mm），结构胶固定
2、9厘玻镁板基层
3、包含完成该项内容所有工作及费用并满足设计图纸、规范等要求</t>
        </is>
      </c>
      <c r="D771"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771" s="27" t="inlineStr">
        <is>
          <t>按设计图示尺寸以长度计算。</t>
        </is>
      </c>
      <c r="F771" s="28" t="inlineStr">
        <is>
          <t>m</t>
        </is>
      </c>
      <c r="G771" s="61" t="n">
        <v>6.92</v>
      </c>
      <c r="H771" s="62" t="n">
        <v>117.84424</v>
      </c>
      <c r="I771" s="65" t="n"/>
      <c r="J771" s="62">
        <f>H771*(1-$I$4)</f>
        <v/>
      </c>
      <c r="K771" s="63">
        <f>G771*J771</f>
        <v/>
      </c>
      <c r="L771" s="33" t="inlineStr">
        <is>
          <t>/</t>
        </is>
      </c>
      <c r="M771" s="64" t="n"/>
      <c r="N771" s="39" t="n">
        <v>1</v>
      </c>
      <c r="O771" t="n">
        <v>22</v>
      </c>
      <c r="P771" s="35" t="inlineStr">
        <is>
          <t>差:-95.84元 (-81.3%) 来源:售楼处</t>
        </is>
      </c>
      <c r="Q771" s="35" t="n"/>
      <c r="R771" s="35" t="n"/>
    </row>
    <row r="772" outlineLevel="2" ht="144" customFormat="1" customHeight="1" s="39">
      <c r="A772" s="37">
        <f>1+N(A771)</f>
        <v/>
      </c>
      <c r="B772" s="27" t="inlineStr">
        <is>
          <t>MT-01古铜不锈钢顶部收口条（展开面为41mm）</t>
        </is>
      </c>
      <c r="C772" s="27" t="inlineStr">
        <is>
          <t>1、1.2mm厚 MT-01古铜不锈钢顶部收口条（展开面为41mm），结构胶固定
2、9厘玻镁板基层
3、包含完成该项内容所有工作及费用并满足设计图纸、规范等要求</t>
        </is>
      </c>
      <c r="D772"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772" s="27" t="inlineStr">
        <is>
          <t>按设计图示尺寸以长度计算。</t>
        </is>
      </c>
      <c r="F772" s="28" t="inlineStr">
        <is>
          <t>m</t>
        </is>
      </c>
      <c r="G772" s="61" t="n">
        <v>7.26</v>
      </c>
      <c r="H772" s="62" t="n">
        <v>64.24509999999999</v>
      </c>
      <c r="I772" s="65" t="n"/>
      <c r="J772" s="62">
        <f>H772*(1-$I$4)</f>
        <v/>
      </c>
      <c r="K772" s="63">
        <f>G772*J772</f>
        <v/>
      </c>
      <c r="L772" s="33" t="inlineStr">
        <is>
          <t>/</t>
        </is>
      </c>
      <c r="M772" s="64" t="n"/>
      <c r="N772" s="39" t="n">
        <v>1</v>
      </c>
      <c r="O772" t="n">
        <v>12</v>
      </c>
      <c r="P772" s="35" t="inlineStr">
        <is>
          <t>差:-52.25元 (-81.3%) 来源:售楼处</t>
        </is>
      </c>
      <c r="Q772" s="35" t="n"/>
      <c r="R772" s="35" t="n"/>
    </row>
    <row r="773" outlineLevel="1" customFormat="1" s="39">
      <c r="A773" s="36" t="n"/>
      <c r="B773" s="27" t="inlineStr">
        <is>
          <t>天花工程</t>
        </is>
      </c>
      <c r="C773" s="27" t="n"/>
      <c r="D773" s="27" t="n"/>
      <c r="E773" s="27" t="n"/>
      <c r="F773" s="28" t="n"/>
      <c r="G773" s="61" t="n"/>
      <c r="H773" s="62" t="n"/>
      <c r="I773" s="65" t="n"/>
      <c r="J773" s="62" t="n"/>
      <c r="K773" s="63" t="n"/>
      <c r="L773" s="33" t="n"/>
      <c r="M773" s="64" t="n"/>
      <c r="P773" s="35" t="n"/>
      <c r="Q773" s="35" t="n"/>
      <c r="R773" s="35" t="n"/>
    </row>
    <row r="774" outlineLevel="2" ht="192" customFormat="1" customHeight="1" s="39">
      <c r="A774" s="37">
        <f>1+N(A773)</f>
        <v/>
      </c>
      <c r="B774" s="27" t="inlineStr">
        <is>
          <t>造型石膏板吊顶</t>
        </is>
      </c>
      <c r="C774" s="27" t="inlineStr">
        <is>
          <t>1.60系列轻钢主龙骨@900，60系列轻钢副龙骨@400，60系列横撑龙骨@600，08螺纹吊杆@900不上人天花吊顶（投影面计算）
2.玻镁板、双层9.5厚石膏板基层，含开孔、检修口、10*10凹槽等费用；
3.含除灯槽外的侧面高差及其连接件、吊件；
4.包含完成该项内容所有工作及费用并满足设计图纸、规范等要求；</t>
        </is>
      </c>
      <c r="D774" s="27" t="inlineStr">
        <is>
          <t>1.基层清理。
2.弹线定位、排版。
3.吊杆及连接件安装调平、收口及密封处理。
4.材料切割处理找平、石膏板安装及调整，打胶密封与清理.
5.收口及其他处理：检修口等制作安装、收边收口、配合预留安装、机电等专业孔洞及孔洞收口处理。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774" s="27" t="inlineStr">
        <is>
          <t>按设计图示尺寸以水平投影面积计算。不扣除间壁墙、检查口、附墙烟囱、柱垛和管道所占面积,扣除单个&gt;0.3m3的孔洞、非密拼吊顶空隙所占的面积、独立柱及与天棚相连的窗帘盒所占的面积。</t>
        </is>
      </c>
      <c r="F774" s="28" t="inlineStr">
        <is>
          <t>m2</t>
        </is>
      </c>
      <c r="G774" s="61" t="n">
        <v>10</v>
      </c>
      <c r="H774" s="62" t="n">
        <v>174.574444444444</v>
      </c>
      <c r="I774" s="65" t="n"/>
      <c r="J774" s="62">
        <f>H774*(1-$I$4)</f>
        <v/>
      </c>
      <c r="K774" s="63">
        <f>G774*J774</f>
        <v/>
      </c>
      <c r="L774" s="33" t="inlineStr">
        <is>
          <t>/</t>
        </is>
      </c>
      <c r="M774" s="64" t="n"/>
      <c r="N774" s="39" t="n">
        <v>1</v>
      </c>
      <c r="O774" t="n">
        <v>70</v>
      </c>
      <c r="P774" s="35" t="inlineStr">
        <is>
          <t>差:-104.57元 (-59.9%) 来源:售楼处</t>
        </is>
      </c>
      <c r="Q774" s="35" t="n"/>
      <c r="R774" s="35" t="n"/>
    </row>
    <row r="775" outlineLevel="2" ht="72" customFormat="1" customHeight="1" s="39">
      <c r="A775" s="37">
        <f>1+N(A774)</f>
        <v/>
      </c>
      <c r="B775" s="27" t="inlineStr">
        <is>
          <t>灯槽（100mm*200mm）</t>
        </is>
      </c>
      <c r="C775" s="27" t="inlineStr">
        <is>
          <t>1.灯槽（100mm*200mm）；
2.双层板：9mm玻镁板、9.5厚石膏板；
3.包含完成该项内容所有工作及费用并满足设计图纸、规范等要求；</t>
        </is>
      </c>
      <c r="D775" s="27" t="inlineStr">
        <is>
          <t>自现有现场条件下按照合同约定范围、图纸（含设计变更）及甲方要求内容以及规范、标准、相关做法等要求完成并达到总包合同全部目标的全部工作内容。</t>
        </is>
      </c>
      <c r="E775" s="27" t="inlineStr">
        <is>
          <t>依据经承包人确认的施工部位,按设计图示尺寸以延长米计算。</t>
        </is>
      </c>
      <c r="F775" s="28" t="inlineStr">
        <is>
          <t>m</t>
        </is>
      </c>
      <c r="G775" s="61" t="n">
        <v>7.9</v>
      </c>
      <c r="H775" s="62" t="n">
        <v>112.159</v>
      </c>
      <c r="I775" s="65" t="n"/>
      <c r="J775" s="62">
        <f>H775*(1-$I$4)</f>
        <v/>
      </c>
      <c r="K775" s="63">
        <f>G775*J775</f>
        <v/>
      </c>
      <c r="L775" s="33" t="inlineStr">
        <is>
          <t>/</t>
        </is>
      </c>
      <c r="M775" s="64" t="n"/>
      <c r="N775" s="39" t="n">
        <v>1</v>
      </c>
      <c r="O775" t="n">
        <v>50</v>
      </c>
      <c r="P775" s="35" t="inlineStr">
        <is>
          <t>差:-62.16元 (-55.4%) 来源:售楼处</t>
        </is>
      </c>
      <c r="Q775" s="35" t="n"/>
      <c r="R775" s="35" t="n"/>
    </row>
    <row r="776" outlineLevel="2" ht="72" customFormat="1" customHeight="1" s="39">
      <c r="A776" s="37">
        <f>1+N(A775)</f>
        <v/>
      </c>
      <c r="B776" s="27" t="inlineStr">
        <is>
          <t>成品石膏线条</t>
        </is>
      </c>
      <c r="C776" s="27" t="inlineStr">
        <is>
          <t>1.成品石膏线条（50mm*50mm）；
2.按图纸造型；
3.包含完成该项内容所有工作及费用并满足设计图纸、规范等要求；</t>
        </is>
      </c>
      <c r="D776" s="27" t="inlineStr">
        <is>
          <t>自现有现场条件下按照合同约定范围、图纸（含设计变更）及甲方要求内容以及规范、标准、相关做法等要求完成并达到总包合同全部目标的全部工作内容。</t>
        </is>
      </c>
      <c r="E776" s="27" t="inlineStr">
        <is>
          <t>依据经承包人确认的施工部位,按设计图示尺寸以延长米计算。</t>
        </is>
      </c>
      <c r="F776" s="28" t="inlineStr">
        <is>
          <t>m</t>
        </is>
      </c>
      <c r="G776" s="61" t="n">
        <v>7.9</v>
      </c>
      <c r="H776" s="62" t="n">
        <v>20.06</v>
      </c>
      <c r="I776" s="65" t="n"/>
      <c r="J776" s="62">
        <f>H776*(1-$I$4)</f>
        <v/>
      </c>
      <c r="K776" s="63">
        <f>G776*J776</f>
        <v/>
      </c>
      <c r="L776" s="33" t="inlineStr">
        <is>
          <t>成品石膏线条</t>
        </is>
      </c>
      <c r="M776" s="64" t="n"/>
      <c r="N776" s="39" t="n">
        <v>1</v>
      </c>
      <c r="O776" t="n">
        <v>18</v>
      </c>
      <c r="P776" s="35" t="inlineStr">
        <is>
          <t>差:-2.06元 (-10.3%) 来源:售楼处</t>
        </is>
      </c>
      <c r="Q776" s="35" t="n"/>
      <c r="R776" s="35" t="n"/>
    </row>
    <row r="777" outlineLevel="2" ht="72" customFormat="1" customHeight="1" s="39">
      <c r="A777" s="37">
        <f>1+N(A776)</f>
        <v/>
      </c>
      <c r="B777" s="27" t="inlineStr">
        <is>
          <t>条形空调风口（150mm）</t>
        </is>
      </c>
      <c r="C777" s="27" t="inlineStr">
        <is>
          <t>1.条形空调风口（150mm）；
2.风口周边阻燃板封边加固处理；
3.包含完成该项内容所有工作及费用并满足设计图纸、规范等要求；</t>
        </is>
      </c>
      <c r="D777" s="27" t="inlineStr">
        <is>
          <t>自现有现场条件下按照合同约定范围、图纸（含设计变更）及甲方要求内容以及规范、标准、相关做法等要求完成并达到总包合同全部目标的全部工作内容。</t>
        </is>
      </c>
      <c r="E777" s="27" t="inlineStr">
        <is>
          <t>依据经承包人确认的施工部位,按设计图示尺寸以延长米计算。</t>
        </is>
      </c>
      <c r="F777" s="28" t="inlineStr">
        <is>
          <t>m</t>
        </is>
      </c>
      <c r="G777" s="61" t="n">
        <v>2.4</v>
      </c>
      <c r="H777" s="62" t="n">
        <v>109.74</v>
      </c>
      <c r="I777" s="65" t="n"/>
      <c r="J777" s="62">
        <f>H777*(1-$I$4)</f>
        <v/>
      </c>
      <c r="K777" s="63">
        <f>G777*J777</f>
        <v/>
      </c>
      <c r="L777" s="33" t="inlineStr">
        <is>
          <t>空调风口</t>
        </is>
      </c>
      <c r="M777" s="64" t="n"/>
      <c r="N777" s="39" t="n">
        <v>1</v>
      </c>
      <c r="O777" t="n">
        <v>30</v>
      </c>
      <c r="P777" s="35" t="inlineStr">
        <is>
          <t>差:-79.74元 (-72.7%) 来源:售楼处</t>
        </is>
      </c>
      <c r="Q777" s="35" t="n"/>
      <c r="R777" s="35" t="n"/>
    </row>
    <row r="778" outlineLevel="2" ht="192" customFormat="1" customHeight="1" s="39">
      <c r="A778" s="37">
        <f>1+N(A777)</f>
        <v/>
      </c>
      <c r="B778" s="27" t="inlineStr">
        <is>
          <t>天花肌理无机涂料PT-01</t>
        </is>
      </c>
      <c r="C778" s="27" t="inlineStr">
        <is>
          <t>1.天花肌理无机涂料PT-01；
2.刮腻子二遍磨平；
3.底漆1遍，面漆2遍；
4.包含完成该项内容所有工作及费用并满足设计图纸、规范等要求；</t>
        </is>
      </c>
      <c r="D778" s="27" t="inlineStr">
        <is>
          <t>包括但不限于材料计划、采购、卸车倒运、保管、检验试验费、测量放线，包含四周阴角找平直、含天棚四周阴角找平直，打磨，简易脚手架搭拆及操作平台、升降机，基层清理、打磨平整、底层找补、满刮涂料（含阴阳角塑料条）、涂料打磨、补遗处理、配合其他分包施工、完工后场清、成品保护、保修等直到达到竣工交付标准的全部工作内容。包括所有为完成工作所需的小型机具；包括所有为完成工作所需的附属工作；包括但不限于以上内容。</t>
        </is>
      </c>
      <c r="E778" s="27" t="inlineStr">
        <is>
          <t>执行《GB/T50854-2024房屋建筑与装饰工程工程量计算标准》，按设计图示尺寸以面积计算。扣除0.3平方米以上洞口的面积；梁侧面及檐口天棚并入天棚计算；以设计图纸和技术交底为基础</t>
        </is>
      </c>
      <c r="F778" s="28" t="inlineStr">
        <is>
          <t>m2</t>
        </is>
      </c>
      <c r="G778" s="61" t="n">
        <v>12.37</v>
      </c>
      <c r="H778" s="62" t="n">
        <v>48.38</v>
      </c>
      <c r="I778" s="65" t="n"/>
      <c r="J778" s="62">
        <f>H778*(1-$I$4)</f>
        <v/>
      </c>
      <c r="K778" s="63">
        <f>G778*J778</f>
        <v/>
      </c>
      <c r="L778" s="33" t="inlineStr">
        <is>
          <t>涂料</t>
        </is>
      </c>
      <c r="M778" s="64" t="n"/>
      <c r="N778" s="39" t="n">
        <v>1</v>
      </c>
      <c r="O778" t="n">
        <v>45</v>
      </c>
      <c r="P778" s="35" t="inlineStr">
        <is>
          <t>差:-3.38元 (-7.0%) 来源:售楼处</t>
        </is>
      </c>
      <c r="Q778" s="35" t="n"/>
      <c r="R778" s="35" t="n"/>
    </row>
    <row r="779" outlineLevel="1" customFormat="1" s="39">
      <c r="A779" s="36" t="n"/>
      <c r="B779" s="27" t="inlineStr">
        <is>
          <t>门窗、家具工程</t>
        </is>
      </c>
      <c r="C779" s="27" t="n"/>
      <c r="D779" s="27" t="n"/>
      <c r="E779" s="27" t="n"/>
      <c r="F779" s="28" t="n"/>
      <c r="G779" s="61" t="n"/>
      <c r="H779" s="62" t="n"/>
      <c r="I779" s="65" t="n"/>
      <c r="J779" s="62" t="n"/>
      <c r="K779" s="63" t="n"/>
      <c r="L779" s="33" t="n"/>
      <c r="M779" s="64" t="n"/>
      <c r="P779" s="35" t="n"/>
      <c r="Q779" s="35" t="n"/>
      <c r="R779" s="35" t="n"/>
    </row>
    <row r="780" outlineLevel="2" ht="84" customFormat="1" customHeight="1" s="39">
      <c r="A780" s="37">
        <f>1+N(A779)</f>
        <v/>
      </c>
      <c r="B780" s="27" t="inlineStr">
        <is>
          <t>电梯厅门（参DR07）</t>
        </is>
      </c>
      <c r="C780" s="27" t="inlineStr">
        <is>
          <t>1、门扇：1.2mm厚 MT-01古铜不锈钢饰面、GL-02艺术玻璃、ST-08石材、50*50热镀锌矩管、9mm厚玻镁板基层
2、定制成品套装门制安
3、含天地轴等五金配件
4、包含完成该项内容所有工作及费用并满足设计图纸、规范等要求</t>
        </is>
      </c>
      <c r="D780" s="27" t="inlineStr">
        <is>
          <t>自现有现场条件下按照合同约定范围、图纸（含设计变更）及甲方要求内容以及规范、标准、相关做法等要求完成并达到总包合同全部目标的全部工作内容。</t>
        </is>
      </c>
      <c r="E780" s="27" t="inlineStr">
        <is>
          <t>以最终验收合格的工程量计算</t>
        </is>
      </c>
      <c r="F780" s="28" t="inlineStr">
        <is>
          <t>m2</t>
        </is>
      </c>
      <c r="G780" s="61" t="n">
        <v>8.869999999999999</v>
      </c>
      <c r="H780" s="62" t="n">
        <v>5625.2806870229</v>
      </c>
      <c r="I780" s="65" t="n"/>
      <c r="J780" s="62">
        <f>H780*(1-$I$4)</f>
        <v/>
      </c>
      <c r="K780" s="63">
        <f>G780*J780</f>
        <v/>
      </c>
      <c r="L780" s="33" t="inlineStr">
        <is>
          <t>/</t>
        </is>
      </c>
      <c r="M780" s="64" t="n"/>
      <c r="N780" s="39" t="n">
        <v>1</v>
      </c>
      <c r="O780" t="n">
        <v>145</v>
      </c>
      <c r="P780" s="35" t="inlineStr">
        <is>
          <t>差:-5480.28元 (-97.4%) 来源:售楼处</t>
        </is>
      </c>
      <c r="Q780" s="35" t="n"/>
      <c r="R780" s="35" t="n"/>
    </row>
    <row r="781" outlineLevel="1" customFormat="1" s="39">
      <c r="A781" s="26" t="inlineStr">
        <is>
          <t>十五</t>
        </is>
      </c>
      <c r="B781" s="27" t="inlineStr">
        <is>
          <t>艺术过厅</t>
        </is>
      </c>
      <c r="C781" s="27" t="n"/>
      <c r="D781" s="27" t="n"/>
      <c r="E781" s="27" t="n"/>
      <c r="F781" s="28" t="n"/>
      <c r="G781" s="61" t="n"/>
      <c r="H781" s="62" t="n"/>
      <c r="I781" s="65" t="n"/>
      <c r="J781" s="62" t="n"/>
      <c r="K781" s="63" t="n"/>
      <c r="L781" s="33" t="n"/>
      <c r="M781" s="64" t="n"/>
      <c r="P781" s="35" t="n"/>
      <c r="Q781" s="35" t="n"/>
      <c r="R781" s="35" t="n"/>
    </row>
    <row r="782" outlineLevel="1" customFormat="1" s="39">
      <c r="A782" s="36" t="n"/>
      <c r="B782" s="27" t="inlineStr">
        <is>
          <t>地面工程</t>
        </is>
      </c>
      <c r="C782" s="27" t="n"/>
      <c r="D782" s="27" t="n"/>
      <c r="E782" s="27" t="n"/>
      <c r="F782" s="28" t="n"/>
      <c r="G782" s="61" t="n"/>
      <c r="H782" s="62" t="n"/>
      <c r="I782" s="65" t="n"/>
      <c r="J782" s="62" t="n"/>
      <c r="K782" s="63" t="n"/>
      <c r="L782" s="33" t="n"/>
      <c r="M782" s="64" t="n"/>
      <c r="P782" s="35" t="n"/>
      <c r="Q782" s="35" t="n"/>
      <c r="R782" s="35" t="n"/>
    </row>
    <row r="783" outlineLevel="2" ht="108" customFormat="1" customHeight="1" s="39">
      <c r="A783" s="37">
        <f>1+N(A782)</f>
        <v/>
      </c>
      <c r="B783" s="27" t="inlineStr">
        <is>
          <t>地面铺贴大理石ST-03</t>
        </is>
      </c>
      <c r="C783" s="27" t="inlineStr">
        <is>
          <t>1.地面20mm大理石ST-03、铺贴、厚度及样式按物料书为准；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783"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783" s="27" t="inlineStr">
        <is>
          <t xml:space="preserve">执行《GB/T50854-2024房屋建筑与装饰工程工程量计算标准》，按设计图示尺寸
以面积计算。 </t>
        </is>
      </c>
      <c r="F783" s="28" t="inlineStr">
        <is>
          <t>m2</t>
        </is>
      </c>
      <c r="G783" s="61" t="n">
        <v>7.77</v>
      </c>
      <c r="H783" s="62" t="n">
        <v>218.75017</v>
      </c>
      <c r="I783" s="65" t="n"/>
      <c r="J783" s="62">
        <f>H783*(1-$I$4)</f>
        <v/>
      </c>
      <c r="K783" s="63">
        <f>G783*J783</f>
        <v/>
      </c>
      <c r="L783" s="33" t="inlineStr">
        <is>
          <t>石材</t>
        </is>
      </c>
      <c r="M783" s="64" t="n"/>
      <c r="N783" s="39" t="n">
        <v>1</v>
      </c>
      <c r="O783" t="n">
        <v>130</v>
      </c>
      <c r="P783" s="35" t="inlineStr">
        <is>
          <t>差:-88.75元 (-40.6%) 来源:售楼处</t>
        </is>
      </c>
      <c r="Q783" s="35" t="n"/>
      <c r="R783" s="35" t="n"/>
    </row>
    <row r="784" outlineLevel="2" ht="120" customFormat="1" customHeight="1" s="39">
      <c r="A784" s="37">
        <f>1+N(A783)</f>
        <v/>
      </c>
      <c r="B784" s="27" t="inlineStr">
        <is>
          <t>地面铺贴大理石st-01、ST-03（波打）</t>
        </is>
      </c>
      <c r="C784" s="27" t="inlineStr">
        <is>
          <t>1.地面20mm大理石ST-01 、ST-03（波打）、铺贴、厚度及样式按物料书为准；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784"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784" s="27" t="inlineStr">
        <is>
          <t xml:space="preserve">执行《GB/T50854-2024房屋建筑与装饰工程工程量计算标准》，按设计图示尺寸
以面积计算。 </t>
        </is>
      </c>
      <c r="F784" s="28" t="inlineStr">
        <is>
          <t>m2</t>
        </is>
      </c>
      <c r="G784" s="61" t="n">
        <v>1.18</v>
      </c>
      <c r="H784" s="62" t="n">
        <v>218.75017</v>
      </c>
      <c r="I784" s="65" t="n"/>
      <c r="J784" s="62">
        <f>H784*(1-$I$4)</f>
        <v/>
      </c>
      <c r="K784" s="63">
        <f>G784*J784</f>
        <v/>
      </c>
      <c r="L784" s="33" t="inlineStr">
        <is>
          <t>石材</t>
        </is>
      </c>
      <c r="M784" s="64" t="n"/>
      <c r="N784" s="39" t="n">
        <v>1</v>
      </c>
      <c r="O784" t="n">
        <v>140</v>
      </c>
      <c r="P784" s="35" t="inlineStr">
        <is>
          <t>差:-78.75元 (-36.0%) 来源:售楼处</t>
        </is>
      </c>
      <c r="Q784" s="35" t="n"/>
      <c r="R784" s="35" t="n"/>
    </row>
    <row r="785" outlineLevel="2" ht="108" customFormat="1" customHeight="1" s="39">
      <c r="A785" s="37">
        <f>1+N(A784)</f>
        <v/>
      </c>
      <c r="B785" s="27" t="inlineStr">
        <is>
          <t>地面铺木地板</t>
        </is>
      </c>
      <c r="C785" s="27" t="inlineStr">
        <is>
          <t>1.地面防潮木地板WF-03；
2.防潮膜；
3.自流平
4.包含完成该项内容所有工作及费用并满足设计图纸、规范等要求；</t>
        </is>
      </c>
      <c r="D785"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t>
        </is>
      </c>
      <c r="E785" s="27" t="inlineStr">
        <is>
          <t xml:space="preserve">执行《GB/T50854-2024房屋建筑与装饰工程工程量计算标准》，按设计图示尺寸
以面积计算。 </t>
        </is>
      </c>
      <c r="F785" s="28" t="inlineStr">
        <is>
          <t>m2</t>
        </is>
      </c>
      <c r="G785" s="61" t="n">
        <v>8.5</v>
      </c>
      <c r="H785" s="62" t="n">
        <v>92.04000000000001</v>
      </c>
      <c r="I785" s="65" t="n"/>
      <c r="J785" s="62">
        <f>H785*(1-$I$4)</f>
        <v/>
      </c>
      <c r="K785" s="63">
        <f>G785*J785</f>
        <v/>
      </c>
      <c r="L785" s="33" t="inlineStr">
        <is>
          <t>木地板</t>
        </is>
      </c>
      <c r="M785" s="64" t="n"/>
      <c r="N785" s="39" t="n">
        <v>1</v>
      </c>
      <c r="O785" t="n">
        <v>36</v>
      </c>
      <c r="P785" s="35" t="inlineStr">
        <is>
          <t>差:-56.04元 (-60.9%) 来源:售楼处</t>
        </is>
      </c>
      <c r="Q785" s="35" t="n"/>
      <c r="R785" s="35" t="n"/>
    </row>
    <row r="786" outlineLevel="2" ht="216" customFormat="1" customHeight="1" s="39">
      <c r="A786" s="37">
        <f>1+N(A785)</f>
        <v/>
      </c>
      <c r="B786" s="27" t="inlineStr">
        <is>
          <t>水泥砂浆找平层</t>
        </is>
      </c>
      <c r="C786" s="27" t="inlineStr">
        <is>
          <t>1.75mm厚DS干混砂浆找平层、需铺符合设计要求标高；
2.完成需收光、压实处理；
3.包含完成该项内容所有工作及费用并满足设计图纸、规范等要求；</t>
        </is>
      </c>
      <c r="D786" s="27" t="inlineStr">
        <is>
          <t>包含完成地面所有施工工序所需的人工、材料（甲供材除外）、机械、管理费、利润；包括但不限于材料计划、卸车倒运（含多次）、保管、测量放线、基底清理、标高检测、配合检测、贴饼冲筋、砂浆找平、抹压、压光、设置分格缝、阻水台（按照方案及交底要求施工）、地面留槽回填及二次处理，所有洞口、管根的补遗处理，养护、配合水电安装、现场清理及分包施工作业面的及时清理、清扫等、装卸费、场内倒运费，配合承包人实验员做好冬季测温记录、坍落度实验及砼试块制作，成品保护、保修等全部工作内容。</t>
        </is>
      </c>
      <c r="E786" s="27" t="inlineStr">
        <is>
          <t>执行《GB/T50854-2024房屋建筑与装饰工程工程量计算标准》，按设计图示尺寸以面积计算。扣除凸出地面构筑物、设备基础、室内管道、地沟等所占面积，不扣除间壁墙及≤0.3 ㎡柱、垛、附墙烟囱及孔洞所占面积。门洞、空圈、暖气包槽、壁龛的开口部分不增加面积。</t>
        </is>
      </c>
      <c r="F786" s="28" t="inlineStr">
        <is>
          <t>m2</t>
        </is>
      </c>
      <c r="G786" s="61" t="n">
        <v>8.5</v>
      </c>
      <c r="H786" s="62" t="n">
        <v>78.50982500000001</v>
      </c>
      <c r="I786" s="65" t="n"/>
      <c r="J786" s="62">
        <f>H786*(1-$I$4)</f>
        <v/>
      </c>
      <c r="K786" s="63">
        <f>G786*J786</f>
        <v/>
      </c>
      <c r="L786" s="33" t="inlineStr">
        <is>
          <t>/</t>
        </is>
      </c>
      <c r="M786" s="64" t="n"/>
      <c r="N786" s="39" t="n">
        <v>1</v>
      </c>
      <c r="O786" t="n">
        <v>28</v>
      </c>
      <c r="P786" s="35" t="inlineStr">
        <is>
          <t>差:-50.51元 (-64.3%) 来源:售楼处</t>
        </is>
      </c>
      <c r="Q786" s="35" t="n"/>
      <c r="R786" s="35" t="n"/>
    </row>
    <row r="787" outlineLevel="2" ht="108" customFormat="1" customHeight="1" s="39">
      <c r="A787" s="37">
        <f>1+N(A786)</f>
        <v/>
      </c>
      <c r="B787" s="27" t="inlineStr">
        <is>
          <t>地面石材晶面处理</t>
        </is>
      </c>
      <c r="C787" s="27" t="inlineStr">
        <is>
          <t>1.石材结晶处理(结晶水及石材保养剂,中性清洁剂)；
2.包含完成该项内容所有工作及费用并满足设计图纸、规范等要求；</t>
        </is>
      </c>
      <c r="D787"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787" s="27" t="inlineStr">
        <is>
          <t xml:space="preserve">执行《GB/T50854-2024房屋建筑与装饰工程工程量计算标准》，按设计图示尺寸
以面积计算。 </t>
        </is>
      </c>
      <c r="F787" s="28" t="inlineStr">
        <is>
          <t>m2</t>
        </is>
      </c>
      <c r="G787" s="61" t="n">
        <v>8.949999999999999</v>
      </c>
      <c r="H787" s="62" t="n">
        <v>64.90000000000001</v>
      </c>
      <c r="I787" s="65" t="n"/>
      <c r="J787" s="62">
        <f>H787*(1-$I$4)</f>
        <v/>
      </c>
      <c r="K787" s="63">
        <f>G787*J787</f>
        <v/>
      </c>
      <c r="L787" s="33" t="inlineStr">
        <is>
          <t>/</t>
        </is>
      </c>
      <c r="M787" s="64" t="n"/>
      <c r="N787" s="39" t="n">
        <v>1</v>
      </c>
      <c r="O787" t="n">
        <v>40</v>
      </c>
      <c r="P787" s="35" t="inlineStr">
        <is>
          <t>差:-24.90元 (-38.4%) 来源:售楼处</t>
        </is>
      </c>
      <c r="Q787" s="35" t="n"/>
      <c r="R787" s="35" t="n"/>
    </row>
    <row r="788" outlineLevel="2" ht="108" customFormat="1" customHeight="1" s="39">
      <c r="A788" s="37">
        <f>1+N(A787)</f>
        <v/>
      </c>
      <c r="B788" s="27" t="inlineStr">
        <is>
          <t>实心铜条5mm宽</t>
        </is>
      </c>
      <c r="C788" s="27" t="inlineStr">
        <is>
          <t>1.实心铜条5mm宽；
2.包含完成该项内容所有工作及费用并满足设计图纸、规范等要求；</t>
        </is>
      </c>
      <c r="D788"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788" s="27" t="inlineStr">
        <is>
          <t>按设计图示尺寸以长度计算。</t>
        </is>
      </c>
      <c r="F788" s="28" t="inlineStr">
        <is>
          <t>m</t>
        </is>
      </c>
      <c r="G788" s="61" t="n">
        <v>13.73</v>
      </c>
      <c r="H788" s="62" t="n">
        <v>89.267</v>
      </c>
      <c r="I788" s="65" t="n"/>
      <c r="J788" s="62">
        <f>H788*(1-$I$4)</f>
        <v/>
      </c>
      <c r="K788" s="63">
        <f>G788*J788</f>
        <v/>
      </c>
      <c r="L788" s="33" t="inlineStr">
        <is>
          <t>/</t>
        </is>
      </c>
      <c r="M788" s="64" t="n"/>
      <c r="N788" s="39" t="n">
        <v>1</v>
      </c>
      <c r="O788" t="n">
        <v>12</v>
      </c>
      <c r="P788" s="35" t="inlineStr">
        <is>
          <t>差:-77.27元 (-86.6%) 来源:售楼处</t>
        </is>
      </c>
      <c r="Q788" s="35" t="n"/>
      <c r="R788" s="35" t="n"/>
    </row>
    <row r="789" outlineLevel="1" customFormat="1" s="39">
      <c r="A789" s="36" t="n"/>
      <c r="B789" s="27" t="inlineStr">
        <is>
          <t>墙柱面工程</t>
        </is>
      </c>
      <c r="C789" s="27" t="n"/>
      <c r="D789" s="27" t="n"/>
      <c r="E789" s="27" t="n"/>
      <c r="F789" s="28" t="n"/>
      <c r="G789" s="61" t="n"/>
      <c r="H789" s="62" t="n"/>
      <c r="I789" s="65" t="n"/>
      <c r="J789" s="62" t="n"/>
      <c r="K789" s="63" t="n"/>
      <c r="L789" s="33" t="n"/>
      <c r="M789" s="64" t="n"/>
      <c r="P789" s="35" t="n"/>
      <c r="Q789" s="35" t="n"/>
      <c r="R789" s="35" t="n"/>
    </row>
    <row r="790" outlineLevel="2" ht="180" customFormat="1" customHeight="1" s="39">
      <c r="A790" s="37">
        <f>1+N(A789)</f>
        <v/>
      </c>
      <c r="B790" s="27" t="inlineStr">
        <is>
          <t>墙面干挂ST-05石材</t>
        </is>
      </c>
      <c r="C790" s="27" t="inlineStr">
        <is>
          <t>1、墙面干挂ST-05石材（含不锈钢线条）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is>
      </c>
      <c r="D790"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790" s="27" t="inlineStr">
        <is>
          <t>执行《GB/T50854-2024房屋建筑与装饰工程工程量计算标准》，按设计图示镶贴后外围面积计算</t>
        </is>
      </c>
      <c r="F790" s="28" t="inlineStr">
        <is>
          <t>m2</t>
        </is>
      </c>
      <c r="G790" s="61" t="n">
        <v>31.67</v>
      </c>
      <c r="H790" s="62" t="n">
        <v>283.2</v>
      </c>
      <c r="I790" s="65" t="n"/>
      <c r="J790" s="62">
        <f>H790*(1-$I$4)</f>
        <v/>
      </c>
      <c r="K790" s="63">
        <f>G790*J790</f>
        <v/>
      </c>
      <c r="L790" s="33" t="inlineStr">
        <is>
          <t>石材</t>
        </is>
      </c>
      <c r="M790" s="64" t="n"/>
      <c r="N790" s="39" t="n">
        <v>1</v>
      </c>
      <c r="O790" t="n">
        <v>140</v>
      </c>
      <c r="P790" s="35" t="inlineStr">
        <is>
          <t>差:-143.20元 (-50.6%) 来源:售楼处</t>
        </is>
      </c>
      <c r="Q790" s="35" t="n"/>
      <c r="R790" s="35" t="n"/>
    </row>
    <row r="791" outlineLevel="2" ht="180" customFormat="1" customHeight="1" s="39">
      <c r="A791" s="37">
        <f>1+N(A790)</f>
        <v/>
      </c>
      <c r="B791" s="27" t="inlineStr">
        <is>
          <t>MT-01古铜不锈钢饰面</t>
        </is>
      </c>
      <c r="C791" s="27" t="inlineStr">
        <is>
          <t>1、1.2mm厚 MT-01古铜不锈钢饰面，结构胶固定
2、9厘玻镁板基层
3、工程量以展开面积计算
4、包含完成该项内容所有工作及费用并满足设计图纸、规范等要求</t>
        </is>
      </c>
      <c r="D791"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791" s="27" t="inlineStr">
        <is>
          <t>执行《GB/T50854-2024房屋建筑与装饰工程工程量计算标准》，按设计图示饰面外围尺寸
以面积计算。 扣除门窗洞口面积，不扣除单个面积≤0.3㎡的孔洞所占面积。</t>
        </is>
      </c>
      <c r="F791" s="28" t="inlineStr">
        <is>
          <t>m2</t>
        </is>
      </c>
      <c r="G791" s="61" t="n">
        <v>7.28</v>
      </c>
      <c r="H791" s="62" t="n">
        <v>247.8</v>
      </c>
      <c r="I791" s="65" t="n"/>
      <c r="J791" s="62">
        <f>H791*(1-$I$4)</f>
        <v/>
      </c>
      <c r="K791" s="63">
        <f>G791*J791</f>
        <v/>
      </c>
      <c r="L791" s="33" t="inlineStr">
        <is>
          <t>不锈钢饰面</t>
        </is>
      </c>
      <c r="M791" s="64" t="n"/>
      <c r="N791" s="39" t="n">
        <v>1</v>
      </c>
      <c r="O791" t="n">
        <v>110</v>
      </c>
      <c r="P791" s="35" t="inlineStr">
        <is>
          <t>差:-137.80元 (-55.6%) 来源:售楼处</t>
        </is>
      </c>
      <c r="Q791" s="35" t="n"/>
      <c r="R791" s="35" t="n"/>
    </row>
    <row r="792" outlineLevel="2" ht="144" customFormat="1" customHeight="1" s="39">
      <c r="A792" s="37">
        <f>1+N(A791)</f>
        <v/>
      </c>
      <c r="B792" s="27" t="inlineStr">
        <is>
          <t>MT-01古铜不锈钢踢脚线（高20mm）</t>
        </is>
      </c>
      <c r="C792" s="27" t="inlineStr">
        <is>
          <t>1、1.2mm厚 MT-01古铜不锈钢踢脚线（高20mm，展开面为46mm），结构胶固定
2、9厘玻镁板基层
3、包含完成该项内容所有工作及费用并满足设计图纸、规范等要求</t>
        </is>
      </c>
      <c r="D792"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792" s="27" t="inlineStr">
        <is>
          <t>按设计图示尺寸以长度计算。</t>
        </is>
      </c>
      <c r="F792" s="28" t="inlineStr">
        <is>
          <t>m</t>
        </is>
      </c>
      <c r="G792" s="61" t="n">
        <v>10.82</v>
      </c>
      <c r="H792" s="62" t="n">
        <v>31.86</v>
      </c>
      <c r="I792" s="65" t="n"/>
      <c r="J792" s="62">
        <f>H792*(1-$I$4)</f>
        <v/>
      </c>
      <c r="K792" s="63">
        <f>G792*J792</f>
        <v/>
      </c>
      <c r="L792" s="33" t="inlineStr">
        <is>
          <t>不锈钢踢脚线</t>
        </is>
      </c>
      <c r="M792" s="64" t="n"/>
      <c r="N792" s="39" t="n">
        <v>1</v>
      </c>
      <c r="O792" t="n">
        <v>12</v>
      </c>
      <c r="P792" s="35" t="inlineStr">
        <is>
          <t>差:-19.86元 (-62.3%) 来源:售楼处</t>
        </is>
      </c>
      <c r="Q792" s="35" t="n"/>
      <c r="R792" s="35" t="n"/>
    </row>
    <row r="793" outlineLevel="2" ht="144" customFormat="1" customHeight="1" s="39">
      <c r="A793" s="37">
        <f>1+N(A792)</f>
        <v/>
      </c>
      <c r="B793" s="27" t="inlineStr">
        <is>
          <t>MT-01古铜不锈钢线条（展开面为118mm）</t>
        </is>
      </c>
      <c r="C793" s="27" t="inlineStr">
        <is>
          <t>1、1.2mm厚MT-01古铜不锈钢线条（展开面为118mm），结构胶固定
2、9厘玻镁板基层
3、包含完成该项内容所有工作及费用并满足设计图纸、规范等要求</t>
        </is>
      </c>
      <c r="D793"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793" s="27" t="inlineStr">
        <is>
          <t>按设计图示尺寸以长度计算。</t>
        </is>
      </c>
      <c r="F793" s="28" t="inlineStr">
        <is>
          <t>m</t>
        </is>
      </c>
      <c r="G793" s="61" t="n">
        <v>5.57</v>
      </c>
      <c r="H793" s="62" t="n">
        <v>117.84424</v>
      </c>
      <c r="I793" s="65" t="n"/>
      <c r="J793" s="62">
        <f>H793*(1-$I$4)</f>
        <v/>
      </c>
      <c r="K793" s="63">
        <f>G793*J793</f>
        <v/>
      </c>
      <c r="L793" s="33" t="inlineStr">
        <is>
          <t>/</t>
        </is>
      </c>
      <c r="M793" s="64" t="n"/>
      <c r="N793" s="39" t="n">
        <v>1</v>
      </c>
      <c r="O793" t="n">
        <v>25</v>
      </c>
      <c r="P793" s="35" t="inlineStr">
        <is>
          <t>差:-92.84元 (-78.8%) 来源:售楼处</t>
        </is>
      </c>
      <c r="Q793" s="35" t="n"/>
      <c r="R793" s="35" t="n"/>
    </row>
    <row r="794" outlineLevel="2" ht="72" customFormat="1" customHeight="1" s="39">
      <c r="A794" s="37">
        <f>1+N(A793)</f>
        <v/>
      </c>
      <c r="B794" s="27" t="inlineStr">
        <is>
          <t>MT-01古铜不锈钢窗套（展开面为95mm）</t>
        </is>
      </c>
      <c r="C794" s="27" t="inlineStr">
        <is>
          <t>1、1.2mm厚 MT-01古铜不锈钢窗套（展开面为95mm），结构胶固定
2、9厘玻镁板基层
3、包含完成该项内容所有工作及费用并满足设计图纸、规范等要求</t>
        </is>
      </c>
      <c r="D794" s="27" t="inlineStr">
        <is>
          <t>自现有现场条件下按照合同约定范围、图纸（含设计变更）及甲方要求内容以及规范、标准、相关做法等要求完成并达到总包合同全部目标的全部工作内容。</t>
        </is>
      </c>
      <c r="E794" s="27" t="inlineStr">
        <is>
          <t>以最终验收合格的工程量计算</t>
        </is>
      </c>
      <c r="F794" s="28" t="inlineStr">
        <is>
          <t>m2</t>
        </is>
      </c>
      <c r="G794" s="61" t="n">
        <v>0.77</v>
      </c>
      <c r="H794" s="62" t="n">
        <v>630.651</v>
      </c>
      <c r="I794" s="65" t="n"/>
      <c r="J794" s="62">
        <f>H794*(1-$I$4)</f>
        <v/>
      </c>
      <c r="K794" s="63">
        <f>G794*J794</f>
        <v/>
      </c>
      <c r="L794" s="33" t="inlineStr">
        <is>
          <t>/</t>
        </is>
      </c>
      <c r="M794" s="64" t="n"/>
      <c r="N794" s="39" t="n">
        <v>1</v>
      </c>
      <c r="O794" t="n">
        <v>110</v>
      </c>
      <c r="P794" s="35" t="inlineStr">
        <is>
          <t>差:-520.65元 (-82.6%) 来源:售楼处</t>
        </is>
      </c>
      <c r="Q794" s="35" t="n"/>
      <c r="R794" s="35" t="n"/>
    </row>
    <row r="795" outlineLevel="1" customFormat="1" s="39">
      <c r="A795" s="36" t="n"/>
      <c r="B795" s="27" t="inlineStr">
        <is>
          <t>天花工程</t>
        </is>
      </c>
      <c r="C795" s="27" t="n"/>
      <c r="D795" s="27" t="n"/>
      <c r="E795" s="27" t="n"/>
      <c r="F795" s="28" t="n"/>
      <c r="G795" s="61" t="n"/>
      <c r="H795" s="62" t="n"/>
      <c r="I795" s="65" t="n"/>
      <c r="J795" s="62" t="n"/>
      <c r="K795" s="63" t="n"/>
      <c r="L795" s="33" t="n"/>
      <c r="M795" s="64" t="n"/>
      <c r="P795" s="35" t="n"/>
      <c r="Q795" s="35" t="n"/>
      <c r="R795" s="35" t="n"/>
    </row>
    <row r="796" outlineLevel="2" ht="192" customFormat="1" customHeight="1" s="39">
      <c r="A796" s="37">
        <f>1+N(A795)</f>
        <v/>
      </c>
      <c r="B796" s="27" t="inlineStr">
        <is>
          <t>造型石膏板吊顶</t>
        </is>
      </c>
      <c r="C796" s="27" t="inlineStr">
        <is>
          <t>1.60系列轻钢主龙骨@900，60系列轻钢副龙骨@400，60系列横撑龙骨@600，08螺纹吊杆@900不上人天花吊顶（投影面计算）
2.玻镁板、双层9.5厚石膏板基层，含开孔、检修口、10*10凹槽等费用；
3.含除灯槽外的侧面高差及其连接件、吊件；
4.包含完成该项内容所有工作及费用并满足设计图纸、规范等要求；</t>
        </is>
      </c>
      <c r="D796" s="27" t="inlineStr">
        <is>
          <t>1.基层清理。
2.弹线定位、排版。
3.吊杆及连接件安装调平、收口及密封处理。
4.材料切割处理找平、石膏板安装及调整，打胶密封与清理.
5.收口及其他处理：检修口等制作安装、收边收口、配合预留安装、机电等专业孔洞及孔洞收口处理。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796" s="27" t="inlineStr">
        <is>
          <t>按设计图示尺寸以水平投影面积计算。不扣除间壁墙、检查口、附墙烟囱、柱垛和管道所占面积,扣除单个&gt;0.3m3的孔洞、非密拼吊顶空隙所占的面积、独立柱及与天棚相连的窗帘盒所占的面积。</t>
        </is>
      </c>
      <c r="F796" s="28" t="inlineStr">
        <is>
          <t>m2</t>
        </is>
      </c>
      <c r="G796" s="61" t="n">
        <v>9.42</v>
      </c>
      <c r="H796" s="62" t="n">
        <v>174.574444444444</v>
      </c>
      <c r="I796" s="65" t="n"/>
      <c r="J796" s="62">
        <f>H796*(1-$I$4)</f>
        <v/>
      </c>
      <c r="K796" s="63">
        <f>G796*J796</f>
        <v/>
      </c>
      <c r="L796" s="33" t="inlineStr">
        <is>
          <t>/</t>
        </is>
      </c>
      <c r="M796" s="64" t="n"/>
      <c r="N796" s="39" t="n">
        <v>1</v>
      </c>
      <c r="O796" t="n">
        <v>70</v>
      </c>
      <c r="P796" s="35" t="inlineStr">
        <is>
          <t>差:-104.57元 (-59.9%) 来源:售楼处</t>
        </is>
      </c>
      <c r="Q796" s="35" t="n"/>
      <c r="R796" s="35" t="n"/>
    </row>
    <row r="797" outlineLevel="2" ht="192" customFormat="1" customHeight="1" s="39">
      <c r="A797" s="37">
        <f>1+N(A796)</f>
        <v/>
      </c>
      <c r="B797" s="27" t="inlineStr">
        <is>
          <t>造型石膏板吊顶（内顶多层叠型）</t>
        </is>
      </c>
      <c r="C797" s="27" t="inlineStr">
        <is>
          <t>1.60系列轻钢主龙骨@900，60系列轻钢副龙骨@400，60系列横撑龙骨@600，08螺纹吊杆@900不上人天花吊顶（投影面计算）
2.玻镁板、多层9.5厚石膏板基层，含开孔、检修口、10*10凹槽等费用；
3.含除灯槽外的侧面高差及其连接件、吊件；
4.包含完成该项内容所有工作及费用并满足设计图纸、规范等要求；</t>
        </is>
      </c>
      <c r="D797" s="27" t="inlineStr">
        <is>
          <t>1.基层清理。
2.弹线定位、排版。
3.吊杆及连接件安装调平、收口及密封处理。
4.材料切割处理找平、石膏板安装及调整，打胶密封与清理.
5.收口及其他处理：检修口等制作安装、收边收口、配合预留安装、机电等专业孔洞及孔洞收口处理。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797" s="27" t="inlineStr">
        <is>
          <t>按设计图示尺寸以水平投影面积计算。不扣除间壁墙、检查口、附墙烟囱、柱垛和管道所占面积,扣除单个&gt;0.3m3的孔洞、非密拼吊顶空隙所占的面积、独立柱及与天棚相连的窗帘盒所占的面积。</t>
        </is>
      </c>
      <c r="F797" s="28" t="inlineStr">
        <is>
          <t>m2</t>
        </is>
      </c>
      <c r="G797" s="61" t="n">
        <v>7.3</v>
      </c>
      <c r="H797" s="62" t="n">
        <v>360.195</v>
      </c>
      <c r="I797" s="65" t="n"/>
      <c r="J797" s="62">
        <f>H797*(1-$I$4)</f>
        <v/>
      </c>
      <c r="K797" s="63">
        <f>G797*J797</f>
        <v/>
      </c>
      <c r="L797" s="33" t="inlineStr">
        <is>
          <t>/</t>
        </is>
      </c>
      <c r="M797" s="64" t="n"/>
      <c r="N797" s="39" t="n">
        <v>1</v>
      </c>
      <c r="O797" t="n">
        <v>150</v>
      </c>
      <c r="P797" s="35" t="inlineStr">
        <is>
          <t>差:-210.19元 (-58.4%) 来源:售楼处</t>
        </is>
      </c>
      <c r="Q797" s="35" t="n"/>
      <c r="R797" s="35" t="n"/>
    </row>
    <row r="798" outlineLevel="2" ht="72" customFormat="1" customHeight="1" s="39">
      <c r="A798" s="37">
        <f>1+N(A797)</f>
        <v/>
      </c>
      <c r="B798" s="27" t="inlineStr">
        <is>
          <t>灯槽（100mm*200mm）</t>
        </is>
      </c>
      <c r="C798" s="27" t="inlineStr">
        <is>
          <t>1.灯槽（100mm*200mm）；
2.双层板：9mm玻镁板、9.5厚石膏板；
3.包含完成该项内容所有工作及费用并满足设计图纸、规范等要求；</t>
        </is>
      </c>
      <c r="D798" s="27" t="inlineStr">
        <is>
          <t>自现有现场条件下按照合同约定范围、图纸（含设计变更）及甲方要求内容以及规范、标准、相关做法等要求完成并达到总包合同全部目标的全部工作内容。</t>
        </is>
      </c>
      <c r="E798" s="27" t="inlineStr">
        <is>
          <t>依据经承包人确认的施工部位,按设计图示尺寸以延长米计算。</t>
        </is>
      </c>
      <c r="F798" s="28" t="inlineStr">
        <is>
          <t>m</t>
        </is>
      </c>
      <c r="G798" s="61" t="n">
        <v>13.75</v>
      </c>
      <c r="H798" s="62" t="n">
        <v>112.159</v>
      </c>
      <c r="I798" s="65" t="n"/>
      <c r="J798" s="62">
        <f>H798*(1-$I$4)</f>
        <v/>
      </c>
      <c r="K798" s="63">
        <f>G798*J798</f>
        <v/>
      </c>
      <c r="L798" s="33" t="inlineStr">
        <is>
          <t>/</t>
        </is>
      </c>
      <c r="M798" s="64" t="n"/>
      <c r="N798" s="39" t="n">
        <v>1</v>
      </c>
      <c r="O798" t="n">
        <v>50</v>
      </c>
      <c r="P798" s="35" t="inlineStr">
        <is>
          <t>差:-62.16元 (-55.4%) 来源:售楼处</t>
        </is>
      </c>
      <c r="Q798" s="35" t="n"/>
      <c r="R798" s="35" t="n"/>
    </row>
    <row r="799" outlineLevel="2" ht="72" customFormat="1" customHeight="1" s="39">
      <c r="A799" s="37">
        <f>1+N(A798)</f>
        <v/>
      </c>
      <c r="B799" s="27" t="inlineStr">
        <is>
          <t>成品石膏线条</t>
        </is>
      </c>
      <c r="C799" s="27" t="inlineStr">
        <is>
          <t>1.成品石膏线条（50mm*50mm）；
2.按图纸造型；
3.包含完成该项内容所有工作及费用并满足设计图纸、规范等要求；</t>
        </is>
      </c>
      <c r="D799" s="27" t="inlineStr">
        <is>
          <t>自现有现场条件下按照合同约定范围、图纸（含设计变更）及甲方要求内容以及规范、标准、相关做法等要求完成并达到总包合同全部目标的全部工作内容。</t>
        </is>
      </c>
      <c r="E799" s="27" t="inlineStr">
        <is>
          <t>依据经承包人确认的施工部位,按设计图示尺寸以延长米计算。</t>
        </is>
      </c>
      <c r="F799" s="28" t="inlineStr">
        <is>
          <t>m</t>
        </is>
      </c>
      <c r="G799" s="61" t="n">
        <v>13.75</v>
      </c>
      <c r="H799" s="62" t="n">
        <v>20.06</v>
      </c>
      <c r="I799" s="65" t="n"/>
      <c r="J799" s="62">
        <f>H799*(1-$I$4)</f>
        <v/>
      </c>
      <c r="K799" s="63">
        <f>G799*J799</f>
        <v/>
      </c>
      <c r="L799" s="33" t="inlineStr">
        <is>
          <t>成品石膏线条</t>
        </is>
      </c>
      <c r="M799" s="64" t="n"/>
      <c r="N799" s="39" t="n">
        <v>1</v>
      </c>
      <c r="O799" t="n">
        <v>18</v>
      </c>
      <c r="P799" s="35" t="inlineStr">
        <is>
          <t>差:-2.06元 (-10.3%) 来源:售楼处</t>
        </is>
      </c>
      <c r="Q799" s="35" t="n"/>
      <c r="R799" s="35" t="n"/>
    </row>
    <row r="800" outlineLevel="2" ht="72" customFormat="1" customHeight="1" s="39">
      <c r="A800" s="37">
        <f>1+N(A799)</f>
        <v/>
      </c>
      <c r="B800" s="27" t="inlineStr">
        <is>
          <t>窗帘盒（200mm*200mm）</t>
        </is>
      </c>
      <c r="C800" s="27" t="inlineStr">
        <is>
          <t>1.窗帘盒窗帘盒（200mm*200mm）；
2.双层板：9mm玻镁板、9.5厚石膏板；
3.50系列轻钢龙骨及其连接件、吊件；
4.包含完成该项内容所有工作及费用并满足设计图纸、规范等要求；</t>
        </is>
      </c>
      <c r="D800" s="27" t="inlineStr">
        <is>
          <t>自现有现场条件下按照合同约定范围、图纸（含设计变更）及甲方要求内容以及规范、标准、相关做法等要求完成并达到总包合同全部目标的全部工作内容。</t>
        </is>
      </c>
      <c r="E800" s="27" t="inlineStr">
        <is>
          <t>依据经承包人确认的施工部位,按设计图示尺寸以延长米计算。</t>
        </is>
      </c>
      <c r="F800" s="28" t="inlineStr">
        <is>
          <t>m</t>
        </is>
      </c>
      <c r="G800" s="61" t="n">
        <v>3.6</v>
      </c>
      <c r="H800" s="62" t="n">
        <v>123.192</v>
      </c>
      <c r="I800" s="65" t="n"/>
      <c r="J800" s="62">
        <f>H800*(1-$I$4)</f>
        <v/>
      </c>
      <c r="K800" s="63">
        <f>G800*J800</f>
        <v/>
      </c>
      <c r="L800" s="33" t="inlineStr">
        <is>
          <t>/</t>
        </is>
      </c>
      <c r="M800" s="64" t="n"/>
      <c r="N800" s="39" t="n">
        <v>1</v>
      </c>
      <c r="O800" t="n">
        <v>55</v>
      </c>
      <c r="P800" s="35" t="inlineStr">
        <is>
          <t>差:-68.19元 (-55.4%) 来源:售楼处</t>
        </is>
      </c>
      <c r="Q800" s="35" t="n"/>
      <c r="R800" s="35" t="n"/>
    </row>
    <row r="801" outlineLevel="2" ht="72" customFormat="1" customHeight="1" s="39">
      <c r="A801" s="37">
        <f>1+N(A800)</f>
        <v/>
      </c>
      <c r="B801" s="27" t="inlineStr">
        <is>
          <t>条形空调风口（150mm）</t>
        </is>
      </c>
      <c r="C801" s="27" t="inlineStr">
        <is>
          <t>1.条形空调风口（150mm）；
2.风口周边阻燃板封边加固处理；
3.包含完成该项内容所有工作及费用并满足设计图纸、规范等要求；</t>
        </is>
      </c>
      <c r="D801" s="27" t="inlineStr">
        <is>
          <t>自现有现场条件下按照合同约定范围、图纸（含设计变更）及甲方要求内容以及规范、标准、相关做法等要求完成并达到总包合同全部目标的全部工作内容。</t>
        </is>
      </c>
      <c r="E801" s="27" t="inlineStr">
        <is>
          <t>依据经承包人确认的施工部位,按设计图示尺寸以延长米计算。</t>
        </is>
      </c>
      <c r="F801" s="28" t="inlineStr">
        <is>
          <t>m</t>
        </is>
      </c>
      <c r="G801" s="61" t="n">
        <v>2.4</v>
      </c>
      <c r="H801" s="62" t="n">
        <v>109.74</v>
      </c>
      <c r="I801" s="65" t="n"/>
      <c r="J801" s="62">
        <f>H801*(1-$I$4)</f>
        <v/>
      </c>
      <c r="K801" s="63">
        <f>G801*J801</f>
        <v/>
      </c>
      <c r="L801" s="33" t="inlineStr">
        <is>
          <t>空调风口</t>
        </is>
      </c>
      <c r="M801" s="64" t="n"/>
      <c r="N801" s="39" t="n">
        <v>1</v>
      </c>
      <c r="O801" t="n">
        <v>30</v>
      </c>
      <c r="P801" s="35" t="inlineStr">
        <is>
          <t>差:-79.74元 (-72.7%) 来源:售楼处</t>
        </is>
      </c>
      <c r="Q801" s="35" t="n"/>
      <c r="R801" s="35" t="n"/>
    </row>
    <row r="802" outlineLevel="2" ht="192" customFormat="1" customHeight="1" s="39">
      <c r="A802" s="37">
        <f>1+N(A801)</f>
        <v/>
      </c>
      <c r="B802" s="27" t="inlineStr">
        <is>
          <t>天花肌理无机涂料PT-01</t>
        </is>
      </c>
      <c r="C802" s="27" t="inlineStr">
        <is>
          <t>1.天花肌理无机涂料PT-01；
2.刮腻子二遍磨平；
3.底漆1遍，面漆2遍；
4.包含完成该项内容所有工作及费用并满足设计图纸、规范等要求；</t>
        </is>
      </c>
      <c r="D802" s="27" t="inlineStr">
        <is>
          <t>包括但不限于材料计划、采购、卸车倒运、保管、检验试验费、测量放线，包含四周阴角找平直、含天棚四周阴角找平直，打磨，简易脚手架搭拆及操作平台、升降机，基层清理、打磨平整、底层找补、满刮涂料（含阴阳角塑料条）、涂料打磨、补遗处理、配合其他分包施工、完工后场清、成品保护、保修等直到达到竣工交付标准的全部工作内容。包括所有为完成工作所需的小型机具；包括所有为完成工作所需的附属工作；包括但不限于以上内容。</t>
        </is>
      </c>
      <c r="E802" s="27" t="inlineStr">
        <is>
          <t>执行《GB/T50854-2024房屋建筑与装饰工程工程量计算标准》，按设计图示尺寸以面积计算。扣除0.3平方米以上洞口的面积；梁侧面及檐口天棚并入天棚计算；以设计图纸和技术交底为基础</t>
        </is>
      </c>
      <c r="F802" s="28" t="inlineStr">
        <is>
          <t>m2</t>
        </is>
      </c>
      <c r="G802" s="61" t="n">
        <v>22.27</v>
      </c>
      <c r="H802" s="62" t="n">
        <v>48.38</v>
      </c>
      <c r="I802" s="65" t="n"/>
      <c r="J802" s="62">
        <f>H802*(1-$I$4)</f>
        <v/>
      </c>
      <c r="K802" s="63">
        <f>G802*J802</f>
        <v/>
      </c>
      <c r="L802" s="33" t="inlineStr">
        <is>
          <t>涂料</t>
        </is>
      </c>
      <c r="M802" s="64" t="n"/>
      <c r="N802" s="39" t="n">
        <v>1</v>
      </c>
      <c r="O802" t="n">
        <v>45</v>
      </c>
      <c r="P802" s="35" t="inlineStr">
        <is>
          <t>差:-3.38元 (-7.0%) 来源:售楼处</t>
        </is>
      </c>
      <c r="Q802" s="35" t="n"/>
      <c r="R802" s="35" t="n"/>
    </row>
    <row r="803" outlineLevel="1" customFormat="1" s="39">
      <c r="A803" s="36" t="n"/>
      <c r="B803" s="27" t="inlineStr">
        <is>
          <t>门窗、家具工程</t>
        </is>
      </c>
      <c r="C803" s="27" t="n"/>
      <c r="D803" s="27" t="n"/>
      <c r="E803" s="27" t="n"/>
      <c r="F803" s="28" t="n"/>
      <c r="G803" s="61" t="n"/>
      <c r="H803" s="62" t="n"/>
      <c r="I803" s="65" t="n"/>
      <c r="J803" s="62" t="n"/>
      <c r="K803" s="63" t="n"/>
      <c r="L803" s="33" t="n"/>
      <c r="M803" s="64" t="n"/>
      <c r="P803" s="35" t="n"/>
      <c r="Q803" s="35" t="n"/>
      <c r="R803" s="35" t="n"/>
    </row>
    <row r="804" outlineLevel="1" customFormat="1" s="39">
      <c r="A804" s="26" t="inlineStr">
        <is>
          <t>十六</t>
        </is>
      </c>
      <c r="B804" s="27" t="inlineStr">
        <is>
          <t>私宴(大包房)、前厅</t>
        </is>
      </c>
      <c r="C804" s="27" t="n"/>
      <c r="D804" s="27" t="n"/>
      <c r="E804" s="27" t="n"/>
      <c r="F804" s="28" t="n"/>
      <c r="G804" s="61" t="n"/>
      <c r="H804" s="62" t="n"/>
      <c r="I804" s="65" t="n"/>
      <c r="J804" s="62" t="n"/>
      <c r="K804" s="63" t="n"/>
      <c r="L804" s="33" t="n"/>
      <c r="M804" s="64" t="n"/>
      <c r="P804" s="35" t="n"/>
      <c r="Q804" s="35" t="n"/>
      <c r="R804" s="35" t="n"/>
    </row>
    <row r="805" outlineLevel="1" customFormat="1" s="39">
      <c r="A805" s="36" t="n"/>
      <c r="B805" s="27" t="inlineStr">
        <is>
          <t>地面工程</t>
        </is>
      </c>
      <c r="C805" s="27" t="n"/>
      <c r="D805" s="27" t="n"/>
      <c r="E805" s="27" t="n"/>
      <c r="F805" s="28" t="n"/>
      <c r="G805" s="61" t="n"/>
      <c r="H805" s="62" t="n"/>
      <c r="I805" s="65" t="n"/>
      <c r="J805" s="62" t="n"/>
      <c r="K805" s="63" t="n"/>
      <c r="L805" s="33" t="n"/>
      <c r="M805" s="64" t="n"/>
      <c r="P805" s="35" t="n"/>
      <c r="Q805" s="35" t="n"/>
      <c r="R805" s="35" t="n"/>
    </row>
    <row r="806" outlineLevel="2" ht="108" customFormat="1" customHeight="1" s="39">
      <c r="A806" s="37">
        <f>1+N(A805)</f>
        <v/>
      </c>
      <c r="B806" s="27" t="inlineStr">
        <is>
          <t>地面铺贴大理石ST-06</t>
        </is>
      </c>
      <c r="C806" s="27" t="inlineStr">
        <is>
          <t>1.地面20mm大理石ST-06、铺贴、厚度及样式按物料书为准；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806"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806" s="27" t="inlineStr">
        <is>
          <t xml:space="preserve">执行《GB/T50854-2024房屋建筑与装饰工程工程量计算标准》，按设计图示尺寸
以面积计算。 </t>
        </is>
      </c>
      <c r="F806" s="28" t="inlineStr">
        <is>
          <t>m2</t>
        </is>
      </c>
      <c r="G806" s="61" t="n">
        <v>4.4</v>
      </c>
      <c r="H806" s="62" t="n">
        <v>218.75017</v>
      </c>
      <c r="I806" s="65" t="n"/>
      <c r="J806" s="62">
        <f>H806*(1-$I$4)</f>
        <v/>
      </c>
      <c r="K806" s="63">
        <f>G806*J806</f>
        <v/>
      </c>
      <c r="L806" s="33" t="inlineStr">
        <is>
          <t>石材</t>
        </is>
      </c>
      <c r="M806" s="64" t="n"/>
      <c r="N806" s="39" t="n">
        <v>1</v>
      </c>
      <c r="O806" t="n">
        <v>140</v>
      </c>
      <c r="P806" s="35" t="inlineStr">
        <is>
          <t>差:-78.75元 (-36.0%) 来源:售楼处</t>
        </is>
      </c>
      <c r="Q806" s="35" t="n"/>
      <c r="R806" s="35" t="n"/>
    </row>
    <row r="807" outlineLevel="2" ht="108" customFormat="1" customHeight="1" s="39">
      <c r="A807" s="37">
        <f>1+N(A806)</f>
        <v/>
      </c>
      <c r="B807" s="27" t="inlineStr">
        <is>
          <t>地面铺木地板</t>
        </is>
      </c>
      <c r="C807" s="27" t="inlineStr">
        <is>
          <t>1.地面防潮木地板WF-01；
2.防潮膜；
3.自流平
4.包含完成该项内容所有工作及费用并满足设计图纸、规范等要求；</t>
        </is>
      </c>
      <c r="D807"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t>
        </is>
      </c>
      <c r="E807" s="27" t="inlineStr">
        <is>
          <t xml:space="preserve">执行《GB/T50854-2024房屋建筑与装饰工程工程量计算标准》，按设计图示尺寸
以面积计算。 </t>
        </is>
      </c>
      <c r="F807" s="28" t="inlineStr">
        <is>
          <t>m2</t>
        </is>
      </c>
      <c r="G807" s="61" t="n">
        <v>52.36</v>
      </c>
      <c r="H807" s="62" t="n">
        <v>92.04000000000001</v>
      </c>
      <c r="I807" s="65" t="n"/>
      <c r="J807" s="62">
        <f>H807*(1-$I$4)</f>
        <v/>
      </c>
      <c r="K807" s="63">
        <f>G807*J807</f>
        <v/>
      </c>
      <c r="L807" s="33" t="inlineStr">
        <is>
          <t>木地板</t>
        </is>
      </c>
      <c r="M807" s="64" t="n"/>
      <c r="N807" s="39" t="n">
        <v>1</v>
      </c>
      <c r="O807" t="n">
        <v>36</v>
      </c>
      <c r="P807" s="35" t="inlineStr">
        <is>
          <t>差:-56.04元 (-60.9%) 来源:售楼处</t>
        </is>
      </c>
      <c r="Q807" s="35" t="n"/>
      <c r="R807" s="35" t="n"/>
    </row>
    <row r="808" outlineLevel="2" ht="216" customFormat="1" customHeight="1" s="39">
      <c r="A808" s="37">
        <f>1+N(A807)</f>
        <v/>
      </c>
      <c r="B808" s="27" t="inlineStr">
        <is>
          <t>水泥砂浆找平层</t>
        </is>
      </c>
      <c r="C808" s="27" t="inlineStr">
        <is>
          <t>1.75mm厚DS干混砂浆找平层、需铺符合设计要求标高；
2.完成需收光、压实处理；
3.包含完成该项内容所有工作及费用并满足设计图纸、规范等要求；</t>
        </is>
      </c>
      <c r="D808" s="27" t="inlineStr">
        <is>
          <t>包含完成地面所有施工工序所需的人工、材料（甲供材除外）、机械、管理费、利润；包括但不限于材料计划、卸车倒运（含多次）、保管、测量放线、基底清理、标高检测、配合检测、贴饼冲筋、砂浆找平、抹压、压光、设置分格缝、阻水台（按照方案及交底要求施工）、地面留槽回填及二次处理，所有洞口、管根的补遗处理，养护、配合水电安装、现场清理及分包施工作业面的及时清理、清扫等、装卸费、场内倒运费，配合承包人实验员做好冬季测温记录、坍落度实验及砼试块制作，成品保护、保修等全部工作内容。</t>
        </is>
      </c>
      <c r="E808" s="27" t="inlineStr">
        <is>
          <t>执行《GB/T50854-2024房屋建筑与装饰工程工程量计算标准》，按设计图示尺寸以面积计算。扣除凸出地面构筑物、设备基础、室内管道、地沟等所占面积，不扣除间壁墙及≤0.3 ㎡柱、垛、附墙烟囱及孔洞所占面积。门洞、空圈、暖气包槽、壁龛的开口部分不增加面积。</t>
        </is>
      </c>
      <c r="F808" s="28" t="inlineStr">
        <is>
          <t>m2</t>
        </is>
      </c>
      <c r="G808" s="61" t="n">
        <v>52.36</v>
      </c>
      <c r="H808" s="62" t="n">
        <v>78.50982500000001</v>
      </c>
      <c r="I808" s="65" t="n"/>
      <c r="J808" s="62">
        <f>H808*(1-$I$4)</f>
        <v/>
      </c>
      <c r="K808" s="63">
        <f>G808*J808</f>
        <v/>
      </c>
      <c r="L808" s="33" t="inlineStr">
        <is>
          <t>/</t>
        </is>
      </c>
      <c r="M808" s="64" t="n"/>
      <c r="N808" s="39" t="n">
        <v>1</v>
      </c>
      <c r="O808" t="n">
        <v>28</v>
      </c>
      <c r="P808" s="35" t="inlineStr">
        <is>
          <t>差:-50.51元 (-64.3%) 来源:售楼处</t>
        </is>
      </c>
      <c r="Q808" s="35" t="n"/>
      <c r="R808" s="35" t="n"/>
    </row>
    <row r="809" outlineLevel="2" ht="108" customFormat="1" customHeight="1" s="39">
      <c r="A809" s="37">
        <f>1+N(A808)</f>
        <v/>
      </c>
      <c r="B809" s="27" t="inlineStr">
        <is>
          <t>地面石材晶面处理</t>
        </is>
      </c>
      <c r="C809" s="27" t="inlineStr">
        <is>
          <t>1.石材结晶处理(结晶水及石材保养剂,中性清洁剂)；
2.包含完成该项内容所有工作及费用并满足设计图纸、规范等要求；</t>
        </is>
      </c>
      <c r="D809"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809" s="27" t="inlineStr">
        <is>
          <t xml:space="preserve">执行《GB/T50854-2024房屋建筑与装饰工程工程量计算标准》，按设计图示尺寸
以面积计算。 </t>
        </is>
      </c>
      <c r="F809" s="28" t="inlineStr">
        <is>
          <t>m2</t>
        </is>
      </c>
      <c r="G809" s="61" t="n">
        <v>4.4</v>
      </c>
      <c r="H809" s="62" t="n">
        <v>64.90000000000001</v>
      </c>
      <c r="I809" s="65" t="n"/>
      <c r="J809" s="62">
        <f>H809*(1-$I$4)</f>
        <v/>
      </c>
      <c r="K809" s="63">
        <f>G809*J809</f>
        <v/>
      </c>
      <c r="L809" s="33" t="inlineStr">
        <is>
          <t>/</t>
        </is>
      </c>
      <c r="M809" s="64" t="n"/>
      <c r="N809" s="39" t="n">
        <v>1</v>
      </c>
      <c r="O809" t="n">
        <v>40</v>
      </c>
      <c r="P809" s="35" t="inlineStr">
        <is>
          <t>差:-24.90元 (-38.4%) 来源:售楼处</t>
        </is>
      </c>
      <c r="Q809" s="35" t="n"/>
      <c r="R809" s="35" t="n"/>
    </row>
    <row r="810" outlineLevel="2" ht="108" customFormat="1" customHeight="1" s="39">
      <c r="A810" s="37">
        <f>1+N(A809)</f>
        <v/>
      </c>
      <c r="B810" s="27" t="inlineStr">
        <is>
          <t>实心铜条5mm宽</t>
        </is>
      </c>
      <c r="C810" s="27" t="inlineStr">
        <is>
          <t>1.实心铜条5mm宽；
2.包含完成该项内容所有工作及费用并满足设计图纸、规范等要求；</t>
        </is>
      </c>
      <c r="D810"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810" s="27" t="inlineStr">
        <is>
          <t>按设计图示尺寸以长度计算。</t>
        </is>
      </c>
      <c r="F810" s="28" t="inlineStr">
        <is>
          <t>m</t>
        </is>
      </c>
      <c r="G810" s="61" t="n">
        <v>3.6</v>
      </c>
      <c r="H810" s="62" t="n">
        <v>89.267</v>
      </c>
      <c r="I810" s="65" t="n"/>
      <c r="J810" s="62">
        <f>H810*(1-$I$4)</f>
        <v/>
      </c>
      <c r="K810" s="63">
        <f>G810*J810</f>
        <v/>
      </c>
      <c r="L810" s="33" t="inlineStr">
        <is>
          <t>/</t>
        </is>
      </c>
      <c r="M810" s="64" t="n"/>
      <c r="N810" s="39" t="n">
        <v>1</v>
      </c>
      <c r="O810" t="n">
        <v>12</v>
      </c>
      <c r="P810" s="35" t="inlineStr">
        <is>
          <t>差:-77.27元 (-86.6%) 来源:售楼处</t>
        </is>
      </c>
      <c r="Q810" s="35" t="n"/>
      <c r="R810" s="35" t="n"/>
    </row>
    <row r="811" outlineLevel="1" customFormat="1" s="39">
      <c r="A811" s="36" t="n"/>
      <c r="B811" s="27" t="inlineStr">
        <is>
          <t>墙柱面工程</t>
        </is>
      </c>
      <c r="C811" s="27" t="n"/>
      <c r="D811" s="27" t="n"/>
      <c r="E811" s="27" t="n"/>
      <c r="F811" s="28" t="n"/>
      <c r="G811" s="61" t="n"/>
      <c r="H811" s="62" t="n"/>
      <c r="I811" s="65" t="n"/>
      <c r="J811" s="62" t="n"/>
      <c r="K811" s="63" t="n"/>
      <c r="L811" s="33" t="n"/>
      <c r="M811" s="64" t="n"/>
      <c r="P811" s="35" t="n"/>
      <c r="Q811" s="35" t="n"/>
      <c r="R811" s="35" t="n"/>
    </row>
    <row r="812" outlineLevel="2" ht="180" customFormat="1" customHeight="1" s="39">
      <c r="A812" s="37">
        <f>1+N(A811)</f>
        <v/>
      </c>
      <c r="B812" s="27" t="inlineStr">
        <is>
          <t>墙面WD-04木饰面</t>
        </is>
      </c>
      <c r="C812" s="27" t="inlineStr">
        <is>
          <t>1、墙面WD-04木饰面（含不锈钢线条）
2、结构胶固定
3、12mm阻燃板基层
4、膨胀螺栓、轻钢龙骨(钢结构)基层找平
5、包含完成该项内容所有工作及费用并满足设计图纸、规范等要求</t>
        </is>
      </c>
      <c r="D812"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812" s="27" t="inlineStr">
        <is>
          <t>执行《GB/T50854-2024房屋建筑与装饰工程工程量计算标准》，按设计图示饰面外围尺寸
以面积计算。 扣除门窗洞口面积，不扣除单个面积≤0.3㎡的孔洞所占面积。</t>
        </is>
      </c>
      <c r="F812" s="28" t="inlineStr">
        <is>
          <t>m2</t>
        </is>
      </c>
      <c r="G812" s="61" t="n">
        <v>58.23</v>
      </c>
      <c r="H812" s="62" t="n">
        <v>253.7</v>
      </c>
      <c r="I812" s="65" t="n"/>
      <c r="J812" s="62">
        <f>H812*(1-$I$4)</f>
        <v/>
      </c>
      <c r="K812" s="63">
        <f>G812*J812</f>
        <v/>
      </c>
      <c r="L812" s="33" t="inlineStr">
        <is>
          <t>木饰面</t>
        </is>
      </c>
      <c r="M812" s="64" t="n"/>
      <c r="N812" s="39" t="n">
        <v>1</v>
      </c>
      <c r="O812" t="n">
        <v>55</v>
      </c>
      <c r="P812" s="35" t="inlineStr">
        <is>
          <t>差:-198.70元 (-78.3%) 来源:售楼处</t>
        </is>
      </c>
      <c r="Q812" s="35" t="n"/>
      <c r="R812" s="35" t="n"/>
    </row>
    <row r="813" outlineLevel="2" ht="144" customFormat="1" customHeight="1" s="39">
      <c r="A813" s="37">
        <f>1+N(A812)</f>
        <v/>
      </c>
      <c r="B813" s="27" t="inlineStr">
        <is>
          <t>MR-01银镜</t>
        </is>
      </c>
      <c r="C813" s="27" t="inlineStr">
        <is>
          <t>1、MR-01银镜（含不锈钢线条）
2、胶粘剂固定(中性胶)
3、12mm阻燃板基层
4、膨胀螺栓、轻钢龙骨(钢结构)基层找平
5、包含完成该项内容所有工作及费用并满足设计图纸、规范等要求</t>
        </is>
      </c>
      <c r="D813"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813" s="27" t="inlineStr">
        <is>
          <t>执行《GB/T50854-2024房屋建筑与装饰工程工程量计算标准》，按设计图示饰面外围尺寸以面积计算。</t>
        </is>
      </c>
      <c r="F813" s="28" t="inlineStr">
        <is>
          <t>m2</t>
        </is>
      </c>
      <c r="G813" s="61" t="n">
        <v>12.59</v>
      </c>
      <c r="H813" s="62" t="n">
        <v>332.76</v>
      </c>
      <c r="I813" s="65" t="n"/>
      <c r="J813" s="62">
        <f>H813*(1-$I$4)</f>
        <v/>
      </c>
      <c r="K813" s="63">
        <f>G813*J813</f>
        <v/>
      </c>
      <c r="L813" s="33" t="inlineStr">
        <is>
          <t>银镜</t>
        </is>
      </c>
      <c r="M813" s="64" t="n"/>
      <c r="N813" s="39" t="n">
        <v>1</v>
      </c>
      <c r="O813" t="n">
        <v>110</v>
      </c>
      <c r="P813" s="35" t="inlineStr">
        <is>
          <t>差:-222.76元 (-66.9%) 来源:售楼处</t>
        </is>
      </c>
      <c r="Q813" s="35" t="n"/>
      <c r="R813" s="35" t="n"/>
    </row>
    <row r="814" outlineLevel="2" ht="144" customFormat="1" customHeight="1" s="39">
      <c r="A814" s="37">
        <f>1+N(A813)</f>
        <v/>
      </c>
      <c r="B814" s="27" t="inlineStr">
        <is>
          <t>SF-08珐琅彩</t>
        </is>
      </c>
      <c r="C814" s="27" t="inlineStr">
        <is>
          <t>1、SF-08珐琅彩，结构胶固定
2、12厘玻镁板基层
3、包含完成该项内容所有工作及费用并满足设计图纸、规范等要求</t>
        </is>
      </c>
      <c r="D814"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814" s="27" t="inlineStr">
        <is>
          <t>执行《GB/T50854-2024房屋建筑与装饰工程工程量计算标准》，按设计图示饰面外围尺寸以面积计算。</t>
        </is>
      </c>
      <c r="F814" s="28" t="inlineStr">
        <is>
          <t>m2</t>
        </is>
      </c>
      <c r="G814" s="61" t="n">
        <v>11.78</v>
      </c>
      <c r="H814" s="62" t="n">
        <v>5241.56</v>
      </c>
      <c r="I814" s="65" t="n"/>
      <c r="J814" s="62">
        <f>H814*(1-$I$4)</f>
        <v/>
      </c>
      <c r="K814" s="63">
        <f>G814*J814</f>
        <v/>
      </c>
      <c r="L814" s="33" t="inlineStr">
        <is>
          <t>/</t>
        </is>
      </c>
      <c r="M814" s="64" t="n"/>
      <c r="N814" s="39" t="n">
        <v>1</v>
      </c>
      <c r="O814" t="n">
        <v>90</v>
      </c>
      <c r="P814" s="35" t="inlineStr">
        <is>
          <t>差:-5151.56元 (-98.3%) 来源:售楼处</t>
        </is>
      </c>
      <c r="Q814" s="35" t="n"/>
      <c r="R814" s="35" t="n"/>
    </row>
    <row r="815" outlineLevel="2" ht="144" customFormat="1" customHeight="1" s="39">
      <c r="A815" s="37">
        <f>1+N(A814)</f>
        <v/>
      </c>
      <c r="B815" s="27" t="inlineStr">
        <is>
          <t>墙面CT-06瓷砖</t>
        </is>
      </c>
      <c r="C815" s="27" t="inlineStr">
        <is>
          <t>1、CT-06瓷砖,瓷砖填缝剂处理
2、背覆胶处理
3、12mm水泥纤维板、轻钢龙骨构件
4、界面剂拉毛处理
5、包含完成该项内容所有工作及费用并满足设计图纸、规范等要求</t>
        </is>
      </c>
      <c r="D815" s="27" t="inlineStr">
        <is>
          <t>具体工作内容除详见项目特征外，且不限于以下内容:1.包含材料的下车、场内运输；2.清理基层、找标高、弹线定位；3.试拼试排；4.砂浆拌和、铺找平层（粘结层）砂浆；5.面层铺设、灌缝、擦缝；6.打蜡、养护；配合留设墙面开关、插座等末端设备等全部内容；包含成品保护、安全文明施工等达到验收合格的全部施工内容。</t>
        </is>
      </c>
      <c r="E815" s="27" t="inlineStr">
        <is>
          <t>执行《GB/T50854-2024房屋建筑与装饰工程工程量计算标准》，按设计图示镶贴后外围面积计算</t>
        </is>
      </c>
      <c r="F815" s="28" t="inlineStr">
        <is>
          <t>m2</t>
        </is>
      </c>
      <c r="G815" s="61" t="n">
        <v>19.73</v>
      </c>
      <c r="H815" s="62" t="n">
        <v>239.54</v>
      </c>
      <c r="I815" s="65" t="n"/>
      <c r="J815" s="62">
        <f>H815*(1-$I$4)</f>
        <v/>
      </c>
      <c r="K815" s="63">
        <f>G815*J815</f>
        <v/>
      </c>
      <c r="L815" s="33" t="inlineStr">
        <is>
          <t>瓷砖</t>
        </is>
      </c>
      <c r="M815" s="64" t="n"/>
      <c r="N815" s="39" t="n">
        <v>1</v>
      </c>
      <c r="O815" t="n">
        <v>89</v>
      </c>
      <c r="P815" s="35" t="inlineStr">
        <is>
          <t>差:-150.54元 (-62.8%) 来源:售楼处</t>
        </is>
      </c>
      <c r="Q815" s="35" t="n"/>
      <c r="R815" s="35" t="n"/>
    </row>
    <row r="816" outlineLevel="2" ht="144" customFormat="1" customHeight="1" s="39">
      <c r="A816" s="37">
        <f>1+N(A815)</f>
        <v/>
      </c>
      <c r="B816" s="27" t="inlineStr">
        <is>
          <t>MT-01古铜不锈钢踢脚线（高20mm）</t>
        </is>
      </c>
      <c r="C816" s="27" t="inlineStr">
        <is>
          <t>1、1.2mm厚 MT-01古铜不锈钢踢脚线（高20mm，展开面为46mm），结构胶固定
2、9厘玻镁板基层
3、包含完成该项内容所有工作及费用并满足设计图纸、规范等要求</t>
        </is>
      </c>
      <c r="D816"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816" s="27" t="inlineStr">
        <is>
          <t>按设计图示尺寸以长度计算。</t>
        </is>
      </c>
      <c r="F816" s="28" t="inlineStr">
        <is>
          <t>m</t>
        </is>
      </c>
      <c r="G816" s="61" t="n">
        <v>27.04</v>
      </c>
      <c r="H816" s="62" t="n">
        <v>31.86</v>
      </c>
      <c r="I816" s="65" t="n"/>
      <c r="J816" s="62">
        <f>H816*(1-$I$4)</f>
        <v/>
      </c>
      <c r="K816" s="63">
        <f>G816*J816</f>
        <v/>
      </c>
      <c r="L816" s="33" t="inlineStr">
        <is>
          <t>不锈钢踢脚线</t>
        </is>
      </c>
      <c r="M816" s="64" t="n"/>
      <c r="N816" s="39" t="n">
        <v>1</v>
      </c>
      <c r="O816" t="n">
        <v>12</v>
      </c>
      <c r="P816" s="35" t="inlineStr">
        <is>
          <t>差:-19.86元 (-62.3%) 来源:售楼处</t>
        </is>
      </c>
      <c r="Q816" s="35" t="n"/>
      <c r="R816" s="35" t="n"/>
    </row>
    <row r="817" outlineLevel="2" ht="72" customFormat="1" customHeight="1" s="39">
      <c r="A817" s="37">
        <f>1+N(A816)</f>
        <v/>
      </c>
      <c r="B817" s="27" t="inlineStr">
        <is>
          <t>MT-01古铜不锈钢窗套（展开面为95mm）</t>
        </is>
      </c>
      <c r="C817" s="27" t="inlineStr">
        <is>
          <t>1、1.2mm厚 MT-01古铜不锈钢窗套（展开面为95mm），结构胶固定
2、9厘玻镁板基层
3、包含完成该项内容所有工作及费用并满足设计图纸、规范等要求</t>
        </is>
      </c>
      <c r="D817" s="27" t="inlineStr">
        <is>
          <t>自现有现场条件下按照合同约定范围、图纸（含设计变更）及甲方要求内容以及规范、标准、相关做法等要求完成并达到总包合同全部目标的全部工作内容。</t>
        </is>
      </c>
      <c r="E817" s="27" t="inlineStr">
        <is>
          <t>以最终验收合格的工程量计算</t>
        </is>
      </c>
      <c r="F817" s="28" t="inlineStr">
        <is>
          <t>m2</t>
        </is>
      </c>
      <c r="G817" s="61" t="n">
        <v>2.16</v>
      </c>
      <c r="H817" s="62" t="n">
        <v>630.651</v>
      </c>
      <c r="I817" s="65" t="n"/>
      <c r="J817" s="62">
        <f>H817*(1-$I$4)</f>
        <v/>
      </c>
      <c r="K817" s="63">
        <f>G817*J817</f>
        <v/>
      </c>
      <c r="L817" s="33" t="inlineStr">
        <is>
          <t>/</t>
        </is>
      </c>
      <c r="M817" s="64" t="n"/>
      <c r="N817" s="39" t="n">
        <v>1</v>
      </c>
      <c r="O817" t="n">
        <v>110</v>
      </c>
      <c r="P817" s="35" t="inlineStr">
        <is>
          <t>差:-520.65元 (-82.6%) 来源:售楼处</t>
        </is>
      </c>
      <c r="Q817" s="35" t="n"/>
      <c r="R817" s="35" t="n"/>
    </row>
    <row r="818" outlineLevel="1" customFormat="1" s="39">
      <c r="A818" s="36" t="n"/>
      <c r="B818" s="27" t="inlineStr">
        <is>
          <t>天花工程</t>
        </is>
      </c>
      <c r="C818" s="27" t="n"/>
      <c r="D818" s="27" t="n"/>
      <c r="E818" s="27" t="n"/>
      <c r="F818" s="28" t="n"/>
      <c r="G818" s="61" t="n"/>
      <c r="H818" s="62" t="n"/>
      <c r="I818" s="65" t="n"/>
      <c r="J818" s="62" t="n"/>
      <c r="K818" s="63" t="n"/>
      <c r="L818" s="33" t="n"/>
      <c r="M818" s="64" t="n"/>
      <c r="P818" s="35" t="n"/>
      <c r="Q818" s="35" t="n"/>
      <c r="R818" s="35" t="n"/>
    </row>
    <row r="819" outlineLevel="2" ht="192" customFormat="1" customHeight="1" s="39">
      <c r="A819" s="37">
        <f>1+N(A818)</f>
        <v/>
      </c>
      <c r="B819" s="27" t="inlineStr">
        <is>
          <t>造型石膏板吊顶</t>
        </is>
      </c>
      <c r="C819" s="27" t="inlineStr">
        <is>
          <t>1.60系列轻钢主龙骨@900，60系列轻钢副龙骨@400，60系列横撑龙骨@600，08螺纹吊杆@900不上人天花吊顶（投影面计算）
2.玻镁板、双层9.5厚石膏板基层，含开孔、检修口、10*10凹槽等费用；
3.含除灯槽外的侧面高差及其连接件、吊件；
4.包含完成该项内容所有工作及费用并满足设计图纸、规范等要求；</t>
        </is>
      </c>
      <c r="D819" s="27" t="inlineStr">
        <is>
          <t>1.基层清理。
2.弹线定位、排版。
3.吊杆及连接件安装调平、收口及密封处理。
4.材料切割处理找平、石膏板安装及调整，打胶密封与清理.
5.收口及其他处理：检修口等制作安装、收边收口、配合预留安装、机电等专业孔洞及孔洞收口处理。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819" s="27" t="inlineStr">
        <is>
          <t>按设计图示尺寸以水平投影面积计算。不扣除间壁墙、检查口、附墙烟囱、柱垛和管道所占面积,扣除单个&gt;0.3m3的孔洞、非密拼吊顶空隙所占的面积、独立柱及与天棚相连的窗帘盒所占的面积。</t>
        </is>
      </c>
      <c r="F819" s="28" t="inlineStr">
        <is>
          <t>m2</t>
        </is>
      </c>
      <c r="G819" s="61" t="n">
        <v>53.46</v>
      </c>
      <c r="H819" s="62" t="n">
        <v>174.574444444444</v>
      </c>
      <c r="I819" s="65" t="n"/>
      <c r="J819" s="62">
        <f>H819*(1-$I$4)</f>
        <v/>
      </c>
      <c r="K819" s="63">
        <f>G819*J819</f>
        <v/>
      </c>
      <c r="L819" s="33" t="inlineStr">
        <is>
          <t>/</t>
        </is>
      </c>
      <c r="M819" s="64" t="n"/>
      <c r="N819" s="39" t="n">
        <v>1</v>
      </c>
      <c r="O819" t="n">
        <v>70</v>
      </c>
      <c r="P819" s="35" t="inlineStr">
        <is>
          <t>差:-104.57元 (-59.9%) 来源:售楼处</t>
        </is>
      </c>
      <c r="Q819" s="35" t="n"/>
      <c r="R819" s="35" t="n"/>
    </row>
    <row r="820" outlineLevel="2" ht="204" customFormat="1" customHeight="1" s="39">
      <c r="A820" s="37">
        <f>1+N(A819)</f>
        <v/>
      </c>
      <c r="B820" s="27" t="inlineStr">
        <is>
          <t>古铜不锈钢吊顶</t>
        </is>
      </c>
      <c r="C820" s="27" t="inlineStr">
        <is>
          <t>1.60系列轻钢主龙骨@900，60系列轻钢副龙骨@400，60系列横撑龙骨@600，08螺纹吊杆@900不上人天花吊顶（投影面计算）
2.玻镁板、古铜不锈钢MT-01，含开孔、检修口等费用；
3.含除灯槽外的侧面高差及其连接件、吊件；
4.包含完成该项内容所有工作及费用并满足设计图纸、规范等要求；</t>
        </is>
      </c>
      <c r="D820" s="27" t="inlineStr">
        <is>
          <t>1.基层清理。
2.弹线定位、排版。
3.吊杆及连接件制作、安装、调平。
4.材料切割处理找平、铝条板安装及调整，打胶密封与清理。
5.收口及其他处理：侧封板、检修口等制作安装、收边收口、配合预留安装、机电等专业孔洞及孔洞收口处理。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820" s="27" t="inlineStr">
        <is>
          <t>按设计图示尺寸以水平投影面积计算。不扣除间壁墙、检查口、附墙烟囱、柱垛和管道所占面积,扣除单个&gt;0.3m2的孔洞、非密拼吊顶空隙所占的面积、独立柱及与天棚相连的窗帘盒所占的面积。</t>
        </is>
      </c>
      <c r="F820" s="28" t="inlineStr">
        <is>
          <t>m2</t>
        </is>
      </c>
      <c r="G820" s="61" t="n">
        <v>3.3</v>
      </c>
      <c r="H820" s="62" t="n">
        <v>182.9</v>
      </c>
      <c r="I820" s="65" t="n"/>
      <c r="J820" s="62">
        <f>H820*(1-$I$4)</f>
        <v/>
      </c>
      <c r="K820" s="63">
        <f>G820*J820</f>
        <v/>
      </c>
      <c r="L820" s="33" t="inlineStr">
        <is>
          <t>不锈钢吊顶</t>
        </is>
      </c>
      <c r="M820" s="64" t="n"/>
      <c r="N820" s="39" t="n">
        <v>1</v>
      </c>
      <c r="O820" t="n">
        <v>110</v>
      </c>
      <c r="P820" s="35" t="inlineStr">
        <is>
          <t>差:-72.90元 (-39.9%) 来源:售楼处</t>
        </is>
      </c>
      <c r="Q820" s="35" t="n"/>
      <c r="R820" s="35" t="n"/>
    </row>
    <row r="821" outlineLevel="2" ht="72" customFormat="1" customHeight="1" s="39">
      <c r="A821" s="37">
        <f>1+N(A820)</f>
        <v/>
      </c>
      <c r="B821" s="27" t="inlineStr">
        <is>
          <t>灯槽（100mm*200mm）</t>
        </is>
      </c>
      <c r="C821" s="27" t="inlineStr">
        <is>
          <t>1.灯槽（100mm*200mm）；
2.双层板：9mm玻镁板、9.5厚石膏板；
3.包含完成该项内容所有工作及费用并满足设计图纸、规范等要求；</t>
        </is>
      </c>
      <c r="D821" s="27" t="inlineStr">
        <is>
          <t>自现有现场条件下按照合同约定范围、图纸（含设计变更）及甲方要求内容以及规范、标准、相关做法等要求完成并达到总包合同全部目标的全部工作内容。</t>
        </is>
      </c>
      <c r="E821" s="27" t="inlineStr">
        <is>
          <t>依据经承包人确认的施工部位,按设计图示尺寸以延长米计算。</t>
        </is>
      </c>
      <c r="F821" s="28" t="inlineStr">
        <is>
          <t>m</t>
        </is>
      </c>
      <c r="G821" s="61" t="n">
        <v>19.08</v>
      </c>
      <c r="H821" s="62" t="n">
        <v>112.159</v>
      </c>
      <c r="I821" s="65" t="n"/>
      <c r="J821" s="62">
        <f>H821*(1-$I$4)</f>
        <v/>
      </c>
      <c r="K821" s="63">
        <f>G821*J821</f>
        <v/>
      </c>
      <c r="L821" s="33" t="inlineStr">
        <is>
          <t>/</t>
        </is>
      </c>
      <c r="M821" s="64" t="n"/>
      <c r="N821" s="39" t="n">
        <v>1</v>
      </c>
      <c r="O821" t="n">
        <v>50</v>
      </c>
      <c r="P821" s="35" t="inlineStr">
        <is>
          <t>差:-62.16元 (-55.4%) 来源:售楼处</t>
        </is>
      </c>
      <c r="Q821" s="35" t="n"/>
      <c r="R821" s="35" t="n"/>
    </row>
    <row r="822" outlineLevel="2" ht="72" customFormat="1" customHeight="1" s="39">
      <c r="A822" s="37">
        <f>1+N(A821)</f>
        <v/>
      </c>
      <c r="B822" s="27" t="inlineStr">
        <is>
          <t>成品石膏线条</t>
        </is>
      </c>
      <c r="C822" s="27" t="inlineStr">
        <is>
          <t>1.成品石膏线条（50mm*50mm）；
2.按图纸造型；
3.包含完成该项内容所有工作及费用并满足设计图纸、规范等要求；</t>
        </is>
      </c>
      <c r="D822" s="27" t="inlineStr">
        <is>
          <t>自现有现场条件下按照合同约定范围、图纸（含设计变更）及甲方要求内容以及规范、标准、相关做法等要求完成并达到总包合同全部目标的全部工作内容。</t>
        </is>
      </c>
      <c r="E822" s="27" t="inlineStr">
        <is>
          <t>依据经承包人确认的施工部位,按设计图示尺寸以延长米计算。</t>
        </is>
      </c>
      <c r="F822" s="28" t="inlineStr">
        <is>
          <t>m</t>
        </is>
      </c>
      <c r="G822" s="61" t="n">
        <v>19.08</v>
      </c>
      <c r="H822" s="62" t="n">
        <v>20.06</v>
      </c>
      <c r="I822" s="65" t="n"/>
      <c r="J822" s="62">
        <f>H822*(1-$I$4)</f>
        <v/>
      </c>
      <c r="K822" s="63">
        <f>G822*J822</f>
        <v/>
      </c>
      <c r="L822" s="33" t="inlineStr">
        <is>
          <t>成品石膏线条</t>
        </is>
      </c>
      <c r="M822" s="64" t="n"/>
      <c r="N822" s="39" t="n">
        <v>1</v>
      </c>
      <c r="O822" t="n">
        <v>18</v>
      </c>
      <c r="P822" s="35" t="inlineStr">
        <is>
          <t>差:-2.06元 (-10.3%) 来源:售楼处</t>
        </is>
      </c>
      <c r="Q822" s="35" t="n"/>
      <c r="R822" s="35" t="n"/>
    </row>
    <row r="823" outlineLevel="2" ht="72" customFormat="1" customHeight="1" s="39">
      <c r="A823" s="37">
        <f>1+N(A822)</f>
        <v/>
      </c>
      <c r="B823" s="27" t="inlineStr">
        <is>
          <t>窗帘盒（200mm*200mm）</t>
        </is>
      </c>
      <c r="C823" s="27" t="inlineStr">
        <is>
          <t>1.窗帘盒窗帘盒（200mm*200mm）；
2.双层板：9mm玻镁板、9.5厚石膏板；
3.50系列轻钢龙骨及其连接件、吊件；
4.包含完成该项内容所有工作及费用并满足设计图纸、规范等要求；</t>
        </is>
      </c>
      <c r="D823" s="27" t="inlineStr">
        <is>
          <t>自现有现场条件下按照合同约定范围、图纸（含设计变更）及甲方要求内容以及规范、标准、相关做法等要求完成并达到总包合同全部目标的全部工作内容。</t>
        </is>
      </c>
      <c r="E823" s="27" t="inlineStr">
        <is>
          <t>依据经承包人确认的施工部位,按设计图示尺寸以延长米计算。</t>
        </is>
      </c>
      <c r="F823" s="28" t="inlineStr">
        <is>
          <t>m</t>
        </is>
      </c>
      <c r="G823" s="61" t="n">
        <v>6.95</v>
      </c>
      <c r="H823" s="62" t="n">
        <v>123.192</v>
      </c>
      <c r="I823" s="65" t="n"/>
      <c r="J823" s="62">
        <f>H823*(1-$I$4)</f>
        <v/>
      </c>
      <c r="K823" s="63">
        <f>G823*J823</f>
        <v/>
      </c>
      <c r="L823" s="33" t="inlineStr">
        <is>
          <t>/</t>
        </is>
      </c>
      <c r="M823" s="64" t="n"/>
      <c r="N823" s="39" t="n">
        <v>1</v>
      </c>
      <c r="O823" t="n">
        <v>55</v>
      </c>
      <c r="P823" s="35" t="inlineStr">
        <is>
          <t>差:-68.19元 (-55.4%) 来源:售楼处</t>
        </is>
      </c>
      <c r="Q823" s="35" t="n"/>
      <c r="R823" s="35" t="n"/>
    </row>
    <row r="824" outlineLevel="2" ht="72" customFormat="1" customHeight="1" s="39">
      <c r="A824" s="37">
        <f>1+N(A823)</f>
        <v/>
      </c>
      <c r="B824" s="27" t="inlineStr">
        <is>
          <t>条形空调风口（150mm）</t>
        </is>
      </c>
      <c r="C824" s="27" t="inlineStr">
        <is>
          <t>1.条形空调风口（150mm）；
2.风口周边阻燃板封边加固处理；
3.包含完成该项内容所有工作及费用并满足设计图纸、规范等要求；</t>
        </is>
      </c>
      <c r="D824" s="27" t="inlineStr">
        <is>
          <t>自现有现场条件下按照合同约定范围、图纸（含设计变更）及甲方要求内容以及规范、标准、相关做法等要求完成并达到总包合同全部目标的全部工作内容。</t>
        </is>
      </c>
      <c r="E824" s="27" t="inlineStr">
        <is>
          <t>依据经承包人确认的施工部位,按设计图示尺寸以延长米计算。</t>
        </is>
      </c>
      <c r="F824" s="28" t="inlineStr">
        <is>
          <t>m</t>
        </is>
      </c>
      <c r="G824" s="61" t="n">
        <v>4.1</v>
      </c>
      <c r="H824" s="62" t="n">
        <v>109.74</v>
      </c>
      <c r="I824" s="65" t="n"/>
      <c r="J824" s="62">
        <f>H824*(1-$I$4)</f>
        <v/>
      </c>
      <c r="K824" s="63">
        <f>G824*J824</f>
        <v/>
      </c>
      <c r="L824" s="33" t="inlineStr">
        <is>
          <t>空调风口</t>
        </is>
      </c>
      <c r="M824" s="64" t="n"/>
      <c r="N824" s="39" t="n">
        <v>1</v>
      </c>
      <c r="O824" t="n">
        <v>30</v>
      </c>
      <c r="P824" s="35" t="inlineStr">
        <is>
          <t>差:-79.74元 (-72.7%) 来源:售楼处</t>
        </is>
      </c>
      <c r="Q824" s="35" t="n"/>
      <c r="R824" s="35" t="n"/>
    </row>
    <row r="825" outlineLevel="2" ht="192" customFormat="1" customHeight="1" s="39">
      <c r="A825" s="37">
        <f>1+N(A824)</f>
        <v/>
      </c>
      <c r="B825" s="27" t="inlineStr">
        <is>
          <t>天花肌理无机涂料PT-01</t>
        </is>
      </c>
      <c r="C825" s="27" t="inlineStr">
        <is>
          <t>1.天花肌理无机涂料PT-01；
2.刮腻子二遍磨平；
3.底漆1遍，面漆2遍；
4.包含完成该项内容所有工作及费用并满足设计图纸、规范等要求；</t>
        </is>
      </c>
      <c r="D825" s="27" t="inlineStr">
        <is>
          <t>包括但不限于材料计划、采购、卸车倒运、保管、检验试验费、测量放线，包含四周阴角找平直、含天棚四周阴角找平直，打磨，简易脚手架搭拆及操作平台、升降机，基层清理、打磨平整、底层找补、满刮涂料（含阴阳角塑料条）、涂料打磨、补遗处理、配合其他分包施工、完工后场清、成品保护、保修等直到达到竣工交付标准的全部工作内容。包括所有为完成工作所需的小型机具；包括所有为完成工作所需的附属工作；包括但不限于以上内容。</t>
        </is>
      </c>
      <c r="E825" s="27" t="inlineStr">
        <is>
          <t>执行《GB/T50854-2024房屋建筑与装饰工程工程量计算标准》，按设计图示尺寸以面积计算。扣除0.3平方米以上洞口的面积；梁侧面及檐口天棚并入天棚计算；以设计图纸和技术交底为基础</t>
        </is>
      </c>
      <c r="F825" s="28" t="inlineStr">
        <is>
          <t>m2</t>
        </is>
      </c>
      <c r="G825" s="61" t="n">
        <v>61.97</v>
      </c>
      <c r="H825" s="62" t="n">
        <v>48.38</v>
      </c>
      <c r="I825" s="65" t="n"/>
      <c r="J825" s="62">
        <f>H825*(1-$I$4)</f>
        <v/>
      </c>
      <c r="K825" s="63">
        <f>G825*J825</f>
        <v/>
      </c>
      <c r="L825" s="33" t="inlineStr">
        <is>
          <t>涂料</t>
        </is>
      </c>
      <c r="M825" s="64" t="n"/>
      <c r="N825" s="39" t="n">
        <v>1</v>
      </c>
      <c r="O825" t="n">
        <v>45</v>
      </c>
      <c r="P825" s="35" t="inlineStr">
        <is>
          <t>差:-3.38元 (-7.0%) 来源:售楼处</t>
        </is>
      </c>
      <c r="Q825" s="35" t="n"/>
      <c r="R825" s="35" t="n"/>
    </row>
    <row r="826" outlineLevel="1" customFormat="1" s="39">
      <c r="A826" s="36" t="n"/>
      <c r="B826" s="27" t="inlineStr">
        <is>
          <t>门窗、家具工程</t>
        </is>
      </c>
      <c r="C826" s="27" t="n"/>
      <c r="D826" s="27" t="n"/>
      <c r="E826" s="27" t="n"/>
      <c r="F826" s="28" t="n"/>
      <c r="G826" s="61" t="n"/>
      <c r="H826" s="62" t="n"/>
      <c r="I826" s="65" t="n"/>
      <c r="J826" s="62" t="n"/>
      <c r="K826" s="63" t="n"/>
      <c r="L826" s="33" t="n"/>
      <c r="M826" s="64" t="n"/>
      <c r="P826" s="35" t="n"/>
      <c r="Q826" s="35" t="n"/>
      <c r="R826" s="35" t="n"/>
    </row>
    <row r="827" outlineLevel="2" ht="84" customFormat="1" customHeight="1" s="39">
      <c r="A827" s="37">
        <f>1+N(A826)</f>
        <v/>
      </c>
      <c r="B827" s="27" t="inlineStr">
        <is>
          <t>转轴门(DR011)</t>
        </is>
      </c>
      <c r="C827" s="27" t="inlineStr">
        <is>
          <t>1、门扇：1.2mm厚 MT-01古铜不锈钢饰面、GL-02艺术玻璃、ST-08石材
2、门套：WD-04木饰面
3、定制成品套装门制安
4、含天地轴等五金配件
5、包含完成该项内容所有工作及费用并满足设计图纸、规范等要求</t>
        </is>
      </c>
      <c r="D827" s="27" t="inlineStr">
        <is>
          <t>自现有现场条件下按照合同约定范围、图纸（含设计变更）及甲方要求内容以及规范、标准、相关做法等要求完成并达到总包合同全部目标的全部工作内容。</t>
        </is>
      </c>
      <c r="E827" s="27" t="inlineStr">
        <is>
          <t>以最终验收合格的工程量计算</t>
        </is>
      </c>
      <c r="F827" s="28" t="inlineStr">
        <is>
          <t>m2</t>
        </is>
      </c>
      <c r="G827" s="61" t="n">
        <v>6.7</v>
      </c>
      <c r="H827" s="62" t="n">
        <v>5625.2806870229</v>
      </c>
      <c r="I827" s="65" t="n"/>
      <c r="J827" s="62">
        <f>H827*(1-$I$4)</f>
        <v/>
      </c>
      <c r="K827" s="63">
        <f>G827*J827</f>
        <v/>
      </c>
      <c r="L827" s="33" t="inlineStr">
        <is>
          <t>/</t>
        </is>
      </c>
      <c r="M827" s="64" t="n"/>
      <c r="N827" s="39" t="n">
        <v>1</v>
      </c>
      <c r="O827" t="n">
        <v>145</v>
      </c>
      <c r="P827" s="35" t="inlineStr">
        <is>
          <t>差:-5480.28元 (-97.4%) 来源:售楼处</t>
        </is>
      </c>
      <c r="Q827" s="35" t="n"/>
      <c r="R827" s="35" t="n"/>
    </row>
    <row r="828" outlineLevel="2" ht="72" customFormat="1" customHeight="1" s="39">
      <c r="A828" s="37">
        <f>1+N(A827)</f>
        <v/>
      </c>
      <c r="B828" s="27" t="inlineStr">
        <is>
          <t>平开门(DR12)</t>
        </is>
      </c>
      <c r="C828" s="27" t="inlineStr">
        <is>
          <t>1、门扇：WD-04木饰面、20*40mm热镀锌矩管、9mm厚玻镁板基层
2、定制成品套装门制安
3、含暗合页、门把手等五金配件
4、包含完成该项内容所有工作及费用并满足设计图纸、规范等要求</t>
        </is>
      </c>
      <c r="D828" s="27" t="inlineStr">
        <is>
          <t>自现有现场条件下按照合同约定范围、图纸（含设计变更）及甲方要求内容以及规范、标准、相关做法等要求完成并达到总包合同全部目标的全部工作内容。</t>
        </is>
      </c>
      <c r="E828" s="27" t="inlineStr">
        <is>
          <t>以最终验收合格的工程量计算</t>
        </is>
      </c>
      <c r="F828" s="28" t="inlineStr">
        <is>
          <t>m2</t>
        </is>
      </c>
      <c r="G828" s="61" t="n">
        <v>2.83</v>
      </c>
      <c r="H828" s="62" t="n">
        <v>2557.51117647059</v>
      </c>
      <c r="I828" s="65" t="n"/>
      <c r="J828" s="62">
        <f>H828*(1-$I$4)</f>
        <v/>
      </c>
      <c r="K828" s="63">
        <f>G828*J828</f>
        <v/>
      </c>
      <c r="L828" s="33" t="inlineStr">
        <is>
          <t>/</t>
        </is>
      </c>
      <c r="M828" s="64" t="n"/>
      <c r="N828" s="39" t="n">
        <v>1</v>
      </c>
      <c r="O828" t="n">
        <v>145</v>
      </c>
      <c r="P828" s="35" t="inlineStr">
        <is>
          <t>差:-2412.51元 (-94.3%) 来源:售楼处</t>
        </is>
      </c>
      <c r="Q828" s="35" t="n"/>
      <c r="R828" s="35" t="n"/>
    </row>
    <row r="829" outlineLevel="2" ht="84" customFormat="1" customHeight="1" s="39">
      <c r="A829" s="37">
        <f>1+N(A828)</f>
        <v/>
      </c>
      <c r="B829" s="27" t="inlineStr">
        <is>
          <t>平开门（参DR01）</t>
        </is>
      </c>
      <c r="C829" s="27" t="inlineStr">
        <is>
          <t>1、门扇：WD-03木饰面、20*40mm热镀锌矩管、9mm厚玻镁板基层
2、门套：WD-03木饰面
3、定制成品套装门制安
4、含暗合页、门把手等五金配件
5、包含完成该项内容所有工作及费用并满足设计图纸、规范等要求</t>
        </is>
      </c>
      <c r="D829" s="27" t="inlineStr">
        <is>
          <t>自现有现场条件下按照合同约定范围、图纸（含设计变更）及甲方要求内容以及规范、标准、相关做法等要求完成并达到总包合同全部目标的全部工作内容。</t>
        </is>
      </c>
      <c r="E829" s="27" t="inlineStr">
        <is>
          <t>以最终验收合格的工程量计算</t>
        </is>
      </c>
      <c r="F829" s="28" t="inlineStr">
        <is>
          <t>m2</t>
        </is>
      </c>
      <c r="G829" s="61" t="n">
        <v>3.4</v>
      </c>
      <c r="H829" s="62" t="n">
        <v>2447.18117647059</v>
      </c>
      <c r="I829" s="65" t="n"/>
      <c r="J829" s="62">
        <f>H829*(1-$I$4)</f>
        <v/>
      </c>
      <c r="K829" s="63">
        <f>G829*J829</f>
        <v/>
      </c>
      <c r="L829" s="33" t="inlineStr">
        <is>
          <t>/</t>
        </is>
      </c>
      <c r="M829" s="64" t="n"/>
      <c r="N829" s="39" t="n">
        <v>1</v>
      </c>
      <c r="O829" t="n">
        <v>145</v>
      </c>
      <c r="P829" s="35" t="inlineStr">
        <is>
          <t>差:-2302.18元 (-94.1%) 来源:售楼处</t>
        </is>
      </c>
      <c r="Q829" s="35" t="n"/>
      <c r="R829" s="35" t="n"/>
    </row>
    <row r="830" outlineLevel="2" ht="96" customFormat="1" customHeight="1" s="39">
      <c r="A830" s="37">
        <f>1+N(A829)</f>
        <v/>
      </c>
      <c r="B830" s="27" t="inlineStr">
        <is>
          <t>装饰屏风（800mm*100mm*3200mm）</t>
        </is>
      </c>
      <c r="C830" s="27" t="inlineStr">
        <is>
          <t>1.装饰屏风（800mm*100mm*3200mm）；
2.包括但不限于制作安装、钢结构骨架、阻燃板基层、WD-02木饰面、1.2mm厚 MT-01古铜不锈钢、MT-04手敲铜不锈钢；
3.包含完成该项内容所有工作及费用并满足设计图纸、规范等要求</t>
        </is>
      </c>
      <c r="D830" s="27" t="inlineStr">
        <is>
          <t>自现有现场条件下按照合同约定范围、图纸（含设计变更）及甲方要求内容以及规范、标准、相关做法等要求完成并达到总包合同全部目标的全部工作内容。</t>
        </is>
      </c>
      <c r="E830" s="27" t="inlineStr">
        <is>
          <t>以最终验收合格的工程量计算</t>
        </is>
      </c>
      <c r="F830" s="28" t="inlineStr">
        <is>
          <t>m2</t>
        </is>
      </c>
      <c r="G830" s="61" t="n">
        <v>9.92</v>
      </c>
      <c r="H830" s="62" t="n">
        <v>3211.488</v>
      </c>
      <c r="I830" s="65" t="n"/>
      <c r="J830" s="62">
        <f>H830*(1-$I$4)</f>
        <v/>
      </c>
      <c r="K830" s="63">
        <f>G830*J830</f>
        <v/>
      </c>
      <c r="L830" s="33" t="inlineStr">
        <is>
          <t>/</t>
        </is>
      </c>
      <c r="M830" s="64" t="n"/>
      <c r="N830" s="39" t="n">
        <v>1</v>
      </c>
      <c r="O830" t="n">
        <v>55</v>
      </c>
      <c r="P830" s="35" t="inlineStr">
        <is>
          <t>差:-3156.49元 (-98.3%) 来源:售楼处</t>
        </is>
      </c>
      <c r="Q830" s="35" t="n"/>
      <c r="R830" s="35" t="n"/>
    </row>
    <row r="831" outlineLevel="2" ht="84" customFormat="1" customHeight="1" s="39">
      <c r="A831" s="37">
        <f>1+N(A830)</f>
        <v/>
      </c>
      <c r="B831" s="27" t="inlineStr">
        <is>
          <t>收纳柜</t>
        </is>
      </c>
      <c r="C831" s="27" t="inlineStr">
        <is>
          <t>1、收纳柜（1400mm*600mm*3400mm）
2.包括但不限于制作安装、钢结构骨架、阻燃板基层、1.2mm厚 MT-01古铜不锈钢线条、WD-04木饰面
3.含五金配件等
4.包含完成该项内容所有工作及费用并满足设计图纸、规范等要求</t>
        </is>
      </c>
      <c r="D831" s="27" t="inlineStr">
        <is>
          <t>自现有现场条件下按照合同约定范围、图纸（含设计变更）及甲方要求内容以及规范、标准、相关做法等要求完成并达到总包合同全部目标的全部工作内容。</t>
        </is>
      </c>
      <c r="E831" s="27" t="inlineStr">
        <is>
          <t>以最终验收合格的工程量计算</t>
        </is>
      </c>
      <c r="F831" s="28" t="inlineStr">
        <is>
          <t>m2</t>
        </is>
      </c>
      <c r="G831" s="61" t="n">
        <v>4.76</v>
      </c>
      <c r="H831" s="62" t="n">
        <v>3160.512</v>
      </c>
      <c r="I831" s="65" t="n"/>
      <c r="J831" s="62">
        <f>H831*(1-$I$4)</f>
        <v/>
      </c>
      <c r="K831" s="63">
        <f>G831*J831</f>
        <v/>
      </c>
      <c r="L831" s="33" t="inlineStr">
        <is>
          <t>/</t>
        </is>
      </c>
      <c r="M831" s="64" t="n"/>
      <c r="N831" s="39" t="n">
        <v>1</v>
      </c>
      <c r="O831" t="n">
        <v>35</v>
      </c>
      <c r="P831" s="35" t="inlineStr">
        <is>
          <t>差:-3125.51元 (-98.9%) 来源:售楼处</t>
        </is>
      </c>
      <c r="Q831" s="35" t="n"/>
      <c r="R831" s="35" t="n"/>
    </row>
    <row r="832" outlineLevel="2" ht="120" customFormat="1" customHeight="1" s="39">
      <c r="A832" s="37">
        <f>1+N(A831)</f>
        <v/>
      </c>
      <c r="B832" s="27" t="inlineStr">
        <is>
          <t>开放柜</t>
        </is>
      </c>
      <c r="C832" s="27" t="inlineStr">
        <is>
          <t>1、洽谈区柜（1100mm*600mm*2020mm）
2.包括但不限于制作安装、钢结构骨架、阻燃板基层、ST-07石材台面、1.2mm厚 MT-01古铜不锈钢线条、WD-04木饰面
3.含层板、五金配件、相应的线孔洞开设等
4.包含完成该项内容所有工作及费用并满足设计图纸、规范等要求</t>
        </is>
      </c>
      <c r="D832" s="27" t="inlineStr">
        <is>
          <t>自现有现场条件下按照合同约定范围、图纸（含设计变更）及甲方要求内容以及规范、标准、相关做法等要求完成并达到总包合同全部目标的全部工作内容。</t>
        </is>
      </c>
      <c r="E832" s="27" t="inlineStr">
        <is>
          <t>以最终验收合格的工程量计算</t>
        </is>
      </c>
      <c r="F832" s="28" t="inlineStr">
        <is>
          <t>m2</t>
        </is>
      </c>
      <c r="G832" s="61" t="n">
        <v>2.23</v>
      </c>
      <c r="H832" s="62" t="n">
        <v>2548.8</v>
      </c>
      <c r="I832" s="65" t="n"/>
      <c r="J832" s="62">
        <f>H832*(1-$I$4)</f>
        <v/>
      </c>
      <c r="K832" s="63">
        <f>G832*J832</f>
        <v/>
      </c>
      <c r="L832" s="33" t="inlineStr">
        <is>
          <t>/</t>
        </is>
      </c>
      <c r="M832" s="64" t="n"/>
      <c r="N832" s="39" t="n">
        <v>1</v>
      </c>
      <c r="O832" t="n">
        <v>35</v>
      </c>
      <c r="P832" s="35" t="inlineStr">
        <is>
          <t>差:-2513.80元 (-98.6%) 来源:售楼处</t>
        </is>
      </c>
      <c r="Q832" s="35" t="n"/>
      <c r="R832" s="35" t="n"/>
    </row>
    <row r="833" outlineLevel="2" ht="96" customFormat="1" customHeight="1" s="39">
      <c r="A833" s="37">
        <f>1+N(A832)</f>
        <v/>
      </c>
      <c r="B833" s="27" t="inlineStr">
        <is>
          <t>备餐柜</t>
        </is>
      </c>
      <c r="C833" s="27" t="inlineStr">
        <is>
          <t>1、备餐柜（L*600mm*850mm）
2.包括但不限于制作安装、钢结构骨架、石材及石材防污处理、阻燃板基层、ST-07石材台面、1.2mm厚 MT-01古铜不锈钢饰面、WD-03木饰面；
3.含五金配件、相应的线孔洞开设
4.包含完成该项内容所有工作及费用并满足设计图纸、规范等要求</t>
        </is>
      </c>
      <c r="D833" s="27" t="inlineStr">
        <is>
          <t>自现有现场条件下按照合同约定范围、图纸（含设计变更）及甲方要求内容以及规范、标准、相关做法等要求完成并达到总包合同全部目标的全部工作内容。</t>
        </is>
      </c>
      <c r="E833" s="27" t="inlineStr">
        <is>
          <t>以最终验收合格的工程量计算</t>
        </is>
      </c>
      <c r="F833" s="28" t="inlineStr">
        <is>
          <t>m</t>
        </is>
      </c>
      <c r="G833" s="61" t="n">
        <v>1.64</v>
      </c>
      <c r="H833" s="62" t="n">
        <v>3283.87392</v>
      </c>
      <c r="I833" s="65" t="n"/>
      <c r="J833" s="62">
        <f>H833*(1-$I$4)</f>
        <v/>
      </c>
      <c r="K833" s="63">
        <f>G833*J833</f>
        <v/>
      </c>
      <c r="L833" s="33" t="inlineStr">
        <is>
          <t>/</t>
        </is>
      </c>
      <c r="M833" s="64" t="n"/>
      <c r="N833" s="39" t="n">
        <v>1</v>
      </c>
      <c r="O833" t="n">
        <v>85</v>
      </c>
      <c r="P833" s="35" t="inlineStr">
        <is>
          <t>差:-3198.87元 (-97.4%) 来源:售楼处</t>
        </is>
      </c>
      <c r="Q833" s="35" t="n"/>
      <c r="R833" s="35" t="n"/>
    </row>
    <row r="834" outlineLevel="1" customFormat="1" s="39">
      <c r="A834" s="26" t="inlineStr">
        <is>
          <t>十七</t>
        </is>
      </c>
      <c r="B834" s="27" t="inlineStr">
        <is>
          <t>卫生间</t>
        </is>
      </c>
      <c r="C834" s="27" t="n"/>
      <c r="D834" s="27" t="n"/>
      <c r="E834" s="27" t="n"/>
      <c r="F834" s="28" t="n"/>
      <c r="G834" s="61" t="n"/>
      <c r="H834" s="62" t="n"/>
      <c r="I834" s="65" t="n"/>
      <c r="J834" s="62" t="n"/>
      <c r="K834" s="63" t="n"/>
      <c r="L834" s="33" t="n"/>
      <c r="M834" s="64" t="n"/>
      <c r="P834" s="35" t="n"/>
      <c r="Q834" s="35" t="n"/>
      <c r="R834" s="35" t="n"/>
    </row>
    <row r="835" outlineLevel="1" customFormat="1" s="39">
      <c r="A835" s="36" t="n"/>
      <c r="B835" s="27" t="inlineStr">
        <is>
          <t>地面工程</t>
        </is>
      </c>
      <c r="C835" s="27" t="n"/>
      <c r="D835" s="27" t="n"/>
      <c r="E835" s="27" t="n"/>
      <c r="F835" s="28" t="n"/>
      <c r="G835" s="61" t="n"/>
      <c r="H835" s="62" t="n"/>
      <c r="I835" s="65" t="n"/>
      <c r="J835" s="62" t="n"/>
      <c r="K835" s="63" t="n"/>
      <c r="L835" s="33" t="n"/>
      <c r="M835" s="64" t="n"/>
      <c r="P835" s="35" t="n"/>
      <c r="Q835" s="35" t="n"/>
      <c r="R835" s="35" t="n"/>
    </row>
    <row r="836" outlineLevel="2" ht="156" customFormat="1" customHeight="1" s="39">
      <c r="A836" s="37">
        <f>1+N(A835)</f>
        <v/>
      </c>
      <c r="B836" s="27" t="inlineStr">
        <is>
          <t>沉箱陶粒回填</t>
        </is>
      </c>
      <c r="C836" s="27" t="inlineStr">
        <is>
          <t>1、陶粒混凝土回填
2、回填厚度200mm厚
3、完成本清单项目所需的一切相关工作内容，未尽事项详见图纸、工程量清单计价说明、国家相关规范等</t>
        </is>
      </c>
      <c r="D836" s="27" t="inlineStr">
        <is>
          <t>包括但不限于材料计划、卸车倒运（含多次）、保管、测量放线、基底清理、标高检测、配合检测、陶粒混凝土、抹压、压光、地面留槽回填及二次处理，所有洞口、管根的补遗处理，养护、配合水电安装、现场清理及分包施工作业面的及时清理、清扫等、装卸费、场内倒运费，配合承包人实验员做好冬季测温记录、坍落度实验及砼试块制作，成品保护、保修等全部工作内容。</t>
        </is>
      </c>
      <c r="E836" s="27" t="inlineStr">
        <is>
          <t>按设计图示填充部位的尺寸，以面积计算</t>
        </is>
      </c>
      <c r="F836" s="28" t="inlineStr">
        <is>
          <t>m2</t>
        </is>
      </c>
      <c r="G836" s="61" t="n">
        <v>6.6</v>
      </c>
      <c r="H836" s="62" t="n">
        <v>155.94762</v>
      </c>
      <c r="I836" s="65" t="n"/>
      <c r="J836" s="62">
        <f>H836*(1-$I$4)</f>
        <v/>
      </c>
      <c r="K836" s="63">
        <f>G836*J836</f>
        <v/>
      </c>
      <c r="L836" s="33" t="inlineStr">
        <is>
          <t>/</t>
        </is>
      </c>
      <c r="M836" s="64" t="n"/>
      <c r="N836" s="39" t="n">
        <v>1</v>
      </c>
      <c r="O836" t="n">
        <v>10.5</v>
      </c>
      <c r="P836" s="35" t="inlineStr">
        <is>
          <t>差:-145.45元 (-93.3%) 来源:售楼处</t>
        </is>
      </c>
      <c r="Q836" s="35" t="n"/>
      <c r="R836" s="35" t="n"/>
    </row>
    <row r="837" outlineLevel="2" ht="216" customFormat="1" customHeight="1" s="39">
      <c r="A837" s="37">
        <f>1+N(A836)</f>
        <v/>
      </c>
      <c r="B837" s="27" t="inlineStr">
        <is>
          <t>20mm厚防水找平层(1:3干硬性水泥砂浆)</t>
        </is>
      </c>
      <c r="C837" s="27" t="inlineStr">
        <is>
          <t>1.20mm厚防水找平层(1:3干硬性水泥砂浆)；
2.界面剂一道；
3.包含完成该项内容所有工作及费用并满足设计图纸、规范等要求；</t>
        </is>
      </c>
      <c r="D837" s="27" t="inlineStr">
        <is>
          <t>包含完成地面所有施工工序所需的人工、材料（甲供材除外）、机械、管理费、利润；包括但不限于材料计划、卸车倒运（含多次）、保管、测量放线、基底清理、标高检测、配合检测、贴饼冲筋、砂浆找平、抹压、压光、设置分格缝、阻水台（按照方案及交底要求施工）、地面留槽回填及二次处理，所有洞口、管根的补遗处理，养护、配合水电安装、现场清理及分包施工作业面的及时清理、清扫等、装卸费、场内倒运费，配合承包人实验员做好冬季测温记录、坍落度实验及砼试块制作，成品保护、保修等全部工作内容。</t>
        </is>
      </c>
      <c r="E837" s="27" t="inlineStr">
        <is>
          <t>执行《GB/T50854-2024房屋建筑与装饰工程工程量计算标准》，按设计图示尺寸以面积计算。扣除凸出地面构筑物、设备基础、室内管道、地沟等所占面积，不扣除间壁墙及≤0.3 ㎡柱、垛、附墙烟囱及孔洞所占面积。门洞、空圈、暖气包槽、壁龛的开口部分不增加面积。</t>
        </is>
      </c>
      <c r="F837" s="28" t="inlineStr">
        <is>
          <t>m2</t>
        </is>
      </c>
      <c r="G837" s="61" t="n">
        <v>6.6</v>
      </c>
      <c r="H837" s="62" t="n">
        <v>50.86331</v>
      </c>
      <c r="I837" s="65" t="n"/>
      <c r="J837" s="62">
        <f>H837*(1-$I$4)</f>
        <v/>
      </c>
      <c r="K837" s="63">
        <f>G837*J837</f>
        <v/>
      </c>
      <c r="L837" s="33" t="inlineStr">
        <is>
          <t>/</t>
        </is>
      </c>
      <c r="M837" s="64" t="n"/>
      <c r="N837" s="39" t="n">
        <v>1</v>
      </c>
      <c r="O837" t="n">
        <v>22</v>
      </c>
      <c r="P837" s="35" t="inlineStr">
        <is>
          <t>差:-28.86元 (-56.7%) 来源:售楼处</t>
        </is>
      </c>
      <c r="Q837" s="35" t="n"/>
      <c r="R837" s="35" t="n"/>
    </row>
    <row r="838" outlineLevel="2" ht="96" customFormat="1" customHeight="1" s="39">
      <c r="A838" s="37">
        <f>1+N(A837)</f>
        <v/>
      </c>
      <c r="B838" s="27" t="inlineStr">
        <is>
          <t>防水无纺布</t>
        </is>
      </c>
      <c r="C838" s="27" t="inlineStr">
        <is>
          <t>1.防水无纺布完成面上翻300高(80g/平米)
2.包含完成该项内容所有工作及费用并满足设计图纸、规范等要求；</t>
        </is>
      </c>
      <c r="D838" s="27" t="inlineStr">
        <is>
          <t>1.基层处理。
2.隔离层铺设，附加层、泛水、防水收头处理。
3.材料检验、各类专项检测。
4.场内外运输、废料清理等。
5.安全文明施工、成品保护等直到验收合格及后期保修的所有工作内容。</t>
        </is>
      </c>
      <c r="E838" s="27" t="inlineStr">
        <is>
          <t>按施工图范围内实际验收合格面积以平方米计算。</t>
        </is>
      </c>
      <c r="F838" s="28" t="inlineStr">
        <is>
          <t>m2</t>
        </is>
      </c>
      <c r="G838" s="61" t="n">
        <v>6.6</v>
      </c>
      <c r="H838" s="62" t="n">
        <v>17.7</v>
      </c>
      <c r="I838" s="65" t="n"/>
      <c r="J838" s="62">
        <f>H838*(1-$I$4)</f>
        <v/>
      </c>
      <c r="K838" s="63">
        <f>G838*J838</f>
        <v/>
      </c>
      <c r="L838" s="33" t="inlineStr">
        <is>
          <t>/</t>
        </is>
      </c>
      <c r="M838" s="64" t="n"/>
      <c r="N838" s="39" t="n">
        <v>1</v>
      </c>
      <c r="O838" t="n">
        <v>30</v>
      </c>
      <c r="P838" s="35" t="inlineStr">
        <is>
          <t>差:+12.30元 (+69.5%) 来源:售楼处</t>
        </is>
      </c>
      <c r="Q838" s="35" t="n"/>
      <c r="R838" s="35" t="n"/>
    </row>
    <row r="839" outlineLevel="2" ht="156" customFormat="1" customHeight="1" s="39">
      <c r="A839" s="37">
        <f>1+N(A838)</f>
        <v/>
      </c>
      <c r="B839" s="27" t="inlineStr">
        <is>
          <t>2mm厚JS防水层</t>
        </is>
      </c>
      <c r="C839" s="27" t="inlineStr">
        <is>
          <t>1.2mm厚JS防水层（两遍）；
2.包含完成该项内容所有工作及费用并满足设计图纸、规范等要求；</t>
        </is>
      </c>
      <c r="D839" s="27" t="inlineStr">
        <is>
          <t>1.清理基层。
2.基层喷水潮湿；必要的弹线，防水涂料调制；防水涂料涂刷；细部防水处理；防污染措施等。
3.材料检验、闭水试验、淋水实验、蓄水实验、各类专项检测的送检及检测。
4.操作架/平台搭拆。
5.安全文明施工、成品保护、场内外运输、废料清理等直到验收合格及后期保修的所有工作内容。</t>
        </is>
      </c>
      <c r="E839" s="27" t="inlineStr">
        <is>
          <t>按施工图范围内实际验收合格面积以平方米计算，施工图要求的上翻部分按实计算。</t>
        </is>
      </c>
      <c r="F839" s="28" t="inlineStr">
        <is>
          <t>m2</t>
        </is>
      </c>
      <c r="G839" s="61" t="n">
        <v>6.6</v>
      </c>
      <c r="H839" s="62" t="n">
        <v>55.873</v>
      </c>
      <c r="I839" s="65" t="n"/>
      <c r="J839" s="62">
        <f>H839*(1-$I$4)</f>
        <v/>
      </c>
      <c r="K839" s="63">
        <f>G839*J839</f>
        <v/>
      </c>
      <c r="L839" s="33" t="inlineStr">
        <is>
          <t>/</t>
        </is>
      </c>
      <c r="M839" s="64" t="n"/>
      <c r="N839" s="39" t="n">
        <v>1</v>
      </c>
      <c r="O839" t="n">
        <v>42</v>
      </c>
      <c r="P839" s="35" t="inlineStr">
        <is>
          <t>差:-13.87元 (-24.8%) 来源:售楼处</t>
        </is>
      </c>
      <c r="Q839" s="35" t="n"/>
      <c r="R839" s="35" t="n"/>
    </row>
    <row r="840" outlineLevel="2" ht="108" customFormat="1" customHeight="1" s="39">
      <c r="A840" s="37">
        <f>1+N(A839)</f>
        <v/>
      </c>
      <c r="B840" s="27" t="inlineStr">
        <is>
          <t>地面铺贴大理石ST-06</t>
        </is>
      </c>
      <c r="C840" s="27" t="inlineStr">
        <is>
          <t>1.地面20mm大理石ST-06、铺贴、厚度及样式按物料书为准；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840"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840" s="27" t="inlineStr">
        <is>
          <t xml:space="preserve">执行《GB/T50854-2024房屋建筑与装饰工程工程量计算标准》，按设计图示尺寸
以面积计算。 </t>
        </is>
      </c>
      <c r="F840" s="28" t="inlineStr">
        <is>
          <t>m2</t>
        </is>
      </c>
      <c r="G840" s="61" t="n">
        <v>6.6</v>
      </c>
      <c r="H840" s="62" t="n">
        <v>218.75017</v>
      </c>
      <c r="I840" s="65" t="n"/>
      <c r="J840" s="62">
        <f>H840*(1-$I$4)</f>
        <v/>
      </c>
      <c r="K840" s="63">
        <f>G840*J840</f>
        <v/>
      </c>
      <c r="L840" s="33" t="inlineStr">
        <is>
          <t>石材</t>
        </is>
      </c>
      <c r="M840" s="64" t="n"/>
      <c r="N840" s="39" t="n">
        <v>1</v>
      </c>
      <c r="O840" t="n">
        <v>140</v>
      </c>
      <c r="P840" s="35" t="inlineStr">
        <is>
          <t>差:-78.75元 (-36.0%) 来源:售楼处</t>
        </is>
      </c>
      <c r="Q840" s="35" t="n"/>
      <c r="R840" s="35" t="n"/>
    </row>
    <row r="841" outlineLevel="2" ht="108" customFormat="1" customHeight="1" s="39">
      <c r="A841" s="37">
        <f>1+N(A840)</f>
        <v/>
      </c>
      <c r="B841" s="27" t="inlineStr">
        <is>
          <t>地面石材晶面处理</t>
        </is>
      </c>
      <c r="C841" s="27" t="inlineStr">
        <is>
          <t>1.石材结晶处理(结晶水及石材保养剂,中性清洁剂)；
2.包含完成该项内容所有工作及费用并满足设计图纸、规范等要求；</t>
        </is>
      </c>
      <c r="D841"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841" s="27" t="inlineStr">
        <is>
          <t xml:space="preserve">执行《GB/T50854-2024房屋建筑与装饰工程工程量计算标准》，按设计图示尺寸
以面积计算。 </t>
        </is>
      </c>
      <c r="F841" s="28" t="inlineStr">
        <is>
          <t>m2</t>
        </is>
      </c>
      <c r="G841" s="61" t="n">
        <v>6.6</v>
      </c>
      <c r="H841" s="62" t="n">
        <v>64.90000000000001</v>
      </c>
      <c r="I841" s="65" t="n"/>
      <c r="J841" s="62">
        <f>H841*(1-$I$4)</f>
        <v/>
      </c>
      <c r="K841" s="63">
        <f>G841*J841</f>
        <v/>
      </c>
      <c r="L841" s="33" t="inlineStr">
        <is>
          <t>/</t>
        </is>
      </c>
      <c r="M841" s="64" t="n"/>
      <c r="N841" s="39" t="n">
        <v>1</v>
      </c>
      <c r="O841" t="n">
        <v>40</v>
      </c>
      <c r="P841" s="35" t="inlineStr">
        <is>
          <t>差:-24.90元 (-38.4%) 来源:售楼处</t>
        </is>
      </c>
      <c r="Q841" s="35" t="n"/>
      <c r="R841" s="35" t="n"/>
    </row>
    <row r="842" outlineLevel="1" customFormat="1" s="39">
      <c r="A842" s="36" t="n"/>
      <c r="B842" s="27" t="inlineStr">
        <is>
          <t>墙柱面工程</t>
        </is>
      </c>
      <c r="C842" s="27" t="n"/>
      <c r="D842" s="27" t="n"/>
      <c r="E842" s="27" t="n"/>
      <c r="F842" s="28" t="n"/>
      <c r="G842" s="61" t="n"/>
      <c r="H842" s="62" t="n"/>
      <c r="I842" s="65" t="n"/>
      <c r="J842" s="62" t="n"/>
      <c r="K842" s="63" t="n"/>
      <c r="L842" s="33" t="n"/>
      <c r="M842" s="64" t="n"/>
      <c r="P842" s="35" t="n"/>
      <c r="Q842" s="35" t="n"/>
      <c r="R842" s="35" t="n"/>
    </row>
    <row r="843" outlineLevel="2" ht="180" customFormat="1" customHeight="1" s="39">
      <c r="A843" s="37">
        <f>1+N(A842)</f>
        <v/>
      </c>
      <c r="B843" s="27" t="inlineStr">
        <is>
          <t>墙面干挂ST-05石材</t>
        </is>
      </c>
      <c r="C843" s="27" t="inlineStr">
        <is>
          <t>1、墙面干挂ST-05石材（含不锈钢线条）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is>
      </c>
      <c r="D843"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843" s="27" t="inlineStr">
        <is>
          <t>执行《GB/T50854-2024房屋建筑与装饰工程工程量计算标准》，按设计图示镶贴后外围面积计算</t>
        </is>
      </c>
      <c r="F843" s="28" t="inlineStr">
        <is>
          <t>m2</t>
        </is>
      </c>
      <c r="G843" s="61" t="n">
        <v>8.93</v>
      </c>
      <c r="H843" s="62" t="n">
        <v>283.2</v>
      </c>
      <c r="I843" s="65" t="n"/>
      <c r="J843" s="62">
        <f>H843*(1-$I$4)</f>
        <v/>
      </c>
      <c r="K843" s="63">
        <f>G843*J843</f>
        <v/>
      </c>
      <c r="L843" s="33" t="inlineStr">
        <is>
          <t>石材</t>
        </is>
      </c>
      <c r="M843" s="64" t="n"/>
      <c r="N843" s="39" t="n">
        <v>1</v>
      </c>
      <c r="O843" t="n">
        <v>140</v>
      </c>
      <c r="P843" s="35" t="inlineStr">
        <is>
          <t>差:-143.20元 (-50.6%) 来源:售楼处</t>
        </is>
      </c>
      <c r="Q843" s="35" t="n"/>
      <c r="R843" s="35" t="n"/>
    </row>
    <row r="844" outlineLevel="2" ht="180" customFormat="1" customHeight="1" s="39">
      <c r="A844" s="37">
        <f>1+N(A843)</f>
        <v/>
      </c>
      <c r="B844" s="27" t="inlineStr">
        <is>
          <t>墙面WD-03木饰面</t>
        </is>
      </c>
      <c r="C844" s="27" t="inlineStr">
        <is>
          <t>1、墙面WD-03木饰面（含不锈钢线条）
2、结构胶固定
3、12mm阻燃板基层
4、膨胀螺栓、轻钢龙骨(钢结构)基层找平
5、包含完成该项内容所有工作及费用并满足设计图纸、规范等要求</t>
        </is>
      </c>
      <c r="D844"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844" s="27" t="inlineStr">
        <is>
          <t>执行《GB/T50854-2024房屋建筑与装饰工程工程量计算标准》，按设计图示饰面外围尺寸
以面积计算。 扣除门窗洞口面积，不扣除单个面积≤0.3㎡的孔洞所占面积。</t>
        </is>
      </c>
      <c r="F844" s="28" t="inlineStr">
        <is>
          <t>m2</t>
        </is>
      </c>
      <c r="G844" s="61" t="n">
        <v>7.01</v>
      </c>
      <c r="H844" s="62" t="n">
        <v>253.7</v>
      </c>
      <c r="I844" s="65" t="n"/>
      <c r="J844" s="62">
        <f>H844*(1-$I$4)</f>
        <v/>
      </c>
      <c r="K844" s="63">
        <f>G844*J844</f>
        <v/>
      </c>
      <c r="L844" s="33" t="inlineStr">
        <is>
          <t>木饰面</t>
        </is>
      </c>
      <c r="M844" s="64" t="n"/>
      <c r="N844" s="39" t="n">
        <v>1</v>
      </c>
      <c r="O844" t="n">
        <v>75</v>
      </c>
      <c r="P844" s="35" t="inlineStr">
        <is>
          <t>差:-178.70元 (-70.4%) 来源:售楼处</t>
        </is>
      </c>
      <c r="Q844" s="35" t="n"/>
      <c r="R844" s="35" t="n"/>
    </row>
    <row r="845" outlineLevel="2" ht="144" customFormat="1" customHeight="1" s="39">
      <c r="A845" s="37">
        <f>1+N(A844)</f>
        <v/>
      </c>
      <c r="B845" s="27" t="inlineStr">
        <is>
          <t>MR-01银镜</t>
        </is>
      </c>
      <c r="C845" s="27" t="inlineStr">
        <is>
          <t>1、MR-01银镜（含不锈钢线条）
2、胶粘剂固定(中性胶)
3、12mm阻燃板基层
4、膨胀螺栓、轻钢龙骨(钢结构)基层找平
5、包含完成该项内容所有工作及费用并满足设计图纸、规范等要求</t>
        </is>
      </c>
      <c r="D845"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845" s="27" t="inlineStr">
        <is>
          <t>执行《GB/T50854-2024房屋建筑与装饰工程工程量计算标准》，按设计图示饰面外围尺寸以面积计算。</t>
        </is>
      </c>
      <c r="F845" s="28" t="inlineStr">
        <is>
          <t>m2</t>
        </is>
      </c>
      <c r="G845" s="61" t="n">
        <v>9.18</v>
      </c>
      <c r="H845" s="62" t="n">
        <v>214.76</v>
      </c>
      <c r="I845" s="65" t="n"/>
      <c r="J845" s="62">
        <f>H845*(1-$I$4)</f>
        <v/>
      </c>
      <c r="K845" s="63">
        <f>G845*J845</f>
        <v/>
      </c>
      <c r="L845" s="33" t="inlineStr">
        <is>
          <t>银镜</t>
        </is>
      </c>
      <c r="M845" s="64" t="n"/>
      <c r="N845" s="39" t="n">
        <v>1</v>
      </c>
      <c r="O845" t="n">
        <v>110</v>
      </c>
      <c r="P845" s="35" t="inlineStr">
        <is>
          <t>差:-104.76元 (-48.8%) 来源:售楼处</t>
        </is>
      </c>
      <c r="Q845" s="35" t="n"/>
      <c r="R845" s="35" t="n"/>
    </row>
    <row r="846" outlineLevel="2" ht="144" customFormat="1" customHeight="1" s="39">
      <c r="A846" s="37">
        <f>1+N(A845)</f>
        <v/>
      </c>
      <c r="B846" s="27" t="inlineStr">
        <is>
          <t>WP-04墙布</t>
        </is>
      </c>
      <c r="C846" s="27" t="inlineStr">
        <is>
          <t>1、WP-04墙布，结构胶固定（含不锈钢线条）
2、12mm阻燃板，轻钢副龙骨@400
3、包含完成该项内容所有工作及费用并满足设计图纸、规范等要求</t>
        </is>
      </c>
      <c r="D846"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846" s="27" t="inlineStr">
        <is>
          <t xml:space="preserve">执行《GB/T50854-2024房屋建筑与装饰工程工程量计算标准》，按设计图示尺寸以面积计算。 </t>
        </is>
      </c>
      <c r="F846" s="28" t="inlineStr">
        <is>
          <t>m2</t>
        </is>
      </c>
      <c r="G846" s="61" t="n">
        <v>14.63</v>
      </c>
      <c r="H846" s="62" t="n">
        <v>205.32</v>
      </c>
      <c r="I846" s="65" t="n"/>
      <c r="J846" s="62">
        <f>H846*(1-$I$4)</f>
        <v/>
      </c>
      <c r="K846" s="63">
        <f>G846*J846</f>
        <v/>
      </c>
      <c r="L846" s="33" t="inlineStr">
        <is>
          <t>墙布</t>
        </is>
      </c>
      <c r="M846" s="64" t="n"/>
      <c r="N846" s="39" t="n">
        <v>1</v>
      </c>
      <c r="O846" t="n">
        <v>76.5</v>
      </c>
      <c r="P846" s="35" t="inlineStr">
        <is>
          <t>差:-128.82元 (-62.7%) 来源:售楼处</t>
        </is>
      </c>
      <c r="Q846" s="35" t="n"/>
      <c r="R846" s="35" t="n"/>
    </row>
    <row r="847" outlineLevel="2" ht="156" customFormat="1" customHeight="1" s="39">
      <c r="A847" s="37">
        <f>1+N(A846)</f>
        <v/>
      </c>
      <c r="B847" s="27" t="inlineStr">
        <is>
          <t>1.2mm厚JS-Ⅱ聚合物水泥防水涂料</t>
        </is>
      </c>
      <c r="C847" s="27" t="inlineStr">
        <is>
          <t>1、1.2mm厚JS-Ⅱ聚合物水泥防水涂料
2、包含完成该项内容所有工作及费用并满足设计图纸、规范等要求</t>
        </is>
      </c>
      <c r="D847" s="27" t="inlineStr">
        <is>
          <t>1.清理基层。
2.基层喷水潮湿；必要的弹线，防水涂料调制；防水涂料涂刷；细部防水处理；防污染措施等。
3.材料检验、闭水试验、淋水实验、蓄水实验、各类专项检测的送检及检测。
4.操作架/平台搭拆。
5.安全文明施工、成品保护、场内外运输、废料清理等直到验收合格及后期保修的所有工作内容。</t>
        </is>
      </c>
      <c r="E847" s="27" t="inlineStr">
        <is>
          <t>按施工图范围内实际验收合格面积以平方米计算，施工图要求的上翻部分按实计算。</t>
        </is>
      </c>
      <c r="F847" s="28" t="inlineStr">
        <is>
          <t>m2</t>
        </is>
      </c>
      <c r="G847" s="61" t="n">
        <v>41.1</v>
      </c>
      <c r="H847" s="62" t="n">
        <v>55.873</v>
      </c>
      <c r="I847" s="65" t="n"/>
      <c r="J847" s="62">
        <f>H847*(1-$I$4)</f>
        <v/>
      </c>
      <c r="K847" s="63">
        <f>G847*J847</f>
        <v/>
      </c>
      <c r="L847" s="33" t="inlineStr">
        <is>
          <t>/</t>
        </is>
      </c>
      <c r="M847" s="64" t="n"/>
      <c r="N847" s="39" t="n">
        <v>1</v>
      </c>
      <c r="O847" t="n">
        <v>18</v>
      </c>
      <c r="P847" s="35" t="inlineStr">
        <is>
          <t>差:-37.87元 (-67.8%) 来源:售楼处</t>
        </is>
      </c>
      <c r="Q847" s="35" t="n"/>
      <c r="R847" s="35" t="n"/>
    </row>
    <row r="848" outlineLevel="2" ht="180" customFormat="1" customHeight="1" s="39">
      <c r="A848" s="37">
        <f>1+N(A847)</f>
        <v/>
      </c>
      <c r="B848" s="27" t="inlineStr">
        <is>
          <t>不锈钢门套</t>
        </is>
      </c>
      <c r="C848" s="27" t="inlineStr">
        <is>
          <t>1、1.2mm厚 MT-01古铜不锈钢门套，结构胶固定
2、9厘玻镁板基层
3、工程量以展开面积计算
4、包含完成该项内容所有工作及费用并满足设计图纸、规范等要求</t>
        </is>
      </c>
      <c r="D848"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848" s="27" t="inlineStr">
        <is>
          <t>执行《GB/T50854-2024房屋建筑与装饰工程工程量计算标准》，按设计图示饰面外围尺寸
以面积计算。 扣除门窗洞口面积，不扣除单个面积≤0.3㎡的孔洞所占面积。</t>
        </is>
      </c>
      <c r="F848" s="28" t="inlineStr">
        <is>
          <t>m2</t>
        </is>
      </c>
      <c r="G848" s="61" t="n">
        <v>1.72</v>
      </c>
      <c r="H848" s="62" t="n">
        <v>630.651</v>
      </c>
      <c r="I848" s="65" t="n"/>
      <c r="J848" s="62">
        <f>H848*(1-$I$4)</f>
        <v/>
      </c>
      <c r="K848" s="63">
        <f>G848*J848</f>
        <v/>
      </c>
      <c r="L848" s="33" t="inlineStr">
        <is>
          <t>/</t>
        </is>
      </c>
      <c r="M848" s="64" t="n"/>
      <c r="N848" s="39" t="n">
        <v>1</v>
      </c>
      <c r="O848" t="n">
        <v>110</v>
      </c>
      <c r="P848" s="35" t="inlineStr">
        <is>
          <t>差:-520.65元 (-82.6%) 来源:售楼处</t>
        </is>
      </c>
      <c r="Q848" s="35" t="n"/>
      <c r="R848" s="35" t="n"/>
    </row>
    <row r="849" outlineLevel="2" ht="144" customFormat="1" customHeight="1" s="39">
      <c r="A849" s="37">
        <f>1+N(A848)</f>
        <v/>
      </c>
      <c r="B849" s="27" t="inlineStr">
        <is>
          <t>MT-01古铜不锈钢踢脚线（高20mm）</t>
        </is>
      </c>
      <c r="C849" s="27" t="inlineStr">
        <is>
          <t>1、1.2mm厚 MT-01古铜不锈钢踢脚线（高20mm，展开面为46mm），结构胶固定
2、9厘玻镁板基层
3、包含完成该项内容所有工作及费用并满足设计图纸、规范等要求</t>
        </is>
      </c>
      <c r="D849"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849" s="27" t="inlineStr">
        <is>
          <t>按设计图示尺寸以长度计算。</t>
        </is>
      </c>
      <c r="F849" s="28" t="inlineStr">
        <is>
          <t>m</t>
        </is>
      </c>
      <c r="G849" s="61" t="n">
        <v>12.97</v>
      </c>
      <c r="H849" s="62" t="n">
        <v>31.86</v>
      </c>
      <c r="I849" s="65" t="n"/>
      <c r="J849" s="62">
        <f>H849*(1-$I$4)</f>
        <v/>
      </c>
      <c r="K849" s="63">
        <f>G849*J849</f>
        <v/>
      </c>
      <c r="L849" s="33" t="inlineStr">
        <is>
          <t>不锈钢踢脚线</t>
        </is>
      </c>
      <c r="M849" s="64" t="n"/>
      <c r="N849" s="39" t="n">
        <v>1</v>
      </c>
      <c r="O849" t="n">
        <v>12</v>
      </c>
      <c r="P849" s="35" t="inlineStr">
        <is>
          <t>差:-19.86元 (-62.3%) 来源:售楼处</t>
        </is>
      </c>
      <c r="Q849" s="35" t="n"/>
      <c r="R849" s="35" t="n"/>
    </row>
    <row r="850" outlineLevel="2" ht="72" customFormat="1" customHeight="1" s="39">
      <c r="A850" s="37">
        <f>1+N(A849)</f>
        <v/>
      </c>
      <c r="B850" s="27" t="inlineStr">
        <is>
          <t>MT-01古铜不锈钢窗套（展开面为95mm）</t>
        </is>
      </c>
      <c r="C850" s="27" t="inlineStr">
        <is>
          <t>1、1.2mm厚 MT-01古铜不锈钢窗套（展开面为95mm），结构胶固定
2、9厘玻镁板基层
3、包含完成该项内容所有工作及费用并满足设计图纸、规范等要求</t>
        </is>
      </c>
      <c r="D850" s="27" t="inlineStr">
        <is>
          <t>自现有现场条件下按照合同约定范围、图纸（含设计变更）及甲方要求内容以及规范、标准、相关做法等要求完成并达到总包合同全部目标的全部工作内容。</t>
        </is>
      </c>
      <c r="E850" s="27" t="inlineStr">
        <is>
          <t>以最终验收合格的工程量计算</t>
        </is>
      </c>
      <c r="F850" s="28" t="inlineStr">
        <is>
          <t>m2</t>
        </is>
      </c>
      <c r="G850" s="61" t="n">
        <v>0.73</v>
      </c>
      <c r="H850" s="62" t="n">
        <v>630.651</v>
      </c>
      <c r="I850" s="65" t="n"/>
      <c r="J850" s="62">
        <f>H850*(1-$I$4)</f>
        <v/>
      </c>
      <c r="K850" s="63">
        <f>G850*J850</f>
        <v/>
      </c>
      <c r="L850" s="33" t="inlineStr">
        <is>
          <t>/</t>
        </is>
      </c>
      <c r="M850" s="64" t="n"/>
      <c r="N850" s="39" t="n">
        <v>1</v>
      </c>
      <c r="O850" t="n">
        <v>110</v>
      </c>
      <c r="P850" s="35" t="inlineStr">
        <is>
          <t>差:-520.65元 (-82.6%) 来源:售楼处</t>
        </is>
      </c>
      <c r="Q850" s="35" t="n"/>
      <c r="R850" s="35" t="n"/>
    </row>
    <row r="851" outlineLevel="1" customFormat="1" s="39">
      <c r="A851" s="36" t="n"/>
      <c r="B851" s="27" t="inlineStr">
        <is>
          <t>天花工程</t>
        </is>
      </c>
      <c r="C851" s="27" t="n"/>
      <c r="D851" s="27" t="n"/>
      <c r="E851" s="27" t="n"/>
      <c r="F851" s="28" t="n"/>
      <c r="G851" s="61" t="n"/>
      <c r="H851" s="62" t="n"/>
      <c r="I851" s="65" t="n"/>
      <c r="J851" s="62" t="n"/>
      <c r="K851" s="63" t="n"/>
      <c r="L851" s="33" t="n"/>
      <c r="M851" s="64" t="n"/>
      <c r="P851" s="35" t="n"/>
      <c r="Q851" s="35" t="n"/>
      <c r="R851" s="35" t="n"/>
    </row>
    <row r="852" outlineLevel="2" ht="192" customFormat="1" customHeight="1" s="39">
      <c r="A852" s="37">
        <f>1+N(A851)</f>
        <v/>
      </c>
      <c r="B852" s="27" t="inlineStr">
        <is>
          <t>造型石膏板吊顶</t>
        </is>
      </c>
      <c r="C852" s="27" t="inlineStr">
        <is>
          <t>1.60系列轻钢主龙骨@900，60系列轻钢副龙骨@400，60系列横撑龙骨@600，08螺纹吊杆@900不上人天花吊顶（投影面计算）
2.玻镁板、双层9.5厚石膏板基层，含开孔、检修口、10*10凹槽等费用；
3.含除灯槽外的侧面高差及其连接件、吊件；
4.包含完成该项内容所有工作及费用并满足设计图纸、规范等要求；</t>
        </is>
      </c>
      <c r="D852" s="27" t="inlineStr">
        <is>
          <t>1.基层清理。
2.弹线定位、排版。
3.吊杆及连接件安装调平、收口及密封处理。
4.材料切割处理找平、石膏板安装及调整，打胶密封与清理.
5.收口及其他处理：检修口等制作安装、收边收口、配合预留安装、机电等专业孔洞及孔洞收口处理。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852" s="27" t="inlineStr">
        <is>
          <t>按设计图示尺寸以水平投影面积计算。不扣除间壁墙、检查口、附墙烟囱、柱垛和管道所占面积,扣除单个&gt;0.3m3的孔洞、非密拼吊顶空隙所占的面积、独立柱及与天棚相连的窗帘盒所占的面积。</t>
        </is>
      </c>
      <c r="F852" s="28" t="inlineStr">
        <is>
          <t>m2</t>
        </is>
      </c>
      <c r="G852" s="61" t="n">
        <v>6.6</v>
      </c>
      <c r="H852" s="62" t="n">
        <v>174.574444444444</v>
      </c>
      <c r="I852" s="65" t="n"/>
      <c r="J852" s="62">
        <f>H852*(1-$I$4)</f>
        <v/>
      </c>
      <c r="K852" s="63">
        <f>G852*J852</f>
        <v/>
      </c>
      <c r="L852" s="33" t="inlineStr">
        <is>
          <t>/</t>
        </is>
      </c>
      <c r="M852" s="64" t="n"/>
      <c r="N852" s="39" t="n">
        <v>1</v>
      </c>
      <c r="O852" t="n">
        <v>70</v>
      </c>
      <c r="P852" s="35" t="inlineStr">
        <is>
          <t>差:-104.57元 (-59.9%) 来源:售楼处</t>
        </is>
      </c>
      <c r="Q852" s="35" t="n"/>
      <c r="R852" s="35" t="n"/>
    </row>
    <row r="853" outlineLevel="2" ht="72" customFormat="1" customHeight="1" s="39">
      <c r="A853" s="37">
        <f>1+N(A852)</f>
        <v/>
      </c>
      <c r="B853" s="27" t="inlineStr">
        <is>
          <t>灯槽（100mm*200mm）</t>
        </is>
      </c>
      <c r="C853" s="27" t="inlineStr">
        <is>
          <t>1.灯槽（100mm*200mm）；
2.双层板：9mm玻镁板、9.5厚石膏板；
3.包含完成该项内容所有工作及费用并满足设计图纸、规范等要求；</t>
        </is>
      </c>
      <c r="D853" s="27" t="inlineStr">
        <is>
          <t>自现有现场条件下按照合同约定范围、图纸（含设计变更）及甲方要求内容以及规范、标准、相关做法等要求完成并达到总包合同全部目标的全部工作内容。</t>
        </is>
      </c>
      <c r="E853" s="27" t="inlineStr">
        <is>
          <t>依据经承包人确认的施工部位,按设计图示尺寸以延长米计算。</t>
        </is>
      </c>
      <c r="F853" s="28" t="inlineStr">
        <is>
          <t>m</t>
        </is>
      </c>
      <c r="G853" s="61" t="n">
        <v>2.6</v>
      </c>
      <c r="H853" s="62" t="n">
        <v>112.159</v>
      </c>
      <c r="I853" s="65" t="n"/>
      <c r="J853" s="62">
        <f>H853*(1-$I$4)</f>
        <v/>
      </c>
      <c r="K853" s="63">
        <f>G853*J853</f>
        <v/>
      </c>
      <c r="L853" s="33" t="inlineStr">
        <is>
          <t>/</t>
        </is>
      </c>
      <c r="M853" s="64" t="n"/>
      <c r="N853" s="39" t="n">
        <v>1</v>
      </c>
      <c r="O853" t="n">
        <v>50</v>
      </c>
      <c r="P853" s="35" t="inlineStr">
        <is>
          <t>差:-62.16元 (-55.4%) 来源:售楼处</t>
        </is>
      </c>
      <c r="Q853" s="35" t="n"/>
      <c r="R853" s="35" t="n"/>
    </row>
    <row r="854" outlineLevel="2" ht="72" customFormat="1" customHeight="1" s="39">
      <c r="A854" s="37">
        <f>1+N(A853)</f>
        <v/>
      </c>
      <c r="B854" s="27" t="inlineStr">
        <is>
          <t>条形空调风口（150mm宽）</t>
        </is>
      </c>
      <c r="C854" s="27" t="inlineStr">
        <is>
          <t>1.条形空调风口（150mm宽）；
2.风口周边阻燃板封边加固处理；
3.包含完成该项内容所有工作及费用并满足设计图纸、规范等要求；</t>
        </is>
      </c>
      <c r="D854" s="27" t="inlineStr">
        <is>
          <t>自现有现场条件下按照合同约定范围、图纸（含设计变更）及甲方要求内容以及规范、标准、相关做法等要求完成并达到总包合同全部目标的全部工作内容。</t>
        </is>
      </c>
      <c r="E854" s="27" t="inlineStr">
        <is>
          <t>依据经承包人确认的施工部位,按设计图示尺寸以延长米计算。</t>
        </is>
      </c>
      <c r="F854" s="28" t="inlineStr">
        <is>
          <t>m</t>
        </is>
      </c>
      <c r="G854" s="61" t="n">
        <v>2.4</v>
      </c>
      <c r="H854" s="62" t="n">
        <v>109.74</v>
      </c>
      <c r="I854" s="65" t="n"/>
      <c r="J854" s="62">
        <f>H854*(1-$I$4)</f>
        <v/>
      </c>
      <c r="K854" s="63">
        <f>G854*J854</f>
        <v/>
      </c>
      <c r="L854" s="33" t="inlineStr">
        <is>
          <t>空调风口</t>
        </is>
      </c>
      <c r="M854" s="64" t="n"/>
      <c r="N854" s="39" t="n">
        <v>1</v>
      </c>
      <c r="O854" t="n">
        <v>30</v>
      </c>
      <c r="P854" s="35" t="inlineStr">
        <is>
          <t>差:-79.74元 (-72.7%) 来源:售楼处</t>
        </is>
      </c>
      <c r="Q854" s="35" t="n"/>
      <c r="R854" s="35" t="n"/>
    </row>
    <row r="855" outlineLevel="2" ht="192" customFormat="1" customHeight="1" s="39">
      <c r="A855" s="37">
        <f>1+N(A854)</f>
        <v/>
      </c>
      <c r="B855" s="27" t="inlineStr">
        <is>
          <t>天花白色防水无机涂料PT-02</t>
        </is>
      </c>
      <c r="C855" s="27" t="inlineStr">
        <is>
          <t>1.天花白色防水无机涂料PT-02；
2.刮腻子二遍磨平；
3.底漆1遍，面漆2遍；
4.包含完成该项内容所有工作及费用并满足设计图纸、规范等要求；</t>
        </is>
      </c>
      <c r="D855" s="27" t="inlineStr">
        <is>
          <t>包括但不限于材料计划、采购、卸车倒运、保管、检验试验费、测量放线，包含四周阴角找平直、含天棚四周阴角找平直，打磨，简易脚手架搭拆及操作平台、升降机，基层清理、打磨平整、底层找补、满刮涂料（含阴阳角塑料条）、涂料打磨、补遗处理、配合其他分包施工、完工后场清、成品保护、保修等直到达到竣工交付标准的全部工作内容。包括所有为完成工作所需的小型机具；包括所有为完成工作所需的附属工作；包括但不限于以上内容。</t>
        </is>
      </c>
      <c r="E855" s="27" t="inlineStr">
        <is>
          <t>执行《GB/T50854-2024房屋建筑与装饰工程工程量计算标准》，按设计图示尺寸以面积计算。扣除0.3平方米以上洞口的面积；梁侧面及檐口天棚并入天棚计算；以设计图纸和技术交底为基础</t>
        </is>
      </c>
      <c r="F855" s="28" t="inlineStr">
        <is>
          <t>m2</t>
        </is>
      </c>
      <c r="G855" s="61" t="n">
        <v>7.38</v>
      </c>
      <c r="H855" s="62" t="n">
        <v>35.99</v>
      </c>
      <c r="I855" s="65" t="n"/>
      <c r="J855" s="62">
        <f>H855*(1-$I$4)</f>
        <v/>
      </c>
      <c r="K855" s="63">
        <f>G855*J855</f>
        <v/>
      </c>
      <c r="L855" s="33" t="inlineStr">
        <is>
          <t>涂料</t>
        </is>
      </c>
      <c r="M855" s="64" t="n"/>
      <c r="N855" s="39" t="n">
        <v>1</v>
      </c>
      <c r="O855" t="n">
        <v>28.5</v>
      </c>
      <c r="P855" s="35" t="inlineStr">
        <is>
          <t>差:-7.49元 (-20.8%) 来源:售楼处</t>
        </is>
      </c>
      <c r="Q855" s="35" t="n"/>
      <c r="R855" s="35" t="n"/>
    </row>
    <row r="856" outlineLevel="1" customFormat="1" s="39">
      <c r="A856" s="36" t="n"/>
      <c r="B856" s="27" t="inlineStr">
        <is>
          <t>门窗工程</t>
        </is>
      </c>
      <c r="C856" s="27" t="n"/>
      <c r="D856" s="27" t="n"/>
      <c r="E856" s="27" t="n"/>
      <c r="F856" s="28" t="n"/>
      <c r="G856" s="61" t="n"/>
      <c r="H856" s="62" t="n"/>
      <c r="I856" s="65" t="n"/>
      <c r="J856" s="62" t="n"/>
      <c r="K856" s="63" t="n"/>
      <c r="L856" s="33" t="n"/>
      <c r="M856" s="64" t="n"/>
      <c r="P856" s="35" t="n"/>
      <c r="Q856" s="35" t="n"/>
      <c r="R856" s="35" t="n"/>
    </row>
    <row r="857" outlineLevel="2" ht="72" customFormat="1" customHeight="1" s="39">
      <c r="A857" s="37">
        <f>1+N(A856)</f>
        <v/>
      </c>
      <c r="B857" s="27" t="inlineStr">
        <is>
          <t>卫生间门（参DR12）</t>
        </is>
      </c>
      <c r="C857" s="27" t="inlineStr">
        <is>
          <t>1、门扇：1.2mm厚 MT-01古铜不锈钢饰面、WD-04木饰面
2、定制成品套装门制安
3、含门把手等五金配件
4、包含完成该项内容所有工作及费用并满足设计图纸、规范等要求</t>
        </is>
      </c>
      <c r="D857" s="27" t="inlineStr">
        <is>
          <t>自现有现场条件下按照合同约定范围、图纸（含设计变更）及甲方要求内容以及规范、标准、相关做法等要求完成并达到总包合同全部目标的全部工作内容。</t>
        </is>
      </c>
      <c r="E857" s="27" t="inlineStr">
        <is>
          <t>以最终验收合格的工程量计算</t>
        </is>
      </c>
      <c r="F857" s="28" t="inlineStr">
        <is>
          <t>m2</t>
        </is>
      </c>
      <c r="G857" s="61" t="n">
        <v>2.96</v>
      </c>
      <c r="H857" s="62" t="n">
        <v>2557.51117647059</v>
      </c>
      <c r="I857" s="65" t="n"/>
      <c r="J857" s="62">
        <f>H857*(1-$I$4)</f>
        <v/>
      </c>
      <c r="K857" s="63">
        <f>G857*J857</f>
        <v/>
      </c>
      <c r="L857" s="33" t="inlineStr">
        <is>
          <t>/</t>
        </is>
      </c>
      <c r="M857" s="64" t="n"/>
      <c r="N857" s="39" t="n">
        <v>1</v>
      </c>
      <c r="O857" t="n">
        <v>145</v>
      </c>
      <c r="P857" s="35" t="inlineStr">
        <is>
          <t>差:-2412.51元 (-94.3%) 来源:售楼处</t>
        </is>
      </c>
      <c r="Q857" s="35" t="n"/>
      <c r="R857" s="35" t="n"/>
    </row>
    <row r="858" outlineLevel="2" ht="108" customFormat="1" customHeight="1" s="39">
      <c r="A858" s="37">
        <f>1+N(A857)</f>
        <v/>
      </c>
      <c r="B858" s="27" t="inlineStr">
        <is>
          <t>洗手台</t>
        </is>
      </c>
      <c r="C858" s="27" t="inlineStr">
        <is>
          <t>1、洗手台（Lmm*470mm*600mm）
2.包括但不限于制作安装、钢结构骨架、石材及石材防污处理、9mm阻燃板基层、ST-07石材台面、1.2mm厚 MT-01古铜不锈钢饰面、WD-03木饰面；
3.含拉手、抽屉、含相应的线孔洞开设；
4.包含完成该项内容所有工作及费用并满足设计图纸、规范等要求；</t>
        </is>
      </c>
      <c r="D858" s="27" t="inlineStr">
        <is>
          <t>自现有现场条件下按照合同约定范围、图纸（含设计变更）及甲方要求内容以及规范、标准、相关做法等要求完成并达到总包合同全部目标的全部工作内容。</t>
        </is>
      </c>
      <c r="E858" s="27" t="inlineStr">
        <is>
          <t>以最终验收合格的工程量计算</t>
        </is>
      </c>
      <c r="F858" s="28" t="inlineStr">
        <is>
          <t>m</t>
        </is>
      </c>
      <c r="G858" s="61" t="n">
        <v>0.9</v>
      </c>
      <c r="H858" s="62" t="n">
        <v>4031.07666666667</v>
      </c>
      <c r="I858" s="65" t="n"/>
      <c r="J858" s="62">
        <f>H858*(1-$I$4)</f>
        <v/>
      </c>
      <c r="K858" s="63">
        <f>G858*J858</f>
        <v/>
      </c>
      <c r="L858" s="33" t="inlineStr">
        <is>
          <t>/</t>
        </is>
      </c>
      <c r="M858" s="64" t="n"/>
      <c r="N858" s="39" t="n">
        <v>1</v>
      </c>
      <c r="O858" t="n">
        <v>85</v>
      </c>
      <c r="P858" s="35" t="inlineStr">
        <is>
          <t>差:-3946.08元 (-97.9%) 来源:售楼处</t>
        </is>
      </c>
      <c r="Q858" s="35" t="n"/>
      <c r="R858" s="35" t="n"/>
    </row>
    <row r="859" outlineLevel="1" customFormat="1" s="39">
      <c r="A859" s="26" t="inlineStr">
        <is>
          <t>十八</t>
        </is>
      </c>
      <c r="B859" s="27" t="inlineStr">
        <is>
          <t>储物间\操作间</t>
        </is>
      </c>
      <c r="C859" s="27" t="n"/>
      <c r="D859" s="27" t="n"/>
      <c r="E859" s="27" t="n"/>
      <c r="F859" s="28" t="n"/>
      <c r="G859" s="61" t="n"/>
      <c r="H859" s="62" t="n"/>
      <c r="I859" s="65" t="n"/>
      <c r="J859" s="62" t="n"/>
      <c r="K859" s="63" t="n"/>
      <c r="L859" s="33" t="n"/>
      <c r="M859" s="64" t="n"/>
      <c r="P859" s="35" t="n"/>
      <c r="Q859" s="35" t="n"/>
      <c r="R859" s="35" t="n"/>
    </row>
    <row r="860" outlineLevel="1" customFormat="1" s="39">
      <c r="A860" s="36" t="n"/>
      <c r="B860" s="27" t="inlineStr">
        <is>
          <t>地面工程</t>
        </is>
      </c>
      <c r="C860" s="27" t="n"/>
      <c r="D860" s="27" t="n"/>
      <c r="E860" s="27" t="n"/>
      <c r="F860" s="28" t="n"/>
      <c r="G860" s="61" t="n"/>
      <c r="H860" s="62" t="n"/>
      <c r="I860" s="65" t="n"/>
      <c r="J860" s="62" t="n"/>
      <c r="K860" s="63" t="n"/>
      <c r="L860" s="33" t="n"/>
      <c r="M860" s="64" t="n"/>
      <c r="P860" s="35" t="n"/>
      <c r="Q860" s="35" t="n"/>
      <c r="R860" s="35" t="n"/>
    </row>
    <row r="861" outlineLevel="2" ht="108" customFormat="1" customHeight="1" s="39">
      <c r="A861" s="37">
        <f>1+N(A860)</f>
        <v/>
      </c>
      <c r="B861" s="27" t="inlineStr">
        <is>
          <t>地面地砖 CT-06</t>
        </is>
      </c>
      <c r="C861" s="27" t="inlineStr">
        <is>
          <t>1.地面花砖CT-06；
2.10mm厚专用粘结剂；
3.80mm厚DS-M15干混砂浆找平；
4.基层清理；
5.含切边、倒角、拼接等处理；
6.包含完成该项内容所有工作及费用并满足设计图纸、规范等要求；</t>
        </is>
      </c>
      <c r="D861"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861" s="27" t="inlineStr">
        <is>
          <t xml:space="preserve">执行《GB/T50854-2024房屋建筑与装饰工程工程量计算标准》，按设计图示尺寸
以面积计算。 </t>
        </is>
      </c>
      <c r="F861" s="28" t="inlineStr">
        <is>
          <t>m2</t>
        </is>
      </c>
      <c r="G861" s="61" t="n">
        <v>10.78</v>
      </c>
      <c r="H861" s="62" t="n">
        <v>164.71148</v>
      </c>
      <c r="I861" s="65" t="n"/>
      <c r="J861" s="62">
        <f>H861*(1-$I$4)</f>
        <v/>
      </c>
      <c r="K861" s="63">
        <f>G861*J861</f>
        <v/>
      </c>
      <c r="L861" s="33" t="inlineStr">
        <is>
          <t>瓷砖</t>
        </is>
      </c>
      <c r="M861" s="64" t="n"/>
      <c r="N861" s="39" t="n">
        <v>1</v>
      </c>
      <c r="O861" t="n">
        <v>77</v>
      </c>
      <c r="P861" s="35" t="inlineStr">
        <is>
          <t>差:-87.71元 (-53.3%) 来源:售楼处</t>
        </is>
      </c>
      <c r="Q861" s="35" t="n"/>
      <c r="R861" s="35" t="n"/>
    </row>
    <row r="862" outlineLevel="2" ht="108" customFormat="1" customHeight="1" s="39">
      <c r="A862" s="37">
        <f>1+N(A861)</f>
        <v/>
      </c>
      <c r="B862" s="27" t="inlineStr">
        <is>
          <t>地面铺贴大理石ST-01</t>
        </is>
      </c>
      <c r="C862" s="27" t="inlineStr">
        <is>
          <t>1.地面20mm大理石ST-01、铺贴、厚度及样式按物料书为准；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862"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862" s="27" t="inlineStr">
        <is>
          <t xml:space="preserve">执行《GB/T50854-2024房屋建筑与装饰工程工程量计算标准》，按设计图示尺寸
以面积计算。 </t>
        </is>
      </c>
      <c r="F862" s="28" t="inlineStr">
        <is>
          <t>m2</t>
        </is>
      </c>
      <c r="G862" s="61" t="n">
        <v>0.32</v>
      </c>
      <c r="H862" s="62" t="n">
        <v>218.75017</v>
      </c>
      <c r="I862" s="65" t="n"/>
      <c r="J862" s="62">
        <f>H862*(1-$I$4)</f>
        <v/>
      </c>
      <c r="K862" s="63">
        <f>G862*J862</f>
        <v/>
      </c>
      <c r="L862" s="33" t="inlineStr">
        <is>
          <t>石材</t>
        </is>
      </c>
      <c r="M862" s="64" t="n"/>
      <c r="N862" s="39" t="n">
        <v>1</v>
      </c>
      <c r="O862" t="n">
        <v>130</v>
      </c>
      <c r="P862" s="35" t="inlineStr">
        <is>
          <t>差:-88.75元 (-40.6%) 来源:售楼处</t>
        </is>
      </c>
      <c r="Q862" s="35" t="n"/>
      <c r="R862" s="35" t="n"/>
    </row>
    <row r="863" outlineLevel="2" ht="108" customFormat="1" customHeight="1" s="39">
      <c r="A863" s="37">
        <f>1+N(A862)</f>
        <v/>
      </c>
      <c r="B863" s="27" t="inlineStr">
        <is>
          <t>地面石材晶面处理</t>
        </is>
      </c>
      <c r="C863" s="27" t="inlineStr">
        <is>
          <t>1.石材结晶处理(结晶水及石材保养剂,中性清洁剂)；
2.包含完成该项内容所有工作及费用并满足设计图纸、规范等要求；</t>
        </is>
      </c>
      <c r="D863"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863" s="27" t="inlineStr">
        <is>
          <t xml:space="preserve">执行《GB/T50854-2024房屋建筑与装饰工程工程量计算标准》，按设计图示尺寸
以面积计算。 </t>
        </is>
      </c>
      <c r="F863" s="28" t="inlineStr">
        <is>
          <t>m2</t>
        </is>
      </c>
      <c r="G863" s="61" t="n">
        <v>0.32</v>
      </c>
      <c r="H863" s="62" t="n">
        <v>64.90000000000001</v>
      </c>
      <c r="I863" s="65" t="n"/>
      <c r="J863" s="62">
        <f>H863*(1-$I$4)</f>
        <v/>
      </c>
      <c r="K863" s="63">
        <f>G863*J863</f>
        <v/>
      </c>
      <c r="L863" s="33" t="inlineStr">
        <is>
          <t>/</t>
        </is>
      </c>
      <c r="M863" s="64" t="n"/>
      <c r="N863" s="39" t="n">
        <v>1</v>
      </c>
      <c r="O863" t="n">
        <v>40</v>
      </c>
      <c r="P863" s="35" t="inlineStr">
        <is>
          <t>差:-24.90元 (-38.4%) 来源:售楼处</t>
        </is>
      </c>
      <c r="Q863" s="35" t="n"/>
      <c r="R863" s="35" t="n"/>
    </row>
    <row r="864" outlineLevel="1" customFormat="1" s="39">
      <c r="A864" s="36" t="n"/>
      <c r="B864" s="27" t="inlineStr">
        <is>
          <t>墙柱面工程</t>
        </is>
      </c>
      <c r="C864" s="27" t="n"/>
      <c r="D864" s="27" t="n"/>
      <c r="E864" s="27" t="n"/>
      <c r="F864" s="28" t="n"/>
      <c r="G864" s="61" t="n"/>
      <c r="H864" s="62" t="n"/>
      <c r="I864" s="65" t="n"/>
      <c r="J864" s="62" t="n"/>
      <c r="K864" s="63" t="n"/>
      <c r="L864" s="33" t="n"/>
      <c r="M864" s="64" t="n"/>
      <c r="P864" s="35" t="n"/>
      <c r="Q864" s="35" t="n"/>
      <c r="R864" s="35" t="n"/>
    </row>
    <row r="865" outlineLevel="2" ht="144" customFormat="1" customHeight="1" s="39">
      <c r="A865" s="37">
        <f>1+N(A864)</f>
        <v/>
      </c>
      <c r="B865" s="27" t="inlineStr">
        <is>
          <t>墙面PT-02白色防水无机涂料</t>
        </is>
      </c>
      <c r="C865" s="27" t="inlineStr">
        <is>
          <t>1、墙面PT-02白色防水无机涂料(底漆1遍，面漆2遍)
2、刮白胶腻子找平二遍，打磨
3、阴、阳角护角收边
4、双层9.5mm纸面石膏板
5、轻钢龙骨基层找平
6、包含完成该项内容所有工作及费用并满足设计图纸、规范等要求</t>
        </is>
      </c>
      <c r="D865"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865" s="27" t="inlineStr">
        <is>
          <t xml:space="preserve">执行《GB/T50854-2024房屋建筑与装饰工程工程量计算标准》，按设计图示尺寸
以面积计算。 </t>
        </is>
      </c>
      <c r="F865" s="28" t="inlineStr">
        <is>
          <t>m2</t>
        </is>
      </c>
      <c r="G865" s="61" t="n">
        <v>28.23</v>
      </c>
      <c r="H865" s="62" t="n">
        <v>207.68</v>
      </c>
      <c r="I865" s="65" t="n"/>
      <c r="J865" s="62">
        <f>H865*(1-$I$4)</f>
        <v/>
      </c>
      <c r="K865" s="63">
        <f>G865*J865</f>
        <v/>
      </c>
      <c r="L865" s="33" t="inlineStr">
        <is>
          <t>涂料</t>
        </is>
      </c>
      <c r="M865" s="64" t="n"/>
      <c r="N865" s="39" t="n">
        <v>1</v>
      </c>
      <c r="O865" t="n">
        <v>91.5</v>
      </c>
      <c r="P865" s="35" t="inlineStr">
        <is>
          <t>差:-116.18元 (-55.9%) 来源:售楼处</t>
        </is>
      </c>
      <c r="Q865" s="35" t="n"/>
      <c r="R865" s="35" t="n"/>
    </row>
    <row r="866" outlineLevel="2" ht="144" customFormat="1" customHeight="1" s="39">
      <c r="A866" s="37">
        <f>1+N(A865)</f>
        <v/>
      </c>
      <c r="B866" s="27" t="inlineStr">
        <is>
          <t>墙面CT-06瓷砖</t>
        </is>
      </c>
      <c r="C866" s="27" t="inlineStr">
        <is>
          <t>1、CT-06瓷砖,瓷砖填缝剂处理
2、背覆胶处理
3、12mm水泥纤维板、轻钢龙骨构件
4、界面剂拉毛处理
5、包含完成该项内容所有工作及费用并满足设计图纸、规范等要求</t>
        </is>
      </c>
      <c r="D866" s="27" t="inlineStr">
        <is>
          <t>具体工作内容除详见项目特征外，且不限于以下内容:1.包含材料的下车、场内运输；2.清理基层、找标高、弹线定位；3.试拼试排；4.砂浆拌和、铺找平层（粘结层）砂浆；5.面层铺设、灌缝、擦缝；6.打蜡、养护；配合留设墙面开关、插座等末端设备等全部内容；包含成品保护、安全文明施工等达到验收合格的全部施工内容。</t>
        </is>
      </c>
      <c r="E866" s="27" t="inlineStr">
        <is>
          <t>执行《GB/T50854-2024房屋建筑与装饰工程工程量计算标准》，按设计图示镶贴后外围面积计算</t>
        </is>
      </c>
      <c r="F866" s="28" t="inlineStr">
        <is>
          <t>m2</t>
        </is>
      </c>
      <c r="G866" s="61" t="n">
        <v>25.48</v>
      </c>
      <c r="H866" s="62" t="n">
        <v>239.54</v>
      </c>
      <c r="I866" s="65" t="n"/>
      <c r="J866" s="62">
        <f>H866*(1-$I$4)</f>
        <v/>
      </c>
      <c r="K866" s="63">
        <f>G866*J866</f>
        <v/>
      </c>
      <c r="L866" s="33" t="inlineStr">
        <is>
          <t>瓷砖</t>
        </is>
      </c>
      <c r="M866" s="64" t="n"/>
      <c r="N866" s="39" t="n">
        <v>1</v>
      </c>
      <c r="O866" t="n">
        <v>89</v>
      </c>
      <c r="P866" s="35" t="inlineStr">
        <is>
          <t>差:-150.54元 (-62.8%) 来源:售楼处</t>
        </is>
      </c>
      <c r="Q866" s="35" t="n"/>
      <c r="R866" s="35" t="n"/>
    </row>
    <row r="867" outlineLevel="2" ht="144" customFormat="1" customHeight="1" s="39">
      <c r="A867" s="37">
        <f>1+N(A866)</f>
        <v/>
      </c>
      <c r="B867" s="27" t="inlineStr">
        <is>
          <t>50mm CT-06瓷砖踢脚</t>
        </is>
      </c>
      <c r="C867" s="27" t="inlineStr">
        <is>
          <t>1、50mm CT-06瓷砖踢脚,瓷砖填缝剂处理
2、背覆胶处理
3、C1T等级抗滑移水泥基胶粘剂
4、界面剂拉毛处理
5、包含完成该项内容所有工作及费用并满足设计图纸、规范等要求</t>
        </is>
      </c>
      <c r="D867" s="27" t="inlineStr">
        <is>
          <t>具体工作内容除详见项目特征外，且不限于以下内容:1.包含材料的下车、场内运输；2.清理基层、找标高、弹线定位；3.试拼试排；4.砂浆拌和、铺找平层（粘结层）砂浆；5.面层铺设、灌缝、擦缝；6.打蜡、养护；配合留设墙面开关、插座等末端设备等全部内容；包含成品保护、安全文明施工等达到验收合格的全部施工内容。</t>
        </is>
      </c>
      <c r="E867" s="27" t="inlineStr">
        <is>
          <t>执行《GB/T50854-2024房屋建筑与装饰工程工程量计算标准》，按设计图示镶贴后外围面积计算</t>
        </is>
      </c>
      <c r="F867" s="28" t="inlineStr">
        <is>
          <t>m2</t>
        </is>
      </c>
      <c r="G867" s="61" t="n">
        <v>0.49</v>
      </c>
      <c r="H867" s="62" t="n">
        <v>370.7324</v>
      </c>
      <c r="I867" s="65" t="n"/>
      <c r="J867" s="62">
        <f>H867*(1-$I$4)</f>
        <v/>
      </c>
      <c r="K867" s="63">
        <f>G867*J867</f>
        <v/>
      </c>
      <c r="L867" s="33" t="inlineStr">
        <is>
          <t>瓷砖</t>
        </is>
      </c>
      <c r="M867" s="64" t="n"/>
      <c r="N867" s="39" t="n">
        <v>1</v>
      </c>
      <c r="O867" t="n">
        <v>120</v>
      </c>
      <c r="P867" s="35" t="inlineStr">
        <is>
          <t>差:-250.73元 (-67.6%) 来源:售楼处</t>
        </is>
      </c>
      <c r="Q867" s="35" t="n"/>
      <c r="R867" s="35" t="n"/>
    </row>
    <row r="868" outlineLevel="2" ht="180" customFormat="1" customHeight="1" s="39">
      <c r="A868" s="37">
        <f>1+N(A867)</f>
        <v/>
      </c>
      <c r="B868" s="27" t="inlineStr">
        <is>
          <t>不锈钢门套</t>
        </is>
      </c>
      <c r="C868" s="27" t="inlineStr">
        <is>
          <t>1、1.2mm厚 MT-01古铜不锈钢门套，结构胶固定
2、9厘玻镁板基层
3、工程量以展开面积计算
4、包含完成该项内容所有工作及费用并满足设计图纸、规范等要求</t>
        </is>
      </c>
      <c r="D868"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868" s="27" t="inlineStr">
        <is>
          <t>执行《GB/T50854-2024房屋建筑与装饰工程工程量计算标准》，按设计图示饰面外围尺寸
以面积计算。 扣除门窗洞口面积，不扣除单个面积≤0.3㎡的孔洞所占面积。</t>
        </is>
      </c>
      <c r="F868" s="28" t="inlineStr">
        <is>
          <t>m2</t>
        </is>
      </c>
      <c r="G868" s="61" t="n">
        <v>3.77</v>
      </c>
      <c r="H868" s="62" t="n">
        <v>630.651</v>
      </c>
      <c r="I868" s="65" t="n"/>
      <c r="J868" s="62">
        <f>H868*(1-$I$4)</f>
        <v/>
      </c>
      <c r="K868" s="63">
        <f>G868*J868</f>
        <v/>
      </c>
      <c r="L868" s="33" t="inlineStr">
        <is>
          <t>/</t>
        </is>
      </c>
      <c r="M868" s="64" t="n"/>
      <c r="N868" s="39" t="n">
        <v>1</v>
      </c>
      <c r="O868" t="n">
        <v>110</v>
      </c>
      <c r="P868" s="35" t="inlineStr">
        <is>
          <t>差:-520.65元 (-82.6%) 来源:售楼处</t>
        </is>
      </c>
      <c r="Q868" s="35" t="n"/>
      <c r="R868" s="35" t="n"/>
    </row>
    <row r="869" outlineLevel="2" ht="72" customFormat="1" customHeight="1" s="39">
      <c r="A869" s="37">
        <f>1+N(A868)</f>
        <v/>
      </c>
      <c r="B869" s="27" t="inlineStr">
        <is>
          <t>MT-01古铜不锈钢窗套（展开面为95mm）</t>
        </is>
      </c>
      <c r="C869" s="27" t="inlineStr">
        <is>
          <t>1、1.2mm厚 MT-01古铜不锈钢窗套（展开面为95mm），结构胶固定
2、9厘玻镁板基层
3、包含完成该项内容所有工作及费用并满足设计图纸、规范等要求</t>
        </is>
      </c>
      <c r="D869" s="27" t="inlineStr">
        <is>
          <t>自现有现场条件下按照合同约定范围、图纸（含设计变更）及甲方要求内容以及规范、标准、相关做法等要求完成并达到总包合同全部目标的全部工作内容。</t>
        </is>
      </c>
      <c r="E869" s="27" t="inlineStr">
        <is>
          <t>以最终验收合格的工程量计算</t>
        </is>
      </c>
      <c r="F869" s="28" t="inlineStr">
        <is>
          <t>m2</t>
        </is>
      </c>
      <c r="G869" s="61" t="n">
        <v>1.58</v>
      </c>
      <c r="H869" s="62" t="n">
        <v>630.651</v>
      </c>
      <c r="I869" s="65" t="n"/>
      <c r="J869" s="62">
        <f>H869*(1-$I$4)</f>
        <v/>
      </c>
      <c r="K869" s="63">
        <f>G869*J869</f>
        <v/>
      </c>
      <c r="L869" s="33" t="inlineStr">
        <is>
          <t>/</t>
        </is>
      </c>
      <c r="M869" s="64" t="n"/>
      <c r="N869" s="39" t="n">
        <v>1</v>
      </c>
      <c r="O869" t="n">
        <v>110</v>
      </c>
      <c r="P869" s="35" t="inlineStr">
        <is>
          <t>差:-520.65元 (-82.6%) 来源:售楼处</t>
        </is>
      </c>
      <c r="Q869" s="35" t="n"/>
      <c r="R869" s="35" t="n"/>
    </row>
    <row r="870" outlineLevel="1" customFormat="1" s="39">
      <c r="A870" s="36" t="n"/>
      <c r="B870" s="27" t="inlineStr">
        <is>
          <t>天花工程</t>
        </is>
      </c>
      <c r="C870" s="27" t="n"/>
      <c r="D870" s="27" t="n"/>
      <c r="E870" s="27" t="n"/>
      <c r="F870" s="28" t="n"/>
      <c r="G870" s="61" t="n"/>
      <c r="H870" s="62" t="n"/>
      <c r="I870" s="65" t="n"/>
      <c r="J870" s="62" t="n"/>
      <c r="K870" s="63" t="n"/>
      <c r="L870" s="33" t="n"/>
      <c r="M870" s="64" t="n"/>
      <c r="P870" s="35" t="n"/>
      <c r="Q870" s="35" t="n"/>
      <c r="R870" s="35" t="n"/>
    </row>
    <row r="871" outlineLevel="2" ht="192" customFormat="1" customHeight="1" s="39">
      <c r="A871" s="37">
        <f>1+N(A870)</f>
        <v/>
      </c>
      <c r="B871" s="27" t="inlineStr">
        <is>
          <t>天花白色无机涂料PT-01</t>
        </is>
      </c>
      <c r="C871" s="27" t="inlineStr">
        <is>
          <t>1.天花白色无机涂料PT-01；
2.刮腻子二遍磨平；
3.底漆1遍，面漆2遍；
4.包含完成该项内容所有工作及费用并满足设计图纸、规范等要求；</t>
        </is>
      </c>
      <c r="D871" s="27" t="inlineStr">
        <is>
          <t>包括但不限于材料计划、采购、卸车倒运、保管、检验试验费、测量放线，包含四周阴角找平直、含天棚四周阴角找平直，打磨，简易脚手架搭拆及操作平台、升降机，基层清理、打磨平整、底层找补、满刮涂料（含阴阳角塑料条）、涂料打磨、补遗处理、配合其他分包施工、完工后场清、成品保护、保修等直到达到竣工交付标准的全部工作内容。包括所有为完成工作所需的小型机具；包括所有为完成工作所需的附属工作；包括但不限于以上内容。</t>
        </is>
      </c>
      <c r="E871" s="27" t="inlineStr">
        <is>
          <t>执行《GB/T50854-2024房屋建筑与装饰工程工程量计算标准》，按设计图示尺寸以面积计算。扣除0.3平方米以上洞口的面积；梁侧面及檐口天棚并入天棚计算；以设计图纸和技术交底为基础</t>
        </is>
      </c>
      <c r="F871" s="28" t="inlineStr">
        <is>
          <t>m2</t>
        </is>
      </c>
      <c r="G871" s="61" t="n">
        <v>10.78</v>
      </c>
      <c r="H871" s="62" t="n">
        <v>35.99</v>
      </c>
      <c r="I871" s="65" t="n"/>
      <c r="J871" s="62">
        <f>H871*(1-$I$4)</f>
        <v/>
      </c>
      <c r="K871" s="63">
        <f>G871*J871</f>
        <v/>
      </c>
      <c r="L871" s="33" t="inlineStr">
        <is>
          <t>涂料</t>
        </is>
      </c>
      <c r="M871" s="64" t="n"/>
      <c r="N871" s="39" t="n">
        <v>1</v>
      </c>
      <c r="O871" t="n">
        <v>28.5</v>
      </c>
      <c r="P871" s="35" t="inlineStr">
        <is>
          <t>差:-7.49元 (-20.8%) 来源:售楼处</t>
        </is>
      </c>
      <c r="Q871" s="35" t="n"/>
      <c r="R871" s="35" t="n"/>
    </row>
    <row r="872" outlineLevel="1" customFormat="1" s="39">
      <c r="A872" s="36" t="n"/>
      <c r="B872" s="27" t="inlineStr">
        <is>
          <t>门窗、家具工程</t>
        </is>
      </c>
      <c r="C872" s="27" t="n"/>
      <c r="D872" s="27" t="n"/>
      <c r="E872" s="27" t="n"/>
      <c r="F872" s="28" t="n"/>
      <c r="G872" s="61" t="n"/>
      <c r="H872" s="62" t="n"/>
      <c r="I872" s="65" t="n"/>
      <c r="J872" s="62" t="n"/>
      <c r="K872" s="63" t="n"/>
      <c r="L872" s="33" t="n"/>
      <c r="M872" s="64" t="n"/>
      <c r="P872" s="35" t="n"/>
      <c r="Q872" s="35" t="n"/>
      <c r="R872" s="35" t="n"/>
    </row>
    <row r="873" outlineLevel="2" ht="72" customFormat="1" customHeight="1" s="39">
      <c r="A873" s="37">
        <f>1+N(A872)</f>
        <v/>
      </c>
      <c r="B873" s="27" t="inlineStr">
        <is>
          <t>平开门(DR010)</t>
        </is>
      </c>
      <c r="C873" s="27" t="inlineStr">
        <is>
          <t>1、门扇：WD-03木饰面、20*40mm热镀锌矩管、9mm厚玻镁板基层
2、定制成品套装门制安
3、含暗合页、门把手等五金配件
4、包含完成该项内容所有工作及费用并满足设计图纸、规范等要求</t>
        </is>
      </c>
      <c r="D873" s="27" t="inlineStr">
        <is>
          <t>自现有现场条件下按照合同约定范围、图纸（含设计变更）及甲方要求内容以及规范、标准、相关做法等要求完成并达到总包合同全部目标的全部工作内容。</t>
        </is>
      </c>
      <c r="E873" s="27" t="inlineStr">
        <is>
          <t>以最终验收合格的工程量计算</t>
        </is>
      </c>
      <c r="F873" s="28" t="inlineStr">
        <is>
          <t>m2</t>
        </is>
      </c>
      <c r="G873" s="61" t="n">
        <v>2.18</v>
      </c>
      <c r="H873" s="62" t="n">
        <v>2447.18117647059</v>
      </c>
      <c r="I873" s="65" t="n"/>
      <c r="J873" s="62">
        <f>H873*(1-$I$4)</f>
        <v/>
      </c>
      <c r="K873" s="63">
        <f>G873*J873</f>
        <v/>
      </c>
      <c r="L873" s="33" t="inlineStr">
        <is>
          <t>/</t>
        </is>
      </c>
      <c r="M873" s="64" t="n"/>
      <c r="N873" s="39" t="n">
        <v>1</v>
      </c>
      <c r="O873" t="n">
        <v>145</v>
      </c>
      <c r="P873" s="35" t="inlineStr">
        <is>
          <t>差:-2302.18元 (-94.1%) 来源:售楼处</t>
        </is>
      </c>
      <c r="Q873" s="35" t="n"/>
      <c r="R873" s="35" t="n"/>
    </row>
    <row r="874" outlineLevel="2" ht="108" customFormat="1" customHeight="1" s="39">
      <c r="A874" s="37">
        <f>1+N(A873)</f>
        <v/>
      </c>
      <c r="B874" s="27" t="inlineStr">
        <is>
          <t>平开门(DR009)</t>
        </is>
      </c>
      <c r="C874" s="27" t="inlineStr">
        <is>
          <t>1、正门扇：1.2mm厚 MT-01古铜不锈钢、WD-03木饰面、20*40mm热镀锌矩管、9mm厚玻镁板基层
2、反门扇：MR-01银镜
3、定制成品套装门制安
4、含转轴、暗藏闭门器、门把手等五金配件
5、包含完成该项内容所有工作及费用并满足设计图纸、规范等要求</t>
        </is>
      </c>
      <c r="D874" s="27" t="inlineStr">
        <is>
          <t>自现有现场条件下按照合同约定范围、图纸（含设计变更）及甲方要求内容以及规范、标准、相关做法等要求完成并达到总包合同全部目标的全部工作内容。</t>
        </is>
      </c>
      <c r="E874" s="27" t="inlineStr">
        <is>
          <t>以最终验收合格的工程量计算</t>
        </is>
      </c>
      <c r="F874" s="28" t="inlineStr">
        <is>
          <t>m2</t>
        </is>
      </c>
      <c r="G874" s="61" t="n">
        <v>2.62</v>
      </c>
      <c r="H874" s="62" t="n">
        <v>2196.43117647059</v>
      </c>
      <c r="I874" s="65" t="n"/>
      <c r="J874" s="62">
        <f>H874*(1-$I$4)</f>
        <v/>
      </c>
      <c r="K874" s="63">
        <f>G874*J874</f>
        <v/>
      </c>
      <c r="L874" s="33" t="inlineStr">
        <is>
          <t>/</t>
        </is>
      </c>
      <c r="M874" s="64" t="n"/>
      <c r="N874" s="39" t="n">
        <v>1</v>
      </c>
      <c r="O874" t="n">
        <v>145</v>
      </c>
      <c r="P874" s="35" t="inlineStr">
        <is>
          <t>差:-2051.43元 (-93.4%) 来源:售楼处</t>
        </is>
      </c>
      <c r="Q874" s="35" t="n"/>
      <c r="R874" s="35" t="n"/>
    </row>
    <row r="875" outlineLevel="2" ht="96" customFormat="1" customHeight="1" s="39">
      <c r="A875" s="37">
        <f>1+N(A874)</f>
        <v/>
      </c>
      <c r="B875" s="27" t="inlineStr">
        <is>
          <t>操作间地柜</t>
        </is>
      </c>
      <c r="C875" s="27" t="inlineStr">
        <is>
          <t>1、操作间地柜（L*600mm*850mm）
2.包括但不限于制作安装、钢结构骨架、石材及石材防污处理、阻燃板基层、ST-07石材台面、1.2mm厚 MT-01古铜不锈钢饰面、WD-03木饰面；
3.含五金配件、相应的线孔洞开设
4.包含完成该项内容所有工作及费用并满足设计图纸、规范等要求</t>
        </is>
      </c>
      <c r="D875" s="27" t="inlineStr">
        <is>
          <t>自现有现场条件下按照合同约定范围、图纸（含设计变更）及甲方要求内容以及规范、标准、相关做法等要求完成并达到总包合同全部目标的全部工作内容。</t>
        </is>
      </c>
      <c r="E875" s="27" t="inlineStr">
        <is>
          <t>以最终验收合格的工程量计算</t>
        </is>
      </c>
      <c r="F875" s="28" t="inlineStr">
        <is>
          <t>m</t>
        </is>
      </c>
      <c r="G875" s="61" t="n">
        <v>4.33</v>
      </c>
      <c r="H875" s="62" t="n">
        <v>3283.87392</v>
      </c>
      <c r="I875" s="65" t="n"/>
      <c r="J875" s="62">
        <f>H875*(1-$I$4)</f>
        <v/>
      </c>
      <c r="K875" s="63">
        <f>G875*J875</f>
        <v/>
      </c>
      <c r="L875" s="33" t="inlineStr">
        <is>
          <t>/</t>
        </is>
      </c>
      <c r="M875" s="64" t="n"/>
      <c r="N875" s="39" t="n">
        <v>1</v>
      </c>
      <c r="O875" t="n">
        <v>85</v>
      </c>
      <c r="P875" s="35" t="inlineStr">
        <is>
          <t>差:-3198.87元 (-97.4%) 来源:售楼处</t>
        </is>
      </c>
      <c r="Q875" s="35" t="n"/>
      <c r="R875" s="35" t="n"/>
    </row>
    <row r="876" outlineLevel="1" customFormat="1" s="39">
      <c r="A876" s="26" t="inlineStr">
        <is>
          <t>十九</t>
        </is>
      </c>
      <c r="B876" s="27" t="inlineStr">
        <is>
          <t>简餐咖啡厅</t>
        </is>
      </c>
      <c r="C876" s="27" t="n"/>
      <c r="D876" s="27" t="n"/>
      <c r="E876" s="27" t="n"/>
      <c r="F876" s="28" t="n"/>
      <c r="G876" s="61" t="n"/>
      <c r="H876" s="62" t="n"/>
      <c r="I876" s="65" t="n"/>
      <c r="J876" s="62" t="n"/>
      <c r="K876" s="63" t="n"/>
      <c r="L876" s="33" t="n"/>
      <c r="M876" s="64" t="n"/>
      <c r="P876" s="35" t="n"/>
      <c r="Q876" s="35" t="n"/>
      <c r="R876" s="35" t="n"/>
    </row>
    <row r="877" outlineLevel="1" customFormat="1" s="39">
      <c r="A877" s="36" t="n"/>
      <c r="B877" s="27" t="inlineStr">
        <is>
          <t>地面工程</t>
        </is>
      </c>
      <c r="C877" s="27" t="n"/>
      <c r="D877" s="27" t="n"/>
      <c r="E877" s="27" t="n"/>
      <c r="F877" s="28" t="n"/>
      <c r="G877" s="61" t="n"/>
      <c r="H877" s="62" t="n"/>
      <c r="I877" s="65" t="n"/>
      <c r="J877" s="62" t="n"/>
      <c r="K877" s="63" t="n"/>
      <c r="L877" s="33" t="n"/>
      <c r="M877" s="64" t="n"/>
      <c r="P877" s="35" t="n"/>
      <c r="Q877" s="35" t="n"/>
      <c r="R877" s="35" t="n"/>
    </row>
    <row r="878" outlineLevel="2" ht="108" customFormat="1" customHeight="1" s="39">
      <c r="A878" s="37">
        <f>1+N(A877)</f>
        <v/>
      </c>
      <c r="B878" s="27" t="inlineStr">
        <is>
          <t>地面铺贴大理石ST-03</t>
        </is>
      </c>
      <c r="C878" s="27" t="inlineStr">
        <is>
          <t>1.地面20mm大理石ST-03、铺贴、厚度及样式按物料书为准；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878"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878" s="27" t="inlineStr">
        <is>
          <t xml:space="preserve">执行《GB/T50854-2024房屋建筑与装饰工程工程量计算标准》，按设计图示尺寸
以面积计算。 </t>
        </is>
      </c>
      <c r="F878" s="28" t="inlineStr">
        <is>
          <t>m2</t>
        </is>
      </c>
      <c r="G878" s="61" t="n">
        <v>39.7</v>
      </c>
      <c r="H878" s="62" t="n">
        <v>218.75017</v>
      </c>
      <c r="I878" s="65" t="n"/>
      <c r="J878" s="62">
        <f>H878*(1-$I$4)</f>
        <v/>
      </c>
      <c r="K878" s="63">
        <f>G878*J878</f>
        <v/>
      </c>
      <c r="L878" s="33" t="inlineStr">
        <is>
          <t>石材</t>
        </is>
      </c>
      <c r="M878" s="64" t="n"/>
      <c r="N878" s="39" t="n">
        <v>1</v>
      </c>
      <c r="O878" t="n">
        <v>130</v>
      </c>
      <c r="P878" s="35" t="inlineStr">
        <is>
          <t>差:-88.75元 (-40.6%) 来源:售楼处</t>
        </is>
      </c>
      <c r="Q878" s="35" t="n"/>
      <c r="R878" s="35" t="n"/>
    </row>
    <row r="879" outlineLevel="2" ht="120" customFormat="1" customHeight="1" s="39">
      <c r="A879" s="37">
        <f>1+N(A878)</f>
        <v/>
      </c>
      <c r="B879" s="27" t="inlineStr">
        <is>
          <t>地面铺贴大理石st-02、ST-03（波打）</t>
        </is>
      </c>
      <c r="C879" s="27" t="inlineStr">
        <is>
          <t>1.地面20mm大理石ST-02 、ST-03（波打）、铺贴、厚度及样式按物料书为准；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879"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879" s="27" t="inlineStr">
        <is>
          <t xml:space="preserve">执行《GB/T50854-2024房屋建筑与装饰工程工程量计算标准》，按设计图示尺寸
以面积计算。 </t>
        </is>
      </c>
      <c r="F879" s="28" t="inlineStr">
        <is>
          <t>m2</t>
        </is>
      </c>
      <c r="G879" s="61" t="n">
        <v>2.92</v>
      </c>
      <c r="H879" s="62" t="n">
        <v>218.75017</v>
      </c>
      <c r="I879" s="65" t="n"/>
      <c r="J879" s="62">
        <f>H879*(1-$I$4)</f>
        <v/>
      </c>
      <c r="K879" s="63">
        <f>G879*J879</f>
        <v/>
      </c>
      <c r="L879" s="33" t="inlineStr">
        <is>
          <t>石材</t>
        </is>
      </c>
      <c r="M879" s="64" t="n"/>
      <c r="N879" s="39" t="n">
        <v>1</v>
      </c>
      <c r="O879" t="n">
        <v>140</v>
      </c>
      <c r="P879" s="35" t="inlineStr">
        <is>
          <t>差:-78.75元 (-36.0%) 来源:售楼处</t>
        </is>
      </c>
      <c r="Q879" s="35" t="n"/>
      <c r="R879" s="35" t="n"/>
    </row>
    <row r="880" outlineLevel="2" ht="108" customFormat="1" customHeight="1" s="39">
      <c r="A880" s="37">
        <f>1+N(A879)</f>
        <v/>
      </c>
      <c r="B880" s="27" t="inlineStr">
        <is>
          <t>地面地砖 CT-05</t>
        </is>
      </c>
      <c r="C880" s="27" t="inlineStr">
        <is>
          <t>1.地面花砖CT-05；
2.10mm厚专用粘结剂；
3.80mm厚DS-M15干混砂浆找平；
4.基层清理；
5.含切边、倒角、拼接等处理；
6.包含完成该项内容所有工作及费用并满足设计图纸、规范等要求；</t>
        </is>
      </c>
      <c r="D880"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880" s="27" t="inlineStr">
        <is>
          <t xml:space="preserve">执行《GB/T50854-2024房屋建筑与装饰工程工程量计算标准》，按设计图示尺寸
以面积计算。 </t>
        </is>
      </c>
      <c r="F880" s="28" t="inlineStr">
        <is>
          <t>m2</t>
        </is>
      </c>
      <c r="G880" s="61" t="n">
        <v>46.1</v>
      </c>
      <c r="H880" s="62" t="n">
        <v>235.51148</v>
      </c>
      <c r="I880" s="65" t="n"/>
      <c r="J880" s="62">
        <f>H880*(1-$I$4)</f>
        <v/>
      </c>
      <c r="K880" s="63">
        <f>G880*J880</f>
        <v/>
      </c>
      <c r="L880" s="33" t="inlineStr">
        <is>
          <t>瓷砖</t>
        </is>
      </c>
      <c r="M880" s="64" t="n"/>
      <c r="N880" s="39" t="n">
        <v>1</v>
      </c>
      <c r="O880" t="n">
        <v>90</v>
      </c>
      <c r="P880" s="35" t="inlineStr">
        <is>
          <t>差:-145.51元 (-61.8%) 来源:售楼处</t>
        </is>
      </c>
      <c r="Q880" s="35" t="n"/>
      <c r="R880" s="35" t="n"/>
    </row>
    <row r="881" outlineLevel="2" ht="108" customFormat="1" customHeight="1" s="39">
      <c r="A881" s="37">
        <f>1+N(A880)</f>
        <v/>
      </c>
      <c r="B881" s="27" t="inlineStr">
        <is>
          <t>地面石材晶面处理</t>
        </is>
      </c>
      <c r="C881" s="27" t="inlineStr">
        <is>
          <t>1.石材结晶处理(结晶水及石材保养剂,中性清洁剂)；
2.包含完成该项内容所有工作及费用并满足设计图纸、规范等要求；</t>
        </is>
      </c>
      <c r="D881"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881" s="27" t="inlineStr">
        <is>
          <t xml:space="preserve">执行《GB/T50854-2024房屋建筑与装饰工程工程量计算标准》，按设计图示尺寸
以面积计算。 </t>
        </is>
      </c>
      <c r="F881" s="28" t="inlineStr">
        <is>
          <t>m2</t>
        </is>
      </c>
      <c r="G881" s="61" t="n">
        <v>42.62</v>
      </c>
      <c r="H881" s="62" t="n">
        <v>64.90000000000001</v>
      </c>
      <c r="I881" s="65" t="n"/>
      <c r="J881" s="62">
        <f>H881*(1-$I$4)</f>
        <v/>
      </c>
      <c r="K881" s="63">
        <f>G881*J881</f>
        <v/>
      </c>
      <c r="L881" s="33" t="inlineStr">
        <is>
          <t>/</t>
        </is>
      </c>
      <c r="M881" s="64" t="n"/>
      <c r="N881" s="39" t="n">
        <v>1</v>
      </c>
      <c r="O881" t="n">
        <v>40</v>
      </c>
      <c r="P881" s="35" t="inlineStr">
        <is>
          <t>差:-24.90元 (-38.4%) 来源:售楼处</t>
        </is>
      </c>
      <c r="Q881" s="35" t="n"/>
      <c r="R881" s="35" t="n"/>
    </row>
    <row r="882" outlineLevel="1" customFormat="1" s="39">
      <c r="A882" s="36" t="n"/>
      <c r="B882" s="27" t="inlineStr">
        <is>
          <t>墙柱面工程</t>
        </is>
      </c>
      <c r="C882" s="27" t="n"/>
      <c r="D882" s="27" t="n"/>
      <c r="E882" s="27" t="n"/>
      <c r="F882" s="28" t="n"/>
      <c r="G882" s="61" t="n"/>
      <c r="H882" s="62" t="n"/>
      <c r="I882" s="65" t="n"/>
      <c r="J882" s="62" t="n"/>
      <c r="K882" s="63" t="n"/>
      <c r="L882" s="33" t="n"/>
      <c r="M882" s="64" t="n"/>
      <c r="P882" s="35" t="n"/>
      <c r="Q882" s="35" t="n"/>
      <c r="R882" s="35" t="n"/>
    </row>
    <row r="883" outlineLevel="2" ht="180" customFormat="1" customHeight="1" s="39">
      <c r="A883" s="37">
        <f>1+N(A882)</f>
        <v/>
      </c>
      <c r="B883" s="27" t="inlineStr">
        <is>
          <t>墙面干挂ST-05石材</t>
        </is>
      </c>
      <c r="C883" s="27" t="inlineStr">
        <is>
          <t>1、墙面干挂ST-05石材（含不锈钢线条）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is>
      </c>
      <c r="D883"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883" s="27" t="inlineStr">
        <is>
          <t>执行《GB/T50854-2024房屋建筑与装饰工程工程量计算标准》，按设计图示镶贴后外围面积计算</t>
        </is>
      </c>
      <c r="F883" s="28" t="inlineStr">
        <is>
          <t>m2</t>
        </is>
      </c>
      <c r="G883" s="61" t="n">
        <v>37.13</v>
      </c>
      <c r="H883" s="62" t="n">
        <v>283.2</v>
      </c>
      <c r="I883" s="65" t="n"/>
      <c r="J883" s="62">
        <f>H883*(1-$I$4)</f>
        <v/>
      </c>
      <c r="K883" s="63">
        <f>G883*J883</f>
        <v/>
      </c>
      <c r="L883" s="33" t="inlineStr">
        <is>
          <t>石材</t>
        </is>
      </c>
      <c r="M883" s="64" t="n"/>
      <c r="N883" s="39" t="n">
        <v>1</v>
      </c>
      <c r="O883" t="n">
        <v>140</v>
      </c>
      <c r="P883" s="35" t="inlineStr">
        <is>
          <t>差:-143.20元 (-50.6%) 来源:售楼处</t>
        </is>
      </c>
      <c r="Q883" s="35" t="n"/>
      <c r="R883" s="35" t="n"/>
    </row>
    <row r="884" outlineLevel="2" ht="180" customFormat="1" customHeight="1" s="39">
      <c r="A884" s="37">
        <f>1+N(A883)</f>
        <v/>
      </c>
      <c r="B884" s="27" t="inlineStr">
        <is>
          <t>墙面干挂ST-05石材（波浪造型）</t>
        </is>
      </c>
      <c r="C884" s="27" t="inlineStr">
        <is>
          <t>1、墙面干挂ST-05石材（波浪造型，含不锈钢线条）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is>
      </c>
      <c r="D884"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884" s="27" t="inlineStr">
        <is>
          <t>执行《GB/T50854-2024房屋建筑与装饰工程工程量计算标准》，按设计图示镶贴后外围面积计算</t>
        </is>
      </c>
      <c r="F884" s="28" t="inlineStr">
        <is>
          <t>m2</t>
        </is>
      </c>
      <c r="G884" s="61" t="n">
        <v>3.6</v>
      </c>
      <c r="H884" s="62" t="n">
        <v>283.2</v>
      </c>
      <c r="I884" s="65" t="n"/>
      <c r="J884" s="62">
        <f>H884*(1-$I$4)</f>
        <v/>
      </c>
      <c r="K884" s="63">
        <f>G884*J884</f>
        <v/>
      </c>
      <c r="L884" s="33" t="inlineStr">
        <is>
          <t>石材</t>
        </is>
      </c>
      <c r="M884" s="64" t="n"/>
      <c r="N884" s="39" t="n">
        <v>1</v>
      </c>
      <c r="O884" t="n">
        <v>140</v>
      </c>
      <c r="P884" s="35" t="inlineStr">
        <is>
          <t>差:-143.20元 (-50.6%) 来源:售楼处</t>
        </is>
      </c>
      <c r="Q884" s="35" t="n"/>
      <c r="R884" s="35" t="n"/>
    </row>
    <row r="885" outlineLevel="2" ht="144" customFormat="1" customHeight="1" s="39">
      <c r="A885" s="37">
        <f>1+N(A884)</f>
        <v/>
      </c>
      <c r="B885" s="27" t="inlineStr">
        <is>
          <t>墙面CT-04瓷砖</t>
        </is>
      </c>
      <c r="C885" s="41" t="inlineStr">
        <is>
          <t>1、CT-04瓷砖,瓷砖填缝剂处理
2、背覆胶处理
3、Φ6钢筋焊钢丝网固定
4、界面剂拉毛处理
5、包含完成该项内容所有工作及费用并满足设计图纸、规范等要求</t>
        </is>
      </c>
      <c r="D885" s="27" t="inlineStr">
        <is>
          <t>具体工作内容除详见项目特征外，且不限于以下内容:1.包含材料的下车、场内运输；2.清理基层、找标高、弹线定位；3.试拼试排；4.砂浆拌和、铺找平层（粘结层）砂浆；5.面层铺设、灌缝、擦缝；6.打蜡、养护；配合留设墙面开关、插座等末端设备等全部内容；包含成品保护、安全文明施工等达到验收合格的全部施工内容。</t>
        </is>
      </c>
      <c r="E885" s="27" t="inlineStr">
        <is>
          <t>执行《GB/T50854-2024房屋建筑与装饰工程工程量计算标准》，按设计图示镶贴后外围面积计算</t>
        </is>
      </c>
      <c r="F885" s="28" t="inlineStr">
        <is>
          <t>m2</t>
        </is>
      </c>
      <c r="G885" s="61" t="n">
        <v>4.96</v>
      </c>
      <c r="H885" s="62" t="n">
        <v>212.4</v>
      </c>
      <c r="I885" s="65" t="n"/>
      <c r="J885" s="62">
        <f>H885*(1-$I$4)</f>
        <v/>
      </c>
      <c r="K885" s="63">
        <f>G885*J885</f>
        <v/>
      </c>
      <c r="L885" s="33" t="inlineStr">
        <is>
          <t>瓷砖</t>
        </is>
      </c>
      <c r="M885" s="64" t="n"/>
      <c r="N885" s="39" t="n">
        <v>1</v>
      </c>
      <c r="O885" t="n">
        <v>71</v>
      </c>
      <c r="P885" s="35" t="inlineStr">
        <is>
          <t>差:-141.40元 (-66.6%) 来源:售楼处</t>
        </is>
      </c>
      <c r="Q885" s="35" t="n"/>
      <c r="R885" s="35" t="n"/>
    </row>
    <row r="886" outlineLevel="2" ht="180" customFormat="1" customHeight="1" s="39">
      <c r="A886" s="37">
        <f>1+N(A885)</f>
        <v/>
      </c>
      <c r="B886" s="27" t="inlineStr">
        <is>
          <t>墙面WD-04木饰面</t>
        </is>
      </c>
      <c r="C886" s="27" t="inlineStr">
        <is>
          <t>1、墙面WD-04木饰面（含不锈钢线条）
2、结构胶固定
3、12mm阻燃板基层
4、膨胀螺栓、轻钢龙骨(钢结构)基层找平
5、包含完成该项内容所有工作及费用并满足设计图纸、规范等要求</t>
        </is>
      </c>
      <c r="D886"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886" s="27" t="inlineStr">
        <is>
          <t>执行《GB/T50854-2024房屋建筑与装饰工程工程量计算标准》，按设计图示饰面外围尺寸
以面积计算。 扣除门窗洞口面积，不扣除单个面积≤0.3㎡的孔洞所占面积。</t>
        </is>
      </c>
      <c r="F886" s="28" t="inlineStr">
        <is>
          <t>m2</t>
        </is>
      </c>
      <c r="G886" s="61" t="n">
        <v>6.31</v>
      </c>
      <c r="H886" s="62" t="n">
        <v>253.7</v>
      </c>
      <c r="I886" s="65" t="n"/>
      <c r="J886" s="62">
        <f>H886*(1-$I$4)</f>
        <v/>
      </c>
      <c r="K886" s="63">
        <f>G886*J886</f>
        <v/>
      </c>
      <c r="L886" s="33" t="inlineStr">
        <is>
          <t>木饰面</t>
        </is>
      </c>
      <c r="M886" s="64" t="n"/>
      <c r="N886" s="39" t="n">
        <v>1</v>
      </c>
      <c r="O886" t="n">
        <v>55</v>
      </c>
      <c r="P886" s="35" t="inlineStr">
        <is>
          <t>差:-198.70元 (-78.3%) 来源:售楼处</t>
        </is>
      </c>
      <c r="Q886" s="35" t="n"/>
      <c r="R886" s="35" t="n"/>
    </row>
    <row r="887" outlineLevel="2" ht="144" customFormat="1" customHeight="1" s="39">
      <c r="A887" s="37">
        <f>1+N(A886)</f>
        <v/>
      </c>
      <c r="B887" s="27" t="inlineStr">
        <is>
          <t>墙面PT-01肌理无机涂料</t>
        </is>
      </c>
      <c r="C887" s="27" t="inlineStr">
        <is>
          <t>1、墙面PT-01肌理无机涂料(底漆1遍，面漆2遍)
2、刮白胶腻子找平二遍，打磨
3、阴、阳角护角收边
4、双层9.5mm纸面石膏板
5、轻钢龙骨基层找平
6、包含完成该项内容所有工作及费用并满足设计图纸、规范等要求</t>
        </is>
      </c>
      <c r="D887"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887" s="27" t="inlineStr">
        <is>
          <t xml:space="preserve">执行《GB/T50854-2024房屋建筑与装饰工程工程量计算标准》，按设计图示尺寸
以面积计算。 </t>
        </is>
      </c>
      <c r="F887" s="28" t="inlineStr">
        <is>
          <t>m2</t>
        </is>
      </c>
      <c r="G887" s="61" t="n">
        <v>39.25</v>
      </c>
      <c r="H887" s="62" t="n">
        <v>207.68</v>
      </c>
      <c r="I887" s="65" t="n"/>
      <c r="J887" s="62">
        <f>H887*(1-$I$4)</f>
        <v/>
      </c>
      <c r="K887" s="63">
        <f>G887*J887</f>
        <v/>
      </c>
      <c r="L887" s="33" t="inlineStr">
        <is>
          <t>涂料</t>
        </is>
      </c>
      <c r="M887" s="64" t="n"/>
      <c r="N887" s="39" t="n">
        <v>1</v>
      </c>
      <c r="O887" t="n">
        <v>110</v>
      </c>
      <c r="P887" s="35" t="inlineStr">
        <is>
          <t>差:-97.68元 (-47.0%) 来源:售楼处</t>
        </is>
      </c>
      <c r="Q887" s="35" t="n"/>
      <c r="R887" s="35" t="n"/>
    </row>
    <row r="888" outlineLevel="2" ht="144" customFormat="1" customHeight="1" s="39">
      <c r="A888" s="37">
        <f>1+N(A887)</f>
        <v/>
      </c>
      <c r="B888" s="27" t="inlineStr">
        <is>
          <t>MR-01银镜</t>
        </is>
      </c>
      <c r="C888" s="27" t="inlineStr">
        <is>
          <t>1、MR-01银镜（含不锈钢线条）
2、胶粘剂固定(中性胶)
3、12mm阻燃板基层
4、膨胀螺栓、轻钢龙骨(钢结构)基层找平
5、包含完成该项内容所有工作及费用并满足设计图纸、规范等要求</t>
        </is>
      </c>
      <c r="D888"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888" s="27" t="inlineStr">
        <is>
          <t>执行《GB/T50854-2024房屋建筑与装饰工程工程量计算标准》，按设计图示饰面外围尺寸以面积计算。</t>
        </is>
      </c>
      <c r="F888" s="28" t="inlineStr">
        <is>
          <t>m2</t>
        </is>
      </c>
      <c r="G888" s="61" t="n">
        <v>18.96</v>
      </c>
      <c r="H888" s="62" t="n">
        <v>214.76</v>
      </c>
      <c r="I888" s="65" t="n"/>
      <c r="J888" s="62">
        <f>H888*(1-$I$4)</f>
        <v/>
      </c>
      <c r="K888" s="63">
        <f>G888*J888</f>
        <v/>
      </c>
      <c r="L888" s="33" t="inlineStr">
        <is>
          <t>银镜</t>
        </is>
      </c>
      <c r="M888" s="64" t="n"/>
      <c r="N888" s="39" t="n">
        <v>1</v>
      </c>
      <c r="O888" t="n">
        <v>110</v>
      </c>
      <c r="P888" s="35" t="inlineStr">
        <is>
          <t>差:-104.76元 (-48.8%) 来源:售楼处</t>
        </is>
      </c>
      <c r="Q888" s="35" t="n"/>
      <c r="R888" s="35" t="n"/>
    </row>
    <row r="889" outlineLevel="2" ht="144" customFormat="1" customHeight="1" s="39">
      <c r="A889" s="37">
        <f>1+N(A888)</f>
        <v/>
      </c>
      <c r="B889" s="27" t="inlineStr">
        <is>
          <t>SF-03透光片</t>
        </is>
      </c>
      <c r="C889" s="27" t="inlineStr">
        <is>
          <t>1、SF-03透光片，结构胶固定
2、12厘玻镁板基层
3、包含完成该项内容所有工作及费用并满足设计图纸、规范等要求</t>
        </is>
      </c>
      <c r="D889"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889" s="27" t="inlineStr">
        <is>
          <t>执行《GB/T50854-2024房屋建筑与装饰工程工程量计算标准》，按设计图示饰面外围尺寸以面积计算。</t>
        </is>
      </c>
      <c r="F889" s="28" t="inlineStr">
        <is>
          <t>m2</t>
        </is>
      </c>
      <c r="G889" s="61" t="n">
        <v>9.31</v>
      </c>
      <c r="H889" s="62" t="n">
        <v>1071.912</v>
      </c>
      <c r="I889" s="65" t="n"/>
      <c r="J889" s="62">
        <f>H889*(1-$I$4)</f>
        <v/>
      </c>
      <c r="K889" s="63">
        <f>G889*J889</f>
        <v/>
      </c>
      <c r="L889" s="33" t="inlineStr">
        <is>
          <t>/</t>
        </is>
      </c>
      <c r="M889" s="64" t="n"/>
      <c r="N889" s="39" t="n">
        <v>1</v>
      </c>
      <c r="O889" t="n">
        <v>150</v>
      </c>
      <c r="P889" s="35" t="inlineStr">
        <is>
          <t>差:-921.91元 (-86.0%) 来源:售楼处</t>
        </is>
      </c>
      <c r="Q889" s="35" t="n"/>
      <c r="R889" s="35" t="n"/>
    </row>
    <row r="890" outlineLevel="2" ht="144" customFormat="1" customHeight="1" s="39">
      <c r="A890" s="37">
        <f>1+N(A889)</f>
        <v/>
      </c>
      <c r="B890" s="27" t="inlineStr">
        <is>
          <t>MT-01古铜不锈钢踢脚线（高20mm）</t>
        </is>
      </c>
      <c r="C890" s="27" t="inlineStr">
        <is>
          <t>1、1.2mm厚 MT-01古铜不锈钢踢脚线（高20mm，展开面为46mm），结构胶固定
2、9厘玻镁板基层
3、包含完成该项内容所有工作及费用并满足设计图纸、规范等要求</t>
        </is>
      </c>
      <c r="D890"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890" s="27" t="inlineStr">
        <is>
          <t>按设计图示尺寸以长度计算。</t>
        </is>
      </c>
      <c r="F890" s="28" t="inlineStr">
        <is>
          <t>m</t>
        </is>
      </c>
      <c r="G890" s="61" t="n">
        <v>35.42</v>
      </c>
      <c r="H890" s="62" t="n">
        <v>31.86</v>
      </c>
      <c r="I890" s="65" t="n"/>
      <c r="J890" s="62">
        <f>H890*(1-$I$4)</f>
        <v/>
      </c>
      <c r="K890" s="63">
        <f>G890*J890</f>
        <v/>
      </c>
      <c r="L890" s="33" t="inlineStr">
        <is>
          <t>不锈钢踢脚线</t>
        </is>
      </c>
      <c r="M890" s="64" t="n"/>
      <c r="N890" s="39" t="n">
        <v>1</v>
      </c>
      <c r="O890" t="n">
        <v>12</v>
      </c>
      <c r="P890" s="35" t="inlineStr">
        <is>
          <t>差:-19.86元 (-62.3%) 来源:售楼处</t>
        </is>
      </c>
      <c r="Q890" s="35" t="n"/>
      <c r="R890" s="35" t="n"/>
    </row>
    <row r="891" outlineLevel="1" customFormat="1" s="39">
      <c r="A891" s="36" t="n"/>
      <c r="B891" s="27" t="inlineStr">
        <is>
          <t>天花工程</t>
        </is>
      </c>
      <c r="C891" s="27" t="n"/>
      <c r="D891" s="27" t="n"/>
      <c r="E891" s="27" t="n"/>
      <c r="F891" s="28" t="n"/>
      <c r="G891" s="61" t="n"/>
      <c r="H891" s="62" t="n"/>
      <c r="I891" s="65" t="n"/>
      <c r="J891" s="62" t="n"/>
      <c r="K891" s="63" t="n"/>
      <c r="L891" s="33" t="n"/>
      <c r="M891" s="64" t="n"/>
      <c r="P891" s="35" t="n"/>
      <c r="Q891" s="35" t="n"/>
      <c r="R891" s="35" t="n"/>
    </row>
    <row r="892" outlineLevel="2" ht="192" customFormat="1" customHeight="1" s="39">
      <c r="A892" s="37">
        <f>1+N(A891)</f>
        <v/>
      </c>
      <c r="B892" s="27" t="inlineStr">
        <is>
          <t>造型石膏板吊顶</t>
        </is>
      </c>
      <c r="C892" s="27" t="inlineStr">
        <is>
          <t>1.60系列轻钢主龙骨@900，60系列轻钢副龙骨@400，60系列横撑龙骨@600，08螺纹吊杆@900不上人天花吊顶（投影面计算）
2.玻镁板、双层9.5厚石膏板基层，含开孔、检修口、10*10凹槽等费用；
3.含除灯槽外的侧面高差及其连接件、吊件；
4.包含完成该项内容所有工作及费用并满足设计图纸、规范等要求；</t>
        </is>
      </c>
      <c r="D892" s="27" t="inlineStr">
        <is>
          <t>1.基层清理。
2.弹线定位、排版。
3.吊杆及连接件安装调平、收口及密封处理。
4.材料切割处理找平、石膏板安装及调整，打胶密封与清理.
5.收口及其他处理：检修口等制作安装、收边收口、配合预留安装、机电等专业孔洞及孔洞收口处理。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892" s="27" t="inlineStr">
        <is>
          <t>按设计图示尺寸以水平投影面积计算。不扣除间壁墙、检查口、附墙烟囱、柱垛和管道所占面积,扣除单个&gt;0.3m3的孔洞、非密拼吊顶空隙所占的面积、独立柱及与天棚相连的窗帘盒所占的面积。</t>
        </is>
      </c>
      <c r="F892" s="28" t="inlineStr">
        <is>
          <t>m2</t>
        </is>
      </c>
      <c r="G892" s="61" t="n">
        <v>59.86</v>
      </c>
      <c r="H892" s="62" t="n">
        <v>174.574444444444</v>
      </c>
      <c r="I892" s="65" t="n"/>
      <c r="J892" s="62">
        <f>H892*(1-$I$4)</f>
        <v/>
      </c>
      <c r="K892" s="63">
        <f>G892*J892</f>
        <v/>
      </c>
      <c r="L892" s="33" t="inlineStr">
        <is>
          <t>/</t>
        </is>
      </c>
      <c r="M892" s="64" t="n"/>
      <c r="N892" s="39" t="n">
        <v>1</v>
      </c>
      <c r="O892" t="n">
        <v>70</v>
      </c>
      <c r="P892" s="35" t="inlineStr">
        <is>
          <t>差:-104.57元 (-59.9%) 来源:售楼处</t>
        </is>
      </c>
      <c r="Q892" s="35" t="n"/>
      <c r="R892" s="35" t="n"/>
    </row>
    <row r="893" outlineLevel="2" ht="192" customFormat="1" customHeight="1" s="39">
      <c r="A893" s="37">
        <f>1+N(A892)</f>
        <v/>
      </c>
      <c r="B893" s="27" t="inlineStr">
        <is>
          <t>成品石膏板造型吊顶</t>
        </is>
      </c>
      <c r="C893" s="27" t="inlineStr">
        <is>
          <t>1.60系列轻钢主龙骨@900，60系列轻钢副龙骨@400，60系列横撑龙骨@600，08螺纹吊杆@900不上人天花吊顶（投影面计算）
2.玻镁板、半圆成品石膏板造型吊顶，含开孔、检修口等费用；
3.含除灯槽外的侧面高差及其连接件、吊件；
4.包含完成该项内容所有工作及费用并满足设计图纸、规范等要求；</t>
        </is>
      </c>
      <c r="D893" s="27" t="inlineStr">
        <is>
          <t>1.基层清理。
2.弹线定位、排版。
3.吊杆及连接件安装调平、收口及密封处理。
4.材料切割处理找平、石膏板安装及调整，打胶密封与清理.
5.收口及其他处理：检修口等制作安装、收边收口、配合预留安装、机电等专业孔洞及孔洞收口处理。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893" s="27" t="inlineStr">
        <is>
          <t>按设计图示尺寸以水平投影面积计算。不扣除间壁墙、检查口、附墙烟囱、柱垛和管道所占面积,扣除单个&gt;0.3m3的孔洞、非密拼吊顶空隙所占的面积、独立柱及与天棚相连的窗帘盒所占的面积。</t>
        </is>
      </c>
      <c r="F893" s="28" t="inlineStr">
        <is>
          <t>m2</t>
        </is>
      </c>
      <c r="G893" s="61" t="n">
        <v>9.960000000000001</v>
      </c>
      <c r="H893" s="62" t="n">
        <v>197.06</v>
      </c>
      <c r="I893" s="65" t="n"/>
      <c r="J893" s="62">
        <f>H893*(1-$I$4)</f>
        <v/>
      </c>
      <c r="K893" s="63">
        <f>G893*J893</f>
        <v/>
      </c>
      <c r="L893" s="33" t="inlineStr">
        <is>
          <t>石膏板造型吊顶</t>
        </is>
      </c>
      <c r="M893" s="64" t="n"/>
      <c r="N893" s="39" t="n">
        <v>1</v>
      </c>
      <c r="O893" t="n">
        <v>95</v>
      </c>
      <c r="P893" s="35" t="inlineStr">
        <is>
          <t>差:-102.06元 (-51.8%) 来源:售楼处</t>
        </is>
      </c>
      <c r="Q893" s="35" t="n"/>
      <c r="R893" s="35" t="n"/>
    </row>
    <row r="894" outlineLevel="2" ht="204" customFormat="1" customHeight="1" s="39">
      <c r="A894" s="37">
        <f>1+N(A893)</f>
        <v/>
      </c>
      <c r="B894" s="27" t="inlineStr">
        <is>
          <t>镜面不锈钢吊顶</t>
        </is>
      </c>
      <c r="C894" s="27" t="inlineStr">
        <is>
          <t>1.60系列轻钢主龙骨@900，60系列轻钢副龙骨@400，60系列横撑龙骨@600，08螺纹吊杆@900不上人天花吊顶（投影面计算）
2.玻镁板、复合9mm蜂窝不锈钢MT-08，含开孔、检修口等费用；
3.含除灯槽外的侧面高差及其连接件、吊件；
4.包含完成该项内容所有工作及费用并满足设计图纸、规范等要求；</t>
        </is>
      </c>
      <c r="D894" s="27" t="inlineStr">
        <is>
          <t>1.基层清理。
2.弹线定位、排版。
3.吊杆及连接件制作、安装、调平。
4.材料切割处理找平、铝条板安装及调整，打胶密封与清理。
5.收口及其他处理：侧封板、检修口等制作安装、收边收口、配合预留安装、机电等专业孔洞及孔洞收口处理。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894" s="27" t="inlineStr">
        <is>
          <t>按设计图示尺寸以水平投影面积计算。不扣除间壁墙、检查口、附墙烟囱、柱垛和管道所占面积,扣除单个&gt;0.3m2的孔洞、非密拼吊顶空隙所占的面积、独立柱及与天棚相连的窗帘盒所占的面积。</t>
        </is>
      </c>
      <c r="F894" s="28" t="inlineStr">
        <is>
          <t>m2</t>
        </is>
      </c>
      <c r="G894" s="61" t="n">
        <v>10.27</v>
      </c>
      <c r="H894" s="62" t="n">
        <v>182.9</v>
      </c>
      <c r="I894" s="65" t="n"/>
      <c r="J894" s="62">
        <f>H894*(1-$I$4)</f>
        <v/>
      </c>
      <c r="K894" s="63">
        <f>G894*J894</f>
        <v/>
      </c>
      <c r="L894" s="33" t="inlineStr">
        <is>
          <t>不锈钢吊顶</t>
        </is>
      </c>
      <c r="M894" s="64" t="n"/>
      <c r="N894" s="39" t="n">
        <v>1</v>
      </c>
      <c r="O894" t="n">
        <v>110</v>
      </c>
      <c r="P894" s="35" t="inlineStr">
        <is>
          <t>差:-72.90元 (-39.9%) 来源:售楼处</t>
        </is>
      </c>
      <c r="Q894" s="35" t="n"/>
      <c r="R894" s="35" t="n"/>
    </row>
    <row r="895" outlineLevel="2" ht="204" customFormat="1" customHeight="1" s="39">
      <c r="A895" s="37">
        <f>1+N(A894)</f>
        <v/>
      </c>
      <c r="B895" s="27" t="inlineStr">
        <is>
          <t>可拆卸天花铝板吊顶</t>
        </is>
      </c>
      <c r="C895" s="27" t="inlineStr">
        <is>
          <t>1.天花内部喷白涂料；
2.可拆卸天花内部构件、管道、楼板喷白处理；
3.底漆1遍，面漆1遍（按天棚投影面积计算）；
4.包含完成该项内容所有工作及费用并满足设计图纸、规范等要求；</t>
        </is>
      </c>
      <c r="D895" s="27" t="inlineStr">
        <is>
          <t>1.基层清理。
2.弹线定位、排版。
3.吊杆及连接件制作、安装、调平。
4.材料切割处理找平、铝条板安装及调整，打胶密封与清理。
5.收口及其他处理：侧封板、检修口等制作安装、收边收口、配合预留安装、机电等专业孔洞及孔洞收口处理。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895" s="27" t="inlineStr">
        <is>
          <t>按设计图示尺寸以水平投影面积计算。不扣除间壁墙、检查口、附墙烟囱、柱垛和管道所占面积,扣除单个&gt;0.3m2的孔洞、非密拼吊顶空隙所占的面积、独立柱及与天棚相连的窗帘盒所占的面积。</t>
        </is>
      </c>
      <c r="F895" s="28" t="inlineStr">
        <is>
          <t>m2</t>
        </is>
      </c>
      <c r="G895" s="61" t="n">
        <v>8.609999999999999</v>
      </c>
      <c r="H895" s="62" t="n">
        <v>159.3</v>
      </c>
      <c r="I895" s="65" t="n"/>
      <c r="J895" s="62">
        <f>H895*(1-$I$4)</f>
        <v/>
      </c>
      <c r="K895" s="63">
        <f>G895*J895</f>
        <v/>
      </c>
      <c r="L895" s="33" t="inlineStr">
        <is>
          <t>铝板吊顶</t>
        </is>
      </c>
      <c r="M895" s="64" t="n"/>
      <c r="N895" s="39" t="n">
        <v>1</v>
      </c>
      <c r="O895" t="n">
        <v>75</v>
      </c>
      <c r="P895" s="35" t="inlineStr">
        <is>
          <t>差:-84.30元 (-52.9%) 来源:售楼处</t>
        </is>
      </c>
      <c r="Q895" s="35" t="n"/>
      <c r="R895" s="35" t="n"/>
    </row>
    <row r="896" outlineLevel="2" ht="72" customFormat="1" customHeight="1" s="39">
      <c r="A896" s="37">
        <f>1+N(A895)</f>
        <v/>
      </c>
      <c r="B896" s="27" t="inlineStr">
        <is>
          <t>灯槽（100mm*200mm）</t>
        </is>
      </c>
      <c r="C896" s="27" t="inlineStr">
        <is>
          <t>1.灯槽（100mm*200mm）；
2.双层板：9mm玻镁板、9.5厚石膏板；
3.包含完成该项内容所有工作及费用并满足设计图纸、规范等要求；</t>
        </is>
      </c>
      <c r="D896" s="27" t="inlineStr">
        <is>
          <t>自现有现场条件下按照合同约定范围、图纸（含设计变更）及甲方要求内容以及规范、标准、相关做法等要求完成并达到总包合同全部目标的全部工作内容。</t>
        </is>
      </c>
      <c r="E896" s="27" t="inlineStr">
        <is>
          <t>依据经承包人确认的施工部位,按设计图示尺寸以延长米计算。</t>
        </is>
      </c>
      <c r="F896" s="28" t="inlineStr">
        <is>
          <t>m</t>
        </is>
      </c>
      <c r="G896" s="61" t="n">
        <v>25.1</v>
      </c>
      <c r="H896" s="62" t="n">
        <v>112.159</v>
      </c>
      <c r="I896" s="65" t="n"/>
      <c r="J896" s="62">
        <f>H896*(1-$I$4)</f>
        <v/>
      </c>
      <c r="K896" s="63">
        <f>G896*J896</f>
        <v/>
      </c>
      <c r="L896" s="33" t="inlineStr">
        <is>
          <t>/</t>
        </is>
      </c>
      <c r="M896" s="64" t="n"/>
      <c r="N896" s="39" t="n">
        <v>1</v>
      </c>
      <c r="O896" t="n">
        <v>50</v>
      </c>
      <c r="P896" s="35" t="inlineStr">
        <is>
          <t>差:-62.16元 (-55.4%) 来源:售楼处</t>
        </is>
      </c>
      <c r="Q896" s="35" t="n"/>
      <c r="R896" s="35" t="n"/>
    </row>
    <row r="897" outlineLevel="2" ht="72" customFormat="1" customHeight="1" s="39">
      <c r="A897" s="37">
        <f>1+N(A896)</f>
        <v/>
      </c>
      <c r="B897" s="27" t="inlineStr">
        <is>
          <t>成品石膏线条</t>
        </is>
      </c>
      <c r="C897" s="27" t="inlineStr">
        <is>
          <t>1.成品石膏线条（50mm*50mm）；
2.按图纸造型；
3.包含完成该项内容所有工作及费用并满足设计图纸、规范等要求；</t>
        </is>
      </c>
      <c r="D897" s="27" t="inlineStr">
        <is>
          <t>自现有现场条件下按照合同约定范围、图纸（含设计变更）及甲方要求内容以及规范、标准、相关做法等要求完成并达到总包合同全部目标的全部工作内容。</t>
        </is>
      </c>
      <c r="E897" s="27" t="inlineStr">
        <is>
          <t>依据经承包人确认的施工部位,按设计图示尺寸以延长米计算。</t>
        </is>
      </c>
      <c r="F897" s="28" t="inlineStr">
        <is>
          <t>m</t>
        </is>
      </c>
      <c r="G897" s="61" t="n">
        <v>25.1</v>
      </c>
      <c r="H897" s="62" t="n">
        <v>20.06</v>
      </c>
      <c r="I897" s="65" t="n"/>
      <c r="J897" s="62">
        <f>H897*(1-$I$4)</f>
        <v/>
      </c>
      <c r="K897" s="63">
        <f>G897*J897</f>
        <v/>
      </c>
      <c r="L897" s="33" t="inlineStr">
        <is>
          <t>成品石膏线条</t>
        </is>
      </c>
      <c r="M897" s="64" t="n"/>
      <c r="N897" s="39" t="n">
        <v>1</v>
      </c>
      <c r="O897" t="n">
        <v>18</v>
      </c>
      <c r="P897" s="35" t="inlineStr">
        <is>
          <t>差:-2.06元 (-10.3%) 来源:售楼处</t>
        </is>
      </c>
      <c r="Q897" s="35" t="n"/>
      <c r="R897" s="35" t="n"/>
    </row>
    <row r="898" outlineLevel="2" ht="72" customFormat="1" customHeight="1" s="39">
      <c r="A898" s="37">
        <f>1+N(A897)</f>
        <v/>
      </c>
      <c r="B898" s="27" t="inlineStr">
        <is>
          <t>窗帘盒（200mm*200mm）</t>
        </is>
      </c>
      <c r="C898" s="27" t="inlineStr">
        <is>
          <t>1.窗帘盒窗帘盒（200mm*200mm）；
2.双层板：9mm玻镁板、9.5厚石膏板；
3.50系列轻钢龙骨及其连接件、吊件；
4.包含完成该项内容所有工作及费用并满足设计图纸、规范等要求；</t>
        </is>
      </c>
      <c r="D898" s="27" t="inlineStr">
        <is>
          <t>自现有现场条件下按照合同约定范围、图纸（含设计变更）及甲方要求内容以及规范、标准、相关做法等要求完成并达到总包合同全部目标的全部工作内容。</t>
        </is>
      </c>
      <c r="E898" s="27" t="inlineStr">
        <is>
          <t>依据经承包人确认的施工部位,按设计图示尺寸以延长米计算。</t>
        </is>
      </c>
      <c r="F898" s="28" t="inlineStr">
        <is>
          <t>m</t>
        </is>
      </c>
      <c r="G898" s="61" t="n">
        <v>7.67</v>
      </c>
      <c r="H898" s="62" t="n">
        <v>123.192</v>
      </c>
      <c r="I898" s="65" t="n"/>
      <c r="J898" s="62">
        <f>H898*(1-$I$4)</f>
        <v/>
      </c>
      <c r="K898" s="63">
        <f>G898*J898</f>
        <v/>
      </c>
      <c r="L898" s="33" t="inlineStr">
        <is>
          <t>/</t>
        </is>
      </c>
      <c r="M898" s="64" t="n"/>
      <c r="N898" s="39" t="n">
        <v>1</v>
      </c>
      <c r="O898" t="n">
        <v>55</v>
      </c>
      <c r="P898" s="35" t="inlineStr">
        <is>
          <t>差:-68.19元 (-55.4%) 来源:售楼处</t>
        </is>
      </c>
      <c r="Q898" s="35" t="n"/>
      <c r="R898" s="35" t="n"/>
    </row>
    <row r="899" outlineLevel="2" ht="72" customFormat="1" customHeight="1" s="39">
      <c r="A899" s="37">
        <f>1+N(A898)</f>
        <v/>
      </c>
      <c r="B899" s="27" t="inlineStr">
        <is>
          <t>条形空调风口（150mm）</t>
        </is>
      </c>
      <c r="C899" s="27" t="inlineStr">
        <is>
          <t>1.条形空调风口（150mm）；
2.风口周边阻燃板封边加固处理；
3.包含完成该项内容所有工作及费用并满足设计图纸、规范等要求；</t>
        </is>
      </c>
      <c r="D899" s="27" t="inlineStr">
        <is>
          <t>自现有现场条件下按照合同约定范围、图纸（含设计变更）及甲方要求内容以及规范、标准、相关做法等要求完成并达到总包合同全部目标的全部工作内容。</t>
        </is>
      </c>
      <c r="E899" s="27" t="inlineStr">
        <is>
          <t>依据经承包人确认的施工部位,按设计图示尺寸以延长米计算。</t>
        </is>
      </c>
      <c r="F899" s="28" t="inlineStr">
        <is>
          <t>m</t>
        </is>
      </c>
      <c r="G899" s="61" t="n">
        <v>7.2</v>
      </c>
      <c r="H899" s="62" t="n">
        <v>109.74</v>
      </c>
      <c r="I899" s="65" t="n"/>
      <c r="J899" s="62">
        <f>H899*(1-$I$4)</f>
        <v/>
      </c>
      <c r="K899" s="63">
        <f>G899*J899</f>
        <v/>
      </c>
      <c r="L899" s="33" t="inlineStr">
        <is>
          <t>空调风口</t>
        </is>
      </c>
      <c r="M899" s="64" t="n"/>
      <c r="N899" s="39" t="n">
        <v>1</v>
      </c>
      <c r="O899" t="n">
        <v>30</v>
      </c>
      <c r="P899" s="35" t="inlineStr">
        <is>
          <t>差:-79.74元 (-72.7%) 来源:售楼处</t>
        </is>
      </c>
      <c r="Q899" s="35" t="n"/>
      <c r="R899" s="35" t="n"/>
    </row>
    <row r="900" outlineLevel="2" ht="192" customFormat="1" customHeight="1" s="39">
      <c r="A900" s="37">
        <f>1+N(A899)</f>
        <v/>
      </c>
      <c r="B900" s="27" t="inlineStr">
        <is>
          <t>天花肌理无机涂料PT-01</t>
        </is>
      </c>
      <c r="C900" s="27" t="inlineStr">
        <is>
          <t>1.天花肌理无机涂料PT-01；
2.刮腻子二遍磨平；
3.底漆1遍，面漆2遍；
4.包含完成该项内容所有工作及费用并满足设计图纸、规范等要求；</t>
        </is>
      </c>
      <c r="D900" s="27" t="inlineStr">
        <is>
          <t>包括但不限于材料计划、采购、卸车倒运、保管、检验试验费、测量放线，包含四周阴角找平直、含天棚四周阴角找平直，打磨，简易脚手架搭拆及操作平台、升降机，基层清理、打磨平整、底层找补、满刮涂料（含阴阳角塑料条）、涂料打磨、补遗处理、配合其他分包施工、完工后场清、成品保护、保修等直到达到竣工交付标准的全部工作内容。包括所有为完成工作所需的小型机具；包括所有为完成工作所需的附属工作；包括但不限于以上内容。</t>
        </is>
      </c>
      <c r="E900" s="27" t="inlineStr">
        <is>
          <t>执行《GB/T50854-2024房屋建筑与装饰工程工程量计算标准》，按设计图示尺寸以面积计算。扣除0.3平方米以上洞口的面积；梁侧面及檐口天棚并入天棚计算；以设计图纸和技术交底为基础</t>
        </is>
      </c>
      <c r="F900" s="28" t="inlineStr">
        <is>
          <t>m2</t>
        </is>
      </c>
      <c r="G900" s="61" t="n">
        <v>89.03</v>
      </c>
      <c r="H900" s="62" t="n">
        <v>48.38</v>
      </c>
      <c r="I900" s="65" t="n"/>
      <c r="J900" s="62">
        <f>H900*(1-$I$4)</f>
        <v/>
      </c>
      <c r="K900" s="63">
        <f>G900*J900</f>
        <v/>
      </c>
      <c r="L900" s="33" t="inlineStr">
        <is>
          <t>涂料</t>
        </is>
      </c>
      <c r="M900" s="64" t="n"/>
      <c r="N900" s="39" t="n">
        <v>1</v>
      </c>
      <c r="O900" t="n">
        <v>45</v>
      </c>
      <c r="P900" s="35" t="inlineStr">
        <is>
          <t>差:-3.38元 (-7.0%) 来源:售楼处</t>
        </is>
      </c>
      <c r="Q900" s="35" t="n"/>
      <c r="R900" s="35" t="n"/>
    </row>
    <row r="901" outlineLevel="2" ht="204" customFormat="1" customHeight="1" s="39">
      <c r="A901" s="37">
        <f>1+N(A900)</f>
        <v/>
      </c>
      <c r="B901" s="27" t="inlineStr">
        <is>
          <t>天花内部喷白涂料</t>
        </is>
      </c>
      <c r="C901" s="27" t="inlineStr">
        <is>
          <t>1.天花内部喷白涂料；
2.可拆卸天花内部构件、管道、楼板喷白处理；
3.底漆1遍，面漆1遍（按天棚投影面积计算）；
4.包含完成该项内容所有工作及费用并满足设计图纸、规范等要求；</t>
        </is>
      </c>
      <c r="D901" s="27" t="inlineStr">
        <is>
          <t>1.基层清理。
2.弹线定位、排版。
3.吊杆及连接件制作、安装、调平。
4.材料切割处理找平、铝条板安装及调整，打胶密封与清理。
5.收口及其他处理：侧封板、检修口等制作安装、收边收口、配合预留安装、机电等专业孔洞及孔洞收口处理。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901" s="27" t="inlineStr">
        <is>
          <t>按设计图示尺寸以水平投影面积计算。不扣除间壁墙、检查口、附墙烟囱、柱垛和管道所占面积,扣除单个&gt;0.3m2的孔洞、非密拼吊顶空隙所占的面积、独立柱及与天棚相连的窗帘盒所占的面积。</t>
        </is>
      </c>
      <c r="F901" s="28" t="inlineStr">
        <is>
          <t>m2</t>
        </is>
      </c>
      <c r="G901" s="61" t="n">
        <v>8.609999999999999</v>
      </c>
      <c r="H901" s="62" t="n">
        <v>23.6</v>
      </c>
      <c r="I901" s="65" t="n"/>
      <c r="J901" s="62">
        <f>H901*(1-$I$4)</f>
        <v/>
      </c>
      <c r="K901" s="63">
        <f>G901*J901</f>
        <v/>
      </c>
      <c r="L901" s="33" t="inlineStr">
        <is>
          <t>涂料</t>
        </is>
      </c>
      <c r="M901" s="64" t="n"/>
      <c r="N901" s="39" t="n">
        <v>1</v>
      </c>
      <c r="O901" t="n">
        <v>12</v>
      </c>
      <c r="P901" s="35" t="inlineStr">
        <is>
          <t>差:-11.60元 (-49.2%) 来源:售楼处</t>
        </is>
      </c>
      <c r="Q901" s="35" t="n"/>
      <c r="R901" s="35" t="n"/>
    </row>
    <row r="902" outlineLevel="1" customFormat="1" s="39">
      <c r="A902" s="36" t="n"/>
      <c r="B902" s="27" t="inlineStr">
        <is>
          <t>门窗、家具工程</t>
        </is>
      </c>
      <c r="C902" s="27" t="n"/>
      <c r="D902" s="27" t="n"/>
      <c r="E902" s="27" t="n"/>
      <c r="F902" s="28" t="n"/>
      <c r="G902" s="61" t="n"/>
      <c r="H902" s="62" t="n"/>
      <c r="I902" s="65" t="n"/>
      <c r="J902" s="62" t="n"/>
      <c r="K902" s="63" t="n"/>
      <c r="L902" s="33" t="n"/>
      <c r="M902" s="64" t="n"/>
      <c r="P902" s="35" t="n"/>
      <c r="Q902" s="35" t="n"/>
      <c r="R902" s="35" t="n"/>
    </row>
    <row r="903" outlineLevel="2" ht="108" customFormat="1" customHeight="1" s="39">
      <c r="A903" s="37">
        <f>1+N(A902)</f>
        <v/>
      </c>
      <c r="B903" s="27" t="inlineStr">
        <is>
          <t>水吧台</t>
        </is>
      </c>
      <c r="C903" s="27" t="inlineStr">
        <is>
          <t>1、水吧台（4350mm*900mm*1100mm）
2.包括但不限于制作安装、钢结构骨架、石材及石材防污处理、9mm阻燃板基层、ST-06石材台面、MT-08镜面不锈钢饰面、MT-01不锈钢线条、WD-03木饰面；
3.含拉手、抽屉、含相应的线孔洞开设；
4.包含完成该项内容所有工作及费用并满足设计图纸、规范等要求；</t>
        </is>
      </c>
      <c r="D903" s="27" t="inlineStr">
        <is>
          <t>自现有现场条件下按照合同约定范围、图纸（含设计变更）及甲方要求内容以及规范、标准、相关做法等要求完成并达到总包合同全部目标的全部工作内容。</t>
        </is>
      </c>
      <c r="E903" s="27" t="inlineStr">
        <is>
          <t>以最终验收合格的工程量计算</t>
        </is>
      </c>
      <c r="F903" s="28" t="inlineStr">
        <is>
          <t>套</t>
        </is>
      </c>
      <c r="G903" s="61" t="n">
        <v>1</v>
      </c>
      <c r="H903" s="62" t="n">
        <v>29625.752895</v>
      </c>
      <c r="I903" s="65" t="n"/>
      <c r="J903" s="62">
        <f>H903*(1-$I$4)</f>
        <v/>
      </c>
      <c r="K903" s="63">
        <f>G903*J903</f>
        <v/>
      </c>
      <c r="L903" s="33" t="inlineStr">
        <is>
          <t>/</t>
        </is>
      </c>
      <c r="M903" s="64" t="n"/>
      <c r="N903" s="39" t="n">
        <v>1</v>
      </c>
      <c r="O903" t="n">
        <v>3267</v>
      </c>
      <c r="P903" s="35" t="inlineStr">
        <is>
          <t>差:-26358.75元 (-89.0%) 来源:售楼处</t>
        </is>
      </c>
      <c r="Q903" s="35" t="n"/>
      <c r="R903" s="35" t="n"/>
    </row>
    <row r="904" outlineLevel="2" ht="108" customFormat="1" customHeight="1" s="39">
      <c r="A904" s="37">
        <f>1+N(A903)</f>
        <v/>
      </c>
      <c r="B904" s="27" t="inlineStr">
        <is>
          <t>水吧柜</t>
        </is>
      </c>
      <c r="C904" s="27" t="inlineStr">
        <is>
          <t>1、水吧柜（Lmm*450mm*520mm）
2.包括但不限于制作安装、钢结构骨架、石材及石材防污处理、阻燃板基层、ST-06石材台面、1.2mm厚 MT-01古铜不锈钢线条、WD-03木饰面；
3.含合页等五金配件、相应的线孔洞开设
4.包含完成该项内容所有工作及费用并满足设计图纸、规范等要求</t>
        </is>
      </c>
      <c r="D904" s="27" t="inlineStr">
        <is>
          <t>自现有现场条件下按照合同约定范围、图纸（含设计变更）及甲方要求内容以及规范、标准、相关做法等要求完成并达到总包合同全部目标的全部工作内容。</t>
        </is>
      </c>
      <c r="E904" s="27" t="inlineStr">
        <is>
          <t>以最终验收合格的工程量计算</t>
        </is>
      </c>
      <c r="F904" s="28" t="inlineStr">
        <is>
          <t>m</t>
        </is>
      </c>
      <c r="G904" s="61" t="n">
        <v>3.4</v>
      </c>
      <c r="H904" s="62" t="n">
        <v>3289.25555294118</v>
      </c>
      <c r="I904" s="65" t="n"/>
      <c r="J904" s="62">
        <f>H904*(1-$I$4)</f>
        <v/>
      </c>
      <c r="K904" s="63">
        <f>G904*J904</f>
        <v/>
      </c>
      <c r="L904" s="33" t="inlineStr">
        <is>
          <t>/</t>
        </is>
      </c>
      <c r="M904" s="64" t="n"/>
      <c r="N904" s="39" t="n">
        <v>1</v>
      </c>
      <c r="O904" t="n">
        <v>85</v>
      </c>
      <c r="P904" s="35" t="inlineStr">
        <is>
          <t>差:-3204.26元 (-97.4%) 来源:售楼处</t>
        </is>
      </c>
      <c r="Q904" s="35" t="n"/>
      <c r="R904" s="35" t="n"/>
    </row>
    <row r="905" outlineLevel="2" ht="72" customFormat="1" customHeight="1" s="39">
      <c r="A905" s="37">
        <f>1+N(A904)</f>
        <v/>
      </c>
      <c r="B905" s="27" t="inlineStr">
        <is>
          <t>MT-01古铜不锈钢置物架</t>
        </is>
      </c>
      <c r="C905" s="27" t="inlineStr">
        <is>
          <t>1、MT-01古铜不锈钢置物架（L*300mm*85mm）
2、包含完成该项内容所有工作及费用并满足设计图纸、规范等要求</t>
        </is>
      </c>
      <c r="D905" s="27" t="inlineStr">
        <is>
          <t>自现有现场条件下按照合同约定范围、图纸（含设计变更）及甲方要求内容以及规范、标准、相关做法等要求完成并达到总包合同全部目标的全部工作内容。</t>
        </is>
      </c>
      <c r="E905" s="27" t="inlineStr">
        <is>
          <t>以最终验收合格的工程量计算</t>
        </is>
      </c>
      <c r="F905" s="28" t="inlineStr">
        <is>
          <t>m</t>
        </is>
      </c>
      <c r="G905" s="61" t="n">
        <v>9.6</v>
      </c>
      <c r="H905" s="62" t="n">
        <v>1392.4</v>
      </c>
      <c r="I905" s="65" t="n"/>
      <c r="J905" s="62">
        <f>H905*(1-$I$4)</f>
        <v/>
      </c>
      <c r="K905" s="63">
        <f>G905*J905</f>
        <v/>
      </c>
      <c r="L905" s="33" t="inlineStr">
        <is>
          <t>/</t>
        </is>
      </c>
      <c r="M905" s="64" t="n"/>
      <c r="N905" s="39" t="n">
        <v>1</v>
      </c>
      <c r="O905" t="n">
        <v>35</v>
      </c>
      <c r="P905" s="35" t="inlineStr">
        <is>
          <t>差:-1357.40元 (-97.5%) 来源:售楼处</t>
        </is>
      </c>
      <c r="Q905" s="35" t="n"/>
      <c r="R905" s="35" t="n"/>
    </row>
    <row r="906" outlineLevel="1" customFormat="1" s="39">
      <c r="A906" s="26" t="inlineStr">
        <is>
          <t>二十</t>
        </is>
      </c>
      <c r="B906" s="27" t="inlineStr">
        <is>
          <t>零星工程</t>
        </is>
      </c>
      <c r="C906" s="27" t="n"/>
      <c r="D906" s="27" t="n"/>
      <c r="E906" s="27" t="n"/>
      <c r="F906" s="28" t="n"/>
      <c r="G906" s="61" t="n"/>
      <c r="H906" s="62" t="n"/>
      <c r="I906" s="65" t="n"/>
      <c r="J906" s="62" t="n"/>
      <c r="K906" s="63" t="n"/>
      <c r="L906" s="33" t="n"/>
      <c r="M906" s="64" t="n"/>
      <c r="P906" s="35" t="n"/>
      <c r="Q906" s="35" t="n"/>
      <c r="R906" s="35" t="n"/>
    </row>
    <row r="907" outlineLevel="1" customFormat="1" s="39">
      <c r="A907" s="36" t="n"/>
      <c r="B907" s="27" t="inlineStr">
        <is>
          <t>土建工程</t>
        </is>
      </c>
      <c r="C907" s="27" t="n"/>
      <c r="D907" s="27" t="n"/>
      <c r="E907" s="27" t="n"/>
      <c r="F907" s="28" t="n"/>
      <c r="G907" s="61" t="n"/>
      <c r="H907" s="62" t="n"/>
      <c r="I907" s="65" t="n"/>
      <c r="J907" s="62" t="n"/>
      <c r="K907" s="63" t="n"/>
      <c r="L907" s="33" t="n"/>
      <c r="M907" s="64" t="n"/>
      <c r="P907" s="35" t="n"/>
      <c r="Q907" s="35" t="n"/>
      <c r="R907" s="35" t="n"/>
    </row>
    <row r="908" outlineLevel="2" ht="168" customFormat="1" customHeight="1" s="39">
      <c r="A908" s="37">
        <f>1+N(A907)</f>
        <v/>
      </c>
      <c r="B908" s="27" t="inlineStr">
        <is>
          <t>新建轻质砖隔墙</t>
        </is>
      </c>
      <c r="C908" s="27" t="inlineStr">
        <is>
          <t>1、新建轻质砖隔墙
2、砂浆强度等级、配合比综合考虑，符合设计要求
3、墙厚：综合考虑
4、具体施工做法详见国家相关规范条文
5、包含完成该项内容所有工作及费用并满足设计图纸、规范等要求</t>
        </is>
      </c>
      <c r="D908" s="27" t="inlineStr">
        <is>
          <t>1.材料配合卸车倒运、保管，砂浆制作及倒运。
2.基层处理、弹线、立杆、砌筑施工、勾缝、墙拉筋制作安装（包括植筋或膨胀螺栓焊接钢板等连接形式）、斜砌砖塞缝、射钉块安装。
3.构造柱、圈梁、压顶等钢筋制作与安装，模板支拆，混凝土浇筑、养护。
4.砌筑、浇筑用脚手架及操作平台的搭拆。
5.成品保护、垃圾清理运至指定地点等全部工作内容。</t>
        </is>
      </c>
      <c r="E908" s="27" t="inlineStr">
        <is>
          <t>按设计图示尺寸以体积计算；扣除门窗洞口及凹进墙内的壁龛、管槽、暖气槽、消火栓箱所占体积，不扣除单个面积≤0.3㎡的孔洞及墙内檩头、垫木、木楞头、沿缘木、木砖、门窗走头、加固钢筋、木筋、铁件、管道所占的体积；凸出墙面的墙垛及圈梁、构造柱、过梁、压顶、反坎等体积并入计算；砌体钢筋制作安装，构造柱、圈过梁等钢筋制作安装、混凝土浇筑、模板搭拆、脚手架及操作平台搭拆不单独计算。</t>
        </is>
      </c>
      <c r="F908" s="28" t="inlineStr">
        <is>
          <t>m3</t>
        </is>
      </c>
      <c r="G908" s="61" t="n">
        <v>35.27</v>
      </c>
      <c r="H908" s="62" t="n">
        <v>383.5</v>
      </c>
      <c r="I908" s="65" t="n"/>
      <c r="J908" s="62">
        <f>H908*(1-$I$4)</f>
        <v/>
      </c>
      <c r="K908" s="63">
        <f>G908*J908</f>
        <v/>
      </c>
      <c r="L908" s="33" t="inlineStr">
        <is>
          <t>砖</t>
        </is>
      </c>
      <c r="M908" s="64" t="n"/>
      <c r="N908" s="39" t="n">
        <v>1</v>
      </c>
      <c r="O908" t="n">
        <v>275</v>
      </c>
      <c r="P908" s="35" t="inlineStr">
        <is>
          <t>差:-108.50元 (-28.3%) 来源:售楼处</t>
        </is>
      </c>
      <c r="Q908" s="35" t="n"/>
      <c r="R908" s="35" t="n"/>
    </row>
    <row r="909" outlineLevel="2" ht="204" customFormat="1" customHeight="1" s="39">
      <c r="A909" s="37">
        <f>1+N(A908)</f>
        <v/>
      </c>
      <c r="B909" s="27" t="inlineStr">
        <is>
          <t>墙面一般抹灰</t>
        </is>
      </c>
      <c r="C909" s="27" t="inlineStr">
        <is>
          <t>1、墙面一般抹灰
2、具体施工做法详见国家相关规范条文
3、包含完成该项内容所有工作及费用并满足设计图纸、规范等要求</t>
        </is>
      </c>
      <c r="D909" s="27" t="inlineStr">
        <is>
          <t>1.材料场内倒运、清理、修补、湿润基层表面、铺网格布或钢丝网（综合考虑不同墙界面交接处、管线开槽处的局部挂钢丝网以及公区人流通道等砌体墙满挂钢丝网）、调运砂浆、清扫落地灰，简易脚手架及操作平台搭拆。
2.基层处理，贴饼冲筋、拍浆/刷浆、局部找平、抹灰找平、洒水湿润、罩面压光。
3.所有门窗洞口、箱、盒、管线、踢脚线等部位的二次收口工作、嵌缝修补、檐口等滴水线条抹灰塞缝收边。
4.完工清理，养护、成品保护、保修等全部工作内容。</t>
        </is>
      </c>
      <c r="E909" s="27" t="inlineStr">
        <is>
          <t>1.按设计图示尺寸以面积计算。扣除墙裙、门窗洞口及单个＞0.3 m2的孔洞面积，不扣除踢脚线、挂镜线和墙与构件交接处的面积，附墙柱、梁、垛、烟囱侧壁并入相应的墙面面积内。
2.门窗洞口和孔洞侧面、顶面和底面不计算面积。
3.不因地面、墙面工施工工序调整而调整计算规则。</t>
        </is>
      </c>
      <c r="F909" s="28" t="inlineStr">
        <is>
          <t>m2</t>
        </is>
      </c>
      <c r="G909" s="61" t="n">
        <v>358.52</v>
      </c>
      <c r="H909" s="62" t="n">
        <v>51.825895</v>
      </c>
      <c r="I909" s="65" t="n"/>
      <c r="J909" s="62">
        <f>H909*(1-$I$4)</f>
        <v/>
      </c>
      <c r="K909" s="63">
        <f>G909*J909</f>
        <v/>
      </c>
      <c r="L909" s="33" t="inlineStr">
        <is>
          <t>/</t>
        </is>
      </c>
      <c r="M909" s="64" t="n"/>
      <c r="N909" s="39" t="n">
        <v>1</v>
      </c>
      <c r="O909" t="n">
        <v>22</v>
      </c>
      <c r="P909" s="35" t="inlineStr">
        <is>
          <t>差:-29.83元 (-57.6%) 来源:售楼处</t>
        </is>
      </c>
      <c r="Q909" s="35" t="n"/>
      <c r="R909" s="35" t="n"/>
    </row>
    <row r="910" outlineLevel="2" ht="144" customFormat="1" customHeight="1" s="39">
      <c r="A910" s="37">
        <f>1+N(A909)</f>
        <v/>
      </c>
      <c r="B910" s="27" t="inlineStr">
        <is>
          <t>新建钢结构隔墙</t>
        </is>
      </c>
      <c r="C910" s="27" t="inlineStr">
        <is>
          <t>1、新建钢结构隔墙
2、8#热镀锌竖向槽钢龙骨间距小于0.9米，并要求至结构楼板底生根固定，横向5#角钢龙骨，间距根据砖面尺寸排列，所有的钢骨架均需做防锈处理
3、具体施工做法详见国家相关规范条文
4、包含完成该项内容所有工作及费用并满足设计图纸、规范等要求</t>
        </is>
      </c>
      <c r="D910"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910" s="27" t="inlineStr">
        <is>
          <t>执行《GB/T50854-2024房屋建筑与装饰工程工程量计算标准》，按设计图示框外围尺寸以面积计算。不扣除单个面积≤0.3㎡的孔洞所占面积；</t>
        </is>
      </c>
      <c r="F910" s="28" t="inlineStr">
        <is>
          <t>m2</t>
        </is>
      </c>
      <c r="G910" s="61" t="n">
        <v>625.9400000000001</v>
      </c>
      <c r="H910" s="62" t="n">
        <v>205.025</v>
      </c>
      <c r="I910" s="65" t="n"/>
      <c r="J910" s="62">
        <f>H910*(1-$I$4)</f>
        <v/>
      </c>
      <c r="K910" s="63">
        <f>G910*J910</f>
        <v/>
      </c>
      <c r="L910" s="33" t="inlineStr">
        <is>
          <t>/</t>
        </is>
      </c>
      <c r="M910" s="64" t="n"/>
      <c r="N910" s="39" t="n">
        <v>1</v>
      </c>
      <c r="O910" t="n">
        <v>65</v>
      </c>
      <c r="P910" s="35" t="inlineStr">
        <is>
          <t>差:-140.03元 (-68.3%) 来源:售楼处</t>
        </is>
      </c>
      <c r="Q910" s="35" t="n"/>
      <c r="R910" s="35" t="n"/>
    </row>
    <row r="911" customFormat="1" s="4">
      <c r="A911" s="40" t="inlineStr">
        <is>
          <t>E</t>
        </is>
      </c>
      <c r="B911" s="20" t="inlineStr">
        <is>
          <t>健身房装修部分（第三层）</t>
        </is>
      </c>
      <c r="C911" s="27" t="n"/>
      <c r="D911" s="27" t="n"/>
      <c r="E911" s="27" t="n"/>
      <c r="F911" s="28" t="n"/>
      <c r="G911" s="61" t="n"/>
      <c r="H911" s="62" t="n"/>
      <c r="I911" s="65" t="n"/>
      <c r="J911" s="62" t="n"/>
      <c r="K911" s="63" t="n"/>
      <c r="L911" s="33" t="n"/>
      <c r="M911" s="64" t="n"/>
      <c r="P911" s="35" t="n"/>
    </row>
    <row r="912" outlineLevel="1" customFormat="1" s="39">
      <c r="A912" s="26" t="inlineStr">
        <is>
          <t>一</t>
        </is>
      </c>
      <c r="B912" s="27" t="inlineStr">
        <is>
          <t>瑜伽室</t>
        </is>
      </c>
      <c r="C912" s="27" t="n"/>
      <c r="D912" s="27" t="n"/>
      <c r="E912" s="27" t="n"/>
      <c r="F912" s="28" t="n"/>
      <c r="G912" s="61" t="n"/>
      <c r="H912" s="62" t="n"/>
      <c r="I912" s="65" t="n"/>
      <c r="J912" s="62" t="n"/>
      <c r="K912" s="63" t="n"/>
      <c r="L912" s="33" t="n"/>
      <c r="M912" s="64" t="n"/>
      <c r="P912" s="35" t="n"/>
      <c r="Q912" s="35" t="n"/>
      <c r="R912" s="35" t="n"/>
    </row>
    <row r="913" outlineLevel="1" customFormat="1" s="39">
      <c r="A913" s="36" t="n"/>
      <c r="B913" s="27" t="inlineStr">
        <is>
          <t>地面工程</t>
        </is>
      </c>
      <c r="C913" s="27" t="n"/>
      <c r="D913" s="27" t="n"/>
      <c r="E913" s="27" t="n"/>
      <c r="F913" s="28" t="n"/>
      <c r="G913" s="61" t="n"/>
      <c r="H913" s="62" t="n"/>
      <c r="I913" s="65" t="n"/>
      <c r="J913" s="62" t="n"/>
      <c r="K913" s="63" t="n"/>
      <c r="L913" s="33" t="n"/>
      <c r="M913" s="64" t="n"/>
      <c r="P913" s="35" t="n"/>
      <c r="Q913" s="35" t="n"/>
      <c r="R913" s="35" t="n"/>
    </row>
    <row r="914" outlineLevel="2" ht="216" customFormat="1" customHeight="1" s="39">
      <c r="A914" s="37">
        <f>1+N(A913)</f>
        <v/>
      </c>
      <c r="B914" s="27" t="inlineStr">
        <is>
          <t>水泥砂浆找平层</t>
        </is>
      </c>
      <c r="C914" s="27" t="inlineStr">
        <is>
          <t>1.75mm厚DS干混砂浆找平层、需铺符合设计要求标高；
2.完成需收光、压实处理\面层需做自流平（地毯铺设前）；
3.包含完成该项内容所有工作及费用并满足设计图纸、规范等要求；</t>
        </is>
      </c>
      <c r="D914" s="27" t="inlineStr">
        <is>
          <t>包含完成地面所有施工工序所需的人工、材料（甲供材除外）、机械、管理费、利润；包括但不限于材料计划、卸车倒运（含多次）、保管、测量放线、基底清理、标高检测、配合检测、贴饼冲筋、砂浆找平、抹压、压光、设置分格缝、阻水台（按照方案及交底要求施工）、地面留槽回填及二次处理，所有洞口、管根的补遗处理，养护、配合水电安装、现场清理及分包施工作业面的及时清理、清扫等、装卸费、场内倒运费，配合承包人实验员做好冬季测温记录、坍落度实验及砼试块制作，成品保护、保修等全部工作内容。</t>
        </is>
      </c>
      <c r="E914" s="27" t="inlineStr">
        <is>
          <t>执行《GB/T50854-2024房屋建筑与装饰工程工程量计算标准》，按设计图示尺寸以面积计算。扣除凸出地面构筑物、设备基础、室内管道、地沟等所占面积，不扣除间壁墙及≤0.3 ㎡柱、垛、附墙烟囱及孔洞所占面积。门洞、空圈、暖气包槽、壁龛的开口部分不增加面积。</t>
        </is>
      </c>
      <c r="F914" s="28" t="inlineStr">
        <is>
          <t>m2</t>
        </is>
      </c>
      <c r="G914" s="61" t="n">
        <v>37.24</v>
      </c>
      <c r="H914" s="62" t="n">
        <v>78.50982500000001</v>
      </c>
      <c r="I914" s="65" t="n"/>
      <c r="J914" s="62">
        <f>H914*(1-$I$4)</f>
        <v/>
      </c>
      <c r="K914" s="63">
        <f>G914*J914</f>
        <v/>
      </c>
      <c r="L914" s="33" t="inlineStr">
        <is>
          <t>/</t>
        </is>
      </c>
      <c r="M914" s="64" t="n"/>
      <c r="O914" t="n">
        <v>28</v>
      </c>
      <c r="P914" s="35" t="inlineStr">
        <is>
          <t>差:-50.51元 (-64.3%) 来源:售楼处</t>
        </is>
      </c>
      <c r="Q914" s="35" t="n"/>
      <c r="R914" s="35" t="n"/>
    </row>
    <row r="915" outlineLevel="2" ht="108" customFormat="1" customHeight="1" s="39">
      <c r="A915" s="37">
        <f>1+N(A914)</f>
        <v/>
      </c>
      <c r="B915" s="27" t="inlineStr">
        <is>
          <t>地面铺贴ES-04木纹运动地胶</t>
        </is>
      </c>
      <c r="C915" s="27" t="inlineStr">
        <is>
          <t>1.地面铺贴ES-04木纹运动地胶；
2.粘贴层；
3.自流平
4.包含完成该项内容所有工作及费用并满足设计图纸、规范等要求；</t>
        </is>
      </c>
      <c r="D915"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t>
        </is>
      </c>
      <c r="E915" s="27" t="inlineStr">
        <is>
          <t xml:space="preserve">执行《GB/T50854-2024房屋建筑与装饰工程工程量计算标准》，按设计图示尺寸
以面积计算。 </t>
        </is>
      </c>
      <c r="F915" s="28" t="inlineStr">
        <is>
          <t>m2</t>
        </is>
      </c>
      <c r="G915" s="61" t="n">
        <v>37.24</v>
      </c>
      <c r="H915" s="62" t="n">
        <v>297.36</v>
      </c>
      <c r="I915" s="65" t="n"/>
      <c r="J915" s="62">
        <f>H915*(1-$I$4)</f>
        <v/>
      </c>
      <c r="K915" s="63">
        <f>G915*J915</f>
        <v/>
      </c>
      <c r="L915" s="33" t="inlineStr">
        <is>
          <t>/</t>
        </is>
      </c>
      <c r="M915" s="64" t="n"/>
      <c r="O915" t="n">
        <v>36</v>
      </c>
      <c r="P915" s="35" t="inlineStr">
        <is>
          <t>差:-261.36元 (-87.9%) 来源:会所合并</t>
        </is>
      </c>
      <c r="Q915" s="35" t="n"/>
      <c r="R915" s="35" t="n"/>
    </row>
    <row r="916" outlineLevel="2" ht="108" customFormat="1" customHeight="1" s="39">
      <c r="A916" s="37">
        <f>1+N(A915)</f>
        <v/>
      </c>
      <c r="B916" s="27" t="inlineStr">
        <is>
          <t>实心铜条5mm宽</t>
        </is>
      </c>
      <c r="C916" s="27" t="inlineStr">
        <is>
          <t>1.实心铜条5mm宽；
2.包含完成该项内容所有工作及费用并满足设计图纸、规范等要求；</t>
        </is>
      </c>
      <c r="D916"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916" s="27" t="inlineStr">
        <is>
          <t>按设计图示尺寸以长度计算。</t>
        </is>
      </c>
      <c r="F916" s="28" t="inlineStr">
        <is>
          <t>m</t>
        </is>
      </c>
      <c r="G916" s="61" t="n">
        <v>3.86</v>
      </c>
      <c r="H916" s="62" t="n">
        <v>89.267</v>
      </c>
      <c r="I916" s="65" t="n"/>
      <c r="J916" s="62">
        <f>H916*(1-$I$4)</f>
        <v/>
      </c>
      <c r="K916" s="63">
        <f>G916*J916</f>
        <v/>
      </c>
      <c r="L916" s="33" t="inlineStr">
        <is>
          <t>/</t>
        </is>
      </c>
      <c r="M916" s="64" t="n"/>
      <c r="O916" t="n">
        <v>12</v>
      </c>
      <c r="P916" s="35" t="inlineStr">
        <is>
          <t>差:-77.27元 (-86.6%) 来源:售楼处</t>
        </is>
      </c>
      <c r="Q916" s="35" t="n"/>
      <c r="R916" s="35" t="n"/>
    </row>
    <row r="917" outlineLevel="1" customFormat="1" s="39">
      <c r="A917" s="36" t="n"/>
      <c r="B917" s="27" t="inlineStr">
        <is>
          <t>墙柱面工程</t>
        </is>
      </c>
      <c r="C917" s="27" t="n"/>
      <c r="D917" s="27" t="n"/>
      <c r="E917" s="27" t="n"/>
      <c r="F917" s="28" t="n"/>
      <c r="G917" s="61" t="n"/>
      <c r="H917" s="62" t="n"/>
      <c r="I917" s="65" t="n"/>
      <c r="J917" s="62" t="n"/>
      <c r="K917" s="63" t="n"/>
      <c r="L917" s="33" t="n"/>
      <c r="M917" s="64" t="n"/>
      <c r="P917" s="35" t="n"/>
      <c r="Q917" s="35" t="n"/>
      <c r="R917" s="35" t="n"/>
    </row>
    <row r="918" outlineLevel="2" ht="180" customFormat="1" customHeight="1" s="39">
      <c r="A918" s="37">
        <f>1+N(A917)</f>
        <v/>
      </c>
      <c r="B918" s="27" t="inlineStr">
        <is>
          <t>墙面WD-04摩素板</t>
        </is>
      </c>
      <c r="C918" s="27" t="inlineStr">
        <is>
          <t>1、墙面WD-04摩素板(结构胶固定，含不锈钢线条)
2、12mm阻燃板基层
3、轻钢副龙骨@400、轻钢龙骨构件
4、包含完成该项内容所有工作及费用并满足设计图纸、规范等要求</t>
        </is>
      </c>
      <c r="D918"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918" s="27" t="inlineStr">
        <is>
          <t>执行《GB/T50854-2024房屋建筑与装饰工程工程量计算标准》，按设计图示饰面外围尺寸
以面积计算。 扣除门窗洞口面积，不扣除单个面积≤0.3㎡的孔洞所占面积。</t>
        </is>
      </c>
      <c r="F918" s="28" t="inlineStr">
        <is>
          <t>m2</t>
        </is>
      </c>
      <c r="G918" s="61" t="n">
        <v>46.91</v>
      </c>
      <c r="H918" s="62" t="n">
        <v>186.44</v>
      </c>
      <c r="I918" s="65" t="n"/>
      <c r="J918" s="62">
        <f>H918*(1-$I$4)</f>
        <v/>
      </c>
      <c r="K918" s="63">
        <f>G918*J918</f>
        <v/>
      </c>
      <c r="L918" s="33" t="inlineStr">
        <is>
          <t>摩素板</t>
        </is>
      </c>
      <c r="M918" s="64" t="n"/>
      <c r="O918" t="n">
        <v>35</v>
      </c>
      <c r="P918" s="35" t="inlineStr">
        <is>
          <t>差:-151.44元 (-81.2%) 来源:会所合并</t>
        </is>
      </c>
      <c r="Q918" s="35" t="n"/>
      <c r="R918" s="35" t="n"/>
    </row>
    <row r="919" outlineLevel="2" ht="144" customFormat="1" customHeight="1" s="39">
      <c r="A919" s="37">
        <f>1+N(A918)</f>
        <v/>
      </c>
      <c r="B919" s="27" t="inlineStr">
        <is>
          <t>MR-01银镜</t>
        </is>
      </c>
      <c r="C919" s="27" t="inlineStr">
        <is>
          <t>1、MR-01银镜
2、胶粘剂固定(中性胶)
3、12mm阻燃板基层
4、膨胀螺栓、轻钢龙骨(钢结构)基层找平
5、包含完成该项内容所有工作及费用并满足设计图纸、规范等要求</t>
        </is>
      </c>
      <c r="D919"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919" s="27" t="inlineStr">
        <is>
          <t>执行《GB/T50854-2024房屋建筑与装饰工程工程量计算标准》，按设计图示饰面外围尺寸以面积计算。</t>
        </is>
      </c>
      <c r="F919" s="28" t="inlineStr">
        <is>
          <t>m2</t>
        </is>
      </c>
      <c r="G919" s="61" t="n">
        <v>24.75</v>
      </c>
      <c r="H919" s="62" t="n">
        <v>214.76</v>
      </c>
      <c r="I919" s="65" t="n"/>
      <c r="J919" s="62">
        <f>H919*(1-$I$4)</f>
        <v/>
      </c>
      <c r="K919" s="63">
        <f>G919*J919</f>
        <v/>
      </c>
      <c r="L919" s="33" t="inlineStr">
        <is>
          <t>银镜</t>
        </is>
      </c>
      <c r="M919" s="64" t="n"/>
      <c r="O919" t="n">
        <v>110</v>
      </c>
      <c r="P919" s="35" t="inlineStr">
        <is>
          <t>差:-104.76元 (-48.8%) 来源:售楼处</t>
        </is>
      </c>
      <c r="Q919" s="35" t="n"/>
      <c r="R919" s="35" t="n"/>
    </row>
    <row r="920" outlineLevel="2" ht="144" customFormat="1" customHeight="1" s="39">
      <c r="A920" s="37">
        <f>1+N(A919)</f>
        <v/>
      </c>
      <c r="B920" s="27" t="inlineStr">
        <is>
          <t>MT-01古铜不锈钢踢脚线（高20mm）</t>
        </is>
      </c>
      <c r="C920" s="27" t="inlineStr">
        <is>
          <t>1、1.2mm厚 MT-01古铜不锈钢踢脚线（高20mm，展开面为46mm），结构胶固定
2、9厘玻镁板基层
3、包含完成该项内容所有工作及费用并满足设计图纸、规范等要求</t>
        </is>
      </c>
      <c r="D920"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920" s="27" t="inlineStr">
        <is>
          <t>按设计图示尺寸以长度计算。</t>
        </is>
      </c>
      <c r="F920" s="28" t="inlineStr">
        <is>
          <t>m</t>
        </is>
      </c>
      <c r="G920" s="61" t="n">
        <v>25.52</v>
      </c>
      <c r="H920" s="62" t="n">
        <v>31.86</v>
      </c>
      <c r="I920" s="65" t="n"/>
      <c r="J920" s="62">
        <f>H920*(1-$I$4)</f>
        <v/>
      </c>
      <c r="K920" s="63">
        <f>G920*J920</f>
        <v/>
      </c>
      <c r="L920" s="33" t="inlineStr">
        <is>
          <t>不锈钢踢脚线</t>
        </is>
      </c>
      <c r="M920" s="64" t="n"/>
      <c r="O920" t="n">
        <v>12</v>
      </c>
      <c r="P920" s="35" t="inlineStr">
        <is>
          <t>差:-19.86元 (-62.3%) 来源:售楼处</t>
        </is>
      </c>
      <c r="Q920" s="35" t="n"/>
      <c r="R920" s="35" t="n"/>
    </row>
    <row r="921" outlineLevel="2" ht="144" customFormat="1" customHeight="1" s="39">
      <c r="A921" s="37">
        <f>1+N(A920)</f>
        <v/>
      </c>
      <c r="B921" s="27" t="inlineStr">
        <is>
          <t>MT-01古铜不锈钢顶部收口条（展开面为41mm）</t>
        </is>
      </c>
      <c r="C921" s="27" t="inlineStr">
        <is>
          <t>1、1.2mm厚 MT-01古铜不锈钢顶部收口条（展开面为41mm），结构胶固定
2、9厘玻镁板基层
3、包含完成该项内容所有工作及费用并满足设计图纸、规范等要求</t>
        </is>
      </c>
      <c r="D921"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921" s="27" t="inlineStr">
        <is>
          <t>按设计图示尺寸以长度计算。</t>
        </is>
      </c>
      <c r="F921" s="28" t="inlineStr">
        <is>
          <t>m</t>
        </is>
      </c>
      <c r="G921" s="61" t="n">
        <v>21.5</v>
      </c>
      <c r="H921" s="62" t="n">
        <v>64.24509999999999</v>
      </c>
      <c r="I921" s="65" t="n"/>
      <c r="J921" s="62">
        <f>H921*(1-$I$4)</f>
        <v/>
      </c>
      <c r="K921" s="63">
        <f>G921*J921</f>
        <v/>
      </c>
      <c r="L921" s="33" t="inlineStr">
        <is>
          <t>/</t>
        </is>
      </c>
      <c r="M921" s="64" t="n"/>
      <c r="O921" t="n">
        <v>12</v>
      </c>
      <c r="P921" s="35" t="inlineStr">
        <is>
          <t>差:-52.25元 (-81.3%) 来源:售楼处</t>
        </is>
      </c>
      <c r="Q921" s="35" t="n"/>
      <c r="R921" s="35" t="n"/>
    </row>
    <row r="922" outlineLevel="2" ht="72" customFormat="1" customHeight="1" s="39">
      <c r="A922" s="37">
        <f>1+N(A921)</f>
        <v/>
      </c>
      <c r="B922" s="27" t="inlineStr">
        <is>
          <t>MT-01古铜不锈钢窗套（展开面为95mm）</t>
        </is>
      </c>
      <c r="C922" s="27" t="inlineStr">
        <is>
          <t>1、1.2mm厚 MT-01古铜不锈钢窗套（展开面为95mm），结构胶固定
2、9厘玻镁板基层
3、包含完成该项内容所有工作及费用并满足设计图纸、规范等要求</t>
        </is>
      </c>
      <c r="D922" s="27" t="inlineStr">
        <is>
          <t>自现有现场条件下按照合同约定范围、图纸（含设计变更）及甲方要求内容以及规范、标准、相关做法等要求完成并达到总包合同全部目标的全部工作内容。</t>
        </is>
      </c>
      <c r="E922" s="27" t="inlineStr">
        <is>
          <t>以最终验收合格的工程量计算</t>
        </is>
      </c>
      <c r="F922" s="28" t="inlineStr">
        <is>
          <t>m2</t>
        </is>
      </c>
      <c r="G922" s="61" t="n">
        <v>1.7</v>
      </c>
      <c r="H922" s="62" t="n">
        <v>630.651</v>
      </c>
      <c r="I922" s="65" t="n"/>
      <c r="J922" s="62">
        <f>H922*(1-$I$4)</f>
        <v/>
      </c>
      <c r="K922" s="63">
        <f>G922*J922</f>
        <v/>
      </c>
      <c r="L922" s="33" t="inlineStr">
        <is>
          <t>/</t>
        </is>
      </c>
      <c r="M922" s="64" t="n"/>
      <c r="O922" t="n">
        <v>110</v>
      </c>
      <c r="P922" s="35" t="inlineStr">
        <is>
          <t>差:-520.65元 (-82.6%) 来源:售楼处</t>
        </is>
      </c>
      <c r="Q922" s="35" t="n"/>
      <c r="R922" s="35" t="n"/>
    </row>
    <row r="923" outlineLevel="2" ht="180" customFormat="1" customHeight="1" s="39">
      <c r="A923" s="37">
        <f>1+N(A922)</f>
        <v/>
      </c>
      <c r="B923" s="27" t="inlineStr">
        <is>
          <t>不锈钢门套</t>
        </is>
      </c>
      <c r="C923" s="27" t="inlineStr">
        <is>
          <t>1、1.2mm厚 MT-01古铜不锈钢门套，结构胶固定
2、9厘玻镁板基层
3、工程量以展开面积计算
4、包含完成该项内容所有工作及费用并满足设计图纸、规范等要求</t>
        </is>
      </c>
      <c r="D923"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923" s="27" t="inlineStr">
        <is>
          <t>执行《GB/T50854-2024房屋建筑与装饰工程工程量计算标准》，按设计图示饰面外围尺寸
以面积计算。 扣除门窗洞口面积，不扣除单个面积≤0.3㎡的孔洞所占面积。</t>
        </is>
      </c>
      <c r="F923" s="28" t="inlineStr">
        <is>
          <t>m2</t>
        </is>
      </c>
      <c r="G923" s="61" t="n">
        <v>6.88</v>
      </c>
      <c r="H923" s="62" t="n">
        <v>630.651</v>
      </c>
      <c r="I923" s="65" t="n"/>
      <c r="J923" s="62">
        <f>H923*(1-$I$4)</f>
        <v/>
      </c>
      <c r="K923" s="63">
        <f>G923*J923</f>
        <v/>
      </c>
      <c r="L923" s="33" t="inlineStr">
        <is>
          <t>/</t>
        </is>
      </c>
      <c r="M923" s="64" t="n"/>
      <c r="O923" t="n">
        <v>110</v>
      </c>
      <c r="P923" s="35" t="inlineStr">
        <is>
          <t>差:-520.65元 (-82.6%) 来源:售楼处</t>
        </is>
      </c>
      <c r="Q923" s="35" t="n"/>
      <c r="R923" s="35" t="n"/>
    </row>
    <row r="924" outlineLevel="1" customFormat="1" s="39">
      <c r="A924" s="36" t="n"/>
      <c r="B924" s="27" t="inlineStr">
        <is>
          <t>天花工程</t>
        </is>
      </c>
      <c r="C924" s="27" t="n"/>
      <c r="D924" s="27" t="n"/>
      <c r="E924" s="27" t="n"/>
      <c r="F924" s="28" t="n"/>
      <c r="G924" s="61" t="n"/>
      <c r="H924" s="62" t="n"/>
      <c r="I924" s="65" t="n"/>
      <c r="J924" s="62" t="n"/>
      <c r="K924" s="63" t="n"/>
      <c r="L924" s="33" t="n"/>
      <c r="M924" s="64" t="n"/>
      <c r="P924" s="35" t="n"/>
      <c r="Q924" s="35" t="n"/>
      <c r="R924" s="35" t="n"/>
    </row>
    <row r="925" outlineLevel="2" ht="192" customFormat="1" customHeight="1" s="39">
      <c r="A925" s="37">
        <f>1+N(A924)</f>
        <v/>
      </c>
      <c r="B925" s="27" t="inlineStr">
        <is>
          <t>造型石膏板吊顶（含圆侧）</t>
        </is>
      </c>
      <c r="C925" s="27" t="inlineStr">
        <is>
          <t>1.60系列轻钢主龙骨@900，60系列轻钢副龙骨@400，60系列横撑龙骨@600，08螺纹吊杆@900不上人天花吊顶（投影面计算）
2.玻镁板、双层9.5厚石膏板基层，含开孔、检修口、10*10凹槽等费用；
3.含除灯槽外的侧面高差及其连接件、吊件；
4.包含完成该项内容所有工作及费用并满足设计图纸、规范等要求；</t>
        </is>
      </c>
      <c r="D925" s="27" t="inlineStr">
        <is>
          <t>1.基层清理。
2.弹线定位、排版。
3.吊杆及连接件安装调平、收口及密封处理。
4.材料切割处理找平、石膏板安装及调整，打胶密封与清理.
5.收口及其他处理：检修口等制作安装、收边收口、配合预留安装、机电等专业孔洞及孔洞收口处理。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925" s="27" t="inlineStr">
        <is>
          <t>按设计图示尺寸以水平投影面积计算。不扣除间壁墙、检查口、附墙烟囱、柱垛和管道所占面积,扣除单个&gt;0.3m3的孔洞、非密拼吊顶空隙所占的面积、独立柱及与天棚相连的窗帘盒所占的面积。</t>
        </is>
      </c>
      <c r="F925" s="28" t="inlineStr">
        <is>
          <t>m2</t>
        </is>
      </c>
      <c r="G925" s="61" t="n">
        <v>39.68</v>
      </c>
      <c r="H925" s="62" t="n">
        <v>268.922</v>
      </c>
      <c r="I925" s="65" t="n"/>
      <c r="J925" s="62">
        <f>H925*(1-$I$4)</f>
        <v/>
      </c>
      <c r="K925" s="63">
        <f>G925*J925</f>
        <v/>
      </c>
      <c r="L925" s="33" t="inlineStr">
        <is>
          <t>/</t>
        </is>
      </c>
      <c r="M925" s="64" t="n"/>
      <c r="O925" t="n">
        <v>85</v>
      </c>
      <c r="P925" s="35" t="inlineStr">
        <is>
          <t>差:-183.92元 (-68.4%) 来源:售楼处</t>
        </is>
      </c>
      <c r="Q925" s="35" t="n"/>
      <c r="R925" s="35" t="n"/>
    </row>
    <row r="926" outlineLevel="2" ht="72" customFormat="1" customHeight="1" s="39">
      <c r="A926" s="37">
        <f>1+N(A925)</f>
        <v/>
      </c>
      <c r="B926" s="27" t="inlineStr">
        <is>
          <t>灯槽（100mm*300mm）</t>
        </is>
      </c>
      <c r="C926" s="27" t="inlineStr">
        <is>
          <t>1.灯槽（100mm*300mm）；
2.双层板：双层9.5mm厚石膏板；
3.包含完成该项内容所有工作及费用并满足设计图纸、规范等要求；</t>
        </is>
      </c>
      <c r="D926" s="27" t="inlineStr">
        <is>
          <t>自现有现场条件下按照合同约定范围、图纸（含设计变更）及甲方要求内容以及规范、标准、相关做法等要求完成并达到总包合同全部目标的全部工作内容。</t>
        </is>
      </c>
      <c r="E926" s="27" t="inlineStr">
        <is>
          <t>依据经承包人确认的施工部位,按设计图示尺寸以延长米计算。</t>
        </is>
      </c>
      <c r="F926" s="28" t="inlineStr">
        <is>
          <t>m</t>
        </is>
      </c>
      <c r="G926" s="61" t="n">
        <v>51.08</v>
      </c>
      <c r="H926" s="62" t="n">
        <v>112.159</v>
      </c>
      <c r="I926" s="65" t="n"/>
      <c r="J926" s="62">
        <f>H926*(1-$I$4)</f>
        <v/>
      </c>
      <c r="K926" s="63">
        <f>G926*J926</f>
        <v/>
      </c>
      <c r="L926" s="33" t="inlineStr">
        <is>
          <t>/</t>
        </is>
      </c>
      <c r="M926" s="64" t="n"/>
      <c r="O926" t="n">
        <v>50</v>
      </c>
      <c r="P926" s="35" t="inlineStr">
        <is>
          <t>差:-62.16元 (-55.4%) 来源:会所合并</t>
        </is>
      </c>
      <c r="Q926" s="35" t="n"/>
      <c r="R926" s="35" t="n"/>
    </row>
    <row r="927" outlineLevel="2" ht="72" customFormat="1" customHeight="1" s="39">
      <c r="A927" s="37">
        <f>1+N(A926)</f>
        <v/>
      </c>
      <c r="B927" s="27" t="inlineStr">
        <is>
          <t>成品石膏线条</t>
        </is>
      </c>
      <c r="C927" s="27" t="inlineStr">
        <is>
          <t>1.成品石膏线条；
2.按图纸造型；
3.包含完成该项内容所有工作及费用并满足设计图纸、规范等要求；</t>
        </is>
      </c>
      <c r="D927" s="27" t="inlineStr">
        <is>
          <t>自现有现场条件下按照合同约定范围、图纸（含设计变更）及甲方要求内容以及规范、标准、相关做法等要求完成并达到总包合同全部目标的全部工作内容。</t>
        </is>
      </c>
      <c r="E927" s="27" t="inlineStr">
        <is>
          <t>依据经承包人确认的施工部位,按设计图示尺寸以延长米计算。</t>
        </is>
      </c>
      <c r="F927" s="28" t="inlineStr">
        <is>
          <t>m</t>
        </is>
      </c>
      <c r="G927" s="61" t="n">
        <v>51.08</v>
      </c>
      <c r="H927" s="62" t="n">
        <v>20.06</v>
      </c>
      <c r="I927" s="65" t="n"/>
      <c r="J927" s="62">
        <f>H927*(1-$I$4)</f>
        <v/>
      </c>
      <c r="K927" s="63">
        <f>G927*J927</f>
        <v/>
      </c>
      <c r="L927" s="33" t="inlineStr">
        <is>
          <t>成品石膏线条</t>
        </is>
      </c>
      <c r="M927" s="64" t="n"/>
      <c r="O927" t="n">
        <v>18</v>
      </c>
      <c r="P927" s="35" t="inlineStr">
        <is>
          <t>差:-2.06元 (-10.3%) 来源:会所合并</t>
        </is>
      </c>
      <c r="Q927" s="35" t="n"/>
      <c r="R927" s="35" t="n"/>
    </row>
    <row r="928" outlineLevel="2" ht="72" customFormat="1" customHeight="1" s="39">
      <c r="A928" s="37">
        <f>1+N(A927)</f>
        <v/>
      </c>
      <c r="B928" s="27" t="inlineStr">
        <is>
          <t>窗帘盒（100mm*200mm）</t>
        </is>
      </c>
      <c r="C928" s="27" t="inlineStr">
        <is>
          <t>1.窗帘盒窗帘盒（100mm*200mm）；
2.双层板：9mm玻镁板、9.5厚石膏板；
3.50系列轻钢龙骨及其连接件、吊件；
4.包含完成该项内容所有工作及费用并满足设计图纸、规范等要求；</t>
        </is>
      </c>
      <c r="D928" s="27" t="inlineStr">
        <is>
          <t>自现有现场条件下按照合同约定范围、图纸（含设计变更）及甲方要求内容以及规范、标准、相关做法等要求完成并达到总包合同全部目标的全部工作内容。</t>
        </is>
      </c>
      <c r="E928" s="27" t="inlineStr">
        <is>
          <t>依据经承包人确认的施工部位,按设计图示尺寸以延长米计算。</t>
        </is>
      </c>
      <c r="F928" s="28" t="inlineStr">
        <is>
          <t>m</t>
        </is>
      </c>
      <c r="G928" s="61" t="n">
        <v>4.53</v>
      </c>
      <c r="H928" s="62" t="n">
        <v>123.192</v>
      </c>
      <c r="I928" s="65" t="n"/>
      <c r="J928" s="62">
        <f>H928*(1-$I$4)</f>
        <v/>
      </c>
      <c r="K928" s="63">
        <f>G928*J928</f>
        <v/>
      </c>
      <c r="L928" s="33" t="inlineStr">
        <is>
          <t>/</t>
        </is>
      </c>
      <c r="M928" s="64" t="n"/>
      <c r="O928" t="n">
        <v>55</v>
      </c>
      <c r="P928" s="35" t="inlineStr">
        <is>
          <t>差:-68.19元 (-55.4%) 来源:会所合并</t>
        </is>
      </c>
      <c r="Q928" s="35" t="n"/>
      <c r="R928" s="35" t="n"/>
    </row>
    <row r="929" outlineLevel="2" ht="72" customFormat="1" customHeight="1" s="39">
      <c r="A929" s="37">
        <f>1+N(A928)</f>
        <v/>
      </c>
      <c r="B929" s="27" t="inlineStr">
        <is>
          <t>条形空调风口（150mm）</t>
        </is>
      </c>
      <c r="C929" s="27" t="inlineStr">
        <is>
          <t>1.条形空调风口（150mm）；
2.风口周边阻燃板封边加固处理；
3.包含完成该项内容所有工作及费用并满足设计图纸、规范等要求；</t>
        </is>
      </c>
      <c r="D929" s="27" t="inlineStr">
        <is>
          <t>自现有现场条件下按照合同约定范围、图纸（含设计变更）及甲方要求内容以及规范、标准、相关做法等要求完成并达到总包合同全部目标的全部工作内容。</t>
        </is>
      </c>
      <c r="E929" s="27" t="inlineStr">
        <is>
          <t>依据经承包人确认的施工部位,按设计图示尺寸以延长米计算。</t>
        </is>
      </c>
      <c r="F929" s="28" t="inlineStr">
        <is>
          <t>m</t>
        </is>
      </c>
      <c r="G929" s="61" t="n">
        <v>12.69</v>
      </c>
      <c r="H929" s="62" t="n">
        <v>109.74</v>
      </c>
      <c r="I929" s="65" t="n"/>
      <c r="J929" s="62">
        <f>H929*(1-$I$4)</f>
        <v/>
      </c>
      <c r="K929" s="63">
        <f>G929*J929</f>
        <v/>
      </c>
      <c r="L929" s="33" t="inlineStr">
        <is>
          <t>空调风口</t>
        </is>
      </c>
      <c r="M929" s="64" t="n"/>
      <c r="O929" t="n">
        <v>30</v>
      </c>
      <c r="P929" s="35" t="inlineStr">
        <is>
          <t>差:-79.74元 (-72.7%) 来源:售楼处</t>
        </is>
      </c>
      <c r="Q929" s="35" t="n"/>
      <c r="R929" s="35" t="n"/>
    </row>
    <row r="930" outlineLevel="2" ht="192" customFormat="1" customHeight="1" s="39">
      <c r="A930" s="37">
        <f>1+N(A929)</f>
        <v/>
      </c>
      <c r="B930" s="27" t="inlineStr">
        <is>
          <t>天花肌理无机涂料PT-01</t>
        </is>
      </c>
      <c r="C930" s="27" t="inlineStr">
        <is>
          <t>1.天花肌理无机涂料PT-01；
2.刮腻子二遍磨平；
3.底漆1遍，面漆2遍；
4.包含完成该项内容所有工作及费用并满足设计图纸、规范等要求；</t>
        </is>
      </c>
      <c r="D930" s="27" t="inlineStr">
        <is>
          <t>包括但不限于材料计划、采购、卸车倒运、保管、检验试验费、测量放线，包含四周阴角找平直、含天棚四周阴角找平直，打磨，简易脚手架搭拆及操作平台、升降机，基层清理、打磨平整、底层找补、满刮涂料（含阴阳角塑料条）、涂料打磨、补遗处理、配合其他分包施工、完工后场清、成品保护、保修等直到达到竣工交付标准的全部工作内容。包括所有为完成工作所需的小型机具；包括所有为完成工作所需的附属工作；包括但不限于以上内容。</t>
        </is>
      </c>
      <c r="E930" s="27" t="inlineStr">
        <is>
          <t>执行《GB/T50854-2024房屋建筑与装饰工程工程量计算标准》，按设计图示尺寸以面积计算。扣除0.3平方米以上洞口的面积；梁侧面及檐口天棚并入天棚计算；以设计图纸和技术交底为基础</t>
        </is>
      </c>
      <c r="F930" s="28" t="inlineStr">
        <is>
          <t>m2</t>
        </is>
      </c>
      <c r="G930" s="61" t="n">
        <v>59.13</v>
      </c>
      <c r="H930" s="62" t="n">
        <v>48.38</v>
      </c>
      <c r="I930" s="65" t="n"/>
      <c r="J930" s="62">
        <f>H930*(1-$I$4)</f>
        <v/>
      </c>
      <c r="K930" s="63">
        <f>G930*J930</f>
        <v/>
      </c>
      <c r="L930" s="33" t="inlineStr">
        <is>
          <t>涂料</t>
        </is>
      </c>
      <c r="M930" s="64" t="n"/>
      <c r="O930" t="n">
        <v>45</v>
      </c>
      <c r="P930" s="35" t="inlineStr">
        <is>
          <t>差:-3.38元 (-7.0%) 来源:售楼处</t>
        </is>
      </c>
      <c r="Q930" s="35" t="n"/>
      <c r="R930" s="35" t="n"/>
    </row>
    <row r="931" outlineLevel="1" customFormat="1" s="39">
      <c r="A931" s="36" t="n"/>
      <c r="B931" s="27" t="inlineStr">
        <is>
          <t>门窗、家具工程</t>
        </is>
      </c>
      <c r="C931" s="27" t="n"/>
      <c r="D931" s="27" t="n"/>
      <c r="E931" s="27" t="n"/>
      <c r="F931" s="28" t="n"/>
      <c r="G931" s="61" t="n"/>
      <c r="H931" s="62" t="n"/>
      <c r="I931" s="65" t="n"/>
      <c r="J931" s="62" t="n"/>
      <c r="K931" s="63" t="n"/>
      <c r="L931" s="33" t="n"/>
      <c r="M931" s="64" t="n"/>
      <c r="P931" s="35" t="n"/>
      <c r="Q931" s="35" t="n"/>
      <c r="R931" s="35" t="n"/>
    </row>
    <row r="932" outlineLevel="2" ht="84" customFormat="1" customHeight="1" s="39">
      <c r="A932" s="37">
        <f>1+N(A931)</f>
        <v/>
      </c>
      <c r="B932" s="27" t="inlineStr">
        <is>
          <t>玻璃门</t>
        </is>
      </c>
      <c r="C932" s="27" t="inlineStr">
        <is>
          <t>1、门扇：1.2mm厚 MT-01古铜不锈钢饰面、GL-02艺术玻璃、ST-08石材、50*50热镀锌矩管、9mm厚玻镁板基层
2、定制成品套装门制安
3、含天地轴等五金配件
4、包含完成该项内容所有工作及费用并满足设计图纸、规范等要求</t>
        </is>
      </c>
      <c r="D932" s="27" t="inlineStr">
        <is>
          <t>自现有现场条件下按照合同约定范围、图纸（含设计变更）及甲方要求内容以及规范、标准、相关做法等要求完成并达到总包合同全部目标的全部工作内容。</t>
        </is>
      </c>
      <c r="E932" s="27" t="inlineStr">
        <is>
          <t>以最终验收合格的工程量计算</t>
        </is>
      </c>
      <c r="F932" s="28" t="inlineStr">
        <is>
          <t>m2</t>
        </is>
      </c>
      <c r="G932" s="61" t="n">
        <v>2.87</v>
      </c>
      <c r="H932" s="62" t="n">
        <v>5625.2806870229</v>
      </c>
      <c r="I932" s="65" t="n"/>
      <c r="J932" s="62">
        <f>H932*(1-$I$4)</f>
        <v/>
      </c>
      <c r="K932" s="63">
        <f>G932*J932</f>
        <v/>
      </c>
      <c r="L932" s="33" t="inlineStr">
        <is>
          <t>/</t>
        </is>
      </c>
      <c r="M932" s="64" t="n"/>
      <c r="O932" t="n">
        <v>145</v>
      </c>
      <c r="P932" s="35" t="inlineStr">
        <is>
          <t>差:-5480.28元 (-97.4%) 来源:会所合并</t>
        </is>
      </c>
      <c r="Q932" s="35" t="n"/>
      <c r="R932" s="35" t="n"/>
    </row>
    <row r="933" outlineLevel="2" ht="72" customFormat="1" customHeight="1" s="39">
      <c r="A933" s="37">
        <f>1+N(A932)</f>
        <v/>
      </c>
      <c r="B933" s="27" t="inlineStr">
        <is>
          <t>玻璃隔断</t>
        </is>
      </c>
      <c r="C933" s="27" t="inlineStr">
        <is>
          <t>1、GL-02艺术玻璃隔断、MT-01古铜不锈钢边框（由专业厂家深化）
2、包含完成该项内容所有工作及费用并满足设计图纸、规范等要求</t>
        </is>
      </c>
      <c r="D933" s="27" t="inlineStr">
        <is>
          <t>自现有现场条件下按照合同约定范围、图纸（含设计变更）及甲方要求内容以及规范、标准、相关做法等要求完成并达到总包合同全部目标的全部工作内容。</t>
        </is>
      </c>
      <c r="E933" s="27" t="inlineStr">
        <is>
          <t>以最终验收合格的工程量计算</t>
        </is>
      </c>
      <c r="F933" s="28" t="inlineStr">
        <is>
          <t>m2</t>
        </is>
      </c>
      <c r="G933" s="61" t="n">
        <v>9.31</v>
      </c>
      <c r="H933" s="62" t="n">
        <v>3103.4</v>
      </c>
      <c r="I933" s="65" t="n"/>
      <c r="J933" s="62">
        <f>H933*(1-$I$4)</f>
        <v/>
      </c>
      <c r="K933" s="63">
        <f>G933*J933</f>
        <v/>
      </c>
      <c r="L933" s="33" t="inlineStr">
        <is>
          <t>/</t>
        </is>
      </c>
      <c r="M933" s="64" t="n"/>
      <c r="O933" t="n">
        <v>110</v>
      </c>
      <c r="P933" s="35" t="inlineStr">
        <is>
          <t>差:-2993.40元 (-96.5%) 来源:会所合并</t>
        </is>
      </c>
      <c r="Q933" s="35" t="n"/>
      <c r="R933" s="35" t="n"/>
    </row>
    <row r="934" outlineLevel="2" ht="72" customFormat="1" customHeight="1" s="39">
      <c r="A934" s="37">
        <f>1+N(A933)</f>
        <v/>
      </c>
      <c r="B934" s="27" t="inlineStr">
        <is>
          <t>平开门</t>
        </is>
      </c>
      <c r="C934" s="27" t="inlineStr">
        <is>
          <t>1、门扇：WD-03木饰面、20*40mm热镀锌矩管、9mm厚玻镁板基层
2、定制成品套装门制安
3、含暗合页、门把手等五金配件
4、包含完成该项内容所有工作及费用并满足设计图纸、规范等要求</t>
        </is>
      </c>
      <c r="D934" s="27" t="inlineStr">
        <is>
          <t>自现有现场条件下按照合同约定范围、图纸（含设计变更）及甲方要求内容以及规范、标准、相关做法等要求完成并达到总包合同全部目标的全部工作内容。</t>
        </is>
      </c>
      <c r="E934" s="27" t="inlineStr">
        <is>
          <t>以最终验收合格的工程量计算</t>
        </is>
      </c>
      <c r="F934" s="28" t="inlineStr">
        <is>
          <t>m2</t>
        </is>
      </c>
      <c r="G934" s="61" t="n">
        <v>2.88</v>
      </c>
      <c r="H934" s="62" t="n">
        <v>2447.18117647059</v>
      </c>
      <c r="I934" s="65" t="n"/>
      <c r="J934" s="62">
        <f>H934*(1-$I$4)</f>
        <v/>
      </c>
      <c r="K934" s="63">
        <f>G934*J934</f>
        <v/>
      </c>
      <c r="L934" s="33" t="inlineStr">
        <is>
          <t>/</t>
        </is>
      </c>
      <c r="M934" s="64" t="n"/>
      <c r="O934" t="n">
        <v>145</v>
      </c>
      <c r="P934" s="35" t="inlineStr">
        <is>
          <t>差:-2302.18元 (-94.1%) 来源:会所合并</t>
        </is>
      </c>
      <c r="Q934" s="35" t="n"/>
      <c r="R934" s="35" t="n"/>
    </row>
    <row r="935" outlineLevel="1" customFormat="1" s="39">
      <c r="A935" s="26" t="inlineStr">
        <is>
          <t>二</t>
        </is>
      </c>
      <c r="B935" s="27" t="inlineStr">
        <is>
          <t>健身房</t>
        </is>
      </c>
      <c r="C935" s="27" t="n"/>
      <c r="D935" s="27" t="n"/>
      <c r="E935" s="27" t="n"/>
      <c r="F935" s="28" t="n"/>
      <c r="G935" s="61" t="n"/>
      <c r="H935" s="62" t="n"/>
      <c r="I935" s="65" t="n"/>
      <c r="J935" s="62" t="n"/>
      <c r="K935" s="63" t="n"/>
      <c r="L935" s="33" t="n"/>
      <c r="M935" s="64" t="n"/>
      <c r="P935" s="35" t="n"/>
      <c r="Q935" s="35" t="n"/>
      <c r="R935" s="35" t="n"/>
    </row>
    <row r="936" outlineLevel="1" customFormat="1" s="39">
      <c r="A936" s="36" t="n"/>
      <c r="B936" s="27" t="inlineStr">
        <is>
          <t>地面工程</t>
        </is>
      </c>
      <c r="C936" s="27" t="n"/>
      <c r="D936" s="27" t="n"/>
      <c r="E936" s="27" t="n"/>
      <c r="F936" s="28" t="n"/>
      <c r="G936" s="61" t="n"/>
      <c r="H936" s="62" t="n"/>
      <c r="I936" s="65" t="n"/>
      <c r="J936" s="62" t="n"/>
      <c r="K936" s="63" t="n"/>
      <c r="L936" s="33" t="n"/>
      <c r="M936" s="64" t="n"/>
      <c r="P936" s="35" t="n"/>
      <c r="Q936" s="35" t="n"/>
      <c r="R936" s="35" t="n"/>
    </row>
    <row r="937" outlineLevel="2" ht="216" customFormat="1" customHeight="1" s="39">
      <c r="A937" s="37">
        <f>1+N(A936)</f>
        <v/>
      </c>
      <c r="B937" s="27" t="inlineStr">
        <is>
          <t>水泥砂浆找平层</t>
        </is>
      </c>
      <c r="C937" s="27" t="inlineStr">
        <is>
          <t>1.75mm厚DS干混砂浆找平层、需铺符合设计要求标高；
2.完成需收光、压实处理\面层需做自流平（地毯铺设前）；
3.包含完成该项内容所有工作及费用并满足设计图纸、规范等要求；</t>
        </is>
      </c>
      <c r="D937" s="27" t="inlineStr">
        <is>
          <t>包含完成地面所有施工工序所需的人工、材料（甲供材除外）、机械、管理费、利润；包括但不限于材料计划、卸车倒运（含多次）、保管、测量放线、基底清理、标高检测、配合检测、贴饼冲筋、砂浆找平、抹压、压光、设置分格缝、阻水台（按照方案及交底要求施工）、地面留槽回填及二次处理，所有洞口、管根的补遗处理，养护、配合水电安装、现场清理及分包施工作业面的及时清理、清扫等、装卸费、场内倒运费，配合承包人实验员做好冬季测温记录、坍落度实验及砼试块制作，成品保护、保修等全部工作内容。</t>
        </is>
      </c>
      <c r="E937" s="27" t="inlineStr">
        <is>
          <t>执行《GB/T50854-2024房屋建筑与装饰工程工程量计算标准》，按设计图示尺寸以面积计算。扣除凸出地面构筑物、设备基础、室内管道、地沟等所占面积，不扣除间壁墙及≤0.3 ㎡柱、垛、附墙烟囱及孔洞所占面积。门洞、空圈、暖气包槽、壁龛的开口部分不增加面积。</t>
        </is>
      </c>
      <c r="F937" s="28" t="inlineStr">
        <is>
          <t>m2</t>
        </is>
      </c>
      <c r="G937" s="61" t="n">
        <v>122.84</v>
      </c>
      <c r="H937" s="62" t="n">
        <v>78.50982500000001</v>
      </c>
      <c r="I937" s="65" t="n"/>
      <c r="J937" s="62">
        <f>H937*(1-$I$4)</f>
        <v/>
      </c>
      <c r="K937" s="63">
        <f>G937*J937</f>
        <v/>
      </c>
      <c r="L937" s="33" t="inlineStr">
        <is>
          <t>/</t>
        </is>
      </c>
      <c r="M937" s="64" t="n"/>
      <c r="O937" t="n">
        <v>28</v>
      </c>
      <c r="P937" s="35" t="inlineStr">
        <is>
          <t>差:-50.51元 (-64.3%) 来源:售楼处</t>
        </is>
      </c>
      <c r="Q937" s="35" t="n"/>
      <c r="R937" s="35" t="n"/>
    </row>
    <row r="938" outlineLevel="2" ht="108" customFormat="1" customHeight="1" s="39">
      <c r="A938" s="37">
        <f>1+N(A937)</f>
        <v/>
      </c>
      <c r="B938" s="27" t="inlineStr">
        <is>
          <t>地面铺贴ES-01浅色运动地胶</t>
        </is>
      </c>
      <c r="C938" s="27" t="inlineStr">
        <is>
          <t>1.地面铺贴ES-01浅色运动地胶；
2.粘贴层；
3.自流平
4.包含完成该项内容所有工作及费用并满足设计图纸、规范等要求；</t>
        </is>
      </c>
      <c r="D938"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t>
        </is>
      </c>
      <c r="E938" s="27" t="inlineStr">
        <is>
          <t xml:space="preserve">执行《GB/T50854-2024房屋建筑与装饰工程工程量计算标准》，按设计图示尺寸
以面积计算。 </t>
        </is>
      </c>
      <c r="F938" s="28" t="inlineStr">
        <is>
          <t>m2</t>
        </is>
      </c>
      <c r="G938" s="61" t="n">
        <v>39.68</v>
      </c>
      <c r="H938" s="62" t="n">
        <v>272.58</v>
      </c>
      <c r="I938" s="65" t="n"/>
      <c r="J938" s="62">
        <f>H938*(1-$I$4)</f>
        <v/>
      </c>
      <c r="K938" s="63">
        <f>G938*J938</f>
        <v/>
      </c>
      <c r="L938" s="33" t="inlineStr">
        <is>
          <t>/</t>
        </is>
      </c>
      <c r="M938" s="64" t="n"/>
      <c r="O938" t="n">
        <v>36</v>
      </c>
      <c r="P938" s="35" t="inlineStr">
        <is>
          <t>差:-236.58元 (-86.8%) 来源:会所合并</t>
        </is>
      </c>
      <c r="Q938" s="35" t="n"/>
      <c r="R938" s="35" t="n"/>
    </row>
    <row r="939" outlineLevel="2" ht="108" customFormat="1" customHeight="1" s="39">
      <c r="A939" s="37">
        <f>1+N(A938)</f>
        <v/>
      </c>
      <c r="B939" s="27" t="inlineStr">
        <is>
          <t>地面铺贴ES-02米色运动地胶</t>
        </is>
      </c>
      <c r="C939" s="27" t="inlineStr">
        <is>
          <t>1.地面铺贴ES-02米色运动地胶；
2.粘贴层；
3.自流平
4.包含完成该项内容所有工作及费用并满足设计图纸、规范等要求；</t>
        </is>
      </c>
      <c r="D939"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t>
        </is>
      </c>
      <c r="E939" s="27" t="inlineStr">
        <is>
          <t xml:space="preserve">执行《GB/T50854-2024房屋建筑与装饰工程工程量计算标准》，按设计图示尺寸
以面积计算。 </t>
        </is>
      </c>
      <c r="F939" s="28" t="inlineStr">
        <is>
          <t>m2</t>
        </is>
      </c>
      <c r="G939" s="61" t="n">
        <v>49.11</v>
      </c>
      <c r="H939" s="62" t="n">
        <v>272.58</v>
      </c>
      <c r="I939" s="65" t="n"/>
      <c r="J939" s="62">
        <f>H939*(1-$I$4)</f>
        <v/>
      </c>
      <c r="K939" s="63">
        <f>G939*J939</f>
        <v/>
      </c>
      <c r="L939" s="33" t="inlineStr">
        <is>
          <t>/</t>
        </is>
      </c>
      <c r="M939" s="64" t="n"/>
      <c r="O939" t="n">
        <v>36</v>
      </c>
      <c r="P939" s="35" t="inlineStr">
        <is>
          <t>差:-236.58元 (-86.8%) 来源:会所合并</t>
        </is>
      </c>
      <c r="Q939" s="35" t="n"/>
      <c r="R939" s="35" t="n"/>
    </row>
    <row r="940" outlineLevel="2" ht="108" customFormat="1" customHeight="1" s="39">
      <c r="A940" s="37">
        <f>1+N(A939)</f>
        <v/>
      </c>
      <c r="B940" s="27" t="inlineStr">
        <is>
          <t>地面铺贴ES-03深色运动地胶</t>
        </is>
      </c>
      <c r="C940" s="27" t="inlineStr">
        <is>
          <t>1.地面铺贴ES-03深色运动地胶；
2.粘贴层；
3.自流平
4.包含完成该项内容所有工作及费用并满足设计图纸、规范等要求；</t>
        </is>
      </c>
      <c r="D940"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t>
        </is>
      </c>
      <c r="E940" s="27" t="inlineStr">
        <is>
          <t xml:space="preserve">执行《GB/T50854-2024房屋建筑与装饰工程工程量计算标准》，按设计图示尺寸
以面积计算。 </t>
        </is>
      </c>
      <c r="F940" s="28" t="inlineStr">
        <is>
          <t>m2</t>
        </is>
      </c>
      <c r="G940" s="61" t="n">
        <v>34.06</v>
      </c>
      <c r="H940" s="62" t="n">
        <v>272.58</v>
      </c>
      <c r="I940" s="65" t="n"/>
      <c r="J940" s="62">
        <f>H940*(1-$I$4)</f>
        <v/>
      </c>
      <c r="K940" s="63">
        <f>G940*J940</f>
        <v/>
      </c>
      <c r="L940" s="33" t="inlineStr">
        <is>
          <t>/</t>
        </is>
      </c>
      <c r="M940" s="64" t="n"/>
      <c r="O940" t="n">
        <v>36</v>
      </c>
      <c r="P940" s="35" t="inlineStr">
        <is>
          <t>差:-236.58元 (-86.8%) 来源:会所合并</t>
        </is>
      </c>
      <c r="Q940" s="35" t="n"/>
      <c r="R940" s="35" t="n"/>
    </row>
    <row r="941" outlineLevel="2" ht="108" customFormat="1" customHeight="1" s="39">
      <c r="A941" s="37">
        <f>1+N(A940)</f>
        <v/>
      </c>
      <c r="B941" s="27" t="inlineStr">
        <is>
          <t>实心铜条5mm宽</t>
        </is>
      </c>
      <c r="C941" s="27" t="inlineStr">
        <is>
          <t>1.实心铜条5mm宽；
2.包含完成该项内容所有工作及费用并满足设计图纸、规范等要求；</t>
        </is>
      </c>
      <c r="D941"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941" s="27" t="inlineStr">
        <is>
          <t>按设计图示尺寸以长度计算。</t>
        </is>
      </c>
      <c r="F941" s="28" t="inlineStr">
        <is>
          <t>m</t>
        </is>
      </c>
      <c r="G941" s="61" t="n">
        <v>13.57</v>
      </c>
      <c r="H941" s="62" t="n">
        <v>89.267</v>
      </c>
      <c r="I941" s="65" t="n"/>
      <c r="J941" s="62">
        <f>H941*(1-$I$4)</f>
        <v/>
      </c>
      <c r="K941" s="63">
        <f>G941*J941</f>
        <v/>
      </c>
      <c r="L941" s="33" t="inlineStr">
        <is>
          <t>/</t>
        </is>
      </c>
      <c r="M941" s="64" t="n"/>
      <c r="O941" t="n">
        <v>12</v>
      </c>
      <c r="P941" s="35" t="inlineStr">
        <is>
          <t>差:-77.27元 (-86.6%) 来源:售楼处</t>
        </is>
      </c>
      <c r="Q941" s="35" t="n"/>
      <c r="R941" s="35" t="n"/>
    </row>
    <row r="942" outlineLevel="1" customFormat="1" s="39">
      <c r="A942" s="36" t="n"/>
      <c r="B942" s="27" t="inlineStr">
        <is>
          <t>墙柱面工程</t>
        </is>
      </c>
      <c r="C942" s="27" t="n"/>
      <c r="D942" s="27" t="n"/>
      <c r="E942" s="27" t="n"/>
      <c r="F942" s="28" t="n"/>
      <c r="G942" s="61" t="n"/>
      <c r="H942" s="62" t="n"/>
      <c r="I942" s="65" t="n"/>
      <c r="J942" s="62" t="n"/>
      <c r="K942" s="63" t="n"/>
      <c r="L942" s="33" t="n"/>
      <c r="M942" s="64" t="n"/>
      <c r="P942" s="35" t="n"/>
      <c r="Q942" s="35" t="n"/>
      <c r="R942" s="35" t="n"/>
    </row>
    <row r="943" outlineLevel="2" ht="180" customFormat="1" customHeight="1" s="39">
      <c r="A943" s="37">
        <f>1+N(A942)</f>
        <v/>
      </c>
      <c r="B943" s="27" t="inlineStr">
        <is>
          <t>墙面WD-04摩素板</t>
        </is>
      </c>
      <c r="C943" s="27" t="inlineStr">
        <is>
          <t>1、墙面WD-04摩素板(结构胶固定，含不锈钢线条)
2、12mm阻燃板基层
3、轻钢副龙骨@400、轻钢龙骨构件
4、包含完成该项内容所有工作及费用并满足设计图纸、规范等要求</t>
        </is>
      </c>
      <c r="D943"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943" s="27" t="inlineStr">
        <is>
          <t>执行《GB/T50854-2024房屋建筑与装饰工程工程量计算标准》，按设计图示饰面外围尺寸
以面积计算。 扣除门窗洞口面积，不扣除单个面积≤0.3㎡的孔洞所占面积。</t>
        </is>
      </c>
      <c r="F943" s="28" t="inlineStr">
        <is>
          <t>m2</t>
        </is>
      </c>
      <c r="G943" s="61" t="n">
        <v>162.64</v>
      </c>
      <c r="H943" s="62" t="n">
        <v>186.44</v>
      </c>
      <c r="I943" s="65" t="n"/>
      <c r="J943" s="62">
        <f>H943*(1-$I$4)</f>
        <v/>
      </c>
      <c r="K943" s="63">
        <f>G943*J943</f>
        <v/>
      </c>
      <c r="L943" s="33" t="inlineStr">
        <is>
          <t>摩素板</t>
        </is>
      </c>
      <c r="M943" s="64" t="n"/>
      <c r="O943" t="n">
        <v>35</v>
      </c>
      <c r="P943" s="35" t="inlineStr">
        <is>
          <t>差:-151.44元 (-81.2%) 来源:会所合并</t>
        </is>
      </c>
      <c r="Q943" s="35" t="n"/>
      <c r="R943" s="35" t="n"/>
    </row>
    <row r="944" outlineLevel="2" ht="144" customFormat="1" customHeight="1" s="39">
      <c r="A944" s="37">
        <f>1+N(A943)</f>
        <v/>
      </c>
      <c r="B944" s="27" t="inlineStr">
        <is>
          <t>MR-01银镜</t>
        </is>
      </c>
      <c r="C944" s="27" t="inlineStr">
        <is>
          <t>1、MR-01银镜
2、胶粘剂固定(中性胶)
3、12mm阻燃板基层
4、膨胀螺栓、轻钢龙骨(钢结构)基层找平
5、包含完成该项内容所有工作及费用并满足设计图纸、规范等要求</t>
        </is>
      </c>
      <c r="D944"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944" s="27" t="inlineStr">
        <is>
          <t>执行《GB/T50854-2024房屋建筑与装饰工程工程量计算标准》，按设计图示饰面外围尺寸以面积计算。</t>
        </is>
      </c>
      <c r="F944" s="28" t="inlineStr">
        <is>
          <t>m2</t>
        </is>
      </c>
      <c r="G944" s="61" t="n">
        <v>30.9</v>
      </c>
      <c r="H944" s="62" t="n">
        <v>214.76</v>
      </c>
      <c r="I944" s="65" t="n"/>
      <c r="J944" s="62">
        <f>H944*(1-$I$4)</f>
        <v/>
      </c>
      <c r="K944" s="63">
        <f>G944*J944</f>
        <v/>
      </c>
      <c r="L944" s="33" t="inlineStr">
        <is>
          <t>银镜</t>
        </is>
      </c>
      <c r="M944" s="64" t="n"/>
      <c r="O944" t="n">
        <v>110</v>
      </c>
      <c r="P944" s="35" t="inlineStr">
        <is>
          <t>差:-104.76元 (-48.8%) 来源:售楼处</t>
        </is>
      </c>
      <c r="Q944" s="35" t="n"/>
      <c r="R944" s="35" t="n"/>
    </row>
    <row r="945" outlineLevel="2" ht="144" customFormat="1" customHeight="1" s="39">
      <c r="A945" s="37">
        <f>1+N(A944)</f>
        <v/>
      </c>
      <c r="B945" s="27" t="inlineStr">
        <is>
          <t>MT-01古铜不锈钢踢脚线（高20mm）</t>
        </is>
      </c>
      <c r="C945" s="27" t="inlineStr">
        <is>
          <t>1、1.2mm厚 MT-01古铜不锈钢踢脚线（高20mm，展开面为46mm），结构胶固定
2、9厘玻镁板基层
3、包含完成该项内容所有工作及费用并满足设计图纸、规范等要求</t>
        </is>
      </c>
      <c r="D945"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945" s="27" t="inlineStr">
        <is>
          <t>按设计图示尺寸以长度计算。</t>
        </is>
      </c>
      <c r="F945" s="28" t="inlineStr">
        <is>
          <t>m</t>
        </is>
      </c>
      <c r="G945" s="61" t="n">
        <v>71.09</v>
      </c>
      <c r="H945" s="62" t="n">
        <v>31.86</v>
      </c>
      <c r="I945" s="65" t="n"/>
      <c r="J945" s="62">
        <f>H945*(1-$I$4)</f>
        <v/>
      </c>
      <c r="K945" s="63">
        <f>G945*J945</f>
        <v/>
      </c>
      <c r="L945" s="33" t="inlineStr">
        <is>
          <t>不锈钢踢脚线</t>
        </is>
      </c>
      <c r="M945" s="64" t="n"/>
      <c r="O945" t="n">
        <v>12</v>
      </c>
      <c r="P945" s="35" t="inlineStr">
        <is>
          <t>差:-19.86元 (-62.3%) 来源:售楼处</t>
        </is>
      </c>
      <c r="Q945" s="35" t="n"/>
      <c r="R945" s="35" t="n"/>
    </row>
    <row r="946" outlineLevel="2" ht="144" customFormat="1" customHeight="1" s="39">
      <c r="A946" s="37">
        <f>1+N(A945)</f>
        <v/>
      </c>
      <c r="B946" s="27" t="inlineStr">
        <is>
          <t>MT-01古铜不锈钢顶部收口条（展开面为41mm）</t>
        </is>
      </c>
      <c r="C946" s="27" t="inlineStr">
        <is>
          <t>1、1.2mm厚 MT-01古铜不锈钢顶部收口条（展开面为41mm），结构胶固定
2、9厘玻镁板基层
3、包含完成该项内容所有工作及费用并满足设计图纸、规范等要求</t>
        </is>
      </c>
      <c r="D946"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946" s="27" t="inlineStr">
        <is>
          <t>按设计图示尺寸以长度计算。</t>
        </is>
      </c>
      <c r="F946" s="28" t="inlineStr">
        <is>
          <t>m</t>
        </is>
      </c>
      <c r="G946" s="61" t="n">
        <v>58.44</v>
      </c>
      <c r="H946" s="62" t="n">
        <v>64.24509999999999</v>
      </c>
      <c r="I946" s="65" t="n"/>
      <c r="J946" s="62">
        <f>H946*(1-$I$4)</f>
        <v/>
      </c>
      <c r="K946" s="63">
        <f>G946*J946</f>
        <v/>
      </c>
      <c r="L946" s="33" t="inlineStr">
        <is>
          <t>/</t>
        </is>
      </c>
      <c r="M946" s="64" t="n"/>
      <c r="O946" t="n">
        <v>12</v>
      </c>
      <c r="P946" s="35" t="inlineStr">
        <is>
          <t>差:-52.25元 (-81.3%) 来源:售楼处</t>
        </is>
      </c>
      <c r="Q946" s="35" t="n"/>
      <c r="R946" s="35" t="n"/>
    </row>
    <row r="947" outlineLevel="2" ht="72" customFormat="1" customHeight="1" s="39">
      <c r="A947" s="37">
        <f>1+N(A946)</f>
        <v/>
      </c>
      <c r="B947" s="27" t="inlineStr">
        <is>
          <t>MT-01古铜不锈钢窗套（展开面为95mm）</t>
        </is>
      </c>
      <c r="C947" s="27" t="inlineStr">
        <is>
          <t>1、1.2mm厚 MT-01古铜不锈钢窗套（展开面为95mm），结构胶固定
2、9厘玻镁板基层
3、包含完成该项内容所有工作及费用并满足设计图纸、规范等要求</t>
        </is>
      </c>
      <c r="D947" s="27" t="inlineStr">
        <is>
          <t>自现有现场条件下按照合同约定范围、图纸（含设计变更）及甲方要求内容以及规范、标准、相关做法等要求完成并达到总包合同全部目标的全部工作内容。</t>
        </is>
      </c>
      <c r="E947" s="27" t="inlineStr">
        <is>
          <t>以最终验收合格的工程量计算</t>
        </is>
      </c>
      <c r="F947" s="28" t="inlineStr">
        <is>
          <t>m2</t>
        </is>
      </c>
      <c r="G947" s="61" t="n">
        <v>5.92</v>
      </c>
      <c r="H947" s="62" t="n">
        <v>630.651</v>
      </c>
      <c r="I947" s="65" t="n"/>
      <c r="J947" s="62">
        <f>H947*(1-$I$4)</f>
        <v/>
      </c>
      <c r="K947" s="63">
        <f>G947*J947</f>
        <v/>
      </c>
      <c r="L947" s="33" t="inlineStr">
        <is>
          <t>/</t>
        </is>
      </c>
      <c r="M947" s="64" t="n"/>
      <c r="O947" t="n">
        <v>110</v>
      </c>
      <c r="P947" s="35" t="inlineStr">
        <is>
          <t>差:-520.65元 (-82.6%) 来源:售楼处</t>
        </is>
      </c>
      <c r="Q947" s="35" t="n"/>
      <c r="R947" s="35" t="n"/>
    </row>
    <row r="948" outlineLevel="2" ht="180" customFormat="1" customHeight="1" s="39">
      <c r="A948" s="37">
        <f>1+N(A947)</f>
        <v/>
      </c>
      <c r="B948" s="27" t="inlineStr">
        <is>
          <t>不锈钢门套</t>
        </is>
      </c>
      <c r="C948" s="27" t="inlineStr">
        <is>
          <t>1、1.2mm厚 MT-01古铜不锈钢门套，结构胶固定
2、9厘玻镁板基层
3、工程量以展开面积计算
4、包含完成该项内容所有工作及费用并满足设计图纸、规范等要求</t>
        </is>
      </c>
      <c r="D948"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948" s="27" t="inlineStr">
        <is>
          <t>执行《GB/T50854-2024房屋建筑与装饰工程工程量计算标准》，按设计图示饰面外围尺寸
以面积计算。 扣除门窗洞口面积，不扣除单个面积≤0.3㎡的孔洞所占面积。</t>
        </is>
      </c>
      <c r="F948" s="28" t="inlineStr">
        <is>
          <t>m2</t>
        </is>
      </c>
      <c r="G948" s="61" t="n">
        <v>14.05</v>
      </c>
      <c r="H948" s="62" t="n">
        <v>630.651</v>
      </c>
      <c r="I948" s="65" t="n"/>
      <c r="J948" s="62">
        <f>H948*(1-$I$4)</f>
        <v/>
      </c>
      <c r="K948" s="63">
        <f>G948*J948</f>
        <v/>
      </c>
      <c r="L948" s="33" t="inlineStr">
        <is>
          <t>/</t>
        </is>
      </c>
      <c r="M948" s="64" t="n"/>
      <c r="O948" t="n">
        <v>110</v>
      </c>
      <c r="P948" s="35" t="inlineStr">
        <is>
          <t>差:-520.65元 (-82.6%) 来源:售楼处</t>
        </is>
      </c>
      <c r="Q948" s="35" t="n"/>
      <c r="R948" s="35" t="n"/>
    </row>
    <row r="949" outlineLevel="1" customFormat="1" s="39">
      <c r="A949" s="36" t="n"/>
      <c r="B949" s="27" t="inlineStr">
        <is>
          <t>天花工程</t>
        </is>
      </c>
      <c r="C949" s="27" t="n"/>
      <c r="D949" s="27" t="n"/>
      <c r="E949" s="27" t="n"/>
      <c r="F949" s="28" t="n"/>
      <c r="G949" s="61" t="n"/>
      <c r="H949" s="62" t="n"/>
      <c r="I949" s="65" t="n"/>
      <c r="J949" s="62" t="n"/>
      <c r="K949" s="63" t="n"/>
      <c r="L949" s="33" t="n"/>
      <c r="M949" s="64" t="n"/>
      <c r="P949" s="35" t="n"/>
      <c r="Q949" s="35" t="n"/>
      <c r="R949" s="35" t="n"/>
    </row>
    <row r="950" outlineLevel="2" ht="192" customFormat="1" customHeight="1" s="39">
      <c r="A950" s="37">
        <f>1+N(A949)</f>
        <v/>
      </c>
      <c r="B950" s="27" t="inlineStr">
        <is>
          <t>造型石膏板吊顶（含圆侧）</t>
        </is>
      </c>
      <c r="C950" s="27" t="inlineStr">
        <is>
          <t>1.60系列轻钢主龙骨@900，60系列轻钢副龙骨@400，60系列横撑龙骨@600，08螺纹吊杆@900不上人天花吊顶（投影面计算）
2.玻镁板、双层9.5厚石膏板基层，含开孔、检修口、10*10凹槽等费用；
3.含除灯槽外的侧面高差及其连接件、吊件；
4.包含完成该项内容所有工作及费用并满足设计图纸、规范等要求；</t>
        </is>
      </c>
      <c r="D950" s="27" t="inlineStr">
        <is>
          <t>1.基层清理。
2.弹线定位、排版。
3.吊杆及连接件安装调平、收口及密封处理。
4.材料切割处理找平、石膏板安装及调整，打胶密封与清理.
5.收口及其他处理：检修口等制作安装、收边收口、配合预留安装、机电等专业孔洞及孔洞收口处理。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950" s="27" t="inlineStr">
        <is>
          <t>按设计图示尺寸以水平投影面积计算。不扣除间壁墙、检查口、附墙烟囱、柱垛和管道所占面积,扣除单个&gt;0.3m3的孔洞、非密拼吊顶空隙所占的面积、独立柱及与天棚相连的窗帘盒所占的面积。</t>
        </is>
      </c>
      <c r="F950" s="28" t="inlineStr">
        <is>
          <t>m2</t>
        </is>
      </c>
      <c r="G950" s="61" t="n">
        <v>120.83</v>
      </c>
      <c r="H950" s="62" t="n">
        <v>268.922</v>
      </c>
      <c r="I950" s="65" t="n"/>
      <c r="J950" s="62">
        <f>H950*(1-$I$4)</f>
        <v/>
      </c>
      <c r="K950" s="63">
        <f>G950*J950</f>
        <v/>
      </c>
      <c r="L950" s="33" t="inlineStr">
        <is>
          <t>/</t>
        </is>
      </c>
      <c r="M950" s="64" t="n"/>
      <c r="O950" t="n">
        <v>85</v>
      </c>
      <c r="P950" s="35" t="inlineStr">
        <is>
          <t>差:-183.92元 (-68.4%) 来源:售楼处</t>
        </is>
      </c>
      <c r="Q950" s="35" t="n"/>
      <c r="R950" s="35" t="n"/>
    </row>
    <row r="951" outlineLevel="2" ht="72" customFormat="1" customHeight="1" s="39">
      <c r="A951" s="37">
        <f>1+N(A950)</f>
        <v/>
      </c>
      <c r="B951" s="27" t="inlineStr">
        <is>
          <t>窗帘盒（100mm*200mm）</t>
        </is>
      </c>
      <c r="C951" s="27" t="inlineStr">
        <is>
          <t>1.窗帘盒窗帘盒（100mm*200mm）；
2.双层板：9mm玻镁板、9.5厚石膏板；
3.50系列轻钢龙骨及其连接件、吊件；
4.包含完成该项内容所有工作及费用并满足设计图纸、规范等要求；</t>
        </is>
      </c>
      <c r="D951" s="27" t="inlineStr">
        <is>
          <t>自现有现场条件下按照合同约定范围、图纸（含设计变更）及甲方要求内容以及规范、标准、相关做法等要求完成并达到总包合同全部目标的全部工作内容。</t>
        </is>
      </c>
      <c r="E951" s="27" t="inlineStr">
        <is>
          <t>依据经承包人确认的施工部位,按设计图示尺寸以延长米计算。</t>
        </is>
      </c>
      <c r="F951" s="28" t="inlineStr">
        <is>
          <t>m</t>
        </is>
      </c>
      <c r="G951" s="61" t="n">
        <v>16.63</v>
      </c>
      <c r="H951" s="62" t="n">
        <v>123.192</v>
      </c>
      <c r="I951" s="65" t="n"/>
      <c r="J951" s="62">
        <f>H951*(1-$I$4)</f>
        <v/>
      </c>
      <c r="K951" s="63">
        <f>G951*J951</f>
        <v/>
      </c>
      <c r="L951" s="33" t="inlineStr">
        <is>
          <t>/</t>
        </is>
      </c>
      <c r="M951" s="64" t="n"/>
      <c r="O951" t="n">
        <v>55</v>
      </c>
      <c r="P951" s="35" t="inlineStr">
        <is>
          <t>差:-68.19元 (-55.4%) 来源:会所合并</t>
        </is>
      </c>
      <c r="Q951" s="35" t="n"/>
      <c r="R951" s="35" t="n"/>
    </row>
    <row r="952" outlineLevel="2" ht="72" customFormat="1" customHeight="1" s="39">
      <c r="A952" s="37">
        <f>1+N(A951)</f>
        <v/>
      </c>
      <c r="B952" s="27" t="inlineStr">
        <is>
          <t>条形空调风口（150mm）</t>
        </is>
      </c>
      <c r="C952" s="27" t="inlineStr">
        <is>
          <t>1.条形空调风口（150mm）；
2.风口周边阻燃板封边加固处理；
3.包含完成该项内容所有工作及费用并满足设计图纸、规范等要求；</t>
        </is>
      </c>
      <c r="D952" s="27" t="inlineStr">
        <is>
          <t>自现有现场条件下按照合同约定范围、图纸（含设计变更）及甲方要求内容以及规范、标准、相关做法等要求完成并达到总包合同全部目标的全部工作内容。</t>
        </is>
      </c>
      <c r="E952" s="27" t="inlineStr">
        <is>
          <t>依据经承包人确认的施工部位,按设计图示尺寸以延长米计算。</t>
        </is>
      </c>
      <c r="F952" s="28" t="inlineStr">
        <is>
          <t>m</t>
        </is>
      </c>
      <c r="G952" s="61" t="n">
        <v>21.09</v>
      </c>
      <c r="H952" s="62" t="n">
        <v>109.74</v>
      </c>
      <c r="I952" s="65" t="n"/>
      <c r="J952" s="62">
        <f>H952*(1-$I$4)</f>
        <v/>
      </c>
      <c r="K952" s="63">
        <f>G952*J952</f>
        <v/>
      </c>
      <c r="L952" s="33" t="inlineStr">
        <is>
          <t>空调风口</t>
        </is>
      </c>
      <c r="M952" s="64" t="n"/>
      <c r="O952" t="n">
        <v>30</v>
      </c>
      <c r="P952" s="35" t="inlineStr">
        <is>
          <t>差:-79.74元 (-72.7%) 来源:售楼处</t>
        </is>
      </c>
      <c r="Q952" s="35" t="n"/>
      <c r="R952" s="35" t="n"/>
    </row>
    <row r="953" outlineLevel="2" ht="192" customFormat="1" customHeight="1" s="39">
      <c r="A953" s="37">
        <f>1+N(A952)</f>
        <v/>
      </c>
      <c r="B953" s="27" t="inlineStr">
        <is>
          <t>天花肌理无机涂料PT-01</t>
        </is>
      </c>
      <c r="C953" s="27" t="inlineStr">
        <is>
          <t>1.天花肌理无机涂料PT-01；
2.刮腻子二遍磨平；
3.底漆1遍，面漆2遍；
4.包含完成该项内容所有工作及费用并满足设计图纸、规范等要求；</t>
        </is>
      </c>
      <c r="D953" s="27" t="inlineStr">
        <is>
          <t>包括但不限于材料计划、采购、卸车倒运、保管、检验试验费、测量放线，包含四周阴角找平直、含天棚四周阴角找平直，打磨，简易脚手架搭拆及操作平台、升降机，基层清理、打磨平整、底层找补、满刮涂料（含阴阳角塑料条）、涂料打磨、补遗处理、配合其他分包施工、完工后场清、成品保护、保修等直到达到竣工交付标准的全部工作内容。包括所有为完成工作所需的小型机具；包括所有为完成工作所需的附属工作；包括但不限于以上内容。</t>
        </is>
      </c>
      <c r="E953" s="27" t="inlineStr">
        <is>
          <t>执行《GB/T50854-2024房屋建筑与装饰工程工程量计算标准》，按设计图示尺寸以面积计算。扣除0.3平方米以上洞口的面积；梁侧面及檐口天棚并入天棚计算；以设计图纸和技术交底为基础</t>
        </is>
      </c>
      <c r="F953" s="28" t="inlineStr">
        <is>
          <t>m2</t>
        </is>
      </c>
      <c r="G953" s="61" t="n">
        <v>141.71</v>
      </c>
      <c r="H953" s="62" t="n">
        <v>48.38</v>
      </c>
      <c r="I953" s="65" t="n"/>
      <c r="J953" s="62">
        <f>H953*(1-$I$4)</f>
        <v/>
      </c>
      <c r="K953" s="63">
        <f>G953*J953</f>
        <v/>
      </c>
      <c r="L953" s="33" t="inlineStr">
        <is>
          <t>涂料</t>
        </is>
      </c>
      <c r="M953" s="64" t="n"/>
      <c r="O953" t="n">
        <v>45</v>
      </c>
      <c r="P953" s="35" t="inlineStr">
        <is>
          <t>差:-3.38元 (-7.0%) 来源:售楼处</t>
        </is>
      </c>
      <c r="Q953" s="35" t="n"/>
      <c r="R953" s="35" t="n"/>
    </row>
    <row r="954" outlineLevel="1" customFormat="1" s="39">
      <c r="A954" s="36" t="n"/>
      <c r="B954" s="27" t="inlineStr">
        <is>
          <t>门窗、家具工程</t>
        </is>
      </c>
      <c r="C954" s="27" t="n"/>
      <c r="D954" s="27" t="n"/>
      <c r="E954" s="27" t="n"/>
      <c r="F954" s="28" t="n"/>
      <c r="G954" s="61" t="n"/>
      <c r="H954" s="62" t="n"/>
      <c r="I954" s="65" t="n"/>
      <c r="J954" s="62" t="n"/>
      <c r="K954" s="63" t="n"/>
      <c r="L954" s="33" t="n"/>
      <c r="M954" s="64" t="n"/>
      <c r="P954" s="35" t="n"/>
      <c r="Q954" s="35" t="n"/>
      <c r="R954" s="35" t="n"/>
    </row>
    <row r="955" outlineLevel="2" ht="84" customFormat="1" customHeight="1" s="39">
      <c r="A955" s="37">
        <f>1+N(A954)</f>
        <v/>
      </c>
      <c r="B955" s="27" t="inlineStr">
        <is>
          <t>玻璃门</t>
        </is>
      </c>
      <c r="C955" s="27" t="inlineStr">
        <is>
          <t>1、门扇：1.2mm厚 MT-01古铜不锈钢饰面、GL-02艺术玻璃、ST-08石材、50*50热镀锌矩管、9mm厚玻镁板基层
2、定制成品套装门制安
3、含天地轴等五金配件
4、包含完成该项内容所有工作及费用并满足设计图纸、规范等要求</t>
        </is>
      </c>
      <c r="D955" s="27" t="inlineStr">
        <is>
          <t>自现有现场条件下按照合同约定范围、图纸（含设计变更）及甲方要求内容以及规范、标准、相关做法等要求完成并达到总包合同全部目标的全部工作内容。</t>
        </is>
      </c>
      <c r="E955" s="27" t="inlineStr">
        <is>
          <t>以最终验收合格的工程量计算</t>
        </is>
      </c>
      <c r="F955" s="28" t="inlineStr">
        <is>
          <t>m2</t>
        </is>
      </c>
      <c r="G955" s="61" t="n">
        <v>8.130000000000001</v>
      </c>
      <c r="H955" s="62" t="n">
        <v>5625.2806870229</v>
      </c>
      <c r="I955" s="65" t="n"/>
      <c r="J955" s="62">
        <f>H955*(1-$I$4)</f>
        <v/>
      </c>
      <c r="K955" s="63">
        <f>G955*J955</f>
        <v/>
      </c>
      <c r="L955" s="33" t="inlineStr">
        <is>
          <t>/</t>
        </is>
      </c>
      <c r="M955" s="64" t="n"/>
      <c r="O955" t="n">
        <v>145</v>
      </c>
      <c r="P955" s="35" t="inlineStr">
        <is>
          <t>差:-5480.28元 (-97.4%) 来源:会所合并</t>
        </is>
      </c>
      <c r="Q955" s="35" t="n"/>
      <c r="R955" s="35" t="n"/>
    </row>
    <row r="956" outlineLevel="2" ht="72" customFormat="1" customHeight="1" s="39">
      <c r="A956" s="37">
        <f>1+N(A955)</f>
        <v/>
      </c>
      <c r="B956" s="27" t="inlineStr">
        <is>
          <t>玻璃隔断</t>
        </is>
      </c>
      <c r="C956" s="27" t="inlineStr">
        <is>
          <t>1、GL-02艺术玻璃隔断、MT-01古铜不锈钢边框（由专业厂家深化）
2、包含完成该项内容所有工作及费用并满足设计图纸、规范等要求</t>
        </is>
      </c>
      <c r="D956" s="27" t="inlineStr">
        <is>
          <t>自现有现场条件下按照合同约定范围、图纸（含设计变更）及甲方要求内容以及规范、标准、相关做法等要求完成并达到总包合同全部目标的全部工作内容。</t>
        </is>
      </c>
      <c r="E956" s="27" t="inlineStr">
        <is>
          <t>以最终验收合格的工程量计算</t>
        </is>
      </c>
      <c r="F956" s="28" t="inlineStr">
        <is>
          <t>m2</t>
        </is>
      </c>
      <c r="G956" s="61" t="n">
        <v>33.83</v>
      </c>
      <c r="H956" s="62" t="n">
        <v>3103.4</v>
      </c>
      <c r="I956" s="65" t="n"/>
      <c r="J956" s="62">
        <f>H956*(1-$I$4)</f>
        <v/>
      </c>
      <c r="K956" s="63">
        <f>G956*J956</f>
        <v/>
      </c>
      <c r="L956" s="33" t="inlineStr">
        <is>
          <t>/</t>
        </is>
      </c>
      <c r="M956" s="64" t="n"/>
      <c r="O956" t="n">
        <v>110</v>
      </c>
      <c r="P956" s="35" t="inlineStr">
        <is>
          <t>差:-2993.40元 (-96.5%) 来源:会所合并</t>
        </is>
      </c>
      <c r="Q956" s="35" t="n"/>
      <c r="R956" s="35" t="n"/>
    </row>
    <row r="957" outlineLevel="2" ht="96" customFormat="1" customHeight="1" s="39">
      <c r="A957" s="37">
        <f>1+N(A956)</f>
        <v/>
      </c>
      <c r="B957" s="27" t="inlineStr">
        <is>
          <t>装饰屏风（800mm*100mm*3200mm）</t>
        </is>
      </c>
      <c r="C957" s="27" t="inlineStr">
        <is>
          <t>1.装饰屏风（800mm*100mm*3200mm）；
2.包括但不限于制作安装、钢结构骨架、阻燃板基层、WD-02木饰面、1.2mm厚 MT-01古铜不锈钢、MT-04手敲铜不锈钢；
3.包含完成该项内容所有工作及费用并满足设计图纸、规范等要求</t>
        </is>
      </c>
      <c r="D957" s="27" t="inlineStr">
        <is>
          <t>自现有现场条件下按照合同约定范围、图纸（含设计变更）及甲方要求内容以及规范、标准、相关做法等要求完成并达到总包合同全部目标的全部工作内容。</t>
        </is>
      </c>
      <c r="E957" s="27" t="inlineStr">
        <is>
          <t>以最终验收合格的工程量计算</t>
        </is>
      </c>
      <c r="F957" s="28" t="inlineStr">
        <is>
          <t>m2</t>
        </is>
      </c>
      <c r="G957" s="61" t="n">
        <v>10.24</v>
      </c>
      <c r="H957" s="62" t="n">
        <v>3211.488</v>
      </c>
      <c r="I957" s="65" t="n"/>
      <c r="J957" s="62">
        <f>H957*(1-$I$4)</f>
        <v/>
      </c>
      <c r="K957" s="63">
        <f>G957*J957</f>
        <v/>
      </c>
      <c r="L957" s="33" t="inlineStr">
        <is>
          <t>/</t>
        </is>
      </c>
      <c r="M957" s="64" t="n"/>
      <c r="O957" t="n">
        <v>55</v>
      </c>
      <c r="P957" s="35" t="inlineStr">
        <is>
          <t>差:-3156.49元 (-98.3%) 来源:售楼处</t>
        </is>
      </c>
      <c r="Q957" s="35" t="n"/>
      <c r="R957" s="35" t="n"/>
    </row>
    <row r="958" outlineLevel="2" ht="84" customFormat="1" customHeight="1" s="39">
      <c r="A958" s="37">
        <f>1+N(A957)</f>
        <v/>
      </c>
      <c r="B958" s="27" t="inlineStr">
        <is>
          <t>镜柜</t>
        </is>
      </c>
      <c r="C958" s="27" t="inlineStr">
        <is>
          <t>1、镜柜（1760mm*480mm*3200mm）
2.包括但不限于制作安装、阻燃板基层、1.2mm厚 MT-01古铜不锈钢线条、WD-01木饰面、MR-01银镜
3.含五金配件等
4.包含完成该项内容所有工作及费用并满足设计图纸、规范等要求</t>
        </is>
      </c>
      <c r="D958" s="27" t="inlineStr">
        <is>
          <t>自现有现场条件下按照合同约定范围、图纸（含设计变更）及甲方要求内容以及规范、标准、相关做法等要求完成并达到总包合同全部目标的全部工作内容。</t>
        </is>
      </c>
      <c r="E958" s="27" t="inlineStr">
        <is>
          <t>以最终验收合格的工程量计算</t>
        </is>
      </c>
      <c r="F958" s="28" t="inlineStr">
        <is>
          <t>m2</t>
        </is>
      </c>
      <c r="G958" s="61" t="n">
        <v>5.64</v>
      </c>
      <c r="H958" s="62" t="n">
        <v>2723.617</v>
      </c>
      <c r="I958" s="65" t="n"/>
      <c r="J958" s="62">
        <f>H958*(1-$I$4)</f>
        <v/>
      </c>
      <c r="K958" s="63">
        <f>G958*J958</f>
        <v/>
      </c>
      <c r="L958" s="33" t="inlineStr">
        <is>
          <t>/</t>
        </is>
      </c>
      <c r="M958" s="64" t="n"/>
      <c r="O958" t="n">
        <v>35</v>
      </c>
      <c r="P958" s="35" t="inlineStr">
        <is>
          <t>差:-2688.62元 (-98.7%) 来源:会所合并</t>
        </is>
      </c>
      <c r="Q958" s="35" t="n"/>
      <c r="R958" s="35" t="n"/>
    </row>
    <row r="959" outlineLevel="2" ht="72" customFormat="1" customHeight="1" s="39">
      <c r="A959" s="37">
        <f>1+N(A958)</f>
        <v/>
      </c>
      <c r="B959" s="27" t="inlineStr">
        <is>
          <t>收纳柜L900mm</t>
        </is>
      </c>
      <c r="C959" s="27" t="inlineStr">
        <is>
          <t>1、收纳柜（900mm*500mm*3200mm）
2.包括但不限于制作安装、阻燃板基层、WD-01木饰面
3.含五金配件等
4.包含完成该项内容所有工作及费用并满足设计图纸、规范等要求</t>
        </is>
      </c>
      <c r="D959" s="27" t="inlineStr">
        <is>
          <t>自现有现场条件下按照合同约定范围、图纸（含设计变更）及甲方要求内容以及规范、标准、相关做法等要求完成并达到总包合同全部目标的全部工作内容。</t>
        </is>
      </c>
      <c r="E959" s="27" t="inlineStr">
        <is>
          <t>以最终验收合格的工程量计算</t>
        </is>
      </c>
      <c r="F959" s="28" t="inlineStr">
        <is>
          <t>m2</t>
        </is>
      </c>
      <c r="G959" s="61" t="n">
        <v>2.88</v>
      </c>
      <c r="H959" s="62" t="n">
        <v>3160.512</v>
      </c>
      <c r="I959" s="65" t="n"/>
      <c r="J959" s="62">
        <f>H959*(1-$I$4)</f>
        <v/>
      </c>
      <c r="K959" s="63">
        <f>G959*J959</f>
        <v/>
      </c>
      <c r="L959" s="33" t="inlineStr">
        <is>
          <t>/</t>
        </is>
      </c>
      <c r="M959" s="64" t="n"/>
      <c r="O959" t="n">
        <v>35</v>
      </c>
      <c r="P959" s="35" t="inlineStr">
        <is>
          <t>差:-3125.51元 (-98.9%) 来源:会所合并</t>
        </is>
      </c>
      <c r="Q959" s="35" t="n"/>
      <c r="R959" s="35" t="n"/>
    </row>
    <row r="960" outlineLevel="2" ht="72" customFormat="1" customHeight="1" s="39">
      <c r="A960" s="37">
        <f>1+N(A959)</f>
        <v/>
      </c>
      <c r="B960" s="27" t="inlineStr">
        <is>
          <t>收纳柜L1400mm</t>
        </is>
      </c>
      <c r="C960" s="27" t="inlineStr">
        <is>
          <t>1、收纳柜（1400mm*500mm*3200mm）
2.包括但不限于制作安装、阻燃板基层、WD-01木饰面
3.含五金配件等
4.包含完成该项内容所有工作及费用并满足设计图纸、规范等要求</t>
        </is>
      </c>
      <c r="D960" s="27" t="inlineStr">
        <is>
          <t>自现有现场条件下按照合同约定范围、图纸（含设计变更）及甲方要求内容以及规范、标准、相关做法等要求完成并达到总包合同全部目标的全部工作内容。</t>
        </is>
      </c>
      <c r="E960" s="27" t="inlineStr">
        <is>
          <t>以最终验收合格的工程量计算</t>
        </is>
      </c>
      <c r="F960" s="28" t="inlineStr">
        <is>
          <t>m2</t>
        </is>
      </c>
      <c r="G960" s="61" t="n">
        <v>4.48</v>
      </c>
      <c r="H960" s="62" t="n">
        <v>3160.512</v>
      </c>
      <c r="I960" s="65" t="n"/>
      <c r="J960" s="62">
        <f>H960*(1-$I$4)</f>
        <v/>
      </c>
      <c r="K960" s="63">
        <f>G960*J960</f>
        <v/>
      </c>
      <c r="L960" s="33" t="inlineStr">
        <is>
          <t>/</t>
        </is>
      </c>
      <c r="M960" s="64" t="n"/>
      <c r="O960" t="n">
        <v>35</v>
      </c>
      <c r="P960" s="35" t="inlineStr">
        <is>
          <t>差:-3125.51元 (-98.9%) 来源:会所合并</t>
        </is>
      </c>
      <c r="Q960" s="35" t="n"/>
      <c r="R960" s="35" t="n"/>
    </row>
    <row r="961" outlineLevel="1" customFormat="1" s="39">
      <c r="A961" s="26" t="inlineStr">
        <is>
          <t>三</t>
        </is>
      </c>
      <c r="B961" s="27" t="inlineStr">
        <is>
          <t>热水间</t>
        </is>
      </c>
      <c r="C961" s="27" t="n"/>
      <c r="D961" s="27" t="n"/>
      <c r="E961" s="27" t="n"/>
      <c r="F961" s="28" t="n"/>
      <c r="G961" s="61" t="n"/>
      <c r="H961" s="62" t="n"/>
      <c r="I961" s="65" t="n"/>
      <c r="J961" s="62" t="n"/>
      <c r="K961" s="63" t="n"/>
      <c r="L961" s="33" t="n"/>
      <c r="M961" s="64" t="n"/>
      <c r="P961" s="35" t="n"/>
      <c r="Q961" s="35" t="n"/>
      <c r="R961" s="35" t="n"/>
    </row>
    <row r="962" outlineLevel="1" customFormat="1" s="39">
      <c r="A962" s="36" t="n"/>
      <c r="B962" s="27" t="inlineStr">
        <is>
          <t>地面工程</t>
        </is>
      </c>
      <c r="C962" s="27" t="n"/>
      <c r="D962" s="27" t="n"/>
      <c r="E962" s="27" t="n"/>
      <c r="F962" s="28" t="n"/>
      <c r="G962" s="61" t="n"/>
      <c r="H962" s="62" t="n"/>
      <c r="I962" s="65" t="n"/>
      <c r="J962" s="62" t="n"/>
      <c r="K962" s="63" t="n"/>
      <c r="L962" s="33" t="n"/>
      <c r="M962" s="64" t="n"/>
      <c r="P962" s="35" t="n"/>
      <c r="Q962" s="35" t="n"/>
      <c r="R962" s="35" t="n"/>
    </row>
    <row r="963" outlineLevel="2" ht="108" customFormat="1" customHeight="1" s="39">
      <c r="A963" s="37">
        <f>1+N(A962)</f>
        <v/>
      </c>
      <c r="B963" s="27" t="inlineStr">
        <is>
          <t>地面铺贴大理石ST-01</t>
        </is>
      </c>
      <c r="C963" s="27" t="inlineStr">
        <is>
          <t>1.地面20mm大理石ST-01、铺贴、厚度及样式按物料书为准；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963"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963" s="27" t="inlineStr">
        <is>
          <t xml:space="preserve">执行《GB/T50854-2024房屋建筑与装饰工程工程量计算标准》，按设计图示尺寸
以面积计算。 </t>
        </is>
      </c>
      <c r="F963" s="28" t="inlineStr">
        <is>
          <t>m2</t>
        </is>
      </c>
      <c r="G963" s="61" t="n">
        <v>1.56</v>
      </c>
      <c r="H963" s="62" t="n">
        <v>218.75017</v>
      </c>
      <c r="I963" s="65" t="n"/>
      <c r="J963" s="62">
        <f>H963*(1-$I$4)</f>
        <v/>
      </c>
      <c r="K963" s="63">
        <f>G963*J963</f>
        <v/>
      </c>
      <c r="L963" s="33" t="inlineStr">
        <is>
          <t>石材</t>
        </is>
      </c>
      <c r="M963" s="64" t="n"/>
      <c r="O963" t="n">
        <v>130</v>
      </c>
      <c r="P963" s="35" t="inlineStr">
        <is>
          <t>差:-88.75元 (-40.6%) 来源:售楼处</t>
        </is>
      </c>
      <c r="Q963" s="35" t="n"/>
      <c r="R963" s="35" t="n"/>
    </row>
    <row r="964" outlineLevel="2" ht="108" customFormat="1" customHeight="1" s="39">
      <c r="A964" s="37">
        <f>1+N(A963)</f>
        <v/>
      </c>
      <c r="B964" s="27" t="inlineStr">
        <is>
          <t>地面石材晶面处理</t>
        </is>
      </c>
      <c r="C964" s="27" t="inlineStr">
        <is>
          <t>1.石材结晶处理(结晶水及石材保养剂,中性清洁剂)；
2.包含完成该项内容所有工作及费用并满足设计图纸、规范等要求；</t>
        </is>
      </c>
      <c r="D964"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964" s="27" t="inlineStr">
        <is>
          <t xml:space="preserve">执行《GB/T50854-2024房屋建筑与装饰工程工程量计算标准》，按设计图示尺寸
以面积计算。 </t>
        </is>
      </c>
      <c r="F964" s="28" t="inlineStr">
        <is>
          <t>m2</t>
        </is>
      </c>
      <c r="G964" s="61" t="n">
        <v>1.56</v>
      </c>
      <c r="H964" s="62" t="n">
        <v>64.90000000000001</v>
      </c>
      <c r="I964" s="65" t="n"/>
      <c r="J964" s="62">
        <f>H964*(1-$I$4)</f>
        <v/>
      </c>
      <c r="K964" s="63">
        <f>G964*J964</f>
        <v/>
      </c>
      <c r="L964" s="33" t="inlineStr">
        <is>
          <t>/</t>
        </is>
      </c>
      <c r="M964" s="64" t="n"/>
      <c r="O964" t="n">
        <v>40</v>
      </c>
      <c r="P964" s="35" t="inlineStr">
        <is>
          <t>差:-24.90元 (-38.4%) 来源:售楼处</t>
        </is>
      </c>
      <c r="Q964" s="35" t="n"/>
      <c r="R964" s="35" t="n"/>
    </row>
    <row r="965" outlineLevel="1" customFormat="1" s="39">
      <c r="A965" s="36" t="n"/>
      <c r="B965" s="27" t="inlineStr">
        <is>
          <t>墙柱面工程</t>
        </is>
      </c>
      <c r="C965" s="27" t="n"/>
      <c r="D965" s="27" t="n"/>
      <c r="E965" s="27" t="n"/>
      <c r="F965" s="28" t="n"/>
      <c r="G965" s="61" t="n"/>
      <c r="H965" s="62" t="n"/>
      <c r="I965" s="65" t="n"/>
      <c r="J965" s="62" t="n"/>
      <c r="K965" s="63" t="n"/>
      <c r="L965" s="33" t="n"/>
      <c r="M965" s="64" t="n"/>
      <c r="P965" s="35" t="n"/>
      <c r="Q965" s="35" t="n"/>
      <c r="R965" s="35" t="n"/>
    </row>
    <row r="966" outlineLevel="2" ht="144" customFormat="1" customHeight="1" s="39">
      <c r="A966" s="37">
        <f>1+N(A965)</f>
        <v/>
      </c>
      <c r="B966" s="27" t="inlineStr">
        <is>
          <t>墙面PT-02白色防水无机涂料</t>
        </is>
      </c>
      <c r="C966" s="27" t="inlineStr">
        <is>
          <t>1、墙面PT-02白色防水无机涂料(底漆1遍，面漆2遍)
2、刮白胶腻子找平二遍，打磨
3、阴、阳角护角收边
4、双层9.5mm纸面石膏板
5、轻钢龙骨基层找平
6、包含完成该项内容所有工作及费用并满足设计图纸、规范等要求</t>
        </is>
      </c>
      <c r="D966"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966" s="27" t="inlineStr">
        <is>
          <t xml:space="preserve">执行《GB/T50854-2024房屋建筑与装饰工程工程量计算标准》，按设计图示尺寸
以面积计算。 </t>
        </is>
      </c>
      <c r="F966" s="28" t="inlineStr">
        <is>
          <t>m2</t>
        </is>
      </c>
      <c r="G966" s="61" t="n">
        <v>13.58</v>
      </c>
      <c r="H966" s="62" t="n">
        <v>207.68</v>
      </c>
      <c r="I966" s="65" t="n"/>
      <c r="J966" s="62">
        <f>H966*(1-$I$4)</f>
        <v/>
      </c>
      <c r="K966" s="63">
        <f>G966*J966</f>
        <v/>
      </c>
      <c r="L966" s="33" t="inlineStr">
        <is>
          <t>涂料</t>
        </is>
      </c>
      <c r="M966" s="64" t="n"/>
      <c r="O966" t="n">
        <v>91.5</v>
      </c>
      <c r="P966" s="35" t="inlineStr">
        <is>
          <t>差:-116.18元 (-55.9%) 来源:售楼处</t>
        </is>
      </c>
      <c r="Q966" s="35" t="n"/>
      <c r="R966" s="35" t="n"/>
    </row>
    <row r="967" outlineLevel="2" ht="144" customFormat="1" customHeight="1" s="39">
      <c r="A967" s="37">
        <f>1+N(A966)</f>
        <v/>
      </c>
      <c r="B967" s="27" t="inlineStr">
        <is>
          <t>墙面湿贴石材ST-03踢脚线</t>
        </is>
      </c>
      <c r="C967" s="27" t="inlineStr">
        <is>
          <t>1、墙面湿贴石材ST-03踢脚线
2、8mm厚石材专用胶粘剂WC粘结层
3、界面剂拉毛处理
4、石材的开槽、磨边、倒角、粘接、形成所需之凹坑、抛光、六面防污防渗等一切处理费用均在主材费中考虑，不再另行计取
5、包含完成该项内容所有工作及费用并满足设计图纸、规范等要求</t>
        </is>
      </c>
      <c r="D967" s="27" t="inlineStr">
        <is>
          <t>具体工作内容除详见项目特征外，且不限于以下内容:1.包含材料的下车、场内运输；2.清理基层、找标高、弹线定位；3.试拼试排；4.砂浆拌和、铺找平层（粘结层）砂浆；5.面层铺设、灌缝、擦缝；6.打蜡、养护；配合留设墙面开关、插座等末端设备等全部内容；包含成品保护、安全文明施工等达到验收合格的全部施工内容。</t>
        </is>
      </c>
      <c r="E967" s="27" t="inlineStr">
        <is>
          <t>执行《GB/T50854-2024房屋建筑与装饰工程工程量计算标准》，按设计图示镶贴后外围面积计算</t>
        </is>
      </c>
      <c r="F967" s="28" t="inlineStr">
        <is>
          <t>m2</t>
        </is>
      </c>
      <c r="G967" s="61" t="n">
        <v>0.31</v>
      </c>
      <c r="H967" s="62" t="n">
        <v>824.8200000000001</v>
      </c>
      <c r="I967" s="65" t="n"/>
      <c r="J967" s="62">
        <f>H967*(1-$I$4)</f>
        <v/>
      </c>
      <c r="K967" s="63">
        <f>G967*J967</f>
        <v/>
      </c>
      <c r="L967" s="33" t="inlineStr">
        <is>
          <t>/</t>
        </is>
      </c>
      <c r="M967" s="64" t="n"/>
      <c r="O967" t="n">
        <v>150</v>
      </c>
      <c r="P967" s="35" t="inlineStr">
        <is>
          <t>差:-674.82元 (-81.8%) 来源:会所合并</t>
        </is>
      </c>
      <c r="Q967" s="35" t="n"/>
      <c r="R967" s="35" t="n"/>
    </row>
    <row r="968" outlineLevel="2" ht="180" customFormat="1" customHeight="1" s="39">
      <c r="A968" s="37">
        <f>1+N(A967)</f>
        <v/>
      </c>
      <c r="B968" s="27" t="inlineStr">
        <is>
          <t>不锈钢门套</t>
        </is>
      </c>
      <c r="C968" s="27" t="inlineStr">
        <is>
          <t>1、1.2mm厚 MT-01古铜不锈钢门套，结构胶固定
2、9厘玻镁板基层
3、工程量以展开面积计算
4、包含完成该项内容所有工作及费用并满足设计图纸、规范等要求</t>
        </is>
      </c>
      <c r="D968"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968" s="27" t="inlineStr">
        <is>
          <t>执行《GB/T50854-2024房屋建筑与装饰工程工程量计算标准》，按设计图示饰面外围尺寸
以面积计算。 扣除门窗洞口面积，不扣除单个面积≤0.3㎡的孔洞所占面积。</t>
        </is>
      </c>
      <c r="F968" s="28" t="inlineStr">
        <is>
          <t>m2</t>
        </is>
      </c>
      <c r="G968" s="61" t="n">
        <v>2.06</v>
      </c>
      <c r="H968" s="62" t="n">
        <v>630.651</v>
      </c>
      <c r="I968" s="65" t="n"/>
      <c r="J968" s="62">
        <f>H968*(1-$I$4)</f>
        <v/>
      </c>
      <c r="K968" s="63">
        <f>G968*J968</f>
        <v/>
      </c>
      <c r="L968" s="33" t="inlineStr">
        <is>
          <t>/</t>
        </is>
      </c>
      <c r="M968" s="64" t="n"/>
      <c r="O968" t="n">
        <v>110</v>
      </c>
      <c r="P968" s="35" t="inlineStr">
        <is>
          <t>差:-520.65元 (-82.6%) 来源:售楼处</t>
        </is>
      </c>
      <c r="Q968" s="35" t="n"/>
      <c r="R968" s="35" t="n"/>
    </row>
    <row r="969" outlineLevel="1" customFormat="1" s="39">
      <c r="A969" s="36" t="n"/>
      <c r="B969" s="27" t="inlineStr">
        <is>
          <t>天花工程</t>
        </is>
      </c>
      <c r="C969" s="27" t="n"/>
      <c r="D969" s="27" t="n"/>
      <c r="E969" s="27" t="n"/>
      <c r="F969" s="28" t="n"/>
      <c r="G969" s="61" t="n"/>
      <c r="H969" s="62" t="n"/>
      <c r="I969" s="65" t="n"/>
      <c r="J969" s="62" t="n"/>
      <c r="K969" s="63" t="n"/>
      <c r="L969" s="33" t="n"/>
      <c r="M969" s="64" t="n"/>
      <c r="P969" s="35" t="n"/>
      <c r="Q969" s="35" t="n"/>
      <c r="R969" s="35" t="n"/>
    </row>
    <row r="970" outlineLevel="2" ht="192" customFormat="1" customHeight="1" s="39">
      <c r="A970" s="37">
        <f>1+N(A969)</f>
        <v/>
      </c>
      <c r="B970" s="27" t="inlineStr">
        <is>
          <t>石膏板吊顶</t>
        </is>
      </c>
      <c r="C970" s="27" t="inlineStr">
        <is>
          <t>1.60系列轻钢主龙骨@900，60系列轻钢副龙骨@400，60系列横撑龙骨@600，08螺纹吊杆@900不上人天花吊顶（投影面计算）
2.玻镁板、双层9.5厚石膏板基层，含开孔、检修口、10*10凹槽等费用；
3.包含完成该项内容所有工作及费用并满足设计图纸、规范等要求；</t>
        </is>
      </c>
      <c r="D970" s="27" t="inlineStr">
        <is>
          <t>1.基层清理。
2.弹线定位、排版。
3.吊杆及连接件安装调平、收口及密封处理。
4.材料切割处理找平、石膏板安装及调整，打胶密封与清理.
5.收口及其他处理：检修口等制作安装、收边收口、配合预留安装、机电等专业孔洞及孔洞收口处理。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970" s="27" t="inlineStr">
        <is>
          <t>按设计图示尺寸以水平投影面积计算。不扣除间壁墙、检查口、附墙烟囱、柱垛和管道所占面积,扣除单个&gt;0.3m3的孔洞、非密拼吊顶空隙所占的面积、独立柱及与天棚相连的窗帘盒所占的面积。</t>
        </is>
      </c>
      <c r="F970" s="28" t="inlineStr">
        <is>
          <t>m2</t>
        </is>
      </c>
      <c r="G970" s="61" t="n">
        <v>1.4</v>
      </c>
      <c r="H970" s="62" t="n">
        <v>174.574444444444</v>
      </c>
      <c r="I970" s="65" t="n"/>
      <c r="J970" s="62">
        <f>H970*(1-$I$4)</f>
        <v/>
      </c>
      <c r="K970" s="63">
        <f>G970*J970</f>
        <v/>
      </c>
      <c r="L970" s="33" t="inlineStr">
        <is>
          <t>/</t>
        </is>
      </c>
      <c r="M970" s="64" t="n"/>
      <c r="O970" t="n">
        <v>70</v>
      </c>
      <c r="P970" s="35" t="inlineStr">
        <is>
          <t>差:-104.57元 (-59.9%) 来源:会所合并</t>
        </is>
      </c>
      <c r="Q970" s="35" t="n"/>
      <c r="R970" s="35" t="n"/>
    </row>
    <row r="971" outlineLevel="2" ht="192" customFormat="1" customHeight="1" s="39">
      <c r="A971" s="37">
        <f>1+N(A970)</f>
        <v/>
      </c>
      <c r="B971" s="27" t="inlineStr">
        <is>
          <t>天花肌理无机涂料PT-01</t>
        </is>
      </c>
      <c r="C971" s="27" t="inlineStr">
        <is>
          <t>1.天花肌理无机涂料PT-01；
2.刮腻子二遍磨平；
3.底漆1遍，面漆2遍；
4.包含完成该项内容所有工作及费用并满足设计图纸、规范等要求；</t>
        </is>
      </c>
      <c r="D971" s="27" t="inlineStr">
        <is>
          <t>包括但不限于材料计划、采购、卸车倒运、保管、检验试验费、测量放线，包含四周阴角找平直、含天棚四周阴角找平直，打磨，简易脚手架搭拆及操作平台、升降机，基层清理、打磨平整、底层找补、满刮涂料（含阴阳角塑料条）、涂料打磨、补遗处理、配合其他分包施工、完工后场清、成品保护、保修等直到达到竣工交付标准的全部工作内容。包括所有为完成工作所需的小型机具；包括所有为完成工作所需的附属工作；包括但不限于以上内容。</t>
        </is>
      </c>
      <c r="E971" s="27" t="inlineStr">
        <is>
          <t>执行《GB/T50854-2024房屋建筑与装饰工程工程量计算标准》，按设计图示尺寸以面积计算。扣除0.3平方米以上洞口的面积；梁侧面及檐口天棚并入天棚计算；以设计图纸和技术交底为基础</t>
        </is>
      </c>
      <c r="F971" s="28" t="inlineStr">
        <is>
          <t>m2</t>
        </is>
      </c>
      <c r="G971" s="61" t="n">
        <v>1.4</v>
      </c>
      <c r="H971" s="62" t="n">
        <v>48.38</v>
      </c>
      <c r="I971" s="65" t="n"/>
      <c r="J971" s="62">
        <f>H971*(1-$I$4)</f>
        <v/>
      </c>
      <c r="K971" s="63">
        <f>G971*J971</f>
        <v/>
      </c>
      <c r="L971" s="33" t="inlineStr">
        <is>
          <t>涂料</t>
        </is>
      </c>
      <c r="M971" s="64" t="n"/>
      <c r="O971" t="n">
        <v>45</v>
      </c>
      <c r="P971" s="35" t="inlineStr">
        <is>
          <t>差:-3.38元 (-7.0%) 来源:售楼处</t>
        </is>
      </c>
      <c r="Q971" s="35" t="n"/>
      <c r="R971" s="35" t="n"/>
    </row>
    <row r="972" outlineLevel="1" customFormat="1" s="39">
      <c r="A972" s="36" t="n"/>
      <c r="B972" s="27" t="inlineStr">
        <is>
          <t>门窗、家具工程</t>
        </is>
      </c>
      <c r="C972" s="27" t="n"/>
      <c r="D972" s="27" t="n"/>
      <c r="E972" s="27" t="n"/>
      <c r="F972" s="28" t="n"/>
      <c r="G972" s="61" t="n"/>
      <c r="H972" s="62" t="n"/>
      <c r="I972" s="65" t="n"/>
      <c r="J972" s="62" t="n"/>
      <c r="K972" s="63" t="n"/>
      <c r="L972" s="33" t="n"/>
      <c r="M972" s="64" t="n"/>
      <c r="P972" s="35" t="n"/>
      <c r="Q972" s="35" t="n"/>
      <c r="R972" s="35" t="n"/>
    </row>
    <row r="973" outlineLevel="2" ht="72" customFormat="1" customHeight="1" s="39">
      <c r="A973" s="37">
        <f>1+N(A972)</f>
        <v/>
      </c>
      <c r="B973" s="27" t="inlineStr">
        <is>
          <t>平开门</t>
        </is>
      </c>
      <c r="C973" s="27" t="inlineStr">
        <is>
          <t>1、门扇：WD-01木饰面、20*40mm热镀锌矩管、9mm厚玻镁板基层
2、定制成品套装门制安
3、含暗合页、门把手等五金配件
4、包含完成该项内容所有工作及费用并满足设计图纸、规范等要求</t>
        </is>
      </c>
      <c r="D973" s="27" t="inlineStr">
        <is>
          <t>自现有现场条件下按照合同约定范围、图纸（含设计变更）及甲方要求内容以及规范、标准、相关做法等要求完成并达到总包合同全部目标的全部工作内容。</t>
        </is>
      </c>
      <c r="E973" s="27" t="inlineStr">
        <is>
          <t>以最终验收合格的工程量计算</t>
        </is>
      </c>
      <c r="F973" s="28" t="inlineStr">
        <is>
          <t>m2</t>
        </is>
      </c>
      <c r="G973" s="61" t="n">
        <v>2.02</v>
      </c>
      <c r="H973" s="62" t="n">
        <v>2447.18117647059</v>
      </c>
      <c r="I973" s="65" t="n"/>
      <c r="J973" s="62">
        <f>H973*(1-$I$4)</f>
        <v/>
      </c>
      <c r="K973" s="63">
        <f>G973*J973</f>
        <v/>
      </c>
      <c r="L973" s="33" t="inlineStr">
        <is>
          <t>/</t>
        </is>
      </c>
      <c r="M973" s="64" t="n"/>
      <c r="O973" t="n">
        <v>145</v>
      </c>
      <c r="P973" s="35" t="inlineStr">
        <is>
          <t>差:-2302.18元 (-94.1%) 来源:会所合并</t>
        </is>
      </c>
      <c r="Q973" s="35" t="n"/>
      <c r="R973" s="35" t="n"/>
    </row>
    <row r="974" outlineLevel="1" customFormat="1" s="39">
      <c r="A974" s="26" t="inlineStr">
        <is>
          <t>四</t>
        </is>
      </c>
      <c r="B974" s="27" t="inlineStr">
        <is>
          <t>更衣室</t>
        </is>
      </c>
      <c r="C974" s="27" t="n"/>
      <c r="D974" s="27" t="n"/>
      <c r="E974" s="27" t="n"/>
      <c r="F974" s="28" t="n"/>
      <c r="G974" s="61" t="n"/>
      <c r="H974" s="62" t="n"/>
      <c r="I974" s="65" t="n"/>
      <c r="J974" s="62" t="n"/>
      <c r="K974" s="63" t="n"/>
      <c r="L974" s="33" t="n"/>
      <c r="M974" s="64" t="n"/>
      <c r="P974" s="35" t="n"/>
      <c r="Q974" s="35" t="n"/>
      <c r="R974" s="35" t="n"/>
    </row>
    <row r="975" outlineLevel="1" customFormat="1" s="39">
      <c r="A975" s="36" t="n"/>
      <c r="B975" s="27" t="inlineStr">
        <is>
          <t>地面工程</t>
        </is>
      </c>
      <c r="C975" s="27" t="n"/>
      <c r="D975" s="27" t="n"/>
      <c r="E975" s="27" t="n"/>
      <c r="F975" s="28" t="n"/>
      <c r="G975" s="61" t="n"/>
      <c r="H975" s="62" t="n"/>
      <c r="I975" s="65" t="n"/>
      <c r="J975" s="62" t="n"/>
      <c r="K975" s="63" t="n"/>
      <c r="L975" s="33" t="n"/>
      <c r="M975" s="64" t="n"/>
      <c r="P975" s="35" t="n"/>
      <c r="Q975" s="35" t="n"/>
      <c r="R975" s="35" t="n"/>
    </row>
    <row r="976" outlineLevel="2" ht="108" customFormat="1" customHeight="1" s="39">
      <c r="A976" s="37">
        <f>1+N(A975)</f>
        <v/>
      </c>
      <c r="B976" s="27" t="inlineStr">
        <is>
          <t>地面铺贴大理石ST-01</t>
        </is>
      </c>
      <c r="C976" s="27" t="inlineStr">
        <is>
          <t>1.地面20mm大理石ST-01、铺贴、厚度及样式按物料书为准；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976"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976" s="27" t="inlineStr">
        <is>
          <t xml:space="preserve">执行《GB/T50854-2024房屋建筑与装饰工程工程量计算标准》，按设计图示尺寸
以面积计算。 </t>
        </is>
      </c>
      <c r="F976" s="28" t="inlineStr">
        <is>
          <t>m2</t>
        </is>
      </c>
      <c r="G976" s="61" t="n">
        <v>28.52</v>
      </c>
      <c r="H976" s="62" t="n">
        <v>218.75017</v>
      </c>
      <c r="I976" s="65" t="n"/>
      <c r="J976" s="62">
        <f>H976*(1-$I$4)</f>
        <v/>
      </c>
      <c r="K976" s="63">
        <f>G976*J976</f>
        <v/>
      </c>
      <c r="L976" s="33" t="inlineStr">
        <is>
          <t>石材</t>
        </is>
      </c>
      <c r="M976" s="64" t="n"/>
      <c r="O976" t="n">
        <v>130</v>
      </c>
      <c r="P976" s="35" t="inlineStr">
        <is>
          <t>差:-88.75元 (-40.6%) 来源:售楼处</t>
        </is>
      </c>
      <c r="Q976" s="35" t="n"/>
      <c r="R976" s="35" t="n"/>
    </row>
    <row r="977" outlineLevel="2" ht="108" customFormat="1" customHeight="1" s="39">
      <c r="A977" s="37">
        <f>1+N(A976)</f>
        <v/>
      </c>
      <c r="B977" s="27" t="inlineStr">
        <is>
          <t>地面石材晶面处理</t>
        </is>
      </c>
      <c r="C977" s="27" t="inlineStr">
        <is>
          <t>1.石材结晶处理(结晶水及石材保养剂,中性清洁剂)；
2.包含完成该项内容所有工作及费用并满足设计图纸、规范等要求；</t>
        </is>
      </c>
      <c r="D977"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977" s="27" t="inlineStr">
        <is>
          <t xml:space="preserve">执行《GB/T50854-2024房屋建筑与装饰工程工程量计算标准》，按设计图示尺寸
以面积计算。 </t>
        </is>
      </c>
      <c r="F977" s="28" t="inlineStr">
        <is>
          <t>m2</t>
        </is>
      </c>
      <c r="G977" s="61" t="n">
        <v>28.52</v>
      </c>
      <c r="H977" s="62" t="n">
        <v>64.90000000000001</v>
      </c>
      <c r="I977" s="65" t="n"/>
      <c r="J977" s="62">
        <f>H977*(1-$I$4)</f>
        <v/>
      </c>
      <c r="K977" s="63">
        <f>G977*J977</f>
        <v/>
      </c>
      <c r="L977" s="33" t="inlineStr">
        <is>
          <t>/</t>
        </is>
      </c>
      <c r="M977" s="64" t="n"/>
      <c r="O977" t="n">
        <v>40</v>
      </c>
      <c r="P977" s="35" t="inlineStr">
        <is>
          <t>差:-24.90元 (-38.4%) 来源:售楼处</t>
        </is>
      </c>
      <c r="Q977" s="35" t="n"/>
      <c r="R977" s="35" t="n"/>
    </row>
    <row r="978" outlineLevel="1" customFormat="1" s="39">
      <c r="A978" s="36" t="n"/>
      <c r="B978" s="27" t="inlineStr">
        <is>
          <t>墙柱面工程</t>
        </is>
      </c>
      <c r="C978" s="27" t="n"/>
      <c r="D978" s="27" t="n"/>
      <c r="E978" s="27" t="n"/>
      <c r="F978" s="28" t="n"/>
      <c r="G978" s="61" t="n"/>
      <c r="H978" s="62" t="n"/>
      <c r="I978" s="65" t="n"/>
      <c r="J978" s="62" t="n"/>
      <c r="K978" s="63" t="n"/>
      <c r="L978" s="33" t="n"/>
      <c r="M978" s="64" t="n"/>
      <c r="P978" s="35" t="n"/>
      <c r="Q978" s="35" t="n"/>
      <c r="R978" s="35" t="n"/>
    </row>
    <row r="979" outlineLevel="2" ht="144" customFormat="1" customHeight="1" s="39">
      <c r="A979" s="37">
        <f>1+N(A978)</f>
        <v/>
      </c>
      <c r="B979" s="27" t="inlineStr">
        <is>
          <t>墙面湿贴石材ST-07</t>
        </is>
      </c>
      <c r="C979" s="27" t="inlineStr">
        <is>
          <t>1、墙面湿贴石材ST-07
2、8mm厚石材专用胶粘剂WC粘结层
3、界面剂拉毛处理
4、石材的开槽、磨边、倒角、粘接、形成所需之凹坑、抛光、六面防污防渗等一切处理费用均在主材费中考虑，不再另行计取
5、包含完成该项内容所有工作及费用并满足设计图纸、规范等要求</t>
        </is>
      </c>
      <c r="D979" s="27" t="inlineStr">
        <is>
          <t>具体工作内容除详见项目特征外，且不限于以下内容:1.包含材料的下车、场内运输；2.清理基层、找标高、弹线定位；3.试拼试排；4.砂浆拌和、铺找平层（粘结层）砂浆；5.面层铺设、灌缝、擦缝；6.打蜡、养护；配合留设墙面开关、插座等末端设备等全部内容；包含成品保护、安全文明施工等达到验收合格的全部施工内容。</t>
        </is>
      </c>
      <c r="E979" s="27" t="inlineStr">
        <is>
          <t>执行《GB/T50854-2024房屋建筑与装饰工程工程量计算标准》，按设计图示镶贴后外围面积计算</t>
        </is>
      </c>
      <c r="F979" s="28" t="inlineStr">
        <is>
          <t>m2</t>
        </is>
      </c>
      <c r="G979" s="61" t="n">
        <v>84.59999999999999</v>
      </c>
      <c r="H979" s="62" t="n">
        <v>177</v>
      </c>
      <c r="I979" s="65" t="n"/>
      <c r="J979" s="62">
        <f>H979*(1-$I$4)</f>
        <v/>
      </c>
      <c r="K979" s="63">
        <f>G979*J979</f>
        <v/>
      </c>
      <c r="L979" s="33" t="inlineStr">
        <is>
          <t>石材</t>
        </is>
      </c>
      <c r="M979" s="64" t="n"/>
      <c r="O979" t="n">
        <v>95</v>
      </c>
      <c r="P979" s="35" t="inlineStr">
        <is>
          <t>差:-82.00元 (-46.3%) 来源:会所合并</t>
        </is>
      </c>
      <c r="Q979" s="35" t="n"/>
      <c r="R979" s="35" t="n"/>
    </row>
    <row r="980" outlineLevel="2" ht="144" customFormat="1" customHeight="1" s="39">
      <c r="A980" s="37">
        <f>1+N(A979)</f>
        <v/>
      </c>
      <c r="B980" s="27" t="inlineStr">
        <is>
          <t>WP-01墙布</t>
        </is>
      </c>
      <c r="C980" s="27" t="inlineStr">
        <is>
          <t>1、WP-01墙布，结构胶固定（含不锈钢线条）
2、10mm水泥纤维板
3、包含完成该项内容所有工作及费用并满足设计图纸、规范等要求</t>
        </is>
      </c>
      <c r="D980"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980" s="27" t="inlineStr">
        <is>
          <t xml:space="preserve">执行《GB/T50854-2024房屋建筑与装饰工程工程量计算标准》，按设计图示尺寸以面积计算。 </t>
        </is>
      </c>
      <c r="F980" s="28" t="inlineStr">
        <is>
          <t>m2</t>
        </is>
      </c>
      <c r="G980" s="61" t="n">
        <v>36</v>
      </c>
      <c r="H980" s="62" t="n">
        <v>205.32</v>
      </c>
      <c r="I980" s="65" t="n"/>
      <c r="J980" s="62">
        <f>H980*(1-$I$4)</f>
        <v/>
      </c>
      <c r="K980" s="63">
        <f>G980*J980</f>
        <v/>
      </c>
      <c r="L980" s="33" t="inlineStr">
        <is>
          <t>墙布</t>
        </is>
      </c>
      <c r="M980" s="64" t="n"/>
      <c r="O980" t="n">
        <v>76.5</v>
      </c>
      <c r="P980" s="35" t="inlineStr">
        <is>
          <t>差:-128.82元 (-62.7%) 来源:会所合并</t>
        </is>
      </c>
      <c r="Q980" s="35" t="n"/>
      <c r="R980" s="35" t="n"/>
    </row>
    <row r="981" outlineLevel="2" ht="156" customFormat="1" customHeight="1" s="39">
      <c r="A981" s="37">
        <f>1+N(A980)</f>
        <v/>
      </c>
      <c r="B981" s="27" t="inlineStr">
        <is>
          <t>1.2mm厚JS-Ⅱ聚合物水泥防水涂料</t>
        </is>
      </c>
      <c r="C981" s="27" t="inlineStr">
        <is>
          <t>1、1.2mm厚JS-Ⅱ聚合物水泥防水涂料
2、包含完成该项内容所有工作及费用并满足设计图纸、规范等要求</t>
        </is>
      </c>
      <c r="D981" s="27" t="inlineStr">
        <is>
          <t>1.清理基层。
2.基层喷水潮湿；必要的弹线，防水涂料调制；防水涂料涂刷；细部防水处理；防污染措施等。
3.材料检验、闭水试验、淋水实验、蓄水实验、各类专项检测的送检及检测。
4.操作架/平台搭拆。
5.安全文明施工、成品保护、场内外运输、废料清理等直到验收合格及后期保修的所有工作内容。</t>
        </is>
      </c>
      <c r="E981" s="27" t="inlineStr">
        <is>
          <t>按施工图范围内实际验收合格面积以平方米计算，施工图要求的上翻部分按实计算。</t>
        </is>
      </c>
      <c r="F981" s="28" t="inlineStr">
        <is>
          <t>m2</t>
        </is>
      </c>
      <c r="G981" s="61" t="n">
        <v>157.08</v>
      </c>
      <c r="H981" s="62" t="n">
        <v>55.873</v>
      </c>
      <c r="I981" s="65" t="n"/>
      <c r="J981" s="62">
        <f>H981*(1-$I$4)</f>
        <v/>
      </c>
      <c r="K981" s="63">
        <f>G981*J981</f>
        <v/>
      </c>
      <c r="L981" s="33" t="inlineStr">
        <is>
          <t>/</t>
        </is>
      </c>
      <c r="M981" s="64" t="n"/>
      <c r="O981" t="n">
        <v>18</v>
      </c>
      <c r="P981" s="35" t="inlineStr">
        <is>
          <t>差:-37.87元 (-67.8%) 来源:售楼处</t>
        </is>
      </c>
      <c r="Q981" s="35" t="n"/>
      <c r="R981" s="35" t="n"/>
    </row>
    <row r="982" outlineLevel="2" ht="144" customFormat="1" customHeight="1" s="39">
      <c r="A982" s="37">
        <f>1+N(A981)</f>
        <v/>
      </c>
      <c r="B982" s="27" t="inlineStr">
        <is>
          <t>MT-01古铜不锈钢踢脚线（高20mm）</t>
        </is>
      </c>
      <c r="C982" s="27" t="inlineStr">
        <is>
          <t>1、1.2mm厚 MT-01古铜不锈钢踢脚线（高20mm，展开面为46mm），结构胶固定
2、9厘玻镁板基层
3、包含完成该项内容所有工作及费用并满足设计图纸、规范等要求</t>
        </is>
      </c>
      <c r="D982"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982" s="27" t="inlineStr">
        <is>
          <t>按设计图示尺寸以长度计算。</t>
        </is>
      </c>
      <c r="F982" s="28" t="inlineStr">
        <is>
          <t>m</t>
        </is>
      </c>
      <c r="G982" s="61" t="n">
        <v>13.39</v>
      </c>
      <c r="H982" s="62" t="n">
        <v>31.86</v>
      </c>
      <c r="I982" s="65" t="n"/>
      <c r="J982" s="62">
        <f>H982*(1-$I$4)</f>
        <v/>
      </c>
      <c r="K982" s="63">
        <f>G982*J982</f>
        <v/>
      </c>
      <c r="L982" s="33" t="inlineStr">
        <is>
          <t>不锈钢踢脚线</t>
        </is>
      </c>
      <c r="M982" s="64" t="n"/>
      <c r="O982" t="n">
        <v>12</v>
      </c>
      <c r="P982" s="35" t="inlineStr">
        <is>
          <t>差:-19.86元 (-62.3%) 来源:售楼处</t>
        </is>
      </c>
      <c r="Q982" s="35" t="n"/>
      <c r="R982" s="35" t="n"/>
    </row>
    <row r="983" outlineLevel="2" ht="144" customFormat="1" customHeight="1" s="39">
      <c r="A983" s="37">
        <f>1+N(A982)</f>
        <v/>
      </c>
      <c r="B983" s="27" t="inlineStr">
        <is>
          <t>MT-01古铜不锈钢顶部收口条（展开面为41mm）</t>
        </is>
      </c>
      <c r="C983" s="27" t="inlineStr">
        <is>
          <t>1、1.2mm厚 MT-01古铜不锈钢顶部收口条（展开面为41mm），结构胶固定
2、9厘玻镁板基层
3、包含完成该项内容所有工作及费用并满足设计图纸、规范等要求</t>
        </is>
      </c>
      <c r="D983"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983" s="27" t="inlineStr">
        <is>
          <t>按设计图示尺寸以长度计算。</t>
        </is>
      </c>
      <c r="F983" s="28" t="inlineStr">
        <is>
          <t>m</t>
        </is>
      </c>
      <c r="G983" s="61" t="n">
        <v>19.76</v>
      </c>
      <c r="H983" s="62" t="n">
        <v>64.24509999999999</v>
      </c>
      <c r="I983" s="65" t="n"/>
      <c r="J983" s="62">
        <f>H983*(1-$I$4)</f>
        <v/>
      </c>
      <c r="K983" s="63">
        <f>G983*J983</f>
        <v/>
      </c>
      <c r="L983" s="33" t="inlineStr">
        <is>
          <t>/</t>
        </is>
      </c>
      <c r="M983" s="64" t="n"/>
      <c r="O983" t="n">
        <v>12</v>
      </c>
      <c r="P983" s="35" t="inlineStr">
        <is>
          <t>差:-52.25元 (-81.3%) 来源:售楼处</t>
        </is>
      </c>
      <c r="Q983" s="35" t="n"/>
      <c r="R983" s="35" t="n"/>
    </row>
    <row r="984" outlineLevel="2" ht="180" customFormat="1" customHeight="1" s="39">
      <c r="A984" s="37">
        <f>1+N(A983)</f>
        <v/>
      </c>
      <c r="B984" s="27" t="inlineStr">
        <is>
          <t>不锈钢门套</t>
        </is>
      </c>
      <c r="C984" s="27" t="inlineStr">
        <is>
          <t>1、1.2mm厚 MT-01古铜不锈钢门套，结构胶固定
2、9厘玻镁板基层
3、工程量以展开面积计算
4、包含完成该项内容所有工作及费用并满足设计图纸、规范等要求</t>
        </is>
      </c>
      <c r="D984"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984" s="27" t="inlineStr">
        <is>
          <t>执行《GB/T50854-2024房屋建筑与装饰工程工程量计算标准》，按设计图示饰面外围尺寸
以面积计算。 扣除门窗洞口面积，不扣除单个面积≤0.3㎡的孔洞所占面积。</t>
        </is>
      </c>
      <c r="F984" s="28" t="inlineStr">
        <is>
          <t>m2</t>
        </is>
      </c>
      <c r="G984" s="61" t="n">
        <v>7.28</v>
      </c>
      <c r="H984" s="62" t="n">
        <v>630.651</v>
      </c>
      <c r="I984" s="65" t="n"/>
      <c r="J984" s="62">
        <f>H984*(1-$I$4)</f>
        <v/>
      </c>
      <c r="K984" s="63">
        <f>G984*J984</f>
        <v/>
      </c>
      <c r="L984" s="33" t="inlineStr">
        <is>
          <t>/</t>
        </is>
      </c>
      <c r="M984" s="64" t="n"/>
      <c r="O984" t="n">
        <v>110</v>
      </c>
      <c r="P984" s="35" t="inlineStr">
        <is>
          <t>差:-520.65元 (-82.6%) 来源:售楼处</t>
        </is>
      </c>
      <c r="Q984" s="35" t="n"/>
      <c r="R984" s="35" t="n"/>
    </row>
    <row r="985" outlineLevel="1" customFormat="1" s="39">
      <c r="A985" s="36" t="n"/>
      <c r="B985" s="27" t="inlineStr">
        <is>
          <t>天花工程</t>
        </is>
      </c>
      <c r="C985" s="27" t="n"/>
      <c r="D985" s="27" t="n"/>
      <c r="E985" s="27" t="n"/>
      <c r="F985" s="28" t="n"/>
      <c r="G985" s="61" t="n"/>
      <c r="H985" s="62" t="n"/>
      <c r="I985" s="65" t="n"/>
      <c r="J985" s="62" t="n"/>
      <c r="K985" s="63" t="n"/>
      <c r="L985" s="33" t="n"/>
      <c r="M985" s="64" t="n"/>
      <c r="P985" s="35" t="n"/>
      <c r="Q985" s="35" t="n"/>
      <c r="R985" s="35" t="n"/>
    </row>
    <row r="986" outlineLevel="2" ht="192" customFormat="1" customHeight="1" s="39">
      <c r="A986" s="37">
        <f>1+N(A985)</f>
        <v/>
      </c>
      <c r="B986" s="27" t="inlineStr">
        <is>
          <t>造型石膏板吊顶</t>
        </is>
      </c>
      <c r="C986" s="27" t="inlineStr">
        <is>
          <t>1.60系列轻钢主龙骨@900，60系列轻钢副龙骨@400，60系列横撑龙骨@600，08螺纹吊杆@900不上人天花吊顶（投影面计算）
2.玻镁板、双层9.5厚石膏板基层，含开孔、检修口、10*10凹槽等费用；
3.含除灯槽外的侧面高差及其连接件、吊件；
4.包含完成该项内容所有工作及费用并满足设计图纸、规范等要求；</t>
        </is>
      </c>
      <c r="D986" s="27" t="inlineStr">
        <is>
          <t>1.基层清理。
2.弹线定位、排版。
3.吊杆及连接件安装调平、收口及密封处理。
4.材料切割处理找平、石膏板安装及调整，打胶密封与清理.
5.收口及其他处理：检修口等制作安装、收边收口、配合预留安装、机电等专业孔洞及孔洞收口处理。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986" s="27" t="inlineStr">
        <is>
          <t>按设计图示尺寸以水平投影面积计算。不扣除间壁墙、检查口、附墙烟囱、柱垛和管道所占面积,扣除单个&gt;0.3m3的孔洞、非密拼吊顶空隙所占的面积、独立柱及与天棚相连的窗帘盒所占的面积。</t>
        </is>
      </c>
      <c r="F986" s="28" t="inlineStr">
        <is>
          <t>m2</t>
        </is>
      </c>
      <c r="G986" s="61" t="n">
        <v>29.54</v>
      </c>
      <c r="H986" s="62" t="n">
        <v>174.574444444444</v>
      </c>
      <c r="I986" s="65" t="n"/>
      <c r="J986" s="62">
        <f>H986*(1-$I$4)</f>
        <v/>
      </c>
      <c r="K986" s="63">
        <f>G986*J986</f>
        <v/>
      </c>
      <c r="L986" s="33" t="inlineStr">
        <is>
          <t>/</t>
        </is>
      </c>
      <c r="M986" s="64" t="n"/>
      <c r="O986" t="n">
        <v>70</v>
      </c>
      <c r="P986" s="35" t="inlineStr">
        <is>
          <t>差:-104.57元 (-59.9%) 来源:售楼处</t>
        </is>
      </c>
      <c r="Q986" s="35" t="n"/>
      <c r="R986" s="35" t="n"/>
    </row>
    <row r="987" outlineLevel="2" ht="72" customFormat="1" customHeight="1" s="39">
      <c r="A987" s="37">
        <f>1+N(A986)</f>
        <v/>
      </c>
      <c r="B987" s="27" t="inlineStr">
        <is>
          <t>灯槽（100mm*200mm）</t>
        </is>
      </c>
      <c r="C987" s="27" t="inlineStr">
        <is>
          <t>1.灯槽（100mm*200mm）；
2.双层板：9mm玻镁板、9.5厚石膏板；
3.包含完成该项内容所有工作及费用并满足设计图纸、规范等要求；</t>
        </is>
      </c>
      <c r="D987" s="27" t="inlineStr">
        <is>
          <t>自现有现场条件下按照合同约定范围、图纸（含设计变更）及甲方要求内容以及规范、标准、相关做法等要求完成并达到总包合同全部目标的全部工作内容。</t>
        </is>
      </c>
      <c r="E987" s="27" t="inlineStr">
        <is>
          <t>依据经承包人确认的施工部位,按设计图示尺寸以延长米计算。</t>
        </is>
      </c>
      <c r="F987" s="28" t="inlineStr">
        <is>
          <t>m</t>
        </is>
      </c>
      <c r="G987" s="61" t="n">
        <v>15.08</v>
      </c>
      <c r="H987" s="62" t="n">
        <v>112.159</v>
      </c>
      <c r="I987" s="65" t="n"/>
      <c r="J987" s="62">
        <f>H987*(1-$I$4)</f>
        <v/>
      </c>
      <c r="K987" s="63">
        <f>G987*J987</f>
        <v/>
      </c>
      <c r="L987" s="33" t="inlineStr">
        <is>
          <t>/</t>
        </is>
      </c>
      <c r="M987" s="64" t="n"/>
      <c r="O987" t="n">
        <v>50</v>
      </c>
      <c r="P987" s="35" t="inlineStr">
        <is>
          <t>差:-62.16元 (-55.4%) 来源:售楼处</t>
        </is>
      </c>
      <c r="Q987" s="35" t="n"/>
      <c r="R987" s="35" t="n"/>
    </row>
    <row r="988" outlineLevel="2" ht="72" customFormat="1" customHeight="1" s="39">
      <c r="A988" s="37">
        <f>1+N(A987)</f>
        <v/>
      </c>
      <c r="B988" s="27" t="inlineStr">
        <is>
          <t>条形空调风口（150mm宽）</t>
        </is>
      </c>
      <c r="C988" s="27" t="inlineStr">
        <is>
          <t>1.条形空调风口（150mm宽）；
2.风口周边阻燃板封边加固处理；
3.包含完成该项内容所有工作及费用并满足设计图纸、规范等要求；</t>
        </is>
      </c>
      <c r="D988" s="27" t="inlineStr">
        <is>
          <t>自现有现场条件下按照合同约定范围、图纸（含设计变更）及甲方要求内容以及规范、标准、相关做法等要求完成并达到总包合同全部目标的全部工作内容。</t>
        </is>
      </c>
      <c r="E988" s="27" t="inlineStr">
        <is>
          <t>依据经承包人确认的施工部位,按设计图示尺寸以延长米计算。</t>
        </is>
      </c>
      <c r="F988" s="28" t="inlineStr">
        <is>
          <t>m</t>
        </is>
      </c>
      <c r="G988" s="61" t="n">
        <v>20</v>
      </c>
      <c r="H988" s="62" t="n">
        <v>109.74</v>
      </c>
      <c r="I988" s="65" t="n"/>
      <c r="J988" s="62">
        <f>H988*(1-$I$4)</f>
        <v/>
      </c>
      <c r="K988" s="63">
        <f>G988*J988</f>
        <v/>
      </c>
      <c r="L988" s="33" t="inlineStr">
        <is>
          <t>空调风口</t>
        </is>
      </c>
      <c r="M988" s="64" t="n"/>
      <c r="O988" t="n">
        <v>30</v>
      </c>
      <c r="P988" s="35" t="inlineStr">
        <is>
          <t>差:-79.74元 (-72.7%) 来源:售楼处</t>
        </is>
      </c>
      <c r="Q988" s="35" t="n"/>
      <c r="R988" s="35" t="n"/>
    </row>
    <row r="989" outlineLevel="2" ht="192" customFormat="1" customHeight="1" s="39">
      <c r="A989" s="37">
        <f>1+N(A988)</f>
        <v/>
      </c>
      <c r="B989" s="27" t="inlineStr">
        <is>
          <t>天花白色防水无机涂料PT-02</t>
        </is>
      </c>
      <c r="C989" s="27" t="inlineStr">
        <is>
          <t>1.天花白色防水无机涂料PT-02；
2.刮腻子二遍磨平；
3.底漆1遍，面漆2遍；
4.包含完成该项内容所有工作及费用并满足设计图纸、规范等要求；</t>
        </is>
      </c>
      <c r="D989" s="27" t="inlineStr">
        <is>
          <t>包括但不限于材料计划、采购、卸车倒运、保管、检验试验费、测量放线，包含四周阴角找平直、含天棚四周阴角找平直，打磨，简易脚手架搭拆及操作平台、升降机，基层清理、打磨平整、底层找补、满刮涂料（含阴阳角塑料条）、涂料打磨、补遗处理、配合其他分包施工、完工后场清、成品保护、保修等直到达到竣工交付标准的全部工作内容。包括所有为完成工作所需的小型机具；包括所有为完成工作所需的附属工作；包括但不限于以上内容。</t>
        </is>
      </c>
      <c r="E989" s="27" t="inlineStr">
        <is>
          <t>执行《GB/T50854-2024房屋建筑与装饰工程工程量计算标准》，按设计图示尺寸以面积计算。扣除0.3平方米以上洞口的面积；梁侧面及檐口天棚并入天棚计算；以设计图纸和技术交底为基础</t>
        </is>
      </c>
      <c r="F989" s="28" t="inlineStr">
        <is>
          <t>m2</t>
        </is>
      </c>
      <c r="G989" s="61" t="n">
        <v>34.96</v>
      </c>
      <c r="H989" s="62" t="n">
        <v>35.99</v>
      </c>
      <c r="I989" s="65" t="n"/>
      <c r="J989" s="62">
        <f>H989*(1-$I$4)</f>
        <v/>
      </c>
      <c r="K989" s="63">
        <f>G989*J989</f>
        <v/>
      </c>
      <c r="L989" s="33" t="inlineStr">
        <is>
          <t>涂料</t>
        </is>
      </c>
      <c r="M989" s="64" t="n"/>
      <c r="O989" t="n">
        <v>28.5</v>
      </c>
      <c r="P989" s="35" t="inlineStr">
        <is>
          <t>差:-7.49元 (-20.8%) 来源:售楼处</t>
        </is>
      </c>
      <c r="Q989" s="35" t="n"/>
      <c r="R989" s="35" t="n"/>
    </row>
    <row r="990" outlineLevel="1" customFormat="1" s="39">
      <c r="A990" s="36" t="n"/>
      <c r="B990" s="27" t="inlineStr">
        <is>
          <t>门窗工程</t>
        </is>
      </c>
      <c r="C990" s="27" t="n"/>
      <c r="D990" s="27" t="n"/>
      <c r="E990" s="27" t="n"/>
      <c r="F990" s="28" t="n"/>
      <c r="G990" s="61" t="n"/>
      <c r="H990" s="62" t="n"/>
      <c r="I990" s="65" t="n"/>
      <c r="J990" s="62" t="n"/>
      <c r="K990" s="63" t="n"/>
      <c r="L990" s="33" t="n"/>
      <c r="M990" s="64" t="n"/>
      <c r="P990" s="35" t="n"/>
      <c r="Q990" s="35" t="n"/>
      <c r="R990" s="35" t="n"/>
    </row>
    <row r="991" outlineLevel="2" ht="84" customFormat="1" customHeight="1" s="39">
      <c r="A991" s="37">
        <f>1+N(A990)</f>
        <v/>
      </c>
      <c r="B991" s="27" t="inlineStr">
        <is>
          <t>木饰面平开门</t>
        </is>
      </c>
      <c r="C991" s="27" t="inlineStr">
        <is>
          <t>1、门扇：WD-01木饰面、20*40mm热镀锌矩管、9mm厚玻镁板基层
2、门套：WD-01木饰面
3、定制成品套装门制安
4、含暗合页、门把手等五金配件
5、包含完成该项内容所有工作及费用并满足设计图纸、规范等要求</t>
        </is>
      </c>
      <c r="D991" s="27" t="inlineStr">
        <is>
          <t>自现有现场条件下按照合同约定范围、图纸（含设计变更）及甲方要求内容以及规范、标准、相关做法等要求完成并达到总包合同全部目标的全部工作内容。</t>
        </is>
      </c>
      <c r="E991" s="27" t="inlineStr">
        <is>
          <t>以最终验收合格的工程量计算</t>
        </is>
      </c>
      <c r="F991" s="28" t="inlineStr">
        <is>
          <t>m2</t>
        </is>
      </c>
      <c r="G991" s="61" t="n">
        <v>5.1</v>
      </c>
      <c r="H991" s="62" t="n">
        <v>2447.18117647059</v>
      </c>
      <c r="I991" s="65" t="n"/>
      <c r="J991" s="62">
        <f>H991*(1-$I$4)</f>
        <v/>
      </c>
      <c r="K991" s="63">
        <f>G991*J991</f>
        <v/>
      </c>
      <c r="L991" s="33" t="inlineStr">
        <is>
          <t>/</t>
        </is>
      </c>
      <c r="M991" s="64" t="n"/>
      <c r="O991" t="n">
        <v>145</v>
      </c>
      <c r="P991" s="35" t="inlineStr">
        <is>
          <t>差:-2302.18元 (-94.1%) 来源:会所合并</t>
        </is>
      </c>
      <c r="Q991" s="35" t="n"/>
      <c r="R991" s="35" t="n"/>
    </row>
    <row r="992" outlineLevel="2" ht="72" customFormat="1" customHeight="1" s="39">
      <c r="A992" s="37">
        <f>1+N(A991)</f>
        <v/>
      </c>
      <c r="B992" s="27" t="inlineStr">
        <is>
          <t>磨砂玻璃门</t>
        </is>
      </c>
      <c r="C992" s="27" t="inlineStr">
        <is>
          <t>1、门扇：1.2mm厚 MT-01古铜不锈钢饰面、磨砂玻璃
2、定制成品套装门制安
3、含成品门铰链等五金配件
4、包含完成该项内容所有工作及费用并满足设计图纸、规范等要求</t>
        </is>
      </c>
      <c r="D992" s="27" t="inlineStr">
        <is>
          <t>自现有现场条件下按照合同约定范围、图纸（含设计变更）及甲方要求内容以及规范、标准、相关做法等要求完成并达到总包合同全部目标的全部工作内容。</t>
        </is>
      </c>
      <c r="E992" s="27" t="inlineStr">
        <is>
          <t>以最终验收合格的工程量计算</t>
        </is>
      </c>
      <c r="F992" s="28" t="inlineStr">
        <is>
          <t>m2</t>
        </is>
      </c>
      <c r="G992" s="61" t="n">
        <v>14.4</v>
      </c>
      <c r="H992" s="62" t="n">
        <v>1162.69333333333</v>
      </c>
      <c r="I992" s="65" t="n"/>
      <c r="J992" s="62">
        <f>H992*(1-$I$4)</f>
        <v/>
      </c>
      <c r="K992" s="63">
        <f>G992*J992</f>
        <v/>
      </c>
      <c r="L992" s="33" t="inlineStr">
        <is>
          <t>/</t>
        </is>
      </c>
      <c r="M992" s="64" t="n"/>
      <c r="O992" t="n">
        <v>42</v>
      </c>
      <c r="P992" s="35" t="inlineStr">
        <is>
          <t>差:-1120.69元 (-96.4%) 来源:会所合并</t>
        </is>
      </c>
      <c r="Q992" s="35" t="n"/>
      <c r="R992" s="35" t="n"/>
    </row>
    <row r="993" outlineLevel="2" ht="120" customFormat="1" customHeight="1" s="39">
      <c r="A993" s="37">
        <f>1+N(A992)</f>
        <v/>
      </c>
      <c r="B993" s="27" t="inlineStr">
        <is>
          <t>洗手台镜柜一体L1750mm</t>
        </is>
      </c>
      <c r="C993" s="27" t="inlineStr">
        <is>
          <t>1、洗手台镜柜一体（1750mm*700mm*2550mm）
2.包括但不限于制作安装、钢结构骨架、石材及石材防污处理、10mm水泥纤维板基层、ST-06石材台面、1.2mm厚 MT-01古铜不锈钢饰面、WD-04木饰面、MR-01银镜；
3.含五金配件、相应的线孔洞开设
4.包含完成该项内容所有工作及费用并满足设计图纸、规范等要求</t>
        </is>
      </c>
      <c r="D993" s="27" t="inlineStr">
        <is>
          <t>自现有现场条件下按照合同约定范围、图纸（含设计变更）及甲方要求内容以及规范、标准、相关做法等要求完成并达到总包合同全部目标的全部工作内容。</t>
        </is>
      </c>
      <c r="E993" s="27" t="inlineStr">
        <is>
          <t>以最终验收合格的工程量计算</t>
        </is>
      </c>
      <c r="F993" s="28" t="inlineStr">
        <is>
          <t>套</t>
        </is>
      </c>
      <c r="G993" s="61" t="n">
        <v>1</v>
      </c>
      <c r="H993" s="62" t="n">
        <v>13844.4217229051</v>
      </c>
      <c r="I993" s="65" t="n"/>
      <c r="J993" s="62">
        <f>H993*(1-$I$4)</f>
        <v/>
      </c>
      <c r="K993" s="63">
        <f>G993*J993</f>
        <v/>
      </c>
      <c r="L993" s="33" t="inlineStr">
        <is>
          <t>/</t>
        </is>
      </c>
      <c r="M993" s="64" t="n"/>
      <c r="O993" t="n">
        <v>353</v>
      </c>
      <c r="P993" s="35" t="inlineStr">
        <is>
          <t>差:-13491.42元 (-97.5%) 来源:会所合并</t>
        </is>
      </c>
      <c r="Q993" s="35" t="n"/>
      <c r="R993" s="35" t="n"/>
    </row>
    <row r="994" outlineLevel="2" ht="120" customFormat="1" customHeight="1" s="39">
      <c r="A994" s="37">
        <f>1+N(A993)</f>
        <v/>
      </c>
      <c r="B994" s="27" t="inlineStr">
        <is>
          <t>洗手台镜柜一体L1930mm</t>
        </is>
      </c>
      <c r="C994" s="27" t="inlineStr">
        <is>
          <t>1、洗手台镜柜一体（1930mm*700mm*2550mm）
2.包括但不限于制作安装、钢结构骨架、石材及石材防污处理、10mm水泥纤维板基层、ST-06石材台面、1.2mm厚 MT-01古铜不锈钢饰面、WD-04木饰面、MR-01银镜；
3.含五金配件、相应的线孔洞开设
4.包含完成该项内容所有工作及费用并满足设计图纸、规范等要求</t>
        </is>
      </c>
      <c r="D994" s="27" t="inlineStr">
        <is>
          <t>自现有现场条件下按照合同约定范围、图纸（含设计变更）及甲方要求内容以及规范、标准、相关做法等要求完成并达到总包合同全部目标的全部工作内容。</t>
        </is>
      </c>
      <c r="E994" s="27" t="inlineStr">
        <is>
          <t>以最终验收合格的工程量计算</t>
        </is>
      </c>
      <c r="F994" s="28" t="inlineStr">
        <is>
          <t>套</t>
        </is>
      </c>
      <c r="G994" s="61" t="n">
        <v>1</v>
      </c>
      <c r="H994" s="62" t="n">
        <v>15268.4193858324</v>
      </c>
      <c r="I994" s="65" t="n"/>
      <c r="J994" s="62">
        <f>H994*(1-$I$4)</f>
        <v/>
      </c>
      <c r="K994" s="63">
        <f>G994*J994</f>
        <v/>
      </c>
      <c r="L994" s="33" t="inlineStr">
        <is>
          <t>/</t>
        </is>
      </c>
      <c r="M994" s="64" t="n"/>
      <c r="O994" t="n">
        <v>365.75</v>
      </c>
      <c r="P994" s="35" t="inlineStr">
        <is>
          <t>差:-14902.67元 (-97.6%) 来源:会所合并</t>
        </is>
      </c>
      <c r="Q994" s="35" t="n"/>
      <c r="R994" s="35" t="n"/>
    </row>
    <row r="995" outlineLevel="2" ht="72" customFormat="1" customHeight="1" s="39">
      <c r="A995" s="37">
        <f>1+N(A994)</f>
        <v/>
      </c>
      <c r="B995" s="27" t="inlineStr">
        <is>
          <t>更衣柜</t>
        </is>
      </c>
      <c r="C995" s="27" t="inlineStr">
        <is>
          <t>1、更衣柜（2050mm*600mm*3200mm）
2.包括但不限于制作安装、阻燃板基层、WD-01木饰面
3.含五金配件等
4.包含完成该项内容所有工作及费用并满足设计图纸、规范等要求</t>
        </is>
      </c>
      <c r="D995" s="27" t="inlineStr">
        <is>
          <t>自现有现场条件下按照合同约定范围、图纸（含设计变更）及甲方要求内容以及规范、标准、相关做法等要求完成并达到总包合同全部目标的全部工作内容。</t>
        </is>
      </c>
      <c r="E995" s="27" t="inlineStr">
        <is>
          <t>以最终验收合格的工程量计算</t>
        </is>
      </c>
      <c r="F995" s="28" t="inlineStr">
        <is>
          <t>m2</t>
        </is>
      </c>
      <c r="G995" s="61" t="n">
        <v>13.12</v>
      </c>
      <c r="H995" s="62" t="n">
        <v>3160.512</v>
      </c>
      <c r="I995" s="65" t="n"/>
      <c r="J995" s="62">
        <f>H995*(1-$I$4)</f>
        <v/>
      </c>
      <c r="K995" s="63">
        <f>G995*J995</f>
        <v/>
      </c>
      <c r="L995" s="33" t="inlineStr">
        <is>
          <t>/</t>
        </is>
      </c>
      <c r="M995" s="64" t="n"/>
      <c r="O995" t="n">
        <v>35</v>
      </c>
      <c r="P995" s="35" t="inlineStr">
        <is>
          <t>差:-3125.51元 (-98.9%) 来源:会所合并</t>
        </is>
      </c>
      <c r="Q995" s="35" t="n"/>
      <c r="R995" s="35" t="n"/>
    </row>
    <row r="996" outlineLevel="1" customFormat="1" s="39">
      <c r="A996" s="26" t="inlineStr">
        <is>
          <t>五</t>
        </is>
      </c>
      <c r="B996" s="27" t="inlineStr">
        <is>
          <t>休息区+过道+电梯厅+艺术过厅</t>
        </is>
      </c>
      <c r="C996" s="27" t="n"/>
      <c r="D996" s="27" t="n"/>
      <c r="E996" s="27" t="n"/>
      <c r="F996" s="28" t="n"/>
      <c r="G996" s="61" t="n"/>
      <c r="H996" s="62" t="n"/>
      <c r="I996" s="65" t="n"/>
      <c r="J996" s="62" t="n"/>
      <c r="K996" s="63" t="n"/>
      <c r="L996" s="33" t="n"/>
      <c r="M996" s="64" t="n"/>
      <c r="P996" s="35" t="n"/>
      <c r="Q996" s="35" t="n"/>
      <c r="R996" s="35" t="n"/>
    </row>
    <row r="997" outlineLevel="1" customFormat="1" s="39">
      <c r="A997" s="36" t="n"/>
      <c r="B997" s="27" t="inlineStr">
        <is>
          <t>地面工程</t>
        </is>
      </c>
      <c r="C997" s="27" t="n"/>
      <c r="D997" s="27" t="n"/>
      <c r="E997" s="27" t="n"/>
      <c r="F997" s="28" t="n"/>
      <c r="G997" s="61" t="n"/>
      <c r="H997" s="62" t="n"/>
      <c r="I997" s="65" t="n"/>
      <c r="J997" s="62" t="n"/>
      <c r="K997" s="63" t="n"/>
      <c r="L997" s="33" t="n"/>
      <c r="M997" s="64" t="n"/>
      <c r="P997" s="35" t="n"/>
      <c r="Q997" s="35" t="n"/>
      <c r="R997" s="35" t="n"/>
    </row>
    <row r="998" outlineLevel="2" ht="120" customFormat="1" customHeight="1" s="39">
      <c r="A998" s="37">
        <f>1+N(A997)</f>
        <v/>
      </c>
      <c r="B998" s="27" t="inlineStr">
        <is>
          <t>地面铺贴大理石ST-01</t>
        </is>
      </c>
      <c r="C998" s="27" t="inlineStr">
        <is>
          <t>1.地面20mm大理石ST-01、皮革面与非皮革面错位铺贴、厚度及样式按物料书为准；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998"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998" s="27" t="inlineStr">
        <is>
          <t xml:space="preserve">执行《GB/T50854-2024房屋建筑与装饰工程工程量计算标准》，按设计图示尺寸
以面积计算。 </t>
        </is>
      </c>
      <c r="F998" s="28" t="inlineStr">
        <is>
          <t>m2</t>
        </is>
      </c>
      <c r="G998" s="61" t="n">
        <v>84.68000000000001</v>
      </c>
      <c r="H998" s="62" t="n">
        <v>218.75017</v>
      </c>
      <c r="I998" s="65" t="n"/>
      <c r="J998" s="62">
        <f>H998*(1-$I$4)</f>
        <v/>
      </c>
      <c r="K998" s="63">
        <f>G998*J998</f>
        <v/>
      </c>
      <c r="L998" s="33" t="inlineStr">
        <is>
          <t>石材</t>
        </is>
      </c>
      <c r="M998" s="64" t="n"/>
      <c r="O998" t="n">
        <v>130</v>
      </c>
      <c r="P998" s="35" t="inlineStr">
        <is>
          <t>差:-88.75元 (-40.6%) 来源:售楼处</t>
        </is>
      </c>
      <c r="Q998" s="35" t="n"/>
      <c r="R998" s="35" t="n"/>
    </row>
    <row r="999" outlineLevel="2" ht="108" customFormat="1" customHeight="1" s="39">
      <c r="A999" s="37">
        <f>1+N(A998)</f>
        <v/>
      </c>
      <c r="B999" s="27" t="inlineStr">
        <is>
          <t>地面铺贴大理石ST-01拼花</t>
        </is>
      </c>
      <c r="C999" s="27" t="inlineStr">
        <is>
          <t>1.地面20mm大理石拼花、参考3F-DF-01样式、ST-01按物料书为准；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999"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999" s="27" t="inlineStr">
        <is>
          <t xml:space="preserve">执行《GB/T50854-2024房屋建筑与装饰工程工程量计算标准》，按设计图示尺寸
以面积计算。 </t>
        </is>
      </c>
      <c r="F999" s="28" t="inlineStr">
        <is>
          <t>m2</t>
        </is>
      </c>
      <c r="G999" s="61" t="n">
        <v>4.04</v>
      </c>
      <c r="H999" s="62" t="n">
        <v>242.35017</v>
      </c>
      <c r="I999" s="65" t="n"/>
      <c r="J999" s="62">
        <f>H999*(1-$I$4)</f>
        <v/>
      </c>
      <c r="K999" s="63">
        <f>G999*J999</f>
        <v/>
      </c>
      <c r="L999" s="33" t="inlineStr">
        <is>
          <t>石材</t>
        </is>
      </c>
      <c r="M999" s="64" t="n"/>
      <c r="O999" t="n">
        <v>130</v>
      </c>
      <c r="P999" s="35" t="inlineStr">
        <is>
          <t>差:-112.35元 (-46.4%) 来源:售楼处</t>
        </is>
      </c>
      <c r="Q999" s="35" t="n"/>
      <c r="R999" s="35" t="n"/>
    </row>
    <row r="1000" outlineLevel="2" ht="108" customFormat="1" customHeight="1" s="39">
      <c r="A1000" s="37">
        <f>1+N(A999)</f>
        <v/>
      </c>
      <c r="B1000" s="27" t="inlineStr">
        <is>
          <t>地面石材晶面处理</t>
        </is>
      </c>
      <c r="C1000" s="27" t="inlineStr">
        <is>
          <t>1.石材结晶处理(结晶水及石材保养剂,中性清洁剂)；
2.包含完成该项内容所有工作及费用并满足设计图纸、规范等要求；</t>
        </is>
      </c>
      <c r="D1000"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000" s="27" t="inlineStr">
        <is>
          <t xml:space="preserve">执行《GB/T50854-2024房屋建筑与装饰工程工程量计算标准》，按设计图示尺寸
以面积计算。 </t>
        </is>
      </c>
      <c r="F1000" s="28" t="inlineStr">
        <is>
          <t>m2</t>
        </is>
      </c>
      <c r="G1000" s="61" t="n">
        <v>88.72</v>
      </c>
      <c r="H1000" s="62" t="n">
        <v>64.90000000000001</v>
      </c>
      <c r="I1000" s="65" t="n"/>
      <c r="J1000" s="62">
        <f>H1000*(1-$I$4)</f>
        <v/>
      </c>
      <c r="K1000" s="63">
        <f>G1000*J1000</f>
        <v/>
      </c>
      <c r="L1000" s="33" t="inlineStr">
        <is>
          <t>/</t>
        </is>
      </c>
      <c r="M1000" s="64" t="n"/>
      <c r="O1000" t="n">
        <v>40</v>
      </c>
      <c r="P1000" s="35" t="inlineStr">
        <is>
          <t>差:-24.90元 (-38.4%) 来源:售楼处</t>
        </is>
      </c>
      <c r="Q1000" s="35" t="n"/>
      <c r="R1000" s="35" t="n"/>
    </row>
    <row r="1001" outlineLevel="1" customFormat="1" s="39">
      <c r="A1001" s="36" t="n"/>
      <c r="B1001" s="27" t="inlineStr">
        <is>
          <t>墙柱面工程</t>
        </is>
      </c>
      <c r="C1001" s="27" t="n"/>
      <c r="D1001" s="27" t="n"/>
      <c r="E1001" s="27" t="n"/>
      <c r="F1001" s="28" t="n"/>
      <c r="G1001" s="61" t="n"/>
      <c r="H1001" s="62" t="n"/>
      <c r="I1001" s="65" t="n"/>
      <c r="J1001" s="62" t="n"/>
      <c r="K1001" s="63" t="n"/>
      <c r="L1001" s="33" t="n"/>
      <c r="M1001" s="64" t="n"/>
      <c r="P1001" s="35" t="n"/>
      <c r="Q1001" s="35" t="n"/>
      <c r="R1001" s="35" t="n"/>
    </row>
    <row r="1002" outlineLevel="2" ht="144" customFormat="1" customHeight="1" s="39">
      <c r="A1002" s="37">
        <f>1+N(A1001)</f>
        <v/>
      </c>
      <c r="B1002" s="27" t="inlineStr">
        <is>
          <t>墙面湿贴石材ST-03</t>
        </is>
      </c>
      <c r="C1002" s="27" t="inlineStr">
        <is>
          <t>1、墙面湿贴石材ST-03
2、8mm厚石材专用胶粘剂WC粘结层
3、界面剂拉毛处理
4、石材的开槽、磨边、倒角、粘接、形成所需之凹坑、抛光、六面防污防渗等一切处理费用均在主材费中考虑，不再另行计取
5、包含完成该项内容所有工作及费用并满足设计图纸、规范等要求</t>
        </is>
      </c>
      <c r="D1002" s="27" t="inlineStr">
        <is>
          <t>具体工作内容除详见项目特征外，且不限于以下内容:1.包含材料的下车、场内运输；2.清理基层、找标高、弹线定位；3.试拼试排；4.砂浆拌和、铺找平层（粘结层）砂浆；5.面层铺设、灌缝、擦缝；6.打蜡、养护；配合留设墙面开关、插座等末端设备等全部内容；包含成品保护、安全文明施工等达到验收合格的全部施工内容。</t>
        </is>
      </c>
      <c r="E1002" s="27" t="inlineStr">
        <is>
          <t>执行《GB/T50854-2024房屋建筑与装饰工程工程量计算标准》，按设计图示镶贴后外围面积计算</t>
        </is>
      </c>
      <c r="F1002" s="28" t="inlineStr">
        <is>
          <t>m2</t>
        </is>
      </c>
      <c r="G1002" s="61" t="n">
        <v>11.98</v>
      </c>
      <c r="H1002" s="62" t="n">
        <v>177</v>
      </c>
      <c r="I1002" s="65" t="n"/>
      <c r="J1002" s="62">
        <f>H1002*(1-$I$4)</f>
        <v/>
      </c>
      <c r="K1002" s="63">
        <f>G1002*J1002</f>
        <v/>
      </c>
      <c r="L1002" s="33" t="inlineStr">
        <is>
          <t>石材</t>
        </is>
      </c>
      <c r="M1002" s="64" t="n"/>
      <c r="O1002" t="n">
        <v>95</v>
      </c>
      <c r="P1002" s="35" t="inlineStr">
        <is>
          <t>差:-82.00元 (-46.3%) 来源:会所合并</t>
        </is>
      </c>
      <c r="Q1002" s="35" t="n"/>
      <c r="R1002" s="35" t="n"/>
    </row>
    <row r="1003" outlineLevel="2" ht="180" customFormat="1" customHeight="1" s="39">
      <c r="A1003" s="37">
        <f>1+N(A1002)</f>
        <v/>
      </c>
      <c r="B1003" s="27" t="inlineStr">
        <is>
          <t>墙面干挂ST-03石材</t>
        </is>
      </c>
      <c r="C1003" s="27" t="inlineStr">
        <is>
          <t>1、墙面干挂ST-03石材（含不锈钢线条）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is>
      </c>
      <c r="D1003"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003" s="27" t="inlineStr">
        <is>
          <t>执行《GB/T50854-2024房屋建筑与装饰工程工程量计算标准》，按设计图示镶贴后外围面积计算</t>
        </is>
      </c>
      <c r="F1003" s="28" t="inlineStr">
        <is>
          <t>m2</t>
        </is>
      </c>
      <c r="G1003" s="61" t="n">
        <v>137.25</v>
      </c>
      <c r="H1003" s="62" t="n">
        <v>283.2</v>
      </c>
      <c r="I1003" s="65" t="n"/>
      <c r="J1003" s="62">
        <f>H1003*(1-$I$4)</f>
        <v/>
      </c>
      <c r="K1003" s="63">
        <f>G1003*J1003</f>
        <v/>
      </c>
      <c r="L1003" s="33" t="inlineStr">
        <is>
          <t>石材</t>
        </is>
      </c>
      <c r="M1003" s="64" t="n"/>
      <c r="O1003" t="n">
        <v>145</v>
      </c>
      <c r="P1003" s="35" t="inlineStr">
        <is>
          <t>差:-138.20元 (-48.8%) 来源:会所合并</t>
        </is>
      </c>
      <c r="Q1003" s="35" t="n"/>
      <c r="R1003" s="35" t="n"/>
    </row>
    <row r="1004" outlineLevel="2" ht="180" customFormat="1" customHeight="1" s="39">
      <c r="A1004" s="37">
        <f>1+N(A1003)</f>
        <v/>
      </c>
      <c r="B1004" s="27" t="inlineStr">
        <is>
          <t>墙面干挂ST-03石材（波浪造型）</t>
        </is>
      </c>
      <c r="C1004" s="27" t="inlineStr">
        <is>
          <t>1、墙面干挂ST-03石材（波浪造型，含不锈钢线条）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is>
      </c>
      <c r="D1004"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004" s="27" t="inlineStr">
        <is>
          <t>执行《GB/T50854-2024房屋建筑与装饰工程工程量计算标准》，按设计图示镶贴后外围面积计算</t>
        </is>
      </c>
      <c r="F1004" s="28" t="inlineStr">
        <is>
          <t>m2</t>
        </is>
      </c>
      <c r="G1004" s="61" t="n">
        <v>29.48</v>
      </c>
      <c r="H1004" s="62" t="n">
        <v>283.2</v>
      </c>
      <c r="I1004" s="65" t="n"/>
      <c r="J1004" s="62">
        <f>H1004*(1-$I$4)</f>
        <v/>
      </c>
      <c r="K1004" s="63">
        <f>G1004*J1004</f>
        <v/>
      </c>
      <c r="L1004" s="33" t="inlineStr">
        <is>
          <t>石材</t>
        </is>
      </c>
      <c r="M1004" s="64" t="n"/>
      <c r="O1004" t="n">
        <v>145</v>
      </c>
      <c r="P1004" s="35" t="inlineStr">
        <is>
          <t>差:-138.20元 (-48.8%) 来源:会所合并</t>
        </is>
      </c>
      <c r="Q1004" s="35" t="n"/>
      <c r="R1004" s="35" t="n"/>
    </row>
    <row r="1005" outlineLevel="2" ht="180" customFormat="1" customHeight="1" s="39">
      <c r="A1005" s="37">
        <f>1+N(A1004)</f>
        <v/>
      </c>
      <c r="B1005" s="27" t="inlineStr">
        <is>
          <t>墙面干挂ST-05石材</t>
        </is>
      </c>
      <c r="C1005" s="27" t="inlineStr">
        <is>
          <t>1、墙面干挂ST-05石材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is>
      </c>
      <c r="D1005"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005" s="27" t="inlineStr">
        <is>
          <t>执行《GB/T50854-2024房屋建筑与装饰工程工程量计算标准》，按设计图示镶贴后外围面积计算</t>
        </is>
      </c>
      <c r="F1005" s="28" t="inlineStr">
        <is>
          <t>m2</t>
        </is>
      </c>
      <c r="G1005" s="61" t="n">
        <v>3.68</v>
      </c>
      <c r="H1005" s="62" t="n">
        <v>283.2</v>
      </c>
      <c r="I1005" s="65" t="n"/>
      <c r="J1005" s="62">
        <f>H1005*(1-$I$4)</f>
        <v/>
      </c>
      <c r="K1005" s="63">
        <f>G1005*J1005</f>
        <v/>
      </c>
      <c r="L1005" s="33" t="inlineStr">
        <is>
          <t>石材</t>
        </is>
      </c>
      <c r="M1005" s="64" t="n"/>
      <c r="O1005" t="n">
        <v>145</v>
      </c>
      <c r="P1005" s="35" t="inlineStr">
        <is>
          <t>差:-138.20元 (-48.8%) 来源:售楼处</t>
        </is>
      </c>
      <c r="Q1005" s="35" t="n"/>
      <c r="R1005" s="35" t="n"/>
    </row>
    <row r="1006" outlineLevel="2" ht="180" customFormat="1" customHeight="1" s="39">
      <c r="A1006" s="37">
        <f>1+N(A1005)</f>
        <v/>
      </c>
      <c r="B1006" s="27" t="inlineStr">
        <is>
          <t>墙面WD-01木饰面</t>
        </is>
      </c>
      <c r="C1006" s="27" t="inlineStr">
        <is>
          <t>1、墙面WD-01木饰面（含不锈钢线条）
2、结构胶固定
3、12mm阻燃板基层
4、膨胀螺栓、轻钢龙骨(钢结构)基层找平
5、包含完成该项内容所有工作及费用并满足设计图纸、规范等要求</t>
        </is>
      </c>
      <c r="D1006"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006" s="27" t="inlineStr">
        <is>
          <t>执行《GB/T50854-2024房屋建筑与装饰工程工程量计算标准》，按设计图示饰面外围尺寸
以面积计算。 扣除门窗洞口面积，不扣除单个面积≤0.3㎡的孔洞所占面积。</t>
        </is>
      </c>
      <c r="F1006" s="28" t="inlineStr">
        <is>
          <t>m2</t>
        </is>
      </c>
      <c r="G1006" s="61" t="n">
        <v>23.48</v>
      </c>
      <c r="H1006" s="62" t="n">
        <v>253.7</v>
      </c>
      <c r="I1006" s="65" t="n"/>
      <c r="J1006" s="62">
        <f>H1006*(1-$I$4)</f>
        <v/>
      </c>
      <c r="K1006" s="63">
        <f>G1006*J1006</f>
        <v/>
      </c>
      <c r="L1006" s="33" t="inlineStr">
        <is>
          <t>木饰面</t>
        </is>
      </c>
      <c r="M1006" s="64" t="n"/>
      <c r="O1006" t="n">
        <v>75</v>
      </c>
      <c r="P1006" s="35" t="inlineStr">
        <is>
          <t>差:-178.70元 (-70.4%) 来源:售楼处</t>
        </is>
      </c>
      <c r="Q1006" s="35" t="n"/>
      <c r="R1006" s="35" t="n"/>
    </row>
    <row r="1007" outlineLevel="2" ht="180" customFormat="1" customHeight="1" s="39">
      <c r="A1007" s="37">
        <f>1+N(A1006)</f>
        <v/>
      </c>
      <c r="B1007" s="27" t="inlineStr">
        <is>
          <t>墙面WD-03木饰面</t>
        </is>
      </c>
      <c r="C1007" s="27" t="inlineStr">
        <is>
          <t>1、墙面WD-03木饰面（含不锈钢线条）
2、结构胶固定
3、12mm阻燃板基层
4、膨胀螺栓、轻钢龙骨(钢结构)基层找平
5、包含完成该项内容所有工作及费用并满足设计图纸、规范等要求</t>
        </is>
      </c>
      <c r="D1007"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007" s="27" t="inlineStr">
        <is>
          <t>执行《GB/T50854-2024房屋建筑与装饰工程工程量计算标准》，按设计图示饰面外围尺寸
以面积计算。 扣除门窗洞口面积，不扣除单个面积≤0.3㎡的孔洞所占面积。</t>
        </is>
      </c>
      <c r="F1007" s="28" t="inlineStr">
        <is>
          <t>m2</t>
        </is>
      </c>
      <c r="G1007" s="61" t="n">
        <v>23.48</v>
      </c>
      <c r="H1007" s="62" t="n">
        <v>253.7</v>
      </c>
      <c r="I1007" s="65" t="n"/>
      <c r="J1007" s="62">
        <f>H1007*(1-$I$4)</f>
        <v/>
      </c>
      <c r="K1007" s="63">
        <f>G1007*J1007</f>
        <v/>
      </c>
      <c r="L1007" s="33" t="inlineStr">
        <is>
          <t>木饰面</t>
        </is>
      </c>
      <c r="M1007" s="64" t="n"/>
      <c r="O1007" t="n">
        <v>75</v>
      </c>
      <c r="P1007" s="35" t="inlineStr">
        <is>
          <t>差:-178.70元 (-70.4%) 来源:售楼处</t>
        </is>
      </c>
      <c r="Q1007" s="35" t="n"/>
      <c r="R1007" s="35" t="n"/>
    </row>
    <row r="1008" outlineLevel="2" ht="144" customFormat="1" customHeight="1" s="39">
      <c r="A1008" s="37">
        <f>1+N(A1007)</f>
        <v/>
      </c>
      <c r="B1008" s="27" t="inlineStr">
        <is>
          <t>MR-01银镜</t>
        </is>
      </c>
      <c r="C1008" s="27" t="inlineStr">
        <is>
          <t>1、MR-01银镜（含不锈钢线条）
2、胶粘剂固定(中性胶)
3、12mm阻燃板基层
4、膨胀螺栓、轻钢龙骨(钢结构)基层找平
5、包含完成该项内容所有工作及费用并满足设计图纸、规范等要求</t>
        </is>
      </c>
      <c r="D1008"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008" s="27" t="inlineStr">
        <is>
          <t>执行《GB/T50854-2024房屋建筑与装饰工程工程量计算标准》，按设计图示饰面外围尺寸以面积计算。</t>
        </is>
      </c>
      <c r="F1008" s="28" t="inlineStr">
        <is>
          <t>m2</t>
        </is>
      </c>
      <c r="G1008" s="61" t="n">
        <v>14.78</v>
      </c>
      <c r="H1008" s="62" t="n">
        <v>214.76</v>
      </c>
      <c r="I1008" s="65" t="n"/>
      <c r="J1008" s="62">
        <f>H1008*(1-$I$4)</f>
        <v/>
      </c>
      <c r="K1008" s="63">
        <f>G1008*J1008</f>
        <v/>
      </c>
      <c r="L1008" s="33" t="inlineStr">
        <is>
          <t>银镜</t>
        </is>
      </c>
      <c r="M1008" s="64" t="n"/>
      <c r="O1008" t="n">
        <v>110</v>
      </c>
      <c r="P1008" s="35" t="inlineStr">
        <is>
          <t>差:-104.76元 (-48.8%) 来源:售楼处</t>
        </is>
      </c>
      <c r="Q1008" s="35" t="n"/>
      <c r="R1008" s="35" t="n"/>
    </row>
    <row r="1009" outlineLevel="2" ht="180" customFormat="1" customHeight="1" s="39">
      <c r="A1009" s="37">
        <f>1+N(A1008)</f>
        <v/>
      </c>
      <c r="B1009" s="27" t="inlineStr">
        <is>
          <t>电梯不锈钢门套</t>
        </is>
      </c>
      <c r="C1009" s="27" t="inlineStr">
        <is>
          <t>1、1.2mm厚 MT-01古铜不锈钢门套，结构胶固定
2、9厘玻镁板基层
3、工程量以展开面积计算
4、包含完成该项内容所有工作及费用并满足设计图纸、规范等要求</t>
        </is>
      </c>
      <c r="D1009"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009" s="27" t="inlineStr">
        <is>
          <t>执行《GB/T50854-2024房屋建筑与装饰工程工程量计算标准》，按设计图示饰面外围尺寸
以面积计算。 扣除门窗洞口面积，不扣除单个面积≤0.3㎡的孔洞所占面积。</t>
        </is>
      </c>
      <c r="F1009" s="28" t="inlineStr">
        <is>
          <t>m2</t>
        </is>
      </c>
      <c r="G1009" s="61" t="n">
        <v>4.7</v>
      </c>
      <c r="H1009" s="62" t="n">
        <v>630.651</v>
      </c>
      <c r="I1009" s="65" t="n"/>
      <c r="J1009" s="62">
        <f>H1009*(1-$I$4)</f>
        <v/>
      </c>
      <c r="K1009" s="63">
        <f>G1009*J1009</f>
        <v/>
      </c>
      <c r="L1009" s="33" t="inlineStr">
        <is>
          <t>/</t>
        </is>
      </c>
      <c r="M1009" s="64" t="n"/>
      <c r="O1009" t="n">
        <v>110</v>
      </c>
      <c r="P1009" s="35" t="inlineStr">
        <is>
          <t>差:-520.65元 (-82.6%) 来源:售楼处</t>
        </is>
      </c>
      <c r="Q1009" s="35" t="n"/>
      <c r="R1009" s="35" t="n"/>
    </row>
    <row r="1010" outlineLevel="2" ht="180" customFormat="1" customHeight="1" s="39">
      <c r="A1010" s="37">
        <f>1+N(A1009)</f>
        <v/>
      </c>
      <c r="B1010" s="27" t="inlineStr">
        <is>
          <t>电梯不锈钢门头</t>
        </is>
      </c>
      <c r="C1010" s="27" t="inlineStr">
        <is>
          <t>1、1.2mm厚 MT-01古铜不锈钢门头，结构胶固定
2、12mm阻燃板，轻钢副龙骨@400
3、电梯门顶内置亚克力，内部面层刮白处理
4、工程量以展开面积计算
5、包含完成该项内容所有工作及费用并满足设计图纸、规范等要求</t>
        </is>
      </c>
      <c r="D1010"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010" s="27" t="inlineStr">
        <is>
          <t>执行《GB/T50854-2024房屋建筑与装饰工程工程量计算标准》，按设计图示饰面外围尺寸
以面积计算。 扣除门窗洞口面积，不扣除单个面积≤0.3㎡的孔洞所占面积。</t>
        </is>
      </c>
      <c r="F1010" s="28" t="inlineStr">
        <is>
          <t>m2</t>
        </is>
      </c>
      <c r="G1010" s="61" t="n">
        <v>2.61</v>
      </c>
      <c r="H1010" s="62" t="n">
        <v>630.651</v>
      </c>
      <c r="I1010" s="65" t="n"/>
      <c r="J1010" s="62">
        <f>H1010*(1-$I$4)</f>
        <v/>
      </c>
      <c r="K1010" s="63">
        <f>G1010*J1010</f>
        <v/>
      </c>
      <c r="L1010" s="33" t="inlineStr">
        <is>
          <t>/</t>
        </is>
      </c>
      <c r="M1010" s="64" t="n"/>
      <c r="O1010" t="n">
        <v>110</v>
      </c>
      <c r="P1010" s="35" t="inlineStr">
        <is>
          <t>差:-520.65元 (-82.6%) 来源:售楼处</t>
        </is>
      </c>
      <c r="Q1010" s="35" t="n"/>
      <c r="R1010" s="35" t="n"/>
    </row>
    <row r="1011" outlineLevel="2" ht="180" customFormat="1" customHeight="1" s="39">
      <c r="A1011" s="37">
        <f>1+N(A1010)</f>
        <v/>
      </c>
      <c r="B1011" s="27" t="inlineStr">
        <is>
          <t>MT-01古铜不锈钢饰面（电梯按钮处）</t>
        </is>
      </c>
      <c r="C1011" s="27" t="inlineStr">
        <is>
          <t>1、1.2mm厚 MT-01古铜不锈钢饰面
2、12mm阻燃板基层，轻钢副龙骨@400
3、工程量以展开面积计算
4、包含完成该项内容所有工作及费用并满足设计图纸、规范等要求</t>
        </is>
      </c>
      <c r="D1011"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011" s="27" t="inlineStr">
        <is>
          <t>执行《GB/T50854-2024房屋建筑与装饰工程工程量计算标准》，按设计图示饰面外围尺寸
以面积计算。 扣除门窗洞口面积，不扣除单个面积≤0.3㎡的孔洞所占面积。</t>
        </is>
      </c>
      <c r="F1011" s="28" t="inlineStr">
        <is>
          <t>m2</t>
        </is>
      </c>
      <c r="G1011" s="61" t="n">
        <v>0.26</v>
      </c>
      <c r="H1011" s="62" t="n">
        <v>295</v>
      </c>
      <c r="I1011" s="65" t="n"/>
      <c r="J1011" s="62">
        <f>H1011*(1-$I$4)</f>
        <v/>
      </c>
      <c r="K1011" s="63">
        <f>G1011*J1011</f>
        <v/>
      </c>
      <c r="L1011" s="33" t="inlineStr">
        <is>
          <t>不锈钢饰面</t>
        </is>
      </c>
      <c r="M1011" s="64" t="n"/>
      <c r="O1011" t="n">
        <v>110</v>
      </c>
      <c r="P1011" s="35" t="inlineStr">
        <is>
          <t>差:-185.00元 (-62.7%) 来源:售楼处</t>
        </is>
      </c>
      <c r="Q1011" s="35" t="n"/>
      <c r="R1011" s="35" t="n"/>
    </row>
    <row r="1012" outlineLevel="2" ht="144" customFormat="1" customHeight="1" s="39">
      <c r="A1012" s="37">
        <f>1+N(A1011)</f>
        <v/>
      </c>
      <c r="B1012" s="27" t="inlineStr">
        <is>
          <t>MT-01古铜不锈钢踢脚线（高20mm）</t>
        </is>
      </c>
      <c r="C1012" s="27" t="inlineStr">
        <is>
          <t>1、1.2mm厚 MT-01古铜不锈钢踢脚线（高20mm，展开面为46mm），结构胶固定
2、9厘玻镁板基层
3、包含完成该项内容所有工作及费用并满足设计图纸、规范等要求</t>
        </is>
      </c>
      <c r="D1012"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012" s="27" t="inlineStr">
        <is>
          <t>按设计图示尺寸以长度计算。</t>
        </is>
      </c>
      <c r="F1012" s="28" t="inlineStr">
        <is>
          <t>m</t>
        </is>
      </c>
      <c r="G1012" s="61" t="n">
        <v>0.26</v>
      </c>
      <c r="H1012" s="62" t="n">
        <v>31.86</v>
      </c>
      <c r="I1012" s="65" t="n"/>
      <c r="J1012" s="62">
        <f>H1012*(1-$I$4)</f>
        <v/>
      </c>
      <c r="K1012" s="63">
        <f>G1012*J1012</f>
        <v/>
      </c>
      <c r="L1012" s="33" t="inlineStr">
        <is>
          <t>不锈钢踢脚线</t>
        </is>
      </c>
      <c r="M1012" s="64" t="n"/>
      <c r="O1012" t="n">
        <v>12</v>
      </c>
      <c r="P1012" s="35" t="inlineStr">
        <is>
          <t>差:-19.86元 (-62.3%) 来源:售楼处</t>
        </is>
      </c>
      <c r="Q1012" s="35" t="n"/>
      <c r="R1012" s="35" t="n"/>
    </row>
    <row r="1013" outlineLevel="2" ht="144" customFormat="1" customHeight="1" s="39">
      <c r="A1013" s="37">
        <f>1+N(A1012)</f>
        <v/>
      </c>
      <c r="B1013" s="27" t="inlineStr">
        <is>
          <t>MT-01古铜不锈钢顶部收口条（展开面为41mm）</t>
        </is>
      </c>
      <c r="C1013" s="27" t="inlineStr">
        <is>
          <t>1、1.2mm厚 MT-01古铜不锈钢顶部收口条（展开面为41mm），结构胶固定
2、9厘玻镁板基层
3、包含完成该项内容所有工作及费用并满足设计图纸、规范等要求</t>
        </is>
      </c>
      <c r="D1013"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013" s="27" t="inlineStr">
        <is>
          <t>按设计图示尺寸以长度计算。</t>
        </is>
      </c>
      <c r="F1013" s="28" t="inlineStr">
        <is>
          <t>m</t>
        </is>
      </c>
      <c r="G1013" s="61" t="n">
        <v>68.11</v>
      </c>
      <c r="H1013" s="62" t="n">
        <v>64.24509999999999</v>
      </c>
      <c r="I1013" s="65" t="n"/>
      <c r="J1013" s="62">
        <f>H1013*(1-$I$4)</f>
        <v/>
      </c>
      <c r="K1013" s="63">
        <f>G1013*J1013</f>
        <v/>
      </c>
      <c r="L1013" s="33" t="inlineStr">
        <is>
          <t>/</t>
        </is>
      </c>
      <c r="M1013" s="64" t="n"/>
      <c r="O1013" t="n">
        <v>12</v>
      </c>
      <c r="P1013" s="35" t="inlineStr">
        <is>
          <t>差:-52.25元 (-81.3%) 来源:售楼处</t>
        </is>
      </c>
      <c r="Q1013" s="35" t="n"/>
      <c r="R1013" s="35" t="n"/>
    </row>
    <row r="1014" outlineLevel="2" ht="72" customFormat="1" customHeight="1" s="39">
      <c r="A1014" s="37">
        <f>1+N(A1013)</f>
        <v/>
      </c>
      <c r="B1014" s="27" t="inlineStr">
        <is>
          <t>MT-01古铜不锈钢窗套（展开面为95mm）</t>
        </is>
      </c>
      <c r="C1014" s="27" t="inlineStr">
        <is>
          <t>1、1.2mm厚 MT-01古铜不锈钢窗套（展开面为95mm），结构胶固定
2、9厘玻镁板基层
3、包含完成该项内容所有工作及费用并满足设计图纸、规范等要求</t>
        </is>
      </c>
      <c r="D1014" s="27" t="inlineStr">
        <is>
          <t>自现有现场条件下按照合同约定范围、图纸（含设计变更）及甲方要求内容以及规范、标准、相关做法等要求完成并达到总包合同全部目标的全部工作内容。</t>
        </is>
      </c>
      <c r="E1014" s="27" t="inlineStr">
        <is>
          <t>以最终验收合格的工程量计算</t>
        </is>
      </c>
      <c r="F1014" s="28" t="inlineStr">
        <is>
          <t>m2</t>
        </is>
      </c>
      <c r="G1014" s="61" t="n">
        <v>2.48</v>
      </c>
      <c r="H1014" s="62" t="n">
        <v>630.651</v>
      </c>
      <c r="I1014" s="65" t="n"/>
      <c r="J1014" s="62">
        <f>H1014*(1-$I$4)</f>
        <v/>
      </c>
      <c r="K1014" s="63">
        <f>G1014*J1014</f>
        <v/>
      </c>
      <c r="L1014" s="33" t="inlineStr">
        <is>
          <t>/</t>
        </is>
      </c>
      <c r="M1014" s="64" t="n"/>
      <c r="O1014" t="n">
        <v>110</v>
      </c>
      <c r="P1014" s="35" t="inlineStr">
        <is>
          <t>差:-520.65元 (-82.6%) 来源:售楼处</t>
        </is>
      </c>
      <c r="Q1014" s="35" t="n"/>
      <c r="R1014" s="35" t="n"/>
    </row>
    <row r="1015" outlineLevel="1" customFormat="1" s="39">
      <c r="A1015" s="36" t="n"/>
      <c r="B1015" s="27" t="inlineStr">
        <is>
          <t>天花工程</t>
        </is>
      </c>
      <c r="C1015" s="27" t="n"/>
      <c r="D1015" s="27" t="n"/>
      <c r="E1015" s="27" t="n"/>
      <c r="F1015" s="28" t="n"/>
      <c r="G1015" s="61" t="n"/>
      <c r="H1015" s="62" t="n"/>
      <c r="I1015" s="65" t="n"/>
      <c r="J1015" s="62" t="n"/>
      <c r="K1015" s="63" t="n"/>
      <c r="L1015" s="33" t="n"/>
      <c r="M1015" s="64" t="n"/>
      <c r="P1015" s="35" t="n"/>
      <c r="Q1015" s="35" t="n"/>
      <c r="R1015" s="35" t="n"/>
    </row>
    <row r="1016" outlineLevel="2" ht="192" customFormat="1" customHeight="1" s="39">
      <c r="A1016" s="37">
        <f>1+N(A1015)</f>
        <v/>
      </c>
      <c r="B1016" s="27" t="inlineStr">
        <is>
          <t>造型石膏板吊顶</t>
        </is>
      </c>
      <c r="C1016" s="27" t="inlineStr">
        <is>
          <t>1.60系列轻钢主龙骨@900，60系列轻钢副龙骨@400，60系列横撑龙骨@600，08螺纹吊杆@900不上人天花吊顶（投影面计算）
2.双层9.5厚石膏板基层，含开孔、检修口、10*10凹槽等费用；
3.含除灯槽外的侧面高差及其连接件、吊件；
4.包含完成该项内容所有工作及费用并满足设计图纸、规范等要求；</t>
        </is>
      </c>
      <c r="D1016" s="27" t="inlineStr">
        <is>
          <t>1.基层清理。
2.弹线定位、排版。
3.吊杆及连接件安装调平、收口及密封处理。
4.材料切割处理找平、石膏板安装及调整，打胶密封与清理.
5.收口及其他处理：检修口等制作安装、收边收口、配合预留安装、机电等专业孔洞及孔洞收口处理。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1016" s="27" t="inlineStr">
        <is>
          <t>按设计图示尺寸以水平投影面积计算。不扣除间壁墙、检查口、附墙烟囱、柱垛和管道所占面积,扣除单个&gt;0.3m3的孔洞、非密拼吊顶空隙所占的面积、独立柱及与天棚相连的窗帘盒所占的面积。</t>
        </is>
      </c>
      <c r="F1016" s="28" t="inlineStr">
        <is>
          <t>m2</t>
        </is>
      </c>
      <c r="G1016" s="61" t="n">
        <v>60.04</v>
      </c>
      <c r="H1016" s="62" t="n">
        <v>174.574444444444</v>
      </c>
      <c r="I1016" s="65" t="n"/>
      <c r="J1016" s="62">
        <f>H1016*(1-$I$4)</f>
        <v/>
      </c>
      <c r="K1016" s="63">
        <f>G1016*J1016</f>
        <v/>
      </c>
      <c r="L1016" s="33" t="inlineStr">
        <is>
          <t>/</t>
        </is>
      </c>
      <c r="M1016" s="64" t="n"/>
      <c r="O1016" t="n">
        <v>75</v>
      </c>
      <c r="P1016" s="35" t="inlineStr">
        <is>
          <t>差:-99.57元 (-57.0%) 来源:售楼处</t>
        </is>
      </c>
      <c r="Q1016" s="35" t="n"/>
      <c r="R1016" s="35" t="n"/>
    </row>
    <row r="1017" outlineLevel="2" ht="204" customFormat="1" customHeight="1" s="39">
      <c r="A1017" s="37">
        <f>1+N(A1016)</f>
        <v/>
      </c>
      <c r="B1017" s="27" t="inlineStr">
        <is>
          <t>可拆卸天花铝板吊顶</t>
        </is>
      </c>
      <c r="C1017" s="27" t="inlineStr">
        <is>
          <t>1.异形勾搭龙骨，08螺纹吊杆@900不上人天花吊顶（投影面计算）
2.可拆卸天花铝板吊顶，含开孔、检修口、10*10凹槽等费用；
3.含除灯槽外的侧面高差及其连接件、吊件；
4.包含完成该项内容所有工作及费用并满足设计图纸、规范等要求；</t>
        </is>
      </c>
      <c r="D1017" s="27" t="inlineStr">
        <is>
          <t>1.基层清理。
2.弹线定位、排版。
3.吊杆及连接件制作、安装、调平。
4.材料切割处理找平、铝条板安装及调整，打胶密封与清理。
5.收口及其他处理：侧封板、检修口等制作安装、收边收口、配合预留安装、机电等专业孔洞及孔洞收口处理。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1017" s="27" t="inlineStr">
        <is>
          <t>按设计图示尺寸以水平投影面积计算。不扣除间壁墙、检查口、附墙烟囱、柱垛和管道所占面积,扣除单个&gt;0.3m2的孔洞、非密拼吊顶空隙所占的面积、独立柱及与天棚相连的窗帘盒所占的面积。</t>
        </is>
      </c>
      <c r="F1017" s="28" t="inlineStr">
        <is>
          <t>m2</t>
        </is>
      </c>
      <c r="G1017" s="61" t="n">
        <v>22.22</v>
      </c>
      <c r="H1017" s="62" t="n">
        <v>159.3</v>
      </c>
      <c r="I1017" s="65" t="n"/>
      <c r="J1017" s="62">
        <f>H1017*(1-$I$4)</f>
        <v/>
      </c>
      <c r="K1017" s="63">
        <f>G1017*J1017</f>
        <v/>
      </c>
      <c r="L1017" s="33" t="inlineStr">
        <is>
          <t>铝板吊顶</t>
        </is>
      </c>
      <c r="M1017" s="64" t="n"/>
      <c r="O1017" t="n">
        <v>75</v>
      </c>
      <c r="P1017" s="35" t="inlineStr">
        <is>
          <t>差:-84.30元 (-52.9%) 来源:售楼处</t>
        </is>
      </c>
      <c r="Q1017" s="35" t="n"/>
      <c r="R1017" s="35" t="n"/>
    </row>
    <row r="1018" outlineLevel="2" ht="72" customFormat="1" customHeight="1" s="39">
      <c r="A1018" s="37">
        <f>1+N(A1017)</f>
        <v/>
      </c>
      <c r="B1018" s="27" t="inlineStr">
        <is>
          <t>透光膜天棚</t>
        </is>
      </c>
      <c r="C1018" s="27" t="inlineStr">
        <is>
          <t>1.透光膜天棚\施工时透气孔和穿线洞口\需加装防虫网防虫措施；
2.不锈钢压边；
3.包含完成该项内容所有工作及费用并满足设计图纸、规范等要求；</t>
        </is>
      </c>
      <c r="D1018" s="27" t="inlineStr">
        <is>
          <t>自现有现场条件下按照合同约定范围、图纸（含设计变更）及甲方要求内容以及规范、标准、相关做法等要求完成并达到总包合同全部目标的全部工作内容。</t>
        </is>
      </c>
      <c r="E1018" s="27" t="inlineStr">
        <is>
          <t xml:space="preserve">执行《GB/T50854-2024房屋建筑与装饰工程工程量计算标准》，按设计图示尺寸
以面积计算。 </t>
        </is>
      </c>
      <c r="F1018" s="28" t="inlineStr">
        <is>
          <t>m2</t>
        </is>
      </c>
      <c r="G1018" s="61" t="n">
        <v>1.72</v>
      </c>
      <c r="H1018" s="62" t="n">
        <v>472.708</v>
      </c>
      <c r="I1018" s="65" t="n"/>
      <c r="J1018" s="62">
        <f>H1018*(1-$I$4)</f>
        <v/>
      </c>
      <c r="K1018" s="63">
        <f>G1018*J1018</f>
        <v/>
      </c>
      <c r="L1018" s="33" t="inlineStr">
        <is>
          <t>/</t>
        </is>
      </c>
      <c r="M1018" s="64" t="n"/>
      <c r="O1018" t="n">
        <v>80</v>
      </c>
      <c r="P1018" s="35" t="inlineStr">
        <is>
          <t>差:-392.71元 (-83.1%) 来源:售楼处</t>
        </is>
      </c>
      <c r="Q1018" s="35" t="n"/>
      <c r="R1018" s="35" t="n"/>
    </row>
    <row r="1019" outlineLevel="2" ht="72" customFormat="1" customHeight="1" s="39">
      <c r="A1019" s="37">
        <f>1+N(A1018)</f>
        <v/>
      </c>
      <c r="B1019" s="27" t="inlineStr">
        <is>
          <t>成品石膏线条</t>
        </is>
      </c>
      <c r="C1019" s="27" t="inlineStr">
        <is>
          <t>1.成品石膏线条；
2.按图纸造型；
3.包含完成该项内容所有工作及费用并满足设计图纸、规范等要求；</t>
        </is>
      </c>
      <c r="D1019" s="27" t="inlineStr">
        <is>
          <t>自现有现场条件下按照合同约定范围、图纸（含设计变更）及甲方要求内容以及规范、标准、相关做法等要求完成并达到总包合同全部目标的全部工作内容。</t>
        </is>
      </c>
      <c r="E1019" s="27" t="inlineStr">
        <is>
          <t>依据经承包人确认的施工部位,按设计图示尺寸以延长米计算。</t>
        </is>
      </c>
      <c r="F1019" s="28" t="inlineStr">
        <is>
          <t>m</t>
        </is>
      </c>
      <c r="G1019" s="61" t="n">
        <v>6.41</v>
      </c>
      <c r="H1019" s="62" t="n">
        <v>20.06</v>
      </c>
      <c r="I1019" s="65" t="n"/>
      <c r="J1019" s="62">
        <f>H1019*(1-$I$4)</f>
        <v/>
      </c>
      <c r="K1019" s="63">
        <f>G1019*J1019</f>
        <v/>
      </c>
      <c r="L1019" s="33" t="inlineStr">
        <is>
          <t>成品石膏线条</t>
        </is>
      </c>
      <c r="M1019" s="64" t="n"/>
      <c r="O1019" t="n">
        <v>18</v>
      </c>
      <c r="P1019" s="35" t="inlineStr">
        <is>
          <t>差:-2.06元 (-10.3%) 来源:会所合并</t>
        </is>
      </c>
      <c r="Q1019" s="35" t="n"/>
      <c r="R1019" s="35" t="n"/>
    </row>
    <row r="1020" outlineLevel="2" ht="72" customFormat="1" customHeight="1" s="39">
      <c r="A1020" s="37">
        <f>1+N(A1019)</f>
        <v/>
      </c>
      <c r="B1020" s="27" t="inlineStr">
        <is>
          <t>条形空调风口（150mm）</t>
        </is>
      </c>
      <c r="C1020" s="27" t="inlineStr">
        <is>
          <t>1.条形空调风口（150mm）；
2.风口周边阻燃板封边加固处理；
3.包含完成该项内容所有工作及费用并满足设计图纸、规范等要求；</t>
        </is>
      </c>
      <c r="D1020" s="27" t="inlineStr">
        <is>
          <t>自现有现场条件下按照合同约定范围、图纸（含设计变更）及甲方要求内容以及规范、标准、相关做法等要求完成并达到总包合同全部目标的全部工作内容。</t>
        </is>
      </c>
      <c r="E1020" s="27" t="inlineStr">
        <is>
          <t>依据经承包人确认的施工部位,按设计图示尺寸以延长米计算。</t>
        </is>
      </c>
      <c r="F1020" s="28" t="inlineStr">
        <is>
          <t>m</t>
        </is>
      </c>
      <c r="G1020" s="61" t="n">
        <v>5.64</v>
      </c>
      <c r="H1020" s="62" t="n">
        <v>109.74</v>
      </c>
      <c r="I1020" s="65" t="n"/>
      <c r="J1020" s="62">
        <f>H1020*(1-$I$4)</f>
        <v/>
      </c>
      <c r="K1020" s="63">
        <f>G1020*J1020</f>
        <v/>
      </c>
      <c r="L1020" s="33" t="inlineStr">
        <is>
          <t>空调风口</t>
        </is>
      </c>
      <c r="M1020" s="64" t="n"/>
      <c r="O1020" t="n">
        <v>30</v>
      </c>
      <c r="P1020" s="35" t="inlineStr">
        <is>
          <t>差:-79.74元 (-72.7%) 来源:售楼处</t>
        </is>
      </c>
      <c r="Q1020" s="35" t="n"/>
      <c r="R1020" s="35" t="n"/>
    </row>
    <row r="1021" outlineLevel="2" ht="72" customFormat="1" customHeight="1" s="39">
      <c r="A1021" s="37">
        <f>1+N(A1020)</f>
        <v/>
      </c>
      <c r="B1021" s="27" t="inlineStr">
        <is>
          <t>灯槽（100mm*200mm）</t>
        </is>
      </c>
      <c r="C1021" s="27" t="inlineStr">
        <is>
          <t>1.灯槽（100mm*200mm）；
2.双层板：9mm玻镁板、9.5厚石膏板；
3.包含完成该项内容所有工作及费用并满足设计图纸、规范等要求；</t>
        </is>
      </c>
      <c r="D1021" s="27" t="inlineStr">
        <is>
          <t>自现有现场条件下按照合同约定范围、图纸（含设计变更）及甲方要求内容以及规范、标准、相关做法等要求完成并达到总包合同全部目标的全部工作内容。</t>
        </is>
      </c>
      <c r="E1021" s="27" t="inlineStr">
        <is>
          <t>依据经承包人确认的施工部位,按设计图示尺寸以延长米计算。</t>
        </is>
      </c>
      <c r="F1021" s="28" t="inlineStr">
        <is>
          <t>m</t>
        </is>
      </c>
      <c r="G1021" s="61" t="n">
        <v>12.81</v>
      </c>
      <c r="H1021" s="62" t="n">
        <v>112.159</v>
      </c>
      <c r="I1021" s="65" t="n"/>
      <c r="J1021" s="62">
        <f>H1021*(1-$I$4)</f>
        <v/>
      </c>
      <c r="K1021" s="63">
        <f>G1021*J1021</f>
        <v/>
      </c>
      <c r="L1021" s="33" t="inlineStr">
        <is>
          <t>/</t>
        </is>
      </c>
      <c r="M1021" s="64" t="n"/>
      <c r="O1021" t="n">
        <v>50</v>
      </c>
      <c r="P1021" s="35" t="inlineStr">
        <is>
          <t>差:-62.16元 (-55.4%) 来源:售楼处</t>
        </is>
      </c>
      <c r="Q1021" s="35" t="n"/>
      <c r="R1021" s="35" t="n"/>
    </row>
    <row r="1022" outlineLevel="2" ht="72" customFormat="1" customHeight="1" s="39">
      <c r="A1022" s="37">
        <f>1+N(A1021)</f>
        <v/>
      </c>
      <c r="B1022" s="27" t="inlineStr">
        <is>
          <t>窗帘盒（120mm*200mm）</t>
        </is>
      </c>
      <c r="C1022" s="27" t="inlineStr">
        <is>
          <t>1.窗帘盒窗帘盒（120mm*200mm）；
2.双层板：9mm玻镁板、9.5厚石膏板；
3.50系列轻钢龙骨及其连接件、吊件；
4.包含完成该项内容所有工作及费用并满足设计图纸、规范等要求；</t>
        </is>
      </c>
      <c r="D1022" s="27" t="inlineStr">
        <is>
          <t>自现有现场条件下按照合同约定范围、图纸（含设计变更）及甲方要求内容以及规范、标准、相关做法等要求完成并达到总包合同全部目标的全部工作内容。</t>
        </is>
      </c>
      <c r="E1022" s="27" t="inlineStr">
        <is>
          <t>依据经承包人确认的施工部位,按设计图示尺寸以延长米计算。</t>
        </is>
      </c>
      <c r="F1022" s="28" t="inlineStr">
        <is>
          <t>m</t>
        </is>
      </c>
      <c r="G1022" s="61" t="n">
        <v>6.08</v>
      </c>
      <c r="H1022" s="62" t="n">
        <v>123.192</v>
      </c>
      <c r="I1022" s="65" t="n"/>
      <c r="J1022" s="62">
        <f>H1022*(1-$I$4)</f>
        <v/>
      </c>
      <c r="K1022" s="63">
        <f>G1022*J1022</f>
        <v/>
      </c>
      <c r="L1022" s="33" t="inlineStr">
        <is>
          <t>/</t>
        </is>
      </c>
      <c r="M1022" s="64" t="n"/>
      <c r="O1022" t="n">
        <v>55</v>
      </c>
      <c r="P1022" s="35" t="inlineStr">
        <is>
          <t>差:-68.19元 (-55.4%) 来源:会所合并</t>
        </is>
      </c>
      <c r="Q1022" s="35" t="n"/>
      <c r="R1022" s="35" t="n"/>
    </row>
    <row r="1023" outlineLevel="2" ht="192" customFormat="1" customHeight="1" s="39">
      <c r="A1023" s="37">
        <f>1+N(A1022)</f>
        <v/>
      </c>
      <c r="B1023" s="27" t="inlineStr">
        <is>
          <t>天花肌理无机涂料PT-01</t>
        </is>
      </c>
      <c r="C1023" s="27" t="inlineStr">
        <is>
          <t>1.天花肌理无机涂料PT-01；
2.刮腻子二遍磨平；
3.底漆1遍，面漆2遍；
4.包含完成该项内容所有工作及费用并满足设计图纸、规范等要求；</t>
        </is>
      </c>
      <c r="D1023" s="27" t="inlineStr">
        <is>
          <t>包括但不限于材料计划、采购、卸车倒运、保管、检验试验费、测量放线，包含四周阴角找平直、含天棚四周阴角找平直，打磨，简易脚手架搭拆及操作平台、升降机，基层清理、打磨平整、底层找补、满刮涂料（含阴阳角塑料条）、涂料打磨、补遗处理、配合其他分包施工、完工后场清、成品保护、保修等直到达到竣工交付标准的全部工作内容。包括所有为完成工作所需的小型机具；包括所有为完成工作所需的附属工作；包括但不限于以上内容。</t>
        </is>
      </c>
      <c r="E1023" s="27" t="inlineStr">
        <is>
          <t>执行《GB/T50854-2024房屋建筑与装饰工程工程量计算标准》，按设计图示尺寸以面积计算。扣除0.3平方米以上洞口的面积；梁侧面及檐口天棚并入天棚计算；以设计图纸和技术交底为基础</t>
        </is>
      </c>
      <c r="F1023" s="28" t="inlineStr">
        <is>
          <t>m2</t>
        </is>
      </c>
      <c r="G1023" s="61" t="n">
        <v>91.67</v>
      </c>
      <c r="H1023" s="62" t="n">
        <v>48.38</v>
      </c>
      <c r="I1023" s="65" t="n"/>
      <c r="J1023" s="62">
        <f>H1023*(1-$I$4)</f>
        <v/>
      </c>
      <c r="K1023" s="63">
        <f>G1023*J1023</f>
        <v/>
      </c>
      <c r="L1023" s="33" t="inlineStr">
        <is>
          <t>涂料</t>
        </is>
      </c>
      <c r="M1023" s="64" t="n"/>
      <c r="O1023" t="n">
        <v>45</v>
      </c>
      <c r="P1023" s="35" t="inlineStr">
        <is>
          <t>差:-3.38元 (-7.0%) 来源:售楼处</t>
        </is>
      </c>
      <c r="Q1023" s="35" t="n"/>
      <c r="R1023" s="35" t="n"/>
    </row>
    <row r="1024" outlineLevel="2" ht="204" customFormat="1" customHeight="1" s="39">
      <c r="A1024" s="37">
        <f>1+N(A1023)</f>
        <v/>
      </c>
      <c r="B1024" s="27" t="inlineStr">
        <is>
          <t>天花内部喷白涂料</t>
        </is>
      </c>
      <c r="C1024" s="27" t="inlineStr">
        <is>
          <t>1.天花内部喷白涂料；
2.可拆卸天花内部构件、管道、楼板喷白处理；
3.底漆1遍，面漆1遍（按天棚投影面积计算）；
4.包含完成该项内容所有工作及费用并满足设计图纸、规范等要求；</t>
        </is>
      </c>
      <c r="D1024" s="27" t="inlineStr">
        <is>
          <t>1.基层清理。
2.弹线定位、排版。
3.吊杆及连接件制作、安装、调平。
4.材料切割处理找平、铝条板安装及调整，打胶密封与清理。
5.收口及其他处理：侧封板、检修口等制作安装、收边收口、配合预留安装、机电等专业孔洞及孔洞收口处理。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1024" s="27" t="inlineStr">
        <is>
          <t>按设计图示尺寸以水平投影面积计算。不扣除间壁墙、检查口、附墙烟囱、柱垛和管道所占面积,扣除单个&gt;0.3m2的孔洞、非密拼吊顶空隙所占的面积、独立柱及与天棚相连的窗帘盒所占的面积。</t>
        </is>
      </c>
      <c r="F1024" s="28" t="inlineStr">
        <is>
          <t>m2</t>
        </is>
      </c>
      <c r="G1024" s="61" t="n">
        <v>22.22</v>
      </c>
      <c r="H1024" s="62" t="n">
        <v>28.32</v>
      </c>
      <c r="I1024" s="65" t="n"/>
      <c r="J1024" s="62">
        <f>H1024*(1-$I$4)</f>
        <v/>
      </c>
      <c r="K1024" s="63">
        <f>G1024*J1024</f>
        <v/>
      </c>
      <c r="L1024" s="33" t="inlineStr">
        <is>
          <t>涂料</t>
        </is>
      </c>
      <c r="M1024" s="64" t="n"/>
      <c r="O1024" t="n">
        <v>12</v>
      </c>
      <c r="P1024" s="35" t="inlineStr">
        <is>
          <t>差:-16.32元 (-57.6%) 来源:售楼处</t>
        </is>
      </c>
      <c r="Q1024" s="35" t="n"/>
      <c r="R1024" s="35" t="n"/>
    </row>
    <row r="1025" outlineLevel="1" customFormat="1" s="39">
      <c r="A1025" s="36" t="n"/>
      <c r="B1025" s="27" t="inlineStr">
        <is>
          <t>门窗、家具工程</t>
        </is>
      </c>
      <c r="C1025" s="27" t="n"/>
      <c r="D1025" s="27" t="n"/>
      <c r="E1025" s="27" t="n"/>
      <c r="F1025" s="28" t="n"/>
      <c r="G1025" s="61" t="n"/>
      <c r="H1025" s="62" t="n"/>
      <c r="I1025" s="65" t="n"/>
      <c r="J1025" s="62" t="n"/>
      <c r="K1025" s="63" t="n"/>
      <c r="L1025" s="33" t="n"/>
      <c r="M1025" s="64" t="n"/>
      <c r="P1025" s="35" t="n"/>
      <c r="Q1025" s="35" t="n"/>
      <c r="R1025" s="35" t="n"/>
    </row>
    <row r="1026" outlineLevel="2" ht="84" customFormat="1" customHeight="1" s="39">
      <c r="A1026" s="37">
        <f>1+N(A1025)</f>
        <v/>
      </c>
      <c r="B1026" s="27" t="inlineStr">
        <is>
          <t>木饰面平开门</t>
        </is>
      </c>
      <c r="C1026" s="27" t="inlineStr">
        <is>
          <t>1、门扇：WD-01木饰面、20*40mm热镀锌矩管、9mm厚玻镁板基层
2、门套：WD-01木饰面
3、定制成品套装门制安
4、含暗合页、门把手等五金配件
5、包含完成该项内容所有工作及费用并满足设计图纸、规范等要求</t>
        </is>
      </c>
      <c r="D1026" s="27" t="inlineStr">
        <is>
          <t>自现有现场条件下按照合同约定范围、图纸（含设计变更）及甲方要求内容以及规范、标准、相关做法等要求完成并达到总包合同全部目标的全部工作内容。</t>
        </is>
      </c>
      <c r="E1026" s="27" t="inlineStr">
        <is>
          <t>以最终验收合格的工程量计算</t>
        </is>
      </c>
      <c r="F1026" s="28" t="inlineStr">
        <is>
          <t>m2</t>
        </is>
      </c>
      <c r="G1026" s="61" t="n">
        <v>2.55</v>
      </c>
      <c r="H1026" s="62" t="n">
        <v>2447.18117647059</v>
      </c>
      <c r="I1026" s="65" t="n"/>
      <c r="J1026" s="62">
        <f>H1026*(1-$I$4)</f>
        <v/>
      </c>
      <c r="K1026" s="63">
        <f>G1026*J1026</f>
        <v/>
      </c>
      <c r="L1026" s="33" t="inlineStr">
        <is>
          <t>/</t>
        </is>
      </c>
      <c r="M1026" s="64" t="n"/>
      <c r="O1026" t="n">
        <v>145</v>
      </c>
      <c r="P1026" s="35" t="inlineStr">
        <is>
          <t>差:-2302.18元 (-94.1%) 来源:会所合并</t>
        </is>
      </c>
      <c r="Q1026" s="35" t="n"/>
      <c r="R1026" s="35" t="n"/>
    </row>
    <row r="1027" outlineLevel="2" ht="72" customFormat="1" customHeight="1" s="39">
      <c r="A1027" s="37">
        <f>1+N(A1026)</f>
        <v/>
      </c>
      <c r="B1027" s="27" t="inlineStr">
        <is>
          <t>消防栓暗门(不含面层)</t>
        </is>
      </c>
      <c r="C1027" s="27" t="inlineStr">
        <is>
          <t>1、40x40x5mm热镀锌方管骨架、背封铝塑板
2、含天地轴、门吸等五金配件
3、包含完成该项内容所有工作及费用并满足设计图纸、规范等要求</t>
        </is>
      </c>
      <c r="D1027" s="27" t="inlineStr">
        <is>
          <t>自现有现场条件下按照合同约定范围、图纸（含设计变更）及甲方要求内容以及规范、标准、相关做法等要求完成并达到总包合同全部目标的全部工作内容。</t>
        </is>
      </c>
      <c r="E1027" s="27" t="inlineStr">
        <is>
          <t>以最终验收合格的工程量计算</t>
        </is>
      </c>
      <c r="F1027" s="28" t="inlineStr">
        <is>
          <t>m2</t>
        </is>
      </c>
      <c r="G1027" s="61" t="n">
        <v>5.44</v>
      </c>
      <c r="H1027" s="62" t="n">
        <v>962.6833333333331</v>
      </c>
      <c r="I1027" s="65" t="n"/>
      <c r="J1027" s="62">
        <f>H1027*(1-$I$4)</f>
        <v/>
      </c>
      <c r="K1027" s="63">
        <f>G1027*J1027</f>
        <v/>
      </c>
      <c r="L1027" s="33" t="inlineStr">
        <is>
          <t>/</t>
        </is>
      </c>
      <c r="M1027" s="64" t="n"/>
      <c r="O1027" t="n">
        <v>165</v>
      </c>
      <c r="P1027" s="35" t="inlineStr">
        <is>
          <t>差:-797.68元 (-82.9%) 来源:售楼处</t>
        </is>
      </c>
      <c r="Q1027" s="35" t="n"/>
      <c r="R1027" s="35" t="n"/>
    </row>
    <row r="1028" outlineLevel="2" ht="96" customFormat="1" customHeight="1" s="39">
      <c r="A1028" s="37">
        <f>1+N(A1027)</f>
        <v/>
      </c>
      <c r="B1028" s="27" t="inlineStr">
        <is>
          <t>装饰屏风（800mm*100mm*3400mm）</t>
        </is>
      </c>
      <c r="C1028" s="27" t="inlineStr">
        <is>
          <t>1.装饰屏风（800mm*100mm*3400mm）；
2.包括但不限于制作安装、钢结构骨架、阻燃板基层、WD-02木饰面、1.2mm厚 MT-01古铜不锈钢、MT-04手敲铜不锈钢；
3.包含完成该项内容所有工作及费用并满足设计图纸、规范等要求</t>
        </is>
      </c>
      <c r="D1028" s="27" t="inlineStr">
        <is>
          <t>自现有现场条件下按照合同约定范围、图纸（含设计变更）及甲方要求内容以及规范、标准、相关做法等要求完成并达到总包合同全部目标的全部工作内容。</t>
        </is>
      </c>
      <c r="E1028" s="27" t="inlineStr">
        <is>
          <t>以最终验收合格的工程量计算</t>
        </is>
      </c>
      <c r="F1028" s="28" t="inlineStr">
        <is>
          <t>m2</t>
        </is>
      </c>
      <c r="G1028" s="61" t="n">
        <v>8.16</v>
      </c>
      <c r="H1028" s="62" t="n">
        <v>3211.488</v>
      </c>
      <c r="I1028" s="65" t="n"/>
      <c r="J1028" s="62">
        <f>H1028*(1-$I$4)</f>
        <v/>
      </c>
      <c r="K1028" s="63">
        <f>G1028*J1028</f>
        <v/>
      </c>
      <c r="L1028" s="33" t="inlineStr">
        <is>
          <t>/</t>
        </is>
      </c>
      <c r="M1028" s="64" t="n"/>
      <c r="O1028" t="n">
        <v>55</v>
      </c>
      <c r="P1028" s="35" t="inlineStr">
        <is>
          <t>差:-3156.49元 (-98.3%) 来源:会所合并</t>
        </is>
      </c>
      <c r="Q1028" s="35" t="n"/>
      <c r="R1028" s="35" t="n"/>
    </row>
    <row r="1029" outlineLevel="2" ht="96" customFormat="1" customHeight="1" s="39">
      <c r="A1029" s="37">
        <f>1+N(A1028)</f>
        <v/>
      </c>
      <c r="B1029" s="27" t="inlineStr">
        <is>
          <t>装饰屏风（1810mm*100mm*3400mm）</t>
        </is>
      </c>
      <c r="C1029" s="27" t="inlineStr">
        <is>
          <t>1.装饰屏风（1810mm*100mm*3400mm）；
2.包括但不限于制作安装、钢结构骨架、阻燃板基层、WD-01木饰面、WD-06木皮、1.2mm厚 MT-01古铜不锈钢、MT-04手敲铜不锈钢；
3.包含完成该项内容所有工作及费用并满足设计图纸、规范等要求</t>
        </is>
      </c>
      <c r="D1029" s="27" t="inlineStr">
        <is>
          <t>自现有现场条件下按照合同约定范围、图纸（含设计变更）及甲方要求内容以及规范、标准、相关做法等要求完成并达到总包合同全部目标的全部工作内容。</t>
        </is>
      </c>
      <c r="E1029" s="27" t="inlineStr">
        <is>
          <t>以最终验收合格的工程量计算</t>
        </is>
      </c>
      <c r="F1029" s="28" t="inlineStr">
        <is>
          <t>m2</t>
        </is>
      </c>
      <c r="G1029" s="61" t="n">
        <v>6.16</v>
      </c>
      <c r="H1029" s="62" t="n">
        <v>5005.2886</v>
      </c>
      <c r="I1029" s="65" t="n"/>
      <c r="J1029" s="62">
        <f>H1029*(1-$I$4)</f>
        <v/>
      </c>
      <c r="K1029" s="63">
        <f>G1029*J1029</f>
        <v/>
      </c>
      <c r="L1029" s="33" t="inlineStr">
        <is>
          <t>/</t>
        </is>
      </c>
      <c r="M1029" s="64" t="n"/>
      <c r="O1029" t="n">
        <v>55</v>
      </c>
      <c r="P1029" s="35" t="inlineStr">
        <is>
          <t>差:-4950.29元 (-98.9%) 来源:售楼处</t>
        </is>
      </c>
      <c r="Q1029" s="35" t="n"/>
      <c r="R1029" s="35" t="n"/>
    </row>
    <row r="1030" outlineLevel="2" ht="96" customFormat="1" customHeight="1" s="39">
      <c r="A1030" s="37">
        <f>1+N(A1029)</f>
        <v/>
      </c>
      <c r="B1030" s="27" t="inlineStr">
        <is>
          <t>水吧柜</t>
        </is>
      </c>
      <c r="C1030" s="27" t="inlineStr">
        <is>
          <t>1、水吧柜（Lmm*800mm*900mm）
2.包括但不限于制作安装、钢结构骨架、石材及石材防污处理、阻燃板基层、ST-04石材台面、WD-03木饰面；
3.含合页等五金配件、相应的线孔洞开设
4.包含完成该项内容所有工作及费用并满足设计图纸、规范等要求</t>
        </is>
      </c>
      <c r="D1030" s="27" t="inlineStr">
        <is>
          <t>自现有现场条件下按照合同约定范围、图纸（含设计变更）及甲方要求内容以及规范、标准、相关做法等要求完成并达到总包合同全部目标的全部工作内容。</t>
        </is>
      </c>
      <c r="E1030" s="27" t="inlineStr">
        <is>
          <t>以最终验收合格的工程量计算</t>
        </is>
      </c>
      <c r="F1030" s="28" t="inlineStr">
        <is>
          <t>m</t>
        </is>
      </c>
      <c r="G1030" s="61" t="n">
        <v>2.16</v>
      </c>
      <c r="H1030" s="62" t="n">
        <v>5402.89484444444</v>
      </c>
      <c r="I1030" s="65" t="n"/>
      <c r="J1030" s="62">
        <f>H1030*(1-$I$4)</f>
        <v/>
      </c>
      <c r="K1030" s="63">
        <f>G1030*J1030</f>
        <v/>
      </c>
      <c r="L1030" s="33" t="inlineStr">
        <is>
          <t>/</t>
        </is>
      </c>
      <c r="M1030" s="64" t="n"/>
      <c r="O1030" t="n">
        <v>85</v>
      </c>
      <c r="P1030" s="35" t="inlineStr">
        <is>
          <t>差:-5317.89元 (-98.4%) 来源:会所合并</t>
        </is>
      </c>
      <c r="Q1030" s="35" t="n"/>
      <c r="R1030" s="35" t="n"/>
    </row>
    <row r="1031" outlineLevel="2" ht="72" customFormat="1" customHeight="1" s="39">
      <c r="A1031" s="37">
        <f>1+N(A1030)</f>
        <v/>
      </c>
      <c r="B1031" s="27" t="inlineStr">
        <is>
          <t>水吧收纳柜</t>
        </is>
      </c>
      <c r="C1031" s="27" t="inlineStr">
        <is>
          <t>1、收纳柜（940mm*800mm*2600mm）
2.包括但不限于制作安装、阻燃板基层、WD-03木饰面
3.含五金配件等
4.包含完成该项内容所有工作及费用并满足设计图纸、规范等要求</t>
        </is>
      </c>
      <c r="D1031" s="27" t="inlineStr">
        <is>
          <t>自现有现场条件下按照合同约定范围、图纸（含设计变更）及甲方要求内容以及规范、标准、相关做法等要求完成并达到总包合同全部目标的全部工作内容。</t>
        </is>
      </c>
      <c r="E1031" s="27" t="inlineStr">
        <is>
          <t>以最终验收合格的工程量计算</t>
        </is>
      </c>
      <c r="F1031" s="28" t="inlineStr">
        <is>
          <t>m2</t>
        </is>
      </c>
      <c r="G1031" s="61" t="n">
        <v>2.45</v>
      </c>
      <c r="H1031" s="62" t="n">
        <v>3288.896</v>
      </c>
      <c r="I1031" s="65" t="n"/>
      <c r="J1031" s="62">
        <f>H1031*(1-$I$4)</f>
        <v/>
      </c>
      <c r="K1031" s="63">
        <f>G1031*J1031</f>
        <v/>
      </c>
      <c r="L1031" s="33" t="inlineStr">
        <is>
          <t>/</t>
        </is>
      </c>
      <c r="M1031" s="64" t="n"/>
      <c r="O1031" t="n">
        <v>35</v>
      </c>
      <c r="P1031" s="35" t="inlineStr">
        <is>
          <t>差:-3253.90元 (-98.9%) 来源:会所合并</t>
        </is>
      </c>
      <c r="Q1031" s="35" t="n"/>
      <c r="R1031" s="35" t="n"/>
    </row>
    <row r="1032" outlineLevel="1" customFormat="1" s="39">
      <c r="A1032" s="26" t="inlineStr">
        <is>
          <t>六</t>
        </is>
      </c>
      <c r="B1032" s="27" t="inlineStr">
        <is>
          <t>零星工程</t>
        </is>
      </c>
      <c r="C1032" s="27" t="n"/>
      <c r="D1032" s="27" t="n"/>
      <c r="E1032" s="27" t="n"/>
      <c r="F1032" s="28" t="n"/>
      <c r="G1032" s="61" t="n"/>
      <c r="H1032" s="62" t="n"/>
      <c r="I1032" s="65" t="n"/>
      <c r="J1032" s="62" t="n"/>
      <c r="K1032" s="63" t="n"/>
      <c r="L1032" s="33" t="n"/>
      <c r="M1032" s="64" t="n"/>
      <c r="P1032" s="35" t="n"/>
      <c r="Q1032" s="35" t="n"/>
      <c r="R1032" s="35" t="n"/>
    </row>
    <row r="1033" outlineLevel="1" customFormat="1" s="39">
      <c r="A1033" s="36" t="n"/>
      <c r="B1033" s="27" t="inlineStr">
        <is>
          <t>土建工程</t>
        </is>
      </c>
      <c r="C1033" s="27" t="n"/>
      <c r="D1033" s="27" t="n"/>
      <c r="E1033" s="27" t="n"/>
      <c r="F1033" s="28" t="n"/>
      <c r="G1033" s="61" t="n"/>
      <c r="H1033" s="62" t="n"/>
      <c r="I1033" s="65" t="n"/>
      <c r="J1033" s="62" t="n"/>
      <c r="K1033" s="63" t="n"/>
      <c r="L1033" s="33" t="n"/>
      <c r="M1033" s="64" t="n"/>
      <c r="P1033" s="35" t="n"/>
      <c r="Q1033" s="35" t="n"/>
      <c r="R1033" s="35" t="n"/>
    </row>
    <row r="1034" outlineLevel="2" ht="168" customFormat="1" customHeight="1" s="39">
      <c r="A1034" s="37">
        <f>1+N(A1033)</f>
        <v/>
      </c>
      <c r="B1034" s="27" t="inlineStr">
        <is>
          <t>新建轻质砖隔墙</t>
        </is>
      </c>
      <c r="C1034" s="27" t="inlineStr">
        <is>
          <t>1、新建轻质砖隔墙
2、砂浆强度等级、配合比综合考虑，符合设计要求
3、墙厚：综合考虑
4、具体施工做法详见国家相关规范条文
5、包含完成该项内容所有工作及费用并满足设计图纸、规范等要求</t>
        </is>
      </c>
      <c r="D1034" s="27" t="inlineStr">
        <is>
          <t>1.材料配合卸车倒运、保管，砂浆制作及倒运。
2.基层处理、弹线、立杆、砌筑施工、勾缝、墙拉筋制作安装（包括植筋或膨胀螺栓焊接钢板等连接形式）、斜砌砖塞缝、射钉块安装。
3.构造柱、圈梁、压顶等钢筋制作与安装，模板支拆，混凝土浇筑、养护。
4.砌筑、浇筑用脚手架及操作平台的搭拆。
5.成品保护、垃圾清理运至指定地点等全部工作内容。</t>
        </is>
      </c>
      <c r="E1034" s="27" t="inlineStr">
        <is>
          <t>按设计图示尺寸以体积计算；扣除门窗洞口及凹进墙内的壁龛、管槽、暖气槽、消火栓箱所占体积，不扣除单个面积≤0.3㎡的孔洞及墙内檩头、垫木、木楞头、沿缘木、木砖、门窗走头、加固钢筋、木筋、铁件、管道所占的体积；凸出墙面的墙垛及圈梁、构造柱、过梁、压顶、反坎等体积并入计算；砌体钢筋制作安装，构造柱、圈过梁等钢筋制作安装、混凝土浇筑、模板搭拆、脚手架及操作平台搭拆不单独计算。</t>
        </is>
      </c>
      <c r="F1034" s="28" t="inlineStr">
        <is>
          <t>m3</t>
        </is>
      </c>
      <c r="G1034" s="61" t="n">
        <v>13.23</v>
      </c>
      <c r="H1034" s="62" t="n">
        <v>383.5</v>
      </c>
      <c r="I1034" s="65" t="n"/>
      <c r="J1034" s="62">
        <f>H1034*(1-$I$4)</f>
        <v/>
      </c>
      <c r="K1034" s="63">
        <f>G1034*J1034</f>
        <v/>
      </c>
      <c r="L1034" s="33" t="inlineStr">
        <is>
          <t>砖</t>
        </is>
      </c>
      <c r="M1034" s="64" t="n"/>
      <c r="O1034" t="n">
        <v>275</v>
      </c>
      <c r="P1034" s="35" t="inlineStr">
        <is>
          <t>差:-108.50元 (-28.3%) 来源:售楼处</t>
        </is>
      </c>
      <c r="Q1034" s="35" t="n"/>
      <c r="R1034" s="35" t="n"/>
    </row>
    <row r="1035" outlineLevel="2" ht="204" customFormat="1" customHeight="1" s="39">
      <c r="A1035" s="37">
        <f>1+N(A1034)</f>
        <v/>
      </c>
      <c r="B1035" s="27" t="inlineStr">
        <is>
          <t>墙面一般抹灰</t>
        </is>
      </c>
      <c r="C1035" s="27" t="inlineStr">
        <is>
          <t>1、墙面一般抹灰
2、具体施工做法详见国家相关规范条文
3、包含完成该项内容所有工作及费用并满足设计图纸、规范等要求</t>
        </is>
      </c>
      <c r="D1035" s="27" t="inlineStr">
        <is>
          <t>1.材料场内倒运、清理、修补、湿润基层表面、铺网格布或钢丝网（综合考虑不同墙界面交接处、管线开槽处的局部挂钢丝网以及公区人流通道等砌体墙满挂钢丝网）、调运砂浆、清扫落地灰，简易脚手架及操作平台搭拆。
2.基层处理，贴饼冲筋、拍浆/刷浆、局部找平、抹灰找平、洒水湿润、罩面压光。
3.所有门窗洞口、箱、盒、管线、踢脚线等部位的二次收口工作、嵌缝修补、檐口等滴水线条抹灰塞缝收边。
4.完工清理，养护、成品保护、保修等全部工作内容。</t>
        </is>
      </c>
      <c r="E1035" s="27" t="inlineStr">
        <is>
          <t>1.按设计图示尺寸以面积计算。扣除墙裙、门窗洞口及单个＞0.3 m2的孔洞面积，不扣除踢脚线、挂镜线和墙与构件交接处的面积，附墙柱、梁、垛、烟囱侧壁并入相应的墙面面积内。
2.门窗洞口和孔洞侧面、顶面和底面不计算面积。
3.不因地面、墙面工施工工序调整而调整计算规则。</t>
        </is>
      </c>
      <c r="F1035" s="28" t="inlineStr">
        <is>
          <t>m2</t>
        </is>
      </c>
      <c r="G1035" s="61" t="n">
        <v>144.25</v>
      </c>
      <c r="H1035" s="62" t="n">
        <v>51.825895</v>
      </c>
      <c r="I1035" s="65" t="n"/>
      <c r="J1035" s="62">
        <f>H1035*(1-$I$4)</f>
        <v/>
      </c>
      <c r="K1035" s="63">
        <f>G1035*J1035</f>
        <v/>
      </c>
      <c r="L1035" s="33" t="inlineStr">
        <is>
          <t>/</t>
        </is>
      </c>
      <c r="M1035" s="64" t="n"/>
      <c r="O1035" t="n">
        <v>22</v>
      </c>
      <c r="P1035" s="35" t="inlineStr">
        <is>
          <t>差:-29.83元 (-57.6%) 来源:售楼处</t>
        </is>
      </c>
      <c r="Q1035" s="35" t="n"/>
      <c r="R1035" s="35" t="n"/>
    </row>
    <row r="1036" outlineLevel="2" ht="144" customFormat="1" customHeight="1" s="39">
      <c r="A1036" s="37">
        <f>1+N(A1035)</f>
        <v/>
      </c>
      <c r="B1036" s="27" t="inlineStr">
        <is>
          <t>新建钢结构隔墙</t>
        </is>
      </c>
      <c r="C1036" s="27" t="inlineStr">
        <is>
          <t>1、新建钢结构隔墙
2、8#热镀锌竖向槽钢龙骨间距小于0.9米，并要求至结构楼板底生根固定，横向5#角钢龙骨，间距根据砖面尺寸排列，所有的钢骨架均需做防锈处理
3、具体施工做法详见国家相关规范条文
4、包含完成该项内容所有工作及费用并满足设计图纸、规范等要求</t>
        </is>
      </c>
      <c r="D1036"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036" s="27" t="inlineStr">
        <is>
          <t>执行《GB/T50854-2024房屋建筑与装饰工程工程量计算标准》，按设计图示框外围尺寸以面积计算。不扣除单个面积≤0.3㎡的孔洞所占面积；</t>
        </is>
      </c>
      <c r="F1036" s="28" t="inlineStr">
        <is>
          <t>m2</t>
        </is>
      </c>
      <c r="G1036" s="61" t="n">
        <v>316.98</v>
      </c>
      <c r="H1036" s="62" t="n">
        <v>205.025</v>
      </c>
      <c r="I1036" s="65" t="n"/>
      <c r="J1036" s="62">
        <f>H1036*(1-$I$4)</f>
        <v/>
      </c>
      <c r="K1036" s="63">
        <f>G1036*J1036</f>
        <v/>
      </c>
      <c r="L1036" s="33" t="inlineStr">
        <is>
          <t>/</t>
        </is>
      </c>
      <c r="M1036" s="64" t="n"/>
      <c r="O1036" t="n">
        <v>65</v>
      </c>
      <c r="P1036" s="35" t="inlineStr">
        <is>
          <t>差:-140.03元 (-68.3%) 来源:售楼处</t>
        </is>
      </c>
      <c r="Q1036" s="35" t="n"/>
      <c r="R1036" s="35" t="n"/>
    </row>
    <row r="1037" outlineLevel="2" ht="144" customFormat="1" customHeight="1" s="39">
      <c r="A1037" s="37">
        <f>1+N(A1036)</f>
        <v/>
      </c>
      <c r="B1037" s="27" t="inlineStr">
        <is>
          <t>新建钢架+玻镁板隔墙</t>
        </is>
      </c>
      <c r="C1037" s="27" t="inlineStr">
        <is>
          <t>1、新建钢架+玻镁板隔墙
2、8#热镀锌竖向槽钢龙骨间距小于0.9米，并要求至结构楼板底生根固定，横向5#角钢龙骨，间距根据砖面尺寸排列，所有的钢骨架均需做防锈处理
3、具体施工做法详见国家相关规范条文
4、包含完成该项内容所有工作及费用并满足设计图纸、规范等要求</t>
        </is>
      </c>
      <c r="D1037"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037" s="27" t="inlineStr">
        <is>
          <t>执行《GB/T50854-2024房屋建筑与装饰工程工程量计算标准》，按设计图示框外围尺寸以面积计算。不扣除单个面积≤0.3㎡的孔洞所占面积；</t>
        </is>
      </c>
      <c r="F1037" s="28" t="inlineStr">
        <is>
          <t>m2</t>
        </is>
      </c>
      <c r="G1037" s="61" t="n">
        <v>112.52</v>
      </c>
      <c r="H1037" s="62" t="n">
        <v>290.929</v>
      </c>
      <c r="I1037" s="65" t="n"/>
      <c r="J1037" s="62">
        <f>H1037*(1-$I$4)</f>
        <v/>
      </c>
      <c r="K1037" s="63">
        <f>G1037*J1037</f>
        <v/>
      </c>
      <c r="L1037" s="33" t="inlineStr">
        <is>
          <t>/</t>
        </is>
      </c>
      <c r="M1037" s="64" t="n"/>
      <c r="O1037" t="n">
        <v>105</v>
      </c>
      <c r="P1037" s="35" t="inlineStr">
        <is>
          <t>差:-185.93元 (-63.9%) 来源:会所合并</t>
        </is>
      </c>
      <c r="Q1037" s="35" t="n"/>
      <c r="R1037" s="35" t="n"/>
    </row>
    <row r="1038" customFormat="1" s="4">
      <c r="A1038" s="40" t="n"/>
      <c r="B1038" s="27" t="inlineStr">
        <is>
          <t>合计</t>
        </is>
      </c>
      <c r="C1038" s="27" t="n"/>
      <c r="D1038" s="27" t="n"/>
      <c r="E1038" s="27" t="n"/>
      <c r="F1038" s="28" t="n"/>
      <c r="G1038" s="61" t="n"/>
      <c r="H1038" s="62" t="n"/>
      <c r="I1038" s="65" t="n"/>
      <c r="J1038" s="62" t="n"/>
      <c r="K1038" s="66" t="n"/>
      <c r="L1038" s="33" t="n"/>
      <c r="M1038" s="64" t="n"/>
      <c r="P1038" s="35" t="n"/>
    </row>
    <row r="1039" customFormat="1" s="39">
      <c r="A1039" s="26" t="inlineStr">
        <is>
          <t>A</t>
        </is>
      </c>
      <c r="B1039" s="20" t="inlineStr">
        <is>
          <t>电梯轿厢</t>
        </is>
      </c>
      <c r="C1039" s="27" t="n"/>
      <c r="D1039" s="27" t="n"/>
      <c r="E1039" s="27" t="n"/>
      <c r="F1039" s="28" t="n"/>
      <c r="G1039" s="61" t="n"/>
      <c r="H1039" s="62" t="n"/>
      <c r="I1039" s="65" t="n"/>
      <c r="J1039" s="62" t="n"/>
      <c r="K1039" s="63" t="n"/>
      <c r="L1039" s="33" t="n"/>
      <c r="M1039" s="64" t="n"/>
      <c r="P1039" s="35" t="n"/>
      <c r="Q1039" s="35" t="n"/>
      <c r="R1039" s="35" t="n"/>
    </row>
    <row r="1040" outlineLevel="1" customFormat="1" s="39">
      <c r="A1040" s="36" t="n"/>
      <c r="B1040" s="27" t="inlineStr">
        <is>
          <t>地面工程</t>
        </is>
      </c>
      <c r="C1040" s="27" t="n"/>
      <c r="D1040" s="27" t="n"/>
      <c r="E1040" s="27" t="n"/>
      <c r="F1040" s="28" t="n"/>
      <c r="G1040" s="61" t="n"/>
      <c r="H1040" s="62" t="n"/>
      <c r="I1040" s="65" t="n"/>
      <c r="J1040" s="62" t="n"/>
      <c r="K1040" s="63" t="n"/>
      <c r="L1040" s="33" t="n"/>
      <c r="M1040" s="64" t="n"/>
      <c r="P1040" s="35" t="n"/>
      <c r="Q1040" s="35" t="n"/>
      <c r="R1040" s="35" t="n"/>
    </row>
    <row r="1041" outlineLevel="2" ht="108" customFormat="1" customHeight="1" s="39">
      <c r="A1041" s="37">
        <f>1+N(A1040)</f>
        <v/>
      </c>
      <c r="B1041" s="27" t="inlineStr">
        <is>
          <t>地面铺贴大理石ST-01</t>
        </is>
      </c>
      <c r="C1041" s="27" t="inlineStr">
        <is>
          <t>1.地面20mm大理石ST-01、铺贴、厚度及样式按物料书为准；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1041"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041" s="27" t="inlineStr">
        <is>
          <t xml:space="preserve">执行《GB/T50854-2024房屋建筑与装饰工程工程量计算标准》，按设计图示尺寸
以面积计算。 </t>
        </is>
      </c>
      <c r="F1041" s="28" t="inlineStr">
        <is>
          <t>m2</t>
        </is>
      </c>
      <c r="G1041" s="61" t="n">
        <v>9.35</v>
      </c>
      <c r="H1041" s="62" t="n">
        <v>218.75017</v>
      </c>
      <c r="I1041" s="65" t="n"/>
      <c r="J1041" s="62">
        <f>H1041*(1-$I$4)</f>
        <v/>
      </c>
      <c r="K1041" s="63">
        <f>G1041*J1041</f>
        <v/>
      </c>
      <c r="L1041" s="33" t="inlineStr">
        <is>
          <t>石材</t>
        </is>
      </c>
      <c r="M1041" s="64" t="n"/>
      <c r="O1041" t="n">
        <v>130</v>
      </c>
      <c r="P1041" s="35" t="inlineStr">
        <is>
          <t>差:-88.75元 (-40.6%) 来源:售楼处</t>
        </is>
      </c>
      <c r="Q1041" s="35" t="n"/>
      <c r="R1041" s="35" t="n"/>
    </row>
    <row r="1042" outlineLevel="2" ht="108" customFormat="1" customHeight="1" s="39">
      <c r="A1042" s="37">
        <f>1+N(A1041)</f>
        <v/>
      </c>
      <c r="B1042" s="27" t="inlineStr">
        <is>
          <t>地面石材晶面处理</t>
        </is>
      </c>
      <c r="C1042" s="27" t="inlineStr">
        <is>
          <t>1.石材结晶处理(结晶水及石材保养剂,中性清洁剂)；
2.包含完成该项内容所有工作及费用并满足设计图纸、规范等要求；</t>
        </is>
      </c>
      <c r="D1042"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042" s="27" t="inlineStr">
        <is>
          <t xml:space="preserve">执行《GB/T50854-2024房屋建筑与装饰工程工程量计算标准》，按设计图示尺寸
以面积计算。 </t>
        </is>
      </c>
      <c r="F1042" s="28" t="inlineStr">
        <is>
          <t>m2</t>
        </is>
      </c>
      <c r="G1042" s="61" t="n">
        <v>9.35</v>
      </c>
      <c r="H1042" s="62" t="n">
        <v>64.90000000000001</v>
      </c>
      <c r="I1042" s="65" t="n"/>
      <c r="J1042" s="62">
        <f>H1042*(1-$I$4)</f>
        <v/>
      </c>
      <c r="K1042" s="63">
        <f>G1042*J1042</f>
        <v/>
      </c>
      <c r="L1042" s="33" t="inlineStr">
        <is>
          <t>/</t>
        </is>
      </c>
      <c r="M1042" s="64" t="n"/>
      <c r="O1042" t="n">
        <v>40</v>
      </c>
      <c r="P1042" s="35" t="inlineStr">
        <is>
          <t>差:-24.90元 (-38.4%) 来源:售楼处</t>
        </is>
      </c>
      <c r="Q1042" s="35" t="n"/>
      <c r="R1042" s="35" t="n"/>
    </row>
    <row r="1043" outlineLevel="1" customFormat="1" s="39">
      <c r="A1043" s="36" t="n"/>
      <c r="B1043" s="27" t="inlineStr">
        <is>
          <t>墙面工程</t>
        </is>
      </c>
      <c r="C1043" s="27" t="n"/>
      <c r="D1043" s="27" t="n"/>
      <c r="E1043" s="27" t="n"/>
      <c r="F1043" s="28" t="n"/>
      <c r="G1043" s="61" t="n"/>
      <c r="H1043" s="62" t="n"/>
      <c r="I1043" s="65" t="n"/>
      <c r="J1043" s="62" t="n"/>
      <c r="K1043" s="63" t="n"/>
      <c r="L1043" s="33" t="n"/>
      <c r="M1043" s="64" t="n"/>
      <c r="P1043" s="35" t="n"/>
      <c r="Q1043" s="35" t="n"/>
      <c r="R1043" s="35" t="n"/>
    </row>
    <row r="1044" outlineLevel="2" ht="144" customFormat="1" customHeight="1" s="39">
      <c r="A1044" s="37">
        <f>1+N(A1043)</f>
        <v/>
      </c>
      <c r="B1044" s="27" t="inlineStr">
        <is>
          <t>墙面湿贴石材ST-04</t>
        </is>
      </c>
      <c r="C1044" s="27" t="inlineStr">
        <is>
          <t>1、墙面湿贴石材ST-04
2、8mm厚石材专用胶粘剂WC粘结层
3、界面剂拉毛处理
4、石材的开槽、磨边、倒角、粘接、形成所需之凹坑、抛光、六面防污防渗等一切处理费用均在主材费中考虑，不再另行计取
5、包含完成该项内容所有工作及费用并满足设计图纸、规范等要求</t>
        </is>
      </c>
      <c r="D1044" s="27" t="inlineStr">
        <is>
          <t>具体工作内容除详见项目特征外，且不限于以下内容:1.包含材料的下车、场内运输；2.清理基层、找标高、弹线定位；3.试拼试排；4.砂浆拌和、铺找平层（粘结层）砂浆；5.面层铺设、灌缝、擦缝；6.打蜡、养护；配合留设墙面开关、插座等末端设备等全部内容；包含成品保护、安全文明施工等达到验收合格的全部施工内容。</t>
        </is>
      </c>
      <c r="E1044" s="27" t="inlineStr">
        <is>
          <t>执行《GB/T50854-2024房屋建筑与装饰工程工程量计算标准》，按设计图示镶贴后外围面积计算</t>
        </is>
      </c>
      <c r="F1044" s="28" t="inlineStr">
        <is>
          <t>m2</t>
        </is>
      </c>
      <c r="G1044" s="61" t="n">
        <v>10.96</v>
      </c>
      <c r="H1044" s="62" t="n">
        <v>177</v>
      </c>
      <c r="I1044" s="65" t="n"/>
      <c r="J1044" s="62">
        <f>H1044*(1-$I$4)</f>
        <v/>
      </c>
      <c r="K1044" s="63">
        <f>G1044*J1044</f>
        <v/>
      </c>
      <c r="L1044" s="33" t="inlineStr">
        <is>
          <t>石材</t>
        </is>
      </c>
      <c r="M1044" s="64" t="n"/>
      <c r="O1044" t="n">
        <v>95</v>
      </c>
      <c r="P1044" s="35" t="inlineStr">
        <is>
          <t>差:-82.00元 (-46.3%) 来源:会所合并</t>
        </is>
      </c>
      <c r="Q1044" s="35" t="n"/>
      <c r="R1044" s="35" t="n"/>
    </row>
    <row r="1045" outlineLevel="2" ht="180" customFormat="1" customHeight="1" s="39">
      <c r="A1045" s="37">
        <f>1+N(A1044)</f>
        <v/>
      </c>
      <c r="B1045" s="27" t="inlineStr">
        <is>
          <t>MT-01古铜不锈钢饰面</t>
        </is>
      </c>
      <c r="C1045" s="27" t="inlineStr">
        <is>
          <t>1、1.2mm厚 MT-01古铜不锈钢饰面(结构胶固定)
2、9厘玻镁板基层
3、包含完成该项内容所有工作及费用并满足设计图纸、规范等要求</t>
        </is>
      </c>
      <c r="D1045"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045" s="27" t="inlineStr">
        <is>
          <t>执行《GB/T50854-2024房屋建筑与装饰工程工程量计算标准》，按设计图示饰面外围尺寸
以面积计算。 扣除门窗洞口面积，不扣除单个面积≤0.3㎡的孔洞所占面积。</t>
        </is>
      </c>
      <c r="F1045" s="28" t="inlineStr">
        <is>
          <t>m2</t>
        </is>
      </c>
      <c r="G1045" s="61" t="n">
        <v>12.38</v>
      </c>
      <c r="H1045" s="62" t="n">
        <v>247.8</v>
      </c>
      <c r="I1045" s="65" t="n"/>
      <c r="J1045" s="62">
        <f>H1045*(1-$I$4)</f>
        <v/>
      </c>
      <c r="K1045" s="63">
        <f>G1045*J1045</f>
        <v/>
      </c>
      <c r="L1045" s="33" t="inlineStr">
        <is>
          <t>不锈钢饰面</t>
        </is>
      </c>
      <c r="M1045" s="64" t="n"/>
      <c r="O1045" t="n">
        <v>110</v>
      </c>
      <c r="P1045" s="35" t="inlineStr">
        <is>
          <t>差:-137.80元 (-55.6%) 来源:会所合并</t>
        </is>
      </c>
      <c r="Q1045" s="35" t="n"/>
      <c r="R1045" s="35" t="n"/>
    </row>
    <row r="1046" outlineLevel="2" ht="180" customFormat="1" customHeight="1" s="39">
      <c r="A1046" s="37">
        <f>1+N(A1045)</f>
        <v/>
      </c>
      <c r="B1046" s="27" t="inlineStr">
        <is>
          <t>墙面WD-09摩素板</t>
        </is>
      </c>
      <c r="C1046" s="27" t="inlineStr">
        <is>
          <t>1、墙面WD-09摩素板(结构胶固定)
2、12厘玻镁板基层
3、膨胀螺栓、轻钢龙骨(钢结构)基层找平
4、包含完成该项内容所有工作及费用并满足设计图纸、规范等要求</t>
        </is>
      </c>
      <c r="D1046"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046" s="27" t="inlineStr">
        <is>
          <t>执行《GB/T50854-2024房屋建筑与装饰工程工程量计算标准》，按设计图示饰面外围尺寸以面积计算。 扣除门窗洞口面积，不扣除单个面积≤0.3㎡的孔洞所占面积。</t>
        </is>
      </c>
      <c r="F1046" s="28" t="inlineStr">
        <is>
          <t>m2</t>
        </is>
      </c>
      <c r="G1046" s="61" t="n">
        <v>32.1</v>
      </c>
      <c r="H1046" s="62" t="n">
        <v>186.44</v>
      </c>
      <c r="I1046" s="65" t="n"/>
      <c r="J1046" s="62">
        <f>H1046*(1-$I$4)</f>
        <v/>
      </c>
      <c r="K1046" s="63">
        <f>G1046*J1046</f>
        <v/>
      </c>
      <c r="L1046" s="33" t="inlineStr">
        <is>
          <t>摩素板</t>
        </is>
      </c>
      <c r="M1046" s="64" t="n"/>
      <c r="O1046" t="n">
        <v>35</v>
      </c>
      <c r="P1046" s="35" t="inlineStr">
        <is>
          <t>差:-151.44元 (-81.2%) 来源:会所合并</t>
        </is>
      </c>
      <c r="Q1046" s="35" t="n"/>
      <c r="R1046" s="35" t="n"/>
    </row>
    <row r="1047" outlineLevel="2" ht="144" customFormat="1" customHeight="1" s="39">
      <c r="A1047" s="37">
        <f>1+N(A1046)</f>
        <v/>
      </c>
      <c r="B1047" s="27" t="inlineStr">
        <is>
          <t>MT-01古铜不锈钢踢脚线（高50mm）</t>
        </is>
      </c>
      <c r="C1047" s="27" t="inlineStr">
        <is>
          <t>1、1.2mm厚 MT-01古铜不锈钢踢脚线（高50mm，展开面为67mm），结构胶固定
2、9厘玻镁板基层
3、包含完成该项内容所有工作及费用并满足设计图纸、规范等要求</t>
        </is>
      </c>
      <c r="D1047"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047" s="27" t="inlineStr">
        <is>
          <t>按设计图示尺寸以长度计算。</t>
        </is>
      </c>
      <c r="F1047" s="28" t="inlineStr">
        <is>
          <t>m</t>
        </is>
      </c>
      <c r="G1047" s="61" t="n">
        <v>17.88</v>
      </c>
      <c r="H1047" s="62" t="n">
        <v>31.86</v>
      </c>
      <c r="I1047" s="65" t="n"/>
      <c r="J1047" s="62">
        <f>H1047*(1-$I$4)</f>
        <v/>
      </c>
      <c r="K1047" s="63">
        <f>G1047*J1047</f>
        <v/>
      </c>
      <c r="L1047" s="33" t="inlineStr">
        <is>
          <t>不锈钢踢脚线</t>
        </is>
      </c>
      <c r="M1047" s="64" t="n"/>
      <c r="O1047" t="n">
        <v>12</v>
      </c>
      <c r="P1047" s="35" t="inlineStr">
        <is>
          <t>差:-19.86元 (-62.3%) 来源:会所合并</t>
        </is>
      </c>
      <c r="Q1047" s="35" t="n"/>
      <c r="R1047" s="35" t="n"/>
    </row>
    <row r="1048" outlineLevel="2" ht="144" customFormat="1" customHeight="1" s="39">
      <c r="A1048" s="37">
        <f>1+N(A1047)</f>
        <v/>
      </c>
      <c r="B1048" s="27" t="inlineStr">
        <is>
          <t>MT-01古铜不锈钢线条（展开面为67mm）</t>
        </is>
      </c>
      <c r="C1048" s="27" t="inlineStr">
        <is>
          <t>1、1.2mm厚 MT-01古铜不锈钢线条（展开面为67mm），结构胶固定
2、9厘玻镁板基层
3、包含完成该项内容所有工作及费用并满足设计图纸、规范等要求</t>
        </is>
      </c>
      <c r="D1048"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048" s="27" t="inlineStr">
        <is>
          <t>按设计图示尺寸以长度计算。</t>
        </is>
      </c>
      <c r="F1048" s="28" t="inlineStr">
        <is>
          <t>m</t>
        </is>
      </c>
      <c r="G1048" s="61" t="n">
        <v>20.68</v>
      </c>
      <c r="H1048" s="62" t="n">
        <v>66.19581700000001</v>
      </c>
      <c r="I1048" s="65" t="n"/>
      <c r="J1048" s="62">
        <f>H1048*(1-$I$4)</f>
        <v/>
      </c>
      <c r="K1048" s="63">
        <f>G1048*J1048</f>
        <v/>
      </c>
      <c r="L1048" s="33" t="inlineStr">
        <is>
          <t>/</t>
        </is>
      </c>
      <c r="M1048" s="64" t="n"/>
      <c r="O1048" t="n">
        <v>12</v>
      </c>
      <c r="P1048" s="35" t="inlineStr">
        <is>
          <t>差:-54.20元 (-81.9%) 来源:会所合并</t>
        </is>
      </c>
      <c r="Q1048" s="35" t="n"/>
      <c r="R1048" s="35" t="n"/>
    </row>
    <row r="1049" outlineLevel="2" ht="144" customFormat="1" customHeight="1" s="39">
      <c r="A1049" s="37">
        <f>1+N(A1048)</f>
        <v/>
      </c>
      <c r="B1049" s="27" t="inlineStr">
        <is>
          <t>MT-01古铜不锈钢线条（展开面为37mm）</t>
        </is>
      </c>
      <c r="C1049" s="27" t="inlineStr">
        <is>
          <t>1、1.2mm厚 MT-01古铜不锈钢线条（展开面为37mm），结构胶固定
2、9厘玻镁板基层
3、包含完成该项内容所有工作及费用并满足设计图纸、规范等要求</t>
        </is>
      </c>
      <c r="D1049"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049" s="27" t="inlineStr">
        <is>
          <t>按设计图示尺寸以长度计算。</t>
        </is>
      </c>
      <c r="F1049" s="28" t="inlineStr">
        <is>
          <t>m</t>
        </is>
      </c>
      <c r="G1049" s="61" t="n">
        <v>20.68</v>
      </c>
      <c r="H1049" s="62" t="n">
        <v>54.710287</v>
      </c>
      <c r="I1049" s="65" t="n"/>
      <c r="J1049" s="62">
        <f>H1049*(1-$I$4)</f>
        <v/>
      </c>
      <c r="K1049" s="63">
        <f>G1049*J1049</f>
        <v/>
      </c>
      <c r="L1049" s="33" t="inlineStr">
        <is>
          <t>/</t>
        </is>
      </c>
      <c r="M1049" s="64" t="n"/>
      <c r="O1049" t="n">
        <v>15</v>
      </c>
      <c r="P1049" s="35" t="inlineStr">
        <is>
          <t>差:-39.71元 (-72.6%) 来源:会所合并</t>
        </is>
      </c>
      <c r="Q1049" s="35" t="n"/>
      <c r="R1049" s="35" t="n"/>
    </row>
    <row r="1050" outlineLevel="2" ht="144" customFormat="1" customHeight="1" s="39">
      <c r="A1050" s="37">
        <f>1+N(A1049)</f>
        <v/>
      </c>
      <c r="B1050" s="27" t="inlineStr">
        <is>
          <t>MT-01古铜不锈钢收口条（展开面为26mm）</t>
        </is>
      </c>
      <c r="C1050" s="27" t="inlineStr">
        <is>
          <t>1、1.2mm厚 MT-01古铜不锈钢收口条（展开面为26mm），结构胶固定
2、9厘玻镁板基层
3、包含完成该项内容所有工作及费用并满足设计图纸、规范等要求</t>
        </is>
      </c>
      <c r="D1050"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050" s="27" t="inlineStr">
        <is>
          <t>按设计图示尺寸以长度计算。</t>
        </is>
      </c>
      <c r="F1050" s="28" t="inlineStr">
        <is>
          <t>m</t>
        </is>
      </c>
      <c r="G1050" s="61" t="n">
        <v>101.62</v>
      </c>
      <c r="H1050" s="62" t="n">
        <v>50.881777</v>
      </c>
      <c r="I1050" s="65" t="n"/>
      <c r="J1050" s="62">
        <f>H1050*(1-$I$4)</f>
        <v/>
      </c>
      <c r="K1050" s="63">
        <f>G1050*J1050</f>
        <v/>
      </c>
      <c r="L1050" s="33" t="inlineStr">
        <is>
          <t>/</t>
        </is>
      </c>
      <c r="M1050" s="64" t="n"/>
      <c r="O1050" t="n">
        <v>12</v>
      </c>
      <c r="P1050" s="35" t="inlineStr">
        <is>
          <t>差:-38.88元 (-76.4%) 来源:会所合并</t>
        </is>
      </c>
      <c r="Q1050" s="35" t="n"/>
      <c r="R1050" s="35" t="n"/>
    </row>
    <row r="1051" outlineLevel="1" customFormat="1" s="39">
      <c r="A1051" s="36" t="n"/>
      <c r="B1051" s="27" t="inlineStr">
        <is>
          <t>天花工程</t>
        </is>
      </c>
      <c r="C1051" s="27" t="n"/>
      <c r="D1051" s="27" t="n"/>
      <c r="E1051" s="27" t="n"/>
      <c r="F1051" s="28" t="n"/>
      <c r="G1051" s="61" t="n"/>
      <c r="H1051" s="62" t="n"/>
      <c r="I1051" s="65" t="n"/>
      <c r="J1051" s="62" t="n"/>
      <c r="K1051" s="63" t="n"/>
      <c r="L1051" s="33" t="n"/>
      <c r="M1051" s="64" t="n"/>
      <c r="P1051" s="35" t="n"/>
      <c r="Q1051" s="35" t="n"/>
      <c r="R1051" s="35" t="n"/>
    </row>
    <row r="1052" outlineLevel="2" ht="204" customFormat="1" customHeight="1" s="39">
      <c r="A1052" s="37">
        <f>1+N(A1051)</f>
        <v/>
      </c>
      <c r="B1052" s="27" t="inlineStr">
        <is>
          <t>古铜不锈钢吊顶</t>
        </is>
      </c>
      <c r="C1052" s="27" t="inlineStr">
        <is>
          <t>1.60系列轻钢主龙骨@900，60系列轻钢副龙骨@400，60系列横撑龙骨@600，08螺纹吊杆@900不上人天花吊顶（投影面计算）
2.玻镁板、古铜不锈钢MT-01，含开孔、检修口等费用；
3.含除灯槽外的侧面高差及其连接件、吊件；
4.包含完成该项内容所有工作及费用并满足设计图纸、规范等要求；</t>
        </is>
      </c>
      <c r="D1052" s="27" t="inlineStr">
        <is>
          <t>1.基层清理。
2.弹线定位、排版。
3.吊杆及连接件制作、安装、调平。
4.材料切割处理找平、铝条板安装及调整，打胶密封与清理。
5.收口及其他处理：侧封板、检修口等制作安装、收边收口、配合预留安装、机电等专业孔洞及孔洞收口处理。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1052" s="27" t="inlineStr">
        <is>
          <t>按设计图示尺寸以水平投影面积计算。不扣除间壁墙、检查口、附墙烟囱、柱垛和管道所占面积,扣除单个&gt;0.3m2的孔洞、非密拼吊顶空隙所占的面积、独立柱及与天棚相连的窗帘盒所占的面积。</t>
        </is>
      </c>
      <c r="F1052" s="28" t="inlineStr">
        <is>
          <t>m2</t>
        </is>
      </c>
      <c r="G1052" s="61" t="n">
        <v>8.390000000000001</v>
      </c>
      <c r="H1052" s="62" t="n">
        <v>182.9</v>
      </c>
      <c r="I1052" s="65" t="n"/>
      <c r="J1052" s="62">
        <f>H1052*(1-$I$4)</f>
        <v/>
      </c>
      <c r="K1052" s="63">
        <f>G1052*J1052</f>
        <v/>
      </c>
      <c r="L1052" s="33" t="inlineStr">
        <is>
          <t>不锈钢吊顶</t>
        </is>
      </c>
      <c r="M1052" s="64" t="n"/>
      <c r="O1052" t="n">
        <v>110</v>
      </c>
      <c r="P1052" s="35" t="inlineStr">
        <is>
          <t>差:-72.90元 (-39.9%) 来源:售楼处</t>
        </is>
      </c>
      <c r="Q1052" s="35" t="n"/>
      <c r="R1052" s="35" t="n"/>
    </row>
    <row r="1053" outlineLevel="2" ht="72" customFormat="1" customHeight="1" s="39">
      <c r="A1053" s="37">
        <f>1+N(A1052)</f>
        <v/>
      </c>
      <c r="B1053" s="27" t="inlineStr">
        <is>
          <t>灯槽（135mm*100mm）</t>
        </is>
      </c>
      <c r="C1053" s="27" t="inlineStr">
        <is>
          <t>1.灯槽（135mm*100mm）；
2.双层板：9mm玻镁板、9.5厚石膏板；
3.包含完成该项内容所有工作及费用并满足设计图纸、规范等要求；</t>
        </is>
      </c>
      <c r="D1053" s="27" t="inlineStr">
        <is>
          <t>自现有现场条件下按照合同约定范围、图纸（含设计变更）及甲方要求内容以及规范、标准、相关做法等要求完成并达到总包合同全部目标的全部工作内容。</t>
        </is>
      </c>
      <c r="E1053" s="27" t="inlineStr">
        <is>
          <t>依据经承包人确认的施工部位,按设计图示尺寸以延长米计算。</t>
        </is>
      </c>
      <c r="F1053" s="28" t="inlineStr">
        <is>
          <t>m</t>
        </is>
      </c>
      <c r="G1053" s="61" t="n">
        <v>21.04</v>
      </c>
      <c r="H1053" s="62" t="n">
        <v>112.159</v>
      </c>
      <c r="I1053" s="65" t="n"/>
      <c r="J1053" s="62">
        <f>H1053*(1-$I$4)</f>
        <v/>
      </c>
      <c r="K1053" s="63">
        <f>G1053*J1053</f>
        <v/>
      </c>
      <c r="L1053" s="33" t="inlineStr">
        <is>
          <t>/</t>
        </is>
      </c>
      <c r="M1053" s="64" t="n"/>
      <c r="O1053" t="n">
        <v>50</v>
      </c>
      <c r="P1053" s="35" t="inlineStr">
        <is>
          <t>差:-62.16元 (-55.4%) 来源:会所合并</t>
        </is>
      </c>
      <c r="Q1053" s="35" t="n"/>
      <c r="R1053" s="35" t="n"/>
    </row>
    <row r="1054" outlineLevel="2" ht="72" customFormat="1" customHeight="1" s="39">
      <c r="A1054" s="37">
        <f>1+N(A1053)</f>
        <v/>
      </c>
      <c r="B1054" s="27" t="inlineStr">
        <is>
          <t>条形空调风口（80mm）</t>
        </is>
      </c>
      <c r="C1054" s="27" t="inlineStr">
        <is>
          <t>1.条形空调风口（80mm）；
2.风口周边阻燃板封边加固处理；
3.包含完成该项内容所有工作及费用并满足设计图纸、规范等要求；</t>
        </is>
      </c>
      <c r="D1054" s="27" t="inlineStr">
        <is>
          <t>自现有现场条件下按照合同约定范围、图纸（含设计变更）及甲方要求内容以及规范、标准、相关做法等要求完成并达到总包合同全部目标的全部工作内容。</t>
        </is>
      </c>
      <c r="E1054" s="27" t="inlineStr">
        <is>
          <t>依据经承包人确认的施工部位,按设计图示尺寸以延长米计算。</t>
        </is>
      </c>
      <c r="F1054" s="28" t="inlineStr">
        <is>
          <t>m</t>
        </is>
      </c>
      <c r="G1054" s="61" t="n">
        <v>10</v>
      </c>
      <c r="H1054" s="62" t="n">
        <v>109.74</v>
      </c>
      <c r="I1054" s="65" t="n"/>
      <c r="J1054" s="62">
        <f>H1054*(1-$I$4)</f>
        <v/>
      </c>
      <c r="K1054" s="63">
        <f>G1054*J1054</f>
        <v/>
      </c>
      <c r="L1054" s="33" t="inlineStr">
        <is>
          <t>空调风口</t>
        </is>
      </c>
      <c r="M1054" s="64" t="n"/>
      <c r="O1054" t="n">
        <v>30</v>
      </c>
      <c r="P1054" s="35" t="inlineStr">
        <is>
          <t>差:-79.74元 (-72.7%) 来源:会所合并</t>
        </is>
      </c>
      <c r="Q1054" s="35" t="n"/>
      <c r="R1054" s="35" t="n"/>
    </row>
    <row r="1055" outlineLevel="2" ht="192" customFormat="1" customHeight="1" s="39">
      <c r="A1055" s="37">
        <f>1+N(A1054)</f>
        <v/>
      </c>
      <c r="B1055" s="27" t="inlineStr">
        <is>
          <t>天花肌理无机涂料PT-01</t>
        </is>
      </c>
      <c r="C1055" s="27" t="inlineStr">
        <is>
          <t>1.天花肌理无机涂料PT-01；
2.刮腻子二遍磨平；
3.底漆1遍，面漆2遍；
4.包含完成该项内容所有工作及费用并满足设计图纸、规范等要求；</t>
        </is>
      </c>
      <c r="D1055" s="27" t="inlineStr">
        <is>
          <t>包括但不限于材料计划、采购、卸车倒运、保管、检验试验费、测量放线，包含四周阴角找平直、含天棚四周阴角找平直，打磨，简易脚手架搭拆及操作平台、升降机，基层清理、打磨平整、底层找补、满刮涂料（含阴阳角塑料条）、涂料打磨、补遗处理、配合其他分包施工、完工后场清、成品保护、保修等直到达到竣工交付标准的全部工作内容。包括所有为完成工作所需的小型机具；包括所有为完成工作所需的附属工作；包括但不限于以上内容。</t>
        </is>
      </c>
      <c r="E1055" s="27" t="inlineStr">
        <is>
          <t>执行《GB/T50854-2024房屋建筑与装饰工程工程量计算标准》，按设计图示尺寸以面积计算。扣除0.3平方米以上洞口的面积；梁侧面及檐口天棚并入天棚计算；以设计图纸和技术交底为基础</t>
        </is>
      </c>
      <c r="F1055" s="28" t="inlineStr">
        <is>
          <t>m2</t>
        </is>
      </c>
      <c r="G1055" s="61" t="n">
        <v>4.59</v>
      </c>
      <c r="H1055" s="62" t="n">
        <v>48.38</v>
      </c>
      <c r="I1055" s="65" t="n"/>
      <c r="J1055" s="62">
        <f>H1055*(1-$I$4)</f>
        <v/>
      </c>
      <c r="K1055" s="63">
        <f>G1055*J1055</f>
        <v/>
      </c>
      <c r="L1055" s="33" t="inlineStr">
        <is>
          <t>涂料</t>
        </is>
      </c>
      <c r="M1055" s="64" t="n"/>
      <c r="O1055" t="n">
        <v>45</v>
      </c>
      <c r="P1055" s="35" t="inlineStr">
        <is>
          <t>差:-3.38元 (-7.0%) 来源:售楼处</t>
        </is>
      </c>
      <c r="Q1055" s="35" t="n"/>
      <c r="R1055" s="35" t="n"/>
    </row>
    <row r="1056" outlineLevel="2" ht="72" customFormat="1" customHeight="1" s="39">
      <c r="A1056" s="37">
        <f>1+N(A1055)</f>
        <v/>
      </c>
      <c r="B1056" s="27" t="inlineStr">
        <is>
          <t>MT-06深色不锈钢线条</t>
        </is>
      </c>
      <c r="C1056" s="27" t="inlineStr">
        <is>
          <t>1、MT-06深色不锈钢线条（宽为40mm），结构胶固定
2、9厘玻镁板基层
3、包含完成该项内容所有工作及费用并满足设计图纸、规范等要求</t>
        </is>
      </c>
      <c r="D1056" s="27" t="inlineStr">
        <is>
          <t>自现有现场条件下按照合同约定范围、图纸（含设计变更）及甲方要求内容以及规范、标准、相关做法等要求完成并达到总包合同全部目标的全部工作内容。</t>
        </is>
      </c>
      <c r="E1056" s="27" t="inlineStr">
        <is>
          <t>依据经承包人确认的施工部位,按设计图示尺寸以延长米计算。</t>
        </is>
      </c>
      <c r="F1056" s="28" t="inlineStr">
        <is>
          <t>m</t>
        </is>
      </c>
      <c r="G1056" s="61" t="n">
        <v>9.84</v>
      </c>
      <c r="H1056" s="62" t="n">
        <v>64.24509999999999</v>
      </c>
      <c r="I1056" s="65" t="n"/>
      <c r="J1056" s="62">
        <f>H1056*(1-$I$4)</f>
        <v/>
      </c>
      <c r="K1056" s="63">
        <f>G1056*J1056</f>
        <v/>
      </c>
      <c r="L1056" s="33" t="inlineStr">
        <is>
          <t>/</t>
        </is>
      </c>
      <c r="M1056" s="64" t="n"/>
      <c r="O1056" t="n">
        <v>12</v>
      </c>
      <c r="P1056" s="35" t="inlineStr">
        <is>
          <t>差:-52.25元 (-81.3%) 来源:会所合并</t>
        </is>
      </c>
      <c r="Q1056" s="35" t="n"/>
      <c r="R1056" s="35" t="n"/>
    </row>
    <row r="1057" outlineLevel="1" customFormat="1" s="39">
      <c r="A1057" s="36" t="n"/>
      <c r="B1057" s="27" t="inlineStr">
        <is>
          <t>门窗、家具工程</t>
        </is>
      </c>
      <c r="C1057" s="27" t="n"/>
      <c r="D1057" s="27" t="n"/>
      <c r="E1057" s="27" t="n"/>
      <c r="F1057" s="28" t="n"/>
      <c r="G1057" s="61" t="n"/>
      <c r="H1057" s="62" t="n"/>
      <c r="I1057" s="65" t="n"/>
      <c r="J1057" s="62" t="n"/>
      <c r="K1057" s="63" t="n"/>
      <c r="L1057" s="33" t="n"/>
      <c r="M1057" s="64" t="n"/>
      <c r="P1057" s="35" t="n"/>
      <c r="Q1057" s="35" t="n"/>
      <c r="R1057" s="35" t="n"/>
    </row>
    <row r="1058" outlineLevel="2" ht="72" customFormat="1" customHeight="1" s="39">
      <c r="A1058" s="37">
        <f>1+N(A1057)</f>
        <v/>
      </c>
      <c r="B1058" s="27" t="inlineStr">
        <is>
          <t>电梯扶手</t>
        </is>
      </c>
      <c r="C1058" s="27" t="inlineStr">
        <is>
          <t>1、ST-04石材、古铜不锈钢、UP-01皮革
2、定制成品扶手制安
3、包含完成该项内容所有工作及费用并满足设计图纸、规范等要求</t>
        </is>
      </c>
      <c r="D1058" s="27" t="inlineStr">
        <is>
          <t>自现有现场条件下按照合同约定范围、图纸（含设计变更）及甲方要求内容以及规范、标准、相关做法等要求完成并达到总包合同全部目标的全部工作内容。</t>
        </is>
      </c>
      <c r="E1058" s="27" t="inlineStr">
        <is>
          <t>按设计图示以扶手中心线长度计算</t>
        </is>
      </c>
      <c r="F1058" s="28" t="inlineStr">
        <is>
          <t>m</t>
        </is>
      </c>
      <c r="G1058" s="61" t="n">
        <v>8.32</v>
      </c>
      <c r="H1058" s="62" t="n">
        <v>3569.5</v>
      </c>
      <c r="I1058" s="65" t="n"/>
      <c r="J1058" s="62">
        <f>H1058*(1-$I$4)</f>
        <v/>
      </c>
      <c r="K1058" s="63">
        <f>G1058*J1058</f>
        <v/>
      </c>
      <c r="L1058" s="33" t="inlineStr">
        <is>
          <t>/</t>
        </is>
      </c>
      <c r="M1058" s="64" t="n"/>
      <c r="O1058" t="n">
        <v>35</v>
      </c>
      <c r="P1058" s="35" t="inlineStr">
        <is>
          <t>差:-3534.50元 (-99.0%) 来源:会所合并</t>
        </is>
      </c>
      <c r="Q1058" s="35" t="n"/>
      <c r="R1058" s="35" t="n"/>
    </row>
    <row r="1059" customFormat="1" s="39">
      <c r="A1059" s="26" t="inlineStr">
        <is>
          <t>B</t>
        </is>
      </c>
      <c r="B1059" s="20" t="inlineStr">
        <is>
          <t>无障碍电梯轿厢</t>
        </is>
      </c>
      <c r="C1059" s="27" t="n"/>
      <c r="D1059" s="27" t="n"/>
      <c r="E1059" s="27" t="n"/>
      <c r="F1059" s="28" t="n"/>
      <c r="G1059" s="61" t="n"/>
      <c r="H1059" s="62" t="n"/>
      <c r="I1059" s="65" t="n"/>
      <c r="J1059" s="62" t="n"/>
      <c r="K1059" s="63" t="n"/>
      <c r="L1059" s="33" t="n"/>
      <c r="M1059" s="64" t="n"/>
      <c r="P1059" s="35" t="n"/>
      <c r="Q1059" s="35" t="n"/>
      <c r="R1059" s="35" t="n"/>
    </row>
    <row r="1060" outlineLevel="1" customFormat="1" s="39">
      <c r="A1060" s="36" t="n"/>
      <c r="B1060" s="27" t="inlineStr">
        <is>
          <t>地面工程</t>
        </is>
      </c>
      <c r="C1060" s="27" t="n"/>
      <c r="D1060" s="27" t="n"/>
      <c r="E1060" s="27" t="n"/>
      <c r="F1060" s="28" t="n"/>
      <c r="G1060" s="61" t="n"/>
      <c r="H1060" s="62" t="n"/>
      <c r="I1060" s="65" t="n"/>
      <c r="J1060" s="62" t="n"/>
      <c r="K1060" s="63" t="n"/>
      <c r="L1060" s="33" t="n"/>
      <c r="M1060" s="64" t="n"/>
      <c r="P1060" s="35" t="n"/>
      <c r="Q1060" s="35" t="n"/>
      <c r="R1060" s="35" t="n"/>
    </row>
    <row r="1061" outlineLevel="2" ht="108" customFormat="1" customHeight="1" s="39">
      <c r="A1061" s="37">
        <f>1+N(A1060)</f>
        <v/>
      </c>
      <c r="B1061" s="27" t="inlineStr">
        <is>
          <t>地面铺贴大理石ST-01</t>
        </is>
      </c>
      <c r="C1061" s="27" t="inlineStr">
        <is>
          <t>1.地面20mm大理石ST-01、铺贴、厚度及样式按物料书为准；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1061"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061" s="27" t="inlineStr">
        <is>
          <t xml:space="preserve">执行《GB/T50854-2024房屋建筑与装饰工程工程量计算标准》，按设计图示尺寸
以面积计算。 </t>
        </is>
      </c>
      <c r="F1061" s="28" t="inlineStr">
        <is>
          <t>m2</t>
        </is>
      </c>
      <c r="G1061" s="61" t="n">
        <v>9.35</v>
      </c>
      <c r="H1061" s="62" t="n">
        <v>218.75017</v>
      </c>
      <c r="I1061" s="65" t="n"/>
      <c r="J1061" s="62">
        <f>H1061*(1-$I$4)</f>
        <v/>
      </c>
      <c r="K1061" s="63">
        <f>G1061*J1061</f>
        <v/>
      </c>
      <c r="L1061" s="33" t="inlineStr">
        <is>
          <t>石材</t>
        </is>
      </c>
      <c r="M1061" s="64" t="n"/>
      <c r="O1061" t="n">
        <v>130</v>
      </c>
      <c r="P1061" s="35" t="inlineStr">
        <is>
          <t>差:-88.75元 (-40.6%) 来源:售楼处</t>
        </is>
      </c>
      <c r="Q1061" s="35" t="n"/>
      <c r="R1061" s="35" t="n"/>
    </row>
    <row r="1062" outlineLevel="2" ht="108" customFormat="1" customHeight="1" s="39">
      <c r="A1062" s="37">
        <f>1+N(A1061)</f>
        <v/>
      </c>
      <c r="B1062" s="27" t="inlineStr">
        <is>
          <t>地面石材晶面处理</t>
        </is>
      </c>
      <c r="C1062" s="27" t="inlineStr">
        <is>
          <t>1.石材结晶处理(结晶水及石材保养剂,中性清洁剂)；
2.包含完成该项内容所有工作及费用并满足设计图纸、规范等要求；</t>
        </is>
      </c>
      <c r="D1062"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062" s="27" t="inlineStr">
        <is>
          <t xml:space="preserve">执行《GB/T50854-2024房屋建筑与装饰工程工程量计算标准》，按设计图示尺寸
以面积计算。 </t>
        </is>
      </c>
      <c r="F1062" s="28" t="inlineStr">
        <is>
          <t>m2</t>
        </is>
      </c>
      <c r="G1062" s="61" t="n">
        <v>9.35</v>
      </c>
      <c r="H1062" s="62" t="n">
        <v>64.90000000000001</v>
      </c>
      <c r="I1062" s="65" t="n"/>
      <c r="J1062" s="62">
        <f>H1062*(1-$I$4)</f>
        <v/>
      </c>
      <c r="K1062" s="63">
        <f>G1062*J1062</f>
        <v/>
      </c>
      <c r="L1062" s="33" t="inlineStr">
        <is>
          <t>/</t>
        </is>
      </c>
      <c r="M1062" s="64" t="n"/>
      <c r="O1062" t="n">
        <v>40</v>
      </c>
      <c r="P1062" s="35" t="inlineStr">
        <is>
          <t>差:-24.90元 (-38.4%) 来源:售楼处</t>
        </is>
      </c>
      <c r="Q1062" s="35" t="n"/>
      <c r="R1062" s="35" t="n"/>
    </row>
    <row r="1063" outlineLevel="1" customFormat="1" s="39">
      <c r="A1063" s="36" t="n"/>
      <c r="B1063" s="27" t="inlineStr">
        <is>
          <t>墙面工程</t>
        </is>
      </c>
      <c r="C1063" s="27" t="n"/>
      <c r="D1063" s="27" t="n"/>
      <c r="E1063" s="27" t="n"/>
      <c r="F1063" s="28" t="n"/>
      <c r="G1063" s="61" t="n"/>
      <c r="H1063" s="62" t="n"/>
      <c r="I1063" s="65" t="n"/>
      <c r="J1063" s="62" t="n"/>
      <c r="K1063" s="63" t="n"/>
      <c r="L1063" s="33" t="n"/>
      <c r="M1063" s="64" t="n"/>
      <c r="P1063" s="35" t="n"/>
      <c r="Q1063" s="35" t="n"/>
      <c r="R1063" s="35" t="n"/>
    </row>
    <row r="1064" outlineLevel="2" ht="144" customFormat="1" customHeight="1" s="39">
      <c r="A1064" s="37">
        <f>1+N(A1063)</f>
        <v/>
      </c>
      <c r="B1064" s="27" t="inlineStr">
        <is>
          <t>墙面湿贴石材ST-04</t>
        </is>
      </c>
      <c r="C1064" s="27" t="inlineStr">
        <is>
          <t>1、墙面湿贴石材ST-04
2、8mm厚石材专用胶粘剂WC粘结层
3、界面剂拉毛处理
4、石材的开槽、磨边、倒角、粘接、形成所需之凹坑、抛光、六面防污防渗等一切处理费用均在主材费中考虑，不再另行计取
5、包含完成该项内容所有工作及费用并满足设计图纸、规范等要求</t>
        </is>
      </c>
      <c r="D1064" s="27" t="inlineStr">
        <is>
          <t>具体工作内容除详见项目特征外，且不限于以下内容:1.包含材料的下车、场内运输；2.清理基层、找标高、弹线定位；3.试拼试排；4.砂浆拌和、铺找平层（粘结层）砂浆；5.面层铺设、灌缝、擦缝；6.打蜡、养护；配合留设墙面开关、插座等末端设备等全部内容；包含成品保护、安全文明施工等达到验收合格的全部施工内容。</t>
        </is>
      </c>
      <c r="E1064" s="27" t="inlineStr">
        <is>
          <t>执行《GB/T50854-2024房屋建筑与装饰工程工程量计算标准》，按设计图示镶贴后外围面积计算</t>
        </is>
      </c>
      <c r="F1064" s="28" t="inlineStr">
        <is>
          <t>m2</t>
        </is>
      </c>
      <c r="G1064" s="61" t="n">
        <v>10.96</v>
      </c>
      <c r="H1064" s="62" t="n">
        <v>177</v>
      </c>
      <c r="I1064" s="65" t="n"/>
      <c r="J1064" s="62">
        <f>H1064*(1-$I$4)</f>
        <v/>
      </c>
      <c r="K1064" s="63">
        <f>G1064*J1064</f>
        <v/>
      </c>
      <c r="L1064" s="33" t="inlineStr">
        <is>
          <t>石材</t>
        </is>
      </c>
      <c r="M1064" s="64" t="n"/>
      <c r="O1064" t="n">
        <v>95</v>
      </c>
      <c r="P1064" s="35" t="inlineStr">
        <is>
          <t>差:-82.00元 (-46.3%) 来源:会所合并</t>
        </is>
      </c>
      <c r="Q1064" s="35" t="n"/>
      <c r="R1064" s="35" t="n"/>
    </row>
    <row r="1065" outlineLevel="2" ht="180" customFormat="1" customHeight="1" s="39">
      <c r="A1065" s="37">
        <f>1+N(A1064)</f>
        <v/>
      </c>
      <c r="B1065" s="27" t="inlineStr">
        <is>
          <t>MT-01古铜不锈钢饰面</t>
        </is>
      </c>
      <c r="C1065" s="27" t="inlineStr">
        <is>
          <t>1、1.2mm厚 MT-01古铜不锈钢饰面(结构胶固定)
2、9厘玻镁板基层
3、包含完成该项内容所有工作及费用并满足设计图纸、规范等要求</t>
        </is>
      </c>
      <c r="D1065"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065" s="27" t="inlineStr">
        <is>
          <t>执行《GB/T50854-2024房屋建筑与装饰工程工程量计算标准》，按设计图示饰面外围尺寸
以面积计算。 扣除门窗洞口面积，不扣除单个面积≤0.3㎡的孔洞所占面积。</t>
        </is>
      </c>
      <c r="F1065" s="28" t="inlineStr">
        <is>
          <t>m2</t>
        </is>
      </c>
      <c r="G1065" s="61" t="n">
        <v>15.34</v>
      </c>
      <c r="H1065" s="62" t="n">
        <v>247.8</v>
      </c>
      <c r="I1065" s="65" t="n"/>
      <c r="J1065" s="62">
        <f>H1065*(1-$I$4)</f>
        <v/>
      </c>
      <c r="K1065" s="63">
        <f>G1065*J1065</f>
        <v/>
      </c>
      <c r="L1065" s="33" t="inlineStr">
        <is>
          <t>不锈钢饰面</t>
        </is>
      </c>
      <c r="M1065" s="64" t="n"/>
      <c r="O1065" t="n">
        <v>110</v>
      </c>
      <c r="P1065" s="35" t="inlineStr">
        <is>
          <t>差:-137.80元 (-55.6%) 来源:会所合并</t>
        </is>
      </c>
      <c r="Q1065" s="35" t="n"/>
      <c r="R1065" s="35" t="n"/>
    </row>
    <row r="1066" outlineLevel="2" ht="180" customFormat="1" customHeight="1" s="39">
      <c r="A1066" s="37">
        <f>1+N(A1065)</f>
        <v/>
      </c>
      <c r="B1066" s="27" t="inlineStr">
        <is>
          <t>墙面WD-09摩素板</t>
        </is>
      </c>
      <c r="C1066" s="27" t="inlineStr">
        <is>
          <t>1、墙面WD-09摩素板(结构胶固定)
2、12厘玻镁板基层
3、膨胀螺栓、轻钢龙骨(钢结构)基层找平
4、包含完成该项内容所有工作及费用并满足设计图纸、规范等要求</t>
        </is>
      </c>
      <c r="D1066"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066" s="27" t="inlineStr">
        <is>
          <t>执行《GB/T50854-2024房屋建筑与装饰工程工程量计算标准》，按设计图示饰面外围尺寸以面积计算。 扣除门窗洞口面积，不扣除单个面积≤0.3㎡的孔洞所占面积。</t>
        </is>
      </c>
      <c r="F1066" s="28" t="inlineStr">
        <is>
          <t>m2</t>
        </is>
      </c>
      <c r="G1066" s="61" t="n">
        <v>29.33</v>
      </c>
      <c r="H1066" s="62" t="n">
        <v>186.44</v>
      </c>
      <c r="I1066" s="65" t="n"/>
      <c r="J1066" s="62">
        <f>H1066*(1-$I$4)</f>
        <v/>
      </c>
      <c r="K1066" s="63">
        <f>G1066*J1066</f>
        <v/>
      </c>
      <c r="L1066" s="33" t="inlineStr">
        <is>
          <t>摩素板</t>
        </is>
      </c>
      <c r="M1066" s="64" t="n"/>
      <c r="O1066" t="n">
        <v>35</v>
      </c>
      <c r="P1066" s="35" t="inlineStr">
        <is>
          <t>差:-151.44元 (-81.2%) 来源:会所合并</t>
        </is>
      </c>
      <c r="Q1066" s="35" t="n"/>
      <c r="R1066" s="35" t="n"/>
    </row>
    <row r="1067" outlineLevel="2" ht="144" customFormat="1" customHeight="1" s="39">
      <c r="A1067" s="37">
        <f>1+N(A1066)</f>
        <v/>
      </c>
      <c r="B1067" s="27" t="inlineStr">
        <is>
          <t>MT-01古铜不锈钢踢脚线（高50mm）</t>
        </is>
      </c>
      <c r="C1067" s="27" t="inlineStr">
        <is>
          <t>1、1.2mm厚 MT-01古铜不锈钢踢脚线（高50mm，展开面为67mm），结构胶固定
2、9厘玻镁板基层
3、包含完成该项内容所有工作及费用并满足设计图纸、规范等要求</t>
        </is>
      </c>
      <c r="D1067"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067" s="27" t="inlineStr">
        <is>
          <t>按设计图示尺寸以长度计算。</t>
        </is>
      </c>
      <c r="F1067" s="28" t="inlineStr">
        <is>
          <t>m</t>
        </is>
      </c>
      <c r="G1067" s="61" t="n">
        <v>17.88</v>
      </c>
      <c r="H1067" s="62" t="n">
        <v>31.86</v>
      </c>
      <c r="I1067" s="65" t="n"/>
      <c r="J1067" s="62">
        <f>H1067*(1-$I$4)</f>
        <v/>
      </c>
      <c r="K1067" s="63">
        <f>G1067*J1067</f>
        <v/>
      </c>
      <c r="L1067" s="33" t="inlineStr">
        <is>
          <t>不锈钢踢脚线</t>
        </is>
      </c>
      <c r="M1067" s="64" t="n"/>
      <c r="O1067" t="n">
        <v>12</v>
      </c>
      <c r="P1067" s="35" t="inlineStr">
        <is>
          <t>差:-19.86元 (-62.3%) 来源:会所合并</t>
        </is>
      </c>
      <c r="Q1067" s="35" t="n"/>
      <c r="R1067" s="35" t="n"/>
    </row>
    <row r="1068" outlineLevel="2" ht="144" customFormat="1" customHeight="1" s="39">
      <c r="A1068" s="37">
        <f>1+N(A1067)</f>
        <v/>
      </c>
      <c r="B1068" s="27" t="inlineStr">
        <is>
          <t>MT-01古铜不锈钢线条（展开面为67mm）</t>
        </is>
      </c>
      <c r="C1068" s="27" t="inlineStr">
        <is>
          <t>1、1.2mm厚 MT-01古铜不锈钢线条（展开面为67mm），结构胶固定
2、9厘玻镁板基层
3、包含完成该项内容所有工作及费用并满足设计图纸、规范等要求</t>
        </is>
      </c>
      <c r="D1068"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068" s="27" t="inlineStr">
        <is>
          <t>按设计图示尺寸以长度计算。</t>
        </is>
      </c>
      <c r="F1068" s="28" t="inlineStr">
        <is>
          <t>m</t>
        </is>
      </c>
      <c r="G1068" s="61" t="n">
        <v>20.68</v>
      </c>
      <c r="H1068" s="62" t="n">
        <v>66.19581700000001</v>
      </c>
      <c r="I1068" s="65" t="n"/>
      <c r="J1068" s="62">
        <f>H1068*(1-$I$4)</f>
        <v/>
      </c>
      <c r="K1068" s="63">
        <f>G1068*J1068</f>
        <v/>
      </c>
      <c r="L1068" s="33" t="inlineStr">
        <is>
          <t>/</t>
        </is>
      </c>
      <c r="M1068" s="64" t="n"/>
      <c r="O1068" t="n">
        <v>12</v>
      </c>
      <c r="P1068" s="35" t="inlineStr">
        <is>
          <t>差:-54.20元 (-81.9%) 来源:会所合并</t>
        </is>
      </c>
      <c r="Q1068" s="35" t="n"/>
      <c r="R1068" s="35" t="n"/>
    </row>
    <row r="1069" outlineLevel="2" ht="144" customFormat="1" customHeight="1" s="39">
      <c r="A1069" s="37">
        <f>1+N(A1068)</f>
        <v/>
      </c>
      <c r="B1069" s="27" t="inlineStr">
        <is>
          <t>MT-01古铜不锈钢线条（展开面为37mm）</t>
        </is>
      </c>
      <c r="C1069" s="27" t="inlineStr">
        <is>
          <t>1、1.2mm厚 MT-01古铜不锈钢线条（展开面为37mm），结构胶固定
2、9厘玻镁板基层
3、包含完成该项内容所有工作及费用并满足设计图纸、规范等要求</t>
        </is>
      </c>
      <c r="D1069"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069" s="27" t="inlineStr">
        <is>
          <t>按设计图示尺寸以长度计算。</t>
        </is>
      </c>
      <c r="F1069" s="28" t="inlineStr">
        <is>
          <t>m</t>
        </is>
      </c>
      <c r="G1069" s="61" t="n">
        <v>20.68</v>
      </c>
      <c r="H1069" s="62" t="n">
        <v>54.710287</v>
      </c>
      <c r="I1069" s="65" t="n"/>
      <c r="J1069" s="62">
        <f>H1069*(1-$I$4)</f>
        <v/>
      </c>
      <c r="K1069" s="63">
        <f>G1069*J1069</f>
        <v/>
      </c>
      <c r="L1069" s="33" t="inlineStr">
        <is>
          <t>/</t>
        </is>
      </c>
      <c r="M1069" s="64" t="n"/>
      <c r="O1069" t="n">
        <v>15</v>
      </c>
      <c r="P1069" s="35" t="inlineStr">
        <is>
          <t>差:-39.71元 (-72.6%) 来源:会所合并</t>
        </is>
      </c>
      <c r="Q1069" s="35" t="n"/>
      <c r="R1069" s="35" t="n"/>
    </row>
    <row r="1070" outlineLevel="2" ht="144" customFormat="1" customHeight="1" s="39">
      <c r="A1070" s="37">
        <f>1+N(A1069)</f>
        <v/>
      </c>
      <c r="B1070" s="27" t="inlineStr">
        <is>
          <t>MT-01古铜不锈钢收口条（展开面为26mm）</t>
        </is>
      </c>
      <c r="C1070" s="27" t="inlineStr">
        <is>
          <t>1、1.2mm厚 MT-01古铜不锈钢收口条（展开面为26mm），结构胶固定
2、9厘玻镁板基层
3、包含完成该项内容所有工作及费用并满足设计图纸、规范等要求</t>
        </is>
      </c>
      <c r="D1070"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070" s="27" t="inlineStr">
        <is>
          <t>按设计图示尺寸以长度计算。</t>
        </is>
      </c>
      <c r="F1070" s="28" t="inlineStr">
        <is>
          <t>m</t>
        </is>
      </c>
      <c r="G1070" s="61" t="n">
        <v>101.62</v>
      </c>
      <c r="H1070" s="62" t="n">
        <v>50.881777</v>
      </c>
      <c r="I1070" s="65" t="n"/>
      <c r="J1070" s="62">
        <f>H1070*(1-$I$4)</f>
        <v/>
      </c>
      <c r="K1070" s="63">
        <f>G1070*J1070</f>
        <v/>
      </c>
      <c r="L1070" s="33" t="inlineStr">
        <is>
          <t>/</t>
        </is>
      </c>
      <c r="M1070" s="64" t="n"/>
      <c r="O1070" t="n">
        <v>12</v>
      </c>
      <c r="P1070" s="35" t="inlineStr">
        <is>
          <t>差:-38.88元 (-76.4%) 来源:会所合并</t>
        </is>
      </c>
      <c r="Q1070" s="35" t="n"/>
      <c r="R1070" s="35" t="n"/>
    </row>
    <row r="1071" outlineLevel="1" customFormat="1" s="39">
      <c r="A1071" s="36" t="n"/>
      <c r="B1071" s="27" t="inlineStr">
        <is>
          <t>天花工程</t>
        </is>
      </c>
      <c r="C1071" s="27" t="n"/>
      <c r="D1071" s="27" t="n"/>
      <c r="E1071" s="27" t="n"/>
      <c r="F1071" s="28" t="n"/>
      <c r="G1071" s="61" t="n"/>
      <c r="H1071" s="62" t="n"/>
      <c r="I1071" s="65" t="n"/>
      <c r="J1071" s="62" t="n"/>
      <c r="K1071" s="63" t="n"/>
      <c r="L1071" s="33" t="n"/>
      <c r="M1071" s="64" t="n"/>
      <c r="P1071" s="35" t="n"/>
      <c r="Q1071" s="35" t="n"/>
      <c r="R1071" s="35" t="n"/>
    </row>
    <row r="1072" outlineLevel="2" ht="204" customFormat="1" customHeight="1" s="39">
      <c r="A1072" s="37">
        <f>1+N(A1071)</f>
        <v/>
      </c>
      <c r="B1072" s="27" t="inlineStr">
        <is>
          <t>古铜不锈钢吊顶</t>
        </is>
      </c>
      <c r="C1072" s="27" t="inlineStr">
        <is>
          <t>1.60系列轻钢主龙骨@900，60系列轻钢副龙骨@400，60系列横撑龙骨@600，08螺纹吊杆@900不上人天花吊顶（投影面计算）
2.玻镁板、古铜不锈钢MT-01，含开孔、检修口等费用；
3.含除灯槽外的侧面高差及其连接件、吊件；
4.包含完成该项内容所有工作及费用并满足设计图纸、规范等要求；</t>
        </is>
      </c>
      <c r="D1072" s="27" t="inlineStr">
        <is>
          <t>1.基层清理。
2.弹线定位、排版。
3.吊杆及连接件制作、安装、调平。
4.材料切割处理找平、铝条板安装及调整，打胶密封与清理。
5.收口及其他处理：侧封板、检修口等制作安装、收边收口、配合预留安装、机电等专业孔洞及孔洞收口处理。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1072" s="27" t="inlineStr">
        <is>
          <t>按设计图示尺寸以水平投影面积计算。不扣除间壁墙、检查口、附墙烟囱、柱垛和管道所占面积,扣除单个&gt;0.3m2的孔洞、非密拼吊顶空隙所占的面积、独立柱及与天棚相连的窗帘盒所占的面积。</t>
        </is>
      </c>
      <c r="F1072" s="28" t="inlineStr">
        <is>
          <t>m2</t>
        </is>
      </c>
      <c r="G1072" s="61" t="n">
        <v>8.390000000000001</v>
      </c>
      <c r="H1072" s="62" t="n">
        <v>182.9</v>
      </c>
      <c r="I1072" s="65" t="n"/>
      <c r="J1072" s="62">
        <f>H1072*(1-$I$4)</f>
        <v/>
      </c>
      <c r="K1072" s="63">
        <f>G1072*J1072</f>
        <v/>
      </c>
      <c r="L1072" s="33" t="inlineStr">
        <is>
          <t>不锈钢吊顶</t>
        </is>
      </c>
      <c r="M1072" s="64" t="n"/>
      <c r="O1072" t="n">
        <v>110</v>
      </c>
      <c r="P1072" s="35" t="inlineStr">
        <is>
          <t>差:-72.90元 (-39.9%) 来源:售楼处</t>
        </is>
      </c>
      <c r="Q1072" s="35" t="n"/>
      <c r="R1072" s="35" t="n"/>
    </row>
    <row r="1073" outlineLevel="2" ht="72" customFormat="1" customHeight="1" s="39">
      <c r="A1073" s="37">
        <f>1+N(A1072)</f>
        <v/>
      </c>
      <c r="B1073" s="27" t="inlineStr">
        <is>
          <t>灯槽（135mm*100mm）</t>
        </is>
      </c>
      <c r="C1073" s="27" t="inlineStr">
        <is>
          <t>1.灯槽（135mm*100mm）；
2.双层板：9mm玻镁板、9.5厚石膏板；
3.包含完成该项内容所有工作及费用并满足设计图纸、规范等要求；</t>
        </is>
      </c>
      <c r="D1073" s="27" t="inlineStr">
        <is>
          <t>自现有现场条件下按照合同约定范围、图纸（含设计变更）及甲方要求内容以及规范、标准、相关做法等要求完成并达到总包合同全部目标的全部工作内容。</t>
        </is>
      </c>
      <c r="E1073" s="27" t="inlineStr">
        <is>
          <t>依据经承包人确认的施工部位,按设计图示尺寸以延长米计算。</t>
        </is>
      </c>
      <c r="F1073" s="28" t="inlineStr">
        <is>
          <t>m</t>
        </is>
      </c>
      <c r="G1073" s="61" t="n">
        <v>21.04</v>
      </c>
      <c r="H1073" s="62" t="n">
        <v>112.159</v>
      </c>
      <c r="I1073" s="65" t="n"/>
      <c r="J1073" s="62">
        <f>H1073*(1-$I$4)</f>
        <v/>
      </c>
      <c r="K1073" s="63">
        <f>G1073*J1073</f>
        <v/>
      </c>
      <c r="L1073" s="33" t="inlineStr">
        <is>
          <t>/</t>
        </is>
      </c>
      <c r="M1073" s="64" t="n"/>
      <c r="O1073" t="n">
        <v>50</v>
      </c>
      <c r="P1073" s="35" t="inlineStr">
        <is>
          <t>差:-62.16元 (-55.4%) 来源:会所合并</t>
        </is>
      </c>
      <c r="Q1073" s="35" t="n"/>
      <c r="R1073" s="35" t="n"/>
    </row>
    <row r="1074" outlineLevel="2" ht="72" customFormat="1" customHeight="1" s="39">
      <c r="A1074" s="37">
        <f>1+N(A1073)</f>
        <v/>
      </c>
      <c r="B1074" s="27" t="inlineStr">
        <is>
          <t>条形空调风口（80mm）</t>
        </is>
      </c>
      <c r="C1074" s="27" t="inlineStr">
        <is>
          <t>1.条形空调风口（80mm）；
2.风口周边阻燃板封边加固处理；
3.包含完成该项内容所有工作及费用并满足设计图纸、规范等要求；</t>
        </is>
      </c>
      <c r="D1074" s="27" t="inlineStr">
        <is>
          <t>自现有现场条件下按照合同约定范围、图纸（含设计变更）及甲方要求内容以及规范、标准、相关做法等要求完成并达到总包合同全部目标的全部工作内容。</t>
        </is>
      </c>
      <c r="E1074" s="27" t="inlineStr">
        <is>
          <t>依据经承包人确认的施工部位,按设计图示尺寸以延长米计算。</t>
        </is>
      </c>
      <c r="F1074" s="28" t="inlineStr">
        <is>
          <t>m</t>
        </is>
      </c>
      <c r="G1074" s="61" t="n">
        <v>10</v>
      </c>
      <c r="H1074" s="62" t="n">
        <v>109.74</v>
      </c>
      <c r="I1074" s="65" t="n"/>
      <c r="J1074" s="62">
        <f>H1074*(1-$I$4)</f>
        <v/>
      </c>
      <c r="K1074" s="63">
        <f>G1074*J1074</f>
        <v/>
      </c>
      <c r="L1074" s="33" t="inlineStr">
        <is>
          <t>空调风口</t>
        </is>
      </c>
      <c r="M1074" s="64" t="n"/>
      <c r="O1074" t="n">
        <v>30</v>
      </c>
      <c r="P1074" s="35" t="inlineStr">
        <is>
          <t>差:-79.74元 (-72.7%) 来源:会所合并</t>
        </is>
      </c>
      <c r="Q1074" s="35" t="n"/>
      <c r="R1074" s="35" t="n"/>
    </row>
    <row r="1075" outlineLevel="2" ht="192" customFormat="1" customHeight="1" s="39">
      <c r="A1075" s="37">
        <f>1+N(A1074)</f>
        <v/>
      </c>
      <c r="B1075" s="27" t="inlineStr">
        <is>
          <t>天花肌理无机涂料PT-01</t>
        </is>
      </c>
      <c r="C1075" s="27" t="inlineStr">
        <is>
          <t>1.天花肌理无机涂料PT-01；
2.刮腻子二遍磨平；
3.底漆1遍，面漆2遍；
4.包含完成该项内容所有工作及费用并满足设计图纸、规范等要求；</t>
        </is>
      </c>
      <c r="D1075" s="27" t="inlineStr">
        <is>
          <t>包括但不限于材料计划、采购、卸车倒运、保管、检验试验费、测量放线，包含四周阴角找平直、含天棚四周阴角找平直，打磨，简易脚手架搭拆及操作平台、升降机，基层清理、打磨平整、底层找补、满刮涂料（含阴阳角塑料条）、涂料打磨、补遗处理、配合其他分包施工、完工后场清、成品保护、保修等直到达到竣工交付标准的全部工作内容。包括所有为完成工作所需的小型机具；包括所有为完成工作所需的附属工作；包括但不限于以上内容。</t>
        </is>
      </c>
      <c r="E1075" s="27" t="inlineStr">
        <is>
          <t>执行《GB/T50854-2024房屋建筑与装饰工程工程量计算标准》，按设计图示尺寸以面积计算。扣除0.3平方米以上洞口的面积；梁侧面及檐口天棚并入天棚计算；以设计图纸和技术交底为基础</t>
        </is>
      </c>
      <c r="F1075" s="28" t="inlineStr">
        <is>
          <t>m2</t>
        </is>
      </c>
      <c r="G1075" s="61" t="n">
        <v>4.59</v>
      </c>
      <c r="H1075" s="62" t="n">
        <v>48.38</v>
      </c>
      <c r="I1075" s="65" t="n"/>
      <c r="J1075" s="62">
        <f>H1075*(1-$I$4)</f>
        <v/>
      </c>
      <c r="K1075" s="63">
        <f>G1075*J1075</f>
        <v/>
      </c>
      <c r="L1075" s="33" t="inlineStr">
        <is>
          <t>涂料</t>
        </is>
      </c>
      <c r="M1075" s="64" t="n"/>
      <c r="O1075" t="n">
        <v>45</v>
      </c>
      <c r="P1075" s="35" t="inlineStr">
        <is>
          <t>差:-3.38元 (-7.0%) 来源:售楼处</t>
        </is>
      </c>
      <c r="Q1075" s="35" t="n"/>
      <c r="R1075" s="35" t="n"/>
    </row>
    <row r="1076" outlineLevel="2" ht="72" customFormat="1" customHeight="1" s="39">
      <c r="A1076" s="37">
        <f>1+N(A1075)</f>
        <v/>
      </c>
      <c r="B1076" s="27" t="inlineStr">
        <is>
          <t>MT-06深色不锈钢线条</t>
        </is>
      </c>
      <c r="C1076" s="27" t="inlineStr">
        <is>
          <t>1、MT-06深色不锈钢线条（宽为40mm），结构胶固定
2、9厘玻镁板基层
3、包含完成该项内容所有工作及费用并满足设计图纸、规范等要求</t>
        </is>
      </c>
      <c r="D1076" s="27" t="inlineStr">
        <is>
          <t>自现有现场条件下按照合同约定范围、图纸（含设计变更）及甲方要求内容以及规范、标准、相关做法等要求完成并达到总包合同全部目标的全部工作内容。</t>
        </is>
      </c>
      <c r="E1076" s="27" t="inlineStr">
        <is>
          <t>依据经承包人确认的施工部位,按设计图示尺寸以延长米计算。</t>
        </is>
      </c>
      <c r="F1076" s="28" t="inlineStr">
        <is>
          <t>m</t>
        </is>
      </c>
      <c r="G1076" s="61" t="n">
        <v>9.84</v>
      </c>
      <c r="H1076" s="62" t="n">
        <v>64.24509999999999</v>
      </c>
      <c r="I1076" s="65" t="n"/>
      <c r="J1076" s="62">
        <f>H1076*(1-$I$4)</f>
        <v/>
      </c>
      <c r="K1076" s="63">
        <f>G1076*J1076</f>
        <v/>
      </c>
      <c r="L1076" s="33" t="inlineStr">
        <is>
          <t>/</t>
        </is>
      </c>
      <c r="M1076" s="64" t="n"/>
      <c r="O1076" t="n">
        <v>12</v>
      </c>
      <c r="P1076" s="35" t="inlineStr">
        <is>
          <t>差:-52.25元 (-81.3%) 来源:会所合并</t>
        </is>
      </c>
      <c r="Q1076" s="35" t="n"/>
      <c r="R1076" s="35" t="n"/>
    </row>
    <row r="1077" outlineLevel="1" customFormat="1" s="39">
      <c r="A1077" s="36" t="n"/>
      <c r="B1077" s="27" t="inlineStr">
        <is>
          <t>门窗、家具工程</t>
        </is>
      </c>
      <c r="C1077" s="27" t="n"/>
      <c r="D1077" s="27" t="n"/>
      <c r="E1077" s="27" t="n"/>
      <c r="F1077" s="28" t="n"/>
      <c r="G1077" s="61" t="n"/>
      <c r="H1077" s="62" t="n"/>
      <c r="I1077" s="65" t="n"/>
      <c r="J1077" s="62" t="n"/>
      <c r="K1077" s="63" t="n"/>
      <c r="L1077" s="33" t="n"/>
      <c r="M1077" s="64" t="n"/>
      <c r="P1077" s="35" t="n"/>
      <c r="Q1077" s="35" t="n"/>
      <c r="R1077" s="35" t="n"/>
    </row>
    <row r="1078" outlineLevel="2" ht="72" customFormat="1" customHeight="1" s="39">
      <c r="A1078" s="37">
        <f>1+N(A1077)</f>
        <v/>
      </c>
      <c r="B1078" s="27" t="inlineStr">
        <is>
          <t>电梯扶手</t>
        </is>
      </c>
      <c r="C1078" s="27" t="inlineStr">
        <is>
          <t>1、ST-04石材、古铜不锈钢、UP-01皮革
2、定制成品扶手制安
3、包含完成该项内容所有工作及费用并满足设计图纸、规范等要求</t>
        </is>
      </c>
      <c r="D1078" s="27" t="inlineStr">
        <is>
          <t>自现有现场条件下按照合同约定范围、图纸（含设计变更）及甲方要求内容以及规范、标准、相关做法等要求完成并达到总包合同全部目标的全部工作内容。</t>
        </is>
      </c>
      <c r="E1078" s="27" t="inlineStr">
        <is>
          <t>按设计图示以扶手中心线长度计算</t>
        </is>
      </c>
      <c r="F1078" s="28" t="inlineStr">
        <is>
          <t>m</t>
        </is>
      </c>
      <c r="G1078" s="61" t="n">
        <v>8.32</v>
      </c>
      <c r="H1078" s="62" t="n">
        <v>3569.5</v>
      </c>
      <c r="I1078" s="65" t="n"/>
      <c r="J1078" s="62">
        <f>H1078*(1-$I$4)</f>
        <v/>
      </c>
      <c r="K1078" s="63">
        <f>G1078*J1078</f>
        <v/>
      </c>
      <c r="L1078" s="33" t="inlineStr">
        <is>
          <t>/</t>
        </is>
      </c>
      <c r="M1078" s="64" t="n"/>
      <c r="O1078" t="n">
        <v>35</v>
      </c>
      <c r="P1078" s="35" t="inlineStr">
        <is>
          <t>差:-3534.50元 (-99.0%) 来源:会所合并</t>
        </is>
      </c>
      <c r="Q1078" s="35" t="n"/>
      <c r="R1078" s="35" t="n"/>
    </row>
    <row r="1079" customFormat="1" s="4">
      <c r="A1079" s="40" t="n"/>
      <c r="B1079" s="27" t="inlineStr">
        <is>
          <t>合计</t>
        </is>
      </c>
      <c r="C1079" s="27" t="n"/>
      <c r="D1079" s="27" t="n"/>
      <c r="E1079" s="27" t="n"/>
      <c r="F1079" s="28" t="n"/>
      <c r="G1079" s="61" t="n"/>
      <c r="H1079" s="62" t="n"/>
      <c r="I1079" s="65" t="n"/>
      <c r="J1079" s="62" t="n"/>
      <c r="K1079" s="66" t="n"/>
      <c r="L1079" s="33" t="n"/>
      <c r="M1079" s="64" t="n"/>
      <c r="P1079" s="35" t="n"/>
    </row>
    <row r="1080" customFormat="1" s="39">
      <c r="A1080" s="26" t="inlineStr">
        <is>
          <t>A</t>
        </is>
      </c>
      <c r="B1080" s="20" t="inlineStr">
        <is>
          <t>负一层</t>
        </is>
      </c>
      <c r="C1080" s="27" t="n"/>
      <c r="D1080" s="27" t="n"/>
      <c r="E1080" s="27" t="n"/>
      <c r="F1080" s="28" t="n"/>
      <c r="G1080" s="61" t="n"/>
      <c r="H1080" s="62" t="n"/>
      <c r="I1080" s="65" t="n"/>
      <c r="J1080" s="62" t="n"/>
      <c r="K1080" s="63" t="n"/>
      <c r="L1080" s="33" t="n"/>
      <c r="M1080" s="64" t="n"/>
      <c r="P1080" s="35" t="n"/>
      <c r="Q1080" s="35" t="n"/>
      <c r="R1080" s="35" t="n"/>
    </row>
    <row r="1081" outlineLevel="1" customFormat="1" s="39">
      <c r="A1081" s="26" t="inlineStr">
        <is>
          <t>一</t>
        </is>
      </c>
      <c r="B1081" s="27" t="inlineStr">
        <is>
          <t>一单元合用前室</t>
        </is>
      </c>
      <c r="C1081" s="27" t="n"/>
      <c r="D1081" s="27" t="n"/>
      <c r="E1081" s="27" t="n"/>
      <c r="F1081" s="28" t="n"/>
      <c r="G1081" s="61" t="n"/>
      <c r="H1081" s="62" t="n"/>
      <c r="I1081" s="65" t="n"/>
      <c r="J1081" s="62" t="n"/>
      <c r="K1081" s="63" t="n"/>
      <c r="L1081" s="33" t="n"/>
      <c r="M1081" s="64" t="n"/>
      <c r="P1081" s="35" t="n"/>
      <c r="Q1081" s="35" t="n"/>
      <c r="R1081" s="35" t="n"/>
    </row>
    <row r="1082" outlineLevel="1" customFormat="1" s="39">
      <c r="A1082" s="36" t="n"/>
      <c r="B1082" s="27" t="inlineStr">
        <is>
          <t>地面工程</t>
        </is>
      </c>
      <c r="C1082" s="27" t="n"/>
      <c r="D1082" s="27" t="n"/>
      <c r="E1082" s="27" t="n"/>
      <c r="F1082" s="28" t="n"/>
      <c r="G1082" s="61" t="n"/>
      <c r="H1082" s="62" t="n"/>
      <c r="I1082" s="65" t="n"/>
      <c r="J1082" s="62" t="n"/>
      <c r="K1082" s="63" t="n"/>
      <c r="L1082" s="33" t="n"/>
      <c r="M1082" s="64" t="n"/>
      <c r="P1082" s="35" t="n"/>
      <c r="Q1082" s="35" t="n"/>
      <c r="R1082" s="35" t="n"/>
    </row>
    <row r="1083" outlineLevel="2" ht="108" customFormat="1" customHeight="1" s="39">
      <c r="A1083" s="37">
        <f>1+N(A1082)</f>
        <v/>
      </c>
      <c r="B1083" s="27" t="inlineStr">
        <is>
          <t>地面铺贴大理石ST-01</t>
        </is>
      </c>
      <c r="C1083" s="27" t="inlineStr">
        <is>
          <t>1.地面20mm大理石ST-01、铺贴、厚度及样式按物料书为准；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1083"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083" s="27" t="inlineStr">
        <is>
          <t xml:space="preserve">执行《GB/T50854-2024房屋建筑与装饰工程工程量计算标准》，按设计图示尺寸
以面积计算。 </t>
        </is>
      </c>
      <c r="F1083" s="28" t="inlineStr">
        <is>
          <t>m2</t>
        </is>
      </c>
      <c r="G1083" s="61" t="n">
        <v>10.77</v>
      </c>
      <c r="H1083" s="62" t="n">
        <v>218.75017</v>
      </c>
      <c r="I1083" s="65" t="n"/>
      <c r="J1083" s="62">
        <f>H1083*(1-$I$4)</f>
        <v/>
      </c>
      <c r="K1083" s="63">
        <f>G1083*J1083</f>
        <v/>
      </c>
      <c r="L1083" s="33" t="inlineStr">
        <is>
          <t>石材</t>
        </is>
      </c>
      <c r="M1083" s="64" t="n"/>
      <c r="O1083" t="n">
        <v>130</v>
      </c>
      <c r="P1083" s="35" t="inlineStr">
        <is>
          <t>差:-88.75元 (-40.6%) 来源:售楼处</t>
        </is>
      </c>
      <c r="Q1083" s="35" t="n"/>
      <c r="R1083" s="35" t="n"/>
    </row>
    <row r="1084" outlineLevel="2" ht="108" customFormat="1" customHeight="1" s="39">
      <c r="A1084" s="37">
        <f>1+N(A1083)</f>
        <v/>
      </c>
      <c r="B1084" s="27" t="inlineStr">
        <is>
          <t>地面铺贴大理石ST-01.02拼花</t>
        </is>
      </c>
      <c r="C1084" s="27" t="inlineStr">
        <is>
          <t>1.地面20mm大理石拼花、参考3F-DF-01样式、ST-01、ST-02按物料书为准；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1084"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084" s="27" t="inlineStr">
        <is>
          <t xml:space="preserve">执行《GB/T50854-2024房屋建筑与装饰工程工程量计算标准》，按设计图示尺寸
以面积计算。 </t>
        </is>
      </c>
      <c r="F1084" s="28" t="inlineStr">
        <is>
          <t>m2</t>
        </is>
      </c>
      <c r="G1084" s="61" t="n">
        <v>16.52</v>
      </c>
      <c r="H1084" s="62" t="n">
        <v>242.35017</v>
      </c>
      <c r="I1084" s="65" t="n"/>
      <c r="J1084" s="62">
        <f>H1084*(1-$I$4)</f>
        <v/>
      </c>
      <c r="K1084" s="63">
        <f>G1084*J1084</f>
        <v/>
      </c>
      <c r="L1084" s="33" t="inlineStr">
        <is>
          <t>石材</t>
        </is>
      </c>
      <c r="M1084" s="64" t="n"/>
      <c r="O1084" t="n">
        <v>130</v>
      </c>
      <c r="P1084" s="35" t="inlineStr">
        <is>
          <t>差:-112.35元 (-46.4%) 来源:售楼处</t>
        </is>
      </c>
      <c r="Q1084" s="35" t="n"/>
      <c r="R1084" s="35" t="n"/>
    </row>
    <row r="1085" outlineLevel="2" ht="108" customFormat="1" customHeight="1" s="39">
      <c r="A1085" s="37">
        <f>1+N(A1084)</f>
        <v/>
      </c>
      <c r="B1085" s="27" t="inlineStr">
        <is>
          <t>实心铜条5mm宽</t>
        </is>
      </c>
      <c r="C1085" s="27" t="inlineStr">
        <is>
          <t>1.实心铜条5mm宽；
2.包含完成该项内容所有工作及费用并满足设计图纸、规范等要求；</t>
        </is>
      </c>
      <c r="D1085"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085" s="27" t="inlineStr">
        <is>
          <t>按设计图示尺寸以长度计算。</t>
        </is>
      </c>
      <c r="F1085" s="28" t="inlineStr">
        <is>
          <t>m</t>
        </is>
      </c>
      <c r="G1085" s="61" t="n">
        <v>17.27</v>
      </c>
      <c r="H1085" s="62" t="n">
        <v>89.267</v>
      </c>
      <c r="I1085" s="65" t="n"/>
      <c r="J1085" s="62">
        <f>H1085*(1-$I$4)</f>
        <v/>
      </c>
      <c r="K1085" s="63">
        <f>G1085*J1085</f>
        <v/>
      </c>
      <c r="L1085" s="33" t="inlineStr">
        <is>
          <t>/</t>
        </is>
      </c>
      <c r="M1085" s="64" t="n"/>
      <c r="O1085" t="n">
        <v>12</v>
      </c>
      <c r="P1085" s="35" t="inlineStr">
        <is>
          <t>差:-77.27元 (-86.6%) 来源:售楼处</t>
        </is>
      </c>
      <c r="Q1085" s="35" t="n"/>
      <c r="R1085" s="35" t="n"/>
    </row>
    <row r="1086" outlineLevel="2" ht="108" customFormat="1" customHeight="1" s="39">
      <c r="A1086" s="37">
        <f>1+N(A1085)</f>
        <v/>
      </c>
      <c r="B1086" s="27" t="inlineStr">
        <is>
          <t>地面石材晶面处理</t>
        </is>
      </c>
      <c r="C1086" s="27" t="inlineStr">
        <is>
          <t>1.石材结晶处理(结晶水及石材保养剂,中性清洁剂)；
2.包含完成该项内容所有工作及费用并满足设计图纸、规范等要求；</t>
        </is>
      </c>
      <c r="D1086"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086" s="27" t="inlineStr">
        <is>
          <t xml:space="preserve">执行《GB/T50854-2024房屋建筑与装饰工程工程量计算标准》，按设计图示尺寸
以面积计算。 </t>
        </is>
      </c>
      <c r="F1086" s="28" t="inlineStr">
        <is>
          <t>m2</t>
        </is>
      </c>
      <c r="G1086" s="61" t="n">
        <v>27.29</v>
      </c>
      <c r="H1086" s="62" t="n">
        <v>64.90000000000001</v>
      </c>
      <c r="I1086" s="65" t="n"/>
      <c r="J1086" s="62">
        <f>H1086*(1-$I$4)</f>
        <v/>
      </c>
      <c r="K1086" s="63">
        <f>G1086*J1086</f>
        <v/>
      </c>
      <c r="L1086" s="33" t="inlineStr">
        <is>
          <t>/</t>
        </is>
      </c>
      <c r="M1086" s="64" t="n"/>
      <c r="O1086" t="n">
        <v>40</v>
      </c>
      <c r="P1086" s="35" t="inlineStr">
        <is>
          <t>差:-24.90元 (-38.4%) 来源:售楼处</t>
        </is>
      </c>
      <c r="Q1086" s="35" t="n"/>
      <c r="R1086" s="35" t="n"/>
    </row>
    <row r="1087" outlineLevel="1" customFormat="1" s="39">
      <c r="A1087" s="36" t="n"/>
      <c r="B1087" s="27" t="inlineStr">
        <is>
          <t>墙面工程</t>
        </is>
      </c>
      <c r="C1087" s="27" t="n"/>
      <c r="D1087" s="27" t="n"/>
      <c r="E1087" s="27" t="n"/>
      <c r="F1087" s="28" t="n"/>
      <c r="G1087" s="61" t="n"/>
      <c r="H1087" s="62" t="n"/>
      <c r="I1087" s="65" t="n"/>
      <c r="J1087" s="62" t="n"/>
      <c r="K1087" s="63" t="n"/>
      <c r="L1087" s="33" t="n"/>
      <c r="M1087" s="64" t="n"/>
      <c r="P1087" s="35" t="n"/>
      <c r="Q1087" s="35" t="n"/>
      <c r="R1087" s="35" t="n"/>
    </row>
    <row r="1088" outlineLevel="2" ht="144" customFormat="1" customHeight="1" s="39">
      <c r="A1088" s="37">
        <f>1+N(A1087)</f>
        <v/>
      </c>
      <c r="B1088" s="27" t="inlineStr">
        <is>
          <t>墙面湿贴石材ST-05</t>
        </is>
      </c>
      <c r="C1088" s="27" t="inlineStr">
        <is>
          <t>1、墙面湿贴石材ST-05
2、8mm厚石材专用胶粘剂WC粘结层
3、界面剂拉毛处理
4、石材的开槽、磨边、倒角、粘接、形成所需之凹坑、抛光、六面防污防渗等一切处理费用均在主材费中考虑，不再另行计取
5、包含完成该项内容所有工作及费用并满足设计图纸、规范等要求</t>
        </is>
      </c>
      <c r="D1088" s="27" t="inlineStr">
        <is>
          <t>具体工作内容除详见项目特征外，且不限于以下内容:1.包含材料的下车、场内运输；2.清理基层、找标高、弹线定位；3.试拼试排；4.砂浆拌和、铺找平层（粘结层）砂浆；5.面层铺设、灌缝、擦缝；6.打蜡、养护；配合留设墙面开关、插座等末端设备等全部内容；包含成品保护、安全文明施工等达到验收合格的全部施工内容。</t>
        </is>
      </c>
      <c r="E1088" s="27" t="inlineStr">
        <is>
          <t>执行《GB/T50854-2024房屋建筑与装饰工程工程量计算标准》，按设计图示镶贴后外围面积计算</t>
        </is>
      </c>
      <c r="F1088" s="28" t="inlineStr">
        <is>
          <t>m2</t>
        </is>
      </c>
      <c r="G1088" s="61" t="n">
        <v>6.1</v>
      </c>
      <c r="H1088" s="62" t="n">
        <v>177</v>
      </c>
      <c r="I1088" s="65" t="n"/>
      <c r="J1088" s="62">
        <f>H1088*(1-$I$4)</f>
        <v/>
      </c>
      <c r="K1088" s="63">
        <f>G1088*J1088</f>
        <v/>
      </c>
      <c r="L1088" s="33" t="inlineStr">
        <is>
          <t>石材</t>
        </is>
      </c>
      <c r="M1088" s="64" t="n"/>
      <c r="O1088" t="n">
        <v>95</v>
      </c>
      <c r="P1088" s="35" t="inlineStr">
        <is>
          <t>差:-82.00元 (-46.3%) 来源:售楼处</t>
        </is>
      </c>
      <c r="Q1088" s="35" t="n"/>
      <c r="R1088" s="35" t="n"/>
    </row>
    <row r="1089" outlineLevel="2" ht="180" customFormat="1" customHeight="1" s="39">
      <c r="A1089" s="37">
        <f>1+N(A1088)</f>
        <v/>
      </c>
      <c r="B1089" s="27" t="inlineStr">
        <is>
          <t>墙面干挂ST-05石材</t>
        </is>
      </c>
      <c r="C1089" s="27" t="inlineStr">
        <is>
          <t>1、墙面干挂ST-05石材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is>
      </c>
      <c r="D1089"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089" s="27" t="inlineStr">
        <is>
          <t>执行《GB/T50854-2024房屋建筑与装饰工程工程量计算标准》，按设计图示镶贴后外围面积计算</t>
        </is>
      </c>
      <c r="F1089" s="28" t="inlineStr">
        <is>
          <t>m2</t>
        </is>
      </c>
      <c r="G1089" s="61" t="n">
        <v>27.67</v>
      </c>
      <c r="H1089" s="62" t="n">
        <v>318.6</v>
      </c>
      <c r="I1089" s="65" t="n"/>
      <c r="J1089" s="62">
        <f>H1089*(1-$I$4)</f>
        <v/>
      </c>
      <c r="K1089" s="63">
        <f>G1089*J1089</f>
        <v/>
      </c>
      <c r="L1089" s="33" t="inlineStr">
        <is>
          <t>石材</t>
        </is>
      </c>
      <c r="M1089" s="64" t="n"/>
      <c r="O1089" t="n">
        <v>145</v>
      </c>
      <c r="P1089" s="35" t="inlineStr">
        <is>
          <t>差:-173.60元 (-54.5%) 来源:售楼处</t>
        </is>
      </c>
      <c r="Q1089" s="35" t="n"/>
      <c r="R1089" s="35" t="n"/>
    </row>
    <row r="1090" outlineLevel="2" ht="180" customFormat="1" customHeight="1" s="39">
      <c r="A1090" s="37">
        <f>1+N(A1089)</f>
        <v/>
      </c>
      <c r="B1090" s="27" t="inlineStr">
        <is>
          <t>WD-07摩素板</t>
        </is>
      </c>
      <c r="C1090" s="27" t="inlineStr">
        <is>
          <t>1、墙面WD-08摩素板(结构胶固定)
2、12厘玻镁板基层
3、膨胀螺栓、轻钢龙骨(钢结构)基层找平
4、包含完成该项内容所有工作及费用并满足设计图纸、规范等要求</t>
        </is>
      </c>
      <c r="D1090"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090" s="27" t="inlineStr">
        <is>
          <t>执行《GB/T50854-2024房屋建筑与装饰工程工程量计算标准》，按设计图示饰面外围尺寸
以面积计算。 扣除门窗洞口面积，不扣除单个面积≤0.3㎡的孔洞所占面积。</t>
        </is>
      </c>
      <c r="F1090" s="28" t="inlineStr">
        <is>
          <t>m2</t>
        </is>
      </c>
      <c r="G1090" s="61" t="n">
        <v>5.43</v>
      </c>
      <c r="H1090" s="62" t="n">
        <v>186.44</v>
      </c>
      <c r="I1090" s="65" t="n"/>
      <c r="J1090" s="62">
        <f>H1090*(1-$I$4)</f>
        <v/>
      </c>
      <c r="K1090" s="63">
        <f>G1090*J1090</f>
        <v/>
      </c>
      <c r="L1090" s="33" t="inlineStr">
        <is>
          <t>摩素板</t>
        </is>
      </c>
      <c r="M1090" s="64" t="n"/>
      <c r="O1090" t="n">
        <v>35</v>
      </c>
      <c r="P1090" s="35" t="inlineStr">
        <is>
          <t>差:-151.44元 (-81.2%) 来源:会所合并</t>
        </is>
      </c>
      <c r="Q1090" s="35" t="n"/>
      <c r="R1090" s="35" t="n"/>
    </row>
    <row r="1091" outlineLevel="2" ht="144" customFormat="1" customHeight="1" s="39">
      <c r="A1091" s="37">
        <f>1+N(A1090)</f>
        <v/>
      </c>
      <c r="B1091" s="27" t="inlineStr">
        <is>
          <t>墙面PT-01肌理无机涂料</t>
        </is>
      </c>
      <c r="C1091" s="27" t="inlineStr">
        <is>
          <t>1、墙面PT-01肌理无机涂料(底漆1遍，面漆2遍)
2、刮白胶腻子找平二遍，打磨
3、阴、阳角护角收边
4、双层9.5mm纸面石膏板
5、轻钢龙骨基层找平
6、包含完成该项内容所有工作及费用并满足设计图纸、规范等要求</t>
        </is>
      </c>
      <c r="D1091"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091" s="27" t="inlineStr">
        <is>
          <t xml:space="preserve">执行《GB/T50854-2024房屋建筑与装饰工程工程量计算标准》，按设计图示尺寸
以面积计算。 </t>
        </is>
      </c>
      <c r="F1091" s="28" t="inlineStr">
        <is>
          <t>m2</t>
        </is>
      </c>
      <c r="G1091" s="61" t="n">
        <v>29.82</v>
      </c>
      <c r="H1091" s="62" t="n">
        <v>207.68</v>
      </c>
      <c r="I1091" s="65" t="n"/>
      <c r="J1091" s="62">
        <f>H1091*(1-$I$4)</f>
        <v/>
      </c>
      <c r="K1091" s="63">
        <f>G1091*J1091</f>
        <v/>
      </c>
      <c r="L1091" s="33" t="inlineStr">
        <is>
          <t>涂料</t>
        </is>
      </c>
      <c r="M1091" s="64" t="n"/>
      <c r="O1091" t="n">
        <v>110</v>
      </c>
      <c r="P1091" s="35" t="inlineStr">
        <is>
          <t>差:-97.68元 (-47.0%) 来源:售楼处</t>
        </is>
      </c>
      <c r="Q1091" s="35" t="n"/>
      <c r="R1091" s="35" t="n"/>
    </row>
    <row r="1092" outlineLevel="2" ht="180" customFormat="1" customHeight="1" s="39">
      <c r="A1092" s="37">
        <f>1+N(A1091)</f>
        <v/>
      </c>
      <c r="B1092" s="27" t="inlineStr">
        <is>
          <t>不锈钢门套</t>
        </is>
      </c>
      <c r="C1092" s="27" t="inlineStr">
        <is>
          <t>1、1.2mm厚 MT-01古铜不锈钢门套，结构胶固定
2、9厘玻镁板基层
3、工程量以展开面积计算
4、包含完成该项内容所有工作及费用并满足设计图纸、规范等要求</t>
        </is>
      </c>
      <c r="D1092"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092" s="27" t="inlineStr">
        <is>
          <t>执行《GB/T50854-2024房屋建筑与装饰工程工程量计算标准》，按设计图示饰面外围尺寸
以面积计算。 扣除门窗洞口面积，不扣除单个面积≤0.3㎡的孔洞所占面积。</t>
        </is>
      </c>
      <c r="F1092" s="28" t="inlineStr">
        <is>
          <t>m2</t>
        </is>
      </c>
      <c r="G1092" s="61" t="n">
        <v>1.1</v>
      </c>
      <c r="H1092" s="62" t="n">
        <v>630.651</v>
      </c>
      <c r="I1092" s="65" t="n"/>
      <c r="J1092" s="62">
        <f>H1092*(1-$I$4)</f>
        <v/>
      </c>
      <c r="K1092" s="63">
        <f>G1092*J1092</f>
        <v/>
      </c>
      <c r="L1092" s="33" t="inlineStr">
        <is>
          <t>/</t>
        </is>
      </c>
      <c r="M1092" s="64" t="n"/>
      <c r="O1092" t="n">
        <v>110</v>
      </c>
      <c r="P1092" s="35" t="inlineStr">
        <is>
          <t>差:-520.65元 (-82.6%) 来源:售楼处</t>
        </is>
      </c>
      <c r="Q1092" s="35" t="n"/>
      <c r="R1092" s="35" t="n"/>
    </row>
    <row r="1093" outlineLevel="2" ht="180" customFormat="1" customHeight="1" s="39">
      <c r="A1093" s="37">
        <f>1+N(A1092)</f>
        <v/>
      </c>
      <c r="B1093" s="27" t="inlineStr">
        <is>
          <t>电梯不锈钢门套</t>
        </is>
      </c>
      <c r="C1093" s="27" t="inlineStr">
        <is>
          <t>1、1.2mm厚 MT-01古铜不锈钢门套，结构胶固定
2、9厘玻镁板基层
3、工程量以展开面积计算
4、包含完成该项内容所有工作及费用并满足设计图纸、规范等要求</t>
        </is>
      </c>
      <c r="D1093"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093" s="27" t="inlineStr">
        <is>
          <t>执行《GB/T50854-2024房屋建筑与装饰工程工程量计算标准》，按设计图示饰面外围尺寸
以面积计算。 扣除门窗洞口面积，不扣除单个面积≤0.3㎡的孔洞所占面积。</t>
        </is>
      </c>
      <c r="F1093" s="28" t="inlineStr">
        <is>
          <t>m2</t>
        </is>
      </c>
      <c r="G1093" s="61" t="n">
        <v>3.74</v>
      </c>
      <c r="H1093" s="62" t="n">
        <v>630.651</v>
      </c>
      <c r="I1093" s="65" t="n"/>
      <c r="J1093" s="62">
        <f>H1093*(1-$I$4)</f>
        <v/>
      </c>
      <c r="K1093" s="63">
        <f>G1093*J1093</f>
        <v/>
      </c>
      <c r="L1093" s="33" t="inlineStr">
        <is>
          <t>/</t>
        </is>
      </c>
      <c r="M1093" s="64" t="n"/>
      <c r="O1093" t="n">
        <v>110</v>
      </c>
      <c r="P1093" s="35" t="inlineStr">
        <is>
          <t>差:-520.65元 (-82.6%) 来源:售楼处</t>
        </is>
      </c>
      <c r="Q1093" s="35" t="n"/>
      <c r="R1093" s="35" t="n"/>
    </row>
    <row r="1094" outlineLevel="2" ht="180" customFormat="1" customHeight="1" s="39">
      <c r="A1094" s="37">
        <f>1+N(A1093)</f>
        <v/>
      </c>
      <c r="B1094" s="27" t="inlineStr">
        <is>
          <t>电梯不锈钢门头</t>
        </is>
      </c>
      <c r="C1094" s="27" t="inlineStr">
        <is>
          <t>1、1.2mm厚 MT-01古铜不锈钢门头，结构胶固定
2、12mm阻燃板，轻钢副龙骨@400
3、电梯门顶内置亚克力，内部面层刮白处理
4、工程量以展开面积计算
5、包含完成该项内容所有工作及费用并满足设计图纸、规范等要求</t>
        </is>
      </c>
      <c r="D1094"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094" s="27" t="inlineStr">
        <is>
          <t>执行《GB/T50854-2024房屋建筑与装饰工程工程量计算标准》，按设计图示饰面外围尺寸
以面积计算。 扣除门窗洞口面积，不扣除单个面积≤0.3㎡的孔洞所占面积。</t>
        </is>
      </c>
      <c r="F1094" s="28" t="inlineStr">
        <is>
          <t>m2</t>
        </is>
      </c>
      <c r="G1094" s="61" t="n">
        <v>1.38</v>
      </c>
      <c r="H1094" s="62" t="n">
        <v>812.961</v>
      </c>
      <c r="I1094" s="65" t="n"/>
      <c r="J1094" s="62">
        <f>H1094*(1-$I$4)</f>
        <v/>
      </c>
      <c r="K1094" s="63">
        <f>G1094*J1094</f>
        <v/>
      </c>
      <c r="L1094" s="33" t="inlineStr">
        <is>
          <t>/</t>
        </is>
      </c>
      <c r="M1094" s="64" t="n"/>
      <c r="O1094" t="n">
        <v>110</v>
      </c>
      <c r="P1094" s="35" t="inlineStr">
        <is>
          <t>差:-702.96元 (-86.5%) 来源:售楼处</t>
        </is>
      </c>
      <c r="Q1094" s="35" t="n"/>
      <c r="R1094" s="35" t="n"/>
    </row>
    <row r="1095" outlineLevel="2" ht="180" customFormat="1" customHeight="1" s="39">
      <c r="A1095" s="37">
        <f>1+N(A1094)</f>
        <v/>
      </c>
      <c r="B1095" s="27" t="inlineStr">
        <is>
          <t>MT-01古铜不锈钢饰面（电梯按钮处）</t>
        </is>
      </c>
      <c r="C1095" s="27" t="inlineStr">
        <is>
          <t>1、1.2mm厚 MT-01古铜不锈钢饰面
2、12mm阻燃板基层，轻钢副龙骨@400
3、工程量以展开面积计算
4、包含完成该项内容所有工作及费用并满足设计图纸、规范等要求</t>
        </is>
      </c>
      <c r="D1095"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095" s="27" t="inlineStr">
        <is>
          <t>执行《GB/T50854-2024房屋建筑与装饰工程工程量计算标准》，按设计图示饰面外围尺寸
以面积计算。 扣除门窗洞口面积，不扣除单个面积≤0.3㎡的孔洞所占面积。</t>
        </is>
      </c>
      <c r="F1095" s="28" t="inlineStr">
        <is>
          <t>m2</t>
        </is>
      </c>
      <c r="G1095" s="61" t="n">
        <v>0.26</v>
      </c>
      <c r="H1095" s="62" t="n">
        <v>295</v>
      </c>
      <c r="I1095" s="65" t="n"/>
      <c r="J1095" s="62">
        <f>H1095*(1-$I$4)</f>
        <v/>
      </c>
      <c r="K1095" s="63">
        <f>G1095*J1095</f>
        <v/>
      </c>
      <c r="L1095" s="33" t="inlineStr">
        <is>
          <t>不锈钢饰面</t>
        </is>
      </c>
      <c r="M1095" s="64" t="n"/>
      <c r="O1095" t="n">
        <v>110</v>
      </c>
      <c r="P1095" s="35" t="inlineStr">
        <is>
          <t>差:-185.00元 (-62.7%) 来源:售楼处</t>
        </is>
      </c>
      <c r="Q1095" s="35" t="n"/>
      <c r="R1095" s="35" t="n"/>
    </row>
    <row r="1096" outlineLevel="2" ht="144" customFormat="1" customHeight="1" s="39">
      <c r="A1096" s="37">
        <f>1+N(A1095)</f>
        <v/>
      </c>
      <c r="B1096" s="27" t="inlineStr">
        <is>
          <t>MT-01古铜不锈钢踢脚线（高20mm）</t>
        </is>
      </c>
      <c r="C1096" s="27" t="inlineStr">
        <is>
          <t>1、1.2mm厚 MT-01古铜不锈钢踢脚线（高20mm，展开面为46mm），结构胶固定
2、9厘玻镁板基层
3、包含完成该项内容所有工作及费用并满足设计图纸、规范等要求</t>
        </is>
      </c>
      <c r="D1096"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096" s="27" t="inlineStr">
        <is>
          <t>按设计图示尺寸以长度计算。</t>
        </is>
      </c>
      <c r="F1096" s="28" t="inlineStr">
        <is>
          <t>m</t>
        </is>
      </c>
      <c r="G1096" s="61" t="n">
        <v>24.62</v>
      </c>
      <c r="H1096" s="62" t="n">
        <v>31.86</v>
      </c>
      <c r="I1096" s="65" t="n"/>
      <c r="J1096" s="62">
        <f>H1096*(1-$I$4)</f>
        <v/>
      </c>
      <c r="K1096" s="63">
        <f>G1096*J1096</f>
        <v/>
      </c>
      <c r="L1096" s="33" t="inlineStr">
        <is>
          <t>不锈钢踢脚线</t>
        </is>
      </c>
      <c r="M1096" s="64" t="n"/>
      <c r="O1096" t="n">
        <v>12</v>
      </c>
      <c r="P1096" s="35" t="inlineStr">
        <is>
          <t>差:-19.86元 (-62.3%) 来源:售楼处</t>
        </is>
      </c>
      <c r="Q1096" s="35" t="n"/>
      <c r="R1096" s="35" t="n"/>
    </row>
    <row r="1097" outlineLevel="2" ht="144" customFormat="1" customHeight="1" s="39">
      <c r="A1097" s="37">
        <f>1+N(A1096)</f>
        <v/>
      </c>
      <c r="B1097" s="27" t="inlineStr">
        <is>
          <t>MT-01古铜不锈钢线条（展开面为51mm）</t>
        </is>
      </c>
      <c r="C1097" s="27" t="inlineStr">
        <is>
          <t>1、1.2mm厚 MT-01古铜不锈钢线条（展开面为51mm），结构胶固定
2、9厘玻镁板基层
3、包含完成该项内容所有工作及费用并满足设计图纸、规范等要求</t>
        </is>
      </c>
      <c r="D1097"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097" s="27" t="inlineStr">
        <is>
          <t>按设计图示尺寸以长度计算。</t>
        </is>
      </c>
      <c r="F1097" s="28" t="inlineStr">
        <is>
          <t>m</t>
        </is>
      </c>
      <c r="G1097" s="61" t="n">
        <v>10.07</v>
      </c>
      <c r="H1097" s="62" t="n">
        <v>71.90212</v>
      </c>
      <c r="I1097" s="65" t="n"/>
      <c r="J1097" s="62">
        <f>H1097*(1-$I$4)</f>
        <v/>
      </c>
      <c r="K1097" s="63">
        <f>G1097*J1097</f>
        <v/>
      </c>
      <c r="L1097" s="33" t="inlineStr">
        <is>
          <t>/</t>
        </is>
      </c>
      <c r="M1097" s="64" t="n"/>
      <c r="O1097" t="n">
        <v>12</v>
      </c>
      <c r="P1097" s="35" t="inlineStr">
        <is>
          <t>差:-59.90元 (-83.3%) 来源:会所合并</t>
        </is>
      </c>
      <c r="Q1097" s="35" t="n"/>
      <c r="R1097" s="35" t="n"/>
    </row>
    <row r="1098" outlineLevel="2" ht="144" customFormat="1" customHeight="1" s="39">
      <c r="A1098" s="37">
        <f>1+N(A1097)</f>
        <v/>
      </c>
      <c r="B1098" s="27" t="inlineStr">
        <is>
          <t>MT-01古铜不锈钢线条（展开面为114mm）</t>
        </is>
      </c>
      <c r="C1098" s="27" t="inlineStr">
        <is>
          <t>1、1.2mm厚 MT-01古铜不锈钢线条（展开面为114mm），结构胶固定
2、9厘玻镁板基层
3、包含完成该项内容所有工作及费用并满足设计图纸、规范等要求</t>
        </is>
      </c>
      <c r="D1098"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098" s="27" t="inlineStr">
        <is>
          <t>按设计图示尺寸以长度计算。</t>
        </is>
      </c>
      <c r="F1098" s="28" t="inlineStr">
        <is>
          <t>m</t>
        </is>
      </c>
      <c r="G1098" s="61" t="n">
        <v>10.8</v>
      </c>
      <c r="H1098" s="62" t="n">
        <v>117.84424</v>
      </c>
      <c r="I1098" s="65" t="n"/>
      <c r="J1098" s="62">
        <f>H1098*(1-$I$4)</f>
        <v/>
      </c>
      <c r="K1098" s="63">
        <f>G1098*J1098</f>
        <v/>
      </c>
      <c r="L1098" s="33" t="inlineStr">
        <is>
          <t>/</t>
        </is>
      </c>
      <c r="M1098" s="64" t="n"/>
      <c r="O1098" t="n">
        <v>22</v>
      </c>
      <c r="P1098" s="35" t="inlineStr">
        <is>
          <t>差:-95.84元 (-81.3%) 来源:售楼处</t>
        </is>
      </c>
      <c r="Q1098" s="35" t="n"/>
      <c r="R1098" s="35" t="n"/>
    </row>
    <row r="1099" outlineLevel="2" ht="144" customFormat="1" customHeight="1" s="39">
      <c r="A1099" s="37">
        <f>1+N(A1098)</f>
        <v/>
      </c>
      <c r="B1099" s="27" t="inlineStr">
        <is>
          <t>MT-01古铜不锈钢顶部收口条（展开面为41mm）</t>
        </is>
      </c>
      <c r="C1099" s="27" t="inlineStr">
        <is>
          <t>1、1.2mm厚 MT-01古铜不锈钢顶部收口条（展开面为41mm），结构胶固定
2、9厘玻镁板基层
3、包含完成该项内容所有工作及费用并满足设计图纸、规范等要求</t>
        </is>
      </c>
      <c r="D1099"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099" s="27" t="inlineStr">
        <is>
          <t>按设计图示尺寸以长度计算。</t>
        </is>
      </c>
      <c r="F1099" s="28" t="inlineStr">
        <is>
          <t>m</t>
        </is>
      </c>
      <c r="G1099" s="61" t="n">
        <v>25.48</v>
      </c>
      <c r="H1099" s="62" t="n">
        <v>64.24509999999999</v>
      </c>
      <c r="I1099" s="65" t="n"/>
      <c r="J1099" s="62">
        <f>H1099*(1-$I$4)</f>
        <v/>
      </c>
      <c r="K1099" s="63">
        <f>G1099*J1099</f>
        <v/>
      </c>
      <c r="L1099" s="33" t="inlineStr">
        <is>
          <t>/</t>
        </is>
      </c>
      <c r="M1099" s="64" t="n"/>
      <c r="O1099" t="n">
        <v>12</v>
      </c>
      <c r="P1099" s="35" t="inlineStr">
        <is>
          <t>差:-52.25元 (-81.3%) 来源:售楼处</t>
        </is>
      </c>
      <c r="Q1099" s="35" t="n"/>
      <c r="R1099" s="35" t="n"/>
    </row>
    <row r="1100" outlineLevel="1" customFormat="1" s="39">
      <c r="A1100" s="36" t="n"/>
      <c r="B1100" s="27" t="inlineStr">
        <is>
          <t>天花工程</t>
        </is>
      </c>
      <c r="C1100" s="27" t="n"/>
      <c r="D1100" s="27" t="n"/>
      <c r="E1100" s="27" t="n"/>
      <c r="F1100" s="28" t="n"/>
      <c r="G1100" s="61" t="n"/>
      <c r="H1100" s="62" t="n"/>
      <c r="I1100" s="65" t="n"/>
      <c r="J1100" s="62" t="n"/>
      <c r="K1100" s="63" t="n"/>
      <c r="L1100" s="33" t="n"/>
      <c r="M1100" s="64" t="n"/>
      <c r="P1100" s="35" t="n"/>
      <c r="Q1100" s="35" t="n"/>
      <c r="R1100" s="35" t="n"/>
    </row>
    <row r="1101" outlineLevel="2" ht="192" customFormat="1" customHeight="1" s="39">
      <c r="A1101" s="37">
        <f>1+N(A1100)</f>
        <v/>
      </c>
      <c r="B1101" s="27" t="inlineStr">
        <is>
          <t>石膏板吊顶</t>
        </is>
      </c>
      <c r="C1101" s="27" t="inlineStr">
        <is>
          <t>1.60系列轻钢主龙骨@900，60系列轻钢副龙骨@400，60系列横撑龙骨@600，08螺纹吊杆@900不上人天花吊顶（投影面计算）
2.玻镁板、双层9.5厚石膏板基层，含开孔、检修口、10*10凹槽等费用；
3.含除灯槽外的侧面高差及其连接件、吊件；
4.包含完成该项内容所有工作及费用并满足设计图纸、规范等要求；</t>
        </is>
      </c>
      <c r="D1101" s="27" t="inlineStr">
        <is>
          <t>1.基层清理。
2.弹线定位、排版。
3.吊杆及连接件安装调平、收口及密封处理。
4.材料切割处理找平、石膏板安装及调整，打胶密封与清理.
5.收口及其他处理：检修口等制作安装、收边收口、配合预留安装、机电等专业孔洞及孔洞收口处理。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1101" s="27" t="inlineStr">
        <is>
          <t>按设计图示尺寸以水平投影面积计算。不扣除间壁墙、检查口、附墙烟囱、柱垛和管道所占面积,扣除单个&gt;0.3m3的孔洞、非密拼吊顶空隙所占的面积、独立柱及与天棚相连的窗帘盒所占的面积。</t>
        </is>
      </c>
      <c r="F1101" s="28" t="inlineStr">
        <is>
          <t>m2</t>
        </is>
      </c>
      <c r="G1101" s="61" t="n">
        <v>27.95</v>
      </c>
      <c r="H1101" s="62" t="n">
        <v>150.712222222222</v>
      </c>
      <c r="I1101" s="65" t="n"/>
      <c r="J1101" s="62">
        <f>H1101*(1-$I$4)</f>
        <v/>
      </c>
      <c r="K1101" s="63">
        <f>G1101*J1101</f>
        <v/>
      </c>
      <c r="L1101" s="33" t="inlineStr">
        <is>
          <t>/</t>
        </is>
      </c>
      <c r="M1101" s="64" t="n"/>
      <c r="O1101" t="n">
        <v>70</v>
      </c>
      <c r="P1101" s="35" t="inlineStr">
        <is>
          <t>差:-80.71元 (-53.6%) 来源:会所合并</t>
        </is>
      </c>
      <c r="Q1101" s="35" t="n"/>
      <c r="R1101" s="35" t="n"/>
    </row>
    <row r="1102" outlineLevel="2" ht="72" customFormat="1" customHeight="1" s="39">
      <c r="A1102" s="37">
        <f>1+N(A1101)</f>
        <v/>
      </c>
      <c r="B1102" s="27" t="inlineStr">
        <is>
          <t>灯槽（100mm*250mm）</t>
        </is>
      </c>
      <c r="C1102" s="27" t="inlineStr">
        <is>
          <t>1.灯槽（100mm*250mm）；
2.双层板：9mm玻镁板、9.5厚石膏板；
3.包含完成该项内容所有工作及费用并满足设计图纸、规范等要求；</t>
        </is>
      </c>
      <c r="D1102" s="27" t="inlineStr">
        <is>
          <t>自现有现场条件下按照合同约定范围、图纸（含设计变更）及甲方要求内容以及规范、标准、相关做法等要求完成并达到总包合同全部目标的全部工作内容。</t>
        </is>
      </c>
      <c r="E1102" s="27" t="inlineStr">
        <is>
          <t>依据经承包人确认的施工部位,按设计图示尺寸以延长米计算。</t>
        </is>
      </c>
      <c r="F1102" s="28" t="inlineStr">
        <is>
          <t>m</t>
        </is>
      </c>
      <c r="G1102" s="61" t="n">
        <v>17.29</v>
      </c>
      <c r="H1102" s="62" t="n">
        <v>112.159</v>
      </c>
      <c r="I1102" s="65" t="n"/>
      <c r="J1102" s="62">
        <f>H1102*(1-$I$4)</f>
        <v/>
      </c>
      <c r="K1102" s="63">
        <f>G1102*J1102</f>
        <v/>
      </c>
      <c r="L1102" s="33" t="inlineStr">
        <is>
          <t>/</t>
        </is>
      </c>
      <c r="M1102" s="64" t="n"/>
      <c r="O1102" t="n">
        <v>50</v>
      </c>
      <c r="P1102" s="35" t="inlineStr">
        <is>
          <t>差:-62.16元 (-55.4%) 来源:会所合并</t>
        </is>
      </c>
      <c r="Q1102" s="35" t="n"/>
      <c r="R1102" s="35" t="n"/>
    </row>
    <row r="1103" outlineLevel="2" ht="72" customFormat="1" customHeight="1" s="39">
      <c r="A1103" s="37">
        <f>1+N(A1102)</f>
        <v/>
      </c>
      <c r="B1103" s="27" t="inlineStr">
        <is>
          <t>成品石膏线条</t>
        </is>
      </c>
      <c r="C1103" s="27" t="inlineStr">
        <is>
          <t>1.成品石膏线条（50mm*50mm）；
2.按图纸造型；
3.包含完成该项内容所有工作及费用并满足设计图纸、规范等要求；</t>
        </is>
      </c>
      <c r="D1103" s="27" t="inlineStr">
        <is>
          <t>自现有现场条件下按照合同约定范围、图纸（含设计变更）及甲方要求内容以及规范、标准、相关做法等要求完成并达到总包合同全部目标的全部工作内容。</t>
        </is>
      </c>
      <c r="E1103" s="27" t="inlineStr">
        <is>
          <t>依据经承包人确认的施工部位,按设计图示尺寸以延长米计算。</t>
        </is>
      </c>
      <c r="F1103" s="28" t="inlineStr">
        <is>
          <t>m</t>
        </is>
      </c>
      <c r="G1103" s="61" t="n">
        <v>17.29</v>
      </c>
      <c r="H1103" s="62" t="n">
        <v>20.06</v>
      </c>
      <c r="I1103" s="65" t="n"/>
      <c r="J1103" s="62">
        <f>H1103*(1-$I$4)</f>
        <v/>
      </c>
      <c r="K1103" s="63">
        <f>G1103*J1103</f>
        <v/>
      </c>
      <c r="L1103" s="33" t="inlineStr">
        <is>
          <t>成品石膏线条</t>
        </is>
      </c>
      <c r="M1103" s="64" t="n"/>
      <c r="O1103" t="n">
        <v>18</v>
      </c>
      <c r="P1103" s="35" t="inlineStr">
        <is>
          <t>差:-2.06元 (-10.3%) 来源:售楼处</t>
        </is>
      </c>
      <c r="Q1103" s="35" t="n"/>
      <c r="R1103" s="35" t="n"/>
    </row>
    <row r="1104" outlineLevel="2" ht="72" customFormat="1" customHeight="1" s="39">
      <c r="A1104" s="37">
        <f>1+N(A1103)</f>
        <v/>
      </c>
      <c r="B1104" s="27" t="inlineStr">
        <is>
          <t>条形空调风口（150mm）</t>
        </is>
      </c>
      <c r="C1104" s="27" t="inlineStr">
        <is>
          <t>1.条形空调风口（150mm）；
2.风口周边阻燃板封边加固处理；
3.包含完成该项内容所有工作及费用并满足设计图纸、规范等要求；</t>
        </is>
      </c>
      <c r="D1104" s="27" t="inlineStr">
        <is>
          <t>自现有现场条件下按照合同约定范围、图纸（含设计变更）及甲方要求内容以及规范、标准、相关做法等要求完成并达到总包合同全部目标的全部工作内容。</t>
        </is>
      </c>
      <c r="E1104" s="27" t="inlineStr">
        <is>
          <t>依据经承包人确认的施工部位,按设计图示尺寸以延长米计算。</t>
        </is>
      </c>
      <c r="F1104" s="28" t="inlineStr">
        <is>
          <t>m</t>
        </is>
      </c>
      <c r="G1104" s="61" t="n">
        <v>10.24</v>
      </c>
      <c r="H1104" s="62" t="n">
        <v>109.74</v>
      </c>
      <c r="I1104" s="65" t="n"/>
      <c r="J1104" s="62">
        <f>H1104*(1-$I$4)</f>
        <v/>
      </c>
      <c r="K1104" s="63">
        <f>G1104*J1104</f>
        <v/>
      </c>
      <c r="L1104" s="33" t="inlineStr">
        <is>
          <t>空调风口</t>
        </is>
      </c>
      <c r="M1104" s="64" t="n"/>
      <c r="O1104" t="n">
        <v>30</v>
      </c>
      <c r="P1104" s="35" t="inlineStr">
        <is>
          <t>差:-79.74元 (-72.7%) 来源:售楼处</t>
        </is>
      </c>
      <c r="Q1104" s="35" t="n"/>
      <c r="R1104" s="35" t="n"/>
    </row>
    <row r="1105" outlineLevel="2" ht="192" customFormat="1" customHeight="1" s="39">
      <c r="A1105" s="37">
        <f>1+N(A1104)</f>
        <v/>
      </c>
      <c r="B1105" s="27" t="inlineStr">
        <is>
          <t>天花肌理无机涂料PT-01</t>
        </is>
      </c>
      <c r="C1105" s="27" t="inlineStr">
        <is>
          <t>1.天花肌理无机涂料PT-01；
2.刮腻子二遍磨平；
3.底漆1遍，面漆2遍；
4.包含完成该项内容所有工作及费用并满足设计图纸、规范等要求；</t>
        </is>
      </c>
      <c r="D1105" s="27" t="inlineStr">
        <is>
          <t>包括但不限于材料计划、采购、卸车倒运、保管、检验试验费、测量放线，包含四周阴角找平直、含天棚四周阴角找平直，打磨，简易脚手架搭拆及操作平台、升降机，基层清理、打磨平整、底层找补、满刮涂料（含阴阳角塑料条）、涂料打磨、补遗处理、配合其他分包施工、完工后场清、成品保护、保修等直到达到竣工交付标准的全部工作内容。包括所有为完成工作所需的小型机具；包括所有为完成工作所需的附属工作；包括但不限于以上内容。</t>
        </is>
      </c>
      <c r="E1105" s="27" t="inlineStr">
        <is>
          <t>执行《GB/T50854-2024房屋建筑与装饰工程工程量计算标准》，按设计图示尺寸以面积计算。扣除0.3平方米以上洞口的面积；梁侧面及檐口天棚并入天棚计算；以设计图纸和技术交底为基础</t>
        </is>
      </c>
      <c r="F1105" s="28" t="inlineStr">
        <is>
          <t>m2</t>
        </is>
      </c>
      <c r="G1105" s="61" t="n">
        <v>34.76</v>
      </c>
      <c r="H1105" s="62" t="n">
        <v>48.38</v>
      </c>
      <c r="I1105" s="65" t="n"/>
      <c r="J1105" s="62">
        <f>H1105*(1-$I$4)</f>
        <v/>
      </c>
      <c r="K1105" s="63">
        <f>G1105*J1105</f>
        <v/>
      </c>
      <c r="L1105" s="33" t="inlineStr">
        <is>
          <t>涂料</t>
        </is>
      </c>
      <c r="M1105" s="64" t="n"/>
      <c r="O1105" t="n">
        <v>45</v>
      </c>
      <c r="P1105" s="35" t="inlineStr">
        <is>
          <t>差:-3.38元 (-7.0%) 来源:售楼处</t>
        </is>
      </c>
      <c r="Q1105" s="35" t="n"/>
      <c r="R1105" s="35" t="n"/>
    </row>
    <row r="1106" outlineLevel="1" customFormat="1" s="39">
      <c r="A1106" s="36" t="n"/>
      <c r="B1106" s="27" t="inlineStr">
        <is>
          <t>门窗、家具工程</t>
        </is>
      </c>
      <c r="C1106" s="27" t="n"/>
      <c r="D1106" s="27" t="n"/>
      <c r="E1106" s="27" t="n"/>
      <c r="F1106" s="28" t="n"/>
      <c r="G1106" s="61" t="n"/>
      <c r="H1106" s="62" t="n"/>
      <c r="I1106" s="65" t="n"/>
      <c r="J1106" s="62" t="n"/>
      <c r="K1106" s="63" t="n"/>
      <c r="L1106" s="33" t="n"/>
      <c r="M1106" s="64" t="n"/>
      <c r="P1106" s="35" t="n"/>
      <c r="Q1106" s="35" t="n"/>
      <c r="R1106" s="35" t="n"/>
    </row>
    <row r="1107" outlineLevel="1" customFormat="1" s="39">
      <c r="A1107" s="26" t="inlineStr">
        <is>
          <t>二</t>
        </is>
      </c>
      <c r="B1107" s="27" t="inlineStr">
        <is>
          <t>二单元合用前室</t>
        </is>
      </c>
      <c r="C1107" s="27" t="n"/>
      <c r="D1107" s="27" t="n"/>
      <c r="E1107" s="27" t="n"/>
      <c r="F1107" s="28" t="n"/>
      <c r="G1107" s="61" t="n"/>
      <c r="H1107" s="62" t="n"/>
      <c r="I1107" s="65" t="n"/>
      <c r="J1107" s="62" t="n"/>
      <c r="K1107" s="63" t="n"/>
      <c r="L1107" s="33" t="n"/>
      <c r="M1107" s="64" t="n"/>
      <c r="P1107" s="35" t="n"/>
      <c r="Q1107" s="35" t="n"/>
      <c r="R1107" s="35" t="n"/>
    </row>
    <row r="1108" outlineLevel="1" customFormat="1" s="39">
      <c r="A1108" s="36" t="n"/>
      <c r="B1108" s="27" t="inlineStr">
        <is>
          <t>地面工程</t>
        </is>
      </c>
      <c r="C1108" s="27" t="n"/>
      <c r="D1108" s="27" t="n"/>
      <c r="E1108" s="27" t="n"/>
      <c r="F1108" s="28" t="n"/>
      <c r="G1108" s="61" t="n"/>
      <c r="H1108" s="62" t="n"/>
      <c r="I1108" s="65" t="n"/>
      <c r="J1108" s="62" t="n"/>
      <c r="K1108" s="63" t="n"/>
      <c r="L1108" s="33" t="n"/>
      <c r="M1108" s="64" t="n"/>
      <c r="P1108" s="35" t="n"/>
      <c r="Q1108" s="35" t="n"/>
      <c r="R1108" s="35" t="n"/>
    </row>
    <row r="1109" outlineLevel="2" ht="108" customFormat="1" customHeight="1" s="39">
      <c r="A1109" s="37">
        <f>1+N(A1108)</f>
        <v/>
      </c>
      <c r="B1109" s="27" t="inlineStr">
        <is>
          <t>地面铺贴大理石ST-01</t>
        </is>
      </c>
      <c r="C1109" s="27" t="inlineStr">
        <is>
          <t>1.地面20mm大理石ST-01、铺贴、厚度及样式按物料书为准；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1109"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109" s="27" t="inlineStr">
        <is>
          <t xml:space="preserve">执行《GB/T50854-2024房屋建筑与装饰工程工程量计算标准》，按设计图示尺寸
以面积计算。 </t>
        </is>
      </c>
      <c r="F1109" s="28" t="inlineStr">
        <is>
          <t>m2</t>
        </is>
      </c>
      <c r="G1109" s="61" t="n">
        <v>11.09</v>
      </c>
      <c r="H1109" s="62" t="n">
        <v>218.75017</v>
      </c>
      <c r="I1109" s="65" t="n"/>
      <c r="J1109" s="62">
        <f>H1109*(1-$I$4)</f>
        <v/>
      </c>
      <c r="K1109" s="63">
        <f>G1109*J1109</f>
        <v/>
      </c>
      <c r="L1109" s="33" t="inlineStr">
        <is>
          <t>石材</t>
        </is>
      </c>
      <c r="M1109" s="64" t="n"/>
      <c r="O1109" t="n">
        <v>130</v>
      </c>
      <c r="P1109" s="35" t="inlineStr">
        <is>
          <t>差:-88.75元 (-40.6%) 来源:售楼处</t>
        </is>
      </c>
      <c r="Q1109" s="35" t="n"/>
      <c r="R1109" s="35" t="n"/>
    </row>
    <row r="1110" outlineLevel="2" ht="108" customFormat="1" customHeight="1" s="39">
      <c r="A1110" s="37">
        <f>1+N(A1109)</f>
        <v/>
      </c>
      <c r="B1110" s="27" t="inlineStr">
        <is>
          <t>地面铺贴大理石ST-01.02拼花</t>
        </is>
      </c>
      <c r="C1110" s="27" t="inlineStr">
        <is>
          <t>1.地面20mm大理石拼花、参考3F-DF-01样式、ST-01、ST-02按物料书为准；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1110"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110" s="27" t="inlineStr">
        <is>
          <t xml:space="preserve">执行《GB/T50854-2024房屋建筑与装饰工程工程量计算标准》，按设计图示尺寸
以面积计算。 </t>
        </is>
      </c>
      <c r="F1110" s="28" t="inlineStr">
        <is>
          <t>m2</t>
        </is>
      </c>
      <c r="G1110" s="61" t="n">
        <v>19.45</v>
      </c>
      <c r="H1110" s="62" t="n">
        <v>242.35017</v>
      </c>
      <c r="I1110" s="65" t="n"/>
      <c r="J1110" s="62">
        <f>H1110*(1-$I$4)</f>
        <v/>
      </c>
      <c r="K1110" s="63">
        <f>G1110*J1110</f>
        <v/>
      </c>
      <c r="L1110" s="33" t="inlineStr">
        <is>
          <t>石材</t>
        </is>
      </c>
      <c r="M1110" s="64" t="n"/>
      <c r="O1110" t="n">
        <v>130</v>
      </c>
      <c r="P1110" s="35" t="inlineStr">
        <is>
          <t>差:-112.35元 (-46.4%) 来源:售楼处</t>
        </is>
      </c>
      <c r="Q1110" s="35" t="n"/>
      <c r="R1110" s="35" t="n"/>
    </row>
    <row r="1111" outlineLevel="2" ht="108" customFormat="1" customHeight="1" s="39">
      <c r="A1111" s="37">
        <f>1+N(A1110)</f>
        <v/>
      </c>
      <c r="B1111" s="27" t="inlineStr">
        <is>
          <t>实心铜条5mm宽</t>
        </is>
      </c>
      <c r="C1111" s="27" t="inlineStr">
        <is>
          <t>1.实心铜条5mm宽；
2.包含完成该项内容所有工作及费用并满足设计图纸、规范等要求；</t>
        </is>
      </c>
      <c r="D1111"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111" s="27" t="inlineStr">
        <is>
          <t>按设计图示尺寸以长度计算。</t>
        </is>
      </c>
      <c r="F1111" s="28" t="inlineStr">
        <is>
          <t>m</t>
        </is>
      </c>
      <c r="G1111" s="61" t="n">
        <v>19.53</v>
      </c>
      <c r="H1111" s="62" t="n">
        <v>89.267</v>
      </c>
      <c r="I1111" s="65" t="n"/>
      <c r="J1111" s="62">
        <f>H1111*(1-$I$4)</f>
        <v/>
      </c>
      <c r="K1111" s="63">
        <f>G1111*J1111</f>
        <v/>
      </c>
      <c r="L1111" s="33" t="inlineStr">
        <is>
          <t>/</t>
        </is>
      </c>
      <c r="M1111" s="64" t="n"/>
      <c r="O1111" t="n">
        <v>12</v>
      </c>
      <c r="P1111" s="35" t="inlineStr">
        <is>
          <t>差:-77.27元 (-86.6%) 来源:售楼处</t>
        </is>
      </c>
      <c r="Q1111" s="35" t="n"/>
      <c r="R1111" s="35" t="n"/>
    </row>
    <row r="1112" outlineLevel="2" ht="108" customFormat="1" customHeight="1" s="39">
      <c r="A1112" s="37">
        <f>1+N(A1111)</f>
        <v/>
      </c>
      <c r="B1112" s="27" t="inlineStr">
        <is>
          <t>地面石材晶面处理</t>
        </is>
      </c>
      <c r="C1112" s="27" t="inlineStr">
        <is>
          <t>1.石材结晶处理(结晶水及石材保养剂,中性清洁剂)；
2.包含完成该项内容所有工作及费用并满足设计图纸、规范等要求；</t>
        </is>
      </c>
      <c r="D1112"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112" s="27" t="inlineStr">
        <is>
          <t xml:space="preserve">执行《GB/T50854-2024房屋建筑与装饰工程工程量计算标准》，按设计图示尺寸
以面积计算。 </t>
        </is>
      </c>
      <c r="F1112" s="28" t="inlineStr">
        <is>
          <t>m2</t>
        </is>
      </c>
      <c r="G1112" s="61" t="n">
        <v>30.54</v>
      </c>
      <c r="H1112" s="62" t="n">
        <v>64.90000000000001</v>
      </c>
      <c r="I1112" s="65" t="n"/>
      <c r="J1112" s="62">
        <f>H1112*(1-$I$4)</f>
        <v/>
      </c>
      <c r="K1112" s="63">
        <f>G1112*J1112</f>
        <v/>
      </c>
      <c r="L1112" s="33" t="inlineStr">
        <is>
          <t>/</t>
        </is>
      </c>
      <c r="M1112" s="64" t="n"/>
      <c r="O1112" t="n">
        <v>40</v>
      </c>
      <c r="P1112" s="35" t="inlineStr">
        <is>
          <t>差:-24.90元 (-38.4%) 来源:售楼处</t>
        </is>
      </c>
      <c r="Q1112" s="35" t="n"/>
      <c r="R1112" s="35" t="n"/>
    </row>
    <row r="1113" outlineLevel="1" customFormat="1" s="39">
      <c r="A1113" s="36" t="n"/>
      <c r="B1113" s="27" t="inlineStr">
        <is>
          <t>墙面工程</t>
        </is>
      </c>
      <c r="C1113" s="27" t="n"/>
      <c r="D1113" s="27" t="n"/>
      <c r="E1113" s="27" t="n"/>
      <c r="F1113" s="28" t="n"/>
      <c r="G1113" s="61" t="n"/>
      <c r="H1113" s="62" t="n"/>
      <c r="I1113" s="65" t="n"/>
      <c r="J1113" s="62" t="n"/>
      <c r="K1113" s="63" t="n"/>
      <c r="L1113" s="33" t="n"/>
      <c r="M1113" s="64" t="n"/>
      <c r="P1113" s="35" t="n"/>
      <c r="Q1113" s="35" t="n"/>
      <c r="R1113" s="35" t="n"/>
    </row>
    <row r="1114" outlineLevel="2" ht="144" customFormat="1" customHeight="1" s="39">
      <c r="A1114" s="37">
        <f>1+N(A1113)</f>
        <v/>
      </c>
      <c r="B1114" s="27" t="inlineStr">
        <is>
          <t>墙面湿贴石材ST-05</t>
        </is>
      </c>
      <c r="C1114" s="27" t="inlineStr">
        <is>
          <t>1、墙面湿贴石材ST-05
2、8mm厚石材专用胶粘剂WC粘结层
3、界面剂拉毛处理
4、石材的开槽、磨边、倒角、粘接、形成所需之凹坑、抛光、六面防污防渗等一切处理费用均在主材费中考虑，不再另行计取
5、包含完成该项内容所有工作及费用并满足设计图纸、规范等要求</t>
        </is>
      </c>
      <c r="D1114" s="27" t="inlineStr">
        <is>
          <t>具体工作内容除详见项目特征外，且不限于以下内容:1.包含材料的下车、场内运输；2.清理基层、找标高、弹线定位；3.试拼试排；4.砂浆拌和、铺找平层（粘结层）砂浆；5.面层铺设、灌缝、擦缝；6.打蜡、养护；配合留设墙面开关、插座等末端设备等全部内容；包含成品保护、安全文明施工等达到验收合格的全部施工内容。</t>
        </is>
      </c>
      <c r="E1114" s="27" t="inlineStr">
        <is>
          <t>执行《GB/T50854-2024房屋建筑与装饰工程工程量计算标准》，按设计图示镶贴后外围面积计算</t>
        </is>
      </c>
      <c r="F1114" s="28" t="inlineStr">
        <is>
          <t>m2</t>
        </is>
      </c>
      <c r="G1114" s="61" t="n">
        <v>8.32</v>
      </c>
      <c r="H1114" s="62" t="n">
        <v>177</v>
      </c>
      <c r="I1114" s="65" t="n"/>
      <c r="J1114" s="62">
        <f>H1114*(1-$I$4)</f>
        <v/>
      </c>
      <c r="K1114" s="63">
        <f>G1114*J1114</f>
        <v/>
      </c>
      <c r="L1114" s="33" t="inlineStr">
        <is>
          <t>石材</t>
        </is>
      </c>
      <c r="M1114" s="64" t="n"/>
      <c r="O1114" t="n">
        <v>95</v>
      </c>
      <c r="P1114" s="35" t="inlineStr">
        <is>
          <t>差:-82.00元 (-46.3%) 来源:售楼处</t>
        </is>
      </c>
      <c r="Q1114" s="35" t="n"/>
      <c r="R1114" s="35" t="n"/>
    </row>
    <row r="1115" outlineLevel="2" ht="180" customFormat="1" customHeight="1" s="39">
      <c r="A1115" s="37">
        <f>1+N(A1114)</f>
        <v/>
      </c>
      <c r="B1115" s="27" t="inlineStr">
        <is>
          <t>墙面干挂ST-05石材</t>
        </is>
      </c>
      <c r="C1115" s="27" t="inlineStr">
        <is>
          <t>1、墙面干挂ST-05石材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is>
      </c>
      <c r="D1115"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115" s="27" t="inlineStr">
        <is>
          <t>执行《GB/T50854-2024房屋建筑与装饰工程工程量计算标准》，按设计图示镶贴后外围面积计算</t>
        </is>
      </c>
      <c r="F1115" s="28" t="inlineStr">
        <is>
          <t>m2</t>
        </is>
      </c>
      <c r="G1115" s="61" t="n">
        <v>37.25</v>
      </c>
      <c r="H1115" s="62" t="n">
        <v>318.6</v>
      </c>
      <c r="I1115" s="65" t="n"/>
      <c r="J1115" s="62">
        <f>H1115*(1-$I$4)</f>
        <v/>
      </c>
      <c r="K1115" s="63">
        <f>G1115*J1115</f>
        <v/>
      </c>
      <c r="L1115" s="33" t="inlineStr">
        <is>
          <t>石材</t>
        </is>
      </c>
      <c r="M1115" s="64" t="n"/>
      <c r="O1115" t="n">
        <v>145</v>
      </c>
      <c r="P1115" s="35" t="inlineStr">
        <is>
          <t>差:-173.60元 (-54.5%) 来源:售楼处</t>
        </is>
      </c>
      <c r="Q1115" s="35" t="n"/>
      <c r="R1115" s="35" t="n"/>
    </row>
    <row r="1116" outlineLevel="2" ht="144" customFormat="1" customHeight="1" s="39">
      <c r="A1116" s="37">
        <f>1+N(A1115)</f>
        <v/>
      </c>
      <c r="B1116" s="27" t="inlineStr">
        <is>
          <t>墙面PT-01肌理无机涂料</t>
        </is>
      </c>
      <c r="C1116" s="27" t="inlineStr">
        <is>
          <t>1、墙面PT-01肌理无机涂料(底漆1遍，面漆2遍)
2、刮白胶腻子找平二遍，打磨
3、阴、阳角护角收边
4、双层9.5mm纸面石膏板
5、轻钢龙骨基层找平
6、包含完成该项内容所有工作及费用并满足设计图纸、规范等要求</t>
        </is>
      </c>
      <c r="D1116"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116" s="27" t="inlineStr">
        <is>
          <t xml:space="preserve">执行《GB/T50854-2024房屋建筑与装饰工程工程量计算标准》，按设计图示尺寸
以面积计算。 </t>
        </is>
      </c>
      <c r="F1116" s="28" t="inlineStr">
        <is>
          <t>m2</t>
        </is>
      </c>
      <c r="G1116" s="61" t="n">
        <v>24.25</v>
      </c>
      <c r="H1116" s="62" t="n">
        <v>207.68</v>
      </c>
      <c r="I1116" s="65" t="n"/>
      <c r="J1116" s="62">
        <f>H1116*(1-$I$4)</f>
        <v/>
      </c>
      <c r="K1116" s="63">
        <f>G1116*J1116</f>
        <v/>
      </c>
      <c r="L1116" s="33" t="inlineStr">
        <is>
          <t>涂料</t>
        </is>
      </c>
      <c r="M1116" s="64" t="n"/>
      <c r="O1116" t="n">
        <v>110</v>
      </c>
      <c r="P1116" s="35" t="inlineStr">
        <is>
          <t>差:-97.68元 (-47.0%) 来源:售楼处</t>
        </is>
      </c>
      <c r="Q1116" s="35" t="n"/>
      <c r="R1116" s="35" t="n"/>
    </row>
    <row r="1117" outlineLevel="2" ht="180" customFormat="1" customHeight="1" s="39">
      <c r="A1117" s="37">
        <f>1+N(A1116)</f>
        <v/>
      </c>
      <c r="B1117" s="27" t="inlineStr">
        <is>
          <t>不锈钢门套</t>
        </is>
      </c>
      <c r="C1117" s="27" t="inlineStr">
        <is>
          <t>1、1.2mm厚 MT-01古铜不锈钢门套，结构胶固定
2、9厘玻镁板基层
3、工程量以展开面积计算
4、包含完成该项内容所有工作及费用并满足设计图纸、规范等要求</t>
        </is>
      </c>
      <c r="D1117"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117" s="27" t="inlineStr">
        <is>
          <t>执行《GB/T50854-2024房屋建筑与装饰工程工程量计算标准》，按设计图示饰面外围尺寸
以面积计算。 扣除门窗洞口面积，不扣除单个面积≤0.3㎡的孔洞所占面积。</t>
        </is>
      </c>
      <c r="F1117" s="28" t="inlineStr">
        <is>
          <t>m2</t>
        </is>
      </c>
      <c r="G1117" s="61" t="n">
        <v>2.02</v>
      </c>
      <c r="H1117" s="62" t="n">
        <v>630.651</v>
      </c>
      <c r="I1117" s="65" t="n"/>
      <c r="J1117" s="62">
        <f>H1117*(1-$I$4)</f>
        <v/>
      </c>
      <c r="K1117" s="63">
        <f>G1117*J1117</f>
        <v/>
      </c>
      <c r="L1117" s="33" t="inlineStr">
        <is>
          <t>/</t>
        </is>
      </c>
      <c r="M1117" s="64" t="n"/>
      <c r="O1117" t="n">
        <v>110</v>
      </c>
      <c r="P1117" s="35" t="inlineStr">
        <is>
          <t>差:-520.65元 (-82.6%) 来源:售楼处</t>
        </is>
      </c>
      <c r="Q1117" s="35" t="n"/>
      <c r="R1117" s="35" t="n"/>
    </row>
    <row r="1118" outlineLevel="2" ht="180" customFormat="1" customHeight="1" s="39">
      <c r="A1118" s="37">
        <f>1+N(A1117)</f>
        <v/>
      </c>
      <c r="B1118" s="27" t="inlineStr">
        <is>
          <t>电梯不锈钢门套</t>
        </is>
      </c>
      <c r="C1118" s="27" t="inlineStr">
        <is>
          <t>1、1.2mm厚 MT-01古铜不锈钢门套，结构胶固定
2、9厘玻镁板基层
3、工程量以展开面积计算
4、包含完成该项内容所有工作及费用并满足设计图纸、规范等要求</t>
        </is>
      </c>
      <c r="D1118"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118" s="27" t="inlineStr">
        <is>
          <t>执行《GB/T50854-2024房屋建筑与装饰工程工程量计算标准》，按设计图示饰面外围尺寸
以面积计算。 扣除门窗洞口面积，不扣除单个面积≤0.3㎡的孔洞所占面积。</t>
        </is>
      </c>
      <c r="F1118" s="28" t="inlineStr">
        <is>
          <t>m2</t>
        </is>
      </c>
      <c r="G1118" s="61" t="n">
        <v>3.74</v>
      </c>
      <c r="H1118" s="62" t="n">
        <v>630.651</v>
      </c>
      <c r="I1118" s="65" t="n"/>
      <c r="J1118" s="62">
        <f>H1118*(1-$I$4)</f>
        <v/>
      </c>
      <c r="K1118" s="63">
        <f>G1118*J1118</f>
        <v/>
      </c>
      <c r="L1118" s="33" t="inlineStr">
        <is>
          <t>/</t>
        </is>
      </c>
      <c r="M1118" s="64" t="n"/>
      <c r="O1118" t="n">
        <v>110</v>
      </c>
      <c r="P1118" s="35" t="inlineStr">
        <is>
          <t>差:-520.65元 (-82.6%) 来源:售楼处</t>
        </is>
      </c>
      <c r="Q1118" s="35" t="n"/>
      <c r="R1118" s="35" t="n"/>
    </row>
    <row r="1119" outlineLevel="2" ht="180" customFormat="1" customHeight="1" s="39">
      <c r="A1119" s="37">
        <f>1+N(A1118)</f>
        <v/>
      </c>
      <c r="B1119" s="27" t="inlineStr">
        <is>
          <t>电梯不锈钢门头</t>
        </is>
      </c>
      <c r="C1119" s="27" t="inlineStr">
        <is>
          <t>1、1.2mm厚 MT-01古铜不锈钢门头，结构胶固定
2、12mm阻燃板，轻钢副龙骨@400
3、电梯门顶内置亚克力，内部面层刮白处理
4、工程量以展开面积计算
5、包含完成该项内容所有工作及费用并满足设计图纸、规范等要求</t>
        </is>
      </c>
      <c r="D1119"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119" s="27" t="inlineStr">
        <is>
          <t>执行《GB/T50854-2024房屋建筑与装饰工程工程量计算标准》，按设计图示饰面外围尺寸
以面积计算。 扣除门窗洞口面积，不扣除单个面积≤0.3㎡的孔洞所占面积。</t>
        </is>
      </c>
      <c r="F1119" s="28" t="inlineStr">
        <is>
          <t>m2</t>
        </is>
      </c>
      <c r="G1119" s="61" t="n">
        <v>1.38</v>
      </c>
      <c r="H1119" s="62" t="n">
        <v>812.961</v>
      </c>
      <c r="I1119" s="65" t="n"/>
      <c r="J1119" s="62">
        <f>H1119*(1-$I$4)</f>
        <v/>
      </c>
      <c r="K1119" s="63">
        <f>G1119*J1119</f>
        <v/>
      </c>
      <c r="L1119" s="33" t="inlineStr">
        <is>
          <t>/</t>
        </is>
      </c>
      <c r="M1119" s="64" t="n"/>
      <c r="O1119" t="n">
        <v>110</v>
      </c>
      <c r="P1119" s="35" t="inlineStr">
        <is>
          <t>差:-702.96元 (-86.5%) 来源:售楼处</t>
        </is>
      </c>
      <c r="Q1119" s="35" t="n"/>
      <c r="R1119" s="35" t="n"/>
    </row>
    <row r="1120" outlineLevel="2" ht="180" customFormat="1" customHeight="1" s="39">
      <c r="A1120" s="37">
        <f>1+N(A1119)</f>
        <v/>
      </c>
      <c r="B1120" s="27" t="inlineStr">
        <is>
          <t>MT-01古铜不锈钢饰面（电梯按钮处）</t>
        </is>
      </c>
      <c r="C1120" s="27" t="inlineStr">
        <is>
          <t>1、1.2mm厚 MT-01古铜不锈钢饰面
2、12mm阻燃板基层，轻钢副龙骨@400
3、工程量以展开面积计算
4、包含完成该项内容所有工作及费用并满足设计图纸、规范等要求</t>
        </is>
      </c>
      <c r="D1120"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120" s="27" t="inlineStr">
        <is>
          <t>执行《GB/T50854-2024房屋建筑与装饰工程工程量计算标准》，按设计图示饰面外围尺寸
以面积计算。 扣除门窗洞口面积，不扣除单个面积≤0.3㎡的孔洞所占面积。</t>
        </is>
      </c>
      <c r="F1120" s="28" t="inlineStr">
        <is>
          <t>m2</t>
        </is>
      </c>
      <c r="G1120" s="61" t="n">
        <v>0.26</v>
      </c>
      <c r="H1120" s="62" t="n">
        <v>295</v>
      </c>
      <c r="I1120" s="65" t="n"/>
      <c r="J1120" s="62">
        <f>H1120*(1-$I$4)</f>
        <v/>
      </c>
      <c r="K1120" s="63">
        <f>G1120*J1120</f>
        <v/>
      </c>
      <c r="L1120" s="33" t="inlineStr">
        <is>
          <t>不锈钢饰面</t>
        </is>
      </c>
      <c r="M1120" s="64" t="n"/>
      <c r="O1120" t="n">
        <v>110</v>
      </c>
      <c r="P1120" s="35" t="inlineStr">
        <is>
          <t>差:-185.00元 (-62.7%) 来源:售楼处</t>
        </is>
      </c>
      <c r="Q1120" s="35" t="n"/>
      <c r="R1120" s="35" t="n"/>
    </row>
    <row r="1121" outlineLevel="2" ht="144" customFormat="1" customHeight="1" s="39">
      <c r="A1121" s="37">
        <f>1+N(A1120)</f>
        <v/>
      </c>
      <c r="B1121" s="27" t="inlineStr">
        <is>
          <t>MT-01古铜不锈钢踢脚线（高20mm）</t>
        </is>
      </c>
      <c r="C1121" s="27" t="inlineStr">
        <is>
          <t>1、1.2mm厚 MT-01古铜不锈钢踢脚线（高20mm，展开面为46mm），结构胶固定
2、9厘玻镁板基层
3、包含完成该项内容所有工作及费用并满足设计图纸、规范等要求</t>
        </is>
      </c>
      <c r="D1121"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121" s="27" t="inlineStr">
        <is>
          <t>按设计图示尺寸以长度计算。</t>
        </is>
      </c>
      <c r="F1121" s="28" t="inlineStr">
        <is>
          <t>m</t>
        </is>
      </c>
      <c r="G1121" s="61" t="n">
        <v>24.42</v>
      </c>
      <c r="H1121" s="62" t="n">
        <v>31.86</v>
      </c>
      <c r="I1121" s="65" t="n"/>
      <c r="J1121" s="62">
        <f>H1121*(1-$I$4)</f>
        <v/>
      </c>
      <c r="K1121" s="63">
        <f>G1121*J1121</f>
        <v/>
      </c>
      <c r="L1121" s="33" t="inlineStr">
        <is>
          <t>不锈钢踢脚线</t>
        </is>
      </c>
      <c r="M1121" s="64" t="n"/>
      <c r="O1121" t="n">
        <v>12</v>
      </c>
      <c r="P1121" s="35" t="inlineStr">
        <is>
          <t>差:-19.86元 (-62.3%) 来源:售楼处</t>
        </is>
      </c>
      <c r="Q1121" s="35" t="n"/>
      <c r="R1121" s="35" t="n"/>
    </row>
    <row r="1122" outlineLevel="2" ht="144" customFormat="1" customHeight="1" s="39">
      <c r="A1122" s="37">
        <f>1+N(A1121)</f>
        <v/>
      </c>
      <c r="B1122" s="27" t="inlineStr">
        <is>
          <t>MT-01古铜不锈钢线条（展开面为51mm）</t>
        </is>
      </c>
      <c r="C1122" s="27" t="inlineStr">
        <is>
          <t>1、1.2mm厚 MT-01古铜不锈钢线条（展开面为51mm），结构胶固定
2、9厘玻镁板基层
3、包含完成该项内容所有工作及费用并满足设计图纸、规范等要求</t>
        </is>
      </c>
      <c r="D1122"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122" s="27" t="inlineStr">
        <is>
          <t>按设计图示尺寸以长度计算。</t>
        </is>
      </c>
      <c r="F1122" s="28" t="inlineStr">
        <is>
          <t>m</t>
        </is>
      </c>
      <c r="G1122" s="61" t="n">
        <v>7.86</v>
      </c>
      <c r="H1122" s="62" t="n">
        <v>71.90212</v>
      </c>
      <c r="I1122" s="65" t="n"/>
      <c r="J1122" s="62">
        <f>H1122*(1-$I$4)</f>
        <v/>
      </c>
      <c r="K1122" s="63">
        <f>G1122*J1122</f>
        <v/>
      </c>
      <c r="L1122" s="33" t="inlineStr">
        <is>
          <t>/</t>
        </is>
      </c>
      <c r="M1122" s="64" t="n"/>
      <c r="O1122" t="n">
        <v>12</v>
      </c>
      <c r="P1122" s="35" t="inlineStr">
        <is>
          <t>差:-59.90元 (-83.3%) 来源:会所合并</t>
        </is>
      </c>
      <c r="Q1122" s="35" t="n"/>
      <c r="R1122" s="35" t="n"/>
    </row>
    <row r="1123" outlineLevel="2" ht="144" customFormat="1" customHeight="1" s="39">
      <c r="A1123" s="37">
        <f>1+N(A1122)</f>
        <v/>
      </c>
      <c r="B1123" s="27" t="inlineStr">
        <is>
          <t>MT-01古铜不锈钢线条（展开面为114mm）</t>
        </is>
      </c>
      <c r="C1123" s="27" t="inlineStr">
        <is>
          <t>1、1.2mm厚 MT-01古铜不锈钢线条（展开面为114mm），结构胶固定
2、9厘玻镁板基层
3、包含完成该项内容所有工作及费用并满足设计图纸、规范等要求</t>
        </is>
      </c>
      <c r="D1123"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123" s="27" t="inlineStr">
        <is>
          <t>按设计图示尺寸以长度计算。</t>
        </is>
      </c>
      <c r="F1123" s="28" t="inlineStr">
        <is>
          <t>m</t>
        </is>
      </c>
      <c r="G1123" s="61" t="n">
        <v>14.71</v>
      </c>
      <c r="H1123" s="62" t="n">
        <v>117.84424</v>
      </c>
      <c r="I1123" s="65" t="n"/>
      <c r="J1123" s="62">
        <f>H1123*(1-$I$4)</f>
        <v/>
      </c>
      <c r="K1123" s="63">
        <f>G1123*J1123</f>
        <v/>
      </c>
      <c r="L1123" s="33" t="inlineStr">
        <is>
          <t>/</t>
        </is>
      </c>
      <c r="M1123" s="64" t="n"/>
      <c r="O1123" t="n">
        <v>22</v>
      </c>
      <c r="P1123" s="35" t="inlineStr">
        <is>
          <t>差:-95.84元 (-81.3%) 来源:售楼处</t>
        </is>
      </c>
      <c r="Q1123" s="35" t="n"/>
      <c r="R1123" s="35" t="n"/>
    </row>
    <row r="1124" outlineLevel="2" ht="144" customFormat="1" customHeight="1" s="39">
      <c r="A1124" s="37">
        <f>1+N(A1123)</f>
        <v/>
      </c>
      <c r="B1124" s="27" t="inlineStr">
        <is>
          <t>MT-01古铜不锈钢顶部收口条（展开面为41mm）</t>
        </is>
      </c>
      <c r="C1124" s="27" t="inlineStr">
        <is>
          <t>1、1.2mm厚 MT-01古铜不锈钢顶部收口条（展开面为41mm），结构胶固定
2、9厘玻镁板基层
3、包含完成该项内容所有工作及费用并满足设计图纸、规范等要求</t>
        </is>
      </c>
      <c r="D1124"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124" s="27" t="inlineStr">
        <is>
          <t>按设计图示尺寸以长度计算。</t>
        </is>
      </c>
      <c r="F1124" s="28" t="inlineStr">
        <is>
          <t>m</t>
        </is>
      </c>
      <c r="G1124" s="61" t="n">
        <v>28.8</v>
      </c>
      <c r="H1124" s="62" t="n">
        <v>64.24509999999999</v>
      </c>
      <c r="I1124" s="65" t="n"/>
      <c r="J1124" s="62">
        <f>H1124*(1-$I$4)</f>
        <v/>
      </c>
      <c r="K1124" s="63">
        <f>G1124*J1124</f>
        <v/>
      </c>
      <c r="L1124" s="33" t="inlineStr">
        <is>
          <t>/</t>
        </is>
      </c>
      <c r="M1124" s="64" t="n"/>
      <c r="O1124" t="n">
        <v>12</v>
      </c>
      <c r="P1124" s="35" t="inlineStr">
        <is>
          <t>差:-52.25元 (-81.3%) 来源:售楼处</t>
        </is>
      </c>
      <c r="Q1124" s="35" t="n"/>
      <c r="R1124" s="35" t="n"/>
    </row>
    <row r="1125" outlineLevel="1" customFormat="1" s="39">
      <c r="A1125" s="36" t="n"/>
      <c r="B1125" s="27" t="inlineStr">
        <is>
          <t>天花工程</t>
        </is>
      </c>
      <c r="C1125" s="27" t="n"/>
      <c r="D1125" s="27" t="n"/>
      <c r="E1125" s="27" t="n"/>
      <c r="F1125" s="28" t="n"/>
      <c r="G1125" s="61" t="n"/>
      <c r="H1125" s="62" t="n"/>
      <c r="I1125" s="65" t="n"/>
      <c r="J1125" s="62" t="n"/>
      <c r="K1125" s="63" t="n"/>
      <c r="L1125" s="33" t="n"/>
      <c r="M1125" s="64" t="n"/>
      <c r="P1125" s="35" t="n"/>
      <c r="Q1125" s="35" t="n"/>
      <c r="R1125" s="35" t="n"/>
    </row>
    <row r="1126" outlineLevel="2" ht="192" customFormat="1" customHeight="1" s="39">
      <c r="A1126" s="37">
        <f>1+N(A1125)</f>
        <v/>
      </c>
      <c r="B1126" s="27" t="inlineStr">
        <is>
          <t>石膏板吊顶</t>
        </is>
      </c>
      <c r="C1126" s="27" t="inlineStr">
        <is>
          <t>1.60系列轻钢主龙骨@900，60系列轻钢副龙骨@400，60系列横撑龙骨@600，08螺纹吊杆@900不上人天花吊顶（投影面计算）
2.玻镁板、双层9.5厚石膏板基层，含开孔、检修口、10*10凹槽等费用；
3.含除灯槽外的侧面高差及其连接件、吊件；
4.包含完成该项内容所有工作及费用并满足设计图纸、规范等要求；</t>
        </is>
      </c>
      <c r="D1126" s="27" t="inlineStr">
        <is>
          <t>1.基层清理。
2.弹线定位、排版。
3.吊杆及连接件安装调平、收口及密封处理。
4.材料切割处理找平、石膏板安装及调整，打胶密封与清理.
5.收口及其他处理：检修口等制作安装、收边收口、配合预留安装、机电等专业孔洞及孔洞收口处理。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1126" s="27" t="inlineStr">
        <is>
          <t>按设计图示尺寸以水平投影面积计算。不扣除间壁墙、检查口、附墙烟囱、柱垛和管道所占面积,扣除单个&gt;0.3m3的孔洞、非密拼吊顶空隙所占的面积、独立柱及与天棚相连的窗帘盒所占的面积。</t>
        </is>
      </c>
      <c r="F1126" s="28" t="inlineStr">
        <is>
          <t>m2</t>
        </is>
      </c>
      <c r="G1126" s="61" t="n">
        <v>31.41</v>
      </c>
      <c r="H1126" s="62" t="n">
        <v>150.712222222222</v>
      </c>
      <c r="I1126" s="65" t="n"/>
      <c r="J1126" s="62">
        <f>H1126*(1-$I$4)</f>
        <v/>
      </c>
      <c r="K1126" s="63">
        <f>G1126*J1126</f>
        <v/>
      </c>
      <c r="L1126" s="33" t="inlineStr">
        <is>
          <t>/</t>
        </is>
      </c>
      <c r="M1126" s="64" t="n"/>
      <c r="O1126" t="n">
        <v>70</v>
      </c>
      <c r="P1126" s="35" t="inlineStr">
        <is>
          <t>差:-80.71元 (-53.6%) 来源:会所合并</t>
        </is>
      </c>
      <c r="Q1126" s="35" t="n"/>
      <c r="R1126" s="35" t="n"/>
    </row>
    <row r="1127" outlineLevel="2" ht="72" customFormat="1" customHeight="1" s="39">
      <c r="A1127" s="37">
        <f>1+N(A1126)</f>
        <v/>
      </c>
      <c r="B1127" s="27" t="inlineStr">
        <is>
          <t>灯槽（100mm*250mm）</t>
        </is>
      </c>
      <c r="C1127" s="27" t="inlineStr">
        <is>
          <t>1.灯槽（100mm*250mm）；
2.双层板：9mm玻镁板、9.5厚石膏板；
3.包含完成该项内容所有工作及费用并满足设计图纸、规范等要求；</t>
        </is>
      </c>
      <c r="D1127" s="27" t="inlineStr">
        <is>
          <t>自现有现场条件下按照合同约定范围、图纸（含设计变更）及甲方要求内容以及规范、标准、相关做法等要求完成并达到总包合同全部目标的全部工作内容。</t>
        </is>
      </c>
      <c r="E1127" s="27" t="inlineStr">
        <is>
          <t>依据经承包人确认的施工部位,按设计图示尺寸以延长米计算。</t>
        </is>
      </c>
      <c r="F1127" s="28" t="inlineStr">
        <is>
          <t>m</t>
        </is>
      </c>
      <c r="G1127" s="61" t="n">
        <v>19.54</v>
      </c>
      <c r="H1127" s="62" t="n">
        <v>112.159</v>
      </c>
      <c r="I1127" s="65" t="n"/>
      <c r="J1127" s="62">
        <f>H1127*(1-$I$4)</f>
        <v/>
      </c>
      <c r="K1127" s="63">
        <f>G1127*J1127</f>
        <v/>
      </c>
      <c r="L1127" s="33" t="inlineStr">
        <is>
          <t>/</t>
        </is>
      </c>
      <c r="M1127" s="64" t="n"/>
      <c r="O1127" t="n">
        <v>50</v>
      </c>
      <c r="P1127" s="35" t="inlineStr">
        <is>
          <t>差:-62.16元 (-55.4%) 来源:会所合并</t>
        </is>
      </c>
      <c r="Q1127" s="35" t="n"/>
      <c r="R1127" s="35" t="n"/>
    </row>
    <row r="1128" outlineLevel="2" ht="72" customFormat="1" customHeight="1" s="39">
      <c r="A1128" s="37">
        <f>1+N(A1127)</f>
        <v/>
      </c>
      <c r="B1128" s="27" t="inlineStr">
        <is>
          <t>成品石膏线条</t>
        </is>
      </c>
      <c r="C1128" s="27" t="inlineStr">
        <is>
          <t>1.成品石膏线条（50mm*50mm）；
2.按图纸造型；
3.包含完成该项内容所有工作及费用并满足设计图纸、规范等要求；</t>
        </is>
      </c>
      <c r="D1128" s="27" t="inlineStr">
        <is>
          <t>自现有现场条件下按照合同约定范围、图纸（含设计变更）及甲方要求内容以及规范、标准、相关做法等要求完成并达到总包合同全部目标的全部工作内容。</t>
        </is>
      </c>
      <c r="E1128" s="27" t="inlineStr">
        <is>
          <t>依据经承包人确认的施工部位,按设计图示尺寸以延长米计算。</t>
        </is>
      </c>
      <c r="F1128" s="28" t="inlineStr">
        <is>
          <t>m</t>
        </is>
      </c>
      <c r="G1128" s="61" t="n">
        <v>19.54</v>
      </c>
      <c r="H1128" s="62" t="n">
        <v>20.06</v>
      </c>
      <c r="I1128" s="65" t="n"/>
      <c r="J1128" s="62">
        <f>H1128*(1-$I$4)</f>
        <v/>
      </c>
      <c r="K1128" s="63">
        <f>G1128*J1128</f>
        <v/>
      </c>
      <c r="L1128" s="33" t="inlineStr">
        <is>
          <t>成品石膏线条</t>
        </is>
      </c>
      <c r="M1128" s="64" t="n"/>
      <c r="O1128" t="n">
        <v>18</v>
      </c>
      <c r="P1128" s="35" t="inlineStr">
        <is>
          <t>差:-2.06元 (-10.3%) 来源:售楼处</t>
        </is>
      </c>
      <c r="Q1128" s="35" t="n"/>
      <c r="R1128" s="35" t="n"/>
    </row>
    <row r="1129" outlineLevel="2" ht="72" customFormat="1" customHeight="1" s="39">
      <c r="A1129" s="37">
        <f>1+N(A1128)</f>
        <v/>
      </c>
      <c r="B1129" s="27" t="inlineStr">
        <is>
          <t>条形空调风口（150mm）</t>
        </is>
      </c>
      <c r="C1129" s="27" t="inlineStr">
        <is>
          <t>1.条形空调风口（150mm）；
2.风口周边阻燃板封边加固处理；
3.包含完成该项内容所有工作及费用并满足设计图纸、规范等要求；</t>
        </is>
      </c>
      <c r="D1129" s="27" t="inlineStr">
        <is>
          <t>自现有现场条件下按照合同约定范围、图纸（含设计变更）及甲方要求内容以及规范、标准、相关做法等要求完成并达到总包合同全部目标的全部工作内容。</t>
        </is>
      </c>
      <c r="E1129" s="27" t="inlineStr">
        <is>
          <t>依据经承包人确认的施工部位,按设计图示尺寸以延长米计算。</t>
        </is>
      </c>
      <c r="F1129" s="28" t="inlineStr">
        <is>
          <t>m</t>
        </is>
      </c>
      <c r="G1129" s="61" t="n">
        <v>13.8</v>
      </c>
      <c r="H1129" s="62" t="n">
        <v>109.74</v>
      </c>
      <c r="I1129" s="65" t="n"/>
      <c r="J1129" s="62">
        <f>H1129*(1-$I$4)</f>
        <v/>
      </c>
      <c r="K1129" s="63">
        <f>G1129*J1129</f>
        <v/>
      </c>
      <c r="L1129" s="33" t="inlineStr">
        <is>
          <t>空调风口</t>
        </is>
      </c>
      <c r="M1129" s="64" t="n"/>
      <c r="O1129" t="n">
        <v>30</v>
      </c>
      <c r="P1129" s="35" t="inlineStr">
        <is>
          <t>差:-79.74元 (-72.7%) 来源:售楼处</t>
        </is>
      </c>
      <c r="Q1129" s="35" t="n"/>
      <c r="R1129" s="35" t="n"/>
    </row>
    <row r="1130" outlineLevel="2" ht="192" customFormat="1" customHeight="1" s="39">
      <c r="A1130" s="37">
        <f>1+N(A1129)</f>
        <v/>
      </c>
      <c r="B1130" s="27" t="inlineStr">
        <is>
          <t>天花肌理无机涂料PT-01</t>
        </is>
      </c>
      <c r="C1130" s="27" t="inlineStr">
        <is>
          <t>1.天花肌理无机涂料PT-01；
2.刮腻子二遍磨平；
3.底漆1遍，面漆2遍；
4.包含完成该项内容所有工作及费用并满足设计图纸、规范等要求；</t>
        </is>
      </c>
      <c r="D1130" s="27" t="inlineStr">
        <is>
          <t>包括但不限于材料计划、采购、卸车倒运、保管、检验试验费、测量放线，包含四周阴角找平直、含天棚四周阴角找平直，打磨，简易脚手架搭拆及操作平台、升降机，基层清理、打磨平整、底层找补、满刮涂料（含阴阳角塑料条）、涂料打磨、补遗处理、配合其他分包施工、完工后场清、成品保护、保修等直到达到竣工交付标准的全部工作内容。包括所有为完成工作所需的小型机具；包括所有为完成工作所需的附属工作；包括但不限于以上内容。</t>
        </is>
      </c>
      <c r="E1130" s="27" t="inlineStr">
        <is>
          <t>执行《GB/T50854-2024房屋建筑与装饰工程工程量计算标准》，按设计图示尺寸以面积计算。扣除0.3平方米以上洞口的面积；梁侧面及檐口天棚并入天棚计算；以设计图纸和技术交底为基础</t>
        </is>
      </c>
      <c r="F1130" s="28" t="inlineStr">
        <is>
          <t>m2</t>
        </is>
      </c>
      <c r="G1130" s="61" t="n">
        <v>39.12</v>
      </c>
      <c r="H1130" s="62" t="n">
        <v>48.38</v>
      </c>
      <c r="I1130" s="65" t="n"/>
      <c r="J1130" s="62">
        <f>H1130*(1-$I$4)</f>
        <v/>
      </c>
      <c r="K1130" s="63">
        <f>G1130*J1130</f>
        <v/>
      </c>
      <c r="L1130" s="33" t="inlineStr">
        <is>
          <t>涂料</t>
        </is>
      </c>
      <c r="M1130" s="64" t="n"/>
      <c r="O1130" t="n">
        <v>45</v>
      </c>
      <c r="P1130" s="35" t="inlineStr">
        <is>
          <t>差:-3.38元 (-7.0%) 来源:售楼处</t>
        </is>
      </c>
      <c r="Q1130" s="35" t="n"/>
      <c r="R1130" s="35" t="n"/>
    </row>
    <row r="1131" outlineLevel="1" customFormat="1" s="39">
      <c r="A1131" s="36" t="n"/>
      <c r="B1131" s="27" t="inlineStr">
        <is>
          <t>门窗、家具工程</t>
        </is>
      </c>
      <c r="C1131" s="27" t="n"/>
      <c r="D1131" s="27" t="n"/>
      <c r="E1131" s="27" t="n"/>
      <c r="F1131" s="28" t="n"/>
      <c r="G1131" s="61" t="n"/>
      <c r="H1131" s="62" t="n"/>
      <c r="I1131" s="65" t="n"/>
      <c r="J1131" s="62" t="n"/>
      <c r="K1131" s="63" t="n"/>
      <c r="L1131" s="33" t="n"/>
      <c r="M1131" s="64" t="n"/>
      <c r="P1131" s="35" t="n"/>
      <c r="Q1131" s="35" t="n"/>
      <c r="R1131" s="35" t="n"/>
    </row>
    <row r="1132" outlineLevel="1" customFormat="1" s="39">
      <c r="A1132" s="26" t="inlineStr">
        <is>
          <t>三</t>
        </is>
      </c>
      <c r="B1132" s="27" t="inlineStr">
        <is>
          <t>三单元合用前室</t>
        </is>
      </c>
      <c r="C1132" s="27" t="n"/>
      <c r="D1132" s="27" t="n"/>
      <c r="E1132" s="27" t="n"/>
      <c r="F1132" s="28" t="n"/>
      <c r="G1132" s="61" t="n"/>
      <c r="H1132" s="62" t="n"/>
      <c r="I1132" s="65" t="n"/>
      <c r="J1132" s="62" t="n"/>
      <c r="K1132" s="63" t="n"/>
      <c r="L1132" s="33" t="n"/>
      <c r="M1132" s="64" t="n"/>
      <c r="P1132" s="35" t="n"/>
      <c r="Q1132" s="35" t="n"/>
      <c r="R1132" s="35" t="n"/>
    </row>
    <row r="1133" outlineLevel="1" customFormat="1" s="39">
      <c r="A1133" s="36" t="n"/>
      <c r="B1133" s="27" t="inlineStr">
        <is>
          <t>地面工程</t>
        </is>
      </c>
      <c r="C1133" s="27" t="n"/>
      <c r="D1133" s="27" t="n"/>
      <c r="E1133" s="27" t="n"/>
      <c r="F1133" s="28" t="n"/>
      <c r="G1133" s="61" t="n"/>
      <c r="H1133" s="62" t="n"/>
      <c r="I1133" s="65" t="n"/>
      <c r="J1133" s="62" t="n"/>
      <c r="K1133" s="63" t="n"/>
      <c r="L1133" s="33" t="n"/>
      <c r="M1133" s="64" t="n"/>
      <c r="P1133" s="35" t="n"/>
      <c r="Q1133" s="35" t="n"/>
      <c r="R1133" s="35" t="n"/>
    </row>
    <row r="1134" outlineLevel="2" ht="108" customFormat="1" customHeight="1" s="39">
      <c r="A1134" s="37">
        <f>1+N(A1133)</f>
        <v/>
      </c>
      <c r="B1134" s="27" t="inlineStr">
        <is>
          <t>地面铺贴大理石ST-01</t>
        </is>
      </c>
      <c r="C1134" s="27" t="inlineStr">
        <is>
          <t>1.地面20mm大理石ST-01、铺贴、厚度及样式按物料书为准；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1134"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134" s="27" t="inlineStr">
        <is>
          <t xml:space="preserve">执行《GB/T50854-2024房屋建筑与装饰工程工程量计算标准》，按设计图示尺寸
以面积计算。 </t>
        </is>
      </c>
      <c r="F1134" s="28" t="inlineStr">
        <is>
          <t>m2</t>
        </is>
      </c>
      <c r="G1134" s="61" t="n">
        <v>14.2</v>
      </c>
      <c r="H1134" s="62" t="n">
        <v>218.75017</v>
      </c>
      <c r="I1134" s="65" t="n"/>
      <c r="J1134" s="62">
        <f>H1134*(1-$I$4)</f>
        <v/>
      </c>
      <c r="K1134" s="63">
        <f>G1134*J1134</f>
        <v/>
      </c>
      <c r="L1134" s="33" t="inlineStr">
        <is>
          <t>石材</t>
        </is>
      </c>
      <c r="M1134" s="64" t="n"/>
      <c r="O1134" t="n">
        <v>130</v>
      </c>
      <c r="P1134" s="35" t="inlineStr">
        <is>
          <t>差:-88.75元 (-40.6%) 来源:售楼处</t>
        </is>
      </c>
      <c r="Q1134" s="35" t="n"/>
      <c r="R1134" s="35" t="n"/>
    </row>
    <row r="1135" outlineLevel="2" ht="108" customFormat="1" customHeight="1" s="39">
      <c r="A1135" s="37">
        <f>1+N(A1134)</f>
        <v/>
      </c>
      <c r="B1135" s="27" t="inlineStr">
        <is>
          <t>地面铺贴大理石ST-01.02拼花</t>
        </is>
      </c>
      <c r="C1135" s="27" t="inlineStr">
        <is>
          <t>1.地面20mm大理石拼花、参考3F-DF-01样式、ST-01、ST-02按物料书为准；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1135"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135" s="27" t="inlineStr">
        <is>
          <t xml:space="preserve">执行《GB/T50854-2024房屋建筑与装饰工程工程量计算标准》，按设计图示尺寸
以面积计算。 </t>
        </is>
      </c>
      <c r="F1135" s="28" t="inlineStr">
        <is>
          <t>m2</t>
        </is>
      </c>
      <c r="G1135" s="61" t="n">
        <v>14.84</v>
      </c>
      <c r="H1135" s="62" t="n">
        <v>242.35017</v>
      </c>
      <c r="I1135" s="65" t="n"/>
      <c r="J1135" s="62">
        <f>H1135*(1-$I$4)</f>
        <v/>
      </c>
      <c r="K1135" s="63">
        <f>G1135*J1135</f>
        <v/>
      </c>
      <c r="L1135" s="33" t="inlineStr">
        <is>
          <t>石材</t>
        </is>
      </c>
      <c r="M1135" s="64" t="n"/>
      <c r="O1135" t="n">
        <v>130</v>
      </c>
      <c r="P1135" s="35" t="inlineStr">
        <is>
          <t>差:-112.35元 (-46.4%) 来源:售楼处</t>
        </is>
      </c>
      <c r="Q1135" s="35" t="n"/>
      <c r="R1135" s="35" t="n"/>
    </row>
    <row r="1136" outlineLevel="2" ht="108" customFormat="1" customHeight="1" s="39">
      <c r="A1136" s="37">
        <f>1+N(A1135)</f>
        <v/>
      </c>
      <c r="B1136" s="27" t="inlineStr">
        <is>
          <t>实心铜条5mm宽</t>
        </is>
      </c>
      <c r="C1136" s="27" t="inlineStr">
        <is>
          <t>1.实心铜条5mm宽；
2.包含完成该项内容所有工作及费用并满足设计图纸、规范等要求；</t>
        </is>
      </c>
      <c r="D1136"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136" s="27" t="inlineStr">
        <is>
          <t>按设计图示尺寸以长度计算。</t>
        </is>
      </c>
      <c r="F1136" s="28" t="inlineStr">
        <is>
          <t>m</t>
        </is>
      </c>
      <c r="G1136" s="61" t="n">
        <v>15.97</v>
      </c>
      <c r="H1136" s="62" t="n">
        <v>89.267</v>
      </c>
      <c r="I1136" s="65" t="n"/>
      <c r="J1136" s="62">
        <f>H1136*(1-$I$4)</f>
        <v/>
      </c>
      <c r="K1136" s="63">
        <f>G1136*J1136</f>
        <v/>
      </c>
      <c r="L1136" s="33" t="inlineStr">
        <is>
          <t>/</t>
        </is>
      </c>
      <c r="M1136" s="64" t="n"/>
      <c r="O1136" t="n">
        <v>12</v>
      </c>
      <c r="P1136" s="35" t="inlineStr">
        <is>
          <t>差:-77.27元 (-86.6%) 来源:售楼处</t>
        </is>
      </c>
      <c r="Q1136" s="35" t="n"/>
      <c r="R1136" s="35" t="n"/>
    </row>
    <row r="1137" outlineLevel="2" ht="108" customFormat="1" customHeight="1" s="39">
      <c r="A1137" s="37">
        <f>1+N(A1136)</f>
        <v/>
      </c>
      <c r="B1137" s="27" t="inlineStr">
        <is>
          <t>地面石材晶面处理</t>
        </is>
      </c>
      <c r="C1137" s="27" t="inlineStr">
        <is>
          <t>1.石材结晶处理(结晶水及石材保养剂,中性清洁剂)；
2.包含完成该项内容所有工作及费用并满足设计图纸、规范等要求；</t>
        </is>
      </c>
      <c r="D1137"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137" s="27" t="inlineStr">
        <is>
          <t xml:space="preserve">执行《GB/T50854-2024房屋建筑与装饰工程工程量计算标准》，按设计图示尺寸
以面积计算。 </t>
        </is>
      </c>
      <c r="F1137" s="28" t="inlineStr">
        <is>
          <t>m2</t>
        </is>
      </c>
      <c r="G1137" s="61" t="n">
        <v>29.04</v>
      </c>
      <c r="H1137" s="62" t="n">
        <v>64.90000000000001</v>
      </c>
      <c r="I1137" s="65" t="n"/>
      <c r="J1137" s="62">
        <f>H1137*(1-$I$4)</f>
        <v/>
      </c>
      <c r="K1137" s="63">
        <f>G1137*J1137</f>
        <v/>
      </c>
      <c r="L1137" s="33" t="inlineStr">
        <is>
          <t>/</t>
        </is>
      </c>
      <c r="M1137" s="64" t="n"/>
      <c r="O1137" t="n">
        <v>40</v>
      </c>
      <c r="P1137" s="35" t="inlineStr">
        <is>
          <t>差:-24.90元 (-38.4%) 来源:售楼处</t>
        </is>
      </c>
      <c r="Q1137" s="35" t="n"/>
      <c r="R1137" s="35" t="n"/>
    </row>
    <row r="1138" outlineLevel="1" customFormat="1" s="39">
      <c r="A1138" s="36" t="n"/>
      <c r="B1138" s="27" t="inlineStr">
        <is>
          <t>墙面工程</t>
        </is>
      </c>
      <c r="C1138" s="27" t="n"/>
      <c r="D1138" s="27" t="n"/>
      <c r="E1138" s="27" t="n"/>
      <c r="F1138" s="28" t="n"/>
      <c r="G1138" s="61" t="n"/>
      <c r="H1138" s="62" t="n"/>
      <c r="I1138" s="65" t="n"/>
      <c r="J1138" s="62" t="n"/>
      <c r="K1138" s="63" t="n"/>
      <c r="L1138" s="33" t="n"/>
      <c r="M1138" s="64" t="n"/>
      <c r="P1138" s="35" t="n"/>
      <c r="Q1138" s="35" t="n"/>
      <c r="R1138" s="35" t="n"/>
    </row>
    <row r="1139" outlineLevel="2" ht="144" customFormat="1" customHeight="1" s="39">
      <c r="A1139" s="37">
        <f>1+N(A1138)</f>
        <v/>
      </c>
      <c r="B1139" s="27" t="inlineStr">
        <is>
          <t>墙面湿贴石材ST-05</t>
        </is>
      </c>
      <c r="C1139" s="27" t="inlineStr">
        <is>
          <t>1、墙面湿贴石材ST-05
2、8mm厚石材专用胶粘剂WC粘结层
3、界面剂拉毛处理
4、石材的开槽、磨边、倒角、粘接、形成所需之凹坑、抛光、六面防污防渗等一切处理费用均在主材费中考虑，不再另行计取
5、包含完成该项内容所有工作及费用并满足设计图纸、规范等要求</t>
        </is>
      </c>
      <c r="D1139" s="27" t="inlineStr">
        <is>
          <t>具体工作内容除详见项目特征外，且不限于以下内容:1.包含材料的下车、场内运输；2.清理基层、找标高、弹线定位；3.试拼试排；4.砂浆拌和、铺找平层（粘结层）砂浆；5.面层铺设、灌缝、擦缝；6.打蜡、养护；配合留设墙面开关、插座等末端设备等全部内容；包含成品保护、安全文明施工等达到验收合格的全部施工内容。</t>
        </is>
      </c>
      <c r="E1139" s="27" t="inlineStr">
        <is>
          <t>执行《GB/T50854-2024房屋建筑与装饰工程工程量计算标准》，按设计图示镶贴后外围面积计算</t>
        </is>
      </c>
      <c r="F1139" s="28" t="inlineStr">
        <is>
          <t>m2</t>
        </is>
      </c>
      <c r="G1139" s="61" t="n">
        <v>5.32</v>
      </c>
      <c r="H1139" s="62" t="n">
        <v>177</v>
      </c>
      <c r="I1139" s="65" t="n"/>
      <c r="J1139" s="62">
        <f>H1139*(1-$I$4)</f>
        <v/>
      </c>
      <c r="K1139" s="63">
        <f>G1139*J1139</f>
        <v/>
      </c>
      <c r="L1139" s="33" t="inlineStr">
        <is>
          <t>石材</t>
        </is>
      </c>
      <c r="M1139" s="64" t="n"/>
      <c r="O1139" t="n">
        <v>95</v>
      </c>
      <c r="P1139" s="35" t="inlineStr">
        <is>
          <t>差:-82.00元 (-46.3%) 来源:售楼处</t>
        </is>
      </c>
      <c r="Q1139" s="35" t="n"/>
      <c r="R1139" s="35" t="n"/>
    </row>
    <row r="1140" outlineLevel="2" ht="180" customFormat="1" customHeight="1" s="39">
      <c r="A1140" s="37">
        <f>1+N(A1139)</f>
        <v/>
      </c>
      <c r="B1140" s="27" t="inlineStr">
        <is>
          <t>墙面干挂ST-05石材</t>
        </is>
      </c>
      <c r="C1140" s="27" t="inlineStr">
        <is>
          <t>1、墙面干挂ST-05石材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is>
      </c>
      <c r="D1140"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140" s="27" t="inlineStr">
        <is>
          <t>执行《GB/T50854-2024房屋建筑与装饰工程工程量计算标准》，按设计图示镶贴后外围面积计算</t>
        </is>
      </c>
      <c r="F1140" s="28" t="inlineStr">
        <is>
          <t>m2</t>
        </is>
      </c>
      <c r="G1140" s="61" t="n">
        <v>25.36</v>
      </c>
      <c r="H1140" s="62" t="n">
        <v>318.6</v>
      </c>
      <c r="I1140" s="65" t="n"/>
      <c r="J1140" s="62">
        <f>H1140*(1-$I$4)</f>
        <v/>
      </c>
      <c r="K1140" s="63">
        <f>G1140*J1140</f>
        <v/>
      </c>
      <c r="L1140" s="33" t="inlineStr">
        <is>
          <t>石材</t>
        </is>
      </c>
      <c r="M1140" s="64" t="n"/>
      <c r="O1140" t="n">
        <v>145</v>
      </c>
      <c r="P1140" s="35" t="inlineStr">
        <is>
          <t>差:-173.60元 (-54.5%) 来源:售楼处</t>
        </is>
      </c>
      <c r="Q1140" s="35" t="n"/>
      <c r="R1140" s="35" t="n"/>
    </row>
    <row r="1141" outlineLevel="2" ht="180" customFormat="1" customHeight="1" s="39">
      <c r="A1141" s="37">
        <f>1+N(A1140)</f>
        <v/>
      </c>
      <c r="B1141" s="27" t="inlineStr">
        <is>
          <t>WD-07摩素板</t>
        </is>
      </c>
      <c r="C1141" s="27" t="inlineStr">
        <is>
          <t>1、墙面WD-08摩素板(结构胶固定)
2、12厘玻镁板基层
3、膨胀螺栓、轻钢龙骨(钢结构)基层找平
4、包含完成该项内容所有工作及费用并满足设计图纸、规范等要求</t>
        </is>
      </c>
      <c r="D1141"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141" s="27" t="inlineStr">
        <is>
          <t>执行《GB/T50854-2024房屋建筑与装饰工程工程量计算标准》，按设计图示饰面外围尺寸
以面积计算。 扣除门窗洞口面积，不扣除单个面积≤0.3㎡的孔洞所占面积。</t>
        </is>
      </c>
      <c r="F1141" s="28" t="inlineStr">
        <is>
          <t>m2</t>
        </is>
      </c>
      <c r="G1141" s="61" t="n">
        <v>5.43</v>
      </c>
      <c r="H1141" s="62" t="n">
        <v>186.44</v>
      </c>
      <c r="I1141" s="65" t="n"/>
      <c r="J1141" s="62">
        <f>H1141*(1-$I$4)</f>
        <v/>
      </c>
      <c r="K1141" s="63">
        <f>G1141*J1141</f>
        <v/>
      </c>
      <c r="L1141" s="33" t="inlineStr">
        <is>
          <t>摩素板</t>
        </is>
      </c>
      <c r="M1141" s="64" t="n"/>
      <c r="O1141" t="n">
        <v>35</v>
      </c>
      <c r="P1141" s="35" t="inlineStr">
        <is>
          <t>差:-151.44元 (-81.2%) 来源:会所合并</t>
        </is>
      </c>
      <c r="Q1141" s="35" t="n"/>
      <c r="R1141" s="35" t="n"/>
    </row>
    <row r="1142" outlineLevel="2" ht="144" customFormat="1" customHeight="1" s="39">
      <c r="A1142" s="37">
        <f>1+N(A1141)</f>
        <v/>
      </c>
      <c r="B1142" s="27" t="inlineStr">
        <is>
          <t>墙面PT-01肌理无机涂料</t>
        </is>
      </c>
      <c r="C1142" s="27" t="inlineStr">
        <is>
          <t>1、墙面PT-01肌理无机涂料(底漆1遍，面漆2遍)
2、刮白胶腻子找平二遍，打磨
3、阴、阳角护角收边
4、双层9.5mm纸面石膏板
5、轻钢龙骨基层找平
6、包含完成该项内容所有工作及费用并满足设计图纸、规范等要求</t>
        </is>
      </c>
      <c r="D1142"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142" s="27" t="inlineStr">
        <is>
          <t xml:space="preserve">执行《GB/T50854-2024房屋建筑与装饰工程工程量计算标准》，按设计图示尺寸
以面积计算。 </t>
        </is>
      </c>
      <c r="F1142" s="28" t="inlineStr">
        <is>
          <t>m2</t>
        </is>
      </c>
      <c r="G1142" s="61" t="n">
        <v>39.66</v>
      </c>
      <c r="H1142" s="62" t="n">
        <v>207.68</v>
      </c>
      <c r="I1142" s="65" t="n"/>
      <c r="J1142" s="62">
        <f>H1142*(1-$I$4)</f>
        <v/>
      </c>
      <c r="K1142" s="63">
        <f>G1142*J1142</f>
        <v/>
      </c>
      <c r="L1142" s="33" t="inlineStr">
        <is>
          <t>涂料</t>
        </is>
      </c>
      <c r="M1142" s="64" t="n"/>
      <c r="O1142" t="n">
        <v>110</v>
      </c>
      <c r="P1142" s="35" t="inlineStr">
        <is>
          <t>差:-97.68元 (-47.0%) 来源:售楼处</t>
        </is>
      </c>
      <c r="Q1142" s="35" t="n"/>
      <c r="R1142" s="35" t="n"/>
    </row>
    <row r="1143" outlineLevel="2" ht="180" customFormat="1" customHeight="1" s="39">
      <c r="A1143" s="37">
        <f>1+N(A1142)</f>
        <v/>
      </c>
      <c r="B1143" s="27" t="inlineStr">
        <is>
          <t>不锈钢门套</t>
        </is>
      </c>
      <c r="C1143" s="27" t="inlineStr">
        <is>
          <t>1、1.2mm厚 MT-01古铜不锈钢门套，结构胶固定
2、9厘玻镁板基层
3、工程量以展开面积计算
4、包含完成该项内容所有工作及费用并满足设计图纸、规范等要求</t>
        </is>
      </c>
      <c r="D1143"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143" s="27" t="inlineStr">
        <is>
          <t>执行《GB/T50854-2024房屋建筑与装饰工程工程量计算标准》，按设计图示饰面外围尺寸
以面积计算。 扣除门窗洞口面积，不扣除单个面积≤0.3㎡的孔洞所占面积。</t>
        </is>
      </c>
      <c r="F1143" s="28" t="inlineStr">
        <is>
          <t>m2</t>
        </is>
      </c>
      <c r="G1143" s="61" t="n">
        <v>1.67</v>
      </c>
      <c r="H1143" s="62" t="n">
        <v>630.651</v>
      </c>
      <c r="I1143" s="65" t="n"/>
      <c r="J1143" s="62">
        <f>H1143*(1-$I$4)</f>
        <v/>
      </c>
      <c r="K1143" s="63">
        <f>G1143*J1143</f>
        <v/>
      </c>
      <c r="L1143" s="33" t="inlineStr">
        <is>
          <t>/</t>
        </is>
      </c>
      <c r="M1143" s="64" t="n"/>
      <c r="O1143" t="n">
        <v>110</v>
      </c>
      <c r="P1143" s="35" t="inlineStr">
        <is>
          <t>差:-520.65元 (-82.6%) 来源:售楼处</t>
        </is>
      </c>
      <c r="Q1143" s="35" t="n"/>
      <c r="R1143" s="35" t="n"/>
    </row>
    <row r="1144" outlineLevel="2" ht="180" customFormat="1" customHeight="1" s="39">
      <c r="A1144" s="37">
        <f>1+N(A1143)</f>
        <v/>
      </c>
      <c r="B1144" s="27" t="inlineStr">
        <is>
          <t>电梯不锈钢门套</t>
        </is>
      </c>
      <c r="C1144" s="27" t="inlineStr">
        <is>
          <t>1、1.2mm厚 MT-01古铜不锈钢门套，结构胶固定
2、9厘玻镁板基层
3、工程量以展开面积计算
4、包含完成该项内容所有工作及费用并满足设计图纸、规范等要求</t>
        </is>
      </c>
      <c r="D1144"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144" s="27" t="inlineStr">
        <is>
          <t>执行《GB/T50854-2024房屋建筑与装饰工程工程量计算标准》，按设计图示饰面外围尺寸
以面积计算。 扣除门窗洞口面积，不扣除单个面积≤0.3㎡的孔洞所占面积。</t>
        </is>
      </c>
      <c r="F1144" s="28" t="inlineStr">
        <is>
          <t>m2</t>
        </is>
      </c>
      <c r="G1144" s="61" t="n">
        <v>3.74</v>
      </c>
      <c r="H1144" s="62" t="n">
        <v>630.651</v>
      </c>
      <c r="I1144" s="65" t="n"/>
      <c r="J1144" s="62">
        <f>H1144*(1-$I$4)</f>
        <v/>
      </c>
      <c r="K1144" s="63">
        <f>G1144*J1144</f>
        <v/>
      </c>
      <c r="L1144" s="33" t="inlineStr">
        <is>
          <t>/</t>
        </is>
      </c>
      <c r="M1144" s="64" t="n"/>
      <c r="O1144" t="n">
        <v>110</v>
      </c>
      <c r="P1144" s="35" t="inlineStr">
        <is>
          <t>差:-520.65元 (-82.6%) 来源:售楼处</t>
        </is>
      </c>
      <c r="Q1144" s="35" t="n"/>
      <c r="R1144" s="35" t="n"/>
    </row>
    <row r="1145" outlineLevel="2" ht="180" customFormat="1" customHeight="1" s="39">
      <c r="A1145" s="37">
        <f>1+N(A1144)</f>
        <v/>
      </c>
      <c r="B1145" s="27" t="inlineStr">
        <is>
          <t>电梯不锈钢门头</t>
        </is>
      </c>
      <c r="C1145" s="27" t="inlineStr">
        <is>
          <t>1、1.2mm厚 MT-01古铜不锈钢门头，结构胶固定
2、12mm阻燃板，轻钢副龙骨@400
3、电梯门顶内置亚克力，内部面层刮白处理
4、工程量以展开面积计算
5、包含完成该项内容所有工作及费用并满足设计图纸、规范等要求</t>
        </is>
      </c>
      <c r="D1145"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145" s="27" t="inlineStr">
        <is>
          <t>执行《GB/T50854-2024房屋建筑与装饰工程工程量计算标准》，按设计图示饰面外围尺寸
以面积计算。 扣除门窗洞口面积，不扣除单个面积≤0.3㎡的孔洞所占面积。</t>
        </is>
      </c>
      <c r="F1145" s="28" t="inlineStr">
        <is>
          <t>m2</t>
        </is>
      </c>
      <c r="G1145" s="61" t="n">
        <v>1.38</v>
      </c>
      <c r="H1145" s="62" t="n">
        <v>812.961</v>
      </c>
      <c r="I1145" s="65" t="n"/>
      <c r="J1145" s="62">
        <f>H1145*(1-$I$4)</f>
        <v/>
      </c>
      <c r="K1145" s="63">
        <f>G1145*J1145</f>
        <v/>
      </c>
      <c r="L1145" s="33" t="inlineStr">
        <is>
          <t>/</t>
        </is>
      </c>
      <c r="M1145" s="64" t="n"/>
      <c r="O1145" t="n">
        <v>110</v>
      </c>
      <c r="P1145" s="35" t="inlineStr">
        <is>
          <t>差:-702.96元 (-86.5%) 来源:售楼处</t>
        </is>
      </c>
      <c r="Q1145" s="35" t="n"/>
      <c r="R1145" s="35" t="n"/>
    </row>
    <row r="1146" outlineLevel="2" ht="180" customFormat="1" customHeight="1" s="39">
      <c r="A1146" s="37">
        <f>1+N(A1145)</f>
        <v/>
      </c>
      <c r="B1146" s="27" t="inlineStr">
        <is>
          <t>MT-01古铜不锈钢饰面（电梯按钮处）</t>
        </is>
      </c>
      <c r="C1146" s="27" t="inlineStr">
        <is>
          <t>1、1.2mm厚 MT-01古铜不锈钢饰面
2、12mm阻燃板基层，轻钢副龙骨@400
3、工程量以展开面积计算
4、包含完成该项内容所有工作及费用并满足设计图纸、规范等要求</t>
        </is>
      </c>
      <c r="D1146"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146" s="27" t="inlineStr">
        <is>
          <t>执行《GB/T50854-2024房屋建筑与装饰工程工程量计算标准》，按设计图示饰面外围尺寸
以面积计算。 扣除门窗洞口面积，不扣除单个面积≤0.3㎡的孔洞所占面积。</t>
        </is>
      </c>
      <c r="F1146" s="28" t="inlineStr">
        <is>
          <t>m2</t>
        </is>
      </c>
      <c r="G1146" s="61" t="n">
        <v>0.26</v>
      </c>
      <c r="H1146" s="62" t="n">
        <v>295</v>
      </c>
      <c r="I1146" s="65" t="n"/>
      <c r="J1146" s="62">
        <f>H1146*(1-$I$4)</f>
        <v/>
      </c>
      <c r="K1146" s="63">
        <f>G1146*J1146</f>
        <v/>
      </c>
      <c r="L1146" s="33" t="inlineStr">
        <is>
          <t>不锈钢饰面</t>
        </is>
      </c>
      <c r="M1146" s="64" t="n"/>
      <c r="O1146" t="n">
        <v>110</v>
      </c>
      <c r="P1146" s="35" t="inlineStr">
        <is>
          <t>差:-185.00元 (-62.7%) 来源:售楼处</t>
        </is>
      </c>
      <c r="Q1146" s="35" t="n"/>
      <c r="R1146" s="35" t="n"/>
    </row>
    <row r="1147" outlineLevel="2" ht="144" customFormat="1" customHeight="1" s="39">
      <c r="A1147" s="37">
        <f>1+N(A1146)</f>
        <v/>
      </c>
      <c r="B1147" s="27" t="inlineStr">
        <is>
          <t>MT-01古铜不锈钢踢脚线（高20mm）</t>
        </is>
      </c>
      <c r="C1147" s="27" t="inlineStr">
        <is>
          <t>1、1.2mm厚 MT-01古铜不锈钢踢脚线（高20mm，展开面为46mm），结构胶固定
2、9厘玻镁板基层
3、包含完成该项内容所有工作及费用并满足设计图纸、规范等要求</t>
        </is>
      </c>
      <c r="D1147"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147" s="27" t="inlineStr">
        <is>
          <t>按设计图示尺寸以长度计算。</t>
        </is>
      </c>
      <c r="F1147" s="28" t="inlineStr">
        <is>
          <t>m</t>
        </is>
      </c>
      <c r="G1147" s="61" t="n">
        <v>26</v>
      </c>
      <c r="H1147" s="62" t="n">
        <v>31.86</v>
      </c>
      <c r="I1147" s="65" t="n"/>
      <c r="J1147" s="62">
        <f>H1147*(1-$I$4)</f>
        <v/>
      </c>
      <c r="K1147" s="63">
        <f>G1147*J1147</f>
        <v/>
      </c>
      <c r="L1147" s="33" t="inlineStr">
        <is>
          <t>不锈钢踢脚线</t>
        </is>
      </c>
      <c r="M1147" s="64" t="n"/>
      <c r="O1147" t="n">
        <v>12</v>
      </c>
      <c r="P1147" s="35" t="inlineStr">
        <is>
          <t>差:-19.86元 (-62.3%) 来源:售楼处</t>
        </is>
      </c>
      <c r="Q1147" s="35" t="n"/>
      <c r="R1147" s="35" t="n"/>
    </row>
    <row r="1148" outlineLevel="2" ht="144" customFormat="1" customHeight="1" s="39">
      <c r="A1148" s="37">
        <f>1+N(A1147)</f>
        <v/>
      </c>
      <c r="B1148" s="27" t="inlineStr">
        <is>
          <t>MT-01古铜不锈钢线条（展开面为51mm）</t>
        </is>
      </c>
      <c r="C1148" s="27" t="inlineStr">
        <is>
          <t>1、1.2mm厚 MT-01古铜不锈钢线条（展开面为51mm），结构胶固定
2、9厘玻镁板基层
3、包含完成该项内容所有工作及费用并满足设计图纸、规范等要求</t>
        </is>
      </c>
      <c r="D1148"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148" s="27" t="inlineStr">
        <is>
          <t>按设计图示尺寸以长度计算。</t>
        </is>
      </c>
      <c r="F1148" s="28" t="inlineStr">
        <is>
          <t>m</t>
        </is>
      </c>
      <c r="G1148" s="61" t="n">
        <v>12.85</v>
      </c>
      <c r="H1148" s="62" t="n">
        <v>71.90212</v>
      </c>
      <c r="I1148" s="65" t="n"/>
      <c r="J1148" s="62">
        <f>H1148*(1-$I$4)</f>
        <v/>
      </c>
      <c r="K1148" s="63">
        <f>G1148*J1148</f>
        <v/>
      </c>
      <c r="L1148" s="33" t="inlineStr">
        <is>
          <t>/</t>
        </is>
      </c>
      <c r="M1148" s="64" t="n"/>
      <c r="O1148" t="n">
        <v>12</v>
      </c>
      <c r="P1148" s="35" t="inlineStr">
        <is>
          <t>差:-59.90元 (-83.3%) 来源:会所合并</t>
        </is>
      </c>
      <c r="Q1148" s="35" t="n"/>
      <c r="R1148" s="35" t="n"/>
    </row>
    <row r="1149" outlineLevel="2" ht="144" customFormat="1" customHeight="1" s="39">
      <c r="A1149" s="37">
        <f>1+N(A1148)</f>
        <v/>
      </c>
      <c r="B1149" s="27" t="inlineStr">
        <is>
          <t>MT-01古铜不锈钢线条（展开面为114mm）</t>
        </is>
      </c>
      <c r="C1149" s="27" t="inlineStr">
        <is>
          <t>1、1.2mm厚 MT-01古铜不锈钢线条（展开面为114mm），结构胶固定
2、9厘玻镁板基层
3、包含完成该项内容所有工作及费用并满足设计图纸、规范等要求</t>
        </is>
      </c>
      <c r="D1149"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149" s="27" t="inlineStr">
        <is>
          <t>按设计图示尺寸以长度计算。</t>
        </is>
      </c>
      <c r="F1149" s="28" t="inlineStr">
        <is>
          <t>m</t>
        </is>
      </c>
      <c r="G1149" s="61" t="n">
        <v>9.41</v>
      </c>
      <c r="H1149" s="62" t="n">
        <v>117.84424</v>
      </c>
      <c r="I1149" s="65" t="n"/>
      <c r="J1149" s="62">
        <f>H1149*(1-$I$4)</f>
        <v/>
      </c>
      <c r="K1149" s="63">
        <f>G1149*J1149</f>
        <v/>
      </c>
      <c r="L1149" s="33" t="inlineStr">
        <is>
          <t>/</t>
        </is>
      </c>
      <c r="M1149" s="64" t="n"/>
      <c r="O1149" t="n">
        <v>22</v>
      </c>
      <c r="P1149" s="35" t="inlineStr">
        <is>
          <t>差:-95.84元 (-81.3%) 来源:售楼处</t>
        </is>
      </c>
      <c r="Q1149" s="35" t="n"/>
      <c r="R1149" s="35" t="n"/>
    </row>
    <row r="1150" outlineLevel="2" ht="144" customFormat="1" customHeight="1" s="39">
      <c r="A1150" s="37">
        <f>1+N(A1149)</f>
        <v/>
      </c>
      <c r="B1150" s="27" t="inlineStr">
        <is>
          <t>MT-01古铜不锈钢顶部收口条（展开面为41mm）</t>
        </is>
      </c>
      <c r="C1150" s="27" t="inlineStr">
        <is>
          <t>1、1.2mm厚 MT-01古铜不锈钢顶部收口条（展开面为41mm），结构胶固定
2、9厘玻镁板基层
3、包含完成该项内容所有工作及费用并满足设计图纸、规范等要求</t>
        </is>
      </c>
      <c r="D1150"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150" s="27" t="inlineStr">
        <is>
          <t>按设计图示尺寸以长度计算。</t>
        </is>
      </c>
      <c r="F1150" s="28" t="inlineStr">
        <is>
          <t>m</t>
        </is>
      </c>
      <c r="G1150" s="61" t="n">
        <v>29.33</v>
      </c>
      <c r="H1150" s="62" t="n">
        <v>64.24509999999999</v>
      </c>
      <c r="I1150" s="65" t="n"/>
      <c r="J1150" s="62">
        <f>H1150*(1-$I$4)</f>
        <v/>
      </c>
      <c r="K1150" s="63">
        <f>G1150*J1150</f>
        <v/>
      </c>
      <c r="L1150" s="33" t="inlineStr">
        <is>
          <t>/</t>
        </is>
      </c>
      <c r="M1150" s="64" t="n"/>
      <c r="O1150" t="n">
        <v>12</v>
      </c>
      <c r="P1150" s="35" t="inlineStr">
        <is>
          <t>差:-52.25元 (-81.3%) 来源:售楼处</t>
        </is>
      </c>
      <c r="Q1150" s="35" t="n"/>
      <c r="R1150" s="35" t="n"/>
    </row>
    <row r="1151" outlineLevel="1" customFormat="1" s="39">
      <c r="A1151" s="36" t="n"/>
      <c r="B1151" s="27" t="inlineStr">
        <is>
          <t>天花工程</t>
        </is>
      </c>
      <c r="C1151" s="27" t="n"/>
      <c r="D1151" s="27" t="n"/>
      <c r="E1151" s="27" t="n"/>
      <c r="F1151" s="28" t="n"/>
      <c r="G1151" s="61" t="n"/>
      <c r="H1151" s="62" t="n"/>
      <c r="I1151" s="65" t="n"/>
      <c r="J1151" s="62" t="n"/>
      <c r="K1151" s="63" t="n"/>
      <c r="L1151" s="33" t="n"/>
      <c r="M1151" s="64" t="n"/>
      <c r="P1151" s="35" t="n"/>
      <c r="Q1151" s="35" t="n"/>
      <c r="R1151" s="35" t="n"/>
    </row>
    <row r="1152" outlineLevel="2" ht="192" customFormat="1" customHeight="1" s="39">
      <c r="A1152" s="37">
        <f>1+N(A1151)</f>
        <v/>
      </c>
      <c r="B1152" s="27" t="inlineStr">
        <is>
          <t>石膏板吊顶</t>
        </is>
      </c>
      <c r="C1152" s="27" t="inlineStr">
        <is>
          <t>1.60系列轻钢主龙骨@900，60系列轻钢副龙骨@400，60系列横撑龙骨@600，08螺纹吊杆@900不上人天花吊顶（投影面计算）
2.玻镁板、双层9.5厚石膏板基层，含开孔、检修口、10*10凹槽等费用；
3.含除灯槽外的侧面高差及其连接件、吊件；
4.包含完成该项内容所有工作及费用并满足设计图纸、规范等要求；</t>
        </is>
      </c>
      <c r="D1152" s="27" t="inlineStr">
        <is>
          <t>1.基层清理。
2.弹线定位、排版。
3.吊杆及连接件安装调平、收口及密封处理。
4.材料切割处理找平、石膏板安装及调整，打胶密封与清理.
5.收口及其他处理：检修口等制作安装、收边收口、配合预留安装、机电等专业孔洞及孔洞收口处理。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1152" s="27" t="inlineStr">
        <is>
          <t>按设计图示尺寸以水平投影面积计算。不扣除间壁墙、检查口、附墙烟囱、柱垛和管道所占面积,扣除单个&gt;0.3m3的孔洞、非密拼吊顶空隙所占的面积、独立柱及与天棚相连的窗帘盒所占的面积。</t>
        </is>
      </c>
      <c r="F1152" s="28" t="inlineStr">
        <is>
          <t>m2</t>
        </is>
      </c>
      <c r="G1152" s="61" t="n">
        <v>29.4</v>
      </c>
      <c r="H1152" s="62" t="n">
        <v>150.712222222222</v>
      </c>
      <c r="I1152" s="65" t="n"/>
      <c r="J1152" s="62">
        <f>H1152*(1-$I$4)</f>
        <v/>
      </c>
      <c r="K1152" s="63">
        <f>G1152*J1152</f>
        <v/>
      </c>
      <c r="L1152" s="33" t="inlineStr">
        <is>
          <t>/</t>
        </is>
      </c>
      <c r="M1152" s="64" t="n"/>
      <c r="O1152" t="n">
        <v>70</v>
      </c>
      <c r="P1152" s="35" t="inlineStr">
        <is>
          <t>差:-80.71元 (-53.6%) 来源:会所合并</t>
        </is>
      </c>
      <c r="Q1152" s="35" t="n"/>
      <c r="R1152" s="35" t="n"/>
    </row>
    <row r="1153" outlineLevel="2" ht="72" customFormat="1" customHeight="1" s="39">
      <c r="A1153" s="37">
        <f>1+N(A1152)</f>
        <v/>
      </c>
      <c r="B1153" s="27" t="inlineStr">
        <is>
          <t>灯槽（100mm*250mm）</t>
        </is>
      </c>
      <c r="C1153" s="27" t="inlineStr">
        <is>
          <t>1.灯槽（100mm*250mm）；
2.双层板：9mm玻镁板、9.5厚石膏板；
3.包含完成该项内容所有工作及费用并满足设计图纸、规范等要求；</t>
        </is>
      </c>
      <c r="D1153" s="27" t="inlineStr">
        <is>
          <t>自现有现场条件下按照合同约定范围、图纸（含设计变更）及甲方要求内容以及规范、标准、相关做法等要求完成并达到总包合同全部目标的全部工作内容。</t>
        </is>
      </c>
      <c r="E1153" s="27" t="inlineStr">
        <is>
          <t>依据经承包人确认的施工部位,按设计图示尺寸以延长米计算。</t>
        </is>
      </c>
      <c r="F1153" s="28" t="inlineStr">
        <is>
          <t>m</t>
        </is>
      </c>
      <c r="G1153" s="61" t="n">
        <v>15.99</v>
      </c>
      <c r="H1153" s="62" t="n">
        <v>112.159</v>
      </c>
      <c r="I1153" s="65" t="n"/>
      <c r="J1153" s="62">
        <f>H1153*(1-$I$4)</f>
        <v/>
      </c>
      <c r="K1153" s="63">
        <f>G1153*J1153</f>
        <v/>
      </c>
      <c r="L1153" s="33" t="inlineStr">
        <is>
          <t>/</t>
        </is>
      </c>
      <c r="M1153" s="64" t="n"/>
      <c r="O1153" t="n">
        <v>50</v>
      </c>
      <c r="P1153" s="35" t="inlineStr">
        <is>
          <t>差:-62.16元 (-55.4%) 来源:会所合并</t>
        </is>
      </c>
      <c r="Q1153" s="35" t="n"/>
      <c r="R1153" s="35" t="n"/>
    </row>
    <row r="1154" outlineLevel="2" ht="72" customFormat="1" customHeight="1" s="39">
      <c r="A1154" s="37">
        <f>1+N(A1153)</f>
        <v/>
      </c>
      <c r="B1154" s="27" t="inlineStr">
        <is>
          <t>成品石膏线条</t>
        </is>
      </c>
      <c r="C1154" s="27" t="inlineStr">
        <is>
          <t>1.成品石膏线条（50mm*50mm）；
2.按图纸造型；
3.包含完成该项内容所有工作及费用并满足设计图纸、规范等要求；</t>
        </is>
      </c>
      <c r="D1154" s="27" t="inlineStr">
        <is>
          <t>自现有现场条件下按照合同约定范围、图纸（含设计变更）及甲方要求内容以及规范、标准、相关做法等要求完成并达到总包合同全部目标的全部工作内容。</t>
        </is>
      </c>
      <c r="E1154" s="27" t="inlineStr">
        <is>
          <t>依据经承包人确认的施工部位,按设计图示尺寸以延长米计算。</t>
        </is>
      </c>
      <c r="F1154" s="28" t="inlineStr">
        <is>
          <t>m</t>
        </is>
      </c>
      <c r="G1154" s="61" t="n">
        <v>15.99</v>
      </c>
      <c r="H1154" s="62" t="n">
        <v>20.06</v>
      </c>
      <c r="I1154" s="65" t="n"/>
      <c r="J1154" s="62">
        <f>H1154*(1-$I$4)</f>
        <v/>
      </c>
      <c r="K1154" s="63">
        <f>G1154*J1154</f>
        <v/>
      </c>
      <c r="L1154" s="33" t="inlineStr">
        <is>
          <t>成品石膏线条</t>
        </is>
      </c>
      <c r="M1154" s="64" t="n"/>
      <c r="O1154" t="n">
        <v>18</v>
      </c>
      <c r="P1154" s="35" t="inlineStr">
        <is>
          <t>差:-2.06元 (-10.3%) 来源:售楼处</t>
        </is>
      </c>
      <c r="Q1154" s="35" t="n"/>
      <c r="R1154" s="35" t="n"/>
    </row>
    <row r="1155" outlineLevel="2" ht="72" customFormat="1" customHeight="1" s="39">
      <c r="A1155" s="37">
        <f>1+N(A1154)</f>
        <v/>
      </c>
      <c r="B1155" s="27" t="inlineStr">
        <is>
          <t>条形空调风口（150mm）</t>
        </is>
      </c>
      <c r="C1155" s="27" t="inlineStr">
        <is>
          <t>1.条形空调风口（150mm）；
2.风口周边阻燃板封边加固处理；
3.包含完成该项内容所有工作及费用并满足设计图纸、规范等要求；</t>
        </is>
      </c>
      <c r="D1155" s="27" t="inlineStr">
        <is>
          <t>自现有现场条件下按照合同约定范围、图纸（含设计变更）及甲方要求内容以及规范、标准、相关做法等要求完成并达到总包合同全部目标的全部工作内容。</t>
        </is>
      </c>
      <c r="E1155" s="27" t="inlineStr">
        <is>
          <t>依据经承包人确认的施工部位,按设计图示尺寸以延长米计算。</t>
        </is>
      </c>
      <c r="F1155" s="28" t="inlineStr">
        <is>
          <t>m</t>
        </is>
      </c>
      <c r="G1155" s="61" t="n">
        <v>10.24</v>
      </c>
      <c r="H1155" s="62" t="n">
        <v>109.74</v>
      </c>
      <c r="I1155" s="65" t="n"/>
      <c r="J1155" s="62">
        <f>H1155*(1-$I$4)</f>
        <v/>
      </c>
      <c r="K1155" s="63">
        <f>G1155*J1155</f>
        <v/>
      </c>
      <c r="L1155" s="33" t="inlineStr">
        <is>
          <t>空调风口</t>
        </is>
      </c>
      <c r="M1155" s="64" t="n"/>
      <c r="O1155" t="n">
        <v>30</v>
      </c>
      <c r="P1155" s="35" t="inlineStr">
        <is>
          <t>差:-79.74元 (-72.7%) 来源:售楼处</t>
        </is>
      </c>
      <c r="Q1155" s="35" t="n"/>
      <c r="R1155" s="35" t="n"/>
    </row>
    <row r="1156" outlineLevel="2" ht="192" customFormat="1" customHeight="1" s="39">
      <c r="A1156" s="37">
        <f>1+N(A1155)</f>
        <v/>
      </c>
      <c r="B1156" s="27" t="inlineStr">
        <is>
          <t>天花肌理无机涂料PT-01</t>
        </is>
      </c>
      <c r="C1156" s="27" t="inlineStr">
        <is>
          <t>1.天花肌理无机涂料PT-01；
2.刮腻子二遍磨平；
3.底漆1遍，面漆2遍；
4.包含完成该项内容所有工作及费用并满足设计图纸、规范等要求；</t>
        </is>
      </c>
      <c r="D1156" s="27" t="inlineStr">
        <is>
          <t>包括但不限于材料计划、采购、卸车倒运、保管、检验试验费、测量放线，包含四周阴角找平直、含天棚四周阴角找平直，打磨，简易脚手架搭拆及操作平台、升降机，基层清理、打磨平整、底层找补、满刮涂料（含阴阳角塑料条）、涂料打磨、补遗处理、配合其他分包施工、完工后场清、成品保护、保修等直到达到竣工交付标准的全部工作内容。包括所有为完成工作所需的小型机具；包括所有为完成工作所需的附属工作；包括但不限于以上内容。</t>
        </is>
      </c>
      <c r="E1156" s="27" t="inlineStr">
        <is>
          <t>执行《GB/T50854-2024房屋建筑与装饰工程工程量计算标准》，按设计图示尺寸以面积计算。扣除0.3平方米以上洞口的面积；梁侧面及檐口天棚并入天棚计算；以设计图纸和技术交底为基础</t>
        </is>
      </c>
      <c r="F1156" s="28" t="inlineStr">
        <is>
          <t>m2</t>
        </is>
      </c>
      <c r="G1156" s="61" t="n">
        <v>35.69</v>
      </c>
      <c r="H1156" s="62" t="n">
        <v>48.38</v>
      </c>
      <c r="I1156" s="65" t="n"/>
      <c r="J1156" s="62">
        <f>H1156*(1-$I$4)</f>
        <v/>
      </c>
      <c r="K1156" s="63">
        <f>G1156*J1156</f>
        <v/>
      </c>
      <c r="L1156" s="33" t="inlineStr">
        <is>
          <t>涂料</t>
        </is>
      </c>
      <c r="M1156" s="64" t="n"/>
      <c r="O1156" t="n">
        <v>45</v>
      </c>
      <c r="P1156" s="35" t="inlineStr">
        <is>
          <t>差:-3.38元 (-7.0%) 来源:售楼处</t>
        </is>
      </c>
      <c r="Q1156" s="35" t="n"/>
      <c r="R1156" s="35" t="n"/>
    </row>
    <row r="1157" outlineLevel="1" customFormat="1" s="39">
      <c r="A1157" s="36" t="n"/>
      <c r="B1157" s="27" t="inlineStr">
        <is>
          <t>门窗、家具工程</t>
        </is>
      </c>
      <c r="C1157" s="27" t="n"/>
      <c r="D1157" s="27" t="n"/>
      <c r="E1157" s="27" t="n"/>
      <c r="F1157" s="28" t="n"/>
      <c r="G1157" s="61" t="n"/>
      <c r="H1157" s="62" t="n"/>
      <c r="I1157" s="65" t="n"/>
      <c r="J1157" s="62" t="n"/>
      <c r="K1157" s="63" t="n"/>
      <c r="L1157" s="33" t="n"/>
      <c r="M1157" s="64" t="n"/>
      <c r="P1157" s="35" t="n"/>
      <c r="Q1157" s="35" t="n"/>
      <c r="R1157" s="35" t="n"/>
    </row>
    <row r="1158" outlineLevel="1" customFormat="1" s="39">
      <c r="A1158" s="26" t="inlineStr">
        <is>
          <t>四</t>
        </is>
      </c>
      <c r="B1158" s="27" t="inlineStr">
        <is>
          <t>四单元合用前室</t>
        </is>
      </c>
      <c r="C1158" s="27" t="n"/>
      <c r="D1158" s="27" t="n"/>
      <c r="E1158" s="27" t="n"/>
      <c r="F1158" s="28" t="n"/>
      <c r="G1158" s="61" t="n"/>
      <c r="H1158" s="62" t="n"/>
      <c r="I1158" s="65" t="n"/>
      <c r="J1158" s="62" t="n"/>
      <c r="K1158" s="63" t="n"/>
      <c r="L1158" s="33" t="n"/>
      <c r="M1158" s="64" t="n"/>
      <c r="P1158" s="35" t="n"/>
      <c r="Q1158" s="35" t="n"/>
      <c r="R1158" s="35" t="n"/>
    </row>
    <row r="1159" outlineLevel="1" customFormat="1" s="39">
      <c r="A1159" s="36" t="n"/>
      <c r="B1159" s="27" t="inlineStr">
        <is>
          <t>地面工程</t>
        </is>
      </c>
      <c r="C1159" s="27" t="n"/>
      <c r="D1159" s="27" t="n"/>
      <c r="E1159" s="27" t="n"/>
      <c r="F1159" s="28" t="n"/>
      <c r="G1159" s="61" t="n"/>
      <c r="H1159" s="62" t="n"/>
      <c r="I1159" s="65" t="n"/>
      <c r="J1159" s="62" t="n"/>
      <c r="K1159" s="63" t="n"/>
      <c r="L1159" s="33" t="n"/>
      <c r="M1159" s="64" t="n"/>
      <c r="P1159" s="35" t="n"/>
      <c r="Q1159" s="35" t="n"/>
      <c r="R1159" s="35" t="n"/>
    </row>
    <row r="1160" outlineLevel="2" ht="108" customFormat="1" customHeight="1" s="39">
      <c r="A1160" s="37">
        <f>1+N(A1159)</f>
        <v/>
      </c>
      <c r="B1160" s="27" t="inlineStr">
        <is>
          <t>地面铺贴大理石ST-01</t>
        </is>
      </c>
      <c r="C1160" s="27" t="inlineStr">
        <is>
          <t>1.地面20mm大理石ST-01、铺贴、厚度及样式按物料书为准；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1160"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160" s="27" t="inlineStr">
        <is>
          <t xml:space="preserve">执行《GB/T50854-2024房屋建筑与装饰工程工程量计算标准》，按设计图示尺寸
以面积计算。 </t>
        </is>
      </c>
      <c r="F1160" s="28" t="inlineStr">
        <is>
          <t>m2</t>
        </is>
      </c>
      <c r="G1160" s="61" t="n">
        <v>3.97</v>
      </c>
      <c r="H1160" s="62" t="n">
        <v>218.75017</v>
      </c>
      <c r="I1160" s="65" t="n"/>
      <c r="J1160" s="62">
        <f>H1160*(1-$I$4)</f>
        <v/>
      </c>
      <c r="K1160" s="63">
        <f>G1160*J1160</f>
        <v/>
      </c>
      <c r="L1160" s="33" t="inlineStr">
        <is>
          <t>石材</t>
        </is>
      </c>
      <c r="M1160" s="64" t="n"/>
      <c r="O1160" t="n">
        <v>130</v>
      </c>
      <c r="P1160" s="35" t="inlineStr">
        <is>
          <t>差:-88.75元 (-40.6%) 来源:售楼处</t>
        </is>
      </c>
      <c r="Q1160" s="35" t="n"/>
      <c r="R1160" s="35" t="n"/>
    </row>
    <row r="1161" outlineLevel="2" ht="108" customFormat="1" customHeight="1" s="39">
      <c r="A1161" s="37">
        <f>1+N(A1160)</f>
        <v/>
      </c>
      <c r="B1161" s="27" t="inlineStr">
        <is>
          <t>地面铺贴大理石ST-01.02拼花</t>
        </is>
      </c>
      <c r="C1161" s="27" t="inlineStr">
        <is>
          <t>1.地面20mm大理石拼花、参考3F-DF-01样式、ST-01、ST-02按物料书为准；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1161"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161" s="27" t="inlineStr">
        <is>
          <t xml:space="preserve">执行《GB/T50854-2024房屋建筑与装饰工程工程量计算标准》，按设计图示尺寸
以面积计算。 </t>
        </is>
      </c>
      <c r="F1161" s="28" t="inlineStr">
        <is>
          <t>m2</t>
        </is>
      </c>
      <c r="G1161" s="61" t="n">
        <v>13.03</v>
      </c>
      <c r="H1161" s="62" t="n">
        <v>242.35017</v>
      </c>
      <c r="I1161" s="65" t="n"/>
      <c r="J1161" s="62">
        <f>H1161*(1-$I$4)</f>
        <v/>
      </c>
      <c r="K1161" s="63">
        <f>G1161*J1161</f>
        <v/>
      </c>
      <c r="L1161" s="33" t="inlineStr">
        <is>
          <t>石材</t>
        </is>
      </c>
      <c r="M1161" s="64" t="n"/>
      <c r="O1161" t="n">
        <v>130</v>
      </c>
      <c r="P1161" s="35" t="inlineStr">
        <is>
          <t>差:-112.35元 (-46.4%) 来源:售楼处</t>
        </is>
      </c>
      <c r="Q1161" s="35" t="n"/>
      <c r="R1161" s="35" t="n"/>
    </row>
    <row r="1162" outlineLevel="2" ht="108" customFormat="1" customHeight="1" s="39">
      <c r="A1162" s="37">
        <f>1+N(A1161)</f>
        <v/>
      </c>
      <c r="B1162" s="27" t="inlineStr">
        <is>
          <t>实心铜条5mm宽</t>
        </is>
      </c>
      <c r="C1162" s="27" t="inlineStr">
        <is>
          <t>1.实心铜条5mm宽；
2.包含完成该项内容所有工作及费用并满足设计图纸、规范等要求；</t>
        </is>
      </c>
      <c r="D1162"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162" s="27" t="inlineStr">
        <is>
          <t>按设计图示尺寸以长度计算。</t>
        </is>
      </c>
      <c r="F1162" s="28" t="inlineStr">
        <is>
          <t>m</t>
        </is>
      </c>
      <c r="G1162" s="61" t="n">
        <v>14.57</v>
      </c>
      <c r="H1162" s="62" t="n">
        <v>89.267</v>
      </c>
      <c r="I1162" s="65" t="n"/>
      <c r="J1162" s="62">
        <f>H1162*(1-$I$4)</f>
        <v/>
      </c>
      <c r="K1162" s="63">
        <f>G1162*J1162</f>
        <v/>
      </c>
      <c r="L1162" s="33" t="inlineStr">
        <is>
          <t>/</t>
        </is>
      </c>
      <c r="M1162" s="64" t="n"/>
      <c r="O1162" t="n">
        <v>12</v>
      </c>
      <c r="P1162" s="35" t="inlineStr">
        <is>
          <t>差:-77.27元 (-86.6%) 来源:售楼处</t>
        </is>
      </c>
      <c r="Q1162" s="35" t="n"/>
      <c r="R1162" s="35" t="n"/>
    </row>
    <row r="1163" outlineLevel="2" ht="108" customFormat="1" customHeight="1" s="39">
      <c r="A1163" s="37">
        <f>1+N(A1162)</f>
        <v/>
      </c>
      <c r="B1163" s="27" t="inlineStr">
        <is>
          <t>地面石材晶面处理</t>
        </is>
      </c>
      <c r="C1163" s="27" t="inlineStr">
        <is>
          <t>1.石材结晶处理(结晶水及石材保养剂,中性清洁剂)；
2.包含完成该项内容所有工作及费用并满足设计图纸、规范等要求；</t>
        </is>
      </c>
      <c r="D1163"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163" s="27" t="inlineStr">
        <is>
          <t xml:space="preserve">执行《GB/T50854-2024房屋建筑与装饰工程工程量计算标准》，按设计图示尺寸
以面积计算。 </t>
        </is>
      </c>
      <c r="F1163" s="28" t="inlineStr">
        <is>
          <t>m2</t>
        </is>
      </c>
      <c r="G1163" s="61" t="n">
        <v>17</v>
      </c>
      <c r="H1163" s="62" t="n">
        <v>64.90000000000001</v>
      </c>
      <c r="I1163" s="65" t="n"/>
      <c r="J1163" s="62">
        <f>H1163*(1-$I$4)</f>
        <v/>
      </c>
      <c r="K1163" s="63">
        <f>G1163*J1163</f>
        <v/>
      </c>
      <c r="L1163" s="33" t="inlineStr">
        <is>
          <t>/</t>
        </is>
      </c>
      <c r="M1163" s="64" t="n"/>
      <c r="O1163" t="n">
        <v>40</v>
      </c>
      <c r="P1163" s="35" t="inlineStr">
        <is>
          <t>差:-24.90元 (-38.4%) 来源:售楼处</t>
        </is>
      </c>
      <c r="Q1163" s="35" t="n"/>
      <c r="R1163" s="35" t="n"/>
    </row>
    <row r="1164" outlineLevel="1" customFormat="1" s="39">
      <c r="A1164" s="36" t="n"/>
      <c r="B1164" s="27" t="inlineStr">
        <is>
          <t>墙面工程</t>
        </is>
      </c>
      <c r="C1164" s="27" t="n"/>
      <c r="D1164" s="27" t="n"/>
      <c r="E1164" s="27" t="n"/>
      <c r="F1164" s="28" t="n"/>
      <c r="G1164" s="61" t="n"/>
      <c r="H1164" s="62" t="n"/>
      <c r="I1164" s="65" t="n"/>
      <c r="J1164" s="62" t="n"/>
      <c r="K1164" s="63" t="n"/>
      <c r="L1164" s="33" t="n"/>
      <c r="M1164" s="64" t="n"/>
      <c r="P1164" s="35" t="n"/>
      <c r="Q1164" s="35" t="n"/>
      <c r="R1164" s="35" t="n"/>
    </row>
    <row r="1165" outlineLevel="2" ht="144" customFormat="1" customHeight="1" s="39">
      <c r="A1165" s="37">
        <f>1+N(A1164)</f>
        <v/>
      </c>
      <c r="B1165" s="27" t="inlineStr">
        <is>
          <t>墙面湿贴石材ST-05</t>
        </is>
      </c>
      <c r="C1165" s="27" t="inlineStr">
        <is>
          <t>1、墙面湿贴石材ST-05
2、8mm厚石材专用胶粘剂WC粘结层
3、界面剂拉毛处理
4、石材的开槽、磨边、倒角、粘接、形成所需之凹坑、抛光、六面防污防渗等一切处理费用均在主材费中考虑，不再另行计取
5、包含完成该项内容所有工作及费用并满足设计图纸、规范等要求</t>
        </is>
      </c>
      <c r="D1165" s="27" t="inlineStr">
        <is>
          <t>具体工作内容除详见项目特征外，且不限于以下内容:1.包含材料的下车、场内运输；2.清理基层、找标高、弹线定位；3.试拼试排；4.砂浆拌和、铺找平层（粘结层）砂浆；5.面层铺设、灌缝、擦缝；6.打蜡、养护；配合留设墙面开关、插座等末端设备等全部内容；包含成品保护、安全文明施工等达到验收合格的全部施工内容。</t>
        </is>
      </c>
      <c r="E1165" s="27" t="inlineStr">
        <is>
          <t>执行《GB/T50854-2024房屋建筑与装饰工程工程量计算标准》，按设计图示镶贴后外围面积计算</t>
        </is>
      </c>
      <c r="F1165" s="28" t="inlineStr">
        <is>
          <t>m2</t>
        </is>
      </c>
      <c r="G1165" s="61" t="n">
        <v>5.32</v>
      </c>
      <c r="H1165" s="62" t="n">
        <v>177</v>
      </c>
      <c r="I1165" s="65" t="n"/>
      <c r="J1165" s="62">
        <f>H1165*(1-$I$4)</f>
        <v/>
      </c>
      <c r="K1165" s="63">
        <f>G1165*J1165</f>
        <v/>
      </c>
      <c r="L1165" s="33" t="inlineStr">
        <is>
          <t>石材</t>
        </is>
      </c>
      <c r="M1165" s="64" t="n"/>
      <c r="O1165" t="n">
        <v>95</v>
      </c>
      <c r="P1165" s="35" t="inlineStr">
        <is>
          <t>差:-82.00元 (-46.3%) 来源:售楼处</t>
        </is>
      </c>
      <c r="Q1165" s="35" t="n"/>
      <c r="R1165" s="35" t="n"/>
    </row>
    <row r="1166" outlineLevel="2" ht="180" customFormat="1" customHeight="1" s="39">
      <c r="A1166" s="37">
        <f>1+N(A1165)</f>
        <v/>
      </c>
      <c r="B1166" s="27" t="inlineStr">
        <is>
          <t>墙面干挂ST-05石材</t>
        </is>
      </c>
      <c r="C1166" s="27" t="inlineStr">
        <is>
          <t>1、墙面干挂ST-05石材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is>
      </c>
      <c r="D1166"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166" s="27" t="inlineStr">
        <is>
          <t>执行《GB/T50854-2024房屋建筑与装饰工程工程量计算标准》，按设计图示镶贴后外围面积计算</t>
        </is>
      </c>
      <c r="F1166" s="28" t="inlineStr">
        <is>
          <t>m2</t>
        </is>
      </c>
      <c r="G1166" s="61" t="n">
        <v>25.27</v>
      </c>
      <c r="H1166" s="62" t="n">
        <v>318.6</v>
      </c>
      <c r="I1166" s="65" t="n"/>
      <c r="J1166" s="62">
        <f>H1166*(1-$I$4)</f>
        <v/>
      </c>
      <c r="K1166" s="63">
        <f>G1166*J1166</f>
        <v/>
      </c>
      <c r="L1166" s="33" t="inlineStr">
        <is>
          <t>石材</t>
        </is>
      </c>
      <c r="M1166" s="64" t="n"/>
      <c r="O1166" t="n">
        <v>145</v>
      </c>
      <c r="P1166" s="35" t="inlineStr">
        <is>
          <t>差:-173.60元 (-54.5%) 来源:售楼处</t>
        </is>
      </c>
      <c r="Q1166" s="35" t="n"/>
      <c r="R1166" s="35" t="n"/>
    </row>
    <row r="1167" outlineLevel="2" ht="180" customFormat="1" customHeight="1" s="39">
      <c r="A1167" s="37">
        <f>1+N(A1166)</f>
        <v/>
      </c>
      <c r="B1167" s="27" t="inlineStr">
        <is>
          <t>WD-07摩素板</t>
        </is>
      </c>
      <c r="C1167" s="27" t="inlineStr">
        <is>
          <t>1、墙面WD-08摩素板(结构胶固定)
2、12厘玻镁板基层
3、膨胀螺栓、轻钢龙骨(钢结构)基层找平
4、包含完成该项内容所有工作及费用并满足设计图纸、规范等要求</t>
        </is>
      </c>
      <c r="D1167"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167" s="27" t="inlineStr">
        <is>
          <t>执行《GB/T50854-2024房屋建筑与装饰工程工程量计算标准》，按设计图示饰面外围尺寸
以面积计算。 扣除门窗洞口面积，不扣除单个面积≤0.3㎡的孔洞所占面积。</t>
        </is>
      </c>
      <c r="F1167" s="28" t="inlineStr">
        <is>
          <t>m2</t>
        </is>
      </c>
      <c r="G1167" s="61" t="n">
        <v>2.1</v>
      </c>
      <c r="H1167" s="62" t="n">
        <v>186.44</v>
      </c>
      <c r="I1167" s="65" t="n"/>
      <c r="J1167" s="62">
        <f>H1167*(1-$I$4)</f>
        <v/>
      </c>
      <c r="K1167" s="63">
        <f>G1167*J1167</f>
        <v/>
      </c>
      <c r="L1167" s="33" t="inlineStr">
        <is>
          <t>摩素板</t>
        </is>
      </c>
      <c r="M1167" s="64" t="n"/>
      <c r="O1167" t="n">
        <v>35</v>
      </c>
      <c r="P1167" s="35" t="inlineStr">
        <is>
          <t>差:-151.44元 (-81.2%) 来源:会所合并</t>
        </is>
      </c>
      <c r="Q1167" s="35" t="n"/>
      <c r="R1167" s="35" t="n"/>
    </row>
    <row r="1168" outlineLevel="2" ht="180" customFormat="1" customHeight="1" s="39">
      <c r="A1168" s="37">
        <f>1+N(A1167)</f>
        <v/>
      </c>
      <c r="B1168" s="27" t="inlineStr">
        <is>
          <t>电梯不锈钢门套</t>
        </is>
      </c>
      <c r="C1168" s="27" t="inlineStr">
        <is>
          <t>1、1.2mm厚 MT-01古铜不锈钢门套，结构胶固定
2、9厘玻镁板基层
3、工程量以展开面积计算
4、包含完成该项内容所有工作及费用并满足设计图纸、规范等要求</t>
        </is>
      </c>
      <c r="D1168"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168" s="27" t="inlineStr">
        <is>
          <t>执行《GB/T50854-2024房屋建筑与装饰工程工程量计算标准》，按设计图示饰面外围尺寸
以面积计算。 扣除门窗洞口面积，不扣除单个面积≤0.3㎡的孔洞所占面积。</t>
        </is>
      </c>
      <c r="F1168" s="28" t="inlineStr">
        <is>
          <t>m2</t>
        </is>
      </c>
      <c r="G1168" s="61" t="n">
        <v>3.74</v>
      </c>
      <c r="H1168" s="62" t="n">
        <v>630.651</v>
      </c>
      <c r="I1168" s="65" t="n"/>
      <c r="J1168" s="62">
        <f>H1168*(1-$I$4)</f>
        <v/>
      </c>
      <c r="K1168" s="63">
        <f>G1168*J1168</f>
        <v/>
      </c>
      <c r="L1168" s="33" t="inlineStr">
        <is>
          <t>/</t>
        </is>
      </c>
      <c r="M1168" s="64" t="n"/>
      <c r="O1168" t="n">
        <v>110</v>
      </c>
      <c r="P1168" s="35" t="inlineStr">
        <is>
          <t>差:-520.65元 (-82.6%) 来源:售楼处</t>
        </is>
      </c>
      <c r="Q1168" s="35" t="n"/>
      <c r="R1168" s="35" t="n"/>
    </row>
    <row r="1169" outlineLevel="2" ht="180" customFormat="1" customHeight="1" s="39">
      <c r="A1169" s="37">
        <f>1+N(A1168)</f>
        <v/>
      </c>
      <c r="B1169" s="27" t="inlineStr">
        <is>
          <t>电梯不锈钢门头</t>
        </is>
      </c>
      <c r="C1169" s="27" t="inlineStr">
        <is>
          <t>1、1.2mm厚 MT-01古铜不锈钢门头，结构胶固定
2、12mm阻燃板，轻钢副龙骨@400
3、电梯门顶内置亚克力，内部面层刮白处理
4、工程量以展开面积计算
5、包含完成该项内容所有工作及费用并满足设计图纸、规范等要求</t>
        </is>
      </c>
      <c r="D1169"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169" s="27" t="inlineStr">
        <is>
          <t>执行《GB/T50854-2024房屋建筑与装饰工程工程量计算标准》，按设计图示饰面外围尺寸
以面积计算。 扣除门窗洞口面积，不扣除单个面积≤0.3㎡的孔洞所占面积。</t>
        </is>
      </c>
      <c r="F1169" s="28" t="inlineStr">
        <is>
          <t>m2</t>
        </is>
      </c>
      <c r="G1169" s="61" t="n">
        <v>1.38</v>
      </c>
      <c r="H1169" s="62" t="n">
        <v>812.961</v>
      </c>
      <c r="I1169" s="65" t="n"/>
      <c r="J1169" s="62">
        <f>H1169*(1-$I$4)</f>
        <v/>
      </c>
      <c r="K1169" s="63">
        <f>G1169*J1169</f>
        <v/>
      </c>
      <c r="L1169" s="33" t="inlineStr">
        <is>
          <t>/</t>
        </is>
      </c>
      <c r="M1169" s="64" t="n"/>
      <c r="O1169" t="n">
        <v>110</v>
      </c>
      <c r="P1169" s="35" t="inlineStr">
        <is>
          <t>差:-702.96元 (-86.5%) 来源:售楼处</t>
        </is>
      </c>
      <c r="Q1169" s="35" t="n"/>
      <c r="R1169" s="35" t="n"/>
    </row>
    <row r="1170" outlineLevel="2" ht="180" customFormat="1" customHeight="1" s="39">
      <c r="A1170" s="37">
        <f>1+N(A1169)</f>
        <v/>
      </c>
      <c r="B1170" s="27" t="inlineStr">
        <is>
          <t>MT-01古铜不锈钢饰面（电梯按钮处）</t>
        </is>
      </c>
      <c r="C1170" s="27" t="inlineStr">
        <is>
          <t>1、1.2mm厚 MT-01古铜不锈钢饰面
2、12mm阻燃板基层，轻钢副龙骨@400
3、工程量以展开面积计算
4、包含完成该项内容所有工作及费用并满足设计图纸、规范等要求</t>
        </is>
      </c>
      <c r="D1170"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170" s="27" t="inlineStr">
        <is>
          <t>执行《GB/T50854-2024房屋建筑与装饰工程工程量计算标准》，按设计图示饰面外围尺寸
以面积计算。 扣除门窗洞口面积，不扣除单个面积≤0.3㎡的孔洞所占面积。</t>
        </is>
      </c>
      <c r="F1170" s="28" t="inlineStr">
        <is>
          <t>m2</t>
        </is>
      </c>
      <c r="G1170" s="61" t="n">
        <v>0.26</v>
      </c>
      <c r="H1170" s="62" t="n">
        <v>295</v>
      </c>
      <c r="I1170" s="65" t="n"/>
      <c r="J1170" s="62">
        <f>H1170*(1-$I$4)</f>
        <v/>
      </c>
      <c r="K1170" s="63">
        <f>G1170*J1170</f>
        <v/>
      </c>
      <c r="L1170" s="33" t="inlineStr">
        <is>
          <t>不锈钢饰面</t>
        </is>
      </c>
      <c r="M1170" s="64" t="n"/>
      <c r="O1170" t="n">
        <v>110</v>
      </c>
      <c r="P1170" s="35" t="inlineStr">
        <is>
          <t>差:-185.00元 (-62.7%) 来源:售楼处</t>
        </is>
      </c>
      <c r="Q1170" s="35" t="n"/>
      <c r="R1170" s="35" t="n"/>
    </row>
    <row r="1171" outlineLevel="2" ht="144" customFormat="1" customHeight="1" s="39">
      <c r="A1171" s="37">
        <f>1+N(A1170)</f>
        <v/>
      </c>
      <c r="B1171" s="27" t="inlineStr">
        <is>
          <t>MT-01古铜不锈钢踢脚线（高20mm）</t>
        </is>
      </c>
      <c r="C1171" s="27" t="inlineStr">
        <is>
          <t>1、1.2mm厚 MT-01古铜不锈钢踢脚线（高20mm，展开面为46mm），结构胶固定
2、9厘玻镁板基层
3、包含完成该项内容所有工作及费用并满足设计图纸、规范等要求</t>
        </is>
      </c>
      <c r="D1171"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171" s="27" t="inlineStr">
        <is>
          <t>按设计图示尺寸以长度计算。</t>
        </is>
      </c>
      <c r="F1171" s="28" t="inlineStr">
        <is>
          <t>m</t>
        </is>
      </c>
      <c r="G1171" s="61" t="n">
        <v>11.97</v>
      </c>
      <c r="H1171" s="62" t="n">
        <v>31.86</v>
      </c>
      <c r="I1171" s="65" t="n"/>
      <c r="J1171" s="62">
        <f>H1171*(1-$I$4)</f>
        <v/>
      </c>
      <c r="K1171" s="63">
        <f>G1171*J1171</f>
        <v/>
      </c>
      <c r="L1171" s="33" t="inlineStr">
        <is>
          <t>不锈钢踢脚线</t>
        </is>
      </c>
      <c r="M1171" s="64" t="n"/>
      <c r="O1171" t="n">
        <v>12</v>
      </c>
      <c r="P1171" s="35" t="inlineStr">
        <is>
          <t>差:-19.86元 (-62.3%) 来源:售楼处</t>
        </is>
      </c>
      <c r="Q1171" s="35" t="n"/>
      <c r="R1171" s="35" t="n"/>
    </row>
    <row r="1172" outlineLevel="2" ht="144" customFormat="1" customHeight="1" s="39">
      <c r="A1172" s="37">
        <f>1+N(A1171)</f>
        <v/>
      </c>
      <c r="B1172" s="27" t="inlineStr">
        <is>
          <t>MT-01古铜不锈钢线条（展开面为114mm）</t>
        </is>
      </c>
      <c r="C1172" s="27" t="inlineStr">
        <is>
          <t>1、1.2mm厚 MT-01古铜不锈钢线条（展开面为114mm），结构胶固定
2、9厘玻镁板基层
3、包含完成该项内容所有工作及费用并满足设计图纸、规范等要求</t>
        </is>
      </c>
      <c r="D1172"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172" s="27" t="inlineStr">
        <is>
          <t>按设计图示尺寸以长度计算。</t>
        </is>
      </c>
      <c r="F1172" s="28" t="inlineStr">
        <is>
          <t>m</t>
        </is>
      </c>
      <c r="G1172" s="61" t="n">
        <v>9.42</v>
      </c>
      <c r="H1172" s="62" t="n">
        <v>117.84424</v>
      </c>
      <c r="I1172" s="65" t="n"/>
      <c r="J1172" s="62">
        <f>H1172*(1-$I$4)</f>
        <v/>
      </c>
      <c r="K1172" s="63">
        <f>G1172*J1172</f>
        <v/>
      </c>
      <c r="L1172" s="33" t="inlineStr">
        <is>
          <t>/</t>
        </is>
      </c>
      <c r="M1172" s="64" t="n"/>
      <c r="O1172" t="n">
        <v>22</v>
      </c>
      <c r="P1172" s="35" t="inlineStr">
        <is>
          <t>差:-95.84元 (-81.3%) 来源:售楼处</t>
        </is>
      </c>
      <c r="Q1172" s="35" t="n"/>
      <c r="R1172" s="35" t="n"/>
    </row>
    <row r="1173" outlineLevel="2" ht="144" customFormat="1" customHeight="1" s="39">
      <c r="A1173" s="37">
        <f>1+N(A1172)</f>
        <v/>
      </c>
      <c r="B1173" s="27" t="inlineStr">
        <is>
          <t>MT-01古铜不锈钢顶部收口条（展开面为41mm）</t>
        </is>
      </c>
      <c r="C1173" s="27" t="inlineStr">
        <is>
          <t>1、1.2mm厚 MT-01古铜不锈钢顶部收口条（展开面为41mm），结构胶固定
2、9厘玻镁板基层
3、包含完成该项内容所有工作及费用并满足设计图纸、规范等要求</t>
        </is>
      </c>
      <c r="D1173"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173" s="27" t="inlineStr">
        <is>
          <t>按设计图示尺寸以长度计算。</t>
        </is>
      </c>
      <c r="F1173" s="28" t="inlineStr">
        <is>
          <t>m</t>
        </is>
      </c>
      <c r="G1173" s="61" t="n">
        <v>12.8</v>
      </c>
      <c r="H1173" s="62" t="n">
        <v>64.24509999999999</v>
      </c>
      <c r="I1173" s="65" t="n"/>
      <c r="J1173" s="62">
        <f>H1173*(1-$I$4)</f>
        <v/>
      </c>
      <c r="K1173" s="63">
        <f>G1173*J1173</f>
        <v/>
      </c>
      <c r="L1173" s="33" t="inlineStr">
        <is>
          <t>/</t>
        </is>
      </c>
      <c r="M1173" s="64" t="n"/>
      <c r="O1173" t="n">
        <v>12</v>
      </c>
      <c r="P1173" s="35" t="inlineStr">
        <is>
          <t>差:-52.25元 (-81.3%) 来源:售楼处</t>
        </is>
      </c>
      <c r="Q1173" s="35" t="n"/>
      <c r="R1173" s="35" t="n"/>
    </row>
    <row r="1174" outlineLevel="1" customFormat="1" s="39">
      <c r="A1174" s="36" t="n"/>
      <c r="B1174" s="27" t="inlineStr">
        <is>
          <t>天花工程</t>
        </is>
      </c>
      <c r="C1174" s="27" t="n"/>
      <c r="D1174" s="27" t="n"/>
      <c r="E1174" s="27" t="n"/>
      <c r="F1174" s="28" t="n"/>
      <c r="G1174" s="61" t="n"/>
      <c r="H1174" s="62" t="n"/>
      <c r="I1174" s="65" t="n"/>
      <c r="J1174" s="62" t="n"/>
      <c r="K1174" s="63" t="n"/>
      <c r="L1174" s="33" t="n"/>
      <c r="M1174" s="64" t="n"/>
      <c r="P1174" s="35" t="n"/>
      <c r="Q1174" s="35" t="n"/>
      <c r="R1174" s="35" t="n"/>
    </row>
    <row r="1175" outlineLevel="2" ht="192" customFormat="1" customHeight="1" s="39">
      <c r="A1175" s="37">
        <f>1+N(A1174)</f>
        <v/>
      </c>
      <c r="B1175" s="27" t="inlineStr">
        <is>
          <t>石膏板吊顶</t>
        </is>
      </c>
      <c r="C1175" s="27" t="inlineStr">
        <is>
          <t>1.60系列轻钢主龙骨@900，60系列轻钢副龙骨@400，60系列横撑龙骨@600，08螺纹吊杆@900不上人天花吊顶（投影面计算）
2.玻镁板、双层9.5厚石膏板基层，含开孔、检修口、10*10凹槽等费用；
3.含除灯槽外的侧面高差及其连接件、吊件；
4.包含完成该项内容所有工作及费用并满足设计图纸、规范等要求；</t>
        </is>
      </c>
      <c r="D1175" s="27" t="inlineStr">
        <is>
          <t>1.基层清理。
2.弹线定位、排版。
3.吊杆及连接件安装调平、收口及密封处理。
4.材料切割处理找平、石膏板安装及调整，打胶密封与清理.
5.收口及其他处理：检修口等制作安装、收边收口、配合预留安装、机电等专业孔洞及孔洞收口处理。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1175" s="27" t="inlineStr">
        <is>
          <t>按设计图示尺寸以水平投影面积计算。不扣除间壁墙、检查口、附墙烟囱、柱垛和管道所占面积,扣除单个&gt;0.3m3的孔洞、非密拼吊顶空隙所占的面积、独立柱及与天棚相连的窗帘盒所占的面积。</t>
        </is>
      </c>
      <c r="F1175" s="28" t="inlineStr">
        <is>
          <t>m2</t>
        </is>
      </c>
      <c r="G1175" s="61" t="n">
        <v>17.82</v>
      </c>
      <c r="H1175" s="62" t="n">
        <v>150.712222222222</v>
      </c>
      <c r="I1175" s="65" t="n"/>
      <c r="J1175" s="62">
        <f>H1175*(1-$I$4)</f>
        <v/>
      </c>
      <c r="K1175" s="63">
        <f>G1175*J1175</f>
        <v/>
      </c>
      <c r="L1175" s="33" t="inlineStr">
        <is>
          <t>/</t>
        </is>
      </c>
      <c r="M1175" s="64" t="n"/>
      <c r="O1175" t="n">
        <v>70</v>
      </c>
      <c r="P1175" s="35" t="inlineStr">
        <is>
          <t>差:-80.71元 (-53.6%) 来源:会所合并</t>
        </is>
      </c>
      <c r="Q1175" s="35" t="n"/>
      <c r="R1175" s="35" t="n"/>
    </row>
    <row r="1176" outlineLevel="2" ht="72" customFormat="1" customHeight="1" s="39">
      <c r="A1176" s="37">
        <f>1+N(A1175)</f>
        <v/>
      </c>
      <c r="B1176" s="27" t="inlineStr">
        <is>
          <t>灯槽（100mm*250mm）</t>
        </is>
      </c>
      <c r="C1176" s="27" t="inlineStr">
        <is>
          <t>1.灯槽（100mm*250mm）；
2.双层板：9mm玻镁板、9.5厚石膏板；
3.包含完成该项内容所有工作及费用并满足设计图纸、规范等要求；</t>
        </is>
      </c>
      <c r="D1176" s="27" t="inlineStr">
        <is>
          <t>自现有现场条件下按照合同约定范围、图纸（含设计变更）及甲方要求内容以及规范、标准、相关做法等要求完成并达到总包合同全部目标的全部工作内容。</t>
        </is>
      </c>
      <c r="E1176" s="27" t="inlineStr">
        <is>
          <t>依据经承包人确认的施工部位,按设计图示尺寸以延长米计算。</t>
        </is>
      </c>
      <c r="F1176" s="28" t="inlineStr">
        <is>
          <t>m</t>
        </is>
      </c>
      <c r="G1176" s="61" t="n">
        <v>14.59</v>
      </c>
      <c r="H1176" s="62" t="n">
        <v>112.159</v>
      </c>
      <c r="I1176" s="65" t="n"/>
      <c r="J1176" s="62">
        <f>H1176*(1-$I$4)</f>
        <v/>
      </c>
      <c r="K1176" s="63">
        <f>G1176*J1176</f>
        <v/>
      </c>
      <c r="L1176" s="33" t="inlineStr">
        <is>
          <t>/</t>
        </is>
      </c>
      <c r="M1176" s="64" t="n"/>
      <c r="O1176" t="n">
        <v>50</v>
      </c>
      <c r="P1176" s="35" t="inlineStr">
        <is>
          <t>差:-62.16元 (-55.4%) 来源:会所合并</t>
        </is>
      </c>
      <c r="Q1176" s="35" t="n"/>
      <c r="R1176" s="35" t="n"/>
    </row>
    <row r="1177" outlineLevel="2" ht="72" customFormat="1" customHeight="1" s="39">
      <c r="A1177" s="37">
        <f>1+N(A1176)</f>
        <v/>
      </c>
      <c r="B1177" s="27" t="inlineStr">
        <is>
          <t>成品石膏线条</t>
        </is>
      </c>
      <c r="C1177" s="27" t="inlineStr">
        <is>
          <t>1.成品石膏线条（50mm*50mm）；
2.按图纸造型；
3.包含完成该项内容所有工作及费用并满足设计图纸、规范等要求；</t>
        </is>
      </c>
      <c r="D1177" s="27" t="inlineStr">
        <is>
          <t>自现有现场条件下按照合同约定范围、图纸（含设计变更）及甲方要求内容以及规范、标准、相关做法等要求完成并达到总包合同全部目标的全部工作内容。</t>
        </is>
      </c>
      <c r="E1177" s="27" t="inlineStr">
        <is>
          <t>依据经承包人确认的施工部位,按设计图示尺寸以延长米计算。</t>
        </is>
      </c>
      <c r="F1177" s="28" t="inlineStr">
        <is>
          <t>m</t>
        </is>
      </c>
      <c r="G1177" s="61" t="n">
        <v>14.59</v>
      </c>
      <c r="H1177" s="62" t="n">
        <v>20.06</v>
      </c>
      <c r="I1177" s="65" t="n"/>
      <c r="J1177" s="62">
        <f>H1177*(1-$I$4)</f>
        <v/>
      </c>
      <c r="K1177" s="63">
        <f>G1177*J1177</f>
        <v/>
      </c>
      <c r="L1177" s="33" t="inlineStr">
        <is>
          <t>成品石膏线条</t>
        </is>
      </c>
      <c r="M1177" s="64" t="n"/>
      <c r="O1177" t="n">
        <v>18</v>
      </c>
      <c r="P1177" s="35" t="inlineStr">
        <is>
          <t>差:-2.06元 (-10.3%) 来源:售楼处</t>
        </is>
      </c>
      <c r="Q1177" s="35" t="n"/>
      <c r="R1177" s="35" t="n"/>
    </row>
    <row r="1178" outlineLevel="2" ht="72" customFormat="1" customHeight="1" s="39">
      <c r="A1178" s="37">
        <f>1+N(A1177)</f>
        <v/>
      </c>
      <c r="B1178" s="27" t="inlineStr">
        <is>
          <t>条形空调风口（150mm）</t>
        </is>
      </c>
      <c r="C1178" s="27" t="inlineStr">
        <is>
          <t>1.条形空调风口（150mm）；
2.风口周边阻燃板封边加固处理；
3.包含完成该项内容所有工作及费用并满足设计图纸、规范等要求；</t>
        </is>
      </c>
      <c r="D1178" s="27" t="inlineStr">
        <is>
          <t>自现有现场条件下按照合同约定范围、图纸（含设计变更）及甲方要求内容以及规范、标准、相关做法等要求完成并达到总包合同全部目标的全部工作内容。</t>
        </is>
      </c>
      <c r="E1178" s="27" t="inlineStr">
        <is>
          <t>依据经承包人确认的施工部位,按设计图示尺寸以延长米计算。</t>
        </is>
      </c>
      <c r="F1178" s="28" t="inlineStr">
        <is>
          <t>m</t>
        </is>
      </c>
      <c r="G1178" s="61" t="n">
        <v>8.84</v>
      </c>
      <c r="H1178" s="62" t="n">
        <v>109.74</v>
      </c>
      <c r="I1178" s="65" t="n"/>
      <c r="J1178" s="62">
        <f>H1178*(1-$I$4)</f>
        <v/>
      </c>
      <c r="K1178" s="63">
        <f>G1178*J1178</f>
        <v/>
      </c>
      <c r="L1178" s="33" t="inlineStr">
        <is>
          <t>空调风口</t>
        </is>
      </c>
      <c r="M1178" s="64" t="n"/>
      <c r="O1178" t="n">
        <v>30</v>
      </c>
      <c r="P1178" s="35" t="inlineStr">
        <is>
          <t>差:-79.74元 (-72.7%) 来源:售楼处</t>
        </is>
      </c>
      <c r="Q1178" s="35" t="n"/>
      <c r="R1178" s="35" t="n"/>
    </row>
    <row r="1179" outlineLevel="2" ht="192" customFormat="1" customHeight="1" s="39">
      <c r="A1179" s="37">
        <f>1+N(A1178)</f>
        <v/>
      </c>
      <c r="B1179" s="27" t="inlineStr">
        <is>
          <t>天花肌理无机涂料PT-01</t>
        </is>
      </c>
      <c r="C1179" s="27" t="inlineStr">
        <is>
          <t>1.天花肌理无机涂料PT-01；
2.刮腻子二遍磨平；
3.底漆1遍，面漆2遍；
4.包含完成该项内容所有工作及费用并满足设计图纸、规范等要求；</t>
        </is>
      </c>
      <c r="D1179" s="27" t="inlineStr">
        <is>
          <t>包括但不限于材料计划、采购、卸车倒运、保管、检验试验费、测量放线，包含四周阴角找平直、含天棚四周阴角找平直，打磨，简易脚手架搭拆及操作平台、升降机，基层清理、打磨平整、底层找补、满刮涂料（含阴阳角塑料条）、涂料打磨、补遗处理、配合其他分包施工、完工后场清、成品保护、保修等直到达到竣工交付标准的全部工作内容。包括所有为完成工作所需的小型机具；包括所有为完成工作所需的附属工作；包括但不限于以上内容。</t>
        </is>
      </c>
      <c r="E1179" s="27" t="inlineStr">
        <is>
          <t>执行《GB/T50854-2024房屋建筑与装饰工程工程量计算标准》，按设计图示尺寸以面积计算。扣除0.3平方米以上洞口的面积；梁侧面及檐口天棚并入天棚计算；以设计图纸和技术交底为基础</t>
        </is>
      </c>
      <c r="F1179" s="28" t="inlineStr">
        <is>
          <t>m2</t>
        </is>
      </c>
      <c r="G1179" s="61" t="n">
        <v>23.56</v>
      </c>
      <c r="H1179" s="62" t="n">
        <v>48.38</v>
      </c>
      <c r="I1179" s="65" t="n"/>
      <c r="J1179" s="62">
        <f>H1179*(1-$I$4)</f>
        <v/>
      </c>
      <c r="K1179" s="63">
        <f>G1179*J1179</f>
        <v/>
      </c>
      <c r="L1179" s="33" t="inlineStr">
        <is>
          <t>涂料</t>
        </is>
      </c>
      <c r="M1179" s="64" t="n"/>
      <c r="O1179" t="n">
        <v>45</v>
      </c>
      <c r="P1179" s="35" t="inlineStr">
        <is>
          <t>差:-3.38元 (-7.0%) 来源:售楼处</t>
        </is>
      </c>
      <c r="Q1179" s="35" t="n"/>
      <c r="R1179" s="35" t="n"/>
    </row>
    <row r="1180" outlineLevel="1" customFormat="1" s="39">
      <c r="A1180" s="36" t="n"/>
      <c r="B1180" s="27" t="inlineStr">
        <is>
          <t>门窗、家具工程</t>
        </is>
      </c>
      <c r="C1180" s="27" t="n"/>
      <c r="D1180" s="27" t="n"/>
      <c r="E1180" s="27" t="n"/>
      <c r="F1180" s="28" t="n"/>
      <c r="G1180" s="61" t="n"/>
      <c r="H1180" s="62" t="n"/>
      <c r="I1180" s="65" t="n"/>
      <c r="J1180" s="62" t="n"/>
      <c r="K1180" s="63" t="n"/>
      <c r="L1180" s="33" t="n"/>
      <c r="M1180" s="64" t="n"/>
      <c r="P1180" s="35" t="n"/>
      <c r="Q1180" s="35" t="n"/>
      <c r="R1180" s="35" t="n"/>
    </row>
    <row r="1181" customFormat="1" s="39">
      <c r="A1181" s="26" t="inlineStr">
        <is>
          <t>B</t>
        </is>
      </c>
      <c r="B1181" s="20" t="inlineStr">
        <is>
          <t>负二层</t>
        </is>
      </c>
      <c r="C1181" s="27" t="n"/>
      <c r="D1181" s="27" t="n"/>
      <c r="E1181" s="27" t="n"/>
      <c r="F1181" s="28" t="n"/>
      <c r="G1181" s="61" t="n"/>
      <c r="H1181" s="62" t="n"/>
      <c r="I1181" s="65" t="n"/>
      <c r="J1181" s="62" t="n"/>
      <c r="K1181" s="63" t="n"/>
      <c r="L1181" s="33" t="n"/>
      <c r="M1181" s="64" t="n"/>
      <c r="P1181" s="35" t="n"/>
      <c r="Q1181" s="35" t="n"/>
      <c r="R1181" s="35" t="n"/>
    </row>
    <row r="1182" outlineLevel="1" customFormat="1" s="39">
      <c r="A1182" s="26" t="inlineStr">
        <is>
          <t>一</t>
        </is>
      </c>
      <c r="B1182" s="27" t="inlineStr">
        <is>
          <t>一单元合用前室</t>
        </is>
      </c>
      <c r="C1182" s="27" t="n"/>
      <c r="D1182" s="27" t="n"/>
      <c r="E1182" s="27" t="n"/>
      <c r="F1182" s="28" t="n"/>
      <c r="G1182" s="61" t="n"/>
      <c r="H1182" s="62" t="n"/>
      <c r="I1182" s="65" t="n"/>
      <c r="J1182" s="62" t="n"/>
      <c r="K1182" s="63" t="n"/>
      <c r="L1182" s="33" t="n"/>
      <c r="M1182" s="64" t="n"/>
      <c r="P1182" s="35" t="n"/>
      <c r="Q1182" s="35" t="n"/>
      <c r="R1182" s="35" t="n"/>
    </row>
    <row r="1183" outlineLevel="1" customFormat="1" s="39">
      <c r="A1183" s="36" t="n"/>
      <c r="B1183" s="27" t="inlineStr">
        <is>
          <t>地面工程</t>
        </is>
      </c>
      <c r="C1183" s="27" t="n"/>
      <c r="D1183" s="27" t="n"/>
      <c r="E1183" s="27" t="n"/>
      <c r="F1183" s="28" t="n"/>
      <c r="G1183" s="61" t="n"/>
      <c r="H1183" s="62" t="n"/>
      <c r="I1183" s="65" t="n"/>
      <c r="J1183" s="62" t="n"/>
      <c r="K1183" s="63" t="n"/>
      <c r="L1183" s="33" t="n"/>
      <c r="M1183" s="64" t="n"/>
      <c r="P1183" s="35" t="n"/>
      <c r="Q1183" s="35" t="n"/>
      <c r="R1183" s="35" t="n"/>
    </row>
    <row r="1184" outlineLevel="2" ht="108" customFormat="1" customHeight="1" s="39">
      <c r="A1184" s="37">
        <f>1+N(A1183)</f>
        <v/>
      </c>
      <c r="B1184" s="27" t="inlineStr">
        <is>
          <t>地面铺贴大理石ST-01</t>
        </is>
      </c>
      <c r="C1184" s="27" t="inlineStr">
        <is>
          <t>1.地面20mm大理石ST-01、铺贴、厚度及样式按物料书为准；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1184"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184" s="27" t="inlineStr">
        <is>
          <t xml:space="preserve">执行《GB/T50854-2024房屋建筑与装饰工程工程量计算标准》，按设计图示尺寸
以面积计算。 </t>
        </is>
      </c>
      <c r="F1184" s="28" t="inlineStr">
        <is>
          <t>m2</t>
        </is>
      </c>
      <c r="G1184" s="61" t="n">
        <v>11.43</v>
      </c>
      <c r="H1184" s="62" t="n">
        <v>218.75017</v>
      </c>
      <c r="I1184" s="65" t="n"/>
      <c r="J1184" s="62">
        <f>H1184*(1-$I$4)</f>
        <v/>
      </c>
      <c r="K1184" s="63">
        <f>G1184*J1184</f>
        <v/>
      </c>
      <c r="L1184" s="33" t="inlineStr">
        <is>
          <t>石材</t>
        </is>
      </c>
      <c r="M1184" s="64" t="n"/>
      <c r="O1184" t="n">
        <v>130</v>
      </c>
      <c r="P1184" s="35" t="inlineStr">
        <is>
          <t>差:-88.75元 (-40.6%) 来源:售楼处</t>
        </is>
      </c>
      <c r="Q1184" s="35" t="n"/>
      <c r="R1184" s="35" t="n"/>
    </row>
    <row r="1185" outlineLevel="2" ht="108" customFormat="1" customHeight="1" s="39">
      <c r="A1185" s="37">
        <f>1+N(A1184)</f>
        <v/>
      </c>
      <c r="B1185" s="27" t="inlineStr">
        <is>
          <t>地面铺贴大理石ST-01.02拼花</t>
        </is>
      </c>
      <c r="C1185" s="27" t="inlineStr">
        <is>
          <t>1.地面20mm大理石拼花、参考3F-DF-01样式、ST-01、ST-02按物料书为准；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1185"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185" s="27" t="inlineStr">
        <is>
          <t xml:space="preserve">执行《GB/T50854-2024房屋建筑与装饰工程工程量计算标准》，按设计图示尺寸
以面积计算。 </t>
        </is>
      </c>
      <c r="F1185" s="28" t="inlineStr">
        <is>
          <t>m2</t>
        </is>
      </c>
      <c r="G1185" s="61" t="n">
        <v>16.52</v>
      </c>
      <c r="H1185" s="62" t="n">
        <v>242.35017</v>
      </c>
      <c r="I1185" s="65" t="n"/>
      <c r="J1185" s="62">
        <f>H1185*(1-$I$4)</f>
        <v/>
      </c>
      <c r="K1185" s="63">
        <f>G1185*J1185</f>
        <v/>
      </c>
      <c r="L1185" s="33" t="inlineStr">
        <is>
          <t>石材</t>
        </is>
      </c>
      <c r="M1185" s="64" t="n"/>
      <c r="O1185" t="n">
        <v>130</v>
      </c>
      <c r="P1185" s="35" t="inlineStr">
        <is>
          <t>差:-112.35元 (-46.4%) 来源:售楼处</t>
        </is>
      </c>
      <c r="Q1185" s="35" t="n"/>
      <c r="R1185" s="35" t="n"/>
    </row>
    <row r="1186" outlineLevel="2" ht="108" customFormat="1" customHeight="1" s="39">
      <c r="A1186" s="37">
        <f>1+N(A1185)</f>
        <v/>
      </c>
      <c r="B1186" s="27" t="inlineStr">
        <is>
          <t>实心铜条5mm宽</t>
        </is>
      </c>
      <c r="C1186" s="27" t="inlineStr">
        <is>
          <t>1.实心铜条5mm宽；
2.包含完成该项内容所有工作及费用并满足设计图纸、规范等要求；</t>
        </is>
      </c>
      <c r="D1186"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186" s="27" t="inlineStr">
        <is>
          <t>按设计图示尺寸以长度计算。</t>
        </is>
      </c>
      <c r="F1186" s="28" t="inlineStr">
        <is>
          <t>m</t>
        </is>
      </c>
      <c r="G1186" s="61" t="n">
        <v>17.27</v>
      </c>
      <c r="H1186" s="62" t="n">
        <v>89.267</v>
      </c>
      <c r="I1186" s="65" t="n"/>
      <c r="J1186" s="62">
        <f>H1186*(1-$I$4)</f>
        <v/>
      </c>
      <c r="K1186" s="63">
        <f>G1186*J1186</f>
        <v/>
      </c>
      <c r="L1186" s="33" t="inlineStr">
        <is>
          <t>/</t>
        </is>
      </c>
      <c r="M1186" s="64" t="n"/>
      <c r="O1186" t="n">
        <v>12</v>
      </c>
      <c r="P1186" s="35" t="inlineStr">
        <is>
          <t>差:-77.27元 (-86.6%) 来源:售楼处</t>
        </is>
      </c>
      <c r="Q1186" s="35" t="n"/>
      <c r="R1186" s="35" t="n"/>
    </row>
    <row r="1187" outlineLevel="2" ht="108" customFormat="1" customHeight="1" s="39">
      <c r="A1187" s="37">
        <f>1+N(A1186)</f>
        <v/>
      </c>
      <c r="B1187" s="27" t="inlineStr">
        <is>
          <t>地面石材晶面处理</t>
        </is>
      </c>
      <c r="C1187" s="27" t="inlineStr">
        <is>
          <t>1.石材结晶处理(结晶水及石材保养剂,中性清洁剂)；
2.包含完成该项内容所有工作及费用并满足设计图纸、规范等要求；</t>
        </is>
      </c>
      <c r="D1187"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187" s="27" t="inlineStr">
        <is>
          <t xml:space="preserve">执行《GB/T50854-2024房屋建筑与装饰工程工程量计算标准》，按设计图示尺寸
以面积计算。 </t>
        </is>
      </c>
      <c r="F1187" s="28" t="inlineStr">
        <is>
          <t>m2</t>
        </is>
      </c>
      <c r="G1187" s="61" t="n">
        <v>27.95</v>
      </c>
      <c r="H1187" s="62" t="n">
        <v>64.90000000000001</v>
      </c>
      <c r="I1187" s="65" t="n"/>
      <c r="J1187" s="62">
        <f>H1187*(1-$I$4)</f>
        <v/>
      </c>
      <c r="K1187" s="63">
        <f>G1187*J1187</f>
        <v/>
      </c>
      <c r="L1187" s="33" t="inlineStr">
        <is>
          <t>/</t>
        </is>
      </c>
      <c r="M1187" s="64" t="n"/>
      <c r="O1187" t="n">
        <v>40</v>
      </c>
      <c r="P1187" s="35" t="inlineStr">
        <is>
          <t>差:-24.90元 (-38.4%) 来源:售楼处</t>
        </is>
      </c>
      <c r="Q1187" s="35" t="n"/>
      <c r="R1187" s="35" t="n"/>
    </row>
    <row r="1188" outlineLevel="1" customFormat="1" s="39">
      <c r="A1188" s="36" t="n"/>
      <c r="B1188" s="27" t="inlineStr">
        <is>
          <t>墙面工程</t>
        </is>
      </c>
      <c r="C1188" s="27" t="n"/>
      <c r="D1188" s="27" t="n"/>
      <c r="E1188" s="27" t="n"/>
      <c r="F1188" s="28" t="n"/>
      <c r="G1188" s="61" t="n"/>
      <c r="H1188" s="62" t="n"/>
      <c r="I1188" s="65" t="n"/>
      <c r="J1188" s="62" t="n"/>
      <c r="K1188" s="63" t="n"/>
      <c r="L1188" s="33" t="n"/>
      <c r="M1188" s="64" t="n"/>
      <c r="P1188" s="35" t="n"/>
      <c r="Q1188" s="35" t="n"/>
      <c r="R1188" s="35" t="n"/>
    </row>
    <row r="1189" outlineLevel="2" ht="144" customFormat="1" customHeight="1" s="39">
      <c r="A1189" s="37">
        <f>1+N(A1188)</f>
        <v/>
      </c>
      <c r="B1189" s="27" t="inlineStr">
        <is>
          <t>墙面湿贴石材ST-05</t>
        </is>
      </c>
      <c r="C1189" s="27" t="inlineStr">
        <is>
          <t>1、墙面湿贴石材ST-05
2、8mm厚石材专用胶粘剂WC粘结层
3、界面剂拉毛处理
4、石材的开槽、磨边、倒角、粘接、形成所需之凹坑、抛光、六面防污防渗等一切处理费用均在主材费中考虑，不再另行计取
5、包含完成该项内容所有工作及费用并满足设计图纸、规范等要求</t>
        </is>
      </c>
      <c r="D1189" s="27" t="inlineStr">
        <is>
          <t>具体工作内容除详见项目特征外，且不限于以下内容:1.包含材料的下车、场内运输；2.清理基层、找标高、弹线定位；3.试拼试排；4.砂浆拌和、铺找平层（粘结层）砂浆；5.面层铺设、灌缝、擦缝；6.打蜡、养护；配合留设墙面开关、插座等末端设备等全部内容；包含成品保护、安全文明施工等达到验收合格的全部施工内容。</t>
        </is>
      </c>
      <c r="E1189" s="27" t="inlineStr">
        <is>
          <t>执行《GB/T50854-2024房屋建筑与装饰工程工程量计算标准》，按设计图示镶贴后外围面积计算</t>
        </is>
      </c>
      <c r="F1189" s="28" t="inlineStr">
        <is>
          <t>m2</t>
        </is>
      </c>
      <c r="G1189" s="61" t="n">
        <v>6.1</v>
      </c>
      <c r="H1189" s="62" t="n">
        <v>177</v>
      </c>
      <c r="I1189" s="65" t="n"/>
      <c r="J1189" s="62">
        <f>H1189*(1-$I$4)</f>
        <v/>
      </c>
      <c r="K1189" s="63">
        <f>G1189*J1189</f>
        <v/>
      </c>
      <c r="L1189" s="33" t="inlineStr">
        <is>
          <t>石材</t>
        </is>
      </c>
      <c r="M1189" s="64" t="n"/>
      <c r="O1189" t="n">
        <v>95</v>
      </c>
      <c r="P1189" s="35" t="inlineStr">
        <is>
          <t>差:-82.00元 (-46.3%) 来源:售楼处</t>
        </is>
      </c>
      <c r="Q1189" s="35" t="n"/>
      <c r="R1189" s="35" t="n"/>
    </row>
    <row r="1190" outlineLevel="2" ht="180" customFormat="1" customHeight="1" s="39">
      <c r="A1190" s="37">
        <f>1+N(A1189)</f>
        <v/>
      </c>
      <c r="B1190" s="27" t="inlineStr">
        <is>
          <t>墙面干挂ST-05石材</t>
        </is>
      </c>
      <c r="C1190" s="27" t="inlineStr">
        <is>
          <t>1、墙面干挂ST-05石材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is>
      </c>
      <c r="D1190"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190" s="27" t="inlineStr">
        <is>
          <t>执行《GB/T50854-2024房屋建筑与装饰工程工程量计算标准》，按设计图示镶贴后外围面积计算</t>
        </is>
      </c>
      <c r="F1190" s="28" t="inlineStr">
        <is>
          <t>m2</t>
        </is>
      </c>
      <c r="G1190" s="61" t="n">
        <v>24.88</v>
      </c>
      <c r="H1190" s="62" t="n">
        <v>318.6</v>
      </c>
      <c r="I1190" s="65" t="n"/>
      <c r="J1190" s="62">
        <f>H1190*(1-$I$4)</f>
        <v/>
      </c>
      <c r="K1190" s="63">
        <f>G1190*J1190</f>
        <v/>
      </c>
      <c r="L1190" s="33" t="inlineStr">
        <is>
          <t>石材</t>
        </is>
      </c>
      <c r="M1190" s="64" t="n"/>
      <c r="O1190" t="n">
        <v>145</v>
      </c>
      <c r="P1190" s="35" t="inlineStr">
        <is>
          <t>差:-173.60元 (-54.5%) 来源:售楼处</t>
        </is>
      </c>
      <c r="Q1190" s="35" t="n"/>
      <c r="R1190" s="35" t="n"/>
    </row>
    <row r="1191" outlineLevel="2" ht="180" customFormat="1" customHeight="1" s="39">
      <c r="A1191" s="37">
        <f>1+N(A1190)</f>
        <v/>
      </c>
      <c r="B1191" s="27" t="inlineStr">
        <is>
          <t>WD-07摩素板</t>
        </is>
      </c>
      <c r="C1191" s="27" t="inlineStr">
        <is>
          <t>1、墙面WD-08摩素板(结构胶固定)
2、12厘玻镁板基层
3、膨胀螺栓、轻钢龙骨(钢结构)基层找平
4、包含完成该项内容所有工作及费用并满足设计图纸、规范等要求</t>
        </is>
      </c>
      <c r="D1191"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191" s="27" t="inlineStr">
        <is>
          <t>执行《GB/T50854-2024房屋建筑与装饰工程工程量计算标准》，按设计图示饰面外围尺寸
以面积计算。 扣除门窗洞口面积，不扣除单个面积≤0.3㎡的孔洞所占面积。</t>
        </is>
      </c>
      <c r="F1191" s="28" t="inlineStr">
        <is>
          <t>m2</t>
        </is>
      </c>
      <c r="G1191" s="61" t="n">
        <v>4.93</v>
      </c>
      <c r="H1191" s="62" t="n">
        <v>186.44</v>
      </c>
      <c r="I1191" s="65" t="n"/>
      <c r="J1191" s="62">
        <f>H1191*(1-$I$4)</f>
        <v/>
      </c>
      <c r="K1191" s="63">
        <f>G1191*J1191</f>
        <v/>
      </c>
      <c r="L1191" s="33" t="inlineStr">
        <is>
          <t>摩素板</t>
        </is>
      </c>
      <c r="M1191" s="64" t="n"/>
      <c r="O1191" t="n">
        <v>35</v>
      </c>
      <c r="P1191" s="35" t="inlineStr">
        <is>
          <t>差:-151.44元 (-81.2%) 来源:会所合并</t>
        </is>
      </c>
      <c r="Q1191" s="35" t="n"/>
      <c r="R1191" s="35" t="n"/>
    </row>
    <row r="1192" outlineLevel="2" ht="144" customFormat="1" customHeight="1" s="39">
      <c r="A1192" s="37">
        <f>1+N(A1191)</f>
        <v/>
      </c>
      <c r="B1192" s="27" t="inlineStr">
        <is>
          <t>墙面PT-01肌理无机涂料</t>
        </is>
      </c>
      <c r="C1192" s="27" t="inlineStr">
        <is>
          <t>1、墙面PT-01肌理无机涂料(底漆1遍，面漆2遍)
2、刮白胶腻子找平二遍，打磨
3、阴、阳角护角收边
4、双层9.5mm纸面石膏板
5、轻钢龙骨基层找平
6、包含完成该项内容所有工作及费用并满足设计图纸、规范等要求</t>
        </is>
      </c>
      <c r="D1192"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192" s="27" t="inlineStr">
        <is>
          <t xml:space="preserve">执行《GB/T50854-2024房屋建筑与装饰工程工程量计算标准》，按设计图示尺寸
以面积计算。 </t>
        </is>
      </c>
      <c r="F1192" s="28" t="inlineStr">
        <is>
          <t>m2</t>
        </is>
      </c>
      <c r="G1192" s="61" t="n">
        <v>25.49</v>
      </c>
      <c r="H1192" s="62" t="n">
        <v>207.68</v>
      </c>
      <c r="I1192" s="65" t="n"/>
      <c r="J1192" s="62">
        <f>H1192*(1-$I$4)</f>
        <v/>
      </c>
      <c r="K1192" s="63">
        <f>G1192*J1192</f>
        <v/>
      </c>
      <c r="L1192" s="33" t="inlineStr">
        <is>
          <t>涂料</t>
        </is>
      </c>
      <c r="M1192" s="64" t="n"/>
      <c r="O1192" t="n">
        <v>110</v>
      </c>
      <c r="P1192" s="35" t="inlineStr">
        <is>
          <t>差:-97.68元 (-47.0%) 来源:售楼处</t>
        </is>
      </c>
      <c r="Q1192" s="35" t="n"/>
      <c r="R1192" s="35" t="n"/>
    </row>
    <row r="1193" outlineLevel="2" ht="180" customFormat="1" customHeight="1" s="39">
      <c r="A1193" s="37">
        <f>1+N(A1192)</f>
        <v/>
      </c>
      <c r="B1193" s="27" t="inlineStr">
        <is>
          <t>不锈钢门套</t>
        </is>
      </c>
      <c r="C1193" s="27" t="inlineStr">
        <is>
          <t>1、1.2mm厚 MT-01古铜不锈钢门套，结构胶固定
2、9厘玻镁板基层
3、工程量以展开面积计算
4、包含完成该项内容所有工作及费用并满足设计图纸、规范等要求</t>
        </is>
      </c>
      <c r="D1193"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193" s="27" t="inlineStr">
        <is>
          <t>执行《GB/T50854-2024房屋建筑与装饰工程工程量计算标准》，按设计图示饰面外围尺寸
以面积计算。 扣除门窗洞口面积，不扣除单个面积≤0.3㎡的孔洞所占面积。</t>
        </is>
      </c>
      <c r="F1193" s="28" t="inlineStr">
        <is>
          <t>m2</t>
        </is>
      </c>
      <c r="G1193" s="61" t="n">
        <v>1.1</v>
      </c>
      <c r="H1193" s="62" t="n">
        <v>630.651</v>
      </c>
      <c r="I1193" s="65" t="n"/>
      <c r="J1193" s="62">
        <f>H1193*(1-$I$4)</f>
        <v/>
      </c>
      <c r="K1193" s="63">
        <f>G1193*J1193</f>
        <v/>
      </c>
      <c r="L1193" s="33" t="inlineStr">
        <is>
          <t>/</t>
        </is>
      </c>
      <c r="M1193" s="64" t="n"/>
      <c r="O1193" t="n">
        <v>110</v>
      </c>
      <c r="P1193" s="35" t="inlineStr">
        <is>
          <t>差:-520.65元 (-82.6%) 来源:售楼处</t>
        </is>
      </c>
      <c r="Q1193" s="35" t="n"/>
      <c r="R1193" s="35" t="n"/>
    </row>
    <row r="1194" outlineLevel="2" ht="180" customFormat="1" customHeight="1" s="39">
      <c r="A1194" s="37">
        <f>1+N(A1193)</f>
        <v/>
      </c>
      <c r="B1194" s="27" t="inlineStr">
        <is>
          <t>电梯不锈钢门套</t>
        </is>
      </c>
      <c r="C1194" s="27" t="inlineStr">
        <is>
          <t>1、1.2mm厚 MT-01古铜不锈钢门套，结构胶固定
2、9厘玻镁板基层
3、工程量以展开面积计算
4、包含完成该项内容所有工作及费用并满足设计图纸、规范等要求</t>
        </is>
      </c>
      <c r="D1194"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194" s="27" t="inlineStr">
        <is>
          <t>执行《GB/T50854-2024房屋建筑与装饰工程工程量计算标准》，按设计图示饰面外围尺寸
以面积计算。 扣除门窗洞口面积，不扣除单个面积≤0.3㎡的孔洞所占面积。</t>
        </is>
      </c>
      <c r="F1194" s="28" t="inlineStr">
        <is>
          <t>m2</t>
        </is>
      </c>
      <c r="G1194" s="61" t="n">
        <v>3.4</v>
      </c>
      <c r="H1194" s="62" t="n">
        <v>630.651</v>
      </c>
      <c r="I1194" s="65" t="n"/>
      <c r="J1194" s="62">
        <f>H1194*(1-$I$4)</f>
        <v/>
      </c>
      <c r="K1194" s="63">
        <f>G1194*J1194</f>
        <v/>
      </c>
      <c r="L1194" s="33" t="inlineStr">
        <is>
          <t>/</t>
        </is>
      </c>
      <c r="M1194" s="64" t="n"/>
      <c r="O1194" t="n">
        <v>110</v>
      </c>
      <c r="P1194" s="35" t="inlineStr">
        <is>
          <t>差:-520.65元 (-82.6%) 来源:售楼处</t>
        </is>
      </c>
      <c r="Q1194" s="35" t="n"/>
      <c r="R1194" s="35" t="n"/>
    </row>
    <row r="1195" outlineLevel="2" ht="180" customFormat="1" customHeight="1" s="39">
      <c r="A1195" s="37">
        <f>1+N(A1194)</f>
        <v/>
      </c>
      <c r="B1195" s="27" t="inlineStr">
        <is>
          <t>电梯不锈钢门头</t>
        </is>
      </c>
      <c r="C1195" s="27" t="inlineStr">
        <is>
          <t>1、1.2mm厚 MT-01古铜不锈钢门头，结构胶固定
2、12mm阻燃板，轻钢副龙骨@400
3、电梯门顶内置亚克力，内部面层刮白处理
4、工程量以展开面积计算
5、包含完成该项内容所有工作及费用并满足设计图纸、规范等要求</t>
        </is>
      </c>
      <c r="D1195"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195" s="27" t="inlineStr">
        <is>
          <t>执行《GB/T50854-2024房屋建筑与装饰工程工程量计算标准》，按设计图示饰面外围尺寸
以面积计算。 扣除门窗洞口面积，不扣除单个面积≤0.3㎡的孔洞所占面积。</t>
        </is>
      </c>
      <c r="F1195" s="28" t="inlineStr">
        <is>
          <t>m2</t>
        </is>
      </c>
      <c r="G1195" s="61" t="n">
        <v>0.9</v>
      </c>
      <c r="H1195" s="62" t="n">
        <v>812.961</v>
      </c>
      <c r="I1195" s="65" t="n"/>
      <c r="J1195" s="62">
        <f>H1195*(1-$I$4)</f>
        <v/>
      </c>
      <c r="K1195" s="63">
        <f>G1195*J1195</f>
        <v/>
      </c>
      <c r="L1195" s="33" t="inlineStr">
        <is>
          <t>/</t>
        </is>
      </c>
      <c r="M1195" s="64" t="n"/>
      <c r="O1195" t="n">
        <v>110</v>
      </c>
      <c r="P1195" s="35" t="inlineStr">
        <is>
          <t>差:-702.96元 (-86.5%) 来源:售楼处</t>
        </is>
      </c>
      <c r="Q1195" s="35" t="n"/>
      <c r="R1195" s="35" t="n"/>
    </row>
    <row r="1196" outlineLevel="2" ht="180" customFormat="1" customHeight="1" s="39">
      <c r="A1196" s="37">
        <f>1+N(A1195)</f>
        <v/>
      </c>
      <c r="B1196" s="27" t="inlineStr">
        <is>
          <t>MT-01古铜不锈钢饰面（电梯按钮处）</t>
        </is>
      </c>
      <c r="C1196" s="27" t="inlineStr">
        <is>
          <t>1、1.2mm厚 MT-01古铜不锈钢饰面
2、12mm阻燃板基层，轻钢副龙骨@400
3、工程量以展开面积计算
4、包含完成该项内容所有工作及费用并满足设计图纸、规范等要求</t>
        </is>
      </c>
      <c r="D1196"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196" s="27" t="inlineStr">
        <is>
          <t>执行《GB/T50854-2024房屋建筑与装饰工程工程量计算标准》，按设计图示饰面外围尺寸
以面积计算。 扣除门窗洞口面积，不扣除单个面积≤0.3㎡的孔洞所占面积。</t>
        </is>
      </c>
      <c r="F1196" s="28" t="inlineStr">
        <is>
          <t>m2</t>
        </is>
      </c>
      <c r="G1196" s="61" t="n">
        <v>0.26</v>
      </c>
      <c r="H1196" s="62" t="n">
        <v>295</v>
      </c>
      <c r="I1196" s="65" t="n"/>
      <c r="J1196" s="62">
        <f>H1196*(1-$I$4)</f>
        <v/>
      </c>
      <c r="K1196" s="63">
        <f>G1196*J1196</f>
        <v/>
      </c>
      <c r="L1196" s="33" t="inlineStr">
        <is>
          <t>不锈钢饰面</t>
        </is>
      </c>
      <c r="M1196" s="64" t="n"/>
      <c r="O1196" t="n">
        <v>110</v>
      </c>
      <c r="P1196" s="35" t="inlineStr">
        <is>
          <t>差:-185.00元 (-62.7%) 来源:售楼处</t>
        </is>
      </c>
      <c r="Q1196" s="35" t="n"/>
      <c r="R1196" s="35" t="n"/>
    </row>
    <row r="1197" outlineLevel="2" ht="144" customFormat="1" customHeight="1" s="39">
      <c r="A1197" s="37">
        <f>1+N(A1196)</f>
        <v/>
      </c>
      <c r="B1197" s="27" t="inlineStr">
        <is>
          <t>MT-01古铜不锈钢踢脚线（高20mm）</t>
        </is>
      </c>
      <c r="C1197" s="27" t="inlineStr">
        <is>
          <t>1、1.2mm厚 MT-01古铜不锈钢踢脚线（高20mm，展开面为46mm），结构胶固定
2、9厘玻镁板基层
3、包含完成该项内容所有工作及费用并满足设计图纸、规范等要求</t>
        </is>
      </c>
      <c r="D1197"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197" s="27" t="inlineStr">
        <is>
          <t>按设计图示尺寸以长度计算。</t>
        </is>
      </c>
      <c r="F1197" s="28" t="inlineStr">
        <is>
          <t>m</t>
        </is>
      </c>
      <c r="G1197" s="61" t="n">
        <v>26.42</v>
      </c>
      <c r="H1197" s="62" t="n">
        <v>31.86</v>
      </c>
      <c r="I1197" s="65" t="n"/>
      <c r="J1197" s="62">
        <f>H1197*(1-$I$4)</f>
        <v/>
      </c>
      <c r="K1197" s="63">
        <f>G1197*J1197</f>
        <v/>
      </c>
      <c r="L1197" s="33" t="inlineStr">
        <is>
          <t>不锈钢踢脚线</t>
        </is>
      </c>
      <c r="M1197" s="64" t="n"/>
      <c r="O1197" t="n">
        <v>12</v>
      </c>
      <c r="P1197" s="35" t="inlineStr">
        <is>
          <t>差:-19.86元 (-62.3%) 来源:售楼处</t>
        </is>
      </c>
      <c r="Q1197" s="35" t="n"/>
      <c r="R1197" s="35" t="n"/>
    </row>
    <row r="1198" outlineLevel="2" ht="144" customFormat="1" customHeight="1" s="39">
      <c r="A1198" s="37">
        <f>1+N(A1197)</f>
        <v/>
      </c>
      <c r="B1198" s="27" t="inlineStr">
        <is>
          <t>MT-01古铜不锈钢线条（展开面为51mm）</t>
        </is>
      </c>
      <c r="C1198" s="27" t="inlineStr">
        <is>
          <t>1、1.2mm厚 MT-01古铜不锈钢线条（展开面为51mm），结构胶固定
2、9厘玻镁板基层
3、包含完成该项内容所有工作及费用并满足设计图纸、规范等要求</t>
        </is>
      </c>
      <c r="D1198"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198" s="27" t="inlineStr">
        <is>
          <t>按设计图示尺寸以长度计算。</t>
        </is>
      </c>
      <c r="F1198" s="28" t="inlineStr">
        <is>
          <t>m</t>
        </is>
      </c>
      <c r="G1198" s="61" t="n">
        <v>11.88</v>
      </c>
      <c r="H1198" s="62" t="n">
        <v>71.90212</v>
      </c>
      <c r="I1198" s="65" t="n"/>
      <c r="J1198" s="62">
        <f>H1198*(1-$I$4)</f>
        <v/>
      </c>
      <c r="K1198" s="63">
        <f>G1198*J1198</f>
        <v/>
      </c>
      <c r="L1198" s="33" t="inlineStr">
        <is>
          <t>/</t>
        </is>
      </c>
      <c r="M1198" s="64" t="n"/>
      <c r="O1198" t="n">
        <v>12</v>
      </c>
      <c r="P1198" s="35" t="inlineStr">
        <is>
          <t>差:-59.90元 (-83.3%) 来源:会所合并</t>
        </is>
      </c>
      <c r="Q1198" s="35" t="n"/>
      <c r="R1198" s="35" t="n"/>
    </row>
    <row r="1199" outlineLevel="2" ht="144" customFormat="1" customHeight="1" s="39">
      <c r="A1199" s="37">
        <f>1+N(A1198)</f>
        <v/>
      </c>
      <c r="B1199" s="27" t="inlineStr">
        <is>
          <t>MT-01古铜不锈钢线条（展开面为114mm）</t>
        </is>
      </c>
      <c r="C1199" s="27" t="inlineStr">
        <is>
          <t>1、1.2mm厚 MT-01古铜不锈钢线条（展开面为114mm），结构胶固定
2、9厘玻镁板基层
3、包含完成该项内容所有工作及费用并满足设计图纸、规范等要求</t>
        </is>
      </c>
      <c r="D1199"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199" s="27" t="inlineStr">
        <is>
          <t>按设计图示尺寸以长度计算。</t>
        </is>
      </c>
      <c r="F1199" s="28" t="inlineStr">
        <is>
          <t>m</t>
        </is>
      </c>
      <c r="G1199" s="61" t="n">
        <v>10.8</v>
      </c>
      <c r="H1199" s="62" t="n">
        <v>117.84424</v>
      </c>
      <c r="I1199" s="65" t="n"/>
      <c r="J1199" s="62">
        <f>H1199*(1-$I$4)</f>
        <v/>
      </c>
      <c r="K1199" s="63">
        <f>G1199*J1199</f>
        <v/>
      </c>
      <c r="L1199" s="33" t="inlineStr">
        <is>
          <t>/</t>
        </is>
      </c>
      <c r="M1199" s="64" t="n"/>
      <c r="O1199" t="n">
        <v>22</v>
      </c>
      <c r="P1199" s="35" t="inlineStr">
        <is>
          <t>差:-95.84元 (-81.3%) 来源:售楼处</t>
        </is>
      </c>
      <c r="Q1199" s="35" t="n"/>
      <c r="R1199" s="35" t="n"/>
    </row>
    <row r="1200" outlineLevel="2" ht="144" customFormat="1" customHeight="1" s="39">
      <c r="A1200" s="37">
        <f>1+N(A1199)</f>
        <v/>
      </c>
      <c r="B1200" s="27" t="inlineStr">
        <is>
          <t>MT-01古铜不锈钢顶部收口条（展开面为41mm）</t>
        </is>
      </c>
      <c r="C1200" s="27" t="inlineStr">
        <is>
          <t>1、1.2mm厚 MT-01古铜不锈钢顶部收口条（展开面为41mm），结构胶固定
2、9厘玻镁板基层
3、包含完成该项内容所有工作及费用并满足设计图纸、规范等要求</t>
        </is>
      </c>
      <c r="D1200"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200" s="27" t="inlineStr">
        <is>
          <t>按设计图示尺寸以长度计算。</t>
        </is>
      </c>
      <c r="F1200" s="28" t="inlineStr">
        <is>
          <t>m</t>
        </is>
      </c>
      <c r="G1200" s="61" t="n">
        <v>26.03</v>
      </c>
      <c r="H1200" s="62" t="n">
        <v>64.24509999999999</v>
      </c>
      <c r="I1200" s="65" t="n"/>
      <c r="J1200" s="62">
        <f>H1200*(1-$I$4)</f>
        <v/>
      </c>
      <c r="K1200" s="63">
        <f>G1200*J1200</f>
        <v/>
      </c>
      <c r="L1200" s="33" t="inlineStr">
        <is>
          <t>/</t>
        </is>
      </c>
      <c r="M1200" s="64" t="n"/>
      <c r="O1200" t="n">
        <v>12</v>
      </c>
      <c r="P1200" s="35" t="inlineStr">
        <is>
          <t>差:-52.25元 (-81.3%) 来源:售楼处</t>
        </is>
      </c>
      <c r="Q1200" s="35" t="n"/>
      <c r="R1200" s="35" t="n"/>
    </row>
    <row r="1201" outlineLevel="1" customFormat="1" s="39">
      <c r="A1201" s="36" t="n"/>
      <c r="B1201" s="27" t="inlineStr">
        <is>
          <t>天花工程</t>
        </is>
      </c>
      <c r="C1201" s="27" t="n"/>
      <c r="D1201" s="27" t="n"/>
      <c r="E1201" s="27" t="n"/>
      <c r="F1201" s="28" t="n"/>
      <c r="G1201" s="61" t="n"/>
      <c r="H1201" s="62" t="n"/>
      <c r="I1201" s="65" t="n"/>
      <c r="J1201" s="62" t="n"/>
      <c r="K1201" s="63" t="n"/>
      <c r="L1201" s="33" t="n"/>
      <c r="M1201" s="64" t="n"/>
      <c r="P1201" s="35" t="n"/>
      <c r="Q1201" s="35" t="n"/>
      <c r="R1201" s="35" t="n"/>
    </row>
    <row r="1202" outlineLevel="2" ht="192" customFormat="1" customHeight="1" s="39">
      <c r="A1202" s="37">
        <f>1+N(A1201)</f>
        <v/>
      </c>
      <c r="B1202" s="27" t="inlineStr">
        <is>
          <t>石膏板吊顶</t>
        </is>
      </c>
      <c r="C1202" s="27" t="inlineStr">
        <is>
          <t>1.60系列轻钢主龙骨@900，60系列轻钢副龙骨@400，60系列横撑龙骨@600，08螺纹吊杆@900不上人天花吊顶（投影面计算）
2.玻镁板、双层9.5厚石膏板基层，含开孔、检修口、10*10凹槽等费用；
3.含除灯槽外的侧面高差及其连接件、吊件；
4.包含完成该项内容所有工作及费用并满足设计图纸、规范等要求；</t>
        </is>
      </c>
      <c r="D1202" s="27" t="inlineStr">
        <is>
          <t>1.基层清理。
2.弹线定位、排版。
3.吊杆及连接件安装调平、收口及密封处理。
4.材料切割处理找平、石膏板安装及调整，打胶密封与清理.
5.收口及其他处理：检修口等制作安装、收边收口、配合预留安装、机电等专业孔洞及孔洞收口处理。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1202" s="27" t="inlineStr">
        <is>
          <t>按设计图示尺寸以水平投影面积计算。不扣除间壁墙、检查口、附墙烟囱、柱垛和管道所占面积,扣除单个&gt;0.3m3的孔洞、非密拼吊顶空隙所占的面积、独立柱及与天棚相连的窗帘盒所占的面积。</t>
        </is>
      </c>
      <c r="F1202" s="28" t="inlineStr">
        <is>
          <t>m2</t>
        </is>
      </c>
      <c r="G1202" s="61" t="n">
        <v>28.1</v>
      </c>
      <c r="H1202" s="62" t="n">
        <v>150.712222222222</v>
      </c>
      <c r="I1202" s="65" t="n"/>
      <c r="J1202" s="62">
        <f>H1202*(1-$I$4)</f>
        <v/>
      </c>
      <c r="K1202" s="63">
        <f>G1202*J1202</f>
        <v/>
      </c>
      <c r="L1202" s="33" t="inlineStr">
        <is>
          <t>/</t>
        </is>
      </c>
      <c r="M1202" s="64" t="n"/>
      <c r="O1202" t="n">
        <v>70</v>
      </c>
      <c r="P1202" s="35" t="inlineStr">
        <is>
          <t>差:-80.71元 (-53.6%) 来源:会所合并</t>
        </is>
      </c>
      <c r="Q1202" s="35" t="n"/>
      <c r="R1202" s="35" t="n"/>
    </row>
    <row r="1203" outlineLevel="2" ht="72" customFormat="1" customHeight="1" s="39">
      <c r="A1203" s="37">
        <f>1+N(A1202)</f>
        <v/>
      </c>
      <c r="B1203" s="27" t="inlineStr">
        <is>
          <t>灯槽（100mm*200mm）</t>
        </is>
      </c>
      <c r="C1203" s="27" t="inlineStr">
        <is>
          <t>1.灯槽（100mm*200mm）；
2.双层板：9mm玻镁板、9.5厚石膏板；
3.包含完成该项内容所有工作及费用并满足设计图纸、规范等要求；</t>
        </is>
      </c>
      <c r="D1203" s="27" t="inlineStr">
        <is>
          <t>自现有现场条件下按照合同约定范围、图纸（含设计变更）及甲方要求内容以及规范、标准、相关做法等要求完成并达到总包合同全部目标的全部工作内容。</t>
        </is>
      </c>
      <c r="E1203" s="27" t="inlineStr">
        <is>
          <t>依据经承包人确认的施工部位,按设计图示尺寸以延长米计算。</t>
        </is>
      </c>
      <c r="F1203" s="28" t="inlineStr">
        <is>
          <t>m</t>
        </is>
      </c>
      <c r="G1203" s="61" t="n">
        <v>17.29</v>
      </c>
      <c r="H1203" s="62" t="n">
        <v>112.159</v>
      </c>
      <c r="I1203" s="65" t="n"/>
      <c r="J1203" s="62">
        <f>H1203*(1-$I$4)</f>
        <v/>
      </c>
      <c r="K1203" s="63">
        <f>G1203*J1203</f>
        <v/>
      </c>
      <c r="L1203" s="33" t="inlineStr">
        <is>
          <t>/</t>
        </is>
      </c>
      <c r="M1203" s="64" t="n"/>
      <c r="O1203" t="n">
        <v>50</v>
      </c>
      <c r="P1203" s="35" t="inlineStr">
        <is>
          <t>差:-62.16元 (-55.4%) 来源:售楼处</t>
        </is>
      </c>
      <c r="Q1203" s="35" t="n"/>
      <c r="R1203" s="35" t="n"/>
    </row>
    <row r="1204" outlineLevel="2" ht="72" customFormat="1" customHeight="1" s="39">
      <c r="A1204" s="37">
        <f>1+N(A1203)</f>
        <v/>
      </c>
      <c r="B1204" s="27" t="inlineStr">
        <is>
          <t>成品石膏线条</t>
        </is>
      </c>
      <c r="C1204" s="27" t="inlineStr">
        <is>
          <t>1.成品石膏线条（50mm*50mm）；
2.按图纸造型；
3.包含完成该项内容所有工作及费用并满足设计图纸、规范等要求；</t>
        </is>
      </c>
      <c r="D1204" s="27" t="inlineStr">
        <is>
          <t>自现有现场条件下按照合同约定范围、图纸（含设计变更）及甲方要求内容以及规范、标准、相关做法等要求完成并达到总包合同全部目标的全部工作内容。</t>
        </is>
      </c>
      <c r="E1204" s="27" t="inlineStr">
        <is>
          <t>依据经承包人确认的施工部位,按设计图示尺寸以延长米计算。</t>
        </is>
      </c>
      <c r="F1204" s="28" t="inlineStr">
        <is>
          <t>m</t>
        </is>
      </c>
      <c r="G1204" s="61" t="n">
        <v>17.29</v>
      </c>
      <c r="H1204" s="62" t="n">
        <v>20.06</v>
      </c>
      <c r="I1204" s="65" t="n"/>
      <c r="J1204" s="62">
        <f>H1204*(1-$I$4)</f>
        <v/>
      </c>
      <c r="K1204" s="63">
        <f>G1204*J1204</f>
        <v/>
      </c>
      <c r="L1204" s="33" t="inlineStr">
        <is>
          <t>成品石膏线条</t>
        </is>
      </c>
      <c r="M1204" s="64" t="n"/>
      <c r="O1204" t="n">
        <v>18</v>
      </c>
      <c r="P1204" s="35" t="inlineStr">
        <is>
          <t>差:-2.06元 (-10.3%) 来源:售楼处</t>
        </is>
      </c>
      <c r="Q1204" s="35" t="n"/>
      <c r="R1204" s="35" t="n"/>
    </row>
    <row r="1205" outlineLevel="2" ht="72" customFormat="1" customHeight="1" s="39">
      <c r="A1205" s="37">
        <f>1+N(A1204)</f>
        <v/>
      </c>
      <c r="B1205" s="27" t="inlineStr">
        <is>
          <t>条形空调风口（150mm）</t>
        </is>
      </c>
      <c r="C1205" s="27" t="inlineStr">
        <is>
          <t>1.条形空调风口（150mm）；
2.风口周边阻燃板封边加固处理；
3.包含完成该项内容所有工作及费用并满足设计图纸、规范等要求；</t>
        </is>
      </c>
      <c r="D1205" s="27" t="inlineStr">
        <is>
          <t>自现有现场条件下按照合同约定范围、图纸（含设计变更）及甲方要求内容以及规范、标准、相关做法等要求完成并达到总包合同全部目标的全部工作内容。</t>
        </is>
      </c>
      <c r="E1205" s="27" t="inlineStr">
        <is>
          <t>依据经承包人确认的施工部位,按设计图示尺寸以延长米计算。</t>
        </is>
      </c>
      <c r="F1205" s="28" t="inlineStr">
        <is>
          <t>m</t>
        </is>
      </c>
      <c r="G1205" s="61" t="n">
        <v>10.24</v>
      </c>
      <c r="H1205" s="62" t="n">
        <v>109.74</v>
      </c>
      <c r="I1205" s="65" t="n"/>
      <c r="J1205" s="62">
        <f>H1205*(1-$I$4)</f>
        <v/>
      </c>
      <c r="K1205" s="63">
        <f>G1205*J1205</f>
        <v/>
      </c>
      <c r="L1205" s="33" t="inlineStr">
        <is>
          <t>空调风口</t>
        </is>
      </c>
      <c r="M1205" s="64" t="n"/>
      <c r="O1205" t="n">
        <v>30</v>
      </c>
      <c r="P1205" s="35" t="inlineStr">
        <is>
          <t>差:-79.74元 (-72.7%) 来源:售楼处</t>
        </is>
      </c>
      <c r="Q1205" s="35" t="n"/>
      <c r="R1205" s="35" t="n"/>
    </row>
    <row r="1206" outlineLevel="2" ht="192" customFormat="1" customHeight="1" s="39">
      <c r="A1206" s="37">
        <f>1+N(A1205)</f>
        <v/>
      </c>
      <c r="B1206" s="27" t="inlineStr">
        <is>
          <t>天花肌理无机涂料PT-01</t>
        </is>
      </c>
      <c r="C1206" s="27" t="inlineStr">
        <is>
          <t>1.天花肌理无机涂料PT-01；
2.刮腻子二遍磨平；
3.底漆1遍，面漆2遍；
4.包含完成该项内容所有工作及费用并满足设计图纸、规范等要求；</t>
        </is>
      </c>
      <c r="D1206" s="27" t="inlineStr">
        <is>
          <t>包括但不限于材料计划、采购、卸车倒运、保管、检验试验费、测量放线，包含四周阴角找平直、含天棚四周阴角找平直，打磨，简易脚手架搭拆及操作平台、升降机，基层清理、打磨平整、底层找补、满刮涂料（含阴阳角塑料条）、涂料打磨、补遗处理、配合其他分包施工、完工后场清、成品保护、保修等直到达到竣工交付标准的全部工作内容。包括所有为完成工作所需的小型机具；包括所有为完成工作所需的附属工作；包括但不限于以上内容。</t>
        </is>
      </c>
      <c r="E1206" s="27" t="inlineStr">
        <is>
          <t>执行《GB/T50854-2024房屋建筑与装饰工程工程量计算标准》，按设计图示尺寸以面积计算。扣除0.3平方米以上洞口的面积；梁侧面及檐口天棚并入天棚计算；以设计图纸和技术交底为基础</t>
        </is>
      </c>
      <c r="F1206" s="28" t="inlineStr">
        <is>
          <t>m2</t>
        </is>
      </c>
      <c r="G1206" s="61" t="n">
        <v>34.05</v>
      </c>
      <c r="H1206" s="62" t="n">
        <v>48.38</v>
      </c>
      <c r="I1206" s="65" t="n"/>
      <c r="J1206" s="62">
        <f>H1206*(1-$I$4)</f>
        <v/>
      </c>
      <c r="K1206" s="63">
        <f>G1206*J1206</f>
        <v/>
      </c>
      <c r="L1206" s="33" t="inlineStr">
        <is>
          <t>涂料</t>
        </is>
      </c>
      <c r="M1206" s="64" t="n"/>
      <c r="O1206" t="n">
        <v>45</v>
      </c>
      <c r="P1206" s="35" t="inlineStr">
        <is>
          <t>差:-3.38元 (-7.0%) 来源:售楼处</t>
        </is>
      </c>
      <c r="Q1206" s="35" t="n"/>
      <c r="R1206" s="35" t="n"/>
    </row>
    <row r="1207" outlineLevel="1" customFormat="1" s="39">
      <c r="A1207" s="36" t="n"/>
      <c r="B1207" s="27" t="inlineStr">
        <is>
          <t>门窗、家具工程</t>
        </is>
      </c>
      <c r="C1207" s="27" t="n"/>
      <c r="D1207" s="27" t="n"/>
      <c r="E1207" s="27" t="n"/>
      <c r="F1207" s="28" t="n"/>
      <c r="G1207" s="61" t="n"/>
      <c r="H1207" s="62" t="n"/>
      <c r="I1207" s="65" t="n"/>
      <c r="J1207" s="62" t="n"/>
      <c r="K1207" s="63" t="n"/>
      <c r="L1207" s="33" t="n"/>
      <c r="M1207" s="64" t="n"/>
      <c r="P1207" s="35" t="n"/>
      <c r="Q1207" s="35" t="n"/>
      <c r="R1207" s="35" t="n"/>
    </row>
    <row r="1208" outlineLevel="1" customFormat="1" s="39">
      <c r="A1208" s="26" t="inlineStr">
        <is>
          <t>二</t>
        </is>
      </c>
      <c r="B1208" s="27" t="inlineStr">
        <is>
          <t>二单元合用前室</t>
        </is>
      </c>
      <c r="C1208" s="27" t="n"/>
      <c r="D1208" s="27" t="n"/>
      <c r="E1208" s="27" t="n"/>
      <c r="F1208" s="28" t="n"/>
      <c r="G1208" s="61" t="n"/>
      <c r="H1208" s="62" t="n"/>
      <c r="I1208" s="65" t="n"/>
      <c r="J1208" s="62" t="n"/>
      <c r="K1208" s="63" t="n"/>
      <c r="L1208" s="33" t="n"/>
      <c r="M1208" s="64" t="n"/>
      <c r="P1208" s="35" t="n"/>
      <c r="Q1208" s="35" t="n"/>
      <c r="R1208" s="35" t="n"/>
    </row>
    <row r="1209" outlineLevel="1" customFormat="1" s="39">
      <c r="A1209" s="36" t="n"/>
      <c r="B1209" s="27" t="inlineStr">
        <is>
          <t>地面工程</t>
        </is>
      </c>
      <c r="C1209" s="27" t="n"/>
      <c r="D1209" s="27" t="n"/>
      <c r="E1209" s="27" t="n"/>
      <c r="F1209" s="28" t="n"/>
      <c r="G1209" s="61" t="n"/>
      <c r="H1209" s="62" t="n"/>
      <c r="I1209" s="65" t="n"/>
      <c r="J1209" s="62" t="n"/>
      <c r="K1209" s="63" t="n"/>
      <c r="L1209" s="33" t="n"/>
      <c r="M1209" s="64" t="n"/>
      <c r="P1209" s="35" t="n"/>
      <c r="Q1209" s="35" t="n"/>
      <c r="R1209" s="35" t="n"/>
    </row>
    <row r="1210" outlineLevel="2" ht="108" customFormat="1" customHeight="1" s="39">
      <c r="A1210" s="37">
        <f>1+N(A1209)</f>
        <v/>
      </c>
      <c r="B1210" s="27" t="inlineStr">
        <is>
          <t>地面铺贴大理石ST-01</t>
        </is>
      </c>
      <c r="C1210" s="27" t="inlineStr">
        <is>
          <t>1.地面20mm大理石ST-01、铺贴、厚度及样式按物料书为准；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1210"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210" s="27" t="inlineStr">
        <is>
          <t xml:space="preserve">执行《GB/T50854-2024房屋建筑与装饰工程工程量计算标准》，按设计图示尺寸
以面积计算。 </t>
        </is>
      </c>
      <c r="F1210" s="28" t="inlineStr">
        <is>
          <t>m2</t>
        </is>
      </c>
      <c r="G1210" s="61" t="n">
        <v>9.220000000000001</v>
      </c>
      <c r="H1210" s="62" t="n">
        <v>218.75017</v>
      </c>
      <c r="I1210" s="65" t="n"/>
      <c r="J1210" s="62">
        <f>H1210*(1-$I$4)</f>
        <v/>
      </c>
      <c r="K1210" s="63">
        <f>G1210*J1210</f>
        <v/>
      </c>
      <c r="L1210" s="33" t="inlineStr">
        <is>
          <t>石材</t>
        </is>
      </c>
      <c r="M1210" s="64" t="n"/>
      <c r="O1210" t="n">
        <v>130</v>
      </c>
      <c r="P1210" s="35" t="inlineStr">
        <is>
          <t>差:-88.75元 (-40.6%) 来源:售楼处</t>
        </is>
      </c>
      <c r="Q1210" s="35" t="n"/>
      <c r="R1210" s="35" t="n"/>
    </row>
    <row r="1211" outlineLevel="2" ht="108" customFormat="1" customHeight="1" s="39">
      <c r="A1211" s="37">
        <f>1+N(A1210)</f>
        <v/>
      </c>
      <c r="B1211" s="27" t="inlineStr">
        <is>
          <t>地面铺贴大理石ST-01.02拼花</t>
        </is>
      </c>
      <c r="C1211" s="27" t="inlineStr">
        <is>
          <t>1.地面20mm大理石拼花、参考3F-DF-01样式、ST-01、ST-02按物料书为准；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1211"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211" s="27" t="inlineStr">
        <is>
          <t xml:space="preserve">执行《GB/T50854-2024房屋建筑与装饰工程工程量计算标准》，按设计图示尺寸
以面积计算。 </t>
        </is>
      </c>
      <c r="F1211" s="28" t="inlineStr">
        <is>
          <t>m2</t>
        </is>
      </c>
      <c r="G1211" s="61" t="n">
        <v>11.42</v>
      </c>
      <c r="H1211" s="62" t="n">
        <v>242.35017</v>
      </c>
      <c r="I1211" s="65" t="n"/>
      <c r="J1211" s="62">
        <f>H1211*(1-$I$4)</f>
        <v/>
      </c>
      <c r="K1211" s="63">
        <f>G1211*J1211</f>
        <v/>
      </c>
      <c r="L1211" s="33" t="inlineStr">
        <is>
          <t>石材</t>
        </is>
      </c>
      <c r="M1211" s="64" t="n"/>
      <c r="O1211" t="n">
        <v>130</v>
      </c>
      <c r="P1211" s="35" t="inlineStr">
        <is>
          <t>差:-112.35元 (-46.4%) 来源:售楼处</t>
        </is>
      </c>
      <c r="Q1211" s="35" t="n"/>
      <c r="R1211" s="35" t="n"/>
    </row>
    <row r="1212" outlineLevel="2" ht="108" customFormat="1" customHeight="1" s="39">
      <c r="A1212" s="37">
        <f>1+N(A1211)</f>
        <v/>
      </c>
      <c r="B1212" s="27" t="inlineStr">
        <is>
          <t>实心铜条5mm宽</t>
        </is>
      </c>
      <c r="C1212" s="27" t="inlineStr">
        <is>
          <t>1.实心铜条5mm宽；
2.包含完成该项内容所有工作及费用并满足设计图纸、规范等要求；</t>
        </is>
      </c>
      <c r="D1212"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212" s="27" t="inlineStr">
        <is>
          <t>按设计图示尺寸以长度计算。</t>
        </is>
      </c>
      <c r="F1212" s="28" t="inlineStr">
        <is>
          <t>m</t>
        </is>
      </c>
      <c r="G1212" s="61" t="n">
        <v>13.33</v>
      </c>
      <c r="H1212" s="62" t="n">
        <v>89.267</v>
      </c>
      <c r="I1212" s="65" t="n"/>
      <c r="J1212" s="62">
        <f>H1212*(1-$I$4)</f>
        <v/>
      </c>
      <c r="K1212" s="63">
        <f>G1212*J1212</f>
        <v/>
      </c>
      <c r="L1212" s="33" t="inlineStr">
        <is>
          <t>/</t>
        </is>
      </c>
      <c r="M1212" s="64" t="n"/>
      <c r="O1212" t="n">
        <v>12</v>
      </c>
      <c r="P1212" s="35" t="inlineStr">
        <is>
          <t>差:-77.27元 (-86.6%) 来源:售楼处</t>
        </is>
      </c>
      <c r="Q1212" s="35" t="n"/>
      <c r="R1212" s="35" t="n"/>
    </row>
    <row r="1213" outlineLevel="2" ht="108" customFormat="1" customHeight="1" s="39">
      <c r="A1213" s="37">
        <f>1+N(A1212)</f>
        <v/>
      </c>
      <c r="B1213" s="27" t="inlineStr">
        <is>
          <t>地面石材晶面处理</t>
        </is>
      </c>
      <c r="C1213" s="27" t="inlineStr">
        <is>
          <t>1.石材结晶处理(结晶水及石材保养剂,中性清洁剂)；
2.包含完成该项内容所有工作及费用并满足设计图纸、规范等要求；</t>
        </is>
      </c>
      <c r="D1213"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213" s="27" t="inlineStr">
        <is>
          <t xml:space="preserve">执行《GB/T50854-2024房屋建筑与装饰工程工程量计算标准》，按设计图示尺寸
以面积计算。 </t>
        </is>
      </c>
      <c r="F1213" s="28" t="inlineStr">
        <is>
          <t>m2</t>
        </is>
      </c>
      <c r="G1213" s="61" t="n">
        <v>20.64</v>
      </c>
      <c r="H1213" s="62" t="n">
        <v>64.90000000000001</v>
      </c>
      <c r="I1213" s="65" t="n"/>
      <c r="J1213" s="62">
        <f>H1213*(1-$I$4)</f>
        <v/>
      </c>
      <c r="K1213" s="63">
        <f>G1213*J1213</f>
        <v/>
      </c>
      <c r="L1213" s="33" t="inlineStr">
        <is>
          <t>/</t>
        </is>
      </c>
      <c r="M1213" s="64" t="n"/>
      <c r="O1213" t="n">
        <v>40</v>
      </c>
      <c r="P1213" s="35" t="inlineStr">
        <is>
          <t>差:-24.90元 (-38.4%) 来源:售楼处</t>
        </is>
      </c>
      <c r="Q1213" s="35" t="n"/>
      <c r="R1213" s="35" t="n"/>
    </row>
    <row r="1214" outlineLevel="1" customFormat="1" s="39">
      <c r="A1214" s="36" t="n"/>
      <c r="B1214" s="27" t="inlineStr">
        <is>
          <t>墙面工程</t>
        </is>
      </c>
      <c r="C1214" s="27" t="n"/>
      <c r="D1214" s="27" t="n"/>
      <c r="E1214" s="27" t="n"/>
      <c r="F1214" s="28" t="n"/>
      <c r="G1214" s="61" t="n"/>
      <c r="H1214" s="62" t="n"/>
      <c r="I1214" s="65" t="n"/>
      <c r="J1214" s="62" t="n"/>
      <c r="K1214" s="63" t="n"/>
      <c r="L1214" s="33" t="n"/>
      <c r="M1214" s="64" t="n"/>
      <c r="P1214" s="35" t="n"/>
      <c r="Q1214" s="35" t="n"/>
      <c r="R1214" s="35" t="n"/>
    </row>
    <row r="1215" outlineLevel="2" ht="144" customFormat="1" customHeight="1" s="39">
      <c r="A1215" s="37">
        <f>1+N(A1214)</f>
        <v/>
      </c>
      <c r="B1215" s="27" t="inlineStr">
        <is>
          <t>墙面湿贴石材ST-05</t>
        </is>
      </c>
      <c r="C1215" s="27" t="inlineStr">
        <is>
          <t>1、墙面湿贴石材ST-05
2、8mm厚石材专用胶粘剂WC粘结层
3、界面剂拉毛处理
4、石材的开槽、磨边、倒角、粘接、形成所需之凹坑、抛光、六面防污防渗等一切处理费用均在主材费中考虑，不再另行计取
5、包含完成该项内容所有工作及费用并满足设计图纸、规范等要求</t>
        </is>
      </c>
      <c r="D1215" s="27" t="inlineStr">
        <is>
          <t>具体工作内容除详见项目特征外，且不限于以下内容:1.包含材料的下车、场内运输；2.清理基层、找标高、弹线定位；3.试拼试排；4.砂浆拌和、铺找平层（粘结层）砂浆；5.面层铺设、灌缝、擦缝；6.打蜡、养护；配合留设墙面开关、插座等末端设备等全部内容；包含成品保护、安全文明施工等达到验收合格的全部施工内容。</t>
        </is>
      </c>
      <c r="E1215" s="27" t="inlineStr">
        <is>
          <t>执行《GB/T50854-2024房屋建筑与装饰工程工程量计算标准》，按设计图示镶贴后外围面积计算</t>
        </is>
      </c>
      <c r="F1215" s="28" t="inlineStr">
        <is>
          <t>m2</t>
        </is>
      </c>
      <c r="G1215" s="61" t="n">
        <v>8.619999999999999</v>
      </c>
      <c r="H1215" s="62" t="n">
        <v>177</v>
      </c>
      <c r="I1215" s="65" t="n"/>
      <c r="J1215" s="62">
        <f>H1215*(1-$I$4)</f>
        <v/>
      </c>
      <c r="K1215" s="63">
        <f>G1215*J1215</f>
        <v/>
      </c>
      <c r="L1215" s="33" t="inlineStr">
        <is>
          <t>石材</t>
        </is>
      </c>
      <c r="M1215" s="64" t="n"/>
      <c r="O1215" t="n">
        <v>95</v>
      </c>
      <c r="P1215" s="35" t="inlineStr">
        <is>
          <t>差:-82.00元 (-46.3%) 来源:售楼处</t>
        </is>
      </c>
      <c r="Q1215" s="35" t="n"/>
      <c r="R1215" s="35" t="n"/>
    </row>
    <row r="1216" outlineLevel="2" ht="180" customFormat="1" customHeight="1" s="39">
      <c r="A1216" s="37">
        <f>1+N(A1215)</f>
        <v/>
      </c>
      <c r="B1216" s="27" t="inlineStr">
        <is>
          <t>墙面干挂ST-05石材</t>
        </is>
      </c>
      <c r="C1216" s="27" t="inlineStr">
        <is>
          <t>1、墙面干挂ST-05石材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is>
      </c>
      <c r="D1216"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216" s="27" t="inlineStr">
        <is>
          <t>执行《GB/T50854-2024房屋建筑与装饰工程工程量计算标准》，按设计图示镶贴后外围面积计算</t>
        </is>
      </c>
      <c r="F1216" s="28" t="inlineStr">
        <is>
          <t>m2</t>
        </is>
      </c>
      <c r="G1216" s="61" t="n">
        <v>32.55</v>
      </c>
      <c r="H1216" s="62" t="n">
        <v>318.6</v>
      </c>
      <c r="I1216" s="65" t="n"/>
      <c r="J1216" s="62">
        <f>H1216*(1-$I$4)</f>
        <v/>
      </c>
      <c r="K1216" s="63">
        <f>G1216*J1216</f>
        <v/>
      </c>
      <c r="L1216" s="33" t="inlineStr">
        <is>
          <t>石材</t>
        </is>
      </c>
      <c r="M1216" s="64" t="n"/>
      <c r="O1216" t="n">
        <v>145</v>
      </c>
      <c r="P1216" s="35" t="inlineStr">
        <is>
          <t>差:-173.60元 (-54.5%) 来源:售楼处</t>
        </is>
      </c>
      <c r="Q1216" s="35" t="n"/>
      <c r="R1216" s="35" t="n"/>
    </row>
    <row r="1217" outlineLevel="2" ht="180" customFormat="1" customHeight="1" s="39">
      <c r="A1217" s="37">
        <f>1+N(A1216)</f>
        <v/>
      </c>
      <c r="B1217" s="27" t="inlineStr">
        <is>
          <t>WD-07摩素板</t>
        </is>
      </c>
      <c r="C1217" s="27" t="inlineStr">
        <is>
          <t>1、墙面WD-08摩素板(结构胶固定)
2、12厘玻镁板基层
3、膨胀螺栓、轻钢龙骨(钢结构)基层找平
4、包含完成该项内容所有工作及费用并满足设计图纸、规范等要求</t>
        </is>
      </c>
      <c r="D1217"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217" s="27" t="inlineStr">
        <is>
          <t>执行《GB/T50854-2024房屋建筑与装饰工程工程量计算标准》，按设计图示饰面外围尺寸
以面积计算。 扣除门窗洞口面积，不扣除单个面积≤0.3㎡的孔洞所占面积。</t>
        </is>
      </c>
      <c r="F1217" s="28" t="inlineStr">
        <is>
          <t>m2</t>
        </is>
      </c>
      <c r="G1217" s="61" t="n">
        <v>1.91</v>
      </c>
      <c r="H1217" s="62" t="n">
        <v>186.44</v>
      </c>
      <c r="I1217" s="65" t="n"/>
      <c r="J1217" s="62">
        <f>H1217*(1-$I$4)</f>
        <v/>
      </c>
      <c r="K1217" s="63">
        <f>G1217*J1217</f>
        <v/>
      </c>
      <c r="L1217" s="33" t="inlineStr">
        <is>
          <t>摩素板</t>
        </is>
      </c>
      <c r="M1217" s="64" t="n"/>
      <c r="O1217" t="n">
        <v>35</v>
      </c>
      <c r="P1217" s="35" t="inlineStr">
        <is>
          <t>差:-151.44元 (-81.2%) 来源:会所合并</t>
        </is>
      </c>
      <c r="Q1217" s="35" t="n"/>
      <c r="R1217" s="35" t="n"/>
    </row>
    <row r="1218" outlineLevel="2" ht="180" customFormat="1" customHeight="1" s="39">
      <c r="A1218" s="37">
        <f>1+N(A1217)</f>
        <v/>
      </c>
      <c r="B1218" s="27" t="inlineStr">
        <is>
          <t>电梯不锈钢门套</t>
        </is>
      </c>
      <c r="C1218" s="27" t="inlineStr">
        <is>
          <t>1、1.2mm厚 MT-01古铜不锈钢门套，结构胶固定
2、9厘玻镁板基层
3、工程量以展开面积计算
4、包含完成该项内容所有工作及费用并满足设计图纸、规范等要求</t>
        </is>
      </c>
      <c r="D1218"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218" s="27" t="inlineStr">
        <is>
          <t>执行《GB/T50854-2024房屋建筑与装饰工程工程量计算标准》，按设计图示饰面外围尺寸
以面积计算。 扣除门窗洞口面积，不扣除单个面积≤0.3㎡的孔洞所占面积。</t>
        </is>
      </c>
      <c r="F1218" s="28" t="inlineStr">
        <is>
          <t>m2</t>
        </is>
      </c>
      <c r="G1218" s="61" t="n">
        <v>3.4</v>
      </c>
      <c r="H1218" s="62" t="n">
        <v>630.651</v>
      </c>
      <c r="I1218" s="65" t="n"/>
      <c r="J1218" s="62">
        <f>H1218*(1-$I$4)</f>
        <v/>
      </c>
      <c r="K1218" s="63">
        <f>G1218*J1218</f>
        <v/>
      </c>
      <c r="L1218" s="33" t="inlineStr">
        <is>
          <t>/</t>
        </is>
      </c>
      <c r="M1218" s="64" t="n"/>
      <c r="O1218" t="n">
        <v>110</v>
      </c>
      <c r="P1218" s="35" t="inlineStr">
        <is>
          <t>差:-520.65元 (-82.6%) 来源:售楼处</t>
        </is>
      </c>
      <c r="Q1218" s="35" t="n"/>
      <c r="R1218" s="35" t="n"/>
    </row>
    <row r="1219" outlineLevel="2" ht="180" customFormat="1" customHeight="1" s="39">
      <c r="A1219" s="37">
        <f>1+N(A1218)</f>
        <v/>
      </c>
      <c r="B1219" s="27" t="inlineStr">
        <is>
          <t>电梯不锈钢门头</t>
        </is>
      </c>
      <c r="C1219" s="27" t="inlineStr">
        <is>
          <t>1、1.2mm厚 MT-01古铜不锈钢门头，结构胶固定
2、12mm阻燃板，轻钢副龙骨@400
3、电梯门顶内置亚克力，内部面层刮白处理
4、工程量以展开面积计算
5、包含完成该项内容所有工作及费用并满足设计图纸、规范等要求</t>
        </is>
      </c>
      <c r="D1219"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219" s="27" t="inlineStr">
        <is>
          <t>执行《GB/T50854-2024房屋建筑与装饰工程工程量计算标准》，按设计图示饰面外围尺寸
以面积计算。 扣除门窗洞口面积，不扣除单个面积≤0.3㎡的孔洞所占面积。</t>
        </is>
      </c>
      <c r="F1219" s="28" t="inlineStr">
        <is>
          <t>m2</t>
        </is>
      </c>
      <c r="G1219" s="61" t="n">
        <v>0.9</v>
      </c>
      <c r="H1219" s="62" t="n">
        <v>812.961</v>
      </c>
      <c r="I1219" s="65" t="n"/>
      <c r="J1219" s="62">
        <f>H1219*(1-$I$4)</f>
        <v/>
      </c>
      <c r="K1219" s="63">
        <f>G1219*J1219</f>
        <v/>
      </c>
      <c r="L1219" s="33" t="inlineStr">
        <is>
          <t>/</t>
        </is>
      </c>
      <c r="M1219" s="64" t="n"/>
      <c r="O1219" t="n">
        <v>110</v>
      </c>
      <c r="P1219" s="35" t="inlineStr">
        <is>
          <t>差:-702.96元 (-86.5%) 来源:售楼处</t>
        </is>
      </c>
      <c r="Q1219" s="35" t="n"/>
      <c r="R1219" s="35" t="n"/>
    </row>
    <row r="1220" outlineLevel="2" ht="180" customFormat="1" customHeight="1" s="39">
      <c r="A1220" s="37">
        <f>1+N(A1219)</f>
        <v/>
      </c>
      <c r="B1220" s="27" t="inlineStr">
        <is>
          <t>MT-01古铜不锈钢饰面（电梯按钮处）</t>
        </is>
      </c>
      <c r="C1220" s="27" t="inlineStr">
        <is>
          <t>1、1.2mm厚 MT-01古铜不锈钢饰面
2、12mm阻燃板基层，轻钢副龙骨@400
3、工程量以展开面积计算
4、包含完成该项内容所有工作及费用并满足设计图纸、规范等要求</t>
        </is>
      </c>
      <c r="D1220"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220" s="27" t="inlineStr">
        <is>
          <t>执行《GB/T50854-2024房屋建筑与装饰工程工程量计算标准》，按设计图示饰面外围尺寸
以面积计算。 扣除门窗洞口面积，不扣除单个面积≤0.3㎡的孔洞所占面积。</t>
        </is>
      </c>
      <c r="F1220" s="28" t="inlineStr">
        <is>
          <t>m2</t>
        </is>
      </c>
      <c r="G1220" s="61" t="n">
        <v>0.26</v>
      </c>
      <c r="H1220" s="62" t="n">
        <v>295</v>
      </c>
      <c r="I1220" s="65" t="n"/>
      <c r="J1220" s="62">
        <f>H1220*(1-$I$4)</f>
        <v/>
      </c>
      <c r="K1220" s="63">
        <f>G1220*J1220</f>
        <v/>
      </c>
      <c r="L1220" s="33" t="inlineStr">
        <is>
          <t>不锈钢饰面</t>
        </is>
      </c>
      <c r="M1220" s="64" t="n"/>
      <c r="O1220" t="n">
        <v>110</v>
      </c>
      <c r="P1220" s="35" t="inlineStr">
        <is>
          <t>差:-185.00元 (-62.7%) 来源:售楼处</t>
        </is>
      </c>
      <c r="Q1220" s="35" t="n"/>
      <c r="R1220" s="35" t="n"/>
    </row>
    <row r="1221" outlineLevel="2" ht="144" customFormat="1" customHeight="1" s="39">
      <c r="A1221" s="37">
        <f>1+N(A1220)</f>
        <v/>
      </c>
      <c r="B1221" s="27" t="inlineStr">
        <is>
          <t>MT-01古铜不锈钢踢脚线（高20mm）</t>
        </is>
      </c>
      <c r="C1221" s="27" t="inlineStr">
        <is>
          <t>1、1.2mm厚 MT-01古铜不锈钢踢脚线（高20mm，展开面为46mm），结构胶固定
2、9厘玻镁板基层
3、包含完成该项内容所有工作及费用并满足设计图纸、规范等要求</t>
        </is>
      </c>
      <c r="D1221"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221" s="27" t="inlineStr">
        <is>
          <t>按设计图示尺寸以长度计算。</t>
        </is>
      </c>
      <c r="F1221" s="28" t="inlineStr">
        <is>
          <t>m</t>
        </is>
      </c>
      <c r="G1221" s="61" t="n">
        <v>17.89</v>
      </c>
      <c r="H1221" s="62" t="n">
        <v>31.86</v>
      </c>
      <c r="I1221" s="65" t="n"/>
      <c r="J1221" s="62">
        <f>H1221*(1-$I$4)</f>
        <v/>
      </c>
      <c r="K1221" s="63">
        <f>G1221*J1221</f>
        <v/>
      </c>
      <c r="L1221" s="33" t="inlineStr">
        <is>
          <t>不锈钢踢脚线</t>
        </is>
      </c>
      <c r="M1221" s="64" t="n"/>
      <c r="O1221" t="n">
        <v>12</v>
      </c>
      <c r="P1221" s="35" t="inlineStr">
        <is>
          <t>差:-19.86元 (-62.3%) 来源:售楼处</t>
        </is>
      </c>
      <c r="Q1221" s="35" t="n"/>
      <c r="R1221" s="35" t="n"/>
    </row>
    <row r="1222" outlineLevel="2" ht="144" customFormat="1" customHeight="1" s="39">
      <c r="A1222" s="37">
        <f>1+N(A1221)</f>
        <v/>
      </c>
      <c r="B1222" s="27" t="inlineStr">
        <is>
          <t>MT-01古铜不锈钢线条（展开面为114mm）</t>
        </is>
      </c>
      <c r="C1222" s="27" t="inlineStr">
        <is>
          <t>1、1.2mm厚 MT-01古铜不锈钢线条（展开面为114mm），结构胶固定
2、9厘玻镁板基层
3、包含完成该项内容所有工作及费用并满足设计图纸、规范等要求</t>
        </is>
      </c>
      <c r="D1222"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222" s="27" t="inlineStr">
        <is>
          <t>按设计图示尺寸以长度计算。</t>
        </is>
      </c>
      <c r="F1222" s="28" t="inlineStr">
        <is>
          <t>m</t>
        </is>
      </c>
      <c r="G1222" s="61" t="n">
        <v>15.25</v>
      </c>
      <c r="H1222" s="62" t="n">
        <v>117.84424</v>
      </c>
      <c r="I1222" s="65" t="n"/>
      <c r="J1222" s="62">
        <f>H1222*(1-$I$4)</f>
        <v/>
      </c>
      <c r="K1222" s="63">
        <f>G1222*J1222</f>
        <v/>
      </c>
      <c r="L1222" s="33" t="inlineStr">
        <is>
          <t>/</t>
        </is>
      </c>
      <c r="M1222" s="64" t="n"/>
      <c r="O1222" t="n">
        <v>22</v>
      </c>
      <c r="P1222" s="35" t="inlineStr">
        <is>
          <t>差:-95.84元 (-81.3%) 来源:售楼处</t>
        </is>
      </c>
      <c r="Q1222" s="35" t="n"/>
      <c r="R1222" s="35" t="n"/>
    </row>
    <row r="1223" outlineLevel="2" ht="144" customFormat="1" customHeight="1" s="39">
      <c r="A1223" s="37">
        <f>1+N(A1222)</f>
        <v/>
      </c>
      <c r="B1223" s="27" t="inlineStr">
        <is>
          <t>MT-01古铜不锈钢顶部收口条（展开面为41mm）</t>
        </is>
      </c>
      <c r="C1223" s="27" t="inlineStr">
        <is>
          <t>1、1.2mm厚 MT-01古铜不锈钢顶部收口条（展开面为41mm），结构胶固定
2、9厘玻镁板基层
3、包含完成该项内容所有工作及费用并满足设计图纸、规范等要求</t>
        </is>
      </c>
      <c r="D1223"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223" s="27" t="inlineStr">
        <is>
          <t>按设计图示尺寸以长度计算。</t>
        </is>
      </c>
      <c r="F1223" s="28" t="inlineStr">
        <is>
          <t>m</t>
        </is>
      </c>
      <c r="G1223" s="61" t="n">
        <v>18.67</v>
      </c>
      <c r="H1223" s="62" t="n">
        <v>64.24509999999999</v>
      </c>
      <c r="I1223" s="65" t="n"/>
      <c r="J1223" s="62">
        <f>H1223*(1-$I$4)</f>
        <v/>
      </c>
      <c r="K1223" s="63">
        <f>G1223*J1223</f>
        <v/>
      </c>
      <c r="L1223" s="33" t="inlineStr">
        <is>
          <t>/</t>
        </is>
      </c>
      <c r="M1223" s="64" t="n"/>
      <c r="O1223" t="n">
        <v>12</v>
      </c>
      <c r="P1223" s="35" t="inlineStr">
        <is>
          <t>差:-52.25元 (-81.3%) 来源:售楼处</t>
        </is>
      </c>
      <c r="Q1223" s="35" t="n"/>
      <c r="R1223" s="35" t="n"/>
    </row>
    <row r="1224" outlineLevel="1" customFormat="1" s="39">
      <c r="A1224" s="36" t="n"/>
      <c r="B1224" s="27" t="inlineStr">
        <is>
          <t>天花工程</t>
        </is>
      </c>
      <c r="C1224" s="27" t="n"/>
      <c r="D1224" s="27" t="n"/>
      <c r="E1224" s="27" t="n"/>
      <c r="F1224" s="28" t="n"/>
      <c r="G1224" s="61" t="n"/>
      <c r="H1224" s="62" t="n"/>
      <c r="I1224" s="65" t="n"/>
      <c r="J1224" s="62" t="n"/>
      <c r="K1224" s="63" t="n"/>
      <c r="L1224" s="33" t="n"/>
      <c r="M1224" s="64" t="n"/>
      <c r="P1224" s="35" t="n"/>
      <c r="Q1224" s="35" t="n"/>
      <c r="R1224" s="35" t="n"/>
    </row>
    <row r="1225" outlineLevel="2" ht="192" customFormat="1" customHeight="1" s="39">
      <c r="A1225" s="37">
        <f>1+N(A1224)</f>
        <v/>
      </c>
      <c r="B1225" s="27" t="inlineStr">
        <is>
          <t>石膏板吊顶</t>
        </is>
      </c>
      <c r="C1225" s="27" t="inlineStr">
        <is>
          <t>1.60系列轻钢主龙骨@900，60系列轻钢副龙骨@400，60系列横撑龙骨@600，08螺纹吊杆@900不上人天花吊顶（投影面计算）
2.玻镁板、双层9.5厚石膏板基层，含开孔、检修口、10*10凹槽等费用；
3.含除灯槽外的侧面高差及其连接件、吊件；
4.包含完成该项内容所有工作及费用并满足设计图纸、规范等要求；</t>
        </is>
      </c>
      <c r="D1225" s="27" t="inlineStr">
        <is>
          <t>1.基层清理。
2.弹线定位、排版。
3.吊杆及连接件安装调平、收口及密封处理。
4.材料切割处理找平、石膏板安装及调整，打胶密封与清理.
5.收口及其他处理：检修口等制作安装、收边收口、配合预留安装、机电等专业孔洞及孔洞收口处理。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1225" s="27" t="inlineStr">
        <is>
          <t>按设计图示尺寸以水平投影面积计算。不扣除间壁墙、检查口、附墙烟囱、柱垛和管道所占面积,扣除单个&gt;0.3m3的孔洞、非密拼吊顶空隙所占的面积、独立柱及与天棚相连的窗帘盒所占的面积。</t>
        </is>
      </c>
      <c r="F1225" s="28" t="inlineStr">
        <is>
          <t>m2</t>
        </is>
      </c>
      <c r="G1225" s="61" t="n">
        <v>21.32</v>
      </c>
      <c r="H1225" s="62" t="n">
        <v>150.712222222222</v>
      </c>
      <c r="I1225" s="65" t="n"/>
      <c r="J1225" s="62">
        <f>H1225*(1-$I$4)</f>
        <v/>
      </c>
      <c r="K1225" s="63">
        <f>G1225*J1225</f>
        <v/>
      </c>
      <c r="L1225" s="33" t="inlineStr">
        <is>
          <t>/</t>
        </is>
      </c>
      <c r="M1225" s="64" t="n"/>
      <c r="O1225" t="n">
        <v>70</v>
      </c>
      <c r="P1225" s="35" t="inlineStr">
        <is>
          <t>差:-80.71元 (-53.6%) 来源:会所合并</t>
        </is>
      </c>
      <c r="Q1225" s="35" t="n"/>
      <c r="R1225" s="35" t="n"/>
    </row>
    <row r="1226" outlineLevel="2" ht="72" customFormat="1" customHeight="1" s="39">
      <c r="A1226" s="37">
        <f>1+N(A1225)</f>
        <v/>
      </c>
      <c r="B1226" s="27" t="inlineStr">
        <is>
          <t>灯槽（100mm*200mm）</t>
        </is>
      </c>
      <c r="C1226" s="27" t="inlineStr">
        <is>
          <t>1.灯槽（100mm*200mm）；
2.双层板：9mm玻镁板、9.5厚石膏板；
3.包含完成该项内容所有工作及费用并满足设计图纸、规范等要求；</t>
        </is>
      </c>
      <c r="D1226" s="27" t="inlineStr">
        <is>
          <t>自现有现场条件下按照合同约定范围、图纸（含设计变更）及甲方要求内容以及规范、标准、相关做法等要求完成并达到总包合同全部目标的全部工作内容。</t>
        </is>
      </c>
      <c r="E1226" s="27" t="inlineStr">
        <is>
          <t>依据经承包人确认的施工部位,按设计图示尺寸以延长米计算。</t>
        </is>
      </c>
      <c r="F1226" s="28" t="inlineStr">
        <is>
          <t>m</t>
        </is>
      </c>
      <c r="G1226" s="61" t="n">
        <v>13.35</v>
      </c>
      <c r="H1226" s="62" t="n">
        <v>112.159</v>
      </c>
      <c r="I1226" s="65" t="n"/>
      <c r="J1226" s="62">
        <f>H1226*(1-$I$4)</f>
        <v/>
      </c>
      <c r="K1226" s="63">
        <f>G1226*J1226</f>
        <v/>
      </c>
      <c r="L1226" s="33" t="inlineStr">
        <is>
          <t>/</t>
        </is>
      </c>
      <c r="M1226" s="64" t="n"/>
      <c r="O1226" t="n">
        <v>50</v>
      </c>
      <c r="P1226" s="35" t="inlineStr">
        <is>
          <t>差:-62.16元 (-55.4%) 来源:售楼处</t>
        </is>
      </c>
      <c r="Q1226" s="35" t="n"/>
      <c r="R1226" s="35" t="n"/>
    </row>
    <row r="1227" outlineLevel="2" ht="72" customFormat="1" customHeight="1" s="39">
      <c r="A1227" s="37">
        <f>1+N(A1226)</f>
        <v/>
      </c>
      <c r="B1227" s="27" t="inlineStr">
        <is>
          <t>成品石膏线条</t>
        </is>
      </c>
      <c r="C1227" s="27" t="inlineStr">
        <is>
          <t>1.成品石膏线条（50mm*50mm）；
2.按图纸造型；
3.包含完成该项内容所有工作及费用并满足设计图纸、规范等要求；</t>
        </is>
      </c>
      <c r="D1227" s="27" t="inlineStr">
        <is>
          <t>自现有现场条件下按照合同约定范围、图纸（含设计变更）及甲方要求内容以及规范、标准、相关做法等要求完成并达到总包合同全部目标的全部工作内容。</t>
        </is>
      </c>
      <c r="E1227" s="27" t="inlineStr">
        <is>
          <t>依据经承包人确认的施工部位,按设计图示尺寸以延长米计算。</t>
        </is>
      </c>
      <c r="F1227" s="28" t="inlineStr">
        <is>
          <t>m</t>
        </is>
      </c>
      <c r="G1227" s="61" t="n">
        <v>13.35</v>
      </c>
      <c r="H1227" s="62" t="n">
        <v>20.06</v>
      </c>
      <c r="I1227" s="65" t="n"/>
      <c r="J1227" s="62">
        <f>H1227*(1-$I$4)</f>
        <v/>
      </c>
      <c r="K1227" s="63">
        <f>G1227*J1227</f>
        <v/>
      </c>
      <c r="L1227" s="33" t="inlineStr">
        <is>
          <t>成品石膏线条</t>
        </is>
      </c>
      <c r="M1227" s="64" t="n"/>
      <c r="O1227" t="n">
        <v>18</v>
      </c>
      <c r="P1227" s="35" t="inlineStr">
        <is>
          <t>差:-2.06元 (-10.3%) 来源:售楼处</t>
        </is>
      </c>
      <c r="Q1227" s="35" t="n"/>
      <c r="R1227" s="35" t="n"/>
    </row>
    <row r="1228" outlineLevel="2" ht="72" customFormat="1" customHeight="1" s="39">
      <c r="A1228" s="37">
        <f>1+N(A1227)</f>
        <v/>
      </c>
      <c r="B1228" s="27" t="inlineStr">
        <is>
          <t>条形空调风口（150mm）</t>
        </is>
      </c>
      <c r="C1228" s="27" t="inlineStr">
        <is>
          <t>1.条形空调风口（150mm）；
2.风口周边阻燃板封边加固处理；
3.包含完成该项内容所有工作及费用并满足设计图纸、规范等要求；</t>
        </is>
      </c>
      <c r="D1228" s="27" t="inlineStr">
        <is>
          <t>自现有现场条件下按照合同约定范围、图纸（含设计变更）及甲方要求内容以及规范、标准、相关做法等要求完成并达到总包合同全部目标的全部工作内容。</t>
        </is>
      </c>
      <c r="E1228" s="27" t="inlineStr">
        <is>
          <t>依据经承包人确认的施工部位,按设计图示尺寸以延长米计算。</t>
        </is>
      </c>
      <c r="F1228" s="28" t="inlineStr">
        <is>
          <t>m</t>
        </is>
      </c>
      <c r="G1228" s="61" t="n">
        <v>7.6</v>
      </c>
      <c r="H1228" s="62" t="n">
        <v>109.74</v>
      </c>
      <c r="I1228" s="65" t="n"/>
      <c r="J1228" s="62">
        <f>H1228*(1-$I$4)</f>
        <v/>
      </c>
      <c r="K1228" s="63">
        <f>G1228*J1228</f>
        <v/>
      </c>
      <c r="L1228" s="33" t="inlineStr">
        <is>
          <t>空调风口</t>
        </is>
      </c>
      <c r="M1228" s="64" t="n"/>
      <c r="O1228" t="n">
        <v>30</v>
      </c>
      <c r="P1228" s="35" t="inlineStr">
        <is>
          <t>差:-79.74元 (-72.7%) 来源:售楼处</t>
        </is>
      </c>
      <c r="Q1228" s="35" t="n"/>
      <c r="R1228" s="35" t="n"/>
    </row>
    <row r="1229" outlineLevel="2" ht="192" customFormat="1" customHeight="1" s="39">
      <c r="A1229" s="37">
        <f>1+N(A1228)</f>
        <v/>
      </c>
      <c r="B1229" s="27" t="inlineStr">
        <is>
          <t>天花肌理无机涂料PT-01</t>
        </is>
      </c>
      <c r="C1229" s="27" t="inlineStr">
        <is>
          <t>1.天花肌理无机涂料PT-01；
2.刮腻子二遍磨平；
3.底漆1遍，面漆2遍；
4.包含完成该项内容所有工作及费用并满足设计图纸、规范等要求；</t>
        </is>
      </c>
      <c r="D1229" s="27" t="inlineStr">
        <is>
          <t>包括但不限于材料计划、采购、卸车倒运、保管、检验试验费、测量放线，包含四周阴角找平直、含天棚四周阴角找平直，打磨，简易脚手架搭拆及操作平台、升降机，基层清理、打磨平整、底层找补、满刮涂料（含阴阳角塑料条）、涂料打磨、补遗处理、配合其他分包施工、完工后场清、成品保护、保修等直到达到竣工交付标准的全部工作内容。包括所有为完成工作所需的小型机具；包括所有为完成工作所需的附属工作；包括但不限于以上内容。</t>
        </is>
      </c>
      <c r="E1229" s="27" t="inlineStr">
        <is>
          <t>执行《GB/T50854-2024房屋建筑与装饰工程工程量计算标准》，按设计图示尺寸以面积计算。扣除0.3平方米以上洞口的面积；梁侧面及檐口天棚并入天棚计算；以设计图纸和技术交底为基础</t>
        </is>
      </c>
      <c r="F1229" s="28" t="inlineStr">
        <is>
          <t>m2</t>
        </is>
      </c>
      <c r="G1229" s="61" t="n">
        <v>25.9</v>
      </c>
      <c r="H1229" s="62" t="n">
        <v>48.38</v>
      </c>
      <c r="I1229" s="65" t="n"/>
      <c r="J1229" s="62">
        <f>H1229*(1-$I$4)</f>
        <v/>
      </c>
      <c r="K1229" s="63">
        <f>G1229*J1229</f>
        <v/>
      </c>
      <c r="L1229" s="33" t="inlineStr">
        <is>
          <t>涂料</t>
        </is>
      </c>
      <c r="M1229" s="64" t="n"/>
      <c r="O1229" t="n">
        <v>45</v>
      </c>
      <c r="P1229" s="35" t="inlineStr">
        <is>
          <t>差:-3.38元 (-7.0%) 来源:售楼处</t>
        </is>
      </c>
      <c r="Q1229" s="35" t="n"/>
      <c r="R1229" s="35" t="n"/>
    </row>
    <row r="1230" outlineLevel="1" customFormat="1" s="39">
      <c r="A1230" s="36" t="n"/>
      <c r="B1230" s="27" t="inlineStr">
        <is>
          <t>门窗、家具工程</t>
        </is>
      </c>
      <c r="C1230" s="27" t="n"/>
      <c r="D1230" s="27" t="n"/>
      <c r="E1230" s="27" t="n"/>
      <c r="F1230" s="28" t="n"/>
      <c r="G1230" s="61" t="n"/>
      <c r="H1230" s="62" t="n"/>
      <c r="I1230" s="65" t="n"/>
      <c r="J1230" s="62" t="n"/>
      <c r="K1230" s="63" t="n"/>
      <c r="L1230" s="33" t="n"/>
      <c r="M1230" s="64" t="n"/>
      <c r="P1230" s="35" t="n"/>
      <c r="Q1230" s="35" t="n"/>
      <c r="R1230" s="35" t="n"/>
    </row>
    <row r="1231" outlineLevel="1" customFormat="1" s="39">
      <c r="A1231" s="26" t="inlineStr">
        <is>
          <t>三</t>
        </is>
      </c>
      <c r="B1231" s="27" t="inlineStr">
        <is>
          <t>三单元合用前室</t>
        </is>
      </c>
      <c r="C1231" s="27" t="n"/>
      <c r="D1231" s="27" t="n"/>
      <c r="E1231" s="27" t="n"/>
      <c r="F1231" s="28" t="n"/>
      <c r="G1231" s="61" t="n"/>
      <c r="H1231" s="62" t="n"/>
      <c r="I1231" s="65" t="n"/>
      <c r="J1231" s="62" t="n"/>
      <c r="K1231" s="63" t="n"/>
      <c r="L1231" s="33" t="n"/>
      <c r="M1231" s="64" t="n"/>
      <c r="P1231" s="35" t="n"/>
      <c r="Q1231" s="35" t="n"/>
      <c r="R1231" s="35" t="n"/>
    </row>
    <row r="1232" outlineLevel="1" customFormat="1" s="39">
      <c r="A1232" s="36" t="n"/>
      <c r="B1232" s="27" t="inlineStr">
        <is>
          <t>地面工程</t>
        </is>
      </c>
      <c r="C1232" s="27" t="n"/>
      <c r="D1232" s="27" t="n"/>
      <c r="E1232" s="27" t="n"/>
      <c r="F1232" s="28" t="n"/>
      <c r="G1232" s="61" t="n"/>
      <c r="H1232" s="62" t="n"/>
      <c r="I1232" s="65" t="n"/>
      <c r="J1232" s="62" t="n"/>
      <c r="K1232" s="63" t="n"/>
      <c r="L1232" s="33" t="n"/>
      <c r="M1232" s="64" t="n"/>
      <c r="P1232" s="35" t="n"/>
      <c r="Q1232" s="35" t="n"/>
      <c r="R1232" s="35" t="n"/>
    </row>
    <row r="1233" outlineLevel="2" ht="108" customFormat="1" customHeight="1" s="39">
      <c r="A1233" s="37">
        <f>1+N(A1232)</f>
        <v/>
      </c>
      <c r="B1233" s="27" t="inlineStr">
        <is>
          <t>地面铺贴大理石ST-01</t>
        </is>
      </c>
      <c r="C1233" s="27" t="inlineStr">
        <is>
          <t>1.地面20mm大理石ST-01、铺贴、厚度及样式按物料书为准；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1233"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233" s="27" t="inlineStr">
        <is>
          <t xml:space="preserve">执行《GB/T50854-2024房屋建筑与装饰工程工程量计算标准》，按设计图示尺寸
以面积计算。 </t>
        </is>
      </c>
      <c r="F1233" s="28" t="inlineStr">
        <is>
          <t>m2</t>
        </is>
      </c>
      <c r="G1233" s="61" t="n">
        <v>11.96</v>
      </c>
      <c r="H1233" s="62" t="n">
        <v>218.75017</v>
      </c>
      <c r="I1233" s="65" t="n"/>
      <c r="J1233" s="62">
        <f>H1233*(1-$I$4)</f>
        <v/>
      </c>
      <c r="K1233" s="63">
        <f>G1233*J1233</f>
        <v/>
      </c>
      <c r="L1233" s="33" t="inlineStr">
        <is>
          <t>石材</t>
        </is>
      </c>
      <c r="M1233" s="64" t="n"/>
      <c r="O1233" t="n">
        <v>130</v>
      </c>
      <c r="P1233" s="35" t="inlineStr">
        <is>
          <t>差:-88.75元 (-40.6%) 来源:售楼处</t>
        </is>
      </c>
      <c r="Q1233" s="35" t="n"/>
      <c r="R1233" s="35" t="n"/>
    </row>
    <row r="1234" outlineLevel="2" ht="108" customFormat="1" customHeight="1" s="39">
      <c r="A1234" s="37">
        <f>1+N(A1233)</f>
        <v/>
      </c>
      <c r="B1234" s="27" t="inlineStr">
        <is>
          <t>地面铺贴大理石ST-01.02拼花</t>
        </is>
      </c>
      <c r="C1234" s="27" t="inlineStr">
        <is>
          <t>1.地面20mm大理石拼花、参考3F-DF-01样式、ST-01、ST-02按物料书为准；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1234"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234" s="27" t="inlineStr">
        <is>
          <t xml:space="preserve">执行《GB/T50854-2024房屋建筑与装饰工程工程量计算标准》，按设计图示尺寸
以面积计算。 </t>
        </is>
      </c>
      <c r="F1234" s="28" t="inlineStr">
        <is>
          <t>m2</t>
        </is>
      </c>
      <c r="G1234" s="61" t="n">
        <v>14.84</v>
      </c>
      <c r="H1234" s="62" t="n">
        <v>242.35017</v>
      </c>
      <c r="I1234" s="65" t="n"/>
      <c r="J1234" s="62">
        <f>H1234*(1-$I$4)</f>
        <v/>
      </c>
      <c r="K1234" s="63">
        <f>G1234*J1234</f>
        <v/>
      </c>
      <c r="L1234" s="33" t="inlineStr">
        <is>
          <t>石材</t>
        </is>
      </c>
      <c r="M1234" s="64" t="n"/>
      <c r="O1234" t="n">
        <v>130</v>
      </c>
      <c r="P1234" s="35" t="inlineStr">
        <is>
          <t>差:-112.35元 (-46.4%) 来源:售楼处</t>
        </is>
      </c>
      <c r="Q1234" s="35" t="n"/>
      <c r="R1234" s="35" t="n"/>
    </row>
    <row r="1235" outlineLevel="2" ht="108" customFormat="1" customHeight="1" s="39">
      <c r="A1235" s="37">
        <f>1+N(A1234)</f>
        <v/>
      </c>
      <c r="B1235" s="27" t="inlineStr">
        <is>
          <t>实心铜条5mm宽</t>
        </is>
      </c>
      <c r="C1235" s="27" t="inlineStr">
        <is>
          <t>1.实心铜条5mm宽；
2.包含完成该项内容所有工作及费用并满足设计图纸、规范等要求；</t>
        </is>
      </c>
      <c r="D1235"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235" s="27" t="inlineStr">
        <is>
          <t>按设计图示尺寸以长度计算。</t>
        </is>
      </c>
      <c r="F1235" s="28" t="inlineStr">
        <is>
          <t>m</t>
        </is>
      </c>
      <c r="G1235" s="61" t="n">
        <v>15.97</v>
      </c>
      <c r="H1235" s="62" t="n">
        <v>89.267</v>
      </c>
      <c r="I1235" s="65" t="n"/>
      <c r="J1235" s="62">
        <f>H1235*(1-$I$4)</f>
        <v/>
      </c>
      <c r="K1235" s="63">
        <f>G1235*J1235</f>
        <v/>
      </c>
      <c r="L1235" s="33" t="inlineStr">
        <is>
          <t>/</t>
        </is>
      </c>
      <c r="M1235" s="64" t="n"/>
      <c r="O1235" t="n">
        <v>12</v>
      </c>
      <c r="P1235" s="35" t="inlineStr">
        <is>
          <t>差:-77.27元 (-86.6%) 来源:售楼处</t>
        </is>
      </c>
      <c r="Q1235" s="35" t="n"/>
      <c r="R1235" s="35" t="n"/>
    </row>
    <row r="1236" outlineLevel="2" ht="108" customFormat="1" customHeight="1" s="39">
      <c r="A1236" s="37">
        <f>1+N(A1235)</f>
        <v/>
      </c>
      <c r="B1236" s="27" t="inlineStr">
        <is>
          <t>地面石材晶面处理</t>
        </is>
      </c>
      <c r="C1236" s="27" t="inlineStr">
        <is>
          <t>1.石材结晶处理(结晶水及石材保养剂,中性清洁剂)；
2.包含完成该项内容所有工作及费用并满足设计图纸、规范等要求；</t>
        </is>
      </c>
      <c r="D1236"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236" s="27" t="inlineStr">
        <is>
          <t xml:space="preserve">执行《GB/T50854-2024房屋建筑与装饰工程工程量计算标准》，按设计图示尺寸
以面积计算。 </t>
        </is>
      </c>
      <c r="F1236" s="28" t="inlineStr">
        <is>
          <t>m2</t>
        </is>
      </c>
      <c r="G1236" s="61" t="n">
        <v>26.8</v>
      </c>
      <c r="H1236" s="62" t="n">
        <v>64.90000000000001</v>
      </c>
      <c r="I1236" s="65" t="n"/>
      <c r="J1236" s="62">
        <f>H1236*(1-$I$4)</f>
        <v/>
      </c>
      <c r="K1236" s="63">
        <f>G1236*J1236</f>
        <v/>
      </c>
      <c r="L1236" s="33" t="inlineStr">
        <is>
          <t>/</t>
        </is>
      </c>
      <c r="M1236" s="64" t="n"/>
      <c r="O1236" t="n">
        <v>40</v>
      </c>
      <c r="P1236" s="35" t="inlineStr">
        <is>
          <t>差:-24.90元 (-38.4%) 来源:售楼处</t>
        </is>
      </c>
      <c r="Q1236" s="35" t="n"/>
      <c r="R1236" s="35" t="n"/>
    </row>
    <row r="1237" outlineLevel="1" customFormat="1" s="39">
      <c r="A1237" s="36" t="n"/>
      <c r="B1237" s="27" t="inlineStr">
        <is>
          <t>墙面工程</t>
        </is>
      </c>
      <c r="C1237" s="27" t="n"/>
      <c r="D1237" s="27" t="n"/>
      <c r="E1237" s="27" t="n"/>
      <c r="F1237" s="28" t="n"/>
      <c r="G1237" s="61" t="n"/>
      <c r="H1237" s="62" t="n"/>
      <c r="I1237" s="65" t="n"/>
      <c r="J1237" s="62" t="n"/>
      <c r="K1237" s="63" t="n"/>
      <c r="L1237" s="33" t="n"/>
      <c r="M1237" s="64" t="n"/>
      <c r="P1237" s="35" t="n"/>
      <c r="Q1237" s="35" t="n"/>
      <c r="R1237" s="35" t="n"/>
    </row>
    <row r="1238" outlineLevel="2" ht="144" customFormat="1" customHeight="1" s="39">
      <c r="A1238" s="37">
        <f>1+N(A1237)</f>
        <v/>
      </c>
      <c r="B1238" s="27" t="inlineStr">
        <is>
          <t>墙面湿贴石材ST-05</t>
        </is>
      </c>
      <c r="C1238" s="27" t="inlineStr">
        <is>
          <t>1、墙面湿贴石材ST-05
2、8mm厚石材专用胶粘剂WC粘结层
3、界面剂拉毛处理
4、石材的开槽、磨边、倒角、粘接、形成所需之凹坑、抛光、六面防污防渗等一切处理费用均在主材费中考虑，不再另行计取
5、包含完成该项内容所有工作及费用并满足设计图纸、规范等要求</t>
        </is>
      </c>
      <c r="D1238" s="27" t="inlineStr">
        <is>
          <t>具体工作内容除详见项目特征外，且不限于以下内容:1.包含材料的下车、场内运输；2.清理基层、找标高、弹线定位；3.试拼试排；4.砂浆拌和、铺找平层（粘结层）砂浆；5.面层铺设、灌缝、擦缝；6.打蜡、养护；配合留设墙面开关、插座等末端设备等全部内容；包含成品保护、安全文明施工等达到验收合格的全部施工内容。</t>
        </is>
      </c>
      <c r="E1238" s="27" t="inlineStr">
        <is>
          <t>执行《GB/T50854-2024房屋建筑与装饰工程工程量计算标准》，按设计图示镶贴后外围面积计算</t>
        </is>
      </c>
      <c r="F1238" s="28" t="inlineStr">
        <is>
          <t>m2</t>
        </is>
      </c>
      <c r="G1238" s="61" t="n">
        <v>5.32</v>
      </c>
      <c r="H1238" s="62" t="n">
        <v>177</v>
      </c>
      <c r="I1238" s="65" t="n"/>
      <c r="J1238" s="62">
        <f>H1238*(1-$I$4)</f>
        <v/>
      </c>
      <c r="K1238" s="63">
        <f>G1238*J1238</f>
        <v/>
      </c>
      <c r="L1238" s="33" t="inlineStr">
        <is>
          <t>石材</t>
        </is>
      </c>
      <c r="M1238" s="64" t="n"/>
      <c r="O1238" t="n">
        <v>95</v>
      </c>
      <c r="P1238" s="35" t="inlineStr">
        <is>
          <t>差:-82.00元 (-46.3%) 来源:售楼处</t>
        </is>
      </c>
      <c r="Q1238" s="35" t="n"/>
      <c r="R1238" s="35" t="n"/>
    </row>
    <row r="1239" outlineLevel="2" ht="180" customFormat="1" customHeight="1" s="39">
      <c r="A1239" s="37">
        <f>1+N(A1238)</f>
        <v/>
      </c>
      <c r="B1239" s="27" t="inlineStr">
        <is>
          <t>墙面干挂ST-05石材</t>
        </is>
      </c>
      <c r="C1239" s="27" t="inlineStr">
        <is>
          <t>1、墙面干挂ST-05石材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is>
      </c>
      <c r="D1239"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239" s="27" t="inlineStr">
        <is>
          <t>执行《GB/T50854-2024房屋建筑与装饰工程工程量计算标准》，按设计图示镶贴后外围面积计算</t>
        </is>
      </c>
      <c r="F1239" s="28" t="inlineStr">
        <is>
          <t>m2</t>
        </is>
      </c>
      <c r="G1239" s="61" t="n">
        <v>22.28</v>
      </c>
      <c r="H1239" s="62" t="n">
        <v>318.6</v>
      </c>
      <c r="I1239" s="65" t="n"/>
      <c r="J1239" s="62">
        <f>H1239*(1-$I$4)</f>
        <v/>
      </c>
      <c r="K1239" s="63">
        <f>G1239*J1239</f>
        <v/>
      </c>
      <c r="L1239" s="33" t="inlineStr">
        <is>
          <t>石材</t>
        </is>
      </c>
      <c r="M1239" s="64" t="n"/>
      <c r="O1239" t="n">
        <v>145</v>
      </c>
      <c r="P1239" s="35" t="inlineStr">
        <is>
          <t>差:-173.60元 (-54.5%) 来源:售楼处</t>
        </is>
      </c>
      <c r="Q1239" s="35" t="n"/>
      <c r="R1239" s="35" t="n"/>
    </row>
    <row r="1240" outlineLevel="2" ht="180" customFormat="1" customHeight="1" s="39">
      <c r="A1240" s="37">
        <f>1+N(A1239)</f>
        <v/>
      </c>
      <c r="B1240" s="27" t="inlineStr">
        <is>
          <t>WD-07摩素板</t>
        </is>
      </c>
      <c r="C1240" s="27" t="inlineStr">
        <is>
          <t>1、墙面WD-08摩素板(结构胶固定)
2、12厘玻镁板基层
3、膨胀螺栓、轻钢龙骨(钢结构)基层找平
4、包含完成该项内容所有工作及费用并满足设计图纸、规范等要求</t>
        </is>
      </c>
      <c r="D1240"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240" s="27" t="inlineStr">
        <is>
          <t>执行《GB/T50854-2024房屋建筑与装饰工程工程量计算标准》，按设计图示饰面外围尺寸
以面积计算。 扣除门窗洞口面积，不扣除单个面积≤0.3㎡的孔洞所占面积。</t>
        </is>
      </c>
      <c r="F1240" s="28" t="inlineStr">
        <is>
          <t>m2</t>
        </is>
      </c>
      <c r="G1240" s="61" t="n">
        <v>4.93</v>
      </c>
      <c r="H1240" s="62" t="n">
        <v>186.44</v>
      </c>
      <c r="I1240" s="65" t="n"/>
      <c r="J1240" s="62">
        <f>H1240*(1-$I$4)</f>
        <v/>
      </c>
      <c r="K1240" s="63">
        <f>G1240*J1240</f>
        <v/>
      </c>
      <c r="L1240" s="33" t="inlineStr">
        <is>
          <t>摩素板</t>
        </is>
      </c>
      <c r="M1240" s="64" t="n"/>
      <c r="O1240" t="n">
        <v>35</v>
      </c>
      <c r="P1240" s="35" t="inlineStr">
        <is>
          <t>差:-151.44元 (-81.2%) 来源:会所合并</t>
        </is>
      </c>
      <c r="Q1240" s="35" t="n"/>
      <c r="R1240" s="35" t="n"/>
    </row>
    <row r="1241" outlineLevel="2" ht="144" customFormat="1" customHeight="1" s="39">
      <c r="A1241" s="37">
        <f>1+N(A1240)</f>
        <v/>
      </c>
      <c r="B1241" s="27" t="inlineStr">
        <is>
          <t>墙面PT-01肌理无机涂料</t>
        </is>
      </c>
      <c r="C1241" s="27" t="inlineStr">
        <is>
          <t>1、墙面PT-01肌理无机涂料(底漆1遍，面漆2遍)
2、刮白胶腻子找平二遍，打磨
3、阴、阳角护角收边
4、双层9.5mm纸面石膏板
5、轻钢龙骨基层找平
6、包含完成该项内容所有工作及费用并满足设计图纸、规范等要求</t>
        </is>
      </c>
      <c r="D1241"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241" s="27" t="inlineStr">
        <is>
          <t xml:space="preserve">执行《GB/T50854-2024房屋建筑与装饰工程工程量计算标准》，按设计图示尺寸
以面积计算。 </t>
        </is>
      </c>
      <c r="F1241" s="28" t="inlineStr">
        <is>
          <t>m2</t>
        </is>
      </c>
      <c r="G1241" s="61" t="n">
        <v>29.3</v>
      </c>
      <c r="H1241" s="62" t="n">
        <v>207.68</v>
      </c>
      <c r="I1241" s="65" t="n"/>
      <c r="J1241" s="62">
        <f>H1241*(1-$I$4)</f>
        <v/>
      </c>
      <c r="K1241" s="63">
        <f>G1241*J1241</f>
        <v/>
      </c>
      <c r="L1241" s="33" t="inlineStr">
        <is>
          <t>涂料</t>
        </is>
      </c>
      <c r="M1241" s="64" t="n"/>
      <c r="O1241" t="n">
        <v>110</v>
      </c>
      <c r="P1241" s="35" t="inlineStr">
        <is>
          <t>差:-97.68元 (-47.0%) 来源:售楼处</t>
        </is>
      </c>
      <c r="Q1241" s="35" t="n"/>
      <c r="R1241" s="35" t="n"/>
    </row>
    <row r="1242" outlineLevel="2" ht="180" customFormat="1" customHeight="1" s="39">
      <c r="A1242" s="37">
        <f>1+N(A1241)</f>
        <v/>
      </c>
      <c r="B1242" s="27" t="inlineStr">
        <is>
          <t>不锈钢门套</t>
        </is>
      </c>
      <c r="C1242" s="27" t="inlineStr">
        <is>
          <t>1、1.2mm厚 MT-01古铜不锈钢门套，结构胶固定
2、9厘玻镁板基层
3、工程量以展开面积计算
4、包含完成该项内容所有工作及费用并满足设计图纸、规范等要求</t>
        </is>
      </c>
      <c r="D1242"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242" s="27" t="inlineStr">
        <is>
          <t>执行《GB/T50854-2024房屋建筑与装饰工程工程量计算标准》，按设计图示饰面外围尺寸
以面积计算。 扣除门窗洞口面积，不扣除单个面积≤0.3㎡的孔洞所占面积。</t>
        </is>
      </c>
      <c r="F1242" s="28" t="inlineStr">
        <is>
          <t>m2</t>
        </is>
      </c>
      <c r="G1242" s="61" t="n">
        <v>1.67</v>
      </c>
      <c r="H1242" s="62" t="n">
        <v>630.651</v>
      </c>
      <c r="I1242" s="65" t="n"/>
      <c r="J1242" s="62">
        <f>H1242*(1-$I$4)</f>
        <v/>
      </c>
      <c r="K1242" s="63">
        <f>G1242*J1242</f>
        <v/>
      </c>
      <c r="L1242" s="33" t="inlineStr">
        <is>
          <t>/</t>
        </is>
      </c>
      <c r="M1242" s="64" t="n"/>
      <c r="O1242" t="n">
        <v>110</v>
      </c>
      <c r="P1242" s="35" t="inlineStr">
        <is>
          <t>差:-520.65元 (-82.6%) 来源:售楼处</t>
        </is>
      </c>
      <c r="Q1242" s="35" t="n"/>
      <c r="R1242" s="35" t="n"/>
    </row>
    <row r="1243" outlineLevel="2" ht="180" customFormat="1" customHeight="1" s="39">
      <c r="A1243" s="37">
        <f>1+N(A1242)</f>
        <v/>
      </c>
      <c r="B1243" s="27" t="inlineStr">
        <is>
          <t>电梯不锈钢门套</t>
        </is>
      </c>
      <c r="C1243" s="27" t="inlineStr">
        <is>
          <t>1、1.2mm厚 MT-01古铜不锈钢门套，结构胶固定
2、9厘玻镁板基层
3、工程量以展开面积计算
4、包含完成该项内容所有工作及费用并满足设计图纸、规范等要求</t>
        </is>
      </c>
      <c r="D1243"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243" s="27" t="inlineStr">
        <is>
          <t>执行《GB/T50854-2024房屋建筑与装饰工程工程量计算标准》，按设计图示饰面外围尺寸
以面积计算。 扣除门窗洞口面积，不扣除单个面积≤0.3㎡的孔洞所占面积。</t>
        </is>
      </c>
      <c r="F1243" s="28" t="inlineStr">
        <is>
          <t>m2</t>
        </is>
      </c>
      <c r="G1243" s="61" t="n">
        <v>3.4</v>
      </c>
      <c r="H1243" s="62" t="n">
        <v>630.651</v>
      </c>
      <c r="I1243" s="65" t="n"/>
      <c r="J1243" s="62">
        <f>H1243*(1-$I$4)</f>
        <v/>
      </c>
      <c r="K1243" s="63">
        <f>G1243*J1243</f>
        <v/>
      </c>
      <c r="L1243" s="33" t="inlineStr">
        <is>
          <t>/</t>
        </is>
      </c>
      <c r="M1243" s="64" t="n"/>
      <c r="O1243" t="n">
        <v>110</v>
      </c>
      <c r="P1243" s="35" t="inlineStr">
        <is>
          <t>差:-520.65元 (-82.6%) 来源:售楼处</t>
        </is>
      </c>
      <c r="Q1243" s="35" t="n"/>
      <c r="R1243" s="35" t="n"/>
    </row>
    <row r="1244" outlineLevel="2" ht="180" customFormat="1" customHeight="1" s="39">
      <c r="A1244" s="37">
        <f>1+N(A1243)</f>
        <v/>
      </c>
      <c r="B1244" s="27" t="inlineStr">
        <is>
          <t>电梯不锈钢门头</t>
        </is>
      </c>
      <c r="C1244" s="27" t="inlineStr">
        <is>
          <t>1、1.2mm厚 MT-01古铜不锈钢门头，结构胶固定
2、12mm阻燃板，轻钢副龙骨@400
3、电梯门顶内置亚克力，内部面层刮白处理
4、工程量以展开面积计算
5、包含完成该项内容所有工作及费用并满足设计图纸、规范等要求</t>
        </is>
      </c>
      <c r="D1244"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244" s="27" t="inlineStr">
        <is>
          <t>执行《GB/T50854-2024房屋建筑与装饰工程工程量计算标准》，按设计图示饰面外围尺寸
以面积计算。 扣除门窗洞口面积，不扣除单个面积≤0.3㎡的孔洞所占面积。</t>
        </is>
      </c>
      <c r="F1244" s="28" t="inlineStr">
        <is>
          <t>m2</t>
        </is>
      </c>
      <c r="G1244" s="61" t="n">
        <v>0.9</v>
      </c>
      <c r="H1244" s="62" t="n">
        <v>812.961</v>
      </c>
      <c r="I1244" s="65" t="n"/>
      <c r="J1244" s="62">
        <f>H1244*(1-$I$4)</f>
        <v/>
      </c>
      <c r="K1244" s="63">
        <f>G1244*J1244</f>
        <v/>
      </c>
      <c r="L1244" s="33" t="inlineStr">
        <is>
          <t>/</t>
        </is>
      </c>
      <c r="M1244" s="64" t="n"/>
      <c r="O1244" t="n">
        <v>110</v>
      </c>
      <c r="P1244" s="35" t="inlineStr">
        <is>
          <t>差:-702.96元 (-86.5%) 来源:售楼处</t>
        </is>
      </c>
      <c r="Q1244" s="35" t="n"/>
      <c r="R1244" s="35" t="n"/>
    </row>
    <row r="1245" outlineLevel="2" ht="180" customFormat="1" customHeight="1" s="39">
      <c r="A1245" s="37">
        <f>1+N(A1244)</f>
        <v/>
      </c>
      <c r="B1245" s="27" t="inlineStr">
        <is>
          <t>MT-01古铜不锈钢饰面（电梯按钮处）</t>
        </is>
      </c>
      <c r="C1245" s="27" t="inlineStr">
        <is>
          <t>1、1.2mm厚 MT-01古铜不锈钢饰面
2、12mm阻燃板基层，轻钢副龙骨@400
3、工程量以展开面积计算
4、包含完成该项内容所有工作及费用并满足设计图纸、规范等要求</t>
        </is>
      </c>
      <c r="D1245"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245" s="27" t="inlineStr">
        <is>
          <t>执行《GB/T50854-2024房屋建筑与装饰工程工程量计算标准》，按设计图示饰面外围尺寸
以面积计算。 扣除门窗洞口面积，不扣除单个面积≤0.3㎡的孔洞所占面积。</t>
        </is>
      </c>
      <c r="F1245" s="28" t="inlineStr">
        <is>
          <t>m2</t>
        </is>
      </c>
      <c r="G1245" s="61" t="n">
        <v>0.26</v>
      </c>
      <c r="H1245" s="62" t="n">
        <v>295</v>
      </c>
      <c r="I1245" s="65" t="n"/>
      <c r="J1245" s="62">
        <f>H1245*(1-$I$4)</f>
        <v/>
      </c>
      <c r="K1245" s="63">
        <f>G1245*J1245</f>
        <v/>
      </c>
      <c r="L1245" s="33" t="inlineStr">
        <is>
          <t>不锈钢饰面</t>
        </is>
      </c>
      <c r="M1245" s="64" t="n"/>
      <c r="O1245" t="n">
        <v>110</v>
      </c>
      <c r="P1245" s="35" t="inlineStr">
        <is>
          <t>差:-185.00元 (-62.7%) 来源:售楼处</t>
        </is>
      </c>
      <c r="Q1245" s="35" t="n"/>
      <c r="R1245" s="35" t="n"/>
    </row>
    <row r="1246" outlineLevel="2" ht="144" customFormat="1" customHeight="1" s="39">
      <c r="A1246" s="37">
        <f>1+N(A1245)</f>
        <v/>
      </c>
      <c r="B1246" s="27" t="inlineStr">
        <is>
          <t>MT-01古铜不锈钢踢脚线（高20mm）</t>
        </is>
      </c>
      <c r="C1246" s="27" t="inlineStr">
        <is>
          <t>1、1.2mm厚 MT-01古铜不锈钢踢脚线（高20mm，展开面为46mm），结构胶固定
2、9厘玻镁板基层
3、包含完成该项内容所有工作及费用并满足设计图纸、规范等要求</t>
        </is>
      </c>
      <c r="D1246"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246" s="27" t="inlineStr">
        <is>
          <t>按设计图示尺寸以长度计算。</t>
        </is>
      </c>
      <c r="F1246" s="28" t="inlineStr">
        <is>
          <t>m</t>
        </is>
      </c>
      <c r="G1246" s="61" t="n">
        <v>25.94</v>
      </c>
      <c r="H1246" s="62" t="n">
        <v>31.86</v>
      </c>
      <c r="I1246" s="65" t="n"/>
      <c r="J1246" s="62">
        <f>H1246*(1-$I$4)</f>
        <v/>
      </c>
      <c r="K1246" s="63">
        <f>G1246*J1246</f>
        <v/>
      </c>
      <c r="L1246" s="33" t="inlineStr">
        <is>
          <t>不锈钢踢脚线</t>
        </is>
      </c>
      <c r="M1246" s="64" t="n"/>
      <c r="O1246" t="n">
        <v>12</v>
      </c>
      <c r="P1246" s="35" t="inlineStr">
        <is>
          <t>差:-19.86元 (-62.3%) 来源:售楼处</t>
        </is>
      </c>
      <c r="Q1246" s="35" t="n"/>
      <c r="R1246" s="35" t="n"/>
    </row>
    <row r="1247" outlineLevel="2" ht="144" customFormat="1" customHeight="1" s="39">
      <c r="A1247" s="37">
        <f>1+N(A1246)</f>
        <v/>
      </c>
      <c r="B1247" s="27" t="inlineStr">
        <is>
          <t>MT-01古铜不锈钢线条（展开面为51mm）</t>
        </is>
      </c>
      <c r="C1247" s="27" t="inlineStr">
        <is>
          <t>1、1.2mm厚 MT-01古铜不锈钢线条（展开面为51mm），结构胶固定
2、9厘玻镁板基层
3、包含完成该项内容所有工作及费用并满足设计图纸、规范等要求</t>
        </is>
      </c>
      <c r="D1247"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247" s="27" t="inlineStr">
        <is>
          <t>按设计图示尺寸以长度计算。</t>
        </is>
      </c>
      <c r="F1247" s="28" t="inlineStr">
        <is>
          <t>m</t>
        </is>
      </c>
      <c r="G1247" s="61" t="n">
        <v>12.78</v>
      </c>
      <c r="H1247" s="62" t="n">
        <v>71.90212</v>
      </c>
      <c r="I1247" s="65" t="n"/>
      <c r="J1247" s="62">
        <f>H1247*(1-$I$4)</f>
        <v/>
      </c>
      <c r="K1247" s="63">
        <f>G1247*J1247</f>
        <v/>
      </c>
      <c r="L1247" s="33" t="inlineStr">
        <is>
          <t>/</t>
        </is>
      </c>
      <c r="M1247" s="64" t="n"/>
      <c r="O1247" t="n">
        <v>12</v>
      </c>
      <c r="P1247" s="35" t="inlineStr">
        <is>
          <t>差:-59.90元 (-83.3%) 来源:会所合并</t>
        </is>
      </c>
      <c r="Q1247" s="35" t="n"/>
      <c r="R1247" s="35" t="n"/>
    </row>
    <row r="1248" outlineLevel="2" ht="144" customFormat="1" customHeight="1" s="39">
      <c r="A1248" s="37">
        <f>1+N(A1247)</f>
        <v/>
      </c>
      <c r="B1248" s="27" t="inlineStr">
        <is>
          <t>MT-01古铜不锈钢线条（展开面为114mm）</t>
        </is>
      </c>
      <c r="C1248" s="27" t="inlineStr">
        <is>
          <t>1、1.2mm厚 MT-01古铜不锈钢线条（展开面为114mm），结构胶固定
2、9厘玻镁板基层
3、包含完成该项内容所有工作及费用并满足设计图纸、规范等要求</t>
        </is>
      </c>
      <c r="D1248"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248" s="27" t="inlineStr">
        <is>
          <t>按设计图示尺寸以长度计算。</t>
        </is>
      </c>
      <c r="F1248" s="28" t="inlineStr">
        <is>
          <t>m</t>
        </is>
      </c>
      <c r="G1248" s="61" t="n">
        <v>9.41</v>
      </c>
      <c r="H1248" s="62" t="n">
        <v>117.84424</v>
      </c>
      <c r="I1248" s="65" t="n"/>
      <c r="J1248" s="62">
        <f>H1248*(1-$I$4)</f>
        <v/>
      </c>
      <c r="K1248" s="63">
        <f>G1248*J1248</f>
        <v/>
      </c>
      <c r="L1248" s="33" t="inlineStr">
        <is>
          <t>/</t>
        </is>
      </c>
      <c r="M1248" s="64" t="n"/>
      <c r="O1248" t="n">
        <v>22</v>
      </c>
      <c r="P1248" s="35" t="inlineStr">
        <is>
          <t>差:-95.84元 (-81.3%) 来源:售楼处</t>
        </is>
      </c>
      <c r="Q1248" s="35" t="n"/>
      <c r="R1248" s="35" t="n"/>
    </row>
    <row r="1249" outlineLevel="2" ht="144" customFormat="1" customHeight="1" s="39">
      <c r="A1249" s="37">
        <f>1+N(A1248)</f>
        <v/>
      </c>
      <c r="B1249" s="27" t="inlineStr">
        <is>
          <t>MT-01古铜不锈钢顶部收口条（展开面为41mm）</t>
        </is>
      </c>
      <c r="C1249" s="27" t="inlineStr">
        <is>
          <t>1、1.2mm厚 MT-01古铜不锈钢顶部收口条（展开面为41mm），结构胶固定
2、9厘玻镁板基层
3、包含完成该项内容所有工作及费用并满足设计图纸、规范等要求</t>
        </is>
      </c>
      <c r="D1249"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249" s="27" t="inlineStr">
        <is>
          <t>按设计图示尺寸以长度计算。</t>
        </is>
      </c>
      <c r="F1249" s="28" t="inlineStr">
        <is>
          <t>m</t>
        </is>
      </c>
      <c r="G1249" s="61" t="n">
        <v>26.88</v>
      </c>
      <c r="H1249" s="62" t="n">
        <v>64.24509999999999</v>
      </c>
      <c r="I1249" s="65" t="n"/>
      <c r="J1249" s="62">
        <f>H1249*(1-$I$4)</f>
        <v/>
      </c>
      <c r="K1249" s="63">
        <f>G1249*J1249</f>
        <v/>
      </c>
      <c r="L1249" s="33" t="inlineStr">
        <is>
          <t>/</t>
        </is>
      </c>
      <c r="M1249" s="64" t="n"/>
      <c r="O1249" t="n">
        <v>12</v>
      </c>
      <c r="P1249" s="35" t="inlineStr">
        <is>
          <t>差:-52.25元 (-81.3%) 来源:售楼处</t>
        </is>
      </c>
      <c r="Q1249" s="35" t="n"/>
      <c r="R1249" s="35" t="n"/>
    </row>
    <row r="1250" outlineLevel="1" customFormat="1" s="39">
      <c r="A1250" s="36" t="n"/>
      <c r="B1250" s="27" t="inlineStr">
        <is>
          <t>天花工程</t>
        </is>
      </c>
      <c r="C1250" s="27" t="n"/>
      <c r="D1250" s="27" t="n"/>
      <c r="E1250" s="27" t="n"/>
      <c r="F1250" s="28" t="n"/>
      <c r="G1250" s="61" t="n"/>
      <c r="H1250" s="62" t="n"/>
      <c r="I1250" s="65" t="n"/>
      <c r="J1250" s="62" t="n"/>
      <c r="K1250" s="63" t="n"/>
      <c r="L1250" s="33" t="n"/>
      <c r="M1250" s="64" t="n"/>
      <c r="P1250" s="35" t="n"/>
      <c r="Q1250" s="35" t="n"/>
      <c r="R1250" s="35" t="n"/>
    </row>
    <row r="1251" outlineLevel="2" ht="192" customFormat="1" customHeight="1" s="39">
      <c r="A1251" s="37">
        <f>1+N(A1250)</f>
        <v/>
      </c>
      <c r="B1251" s="27" t="inlineStr">
        <is>
          <t>石膏板吊顶</t>
        </is>
      </c>
      <c r="C1251" s="27" t="inlineStr">
        <is>
          <t>1.60系列轻钢主龙骨@900，60系列轻钢副龙骨@400，60系列横撑龙骨@600，08螺纹吊杆@900不上人天花吊顶（投影面计算）
2.玻镁板、双层9.5厚石膏板基层，含开孔、检修口、10*10凹槽等费用；
3.含除灯槽外的侧面高差及其连接件、吊件；
4.包含完成该项内容所有工作及费用并满足设计图纸、规范等要求；</t>
        </is>
      </c>
      <c r="D1251" s="27" t="inlineStr">
        <is>
          <t>1.基层清理。
2.弹线定位、排版。
3.吊杆及连接件安装调平、收口及密封处理。
4.材料切割处理找平、石膏板安装及调整，打胶密封与清理.
5.收口及其他处理：检修口等制作安装、收边收口、配合预留安装、机电等专业孔洞及孔洞收口处理。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1251" s="27" t="inlineStr">
        <is>
          <t>按设计图示尺寸以水平投影面积计算。不扣除间壁墙、检查口、附墙烟囱、柱垛和管道所占面积,扣除单个&gt;0.3m3的孔洞、非密拼吊顶空隙所占的面积、独立柱及与天棚相连的窗帘盒所占的面积。</t>
        </is>
      </c>
      <c r="F1251" s="28" t="inlineStr">
        <is>
          <t>m2</t>
        </is>
      </c>
      <c r="G1251" s="61" t="n">
        <v>27.29</v>
      </c>
      <c r="H1251" s="62" t="n">
        <v>150.712222222222</v>
      </c>
      <c r="I1251" s="65" t="n"/>
      <c r="J1251" s="62">
        <f>H1251*(1-$I$4)</f>
        <v/>
      </c>
      <c r="K1251" s="63">
        <f>G1251*J1251</f>
        <v/>
      </c>
      <c r="L1251" s="33" t="inlineStr">
        <is>
          <t>/</t>
        </is>
      </c>
      <c r="M1251" s="64" t="n"/>
      <c r="O1251" t="n">
        <v>70</v>
      </c>
      <c r="P1251" s="35" t="inlineStr">
        <is>
          <t>差:-80.71元 (-53.6%) 来源:会所合并</t>
        </is>
      </c>
      <c r="Q1251" s="35" t="n"/>
      <c r="R1251" s="35" t="n"/>
    </row>
    <row r="1252" outlineLevel="2" ht="72" customFormat="1" customHeight="1" s="39">
      <c r="A1252" s="37">
        <f>1+N(A1251)</f>
        <v/>
      </c>
      <c r="B1252" s="27" t="inlineStr">
        <is>
          <t>灯槽（100mm*200mm）</t>
        </is>
      </c>
      <c r="C1252" s="27" t="inlineStr">
        <is>
          <t>1.灯槽（100mm*200mm）；
2.双层板：9mm玻镁板、9.5厚石膏板；
3.包含完成该项内容所有工作及费用并满足设计图纸、规范等要求；</t>
        </is>
      </c>
      <c r="D1252" s="27" t="inlineStr">
        <is>
          <t>自现有现场条件下按照合同约定范围、图纸（含设计变更）及甲方要求内容以及规范、标准、相关做法等要求完成并达到总包合同全部目标的全部工作内容。</t>
        </is>
      </c>
      <c r="E1252" s="27" t="inlineStr">
        <is>
          <t>依据经承包人确认的施工部位,按设计图示尺寸以延长米计算。</t>
        </is>
      </c>
      <c r="F1252" s="28" t="inlineStr">
        <is>
          <t>m</t>
        </is>
      </c>
      <c r="G1252" s="61" t="n">
        <v>15.99</v>
      </c>
      <c r="H1252" s="62" t="n">
        <v>112.159</v>
      </c>
      <c r="I1252" s="65" t="n"/>
      <c r="J1252" s="62">
        <f>H1252*(1-$I$4)</f>
        <v/>
      </c>
      <c r="K1252" s="63">
        <f>G1252*J1252</f>
        <v/>
      </c>
      <c r="L1252" s="33" t="inlineStr">
        <is>
          <t>/</t>
        </is>
      </c>
      <c r="M1252" s="64" t="n"/>
      <c r="O1252" t="n">
        <v>50</v>
      </c>
      <c r="P1252" s="35" t="inlineStr">
        <is>
          <t>差:-62.16元 (-55.4%) 来源:售楼处</t>
        </is>
      </c>
      <c r="Q1252" s="35" t="n"/>
      <c r="R1252" s="35" t="n"/>
    </row>
    <row r="1253" outlineLevel="2" ht="72" customFormat="1" customHeight="1" s="39">
      <c r="A1253" s="37">
        <f>1+N(A1252)</f>
        <v/>
      </c>
      <c r="B1253" s="27" t="inlineStr">
        <is>
          <t>成品石膏线条</t>
        </is>
      </c>
      <c r="C1253" s="27" t="inlineStr">
        <is>
          <t>1.成品石膏线条（50mm*50mm）；
2.按图纸造型；
3.包含完成该项内容所有工作及费用并满足设计图纸、规范等要求；</t>
        </is>
      </c>
      <c r="D1253" s="27" t="inlineStr">
        <is>
          <t>自现有现场条件下按照合同约定范围、图纸（含设计变更）及甲方要求内容以及规范、标准、相关做法等要求完成并达到总包合同全部目标的全部工作内容。</t>
        </is>
      </c>
      <c r="E1253" s="27" t="inlineStr">
        <is>
          <t>依据经承包人确认的施工部位,按设计图示尺寸以延长米计算。</t>
        </is>
      </c>
      <c r="F1253" s="28" t="inlineStr">
        <is>
          <t>m</t>
        </is>
      </c>
      <c r="G1253" s="61" t="n">
        <v>15.99</v>
      </c>
      <c r="H1253" s="62" t="n">
        <v>20.06</v>
      </c>
      <c r="I1253" s="65" t="n"/>
      <c r="J1253" s="62">
        <f>H1253*(1-$I$4)</f>
        <v/>
      </c>
      <c r="K1253" s="63">
        <f>G1253*J1253</f>
        <v/>
      </c>
      <c r="L1253" s="33" t="inlineStr">
        <is>
          <t>成品石膏线条</t>
        </is>
      </c>
      <c r="M1253" s="64" t="n"/>
      <c r="O1253" t="n">
        <v>18</v>
      </c>
      <c r="P1253" s="35" t="inlineStr">
        <is>
          <t>差:-2.06元 (-10.3%) 来源:售楼处</t>
        </is>
      </c>
      <c r="Q1253" s="35" t="n"/>
      <c r="R1253" s="35" t="n"/>
    </row>
    <row r="1254" outlineLevel="2" ht="72" customFormat="1" customHeight="1" s="39">
      <c r="A1254" s="37">
        <f>1+N(A1253)</f>
        <v/>
      </c>
      <c r="B1254" s="27" t="inlineStr">
        <is>
          <t>条形空调风口（150mm）</t>
        </is>
      </c>
      <c r="C1254" s="27" t="inlineStr">
        <is>
          <t>1.条形空调风口（150mm）；
2.风口周边阻燃板封边加固处理；
3.包含完成该项内容所有工作及费用并满足设计图纸、规范等要求；</t>
        </is>
      </c>
      <c r="D1254" s="27" t="inlineStr">
        <is>
          <t>自现有现场条件下按照合同约定范围、图纸（含设计变更）及甲方要求内容以及规范、标准、相关做法等要求完成并达到总包合同全部目标的全部工作内容。</t>
        </is>
      </c>
      <c r="E1254" s="27" t="inlineStr">
        <is>
          <t>依据经承包人确认的施工部位,按设计图示尺寸以延长米计算。</t>
        </is>
      </c>
      <c r="F1254" s="28" t="inlineStr">
        <is>
          <t>m</t>
        </is>
      </c>
      <c r="G1254" s="61" t="n">
        <v>10.24</v>
      </c>
      <c r="H1254" s="62" t="n">
        <v>109.74</v>
      </c>
      <c r="I1254" s="65" t="n"/>
      <c r="J1254" s="62">
        <f>H1254*(1-$I$4)</f>
        <v/>
      </c>
      <c r="K1254" s="63">
        <f>G1254*J1254</f>
        <v/>
      </c>
      <c r="L1254" s="33" t="inlineStr">
        <is>
          <t>空调风口</t>
        </is>
      </c>
      <c r="M1254" s="64" t="n"/>
      <c r="O1254" t="n">
        <v>30</v>
      </c>
      <c r="P1254" s="35" t="inlineStr">
        <is>
          <t>差:-79.74元 (-72.7%) 来源:售楼处</t>
        </is>
      </c>
      <c r="Q1254" s="35" t="n"/>
      <c r="R1254" s="35" t="n"/>
    </row>
    <row r="1255" outlineLevel="2" ht="192" customFormat="1" customHeight="1" s="39">
      <c r="A1255" s="37">
        <f>1+N(A1254)</f>
        <v/>
      </c>
      <c r="B1255" s="27" t="inlineStr">
        <is>
          <t>天花肌理无机涂料PT-01</t>
        </is>
      </c>
      <c r="C1255" s="27" t="inlineStr">
        <is>
          <t>1.天花肌理无机涂料PT-01；
2.刮腻子二遍磨平；
3.底漆1遍，面漆2遍；
4.包含完成该项内容所有工作及费用并满足设计图纸、规范等要求；</t>
        </is>
      </c>
      <c r="D1255" s="27" t="inlineStr">
        <is>
          <t>包括但不限于材料计划、采购、卸车倒运、保管、检验试验费、测量放线，包含四周阴角找平直、含天棚四周阴角找平直，打磨，简易脚手架搭拆及操作平台、升降机，基层清理、打磨平整、底层找补、满刮涂料（含阴阳角塑料条）、涂料打磨、补遗处理、配合其他分包施工、完工后场清、成品保护、保修等直到达到竣工交付标准的全部工作内容。包括所有为完成工作所需的小型机具；包括所有为完成工作所需的附属工作；包括但不限于以上内容。</t>
        </is>
      </c>
      <c r="E1255" s="27" t="inlineStr">
        <is>
          <t>执行《GB/T50854-2024房屋建筑与装饰工程工程量计算标准》，按设计图示尺寸以面积计算。扣除0.3平方米以上洞口的面积；梁侧面及檐口天棚并入天棚计算；以设计图纸和技术交底为基础</t>
        </is>
      </c>
      <c r="F1255" s="28" t="inlineStr">
        <is>
          <t>m2</t>
        </is>
      </c>
      <c r="G1255" s="61" t="n">
        <v>32.79</v>
      </c>
      <c r="H1255" s="62" t="n">
        <v>48.38</v>
      </c>
      <c r="I1255" s="65" t="n"/>
      <c r="J1255" s="62">
        <f>H1255*(1-$I$4)</f>
        <v/>
      </c>
      <c r="K1255" s="63">
        <f>G1255*J1255</f>
        <v/>
      </c>
      <c r="L1255" s="33" t="inlineStr">
        <is>
          <t>涂料</t>
        </is>
      </c>
      <c r="M1255" s="64" t="n"/>
      <c r="O1255" t="n">
        <v>45</v>
      </c>
      <c r="P1255" s="35" t="inlineStr">
        <is>
          <t>差:-3.38元 (-7.0%) 来源:售楼处</t>
        </is>
      </c>
      <c r="Q1255" s="35" t="n"/>
      <c r="R1255" s="35" t="n"/>
    </row>
    <row r="1256" outlineLevel="1" customFormat="1" s="39">
      <c r="A1256" s="36" t="n"/>
      <c r="B1256" s="27" t="inlineStr">
        <is>
          <t>门窗、家具工程</t>
        </is>
      </c>
      <c r="C1256" s="27" t="n"/>
      <c r="D1256" s="27" t="n"/>
      <c r="E1256" s="27" t="n"/>
      <c r="F1256" s="28" t="n"/>
      <c r="G1256" s="61" t="n"/>
      <c r="H1256" s="62" t="n"/>
      <c r="I1256" s="65" t="n"/>
      <c r="J1256" s="62" t="n"/>
      <c r="K1256" s="63" t="n"/>
      <c r="L1256" s="33" t="n"/>
      <c r="M1256" s="64" t="n"/>
      <c r="P1256" s="35" t="n"/>
      <c r="Q1256" s="35" t="n"/>
      <c r="R1256" s="35" t="n"/>
    </row>
    <row r="1257" outlineLevel="1" customFormat="1" s="39">
      <c r="A1257" s="26" t="inlineStr">
        <is>
          <t>四</t>
        </is>
      </c>
      <c r="B1257" s="27" t="inlineStr">
        <is>
          <t>四单元合用前室</t>
        </is>
      </c>
      <c r="C1257" s="27" t="n"/>
      <c r="D1257" s="27" t="n"/>
      <c r="E1257" s="27" t="n"/>
      <c r="F1257" s="28" t="n"/>
      <c r="G1257" s="61" t="n"/>
      <c r="H1257" s="62" t="n"/>
      <c r="I1257" s="65" t="n"/>
      <c r="J1257" s="62" t="n"/>
      <c r="K1257" s="63" t="n"/>
      <c r="L1257" s="33" t="n"/>
      <c r="M1257" s="64" t="n"/>
      <c r="P1257" s="35" t="n"/>
      <c r="Q1257" s="35" t="n"/>
      <c r="R1257" s="35" t="n"/>
    </row>
    <row r="1258" outlineLevel="1" customFormat="1" s="39">
      <c r="A1258" s="36" t="n"/>
      <c r="B1258" s="27" t="inlineStr">
        <is>
          <t>地面工程</t>
        </is>
      </c>
      <c r="C1258" s="27" t="n"/>
      <c r="D1258" s="27" t="n"/>
      <c r="E1258" s="27" t="n"/>
      <c r="F1258" s="28" t="n"/>
      <c r="G1258" s="61" t="n"/>
      <c r="H1258" s="62" t="n"/>
      <c r="I1258" s="65" t="n"/>
      <c r="J1258" s="62" t="n"/>
      <c r="K1258" s="63" t="n"/>
      <c r="L1258" s="33" t="n"/>
      <c r="M1258" s="64" t="n"/>
      <c r="P1258" s="35" t="n"/>
      <c r="Q1258" s="35" t="n"/>
      <c r="R1258" s="35" t="n"/>
    </row>
    <row r="1259" outlineLevel="2" ht="108" customFormat="1" customHeight="1" s="39">
      <c r="A1259" s="37">
        <f>1+N(A1258)</f>
        <v/>
      </c>
      <c r="B1259" s="27" t="inlineStr">
        <is>
          <t>地面铺贴大理石ST-01</t>
        </is>
      </c>
      <c r="C1259" s="27" t="inlineStr">
        <is>
          <t>1.地面20mm大理石ST-01、铺贴、厚度及样式按物料书为准；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1259"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259" s="27" t="inlineStr">
        <is>
          <t xml:space="preserve">执行《GB/T50854-2024房屋建筑与装饰工程工程量计算标准》，按设计图示尺寸
以面积计算。 </t>
        </is>
      </c>
      <c r="F1259" s="28" t="inlineStr">
        <is>
          <t>m2</t>
        </is>
      </c>
      <c r="G1259" s="61" t="n">
        <v>3.95</v>
      </c>
      <c r="H1259" s="62" t="n">
        <v>218.75017</v>
      </c>
      <c r="I1259" s="65" t="n"/>
      <c r="J1259" s="62">
        <f>H1259*(1-$I$4)</f>
        <v/>
      </c>
      <c r="K1259" s="63">
        <f>G1259*J1259</f>
        <v/>
      </c>
      <c r="L1259" s="33" t="inlineStr">
        <is>
          <t>石材</t>
        </is>
      </c>
      <c r="M1259" s="64" t="n"/>
      <c r="O1259" t="n">
        <v>130</v>
      </c>
      <c r="P1259" s="35" t="inlineStr">
        <is>
          <t>差:-88.75元 (-40.6%) 来源:售楼处</t>
        </is>
      </c>
      <c r="Q1259" s="35" t="n"/>
      <c r="R1259" s="35" t="n"/>
    </row>
    <row r="1260" outlineLevel="2" ht="108" customFormat="1" customHeight="1" s="39">
      <c r="A1260" s="37">
        <f>1+N(A1259)</f>
        <v/>
      </c>
      <c r="B1260" s="27" t="inlineStr">
        <is>
          <t>地面铺贴大理石ST-01.02拼花</t>
        </is>
      </c>
      <c r="C1260" s="27" t="inlineStr">
        <is>
          <t>1.地面20mm大理石拼花、参考3F-DF-01样式、ST-01、ST-02按物料书为准；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1260"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260" s="27" t="inlineStr">
        <is>
          <t xml:space="preserve">执行《GB/T50854-2024房屋建筑与装饰工程工程量计算标准》，按设计图示尺寸
以面积计算。 </t>
        </is>
      </c>
      <c r="F1260" s="28" t="inlineStr">
        <is>
          <t>m2</t>
        </is>
      </c>
      <c r="G1260" s="61" t="n">
        <v>13.03</v>
      </c>
      <c r="H1260" s="62" t="n">
        <v>242.35017</v>
      </c>
      <c r="I1260" s="65" t="n"/>
      <c r="J1260" s="62">
        <f>H1260*(1-$I$4)</f>
        <v/>
      </c>
      <c r="K1260" s="63">
        <f>G1260*J1260</f>
        <v/>
      </c>
      <c r="L1260" s="33" t="inlineStr">
        <is>
          <t>石材</t>
        </is>
      </c>
      <c r="M1260" s="64" t="n"/>
      <c r="O1260" t="n">
        <v>130</v>
      </c>
      <c r="P1260" s="35" t="inlineStr">
        <is>
          <t>差:-112.35元 (-46.4%) 来源:售楼处</t>
        </is>
      </c>
      <c r="Q1260" s="35" t="n"/>
      <c r="R1260" s="35" t="n"/>
    </row>
    <row r="1261" outlineLevel="2" ht="108" customFormat="1" customHeight="1" s="39">
      <c r="A1261" s="37">
        <f>1+N(A1260)</f>
        <v/>
      </c>
      <c r="B1261" s="27" t="inlineStr">
        <is>
          <t>实心铜条5mm宽</t>
        </is>
      </c>
      <c r="C1261" s="27" t="inlineStr">
        <is>
          <t>1.实心铜条5mm宽；
2.包含完成该项内容所有工作及费用并满足设计图纸、规范等要求；</t>
        </is>
      </c>
      <c r="D1261"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261" s="27" t="inlineStr">
        <is>
          <t>按设计图示尺寸以长度计算。</t>
        </is>
      </c>
      <c r="F1261" s="28" t="inlineStr">
        <is>
          <t>m</t>
        </is>
      </c>
      <c r="G1261" s="61" t="n">
        <v>14.57</v>
      </c>
      <c r="H1261" s="62" t="n">
        <v>89.267</v>
      </c>
      <c r="I1261" s="65" t="n"/>
      <c r="J1261" s="62">
        <f>H1261*(1-$I$4)</f>
        <v/>
      </c>
      <c r="K1261" s="63">
        <f>G1261*J1261</f>
        <v/>
      </c>
      <c r="L1261" s="33" t="inlineStr">
        <is>
          <t>/</t>
        </is>
      </c>
      <c r="M1261" s="64" t="n"/>
      <c r="O1261" t="n">
        <v>12</v>
      </c>
      <c r="P1261" s="35" t="inlineStr">
        <is>
          <t>差:-77.27元 (-86.6%) 来源:售楼处</t>
        </is>
      </c>
      <c r="Q1261" s="35" t="n"/>
      <c r="R1261" s="35" t="n"/>
    </row>
    <row r="1262" outlineLevel="2" ht="108" customFormat="1" customHeight="1" s="39">
      <c r="A1262" s="37">
        <f>1+N(A1261)</f>
        <v/>
      </c>
      <c r="B1262" s="27" t="inlineStr">
        <is>
          <t>地面石材晶面处理</t>
        </is>
      </c>
      <c r="C1262" s="27" t="inlineStr">
        <is>
          <t>1.石材结晶处理(结晶水及石材保养剂,中性清洁剂)；
2.包含完成该项内容所有工作及费用并满足设计图纸、规范等要求；</t>
        </is>
      </c>
      <c r="D1262"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262" s="27" t="inlineStr">
        <is>
          <t xml:space="preserve">执行《GB/T50854-2024房屋建筑与装饰工程工程量计算标准》，按设计图示尺寸
以面积计算。 </t>
        </is>
      </c>
      <c r="F1262" s="28" t="inlineStr">
        <is>
          <t>m2</t>
        </is>
      </c>
      <c r="G1262" s="61" t="n">
        <v>16.98</v>
      </c>
      <c r="H1262" s="62" t="n">
        <v>64.90000000000001</v>
      </c>
      <c r="I1262" s="65" t="n"/>
      <c r="J1262" s="62">
        <f>H1262*(1-$I$4)</f>
        <v/>
      </c>
      <c r="K1262" s="63">
        <f>G1262*J1262</f>
        <v/>
      </c>
      <c r="L1262" s="33" t="inlineStr">
        <is>
          <t>/</t>
        </is>
      </c>
      <c r="M1262" s="64" t="n"/>
      <c r="O1262" t="n">
        <v>40</v>
      </c>
      <c r="P1262" s="35" t="inlineStr">
        <is>
          <t>差:-24.90元 (-38.4%) 来源:售楼处</t>
        </is>
      </c>
      <c r="Q1262" s="35" t="n"/>
      <c r="R1262" s="35" t="n"/>
    </row>
    <row r="1263" outlineLevel="1" customFormat="1" s="39">
      <c r="A1263" s="36" t="n"/>
      <c r="B1263" s="27" t="inlineStr">
        <is>
          <t>墙面工程</t>
        </is>
      </c>
      <c r="C1263" s="27" t="n"/>
      <c r="D1263" s="27" t="n"/>
      <c r="E1263" s="27" t="n"/>
      <c r="F1263" s="28" t="n"/>
      <c r="G1263" s="61" t="n"/>
      <c r="H1263" s="62" t="n"/>
      <c r="I1263" s="65" t="n"/>
      <c r="J1263" s="62" t="n"/>
      <c r="K1263" s="63" t="n"/>
      <c r="L1263" s="33" t="n"/>
      <c r="M1263" s="64" t="n"/>
      <c r="P1263" s="35" t="n"/>
      <c r="Q1263" s="35" t="n"/>
      <c r="R1263" s="35" t="n"/>
    </row>
    <row r="1264" outlineLevel="2" ht="144" customFormat="1" customHeight="1" s="39">
      <c r="A1264" s="37">
        <f>1+N(A1263)</f>
        <v/>
      </c>
      <c r="B1264" s="27" t="inlineStr">
        <is>
          <t>墙面湿贴石材ST-05</t>
        </is>
      </c>
      <c r="C1264" s="27" t="inlineStr">
        <is>
          <t>1、墙面湿贴石材ST-05
2、8mm厚石材专用胶粘剂WC粘结层
3、界面剂拉毛处理
4、石材的开槽、磨边、倒角、粘接、形成所需之凹坑、抛光、六面防污防渗等一切处理费用均在主材费中考虑，不再另行计取
5、包含完成该项内容所有工作及费用并满足设计图纸、规范等要求</t>
        </is>
      </c>
      <c r="D1264" s="27" t="inlineStr">
        <is>
          <t>具体工作内容除详见项目特征外，且不限于以下内容:1.包含材料的下车、场内运输；2.清理基层、找标高、弹线定位；3.试拼试排；4.砂浆拌和、铺找平层（粘结层）砂浆；5.面层铺设、灌缝、擦缝；6.打蜡、养护；配合留设墙面开关、插座等末端设备等全部内容；包含成品保护、安全文明施工等达到验收合格的全部施工内容。</t>
        </is>
      </c>
      <c r="E1264" s="27" t="inlineStr">
        <is>
          <t>执行《GB/T50854-2024房屋建筑与装饰工程工程量计算标准》，按设计图示镶贴后外围面积计算</t>
        </is>
      </c>
      <c r="F1264" s="28" t="inlineStr">
        <is>
          <t>m2</t>
        </is>
      </c>
      <c r="G1264" s="61" t="n">
        <v>5.32</v>
      </c>
      <c r="H1264" s="62" t="n">
        <v>177</v>
      </c>
      <c r="I1264" s="65" t="n"/>
      <c r="J1264" s="62">
        <f>H1264*(1-$I$4)</f>
        <v/>
      </c>
      <c r="K1264" s="63">
        <f>G1264*J1264</f>
        <v/>
      </c>
      <c r="L1264" s="33" t="inlineStr">
        <is>
          <t>石材</t>
        </is>
      </c>
      <c r="M1264" s="64" t="n"/>
      <c r="O1264" t="n">
        <v>95</v>
      </c>
      <c r="P1264" s="35" t="inlineStr">
        <is>
          <t>差:-82.00元 (-46.3%) 来源:售楼处</t>
        </is>
      </c>
      <c r="Q1264" s="35" t="n"/>
      <c r="R1264" s="35" t="n"/>
    </row>
    <row r="1265" outlineLevel="2" ht="180" customFormat="1" customHeight="1" s="39">
      <c r="A1265" s="37">
        <f>1+N(A1264)</f>
        <v/>
      </c>
      <c r="B1265" s="27" t="inlineStr">
        <is>
          <t>墙面干挂ST-05石材</t>
        </is>
      </c>
      <c r="C1265" s="27" t="inlineStr">
        <is>
          <t>1、墙面干挂ST-05石材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is>
      </c>
      <c r="D1265"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265" s="27" t="inlineStr">
        <is>
          <t>执行《GB/T50854-2024房屋建筑与装饰工程工程量计算标准》，按设计图示镶贴后外围面积计算</t>
        </is>
      </c>
      <c r="F1265" s="28" t="inlineStr">
        <is>
          <t>m2</t>
        </is>
      </c>
      <c r="G1265" s="61" t="n">
        <v>22.24</v>
      </c>
      <c r="H1265" s="62" t="n">
        <v>318.6</v>
      </c>
      <c r="I1265" s="65" t="n"/>
      <c r="J1265" s="62">
        <f>H1265*(1-$I$4)</f>
        <v/>
      </c>
      <c r="K1265" s="63">
        <f>G1265*J1265</f>
        <v/>
      </c>
      <c r="L1265" s="33" t="inlineStr">
        <is>
          <t>石材</t>
        </is>
      </c>
      <c r="M1265" s="64" t="n"/>
      <c r="O1265" t="n">
        <v>145</v>
      </c>
      <c r="P1265" s="35" t="inlineStr">
        <is>
          <t>差:-173.60元 (-54.5%) 来源:售楼处</t>
        </is>
      </c>
      <c r="Q1265" s="35" t="n"/>
      <c r="R1265" s="35" t="n"/>
    </row>
    <row r="1266" outlineLevel="2" ht="180" customFormat="1" customHeight="1" s="39">
      <c r="A1266" s="37">
        <f>1+N(A1265)</f>
        <v/>
      </c>
      <c r="B1266" s="27" t="inlineStr">
        <is>
          <t>WD-07摩素板</t>
        </is>
      </c>
      <c r="C1266" s="27" t="inlineStr">
        <is>
          <t>1、墙面WD-08摩素板(结构胶固定)
2、12厘玻镁板基层
3、膨胀螺栓、轻钢龙骨(钢结构)基层找平
4、包含完成该项内容所有工作及费用并满足设计图纸、规范等要求</t>
        </is>
      </c>
      <c r="D1266"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266" s="27" t="inlineStr">
        <is>
          <t>执行《GB/T50854-2024房屋建筑与装饰工程工程量计算标准》，按设计图示饰面外围尺寸
以面积计算。 扣除门窗洞口面积，不扣除单个面积≤0.3㎡的孔洞所占面积。</t>
        </is>
      </c>
      <c r="F1266" s="28" t="inlineStr">
        <is>
          <t>m2</t>
        </is>
      </c>
      <c r="G1266" s="61" t="n">
        <v>1.91</v>
      </c>
      <c r="H1266" s="62" t="n">
        <v>186.44</v>
      </c>
      <c r="I1266" s="65" t="n"/>
      <c r="J1266" s="62">
        <f>H1266*(1-$I$4)</f>
        <v/>
      </c>
      <c r="K1266" s="63">
        <f>G1266*J1266</f>
        <v/>
      </c>
      <c r="L1266" s="33" t="inlineStr">
        <is>
          <t>摩素板</t>
        </is>
      </c>
      <c r="M1266" s="64" t="n"/>
      <c r="O1266" t="n">
        <v>35</v>
      </c>
      <c r="P1266" s="35" t="inlineStr">
        <is>
          <t>差:-151.44元 (-81.2%) 来源:会所合并</t>
        </is>
      </c>
      <c r="Q1266" s="35" t="n"/>
      <c r="R1266" s="35" t="n"/>
    </row>
    <row r="1267" outlineLevel="2" ht="180" customFormat="1" customHeight="1" s="39">
      <c r="A1267" s="37">
        <f>1+N(A1266)</f>
        <v/>
      </c>
      <c r="B1267" s="27" t="inlineStr">
        <is>
          <t>电梯不锈钢门套</t>
        </is>
      </c>
      <c r="C1267" s="27" t="inlineStr">
        <is>
          <t>1、1.2mm厚 MT-01古铜不锈钢门套，结构胶固定
2、9厘玻镁板基层
3、工程量以展开面积计算
4、包含完成该项内容所有工作及费用并满足设计图纸、规范等要求</t>
        </is>
      </c>
      <c r="D1267"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267" s="27" t="inlineStr">
        <is>
          <t>执行《GB/T50854-2024房屋建筑与装饰工程工程量计算标准》，按设计图示饰面外围尺寸
以面积计算。 扣除门窗洞口面积，不扣除单个面积≤0.3㎡的孔洞所占面积。</t>
        </is>
      </c>
      <c r="F1267" s="28" t="inlineStr">
        <is>
          <t>m2</t>
        </is>
      </c>
      <c r="G1267" s="61" t="n">
        <v>3.4</v>
      </c>
      <c r="H1267" s="62" t="n">
        <v>630.651</v>
      </c>
      <c r="I1267" s="65" t="n"/>
      <c r="J1267" s="62">
        <f>H1267*(1-$I$4)</f>
        <v/>
      </c>
      <c r="K1267" s="63">
        <f>G1267*J1267</f>
        <v/>
      </c>
      <c r="L1267" s="33" t="inlineStr">
        <is>
          <t>/</t>
        </is>
      </c>
      <c r="M1267" s="64" t="n"/>
      <c r="O1267" t="n">
        <v>110</v>
      </c>
      <c r="P1267" s="35" t="inlineStr">
        <is>
          <t>差:-520.65元 (-82.6%) 来源:售楼处</t>
        </is>
      </c>
      <c r="Q1267" s="35" t="n"/>
      <c r="R1267" s="35" t="n"/>
    </row>
    <row r="1268" outlineLevel="2" ht="180" customFormat="1" customHeight="1" s="39">
      <c r="A1268" s="37">
        <f>1+N(A1267)</f>
        <v/>
      </c>
      <c r="B1268" s="27" t="inlineStr">
        <is>
          <t>电梯不锈钢门头</t>
        </is>
      </c>
      <c r="C1268" s="27" t="inlineStr">
        <is>
          <t>1、1.2mm厚 MT-01古铜不锈钢门头，结构胶固定
2、12mm阻燃板，轻钢副龙骨@400
3、电梯门顶内置亚克力，内部面层刮白处理
4、工程量以展开面积计算
5、包含完成该项内容所有工作及费用并满足设计图纸、规范等要求</t>
        </is>
      </c>
      <c r="D1268"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268" s="27" t="inlineStr">
        <is>
          <t>执行《GB/T50854-2024房屋建筑与装饰工程工程量计算标准》，按设计图示饰面外围尺寸
以面积计算。 扣除门窗洞口面积，不扣除单个面积≤0.3㎡的孔洞所占面积。</t>
        </is>
      </c>
      <c r="F1268" s="28" t="inlineStr">
        <is>
          <t>m2</t>
        </is>
      </c>
      <c r="G1268" s="61" t="n">
        <v>0.9</v>
      </c>
      <c r="H1268" s="62" t="n">
        <v>812.961</v>
      </c>
      <c r="I1268" s="65" t="n"/>
      <c r="J1268" s="62">
        <f>H1268*(1-$I$4)</f>
        <v/>
      </c>
      <c r="K1268" s="63">
        <f>G1268*J1268</f>
        <v/>
      </c>
      <c r="L1268" s="33" t="inlineStr">
        <is>
          <t>/</t>
        </is>
      </c>
      <c r="M1268" s="64" t="n"/>
      <c r="O1268" t="n">
        <v>110</v>
      </c>
      <c r="P1268" s="35" t="inlineStr">
        <is>
          <t>差:-702.96元 (-86.5%) 来源:售楼处</t>
        </is>
      </c>
      <c r="Q1268" s="35" t="n"/>
      <c r="R1268" s="35" t="n"/>
    </row>
    <row r="1269" outlineLevel="2" ht="180" customFormat="1" customHeight="1" s="39">
      <c r="A1269" s="37">
        <f>1+N(A1268)</f>
        <v/>
      </c>
      <c r="B1269" s="27" t="inlineStr">
        <is>
          <t>MT-01古铜不锈钢饰面（电梯按钮处）</t>
        </is>
      </c>
      <c r="C1269" s="27" t="inlineStr">
        <is>
          <t>1、1.2mm厚 MT-01古铜不锈钢饰面
2、12mm阻燃板基层，轻钢副龙骨@400
3、工程量以展开面积计算
4、包含完成该项内容所有工作及费用并满足设计图纸、规范等要求</t>
        </is>
      </c>
      <c r="D1269"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269" s="27" t="inlineStr">
        <is>
          <t>执行《GB/T50854-2024房屋建筑与装饰工程工程量计算标准》，按设计图示饰面外围尺寸
以面积计算。 扣除门窗洞口面积，不扣除单个面积≤0.3㎡的孔洞所占面积。</t>
        </is>
      </c>
      <c r="F1269" s="28" t="inlineStr">
        <is>
          <t>m2</t>
        </is>
      </c>
      <c r="G1269" s="61" t="n">
        <v>0.26</v>
      </c>
      <c r="H1269" s="62" t="n">
        <v>295</v>
      </c>
      <c r="I1269" s="65" t="n"/>
      <c r="J1269" s="62">
        <f>H1269*(1-$I$4)</f>
        <v/>
      </c>
      <c r="K1269" s="63">
        <f>G1269*J1269</f>
        <v/>
      </c>
      <c r="L1269" s="33" t="inlineStr">
        <is>
          <t>不锈钢饰面</t>
        </is>
      </c>
      <c r="M1269" s="64" t="n"/>
      <c r="O1269" t="n">
        <v>110</v>
      </c>
      <c r="P1269" s="35" t="inlineStr">
        <is>
          <t>差:-185.00元 (-62.7%) 来源:售楼处</t>
        </is>
      </c>
      <c r="Q1269" s="35" t="n"/>
      <c r="R1269" s="35" t="n"/>
    </row>
    <row r="1270" outlineLevel="2" ht="144" customFormat="1" customHeight="1" s="39">
      <c r="A1270" s="37">
        <f>1+N(A1269)</f>
        <v/>
      </c>
      <c r="B1270" s="27" t="inlineStr">
        <is>
          <t>MT-01古铜不锈钢踢脚线（高20mm）</t>
        </is>
      </c>
      <c r="C1270" s="27" t="inlineStr">
        <is>
          <t>1、1.2mm厚 MT-01古铜不锈钢踢脚线（高20mm，展开面为46mm），结构胶固定
2、9厘玻镁板基层
3、包含完成该项内容所有工作及费用并满足设计图纸、规范等要求</t>
        </is>
      </c>
      <c r="D1270"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270" s="27" t="inlineStr">
        <is>
          <t>按设计图示尺寸以长度计算。</t>
        </is>
      </c>
      <c r="F1270" s="28" t="inlineStr">
        <is>
          <t>m</t>
        </is>
      </c>
      <c r="G1270" s="61" t="n">
        <v>11.97</v>
      </c>
      <c r="H1270" s="62" t="n">
        <v>31.86</v>
      </c>
      <c r="I1270" s="65" t="n"/>
      <c r="J1270" s="62">
        <f>H1270*(1-$I$4)</f>
        <v/>
      </c>
      <c r="K1270" s="63">
        <f>G1270*J1270</f>
        <v/>
      </c>
      <c r="L1270" s="33" t="inlineStr">
        <is>
          <t>不锈钢踢脚线</t>
        </is>
      </c>
      <c r="M1270" s="64" t="n"/>
      <c r="O1270" t="n">
        <v>12</v>
      </c>
      <c r="P1270" s="35" t="inlineStr">
        <is>
          <t>差:-19.86元 (-62.3%) 来源:售楼处</t>
        </is>
      </c>
      <c r="Q1270" s="35" t="n"/>
      <c r="R1270" s="35" t="n"/>
    </row>
    <row r="1271" outlineLevel="2" ht="144" customFormat="1" customHeight="1" s="39">
      <c r="A1271" s="37">
        <f>1+N(A1270)</f>
        <v/>
      </c>
      <c r="B1271" s="27" t="inlineStr">
        <is>
          <t>MT-01古铜不锈钢线条（展开面为114mm）</t>
        </is>
      </c>
      <c r="C1271" s="27" t="inlineStr">
        <is>
          <t>1、1.2mm厚 MT-01古铜不锈钢线条（展开面为114mm），结构胶固定
2、9厘玻镁板基层
3、包含完成该项内容所有工作及费用并满足设计图纸、规范等要求</t>
        </is>
      </c>
      <c r="D1271"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271" s="27" t="inlineStr">
        <is>
          <t>按设计图示尺寸以长度计算。</t>
        </is>
      </c>
      <c r="F1271" s="28" t="inlineStr">
        <is>
          <t>m</t>
        </is>
      </c>
      <c r="G1271" s="61" t="n">
        <v>9.42</v>
      </c>
      <c r="H1271" s="62" t="n">
        <v>117.84424</v>
      </c>
      <c r="I1271" s="65" t="n"/>
      <c r="J1271" s="62">
        <f>H1271*(1-$I$4)</f>
        <v/>
      </c>
      <c r="K1271" s="63">
        <f>G1271*J1271</f>
        <v/>
      </c>
      <c r="L1271" s="33" t="inlineStr">
        <is>
          <t>/</t>
        </is>
      </c>
      <c r="M1271" s="64" t="n"/>
      <c r="O1271" t="n">
        <v>22</v>
      </c>
      <c r="P1271" s="35" t="inlineStr">
        <is>
          <t>差:-95.84元 (-81.3%) 来源:售楼处</t>
        </is>
      </c>
      <c r="Q1271" s="35" t="n"/>
      <c r="R1271" s="35" t="n"/>
    </row>
    <row r="1272" outlineLevel="2" ht="144" customFormat="1" customHeight="1" s="39">
      <c r="A1272" s="37">
        <f>1+N(A1271)</f>
        <v/>
      </c>
      <c r="B1272" s="27" t="inlineStr">
        <is>
          <t>MT-01古铜不锈钢顶部收口条（展开面为41mm）</t>
        </is>
      </c>
      <c r="C1272" s="27" t="inlineStr">
        <is>
          <t>1、1.2mm厚 MT-01古铜不锈钢顶部收口条（展开面为41mm），结构胶固定
2、9厘玻镁板基层
3、包含完成该项内容所有工作及费用并满足设计图纸、规范等要求</t>
        </is>
      </c>
      <c r="D1272"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272" s="27" t="inlineStr">
        <is>
          <t>按设计图示尺寸以长度计算。</t>
        </is>
      </c>
      <c r="F1272" s="28" t="inlineStr">
        <is>
          <t>m</t>
        </is>
      </c>
      <c r="G1272" s="61" t="n">
        <v>12.8</v>
      </c>
      <c r="H1272" s="62" t="n">
        <v>64.24509999999999</v>
      </c>
      <c r="I1272" s="65" t="n"/>
      <c r="J1272" s="62">
        <f>H1272*(1-$I$4)</f>
        <v/>
      </c>
      <c r="K1272" s="63">
        <f>G1272*J1272</f>
        <v/>
      </c>
      <c r="L1272" s="33" t="inlineStr">
        <is>
          <t>/</t>
        </is>
      </c>
      <c r="M1272" s="64" t="n"/>
      <c r="O1272" t="n">
        <v>12</v>
      </c>
      <c r="P1272" s="35" t="inlineStr">
        <is>
          <t>差:-52.25元 (-81.3%) 来源:售楼处</t>
        </is>
      </c>
      <c r="Q1272" s="35" t="n"/>
      <c r="R1272" s="35" t="n"/>
    </row>
    <row r="1273" outlineLevel="1" customFormat="1" s="39">
      <c r="A1273" s="36" t="n"/>
      <c r="B1273" s="27" t="inlineStr">
        <is>
          <t>天花工程</t>
        </is>
      </c>
      <c r="C1273" s="27" t="n"/>
      <c r="D1273" s="27" t="n"/>
      <c r="E1273" s="27" t="n"/>
      <c r="F1273" s="28" t="n"/>
      <c r="G1273" s="61" t="n"/>
      <c r="H1273" s="62" t="n"/>
      <c r="I1273" s="65" t="n"/>
      <c r="J1273" s="62" t="n"/>
      <c r="K1273" s="63" t="n"/>
      <c r="L1273" s="33" t="n"/>
      <c r="M1273" s="64" t="n"/>
      <c r="P1273" s="35" t="n"/>
      <c r="Q1273" s="35" t="n"/>
      <c r="R1273" s="35" t="n"/>
    </row>
    <row r="1274" outlineLevel="2" ht="192" customFormat="1" customHeight="1" s="39">
      <c r="A1274" s="37">
        <f>1+N(A1273)</f>
        <v/>
      </c>
      <c r="B1274" s="27" t="inlineStr">
        <is>
          <t>石膏板吊顶</t>
        </is>
      </c>
      <c r="C1274" s="27" t="inlineStr">
        <is>
          <t>1.60系列轻钢主龙骨@900，60系列轻钢副龙骨@400，60系列横撑龙骨@600，08螺纹吊杆@900不上人天花吊顶（投影面计算）
2.玻镁板、双层9.5厚石膏板基层，含开孔、检修口、10*10凹槽等费用；
3.含除灯槽外的侧面高差及其连接件、吊件；
4.包含完成该项内容所有工作及费用并满足设计图纸、规范等要求；</t>
        </is>
      </c>
      <c r="D1274" s="27" t="inlineStr">
        <is>
          <t>1.基层清理。
2.弹线定位、排版。
3.吊杆及连接件安装调平、收口及密封处理。
4.材料切割处理找平、石膏板安装及调整，打胶密封与清理.
5.收口及其他处理：检修口等制作安装、收边收口、配合预留安装、机电等专业孔洞及孔洞收口处理。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1274" s="27" t="inlineStr">
        <is>
          <t>按设计图示尺寸以水平投影面积计算。不扣除间壁墙、检查口、附墙烟囱、柱垛和管道所占面积,扣除单个&gt;0.3m3的孔洞、非密拼吊顶空隙所占的面积、独立柱及与天棚相连的窗帘盒所占的面积。</t>
        </is>
      </c>
      <c r="F1274" s="28" t="inlineStr">
        <is>
          <t>m2</t>
        </is>
      </c>
      <c r="G1274" s="61" t="n">
        <v>17.83</v>
      </c>
      <c r="H1274" s="62" t="n">
        <v>150.712222222222</v>
      </c>
      <c r="I1274" s="65" t="n"/>
      <c r="J1274" s="62">
        <f>H1274*(1-$I$4)</f>
        <v/>
      </c>
      <c r="K1274" s="63">
        <f>G1274*J1274</f>
        <v/>
      </c>
      <c r="L1274" s="33" t="inlineStr">
        <is>
          <t>/</t>
        </is>
      </c>
      <c r="M1274" s="64" t="n"/>
      <c r="O1274" t="n">
        <v>70</v>
      </c>
      <c r="P1274" s="35" t="inlineStr">
        <is>
          <t>差:-80.71元 (-53.6%) 来源:会所合并</t>
        </is>
      </c>
      <c r="Q1274" s="35" t="n"/>
      <c r="R1274" s="35" t="n"/>
    </row>
    <row r="1275" outlineLevel="2" ht="72" customFormat="1" customHeight="1" s="39">
      <c r="A1275" s="37">
        <f>1+N(A1274)</f>
        <v/>
      </c>
      <c r="B1275" s="27" t="inlineStr">
        <is>
          <t>灯槽（100mm*200mm）</t>
        </is>
      </c>
      <c r="C1275" s="27" t="inlineStr">
        <is>
          <t>1.灯槽（100mm*200mm）；
2.双层板：9mm玻镁板、9.5厚石膏板；
3.包含完成该项内容所有工作及费用并满足设计图纸、规范等要求；</t>
        </is>
      </c>
      <c r="D1275" s="27" t="inlineStr">
        <is>
          <t>自现有现场条件下按照合同约定范围、图纸（含设计变更）及甲方要求内容以及规范、标准、相关做法等要求完成并达到总包合同全部目标的全部工作内容。</t>
        </is>
      </c>
      <c r="E1275" s="27" t="inlineStr">
        <is>
          <t>依据经承包人确认的施工部位,按设计图示尺寸以延长米计算。</t>
        </is>
      </c>
      <c r="F1275" s="28" t="inlineStr">
        <is>
          <t>m</t>
        </is>
      </c>
      <c r="G1275" s="61" t="n">
        <v>14.59</v>
      </c>
      <c r="H1275" s="62" t="n">
        <v>112.159</v>
      </c>
      <c r="I1275" s="65" t="n"/>
      <c r="J1275" s="62">
        <f>H1275*(1-$I$4)</f>
        <v/>
      </c>
      <c r="K1275" s="63">
        <f>G1275*J1275</f>
        <v/>
      </c>
      <c r="L1275" s="33" t="inlineStr">
        <is>
          <t>/</t>
        </is>
      </c>
      <c r="M1275" s="64" t="n"/>
      <c r="O1275" t="n">
        <v>50</v>
      </c>
      <c r="P1275" s="35" t="inlineStr">
        <is>
          <t>差:-62.16元 (-55.4%) 来源:售楼处</t>
        </is>
      </c>
      <c r="Q1275" s="35" t="n"/>
      <c r="R1275" s="35" t="n"/>
    </row>
    <row r="1276" outlineLevel="2" ht="72" customFormat="1" customHeight="1" s="39">
      <c r="A1276" s="37">
        <f>1+N(A1275)</f>
        <v/>
      </c>
      <c r="B1276" s="27" t="inlineStr">
        <is>
          <t>成品石膏线条</t>
        </is>
      </c>
      <c r="C1276" s="27" t="inlineStr">
        <is>
          <t>1.成品石膏线条（50mm*50mm）；
2.按图纸造型；
3.包含完成该项内容所有工作及费用并满足设计图纸、规范等要求；</t>
        </is>
      </c>
      <c r="D1276" s="27" t="inlineStr">
        <is>
          <t>自现有现场条件下按照合同约定范围、图纸（含设计变更）及甲方要求内容以及规范、标准、相关做法等要求完成并达到总包合同全部目标的全部工作内容。</t>
        </is>
      </c>
      <c r="E1276" s="27" t="inlineStr">
        <is>
          <t>依据经承包人确认的施工部位,按设计图示尺寸以延长米计算。</t>
        </is>
      </c>
      <c r="F1276" s="28" t="inlineStr">
        <is>
          <t>m</t>
        </is>
      </c>
      <c r="G1276" s="61" t="n">
        <v>14.59</v>
      </c>
      <c r="H1276" s="62" t="n">
        <v>20.06</v>
      </c>
      <c r="I1276" s="65" t="n"/>
      <c r="J1276" s="62">
        <f>H1276*(1-$I$4)</f>
        <v/>
      </c>
      <c r="K1276" s="63">
        <f>G1276*J1276</f>
        <v/>
      </c>
      <c r="L1276" s="33" t="inlineStr">
        <is>
          <t>成品石膏线条</t>
        </is>
      </c>
      <c r="M1276" s="64" t="n"/>
      <c r="O1276" t="n">
        <v>18</v>
      </c>
      <c r="P1276" s="35" t="inlineStr">
        <is>
          <t>差:-2.06元 (-10.3%) 来源:售楼处</t>
        </is>
      </c>
      <c r="Q1276" s="35" t="n"/>
      <c r="R1276" s="35" t="n"/>
    </row>
    <row r="1277" outlineLevel="2" ht="72" customFormat="1" customHeight="1" s="39">
      <c r="A1277" s="37">
        <f>1+N(A1276)</f>
        <v/>
      </c>
      <c r="B1277" s="27" t="inlineStr">
        <is>
          <t>条形空调风口（150mm）</t>
        </is>
      </c>
      <c r="C1277" s="27" t="inlineStr">
        <is>
          <t>1.条形空调风口（150mm）；
2.风口周边阻燃板封边加固处理；
3.包含完成该项内容所有工作及费用并满足设计图纸、规范等要求；</t>
        </is>
      </c>
      <c r="D1277" s="27" t="inlineStr">
        <is>
          <t>自现有现场条件下按照合同约定范围、图纸（含设计变更）及甲方要求内容以及规范、标准、相关做法等要求完成并达到总包合同全部目标的全部工作内容。</t>
        </is>
      </c>
      <c r="E1277" s="27" t="inlineStr">
        <is>
          <t>依据经承包人确认的施工部位,按设计图示尺寸以延长米计算。</t>
        </is>
      </c>
      <c r="F1277" s="28" t="inlineStr">
        <is>
          <t>m</t>
        </is>
      </c>
      <c r="G1277" s="61" t="n">
        <v>8.84</v>
      </c>
      <c r="H1277" s="62" t="n">
        <v>109.74</v>
      </c>
      <c r="I1277" s="65" t="n"/>
      <c r="J1277" s="62">
        <f>H1277*(1-$I$4)</f>
        <v/>
      </c>
      <c r="K1277" s="63">
        <f>G1277*J1277</f>
        <v/>
      </c>
      <c r="L1277" s="33" t="inlineStr">
        <is>
          <t>空调风口</t>
        </is>
      </c>
      <c r="M1277" s="64" t="n"/>
      <c r="O1277" t="n">
        <v>30</v>
      </c>
      <c r="P1277" s="35" t="inlineStr">
        <is>
          <t>差:-79.74元 (-72.7%) 来源:售楼处</t>
        </is>
      </c>
      <c r="Q1277" s="35" t="n"/>
      <c r="R1277" s="35" t="n"/>
    </row>
    <row r="1278" outlineLevel="2" ht="192" customFormat="1" customHeight="1" s="39">
      <c r="A1278" s="37">
        <f>1+N(A1277)</f>
        <v/>
      </c>
      <c r="B1278" s="27" t="inlineStr">
        <is>
          <t>天花肌理无机涂料PT-01</t>
        </is>
      </c>
      <c r="C1278" s="27" t="inlineStr">
        <is>
          <t>1.天花肌理无机涂料PT-01；
2.刮腻子二遍磨平；
3.底漆1遍，面漆2遍；
4.包含完成该项内容所有工作及费用并满足设计图纸、规范等要求；</t>
        </is>
      </c>
      <c r="D1278" s="27" t="inlineStr">
        <is>
          <t>包括但不限于材料计划、采购、卸车倒运、保管、检验试验费、测量放线，包含四周阴角找平直、含天棚四周阴角找平直，打磨，简易脚手架搭拆及操作平台、升降机，基层清理、打磨平整、底层找补、满刮涂料（含阴阳角塑料条）、涂料打磨、补遗处理、配合其他分包施工、完工后场清、成品保护、保修等直到达到竣工交付标准的全部工作内容。包括所有为完成工作所需的小型机具；包括所有为完成工作所需的附属工作；包括但不限于以上内容。</t>
        </is>
      </c>
      <c r="E1278" s="27" t="inlineStr">
        <is>
          <t>执行《GB/T50854-2024房屋建筑与装饰工程工程量计算标准》，按设计图示尺寸以面积计算。扣除0.3平方米以上洞口的面积；梁侧面及檐口天棚并入天棚计算；以设计图纸和技术交底为基础</t>
        </is>
      </c>
      <c r="F1278" s="28" t="inlineStr">
        <is>
          <t>m2</t>
        </is>
      </c>
      <c r="G1278" s="61" t="n">
        <v>22.84</v>
      </c>
      <c r="H1278" s="62" t="n">
        <v>48.38</v>
      </c>
      <c r="I1278" s="65" t="n"/>
      <c r="J1278" s="62">
        <f>H1278*(1-$I$4)</f>
        <v/>
      </c>
      <c r="K1278" s="63">
        <f>G1278*J1278</f>
        <v/>
      </c>
      <c r="L1278" s="33" t="inlineStr">
        <is>
          <t>涂料</t>
        </is>
      </c>
      <c r="M1278" s="64" t="n"/>
      <c r="O1278" t="n">
        <v>45</v>
      </c>
      <c r="P1278" s="35" t="inlineStr">
        <is>
          <t>差:-3.38元 (-7.0%) 来源:售楼处</t>
        </is>
      </c>
      <c r="Q1278" s="35" t="n"/>
      <c r="R1278" s="35" t="n"/>
    </row>
    <row r="1279" outlineLevel="1" customFormat="1" s="39">
      <c r="A1279" s="36" t="n"/>
      <c r="B1279" s="27" t="inlineStr">
        <is>
          <t>门窗、家具工程</t>
        </is>
      </c>
      <c r="C1279" s="27" t="n"/>
      <c r="D1279" s="27" t="n"/>
      <c r="E1279" s="27" t="n"/>
      <c r="F1279" s="28" t="n"/>
      <c r="G1279" s="61" t="n"/>
      <c r="H1279" s="62" t="n"/>
      <c r="I1279" s="65" t="n"/>
      <c r="J1279" s="62" t="n"/>
      <c r="K1279" s="63" t="n"/>
      <c r="L1279" s="33" t="n"/>
      <c r="M1279" s="64" t="n"/>
      <c r="P1279" s="35" t="n"/>
      <c r="Q1279" s="35" t="n"/>
      <c r="R1279" s="35" t="n"/>
    </row>
    <row r="1280" customFormat="1" s="39">
      <c r="A1280" s="26" t="inlineStr">
        <is>
          <t>C</t>
        </is>
      </c>
      <c r="B1280" s="20" t="inlineStr">
        <is>
          <t>负三层</t>
        </is>
      </c>
      <c r="C1280" s="27" t="n"/>
      <c r="D1280" s="27" t="n"/>
      <c r="E1280" s="27" t="n"/>
      <c r="F1280" s="28" t="n"/>
      <c r="G1280" s="61" t="n"/>
      <c r="H1280" s="62" t="n"/>
      <c r="I1280" s="65" t="n"/>
      <c r="J1280" s="62" t="n"/>
      <c r="K1280" s="63" t="n"/>
      <c r="L1280" s="33" t="n"/>
      <c r="M1280" s="64" t="n"/>
      <c r="P1280" s="35" t="n"/>
      <c r="Q1280" s="35" t="n"/>
      <c r="R1280" s="35" t="n"/>
    </row>
    <row r="1281" outlineLevel="1" customFormat="1" s="39">
      <c r="A1281" s="26" t="inlineStr">
        <is>
          <t>一</t>
        </is>
      </c>
      <c r="B1281" s="27" t="inlineStr">
        <is>
          <t>一单元合用前室</t>
        </is>
      </c>
      <c r="C1281" s="27" t="n"/>
      <c r="D1281" s="27" t="n"/>
      <c r="E1281" s="27" t="n"/>
      <c r="F1281" s="28" t="n"/>
      <c r="G1281" s="61" t="n"/>
      <c r="H1281" s="62" t="n"/>
      <c r="I1281" s="65" t="n"/>
      <c r="J1281" s="62" t="n"/>
      <c r="K1281" s="63" t="n"/>
      <c r="L1281" s="33" t="n"/>
      <c r="M1281" s="64" t="n"/>
      <c r="P1281" s="35" t="n"/>
      <c r="Q1281" s="35" t="n"/>
      <c r="R1281" s="35" t="n"/>
    </row>
    <row r="1282" outlineLevel="1" customFormat="1" s="39">
      <c r="A1282" s="36" t="n"/>
      <c r="B1282" s="27" t="inlineStr">
        <is>
          <t>地面工程</t>
        </is>
      </c>
      <c r="C1282" s="27" t="n"/>
      <c r="D1282" s="27" t="n"/>
      <c r="E1282" s="27" t="n"/>
      <c r="F1282" s="28" t="n"/>
      <c r="G1282" s="61" t="n"/>
      <c r="H1282" s="62" t="n"/>
      <c r="I1282" s="65" t="n"/>
      <c r="J1282" s="62" t="n"/>
      <c r="K1282" s="63" t="n"/>
      <c r="L1282" s="33" t="n"/>
      <c r="M1282" s="64" t="n"/>
      <c r="P1282" s="35" t="n"/>
      <c r="Q1282" s="35" t="n"/>
      <c r="R1282" s="35" t="n"/>
    </row>
    <row r="1283" outlineLevel="2" ht="108" customFormat="1" customHeight="1" s="39">
      <c r="A1283" s="37">
        <f>1+N(A1282)</f>
        <v/>
      </c>
      <c r="B1283" s="27" t="inlineStr">
        <is>
          <t>地面铺贴大理石ST-01</t>
        </is>
      </c>
      <c r="C1283" s="27" t="inlineStr">
        <is>
          <t>1.地面20mm大理石ST-01、铺贴、厚度及样式按物料书为准；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1283"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283" s="27" t="inlineStr">
        <is>
          <t xml:space="preserve">执行《GB/T50854-2024房屋建筑与装饰工程工程量计算标准》，按设计图示尺寸
以面积计算。 </t>
        </is>
      </c>
      <c r="F1283" s="28" t="inlineStr">
        <is>
          <t>m2</t>
        </is>
      </c>
      <c r="G1283" s="61" t="n">
        <v>7.55</v>
      </c>
      <c r="H1283" s="62" t="n">
        <v>218.75017</v>
      </c>
      <c r="I1283" s="65" t="n"/>
      <c r="J1283" s="62">
        <f>H1283*(1-$I$4)</f>
        <v/>
      </c>
      <c r="K1283" s="63">
        <f>G1283*J1283</f>
        <v/>
      </c>
      <c r="L1283" s="33" t="inlineStr">
        <is>
          <t>石材</t>
        </is>
      </c>
      <c r="M1283" s="64" t="n"/>
      <c r="O1283" t="n">
        <v>130</v>
      </c>
      <c r="P1283" s="35" t="inlineStr">
        <is>
          <t>差:-88.75元 (-40.6%) 来源:售楼处</t>
        </is>
      </c>
      <c r="Q1283" s="35" t="n"/>
      <c r="R1283" s="35" t="n"/>
    </row>
    <row r="1284" outlineLevel="2" ht="108" customFormat="1" customHeight="1" s="39">
      <c r="A1284" s="37">
        <f>1+N(A1283)</f>
        <v/>
      </c>
      <c r="B1284" s="27" t="inlineStr">
        <is>
          <t>地面铺贴大理石ST-01.02拼花</t>
        </is>
      </c>
      <c r="C1284" s="27" t="inlineStr">
        <is>
          <t>1.地面20mm大理石拼花、参考3F-DF-01样式、ST-01、ST-02按物料书为准；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1284"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284" s="27" t="inlineStr">
        <is>
          <t xml:space="preserve">执行《GB/T50854-2024房屋建筑与装饰工程工程量计算标准》，按设计图示尺寸
以面积计算。 </t>
        </is>
      </c>
      <c r="F1284" s="28" t="inlineStr">
        <is>
          <t>m2</t>
        </is>
      </c>
      <c r="G1284" s="61" t="n">
        <v>16.52</v>
      </c>
      <c r="H1284" s="62" t="n">
        <v>242.35017</v>
      </c>
      <c r="I1284" s="65" t="n"/>
      <c r="J1284" s="62">
        <f>H1284*(1-$I$4)</f>
        <v/>
      </c>
      <c r="K1284" s="63">
        <f>G1284*J1284</f>
        <v/>
      </c>
      <c r="L1284" s="33" t="inlineStr">
        <is>
          <t>石材</t>
        </is>
      </c>
      <c r="M1284" s="64" t="n"/>
      <c r="O1284" t="n">
        <v>130</v>
      </c>
      <c r="P1284" s="35" t="inlineStr">
        <is>
          <t>差:-112.35元 (-46.4%) 来源:售楼处</t>
        </is>
      </c>
      <c r="Q1284" s="35" t="n"/>
      <c r="R1284" s="35" t="n"/>
    </row>
    <row r="1285" outlineLevel="2" ht="108" customFormat="1" customHeight="1" s="39">
      <c r="A1285" s="37">
        <f>1+N(A1284)</f>
        <v/>
      </c>
      <c r="B1285" s="27" t="inlineStr">
        <is>
          <t>实心铜条5mm宽</t>
        </is>
      </c>
      <c r="C1285" s="27" t="inlineStr">
        <is>
          <t>1.实心铜条5mm宽；
2.包含完成该项内容所有工作及费用并满足设计图纸、规范等要求；</t>
        </is>
      </c>
      <c r="D1285"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285" s="27" t="inlineStr">
        <is>
          <t>按设计图示尺寸以长度计算。</t>
        </is>
      </c>
      <c r="F1285" s="28" t="inlineStr">
        <is>
          <t>m</t>
        </is>
      </c>
      <c r="G1285" s="61" t="n">
        <v>17.27</v>
      </c>
      <c r="H1285" s="62" t="n">
        <v>89.267</v>
      </c>
      <c r="I1285" s="65" t="n"/>
      <c r="J1285" s="62">
        <f>H1285*(1-$I$4)</f>
        <v/>
      </c>
      <c r="K1285" s="63">
        <f>G1285*J1285</f>
        <v/>
      </c>
      <c r="L1285" s="33" t="inlineStr">
        <is>
          <t>/</t>
        </is>
      </c>
      <c r="M1285" s="64" t="n"/>
      <c r="O1285" t="n">
        <v>12</v>
      </c>
      <c r="P1285" s="35" t="inlineStr">
        <is>
          <t>差:-77.27元 (-86.6%) 来源:售楼处</t>
        </is>
      </c>
      <c r="Q1285" s="35" t="n"/>
      <c r="R1285" s="35" t="n"/>
    </row>
    <row r="1286" outlineLevel="2" ht="108" customFormat="1" customHeight="1" s="39">
      <c r="A1286" s="37">
        <f>1+N(A1285)</f>
        <v/>
      </c>
      <c r="B1286" s="27" t="inlineStr">
        <is>
          <t>地面石材晶面处理</t>
        </is>
      </c>
      <c r="C1286" s="27" t="inlineStr">
        <is>
          <t>1.石材结晶处理(结晶水及石材保养剂,中性清洁剂)；
2.包含完成该项内容所有工作及费用并满足设计图纸、规范等要求；</t>
        </is>
      </c>
      <c r="D1286"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286" s="27" t="inlineStr">
        <is>
          <t xml:space="preserve">执行《GB/T50854-2024房屋建筑与装饰工程工程量计算标准》，按设计图示尺寸
以面积计算。 </t>
        </is>
      </c>
      <c r="F1286" s="28" t="inlineStr">
        <is>
          <t>m2</t>
        </is>
      </c>
      <c r="G1286" s="61" t="n">
        <v>24.07</v>
      </c>
      <c r="H1286" s="62" t="n">
        <v>64.90000000000001</v>
      </c>
      <c r="I1286" s="65" t="n"/>
      <c r="J1286" s="62">
        <f>H1286*(1-$I$4)</f>
        <v/>
      </c>
      <c r="K1286" s="63">
        <f>G1286*J1286</f>
        <v/>
      </c>
      <c r="L1286" s="33" t="inlineStr">
        <is>
          <t>/</t>
        </is>
      </c>
      <c r="M1286" s="64" t="n"/>
      <c r="O1286" t="n">
        <v>40</v>
      </c>
      <c r="P1286" s="35" t="inlineStr">
        <is>
          <t>差:-24.90元 (-38.4%) 来源:售楼处</t>
        </is>
      </c>
      <c r="Q1286" s="35" t="n"/>
      <c r="R1286" s="35" t="n"/>
    </row>
    <row r="1287" outlineLevel="1" customFormat="1" s="39">
      <c r="A1287" s="36" t="n"/>
      <c r="B1287" s="27" t="inlineStr">
        <is>
          <t>墙面工程</t>
        </is>
      </c>
      <c r="C1287" s="27" t="n"/>
      <c r="D1287" s="27" t="n"/>
      <c r="E1287" s="27" t="n"/>
      <c r="F1287" s="28" t="n"/>
      <c r="G1287" s="61" t="n"/>
      <c r="H1287" s="62" t="n"/>
      <c r="I1287" s="65" t="n"/>
      <c r="J1287" s="62" t="n"/>
      <c r="K1287" s="63" t="n"/>
      <c r="L1287" s="33" t="n"/>
      <c r="M1287" s="64" t="n"/>
      <c r="P1287" s="35" t="n"/>
      <c r="Q1287" s="35" t="n"/>
      <c r="R1287" s="35" t="n"/>
    </row>
    <row r="1288" outlineLevel="2" ht="144" customFormat="1" customHeight="1" s="39">
      <c r="A1288" s="37">
        <f>1+N(A1287)</f>
        <v/>
      </c>
      <c r="B1288" s="27" t="inlineStr">
        <is>
          <t>墙面湿贴石材ST-05</t>
        </is>
      </c>
      <c r="C1288" s="27" t="inlineStr">
        <is>
          <t>1、墙面湿贴石材ST-05
2、8mm厚石材专用胶粘剂WC粘结层
3、界面剂拉毛处理
4、石材的开槽、磨边、倒角、粘接、形成所需之凹坑、抛光、六面防污防渗等一切处理费用均在主材费中考虑，不再另行计取
5、包含完成该项内容所有工作及费用并满足设计图纸、规范等要求</t>
        </is>
      </c>
      <c r="D1288" s="27" t="inlineStr">
        <is>
          <t>具体工作内容除详见项目特征外，且不限于以下内容:1.包含材料的下车、场内运输；2.清理基层、找标高、弹线定位；3.试拼试排；4.砂浆拌和、铺找平层（粘结层）砂浆；5.面层铺设、灌缝、擦缝；6.打蜡、养护；配合留设墙面开关、插座等末端设备等全部内容；包含成品保护、安全文明施工等达到验收合格的全部施工内容。</t>
        </is>
      </c>
      <c r="E1288" s="27" t="inlineStr">
        <is>
          <t>执行《GB/T50854-2024房屋建筑与装饰工程工程量计算标准》，按设计图示镶贴后外围面积计算</t>
        </is>
      </c>
      <c r="F1288" s="28" t="inlineStr">
        <is>
          <t>m2</t>
        </is>
      </c>
      <c r="G1288" s="61" t="n">
        <v>6.1</v>
      </c>
      <c r="H1288" s="62" t="n">
        <v>177</v>
      </c>
      <c r="I1288" s="65" t="n"/>
      <c r="J1288" s="62">
        <f>H1288*(1-$I$4)</f>
        <v/>
      </c>
      <c r="K1288" s="63">
        <f>G1288*J1288</f>
        <v/>
      </c>
      <c r="L1288" s="33" t="inlineStr">
        <is>
          <t>石材</t>
        </is>
      </c>
      <c r="M1288" s="64" t="n"/>
      <c r="O1288" t="n">
        <v>95</v>
      </c>
      <c r="P1288" s="35" t="inlineStr">
        <is>
          <t>差:-82.00元 (-46.3%) 来源:售楼处</t>
        </is>
      </c>
      <c r="Q1288" s="35" t="n"/>
      <c r="R1288" s="35" t="n"/>
    </row>
    <row r="1289" outlineLevel="2" ht="180" customFormat="1" customHeight="1" s="39">
      <c r="A1289" s="37">
        <f>1+N(A1288)</f>
        <v/>
      </c>
      <c r="B1289" s="27" t="inlineStr">
        <is>
          <t>墙面干挂ST-05石材</t>
        </is>
      </c>
      <c r="C1289" s="27" t="inlineStr">
        <is>
          <t>1、墙面干挂ST-05石材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is>
      </c>
      <c r="D1289"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289" s="27" t="inlineStr">
        <is>
          <t>执行《GB/T50854-2024房屋建筑与装饰工程工程量计算标准》，按设计图示镶贴后外围面积计算</t>
        </is>
      </c>
      <c r="F1289" s="28" t="inlineStr">
        <is>
          <t>m2</t>
        </is>
      </c>
      <c r="G1289" s="61" t="n">
        <v>24.88</v>
      </c>
      <c r="H1289" s="62" t="n">
        <v>318.6</v>
      </c>
      <c r="I1289" s="65" t="n"/>
      <c r="J1289" s="62">
        <f>H1289*(1-$I$4)</f>
        <v/>
      </c>
      <c r="K1289" s="63">
        <f>G1289*J1289</f>
        <v/>
      </c>
      <c r="L1289" s="33" t="inlineStr">
        <is>
          <t>石材</t>
        </is>
      </c>
      <c r="M1289" s="64" t="n"/>
      <c r="O1289" t="n">
        <v>145</v>
      </c>
      <c r="P1289" s="35" t="inlineStr">
        <is>
          <t>差:-173.60元 (-54.5%) 来源:售楼处</t>
        </is>
      </c>
      <c r="Q1289" s="35" t="n"/>
      <c r="R1289" s="35" t="n"/>
    </row>
    <row r="1290" outlineLevel="2" ht="180" customFormat="1" customHeight="1" s="39">
      <c r="A1290" s="37">
        <f>1+N(A1289)</f>
        <v/>
      </c>
      <c r="B1290" s="27" t="inlineStr">
        <is>
          <t>WD-07摩素板</t>
        </is>
      </c>
      <c r="C1290" s="27" t="inlineStr">
        <is>
          <t>1、墙面WD-08摩素板(结构胶固定)
2、12厘玻镁板基层
3、膨胀螺栓、轻钢龙骨(钢结构)基层找平
4、包含完成该项内容所有工作及费用并满足设计图纸、规范等要求</t>
        </is>
      </c>
      <c r="D1290"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290" s="27" t="inlineStr">
        <is>
          <t>执行《GB/T50854-2024房屋建筑与装饰工程工程量计算标准》，按设计图示饰面外围尺寸
以面积计算。 扣除门窗洞口面积，不扣除单个面积≤0.3㎡的孔洞所占面积。</t>
        </is>
      </c>
      <c r="F1290" s="28" t="inlineStr">
        <is>
          <t>m2</t>
        </is>
      </c>
      <c r="G1290" s="61" t="n">
        <v>4.93</v>
      </c>
      <c r="H1290" s="62" t="n">
        <v>186.44</v>
      </c>
      <c r="I1290" s="65" t="n"/>
      <c r="J1290" s="62">
        <f>H1290*(1-$I$4)</f>
        <v/>
      </c>
      <c r="K1290" s="63">
        <f>G1290*J1290</f>
        <v/>
      </c>
      <c r="L1290" s="33" t="inlineStr">
        <is>
          <t>摩素板</t>
        </is>
      </c>
      <c r="M1290" s="64" t="n"/>
      <c r="O1290" t="n">
        <v>35</v>
      </c>
      <c r="P1290" s="35" t="inlineStr">
        <is>
          <t>差:-151.44元 (-81.2%) 来源:会所合并</t>
        </is>
      </c>
      <c r="Q1290" s="35" t="n"/>
      <c r="R1290" s="35" t="n"/>
    </row>
    <row r="1291" outlineLevel="2" ht="144" customFormat="1" customHeight="1" s="39">
      <c r="A1291" s="37">
        <f>1+N(A1290)</f>
        <v/>
      </c>
      <c r="B1291" s="27" t="inlineStr">
        <is>
          <t>墙面PT-01肌理无机涂料</t>
        </is>
      </c>
      <c r="C1291" s="27" t="inlineStr">
        <is>
          <t>1、墙面PT-01肌理无机涂料(底漆1遍，面漆2遍)
2、刮白胶腻子找平二遍，打磨
3、阴、阳角护角收边
4、双层9.5mm纸面石膏板
5、轻钢龙骨基层找平
6、包含完成该项内容所有工作及费用并满足设计图纸、规范等要求</t>
        </is>
      </c>
      <c r="D1291"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291" s="27" t="inlineStr">
        <is>
          <t xml:space="preserve">执行《GB/T50854-2024房屋建筑与装饰工程工程量计算标准》，按设计图示尺寸
以面积计算。 </t>
        </is>
      </c>
      <c r="F1291" s="28" t="inlineStr">
        <is>
          <t>m2</t>
        </is>
      </c>
      <c r="G1291" s="61" t="n">
        <v>13.79</v>
      </c>
      <c r="H1291" s="62" t="n">
        <v>207.68</v>
      </c>
      <c r="I1291" s="65" t="n"/>
      <c r="J1291" s="62">
        <f>H1291*(1-$I$4)</f>
        <v/>
      </c>
      <c r="K1291" s="63">
        <f>G1291*J1291</f>
        <v/>
      </c>
      <c r="L1291" s="33" t="inlineStr">
        <is>
          <t>涂料</t>
        </is>
      </c>
      <c r="M1291" s="64" t="n"/>
      <c r="O1291" t="n">
        <v>110</v>
      </c>
      <c r="P1291" s="35" t="inlineStr">
        <is>
          <t>差:-97.68元 (-47.0%) 来源:售楼处</t>
        </is>
      </c>
      <c r="Q1291" s="35" t="n"/>
      <c r="R1291" s="35" t="n"/>
    </row>
    <row r="1292" outlineLevel="2" ht="180" customFormat="1" customHeight="1" s="39">
      <c r="A1292" s="37">
        <f>1+N(A1291)</f>
        <v/>
      </c>
      <c r="B1292" s="27" t="inlineStr">
        <is>
          <t>不锈钢门套</t>
        </is>
      </c>
      <c r="C1292" s="27" t="inlineStr">
        <is>
          <t>1、1.2mm厚 MT-01古铜不锈钢门套，结构胶固定
2、9厘玻镁板基层
3、工程量以展开面积计算
4、包含完成该项内容所有工作及费用并满足设计图纸、规范等要求</t>
        </is>
      </c>
      <c r="D1292"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292" s="27" t="inlineStr">
        <is>
          <t>执行《GB/T50854-2024房屋建筑与装饰工程工程量计算标准》，按设计图示饰面外围尺寸
以面积计算。 扣除门窗洞口面积，不扣除单个面积≤0.3㎡的孔洞所占面积。</t>
        </is>
      </c>
      <c r="F1292" s="28" t="inlineStr">
        <is>
          <t>m2</t>
        </is>
      </c>
      <c r="G1292" s="61" t="n">
        <v>1.1</v>
      </c>
      <c r="H1292" s="62" t="n">
        <v>630.651</v>
      </c>
      <c r="I1292" s="65" t="n"/>
      <c r="J1292" s="62">
        <f>H1292*(1-$I$4)</f>
        <v/>
      </c>
      <c r="K1292" s="63">
        <f>G1292*J1292</f>
        <v/>
      </c>
      <c r="L1292" s="33" t="inlineStr">
        <is>
          <t>/</t>
        </is>
      </c>
      <c r="M1292" s="64" t="n"/>
      <c r="O1292" t="n">
        <v>110</v>
      </c>
      <c r="P1292" s="35" t="inlineStr">
        <is>
          <t>差:-520.65元 (-82.6%) 来源:售楼处</t>
        </is>
      </c>
      <c r="Q1292" s="35" t="n"/>
      <c r="R1292" s="35" t="n"/>
    </row>
    <row r="1293" outlineLevel="2" ht="180" customFormat="1" customHeight="1" s="39">
      <c r="A1293" s="37">
        <f>1+N(A1292)</f>
        <v/>
      </c>
      <c r="B1293" s="27" t="inlineStr">
        <is>
          <t>电梯不锈钢门套</t>
        </is>
      </c>
      <c r="C1293" s="27" t="inlineStr">
        <is>
          <t>1、1.2mm厚 MT-01古铜不锈钢门套，结构胶固定
2、9厘玻镁板基层
3、工程量以展开面积计算
4、包含完成该项内容所有工作及费用并满足设计图纸、规范等要求</t>
        </is>
      </c>
      <c r="D1293"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293" s="27" t="inlineStr">
        <is>
          <t>执行《GB/T50854-2024房屋建筑与装饰工程工程量计算标准》，按设计图示饰面外围尺寸
以面积计算。 扣除门窗洞口面积，不扣除单个面积≤0.3㎡的孔洞所占面积。</t>
        </is>
      </c>
      <c r="F1293" s="28" t="inlineStr">
        <is>
          <t>m2</t>
        </is>
      </c>
      <c r="G1293" s="61" t="n">
        <v>3.4</v>
      </c>
      <c r="H1293" s="62" t="n">
        <v>630.651</v>
      </c>
      <c r="I1293" s="65" t="n"/>
      <c r="J1293" s="62">
        <f>H1293*(1-$I$4)</f>
        <v/>
      </c>
      <c r="K1293" s="63">
        <f>G1293*J1293</f>
        <v/>
      </c>
      <c r="L1293" s="33" t="inlineStr">
        <is>
          <t>/</t>
        </is>
      </c>
      <c r="M1293" s="64" t="n"/>
      <c r="O1293" t="n">
        <v>110</v>
      </c>
      <c r="P1293" s="35" t="inlineStr">
        <is>
          <t>差:-520.65元 (-82.6%) 来源:售楼处</t>
        </is>
      </c>
      <c r="Q1293" s="35" t="n"/>
      <c r="R1293" s="35" t="n"/>
    </row>
    <row r="1294" outlineLevel="2" ht="180" customFormat="1" customHeight="1" s="39">
      <c r="A1294" s="37">
        <f>1+N(A1293)</f>
        <v/>
      </c>
      <c r="B1294" s="27" t="inlineStr">
        <is>
          <t>电梯不锈钢门头</t>
        </is>
      </c>
      <c r="C1294" s="27" t="inlineStr">
        <is>
          <t>1、1.2mm厚 MT-01古铜不锈钢门头，结构胶固定
2、12mm阻燃板，轻钢副龙骨@400
3、电梯门顶内置亚克力，内部面层刮白处理
4、工程量以展开面积计算
5、包含完成该项内容所有工作及费用并满足设计图纸、规范等要求</t>
        </is>
      </c>
      <c r="D1294"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294" s="27" t="inlineStr">
        <is>
          <t>执行《GB/T50854-2024房屋建筑与装饰工程工程量计算标准》，按设计图示饰面外围尺寸
以面积计算。 扣除门窗洞口面积，不扣除单个面积≤0.3㎡的孔洞所占面积。</t>
        </is>
      </c>
      <c r="F1294" s="28" t="inlineStr">
        <is>
          <t>m2</t>
        </is>
      </c>
      <c r="G1294" s="61" t="n">
        <v>0.9</v>
      </c>
      <c r="H1294" s="62" t="n">
        <v>812.961</v>
      </c>
      <c r="I1294" s="65" t="n"/>
      <c r="J1294" s="62">
        <f>H1294*(1-$I$4)</f>
        <v/>
      </c>
      <c r="K1294" s="63">
        <f>G1294*J1294</f>
        <v/>
      </c>
      <c r="L1294" s="33" t="inlineStr">
        <is>
          <t>/</t>
        </is>
      </c>
      <c r="M1294" s="64" t="n"/>
      <c r="O1294" t="n">
        <v>110</v>
      </c>
      <c r="P1294" s="35" t="inlineStr">
        <is>
          <t>差:-702.96元 (-86.5%) 来源:售楼处</t>
        </is>
      </c>
      <c r="Q1294" s="35" t="n"/>
      <c r="R1294" s="35" t="n"/>
    </row>
    <row r="1295" outlineLevel="2" ht="180" customFormat="1" customHeight="1" s="39">
      <c r="A1295" s="37">
        <f>1+N(A1294)</f>
        <v/>
      </c>
      <c r="B1295" s="27" t="inlineStr">
        <is>
          <t>MT-01古铜不锈钢饰面（电梯按钮处）</t>
        </is>
      </c>
      <c r="C1295" s="27" t="inlineStr">
        <is>
          <t>1、1.2mm厚 MT-01古铜不锈钢饰面
2、12mm阻燃板基层，轻钢副龙骨@400
3、工程量以展开面积计算
4、包含完成该项内容所有工作及费用并满足设计图纸、规范等要求</t>
        </is>
      </c>
      <c r="D1295"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295" s="27" t="inlineStr">
        <is>
          <t>执行《GB/T50854-2024房屋建筑与装饰工程工程量计算标准》，按设计图示饰面外围尺寸
以面积计算。 扣除门窗洞口面积，不扣除单个面积≤0.3㎡的孔洞所占面积。</t>
        </is>
      </c>
      <c r="F1295" s="28" t="inlineStr">
        <is>
          <t>m2</t>
        </is>
      </c>
      <c r="G1295" s="61" t="n">
        <v>0.26</v>
      </c>
      <c r="H1295" s="62" t="n">
        <v>295</v>
      </c>
      <c r="I1295" s="65" t="n"/>
      <c r="J1295" s="62">
        <f>H1295*(1-$I$4)</f>
        <v/>
      </c>
      <c r="K1295" s="63">
        <f>G1295*J1295</f>
        <v/>
      </c>
      <c r="L1295" s="33" t="inlineStr">
        <is>
          <t>不锈钢饰面</t>
        </is>
      </c>
      <c r="M1295" s="64" t="n"/>
      <c r="O1295" t="n">
        <v>110</v>
      </c>
      <c r="P1295" s="35" t="inlineStr">
        <is>
          <t>差:-185.00元 (-62.7%) 来源:售楼处</t>
        </is>
      </c>
      <c r="Q1295" s="35" t="n"/>
      <c r="R1295" s="35" t="n"/>
    </row>
    <row r="1296" outlineLevel="2" ht="144" customFormat="1" customHeight="1" s="39">
      <c r="A1296" s="37">
        <f>1+N(A1295)</f>
        <v/>
      </c>
      <c r="B1296" s="27" t="inlineStr">
        <is>
          <t>MT-01古铜不锈钢踢脚线（高20mm）</t>
        </is>
      </c>
      <c r="C1296" s="27" t="inlineStr">
        <is>
          <t>1、1.2mm厚 MT-01古铜不锈钢踢脚线（高20mm，展开面为46mm），结构胶固定
2、9厘玻镁板基层
3、包含完成该项内容所有工作及费用并满足设计图纸、规范等要求</t>
        </is>
      </c>
      <c r="D1296"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296" s="27" t="inlineStr">
        <is>
          <t>按设计图示尺寸以长度计算。</t>
        </is>
      </c>
      <c r="F1296" s="28" t="inlineStr">
        <is>
          <t>m</t>
        </is>
      </c>
      <c r="G1296" s="61" t="n">
        <v>19.62</v>
      </c>
      <c r="H1296" s="62" t="n">
        <v>31.86</v>
      </c>
      <c r="I1296" s="65" t="n"/>
      <c r="J1296" s="62">
        <f>H1296*(1-$I$4)</f>
        <v/>
      </c>
      <c r="K1296" s="63">
        <f>G1296*J1296</f>
        <v/>
      </c>
      <c r="L1296" s="33" t="inlineStr">
        <is>
          <t>不锈钢踢脚线</t>
        </is>
      </c>
      <c r="M1296" s="64" t="n"/>
      <c r="O1296" t="n">
        <v>12</v>
      </c>
      <c r="P1296" s="35" t="inlineStr">
        <is>
          <t>差:-19.86元 (-62.3%) 来源:售楼处</t>
        </is>
      </c>
      <c r="Q1296" s="35" t="n"/>
      <c r="R1296" s="35" t="n"/>
    </row>
    <row r="1297" outlineLevel="2" ht="144" customFormat="1" customHeight="1" s="39">
      <c r="A1297" s="37">
        <f>1+N(A1296)</f>
        <v/>
      </c>
      <c r="B1297" s="27" t="inlineStr">
        <is>
          <t>MT-01古铜不锈钢线条（展开面为51mm）</t>
        </is>
      </c>
      <c r="C1297" s="27" t="inlineStr">
        <is>
          <t>1、1.2mm厚 MT-01古铜不锈钢线条（展开面为51mm），结构胶固定
2、9厘玻镁板基层
3、包含完成该项内容所有工作及费用并满足设计图纸、规范等要求</t>
        </is>
      </c>
      <c r="D1297"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297" s="27" t="inlineStr">
        <is>
          <t>按设计图示尺寸以长度计算。</t>
        </is>
      </c>
      <c r="F1297" s="28" t="inlineStr">
        <is>
          <t>m</t>
        </is>
      </c>
      <c r="G1297" s="61" t="n">
        <v>5.07</v>
      </c>
      <c r="H1297" s="62" t="n">
        <v>71.90212</v>
      </c>
      <c r="I1297" s="65" t="n"/>
      <c r="J1297" s="62">
        <f>H1297*(1-$I$4)</f>
        <v/>
      </c>
      <c r="K1297" s="63">
        <f>G1297*J1297</f>
        <v/>
      </c>
      <c r="L1297" s="33" t="inlineStr">
        <is>
          <t>/</t>
        </is>
      </c>
      <c r="M1297" s="64" t="n"/>
      <c r="O1297" t="n">
        <v>12</v>
      </c>
      <c r="P1297" s="35" t="inlineStr">
        <is>
          <t>差:-59.90元 (-83.3%) 来源:会所合并</t>
        </is>
      </c>
      <c r="Q1297" s="35" t="n"/>
      <c r="R1297" s="35" t="n"/>
    </row>
    <row r="1298" outlineLevel="2" ht="144" customFormat="1" customHeight="1" s="39">
      <c r="A1298" s="37">
        <f>1+N(A1297)</f>
        <v/>
      </c>
      <c r="B1298" s="27" t="inlineStr">
        <is>
          <t>MT-01古铜不锈钢线条（展开面为114mm）</t>
        </is>
      </c>
      <c r="C1298" s="27" t="inlineStr">
        <is>
          <t>1、1.2mm厚 MT-01古铜不锈钢线条（展开面为114mm），结构胶固定
2、9厘玻镁板基层
3、包含完成该项内容所有工作及费用并满足设计图纸、规范等要求</t>
        </is>
      </c>
      <c r="D1298"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298" s="27" t="inlineStr">
        <is>
          <t>按设计图示尺寸以长度计算。</t>
        </is>
      </c>
      <c r="F1298" s="28" t="inlineStr">
        <is>
          <t>m</t>
        </is>
      </c>
      <c r="G1298" s="61" t="n">
        <v>10.8</v>
      </c>
      <c r="H1298" s="62" t="n">
        <v>117.84424</v>
      </c>
      <c r="I1298" s="65" t="n"/>
      <c r="J1298" s="62">
        <f>H1298*(1-$I$4)</f>
        <v/>
      </c>
      <c r="K1298" s="63">
        <f>G1298*J1298</f>
        <v/>
      </c>
      <c r="L1298" s="33" t="inlineStr">
        <is>
          <t>/</t>
        </is>
      </c>
      <c r="M1298" s="64" t="n"/>
      <c r="O1298" t="n">
        <v>22</v>
      </c>
      <c r="P1298" s="35" t="inlineStr">
        <is>
          <t>差:-95.84元 (-81.3%) 来源:售楼处</t>
        </is>
      </c>
      <c r="Q1298" s="35" t="n"/>
      <c r="R1298" s="35" t="n"/>
    </row>
    <row r="1299" outlineLevel="2" ht="144" customFormat="1" customHeight="1" s="39">
      <c r="A1299" s="37">
        <f>1+N(A1298)</f>
        <v/>
      </c>
      <c r="B1299" s="27" t="inlineStr">
        <is>
          <t>MT-01古铜不锈钢顶部收口条（展开面为41mm）</t>
        </is>
      </c>
      <c r="C1299" s="27" t="inlineStr">
        <is>
          <t>1、1.2mm厚 MT-01古铜不锈钢顶部收口条（展开面为41mm），结构胶固定
2、9厘玻镁板基层
3、包含完成该项内容所有工作及费用并满足设计图纸、规范等要求</t>
        </is>
      </c>
      <c r="D1299"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299" s="27" t="inlineStr">
        <is>
          <t>按设计图示尺寸以长度计算。</t>
        </is>
      </c>
      <c r="F1299" s="28" t="inlineStr">
        <is>
          <t>m</t>
        </is>
      </c>
      <c r="G1299" s="61" t="n">
        <v>22.76</v>
      </c>
      <c r="H1299" s="62" t="n">
        <v>64.24509999999999</v>
      </c>
      <c r="I1299" s="65" t="n"/>
      <c r="J1299" s="62">
        <f>H1299*(1-$I$4)</f>
        <v/>
      </c>
      <c r="K1299" s="63">
        <f>G1299*J1299</f>
        <v/>
      </c>
      <c r="L1299" s="33" t="inlineStr">
        <is>
          <t>/</t>
        </is>
      </c>
      <c r="M1299" s="64" t="n"/>
      <c r="O1299" t="n">
        <v>12</v>
      </c>
      <c r="P1299" s="35" t="inlineStr">
        <is>
          <t>差:-52.25元 (-81.3%) 来源:售楼处</t>
        </is>
      </c>
      <c r="Q1299" s="35" t="n"/>
      <c r="R1299" s="35" t="n"/>
    </row>
    <row r="1300" outlineLevel="1" customFormat="1" s="39">
      <c r="A1300" s="36" t="n"/>
      <c r="B1300" s="27" t="inlineStr">
        <is>
          <t>天花工程</t>
        </is>
      </c>
      <c r="C1300" s="27" t="n"/>
      <c r="D1300" s="27" t="n"/>
      <c r="E1300" s="27" t="n"/>
      <c r="F1300" s="28" t="n"/>
      <c r="G1300" s="61" t="n"/>
      <c r="H1300" s="62" t="n"/>
      <c r="I1300" s="65" t="n"/>
      <c r="J1300" s="62" t="n"/>
      <c r="K1300" s="63" t="n"/>
      <c r="L1300" s="33" t="n"/>
      <c r="M1300" s="64" t="n"/>
      <c r="P1300" s="35" t="n"/>
      <c r="Q1300" s="35" t="n"/>
      <c r="R1300" s="35" t="n"/>
    </row>
    <row r="1301" outlineLevel="2" ht="192" customFormat="1" customHeight="1" s="39">
      <c r="A1301" s="37">
        <f>1+N(A1300)</f>
        <v/>
      </c>
      <c r="B1301" s="27" t="inlineStr">
        <is>
          <t>石膏板吊顶</t>
        </is>
      </c>
      <c r="C1301" s="27" t="inlineStr">
        <is>
          <t>1.60系列轻钢主龙骨@900，60系列轻钢副龙骨@400，60系列横撑龙骨@600，08螺纹吊杆@900不上人天花吊顶（投影面计算）
2.玻镁板、双层9.5厚石膏板基层，含开孔、检修口、10*10凹槽等费用；
3.含除灯槽外的侧面高差及其连接件、吊件；
4.包含完成该项内容所有工作及费用并满足设计图纸、规范等要求；</t>
        </is>
      </c>
      <c r="D1301" s="27" t="inlineStr">
        <is>
          <t>1.基层清理。
2.弹线定位、排版。
3.吊杆及连接件安装调平、收口及密封处理。
4.材料切割处理找平、石膏板安装及调整，打胶密封与清理.
5.收口及其他处理：检修口等制作安装、收边收口、配合预留安装、机电等专业孔洞及孔洞收口处理。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1301" s="27" t="inlineStr">
        <is>
          <t>按设计图示尺寸以水平投影面积计算。不扣除间壁墙、检查口、附墙烟囱、柱垛和管道所占面积,扣除单个&gt;0.3m3的孔洞、非密拼吊顶空隙所占的面积、独立柱及与天棚相连的窗帘盒所占的面积。</t>
        </is>
      </c>
      <c r="F1301" s="28" t="inlineStr">
        <is>
          <t>m2</t>
        </is>
      </c>
      <c r="G1301" s="61" t="n">
        <v>25.03</v>
      </c>
      <c r="H1301" s="62" t="n">
        <v>150.712222222222</v>
      </c>
      <c r="I1301" s="65" t="n"/>
      <c r="J1301" s="62">
        <f>H1301*(1-$I$4)</f>
        <v/>
      </c>
      <c r="K1301" s="63">
        <f>G1301*J1301</f>
        <v/>
      </c>
      <c r="L1301" s="33" t="inlineStr">
        <is>
          <t>/</t>
        </is>
      </c>
      <c r="M1301" s="64" t="n"/>
      <c r="O1301" t="n">
        <v>70</v>
      </c>
      <c r="P1301" s="35" t="inlineStr">
        <is>
          <t>差:-80.71元 (-53.6%) 来源:会所合并</t>
        </is>
      </c>
      <c r="Q1301" s="35" t="n"/>
      <c r="R1301" s="35" t="n"/>
    </row>
    <row r="1302" outlineLevel="2" ht="72" customFormat="1" customHeight="1" s="39">
      <c r="A1302" s="37">
        <f>1+N(A1301)</f>
        <v/>
      </c>
      <c r="B1302" s="27" t="inlineStr">
        <is>
          <t>灯槽（100mm*200mm）</t>
        </is>
      </c>
      <c r="C1302" s="27" t="inlineStr">
        <is>
          <t>1.灯槽（100mm*200mm）；
2.双层板：9mm玻镁板、9.5厚石膏板；
3.包含完成该项内容所有工作及费用并满足设计图纸、规范等要求；</t>
        </is>
      </c>
      <c r="D1302" s="27" t="inlineStr">
        <is>
          <t>自现有现场条件下按照合同约定范围、图纸（含设计变更）及甲方要求内容以及规范、标准、相关做法等要求完成并达到总包合同全部目标的全部工作内容。</t>
        </is>
      </c>
      <c r="E1302" s="27" t="inlineStr">
        <is>
          <t>依据经承包人确认的施工部位,按设计图示尺寸以延长米计算。</t>
        </is>
      </c>
      <c r="F1302" s="28" t="inlineStr">
        <is>
          <t>m</t>
        </is>
      </c>
      <c r="G1302" s="61" t="n">
        <v>17.29</v>
      </c>
      <c r="H1302" s="62" t="n">
        <v>112.159</v>
      </c>
      <c r="I1302" s="65" t="n"/>
      <c r="J1302" s="62">
        <f>H1302*(1-$I$4)</f>
        <v/>
      </c>
      <c r="K1302" s="63">
        <f>G1302*J1302</f>
        <v/>
      </c>
      <c r="L1302" s="33" t="inlineStr">
        <is>
          <t>/</t>
        </is>
      </c>
      <c r="M1302" s="64" t="n"/>
      <c r="O1302" t="n">
        <v>50</v>
      </c>
      <c r="P1302" s="35" t="inlineStr">
        <is>
          <t>差:-62.16元 (-55.4%) 来源:售楼处</t>
        </is>
      </c>
      <c r="Q1302" s="35" t="n"/>
      <c r="R1302" s="35" t="n"/>
    </row>
    <row r="1303" outlineLevel="2" ht="72" customFormat="1" customHeight="1" s="39">
      <c r="A1303" s="37">
        <f>1+N(A1302)</f>
        <v/>
      </c>
      <c r="B1303" s="27" t="inlineStr">
        <is>
          <t>成品石膏线条</t>
        </is>
      </c>
      <c r="C1303" s="27" t="inlineStr">
        <is>
          <t>1.成品石膏线条（50mm*50mm）；
2.按图纸造型；
3.包含完成该项内容所有工作及费用并满足设计图纸、规范等要求；</t>
        </is>
      </c>
      <c r="D1303" s="27" t="inlineStr">
        <is>
          <t>自现有现场条件下按照合同约定范围、图纸（含设计变更）及甲方要求内容以及规范、标准、相关做法等要求完成并达到总包合同全部目标的全部工作内容。</t>
        </is>
      </c>
      <c r="E1303" s="27" t="inlineStr">
        <is>
          <t>依据经承包人确认的施工部位,按设计图示尺寸以延长米计算。</t>
        </is>
      </c>
      <c r="F1303" s="28" t="inlineStr">
        <is>
          <t>m</t>
        </is>
      </c>
      <c r="G1303" s="61" t="n">
        <v>17.29</v>
      </c>
      <c r="H1303" s="62" t="n">
        <v>20.06</v>
      </c>
      <c r="I1303" s="65" t="n"/>
      <c r="J1303" s="62">
        <f>H1303*(1-$I$4)</f>
        <v/>
      </c>
      <c r="K1303" s="63">
        <f>G1303*J1303</f>
        <v/>
      </c>
      <c r="L1303" s="33" t="inlineStr">
        <is>
          <t>成品石膏线条</t>
        </is>
      </c>
      <c r="M1303" s="64" t="n"/>
      <c r="O1303" t="n">
        <v>18</v>
      </c>
      <c r="P1303" s="35" t="inlineStr">
        <is>
          <t>差:-2.06元 (-10.3%) 来源:售楼处</t>
        </is>
      </c>
      <c r="Q1303" s="35" t="n"/>
      <c r="R1303" s="35" t="n"/>
    </row>
    <row r="1304" outlineLevel="2" ht="72" customFormat="1" customHeight="1" s="39">
      <c r="A1304" s="37">
        <f>1+N(A1303)</f>
        <v/>
      </c>
      <c r="B1304" s="27" t="inlineStr">
        <is>
          <t>条形空调风口（150mm）</t>
        </is>
      </c>
      <c r="C1304" s="27" t="inlineStr">
        <is>
          <t>1.条形空调风口（150mm）；
2.风口周边阻燃板封边加固处理；
3.包含完成该项内容所有工作及费用并满足设计图纸、规范等要求；</t>
        </is>
      </c>
      <c r="D1304" s="27" t="inlineStr">
        <is>
          <t>自现有现场条件下按照合同约定范围、图纸（含设计变更）及甲方要求内容以及规范、标准、相关做法等要求完成并达到总包合同全部目标的全部工作内容。</t>
        </is>
      </c>
      <c r="E1304" s="27" t="inlineStr">
        <is>
          <t>依据经承包人确认的施工部位,按设计图示尺寸以延长米计算。</t>
        </is>
      </c>
      <c r="F1304" s="28" t="inlineStr">
        <is>
          <t>m</t>
        </is>
      </c>
      <c r="G1304" s="61" t="n">
        <v>10.24</v>
      </c>
      <c r="H1304" s="62" t="n">
        <v>109.74</v>
      </c>
      <c r="I1304" s="65" t="n"/>
      <c r="J1304" s="62">
        <f>H1304*(1-$I$4)</f>
        <v/>
      </c>
      <c r="K1304" s="63">
        <f>G1304*J1304</f>
        <v/>
      </c>
      <c r="L1304" s="33" t="inlineStr">
        <is>
          <t>空调风口</t>
        </is>
      </c>
      <c r="M1304" s="64" t="n"/>
      <c r="O1304" t="n">
        <v>30</v>
      </c>
      <c r="P1304" s="35" t="inlineStr">
        <is>
          <t>差:-79.74元 (-72.7%) 来源:售楼处</t>
        </is>
      </c>
      <c r="Q1304" s="35" t="n"/>
      <c r="R1304" s="35" t="n"/>
    </row>
    <row r="1305" outlineLevel="2" ht="192" customFormat="1" customHeight="1" s="39">
      <c r="A1305" s="37">
        <f>1+N(A1304)</f>
        <v/>
      </c>
      <c r="B1305" s="27" t="inlineStr">
        <is>
          <t>天花肌理无机涂料PT-01</t>
        </is>
      </c>
      <c r="C1305" s="27" t="inlineStr">
        <is>
          <t>1.天花肌理无机涂料PT-01；
2.刮腻子二遍磨平；
3.底漆1遍，面漆2遍；
4.包含完成该项内容所有工作及费用并满足设计图纸、规范等要求；</t>
        </is>
      </c>
      <c r="D1305" s="27" t="inlineStr">
        <is>
          <t>包括但不限于材料计划、采购、卸车倒运、保管、检验试验费、测量放线，包含四周阴角找平直、含天棚四周阴角找平直，打磨，简易脚手架搭拆及操作平台、升降机，基层清理、打磨平整、底层找补、满刮涂料（含阴阳角塑料条）、涂料打磨、补遗处理、配合其他分包施工、完工后场清、成品保护、保修等直到达到竣工交付标准的全部工作内容。包括所有为完成工作所需的小型机具；包括所有为完成工作所需的附属工作；包括但不限于以上内容。</t>
        </is>
      </c>
      <c r="E1305" s="27" t="inlineStr">
        <is>
          <t>执行《GB/T50854-2024房屋建筑与装饰工程工程量计算标准》，按设计图示尺寸以面积计算。扣除0.3平方米以上洞口的面积；梁侧面及檐口天棚并入天棚计算；以设计图纸和技术交底为基础</t>
        </is>
      </c>
      <c r="F1305" s="28" t="inlineStr">
        <is>
          <t>m2</t>
        </is>
      </c>
      <c r="G1305" s="61" t="n">
        <v>30.98</v>
      </c>
      <c r="H1305" s="62" t="n">
        <v>48.38</v>
      </c>
      <c r="I1305" s="65" t="n"/>
      <c r="J1305" s="62">
        <f>H1305*(1-$I$4)</f>
        <v/>
      </c>
      <c r="K1305" s="63">
        <f>G1305*J1305</f>
        <v/>
      </c>
      <c r="L1305" s="33" t="inlineStr">
        <is>
          <t>涂料</t>
        </is>
      </c>
      <c r="M1305" s="64" t="n"/>
      <c r="O1305" t="n">
        <v>45</v>
      </c>
      <c r="P1305" s="35" t="inlineStr">
        <is>
          <t>差:-3.38元 (-7.0%) 来源:售楼处</t>
        </is>
      </c>
      <c r="Q1305" s="35" t="n"/>
      <c r="R1305" s="35" t="n"/>
    </row>
    <row r="1306" outlineLevel="1" customFormat="1" s="39">
      <c r="A1306" s="36" t="n"/>
      <c r="B1306" s="27" t="inlineStr">
        <is>
          <t>门窗、家具工程</t>
        </is>
      </c>
      <c r="C1306" s="27" t="n"/>
      <c r="D1306" s="27" t="n"/>
      <c r="E1306" s="27" t="n"/>
      <c r="F1306" s="28" t="n"/>
      <c r="G1306" s="61" t="n"/>
      <c r="H1306" s="62" t="n"/>
      <c r="I1306" s="65" t="n"/>
      <c r="J1306" s="62" t="n"/>
      <c r="K1306" s="63" t="n"/>
      <c r="L1306" s="33" t="n"/>
      <c r="M1306" s="64" t="n"/>
      <c r="P1306" s="35" t="n"/>
      <c r="Q1306" s="35" t="n"/>
      <c r="R1306" s="35" t="n"/>
    </row>
    <row r="1307" outlineLevel="1" customFormat="1" s="39">
      <c r="A1307" s="26" t="inlineStr">
        <is>
          <t>二</t>
        </is>
      </c>
      <c r="B1307" s="27" t="inlineStr">
        <is>
          <t>二单元合用前室</t>
        </is>
      </c>
      <c r="C1307" s="27" t="n"/>
      <c r="D1307" s="27" t="n"/>
      <c r="E1307" s="27" t="n"/>
      <c r="F1307" s="28" t="n"/>
      <c r="G1307" s="61" t="n"/>
      <c r="H1307" s="62" t="n"/>
      <c r="I1307" s="65" t="n"/>
      <c r="J1307" s="62" t="n"/>
      <c r="K1307" s="63" t="n"/>
      <c r="L1307" s="33" t="n"/>
      <c r="M1307" s="64" t="n"/>
      <c r="P1307" s="35" t="n"/>
      <c r="Q1307" s="35" t="n"/>
      <c r="R1307" s="35" t="n"/>
    </row>
    <row r="1308" outlineLevel="1" customFormat="1" s="39">
      <c r="A1308" s="36" t="n"/>
      <c r="B1308" s="27" t="inlineStr">
        <is>
          <t>地面工程</t>
        </is>
      </c>
      <c r="C1308" s="27" t="n"/>
      <c r="D1308" s="27" t="n"/>
      <c r="E1308" s="27" t="n"/>
      <c r="F1308" s="28" t="n"/>
      <c r="G1308" s="61" t="n"/>
      <c r="H1308" s="62" t="n"/>
      <c r="I1308" s="65" t="n"/>
      <c r="J1308" s="62" t="n"/>
      <c r="K1308" s="63" t="n"/>
      <c r="L1308" s="33" t="n"/>
      <c r="M1308" s="64" t="n"/>
      <c r="P1308" s="35" t="n"/>
      <c r="Q1308" s="35" t="n"/>
      <c r="R1308" s="35" t="n"/>
    </row>
    <row r="1309" outlineLevel="2" ht="108" customFormat="1" customHeight="1" s="39">
      <c r="A1309" s="37">
        <f>1+N(A1308)</f>
        <v/>
      </c>
      <c r="B1309" s="27" t="inlineStr">
        <is>
          <t>地面铺贴大理石ST-01</t>
        </is>
      </c>
      <c r="C1309" s="27" t="inlineStr">
        <is>
          <t>1.地面20mm大理石ST-01、铺贴、厚度及样式按物料书为准；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1309"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309" s="27" t="inlineStr">
        <is>
          <t xml:space="preserve">执行《GB/T50854-2024房屋建筑与装饰工程工程量计算标准》，按设计图示尺寸
以面积计算。 </t>
        </is>
      </c>
      <c r="F1309" s="28" t="inlineStr">
        <is>
          <t>m2</t>
        </is>
      </c>
      <c r="G1309" s="61" t="n">
        <v>6.9</v>
      </c>
      <c r="H1309" s="62" t="n">
        <v>218.75017</v>
      </c>
      <c r="I1309" s="65" t="n"/>
      <c r="J1309" s="62">
        <f>H1309*(1-$I$4)</f>
        <v/>
      </c>
      <c r="K1309" s="63">
        <f>G1309*J1309</f>
        <v/>
      </c>
      <c r="L1309" s="33" t="inlineStr">
        <is>
          <t>石材</t>
        </is>
      </c>
      <c r="M1309" s="64" t="n"/>
      <c r="O1309" t="n">
        <v>130</v>
      </c>
      <c r="P1309" s="35" t="inlineStr">
        <is>
          <t>差:-88.75元 (-40.6%) 来源:售楼处</t>
        </is>
      </c>
      <c r="Q1309" s="35" t="n"/>
      <c r="R1309" s="35" t="n"/>
    </row>
    <row r="1310" outlineLevel="2" ht="108" customFormat="1" customHeight="1" s="39">
      <c r="A1310" s="37">
        <f>1+N(A1309)</f>
        <v/>
      </c>
      <c r="B1310" s="27" t="inlineStr">
        <is>
          <t>地面铺贴大理石ST-01.02拼花</t>
        </is>
      </c>
      <c r="C1310" s="27" t="inlineStr">
        <is>
          <t>1.地面20mm大理石拼花、参考3F-DF-01样式、ST-01、ST-02按物料书为准；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1310"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310" s="27" t="inlineStr">
        <is>
          <t xml:space="preserve">执行《GB/T50854-2024房屋建筑与装饰工程工程量计算标准》，按设计图示尺寸
以面积计算。 </t>
        </is>
      </c>
      <c r="F1310" s="28" t="inlineStr">
        <is>
          <t>m2</t>
        </is>
      </c>
      <c r="G1310" s="61" t="n">
        <v>17.12</v>
      </c>
      <c r="H1310" s="62" t="n">
        <v>242.35017</v>
      </c>
      <c r="I1310" s="65" t="n"/>
      <c r="J1310" s="62">
        <f>H1310*(1-$I$4)</f>
        <v/>
      </c>
      <c r="K1310" s="63">
        <f>G1310*J1310</f>
        <v/>
      </c>
      <c r="L1310" s="33" t="inlineStr">
        <is>
          <t>石材</t>
        </is>
      </c>
      <c r="M1310" s="64" t="n"/>
      <c r="O1310" t="n">
        <v>130</v>
      </c>
      <c r="P1310" s="35" t="inlineStr">
        <is>
          <t>差:-112.35元 (-46.4%) 来源:售楼处</t>
        </is>
      </c>
      <c r="Q1310" s="35" t="n"/>
      <c r="R1310" s="35" t="n"/>
    </row>
    <row r="1311" outlineLevel="2" ht="108" customFormat="1" customHeight="1" s="39">
      <c r="A1311" s="37">
        <f>1+N(A1310)</f>
        <v/>
      </c>
      <c r="B1311" s="27" t="inlineStr">
        <is>
          <t>实心铜条5mm宽</t>
        </is>
      </c>
      <c r="C1311" s="27" t="inlineStr">
        <is>
          <t>1.实心铜条5mm宽；
2.包含完成该项内容所有工作及费用并满足设计图纸、规范等要求；</t>
        </is>
      </c>
      <c r="D1311"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311" s="27" t="inlineStr">
        <is>
          <t>按设计图示尺寸以长度计算。</t>
        </is>
      </c>
      <c r="F1311" s="28" t="inlineStr">
        <is>
          <t>m</t>
        </is>
      </c>
      <c r="G1311" s="61" t="n">
        <v>17.73</v>
      </c>
      <c r="H1311" s="62" t="n">
        <v>89.267</v>
      </c>
      <c r="I1311" s="65" t="n"/>
      <c r="J1311" s="62">
        <f>H1311*(1-$I$4)</f>
        <v/>
      </c>
      <c r="K1311" s="63">
        <f>G1311*J1311</f>
        <v/>
      </c>
      <c r="L1311" s="33" t="inlineStr">
        <is>
          <t>/</t>
        </is>
      </c>
      <c r="M1311" s="64" t="n"/>
      <c r="O1311" t="n">
        <v>12</v>
      </c>
      <c r="P1311" s="35" t="inlineStr">
        <is>
          <t>差:-77.27元 (-86.6%) 来源:售楼处</t>
        </is>
      </c>
      <c r="Q1311" s="35" t="n"/>
      <c r="R1311" s="35" t="n"/>
    </row>
    <row r="1312" outlineLevel="2" ht="108" customFormat="1" customHeight="1" s="39">
      <c r="A1312" s="37">
        <f>1+N(A1311)</f>
        <v/>
      </c>
      <c r="B1312" s="27" t="inlineStr">
        <is>
          <t>地面石材晶面处理</t>
        </is>
      </c>
      <c r="C1312" s="27" t="inlineStr">
        <is>
          <t>1.石材结晶处理(结晶水及石材保养剂,中性清洁剂)；
2.包含完成该项内容所有工作及费用并满足设计图纸、规范等要求；</t>
        </is>
      </c>
      <c r="D1312"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312" s="27" t="inlineStr">
        <is>
          <t xml:space="preserve">执行《GB/T50854-2024房屋建筑与装饰工程工程量计算标准》，按设计图示尺寸
以面积计算。 </t>
        </is>
      </c>
      <c r="F1312" s="28" t="inlineStr">
        <is>
          <t>m2</t>
        </is>
      </c>
      <c r="G1312" s="61" t="n">
        <v>24.01</v>
      </c>
      <c r="H1312" s="62" t="n">
        <v>64.90000000000001</v>
      </c>
      <c r="I1312" s="65" t="n"/>
      <c r="J1312" s="62">
        <f>H1312*(1-$I$4)</f>
        <v/>
      </c>
      <c r="K1312" s="63">
        <f>G1312*J1312</f>
        <v/>
      </c>
      <c r="L1312" s="33" t="inlineStr">
        <is>
          <t>/</t>
        </is>
      </c>
      <c r="M1312" s="64" t="n"/>
      <c r="O1312" t="n">
        <v>40</v>
      </c>
      <c r="P1312" s="35" t="inlineStr">
        <is>
          <t>差:-24.90元 (-38.4%) 来源:售楼处</t>
        </is>
      </c>
      <c r="Q1312" s="35" t="n"/>
      <c r="R1312" s="35" t="n"/>
    </row>
    <row r="1313" outlineLevel="1" customFormat="1" s="39">
      <c r="A1313" s="36" t="n"/>
      <c r="B1313" s="27" t="inlineStr">
        <is>
          <t>墙面工程</t>
        </is>
      </c>
      <c r="C1313" s="27" t="n"/>
      <c r="D1313" s="27" t="n"/>
      <c r="E1313" s="27" t="n"/>
      <c r="F1313" s="28" t="n"/>
      <c r="G1313" s="61" t="n"/>
      <c r="H1313" s="62" t="n"/>
      <c r="I1313" s="65" t="n"/>
      <c r="J1313" s="62" t="n"/>
      <c r="K1313" s="63" t="n"/>
      <c r="L1313" s="33" t="n"/>
      <c r="M1313" s="64" t="n"/>
      <c r="P1313" s="35" t="n"/>
      <c r="Q1313" s="35" t="n"/>
      <c r="R1313" s="35" t="n"/>
    </row>
    <row r="1314" outlineLevel="2" ht="144" customFormat="1" customHeight="1" s="39">
      <c r="A1314" s="37">
        <f>1+N(A1313)</f>
        <v/>
      </c>
      <c r="B1314" s="27" t="inlineStr">
        <is>
          <t>墙面湿贴石材ST-05</t>
        </is>
      </c>
      <c r="C1314" s="27" t="inlineStr">
        <is>
          <t>1、墙面湿贴石材ST-05
2、8mm厚石材专用胶粘剂WC粘结层
3、界面剂拉毛处理
4、石材的开槽、磨边、倒角、粘接、形成所需之凹坑、抛光、六面防污防渗等一切处理费用均在主材费中考虑，不再另行计取
5、包含完成该项内容所有工作及费用并满足设计图纸、规范等要求</t>
        </is>
      </c>
      <c r="D1314" s="27" t="inlineStr">
        <is>
          <t>具体工作内容除详见项目特征外，且不限于以下内容:1.包含材料的下车、场内运输；2.清理基层、找标高、弹线定位；3.试拼试排；4.砂浆拌和、铺找平层（粘结层）砂浆；5.面层铺设、灌缝、擦缝；6.打蜡、养护；配合留设墙面开关、插座等末端设备等全部内容；包含成品保护、安全文明施工等达到验收合格的全部施工内容。</t>
        </is>
      </c>
      <c r="E1314" s="27" t="inlineStr">
        <is>
          <t>执行《GB/T50854-2024房屋建筑与装饰工程工程量计算标准》，按设计图示镶贴后外围面积计算</t>
        </is>
      </c>
      <c r="F1314" s="28" t="inlineStr">
        <is>
          <t>m2</t>
        </is>
      </c>
      <c r="G1314" s="61" t="n">
        <v>8.449999999999999</v>
      </c>
      <c r="H1314" s="62" t="n">
        <v>177</v>
      </c>
      <c r="I1314" s="65" t="n"/>
      <c r="J1314" s="62">
        <f>H1314*(1-$I$4)</f>
        <v/>
      </c>
      <c r="K1314" s="63">
        <f>G1314*J1314</f>
        <v/>
      </c>
      <c r="L1314" s="33" t="inlineStr">
        <is>
          <t>石材</t>
        </is>
      </c>
      <c r="M1314" s="64" t="n"/>
      <c r="O1314" t="n">
        <v>95</v>
      </c>
      <c r="P1314" s="35" t="inlineStr">
        <is>
          <t>差:-82.00元 (-46.3%) 来源:售楼处</t>
        </is>
      </c>
      <c r="Q1314" s="35" t="n"/>
      <c r="R1314" s="35" t="n"/>
    </row>
    <row r="1315" outlineLevel="2" ht="180" customFormat="1" customHeight="1" s="39">
      <c r="A1315" s="37">
        <f>1+N(A1314)</f>
        <v/>
      </c>
      <c r="B1315" s="27" t="inlineStr">
        <is>
          <t>墙面干挂ST-05石材</t>
        </is>
      </c>
      <c r="C1315" s="27" t="inlineStr">
        <is>
          <t>1、墙面干挂ST-05石材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is>
      </c>
      <c r="D1315"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315" s="27" t="inlineStr">
        <is>
          <t>执行《GB/T50854-2024房屋建筑与装饰工程工程量计算标准》，按设计图示镶贴后外围面积计算</t>
        </is>
      </c>
      <c r="F1315" s="28" t="inlineStr">
        <is>
          <t>m2</t>
        </is>
      </c>
      <c r="G1315" s="61" t="n">
        <v>32.97</v>
      </c>
      <c r="H1315" s="62" t="n">
        <v>318.6</v>
      </c>
      <c r="I1315" s="65" t="n"/>
      <c r="J1315" s="62">
        <f>H1315*(1-$I$4)</f>
        <v/>
      </c>
      <c r="K1315" s="63">
        <f>G1315*J1315</f>
        <v/>
      </c>
      <c r="L1315" s="33" t="inlineStr">
        <is>
          <t>石材</t>
        </is>
      </c>
      <c r="M1315" s="64" t="n"/>
      <c r="O1315" t="n">
        <v>145</v>
      </c>
      <c r="P1315" s="35" t="inlineStr">
        <is>
          <t>差:-173.60元 (-54.5%) 来源:售楼处</t>
        </is>
      </c>
      <c r="Q1315" s="35" t="n"/>
      <c r="R1315" s="35" t="n"/>
    </row>
    <row r="1316" outlineLevel="2" ht="180" customFormat="1" customHeight="1" s="39">
      <c r="A1316" s="37">
        <f>1+N(A1315)</f>
        <v/>
      </c>
      <c r="B1316" s="27" t="inlineStr">
        <is>
          <t>电梯不锈钢门套</t>
        </is>
      </c>
      <c r="C1316" s="27" t="inlineStr">
        <is>
          <t>1、1.2mm厚 MT-01古铜不锈钢门套，结构胶固定
2、9厘玻镁板基层
3、工程量以展开面积计算
4、包含完成该项内容所有工作及费用并满足设计图纸、规范等要求</t>
        </is>
      </c>
      <c r="D1316"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316" s="27" t="inlineStr">
        <is>
          <t>执行《GB/T50854-2024房屋建筑与装饰工程工程量计算标准》，按设计图示饰面外围尺寸
以面积计算。 扣除门窗洞口面积，不扣除单个面积≤0.3㎡的孔洞所占面积。</t>
        </is>
      </c>
      <c r="F1316" s="28" t="inlineStr">
        <is>
          <t>m2</t>
        </is>
      </c>
      <c r="G1316" s="61" t="n">
        <v>3.4</v>
      </c>
      <c r="H1316" s="62" t="n">
        <v>630.651</v>
      </c>
      <c r="I1316" s="65" t="n"/>
      <c r="J1316" s="62">
        <f>H1316*(1-$I$4)</f>
        <v/>
      </c>
      <c r="K1316" s="63">
        <f>G1316*J1316</f>
        <v/>
      </c>
      <c r="L1316" s="33" t="inlineStr">
        <is>
          <t>/</t>
        </is>
      </c>
      <c r="M1316" s="64" t="n"/>
      <c r="O1316" t="n">
        <v>110</v>
      </c>
      <c r="P1316" s="35" t="inlineStr">
        <is>
          <t>差:-520.65元 (-82.6%) 来源:售楼处</t>
        </is>
      </c>
      <c r="Q1316" s="35" t="n"/>
      <c r="R1316" s="35" t="n"/>
    </row>
    <row r="1317" outlineLevel="2" ht="180" customFormat="1" customHeight="1" s="39">
      <c r="A1317" s="37">
        <f>1+N(A1316)</f>
        <v/>
      </c>
      <c r="B1317" s="27" t="inlineStr">
        <is>
          <t>电梯不锈钢门头</t>
        </is>
      </c>
      <c r="C1317" s="27" t="inlineStr">
        <is>
          <t>1、1.2mm厚 MT-01古铜不锈钢门头，结构胶固定
2、12mm阻燃板，轻钢副龙骨@400
3、电梯门顶内置亚克力，内部面层刮白处理
4、工程量以展开面积计算
5、包含完成该项内容所有工作及费用并满足设计图纸、规范等要求</t>
        </is>
      </c>
      <c r="D1317"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317" s="27" t="inlineStr">
        <is>
          <t>执行《GB/T50854-2024房屋建筑与装饰工程工程量计算标准》，按设计图示饰面外围尺寸
以面积计算。 扣除门窗洞口面积，不扣除单个面积≤0.3㎡的孔洞所占面积。</t>
        </is>
      </c>
      <c r="F1317" s="28" t="inlineStr">
        <is>
          <t>m2</t>
        </is>
      </c>
      <c r="G1317" s="61" t="n">
        <v>0.9</v>
      </c>
      <c r="H1317" s="62" t="n">
        <v>812.961</v>
      </c>
      <c r="I1317" s="65" t="n"/>
      <c r="J1317" s="62">
        <f>H1317*(1-$I$4)</f>
        <v/>
      </c>
      <c r="K1317" s="63">
        <f>G1317*J1317</f>
        <v/>
      </c>
      <c r="L1317" s="33" t="inlineStr">
        <is>
          <t>/</t>
        </is>
      </c>
      <c r="M1317" s="64" t="n"/>
      <c r="O1317" t="n">
        <v>110</v>
      </c>
      <c r="P1317" s="35" t="inlineStr">
        <is>
          <t>差:-702.96元 (-86.5%) 来源:售楼处</t>
        </is>
      </c>
      <c r="Q1317" s="35" t="n"/>
      <c r="R1317" s="35" t="n"/>
    </row>
    <row r="1318" outlineLevel="2" ht="180" customFormat="1" customHeight="1" s="39">
      <c r="A1318" s="37">
        <f>1+N(A1317)</f>
        <v/>
      </c>
      <c r="B1318" s="27" t="inlineStr">
        <is>
          <t>MT-01古铜不锈钢饰面（电梯按钮处）</t>
        </is>
      </c>
      <c r="C1318" s="27" t="inlineStr">
        <is>
          <t>1、1.2mm厚 MT-01古铜不锈钢饰面
2、12mm阻燃板基层，轻钢副龙骨@400
3、工程量以展开面积计算
4、包含完成该项内容所有工作及费用并满足设计图纸、规范等要求</t>
        </is>
      </c>
      <c r="D1318"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318" s="27" t="inlineStr">
        <is>
          <t>执行《GB/T50854-2024房屋建筑与装饰工程工程量计算标准》，按设计图示饰面外围尺寸
以面积计算。 扣除门窗洞口面积，不扣除单个面积≤0.3㎡的孔洞所占面积。</t>
        </is>
      </c>
      <c r="F1318" s="28" t="inlineStr">
        <is>
          <t>m2</t>
        </is>
      </c>
      <c r="G1318" s="61" t="n">
        <v>0.26</v>
      </c>
      <c r="H1318" s="62" t="n">
        <v>295</v>
      </c>
      <c r="I1318" s="65" t="n"/>
      <c r="J1318" s="62">
        <f>H1318*(1-$I$4)</f>
        <v/>
      </c>
      <c r="K1318" s="63">
        <f>G1318*J1318</f>
        <v/>
      </c>
      <c r="L1318" s="33" t="inlineStr">
        <is>
          <t>不锈钢饰面</t>
        </is>
      </c>
      <c r="M1318" s="64" t="n"/>
      <c r="O1318" t="n">
        <v>110</v>
      </c>
      <c r="P1318" s="35" t="inlineStr">
        <is>
          <t>差:-185.00元 (-62.7%) 来源:售楼处</t>
        </is>
      </c>
      <c r="Q1318" s="35" t="n"/>
      <c r="R1318" s="35" t="n"/>
    </row>
    <row r="1319" outlineLevel="2" ht="144" customFormat="1" customHeight="1" s="39">
      <c r="A1319" s="37">
        <f>1+N(A1318)</f>
        <v/>
      </c>
      <c r="B1319" s="27" t="inlineStr">
        <is>
          <t>MT-01古铜不锈钢踢脚线（高20mm）</t>
        </is>
      </c>
      <c r="C1319" s="27" t="inlineStr">
        <is>
          <t>1、1.2mm厚 MT-01古铜不锈钢踢脚线（高20mm，展开面为46mm），结构胶固定
2、9厘玻镁板基层
3、包含完成该项内容所有工作及费用并满足设计图纸、规范等要求</t>
        </is>
      </c>
      <c r="D1319"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319" s="27" t="inlineStr">
        <is>
          <t>按设计图示尺寸以长度计算。</t>
        </is>
      </c>
      <c r="F1319" s="28" t="inlineStr">
        <is>
          <t>m</t>
        </is>
      </c>
      <c r="G1319" s="61" t="n">
        <v>16.8</v>
      </c>
      <c r="H1319" s="62" t="n">
        <v>31.86</v>
      </c>
      <c r="I1319" s="65" t="n"/>
      <c r="J1319" s="62">
        <f>H1319*(1-$I$4)</f>
        <v/>
      </c>
      <c r="K1319" s="63">
        <f>G1319*J1319</f>
        <v/>
      </c>
      <c r="L1319" s="33" t="inlineStr">
        <is>
          <t>不锈钢踢脚线</t>
        </is>
      </c>
      <c r="M1319" s="64" t="n"/>
      <c r="O1319" t="n">
        <v>12</v>
      </c>
      <c r="P1319" s="35" t="inlineStr">
        <is>
          <t>差:-19.86元 (-62.3%) 来源:售楼处</t>
        </is>
      </c>
      <c r="Q1319" s="35" t="n"/>
      <c r="R1319" s="35" t="n"/>
    </row>
    <row r="1320" outlineLevel="2" ht="144" customFormat="1" customHeight="1" s="39">
      <c r="A1320" s="37">
        <f>1+N(A1319)</f>
        <v/>
      </c>
      <c r="B1320" s="27" t="inlineStr">
        <is>
          <t>MT-01古铜不锈钢线条（展开面为114mm）</t>
        </is>
      </c>
      <c r="C1320" s="27" t="inlineStr">
        <is>
          <t>1、1.2mm厚 MT-01古铜不锈钢线条（展开面为114mm），结构胶固定
2、9厘玻镁板基层
3、包含完成该项内容所有工作及费用并满足设计图纸、规范等要求</t>
        </is>
      </c>
      <c r="D1320"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320" s="27" t="inlineStr">
        <is>
          <t>按设计图示尺寸以长度计算。</t>
        </is>
      </c>
      <c r="F1320" s="28" t="inlineStr">
        <is>
          <t>m</t>
        </is>
      </c>
      <c r="G1320" s="61" t="n">
        <v>14.95</v>
      </c>
      <c r="H1320" s="62" t="n">
        <v>67.082292</v>
      </c>
      <c r="I1320" s="65" t="n"/>
      <c r="J1320" s="62">
        <f>H1320*(1-$I$4)</f>
        <v/>
      </c>
      <c r="K1320" s="63">
        <f>G1320*J1320</f>
        <v/>
      </c>
      <c r="L1320" s="33" t="inlineStr">
        <is>
          <t>/</t>
        </is>
      </c>
      <c r="M1320" s="64" t="n"/>
      <c r="O1320" t="n">
        <v>22</v>
      </c>
      <c r="P1320" s="35" t="inlineStr">
        <is>
          <t>差:-45.08元 (-67.2%) 来源:售楼处</t>
        </is>
      </c>
      <c r="Q1320" s="35" t="n"/>
      <c r="R1320" s="35" t="n"/>
    </row>
    <row r="1321" outlineLevel="2" ht="144" customFormat="1" customHeight="1" s="39">
      <c r="A1321" s="37">
        <f>1+N(A1320)</f>
        <v/>
      </c>
      <c r="B1321" s="27" t="inlineStr">
        <is>
          <t>MT-01古铜不锈钢顶部收口条（展开面为41mm）</t>
        </is>
      </c>
      <c r="C1321" s="27" t="inlineStr">
        <is>
          <t>1、1.2mm厚 MT-01古铜不锈钢顶部收口条（展开面为41mm），结构胶固定
2、9厘玻镁板基层
3、包含完成该项内容所有工作及费用并满足设计图纸、规范等要求</t>
        </is>
      </c>
      <c r="D1321"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321" s="27" t="inlineStr">
        <is>
          <t>按设计图示尺寸以长度计算。</t>
        </is>
      </c>
      <c r="F1321" s="28" t="inlineStr">
        <is>
          <t>m</t>
        </is>
      </c>
      <c r="G1321" s="61" t="n">
        <v>18.67</v>
      </c>
      <c r="H1321" s="62" t="n">
        <v>64.24509999999999</v>
      </c>
      <c r="I1321" s="65" t="n"/>
      <c r="J1321" s="62">
        <f>H1321*(1-$I$4)</f>
        <v/>
      </c>
      <c r="K1321" s="63">
        <f>G1321*J1321</f>
        <v/>
      </c>
      <c r="L1321" s="33" t="inlineStr">
        <is>
          <t>/</t>
        </is>
      </c>
      <c r="M1321" s="64" t="n"/>
      <c r="O1321" t="n">
        <v>12</v>
      </c>
      <c r="P1321" s="35" t="inlineStr">
        <is>
          <t>差:-52.25元 (-81.3%) 来源:售楼处</t>
        </is>
      </c>
      <c r="Q1321" s="35" t="n"/>
      <c r="R1321" s="35" t="n"/>
    </row>
    <row r="1322" outlineLevel="1" customFormat="1" s="39">
      <c r="A1322" s="36" t="n"/>
      <c r="B1322" s="27" t="inlineStr">
        <is>
          <t>天花工程</t>
        </is>
      </c>
      <c r="C1322" s="27" t="n"/>
      <c r="D1322" s="27" t="n"/>
      <c r="E1322" s="27" t="n"/>
      <c r="F1322" s="28" t="n"/>
      <c r="G1322" s="61" t="n"/>
      <c r="H1322" s="62" t="n"/>
      <c r="I1322" s="65" t="n"/>
      <c r="J1322" s="62" t="n"/>
      <c r="K1322" s="63" t="n"/>
      <c r="L1322" s="33" t="n"/>
      <c r="M1322" s="64" t="n"/>
      <c r="P1322" s="35" t="n"/>
      <c r="Q1322" s="35" t="n"/>
      <c r="R1322" s="35" t="n"/>
    </row>
    <row r="1323" outlineLevel="2" ht="192" customFormat="1" customHeight="1" s="39">
      <c r="A1323" s="37">
        <f>1+N(A1322)</f>
        <v/>
      </c>
      <c r="B1323" s="27" t="inlineStr">
        <is>
          <t>石膏板吊顶</t>
        </is>
      </c>
      <c r="C1323" s="27" t="inlineStr">
        <is>
          <t>1.60系列轻钢主龙骨@900，60系列轻钢副龙骨@400，60系列横撑龙骨@600，08螺纹吊杆@900不上人天花吊顶（投影面计算）
2.玻镁板、双层9.5厚石膏板基层，含开孔、检修口、10*10凹槽等费用；
3.含除灯槽外的侧面高差及其连接件、吊件；
4.包含完成该项内容所有工作及费用并满足设计图纸、规范等要求；</t>
        </is>
      </c>
      <c r="D1323" s="27" t="inlineStr">
        <is>
          <t>1.基层清理。
2.弹线定位、排版。
3.吊杆及连接件安装调平、收口及密封处理。
4.材料切割处理找平、石膏板安装及调整，打胶密封与清理.
5.收口及其他处理：检修口等制作安装、收边收口、配合预留安装、机电等专业孔洞及孔洞收口处理。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1323" s="27" t="inlineStr">
        <is>
          <t>按设计图示尺寸以水平投影面积计算。不扣除间壁墙、检查口、附墙烟囱、柱垛和管道所占面积,扣除单个&gt;0.3m3的孔洞、非密拼吊顶空隙所占的面积、独立柱及与天棚相连的窗帘盒所占的面积。</t>
        </is>
      </c>
      <c r="F1323" s="28" t="inlineStr">
        <is>
          <t>m2</t>
        </is>
      </c>
      <c r="G1323" s="61" t="n">
        <v>25.19</v>
      </c>
      <c r="H1323" s="62" t="n">
        <v>150.712222222222</v>
      </c>
      <c r="I1323" s="65" t="n"/>
      <c r="J1323" s="62">
        <f>H1323*(1-$I$4)</f>
        <v/>
      </c>
      <c r="K1323" s="63">
        <f>G1323*J1323</f>
        <v/>
      </c>
      <c r="L1323" s="33" t="inlineStr">
        <is>
          <t>/</t>
        </is>
      </c>
      <c r="M1323" s="64" t="n"/>
      <c r="O1323" t="n">
        <v>70</v>
      </c>
      <c r="P1323" s="35" t="inlineStr">
        <is>
          <t>差:-80.71元 (-53.6%) 来源:会所合并</t>
        </is>
      </c>
      <c r="Q1323" s="35" t="n"/>
      <c r="R1323" s="35" t="n"/>
    </row>
    <row r="1324" outlineLevel="2" ht="72" customFormat="1" customHeight="1" s="39">
      <c r="A1324" s="37">
        <f>1+N(A1323)</f>
        <v/>
      </c>
      <c r="B1324" s="27" t="inlineStr">
        <is>
          <t>灯槽（100mm*200mm）</t>
        </is>
      </c>
      <c r="C1324" s="27" t="inlineStr">
        <is>
          <t>1.灯槽（100mm*200mm）；
2.双层板：9mm玻镁板、9.5厚石膏板；
3.包含完成该项内容所有工作及费用并满足设计图纸、规范等要求；</t>
        </is>
      </c>
      <c r="D1324" s="27" t="inlineStr">
        <is>
          <t>自现有现场条件下按照合同约定范围、图纸（含设计变更）及甲方要求内容以及规范、标准、相关做法等要求完成并达到总包合同全部目标的全部工作内容。</t>
        </is>
      </c>
      <c r="E1324" s="27" t="inlineStr">
        <is>
          <t>依据经承包人确认的施工部位,按设计图示尺寸以延长米计算。</t>
        </is>
      </c>
      <c r="F1324" s="28" t="inlineStr">
        <is>
          <t>m</t>
        </is>
      </c>
      <c r="G1324" s="61" t="n">
        <v>17.75</v>
      </c>
      <c r="H1324" s="62" t="n">
        <v>112.159</v>
      </c>
      <c r="I1324" s="65" t="n"/>
      <c r="J1324" s="62">
        <f>H1324*(1-$I$4)</f>
        <v/>
      </c>
      <c r="K1324" s="63">
        <f>G1324*J1324</f>
        <v/>
      </c>
      <c r="L1324" s="33" t="inlineStr">
        <is>
          <t>/</t>
        </is>
      </c>
      <c r="M1324" s="64" t="n"/>
      <c r="O1324" t="n">
        <v>50</v>
      </c>
      <c r="P1324" s="35" t="inlineStr">
        <is>
          <t>差:-62.16元 (-55.4%) 来源:售楼处</t>
        </is>
      </c>
      <c r="Q1324" s="35" t="n"/>
      <c r="R1324" s="35" t="n"/>
    </row>
    <row r="1325" outlineLevel="2" ht="72" customFormat="1" customHeight="1" s="39">
      <c r="A1325" s="37">
        <f>1+N(A1324)</f>
        <v/>
      </c>
      <c r="B1325" s="27" t="inlineStr">
        <is>
          <t>成品石膏线条</t>
        </is>
      </c>
      <c r="C1325" s="27" t="inlineStr">
        <is>
          <t>1.成品石膏线条（50mm*50mm）；
2.按图纸造型；
3.包含完成该项内容所有工作及费用并满足设计图纸、规范等要求；</t>
        </is>
      </c>
      <c r="D1325" s="27" t="inlineStr">
        <is>
          <t>自现有现场条件下按照合同约定范围、图纸（含设计变更）及甲方要求内容以及规范、标准、相关做法等要求完成并达到总包合同全部目标的全部工作内容。</t>
        </is>
      </c>
      <c r="E1325" s="27" t="inlineStr">
        <is>
          <t>依据经承包人确认的施工部位,按设计图示尺寸以延长米计算。</t>
        </is>
      </c>
      <c r="F1325" s="28" t="inlineStr">
        <is>
          <t>m</t>
        </is>
      </c>
      <c r="G1325" s="61" t="n">
        <v>17.75</v>
      </c>
      <c r="H1325" s="62" t="n">
        <v>20.06</v>
      </c>
      <c r="I1325" s="65" t="n"/>
      <c r="J1325" s="62">
        <f>H1325*(1-$I$4)</f>
        <v/>
      </c>
      <c r="K1325" s="63">
        <f>G1325*J1325</f>
        <v/>
      </c>
      <c r="L1325" s="33" t="inlineStr">
        <is>
          <t>成品石膏线条</t>
        </is>
      </c>
      <c r="M1325" s="64" t="n"/>
      <c r="O1325" t="n">
        <v>18</v>
      </c>
      <c r="P1325" s="35" t="inlineStr">
        <is>
          <t>差:-2.06元 (-10.3%) 来源:售楼处</t>
        </is>
      </c>
      <c r="Q1325" s="35" t="n"/>
      <c r="R1325" s="35" t="n"/>
    </row>
    <row r="1326" outlineLevel="2" ht="72" customFormat="1" customHeight="1" s="39">
      <c r="A1326" s="37">
        <f>1+N(A1325)</f>
        <v/>
      </c>
      <c r="B1326" s="27" t="inlineStr">
        <is>
          <t>条形空调风口（150mm）</t>
        </is>
      </c>
      <c r="C1326" s="27" t="inlineStr">
        <is>
          <t>1.条形空调风口（150mm）；
2.风口周边阻燃板封边加固处理；
3.包含完成该项内容所有工作及费用并满足设计图纸、规范等要求；</t>
        </is>
      </c>
      <c r="D1326" s="27" t="inlineStr">
        <is>
          <t>自现有现场条件下按照合同约定范围、图纸（含设计变更）及甲方要求内容以及规范、标准、相关做法等要求完成并达到总包合同全部目标的全部工作内容。</t>
        </is>
      </c>
      <c r="E1326" s="27" t="inlineStr">
        <is>
          <t>依据经承包人确认的施工部位,按设计图示尺寸以延长米计算。</t>
        </is>
      </c>
      <c r="F1326" s="28" t="inlineStr">
        <is>
          <t>m</t>
        </is>
      </c>
      <c r="G1326" s="61" t="n">
        <v>12</v>
      </c>
      <c r="H1326" s="62" t="n">
        <v>109.74</v>
      </c>
      <c r="I1326" s="65" t="n"/>
      <c r="J1326" s="62">
        <f>H1326*(1-$I$4)</f>
        <v/>
      </c>
      <c r="K1326" s="63">
        <f>G1326*J1326</f>
        <v/>
      </c>
      <c r="L1326" s="33" t="inlineStr">
        <is>
          <t>空调风口</t>
        </is>
      </c>
      <c r="M1326" s="64" t="n"/>
      <c r="O1326" t="n">
        <v>30</v>
      </c>
      <c r="P1326" s="35" t="inlineStr">
        <is>
          <t>差:-79.74元 (-72.7%) 来源:售楼处</t>
        </is>
      </c>
      <c r="Q1326" s="35" t="n"/>
      <c r="R1326" s="35" t="n"/>
    </row>
    <row r="1327" outlineLevel="2" ht="192" customFormat="1" customHeight="1" s="39">
      <c r="A1327" s="37">
        <f>1+N(A1326)</f>
        <v/>
      </c>
      <c r="B1327" s="27" t="inlineStr">
        <is>
          <t>天花肌理无机涂料PT-01</t>
        </is>
      </c>
      <c r="C1327" s="27" t="inlineStr">
        <is>
          <t>1.天花肌理无机涂料PT-01；
2.刮腻子二遍磨平；
3.底漆1遍，面漆2遍；
4.包含完成该项内容所有工作及费用并满足设计图纸、规范等要求；</t>
        </is>
      </c>
      <c r="D1327" s="27" t="inlineStr">
        <is>
          <t>包括但不限于材料计划、采购、卸车倒运、保管、检验试验费、测量放线，包含四周阴角找平直、含天棚四周阴角找平直，打磨，简易脚手架搭拆及操作平台、升降机，基层清理、打磨平整、底层找补、满刮涂料（含阴阳角塑料条）、涂料打磨、补遗处理、配合其他分包施工、完工后场清、成品保护、保修等直到达到竣工交付标准的全部工作内容。包括所有为完成工作所需的小型机具；包括所有为完成工作所需的附属工作；包括但不限于以上内容。</t>
        </is>
      </c>
      <c r="E1327" s="27" t="inlineStr">
        <is>
          <t>执行《GB/T50854-2024房屋建筑与装饰工程工程量计算标准》，按设计图示尺寸以面积计算。扣除0.3平方米以上洞口的面积；梁侧面及檐口天棚并入天棚计算；以设计图纸和技术交底为基础</t>
        </is>
      </c>
      <c r="F1327" s="28" t="inlineStr">
        <is>
          <t>m2</t>
        </is>
      </c>
      <c r="G1327" s="61" t="n">
        <v>31.3</v>
      </c>
      <c r="H1327" s="62" t="n">
        <v>48.38</v>
      </c>
      <c r="I1327" s="65" t="n"/>
      <c r="J1327" s="62">
        <f>H1327*(1-$I$4)</f>
        <v/>
      </c>
      <c r="K1327" s="63">
        <f>G1327*J1327</f>
        <v/>
      </c>
      <c r="L1327" s="33" t="inlineStr">
        <is>
          <t>涂料</t>
        </is>
      </c>
      <c r="M1327" s="64" t="n"/>
      <c r="O1327" t="n">
        <v>45</v>
      </c>
      <c r="P1327" s="35" t="inlineStr">
        <is>
          <t>差:-3.38元 (-7.0%) 来源:售楼处</t>
        </is>
      </c>
      <c r="Q1327" s="35" t="n"/>
      <c r="R1327" s="35" t="n"/>
    </row>
    <row r="1328" outlineLevel="1" customFormat="1" s="39">
      <c r="A1328" s="36" t="n"/>
      <c r="B1328" s="27" t="inlineStr">
        <is>
          <t>门窗、家具工程</t>
        </is>
      </c>
      <c r="C1328" s="27" t="n"/>
      <c r="D1328" s="27" t="n"/>
      <c r="E1328" s="27" t="n"/>
      <c r="F1328" s="28" t="n"/>
      <c r="G1328" s="61" t="n"/>
      <c r="H1328" s="62" t="n"/>
      <c r="I1328" s="65" t="n"/>
      <c r="J1328" s="62" t="n"/>
      <c r="K1328" s="63" t="n"/>
      <c r="L1328" s="33" t="n"/>
      <c r="M1328" s="64" t="n"/>
      <c r="P1328" s="35" t="n"/>
      <c r="Q1328" s="35" t="n"/>
      <c r="R1328" s="35" t="n"/>
    </row>
    <row r="1329" outlineLevel="1" customFormat="1" s="39">
      <c r="A1329" s="26" t="inlineStr">
        <is>
          <t>三</t>
        </is>
      </c>
      <c r="B1329" s="27" t="inlineStr">
        <is>
          <t>三单元合用前室</t>
        </is>
      </c>
      <c r="C1329" s="27" t="n"/>
      <c r="D1329" s="27" t="n"/>
      <c r="E1329" s="27" t="n"/>
      <c r="F1329" s="28" t="n"/>
      <c r="G1329" s="61" t="n"/>
      <c r="H1329" s="62" t="n"/>
      <c r="I1329" s="65" t="n"/>
      <c r="J1329" s="62" t="n"/>
      <c r="K1329" s="63" t="n"/>
      <c r="L1329" s="33" t="n"/>
      <c r="M1329" s="64" t="n"/>
      <c r="P1329" s="35" t="n"/>
      <c r="Q1329" s="35" t="n"/>
      <c r="R1329" s="35" t="n"/>
    </row>
    <row r="1330" outlineLevel="1" customFormat="1" s="39">
      <c r="A1330" s="36" t="n"/>
      <c r="B1330" s="27" t="inlineStr">
        <is>
          <t>地面工程</t>
        </is>
      </c>
      <c r="C1330" s="27" t="n"/>
      <c r="D1330" s="27" t="n"/>
      <c r="E1330" s="27" t="n"/>
      <c r="F1330" s="28" t="n"/>
      <c r="G1330" s="61" t="n"/>
      <c r="H1330" s="62" t="n"/>
      <c r="I1330" s="65" t="n"/>
      <c r="J1330" s="62" t="n"/>
      <c r="K1330" s="63" t="n"/>
      <c r="L1330" s="33" t="n"/>
      <c r="M1330" s="64" t="n"/>
      <c r="P1330" s="35" t="n"/>
      <c r="Q1330" s="35" t="n"/>
      <c r="R1330" s="35" t="n"/>
    </row>
    <row r="1331" outlineLevel="2" ht="108" customFormat="1" customHeight="1" s="39">
      <c r="A1331" s="37">
        <f>1+N(A1330)</f>
        <v/>
      </c>
      <c r="B1331" s="27" t="inlineStr">
        <is>
          <t>地面铺贴大理石ST-01</t>
        </is>
      </c>
      <c r="C1331" s="27" t="inlineStr">
        <is>
          <t>1.地面20mm大理石ST-01、铺贴、厚度及样式按物料书为准；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1331"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331" s="27" t="inlineStr">
        <is>
          <t xml:space="preserve">执行《GB/T50854-2024房屋建筑与装饰工程工程量计算标准》，按设计图示尺寸
以面积计算。 </t>
        </is>
      </c>
      <c r="F1331" s="28" t="inlineStr">
        <is>
          <t>m2</t>
        </is>
      </c>
      <c r="G1331" s="61" t="n">
        <v>5.99</v>
      </c>
      <c r="H1331" s="62" t="n">
        <v>218.75017</v>
      </c>
      <c r="I1331" s="65" t="n"/>
      <c r="J1331" s="62">
        <f>H1331*(1-$I$4)</f>
        <v/>
      </c>
      <c r="K1331" s="63">
        <f>G1331*J1331</f>
        <v/>
      </c>
      <c r="L1331" s="33" t="inlineStr">
        <is>
          <t>石材</t>
        </is>
      </c>
      <c r="M1331" s="64" t="n"/>
      <c r="O1331" t="n">
        <v>130</v>
      </c>
      <c r="P1331" s="35" t="inlineStr">
        <is>
          <t>差:-88.75元 (-40.6%) 来源:售楼处</t>
        </is>
      </c>
      <c r="Q1331" s="35" t="n"/>
      <c r="R1331" s="35" t="n"/>
    </row>
    <row r="1332" outlineLevel="2" ht="108" customFormat="1" customHeight="1" s="39">
      <c r="A1332" s="37">
        <f>1+N(A1331)</f>
        <v/>
      </c>
      <c r="B1332" s="27" t="inlineStr">
        <is>
          <t>地面铺贴大理石ST-01.02拼花</t>
        </is>
      </c>
      <c r="C1332" s="27" t="inlineStr">
        <is>
          <t>1.地面20mm大理石拼花、参考3F-DF-01样式、ST-01、ST-02按物料书为准；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1332"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332" s="27" t="inlineStr">
        <is>
          <t xml:space="preserve">执行《GB/T50854-2024房屋建筑与装饰工程工程量计算标准》，按设计图示尺寸
以面积计算。 </t>
        </is>
      </c>
      <c r="F1332" s="28" t="inlineStr">
        <is>
          <t>m2</t>
        </is>
      </c>
      <c r="G1332" s="61" t="n">
        <v>7.72</v>
      </c>
      <c r="H1332" s="62" t="n">
        <v>242.35017</v>
      </c>
      <c r="I1332" s="65" t="n"/>
      <c r="J1332" s="62">
        <f>H1332*(1-$I$4)</f>
        <v/>
      </c>
      <c r="K1332" s="63">
        <f>G1332*J1332</f>
        <v/>
      </c>
      <c r="L1332" s="33" t="inlineStr">
        <is>
          <t>石材</t>
        </is>
      </c>
      <c r="M1332" s="64" t="n"/>
      <c r="O1332" t="n">
        <v>130</v>
      </c>
      <c r="P1332" s="35" t="inlineStr">
        <is>
          <t>差:-112.35元 (-46.4%) 来源:售楼处</t>
        </is>
      </c>
      <c r="Q1332" s="35" t="n"/>
      <c r="R1332" s="35" t="n"/>
    </row>
    <row r="1333" outlineLevel="2" ht="108" customFormat="1" customHeight="1" s="39">
      <c r="A1333" s="37">
        <f>1+N(A1332)</f>
        <v/>
      </c>
      <c r="B1333" s="27" t="inlineStr">
        <is>
          <t>实心铜条5mm宽</t>
        </is>
      </c>
      <c r="C1333" s="27" t="inlineStr">
        <is>
          <t>1.实心铜条5mm宽；
2.包含完成该项内容所有工作及费用并满足设计图纸、规范等要求；</t>
        </is>
      </c>
      <c r="D1333"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333" s="27" t="inlineStr">
        <is>
          <t>按设计图示尺寸以长度计算。</t>
        </is>
      </c>
      <c r="F1333" s="28" t="inlineStr">
        <is>
          <t>m</t>
        </is>
      </c>
      <c r="G1333" s="61" t="n">
        <v>10.47</v>
      </c>
      <c r="H1333" s="62" t="n">
        <v>89.267</v>
      </c>
      <c r="I1333" s="65" t="n"/>
      <c r="J1333" s="62">
        <f>H1333*(1-$I$4)</f>
        <v/>
      </c>
      <c r="K1333" s="63">
        <f>G1333*J1333</f>
        <v/>
      </c>
      <c r="L1333" s="33" t="inlineStr">
        <is>
          <t>/</t>
        </is>
      </c>
      <c r="M1333" s="64" t="n"/>
      <c r="O1333" t="n">
        <v>12</v>
      </c>
      <c r="P1333" s="35" t="inlineStr">
        <is>
          <t>差:-77.27元 (-86.6%) 来源:售楼处</t>
        </is>
      </c>
      <c r="Q1333" s="35" t="n"/>
      <c r="R1333" s="35" t="n"/>
    </row>
    <row r="1334" outlineLevel="2" ht="108" customFormat="1" customHeight="1" s="39">
      <c r="A1334" s="37">
        <f>1+N(A1333)</f>
        <v/>
      </c>
      <c r="B1334" s="27" t="inlineStr">
        <is>
          <t>地面石材晶面处理</t>
        </is>
      </c>
      <c r="C1334" s="27" t="inlineStr">
        <is>
          <t>1.石材结晶处理(结晶水及石材保养剂,中性清洁剂)；
2.包含完成该项内容所有工作及费用并满足设计图纸、规范等要求；</t>
        </is>
      </c>
      <c r="D1334"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334" s="27" t="inlineStr">
        <is>
          <t xml:space="preserve">执行《GB/T50854-2024房屋建筑与装饰工程工程量计算标准》，按设计图示尺寸
以面积计算。 </t>
        </is>
      </c>
      <c r="F1334" s="28" t="inlineStr">
        <is>
          <t>m2</t>
        </is>
      </c>
      <c r="G1334" s="61" t="n">
        <v>13.7</v>
      </c>
      <c r="H1334" s="62" t="n">
        <v>64.90000000000001</v>
      </c>
      <c r="I1334" s="65" t="n"/>
      <c r="J1334" s="62">
        <f>H1334*(1-$I$4)</f>
        <v/>
      </c>
      <c r="K1334" s="63">
        <f>G1334*J1334</f>
        <v/>
      </c>
      <c r="L1334" s="33" t="inlineStr">
        <is>
          <t>/</t>
        </is>
      </c>
      <c r="M1334" s="64" t="n"/>
      <c r="O1334" t="n">
        <v>40</v>
      </c>
      <c r="P1334" s="35" t="inlineStr">
        <is>
          <t>差:-24.90元 (-38.4%) 来源:售楼处</t>
        </is>
      </c>
      <c r="Q1334" s="35" t="n"/>
      <c r="R1334" s="35" t="n"/>
    </row>
    <row r="1335" outlineLevel="1" customFormat="1" s="39">
      <c r="A1335" s="36" t="n"/>
      <c r="B1335" s="27" t="inlineStr">
        <is>
          <t>墙面工程</t>
        </is>
      </c>
      <c r="C1335" s="27" t="n"/>
      <c r="D1335" s="27" t="n"/>
      <c r="E1335" s="27" t="n"/>
      <c r="F1335" s="28" t="n"/>
      <c r="G1335" s="61" t="n"/>
      <c r="H1335" s="62" t="n"/>
      <c r="I1335" s="65" t="n"/>
      <c r="J1335" s="62" t="n"/>
      <c r="K1335" s="63" t="n"/>
      <c r="L1335" s="33" t="n"/>
      <c r="M1335" s="64" t="n"/>
      <c r="P1335" s="35" t="n"/>
      <c r="Q1335" s="35" t="n"/>
      <c r="R1335" s="35" t="n"/>
    </row>
    <row r="1336" outlineLevel="2" ht="144" customFormat="1" customHeight="1" s="39">
      <c r="A1336" s="37">
        <f>1+N(A1335)</f>
        <v/>
      </c>
      <c r="B1336" s="27" t="inlineStr">
        <is>
          <t>墙面湿贴石材ST-05</t>
        </is>
      </c>
      <c r="C1336" s="27" t="inlineStr">
        <is>
          <t>1、墙面湿贴石材ST-05
2、8mm厚石材专用胶粘剂WC粘结层
3、界面剂拉毛处理
4、石材的开槽、磨边、倒角、粘接、形成所需之凹坑、抛光、六面防污防渗等一切处理费用均在主材费中考虑，不再另行计取
5、包含完成该项内容所有工作及费用并满足设计图纸、规范等要求</t>
        </is>
      </c>
      <c r="D1336" s="27" t="inlineStr">
        <is>
          <t>具体工作内容除详见项目特征外，且不限于以下内容:1.包含材料的下车、场内运输；2.清理基层、找标高、弹线定位；3.试拼试排；4.砂浆拌和、铺找平层（粘结层）砂浆；5.面层铺设、灌缝、擦缝；6.打蜡、养护；配合留设墙面开关、插座等末端设备等全部内容；包含成品保护、安全文明施工等达到验收合格的全部施工内容。</t>
        </is>
      </c>
      <c r="E1336" s="27" t="inlineStr">
        <is>
          <t>执行《GB/T50854-2024房屋建筑与装饰工程工程量计算标准》，按设计图示镶贴后外围面积计算</t>
        </is>
      </c>
      <c r="F1336" s="28" t="inlineStr">
        <is>
          <t>m2</t>
        </is>
      </c>
      <c r="G1336" s="61" t="n">
        <v>3.17</v>
      </c>
      <c r="H1336" s="62" t="n">
        <v>177</v>
      </c>
      <c r="I1336" s="65" t="n"/>
      <c r="J1336" s="62">
        <f>H1336*(1-$I$4)</f>
        <v/>
      </c>
      <c r="K1336" s="63">
        <f>G1336*J1336</f>
        <v/>
      </c>
      <c r="L1336" s="33" t="inlineStr">
        <is>
          <t>石材</t>
        </is>
      </c>
      <c r="M1336" s="64" t="n"/>
      <c r="O1336" t="n">
        <v>95</v>
      </c>
      <c r="P1336" s="35" t="inlineStr">
        <is>
          <t>差:-82.00元 (-46.3%) 来源:售楼处</t>
        </is>
      </c>
      <c r="Q1336" s="35" t="n"/>
      <c r="R1336" s="35" t="n"/>
    </row>
    <row r="1337" outlineLevel="2" ht="180" customFormat="1" customHeight="1" s="39">
      <c r="A1337" s="37">
        <f>1+N(A1336)</f>
        <v/>
      </c>
      <c r="B1337" s="27" t="inlineStr">
        <is>
          <t>墙面干挂ST-05石材</t>
        </is>
      </c>
      <c r="C1337" s="27" t="inlineStr">
        <is>
          <t>1、墙面干挂ST-05石材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is>
      </c>
      <c r="D1337"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337" s="27" t="inlineStr">
        <is>
          <t>执行《GB/T50854-2024房屋建筑与装饰工程工程量计算标准》，按设计图示镶贴后外围面积计算</t>
        </is>
      </c>
      <c r="F1337" s="28" t="inlineStr">
        <is>
          <t>m2</t>
        </is>
      </c>
      <c r="G1337" s="61" t="n">
        <v>15.12</v>
      </c>
      <c r="H1337" s="62" t="n">
        <v>318.6</v>
      </c>
      <c r="I1337" s="65" t="n"/>
      <c r="J1337" s="62">
        <f>H1337*(1-$I$4)</f>
        <v/>
      </c>
      <c r="K1337" s="63">
        <f>G1337*J1337</f>
        <v/>
      </c>
      <c r="L1337" s="33" t="inlineStr">
        <is>
          <t>石材</t>
        </is>
      </c>
      <c r="M1337" s="64" t="n"/>
      <c r="O1337" t="n">
        <v>145</v>
      </c>
      <c r="P1337" s="35" t="inlineStr">
        <is>
          <t>差:-173.60元 (-54.5%) 来源:售楼处</t>
        </is>
      </c>
      <c r="Q1337" s="35" t="n"/>
      <c r="R1337" s="35" t="n"/>
    </row>
    <row r="1338" outlineLevel="2" ht="180" customFormat="1" customHeight="1" s="39">
      <c r="A1338" s="37">
        <f>1+N(A1337)</f>
        <v/>
      </c>
      <c r="B1338" s="27" t="inlineStr">
        <is>
          <t>WD-07摩素板</t>
        </is>
      </c>
      <c r="C1338" s="27" t="inlineStr">
        <is>
          <t>1、墙面WD-08摩素板(结构胶固定)
2、12厘玻镁板基层
3、膨胀螺栓、轻钢龙骨(钢结构)基层找平
4、包含完成该项内容所有工作及费用并满足设计图纸、规范等要求</t>
        </is>
      </c>
      <c r="D1338"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338" s="27" t="inlineStr">
        <is>
          <t>执行《GB/T50854-2024房屋建筑与装饰工程工程量计算标准》，按设计图示饰面外围尺寸
以面积计算。 扣除门窗洞口面积，不扣除单个面积≤0.3㎡的孔洞所占面积。</t>
        </is>
      </c>
      <c r="F1338" s="28" t="inlineStr">
        <is>
          <t>m2</t>
        </is>
      </c>
      <c r="G1338" s="61" t="n">
        <v>4.93</v>
      </c>
      <c r="H1338" s="62" t="n">
        <v>186.44</v>
      </c>
      <c r="I1338" s="65" t="n"/>
      <c r="J1338" s="62">
        <f>H1338*(1-$I$4)</f>
        <v/>
      </c>
      <c r="K1338" s="63">
        <f>G1338*J1338</f>
        <v/>
      </c>
      <c r="L1338" s="33" t="inlineStr">
        <is>
          <t>摩素板</t>
        </is>
      </c>
      <c r="M1338" s="64" t="n"/>
      <c r="O1338" t="n">
        <v>35</v>
      </c>
      <c r="P1338" s="35" t="inlineStr">
        <is>
          <t>差:-151.44元 (-81.2%) 来源:会所合并</t>
        </is>
      </c>
      <c r="Q1338" s="35" t="n"/>
      <c r="R1338" s="35" t="n"/>
    </row>
    <row r="1339" outlineLevel="2" ht="144" customFormat="1" customHeight="1" s="39">
      <c r="A1339" s="37">
        <f>1+N(A1338)</f>
        <v/>
      </c>
      <c r="B1339" s="27" t="inlineStr">
        <is>
          <t>墙面PT-01肌理无机涂料</t>
        </is>
      </c>
      <c r="C1339" s="27" t="inlineStr">
        <is>
          <t>1、墙面PT-01肌理无机涂料(底漆1遍，面漆2遍)
2、刮白胶腻子找平二遍，打磨
3、阴、阳角护角收边
4、双层9.5mm纸面石膏板
5、轻钢龙骨基层找平
6、包含完成该项内容所有工作及费用并满足设计图纸、规范等要求</t>
        </is>
      </c>
      <c r="D1339"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339" s="27" t="inlineStr">
        <is>
          <t xml:space="preserve">执行《GB/T50854-2024房屋建筑与装饰工程工程量计算标准》，按设计图示尺寸
以面积计算。 </t>
        </is>
      </c>
      <c r="F1339" s="28" t="inlineStr">
        <is>
          <t>m2</t>
        </is>
      </c>
      <c r="G1339" s="61" t="n">
        <v>29.3</v>
      </c>
      <c r="H1339" s="62" t="n">
        <v>207.68</v>
      </c>
      <c r="I1339" s="65" t="n"/>
      <c r="J1339" s="62">
        <f>H1339*(1-$I$4)</f>
        <v/>
      </c>
      <c r="K1339" s="63">
        <f>G1339*J1339</f>
        <v/>
      </c>
      <c r="L1339" s="33" t="inlineStr">
        <is>
          <t>涂料</t>
        </is>
      </c>
      <c r="M1339" s="64" t="n"/>
      <c r="O1339" t="n">
        <v>110</v>
      </c>
      <c r="P1339" s="35" t="inlineStr">
        <is>
          <t>差:-97.68元 (-47.0%) 来源:售楼处</t>
        </is>
      </c>
      <c r="Q1339" s="35" t="n"/>
      <c r="R1339" s="35" t="n"/>
    </row>
    <row r="1340" outlineLevel="2" ht="180" customFormat="1" customHeight="1" s="39">
      <c r="A1340" s="37">
        <f>1+N(A1339)</f>
        <v/>
      </c>
      <c r="B1340" s="27" t="inlineStr">
        <is>
          <t>不锈钢门套</t>
        </is>
      </c>
      <c r="C1340" s="27" t="inlineStr">
        <is>
          <t>1、1.2mm厚 MT-01古铜不锈钢门套，结构胶固定
2、9厘玻镁板基层
3、工程量以展开面积计算
4、包含完成该项内容所有工作及费用并满足设计图纸、规范等要求</t>
        </is>
      </c>
      <c r="D1340"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340" s="27" t="inlineStr">
        <is>
          <t>执行《GB/T50854-2024房屋建筑与装饰工程工程量计算标准》，按设计图示饰面外围尺寸
以面积计算。 扣除门窗洞口面积，不扣除单个面积≤0.3㎡的孔洞所占面积。</t>
        </is>
      </c>
      <c r="F1340" s="28" t="inlineStr">
        <is>
          <t>m2</t>
        </is>
      </c>
      <c r="G1340" s="61" t="n">
        <v>11.05</v>
      </c>
      <c r="H1340" s="62" t="n">
        <v>630.651</v>
      </c>
      <c r="I1340" s="65" t="n"/>
      <c r="J1340" s="62">
        <f>H1340*(1-$I$4)</f>
        <v/>
      </c>
      <c r="K1340" s="63">
        <f>G1340*J1340</f>
        <v/>
      </c>
      <c r="L1340" s="33" t="inlineStr">
        <is>
          <t>/</t>
        </is>
      </c>
      <c r="M1340" s="64" t="n"/>
      <c r="O1340" t="n">
        <v>110</v>
      </c>
      <c r="P1340" s="35" t="inlineStr">
        <is>
          <t>差:-520.65元 (-82.6%) 来源:售楼处</t>
        </is>
      </c>
      <c r="Q1340" s="35" t="n"/>
      <c r="R1340" s="35" t="n"/>
    </row>
    <row r="1341" outlineLevel="2" ht="180" customFormat="1" customHeight="1" s="39">
      <c r="A1341" s="37">
        <f>1+N(A1340)</f>
        <v/>
      </c>
      <c r="B1341" s="27" t="inlineStr">
        <is>
          <t>电梯不锈钢门套</t>
        </is>
      </c>
      <c r="C1341" s="27" t="inlineStr">
        <is>
          <t>1、1.2mm厚 MT-01古铜不锈钢门套，结构胶固定
2、9厘玻镁板基层
3、工程量以展开面积计算
4、包含完成该项内容所有工作及费用并满足设计图纸、规范等要求</t>
        </is>
      </c>
      <c r="D1341"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341" s="27" t="inlineStr">
        <is>
          <t>执行《GB/T50854-2024房屋建筑与装饰工程工程量计算标准》，按设计图示饰面外围尺寸
以面积计算。 扣除门窗洞口面积，不扣除单个面积≤0.3㎡的孔洞所占面积。</t>
        </is>
      </c>
      <c r="F1341" s="28" t="inlineStr">
        <is>
          <t>m2</t>
        </is>
      </c>
      <c r="G1341" s="61" t="n">
        <v>3.4</v>
      </c>
      <c r="H1341" s="62" t="n">
        <v>630.651</v>
      </c>
      <c r="I1341" s="65" t="n"/>
      <c r="J1341" s="62">
        <f>H1341*(1-$I$4)</f>
        <v/>
      </c>
      <c r="K1341" s="63">
        <f>G1341*J1341</f>
        <v/>
      </c>
      <c r="L1341" s="33" t="inlineStr">
        <is>
          <t>/</t>
        </is>
      </c>
      <c r="M1341" s="64" t="n"/>
      <c r="O1341" t="n">
        <v>110</v>
      </c>
      <c r="P1341" s="35" t="inlineStr">
        <is>
          <t>差:-520.65元 (-82.6%) 来源:售楼处</t>
        </is>
      </c>
      <c r="Q1341" s="35" t="n"/>
      <c r="R1341" s="35" t="n"/>
    </row>
    <row r="1342" outlineLevel="2" ht="180" customFormat="1" customHeight="1" s="39">
      <c r="A1342" s="37">
        <f>1+N(A1341)</f>
        <v/>
      </c>
      <c r="B1342" s="27" t="inlineStr">
        <is>
          <t>电梯不锈钢门头</t>
        </is>
      </c>
      <c r="C1342" s="27" t="inlineStr">
        <is>
          <t>1、1.2mm厚 MT-01古铜不锈钢门头，结构胶固定
2、12mm阻燃板，轻钢副龙骨@400
3、电梯门顶内置亚克力，内部面层刮白处理
4、工程量以展开面积计算
5、包含完成该项内容所有工作及费用并满足设计图纸、规范等要求</t>
        </is>
      </c>
      <c r="D1342"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342" s="27" t="inlineStr">
        <is>
          <t>执行《GB/T50854-2024房屋建筑与装饰工程工程量计算标准》，按设计图示饰面外围尺寸
以面积计算。 扣除门窗洞口面积，不扣除单个面积≤0.3㎡的孔洞所占面积。</t>
        </is>
      </c>
      <c r="F1342" s="28" t="inlineStr">
        <is>
          <t>m2</t>
        </is>
      </c>
      <c r="G1342" s="61" t="n">
        <v>0.9</v>
      </c>
      <c r="H1342" s="62" t="n">
        <v>812.961</v>
      </c>
      <c r="I1342" s="65" t="n"/>
      <c r="J1342" s="62">
        <f>H1342*(1-$I$4)</f>
        <v/>
      </c>
      <c r="K1342" s="63">
        <f>G1342*J1342</f>
        <v/>
      </c>
      <c r="L1342" s="33" t="inlineStr">
        <is>
          <t>/</t>
        </is>
      </c>
      <c r="M1342" s="64" t="n"/>
      <c r="O1342" t="n">
        <v>110</v>
      </c>
      <c r="P1342" s="35" t="inlineStr">
        <is>
          <t>差:-702.96元 (-86.5%) 来源:售楼处</t>
        </is>
      </c>
      <c r="Q1342" s="35" t="n"/>
      <c r="R1342" s="35" t="n"/>
    </row>
    <row r="1343" outlineLevel="2" ht="180" customFormat="1" customHeight="1" s="39">
      <c r="A1343" s="37">
        <f>1+N(A1342)</f>
        <v/>
      </c>
      <c r="B1343" s="27" t="inlineStr">
        <is>
          <t>MT-01古铜不锈钢饰面（电梯按钮处）</t>
        </is>
      </c>
      <c r="C1343" s="27" t="inlineStr">
        <is>
          <t>1、1.2mm厚 MT-01古铜不锈钢饰面
2、12mm阻燃板基层，轻钢副龙骨@400
3、工程量以展开面积计算
4、包含完成该项内容所有工作及费用并满足设计图纸、规范等要求</t>
        </is>
      </c>
      <c r="D1343"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343" s="27" t="inlineStr">
        <is>
          <t>执行《GB/T50854-2024房屋建筑与装饰工程工程量计算标准》，按设计图示饰面外围尺寸
以面积计算。 扣除门窗洞口面积，不扣除单个面积≤0.3㎡的孔洞所占面积。</t>
        </is>
      </c>
      <c r="F1343" s="28" t="inlineStr">
        <is>
          <t>m2</t>
        </is>
      </c>
      <c r="G1343" s="61" t="n">
        <v>0.26</v>
      </c>
      <c r="H1343" s="62" t="n">
        <v>295</v>
      </c>
      <c r="I1343" s="65" t="n"/>
      <c r="J1343" s="62">
        <f>H1343*(1-$I$4)</f>
        <v/>
      </c>
      <c r="K1343" s="63">
        <f>G1343*J1343</f>
        <v/>
      </c>
      <c r="L1343" s="33" t="inlineStr">
        <is>
          <t>不锈钢饰面</t>
        </is>
      </c>
      <c r="M1343" s="64" t="n"/>
      <c r="O1343" t="n">
        <v>110</v>
      </c>
      <c r="P1343" s="35" t="inlineStr">
        <is>
          <t>差:-185.00元 (-62.7%) 来源:售楼处</t>
        </is>
      </c>
      <c r="Q1343" s="35" t="n"/>
      <c r="R1343" s="35" t="n"/>
    </row>
    <row r="1344" outlineLevel="2" ht="144" customFormat="1" customHeight="1" s="39">
      <c r="A1344" s="37">
        <f>1+N(A1343)</f>
        <v/>
      </c>
      <c r="B1344" s="27" t="inlineStr">
        <is>
          <t>MT-01古铜不锈钢踢脚线（高20mm）</t>
        </is>
      </c>
      <c r="C1344" s="27" t="inlineStr">
        <is>
          <t>1、1.2mm厚 MT-01古铜不锈钢踢脚线（高20mm，展开面为46mm），结构胶固定
2、9厘玻镁板基层
3、包含完成该项内容所有工作及费用并满足设计图纸、规范等要求</t>
        </is>
      </c>
      <c r="D1344"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344" s="27" t="inlineStr">
        <is>
          <t>按设计图示尺寸以长度计算。</t>
        </is>
      </c>
      <c r="F1344" s="28" t="inlineStr">
        <is>
          <t>m</t>
        </is>
      </c>
      <c r="G1344" s="61" t="n">
        <v>13.6</v>
      </c>
      <c r="H1344" s="62" t="n">
        <v>31.86</v>
      </c>
      <c r="I1344" s="65" t="n"/>
      <c r="J1344" s="62">
        <f>H1344*(1-$I$4)</f>
        <v/>
      </c>
      <c r="K1344" s="63">
        <f>G1344*J1344</f>
        <v/>
      </c>
      <c r="L1344" s="33" t="inlineStr">
        <is>
          <t>不锈钢踢脚线</t>
        </is>
      </c>
      <c r="M1344" s="64" t="n"/>
      <c r="O1344" t="n">
        <v>12</v>
      </c>
      <c r="P1344" s="35" t="inlineStr">
        <is>
          <t>差:-19.86元 (-62.3%) 来源:售楼处</t>
        </is>
      </c>
      <c r="Q1344" s="35" t="n"/>
      <c r="R1344" s="35" t="n"/>
    </row>
    <row r="1345" outlineLevel="2" ht="144" customFormat="1" customHeight="1" s="39">
      <c r="A1345" s="37">
        <f>1+N(A1344)</f>
        <v/>
      </c>
      <c r="B1345" s="27" t="inlineStr">
        <is>
          <t>MT-01古铜不锈钢线条（展开面为51mm）</t>
        </is>
      </c>
      <c r="C1345" s="27" t="inlineStr">
        <is>
          <t>1、1.2mm厚 MT-01古铜不锈钢线条（展开面为51mm），结构胶固定
2、9厘玻镁板基层
3、包含完成该项内容所有工作及费用并满足设计图纸、规范等要求</t>
        </is>
      </c>
      <c r="D1345"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345" s="27" t="inlineStr">
        <is>
          <t>按设计图示尺寸以长度计算。</t>
        </is>
      </c>
      <c r="F1345" s="28" t="inlineStr">
        <is>
          <t>m</t>
        </is>
      </c>
      <c r="G1345" s="61" t="n">
        <v>4.26</v>
      </c>
      <c r="H1345" s="62" t="n">
        <v>71.90212</v>
      </c>
      <c r="I1345" s="65" t="n"/>
      <c r="J1345" s="62">
        <f>H1345*(1-$I$4)</f>
        <v/>
      </c>
      <c r="K1345" s="63">
        <f>G1345*J1345</f>
        <v/>
      </c>
      <c r="L1345" s="33" t="inlineStr">
        <is>
          <t>/</t>
        </is>
      </c>
      <c r="M1345" s="64" t="n"/>
      <c r="O1345" t="n">
        <v>12</v>
      </c>
      <c r="P1345" s="35" t="inlineStr">
        <is>
          <t>差:-59.90元 (-83.3%) 来源:会所合并</t>
        </is>
      </c>
      <c r="Q1345" s="35" t="n"/>
      <c r="R1345" s="35" t="n"/>
    </row>
    <row r="1346" outlineLevel="2" ht="144" customFormat="1" customHeight="1" s="39">
      <c r="A1346" s="37">
        <f>1+N(A1345)</f>
        <v/>
      </c>
      <c r="B1346" s="27" t="inlineStr">
        <is>
          <t>MT-01古铜不锈钢线条（展开面为114mm）</t>
        </is>
      </c>
      <c r="C1346" s="27" t="inlineStr">
        <is>
          <t>1、1.2mm厚 MT-01古铜不锈钢线条（展开面为114mm），结构胶固定
2、9厘玻镁板基层
3、包含完成该项内容所有工作及费用并满足设计图纸、规范等要求</t>
        </is>
      </c>
      <c r="D1346"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346" s="27" t="inlineStr">
        <is>
          <t>按设计图示尺寸以长度计算。</t>
        </is>
      </c>
      <c r="F1346" s="28" t="inlineStr">
        <is>
          <t>m</t>
        </is>
      </c>
      <c r="G1346" s="61" t="n">
        <v>5.61</v>
      </c>
      <c r="H1346" s="62" t="n">
        <v>117.84424</v>
      </c>
      <c r="I1346" s="65" t="n"/>
      <c r="J1346" s="62">
        <f>H1346*(1-$I$4)</f>
        <v/>
      </c>
      <c r="K1346" s="63">
        <f>G1346*J1346</f>
        <v/>
      </c>
      <c r="L1346" s="33" t="inlineStr">
        <is>
          <t>/</t>
        </is>
      </c>
      <c r="M1346" s="64" t="n"/>
      <c r="O1346" t="n">
        <v>22</v>
      </c>
      <c r="P1346" s="35" t="inlineStr">
        <is>
          <t>差:-95.84元 (-81.3%) 来源:售楼处</t>
        </is>
      </c>
      <c r="Q1346" s="35" t="n"/>
      <c r="R1346" s="35" t="n"/>
    </row>
    <row r="1347" outlineLevel="2" ht="144" customFormat="1" customHeight="1" s="39">
      <c r="A1347" s="37">
        <f>1+N(A1346)</f>
        <v/>
      </c>
      <c r="B1347" s="27" t="inlineStr">
        <is>
          <t>MT-01古铜不锈钢顶部收口条（展开面为41mm）</t>
        </is>
      </c>
      <c r="C1347" s="27" t="inlineStr">
        <is>
          <t>1、1.2mm厚 MT-01古铜不锈钢顶部收口条（展开面为41mm），结构胶固定
2、9厘玻镁板基层
3、包含完成该项内容所有工作及费用并满足设计图纸、规范等要求</t>
        </is>
      </c>
      <c r="D1347"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347" s="27" t="inlineStr">
        <is>
          <t>按设计图示尺寸以长度计算。</t>
        </is>
      </c>
      <c r="F1347" s="28" t="inlineStr">
        <is>
          <t>m</t>
        </is>
      </c>
      <c r="G1347" s="61" t="n">
        <v>15.99</v>
      </c>
      <c r="H1347" s="62" t="n">
        <v>64.24509999999999</v>
      </c>
      <c r="I1347" s="65" t="n"/>
      <c r="J1347" s="62">
        <f>H1347*(1-$I$4)</f>
        <v/>
      </c>
      <c r="K1347" s="63">
        <f>G1347*J1347</f>
        <v/>
      </c>
      <c r="L1347" s="33" t="inlineStr">
        <is>
          <t>/</t>
        </is>
      </c>
      <c r="M1347" s="64" t="n"/>
      <c r="O1347" t="n">
        <v>12</v>
      </c>
      <c r="P1347" s="35" t="inlineStr">
        <is>
          <t>差:-52.25元 (-81.3%) 来源:售楼处</t>
        </is>
      </c>
      <c r="Q1347" s="35" t="n"/>
      <c r="R1347" s="35" t="n"/>
    </row>
    <row r="1348" outlineLevel="1" customFormat="1" s="39">
      <c r="A1348" s="36" t="n"/>
      <c r="B1348" s="27" t="inlineStr">
        <is>
          <t>天花工程</t>
        </is>
      </c>
      <c r="C1348" s="27" t="n"/>
      <c r="D1348" s="27" t="n"/>
      <c r="E1348" s="27" t="n"/>
      <c r="F1348" s="28" t="n"/>
      <c r="G1348" s="61" t="n"/>
      <c r="H1348" s="62" t="n"/>
      <c r="I1348" s="65" t="n"/>
      <c r="J1348" s="62" t="n"/>
      <c r="K1348" s="63" t="n"/>
      <c r="L1348" s="33" t="n"/>
      <c r="M1348" s="64" t="n"/>
      <c r="P1348" s="35" t="n"/>
      <c r="Q1348" s="35" t="n"/>
      <c r="R1348" s="35" t="n"/>
    </row>
    <row r="1349" outlineLevel="2" ht="192" customFormat="1" customHeight="1" s="39">
      <c r="A1349" s="37">
        <f>1+N(A1348)</f>
        <v/>
      </c>
      <c r="B1349" s="27" t="inlineStr">
        <is>
          <t>石膏板吊顶</t>
        </is>
      </c>
      <c r="C1349" s="27" t="inlineStr">
        <is>
          <t>1.60系列轻钢主龙骨@900，60系列轻钢副龙骨@400，60系列横撑龙骨@600，08螺纹吊杆@900不上人天花吊顶（投影面计算）
2.玻镁板、双层9.5厚石膏板基层，含开孔、检修口、10*10凹槽等费用；
3.含除灯槽外的侧面高差及其连接件、吊件；
4.包含完成该项内容所有工作及费用并满足设计图纸、规范等要求；</t>
        </is>
      </c>
      <c r="D1349" s="27" t="inlineStr">
        <is>
          <t>1.基层清理。
2.弹线定位、排版。
3.吊杆及连接件安装调平、收口及密封处理。
4.材料切割处理找平、石膏板安装及调整，打胶密封与清理.
5.收口及其他处理：检修口等制作安装、收边收口、配合预留安装、机电等专业孔洞及孔洞收口处理。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1349" s="27" t="inlineStr">
        <is>
          <t>按设计图示尺寸以水平投影面积计算。不扣除间壁墙、检查口、附墙烟囱、柱垛和管道所占面积,扣除单个&gt;0.3m3的孔洞、非密拼吊顶空隙所占的面积、独立柱及与天棚相连的窗帘盒所占的面积。</t>
        </is>
      </c>
      <c r="F1349" s="28" t="inlineStr">
        <is>
          <t>m2</t>
        </is>
      </c>
      <c r="G1349" s="61" t="n">
        <v>13.81</v>
      </c>
      <c r="H1349" s="62" t="n">
        <v>150.712222222222</v>
      </c>
      <c r="I1349" s="65" t="n"/>
      <c r="J1349" s="62">
        <f>H1349*(1-$I$4)</f>
        <v/>
      </c>
      <c r="K1349" s="63">
        <f>G1349*J1349</f>
        <v/>
      </c>
      <c r="L1349" s="33" t="inlineStr">
        <is>
          <t>/</t>
        </is>
      </c>
      <c r="M1349" s="64" t="n"/>
      <c r="O1349" t="n">
        <v>70</v>
      </c>
      <c r="P1349" s="35" t="inlineStr">
        <is>
          <t>差:-80.71元 (-53.6%) 来源:会所合并</t>
        </is>
      </c>
      <c r="Q1349" s="35" t="n"/>
      <c r="R1349" s="35" t="n"/>
    </row>
    <row r="1350" outlineLevel="2" ht="72" customFormat="1" customHeight="1" s="39">
      <c r="A1350" s="37">
        <f>1+N(A1349)</f>
        <v/>
      </c>
      <c r="B1350" s="27" t="inlineStr">
        <is>
          <t>灯槽（100mm*200mm）</t>
        </is>
      </c>
      <c r="C1350" s="27" t="inlineStr">
        <is>
          <t>1.灯槽（100mm*200mm）；
2.双层板：9mm玻镁板、9.5厚石膏板；
3.包含完成该项内容所有工作及费用并满足设计图纸、规范等要求；</t>
        </is>
      </c>
      <c r="D1350" s="27" t="inlineStr">
        <is>
          <t>自现有现场条件下按照合同约定范围、图纸（含设计变更）及甲方要求内容以及规范、标准、相关做法等要求完成并达到总包合同全部目标的全部工作内容。</t>
        </is>
      </c>
      <c r="E1350" s="27" t="inlineStr">
        <is>
          <t>依据经承包人确认的施工部位,按设计图示尺寸以延长米计算。</t>
        </is>
      </c>
      <c r="F1350" s="28" t="inlineStr">
        <is>
          <t>m</t>
        </is>
      </c>
      <c r="G1350" s="61" t="n">
        <v>10.49</v>
      </c>
      <c r="H1350" s="62" t="n">
        <v>112.159</v>
      </c>
      <c r="I1350" s="65" t="n"/>
      <c r="J1350" s="62">
        <f>H1350*(1-$I$4)</f>
        <v/>
      </c>
      <c r="K1350" s="63">
        <f>G1350*J1350</f>
        <v/>
      </c>
      <c r="L1350" s="33" t="inlineStr">
        <is>
          <t>/</t>
        </is>
      </c>
      <c r="M1350" s="64" t="n"/>
      <c r="O1350" t="n">
        <v>50</v>
      </c>
      <c r="P1350" s="35" t="inlineStr">
        <is>
          <t>差:-62.16元 (-55.4%) 来源:售楼处</t>
        </is>
      </c>
      <c r="Q1350" s="35" t="n"/>
      <c r="R1350" s="35" t="n"/>
    </row>
    <row r="1351" outlineLevel="2" ht="72" customFormat="1" customHeight="1" s="39">
      <c r="A1351" s="37">
        <f>1+N(A1350)</f>
        <v/>
      </c>
      <c r="B1351" s="27" t="inlineStr">
        <is>
          <t>成品石膏线条</t>
        </is>
      </c>
      <c r="C1351" s="27" t="inlineStr">
        <is>
          <t>1.成品石膏线条（50mm*50mm）；
2.按图纸造型；
3.包含完成该项内容所有工作及费用并满足设计图纸、规范等要求；</t>
        </is>
      </c>
      <c r="D1351" s="27" t="inlineStr">
        <is>
          <t>自现有现场条件下按照合同约定范围、图纸（含设计变更）及甲方要求内容以及规范、标准、相关做法等要求完成并达到总包合同全部目标的全部工作内容。</t>
        </is>
      </c>
      <c r="E1351" s="27" t="inlineStr">
        <is>
          <t>依据经承包人确认的施工部位,按设计图示尺寸以延长米计算。</t>
        </is>
      </c>
      <c r="F1351" s="28" t="inlineStr">
        <is>
          <t>m</t>
        </is>
      </c>
      <c r="G1351" s="61" t="n">
        <v>10.49</v>
      </c>
      <c r="H1351" s="62" t="n">
        <v>20.06</v>
      </c>
      <c r="I1351" s="65" t="n"/>
      <c r="J1351" s="62">
        <f>H1351*(1-$I$4)</f>
        <v/>
      </c>
      <c r="K1351" s="63">
        <f>G1351*J1351</f>
        <v/>
      </c>
      <c r="L1351" s="33" t="inlineStr">
        <is>
          <t>成品石膏线条</t>
        </is>
      </c>
      <c r="M1351" s="64" t="n"/>
      <c r="O1351" t="n">
        <v>18</v>
      </c>
      <c r="P1351" s="35" t="inlineStr">
        <is>
          <t>差:-2.06元 (-10.3%) 来源:售楼处</t>
        </is>
      </c>
      <c r="Q1351" s="35" t="n"/>
      <c r="R1351" s="35" t="n"/>
    </row>
    <row r="1352" outlineLevel="2" ht="72" customFormat="1" customHeight="1" s="39">
      <c r="A1352" s="37">
        <f>1+N(A1351)</f>
        <v/>
      </c>
      <c r="B1352" s="27" t="inlineStr">
        <is>
          <t>条形空调风口（150mm）</t>
        </is>
      </c>
      <c r="C1352" s="27" t="inlineStr">
        <is>
          <t>1.条形空调风口（150mm）；
2.风口周边阻燃板封边加固处理；
3.包含完成该项内容所有工作及费用并满足设计图纸、规范等要求；</t>
        </is>
      </c>
      <c r="D1352" s="27" t="inlineStr">
        <is>
          <t>自现有现场条件下按照合同约定范围、图纸（含设计变更）及甲方要求内容以及规范、标准、相关做法等要求完成并达到总包合同全部目标的全部工作内容。</t>
        </is>
      </c>
      <c r="E1352" s="27" t="inlineStr">
        <is>
          <t>依据经承包人确认的施工部位,按设计图示尺寸以延长米计算。</t>
        </is>
      </c>
      <c r="F1352" s="28" t="inlineStr">
        <is>
          <t>m</t>
        </is>
      </c>
      <c r="G1352" s="61" t="n">
        <v>4.74</v>
      </c>
      <c r="H1352" s="62" t="n">
        <v>109.74</v>
      </c>
      <c r="I1352" s="65" t="n"/>
      <c r="J1352" s="62">
        <f>H1352*(1-$I$4)</f>
        <v/>
      </c>
      <c r="K1352" s="63">
        <f>G1352*J1352</f>
        <v/>
      </c>
      <c r="L1352" s="33" t="inlineStr">
        <is>
          <t>空调风口</t>
        </is>
      </c>
      <c r="M1352" s="64" t="n"/>
      <c r="O1352" t="n">
        <v>30</v>
      </c>
      <c r="P1352" s="35" t="inlineStr">
        <is>
          <t>差:-79.74元 (-72.7%) 来源:售楼处</t>
        </is>
      </c>
      <c r="Q1352" s="35" t="n"/>
      <c r="R1352" s="35" t="n"/>
    </row>
    <row r="1353" outlineLevel="2" ht="192" customFormat="1" customHeight="1" s="39">
      <c r="A1353" s="37">
        <f>1+N(A1352)</f>
        <v/>
      </c>
      <c r="B1353" s="27" t="inlineStr">
        <is>
          <t>天花肌理无机涂料PT-01</t>
        </is>
      </c>
      <c r="C1353" s="27" t="inlineStr">
        <is>
          <t>1.天花肌理无机涂料PT-01；
2.刮腻子二遍磨平；
3.底漆1遍，面漆2遍；
4.包含完成该项内容所有工作及费用并满足设计图纸、规范等要求；</t>
        </is>
      </c>
      <c r="D1353" s="27" t="inlineStr">
        <is>
          <t>包括但不限于材料计划、采购、卸车倒运、保管、检验试验费、测量放线，包含四周阴角找平直、含天棚四周阴角找平直，打磨，简易脚手架搭拆及操作平台、升降机，基层清理、打磨平整、底层找补、满刮涂料（含阴阳角塑料条）、涂料打磨、补遗处理、配合其他分包施工、完工后场清、成品保护、保修等直到达到竣工交付标准的全部工作内容。包括所有为完成工作所需的小型机具；包括所有为完成工作所需的附属工作；包括但不限于以上内容。</t>
        </is>
      </c>
      <c r="E1353" s="27" t="inlineStr">
        <is>
          <t>执行《GB/T50854-2024房屋建筑与装饰工程工程量计算标准》，按设计图示尺寸以面积计算。扣除0.3平方米以上洞口的面积；梁侧面及檐口天棚并入天棚计算；以设计图纸和技术交底为基础</t>
        </is>
      </c>
      <c r="F1353" s="28" t="inlineStr">
        <is>
          <t>m2</t>
        </is>
      </c>
      <c r="G1353" s="61" t="n">
        <v>17.4</v>
      </c>
      <c r="H1353" s="62" t="n">
        <v>48.38</v>
      </c>
      <c r="I1353" s="65" t="n"/>
      <c r="J1353" s="62">
        <f>H1353*(1-$I$4)</f>
        <v/>
      </c>
      <c r="K1353" s="63">
        <f>G1353*J1353</f>
        <v/>
      </c>
      <c r="L1353" s="33" t="inlineStr">
        <is>
          <t>涂料</t>
        </is>
      </c>
      <c r="M1353" s="64" t="n"/>
      <c r="O1353" t="n">
        <v>45</v>
      </c>
      <c r="P1353" s="35" t="inlineStr">
        <is>
          <t>差:-3.38元 (-7.0%) 来源:售楼处</t>
        </is>
      </c>
      <c r="Q1353" s="35" t="n"/>
      <c r="R1353" s="35" t="n"/>
    </row>
    <row r="1354" outlineLevel="1" customFormat="1" s="39">
      <c r="A1354" s="36" t="n"/>
      <c r="B1354" s="27" t="inlineStr">
        <is>
          <t>门窗、家具工程</t>
        </is>
      </c>
      <c r="C1354" s="27" t="n"/>
      <c r="D1354" s="27" t="n"/>
      <c r="E1354" s="27" t="n"/>
      <c r="F1354" s="28" t="n"/>
      <c r="G1354" s="61" t="n"/>
      <c r="H1354" s="62" t="n"/>
      <c r="I1354" s="65" t="n"/>
      <c r="J1354" s="62" t="n"/>
      <c r="K1354" s="63" t="n"/>
      <c r="L1354" s="33" t="n"/>
      <c r="M1354" s="64" t="n"/>
      <c r="P1354" s="35" t="n"/>
      <c r="Q1354" s="35" t="n"/>
      <c r="R1354" s="35" t="n"/>
    </row>
    <row r="1355" outlineLevel="1" customFormat="1" s="39">
      <c r="A1355" s="26" t="inlineStr">
        <is>
          <t>四</t>
        </is>
      </c>
      <c r="B1355" s="27" t="inlineStr">
        <is>
          <t>四单元合用前室</t>
        </is>
      </c>
      <c r="C1355" s="27" t="n"/>
      <c r="D1355" s="27" t="n"/>
      <c r="E1355" s="27" t="n"/>
      <c r="F1355" s="28" t="n"/>
      <c r="G1355" s="61" t="n"/>
      <c r="H1355" s="62" t="n"/>
      <c r="I1355" s="65" t="n"/>
      <c r="J1355" s="62" t="n"/>
      <c r="K1355" s="63" t="n"/>
      <c r="L1355" s="33" t="n"/>
      <c r="M1355" s="64" t="n"/>
      <c r="P1355" s="35" t="n"/>
      <c r="Q1355" s="35" t="n"/>
      <c r="R1355" s="35" t="n"/>
    </row>
    <row r="1356" outlineLevel="1" customFormat="1" s="39">
      <c r="A1356" s="36" t="n"/>
      <c r="B1356" s="27" t="inlineStr">
        <is>
          <t>地面工程</t>
        </is>
      </c>
      <c r="C1356" s="27" t="n"/>
      <c r="D1356" s="27" t="n"/>
      <c r="E1356" s="27" t="n"/>
      <c r="F1356" s="28" t="n"/>
      <c r="G1356" s="61" t="n"/>
      <c r="H1356" s="62" t="n"/>
      <c r="I1356" s="65" t="n"/>
      <c r="J1356" s="62" t="n"/>
      <c r="K1356" s="63" t="n"/>
      <c r="L1356" s="33" t="n"/>
      <c r="M1356" s="64" t="n"/>
      <c r="P1356" s="35" t="n"/>
      <c r="Q1356" s="35" t="n"/>
      <c r="R1356" s="35" t="n"/>
    </row>
    <row r="1357" outlineLevel="2" ht="108" customFormat="1" customHeight="1" s="39">
      <c r="A1357" s="37">
        <f>1+N(A1356)</f>
        <v/>
      </c>
      <c r="B1357" s="27" t="inlineStr">
        <is>
          <t>地面铺贴大理石ST-01</t>
        </is>
      </c>
      <c r="C1357" s="27" t="inlineStr">
        <is>
          <t>1.地面20mm大理石ST-01、铺贴、厚度及样式按物料书为准；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1357"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357" s="27" t="inlineStr">
        <is>
          <t xml:space="preserve">执行《GB/T50854-2024房屋建筑与装饰工程工程量计算标准》，按设计图示尺寸
以面积计算。 </t>
        </is>
      </c>
      <c r="F1357" s="28" t="inlineStr">
        <is>
          <t>m2</t>
        </is>
      </c>
      <c r="G1357" s="61" t="n">
        <v>3.86</v>
      </c>
      <c r="H1357" s="62" t="n">
        <v>218.75017</v>
      </c>
      <c r="I1357" s="65" t="n"/>
      <c r="J1357" s="62">
        <f>H1357*(1-$I$4)</f>
        <v/>
      </c>
      <c r="K1357" s="63">
        <f>G1357*J1357</f>
        <v/>
      </c>
      <c r="L1357" s="33" t="inlineStr">
        <is>
          <t>石材</t>
        </is>
      </c>
      <c r="M1357" s="64" t="n"/>
      <c r="O1357" t="n">
        <v>130</v>
      </c>
      <c r="P1357" s="35" t="inlineStr">
        <is>
          <t>差:-88.75元 (-40.6%) 来源:售楼处</t>
        </is>
      </c>
      <c r="Q1357" s="35" t="n"/>
      <c r="R1357" s="35" t="n"/>
    </row>
    <row r="1358" outlineLevel="2" ht="108" customFormat="1" customHeight="1" s="39">
      <c r="A1358" s="37">
        <f>1+N(A1357)</f>
        <v/>
      </c>
      <c r="B1358" s="27" t="inlineStr">
        <is>
          <t>地面铺贴大理石ST-01.02拼花</t>
        </is>
      </c>
      <c r="C1358" s="27" t="inlineStr">
        <is>
          <t>1.地面20mm大理石拼花、参考3F-DF-01样式、ST-01、ST-02按物料书为准；
2.10mm厚石材专用粘结剂；
3.70mm厚DS-M15干混砂浆找平；
4.基层清理、石材六面防护、背面刷胶封闭,同色云石胶补缝；
5.含开槽、磨边、倒角、拼接等处理；
6.包含完成该项内容所有工作及费用并满足设计图纸、规范等要求；</t>
        </is>
      </c>
      <c r="D1358"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358" s="27" t="inlineStr">
        <is>
          <t xml:space="preserve">执行《GB/T50854-2024房屋建筑与装饰工程工程量计算标准》，按设计图示尺寸
以面积计算。 </t>
        </is>
      </c>
      <c r="F1358" s="28" t="inlineStr">
        <is>
          <t>m2</t>
        </is>
      </c>
      <c r="G1358" s="61" t="n">
        <v>12.3</v>
      </c>
      <c r="H1358" s="62" t="n">
        <v>242.35017</v>
      </c>
      <c r="I1358" s="65" t="n"/>
      <c r="J1358" s="62">
        <f>H1358*(1-$I$4)</f>
        <v/>
      </c>
      <c r="K1358" s="63">
        <f>G1358*J1358</f>
        <v/>
      </c>
      <c r="L1358" s="33" t="inlineStr">
        <is>
          <t>石材</t>
        </is>
      </c>
      <c r="M1358" s="64" t="n"/>
      <c r="O1358" t="n">
        <v>130</v>
      </c>
      <c r="P1358" s="35" t="inlineStr">
        <is>
          <t>差:-112.35元 (-46.4%) 来源:售楼处</t>
        </is>
      </c>
      <c r="Q1358" s="35" t="n"/>
      <c r="R1358" s="35" t="n"/>
    </row>
    <row r="1359" outlineLevel="2" ht="108" customFormat="1" customHeight="1" s="39">
      <c r="A1359" s="37">
        <f>1+N(A1358)</f>
        <v/>
      </c>
      <c r="B1359" s="27" t="inlineStr">
        <is>
          <t>实心铜条5mm宽</t>
        </is>
      </c>
      <c r="C1359" s="27" t="inlineStr">
        <is>
          <t>1.实心铜条5mm宽；
2.包含完成该项内容所有工作及费用并满足设计图纸、规范等要求；</t>
        </is>
      </c>
      <c r="D1359"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359" s="27" t="inlineStr">
        <is>
          <t>按设计图示尺寸以长度计算。</t>
        </is>
      </c>
      <c r="F1359" s="28" t="inlineStr">
        <is>
          <t>m</t>
        </is>
      </c>
      <c r="G1359" s="61" t="n">
        <v>14.01</v>
      </c>
      <c r="H1359" s="62" t="n">
        <v>89.267</v>
      </c>
      <c r="I1359" s="65" t="n"/>
      <c r="J1359" s="62">
        <f>H1359*(1-$I$4)</f>
        <v/>
      </c>
      <c r="K1359" s="63">
        <f>G1359*J1359</f>
        <v/>
      </c>
      <c r="L1359" s="33" t="inlineStr">
        <is>
          <t>/</t>
        </is>
      </c>
      <c r="M1359" s="64" t="n"/>
      <c r="O1359" t="n">
        <v>12</v>
      </c>
      <c r="P1359" s="35" t="inlineStr">
        <is>
          <t>差:-77.27元 (-86.6%) 来源:售楼处</t>
        </is>
      </c>
      <c r="Q1359" s="35" t="n"/>
      <c r="R1359" s="35" t="n"/>
    </row>
    <row r="1360" outlineLevel="2" ht="108" customFormat="1" customHeight="1" s="39">
      <c r="A1360" s="37">
        <f>1+N(A1359)</f>
        <v/>
      </c>
      <c r="B1360" s="27" t="inlineStr">
        <is>
          <t>地面石材晶面处理</t>
        </is>
      </c>
      <c r="C1360" s="27" t="inlineStr">
        <is>
          <t>1.石材结晶处理(结晶水及石材保养剂,中性清洁剂)；
2.包含完成该项内容所有工作及费用并满足设计图纸、规范等要求；</t>
        </is>
      </c>
      <c r="D1360" s="27" t="inlineStr">
        <is>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is>
      </c>
      <c r="E1360" s="27" t="inlineStr">
        <is>
          <t xml:space="preserve">执行《GB/T50854-2024房屋建筑与装饰工程工程量计算标准》，按设计图示尺寸
以面积计算。 </t>
        </is>
      </c>
      <c r="F1360" s="28" t="inlineStr">
        <is>
          <t>m2</t>
        </is>
      </c>
      <c r="G1360" s="61" t="n">
        <v>16.16</v>
      </c>
      <c r="H1360" s="62" t="n">
        <v>64.90000000000001</v>
      </c>
      <c r="I1360" s="65" t="n"/>
      <c r="J1360" s="62">
        <f>H1360*(1-$I$4)</f>
        <v/>
      </c>
      <c r="K1360" s="63">
        <f>G1360*J1360</f>
        <v/>
      </c>
      <c r="L1360" s="33" t="inlineStr">
        <is>
          <t>/</t>
        </is>
      </c>
      <c r="M1360" s="64" t="n"/>
      <c r="O1360" t="n">
        <v>40</v>
      </c>
      <c r="P1360" s="35" t="inlineStr">
        <is>
          <t>差:-24.90元 (-38.4%) 来源:售楼处</t>
        </is>
      </c>
      <c r="Q1360" s="35" t="n"/>
      <c r="R1360" s="35" t="n"/>
    </row>
    <row r="1361" outlineLevel="1" customFormat="1" s="39">
      <c r="A1361" s="36" t="n"/>
      <c r="B1361" s="27" t="inlineStr">
        <is>
          <t>墙面工程</t>
        </is>
      </c>
      <c r="C1361" s="27" t="n"/>
      <c r="D1361" s="27" t="n"/>
      <c r="E1361" s="27" t="n"/>
      <c r="F1361" s="28" t="n"/>
      <c r="G1361" s="61" t="n"/>
      <c r="H1361" s="62" t="n"/>
      <c r="I1361" s="65" t="n"/>
      <c r="J1361" s="62" t="n"/>
      <c r="K1361" s="63" t="n"/>
      <c r="L1361" s="33" t="n"/>
      <c r="M1361" s="64" t="n"/>
      <c r="P1361" s="35" t="n"/>
      <c r="Q1361" s="35" t="n"/>
      <c r="R1361" s="35" t="n"/>
    </row>
    <row r="1362" outlineLevel="2" ht="144" customFormat="1" customHeight="1" s="39">
      <c r="A1362" s="37">
        <f>1+N(A1361)</f>
        <v/>
      </c>
      <c r="B1362" s="27" t="inlineStr">
        <is>
          <t>墙面湿贴石材ST-05</t>
        </is>
      </c>
      <c r="C1362" s="27" t="inlineStr">
        <is>
          <t>1、墙面湿贴石材ST-05
2、8mm厚石材专用胶粘剂WC粘结层
3、界面剂拉毛处理
4、石材的开槽、磨边、倒角、粘接、形成所需之凹坑、抛光、六面防污防渗等一切处理费用均在主材费中考虑，不再另行计取
5、包含完成该项内容所有工作及费用并满足设计图纸、规范等要求</t>
        </is>
      </c>
      <c r="D1362" s="27" t="inlineStr">
        <is>
          <t>具体工作内容除详见项目特征外，且不限于以下内容:1.包含材料的下车、场内运输；2.清理基层、找标高、弹线定位；3.试拼试排；4.砂浆拌和、铺找平层（粘结层）砂浆；5.面层铺设、灌缝、擦缝；6.打蜡、养护；配合留设墙面开关、插座等末端设备等全部内容；包含成品保护、安全文明施工等达到验收合格的全部施工内容。</t>
        </is>
      </c>
      <c r="E1362" s="27" t="inlineStr">
        <is>
          <t>执行《GB/T50854-2024房屋建筑与装饰工程工程量计算标准》，按设计图示镶贴后外围面积计算</t>
        </is>
      </c>
      <c r="F1362" s="28" t="inlineStr">
        <is>
          <t>m2</t>
        </is>
      </c>
      <c r="G1362" s="61" t="n">
        <v>6.06</v>
      </c>
      <c r="H1362" s="62" t="n">
        <v>177</v>
      </c>
      <c r="I1362" s="65" t="n"/>
      <c r="J1362" s="62">
        <f>H1362*(1-$I$4)</f>
        <v/>
      </c>
      <c r="K1362" s="63">
        <f>G1362*J1362</f>
        <v/>
      </c>
      <c r="L1362" s="33" t="inlineStr">
        <is>
          <t>石材</t>
        </is>
      </c>
      <c r="M1362" s="64" t="n"/>
      <c r="O1362" t="n">
        <v>95</v>
      </c>
      <c r="P1362" s="35" t="inlineStr">
        <is>
          <t>差:-82.00元 (-46.3%) 来源:售楼处</t>
        </is>
      </c>
      <c r="Q1362" s="35" t="n"/>
      <c r="R1362" s="35" t="n"/>
    </row>
    <row r="1363" outlineLevel="2" ht="180" customFormat="1" customHeight="1" s="39">
      <c r="A1363" s="37">
        <f>1+N(A1362)</f>
        <v/>
      </c>
      <c r="B1363" s="27" t="inlineStr">
        <is>
          <t>墙面干挂ST-05石材</t>
        </is>
      </c>
      <c r="C1363" s="27" t="inlineStr">
        <is>
          <t>1、墙面干挂ST-05石材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is>
      </c>
      <c r="D1363"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363" s="27" t="inlineStr">
        <is>
          <t>执行《GB/T50854-2024房屋建筑与装饰工程工程量计算标准》，按设计图示镶贴后外围面积计算</t>
        </is>
      </c>
      <c r="F1363" s="28" t="inlineStr">
        <is>
          <t>m2</t>
        </is>
      </c>
      <c r="G1363" s="61" t="n">
        <v>24.33</v>
      </c>
      <c r="H1363" s="62" t="n">
        <v>318.6</v>
      </c>
      <c r="I1363" s="65" t="n"/>
      <c r="J1363" s="62">
        <f>H1363*(1-$I$4)</f>
        <v/>
      </c>
      <c r="K1363" s="63">
        <f>G1363*J1363</f>
        <v/>
      </c>
      <c r="L1363" s="33" t="inlineStr">
        <is>
          <t>石材</t>
        </is>
      </c>
      <c r="M1363" s="64" t="n"/>
      <c r="O1363" t="n">
        <v>145</v>
      </c>
      <c r="P1363" s="35" t="inlineStr">
        <is>
          <t>差:-173.60元 (-54.5%) 来源:售楼处</t>
        </is>
      </c>
      <c r="Q1363" s="35" t="n"/>
      <c r="R1363" s="35" t="n"/>
    </row>
    <row r="1364" outlineLevel="2" ht="180" customFormat="1" customHeight="1" s="39">
      <c r="A1364" s="37">
        <f>1+N(A1363)</f>
        <v/>
      </c>
      <c r="B1364" s="27" t="inlineStr">
        <is>
          <t>WD-07摩素板</t>
        </is>
      </c>
      <c r="C1364" s="27" t="inlineStr">
        <is>
          <t>1、墙面WD-08摩素板(结构胶固定)
2、12厘玻镁板基层
3、膨胀螺栓、轻钢龙骨(钢结构)基层找平
4、包含完成该项内容所有工作及费用并满足设计图纸、规范等要求</t>
        </is>
      </c>
      <c r="D1364"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364" s="27" t="inlineStr">
        <is>
          <t>执行《GB/T50854-2024房屋建筑与装饰工程工程量计算标准》，按设计图示饰面外围尺寸
以面积计算。 扣除门窗洞口面积，不扣除单个面积≤0.3㎡的孔洞所占面积。</t>
        </is>
      </c>
      <c r="F1364" s="28" t="inlineStr">
        <is>
          <t>m2</t>
        </is>
      </c>
      <c r="G1364" s="61" t="n">
        <v>1.91</v>
      </c>
      <c r="H1364" s="62" t="n">
        <v>186.44</v>
      </c>
      <c r="I1364" s="65" t="n"/>
      <c r="J1364" s="62">
        <f>H1364*(1-$I$4)</f>
        <v/>
      </c>
      <c r="K1364" s="63">
        <f>G1364*J1364</f>
        <v/>
      </c>
      <c r="L1364" s="33" t="inlineStr">
        <is>
          <t>摩素板</t>
        </is>
      </c>
      <c r="M1364" s="64" t="n"/>
      <c r="O1364" t="n">
        <v>35</v>
      </c>
      <c r="P1364" s="35" t="inlineStr">
        <is>
          <t>差:-151.44元 (-81.2%) 来源:会所合并</t>
        </is>
      </c>
      <c r="Q1364" s="35" t="n"/>
      <c r="R1364" s="35" t="n"/>
    </row>
    <row r="1365" outlineLevel="2" ht="180" customFormat="1" customHeight="1" s="39">
      <c r="A1365" s="37">
        <f>1+N(A1364)</f>
        <v/>
      </c>
      <c r="B1365" s="27" t="inlineStr">
        <is>
          <t>电梯不锈钢门套</t>
        </is>
      </c>
      <c r="C1365" s="27" t="inlineStr">
        <is>
          <t>1、1.2mm厚 MT-01古铜不锈钢门套，结构胶固定
2、9厘玻镁板基层
3、工程量以展开面积计算
4、包含完成该项内容所有工作及费用并满足设计图纸、规范等要求</t>
        </is>
      </c>
      <c r="D1365"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365" s="27" t="inlineStr">
        <is>
          <t>执行《GB/T50854-2024房屋建筑与装饰工程工程量计算标准》，按设计图示饰面外围尺寸
以面积计算。 扣除门窗洞口面积，不扣除单个面积≤0.3㎡的孔洞所占面积。</t>
        </is>
      </c>
      <c r="F1365" s="28" t="inlineStr">
        <is>
          <t>m2</t>
        </is>
      </c>
      <c r="G1365" s="61" t="n">
        <v>3.4</v>
      </c>
      <c r="H1365" s="62" t="n">
        <v>630.651</v>
      </c>
      <c r="I1365" s="65" t="n"/>
      <c r="J1365" s="62">
        <f>H1365*(1-$I$4)</f>
        <v/>
      </c>
      <c r="K1365" s="63">
        <f>G1365*J1365</f>
        <v/>
      </c>
      <c r="L1365" s="33" t="inlineStr">
        <is>
          <t>/</t>
        </is>
      </c>
      <c r="M1365" s="64" t="n"/>
      <c r="O1365" t="n">
        <v>110</v>
      </c>
      <c r="P1365" s="35" t="inlineStr">
        <is>
          <t>差:-520.65元 (-82.6%) 来源:售楼处</t>
        </is>
      </c>
      <c r="Q1365" s="35" t="n"/>
      <c r="R1365" s="35" t="n"/>
    </row>
    <row r="1366" outlineLevel="2" ht="180" customFormat="1" customHeight="1" s="39">
      <c r="A1366" s="37">
        <f>1+N(A1365)</f>
        <v/>
      </c>
      <c r="B1366" s="27" t="inlineStr">
        <is>
          <t>电梯不锈钢门头</t>
        </is>
      </c>
      <c r="C1366" s="27" t="inlineStr">
        <is>
          <t>1、1.2mm厚 MT-01古铜不锈钢门头，结构胶固定
2、12mm阻燃板，轻钢副龙骨@400
3、电梯门顶内置亚克力，内部面层刮白处理
4、工程量以展开面积计算
5、包含完成该项内容所有工作及费用并满足设计图纸、规范等要求</t>
        </is>
      </c>
      <c r="D1366"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366" s="27" t="inlineStr">
        <is>
          <t>执行《GB/T50854-2024房屋建筑与装饰工程工程量计算标准》，按设计图示饰面外围尺寸
以面积计算。 扣除门窗洞口面积，不扣除单个面积≤0.3㎡的孔洞所占面积。</t>
        </is>
      </c>
      <c r="F1366" s="28" t="inlineStr">
        <is>
          <t>m2</t>
        </is>
      </c>
      <c r="G1366" s="61" t="n">
        <v>0.9</v>
      </c>
      <c r="H1366" s="62" t="n">
        <v>812.961</v>
      </c>
      <c r="I1366" s="65" t="n"/>
      <c r="J1366" s="62">
        <f>H1366*(1-$I$4)</f>
        <v/>
      </c>
      <c r="K1366" s="63">
        <f>G1366*J1366</f>
        <v/>
      </c>
      <c r="L1366" s="33" t="inlineStr">
        <is>
          <t>/</t>
        </is>
      </c>
      <c r="M1366" s="64" t="n"/>
      <c r="O1366" t="n">
        <v>110</v>
      </c>
      <c r="P1366" s="35" t="inlineStr">
        <is>
          <t>差:-702.96元 (-86.5%) 来源:售楼处</t>
        </is>
      </c>
      <c r="Q1366" s="35" t="n"/>
      <c r="R1366" s="35" t="n"/>
    </row>
    <row r="1367" outlineLevel="2" ht="180" customFormat="1" customHeight="1" s="39">
      <c r="A1367" s="37">
        <f>1+N(A1366)</f>
        <v/>
      </c>
      <c r="B1367" s="27" t="inlineStr">
        <is>
          <t>MT-01古铜不锈钢饰面（电梯按钮处）</t>
        </is>
      </c>
      <c r="C1367" s="27" t="inlineStr">
        <is>
          <t>1、1.2mm厚 MT-01古铜不锈钢饰面
2、12mm阻燃板基层，轻钢副龙骨@400
3、工程量以展开面积计算
4、包含完成该项内容所有工作及费用并满足设计图纸、规范等要求</t>
        </is>
      </c>
      <c r="D1367" s="27" t="inlineStr">
        <is>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is>
      </c>
      <c r="E1367" s="27" t="inlineStr">
        <is>
          <t>执行《GB/T50854-2024房屋建筑与装饰工程工程量计算标准》，按设计图示饰面外围尺寸
以面积计算。 扣除门窗洞口面积，不扣除单个面积≤0.3㎡的孔洞所占面积。</t>
        </is>
      </c>
      <c r="F1367" s="28" t="inlineStr">
        <is>
          <t>m2</t>
        </is>
      </c>
      <c r="G1367" s="61" t="n">
        <v>0.26</v>
      </c>
      <c r="H1367" s="62" t="n">
        <v>295</v>
      </c>
      <c r="I1367" s="65" t="n"/>
      <c r="J1367" s="62">
        <f>H1367*(1-$I$4)</f>
        <v/>
      </c>
      <c r="K1367" s="63">
        <f>G1367*J1367</f>
        <v/>
      </c>
      <c r="L1367" s="33" t="inlineStr">
        <is>
          <t>不锈钢饰面</t>
        </is>
      </c>
      <c r="M1367" s="64" t="n"/>
      <c r="O1367" t="n">
        <v>110</v>
      </c>
      <c r="P1367" s="35" t="inlineStr">
        <is>
          <t>差:-185.00元 (-62.7%) 来源:售楼处</t>
        </is>
      </c>
      <c r="Q1367" s="35" t="n"/>
      <c r="R1367" s="35" t="n"/>
    </row>
    <row r="1368" outlineLevel="2" ht="144" customFormat="1" customHeight="1" s="39">
      <c r="A1368" s="37">
        <f>1+N(A1367)</f>
        <v/>
      </c>
      <c r="B1368" s="27" t="inlineStr">
        <is>
          <t>MT-01古铜不锈钢踢脚线（高20mm）</t>
        </is>
      </c>
      <c r="C1368" s="27" t="inlineStr">
        <is>
          <t>1、1.2mm厚 MT-01古铜不锈钢踢脚线（高20mm，展开面为46mm），结构胶固定
2、9厘玻镁板基层
3、包含完成该项内容所有工作及费用并满足设计图纸、规范等要求</t>
        </is>
      </c>
      <c r="D1368"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368" s="27" t="inlineStr">
        <is>
          <t>按设计图示尺寸以长度计算。</t>
        </is>
      </c>
      <c r="F1368" s="28" t="inlineStr">
        <is>
          <t>m</t>
        </is>
      </c>
      <c r="G1368" s="61" t="n">
        <v>13.27</v>
      </c>
      <c r="H1368" s="62" t="n">
        <v>31.86</v>
      </c>
      <c r="I1368" s="65" t="n"/>
      <c r="J1368" s="62">
        <f>H1368*(1-$I$4)</f>
        <v/>
      </c>
      <c r="K1368" s="63">
        <f>G1368*J1368</f>
        <v/>
      </c>
      <c r="L1368" s="33" t="inlineStr">
        <is>
          <t>不锈钢踢脚线</t>
        </is>
      </c>
      <c r="M1368" s="64" t="n"/>
      <c r="O1368" t="n">
        <v>12</v>
      </c>
      <c r="P1368" s="35" t="inlineStr">
        <is>
          <t>差:-19.86元 (-62.3%) 来源:售楼处</t>
        </is>
      </c>
      <c r="Q1368" s="35" t="n"/>
      <c r="R1368" s="35" t="n"/>
    </row>
    <row r="1369" outlineLevel="2" ht="144" customFormat="1" customHeight="1" s="39">
      <c r="A1369" s="37">
        <f>1+N(A1368)</f>
        <v/>
      </c>
      <c r="B1369" s="27" t="inlineStr">
        <is>
          <t>MT-01古铜不锈钢线条（展开面为114mm）</t>
        </is>
      </c>
      <c r="C1369" s="27" t="inlineStr">
        <is>
          <t>1、1.2mm厚 MT-01古铜不锈钢线条（展开面为114mm），结构胶固定
2、9厘玻镁板基层
3、包含完成该项内容所有工作及费用并满足设计图纸、规范等要求</t>
        </is>
      </c>
      <c r="D1369"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369" s="27" t="inlineStr">
        <is>
          <t>按设计图示尺寸以长度计算。</t>
        </is>
      </c>
      <c r="F1369" s="28" t="inlineStr">
        <is>
          <t>m</t>
        </is>
      </c>
      <c r="G1369" s="61" t="n">
        <v>10.71</v>
      </c>
      <c r="H1369" s="62" t="n">
        <v>117.84424</v>
      </c>
      <c r="I1369" s="65" t="n"/>
      <c r="J1369" s="62">
        <f>H1369*(1-$I$4)</f>
        <v/>
      </c>
      <c r="K1369" s="63">
        <f>G1369*J1369</f>
        <v/>
      </c>
      <c r="L1369" s="33" t="inlineStr">
        <is>
          <t>/</t>
        </is>
      </c>
      <c r="M1369" s="64" t="n"/>
      <c r="O1369" t="n">
        <v>22</v>
      </c>
      <c r="P1369" s="35" t="inlineStr">
        <is>
          <t>差:-95.84元 (-81.3%) 来源:售楼处</t>
        </is>
      </c>
      <c r="Q1369" s="35" t="n"/>
      <c r="R1369" s="35" t="n"/>
    </row>
    <row r="1370" outlineLevel="2" ht="144" customFormat="1" customHeight="1" s="39">
      <c r="A1370" s="37">
        <f>1+N(A1369)</f>
        <v/>
      </c>
      <c r="B1370" s="27" t="inlineStr">
        <is>
          <t>MT-01古铜不锈钢顶部收口条（展开面为41mm）</t>
        </is>
      </c>
      <c r="C1370" s="27" t="inlineStr">
        <is>
          <t>1、1.2mm厚 MT-01古铜不锈钢顶部收口条（展开面为41mm），结构胶固定
2、9厘玻镁板基层
3、包含完成该项内容所有工作及费用并满足设计图纸、规范等要求</t>
        </is>
      </c>
      <c r="D1370" s="27" t="inlineStr">
        <is>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is>
      </c>
      <c r="E1370" s="27" t="inlineStr">
        <is>
          <t>按设计图示尺寸以长度计算。</t>
        </is>
      </c>
      <c r="F1370" s="28" t="inlineStr">
        <is>
          <t>m</t>
        </is>
      </c>
      <c r="G1370" s="61" t="n">
        <v>15.3</v>
      </c>
      <c r="H1370" s="62" t="n">
        <v>64.24509999999999</v>
      </c>
      <c r="I1370" s="65" t="n"/>
      <c r="J1370" s="62">
        <f>H1370*(1-$I$4)</f>
        <v/>
      </c>
      <c r="K1370" s="63">
        <f>G1370*J1370</f>
        <v/>
      </c>
      <c r="L1370" s="33" t="inlineStr">
        <is>
          <t>/</t>
        </is>
      </c>
      <c r="M1370" s="64" t="n"/>
      <c r="O1370" t="n">
        <v>12</v>
      </c>
      <c r="P1370" s="35" t="inlineStr">
        <is>
          <t>差:-52.25元 (-81.3%) 来源:售楼处</t>
        </is>
      </c>
      <c r="Q1370" s="35" t="n"/>
      <c r="R1370" s="35" t="n"/>
    </row>
    <row r="1371" outlineLevel="1" customFormat="1" s="39">
      <c r="A1371" s="36" t="n"/>
      <c r="B1371" s="27" t="inlineStr">
        <is>
          <t>天花工程</t>
        </is>
      </c>
      <c r="C1371" s="27" t="n"/>
      <c r="D1371" s="27" t="n"/>
      <c r="E1371" s="27" t="n"/>
      <c r="F1371" s="28" t="n"/>
      <c r="G1371" s="61" t="n"/>
      <c r="H1371" s="62" t="n"/>
      <c r="I1371" s="65" t="n"/>
      <c r="J1371" s="62" t="n"/>
      <c r="K1371" s="63" t="n"/>
      <c r="L1371" s="33" t="n"/>
      <c r="M1371" s="64" t="n"/>
      <c r="P1371" s="35" t="n"/>
      <c r="Q1371" s="35" t="n"/>
      <c r="R1371" s="35" t="n"/>
    </row>
    <row r="1372" outlineLevel="2" ht="192" customFormat="1" customHeight="1" s="39">
      <c r="A1372" s="37">
        <f>1+N(A1371)</f>
        <v/>
      </c>
      <c r="B1372" s="27" t="inlineStr">
        <is>
          <t>石膏板吊顶</t>
        </is>
      </c>
      <c r="C1372" s="27" t="inlineStr">
        <is>
          <t>1.60系列轻钢主龙骨@900，60系列轻钢副龙骨@400，60系列横撑龙骨@600，08螺纹吊杆@900不上人天花吊顶（投影面计算）
2.玻镁板、双层9.5厚石膏板基层，含开孔、检修口、10*10凹槽等费用；
3.含除灯槽外的侧面高差及其连接件、吊件；
4.包含完成该项内容所有工作及费用并满足设计图纸、规范等要求；</t>
        </is>
      </c>
      <c r="D1372" s="27" t="inlineStr">
        <is>
          <t>1.基层清理。
2.弹线定位、排版。
3.吊杆及连接件安装调平、收口及密封处理。
4.材料切割处理找平、石膏板安装及调整，打胶密封与清理.
5.收口及其他处理：检修口等制作安装、收边收口、配合预留安装、机电等专业孔洞及孔洞收口处理。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is>
      </c>
      <c r="E1372" s="27" t="inlineStr">
        <is>
          <t>按设计图示尺寸以水平投影面积计算。不扣除间壁墙、检查口、附墙烟囱、柱垛和管道所占面积,扣除单个&gt;0.3m3的孔洞、非密拼吊顶空隙所占的面积、独立柱及与天棚相连的窗帘盒所占的面积。</t>
        </is>
      </c>
      <c r="F1372" s="28" t="inlineStr">
        <is>
          <t>m2</t>
        </is>
      </c>
      <c r="G1372" s="61" t="n">
        <v>16.93</v>
      </c>
      <c r="H1372" s="62" t="n">
        <v>150.712222222222</v>
      </c>
      <c r="I1372" s="65" t="n"/>
      <c r="J1372" s="62">
        <f>H1372*(1-$I$4)</f>
        <v/>
      </c>
      <c r="K1372" s="63">
        <f>G1372*J1372</f>
        <v/>
      </c>
      <c r="L1372" s="33" t="inlineStr">
        <is>
          <t>/</t>
        </is>
      </c>
      <c r="M1372" s="64" t="n"/>
      <c r="O1372" t="n">
        <v>70</v>
      </c>
      <c r="P1372" s="35" t="inlineStr">
        <is>
          <t>差:-80.71元 (-53.6%) 来源:会所合并</t>
        </is>
      </c>
      <c r="Q1372" s="35" t="n"/>
      <c r="R1372" s="35" t="n"/>
    </row>
    <row r="1373" outlineLevel="2" ht="72" customFormat="1" customHeight="1" s="39">
      <c r="A1373" s="37">
        <f>1+N(A1372)</f>
        <v/>
      </c>
      <c r="B1373" s="27" t="inlineStr">
        <is>
          <t>灯槽（100mm*200mm）</t>
        </is>
      </c>
      <c r="C1373" s="27" t="inlineStr">
        <is>
          <t>1.灯槽（100mm*200mm）；
2.双层板：9mm玻镁板、9.5厚石膏板；
3.包含完成该项内容所有工作及费用并满足设计图纸、规范等要求；</t>
        </is>
      </c>
      <c r="D1373" s="27" t="inlineStr">
        <is>
          <t>自现有现场条件下按照合同约定范围、图纸（含设计变更）及甲方要求内容以及规范、标准、相关做法等要求完成并达到总包合同全部目标的全部工作内容。</t>
        </is>
      </c>
      <c r="E1373" s="27" t="inlineStr">
        <is>
          <t>依据经承包人确认的施工部位,按设计图示尺寸以延长米计算。</t>
        </is>
      </c>
      <c r="F1373" s="28" t="inlineStr">
        <is>
          <t>m</t>
        </is>
      </c>
      <c r="G1373" s="61" t="n">
        <v>14.03</v>
      </c>
      <c r="H1373" s="62" t="n">
        <v>112.159</v>
      </c>
      <c r="I1373" s="65" t="n"/>
      <c r="J1373" s="62">
        <f>H1373*(1-$I$4)</f>
        <v/>
      </c>
      <c r="K1373" s="63">
        <f>G1373*J1373</f>
        <v/>
      </c>
      <c r="L1373" s="33" t="inlineStr">
        <is>
          <t>/</t>
        </is>
      </c>
      <c r="M1373" s="64" t="n"/>
      <c r="O1373" t="n">
        <v>50</v>
      </c>
      <c r="P1373" s="35" t="inlineStr">
        <is>
          <t>差:-62.16元 (-55.4%) 来源:售楼处</t>
        </is>
      </c>
      <c r="Q1373" s="35" t="n"/>
      <c r="R1373" s="35" t="n"/>
    </row>
    <row r="1374" outlineLevel="2" ht="72" customFormat="1" customHeight="1" s="39">
      <c r="A1374" s="37">
        <f>1+N(A1373)</f>
        <v/>
      </c>
      <c r="B1374" s="27" t="inlineStr">
        <is>
          <t>成品石膏线条</t>
        </is>
      </c>
      <c r="C1374" s="27" t="inlineStr">
        <is>
          <t>1.成品石膏线条（50mm*50mm）；
2.按图纸造型；
3.包含完成该项内容所有工作及费用并满足设计图纸、规范等要求；</t>
        </is>
      </c>
      <c r="D1374" s="27" t="inlineStr">
        <is>
          <t>自现有现场条件下按照合同约定范围、图纸（含设计变更）及甲方要求内容以及规范、标准、相关做法等要求完成并达到总包合同全部目标的全部工作内容。</t>
        </is>
      </c>
      <c r="E1374" s="27" t="inlineStr">
        <is>
          <t>依据经承包人确认的施工部位,按设计图示尺寸以延长米计算。</t>
        </is>
      </c>
      <c r="F1374" s="28" t="inlineStr">
        <is>
          <t>m</t>
        </is>
      </c>
      <c r="G1374" s="61" t="n">
        <v>14.03</v>
      </c>
      <c r="H1374" s="62" t="n">
        <v>20.06</v>
      </c>
      <c r="I1374" s="65" t="n"/>
      <c r="J1374" s="62">
        <f>H1374*(1-$I$4)</f>
        <v/>
      </c>
      <c r="K1374" s="63">
        <f>G1374*J1374</f>
        <v/>
      </c>
      <c r="L1374" s="33" t="inlineStr">
        <is>
          <t>成品石膏线条</t>
        </is>
      </c>
      <c r="M1374" s="64" t="n"/>
      <c r="O1374" t="n">
        <v>18</v>
      </c>
      <c r="P1374" s="35" t="inlineStr">
        <is>
          <t>差:-2.06元 (-10.3%) 来源:售楼处</t>
        </is>
      </c>
      <c r="Q1374" s="35" t="n"/>
      <c r="R1374" s="35" t="n"/>
    </row>
    <row r="1375" outlineLevel="2" ht="72" customFormat="1" customHeight="1" s="39">
      <c r="A1375" s="37">
        <f>1+N(A1374)</f>
        <v/>
      </c>
      <c r="B1375" s="27" t="inlineStr">
        <is>
          <t>条形空调风口（150mm）</t>
        </is>
      </c>
      <c r="C1375" s="27" t="inlineStr">
        <is>
          <t>1.条形空调风口（150mm）；
2.风口周边阻燃板封边加固处理；
3.包含完成该项内容所有工作及费用并满足设计图纸、规范等要求；</t>
        </is>
      </c>
      <c r="D1375" s="27" t="inlineStr">
        <is>
          <t>自现有现场条件下按照合同约定范围、图纸（含设计变更）及甲方要求内容以及规范、标准、相关做法等要求完成并达到总包合同全部目标的全部工作内容。</t>
        </is>
      </c>
      <c r="E1375" s="27" t="inlineStr">
        <is>
          <t>依据经承包人确认的施工部位,按设计图示尺寸以延长米计算。</t>
        </is>
      </c>
      <c r="F1375" s="28" t="inlineStr">
        <is>
          <t>m</t>
        </is>
      </c>
      <c r="G1375" s="61" t="n">
        <v>8.84</v>
      </c>
      <c r="H1375" s="62" t="n">
        <v>109.74</v>
      </c>
      <c r="I1375" s="65" t="n"/>
      <c r="J1375" s="62">
        <f>H1375*(1-$I$4)</f>
        <v/>
      </c>
      <c r="K1375" s="63">
        <f>G1375*J1375</f>
        <v/>
      </c>
      <c r="L1375" s="33" t="inlineStr">
        <is>
          <t>空调风口</t>
        </is>
      </c>
      <c r="M1375" s="64" t="n"/>
      <c r="O1375" t="n">
        <v>30</v>
      </c>
      <c r="P1375" s="35" t="inlineStr">
        <is>
          <t>差:-79.74元 (-72.7%) 来源:售楼处</t>
        </is>
      </c>
      <c r="Q1375" s="35" t="n"/>
      <c r="R1375" s="35" t="n"/>
    </row>
    <row r="1376" outlineLevel="2" ht="192" customFormat="1" customHeight="1" s="39">
      <c r="A1376" s="37">
        <f>1+N(A1375)</f>
        <v/>
      </c>
      <c r="B1376" s="27" t="inlineStr">
        <is>
          <t>天花肌理无机涂料PT-01</t>
        </is>
      </c>
      <c r="C1376" s="27" t="inlineStr">
        <is>
          <t>1.天花肌理无机涂料PT-01；
2.刮腻子二遍磨平；
3.底漆1遍，面漆2遍；
4.包含完成该项内容所有工作及费用并满足设计图纸、规范等要求；</t>
        </is>
      </c>
      <c r="D1376" s="27" t="inlineStr">
        <is>
          <t>包括但不限于材料计划、采购、卸车倒运、保管、检验试验费、测量放线，包含四周阴角找平直、含天棚四周阴角找平直，打磨，简易脚手架搭拆及操作平台、升降机，基层清理、打磨平整、底层找补、满刮涂料（含阴阳角塑料条）、涂料打磨、补遗处理、配合其他分包施工、完工后场清、成品保护、保修等直到达到竣工交付标准的全部工作内容。包括所有为完成工作所需的小型机具；包括所有为完成工作所需的附属工作；包括但不限于以上内容。</t>
        </is>
      </c>
      <c r="E1376" s="27" t="inlineStr">
        <is>
          <t>执行《GB/T50854-2024房屋建筑与装饰工程工程量计算标准》，按设计图示尺寸以面积计算。扣除0.3平方米以上洞口的面积；梁侧面及檐口天棚并入天棚计算；以设计图纸和技术交底为基础</t>
        </is>
      </c>
      <c r="F1376" s="28" t="inlineStr">
        <is>
          <t>m2</t>
        </is>
      </c>
      <c r="G1376" s="61" t="n">
        <v>21.74</v>
      </c>
      <c r="H1376" s="62" t="n">
        <v>48.38</v>
      </c>
      <c r="I1376" s="65" t="n"/>
      <c r="J1376" s="62">
        <f>H1376*(1-$I$4)</f>
        <v/>
      </c>
      <c r="K1376" s="63">
        <f>G1376*J1376</f>
        <v/>
      </c>
      <c r="L1376" s="33" t="inlineStr">
        <is>
          <t>涂料</t>
        </is>
      </c>
      <c r="M1376" s="64" t="n"/>
      <c r="O1376" t="n">
        <v>45</v>
      </c>
      <c r="P1376" s="35" t="inlineStr">
        <is>
          <t>差:-3.38元 (-7.0%) 来源:售楼处</t>
        </is>
      </c>
      <c r="Q1376" s="35" t="n"/>
      <c r="R1376" s="35" t="n"/>
    </row>
    <row r="1377" outlineLevel="1" customFormat="1" s="39">
      <c r="A1377" s="36" t="n"/>
      <c r="B1377" s="27" t="inlineStr">
        <is>
          <t>门窗、家具工程</t>
        </is>
      </c>
      <c r="C1377" s="27" t="n"/>
      <c r="D1377" s="27" t="n"/>
      <c r="E1377" s="27" t="n"/>
      <c r="F1377" s="28" t="n"/>
      <c r="G1377" s="61" t="n"/>
      <c r="H1377" s="62" t="n"/>
      <c r="I1377" s="65" t="n"/>
      <c r="J1377" s="62" t="n"/>
      <c r="K1377" s="63" t="n"/>
      <c r="L1377" s="33" t="n"/>
      <c r="M1377" s="64" t="n"/>
      <c r="P1377" s="35" t="n"/>
      <c r="Q1377" s="35" t="n"/>
      <c r="R1377" s="35" t="n"/>
    </row>
    <row r="1378" customFormat="1" s="4">
      <c r="A1378" s="40" t="n"/>
      <c r="B1378" s="27" t="inlineStr">
        <is>
          <t>合计</t>
        </is>
      </c>
      <c r="C1378" s="27" t="n"/>
      <c r="D1378" s="27" t="n"/>
      <c r="E1378" s="27" t="n"/>
      <c r="F1378" s="28" t="n"/>
      <c r="G1378" s="61" t="n"/>
      <c r="H1378" s="62" t="n"/>
      <c r="I1378" s="65" t="n"/>
      <c r="J1378" s="62" t="n"/>
      <c r="K1378" s="66" t="n"/>
      <c r="L1378" s="33" t="n"/>
      <c r="M1378" s="64" t="n"/>
      <c r="P1378" s="35" t="n"/>
    </row>
    <row r="1379" customFormat="1" s="5">
      <c r="A1379" s="43" t="n"/>
      <c r="B1379" s="20" t="inlineStr">
        <is>
          <t>电气工程</t>
        </is>
      </c>
      <c r="C1379" s="27" t="n"/>
      <c r="D1379" s="27" t="n"/>
      <c r="E1379" s="27" t="n"/>
      <c r="F1379" s="28" t="n"/>
      <c r="G1379" s="61" t="n"/>
      <c r="H1379" s="62" t="n"/>
      <c r="I1379" s="65" t="n"/>
      <c r="J1379" s="62" t="n"/>
      <c r="K1379" s="63" t="n"/>
      <c r="L1379" s="33" t="n"/>
      <c r="M1379" s="64" t="n"/>
      <c r="P1379" s="35" t="n"/>
      <c r="Q1379" s="44" t="n"/>
      <c r="R1379" s="44" t="n"/>
    </row>
    <row r="1380" outlineLevel="1" customFormat="1" s="5">
      <c r="A1380" s="43" t="n"/>
      <c r="B1380" s="27" t="inlineStr">
        <is>
          <t>（1）会所</t>
        </is>
      </c>
      <c r="C1380" s="27" t="n"/>
      <c r="D1380" s="27" t="n"/>
      <c r="E1380" s="27" t="n"/>
      <c r="F1380" s="28" t="n"/>
      <c r="G1380" s="61" t="n"/>
      <c r="H1380" s="62" t="n"/>
      <c r="I1380" s="65" t="n"/>
      <c r="J1380" s="62" t="n"/>
      <c r="K1380" s="63" t="n"/>
      <c r="L1380" s="33" t="n"/>
      <c r="M1380" s="64" t="n"/>
      <c r="P1380" s="35" t="n"/>
      <c r="Q1380" s="44" t="n"/>
      <c r="R1380" s="44" t="n"/>
    </row>
    <row r="1381" outlineLevel="2" ht="72" customFormat="1" customHeight="1" s="6">
      <c r="A1381" s="45">
        <f>A1380+1</f>
        <v/>
      </c>
      <c r="B1381" s="27" t="inlineStr">
        <is>
          <t>D13m 可调深藏射灯</t>
        </is>
      </c>
      <c r="C1381" s="27" t="inlineStr">
        <is>
          <t>1.名称:D13m 可调深藏射灯
2.规格：功率：9W、流明量：756lm；63lm/W、色温：3500K、光速角：24°
3.其他:包含完成该项内容所有工作及费用并满足设计图纸、规范等要求</t>
        </is>
      </c>
      <c r="D1381" s="27" t="inlineStr">
        <is>
          <t>自现有现场条件下按照合同约定范围、图纸（含设计变更）及甲方要求内容以及规范、标准、相关做法等要求完成并达到总包合同全部目标的全部工作内容。</t>
        </is>
      </c>
      <c r="E1381" s="27" t="inlineStr">
        <is>
          <t>结合施工图纸及施工方案，根据GB/T50856-2024通用安装工程工程量计算规范，以最终验收合格的工程量计算。</t>
        </is>
      </c>
      <c r="F1381" s="28" t="inlineStr">
        <is>
          <t>套</t>
        </is>
      </c>
      <c r="G1381" s="61" t="n">
        <v>17</v>
      </c>
      <c r="H1381" s="62" t="n">
        <v>16.52</v>
      </c>
      <c r="I1381" s="65" t="n"/>
      <c r="J1381" s="62">
        <f>H1381*(1-$I$4)</f>
        <v/>
      </c>
      <c r="K1381" s="63">
        <f>G1381*J1381</f>
        <v/>
      </c>
      <c r="L1381" s="33" t="inlineStr">
        <is>
          <t>灯具</t>
        </is>
      </c>
      <c r="M1381" s="64" t="n"/>
      <c r="O1381" t="n">
        <v>18</v>
      </c>
      <c r="P1381" s="35" t="inlineStr">
        <is>
          <t>差:+1.48元 (+9.0%) 来源:会所合并</t>
        </is>
      </c>
      <c r="Q1381" s="46" t="n"/>
      <c r="R1381" s="46" t="n"/>
    </row>
    <row r="1382" outlineLevel="2" ht="72" customFormat="1" customHeight="1" s="6">
      <c r="A1382" s="45">
        <f>A1381+1</f>
        <v/>
      </c>
      <c r="B1382" s="27" t="inlineStr">
        <is>
          <t>D13f 可调深藏射灯</t>
        </is>
      </c>
      <c r="C1382" s="27" t="inlineStr">
        <is>
          <t>1.名称:D13f 可调深藏射灯
2.规格：功率：9W、流明量：594lm；63lm/W、色温：3500K、光速角：36°
3.其他:包含完成该项内容所有工作及费用并满足设计图纸、规范等要求</t>
        </is>
      </c>
      <c r="D1382" s="27" t="inlineStr">
        <is>
          <t>自现有现场条件下按照合同约定范围、图纸（含设计变更）及甲方要求内容以及规范、标准、相关做法等要求完成并达到总包合同全部目标的全部工作内容。</t>
        </is>
      </c>
      <c r="E1382" s="27" t="inlineStr">
        <is>
          <t>结合施工图纸及施工方案，根据GB/T50856-2024通用安装工程工程量计算规范，以最终验收合格的工程量计算。</t>
        </is>
      </c>
      <c r="F1382" s="28" t="inlineStr">
        <is>
          <t>套</t>
        </is>
      </c>
      <c r="G1382" s="61" t="n">
        <v>124</v>
      </c>
      <c r="H1382" s="62" t="n">
        <v>16.52</v>
      </c>
      <c r="I1382" s="65" t="n"/>
      <c r="J1382" s="62">
        <f>H1382*(1-$I$4)</f>
        <v/>
      </c>
      <c r="K1382" s="63">
        <f>G1382*J1382</f>
        <v/>
      </c>
      <c r="L1382" s="33" t="inlineStr">
        <is>
          <t>灯具</t>
        </is>
      </c>
      <c r="M1382" s="64" t="n"/>
      <c r="O1382" t="n">
        <v>18</v>
      </c>
      <c r="P1382" s="35" t="inlineStr">
        <is>
          <t>差:+1.48元 (+9.0%) 来源:会所合并</t>
        </is>
      </c>
      <c r="Q1382" s="46" t="n"/>
      <c r="R1382" s="46" t="n"/>
    </row>
    <row r="1383" outlineLevel="2" ht="72" customFormat="1" customHeight="1" s="6">
      <c r="A1383" s="45">
        <f>A1382+1</f>
        <v/>
      </c>
      <c r="B1383" s="27" t="inlineStr">
        <is>
          <t>D14m 可调深藏射灯</t>
        </is>
      </c>
      <c r="C1383" s="27" t="inlineStr">
        <is>
          <t>1.名称:D14m 可调深藏射灯
2.规格：功率：12W、流明量：756lm；63lm/W、色温：3500K、光速角：24°
3.其他:包含完成该项内容所有工作及费用并满足设计图纸、规范等要求</t>
        </is>
      </c>
      <c r="D1383" s="27" t="inlineStr">
        <is>
          <t>自现有现场条件下按照合同约定范围、图纸（含设计变更）及甲方要求内容以及规范、标准、相关做法等要求完成并达到总包合同全部目标的全部工作内容。</t>
        </is>
      </c>
      <c r="E1383" s="27" t="inlineStr">
        <is>
          <t>结合施工图纸及施工方案，根据GB/T50856-2024通用安装工程工程量计算规范，以最终验收合格的工程量计算。</t>
        </is>
      </c>
      <c r="F1383" s="28" t="inlineStr">
        <is>
          <t>套</t>
        </is>
      </c>
      <c r="G1383" s="61" t="n">
        <v>26</v>
      </c>
      <c r="H1383" s="62" t="n">
        <v>16.52</v>
      </c>
      <c r="I1383" s="65" t="n"/>
      <c r="J1383" s="62">
        <f>H1383*(1-$I$4)</f>
        <v/>
      </c>
      <c r="K1383" s="63">
        <f>G1383*J1383</f>
        <v/>
      </c>
      <c r="L1383" s="33" t="inlineStr">
        <is>
          <t>灯具</t>
        </is>
      </c>
      <c r="M1383" s="64" t="n"/>
      <c r="O1383" t="n">
        <v>18</v>
      </c>
      <c r="P1383" s="35" t="inlineStr">
        <is>
          <t>差:+1.48元 (+9.0%) 来源:会所合并</t>
        </is>
      </c>
      <c r="Q1383" s="46" t="n"/>
      <c r="R1383" s="46" t="n"/>
    </row>
    <row r="1384" outlineLevel="2" ht="72" customFormat="1" customHeight="1" s="6">
      <c r="A1384" s="45">
        <f>A1383+1</f>
        <v/>
      </c>
      <c r="B1384" s="27" t="inlineStr">
        <is>
          <t>D14f 可调深藏射灯</t>
        </is>
      </c>
      <c r="C1384" s="27" t="inlineStr">
        <is>
          <t>1.名称:D14f 可调深藏射灯
2.规格：功率：12W、流明量：792lm；66lm/W、色温：3500K、光速角：36°
3.其他:包含完成该项内容所有工作及费用并满足设计图纸、规范等要求</t>
        </is>
      </c>
      <c r="D1384" s="27" t="inlineStr">
        <is>
          <t>自现有现场条件下按照合同约定范围、图纸（含设计变更）及甲方要求内容以及规范、标准、相关做法等要求完成并达到总包合同全部目标的全部工作内容。</t>
        </is>
      </c>
      <c r="E1384" s="27" t="inlineStr">
        <is>
          <t>结合施工图纸及施工方案，根据GB/T50856-2024通用安装工程工程量计算规范，以最终验收合格的工程量计算。</t>
        </is>
      </c>
      <c r="F1384" s="28" t="inlineStr">
        <is>
          <t>套</t>
        </is>
      </c>
      <c r="G1384" s="61" t="n">
        <v>104</v>
      </c>
      <c r="H1384" s="62" t="n">
        <v>16.52</v>
      </c>
      <c r="I1384" s="65" t="n"/>
      <c r="J1384" s="62">
        <f>H1384*(1-$I$4)</f>
        <v/>
      </c>
      <c r="K1384" s="63">
        <f>G1384*J1384</f>
        <v/>
      </c>
      <c r="L1384" s="33" t="inlineStr">
        <is>
          <t>灯具</t>
        </is>
      </c>
      <c r="M1384" s="64" t="n"/>
      <c r="O1384" t="n">
        <v>18</v>
      </c>
      <c r="P1384" s="35" t="inlineStr">
        <is>
          <t>差:+1.48元 (+9.0%) 来源:会所合并</t>
        </is>
      </c>
      <c r="Q1384" s="46" t="n"/>
      <c r="R1384" s="46" t="n"/>
    </row>
    <row r="1385" outlineLevel="2" ht="72" customFormat="1" customHeight="1" s="6">
      <c r="A1385" s="45">
        <f>A1384+1</f>
        <v/>
      </c>
      <c r="B1385" s="27" t="inlineStr">
        <is>
          <t>D15m 可调深藏射灯</t>
        </is>
      </c>
      <c r="C1385" s="27" t="inlineStr">
        <is>
          <t>1.名称:D15m 可调深藏射灯
2.规格：功率：15W、流明量：951lm；65lm/W、色温：3500K、光速角：24°
3.其他:包含完成该项内容所有工作及费用并满足设计图纸、规范等要求</t>
        </is>
      </c>
      <c r="D1385" s="27" t="inlineStr">
        <is>
          <t>自现有现场条件下按照合同约定范围、图纸（含设计变更）及甲方要求内容以及规范、标准、相关做法等要求完成并达到总包合同全部目标的全部工作内容。</t>
        </is>
      </c>
      <c r="E1385" s="27" t="inlineStr">
        <is>
          <t>结合施工图纸及施工方案，根据GB/T50856-2024通用安装工程工程量计算规范，以最终验收合格的工程量计算。</t>
        </is>
      </c>
      <c r="F1385" s="28" t="inlineStr">
        <is>
          <t>套</t>
        </is>
      </c>
      <c r="G1385" s="61" t="n">
        <v>9</v>
      </c>
      <c r="H1385" s="62" t="n">
        <v>16.52</v>
      </c>
      <c r="I1385" s="65" t="n"/>
      <c r="J1385" s="62">
        <f>H1385*(1-$I$4)</f>
        <v/>
      </c>
      <c r="K1385" s="63">
        <f>G1385*J1385</f>
        <v/>
      </c>
      <c r="L1385" s="33" t="inlineStr">
        <is>
          <t>灯具</t>
        </is>
      </c>
      <c r="M1385" s="64" t="n"/>
      <c r="O1385" t="n">
        <v>18</v>
      </c>
      <c r="P1385" s="35" t="inlineStr">
        <is>
          <t>差:+1.48元 (+9.0%) 来源:会所合并</t>
        </is>
      </c>
      <c r="Q1385" s="46" t="n"/>
      <c r="R1385" s="46" t="n"/>
    </row>
    <row r="1386" outlineLevel="2" ht="72" customFormat="1" customHeight="1" s="6">
      <c r="A1386" s="45">
        <f>A1385+1</f>
        <v/>
      </c>
      <c r="B1386" s="27" t="inlineStr">
        <is>
          <t>D15f 可调深藏射灯</t>
        </is>
      </c>
      <c r="C1386" s="27" t="inlineStr">
        <is>
          <t>1.名称:D15f 可调深藏射灯
2.规格：功率：15W、流明量：970lm；67lm/W、色温：3500K、光速角：36°
3.其他:包含完成该项内容所有工作及费用并满足设计图纸、规范等要求</t>
        </is>
      </c>
      <c r="D1386" s="27" t="inlineStr">
        <is>
          <t>自现有现场条件下按照合同约定范围、图纸（含设计变更）及甲方要求内容以及规范、标准、相关做法等要求完成并达到总包合同全部目标的全部工作内容。</t>
        </is>
      </c>
      <c r="E1386" s="27" t="inlineStr">
        <is>
          <t>结合施工图纸及施工方案，根据GB/T50856-2024通用安装工程工程量计算规范，以最终验收合格的工程量计算。</t>
        </is>
      </c>
      <c r="F1386" s="28" t="inlineStr">
        <is>
          <t>套</t>
        </is>
      </c>
      <c r="G1386" s="61" t="n">
        <v>96</v>
      </c>
      <c r="H1386" s="62" t="n">
        <v>16.52</v>
      </c>
      <c r="I1386" s="65" t="n"/>
      <c r="J1386" s="62">
        <f>H1386*(1-$I$4)</f>
        <v/>
      </c>
      <c r="K1386" s="63">
        <f>G1386*J1386</f>
        <v/>
      </c>
      <c r="L1386" s="33" t="inlineStr">
        <is>
          <t>灯具</t>
        </is>
      </c>
      <c r="M1386" s="64" t="n"/>
      <c r="O1386" t="n">
        <v>18</v>
      </c>
      <c r="P1386" s="35" t="inlineStr">
        <is>
          <t>差:+1.48元 (+9.0%) 来源:会所合并</t>
        </is>
      </c>
      <c r="Q1386" s="46" t="n"/>
      <c r="R1386" s="46" t="n"/>
    </row>
    <row r="1387" outlineLevel="2" ht="72" customFormat="1" customHeight="1" s="6">
      <c r="A1387" s="45">
        <f>A1386+1</f>
        <v/>
      </c>
      <c r="B1387" s="27" t="inlineStr">
        <is>
          <t>D17m 可调深藏射灯</t>
        </is>
      </c>
      <c r="C1387" s="27" t="inlineStr">
        <is>
          <t>1.名称:D17m 可调深藏射灯
2.规格：功率：24W、流明量：1802lm；77lm/W、色温：3500K、光速角：24°
3.其他:包含完成该项内容所有工作及费用并满足设计图纸、规范等要求</t>
        </is>
      </c>
      <c r="D1387" s="27" t="inlineStr">
        <is>
          <t>自现有现场条件下按照合同约定范围、图纸（含设计变更）及甲方要求内容以及规范、标准、相关做法等要求完成并达到总包合同全部目标的全部工作内容。</t>
        </is>
      </c>
      <c r="E1387" s="27" t="inlineStr">
        <is>
          <t>结合施工图纸及施工方案，根据GB/T50856-2024通用安装工程工程量计算规范，以最终验收合格的工程量计算。</t>
        </is>
      </c>
      <c r="F1387" s="28" t="inlineStr">
        <is>
          <t>套</t>
        </is>
      </c>
      <c r="G1387" s="61" t="n">
        <v>24</v>
      </c>
      <c r="H1387" s="62" t="n">
        <v>16.52</v>
      </c>
      <c r="I1387" s="65" t="n"/>
      <c r="J1387" s="62">
        <f>H1387*(1-$I$4)</f>
        <v/>
      </c>
      <c r="K1387" s="63">
        <f>G1387*J1387</f>
        <v/>
      </c>
      <c r="L1387" s="33" t="inlineStr">
        <is>
          <t>灯具</t>
        </is>
      </c>
      <c r="M1387" s="64" t="n"/>
      <c r="O1387" t="n">
        <v>18</v>
      </c>
      <c r="P1387" s="35" t="inlineStr">
        <is>
          <t>差:+1.48元 (+9.0%) 来源:会所合并</t>
        </is>
      </c>
      <c r="Q1387" s="46" t="n"/>
      <c r="R1387" s="46" t="n"/>
    </row>
    <row r="1388" outlineLevel="2" ht="72" customFormat="1" customHeight="1" s="6">
      <c r="A1388" s="45">
        <f>A1387+1</f>
        <v/>
      </c>
      <c r="B1388" s="27" t="inlineStr">
        <is>
          <t>Gs15f 方形下照深藏射灯</t>
        </is>
      </c>
      <c r="C1388" s="27" t="inlineStr">
        <is>
          <t>1.名称:Gs15f 方形下照深藏射灯
2.规格：功率：9W、流明量：603lm；67lm/W、色温：3500K、光速角：36°
3.其他:包含完成该项内容所有工作及费用并满足设计图纸、规范等要求</t>
        </is>
      </c>
      <c r="D1388" s="27" t="inlineStr">
        <is>
          <t>自现有现场条件下按照合同约定范围、图纸（含设计变更）及甲方要求内容以及规范、标准、相关做法等要求完成并达到总包合同全部目标的全部工作内容。</t>
        </is>
      </c>
      <c r="E1388" s="27" t="inlineStr">
        <is>
          <t>结合施工图纸及施工方案，根据GB/T50856-2024通用安装工程工程量计算规范，以最终验收合格的工程量计算。</t>
        </is>
      </c>
      <c r="F1388" s="28" t="inlineStr">
        <is>
          <t>套</t>
        </is>
      </c>
      <c r="G1388" s="61" t="n">
        <v>12</v>
      </c>
      <c r="H1388" s="62" t="n">
        <v>16.52</v>
      </c>
      <c r="I1388" s="65" t="n"/>
      <c r="J1388" s="62">
        <f>H1388*(1-$I$4)</f>
        <v/>
      </c>
      <c r="K1388" s="63">
        <f>G1388*J1388</f>
        <v/>
      </c>
      <c r="L1388" s="33" t="inlineStr">
        <is>
          <t>灯具</t>
        </is>
      </c>
      <c r="M1388" s="64" t="n"/>
      <c r="O1388" t="n">
        <v>18</v>
      </c>
      <c r="P1388" s="35" t="inlineStr">
        <is>
          <t>差:+1.48元 (+9.0%) 来源:会所合并</t>
        </is>
      </c>
      <c r="Q1388" s="46" t="n"/>
      <c r="R1388" s="46" t="n"/>
    </row>
    <row r="1389" outlineLevel="2" ht="72" customFormat="1" customHeight="1" s="6">
      <c r="A1389" s="45">
        <f>A1388+1</f>
        <v/>
      </c>
      <c r="B1389" s="27" t="inlineStr">
        <is>
          <t>Mr15n 下照迷你格栅灯</t>
        </is>
      </c>
      <c r="C1389" s="27" t="inlineStr">
        <is>
          <t>1.名称:Mr15n 下照迷你格栅灯
2.规格：功率：10*2W、流明量：1400lm；70lm/W、色温：3500K、光速角：15°
3.其他:包含完成该项内容所有工作及费用并满足设计图纸、规范等要求</t>
        </is>
      </c>
      <c r="D1389" s="27" t="inlineStr">
        <is>
          <t>自现有现场条件下按照合同约定范围、图纸（含设计变更）及甲方要求内容以及规范、标准、相关做法等要求完成并达到总包合同全部目标的全部工作内容。</t>
        </is>
      </c>
      <c r="E1389" s="27" t="inlineStr">
        <is>
          <t>结合施工图纸及施工方案，根据GB/T50856-2024通用安装工程工程量计算规范，以最终验收合格的工程量计算。</t>
        </is>
      </c>
      <c r="F1389" s="28" t="inlineStr">
        <is>
          <t>套</t>
        </is>
      </c>
      <c r="G1389" s="61" t="n">
        <v>6</v>
      </c>
      <c r="H1389" s="62" t="n">
        <v>16.52</v>
      </c>
      <c r="I1389" s="65" t="n"/>
      <c r="J1389" s="62">
        <f>H1389*(1-$I$4)</f>
        <v/>
      </c>
      <c r="K1389" s="63">
        <f>G1389*J1389</f>
        <v/>
      </c>
      <c r="L1389" s="33" t="inlineStr">
        <is>
          <t>灯具</t>
        </is>
      </c>
      <c r="M1389" s="64" t="n"/>
      <c r="O1389" t="n">
        <v>35</v>
      </c>
      <c r="P1389" s="35" t="inlineStr">
        <is>
          <t>差:+18.48元 (+111.9%) 来源:会所合并</t>
        </is>
      </c>
      <c r="Q1389" s="46" t="n"/>
      <c r="R1389" s="46" t="n"/>
    </row>
    <row r="1390" outlineLevel="2" ht="72" customFormat="1" customHeight="1" s="6">
      <c r="A1390" s="45">
        <f>A1389+1</f>
        <v/>
      </c>
      <c r="B1390" s="27" t="inlineStr">
        <is>
          <t>Mr15m 下照迷你格栅灯</t>
        </is>
      </c>
      <c r="C1390" s="27" t="inlineStr">
        <is>
          <t>1.名称:Mr15m 下照迷你格栅灯
2.规格：功率：10*2W、流明量：1360lm；68lm/W、色温：3500K、光速角：24°
3.其他:包含完成该项内容所有工作及费用并满足设计图纸、规范等要求</t>
        </is>
      </c>
      <c r="D1390" s="27" t="inlineStr">
        <is>
          <t>自现有现场条件下按照合同约定范围、图纸（含设计变更）及甲方要求内容以及规范、标准、相关做法等要求完成并达到总包合同全部目标的全部工作内容。</t>
        </is>
      </c>
      <c r="E1390" s="27" t="inlineStr">
        <is>
          <t>结合施工图纸及施工方案，根据GB/T50856-2024通用安装工程工程量计算规范，以最终验收合格的工程量计算。</t>
        </is>
      </c>
      <c r="F1390" s="28" t="inlineStr">
        <is>
          <t>套</t>
        </is>
      </c>
      <c r="G1390" s="61" t="n">
        <v>8</v>
      </c>
      <c r="H1390" s="62" t="n">
        <v>16.52</v>
      </c>
      <c r="I1390" s="65" t="n"/>
      <c r="J1390" s="62">
        <f>H1390*(1-$I$4)</f>
        <v/>
      </c>
      <c r="K1390" s="63">
        <f>G1390*J1390</f>
        <v/>
      </c>
      <c r="L1390" s="33" t="inlineStr">
        <is>
          <t>灯具</t>
        </is>
      </c>
      <c r="M1390" s="64" t="n"/>
      <c r="O1390" t="n">
        <v>35</v>
      </c>
      <c r="P1390" s="35" t="inlineStr">
        <is>
          <t>差:+18.48元 (+111.9%) 来源:会所合并</t>
        </is>
      </c>
      <c r="Q1390" s="46" t="n"/>
      <c r="R1390" s="46" t="n"/>
    </row>
    <row r="1391" outlineLevel="2" ht="72" customFormat="1" customHeight="1" s="6">
      <c r="A1391" s="45">
        <f>A1390+1</f>
        <v/>
      </c>
      <c r="B1391" s="27" t="inlineStr">
        <is>
          <t>Mr15f 下照迷你格栅灯</t>
        </is>
      </c>
      <c r="C1391" s="27" t="inlineStr">
        <is>
          <t>1.名称:Mr15f 下照迷你格栅灯
2.规格：功率：10*2W、流明量：1360lm；68lm/W、色温：3500K、光速角：36°
3.其他:包含完成该项内容所有工作及费用并满足设计图纸、规范等要求</t>
        </is>
      </c>
      <c r="D1391" s="27" t="inlineStr">
        <is>
          <t>自现有现场条件下按照合同约定范围、图纸（含设计变更）及甲方要求内容以及规范、标准、相关做法等要求完成并达到总包合同全部目标的全部工作内容。</t>
        </is>
      </c>
      <c r="E1391" s="27" t="inlineStr">
        <is>
          <t>结合施工图纸及施工方案，根据GB/T50856-2024通用安装工程工程量计算规范，以最终验收合格的工程量计算。</t>
        </is>
      </c>
      <c r="F1391" s="28" t="inlineStr">
        <is>
          <t>套</t>
        </is>
      </c>
      <c r="G1391" s="61" t="n">
        <v>6</v>
      </c>
      <c r="H1391" s="62" t="n">
        <v>16.52</v>
      </c>
      <c r="I1391" s="65" t="n"/>
      <c r="J1391" s="62">
        <f>H1391*(1-$I$4)</f>
        <v/>
      </c>
      <c r="K1391" s="63">
        <f>G1391*J1391</f>
        <v/>
      </c>
      <c r="L1391" s="33" t="inlineStr">
        <is>
          <t>灯具</t>
        </is>
      </c>
      <c r="M1391" s="64" t="n"/>
      <c r="O1391" t="n">
        <v>35</v>
      </c>
      <c r="P1391" s="35" t="inlineStr">
        <is>
          <t>差:+18.48元 (+111.9%) 来源:会所合并</t>
        </is>
      </c>
      <c r="Q1391" s="46" t="n"/>
      <c r="R1391" s="46" t="n"/>
    </row>
    <row r="1392" outlineLevel="2" ht="72" customFormat="1" customHeight="1" s="6">
      <c r="A1392" s="45">
        <f>A1391+1</f>
        <v/>
      </c>
      <c r="B1392" s="27" t="inlineStr">
        <is>
          <t>Md15m 可调迷你格栅灯</t>
        </is>
      </c>
      <c r="C1392" s="27" t="inlineStr">
        <is>
          <t>1.名称:Md15m 可调迷你格栅灯
2.规格：功率：10*2W、流明量：1360lm；68lm/W、色温：3500K、光速角：36°
3.其他:包含完成该项内容所有工作及费用并满足设计图纸、规范等要求</t>
        </is>
      </c>
      <c r="D1392" s="27" t="inlineStr">
        <is>
          <t>自现有现场条件下按照合同约定范围、图纸（含设计变更）及甲方要求内容以及规范、标准、相关做法等要求完成并达到总包合同全部目标的全部工作内容。</t>
        </is>
      </c>
      <c r="E1392" s="27" t="inlineStr">
        <is>
          <t>结合施工图纸及施工方案，根据GB/T50856-2024通用安装工程工程量计算规范，以最终验收合格的工程量计算。</t>
        </is>
      </c>
      <c r="F1392" s="28" t="inlineStr">
        <is>
          <t>套</t>
        </is>
      </c>
      <c r="G1392" s="61" t="n">
        <v>25</v>
      </c>
      <c r="H1392" s="62" t="n">
        <v>16.52</v>
      </c>
      <c r="I1392" s="65" t="n"/>
      <c r="J1392" s="62">
        <f>H1392*(1-$I$4)</f>
        <v/>
      </c>
      <c r="K1392" s="63">
        <f>G1392*J1392</f>
        <v/>
      </c>
      <c r="L1392" s="33" t="inlineStr">
        <is>
          <t>灯具</t>
        </is>
      </c>
      <c r="M1392" s="64" t="n"/>
      <c r="O1392" t="n">
        <v>35</v>
      </c>
      <c r="P1392" s="35" t="inlineStr">
        <is>
          <t>差:+18.48元 (+111.9%) 来源:会所合并</t>
        </is>
      </c>
      <c r="Q1392" s="46" t="n"/>
      <c r="R1392" s="46" t="n"/>
    </row>
    <row r="1393" outlineLevel="2" ht="72" customFormat="1" customHeight="1" s="6">
      <c r="A1393" s="45">
        <f>A1392+1</f>
        <v/>
      </c>
      <c r="B1393" s="27" t="inlineStr">
        <is>
          <t>Ug10 可调深藏射灯</t>
        </is>
      </c>
      <c r="C1393" s="27" t="inlineStr">
        <is>
          <t>1.名称:Ug10 可调深藏射灯
2.规格：功率：3W、流明量：139lm；48lm/W、色温：3500K、光速角：24°
3.其他:包含完成该项内容所有工作及费用并满足设计图纸、规范等要求</t>
        </is>
      </c>
      <c r="D1393" s="27" t="inlineStr">
        <is>
          <t>自现有现场条件下按照合同约定范围、图纸（含设计变更）及甲方要求内容以及规范、标准、相关做法等要求完成并达到总包合同全部目标的全部工作内容。</t>
        </is>
      </c>
      <c r="E1393" s="27" t="inlineStr">
        <is>
          <t>结合施工图纸及施工方案，根据GB/T50856-2024通用安装工程工程量计算规范，以最终验收合格的工程量计算。</t>
        </is>
      </c>
      <c r="F1393" s="28" t="inlineStr">
        <is>
          <t>套</t>
        </is>
      </c>
      <c r="G1393" s="61" t="n">
        <v>4</v>
      </c>
      <c r="H1393" s="62" t="n">
        <v>16.52</v>
      </c>
      <c r="I1393" s="65" t="n"/>
      <c r="J1393" s="62">
        <f>H1393*(1-$I$4)</f>
        <v/>
      </c>
      <c r="K1393" s="63">
        <f>G1393*J1393</f>
        <v/>
      </c>
      <c r="L1393" s="33" t="inlineStr">
        <is>
          <t>灯具</t>
        </is>
      </c>
      <c r="M1393" s="64" t="n"/>
      <c r="O1393" t="n">
        <v>18</v>
      </c>
      <c r="P1393" s="35" t="inlineStr">
        <is>
          <t>差:+1.48元 (+9.0%) 来源:会所合并</t>
        </is>
      </c>
      <c r="Q1393" s="46" t="n"/>
      <c r="R1393" s="46" t="n"/>
    </row>
    <row r="1394" outlineLevel="2" ht="72" customFormat="1" customHeight="1" s="6">
      <c r="A1394" s="45">
        <f>A1393+1</f>
        <v/>
      </c>
      <c r="B1394" s="27" t="inlineStr">
        <is>
          <t>Ug11 埋地灯</t>
        </is>
      </c>
      <c r="C1394" s="27" t="inlineStr">
        <is>
          <t>1.名称:Ug11 埋地灯
2.规格：功率：8W、流明量：600lm；75lm/W、色温：3500K、光速角：20°
3.其他:包含完成该项内容所有工作及费用并满足设计图纸、规范等要求</t>
        </is>
      </c>
      <c r="D1394" s="27" t="inlineStr">
        <is>
          <t>自现有现场条件下按照合同约定范围、图纸（含设计变更）及甲方要求内容以及规范、标准、相关做法等要求完成并达到总包合同全部目标的全部工作内容。</t>
        </is>
      </c>
      <c r="E1394" s="27" t="inlineStr">
        <is>
          <t>结合施工图纸及施工方案，根据GB/T50856-2024通用安装工程工程量计算规范，以最终验收合格的工程量计算。</t>
        </is>
      </c>
      <c r="F1394" s="28" t="inlineStr">
        <is>
          <t>套</t>
        </is>
      </c>
      <c r="G1394" s="61" t="n">
        <v>4</v>
      </c>
      <c r="H1394" s="62" t="n">
        <v>16.52</v>
      </c>
      <c r="I1394" s="65" t="n"/>
      <c r="J1394" s="62">
        <f>H1394*(1-$I$4)</f>
        <v/>
      </c>
      <c r="K1394" s="63">
        <f>G1394*J1394</f>
        <v/>
      </c>
      <c r="L1394" s="33" t="inlineStr">
        <is>
          <t>灯具</t>
        </is>
      </c>
      <c r="M1394" s="64" t="n"/>
      <c r="O1394" t="n">
        <v>35</v>
      </c>
      <c r="P1394" s="35" t="inlineStr">
        <is>
          <t>差:+18.48元 (+111.9%) 来源:会所合并</t>
        </is>
      </c>
      <c r="Q1394" s="46" t="n"/>
      <c r="R1394" s="46" t="n"/>
    </row>
    <row r="1395" outlineLevel="2" ht="72" customFormat="1" customHeight="1" s="6">
      <c r="A1395" s="45">
        <f>A1394+1</f>
        <v/>
      </c>
      <c r="B1395" s="27" t="inlineStr">
        <is>
          <t>P1 LED吸顶灯</t>
        </is>
      </c>
      <c r="C1395" s="27" t="inlineStr">
        <is>
          <t>1.名称:P1 LED吸顶灯
2.规格：功率：18W、流明量：1350lm；70lm/W、色温：3500K
3.其他:包含完成该项内容所有工作及费用并满足设计图纸、规范等要求</t>
        </is>
      </c>
      <c r="D1395" s="27" t="inlineStr">
        <is>
          <t>自现有现场条件下按照合同约定范围、图纸（含设计变更）及甲方要求内容以及规范、标准、相关做法等要求完成并达到总包合同全部目标的全部工作内容。</t>
        </is>
      </c>
      <c r="E1395" s="27" t="inlineStr">
        <is>
          <t>结合施工图纸及施工方案，根据GB/T50856-2024通用安装工程工程量计算规范，以最终验收合格的工程量计算。</t>
        </is>
      </c>
      <c r="F1395" s="28" t="inlineStr">
        <is>
          <t>套</t>
        </is>
      </c>
      <c r="G1395" s="61" t="n">
        <v>9</v>
      </c>
      <c r="H1395" s="62" t="n">
        <v>16.52</v>
      </c>
      <c r="I1395" s="65" t="n"/>
      <c r="J1395" s="62">
        <f>H1395*(1-$I$4)</f>
        <v/>
      </c>
      <c r="K1395" s="63">
        <f>G1395*J1395</f>
        <v/>
      </c>
      <c r="L1395" s="33" t="inlineStr">
        <is>
          <t>灯具</t>
        </is>
      </c>
      <c r="M1395" s="64" t="n"/>
      <c r="O1395" t="n">
        <v>18</v>
      </c>
      <c r="P1395" s="35" t="inlineStr">
        <is>
          <t>差:+1.48元 (+9.0%) 来源:会所合并</t>
        </is>
      </c>
      <c r="Q1395" s="46" t="n"/>
      <c r="R1395" s="46" t="n"/>
    </row>
    <row r="1396" outlineLevel="2" ht="72" customFormat="1" customHeight="1" s="6">
      <c r="A1396" s="45">
        <f>A1395+1</f>
        <v/>
      </c>
      <c r="B1396" s="27" t="inlineStr">
        <is>
          <t>Da34m 可调深藏射灯</t>
        </is>
      </c>
      <c r="C1396" s="27" t="inlineStr">
        <is>
          <t>1.名称:Da34m 可调深藏射灯
2.规格：功率：9W、流明量：485lm；53lm/W、色温：3000K、光速角：15°
3.其他:包含完成该项内容所有工作及费用并满足设计图纸、规范等要求</t>
        </is>
      </c>
      <c r="D1396" s="27" t="inlineStr">
        <is>
          <t>自现有现场条件下按照合同约定范围、图纸（含设计变更）及甲方要求内容以及规范、标准、相关做法等要求完成并达到总包合同全部目标的全部工作内容。</t>
        </is>
      </c>
      <c r="E1396" s="27" t="inlineStr">
        <is>
          <t>结合施工图纸及施工方案，根据GB/T50856-2024通用安装工程工程量计算规范，以最终验收合格的工程量计算。</t>
        </is>
      </c>
      <c r="F1396" s="28" t="inlineStr">
        <is>
          <t>套</t>
        </is>
      </c>
      <c r="G1396" s="61" t="n">
        <v>8</v>
      </c>
      <c r="H1396" s="62" t="n">
        <v>16.52</v>
      </c>
      <c r="I1396" s="65" t="n"/>
      <c r="J1396" s="62">
        <f>H1396*(1-$I$4)</f>
        <v/>
      </c>
      <c r="K1396" s="63">
        <f>G1396*J1396</f>
        <v/>
      </c>
      <c r="L1396" s="33" t="inlineStr">
        <is>
          <t>灯具</t>
        </is>
      </c>
      <c r="M1396" s="64" t="n"/>
      <c r="O1396" t="n">
        <v>18</v>
      </c>
      <c r="P1396" s="35" t="inlineStr">
        <is>
          <t>差:+1.48元 (+9.0%) 来源:会所合并</t>
        </is>
      </c>
      <c r="Q1396" s="46" t="n"/>
      <c r="R1396" s="46" t="n"/>
    </row>
    <row r="1397" outlineLevel="2" ht="72" customFormat="1" customHeight="1" s="6">
      <c r="A1397" s="45">
        <f>A1396+1</f>
        <v/>
      </c>
      <c r="B1397" s="27" t="inlineStr">
        <is>
          <t>D34m 可调深藏射灯</t>
        </is>
      </c>
      <c r="C1397" s="27" t="inlineStr">
        <is>
          <t>1.名称:D34m 可调深藏射灯
2.规格：功率：9W、流明量：550lm；60lm/W、色温：3000K、光速角：24°
3.其他:包含完成该项内容所有工作及费用并满足设计图纸、规范等要求</t>
        </is>
      </c>
      <c r="D1397" s="27" t="inlineStr">
        <is>
          <t>自现有现场条件下按照合同约定范围、图纸（含设计变更）及甲方要求内容以及规范、标准、相关做法等要求完成并达到总包合同全部目标的全部工作内容。</t>
        </is>
      </c>
      <c r="E1397" s="27" t="inlineStr">
        <is>
          <t>结合施工图纸及施工方案，根据GB/T50856-2024通用安装工程工程量计算规范，以最终验收合格的工程量计算。</t>
        </is>
      </c>
      <c r="F1397" s="28" t="inlineStr">
        <is>
          <t>套</t>
        </is>
      </c>
      <c r="G1397" s="61" t="n">
        <v>34</v>
      </c>
      <c r="H1397" s="62" t="n">
        <v>16.52</v>
      </c>
      <c r="I1397" s="65" t="n"/>
      <c r="J1397" s="62">
        <f>H1397*(1-$I$4)</f>
        <v/>
      </c>
      <c r="K1397" s="63">
        <f>G1397*J1397</f>
        <v/>
      </c>
      <c r="L1397" s="33" t="inlineStr">
        <is>
          <t>灯具</t>
        </is>
      </c>
      <c r="M1397" s="64" t="n"/>
      <c r="O1397" t="n">
        <v>18</v>
      </c>
      <c r="P1397" s="35" t="inlineStr">
        <is>
          <t>差:+1.48元 (+9.0%) 来源:会所合并</t>
        </is>
      </c>
      <c r="Q1397" s="46" t="n"/>
      <c r="R1397" s="46" t="n"/>
    </row>
    <row r="1398" outlineLevel="2" ht="72" customFormat="1" customHeight="1" s="6">
      <c r="A1398" s="45">
        <f>A1397+1</f>
        <v/>
      </c>
      <c r="B1398" s="27" t="inlineStr">
        <is>
          <t>D34f 可调深藏射灯</t>
        </is>
      </c>
      <c r="C1398" s="27" t="inlineStr">
        <is>
          <t>1.名称:D34f 可调深藏射灯
2.规格：功率：9W、流明量：550lm；60lm/W、色温：3000K、光速角：36°
3.其他:包含完成该项内容所有工作及费用并满足设计图纸、规范等要求</t>
        </is>
      </c>
      <c r="D1398" s="27" t="inlineStr">
        <is>
          <t>自现有现场条件下按照合同约定范围、图纸（含设计变更）及甲方要求内容以及规范、标准、相关做法等要求完成并达到总包合同全部目标的全部工作内容。</t>
        </is>
      </c>
      <c r="E1398" s="27" t="inlineStr">
        <is>
          <t>结合施工图纸及施工方案，根据GB/T50856-2024通用安装工程工程量计算规范，以最终验收合格的工程量计算。</t>
        </is>
      </c>
      <c r="F1398" s="28" t="inlineStr">
        <is>
          <t>套</t>
        </is>
      </c>
      <c r="G1398" s="61" t="n">
        <v>82</v>
      </c>
      <c r="H1398" s="62" t="n">
        <v>16.52</v>
      </c>
      <c r="I1398" s="65" t="n"/>
      <c r="J1398" s="62">
        <f>H1398*(1-$I$4)</f>
        <v/>
      </c>
      <c r="K1398" s="63">
        <f>G1398*J1398</f>
        <v/>
      </c>
      <c r="L1398" s="33" t="inlineStr">
        <is>
          <t>灯具</t>
        </is>
      </c>
      <c r="M1398" s="64" t="n"/>
      <c r="O1398" t="n">
        <v>18</v>
      </c>
      <c r="P1398" s="35" t="inlineStr">
        <is>
          <t>差:+1.48元 (+9.0%) 来源:会所合并</t>
        </is>
      </c>
      <c r="Q1398" s="46" t="n"/>
      <c r="R1398" s="46" t="n"/>
    </row>
    <row r="1399" outlineLevel="2" ht="72" customFormat="1" customHeight="1" s="6">
      <c r="A1399" s="45">
        <f>A1398+1</f>
        <v/>
      </c>
      <c r="B1399" s="27" t="inlineStr">
        <is>
          <t>D35m 可调深藏射灯</t>
        </is>
      </c>
      <c r="C1399" s="27" t="inlineStr">
        <is>
          <t>1.名称:D35m 可调深藏射灯
2.规格：功率：15W、流明量：994lm；68lm/W、色温：3000K、光速角：24°
3.其他:包含完成该项内容所有工作及费用并满足设计图纸、规范等要求</t>
        </is>
      </c>
      <c r="D1399" s="27" t="inlineStr">
        <is>
          <t>自现有现场条件下按照合同约定范围、图纸（含设计变更）及甲方要求内容以及规范、标准、相关做法等要求完成并达到总包合同全部目标的全部工作内容。</t>
        </is>
      </c>
      <c r="E1399" s="27" t="inlineStr">
        <is>
          <t>结合施工图纸及施工方案，根据GB/T50856-2024通用安装工程工程量计算规范，以最终验收合格的工程量计算。</t>
        </is>
      </c>
      <c r="F1399" s="28" t="inlineStr">
        <is>
          <t>套</t>
        </is>
      </c>
      <c r="G1399" s="61" t="n">
        <v>5</v>
      </c>
      <c r="H1399" s="62" t="n">
        <v>16.52</v>
      </c>
      <c r="I1399" s="65" t="n"/>
      <c r="J1399" s="62">
        <f>H1399*(1-$I$4)</f>
        <v/>
      </c>
      <c r="K1399" s="63">
        <f>G1399*J1399</f>
        <v/>
      </c>
      <c r="L1399" s="33" t="inlineStr">
        <is>
          <t>灯具</t>
        </is>
      </c>
      <c r="M1399" s="64" t="n"/>
      <c r="O1399" t="n">
        <v>18</v>
      </c>
      <c r="P1399" s="35" t="inlineStr">
        <is>
          <t>差:+1.48元 (+9.0%) 来源:会所合并</t>
        </is>
      </c>
      <c r="Q1399" s="46" t="n"/>
      <c r="R1399" s="46" t="n"/>
    </row>
    <row r="1400" outlineLevel="2" ht="72" customFormat="1" customHeight="1" s="6">
      <c r="A1400" s="45">
        <f>A1399+1</f>
        <v/>
      </c>
      <c r="B1400" s="27" t="inlineStr">
        <is>
          <t>D35f 可调深藏射灯</t>
        </is>
      </c>
      <c r="C1400" s="27" t="inlineStr">
        <is>
          <t>1.名称:D35f 可调深藏射灯
2.规格：功率：15W、流明量：1003lm；69lm/W、色温：3000K、光速角：36°
3.其他:包含完成该项内容所有工作及费用并满足设计图纸、规范等要求</t>
        </is>
      </c>
      <c r="D1400" s="27" t="inlineStr">
        <is>
          <t>自现有现场条件下按照合同约定范围、图纸（含设计变更）及甲方要求内容以及规范、标准、相关做法等要求完成并达到总包合同全部目标的全部工作内容。</t>
        </is>
      </c>
      <c r="E1400" s="27" t="inlineStr">
        <is>
          <t>结合施工图纸及施工方案，根据GB/T50856-2024通用安装工程工程量计算规范，以最终验收合格的工程量计算。</t>
        </is>
      </c>
      <c r="F1400" s="28" t="inlineStr">
        <is>
          <t>套</t>
        </is>
      </c>
      <c r="G1400" s="61" t="n">
        <v>18</v>
      </c>
      <c r="H1400" s="62" t="n">
        <v>16.52</v>
      </c>
      <c r="I1400" s="65" t="n"/>
      <c r="J1400" s="62">
        <f>H1400*(1-$I$4)</f>
        <v/>
      </c>
      <c r="K1400" s="63">
        <f>G1400*J1400</f>
        <v/>
      </c>
      <c r="L1400" s="33" t="inlineStr">
        <is>
          <t>灯具</t>
        </is>
      </c>
      <c r="M1400" s="64" t="n"/>
      <c r="O1400" t="n">
        <v>18</v>
      </c>
      <c r="P1400" s="35" t="inlineStr">
        <is>
          <t>差:+1.48元 (+9.0%) 来源:会所合并</t>
        </is>
      </c>
      <c r="Q1400" s="46" t="n"/>
      <c r="R1400" s="46" t="n"/>
    </row>
    <row r="1401" outlineLevel="2" ht="72" customFormat="1" customHeight="1" s="6">
      <c r="A1401" s="45">
        <f>A1400+1</f>
        <v/>
      </c>
      <c r="B1401" s="27" t="inlineStr">
        <is>
          <t>Mr35m 下照迷你格栅灯</t>
        </is>
      </c>
      <c r="C1401" s="27" t="inlineStr">
        <is>
          <t>1.名称:Mr35m 下照迷你格栅灯
2.规格：功率：10*2W、流明量：1260lm；63lm/W、色温：3000K、光速角：24°
3.其他:包含完成该项内容所有工作及费用并满足设计图纸、规范等要求</t>
        </is>
      </c>
      <c r="D1401" s="27" t="inlineStr">
        <is>
          <t>自现有现场条件下按照合同约定范围、图纸（含设计变更）及甲方要求内容以及规范、标准、相关做法等要求完成并达到总包合同全部目标的全部工作内容。</t>
        </is>
      </c>
      <c r="E1401" s="27" t="inlineStr">
        <is>
          <t>结合施工图纸及施工方案，根据GB/T50856-2024通用安装工程工程量计算规范，以最终验收合格的工程量计算。</t>
        </is>
      </c>
      <c r="F1401" s="28" t="inlineStr">
        <is>
          <t>套</t>
        </is>
      </c>
      <c r="G1401" s="61" t="n">
        <v>2</v>
      </c>
      <c r="H1401" s="62" t="n">
        <v>16.52</v>
      </c>
      <c r="I1401" s="65" t="n"/>
      <c r="J1401" s="62">
        <f>H1401*(1-$I$4)</f>
        <v/>
      </c>
      <c r="K1401" s="63">
        <f>G1401*J1401</f>
        <v/>
      </c>
      <c r="L1401" s="33" t="inlineStr">
        <is>
          <t>灯具</t>
        </is>
      </c>
      <c r="M1401" s="64" t="n"/>
      <c r="O1401" t="n">
        <v>35</v>
      </c>
      <c r="P1401" s="35" t="inlineStr">
        <is>
          <t>差:+18.48元 (+111.9%) 来源:会所合并</t>
        </is>
      </c>
      <c r="Q1401" s="46" t="n"/>
      <c r="R1401" s="46" t="n"/>
    </row>
    <row r="1402" outlineLevel="2" ht="84" customFormat="1" customHeight="1" s="6">
      <c r="A1402" s="45">
        <f>A1401+1</f>
        <v/>
      </c>
      <c r="B1402" s="27" t="inlineStr">
        <is>
          <t>Md35m 可调迷你格栅灯（黑色）</t>
        </is>
      </c>
      <c r="C1402" s="27" t="inlineStr">
        <is>
          <t>1.名称:Md35m 可调迷你格栅灯（黑色）
2.规格：功率：10*2W、流明量：1360lm；68lm/W、色温：3000K、光速角：36°
3.其他:包含完成该项内容所有工作及费用并满足设计图纸、规范等要求</t>
        </is>
      </c>
      <c r="D1402" s="27" t="inlineStr">
        <is>
          <t>自现有现场条件下按照合同约定范围、图纸（含设计变更）及甲方要求内容以及规范、标准、相关做法等要求完成并达到总包合同全部目标的全部工作内容。</t>
        </is>
      </c>
      <c r="E1402" s="27" t="inlineStr">
        <is>
          <t>结合施工图纸及施工方案，根据GB/T50856-2024通用安装工程工程量计算规范，以最终验收合格的工程量计算。</t>
        </is>
      </c>
      <c r="F1402" s="28" t="inlineStr">
        <is>
          <t>套</t>
        </is>
      </c>
      <c r="G1402" s="61" t="n">
        <v>6</v>
      </c>
      <c r="H1402" s="62" t="n">
        <v>16.52</v>
      </c>
      <c r="I1402" s="65" t="n"/>
      <c r="J1402" s="62">
        <f>H1402*(1-$I$4)</f>
        <v/>
      </c>
      <c r="K1402" s="63">
        <f>G1402*J1402</f>
        <v/>
      </c>
      <c r="L1402" s="33" t="inlineStr">
        <is>
          <t>灯具</t>
        </is>
      </c>
      <c r="M1402" s="64" t="n"/>
      <c r="O1402" t="n">
        <v>35</v>
      </c>
      <c r="P1402" s="35" t="inlineStr">
        <is>
          <t>差:+18.48元 (+111.9%) 来源:会所合并</t>
        </is>
      </c>
      <c r="Q1402" s="46" t="n"/>
      <c r="R1402" s="46" t="n"/>
    </row>
    <row r="1403" outlineLevel="2" ht="84" customFormat="1" customHeight="1" s="6">
      <c r="A1403" s="45">
        <f>A1402+1</f>
        <v/>
      </c>
      <c r="B1403" s="27" t="inlineStr">
        <is>
          <t>Wi12 线性洗墙灯</t>
        </is>
      </c>
      <c r="C1403" s="27" t="inlineStr">
        <is>
          <t>1.名称:Wi12 线性洗墙灯
2.规格：功率：26W/M、流明量：1845lm/M、色温：3500K、光速角：20°
3.含外置电源驱动
4.其他:包含完成该项内容所有工作及费用并满足设计图纸、规范等要求</t>
        </is>
      </c>
      <c r="D1403" s="27" t="inlineStr">
        <is>
          <t>自现有现场条件下按照合同约定范围、图纸（含设计变更）及甲方要求内容以及规范、标准、相关做法等要求完成并达到总包合同全部目标的全部工作内容。</t>
        </is>
      </c>
      <c r="E1403" s="27" t="inlineStr">
        <is>
          <t>结合施工图纸及施工方案，根据GB/T50856-2024通用安装工程工程量计算规范，以最终验收合格的工程量计算。</t>
        </is>
      </c>
      <c r="F1403" s="28" t="inlineStr">
        <is>
          <t>m</t>
        </is>
      </c>
      <c r="G1403" s="61" t="n">
        <v>106.7</v>
      </c>
      <c r="H1403" s="62" t="n">
        <v>12.98</v>
      </c>
      <c r="I1403" s="65" t="n"/>
      <c r="J1403" s="62">
        <f>H1403*(1-$I$4)</f>
        <v/>
      </c>
      <c r="K1403" s="63">
        <f>G1403*J1403</f>
        <v/>
      </c>
      <c r="L1403" s="33" t="inlineStr">
        <is>
          <t>灯具</t>
        </is>
      </c>
      <c r="M1403" s="64" t="n"/>
      <c r="O1403" t="n">
        <v>18</v>
      </c>
      <c r="P1403" s="35" t="inlineStr">
        <is>
          <t>差:+5.02元 (+38.7%) 来源:会所合并</t>
        </is>
      </c>
      <c r="Q1403" s="46" t="n"/>
      <c r="R1403" s="46" t="n"/>
    </row>
    <row r="1404" outlineLevel="2" ht="84" customFormat="1" customHeight="1" s="6">
      <c r="A1404" s="45">
        <f>A1403+1</f>
        <v/>
      </c>
      <c r="B1404" s="27" t="inlineStr">
        <is>
          <t>Rm10 LED透光模组灯</t>
        </is>
      </c>
      <c r="C1404" s="27" t="inlineStr">
        <is>
          <t>1.名称:Rm10 LED透光模组灯
2.规格：功率：80W、流明量：5500lm；80lm/W、色温：3500K、光速角：170°
3.含外置电源驱动
4.其他:包含完成该项内容所有工作及费用并满足设计图纸、规范等要求</t>
        </is>
      </c>
      <c r="D1404" s="27" t="inlineStr">
        <is>
          <t>自现有现场条件下按照合同约定范围、图纸（含设计变更）及甲方要求内容以及规范、标准、相关做法等要求完成并达到总包合同全部目标的全部工作内容。</t>
        </is>
      </c>
      <c r="E1404" s="27" t="inlineStr">
        <is>
          <t>结合施工图纸及施工方案，根据GB/T50856-2024通用安装工程工程量计算规范，以最终验收合格的工程量计算。</t>
        </is>
      </c>
      <c r="F1404" s="28" t="inlineStr">
        <is>
          <t>m</t>
        </is>
      </c>
      <c r="G1404" s="61" t="n">
        <v>24.4</v>
      </c>
      <c r="H1404" s="62" t="n">
        <v>12.98</v>
      </c>
      <c r="I1404" s="65" t="n"/>
      <c r="J1404" s="62">
        <f>H1404*(1-$I$4)</f>
        <v/>
      </c>
      <c r="K1404" s="63">
        <f>G1404*J1404</f>
        <v/>
      </c>
      <c r="L1404" s="33" t="inlineStr">
        <is>
          <t>灯具</t>
        </is>
      </c>
      <c r="M1404" s="64" t="n"/>
      <c r="O1404" t="n">
        <v>18</v>
      </c>
      <c r="P1404" s="35" t="inlineStr">
        <is>
          <t>差:+5.02元 (+38.7%) 来源:会所合并</t>
        </is>
      </c>
      <c r="Q1404" s="46" t="n"/>
      <c r="R1404" s="46" t="n"/>
    </row>
    <row r="1405" outlineLevel="2" ht="84" customFormat="1" customHeight="1" s="6">
      <c r="A1405" s="45">
        <f>A1404+1</f>
        <v/>
      </c>
      <c r="B1405" s="27" t="inlineStr">
        <is>
          <t>Rm10D LED透光模组灯（调光）</t>
        </is>
      </c>
      <c r="C1405" s="27" t="inlineStr">
        <is>
          <t>1.名称:Rm10D LED透光模组灯（调光）
2.规格：功率：80W、流明量：5500lm；80lm/W、色温：2700K-6500K、光速角：170°
3.含外置电源驱动
4.其他:包含完成该项内容所有工作及费用并满足设计图纸、规范等要求</t>
        </is>
      </c>
      <c r="D1405" s="27" t="inlineStr">
        <is>
          <t>自现有现场条件下按照合同约定范围、图纸（含设计变更）及甲方要求内容以及规范、标准、相关做法等要求完成并达到总包合同全部目标的全部工作内容。</t>
        </is>
      </c>
      <c r="E1405" s="27" t="inlineStr">
        <is>
          <t>结合施工图纸及施工方案，根据GB/T50856-2024通用安装工程工程量计算规范，以最终验收合格的工程量计算。</t>
        </is>
      </c>
      <c r="F1405" s="28" t="inlineStr">
        <is>
          <t>m</t>
        </is>
      </c>
      <c r="G1405" s="61" t="n">
        <v>207.49</v>
      </c>
      <c r="H1405" s="62" t="n">
        <v>12.98</v>
      </c>
      <c r="I1405" s="65" t="n"/>
      <c r="J1405" s="62">
        <f>H1405*(1-$I$4)</f>
        <v/>
      </c>
      <c r="K1405" s="63">
        <f>G1405*J1405</f>
        <v/>
      </c>
      <c r="L1405" s="33" t="inlineStr">
        <is>
          <t>灯具</t>
        </is>
      </c>
      <c r="M1405" s="64" t="n"/>
      <c r="O1405" t="n">
        <v>18</v>
      </c>
      <c r="P1405" s="35" t="inlineStr">
        <is>
          <t>差:+5.02元 (+38.7%) 来源:会所合并</t>
        </is>
      </c>
      <c r="Q1405" s="46" t="n"/>
      <c r="R1405" s="46" t="n"/>
    </row>
    <row r="1406" outlineLevel="2" ht="84" customFormat="1" customHeight="1" s="6">
      <c r="A1406" s="45">
        <f>A1405+1</f>
        <v/>
      </c>
      <c r="B1406" s="27" t="inlineStr">
        <is>
          <t>Ls12-LED硬灯条</t>
        </is>
      </c>
      <c r="C1406" s="27" t="inlineStr">
        <is>
          <t>1.名称:Ls12-LED硬灯条
2.规格：功率：14W/M、流明量：1260lm/M；90lm/W、色温：3500K、光速角：120°
3.含外置电源驱动
4.其他:包含完成该项内容所有工作及费用并满足设计图纸、规范等要求</t>
        </is>
      </c>
      <c r="D1406" s="27" t="inlineStr">
        <is>
          <t>自现有现场条件下按照合同约定范围、图纸（含设计变更）及甲方要求内容以及规范、标准、相关做法等要求完成并达到总包合同全部目标的全部工作内容。</t>
        </is>
      </c>
      <c r="E1406" s="27" t="inlineStr">
        <is>
          <t>结合施工图纸及施工方案，根据GB/T50856-2024通用安装工程工程量计算规范，以最终验收合格的工程量计算。</t>
        </is>
      </c>
      <c r="F1406" s="28" t="inlineStr">
        <is>
          <t>m</t>
        </is>
      </c>
      <c r="G1406" s="61" t="n">
        <v>65.31</v>
      </c>
      <c r="H1406" s="62" t="n">
        <v>12.98</v>
      </c>
      <c r="I1406" s="65" t="n"/>
      <c r="J1406" s="62">
        <f>H1406*(1-$I$4)</f>
        <v/>
      </c>
      <c r="K1406" s="63">
        <f>G1406*J1406</f>
        <v/>
      </c>
      <c r="L1406" s="33" t="inlineStr">
        <is>
          <t>灯具</t>
        </is>
      </c>
      <c r="M1406" s="64" t="n"/>
      <c r="O1406" t="n">
        <v>8</v>
      </c>
      <c r="P1406" s="35" t="inlineStr">
        <is>
          <t>差:-4.98元 (-38.4%) 来源:会所合并</t>
        </is>
      </c>
      <c r="Q1406" s="46" t="n"/>
      <c r="R1406" s="46" t="n"/>
    </row>
    <row r="1407" outlineLevel="2" ht="84" customFormat="1" customHeight="1" s="6">
      <c r="A1407" s="45">
        <f>A1406+1</f>
        <v/>
      </c>
      <c r="B1407" s="27" t="inlineStr">
        <is>
          <t>Lc10-LED侧弯灯带</t>
        </is>
      </c>
      <c r="C1407" s="27" t="inlineStr">
        <is>
          <t>1.名称:Lc10-LED侧弯灯带
2.规格：功率：4W/M、流明量：320lm/M；80lm/W、色温：3500K、光速角：120°
3.含外置电源驱动
4.其他:包含完成该项内容所有工作及费用并满足设计图纸、规范等要求</t>
        </is>
      </c>
      <c r="D1407" s="27" t="inlineStr">
        <is>
          <t>自现有现场条件下按照合同约定范围、图纸（含设计变更）及甲方要求内容以及规范、标准、相关做法等要求完成并达到总包合同全部目标的全部工作内容。</t>
        </is>
      </c>
      <c r="E1407" s="27" t="inlineStr">
        <is>
          <t>结合施工图纸及施工方案，根据GB/T50856-2024通用安装工程工程量计算规范，以最终验收合格的工程量计算。</t>
        </is>
      </c>
      <c r="F1407" s="28" t="inlineStr">
        <is>
          <t>m</t>
        </is>
      </c>
      <c r="G1407" s="61" t="n">
        <v>103.2</v>
      </c>
      <c r="H1407" s="62" t="n">
        <v>12.98</v>
      </c>
      <c r="I1407" s="65" t="n"/>
      <c r="J1407" s="62">
        <f>H1407*(1-$I$4)</f>
        <v/>
      </c>
      <c r="K1407" s="63">
        <f>G1407*J1407</f>
        <v/>
      </c>
      <c r="L1407" s="33" t="inlineStr">
        <is>
          <t>灯具</t>
        </is>
      </c>
      <c r="M1407" s="64" t="n"/>
      <c r="O1407" t="n">
        <v>8</v>
      </c>
      <c r="P1407" s="35" t="inlineStr">
        <is>
          <t>差:-4.98元 (-38.4%) 来源:会所合并</t>
        </is>
      </c>
      <c r="Q1407" s="46" t="n"/>
      <c r="R1407" s="46" t="n"/>
    </row>
    <row r="1408" outlineLevel="2" ht="84" customFormat="1" customHeight="1" s="6">
      <c r="A1408" s="45">
        <f>A1407+1</f>
        <v/>
      </c>
      <c r="B1408" s="27" t="inlineStr">
        <is>
          <t>Lc12-LED侧弯灯带</t>
        </is>
      </c>
      <c r="C1408" s="27" t="inlineStr">
        <is>
          <t>1.名称:Lc12-LED侧弯灯带
2.规格：功率：14W/M、流明量：1260lm/M；90lm/W、色温：3500K、光速角：120°
3.含外置电源驱动
4.其他:包含完成该项内容所有工作及费用并满足设计图纸、规范等要求</t>
        </is>
      </c>
      <c r="D1408" s="27" t="inlineStr">
        <is>
          <t>自现有现场条件下按照合同约定范围、图纸（含设计变更）及甲方要求内容以及规范、标准、相关做法等要求完成并达到总包合同全部目标的全部工作内容。</t>
        </is>
      </c>
      <c r="E1408" s="27" t="inlineStr">
        <is>
          <t>结合施工图纸及施工方案，根据GB/T50856-2024通用安装工程工程量计算规范，以最终验收合格的工程量计算。</t>
        </is>
      </c>
      <c r="F1408" s="28" t="inlineStr">
        <is>
          <t>m</t>
        </is>
      </c>
      <c r="G1408" s="61" t="n">
        <v>511.3</v>
      </c>
      <c r="H1408" s="62" t="n">
        <v>12.98</v>
      </c>
      <c r="I1408" s="65" t="n"/>
      <c r="J1408" s="62">
        <f>H1408*(1-$I$4)</f>
        <v/>
      </c>
      <c r="K1408" s="63">
        <f>G1408*J1408</f>
        <v/>
      </c>
      <c r="L1408" s="33" t="inlineStr">
        <is>
          <t>灯具</t>
        </is>
      </c>
      <c r="M1408" s="64" t="n"/>
      <c r="O1408" t="n">
        <v>8</v>
      </c>
      <c r="P1408" s="35" t="inlineStr">
        <is>
          <t>差:-4.98元 (-38.4%) 来源:会所合并</t>
        </is>
      </c>
      <c r="Q1408" s="46" t="n"/>
      <c r="R1408" s="46" t="n"/>
    </row>
    <row r="1409" outlineLevel="2" ht="84" customFormat="1" customHeight="1" s="6">
      <c r="A1409" s="45">
        <f>A1408+1</f>
        <v/>
      </c>
      <c r="B1409" s="27" t="inlineStr">
        <is>
          <t>Lc12a-LED20mm宽侧弯灯带</t>
        </is>
      </c>
      <c r="C1409" s="27" t="inlineStr">
        <is>
          <t>1.名称:Lc12a-LED20mm宽侧弯灯带
2.规格：功率：14W/M、流明量：1260lm/M；90lm/W、色温：3500K、光速角：120°
3.含外置电源驱动
4.其他:包含完成该项内容所有工作及费用并满足设计图纸、规范等要求</t>
        </is>
      </c>
      <c r="D1409" s="27" t="inlineStr">
        <is>
          <t>自现有现场条件下按照合同约定范围、图纸（含设计变更）及甲方要求内容以及规范、标准、相关做法等要求完成并达到总包合同全部目标的全部工作内容。</t>
        </is>
      </c>
      <c r="E1409" s="27" t="inlineStr">
        <is>
          <t>结合施工图纸及施工方案，根据GB/T50856-2024通用安装工程工程量计算规范，以最终验收合格的工程量计算。</t>
        </is>
      </c>
      <c r="F1409" s="28" t="inlineStr">
        <is>
          <t>m</t>
        </is>
      </c>
      <c r="G1409" s="61" t="n">
        <v>50.71</v>
      </c>
      <c r="H1409" s="62" t="n">
        <v>12.98</v>
      </c>
      <c r="I1409" s="65" t="n"/>
      <c r="J1409" s="62">
        <f>H1409*(1-$I$4)</f>
        <v/>
      </c>
      <c r="K1409" s="63">
        <f>G1409*J1409</f>
        <v/>
      </c>
      <c r="L1409" s="33" t="inlineStr">
        <is>
          <t>灯具</t>
        </is>
      </c>
      <c r="M1409" s="64" t="n"/>
      <c r="O1409" t="n">
        <v>8</v>
      </c>
      <c r="P1409" s="35" t="inlineStr">
        <is>
          <t>差:-4.98元 (-38.4%) 来源:会所合并</t>
        </is>
      </c>
      <c r="Q1409" s="46" t="n"/>
      <c r="R1409" s="46" t="n"/>
    </row>
    <row r="1410" outlineLevel="2" ht="84" customFormat="1" customHeight="1" s="6">
      <c r="A1410" s="45">
        <f>A1409+1</f>
        <v/>
      </c>
      <c r="B1410" s="27" t="inlineStr">
        <is>
          <t>Lr12-LED正弯灯带</t>
        </is>
      </c>
      <c r="C1410" s="27" t="inlineStr">
        <is>
          <t>1.名称:Lr12-LED正弯灯带
2.规格：功率：14W/M、流明量：1260lm/M；90lm/W、色温：3500K、光速角：120°
3.含外置电源驱动
4.其他:包含完成该项内容所有工作及费用并满足设计图纸、规范等要求</t>
        </is>
      </c>
      <c r="D1410" s="27" t="inlineStr">
        <is>
          <t>自现有现场条件下按照合同约定范围、图纸（含设计变更）及甲方要求内容以及规范、标准、相关做法等要求完成并达到总包合同全部目标的全部工作内容。</t>
        </is>
      </c>
      <c r="E1410" s="27" t="inlineStr">
        <is>
          <t>结合施工图纸及施工方案，根据GB/T50856-2024通用安装工程工程量计算规范，以最终验收合格的工程量计算。</t>
        </is>
      </c>
      <c r="F1410" s="28" t="inlineStr">
        <is>
          <t>m</t>
        </is>
      </c>
      <c r="G1410" s="61" t="n">
        <v>10.75</v>
      </c>
      <c r="H1410" s="62" t="n">
        <v>12.98</v>
      </c>
      <c r="I1410" s="65" t="n"/>
      <c r="J1410" s="62">
        <f>H1410*(1-$I$4)</f>
        <v/>
      </c>
      <c r="K1410" s="63">
        <f>G1410*J1410</f>
        <v/>
      </c>
      <c r="L1410" s="33" t="inlineStr">
        <is>
          <t>灯具</t>
        </is>
      </c>
      <c r="M1410" s="64" t="n"/>
      <c r="O1410" t="n">
        <v>8</v>
      </c>
      <c r="P1410" s="35" t="inlineStr">
        <is>
          <t>差:-4.98元 (-38.4%) 来源:会所合并</t>
        </is>
      </c>
      <c r="Q1410" s="46" t="n"/>
      <c r="R1410" s="46" t="n"/>
    </row>
    <row r="1411" outlineLevel="2" ht="72" customFormat="1" customHeight="1" s="6">
      <c r="A1411" s="45">
        <f>A1410+1</f>
        <v/>
      </c>
      <c r="B1411" s="27" t="inlineStr">
        <is>
          <t>Lb10-LED地埋洗墙灯</t>
        </is>
      </c>
      <c r="C1411" s="27" t="inlineStr">
        <is>
          <t>1.名称:Lb10-LED地埋洗墙灯
2.规格：功率：20W/M、流明量：90lm/W、色温：3500K、光速角：50°
3.含外置电源驱动
4.其他:包含完成该项内容所有工作及费用并满足设计图纸、规范等要求</t>
        </is>
      </c>
      <c r="D1411" s="27" t="inlineStr">
        <is>
          <t>自现有现场条件下按照合同约定范围、图纸（含设计变更）及甲方要求内容以及规范、标准、相关做法等要求完成并达到总包合同全部目标的全部工作内容。</t>
        </is>
      </c>
      <c r="E1411" s="27" t="inlineStr">
        <is>
          <t>结合施工图纸及施工方案，根据GB/T50856-2024通用安装工程工程量计算规范，以最终验收合格的工程量计算。</t>
        </is>
      </c>
      <c r="F1411" s="28" t="inlineStr">
        <is>
          <t>m</t>
        </is>
      </c>
      <c r="G1411" s="61" t="n">
        <v>51.99</v>
      </c>
      <c r="H1411" s="62" t="n">
        <v>12.98</v>
      </c>
      <c r="I1411" s="65" t="n"/>
      <c r="J1411" s="62">
        <f>H1411*(1-$I$4)</f>
        <v/>
      </c>
      <c r="K1411" s="63">
        <f>G1411*J1411</f>
        <v/>
      </c>
      <c r="L1411" s="33" t="inlineStr">
        <is>
          <t>灯具</t>
        </is>
      </c>
      <c r="M1411" s="64" t="n"/>
      <c r="O1411" t="n">
        <v>35</v>
      </c>
      <c r="P1411" s="35" t="inlineStr">
        <is>
          <t>差:+22.02元 (+169.6%) 来源:会所合并</t>
        </is>
      </c>
      <c r="Q1411" s="46" t="n"/>
      <c r="R1411" s="46" t="n"/>
    </row>
    <row r="1412" outlineLevel="2" ht="72" customFormat="1" customHeight="1" s="6">
      <c r="A1412" s="45">
        <f>A1411+1</f>
        <v/>
      </c>
      <c r="B1412" s="27" t="inlineStr">
        <is>
          <t>Lb13-LED地埋洗墙灯</t>
        </is>
      </c>
      <c r="C1412" s="27" t="inlineStr">
        <is>
          <t>1.名称:Lb13-LED地埋洗墙灯
2.规格：功率：20W/M、流明量：90lm/W、色温：3500K、光速角：30°
3.含外置电源驱动
4.其他:包含完成该项内容所有工作及费用并满足设计图纸、规范等要求</t>
        </is>
      </c>
      <c r="D1412" s="27" t="inlineStr">
        <is>
          <t>自现有现场条件下按照合同约定范围、图纸（含设计变更）及甲方要求内容以及规范、标准、相关做法等要求完成并达到总包合同全部目标的全部工作内容。</t>
        </is>
      </c>
      <c r="E1412" s="27" t="inlineStr">
        <is>
          <t>结合施工图纸及施工方案，根据GB/T50856-2024通用安装工程工程量计算规范，以最终验收合格的工程量计算。</t>
        </is>
      </c>
      <c r="F1412" s="28" t="inlineStr">
        <is>
          <t>m</t>
        </is>
      </c>
      <c r="G1412" s="61" t="n">
        <v>27.26</v>
      </c>
      <c r="H1412" s="62" t="n">
        <v>12.98</v>
      </c>
      <c r="I1412" s="65" t="n"/>
      <c r="J1412" s="62">
        <f>H1412*(1-$I$4)</f>
        <v/>
      </c>
      <c r="K1412" s="63">
        <f>G1412*J1412</f>
        <v/>
      </c>
      <c r="L1412" s="33" t="inlineStr">
        <is>
          <t>灯具</t>
        </is>
      </c>
      <c r="M1412" s="64" t="n"/>
      <c r="O1412" t="n">
        <v>35</v>
      </c>
      <c r="P1412" s="35" t="inlineStr">
        <is>
          <t>差:+22.02元 (+169.6%) 来源:会所合并</t>
        </is>
      </c>
      <c r="Q1412" s="46" t="n"/>
      <c r="R1412" s="46" t="n"/>
    </row>
    <row r="1413" outlineLevel="2" ht="84" customFormat="1" customHeight="1" s="6">
      <c r="A1413" s="45">
        <f>A1412+1</f>
        <v/>
      </c>
      <c r="B1413" s="27" t="inlineStr">
        <is>
          <t>Ls32-LED硬灯条</t>
        </is>
      </c>
      <c r="C1413" s="27" t="inlineStr">
        <is>
          <t>1.名称:Ls32-LED硬灯条
2.规格：功率：14W/M、流明量：1260lm/M；90lm/W、色温：3000K、光速角：120°
3.含外置电源驱动
4.其他:包含完成该项内容所有工作及费用并满足设计图纸、规范等要求</t>
        </is>
      </c>
      <c r="D1413" s="27" t="inlineStr">
        <is>
          <t>自现有现场条件下按照合同约定范围、图纸（含设计变更）及甲方要求内容以及规范、标准、相关做法等要求完成并达到总包合同全部目标的全部工作内容。</t>
        </is>
      </c>
      <c r="E1413" s="27" t="inlineStr">
        <is>
          <t>结合施工图纸及施工方案，根据GB/T50856-2024通用安装工程工程量计算规范，以最终验收合格的工程量计算。</t>
        </is>
      </c>
      <c r="F1413" s="28" t="inlineStr">
        <is>
          <t>m</t>
        </is>
      </c>
      <c r="G1413" s="61" t="n">
        <v>12.99</v>
      </c>
      <c r="H1413" s="62" t="n">
        <v>12.98</v>
      </c>
      <c r="I1413" s="65" t="n"/>
      <c r="J1413" s="62">
        <f>H1413*(1-$I$4)</f>
        <v/>
      </c>
      <c r="K1413" s="63">
        <f>G1413*J1413</f>
        <v/>
      </c>
      <c r="L1413" s="33" t="inlineStr">
        <is>
          <t>灯具</t>
        </is>
      </c>
      <c r="M1413" s="64" t="n"/>
      <c r="O1413" t="n">
        <v>8</v>
      </c>
      <c r="P1413" s="35" t="inlineStr">
        <is>
          <t>差:-4.98元 (-38.4%) 来源:会所合并</t>
        </is>
      </c>
      <c r="Q1413" s="46" t="n"/>
      <c r="R1413" s="46" t="n"/>
    </row>
    <row r="1414" outlineLevel="2" ht="84" customFormat="1" customHeight="1" s="6">
      <c r="A1414" s="45">
        <f>A1413+1</f>
        <v/>
      </c>
      <c r="B1414" s="27" t="inlineStr">
        <is>
          <t>Lc32-ED侧弯灯带</t>
        </is>
      </c>
      <c r="C1414" s="27" t="inlineStr">
        <is>
          <t>1.名称:Lc32-ED侧弯灯带
2.规格：功率：14W/M、流明量：1260lm/M；90lm/W、色温：3000K、光速角：120°
3.含外置电源驱动
4.其他:包含完成该项内容所有工作及费用并满足设计图纸、规范等要求</t>
        </is>
      </c>
      <c r="D1414" s="27" t="inlineStr">
        <is>
          <t>自现有现场条件下按照合同约定范围、图纸（含设计变更）及甲方要求内容以及规范、标准、相关做法等要求完成并达到总包合同全部目标的全部工作内容。</t>
        </is>
      </c>
      <c r="E1414" s="27" t="inlineStr">
        <is>
          <t>结合施工图纸及施工方案，根据GB/T50856-2024通用安装工程工程量计算规范，以最终验收合格的工程量计算。</t>
        </is>
      </c>
      <c r="F1414" s="28" t="inlineStr">
        <is>
          <t>m</t>
        </is>
      </c>
      <c r="G1414" s="61" t="n">
        <v>123.46</v>
      </c>
      <c r="H1414" s="62" t="n">
        <v>12.98</v>
      </c>
      <c r="I1414" s="65" t="n"/>
      <c r="J1414" s="62">
        <f>H1414*(1-$I$4)</f>
        <v/>
      </c>
      <c r="K1414" s="63">
        <f>G1414*J1414</f>
        <v/>
      </c>
      <c r="L1414" s="33" t="inlineStr">
        <is>
          <t>灯具</t>
        </is>
      </c>
      <c r="M1414" s="64" t="n"/>
      <c r="O1414" t="n">
        <v>8</v>
      </c>
      <c r="P1414" s="35" t="inlineStr">
        <is>
          <t>差:-4.98元 (-38.4%) 来源:会所合并</t>
        </is>
      </c>
      <c r="Q1414" s="46" t="n"/>
      <c r="R1414" s="46" t="n"/>
    </row>
    <row r="1415" outlineLevel="2" ht="72" customFormat="1" customHeight="1" s="6">
      <c r="A1415" s="45">
        <f>A1414+1</f>
        <v/>
      </c>
      <c r="B1415" s="27" t="inlineStr">
        <is>
          <t>Lb1-拉绳灯</t>
        </is>
      </c>
      <c r="C1415" s="27" t="inlineStr">
        <is>
          <t>1.名称:Lb1-拉绳灯
2.规格：功率：10W/M、色温：3500K、光速角：120°
3.其他:包含完成该项内容所有工作及费用并满足设计图纸、规范等要求</t>
        </is>
      </c>
      <c r="D1415" s="27" t="inlineStr">
        <is>
          <t>自现有现场条件下按照合同约定范围、图纸（含设计变更）及甲方要求内容以及规范、标准、相关做法等要求完成并达到总包合同全部目标的全部工作内容。</t>
        </is>
      </c>
      <c r="E1415" s="27" t="inlineStr">
        <is>
          <t>结合施工图纸及施工方案，根据GB/T50856-2024通用安装工程工程量计算规范，以最终验收合格的工程量计算。</t>
        </is>
      </c>
      <c r="F1415" s="28" t="inlineStr">
        <is>
          <t>m</t>
        </is>
      </c>
      <c r="G1415" s="61" t="n">
        <v>31.48</v>
      </c>
      <c r="H1415" s="62" t="n">
        <v>14.16</v>
      </c>
      <c r="I1415" s="65" t="n"/>
      <c r="J1415" s="62">
        <f>H1415*(1-$I$4)</f>
        <v/>
      </c>
      <c r="K1415" s="63">
        <f>G1415*J1415</f>
        <v/>
      </c>
      <c r="L1415" s="33" t="inlineStr">
        <is>
          <t>灯具</t>
        </is>
      </c>
      <c r="M1415" s="64" t="n"/>
      <c r="O1415" t="n">
        <v>35</v>
      </c>
      <c r="P1415" s="35" t="inlineStr">
        <is>
          <t>差:+20.84元 (+147.2%) 来源:会所合并</t>
        </is>
      </c>
      <c r="Q1415" s="46" t="n"/>
      <c r="R1415" s="46" t="n"/>
    </row>
    <row r="1416" outlineLevel="2" ht="72" customFormat="1" customHeight="1" s="6">
      <c r="A1416" s="45">
        <f>A1415+1</f>
        <v/>
      </c>
      <c r="B1416" s="27" t="inlineStr">
        <is>
          <t>单联单控暗开关</t>
        </is>
      </c>
      <c r="C1416" s="27" t="inlineStr">
        <is>
          <t>1.名称：单联单控暗开关
2.规格：86*86mm 颜色：曜岩灰
3.其他：包含完成该项内容所有工作及费用并满足设计图纸、规范等要求;</t>
        </is>
      </c>
      <c r="D1416" s="27" t="inlineStr">
        <is>
          <t>自现有现场条件下按照合同约定范围、图纸（含设计变更）及甲方要求内容以及规范、标准、相关做法等要求完成并达到总包合同全部目标的全部工作内容。</t>
        </is>
      </c>
      <c r="E1416" s="27" t="inlineStr">
        <is>
          <t>结合施工图纸及施工方案，根据GB/T50856-2024通用安装工程工程量计算规范，以最终验收合格的工程量计算。</t>
        </is>
      </c>
      <c r="F1416" s="28" t="inlineStr">
        <is>
          <t>个</t>
        </is>
      </c>
      <c r="G1416" s="61" t="n">
        <v>11</v>
      </c>
      <c r="H1416" s="62" t="n">
        <v>10.856</v>
      </c>
      <c r="I1416" s="65" t="n"/>
      <c r="J1416" s="62">
        <f>H1416*(1-$I$4)</f>
        <v/>
      </c>
      <c r="K1416" s="63">
        <f>G1416*J1416</f>
        <v/>
      </c>
      <c r="L1416" s="33" t="inlineStr">
        <is>
          <t>开关</t>
        </is>
      </c>
      <c r="M1416" s="64" t="n"/>
      <c r="O1416" t="n">
        <v>15</v>
      </c>
      <c r="P1416" s="35" t="inlineStr">
        <is>
          <t>差:+4.14元 (+38.2%) 来源:会所合并</t>
        </is>
      </c>
      <c r="Q1416" s="46" t="n"/>
      <c r="R1416" s="46" t="n"/>
    </row>
    <row r="1417" outlineLevel="2" ht="72" customFormat="1" customHeight="1" s="6">
      <c r="A1417" s="45">
        <f>A1416+1</f>
        <v/>
      </c>
      <c r="B1417" s="27" t="inlineStr">
        <is>
          <t>双联单控暗开关</t>
        </is>
      </c>
      <c r="C1417" s="27" t="inlineStr">
        <is>
          <t>1.名称：双联单控暗开关
2.规格：86*86mm 颜色：曜岩灰
3.其他：包含完成该项内容所有工作及费用并满足设计图纸、规范等要求;</t>
        </is>
      </c>
      <c r="D1417" s="27" t="inlineStr">
        <is>
          <t>自现有现场条件下按照合同约定范围、图纸（含设计变更）及甲方要求内容以及规范、标准、相关做法等要求完成并达到总包合同全部目标的全部工作内容。</t>
        </is>
      </c>
      <c r="E1417" s="27" t="inlineStr">
        <is>
          <t>结合施工图纸及施工方案，根据GB/T50856-2024通用安装工程工程量计算规范，以最终验收合格的工程量计算。</t>
        </is>
      </c>
      <c r="F1417" s="28" t="inlineStr">
        <is>
          <t>个</t>
        </is>
      </c>
      <c r="G1417" s="61" t="n">
        <v>12</v>
      </c>
      <c r="H1417" s="62" t="n">
        <v>10.856</v>
      </c>
      <c r="I1417" s="65" t="n"/>
      <c r="J1417" s="62">
        <f>H1417*(1-$I$4)</f>
        <v/>
      </c>
      <c r="K1417" s="63">
        <f>G1417*J1417</f>
        <v/>
      </c>
      <c r="L1417" s="33" t="inlineStr">
        <is>
          <t>开关</t>
        </is>
      </c>
      <c r="M1417" s="64" t="n"/>
      <c r="O1417" t="n">
        <v>12</v>
      </c>
      <c r="P1417" s="35" t="inlineStr">
        <is>
          <t>差:+1.14元 (+10.5%) 来源:会所合并</t>
        </is>
      </c>
      <c r="Q1417" s="46" t="n"/>
      <c r="R1417" s="46" t="n"/>
    </row>
    <row r="1418" outlineLevel="2" ht="72" customFormat="1" customHeight="1" s="6">
      <c r="A1418" s="45">
        <f>A1417+1</f>
        <v/>
      </c>
      <c r="B1418" s="27" t="inlineStr">
        <is>
          <t>三联单控暗开关</t>
        </is>
      </c>
      <c r="C1418" s="27" t="inlineStr">
        <is>
          <t>1.名称：三联单控暗开关
2.规格：86*86mm 颜色：曜岩灰
3.其他：包含完成该项内容所有工作及费用并满足设计图纸、规范等要求;</t>
        </is>
      </c>
      <c r="D1418" s="27" t="inlineStr">
        <is>
          <t>自现有现场条件下按照合同约定范围、图纸（含设计变更）及甲方要求内容以及规范、标准、相关做法等要求完成并达到总包合同全部目标的全部工作内容。</t>
        </is>
      </c>
      <c r="E1418" s="27" t="inlineStr">
        <is>
          <t>结合施工图纸及施工方案，根据GB/T50856-2024通用安装工程工程量计算规范，以最终验收合格的工程量计算。</t>
        </is>
      </c>
      <c r="F1418" s="28" t="inlineStr">
        <is>
          <t>个</t>
        </is>
      </c>
      <c r="G1418" s="61" t="n">
        <v>41</v>
      </c>
      <c r="H1418" s="62" t="n">
        <v>10.856</v>
      </c>
      <c r="I1418" s="65" t="n"/>
      <c r="J1418" s="62">
        <f>H1418*(1-$I$4)</f>
        <v/>
      </c>
      <c r="K1418" s="63">
        <f>G1418*J1418</f>
        <v/>
      </c>
      <c r="L1418" s="33" t="inlineStr">
        <is>
          <t>开关</t>
        </is>
      </c>
      <c r="M1418" s="64" t="n"/>
      <c r="O1418" t="n">
        <v>12</v>
      </c>
      <c r="P1418" s="35" t="inlineStr">
        <is>
          <t>差:+1.14元 (+10.5%) 来源:会所合并</t>
        </is>
      </c>
      <c r="Q1418" s="46" t="n"/>
      <c r="R1418" s="46" t="n"/>
    </row>
    <row r="1419" outlineLevel="2" ht="72" customFormat="1" customHeight="1" s="6">
      <c r="A1419" s="45">
        <f>A1418+1</f>
        <v/>
      </c>
      <c r="B1419" s="27" t="inlineStr">
        <is>
          <t>五孔插座</t>
        </is>
      </c>
      <c r="C1419" s="27" t="inlineStr">
        <is>
          <t>1.名称：五孔插座
2.规格：86*86mm 颜色：曜岩灰
3.其他：包含完成该项内容所有工作及费用并满足设计图纸、规范等要求;</t>
        </is>
      </c>
      <c r="D1419" s="27" t="inlineStr">
        <is>
          <t>自现有现场条件下按照合同约定范围、图纸（含设计变更）及甲方要求内容以及规范、标准、相关做法等要求完成并达到总包合同全部目标的全部工作内容。</t>
        </is>
      </c>
      <c r="E1419" s="27" t="inlineStr">
        <is>
          <t>结合施工图纸及施工方案，根据GB/T50856-2024通用安装工程工程量计算规范，以最终验收合格的工程量计算。</t>
        </is>
      </c>
      <c r="F1419" s="28" t="inlineStr">
        <is>
          <t>个</t>
        </is>
      </c>
      <c r="G1419" s="61" t="n">
        <v>113</v>
      </c>
      <c r="H1419" s="62" t="n">
        <v>10.856</v>
      </c>
      <c r="I1419" s="65" t="n"/>
      <c r="J1419" s="62">
        <f>H1419*(1-$I$4)</f>
        <v/>
      </c>
      <c r="K1419" s="63">
        <f>G1419*J1419</f>
        <v/>
      </c>
      <c r="L1419" s="33" t="inlineStr">
        <is>
          <t>插座</t>
        </is>
      </c>
      <c r="M1419" s="64" t="n"/>
      <c r="O1419" t="n">
        <v>12</v>
      </c>
      <c r="P1419" s="35" t="inlineStr">
        <is>
          <t>差:+1.14元 (+10.5%) 来源:会所合并</t>
        </is>
      </c>
      <c r="Q1419" s="46" t="n"/>
      <c r="R1419" s="46" t="n"/>
    </row>
    <row r="1420" outlineLevel="2" ht="72" customFormat="1" customHeight="1" s="6">
      <c r="A1420" s="45">
        <f>A1419+1</f>
        <v/>
      </c>
      <c r="B1420" s="27" t="inlineStr">
        <is>
          <t>五孔地面插座</t>
        </is>
      </c>
      <c r="C1420" s="27" t="inlineStr">
        <is>
          <t>1.名称：五孔地面插座
2.规格：86*86mm 颜色：曜岩灰
3.其他：包含完成该项内容所有工作及费用并满足设计图纸、规范等要求;</t>
        </is>
      </c>
      <c r="D1420" s="27" t="inlineStr">
        <is>
          <t>自现有现场条件下按照合同约定范围、图纸（含设计变更）及甲方要求内容以及规范、标准、相关做法等要求完成并达到总包合同全部目标的全部工作内容。</t>
        </is>
      </c>
      <c r="E1420" s="27" t="inlineStr">
        <is>
          <t>结合施工图纸及施工方案，根据GB/T50856-2024通用安装工程工程量计算规范，以最终验收合格的工程量计算。</t>
        </is>
      </c>
      <c r="F1420" s="28" t="inlineStr">
        <is>
          <t>个</t>
        </is>
      </c>
      <c r="G1420" s="61" t="n">
        <v>29</v>
      </c>
      <c r="H1420" s="62" t="n">
        <v>10.856</v>
      </c>
      <c r="I1420" s="65" t="n"/>
      <c r="J1420" s="62">
        <f>H1420*(1-$I$4)</f>
        <v/>
      </c>
      <c r="K1420" s="63">
        <f>G1420*J1420</f>
        <v/>
      </c>
      <c r="L1420" s="33" t="inlineStr">
        <is>
          <t>插座</t>
        </is>
      </c>
      <c r="M1420" s="64" t="n"/>
      <c r="O1420" t="n">
        <v>12</v>
      </c>
      <c r="P1420" s="35" t="inlineStr">
        <is>
          <t>差:+1.14元 (+10.5%) 来源:会所合并</t>
        </is>
      </c>
      <c r="Q1420" s="46" t="n"/>
      <c r="R1420" s="46" t="n"/>
    </row>
    <row r="1421" outlineLevel="2" ht="72" customFormat="1" customHeight="1" s="6">
      <c r="A1421" s="45">
        <f>A1420+1</f>
        <v/>
      </c>
      <c r="B1421" s="27" t="inlineStr">
        <is>
          <t>五孔防溅插座</t>
        </is>
      </c>
      <c r="C1421" s="27" t="inlineStr">
        <is>
          <t>1.名称：五孔防溅插座
2.规格：86*86mm 颜色：曜岩灰
3.其他：包含完成该项内容所有工作及费用并满足设计图纸、规范等要求;</t>
        </is>
      </c>
      <c r="D1421" s="27" t="inlineStr">
        <is>
          <t>自现有现场条件下按照合同约定范围、图纸（含设计变更）及甲方要求内容以及规范、标准、相关做法等要求完成并达到总包合同全部目标的全部工作内容。</t>
        </is>
      </c>
      <c r="E1421" s="27" t="inlineStr">
        <is>
          <t>结合施工图纸及施工方案，根据GB/T50856-2024通用安装工程工程量计算规范，以最终验收合格的工程量计算。</t>
        </is>
      </c>
      <c r="F1421" s="28" t="inlineStr">
        <is>
          <t>个</t>
        </is>
      </c>
      <c r="G1421" s="61" t="n">
        <v>21</v>
      </c>
      <c r="H1421" s="62" t="n">
        <v>10.856</v>
      </c>
      <c r="I1421" s="65" t="n"/>
      <c r="J1421" s="62">
        <f>H1421*(1-$I$4)</f>
        <v/>
      </c>
      <c r="K1421" s="63">
        <f>G1421*J1421</f>
        <v/>
      </c>
      <c r="L1421" s="33" t="inlineStr">
        <is>
          <t>插座</t>
        </is>
      </c>
      <c r="M1421" s="64" t="n"/>
      <c r="O1421" t="n">
        <v>12</v>
      </c>
      <c r="P1421" s="35" t="inlineStr">
        <is>
          <t>差:+1.14元 (+10.5%) 来源:会所合并</t>
        </is>
      </c>
      <c r="Q1421" s="46" t="n"/>
      <c r="R1421" s="46" t="n"/>
    </row>
    <row r="1422" outlineLevel="2" ht="72" customFormat="1" customHeight="1" s="6">
      <c r="A1422" s="45">
        <f>A1421+1</f>
        <v/>
      </c>
      <c r="B1422" s="27" t="inlineStr">
        <is>
          <t>接线盒</t>
        </is>
      </c>
      <c r="C1422" s="27" t="inlineStr">
        <is>
          <t>1.名称：接线盒
2.包含完成该项内容所有工作及费用并满足设计图纸、规范等要求;</t>
        </is>
      </c>
      <c r="D1422" s="27" t="inlineStr">
        <is>
          <t>自现有现场条件下按照合同约定范围、图纸（含设计变更）及甲方要求内容以及规范、标准、相关做法等要求完成并达到总包合同全部目标的全部工作内容。</t>
        </is>
      </c>
      <c r="E1422" s="27" t="inlineStr">
        <is>
          <t>结合施工图纸及施工方案，根据GB/T50856-2024通用安装工程工程量计算规范，以最终验收合格的工程量计算。</t>
        </is>
      </c>
      <c r="F1422" s="28" t="inlineStr">
        <is>
          <t>个</t>
        </is>
      </c>
      <c r="G1422" s="61" t="n">
        <v>1265.2</v>
      </c>
      <c r="H1422" s="62" t="n">
        <v>2.95</v>
      </c>
      <c r="I1422" s="65" t="n"/>
      <c r="J1422" s="62">
        <f>H1422*(1-$I$4)</f>
        <v/>
      </c>
      <c r="K1422" s="63">
        <f>G1422*J1422</f>
        <v/>
      </c>
      <c r="L1422" s="33" t="inlineStr">
        <is>
          <t>线盒</t>
        </is>
      </c>
      <c r="M1422" s="64" t="n"/>
      <c r="O1422" t="n">
        <v>3.5</v>
      </c>
      <c r="P1422" s="35" t="inlineStr">
        <is>
          <t>差:+0.55元 (+18.6%) 来源:会所合并</t>
        </is>
      </c>
      <c r="Q1422" s="46" t="n"/>
      <c r="R1422" s="46" t="n"/>
    </row>
    <row r="1423" outlineLevel="2" ht="72" customFormat="1" customHeight="1" s="6">
      <c r="A1423" s="45">
        <f>A1422+1</f>
        <v/>
      </c>
      <c r="B1423" s="27" t="inlineStr">
        <is>
          <t>金属桥架 200*100</t>
        </is>
      </c>
      <c r="C1423" s="27" t="inlineStr">
        <is>
          <t>1.型号、规格:金属桥架（含配件）
2.材质:200*100
3.其他:包含桥架支架制作、安装、除锈、刷油
4.其他:含配件及盖板、线槽接地
5.主材厚度：满足设计及规范要求</t>
        </is>
      </c>
      <c r="D1423" s="27" t="inlineStr">
        <is>
          <t>自现有现场条件下按照合同约定范围、图纸（含设计变更）及甲方要求内容以及规范、标准、相关做法等要求完成并达到总包合同全部目标的全部工作内容。</t>
        </is>
      </c>
      <c r="E1423" s="27" t="inlineStr">
        <is>
          <t>结合施工图纸及施工方案，根据GB/T50856-2024通用安装工程工程量计算规范，以最终验收合格的工程量计算。</t>
        </is>
      </c>
      <c r="F1423" s="28" t="inlineStr">
        <is>
          <t>m</t>
        </is>
      </c>
      <c r="G1423" s="61" t="n">
        <v>202.68</v>
      </c>
      <c r="H1423" s="62" t="n">
        <v>47.2</v>
      </c>
      <c r="I1423" s="65" t="n"/>
      <c r="J1423" s="62">
        <f>H1423*(1-$I$4)</f>
        <v/>
      </c>
      <c r="K1423" s="63">
        <f>G1423*J1423</f>
        <v/>
      </c>
      <c r="L1423" s="33" t="inlineStr">
        <is>
          <t>桥架</t>
        </is>
      </c>
      <c r="M1423" s="64" t="n"/>
      <c r="O1423" t="n">
        <v>30</v>
      </c>
      <c r="P1423" s="35" t="inlineStr">
        <is>
          <t>差:-17.20元 (-36.4%) 来源:会所合并</t>
        </is>
      </c>
      <c r="Q1423" s="46" t="n"/>
      <c r="R1423" s="46" t="n"/>
    </row>
    <row r="1424" outlineLevel="2" ht="72" customFormat="1" customHeight="1" s="6">
      <c r="A1424" s="45">
        <f>A1423+1</f>
        <v/>
      </c>
      <c r="B1424" s="27" t="inlineStr">
        <is>
          <t>不锈钢线槽 500*200</t>
        </is>
      </c>
      <c r="C1424" s="27" t="inlineStr">
        <is>
          <t>1.型号、规格:不锈钢线槽（含配件）
2.材质:500*200
3.其他:包含桥架支架制作、安装、除锈、刷油
4.其他:含配件及盖板、线槽接地
5.主材厚度：满足设计及规范要求</t>
        </is>
      </c>
      <c r="D1424" s="27" t="inlineStr">
        <is>
          <t>测位、划线、安装、接口。</t>
        </is>
      </c>
      <c r="E1424" s="27" t="inlineStr">
        <is>
          <t>根据线槽的材质与规格按设计图示尺寸以实际完成线槽的中轴线长度计算，不扣除管路中间的接线箱、接线盒、灯头盒、开关盒、插座盒、管件等所占长度</t>
        </is>
      </c>
      <c r="F1424" s="28" t="inlineStr">
        <is>
          <t>m</t>
        </is>
      </c>
      <c r="G1424" s="61" t="n">
        <v>10.71</v>
      </c>
      <c r="H1424" s="62" t="n">
        <v>274.3382</v>
      </c>
      <c r="I1424" s="65" t="n"/>
      <c r="J1424" s="62">
        <f>H1424*(1-$I$4)</f>
        <v/>
      </c>
      <c r="K1424" s="63">
        <f>G1424*J1424</f>
        <v/>
      </c>
      <c r="L1424" s="33" t="inlineStr">
        <is>
          <t>/</t>
        </is>
      </c>
      <c r="M1424" s="64" t="n"/>
      <c r="O1424" t="n">
        <v>65</v>
      </c>
      <c r="P1424" s="35" t="inlineStr">
        <is>
          <t>差:-209.34元 (-76.3%) 来源:会所合并</t>
        </is>
      </c>
      <c r="Q1424" s="46" t="n"/>
      <c r="R1424" s="46" t="n"/>
    </row>
    <row r="1425" outlineLevel="2" ht="96" customFormat="1" customHeight="1" s="6">
      <c r="A1425" s="45">
        <f>A1424+1</f>
        <v/>
      </c>
      <c r="B1425" s="27" t="inlineStr">
        <is>
          <t>管内穿线 WDZC-BYJ-2.5</t>
        </is>
      </c>
      <c r="C1425" s="27" t="inlineStr">
        <is>
          <t>1.名称：电线
2.型号规格：WDZC-BYJ-2.5
3.配线形式：管内穿线
4.包含接线端子
5.其他：为满足本清单工作所需的其他未描述的工作内容，详见相关规范、招标文件及图纸要求</t>
        </is>
      </c>
      <c r="D1425" s="27" t="inlineStr">
        <is>
          <t>扫管、涂滑石粉、穿线、编号、接焊包头、烫锡。</t>
        </is>
      </c>
      <c r="E1425" s="27" t="inlineStr">
        <is>
          <t>根据导线材质与截面面积，区别照明线与动力线，按照设计图示以实际完成长度计算，配线进入盘、柜、箱、板时每根线的预留长度按设计规定计算，设计无规定时按照《工程量计算规则》2024规定计算，线路分支接头线长度、灯具、开关、插座、按钮等预留线不得另行计算。</t>
        </is>
      </c>
      <c r="F1425" s="28" t="inlineStr">
        <is>
          <t>m</t>
        </is>
      </c>
      <c r="G1425" s="61" t="n">
        <v>13851.43</v>
      </c>
      <c r="H1425" s="62" t="n">
        <v>1.829</v>
      </c>
      <c r="I1425" s="65" t="n"/>
      <c r="J1425" s="62">
        <f>H1425*(1-$I$4)</f>
        <v/>
      </c>
      <c r="K1425" s="63">
        <f>G1425*J1425</f>
        <v/>
      </c>
      <c r="L1425" s="33" t="inlineStr">
        <is>
          <t>电线</t>
        </is>
      </c>
      <c r="M1425" s="64" t="n"/>
      <c r="O1425" t="n">
        <v>1.5</v>
      </c>
      <c r="P1425" s="35" t="inlineStr">
        <is>
          <t>差:-0.33元 (-18.0%) 来源:会所合并</t>
        </is>
      </c>
      <c r="Q1425" s="46" t="n"/>
      <c r="R1425" s="46" t="n"/>
    </row>
    <row r="1426" outlineLevel="2" ht="96" customFormat="1" customHeight="1" s="6">
      <c r="A1426" s="45">
        <f>A1425+1</f>
        <v/>
      </c>
      <c r="B1426" s="27" t="inlineStr">
        <is>
          <t>管内穿线 WDZC-BYJ-4</t>
        </is>
      </c>
      <c r="C1426" s="27" t="inlineStr">
        <is>
          <t>1.名称：电线
2.型号规格：WDZC-BYJ-4
3.配线形式：管内穿线
4.包含接线端子
5.其他：为满足本清单工作所需的其他未描述的工作内容，详见相关规范、招标文件及图纸要求</t>
        </is>
      </c>
      <c r="D1426" s="27" t="inlineStr">
        <is>
          <t>扫管、涂滑石粉、穿线、编号、接焊包头、烫锡。</t>
        </is>
      </c>
      <c r="E1426" s="27" t="inlineStr">
        <is>
          <t>根据导线材质与截面面积，区别照明线与动力线，按照设计图示以实际完成长度计算，配线进入盘、柜、箱、板时每根线的预留长度按设计规定计算，设计无规定时按照《工程量计算规则》2024规定计算，线路分支接头线长度、灯具、开关、插座、按钮等预留线不得另行计算。</t>
        </is>
      </c>
      <c r="F1426" s="28" t="inlineStr">
        <is>
          <t>m</t>
        </is>
      </c>
      <c r="G1426" s="61" t="n">
        <v>2897.42</v>
      </c>
      <c r="H1426" s="62" t="n">
        <v>1.829</v>
      </c>
      <c r="I1426" s="65" t="n"/>
      <c r="J1426" s="62">
        <f>H1426*(1-$I$4)</f>
        <v/>
      </c>
      <c r="K1426" s="63">
        <f>G1426*J1426</f>
        <v/>
      </c>
      <c r="L1426" s="33" t="inlineStr">
        <is>
          <t>电线</t>
        </is>
      </c>
      <c r="M1426" s="64" t="n"/>
      <c r="O1426" t="n">
        <v>2</v>
      </c>
      <c r="P1426" s="35" t="inlineStr">
        <is>
          <t>差:+0.17元 (+9.3%) 来源:会所合并</t>
        </is>
      </c>
      <c r="Q1426" s="46" t="n"/>
      <c r="R1426" s="46" t="n"/>
    </row>
    <row r="1427" outlineLevel="2" ht="96" customFormat="1" customHeight="1" s="6">
      <c r="A1427" s="45">
        <f>A1426+1</f>
        <v/>
      </c>
      <c r="B1427" s="27" t="inlineStr">
        <is>
          <t>管内穿线 WDZC-BYJ-6</t>
        </is>
      </c>
      <c r="C1427" s="27" t="inlineStr">
        <is>
          <t>1.名称：电线
2.型号规格：WDZC-BYJ-6
3.配线形式：管内穿线
4.包含接线端子
5.其他：为满足本清单工作所需的其他未描述的工作内容，详见相关规范、招标文件及图纸要求</t>
        </is>
      </c>
      <c r="D1427" s="27" t="inlineStr">
        <is>
          <t>扫管、涂滑石粉、穿线、编号、接焊包头、烫锡。</t>
        </is>
      </c>
      <c r="E1427" s="27" t="inlineStr">
        <is>
          <t>根据导线材质与截面面积，区别照明线与动力线，按照设计图示以实际完成长度计算，配线进入盘、柜、箱、板时每根线的预留长度按设计规定计算，设计无规定时按照《工程量计算规则》2024规定计算，线路分支接头线长度、灯具、开关、插座、按钮等预留线不得另行计算。</t>
        </is>
      </c>
      <c r="F1427" s="28" t="inlineStr">
        <is>
          <t>m</t>
        </is>
      </c>
      <c r="G1427" s="61" t="n">
        <v>691.47</v>
      </c>
      <c r="H1427" s="62" t="n">
        <v>1.829</v>
      </c>
      <c r="I1427" s="65" t="n"/>
      <c r="J1427" s="62">
        <f>H1427*(1-$I$4)</f>
        <v/>
      </c>
      <c r="K1427" s="63">
        <f>G1427*J1427</f>
        <v/>
      </c>
      <c r="L1427" s="33" t="inlineStr">
        <is>
          <t>电线</t>
        </is>
      </c>
      <c r="M1427" s="64" t="n"/>
      <c r="O1427" t="n">
        <v>2.2</v>
      </c>
      <c r="P1427" s="35" t="inlineStr">
        <is>
          <t>差:+0.37元 (+20.3%) 来源:会所合并</t>
        </is>
      </c>
      <c r="Q1427" s="46" t="n"/>
      <c r="R1427" s="46" t="n"/>
    </row>
    <row r="1428" outlineLevel="2" ht="96" customFormat="1" customHeight="1" s="6">
      <c r="A1428" s="45">
        <f>A1427+1</f>
        <v/>
      </c>
      <c r="B1428" s="27" t="inlineStr">
        <is>
          <t>管内穿线 WDZC-BYJ-10</t>
        </is>
      </c>
      <c r="C1428" s="27" t="inlineStr">
        <is>
          <t>1.名称：电线
2.型号规格：WDZC-BYJ-10
3.配线形式：管内穿线
4.包含接线端子
5.其他：为满足本清单工作所需的其他未描述的工作内容，详见相关规范、招标文件及图纸要求</t>
        </is>
      </c>
      <c r="D1428" s="27" t="inlineStr">
        <is>
          <t>扫管、涂滑石粉、穿线、编号、接焊包头、烫锡。</t>
        </is>
      </c>
      <c r="E1428" s="27" t="inlineStr">
        <is>
          <t>根据导线材质与截面面积，区别照明线与动力线，按照设计图示以实际完成长度计算，配线进入盘、柜、箱、板时每根线的预留长度按设计规定计算，设计无规定时按照《工程量计算规则》2024规定计算，线路分支接头线长度、灯具、开关、插座、按钮等预留线不得另行计算。</t>
        </is>
      </c>
      <c r="F1428" s="28" t="inlineStr">
        <is>
          <t>m</t>
        </is>
      </c>
      <c r="G1428" s="61" t="n">
        <v>54.1</v>
      </c>
      <c r="H1428" s="62" t="n">
        <v>1.829</v>
      </c>
      <c r="I1428" s="65" t="n"/>
      <c r="J1428" s="62">
        <f>H1428*(1-$I$4)</f>
        <v/>
      </c>
      <c r="K1428" s="63">
        <f>G1428*J1428</f>
        <v/>
      </c>
      <c r="L1428" s="33" t="inlineStr">
        <is>
          <t>电线</t>
        </is>
      </c>
      <c r="M1428" s="64" t="n"/>
      <c r="O1428" t="n">
        <v>2.5</v>
      </c>
      <c r="P1428" s="35" t="inlineStr">
        <is>
          <t>差:+0.67元 (+36.7%) 来源:会所合并</t>
        </is>
      </c>
      <c r="Q1428" s="46" t="n"/>
      <c r="R1428" s="46" t="n"/>
    </row>
    <row r="1429" outlineLevel="2" ht="96" customFormat="1" customHeight="1" s="6">
      <c r="A1429" s="45">
        <f>A1428+1</f>
        <v/>
      </c>
      <c r="B1429" s="27" t="inlineStr">
        <is>
          <t>管内穿线 WDZC-BYJ-16</t>
        </is>
      </c>
      <c r="C1429" s="27" t="inlineStr">
        <is>
          <t>1.名称：电线
2.型号规格：WDZC-BYJ-16
3.配线形式：管内穿线
4.包含接线端子
5.其他：为满足本清单工作所需的其他未描述的工作内容，详见相关规范、招标文件及图纸要求</t>
        </is>
      </c>
      <c r="D1429" s="27" t="inlineStr">
        <is>
          <t>扫管、涂滑石粉、穿线、编号、接焊包头、烫锡。</t>
        </is>
      </c>
      <c r="E1429" s="27" t="inlineStr">
        <is>
          <t>根据导线材质与截面面积，区别照明线与动力线，按照设计图示以实际完成长度计算，配线进入盘、柜、箱、板时每根线的预留长度按设计规定计算，设计无规定时按照《工程量计算规则》2024规定计算，线路分支接头线长度、灯具、开关、插座、按钮等预留线不得另行计算。</t>
        </is>
      </c>
      <c r="F1429" s="28" t="inlineStr">
        <is>
          <t>m</t>
        </is>
      </c>
      <c r="G1429" s="61" t="n">
        <v>160.69</v>
      </c>
      <c r="H1429" s="62" t="n">
        <v>1.829</v>
      </c>
      <c r="I1429" s="65" t="n"/>
      <c r="J1429" s="62">
        <f>H1429*(1-$I$4)</f>
        <v/>
      </c>
      <c r="K1429" s="63">
        <f>G1429*J1429</f>
        <v/>
      </c>
      <c r="L1429" s="33" t="inlineStr">
        <is>
          <t>电线</t>
        </is>
      </c>
      <c r="M1429" s="64" t="n"/>
      <c r="O1429" t="n">
        <v>2.8</v>
      </c>
      <c r="P1429" s="35" t="inlineStr">
        <is>
          <t>差:+0.97元 (+53.1%) 来源:会所合并</t>
        </is>
      </c>
      <c r="Q1429" s="46" t="n"/>
      <c r="R1429" s="46" t="n"/>
    </row>
    <row r="1430" outlineLevel="2" ht="96" customFormat="1" customHeight="1" s="6">
      <c r="A1430" s="45">
        <f>A1429+1</f>
        <v/>
      </c>
      <c r="B1430" s="27" t="inlineStr">
        <is>
          <t>线槽配线 WDZC-BYJ-2.5</t>
        </is>
      </c>
      <c r="C1430" s="27" t="inlineStr">
        <is>
          <t>1.名称：电线
2.型号规格：WDZC-BYJ-2.5
3.配线形式：线槽配线
4.包含接线端子
5.其他：为满足本清单工作所需的其他未描述的工作内容，详见相关规范、招标文件及图纸要求</t>
        </is>
      </c>
      <c r="D1430" s="27" t="inlineStr">
        <is>
          <t>扫管、涂滑石粉、穿线、编号、接焊包头、烫锡。</t>
        </is>
      </c>
      <c r="E1430" s="27" t="inlineStr">
        <is>
          <t>根据导线材质与截面面积，区别照明线与动力线，按照设计图示以实际完成长度计算，配线进入盘、柜、箱、板时每根线的预留长度按设计规定计算，设计无规定时按照《工程量计算规则》2024规定计算，线路分支接头线长度、灯具、开关、插座、按钮等预留线不得另行计算。</t>
        </is>
      </c>
      <c r="F1430" s="28" t="inlineStr">
        <is>
          <t>m</t>
        </is>
      </c>
      <c r="G1430" s="61" t="n">
        <v>4671.42</v>
      </c>
      <c r="H1430" s="62" t="n">
        <v>1.829</v>
      </c>
      <c r="I1430" s="65" t="n"/>
      <c r="J1430" s="62">
        <f>H1430*(1-$I$4)</f>
        <v/>
      </c>
      <c r="K1430" s="63">
        <f>G1430*J1430</f>
        <v/>
      </c>
      <c r="L1430" s="33" t="inlineStr">
        <is>
          <t>电线</t>
        </is>
      </c>
      <c r="M1430" s="64" t="n"/>
      <c r="O1430" t="n">
        <v>1.5</v>
      </c>
      <c r="P1430" s="35" t="inlineStr">
        <is>
          <t>差:-0.33元 (-18.0%) 来源:会所合并</t>
        </is>
      </c>
      <c r="Q1430" s="46" t="n"/>
      <c r="R1430" s="46" t="n"/>
    </row>
    <row r="1431" outlineLevel="2" ht="96" customFormat="1" customHeight="1" s="6">
      <c r="A1431" s="45">
        <f>A1430+1</f>
        <v/>
      </c>
      <c r="B1431" s="27" t="inlineStr">
        <is>
          <t>线槽配线 WDZC-BYJ-4</t>
        </is>
      </c>
      <c r="C1431" s="27" t="inlineStr">
        <is>
          <t>1.名称：电线
2.型号规格：WDZC-BYJ-4
3.配线形式：线槽配线
4.包含接线端子
5.其他：为满足本清单工作所需的其他未描述的工作内容，详见相关规范、招标文件及图纸要求</t>
        </is>
      </c>
      <c r="D1431" s="27" t="inlineStr">
        <is>
          <t>扫管、涂滑石粉、穿线、编号、接焊包头、烫锡。</t>
        </is>
      </c>
      <c r="E1431" s="27" t="inlineStr">
        <is>
          <t>根据导线材质与截面面积，区别照明线与动力线，按照设计图示以实际完成长度计算，配线进入盘、柜、箱、板时每根线的预留长度按设计规定计算，设计无规定时按照《工程量计算规则》2024规定计算，线路分支接头线长度、灯具、开关、插座、按钮等预留线不得另行计算。</t>
        </is>
      </c>
      <c r="F1431" s="28" t="inlineStr">
        <is>
          <t>m</t>
        </is>
      </c>
      <c r="G1431" s="61" t="n">
        <v>3444.3</v>
      </c>
      <c r="H1431" s="62" t="n">
        <v>1.829</v>
      </c>
      <c r="I1431" s="65" t="n"/>
      <c r="J1431" s="62">
        <f>H1431*(1-$I$4)</f>
        <v/>
      </c>
      <c r="K1431" s="63">
        <f>G1431*J1431</f>
        <v/>
      </c>
      <c r="L1431" s="33" t="inlineStr">
        <is>
          <t>电线</t>
        </is>
      </c>
      <c r="M1431" s="64" t="n"/>
      <c r="O1431" t="n">
        <v>2</v>
      </c>
      <c r="P1431" s="35" t="inlineStr">
        <is>
          <t>差:+0.17元 (+9.3%) 来源:会所合并</t>
        </is>
      </c>
      <c r="Q1431" s="46" t="n"/>
      <c r="R1431" s="46" t="n"/>
    </row>
    <row r="1432" outlineLevel="2" ht="96" customFormat="1" customHeight="1" s="6">
      <c r="A1432" s="45">
        <f>A1431+1</f>
        <v/>
      </c>
      <c r="B1432" s="27" t="inlineStr">
        <is>
          <t>线槽配线 WDZC-BYJ-6</t>
        </is>
      </c>
      <c r="C1432" s="27" t="inlineStr">
        <is>
          <t>1.名称：电线
2.型号规格：WDZC-BYJ-6
3.配线形式：线槽配线
4.包含接线端子
5.其他：为满足本清单工作所需的其他未描述的工作内容，详见相关规范、招标文件及图纸要求</t>
        </is>
      </c>
      <c r="D1432" s="27" t="inlineStr">
        <is>
          <t>扫管、涂滑石粉、穿线、编号、接焊包头、烫锡。</t>
        </is>
      </c>
      <c r="E1432" s="27" t="inlineStr">
        <is>
          <t>根据导线材质与截面面积，区别照明线与动力线，按照设计图示以实际完成长度计算，配线进入盘、柜、箱、板时每根线的预留长度按设计规定计算，设计无规定时按照《工程量计算规则》2024规定计算，线路分支接头线长度、灯具、开关、插座、按钮等预留线不得另行计算。</t>
        </is>
      </c>
      <c r="F1432" s="28" t="inlineStr">
        <is>
          <t>m</t>
        </is>
      </c>
      <c r="G1432" s="61" t="n">
        <v>1559.04</v>
      </c>
      <c r="H1432" s="62" t="n">
        <v>1.829</v>
      </c>
      <c r="I1432" s="65" t="n"/>
      <c r="J1432" s="62">
        <f>H1432*(1-$I$4)</f>
        <v/>
      </c>
      <c r="K1432" s="63">
        <f>G1432*J1432</f>
        <v/>
      </c>
      <c r="L1432" s="33" t="inlineStr">
        <is>
          <t>电线</t>
        </is>
      </c>
      <c r="M1432" s="64" t="n"/>
      <c r="O1432" t="n">
        <v>2.2</v>
      </c>
      <c r="P1432" s="35" t="inlineStr">
        <is>
          <t>差:+0.37元 (+20.3%) 来源:会所合并</t>
        </is>
      </c>
      <c r="Q1432" s="46" t="n"/>
      <c r="R1432" s="46" t="n"/>
    </row>
    <row r="1433" outlineLevel="2" ht="96" customFormat="1" customHeight="1" s="6">
      <c r="A1433" s="45">
        <f>A1432+1</f>
        <v/>
      </c>
      <c r="B1433" s="27" t="inlineStr">
        <is>
          <t>线槽配线 WDZC-BYJ-10</t>
        </is>
      </c>
      <c r="C1433" s="27" t="inlineStr">
        <is>
          <t>1.名称：电线
2.型号规格：WDZC-BYJ-10
3.配线形式：线槽配线
4.包含接线端子
5.其他：为满足本清单工作所需的其他未描述的工作内容，详见相关规范、招标文件及图纸要求</t>
        </is>
      </c>
      <c r="D1433" s="27" t="inlineStr">
        <is>
          <t>扫管、涂滑石粉、穿线、编号、接焊包头、烫锡。</t>
        </is>
      </c>
      <c r="E1433" s="27" t="inlineStr">
        <is>
          <t>根据导线材质与截面面积，区别照明线与动力线，按照设计图示以实际完成长度计算，配线进入盘、柜、箱、板时每根线的预留长度按设计规定计算，设计无规定时按照《工程量计算规则》2024规定计算，线路分支接头线长度、灯具、开关、插座、按钮等预留线不得另行计算。</t>
        </is>
      </c>
      <c r="F1433" s="28" t="inlineStr">
        <is>
          <t>m</t>
        </is>
      </c>
      <c r="G1433" s="61" t="n">
        <v>156.35</v>
      </c>
      <c r="H1433" s="62" t="n">
        <v>1.829</v>
      </c>
      <c r="I1433" s="65" t="n"/>
      <c r="J1433" s="62">
        <f>H1433*(1-$I$4)</f>
        <v/>
      </c>
      <c r="K1433" s="63">
        <f>G1433*J1433</f>
        <v/>
      </c>
      <c r="L1433" s="33" t="inlineStr">
        <is>
          <t>电线</t>
        </is>
      </c>
      <c r="M1433" s="64" t="n"/>
      <c r="O1433" t="n">
        <v>2.5</v>
      </c>
      <c r="P1433" s="35" t="inlineStr">
        <is>
          <t>差:+0.67元 (+36.7%) 来源:会所合并</t>
        </is>
      </c>
      <c r="Q1433" s="46" t="n"/>
      <c r="R1433" s="46" t="n"/>
    </row>
    <row r="1434" outlineLevel="2" ht="96" customFormat="1" customHeight="1" s="6">
      <c r="A1434" s="45">
        <f>A1433+1</f>
        <v/>
      </c>
      <c r="B1434" s="27" t="inlineStr">
        <is>
          <t>线槽配线 WDZC-BYJ-16</t>
        </is>
      </c>
      <c r="C1434" s="27" t="inlineStr">
        <is>
          <t>1.名称：电线
2.型号规格：WDZC-BYJ-16
3.配线形式：线槽配线
4.包含接线端子
5.其他：为满足本清单工作所需的其他未描述的工作内容，详见相关规范、招标文件及图纸要求</t>
        </is>
      </c>
      <c r="D1434" s="27" t="inlineStr">
        <is>
          <t>扫管、涂滑石粉、穿线、编号、接焊包头、烫锡。</t>
        </is>
      </c>
      <c r="E1434" s="27" t="inlineStr">
        <is>
          <t>根据导线材质与截面面积，区别照明线与动力线，按照设计图示以实际完成长度计算，配线进入盘、柜、箱、板时每根线的预留长度按设计规定计算，设计无规定时按照《工程量计算规则》2024规定计算，线路分支接头线长度、灯具、开关、插座、按钮等预留线不得另行计算。</t>
        </is>
      </c>
      <c r="F1434" s="28" t="inlineStr">
        <is>
          <t>m</t>
        </is>
      </c>
      <c r="G1434" s="61" t="n">
        <v>423.14</v>
      </c>
      <c r="H1434" s="62" t="n">
        <v>1.829</v>
      </c>
      <c r="I1434" s="65" t="n"/>
      <c r="J1434" s="62">
        <f>H1434*(1-$I$4)</f>
        <v/>
      </c>
      <c r="K1434" s="63">
        <f>G1434*J1434</f>
        <v/>
      </c>
      <c r="L1434" s="33" t="inlineStr">
        <is>
          <t>电线</t>
        </is>
      </c>
      <c r="M1434" s="64" t="n"/>
      <c r="O1434" t="n">
        <v>2.8</v>
      </c>
      <c r="P1434" s="35" t="inlineStr">
        <is>
          <t>差:+0.97元 (+53.1%) 来源:会所合并</t>
        </is>
      </c>
      <c r="Q1434" s="46" t="n"/>
      <c r="R1434" s="46" t="n"/>
    </row>
    <row r="1435" outlineLevel="2" ht="72" customFormat="1" customHeight="1" s="6">
      <c r="A1435" s="45">
        <f>A1434+1</f>
        <v/>
      </c>
      <c r="B1435" s="27" t="inlineStr">
        <is>
          <t>电力电缆 WDZC-YJY-4*25+1*16</t>
        </is>
      </c>
      <c r="C1435" s="27" t="inlineStr">
        <is>
          <t>1.型号:电力电缆 5芯内
2.规格:WDZC-YJY-4*25+1*16
3.敷设方式:线槽及管内
4.其他:含电缆头制作安装（电缆头形式综合考虑）</t>
        </is>
      </c>
      <c r="D1435" s="27" t="inlineStr">
        <is>
          <t>自现有现场条件下按照合同约定范围、图纸（含设计变更）及甲方要求内容以及规范、标准、相关做法等要求完成并达到总包合同全部目标的全部工作内容。</t>
        </is>
      </c>
      <c r="E1435" s="27" t="inlineStr">
        <is>
          <t>结合施工图纸及施工方案，根据GB/T50856-2024通用安装工程工程量计算规范，以最终验收合格的工程量计算。</t>
        </is>
      </c>
      <c r="F1435" s="28" t="inlineStr">
        <is>
          <t>m</t>
        </is>
      </c>
      <c r="G1435" s="61" t="n">
        <v>55.78</v>
      </c>
      <c r="H1435" s="62" t="n">
        <v>29.5</v>
      </c>
      <c r="I1435" s="65" t="n"/>
      <c r="J1435" s="62">
        <f>H1435*(1-$I$4)</f>
        <v/>
      </c>
      <c r="K1435" s="63">
        <f>G1435*J1435</f>
        <v/>
      </c>
      <c r="L1435" s="33" t="inlineStr">
        <is>
          <t>电缆</t>
        </is>
      </c>
      <c r="M1435" s="64" t="n"/>
      <c r="O1435" t="n">
        <v>18</v>
      </c>
      <c r="P1435" s="35" t="inlineStr">
        <is>
          <t>差:-11.50元 (-39.0%) 来源:会所合并</t>
        </is>
      </c>
      <c r="Q1435" s="46" t="n"/>
      <c r="R1435" s="46" t="n"/>
    </row>
    <row r="1436" outlineLevel="2" ht="60" customFormat="1" customHeight="1" s="6">
      <c r="A1436" s="45">
        <f>A1435+1</f>
        <v/>
      </c>
      <c r="B1436" s="27" t="inlineStr">
        <is>
          <t>明配管 JDG20</t>
        </is>
      </c>
      <c r="C1436" s="27" t="inlineStr">
        <is>
          <t>1.材质：镀锌电线管
2.规格：JDG20 明配
3.其他：为满足本清单工作所需的其他未描述的工作内容，详见相关规范、招标文件及图纸要求</t>
        </is>
      </c>
      <c r="D1436" s="27" t="inlineStr">
        <is>
          <t>测位、锯管、套丝、煨弯、配管、固定、接地、刷漆、穿引线</t>
        </is>
      </c>
      <c r="E1436" s="27" t="inlineStr">
        <is>
          <t>根据配管的材质与直径，区别敷设位置、敷设方式，按照设计图示以实际完成管道的中轴线长度计算，不扣除管路中间的接线箱、接线盒、灯头盒、开关盒、插座盒、管件等所占长度</t>
        </is>
      </c>
      <c r="F1436" s="28" t="inlineStr">
        <is>
          <t>m</t>
        </is>
      </c>
      <c r="G1436" s="61" t="n">
        <v>2574.76</v>
      </c>
      <c r="H1436" s="62" t="n">
        <v>16.52</v>
      </c>
      <c r="I1436" s="65" t="n"/>
      <c r="J1436" s="62">
        <f>H1436*(1-$I$4)</f>
        <v/>
      </c>
      <c r="K1436" s="63">
        <f>G1436*J1436</f>
        <v/>
      </c>
      <c r="L1436" s="33" t="inlineStr">
        <is>
          <t>金属线管</t>
        </is>
      </c>
      <c r="M1436" s="64" t="n"/>
      <c r="O1436" t="n">
        <v>8.5</v>
      </c>
      <c r="P1436" s="35" t="inlineStr">
        <is>
          <t>差:-8.02元 (-48.5%) 来源:会所合并</t>
        </is>
      </c>
      <c r="Q1436" s="46" t="n"/>
      <c r="R1436" s="46" t="n"/>
    </row>
    <row r="1437" outlineLevel="2" ht="60" customFormat="1" customHeight="1" s="6">
      <c r="A1437" s="45">
        <f>A1436+1</f>
        <v/>
      </c>
      <c r="B1437" s="27" t="inlineStr">
        <is>
          <t>明配管 JDG25</t>
        </is>
      </c>
      <c r="C1437" s="27" t="inlineStr">
        <is>
          <t>1.材质：镀锌电线管
2.规格：JDG25 明配
3.其他：为满足本清单工作所需的其他未描述的工作内容，详见相关规范、招标文件及图纸要求</t>
        </is>
      </c>
      <c r="D1437" s="27" t="inlineStr">
        <is>
          <t>测位、锯管、套丝、煨弯、配管、固定、接地、刷漆、穿引线</t>
        </is>
      </c>
      <c r="E1437" s="27" t="inlineStr">
        <is>
          <t>根据配管的材质与直径，区别敷设位置、敷设方式，按照设计图示以实际完成管道的中轴线长度计算，不扣除管路中间的接线箱、接线盒、灯头盒、开关盒、插座盒、管件等所占长度</t>
        </is>
      </c>
      <c r="F1437" s="28" t="inlineStr">
        <is>
          <t>m</t>
        </is>
      </c>
      <c r="G1437" s="61" t="n">
        <v>30.09</v>
      </c>
      <c r="H1437" s="62" t="n">
        <v>16.52</v>
      </c>
      <c r="I1437" s="65" t="n"/>
      <c r="J1437" s="62">
        <f>H1437*(1-$I$4)</f>
        <v/>
      </c>
      <c r="K1437" s="63">
        <f>G1437*J1437</f>
        <v/>
      </c>
      <c r="L1437" s="33" t="inlineStr">
        <is>
          <t>金属线管</t>
        </is>
      </c>
      <c r="M1437" s="64" t="n"/>
      <c r="O1437" t="n">
        <v>8.5</v>
      </c>
      <c r="P1437" s="35" t="inlineStr">
        <is>
          <t>差:-8.02元 (-48.5%) 来源:会所合并</t>
        </is>
      </c>
      <c r="Q1437" s="46" t="n"/>
      <c r="R1437" s="46" t="n"/>
    </row>
    <row r="1438" outlineLevel="2" ht="60" customFormat="1" customHeight="1" s="6">
      <c r="A1438" s="45">
        <f>A1437+1</f>
        <v/>
      </c>
      <c r="B1438" s="27" t="inlineStr">
        <is>
          <t>明配管 JDG32</t>
        </is>
      </c>
      <c r="C1438" s="27" t="inlineStr">
        <is>
          <t>1.材质：镀锌电线管
2.规格：JDG32 明配
3.其他：为满足本清单工作所需的其他未描述的工作内容，详见相关规范、招标文件及图纸要求</t>
        </is>
      </c>
      <c r="D1438" s="27" t="inlineStr">
        <is>
          <t>测位、锯管、套丝、煨弯、配管、固定、接地、刷漆、穿引线</t>
        </is>
      </c>
      <c r="E1438" s="27" t="inlineStr">
        <is>
          <t>根据配管的材质与直径，区别敷设位置、敷设方式，按照设计图示以实际完成管道的中轴线长度计算，不扣除管路中间的接线箱、接线盒、灯头盒、开关盒、插座盒、管件等所占长度</t>
        </is>
      </c>
      <c r="F1438" s="28" t="inlineStr">
        <is>
          <t>m</t>
        </is>
      </c>
      <c r="G1438" s="61" t="n">
        <v>138.3</v>
      </c>
      <c r="H1438" s="62" t="n">
        <v>17.7</v>
      </c>
      <c r="I1438" s="65" t="n"/>
      <c r="J1438" s="62">
        <f>H1438*(1-$I$4)</f>
        <v/>
      </c>
      <c r="K1438" s="63">
        <f>G1438*J1438</f>
        <v/>
      </c>
      <c r="L1438" s="33" t="inlineStr">
        <is>
          <t>金属线管</t>
        </is>
      </c>
      <c r="M1438" s="64" t="n"/>
      <c r="O1438" t="n">
        <v>8.5</v>
      </c>
      <c r="P1438" s="35" t="inlineStr">
        <is>
          <t>差:-9.20元 (-52.0%) 来源:会所合并</t>
        </is>
      </c>
      <c r="Q1438" s="46" t="n"/>
      <c r="R1438" s="46" t="n"/>
    </row>
    <row r="1439" outlineLevel="2" ht="60" customFormat="1" customHeight="1" s="6">
      <c r="A1439" s="45">
        <f>A1438+1</f>
        <v/>
      </c>
      <c r="B1439" s="27" t="inlineStr">
        <is>
          <t>明配管 JDG40</t>
        </is>
      </c>
      <c r="C1439" s="27" t="inlineStr">
        <is>
          <t>1.材质：镀锌电线管
2.规格：JDG40 明配
3.其他：为满足本清单工作所需的其他未描述的工作内容，详见相关规范、招标文件及图纸要求</t>
        </is>
      </c>
      <c r="D1439" s="27" t="inlineStr">
        <is>
          <t>测位、锯管、套丝、煨弯、配管、固定、接地、刷漆、穿引线</t>
        </is>
      </c>
      <c r="E1439" s="27" t="inlineStr">
        <is>
          <t>根据配管的材质与直径，区别敷设位置、敷设方式，按照设计图示以实际完成管道的中轴线长度计算，不扣除管路中间的接线箱、接线盒、灯头盒、开关盒、插座盒、管件等所占长度</t>
        </is>
      </c>
      <c r="F1439" s="28" t="inlineStr">
        <is>
          <t>m</t>
        </is>
      </c>
      <c r="G1439" s="61" t="n">
        <v>10.82</v>
      </c>
      <c r="H1439" s="62" t="n">
        <v>21.24</v>
      </c>
      <c r="I1439" s="65" t="n"/>
      <c r="J1439" s="62">
        <f>H1439*(1-$I$4)</f>
        <v/>
      </c>
      <c r="K1439" s="63">
        <f>G1439*J1439</f>
        <v/>
      </c>
      <c r="L1439" s="33" t="inlineStr">
        <is>
          <t>金属线管</t>
        </is>
      </c>
      <c r="M1439" s="64" t="n"/>
      <c r="O1439" t="n">
        <v>8.5</v>
      </c>
      <c r="P1439" s="35" t="inlineStr">
        <is>
          <t>差:-12.74元 (-60.0%) 来源:会所合并</t>
        </is>
      </c>
      <c r="Q1439" s="46" t="n"/>
      <c r="R1439" s="46" t="n"/>
    </row>
    <row r="1440" outlineLevel="2" ht="60" customFormat="1" customHeight="1" s="6">
      <c r="A1440" s="45">
        <f>A1439+1</f>
        <v/>
      </c>
      <c r="B1440" s="27" t="inlineStr">
        <is>
          <t>明配管 SC50</t>
        </is>
      </c>
      <c r="C1440" s="27" t="inlineStr">
        <is>
          <t>1.材质：镀锌钢管
2.规格：SC50 明配
3.其他：为满足本清单工作所需的其他未描述的工作内容，详见相关规范、招标文件及图纸要求</t>
        </is>
      </c>
      <c r="D1440" s="27" t="inlineStr">
        <is>
          <t>测位、锯管、套丝、煨弯、配管、固定、接地、刷漆、穿引线</t>
        </is>
      </c>
      <c r="E1440" s="27" t="inlineStr">
        <is>
          <t>根据配管的材质与直径，区别敷设位置、敷设方式，按照设计图示以实际完成管道的中轴线长度计算，不扣除管路中间的接线箱、接线盒、灯头盒、开关盒、插座盒、管件等所占长度</t>
        </is>
      </c>
      <c r="F1440" s="28" t="inlineStr">
        <is>
          <t>m</t>
        </is>
      </c>
      <c r="G1440" s="61" t="n">
        <v>46.68</v>
      </c>
      <c r="H1440" s="62" t="n">
        <v>21.24</v>
      </c>
      <c r="I1440" s="65" t="n"/>
      <c r="J1440" s="62">
        <f>H1440*(1-$I$4)</f>
        <v/>
      </c>
      <c r="K1440" s="63">
        <f>G1440*J1440</f>
        <v/>
      </c>
      <c r="L1440" s="33" t="inlineStr">
        <is>
          <t>金属线管</t>
        </is>
      </c>
      <c r="M1440" s="64" t="n"/>
      <c r="O1440" t="n">
        <v>20</v>
      </c>
      <c r="P1440" s="35" t="inlineStr">
        <is>
          <t>差:-1.24元 (-5.8%) 来源:会所合并</t>
        </is>
      </c>
      <c r="Q1440" s="46" t="n"/>
      <c r="R1440" s="46" t="n"/>
    </row>
    <row r="1441" outlineLevel="2" ht="60" customFormat="1" customHeight="1" s="6">
      <c r="A1441" s="45">
        <f>A1440+1</f>
        <v/>
      </c>
      <c r="B1441" s="27" t="inlineStr">
        <is>
          <t>暗配管 PC20</t>
        </is>
      </c>
      <c r="C1441" s="27" t="inlineStr">
        <is>
          <t>1.名称:刚性阻燃管
2.材质:塑料
3.规格:PC20
4.配置形式:暗配</t>
        </is>
      </c>
      <c r="D1441" s="27" t="inlineStr">
        <is>
          <t>测位、锯管、套丝、煨弯、配管、固定、接地、刷漆、穿引线</t>
        </is>
      </c>
      <c r="E1441" s="27" t="inlineStr">
        <is>
          <t>根据配管的材质与直径，区别敷设位置、敷设方式，按照设计图示以实际完成管道的中轴线长度计算，不扣除管路中间的接线箱、接线盒、灯头盒、开关盒、插座盒、管件等所占长度</t>
        </is>
      </c>
      <c r="F1441" s="28" t="inlineStr">
        <is>
          <t>m</t>
        </is>
      </c>
      <c r="G1441" s="61" t="n">
        <v>144.99</v>
      </c>
      <c r="H1441" s="62" t="n">
        <v>9.44</v>
      </c>
      <c r="I1441" s="65" t="n"/>
      <c r="J1441" s="62">
        <f>H1441*(1-$I$4)</f>
        <v/>
      </c>
      <c r="K1441" s="63">
        <f>G1441*J1441</f>
        <v/>
      </c>
      <c r="L1441" s="33" t="inlineStr">
        <is>
          <t>塑料线管</t>
        </is>
      </c>
      <c r="M1441" s="64" t="n"/>
      <c r="O1441" t="n">
        <v>8.5</v>
      </c>
      <c r="P1441" s="35" t="inlineStr">
        <is>
          <t>差:-0.94元 (-10.0%) 来源:会所合并</t>
        </is>
      </c>
      <c r="Q1441" s="46" t="n"/>
      <c r="R1441" s="46" t="n"/>
    </row>
    <row r="1442" outlineLevel="2" ht="60" customFormat="1" customHeight="1" s="6">
      <c r="A1442" s="45">
        <f>A1441+1</f>
        <v/>
      </c>
      <c r="B1442" s="27" t="inlineStr">
        <is>
          <t>暗配管 PC25</t>
        </is>
      </c>
      <c r="C1442" s="27" t="inlineStr">
        <is>
          <t>1.名称:刚性阻燃管
2.材质:塑料
3.规格:PC25
4.配置形式:暗配</t>
        </is>
      </c>
      <c r="D1442" s="27" t="inlineStr">
        <is>
          <t>测位、锯管、套丝、煨弯、配管、固定、接地、刷漆、穿引线</t>
        </is>
      </c>
      <c r="E1442" s="27" t="inlineStr">
        <is>
          <t>根据配管的材质与直径，区别敷设位置、敷设方式，按照设计图示以实际完成管道的中轴线长度计算，不扣除管路中间的接线箱、接线盒、灯头盒、开关盒、插座盒、管件等所占长度</t>
        </is>
      </c>
      <c r="F1442" s="28" t="inlineStr">
        <is>
          <t>m</t>
        </is>
      </c>
      <c r="G1442" s="61" t="n">
        <v>935.73</v>
      </c>
      <c r="H1442" s="62" t="n">
        <v>9.44</v>
      </c>
      <c r="I1442" s="65" t="n"/>
      <c r="J1442" s="62">
        <f>H1442*(1-$I$4)</f>
        <v/>
      </c>
      <c r="K1442" s="63">
        <f>G1442*J1442</f>
        <v/>
      </c>
      <c r="L1442" s="33" t="inlineStr">
        <is>
          <t>塑料线管</t>
        </is>
      </c>
      <c r="M1442" s="64" t="n"/>
      <c r="O1442" t="n">
        <v>8.5</v>
      </c>
      <c r="P1442" s="35" t="inlineStr">
        <is>
          <t>差:-0.94元 (-10.0%) 来源:会所合并</t>
        </is>
      </c>
      <c r="Q1442" s="46" t="n"/>
      <c r="R1442" s="46" t="n"/>
    </row>
    <row r="1443" outlineLevel="2" ht="60" customFormat="1" customHeight="1" s="6">
      <c r="A1443" s="45">
        <f>A1442+1</f>
        <v/>
      </c>
      <c r="B1443" s="27" t="inlineStr">
        <is>
          <t>金属软管 DN20</t>
        </is>
      </c>
      <c r="C1443" s="27" t="inlineStr">
        <is>
          <t>1.材质：金属软管
2.规格：DN20
3.其他：为满足本清单工作所需的其他未描述的工作内容，详见相关规范、招标文件及图纸要求</t>
        </is>
      </c>
      <c r="D1443" s="27" t="inlineStr">
        <is>
          <t>测位、锯管、套丝、煨弯、配管、固定、接地、刷漆、穿引线</t>
        </is>
      </c>
      <c r="E1443" s="27" t="inlineStr">
        <is>
          <t>根据配管的材质与直径，区别敷设位置、敷设方式，按照设计图示以实际完成管道的中轴线长度计算，不扣除管路中间的接线箱、接线盒、灯头盒、开关盒、插座盒、管件等所占长度</t>
        </is>
      </c>
      <c r="F1443" s="28" t="inlineStr">
        <is>
          <t>m</t>
        </is>
      </c>
      <c r="G1443" s="61" t="n">
        <v>1584</v>
      </c>
      <c r="H1443" s="62" t="n">
        <v>4.13</v>
      </c>
      <c r="I1443" s="65" t="n"/>
      <c r="J1443" s="62">
        <f>H1443*(1-$I$4)</f>
        <v/>
      </c>
      <c r="K1443" s="63">
        <f>G1443*J1443</f>
        <v/>
      </c>
      <c r="L1443" s="33" t="inlineStr">
        <is>
          <t>金属线管</t>
        </is>
      </c>
      <c r="M1443" s="64" t="n"/>
      <c r="O1443" t="n">
        <v>2.5</v>
      </c>
      <c r="P1443" s="35" t="inlineStr">
        <is>
          <t>差:-1.63元 (-39.5%) 来源:会所合并</t>
        </is>
      </c>
      <c r="Q1443" s="46" t="n"/>
      <c r="R1443" s="46" t="n"/>
    </row>
    <row r="1444" outlineLevel="2" ht="72" customFormat="1" customHeight="1" s="6">
      <c r="A1444" s="45">
        <f>A1443+1</f>
        <v/>
      </c>
      <c r="B1444" s="27" t="inlineStr">
        <is>
          <t>砖墙凿槽及修复</t>
        </is>
      </c>
      <c r="C1444" s="27" t="inlineStr">
        <is>
          <t>1.名称:凿槽及修补
2.规格:70mm×70mm
3.类型:砖结构
4.填充(恢复)方式:水泥砂浆修补</t>
        </is>
      </c>
      <c r="D1444" s="27" t="inlineStr">
        <is>
          <t>自现有现场条件下按照合同约定范围、图纸（含设计变更）及甲方要求内容以及规范、标准、相关做法等要求完成并达到总包合同全部目标的全部工作内容。</t>
        </is>
      </c>
      <c r="E1444" s="27" t="inlineStr">
        <is>
          <t>结合施工图纸及施工方案，根据GB/T50856-2024通用安装工程工程量计算规范，以最终验收合格的工程量计算。</t>
        </is>
      </c>
      <c r="F1444" s="28" t="inlineStr">
        <is>
          <t>m</t>
        </is>
      </c>
      <c r="G1444" s="61" t="n">
        <v>124.65</v>
      </c>
      <c r="H1444" s="62" t="n">
        <v>30.68</v>
      </c>
      <c r="I1444" s="65" t="n"/>
      <c r="J1444" s="62">
        <f>H1444*(1-$I$4)</f>
        <v/>
      </c>
      <c r="K1444" s="63">
        <f>G1444*J1444</f>
        <v/>
      </c>
      <c r="L1444" s="33" t="inlineStr">
        <is>
          <t>/</t>
        </is>
      </c>
      <c r="M1444" s="64" t="n"/>
      <c r="O1444" t="n">
        <v>20</v>
      </c>
      <c r="P1444" s="35" t="inlineStr">
        <is>
          <t>差:-10.68元 (-34.8%) 来源:会所合并</t>
        </is>
      </c>
      <c r="Q1444" s="46" t="n"/>
      <c r="R1444" s="46" t="n"/>
    </row>
    <row r="1445" outlineLevel="2" ht="72" customFormat="1" customHeight="1" s="6">
      <c r="A1445" s="45">
        <f>A1444+1</f>
        <v/>
      </c>
      <c r="B1445" s="27" t="inlineStr">
        <is>
          <t>混凝土凿槽及修复</t>
        </is>
      </c>
      <c r="C1445" s="27" t="inlineStr">
        <is>
          <t>1.名称:凿槽及修补
2.规格:70mm×70mm
3.类型:混凝土结构
4.填充(恢复)方式:水泥砂浆修补</t>
        </is>
      </c>
      <c r="D1445" s="27" t="inlineStr">
        <is>
          <t>自现有现场条件下按照合同约定范围、图纸（含设计变更）及甲方要求内容以及规范、标准、相关做法等要求完成并达到总包合同全部目标的全部工作内容。</t>
        </is>
      </c>
      <c r="E1445" s="27" t="inlineStr">
        <is>
          <t>结合施工图纸及施工方案，根据GB/T50856-2024通用安装工程工程量计算规范，以最终验收合格的工程量计算。</t>
        </is>
      </c>
      <c r="F1445" s="28" t="inlineStr">
        <is>
          <t>m</t>
        </is>
      </c>
      <c r="G1445" s="61" t="n">
        <v>47</v>
      </c>
      <c r="H1445" s="62" t="n">
        <v>43.66</v>
      </c>
      <c r="I1445" s="65" t="n"/>
      <c r="J1445" s="62">
        <f>H1445*(1-$I$4)</f>
        <v/>
      </c>
      <c r="K1445" s="63">
        <f>G1445*J1445</f>
        <v/>
      </c>
      <c r="L1445" s="33" t="inlineStr">
        <is>
          <t>/</t>
        </is>
      </c>
      <c r="M1445" s="64" t="n"/>
      <c r="O1445" t="n">
        <v>20</v>
      </c>
      <c r="P1445" s="35" t="inlineStr">
        <is>
          <t>差:-23.66元 (-54.2%) 来源:会所合并</t>
        </is>
      </c>
      <c r="Q1445" s="46" t="n"/>
      <c r="R1445" s="46" t="n"/>
    </row>
    <row r="1446" outlineLevel="2" ht="72" customFormat="1" customHeight="1" s="6">
      <c r="A1446" s="45">
        <f>A1445+1</f>
        <v/>
      </c>
      <c r="B1446" s="27" t="inlineStr">
        <is>
          <t>热水器 200L</t>
        </is>
      </c>
      <c r="C1446" s="27" t="inlineStr">
        <is>
          <t>1.名称：热水器 200L
2.规格：200L 600*640*1691mm
3.热水器安装，包括角阀、不锈钢软管等所需材料
4.其他:包含完成该项内容所有工作及费用并满足设计图纸、规范等要求</t>
        </is>
      </c>
      <c r="D1446" s="27" t="inlineStr">
        <is>
          <t>自现有现场条件下按照合同约定范围、图纸（含设计变更）及甲方要求内容以及规范、标准、相关做法等要求完成并达到总包合同全部目标的全部工作内容。</t>
        </is>
      </c>
      <c r="E1446" s="27" t="inlineStr">
        <is>
          <t>结合施工图纸及施工方案，根据GB/T50856-2024通用安装工程工程量计算规范，以最终验收合格的工程量计算。</t>
        </is>
      </c>
      <c r="F1446" s="28" t="inlineStr">
        <is>
          <t>个</t>
        </is>
      </c>
      <c r="G1446" s="61" t="n">
        <v>1</v>
      </c>
      <c r="H1446" s="62" t="n">
        <v>410.64</v>
      </c>
      <c r="I1446" s="65" t="n"/>
      <c r="J1446" s="62">
        <f>H1446*(1-$I$4)</f>
        <v/>
      </c>
      <c r="K1446" s="63">
        <f>G1446*J1446</f>
        <v/>
      </c>
      <c r="L1446" s="33" t="inlineStr">
        <is>
          <t>电器</t>
        </is>
      </c>
      <c r="M1446" s="64" t="n"/>
      <c r="O1446" t="n">
        <v>500</v>
      </c>
      <c r="P1446" s="35" t="inlineStr">
        <is>
          <t>差:+89.36元 (+21.8%) 来源:会所合并</t>
        </is>
      </c>
      <c r="Q1446" s="46" t="n"/>
      <c r="R1446" s="46" t="n"/>
    </row>
    <row r="1447" outlineLevel="2" ht="72" customFormat="1" customHeight="1" s="6">
      <c r="A1447" s="45">
        <f>A1446+1</f>
        <v/>
      </c>
      <c r="B1447" s="27" t="inlineStr">
        <is>
          <t>小厨宝</t>
        </is>
      </c>
      <c r="C1447" s="27" t="inlineStr">
        <is>
          <t>1.名称：小厨宝
2.小厨宝安装，包括角阀、不锈钢软管等所需材料
3.包含完成该项内容所有工作及费用并满足设计图纸、规范等要求</t>
        </is>
      </c>
      <c r="D1447" s="27" t="inlineStr">
        <is>
          <t>自现有现场条件下按照合同约定范围、图纸（含设计变更）及甲方要求内容以及规范、标准、相关做法等要求完成并达到总包合同全部目标的全部工作内容。</t>
        </is>
      </c>
      <c r="E1447" s="27" t="inlineStr">
        <is>
          <t>结合施工图纸及施工方案，根据GB/T50856-2024通用安装工程工程量计算规范，以最终验收合格的工程量计算。</t>
        </is>
      </c>
      <c r="F1447" s="28" t="inlineStr">
        <is>
          <t>个</t>
        </is>
      </c>
      <c r="G1447" s="61" t="n">
        <v>8</v>
      </c>
      <c r="H1447" s="62" t="n">
        <v>51.153</v>
      </c>
      <c r="I1447" s="65" t="n"/>
      <c r="J1447" s="62">
        <f>H1447*(1-$I$4)</f>
        <v/>
      </c>
      <c r="K1447" s="63">
        <f>G1447*J1447</f>
        <v/>
      </c>
      <c r="L1447" s="33" t="inlineStr">
        <is>
          <t>电器</t>
        </is>
      </c>
      <c r="M1447" s="64" t="n"/>
      <c r="O1447" t="n">
        <v>50</v>
      </c>
      <c r="P1447" s="35" t="inlineStr">
        <is>
          <t>差:-1.15元 (-2.3%) 来源:会所合并</t>
        </is>
      </c>
      <c r="Q1447" s="46" t="n"/>
      <c r="R1447" s="46" t="n"/>
    </row>
    <row r="1448" outlineLevel="2" ht="72" customFormat="1" customHeight="1" s="6">
      <c r="A1448" s="45">
        <f>A1447+1</f>
        <v/>
      </c>
      <c r="B1448" s="27" t="inlineStr">
        <is>
          <t>冰箱</t>
        </is>
      </c>
      <c r="C1448" s="27" t="inlineStr">
        <is>
          <t>1.名称：冰箱
2.包含完成该项内容所有工作及费用并满足设计图纸、规范等要求</t>
        </is>
      </c>
      <c r="D1448" s="27" t="inlineStr">
        <is>
          <t>自现有现场条件下按照合同约定范围、图纸（含设计变更）及甲方要求内容以及规范、标准、相关做法等要求完成并达到总包合同全部目标的全部工作内容。</t>
        </is>
      </c>
      <c r="E1448" s="27" t="inlineStr">
        <is>
          <t>结合施工图纸及施工方案，根据GB/T50856-2024通用安装工程工程量计算规范，以最终验收合格的工程量计算。</t>
        </is>
      </c>
      <c r="F1448" s="28" t="inlineStr">
        <is>
          <t>个</t>
        </is>
      </c>
      <c r="G1448" s="61" t="n">
        <v>3</v>
      </c>
      <c r="H1448" s="62" t="n">
        <v>453.12</v>
      </c>
      <c r="I1448" s="65" t="n"/>
      <c r="J1448" s="62">
        <f>H1448*(1-$I$4)</f>
        <v/>
      </c>
      <c r="K1448" s="63">
        <f>G1448*J1448</f>
        <v/>
      </c>
      <c r="L1448" s="33" t="inlineStr">
        <is>
          <t>电器</t>
        </is>
      </c>
      <c r="M1448" s="64" t="n"/>
      <c r="O1448" t="n">
        <v>300</v>
      </c>
      <c r="P1448" s="35" t="inlineStr">
        <is>
          <t>差:-153.12元 (-33.8%) 来源:会所合并</t>
        </is>
      </c>
      <c r="Q1448" s="46" t="n"/>
      <c r="R1448" s="46" t="n"/>
    </row>
    <row r="1449" outlineLevel="2" ht="72" customFormat="1" customHeight="1" s="6">
      <c r="A1449" s="45">
        <f>A1448+1</f>
        <v/>
      </c>
      <c r="B1449" s="27" t="inlineStr">
        <is>
          <t>自助售卖机</t>
        </is>
      </c>
      <c r="C1449" s="27" t="inlineStr">
        <is>
          <t>1.名称：自助售卖机
2.规格：750*780*1830
3.包含完成该项内容所有工作及费用并满足设计图纸、规范等要求</t>
        </is>
      </c>
      <c r="D1449" s="27" t="inlineStr">
        <is>
          <t>自现有现场条件下按照合同约定范围、图纸（含设计变更）及甲方要求内容以及规范、标准、相关做法等要求完成并达到总包合同全部目标的全部工作内容。</t>
        </is>
      </c>
      <c r="E1449" s="27" t="inlineStr">
        <is>
          <t>结合施工图纸及施工方案，根据GB/T50856-2024通用安装工程工程量计算规范，以最终验收合格的工程量计算。</t>
        </is>
      </c>
      <c r="F1449" s="28" t="inlineStr">
        <is>
          <t>个</t>
        </is>
      </c>
      <c r="G1449" s="61" t="n">
        <v>2</v>
      </c>
      <c r="H1449" s="62" t="n">
        <v>311.52</v>
      </c>
      <c r="I1449" s="65" t="n"/>
      <c r="J1449" s="62">
        <f>H1449*(1-$I$4)</f>
        <v/>
      </c>
      <c r="K1449" s="63">
        <f>G1449*J1449</f>
        <v/>
      </c>
      <c r="L1449" s="33" t="inlineStr">
        <is>
          <t>电器</t>
        </is>
      </c>
      <c r="M1449" s="64" t="n"/>
      <c r="O1449" t="n">
        <v>300</v>
      </c>
      <c r="P1449" s="35" t="inlineStr">
        <is>
          <t>差:-11.52元 (-3.7%) 来源:会所合并</t>
        </is>
      </c>
      <c r="Q1449" s="46" t="n"/>
      <c r="R1449" s="46" t="n"/>
    </row>
    <row r="1450" outlineLevel="1" customFormat="1" s="7">
      <c r="A1450" s="47" t="n"/>
      <c r="B1450" s="27" t="inlineStr">
        <is>
          <t>（2）标准层电梯厅</t>
        </is>
      </c>
      <c r="C1450" s="27" t="n"/>
      <c r="D1450" s="27" t="n"/>
      <c r="E1450" s="27" t="n"/>
      <c r="F1450" s="28" t="n"/>
      <c r="G1450" s="61" t="n"/>
      <c r="H1450" s="62" t="n"/>
      <c r="I1450" s="65" t="n"/>
      <c r="J1450" s="62" t="n"/>
      <c r="K1450" s="63" t="n"/>
      <c r="L1450" s="33" t="n"/>
      <c r="M1450" s="64" t="n"/>
      <c r="P1450" s="35" t="n"/>
    </row>
    <row r="1451" outlineLevel="2" ht="72" customFormat="1" customHeight="1" s="6">
      <c r="A1451" s="45">
        <f>A1450+1</f>
        <v/>
      </c>
      <c r="B1451" s="27" t="inlineStr">
        <is>
          <t>D13f 可调深藏射灯</t>
        </is>
      </c>
      <c r="C1451" s="27" t="inlineStr">
        <is>
          <t>1.名称:D13f 可调深藏射灯
2.规格：功率：9W、流明量：594lm；63lm/W、色温：3500K、光速角：36°
3.其他:包含完成该项内容所有工作及费用并满足设计图纸、规范等要求</t>
        </is>
      </c>
      <c r="D1451" s="27" t="inlineStr">
        <is>
          <t>自现有现场条件下按照合同约定范围、图纸（含设计变更）及甲方要求内容以及规范、标准、相关做法等要求完成并达到总包合同全部目标的全部工作内容。</t>
        </is>
      </c>
      <c r="E1451" s="27" t="inlineStr">
        <is>
          <t>结合施工图纸及施工方案，根据GB/T50856-2024通用安装工程工程量计算规范，以最终验收合格的工程量计算。</t>
        </is>
      </c>
      <c r="F1451" s="28" t="inlineStr">
        <is>
          <t>套</t>
        </is>
      </c>
      <c r="G1451" s="61" t="n">
        <v>588</v>
      </c>
      <c r="H1451" s="62" t="n">
        <v>16.52</v>
      </c>
      <c r="I1451" s="65" t="n"/>
      <c r="J1451" s="62">
        <f>H1451*(1-$I$4)</f>
        <v/>
      </c>
      <c r="K1451" s="63">
        <f>G1451*J1451</f>
        <v/>
      </c>
      <c r="L1451" s="33" t="inlineStr">
        <is>
          <t>灯具</t>
        </is>
      </c>
      <c r="M1451" s="64" t="n"/>
      <c r="O1451" t="n">
        <v>18</v>
      </c>
      <c r="P1451" s="35" t="inlineStr">
        <is>
          <t>差:+1.48元 (+9.0%) 来源:会所合并</t>
        </is>
      </c>
      <c r="Q1451" s="46" t="n"/>
      <c r="R1451" s="46" t="n"/>
    </row>
    <row r="1452" outlineLevel="2" ht="84" customFormat="1" customHeight="1" s="6">
      <c r="A1452" s="45">
        <f>A1451+1</f>
        <v/>
      </c>
      <c r="B1452" s="27" t="inlineStr">
        <is>
          <t>Rm10 LED透光模组灯</t>
        </is>
      </c>
      <c r="C1452" s="27" t="inlineStr">
        <is>
          <t>1.名称:Rm10 LED透光模组灯
2.规格：功率：80W、流明量：5500lm；80lm/W、色温：3500K、光速角：170°
3.含外置电源驱动
4.其他:包含完成该项内容所有工作及费用并满足设计图纸、规范等要求</t>
        </is>
      </c>
      <c r="D1452" s="27" t="inlineStr">
        <is>
          <t>自现有现场条件下按照合同约定范围、图纸（含设计变更）及甲方要求内容以及规范、标准、相关做法等要求完成并达到总包合同全部目标的全部工作内容。</t>
        </is>
      </c>
      <c r="E1452" s="27" t="inlineStr">
        <is>
          <t>结合施工图纸及施工方案，根据GB/T50856-2024通用安装工程工程量计算规范，以最终验收合格的工程量计算。</t>
        </is>
      </c>
      <c r="F1452" s="28" t="inlineStr">
        <is>
          <t>m</t>
        </is>
      </c>
      <c r="G1452" s="61" t="n">
        <v>380.8</v>
      </c>
      <c r="H1452" s="62" t="n">
        <v>12.98</v>
      </c>
      <c r="I1452" s="65" t="n"/>
      <c r="J1452" s="62">
        <f>H1452*(1-$I$4)</f>
        <v/>
      </c>
      <c r="K1452" s="63">
        <f>G1452*J1452</f>
        <v/>
      </c>
      <c r="L1452" s="33" t="inlineStr">
        <is>
          <t>灯具</t>
        </is>
      </c>
      <c r="M1452" s="64" t="n"/>
      <c r="O1452" t="n">
        <v>18</v>
      </c>
      <c r="P1452" s="35" t="inlineStr">
        <is>
          <t>差:+5.02元 (+38.7%) 来源:会所合并</t>
        </is>
      </c>
      <c r="Q1452" s="46" t="n"/>
      <c r="R1452" s="46" t="n"/>
    </row>
    <row r="1453" outlineLevel="2" ht="84" customFormat="1" customHeight="1" s="6">
      <c r="A1453" s="45">
        <f>A1452+1</f>
        <v/>
      </c>
      <c r="B1453" s="27" t="inlineStr">
        <is>
          <t>Lc12-LED侧弯灯带</t>
        </is>
      </c>
      <c r="C1453" s="27" t="inlineStr">
        <is>
          <t>1.名称:Lc12-LED侧弯灯带
2.规格：功率：14W/M、流明量：1260lm/M；90lm/W、色温：3500K、光速角：120°
3.含外置电源驱动
4.其他:包含完成该项内容所有工作及费用并满足设计图纸、规范等要求</t>
        </is>
      </c>
      <c r="D1453" s="27" t="inlineStr">
        <is>
          <t>自现有现场条件下按照合同约定范围、图纸（含设计变更）及甲方要求内容以及规范、标准、相关做法等要求完成并达到总包合同全部目标的全部工作内容。</t>
        </is>
      </c>
      <c r="E1453" s="27" t="inlineStr">
        <is>
          <t>结合施工图纸及施工方案，根据GB/T50856-2024通用安装工程工程量计算规范，以最终验收合格的工程量计算。</t>
        </is>
      </c>
      <c r="F1453" s="28" t="inlineStr">
        <is>
          <t>m</t>
        </is>
      </c>
      <c r="G1453" s="61" t="n">
        <v>1016.26</v>
      </c>
      <c r="H1453" s="62" t="n">
        <v>12.98</v>
      </c>
      <c r="I1453" s="65" t="n"/>
      <c r="J1453" s="62">
        <f>H1453*(1-$I$4)</f>
        <v/>
      </c>
      <c r="K1453" s="63">
        <f>G1453*J1453</f>
        <v/>
      </c>
      <c r="L1453" s="33" t="inlineStr">
        <is>
          <t>灯具</t>
        </is>
      </c>
      <c r="M1453" s="64" t="n"/>
      <c r="O1453" t="n">
        <v>8</v>
      </c>
      <c r="P1453" s="35" t="inlineStr">
        <is>
          <t>差:-4.98元 (-38.4%) 来源:会所合并</t>
        </is>
      </c>
      <c r="Q1453" s="46" t="n"/>
      <c r="R1453" s="46" t="n"/>
    </row>
    <row r="1454" outlineLevel="1" customFormat="1" s="7">
      <c r="A1454" s="47" t="n"/>
      <c r="B1454" s="27" t="inlineStr">
        <is>
          <t>（3）地下室大堂</t>
        </is>
      </c>
      <c r="C1454" s="27" t="n"/>
      <c r="D1454" s="27" t="n"/>
      <c r="E1454" s="27" t="n"/>
      <c r="F1454" s="28" t="n"/>
      <c r="G1454" s="61" t="n"/>
      <c r="H1454" s="62" t="n"/>
      <c r="I1454" s="65" t="n"/>
      <c r="J1454" s="62" t="n"/>
      <c r="K1454" s="63" t="n"/>
      <c r="L1454" s="33" t="n"/>
      <c r="M1454" s="64" t="n"/>
      <c r="P1454" s="35" t="n"/>
    </row>
    <row r="1455" outlineLevel="2" ht="72" customFormat="1" customHeight="1" s="6">
      <c r="A1455" s="45">
        <f>A1454+1</f>
        <v/>
      </c>
      <c r="B1455" s="27" t="inlineStr">
        <is>
          <t>D13f 可调深藏射灯</t>
        </is>
      </c>
      <c r="C1455" s="27" t="inlineStr">
        <is>
          <t>1.名称:D13f 可调深藏射灯
2.规格：功率：9W、流明量：594lm；63lm/W、色温：3500K、光速角：36°
3.其他:包含完成该项内容所有工作及费用并满足设计图纸、规范等要求</t>
        </is>
      </c>
      <c r="D1455" s="27" t="inlineStr">
        <is>
          <t>自现有现场条件下按照合同约定范围、图纸（含设计变更）及甲方要求内容以及规范、标准、相关做法等要求完成并达到总包合同全部目标的全部工作内容。</t>
        </is>
      </c>
      <c r="E1455" s="27" t="inlineStr">
        <is>
          <t>结合施工图纸及施工方案，根据GB/T50856-2024通用安装工程工程量计算规范，以最终验收合格的工程量计算。</t>
        </is>
      </c>
      <c r="F1455" s="28" t="inlineStr">
        <is>
          <t>套</t>
        </is>
      </c>
      <c r="G1455" s="61" t="n">
        <v>78</v>
      </c>
      <c r="H1455" s="62" t="n">
        <v>16.52</v>
      </c>
      <c r="I1455" s="65" t="n"/>
      <c r="J1455" s="62">
        <f>H1455*(1-$I$4)</f>
        <v/>
      </c>
      <c r="K1455" s="63">
        <f>G1455*J1455</f>
        <v/>
      </c>
      <c r="L1455" s="33" t="inlineStr">
        <is>
          <t>灯具</t>
        </is>
      </c>
      <c r="M1455" s="64" t="n"/>
      <c r="O1455" t="n">
        <v>18</v>
      </c>
      <c r="P1455" s="35" t="inlineStr">
        <is>
          <t>差:+1.48元 (+9.0%) 来源:会所合并</t>
        </is>
      </c>
      <c r="Q1455" s="46" t="n"/>
      <c r="R1455" s="46" t="n"/>
    </row>
    <row r="1456" outlineLevel="2" ht="84" customFormat="1" customHeight="1" s="6">
      <c r="A1456" s="45">
        <f>A1455+1</f>
        <v/>
      </c>
      <c r="B1456" s="27" t="inlineStr">
        <is>
          <t>Rm10 LED透光模组灯</t>
        </is>
      </c>
      <c r="C1456" s="27" t="inlineStr">
        <is>
          <t>1.名称:Rm10 LED透光模组灯
2.规格：功率：80W、流明量：5500lm；80lm/W、色温：3500K、光速角：170°
3.含外置电源驱动
4.其他:包含完成该项内容所有工作及费用并满足设计图纸、规范等要求</t>
        </is>
      </c>
      <c r="D1456" s="27" t="inlineStr">
        <is>
          <t>自现有现场条件下按照合同约定范围、图纸（含设计变更）及甲方要求内容以及规范、标准、相关做法等要求完成并达到总包合同全部目标的全部工作内容。</t>
        </is>
      </c>
      <c r="E1456" s="27" t="inlineStr">
        <is>
          <t>结合施工图纸及施工方案，根据GB/T50856-2024通用安装工程工程量计算规范，以最终验收合格的工程量计算。</t>
        </is>
      </c>
      <c r="F1456" s="28" t="inlineStr">
        <is>
          <t>m</t>
        </is>
      </c>
      <c r="G1456" s="61" t="n">
        <v>40.8</v>
      </c>
      <c r="H1456" s="62" t="n">
        <v>12.98</v>
      </c>
      <c r="I1456" s="65" t="n"/>
      <c r="J1456" s="62">
        <f>H1456*(1-$I$4)</f>
        <v/>
      </c>
      <c r="K1456" s="63">
        <f>G1456*J1456</f>
        <v/>
      </c>
      <c r="L1456" s="33" t="inlineStr">
        <is>
          <t>灯具</t>
        </is>
      </c>
      <c r="M1456" s="64" t="n"/>
      <c r="O1456" t="n">
        <v>18</v>
      </c>
      <c r="P1456" s="35" t="inlineStr">
        <is>
          <t>差:+5.02元 (+38.7%) 来源:会所合并</t>
        </is>
      </c>
      <c r="Q1456" s="46" t="n"/>
      <c r="R1456" s="46" t="n"/>
    </row>
    <row r="1457" outlineLevel="2" ht="84" customFormat="1" customHeight="1" s="6">
      <c r="A1457" s="45">
        <f>A1456+1</f>
        <v/>
      </c>
      <c r="B1457" s="27" t="inlineStr">
        <is>
          <t>Lc12-LED侧弯灯带</t>
        </is>
      </c>
      <c r="C1457" s="27" t="inlineStr">
        <is>
          <t>1.名称:Lc12-LED侧弯灯带
2.规格：功率：14W/M、流明量：1260lm/M；90lm/W、色温：3500K、光速角：120°
3.含外置电源驱动
4.其他:包含完成该项内容所有工作及费用并满足设计图纸、规范等要求</t>
        </is>
      </c>
      <c r="D1457" s="27" t="inlineStr">
        <is>
          <t>自现有现场条件下按照合同约定范围、图纸（含设计变更）及甲方要求内容以及规范、标准、相关做法等要求完成并达到总包合同全部目标的全部工作内容。</t>
        </is>
      </c>
      <c r="E1457" s="27" t="inlineStr">
        <is>
          <t>结合施工图纸及施工方案，根据GB/T50856-2024通用安装工程工程量计算规范，以最终验收合格的工程量计算。</t>
        </is>
      </c>
      <c r="F1457" s="28" t="inlineStr">
        <is>
          <t>m</t>
        </is>
      </c>
      <c r="G1457" s="61" t="n">
        <v>184.32</v>
      </c>
      <c r="H1457" s="62" t="n">
        <v>12.98</v>
      </c>
      <c r="I1457" s="65" t="n"/>
      <c r="J1457" s="62">
        <f>H1457*(1-$I$4)</f>
        <v/>
      </c>
      <c r="K1457" s="63">
        <f>G1457*J1457</f>
        <v/>
      </c>
      <c r="L1457" s="33" t="inlineStr">
        <is>
          <t>灯具</t>
        </is>
      </c>
      <c r="M1457" s="64" t="n"/>
      <c r="O1457" t="n">
        <v>8</v>
      </c>
      <c r="P1457" s="35" t="inlineStr">
        <is>
          <t>差:-4.98元 (-38.4%) 来源:会所合并</t>
        </is>
      </c>
      <c r="Q1457" s="46" t="n"/>
      <c r="R1457" s="46" t="n"/>
    </row>
    <row r="1458" outlineLevel="1" customFormat="1" s="7">
      <c r="A1458" s="47" t="n"/>
      <c r="B1458" s="27" t="inlineStr">
        <is>
          <t>（4）电梯轿厢</t>
        </is>
      </c>
      <c r="C1458" s="27" t="n"/>
      <c r="D1458" s="27" t="n"/>
      <c r="E1458" s="27" t="n"/>
      <c r="F1458" s="28" t="n"/>
      <c r="G1458" s="61" t="n"/>
      <c r="H1458" s="62" t="n"/>
      <c r="I1458" s="65" t="n"/>
      <c r="J1458" s="62" t="n"/>
      <c r="K1458" s="63" t="n"/>
      <c r="L1458" s="33" t="n"/>
      <c r="M1458" s="64" t="n"/>
      <c r="P1458" s="35" t="n"/>
    </row>
    <row r="1459" outlineLevel="2" ht="72" customFormat="1" customHeight="1" s="6">
      <c r="A1459" s="45">
        <f>A1458+1</f>
        <v/>
      </c>
      <c r="B1459" s="27" t="inlineStr">
        <is>
          <t>Mr15m 下照迷你格栅灯</t>
        </is>
      </c>
      <c r="C1459" s="27" t="inlineStr">
        <is>
          <t>1.名称:Mr15m 下照迷你格栅灯
2.规格：功率：10*2W、流明量：1360lm；68lm/W、色温：3500K、光速角：24°
3.其他:包含完成该项内容所有工作及费用并满足设计图纸、规范等要求</t>
        </is>
      </c>
      <c r="D1459" s="27" t="inlineStr">
        <is>
          <t>自现有现场条件下按照合同约定范围、图纸（含设计变更）及甲方要求内容以及规范、标准、相关做法等要求完成并达到总包合同全部目标的全部工作内容。</t>
        </is>
      </c>
      <c r="E1459" s="27" t="inlineStr">
        <is>
          <t>结合施工图纸及施工方案，根据GB/T50856-2024通用安装工程工程量计算规范，以最终验收合格的工程量计算。</t>
        </is>
      </c>
      <c r="F1459" s="28" t="inlineStr">
        <is>
          <t>套</t>
        </is>
      </c>
      <c r="G1459" s="61">
        <f>8*2</f>
        <v/>
      </c>
      <c r="H1459" s="62" t="n">
        <v>16.52</v>
      </c>
      <c r="I1459" s="65" t="n"/>
      <c r="J1459" s="62">
        <f>H1459*(1-$I$4)</f>
        <v/>
      </c>
      <c r="K1459" s="63">
        <f>G1459*J1459</f>
        <v/>
      </c>
      <c r="L1459" s="33" t="inlineStr">
        <is>
          <t>灯具</t>
        </is>
      </c>
      <c r="M1459" s="64" t="n"/>
      <c r="O1459" t="n">
        <v>35</v>
      </c>
      <c r="P1459" s="35" t="inlineStr">
        <is>
          <t>差:+18.48元 (+111.9%) 来源:会所合并</t>
        </is>
      </c>
      <c r="Q1459" s="46" t="n"/>
      <c r="R1459" s="46" t="n"/>
    </row>
    <row r="1460" outlineLevel="2" ht="84" customFormat="1" customHeight="1" s="6">
      <c r="A1460" s="45">
        <f>A1459+1</f>
        <v/>
      </c>
      <c r="B1460" s="27" t="inlineStr">
        <is>
          <t>Ls12-LED硬灯条</t>
        </is>
      </c>
      <c r="C1460" s="27" t="inlineStr">
        <is>
          <t>1.名称:Ls12-LED硬灯条
2.规格：功率：14W/M、流明量：1260lm/M；90lm/W、色温：3500K、光速角：120°
3.含外置电源驱动
4.其他:包含完成该项内容所有工作及费用并满足设计图纸、规范等要求</t>
        </is>
      </c>
      <c r="D1460" s="27" t="inlineStr">
        <is>
          <t>自现有现场条件下按照合同约定范围、图纸（含设计变更）及甲方要求内容以及规范、标准、相关做法等要求完成并达到总包合同全部目标的全部工作内容。</t>
        </is>
      </c>
      <c r="E1460" s="27" t="inlineStr">
        <is>
          <t>结合施工图纸及施工方案，根据GB/T50856-2024通用安装工程工程量计算规范，以最终验收合格的工程量计算。</t>
        </is>
      </c>
      <c r="F1460" s="28" t="inlineStr">
        <is>
          <t>m</t>
        </is>
      </c>
      <c r="G1460" s="61">
        <f>8*6.98</f>
        <v/>
      </c>
      <c r="H1460" s="62" t="n">
        <v>12.98</v>
      </c>
      <c r="I1460" s="65" t="n"/>
      <c r="J1460" s="62">
        <f>H1460*(1-$I$4)</f>
        <v/>
      </c>
      <c r="K1460" s="63">
        <f>G1460*J1460</f>
        <v/>
      </c>
      <c r="L1460" s="33" t="inlineStr">
        <is>
          <t>灯具</t>
        </is>
      </c>
      <c r="M1460" s="64" t="n"/>
      <c r="O1460" t="n">
        <v>8</v>
      </c>
      <c r="P1460" s="35" t="inlineStr">
        <is>
          <t>差:-4.98元 (-38.4%) 来源:会所合并</t>
        </is>
      </c>
      <c r="Q1460" s="46" t="n"/>
      <c r="R1460" s="46" t="n"/>
    </row>
    <row r="1461" outlineLevel="2" ht="84" customFormat="1" customHeight="1" s="6">
      <c r="A1461" s="45">
        <f>A1460+1</f>
        <v/>
      </c>
      <c r="B1461" s="27" t="inlineStr">
        <is>
          <t>Lc12-LED侧弯灯带</t>
        </is>
      </c>
      <c r="C1461" s="27" t="inlineStr">
        <is>
          <t>1.名称:Lc12-LED侧弯灯带
2.规格：功率：14W/M、流明量：1260lm/M；90lm/W、色温：3500K、光速角：120°
3.含外置电源驱动
4.其他:包含完成该项内容所有工作及费用并满足设计图纸、规范等要求</t>
        </is>
      </c>
      <c r="D1461" s="27" t="inlineStr">
        <is>
          <t>自现有现场条件下按照合同约定范围、图纸（含设计变更）及甲方要求内容以及规范、标准、相关做法等要求完成并达到总包合同全部目标的全部工作内容。</t>
        </is>
      </c>
      <c r="E1461" s="27" t="inlineStr">
        <is>
          <t>结合施工图纸及施工方案，根据GB/T50856-2024通用安装工程工程量计算规范，以最终验收合格的工程量计算。</t>
        </is>
      </c>
      <c r="F1461" s="28" t="inlineStr">
        <is>
          <t>m</t>
        </is>
      </c>
      <c r="G1461" s="61">
        <f>8*4.78</f>
        <v/>
      </c>
      <c r="H1461" s="62" t="n">
        <v>12.98</v>
      </c>
      <c r="I1461" s="65" t="n"/>
      <c r="J1461" s="62">
        <f>H1461*(1-$I$4)</f>
        <v/>
      </c>
      <c r="K1461" s="63">
        <f>G1461*J1461</f>
        <v/>
      </c>
      <c r="L1461" s="33" t="inlineStr">
        <is>
          <t>灯具</t>
        </is>
      </c>
      <c r="M1461" s="64" t="n"/>
      <c r="O1461" t="n">
        <v>8</v>
      </c>
      <c r="P1461" s="35" t="inlineStr">
        <is>
          <t>差:-4.98元 (-38.4%) 来源:会所合并</t>
        </is>
      </c>
      <c r="Q1461" s="46" t="n"/>
      <c r="R1461" s="46" t="n"/>
    </row>
    <row r="1462" customFormat="1" s="6">
      <c r="A1462" s="48" t="n"/>
      <c r="B1462" s="20" t="inlineStr">
        <is>
          <t>给排水工程</t>
        </is>
      </c>
      <c r="C1462" s="27" t="n"/>
      <c r="D1462" s="27" t="n"/>
      <c r="E1462" s="27" t="n"/>
      <c r="F1462" s="28" t="n"/>
      <c r="G1462" s="61" t="n"/>
      <c r="H1462" s="62" t="n"/>
      <c r="I1462" s="65" t="n"/>
      <c r="J1462" s="62" t="n"/>
      <c r="K1462" s="63" t="n"/>
      <c r="L1462" s="33" t="n"/>
      <c r="M1462" s="64" t="n"/>
      <c r="P1462" s="35" t="n"/>
      <c r="Q1462" s="46" t="n"/>
      <c r="R1462" s="46" t="n"/>
    </row>
    <row r="1463" outlineLevel="2" ht="72" customFormat="1" customHeight="1" s="6">
      <c r="A1463" s="45" t="n">
        <v>1</v>
      </c>
      <c r="B1463" s="27" t="inlineStr">
        <is>
          <t>厨用单盆水槽</t>
        </is>
      </c>
      <c r="C1463" s="27" t="inlineStr">
        <is>
          <t>1.名称：厨用单盆水槽
2.水槽安装
3.包含完成该项内容所有工作及费用并满足设计图纸、规范等要求</t>
        </is>
      </c>
      <c r="D1463" s="27" t="inlineStr">
        <is>
          <t>自现有现场条件下按照合同约定范围、图纸（含设计变更）及甲方要求内容以及规范、标准、相关做法等要求完成并达到总包合同全部目标的全部工作内容。</t>
        </is>
      </c>
      <c r="E1463" s="27" t="inlineStr">
        <is>
          <t>结合施工图纸及施工方案，根据GB/T50856-2024通用安装工程工程量计算规范，以最终验收合格的工程量计算。</t>
        </is>
      </c>
      <c r="F1463" s="28" t="inlineStr">
        <is>
          <t>个</t>
        </is>
      </c>
      <c r="G1463" s="61" t="n">
        <v>3</v>
      </c>
      <c r="H1463" s="62" t="n">
        <v>106.2</v>
      </c>
      <c r="I1463" s="65" t="n"/>
      <c r="J1463" s="62">
        <f>H1463*(1-$I$4)</f>
        <v/>
      </c>
      <c r="K1463" s="63">
        <f>G1463*J1463</f>
        <v/>
      </c>
      <c r="L1463" s="33" t="inlineStr">
        <is>
          <t>洁具</t>
        </is>
      </c>
      <c r="M1463" s="64" t="n"/>
      <c r="O1463" t="n">
        <v>55</v>
      </c>
      <c r="P1463" s="35" t="inlineStr">
        <is>
          <t>差:-51.20元 (-48.2%) 来源:会所合并</t>
        </is>
      </c>
      <c r="Q1463" s="46" t="n"/>
      <c r="R1463" s="46" t="n"/>
    </row>
    <row r="1464" outlineLevel="2" ht="72" customFormat="1" customHeight="1" s="6">
      <c r="A1464" s="45">
        <f>A1463+1</f>
        <v/>
      </c>
      <c r="B1464" s="27" t="inlineStr">
        <is>
          <t>厨用龙头</t>
        </is>
      </c>
      <c r="C1464" s="27" t="inlineStr">
        <is>
          <t>1.名称：厨用龙头
2.龙头安装，包括角阀、不锈钢软管、下水管等所需材料
3.包含完成该项内容所有工作及费用并满足设计图纸、规范等要求</t>
        </is>
      </c>
      <c r="D1464" s="27" t="inlineStr">
        <is>
          <t>自现有现场条件下按照合同约定范围、图纸（含设计变更）及甲方要求内容以及规范、标准、相关做法等要求完成并达到总包合同全部目标的全部工作内容。</t>
        </is>
      </c>
      <c r="E1464" s="27" t="inlineStr">
        <is>
          <t>结合施工图纸及施工方案，根据GB/T50856-2024通用安装工程工程量计算规范，以最终验收合格的工程量计算。</t>
        </is>
      </c>
      <c r="F1464" s="28" t="inlineStr">
        <is>
          <t>个</t>
        </is>
      </c>
      <c r="G1464" s="61" t="n">
        <v>3</v>
      </c>
      <c r="H1464" s="62" t="n">
        <v>118</v>
      </c>
      <c r="I1464" s="65" t="n"/>
      <c r="J1464" s="62">
        <f>H1464*(1-$I$4)</f>
        <v/>
      </c>
      <c r="K1464" s="63">
        <f>G1464*J1464</f>
        <v/>
      </c>
      <c r="L1464" s="33" t="inlineStr">
        <is>
          <t>洁具</t>
        </is>
      </c>
      <c r="M1464" s="64" t="n"/>
      <c r="O1464" t="n">
        <v>45</v>
      </c>
      <c r="P1464" s="35" t="inlineStr">
        <is>
          <t>差:-73.00元 (-61.9%) 来源:会所合并</t>
        </is>
      </c>
      <c r="Q1464" s="46" t="n"/>
      <c r="R1464" s="46" t="n"/>
    </row>
    <row r="1465" outlineLevel="2" ht="72" customFormat="1" customHeight="1" s="6">
      <c r="A1465" s="45">
        <f>A1464+1</f>
        <v/>
      </c>
      <c r="B1465" s="27" t="inlineStr">
        <is>
          <t>台下盆</t>
        </is>
      </c>
      <c r="C1465" s="27" t="inlineStr">
        <is>
          <t>1.名称：台下盆
2.台盆安装
3.包含完成该项内容所有工作及费用并满足设计图纸、规范等要求</t>
        </is>
      </c>
      <c r="D1465" s="27" t="inlineStr">
        <is>
          <t>自现有现场条件下按照合同约定范围、图纸（含设计变更）及甲方要求内容以及规范、标准、相关做法等要求完成并达到总包合同全部目标的全部工作内容。</t>
        </is>
      </c>
      <c r="E1465" s="27" t="inlineStr">
        <is>
          <t>结合施工图纸及施工方案，根据GB/T50856-2024通用安装工程工程量计算规范，以最终验收合格的工程量计算。</t>
        </is>
      </c>
      <c r="F1465" s="28" t="inlineStr">
        <is>
          <t>个</t>
        </is>
      </c>
      <c r="G1465" s="61" t="n">
        <v>2</v>
      </c>
      <c r="H1465" s="62" t="n">
        <v>106.2</v>
      </c>
      <c r="I1465" s="65" t="n"/>
      <c r="J1465" s="62">
        <f>H1465*(1-$I$4)</f>
        <v/>
      </c>
      <c r="K1465" s="63">
        <f>G1465*J1465</f>
        <v/>
      </c>
      <c r="L1465" s="33" t="inlineStr">
        <is>
          <t>洁具</t>
        </is>
      </c>
      <c r="M1465" s="64" t="n"/>
      <c r="N1465" s="6" t="n">
        <v>1</v>
      </c>
      <c r="O1465" t="n">
        <v>55</v>
      </c>
      <c r="P1465" s="35" t="inlineStr">
        <is>
          <t>差:-51.20元 (-48.2%) 来源:会所合并</t>
        </is>
      </c>
      <c r="Q1465" s="46" t="n"/>
      <c r="R1465" s="46" t="n"/>
    </row>
    <row r="1466" outlineLevel="2" ht="72" customFormat="1" customHeight="1" s="6">
      <c r="A1466" s="45">
        <f>A1465+1</f>
        <v/>
      </c>
      <c r="B1466" s="27" t="inlineStr">
        <is>
          <t>台盆龙头</t>
        </is>
      </c>
      <c r="C1466" s="27" t="inlineStr">
        <is>
          <t>1.名称：台盆龙头
2.台盆龙头安装，包括角阀、不锈钢软管、下水管等所需材料
3.包含完成该项内容所有工作及费用并满足设计图纸、规范等要求</t>
        </is>
      </c>
      <c r="D1466" s="27" t="inlineStr">
        <is>
          <t>自现有现场条件下按照合同约定范围、图纸（含设计变更）及甲方要求内容以及规范、标准、相关做法等要求完成并达到总包合同全部目标的全部工作内容。</t>
        </is>
      </c>
      <c r="E1466" s="27" t="inlineStr">
        <is>
          <t>结合施工图纸及施工方案，根据GB/T50856-2024通用安装工程工程量计算规范，以最终验收合格的工程量计算。</t>
        </is>
      </c>
      <c r="F1466" s="28" t="inlineStr">
        <is>
          <t>个</t>
        </is>
      </c>
      <c r="G1466" s="61" t="n">
        <v>6</v>
      </c>
      <c r="H1466" s="62" t="n">
        <v>118</v>
      </c>
      <c r="I1466" s="65" t="n"/>
      <c r="J1466" s="62">
        <f>H1466*(1-$I$4)</f>
        <v/>
      </c>
      <c r="K1466" s="63">
        <f>G1466*J1466</f>
        <v/>
      </c>
      <c r="L1466" s="33" t="inlineStr">
        <is>
          <t>洁具</t>
        </is>
      </c>
      <c r="M1466" s="64" t="n"/>
      <c r="O1466" t="n">
        <v>45</v>
      </c>
      <c r="P1466" s="35" t="inlineStr">
        <is>
          <t>差:-73.00元 (-61.9%) 来源:会所合并</t>
        </is>
      </c>
      <c r="Q1466" s="46" t="n"/>
      <c r="R1466" s="46" t="n"/>
    </row>
    <row r="1467" outlineLevel="2" ht="72" customFormat="1" customHeight="1" s="6">
      <c r="A1467" s="45">
        <f>A1466+1</f>
        <v/>
      </c>
      <c r="B1467" s="27" t="inlineStr">
        <is>
          <t>智能马桶</t>
        </is>
      </c>
      <c r="C1467" s="27" t="inlineStr">
        <is>
          <t>1.名称：智能马桶
2.智能马桶安装，包括角阀、不锈钢软管、马桶橡胶圈等所需材料
3.包含完成该项内容所有工作及费用并满足设计图纸、规范等要求</t>
        </is>
      </c>
      <c r="D1467" s="27" t="inlineStr">
        <is>
          <t>自现有现场条件下按照合同约定范围、图纸（含设计变更）及甲方要求内容以及规范、标准、相关做法等要求完成并达到总包合同全部目标的全部工作内容。</t>
        </is>
      </c>
      <c r="E1467" s="27" t="inlineStr">
        <is>
          <t>结合施工图纸及施工方案，根据GB/T50856-2024通用安装工程工程量计算规范，以最终验收合格的工程量计算。</t>
        </is>
      </c>
      <c r="F1467" s="28" t="inlineStr">
        <is>
          <t>个</t>
        </is>
      </c>
      <c r="G1467" s="61" t="n">
        <v>7</v>
      </c>
      <c r="H1467" s="62" t="n">
        <v>129.8</v>
      </c>
      <c r="I1467" s="65" t="n"/>
      <c r="J1467" s="62">
        <f>H1467*(1-$I$4)</f>
        <v/>
      </c>
      <c r="K1467" s="63">
        <f>G1467*J1467</f>
        <v/>
      </c>
      <c r="L1467" s="33" t="inlineStr">
        <is>
          <t>洁具</t>
        </is>
      </c>
      <c r="M1467" s="64" t="n"/>
      <c r="O1467" t="n">
        <v>100</v>
      </c>
      <c r="P1467" s="35" t="inlineStr">
        <is>
          <t>差:-29.80元 (-23.0%) 来源:会所合并</t>
        </is>
      </c>
      <c r="Q1467" s="46" t="n"/>
      <c r="R1467" s="46" t="n"/>
    </row>
    <row r="1468" outlineLevel="2" ht="72" customFormat="1" customHeight="1" s="6">
      <c r="A1468" s="45">
        <f>A1467+1</f>
        <v/>
      </c>
      <c r="B1468" s="27" t="inlineStr">
        <is>
          <t>连体蹲便器</t>
        </is>
      </c>
      <c r="C1468" s="27" t="inlineStr">
        <is>
          <t>1.名称：连体蹲便器
2.蹲便器、水箱安装，包括角阀、不锈钢软管、等所需材料
3.包含完成该项内容所有工作及费用并满足设计图纸、规范等要求</t>
        </is>
      </c>
      <c r="D1468" s="27" t="inlineStr">
        <is>
          <t>自现有现场条件下按照合同约定范围、图纸（含设计变更）及甲方要求内容以及规范、标准、相关做法等要求完成并达到总包合同全部目标的全部工作内容。</t>
        </is>
      </c>
      <c r="E1468" s="27" t="inlineStr">
        <is>
          <t>结合施工图纸及施工方案，根据GB/T50856-2024通用安装工程工程量计算规范，以最终验收合格的工程量计算。</t>
        </is>
      </c>
      <c r="F1468" s="28" t="inlineStr">
        <is>
          <t>个</t>
        </is>
      </c>
      <c r="G1468" s="61" t="n">
        <v>1</v>
      </c>
      <c r="H1468" s="62" t="n">
        <v>129.8</v>
      </c>
      <c r="I1468" s="65" t="n"/>
      <c r="J1468" s="62">
        <f>H1468*(1-$I$4)</f>
        <v/>
      </c>
      <c r="K1468" s="63">
        <f>G1468*J1468</f>
        <v/>
      </c>
      <c r="L1468" s="33" t="inlineStr">
        <is>
          <t>洁具</t>
        </is>
      </c>
      <c r="M1468" s="64" t="n"/>
      <c r="O1468" t="n">
        <v>85</v>
      </c>
      <c r="P1468" s="35" t="inlineStr">
        <is>
          <t>差:-44.80元 (-34.5%) 来源:会所合并</t>
        </is>
      </c>
      <c r="Q1468" s="46" t="n"/>
      <c r="R1468" s="46" t="n"/>
    </row>
    <row r="1469" outlineLevel="2" ht="72" customFormat="1" customHeight="1" s="6">
      <c r="A1469" s="45">
        <f>A1468+1</f>
        <v/>
      </c>
      <c r="B1469" s="27" t="inlineStr">
        <is>
          <t>感应一体挂式小便器</t>
        </is>
      </c>
      <c r="C1469" s="27" t="inlineStr">
        <is>
          <t>1.名称：感应一体挂式小便器
2.小便器、感应开关安装及其他一切等所需材料
3.包含完成该项内容所有工作及费用并满足设计图纸、规范等要求</t>
        </is>
      </c>
      <c r="D1469" s="27" t="inlineStr">
        <is>
          <t>自现有现场条件下按照合同约定范围、图纸（含设计变更）及甲方要求内容以及规范、标准、相关做法等要求完成并达到总包合同全部目标的全部工作内容。</t>
        </is>
      </c>
      <c r="E1469" s="27" t="inlineStr">
        <is>
          <t>结合施工图纸及施工方案，根据GB/T50856-2024通用安装工程工程量计算规范，以最终验收合格的工程量计算。</t>
        </is>
      </c>
      <c r="F1469" s="28" t="inlineStr">
        <is>
          <t>个</t>
        </is>
      </c>
      <c r="G1469" s="61" t="n">
        <v>4</v>
      </c>
      <c r="H1469" s="62" t="n">
        <v>118</v>
      </c>
      <c r="I1469" s="65" t="n"/>
      <c r="J1469" s="62">
        <f>H1469*(1-$I$4)</f>
        <v/>
      </c>
      <c r="K1469" s="63">
        <f>G1469*J1469</f>
        <v/>
      </c>
      <c r="L1469" s="33" t="inlineStr">
        <is>
          <t>洁具</t>
        </is>
      </c>
      <c r="M1469" s="64" t="n"/>
      <c r="O1469" t="n">
        <v>100</v>
      </c>
      <c r="P1469" s="35" t="inlineStr">
        <is>
          <t>差:-18.00元 (-15.3%) 来源:会所合并</t>
        </is>
      </c>
      <c r="Q1469" s="46" t="n"/>
      <c r="R1469" s="46" t="n"/>
    </row>
    <row r="1470" outlineLevel="2" ht="72" customFormat="1" customHeight="1" s="6">
      <c r="A1470" s="45">
        <f>A1469+1</f>
        <v/>
      </c>
      <c r="B1470" s="27" t="inlineStr">
        <is>
          <t>拖把池</t>
        </is>
      </c>
      <c r="C1470" s="27" t="inlineStr">
        <is>
          <t>1.名称：拖把池
2.拖把池安装
3.包含完成该项内容所有工作及费用并满足设计图纸、规范等要求</t>
        </is>
      </c>
      <c r="D1470" s="27" t="inlineStr">
        <is>
          <t>自现有现场条件下按照合同约定范围、图纸（含设计变更）及甲方要求内容以及规范、标准、相关做法等要求完成并达到总包合同全部目标的全部工作内容。</t>
        </is>
      </c>
      <c r="E1470" s="27" t="inlineStr">
        <is>
          <t>结合施工图纸及施工方案，根据GB/T50856-2024通用安装工程工程量计算规范，以最终验收合格的工程量计算。</t>
        </is>
      </c>
      <c r="F1470" s="28" t="inlineStr">
        <is>
          <t>个</t>
        </is>
      </c>
      <c r="G1470" s="61" t="n">
        <v>1</v>
      </c>
      <c r="H1470" s="62" t="n">
        <v>59</v>
      </c>
      <c r="I1470" s="65" t="n"/>
      <c r="J1470" s="62">
        <f>H1470*(1-$I$4)</f>
        <v/>
      </c>
      <c r="K1470" s="63">
        <f>G1470*J1470</f>
        <v/>
      </c>
      <c r="L1470" s="33" t="inlineStr">
        <is>
          <t>洁具</t>
        </is>
      </c>
      <c r="M1470" s="64" t="n"/>
      <c r="O1470" t="n">
        <v>85</v>
      </c>
      <c r="P1470" s="35" t="inlineStr">
        <is>
          <t>差:+26.00元 (+44.1%) 来源:会所合并</t>
        </is>
      </c>
      <c r="Q1470" s="46" t="n"/>
      <c r="R1470" s="46" t="n"/>
    </row>
    <row r="1471" outlineLevel="2" ht="72" customFormat="1" customHeight="1" s="6">
      <c r="A1471" s="45">
        <f>A1470+1</f>
        <v/>
      </c>
      <c r="B1471" s="27" t="inlineStr">
        <is>
          <t>用水咀龙头</t>
        </is>
      </c>
      <c r="C1471" s="27" t="inlineStr">
        <is>
          <t>1.名称：用水咀龙头
2.拖把池安装
3.包含完成该项内容所有工作及费用并满足设计图纸、规范等要求</t>
        </is>
      </c>
      <c r="D1471" s="27" t="inlineStr">
        <is>
          <t>自现有现场条件下按照合同约定范围、图纸（含设计变更）及甲方要求内容以及规范、标准、相关做法等要求完成并达到总包合同全部目标的全部工作内容。</t>
        </is>
      </c>
      <c r="E1471" s="27" t="inlineStr">
        <is>
          <t>结合施工图纸及施工方案，根据GB/T50856-2024通用安装工程工程量计算规范，以最终验收合格的工程量计算。</t>
        </is>
      </c>
      <c r="F1471" s="28" t="inlineStr">
        <is>
          <t>个</t>
        </is>
      </c>
      <c r="G1471" s="61" t="n">
        <v>2</v>
      </c>
      <c r="H1471" s="62" t="n">
        <v>31.86</v>
      </c>
      <c r="I1471" s="65" t="n"/>
      <c r="J1471" s="62">
        <f>H1471*(1-$I$4)</f>
        <v/>
      </c>
      <c r="K1471" s="63">
        <f>G1471*J1471</f>
        <v/>
      </c>
      <c r="L1471" s="33" t="inlineStr">
        <is>
          <t>洁具</t>
        </is>
      </c>
      <c r="M1471" s="64" t="n"/>
      <c r="O1471" t="n">
        <v>20</v>
      </c>
      <c r="P1471" s="35" t="inlineStr">
        <is>
          <t>差:-11.86元 (-37.2%) 来源:会所合并</t>
        </is>
      </c>
      <c r="Q1471" s="46" t="n"/>
      <c r="R1471" s="46" t="n"/>
    </row>
    <row r="1472" outlineLevel="2" ht="72" customFormat="1" customHeight="1" s="6">
      <c r="A1472" s="45">
        <f>A1471+1</f>
        <v/>
      </c>
      <c r="B1472" s="27" t="inlineStr">
        <is>
          <t>淋浴器</t>
        </is>
      </c>
      <c r="C1472" s="27" t="inlineStr">
        <is>
          <t>1.名称：淋浴器
2.淋浴器安装
3.包含完成该项内容所有工作及费用并满足设计图纸、规范等要求</t>
        </is>
      </c>
      <c r="D1472" s="27" t="inlineStr">
        <is>
          <t>自现有现场条件下按照合同约定范围、图纸（含设计变更）及甲方要求内容以及规范、标准、相关做法等要求完成并达到总包合同全部目标的全部工作内容。</t>
        </is>
      </c>
      <c r="E1472" s="27" t="inlineStr">
        <is>
          <t>结合施工图纸及施工方案，根据GB/T50856-2024通用安装工程工程量计算规范，以最终验收合格的工程量计算。</t>
        </is>
      </c>
      <c r="F1472" s="28" t="inlineStr">
        <is>
          <t>套</t>
        </is>
      </c>
      <c r="G1472" s="61" t="n">
        <v>4</v>
      </c>
      <c r="H1472" s="62" t="n">
        <v>129.8</v>
      </c>
      <c r="I1472" s="65" t="n"/>
      <c r="J1472" s="62">
        <f>H1472*(1-$I$4)</f>
        <v/>
      </c>
      <c r="K1472" s="63">
        <f>G1472*J1472</f>
        <v/>
      </c>
      <c r="L1472" s="33" t="inlineStr">
        <is>
          <t>洁具</t>
        </is>
      </c>
      <c r="M1472" s="64" t="n"/>
      <c r="O1472" t="n">
        <v>85</v>
      </c>
      <c r="P1472" s="35" t="inlineStr">
        <is>
          <t>差:-44.80元 (-34.5%) 来源:会所合并</t>
        </is>
      </c>
      <c r="Q1472" s="46" t="n"/>
      <c r="R1472" s="46" t="n"/>
    </row>
    <row r="1473" outlineLevel="2" ht="72" customFormat="1" customHeight="1" s="6">
      <c r="A1473" s="45">
        <f>A1472+1</f>
        <v/>
      </c>
      <c r="B1473" s="27" t="inlineStr">
        <is>
          <t>地漏</t>
        </is>
      </c>
      <c r="C1473" s="27" t="inlineStr">
        <is>
          <t>1.名称：地漏
2.地漏安装
3.包含完成该项内容所有工作及费用并满足设计图纸、规范等要求</t>
        </is>
      </c>
      <c r="D1473" s="27" t="inlineStr">
        <is>
          <t>自现有现场条件下按照合同约定范围、图纸（含设计变更）及甲方要求内容以及规范、标准、相关做法等要求完成并达到总包合同全部目标的全部工作内容。</t>
        </is>
      </c>
      <c r="E1473" s="27" t="inlineStr">
        <is>
          <t>结合施工图纸及施工方案，根据GB/T50856-2024通用安装工程工程量计算规范，以最终验收合格的工程量计算。</t>
        </is>
      </c>
      <c r="F1473" s="28" t="inlineStr">
        <is>
          <t>个</t>
        </is>
      </c>
      <c r="G1473" s="61" t="n">
        <v>14</v>
      </c>
      <c r="H1473" s="62" t="n">
        <v>15.34</v>
      </c>
      <c r="I1473" s="65" t="n"/>
      <c r="J1473" s="62">
        <f>H1473*(1-$I$4)</f>
        <v/>
      </c>
      <c r="K1473" s="63">
        <f>G1473*J1473</f>
        <v/>
      </c>
      <c r="L1473" s="33" t="inlineStr">
        <is>
          <t>洁具</t>
        </is>
      </c>
      <c r="M1473" s="64" t="n"/>
      <c r="O1473" t="n">
        <v>25</v>
      </c>
      <c r="P1473" s="35" t="inlineStr">
        <is>
          <t>差:+9.66元 (+63.0%) 来源:会所合并</t>
        </is>
      </c>
      <c r="Q1473" s="46" t="n"/>
      <c r="R1473" s="46" t="n"/>
    </row>
    <row r="1474" outlineLevel="2" ht="72" customFormat="1" customHeight="1" s="6">
      <c r="A1474" s="45">
        <f>A1472+1</f>
        <v/>
      </c>
      <c r="B1474" s="27" t="inlineStr">
        <is>
          <t>三层会所卫生间台下盆</t>
        </is>
      </c>
      <c r="C1474" s="27" t="inlineStr">
        <is>
          <t>1.名称：三层会所卫生间台下盆
2.台盆安装
3.包含完成该项内容所有工作及费用并满足设计图纸、规范等要求</t>
        </is>
      </c>
      <c r="D1474" s="27" t="inlineStr">
        <is>
          <t>自现有现场条件下按照合同约定范围、图纸（含设计变更）及甲方要求内容以及规范、标准、相关做法等要求完成并达到总包合同全部目标的全部工作内容。</t>
        </is>
      </c>
      <c r="E1474" s="27" t="inlineStr">
        <is>
          <t>结合施工图纸及施工方案，根据GB/T50856-2024通用安装工程工程量计算规范，以最终验收合格的工程量计算。</t>
        </is>
      </c>
      <c r="F1474" s="28" t="inlineStr">
        <is>
          <t>个</t>
        </is>
      </c>
      <c r="G1474" s="61" t="n">
        <v>4</v>
      </c>
      <c r="H1474" s="62" t="n">
        <v>106.2</v>
      </c>
      <c r="I1474" s="65" t="n"/>
      <c r="J1474" s="62">
        <f>H1474*(1-$I$4)</f>
        <v/>
      </c>
      <c r="K1474" s="63">
        <f>G1474*J1474</f>
        <v/>
      </c>
      <c r="L1474" s="33" t="inlineStr">
        <is>
          <t>洁具</t>
        </is>
      </c>
      <c r="M1474" s="64" t="n"/>
      <c r="O1474" t="n">
        <v>55</v>
      </c>
      <c r="P1474" s="35" t="inlineStr">
        <is>
          <t>差:-51.20元 (-48.2%) 来源:会所合并</t>
        </is>
      </c>
      <c r="Q1474" s="46" t="n"/>
      <c r="R1474" s="46" t="n"/>
    </row>
    <row r="1475" outlineLevel="2" ht="72" customFormat="1" customHeight="1" s="6">
      <c r="A1475" s="45">
        <f>A1474+1</f>
        <v/>
      </c>
      <c r="B1475" s="27" t="inlineStr">
        <is>
          <t>冷水管PPR-DN15</t>
        </is>
      </c>
      <c r="C1475" s="27" t="inlineStr">
        <is>
          <t>1.安装部位：室内
2.规格：DN15
3.材质：冷水用PPR(S4系列）
4.连接形式：热熔连接
5.压力试验及吹、洗设计要求：管道冲洗、消毒</t>
        </is>
      </c>
      <c r="D1475" s="27" t="inlineStr">
        <is>
          <t>打堵洞孔、切管、调制、对口、熔化接口材料、粘接、管道、管件及管卡安装、灌水试验、通球试验。套管内封堵，色环及标识制作安装。</t>
        </is>
      </c>
      <c r="E1475" s="27" t="inlineStr">
        <is>
          <t>按设计图示以管道中心线长度计算，不扣除阀门、管件、附件（包括器具组成）及井类所占长度</t>
        </is>
      </c>
      <c r="F1475" s="28" t="inlineStr">
        <is>
          <t>m</t>
        </is>
      </c>
      <c r="G1475" s="61" t="n">
        <v>172.17</v>
      </c>
      <c r="H1475" s="62" t="n">
        <v>20.06</v>
      </c>
      <c r="I1475" s="65" t="n"/>
      <c r="J1475" s="62">
        <f>H1475*(1-$I$4)</f>
        <v/>
      </c>
      <c r="K1475" s="63">
        <f>G1475*J1475</f>
        <v/>
      </c>
      <c r="L1475" s="33" t="inlineStr">
        <is>
          <t>塑料管</t>
        </is>
      </c>
      <c r="M1475" s="64" t="n"/>
      <c r="O1475" t="n">
        <v>20</v>
      </c>
      <c r="P1475" s="35" t="inlineStr">
        <is>
          <t>差:-0.06元 (-0.3%) 来源:会所合并</t>
        </is>
      </c>
      <c r="Q1475" s="46" t="n"/>
      <c r="R1475" s="46" t="n"/>
    </row>
    <row r="1476" outlineLevel="2" ht="72" customFormat="1" customHeight="1" s="6">
      <c r="A1476" s="45">
        <f>A1475+1</f>
        <v/>
      </c>
      <c r="B1476" s="27" t="inlineStr">
        <is>
          <t>冷水管PPR-DN20</t>
        </is>
      </c>
      <c r="C1476" s="27" t="inlineStr">
        <is>
          <t>1.安装部位：室内
2.规格：DN20
3.材质：冷水用PPR(S4系列）
4.连接形式：热熔连接
5.压力试验及吹、洗设计要求：管道冲洗、消毒</t>
        </is>
      </c>
      <c r="D1476" s="27" t="inlineStr">
        <is>
          <t>打堵洞孔、切管、调制、对口、熔化接口材料、粘接、管道、管件及管卡安装、灌水试验、通球试验。套管内封堵，色环及标识制作安装。</t>
        </is>
      </c>
      <c r="E1476" s="27" t="inlineStr">
        <is>
          <t>按设计图示以管道中心线长度计算，不扣除阀门、管件、附件（包括器具组成）及井类所占长度</t>
        </is>
      </c>
      <c r="F1476" s="28" t="inlineStr">
        <is>
          <t>m</t>
        </is>
      </c>
      <c r="G1476" s="61" t="n">
        <v>9.869999999999999</v>
      </c>
      <c r="H1476" s="62" t="n">
        <v>20.06</v>
      </c>
      <c r="I1476" s="65" t="n"/>
      <c r="J1476" s="62">
        <f>H1476*(1-$I$4)</f>
        <v/>
      </c>
      <c r="K1476" s="63">
        <f>G1476*J1476</f>
        <v/>
      </c>
      <c r="L1476" s="33" t="inlineStr">
        <is>
          <t>塑料管</t>
        </is>
      </c>
      <c r="M1476" s="64" t="n"/>
      <c r="O1476" t="n">
        <v>20</v>
      </c>
      <c r="P1476" s="35" t="inlineStr">
        <is>
          <t>差:-0.06元 (-0.3%) 来源:会所合并</t>
        </is>
      </c>
      <c r="Q1476" s="46" t="n"/>
      <c r="R1476" s="46" t="n"/>
    </row>
    <row r="1477" outlineLevel="2" ht="72" customFormat="1" customHeight="1" s="6">
      <c r="A1477" s="45">
        <f>A1476+1</f>
        <v/>
      </c>
      <c r="B1477" s="27" t="inlineStr">
        <is>
          <t>冷水管PPR-DN25</t>
        </is>
      </c>
      <c r="C1477" s="27" t="inlineStr">
        <is>
          <t>1.安装部位：室内
2.规格：DN25
3.材质：冷水用PPR(S4系列）
4.连接形式：热熔连接
5.压力试验及吹、洗设计要求：管道冲洗、消毒</t>
        </is>
      </c>
      <c r="D1477" s="27" t="inlineStr">
        <is>
          <t>打堵洞孔、切管、调制、对口、熔化接口材料、粘接、管道、管件及管卡安装、灌水试验、通球试验。套管内封堵，色环及标识制作安装。</t>
        </is>
      </c>
      <c r="E1477" s="27" t="inlineStr">
        <is>
          <t>按设计图示以管道中心线长度计算，不扣除阀门、管件、附件（包括器具组成）及井类所占长度</t>
        </is>
      </c>
      <c r="F1477" s="28" t="inlineStr">
        <is>
          <t>m</t>
        </is>
      </c>
      <c r="G1477" s="61" t="n">
        <v>23.27</v>
      </c>
      <c r="H1477" s="62" t="n">
        <v>20.06</v>
      </c>
      <c r="I1477" s="65" t="n"/>
      <c r="J1477" s="62">
        <f>H1477*(1-$I$4)</f>
        <v/>
      </c>
      <c r="K1477" s="63">
        <f>G1477*J1477</f>
        <v/>
      </c>
      <c r="L1477" s="33" t="inlineStr">
        <is>
          <t>塑料管</t>
        </is>
      </c>
      <c r="M1477" s="64" t="n"/>
      <c r="O1477" t="n">
        <v>20</v>
      </c>
      <c r="P1477" s="35" t="inlineStr">
        <is>
          <t>差:-0.06元 (-0.3%) 来源:会所合并</t>
        </is>
      </c>
      <c r="Q1477" s="46" t="n"/>
      <c r="R1477" s="46" t="n"/>
    </row>
    <row r="1478" outlineLevel="2" ht="72" customFormat="1" customHeight="1" s="6">
      <c r="A1478" s="45">
        <f>A1477+1</f>
        <v/>
      </c>
      <c r="B1478" s="27" t="inlineStr">
        <is>
          <t>冷水管PPR-DN32</t>
        </is>
      </c>
      <c r="C1478" s="27" t="inlineStr">
        <is>
          <t>1.安装部位：室内
2.规格：DN32
3.材质：冷水用PPR(S4系列）
4.连接形式：热熔连接
5.压力试验及吹、洗设计要求：管道冲洗、消毒</t>
        </is>
      </c>
      <c r="D1478" s="27" t="inlineStr">
        <is>
          <t>打堵洞孔、切管、调制、对口、熔化接口材料、粘接、管道、管件及管卡安装、灌水试验、通球试验。套管内封堵，色环及标识制作安装。</t>
        </is>
      </c>
      <c r="E1478" s="27" t="inlineStr">
        <is>
          <t>按设计图示以管道中心线长度计算，不扣除阀门、管件、附件（包括器具组成）及井类所占长度</t>
        </is>
      </c>
      <c r="F1478" s="28" t="inlineStr">
        <is>
          <t>m</t>
        </is>
      </c>
      <c r="G1478" s="61" t="n">
        <v>20.72</v>
      </c>
      <c r="H1478" s="62" t="n">
        <v>24.78</v>
      </c>
      <c r="I1478" s="65" t="n"/>
      <c r="J1478" s="62">
        <f>H1478*(1-$I$4)</f>
        <v/>
      </c>
      <c r="K1478" s="63">
        <f>G1478*J1478</f>
        <v/>
      </c>
      <c r="L1478" s="33" t="inlineStr">
        <is>
          <t>塑料管</t>
        </is>
      </c>
      <c r="M1478" s="64" t="n"/>
      <c r="O1478" t="n">
        <v>20</v>
      </c>
      <c r="P1478" s="35" t="inlineStr">
        <is>
          <t>差:-4.78元 (-19.3%) 来源:会所合并</t>
        </is>
      </c>
      <c r="Q1478" s="46" t="n"/>
      <c r="R1478" s="46" t="n"/>
    </row>
    <row r="1479" outlineLevel="2" ht="72" customFormat="1" customHeight="1" s="6">
      <c r="A1479" s="45">
        <f>A1478+1</f>
        <v/>
      </c>
      <c r="B1479" s="27" t="inlineStr">
        <is>
          <t>冷水管PPR-DN50</t>
        </is>
      </c>
      <c r="C1479" s="27" t="inlineStr">
        <is>
          <t>1.安装部位：室内
2.规格：DN50
3.材质：冷水用PPR(S4系列）
4.连接形式：热熔连接
5.压力试验及吹、洗设计要求：管道冲洗、消毒</t>
        </is>
      </c>
      <c r="D1479" s="27" t="inlineStr">
        <is>
          <t>打堵洞孔、切管、调制、对口、熔化接口材料、粘接、管道、管件及管卡安装、灌水试验、通球试验。套管内封堵，色环及标识制作安装。</t>
        </is>
      </c>
      <c r="E1479" s="27" t="inlineStr">
        <is>
          <t>按设计图示以管道中心线长度计算，不扣除阀门、管件、附件（包括器具组成）及井类所占长度</t>
        </is>
      </c>
      <c r="F1479" s="28" t="inlineStr">
        <is>
          <t>m</t>
        </is>
      </c>
      <c r="G1479" s="61" t="n">
        <v>12.6</v>
      </c>
      <c r="H1479" s="62" t="n">
        <v>29.5</v>
      </c>
      <c r="I1479" s="65" t="n"/>
      <c r="J1479" s="62">
        <f>H1479*(1-$I$4)</f>
        <v/>
      </c>
      <c r="K1479" s="63">
        <f>G1479*J1479</f>
        <v/>
      </c>
      <c r="L1479" s="33" t="inlineStr">
        <is>
          <t>塑料管</t>
        </is>
      </c>
      <c r="M1479" s="64" t="n"/>
      <c r="O1479" t="n">
        <v>20</v>
      </c>
      <c r="P1479" s="35" t="inlineStr">
        <is>
          <t>差:-9.50元 (-32.2%) 来源:会所合并</t>
        </is>
      </c>
      <c r="Q1479" s="46" t="n"/>
      <c r="R1479" s="46" t="n"/>
    </row>
    <row r="1480" outlineLevel="2" ht="72" customFormat="1" customHeight="1" s="6">
      <c r="A1480" s="45">
        <f>A1479+1</f>
        <v/>
      </c>
      <c r="B1480" s="27" t="inlineStr">
        <is>
          <t>热水管PPR-DN15</t>
        </is>
      </c>
      <c r="C1480" s="27" t="inlineStr">
        <is>
          <t>1.安装部位：室内
2.规格：DN15
3.材质：热水用PPR(S3.2系列）
4.连接形式：热熔连接
5.压力试验及吹、洗设计要求：管道冲洗、消毒</t>
        </is>
      </c>
      <c r="D1480" s="27" t="inlineStr">
        <is>
          <t>打堵洞孔、切管、调制、对口、熔化接口材料、粘接、管道、管件及管卡安装、灌水试验、通球试验。套管内封堵，色环及标识制作安装。</t>
        </is>
      </c>
      <c r="E1480" s="27" t="inlineStr">
        <is>
          <t>按设计图示以管道中心线长度计算，不扣除阀门、管件、附件（包括器具组成）及井类所占长度</t>
        </is>
      </c>
      <c r="F1480" s="28" t="inlineStr">
        <is>
          <t>m</t>
        </is>
      </c>
      <c r="G1480" s="61" t="n">
        <v>59.62</v>
      </c>
      <c r="H1480" s="62" t="n">
        <v>20.06</v>
      </c>
      <c r="I1480" s="65" t="n"/>
      <c r="J1480" s="62">
        <f>H1480*(1-$I$4)</f>
        <v/>
      </c>
      <c r="K1480" s="63">
        <f>G1480*J1480</f>
        <v/>
      </c>
      <c r="L1480" s="33" t="inlineStr">
        <is>
          <t>塑料管</t>
        </is>
      </c>
      <c r="M1480" s="64" t="n"/>
      <c r="O1480" t="n">
        <v>20</v>
      </c>
      <c r="P1480" s="35" t="inlineStr">
        <is>
          <t>差:-0.06元 (-0.3%) 来源:会所合并</t>
        </is>
      </c>
      <c r="Q1480" s="46" t="n"/>
      <c r="R1480" s="46" t="n"/>
    </row>
    <row r="1481" outlineLevel="2" ht="72" customFormat="1" customHeight="1" s="6">
      <c r="A1481" s="45">
        <f>A1480+1</f>
        <v/>
      </c>
      <c r="B1481" s="27" t="inlineStr">
        <is>
          <t>热水管PPR-DN20</t>
        </is>
      </c>
      <c r="C1481" s="27" t="inlineStr">
        <is>
          <t>1.安装部位：室内
2.规格：DN20
3.材质：热水用PPR(S3.2系列）
4.连接形式：热熔连接
5.压力试验及吹、洗设计要求：管道冲洗、消毒</t>
        </is>
      </c>
      <c r="D1481" s="27" t="inlineStr">
        <is>
          <t>打堵洞孔、切管、调制、对口、熔化接口材料、粘接、管道、管件及管卡安装、灌水试验、通球试验。套管内封堵，色环及标识制作安装。</t>
        </is>
      </c>
      <c r="E1481" s="27" t="inlineStr">
        <is>
          <t>按设计图示以管道中心线长度计算，不扣除阀门、管件、附件（包括器具组成）及井类所占长度</t>
        </is>
      </c>
      <c r="F1481" s="28" t="inlineStr">
        <is>
          <t>m</t>
        </is>
      </c>
      <c r="G1481" s="61" t="n">
        <v>11.64</v>
      </c>
      <c r="H1481" s="62" t="n">
        <v>20.06</v>
      </c>
      <c r="I1481" s="65" t="n"/>
      <c r="J1481" s="62">
        <f>H1481*(1-$I$4)</f>
        <v/>
      </c>
      <c r="K1481" s="63">
        <f>G1481*J1481</f>
        <v/>
      </c>
      <c r="L1481" s="33" t="inlineStr">
        <is>
          <t>塑料管</t>
        </is>
      </c>
      <c r="M1481" s="64" t="n"/>
      <c r="O1481" t="n">
        <v>20</v>
      </c>
      <c r="P1481" s="35" t="inlineStr">
        <is>
          <t>差:-0.06元 (-0.3%) 来源:会所合并</t>
        </is>
      </c>
      <c r="Q1481" s="46" t="n"/>
      <c r="R1481" s="46" t="n"/>
    </row>
    <row r="1482" outlineLevel="2" ht="72" customFormat="1" customHeight="1" s="6">
      <c r="A1482" s="45">
        <f>A1481+1</f>
        <v/>
      </c>
      <c r="B1482" s="27" t="inlineStr">
        <is>
          <t>热水管PPR-DN25</t>
        </is>
      </c>
      <c r="C1482" s="27" t="inlineStr">
        <is>
          <t>1.安装部位：室内
2.规格：DN25
3.材质：热水用PPR(S3.2系列）
4.连接形式：热熔连接
5.压力试验及吹、洗设计要求：管道冲洗、消毒</t>
        </is>
      </c>
      <c r="D1482" s="27" t="inlineStr">
        <is>
          <t>打堵洞孔、切管、调制、对口、熔化接口材料、粘接、管道、管件及管卡安装、灌水试验、通球试验。套管内封堵，色环及标识制作安装。</t>
        </is>
      </c>
      <c r="E1482" s="27" t="inlineStr">
        <is>
          <t>按设计图示以管道中心线长度计算，不扣除阀门、管件、附件（包括器具组成）及井类所占长度</t>
        </is>
      </c>
      <c r="F1482" s="28" t="inlineStr">
        <is>
          <t>m</t>
        </is>
      </c>
      <c r="G1482" s="61" t="n">
        <v>48.66</v>
      </c>
      <c r="H1482" s="62" t="n">
        <v>20.06</v>
      </c>
      <c r="I1482" s="65" t="n"/>
      <c r="J1482" s="62">
        <f>H1482*(1-$I$4)</f>
        <v/>
      </c>
      <c r="K1482" s="63">
        <f>G1482*J1482</f>
        <v/>
      </c>
      <c r="L1482" s="33" t="inlineStr">
        <is>
          <t>塑料管</t>
        </is>
      </c>
      <c r="M1482" s="64" t="n"/>
      <c r="O1482" t="n">
        <v>20</v>
      </c>
      <c r="P1482" s="35" t="inlineStr">
        <is>
          <t>差:-0.06元 (-0.3%) 来源:会所合并</t>
        </is>
      </c>
      <c r="Q1482" s="46" t="n"/>
      <c r="R1482" s="46" t="n"/>
    </row>
    <row r="1483" outlineLevel="2" ht="60" customFormat="1" customHeight="1" s="6">
      <c r="A1483" s="45">
        <f>A1482+1</f>
        <v/>
      </c>
      <c r="B1483" s="27" t="inlineStr">
        <is>
          <t>UPVC排水管-DN50</t>
        </is>
      </c>
      <c r="C1483" s="27" t="inlineStr">
        <is>
          <t>1.安装部位：室内
2.规格：DN50
3.材质：UPVC排水管
4.连接形式:粘接连接</t>
        </is>
      </c>
      <c r="D1483" s="27" t="inlineStr">
        <is>
          <t>打堵洞孔、切管、调制、对口、熔化接口材料、粘接、管道、管件及管卡安装、灌水试验、通球试验。套管内封堵，色环及标识制作安装。</t>
        </is>
      </c>
      <c r="E1483" s="27" t="inlineStr">
        <is>
          <t>按设计图示以管道中心线长度计算，不扣除阀门、管件、附件（包括器具组成）及井类所占长度</t>
        </is>
      </c>
      <c r="F1483" s="28" t="inlineStr">
        <is>
          <t>m</t>
        </is>
      </c>
      <c r="G1483" s="61" t="n">
        <v>42.54</v>
      </c>
      <c r="H1483" s="62" t="n">
        <v>33.04</v>
      </c>
      <c r="I1483" s="65" t="n"/>
      <c r="J1483" s="62">
        <f>H1483*(1-$I$4)</f>
        <v/>
      </c>
      <c r="K1483" s="63">
        <f>G1483*J1483</f>
        <v/>
      </c>
      <c r="L1483" s="33" t="inlineStr">
        <is>
          <t>塑料管</t>
        </is>
      </c>
      <c r="M1483" s="64" t="n"/>
      <c r="O1483" t="n">
        <v>20</v>
      </c>
      <c r="P1483" s="35" t="inlineStr">
        <is>
          <t>差:-13.04元 (-39.5%) 来源:会所合并</t>
        </is>
      </c>
      <c r="Q1483" s="46" t="n"/>
      <c r="R1483" s="46" t="n"/>
    </row>
    <row r="1484" outlineLevel="2" ht="60" customFormat="1" customHeight="1" s="6">
      <c r="A1484" s="45">
        <f>A1483+1</f>
        <v/>
      </c>
      <c r="B1484" s="27" t="inlineStr">
        <is>
          <t>UPVC排水管-DN75</t>
        </is>
      </c>
      <c r="C1484" s="27" t="inlineStr">
        <is>
          <t>1.安装部位：室内
2.规格：DN75
3.材质：UPVC排水管
5.连接形式:粘接连接</t>
        </is>
      </c>
      <c r="D1484" s="27" t="inlineStr">
        <is>
          <t>打堵洞孔、切管、调制、对口、熔化接口材料、粘接、管道、管件及管卡安装、灌水试验、通球试验。套管内封堵，色环及标识制作安装。</t>
        </is>
      </c>
      <c r="E1484" s="27" t="inlineStr">
        <is>
          <t>按设计图示以管道中心线长度计算，不扣除阀门、管件、附件（包括器具组成）及井类所占长度</t>
        </is>
      </c>
      <c r="F1484" s="28" t="inlineStr">
        <is>
          <t>m</t>
        </is>
      </c>
      <c r="G1484" s="61" t="n">
        <v>13.51</v>
      </c>
      <c r="H1484" s="62" t="n">
        <v>35.4</v>
      </c>
      <c r="I1484" s="65" t="n"/>
      <c r="J1484" s="62">
        <f>H1484*(1-$I$4)</f>
        <v/>
      </c>
      <c r="K1484" s="63">
        <f>G1484*J1484</f>
        <v/>
      </c>
      <c r="L1484" s="33" t="inlineStr">
        <is>
          <t>塑料管</t>
        </is>
      </c>
      <c r="M1484" s="64" t="n"/>
      <c r="O1484" t="n">
        <v>45</v>
      </c>
      <c r="P1484" s="35" t="inlineStr">
        <is>
          <t>差:+9.60元 (+27.1%) 来源:会所合并</t>
        </is>
      </c>
      <c r="Q1484" s="46" t="n"/>
      <c r="R1484" s="46" t="n"/>
    </row>
    <row r="1485" outlineLevel="2" ht="60" customFormat="1" customHeight="1" s="6">
      <c r="A1485" s="45">
        <f>A1484+1</f>
        <v/>
      </c>
      <c r="B1485" s="27" t="inlineStr">
        <is>
          <t>UPVC排水管-DN100</t>
        </is>
      </c>
      <c r="C1485" s="27" t="inlineStr">
        <is>
          <t>1.安装部位：室内
2.规格：DN100
3.材质：UPVC排水管
6.连接形式:粘接连接</t>
        </is>
      </c>
      <c r="D1485" s="27" t="inlineStr">
        <is>
          <t>打堵洞孔、切管、调制、对口、熔化接口材料、粘接、管道、管件及管卡安装、灌水试验、通球试验。套管内封堵，色环及标识制作安装。</t>
        </is>
      </c>
      <c r="E1485" s="27" t="inlineStr">
        <is>
          <t>按设计图示以管道中心线长度计算，不扣除阀门、管件、附件（包括器具组成）及井类所占长度</t>
        </is>
      </c>
      <c r="F1485" s="28" t="inlineStr">
        <is>
          <t>m</t>
        </is>
      </c>
      <c r="G1485" s="61" t="n">
        <v>121.48</v>
      </c>
      <c r="H1485" s="62" t="n">
        <v>43.66</v>
      </c>
      <c r="I1485" s="65" t="n"/>
      <c r="J1485" s="62">
        <f>H1485*(1-$I$4)</f>
        <v/>
      </c>
      <c r="K1485" s="63">
        <f>G1485*J1485</f>
        <v/>
      </c>
      <c r="L1485" s="33" t="inlineStr">
        <is>
          <t>塑料管</t>
        </is>
      </c>
      <c r="M1485" s="64" t="n"/>
      <c r="O1485" t="n">
        <v>55</v>
      </c>
      <c r="P1485" s="35" t="inlineStr">
        <is>
          <t>差:+11.34元 (+26.0%) 来源:会所合并</t>
        </is>
      </c>
      <c r="Q1485" s="46" t="n"/>
      <c r="R1485" s="46" t="n"/>
    </row>
    <row r="1486" outlineLevel="2" ht="72" customFormat="1" customHeight="1" s="6">
      <c r="A1486" s="45">
        <f>A1485+1</f>
        <v/>
      </c>
      <c r="B1486" s="27" t="inlineStr">
        <is>
          <t>闸阀 DN50</t>
        </is>
      </c>
      <c r="C1486" s="27" t="inlineStr">
        <is>
          <t>1.名称：闸阀
2.规格：DN50
3.材质：铸铁
6.连接形式:螺纹连接</t>
        </is>
      </c>
      <c r="D1486" s="27" t="inlineStr">
        <is>
          <t>自现有现场条件下按照合同约定范围、图纸（含设计变更）及甲方要求内容以及规范、标准、相关做法等要求完成并达到总包合同全部目标的全部工作内容。</t>
        </is>
      </c>
      <c r="E1486" s="27" t="inlineStr">
        <is>
          <t>结合施工图纸及施工方案，根据GB/T50856-2024通用安装工程工程量计算规范，以最终验收合格的工程量计算。</t>
        </is>
      </c>
      <c r="F1486" s="28" t="inlineStr">
        <is>
          <t>个</t>
        </is>
      </c>
      <c r="G1486" s="61" t="n">
        <v>1</v>
      </c>
      <c r="H1486" s="62" t="n">
        <v>18.88</v>
      </c>
      <c r="I1486" s="65" t="n"/>
      <c r="J1486" s="62">
        <f>H1486*(1-$I$4)</f>
        <v/>
      </c>
      <c r="K1486" s="63">
        <f>G1486*J1486</f>
        <v/>
      </c>
      <c r="L1486" s="33" t="inlineStr">
        <is>
          <t>闸阀</t>
        </is>
      </c>
      <c r="M1486" s="64" t="n"/>
      <c r="O1486" t="n">
        <v>35</v>
      </c>
      <c r="P1486" s="35" t="inlineStr">
        <is>
          <t>差:+16.12元 (+85.4%) 来源:会所合并</t>
        </is>
      </c>
      <c r="Q1486" s="46" t="n"/>
      <c r="R1486" s="46" t="n"/>
    </row>
    <row r="1487">
      <c r="A1487" s="40" t="inlineStr">
        <is>
          <t>二</t>
        </is>
      </c>
      <c r="B1487" s="27" t="inlineStr">
        <is>
          <t>合计</t>
        </is>
      </c>
      <c r="C1487" s="27" t="n"/>
      <c r="D1487" s="27" t="n"/>
      <c r="E1487" s="27" t="n"/>
      <c r="F1487" s="28" t="n"/>
      <c r="G1487" s="61" t="n"/>
      <c r="H1487" s="62" t="n"/>
      <c r="I1487" s="65" t="n"/>
      <c r="J1487" s="62" t="n"/>
      <c r="K1487" s="66" t="n"/>
      <c r="L1487" s="33" t="n"/>
      <c r="M1487" s="64" t="n"/>
      <c r="P1487" s="35" t="n"/>
    </row>
    <row r="1488" customFormat="1" s="4">
      <c r="A1488" s="40" t="inlineStr">
        <is>
          <t>一</t>
        </is>
      </c>
      <c r="B1488" s="20" t="inlineStr">
        <is>
          <t>措施费</t>
        </is>
      </c>
      <c r="C1488" s="27" t="n"/>
      <c r="D1488" s="27" t="n"/>
      <c r="E1488" s="27" t="n"/>
      <c r="F1488" s="28" t="n"/>
      <c r="G1488" s="61" t="n"/>
      <c r="H1488" s="62" t="n"/>
      <c r="I1488" s="65" t="n"/>
      <c r="J1488" s="62" t="n"/>
      <c r="K1488" s="63" t="n"/>
      <c r="L1488" s="33" t="n"/>
      <c r="M1488" s="64" t="n"/>
      <c r="P1488" s="35" t="n"/>
    </row>
    <row r="1489" outlineLevel="1" ht="72" customFormat="1" customHeight="1" s="4">
      <c r="A1489" s="49" t="n">
        <v>1</v>
      </c>
      <c r="B1489" s="27" t="inlineStr">
        <is>
          <t>垃圾清理及卫生清洁</t>
        </is>
      </c>
      <c r="C1489" s="27" t="inlineStr">
        <is>
          <t>卫生清理、含粗清洁、精清洁（按地面投影面积计算）</t>
        </is>
      </c>
      <c r="D1489" s="27" t="inlineStr">
        <is>
          <t>自现有现场条件下按照合同约定范围、图纸（含设计变更）及甲方要求内容以及规范、标准、相关做法等要求完成并达到总包合同全部目标的全部工作内容。</t>
        </is>
      </c>
      <c r="E1489" s="27" t="inlineStr">
        <is>
          <t>以最终验收合格的工程量计算</t>
        </is>
      </c>
      <c r="F1489" s="28" t="inlineStr">
        <is>
          <t>m2</t>
        </is>
      </c>
      <c r="G1489" s="61" t="n">
        <v>3700.17</v>
      </c>
      <c r="H1489" s="62" t="n">
        <v>29.5</v>
      </c>
      <c r="I1489" s="65" t="n"/>
      <c r="J1489" s="62">
        <f>H1489*(1-$I$4)</f>
        <v/>
      </c>
      <c r="K1489" s="63">
        <f>G1489*J1489</f>
        <v/>
      </c>
      <c r="L1489" s="33" t="inlineStr">
        <is>
          <t>/</t>
        </is>
      </c>
      <c r="M1489" s="64" t="n"/>
      <c r="O1489" t="n">
        <v>18</v>
      </c>
      <c r="P1489" s="35" t="inlineStr">
        <is>
          <t>差:-11.50元 (-39.0%) 来源:售楼处</t>
        </is>
      </c>
    </row>
    <row r="1490" outlineLevel="1" ht="84" customFormat="1" customHeight="1" s="4">
      <c r="A1490" s="49" t="n">
        <v>2</v>
      </c>
      <c r="B1490" s="27" t="inlineStr">
        <is>
          <t>脚手架费用</t>
        </is>
      </c>
      <c r="C1490" s="27" t="inlineStr">
        <is>
          <t>脚手架费用、包括活动式、满堂式、综合式、单排式（按地面投影面积计算）</t>
        </is>
      </c>
      <c r="D1490" s="27" t="inlineStr">
        <is>
          <t>自现有现场条件下按照合同约定范围、图纸（含设计变更）及甲方要求内容以及规范、标准、相关做法等要求完成并达到总包合同全部目标的全部工作内容。</t>
        </is>
      </c>
      <c r="E1490" s="27" t="inlineStr">
        <is>
          <t>执行《GB/T50854-2024房屋建筑与装饰工程工程量计算标准》，按设计图示尺寸以建筑面积</t>
        </is>
      </c>
      <c r="F1490" s="28" t="inlineStr">
        <is>
          <t>m2</t>
        </is>
      </c>
      <c r="G1490" s="61" t="n">
        <v>3700.17</v>
      </c>
      <c r="H1490" s="62" t="n">
        <v>17.7</v>
      </c>
      <c r="I1490" s="65" t="n"/>
      <c r="J1490" s="62">
        <f>H1490*(1-$I$4)</f>
        <v/>
      </c>
      <c r="K1490" s="63">
        <f>G1490*J1490</f>
        <v/>
      </c>
      <c r="L1490" s="33" t="inlineStr">
        <is>
          <t>/</t>
        </is>
      </c>
      <c r="M1490" s="64" t="n"/>
      <c r="O1490" t="n">
        <v>18</v>
      </c>
      <c r="P1490" s="35" t="inlineStr">
        <is>
          <t>差:+0.30元 (+1.7%) 来源:售楼处</t>
        </is>
      </c>
      <c r="Q1490" s="35" t="n"/>
    </row>
    <row r="1491" ht="20" customFormat="1" customHeight="1" s="4">
      <c r="A1491" s="40" t="n"/>
      <c r="B1491" s="40" t="inlineStr">
        <is>
          <t>不含税合计</t>
        </is>
      </c>
      <c r="C1491" s="40" t="n"/>
      <c r="D1491" s="40" t="n"/>
      <c r="E1491" s="40" t="n"/>
      <c r="F1491" s="40" t="n"/>
      <c r="G1491" s="67" t="n"/>
      <c r="H1491" s="66" t="n"/>
      <c r="I1491" s="60" t="n"/>
      <c r="J1491" s="66" t="n"/>
      <c r="K1491" s="66">
        <f>SUM(K7:K1490)</f>
        <v/>
      </c>
      <c r="L1491" s="68" t="n"/>
      <c r="M1491" s="40" t="n"/>
    </row>
    <row r="1492" ht="20" customHeight="1">
      <c r="A1492" s="40" t="n"/>
      <c r="B1492" s="40" t="inlineStr">
        <is>
          <t>税金9%</t>
        </is>
      </c>
      <c r="C1492" s="40" t="n"/>
      <c r="D1492" s="40" t="n"/>
      <c r="E1492" s="40" t="n"/>
      <c r="F1492" s="40" t="n"/>
      <c r="G1492" s="67" t="n"/>
      <c r="H1492" s="66" t="n"/>
      <c r="I1492" s="69" t="n"/>
      <c r="J1492" s="66" t="n"/>
      <c r="K1492" s="66">
        <f>+K1491*0.09</f>
        <v/>
      </c>
      <c r="L1492" s="68" t="n"/>
      <c r="M1492" s="40" t="n"/>
    </row>
    <row r="1493" ht="20" customHeight="1">
      <c r="A1493" s="40" t="n"/>
      <c r="B1493" s="40" t="inlineStr">
        <is>
          <t>含税合计</t>
        </is>
      </c>
      <c r="C1493" s="40" t="n"/>
      <c r="D1493" s="40" t="n"/>
      <c r="E1493" s="40" t="n"/>
      <c r="F1493" s="40" t="n"/>
      <c r="G1493" s="67" t="n"/>
      <c r="H1493" s="66" t="n"/>
      <c r="I1493" s="69" t="n"/>
      <c r="J1493" s="66" t="n"/>
      <c r="K1493" s="66">
        <f>+K1491+K1492</f>
        <v/>
      </c>
      <c r="L1493" s="68" t="n"/>
      <c r="M1493" s="40" t="n"/>
    </row>
  </sheetData>
  <autoFilter ref="A3:R1493"/>
  <mergeCells count="13">
    <mergeCell ref="A1:M1"/>
    <mergeCell ref="C2:C3"/>
    <mergeCell ref="J2:K2"/>
    <mergeCell ref="I4:I1491"/>
    <mergeCell ref="M2:M3"/>
    <mergeCell ref="B2:B3"/>
    <mergeCell ref="A2:A3"/>
    <mergeCell ref="D2:D3"/>
    <mergeCell ref="F2:F3"/>
    <mergeCell ref="E2:E3"/>
    <mergeCell ref="I2:I3"/>
    <mergeCell ref="G2:G3"/>
    <mergeCell ref="L2:L3"/>
  </mergeCells>
  <conditionalFormatting sqref="B2">
    <cfRule type="duplicateValues" priority="4" dxfId="0"/>
  </conditionalFormatting>
  <conditionalFormatting sqref="B4">
    <cfRule type="duplicateValues" priority="17" dxfId="0"/>
  </conditionalFormatting>
  <conditionalFormatting sqref="B168">
    <cfRule type="duplicateValues" priority="16" dxfId="0"/>
  </conditionalFormatting>
  <conditionalFormatting sqref="B336">
    <cfRule type="duplicateValues" priority="15" dxfId="0"/>
  </conditionalFormatting>
  <conditionalFormatting sqref="B448">
    <cfRule type="duplicateValues" priority="14" dxfId="0"/>
  </conditionalFormatting>
  <conditionalFormatting sqref="B911">
    <cfRule type="duplicateValues" priority="13" dxfId="0"/>
  </conditionalFormatting>
  <conditionalFormatting sqref="B1039">
    <cfRule type="duplicateValues" priority="12" dxfId="0"/>
  </conditionalFormatting>
  <conditionalFormatting sqref="B1059">
    <cfRule type="duplicateValues" priority="11" dxfId="0"/>
  </conditionalFormatting>
  <conditionalFormatting sqref="B1080">
    <cfRule type="duplicateValues" priority="10" dxfId="0"/>
  </conditionalFormatting>
  <conditionalFormatting sqref="B1181">
    <cfRule type="duplicateValues" priority="9" dxfId="0"/>
  </conditionalFormatting>
  <conditionalFormatting sqref="B1280">
    <cfRule type="duplicateValues" priority="8" dxfId="0"/>
  </conditionalFormatting>
  <conditionalFormatting sqref="B1379">
    <cfRule type="duplicateValues" priority="7" dxfId="0"/>
  </conditionalFormatting>
  <conditionalFormatting sqref="B1462">
    <cfRule type="duplicateValues" priority="6" dxfId="0"/>
  </conditionalFormatting>
  <conditionalFormatting sqref="B1488">
    <cfRule type="duplicateValues" priority="5" dxfId="0"/>
  </conditionalFormatting>
  <conditionalFormatting sqref="B1491">
    <cfRule type="duplicateValues" priority="1" dxfId="0"/>
  </conditionalFormatting>
  <conditionalFormatting sqref="B1492">
    <cfRule type="duplicateValues" priority="3" dxfId="0"/>
  </conditionalFormatting>
  <conditionalFormatting sqref="B1493">
    <cfRule type="duplicateValues" priority="2" dxfId="0"/>
  </conditionalFormatting>
  <printOptions horizontalCentered="1"/>
  <pageMargins left="0.393055555555556" right="0.393055555555556" top="0.235416666666667" bottom="0.15625" header="0.55" footer="0.235416666666667"/>
  <pageSetup orientation="landscape" paperSize="9" scale="69" fitToHeight="0" blackAndWhite="1" horizontalDpi="600"/>
  <headerFooter>
    <oddHeader/>
    <oddFooter>&amp;C第 &amp;P 页，共 &amp;N 页</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DYJ</dc:creator>
  <dcterms:created xmlns:dcterms="http://purl.org/dc/terms/" xmlns:xsi="http://www.w3.org/2001/XMLSchema-instance" xsi:type="dcterms:W3CDTF">2026-08-05T01:03:00Z</dcterms:created>
  <dcterms:modified xmlns:dcterms="http://purl.org/dc/terms/" xmlns:xsi="http://www.w3.org/2001/XMLSchema-instance" xsi:type="dcterms:W3CDTF">2026-08-06T01:58:37Z</dcterms:modified>
  <cp:lastModifiedBy>叶渭淋</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C9651E33F5B442D5BD62360E195E1220_11</vt:lpwstr>
  </property>
  <property name="KSOProductBuildVer" fmtid="{D5CDD505-2E9C-101B-9397-08002B2CF9AE}" pid="3">
    <vt:lpwstr xmlns:vt="http://schemas.openxmlformats.org/officeDocument/2006/docPropsVTypes">2052-12.1.0.28043</vt:lpwstr>
  </property>
  <property name="CalculationRule" fmtid="{D5CDD505-2E9C-101B-9397-08002B2CF9AE}" pid="4">
    <vt:i4 xmlns:vt="http://schemas.openxmlformats.org/officeDocument/2006/docPropsVTypes">0</vt:i4>
  </property>
</Properties>
</file>