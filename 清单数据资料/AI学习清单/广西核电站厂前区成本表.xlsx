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932"/>
  </bookViews>
  <sheets>
    <sheet name="65综合办公楼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</externalReferences>
  <definedNames>
    <definedName name="_xlnm._FilterDatabase" localSheetId="0" hidden="1">'65综合办公楼'!$A$3:$AD$117</definedName>
    <definedName name="_xlnm.Print_Titles" localSheetId="0">'65综合办公楼'!$1:$4</definedName>
    <definedName name="lap">[1]General!$B$2:$G$9</definedName>
    <definedName name="_xlnm.Print_Area" localSheetId="0">'65综合办公楼'!$A$1:$H$118</definedName>
    <definedName name="cap">#REF!</definedName>
    <definedName name="cola">#REF!</definedName>
    <definedName name="colb">#REF!</definedName>
    <definedName name="Database" hidden="1">#REF!</definedName>
    <definedName name="AA">EVALUATE(SUBSTITUTE(SUBSTITUTE(#REF!,"【","*ISTEXT(""【"),"】","】"")"))</definedName>
    <definedName name="CC">EVALUATE('[2]BQ7.2（A1-2G户型）'!XFD1)</definedName>
    <definedName name="DD">EVALUATE('[2]BQ7.3（A2-2户型）'!XFD1)</definedName>
    <definedName name="EE">EVALUATE('[2]BQ7.4（A4-1G户型）'!XFD1)</definedName>
    <definedName name="FF">EVALUATE('[2]BQ7.5（A4-2户型）'!XFD1)</definedName>
    <definedName name="aaaaaa">#REF!</definedName>
    <definedName name="aaaaaaaa">#REF!</definedName>
    <definedName name="aaaaaaaaa">[3]MOHKG!#REF!</definedName>
    <definedName name="cr">[4]main!$B$8</definedName>
    <definedName name="data">[5]coa!$1:$1048576</definedName>
    <definedName name="gg">[6]钢材单重!$A496:$A1048574</definedName>
    <definedName name="LLL">#REF!</definedName>
    <definedName name="page1">#N/A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Room2Br">[3]MOHKG!#REF!</definedName>
    <definedName name="WTP">#REF!</definedName>
    <definedName name="北京中远广田装饰工程有限公司">#REF!</definedName>
    <definedName name="橱柜报价清单工程量反馈">#REF!</definedName>
    <definedName name="建筑面积">#REF!</definedName>
    <definedName name="时">#REF!</definedName>
    <definedName name="_">[7]PUR资料库!$B$5:$F$2503</definedName>
    <definedName name="______________ys1">#REF!</definedName>
    <definedName name="______________ys2">#REF!</definedName>
    <definedName name="______________ys3">#REF!</definedName>
    <definedName name="_____________ys1">#REF!</definedName>
    <definedName name="_____________ys2">#REF!</definedName>
    <definedName name="_____________ys3">#REF!</definedName>
    <definedName name="____________W200">'[8]21'!$B$1:$B$802</definedName>
    <definedName name="____________x1">#REF!</definedName>
    <definedName name="____________ys1">#REF!</definedName>
    <definedName name="____________ys2">#REF!</definedName>
    <definedName name="____________ys3">#REF!</definedName>
    <definedName name="___________W200">'[8]21'!$B$1:$B$802</definedName>
    <definedName name="___________x1">#REF!</definedName>
    <definedName name="___________ys1">#REF!</definedName>
    <definedName name="___________ys2">#REF!</definedName>
    <definedName name="___________ys3">#REF!</definedName>
    <definedName name="__________W200">'[8]21'!$B$1:$B$802</definedName>
    <definedName name="__________x1">#REF!</definedName>
    <definedName name="__________ys1">#REF!</definedName>
    <definedName name="__________ys2">#REF!</definedName>
    <definedName name="__________ys3">#REF!</definedName>
    <definedName name="_________W200">'[8]21'!$B$1:$B$802</definedName>
    <definedName name="_________x1">#REF!</definedName>
    <definedName name="_________ys1">#REF!</definedName>
    <definedName name="_________ys2">#REF!</definedName>
    <definedName name="_________ys3">#REF!</definedName>
    <definedName name="________W200">'[8]21'!$B$1:$B$802</definedName>
    <definedName name="________x1">#REF!</definedName>
    <definedName name="________ys1">#REF!</definedName>
    <definedName name="________ys2">#REF!</definedName>
    <definedName name="________ys3">#REF!</definedName>
    <definedName name="_______W200">'[8]21'!$B$1:$B$802</definedName>
    <definedName name="_______x1">#REF!</definedName>
    <definedName name="_______ys1">#REF!</definedName>
    <definedName name="_______ys2">#REF!</definedName>
    <definedName name="_______ys3">#REF!</definedName>
    <definedName name="______W200">'[8]21'!$B$1:$B$802</definedName>
    <definedName name="______x1">#REF!</definedName>
    <definedName name="______ys1">#REF!</definedName>
    <definedName name="______ys2">#REF!</definedName>
    <definedName name="______ys3">#REF!</definedName>
    <definedName name="_____W200">'[8]21'!$B$1:$B$802</definedName>
    <definedName name="_____x1">#REF!</definedName>
    <definedName name="_____ys1">#REF!</definedName>
    <definedName name="_____ys2">#REF!</definedName>
    <definedName name="_____ys3">#REF!</definedName>
    <definedName name="____W200">'[8]21'!$B$1:$B$802</definedName>
    <definedName name="____x1">#REF!</definedName>
    <definedName name="____ys1">#REF!</definedName>
    <definedName name="____ys2">#REF!</definedName>
    <definedName name="____ys3">#REF!</definedName>
    <definedName name="___W200">'[8]21'!$B$1:$B$802</definedName>
    <definedName name="___x1">#REF!</definedName>
    <definedName name="___ys1">#REF!</definedName>
    <definedName name="___ys2">#REF!</definedName>
    <definedName name="___ys3">#REF!</definedName>
    <definedName name="__1W200_">'[8]21'!$B$1:$B$802</definedName>
    <definedName name="__W200">'[8]21'!$B$1:$B$802</definedName>
    <definedName name="__x1">#REF!</definedName>
    <definedName name="__xlfn.SUMIFS" hidden="1">#NAME?</definedName>
    <definedName name="__ys1">#REF!</definedName>
    <definedName name="__ys2">#REF!</definedName>
    <definedName name="__ys3">#REF!</definedName>
    <definedName name="_000年.xls">#REF!</definedName>
    <definedName name="_001年.xls">#REF!</definedName>
    <definedName name="_002年.xls">#REF!</definedName>
    <definedName name="_11111111111111111111">EVALUATE(#REF!)</definedName>
    <definedName name="_12">EVALUATE([9]嘉里塔楼工程量!$D:$D)</definedName>
    <definedName name="_132.522_76">EVALUATE(#REF!)</definedName>
    <definedName name="_1W200_">'[10]21'!$B$1:$B$802</definedName>
    <definedName name="_2x1_">#REF!</definedName>
    <definedName name="_3_P_轴x_3_13_轴__3_14_轴">[11]小学教学综合楼!#REF!</definedName>
    <definedName name="_4mm复合铝塑板">#REF!</definedName>
    <definedName name="_4x1_">#REF!</definedName>
    <definedName name="_6mm钢化灰色玻璃">#REF!</definedName>
    <definedName name="_92_2_72">EVALUATE([12]嘉里塔楼工程量!$D:$D)</definedName>
    <definedName name="_Fill" hidden="1">[13]eqpmad2!#REF!</definedName>
    <definedName name="_Key1" hidden="1">#REF!</definedName>
    <definedName name="_Order1" hidden="1">255</definedName>
    <definedName name="_Sort" hidden="1">#REF!</definedName>
    <definedName name="_W200">'[8]21'!$B$1:$B$802</definedName>
    <definedName name="_x1">#REF!</definedName>
    <definedName name="_ys1">#REF!</definedName>
    <definedName name="_ys2">#REF!</definedName>
    <definedName name="_ys3">#REF!</definedName>
    <definedName name="A">EVALUATE([14]地下室防水!$D:$D)</definedName>
    <definedName name="AAA">#REF!+#REF!+0.1</definedName>
    <definedName name="aaaa">IF(ISBLANK(#REF!),0,EVALUATE(#REF!))</definedName>
    <definedName name="AB">EVALUATE(#REF!)</definedName>
    <definedName name="abab">IF(ISBLANK(#REF!),0,EVALUATE(#REF!))</definedName>
    <definedName name="ac">#REF!</definedName>
    <definedName name="acac">IF(ISBLANK(#REF!),0,EVALUATE(#REF!))</definedName>
    <definedName name="ad">'[10]21'!$A$1:$A$802</definedName>
    <definedName name="adad">IF(ISBLANK(#REF!),0,EVALUATE(#REF!))</definedName>
    <definedName name="ae">'[10]21'!$B$1:$B$802</definedName>
    <definedName name="AEAE">IF(ISBLANK([15]工程量!AA1),0,EVALUATE([15]工程量!AA1))</definedName>
    <definedName name="AFAF">IF(ISBLANK([15]工程量!AB1),0,EVALUATE([15]工程量!AB1))</definedName>
    <definedName name="AGAG">IF(ISBLANK([15]工程量!AC1),0,EVALUATE([15]工程量!AC1))</definedName>
    <definedName name="AHAH">IF(ISBLANK([15]工程量!AD1),0,EVALUATE([15]工程量!AD1))</definedName>
    <definedName name="AIAI">IF(ISBLANK([15]工程量!AE1),0,EVALUATE([15]工程量!AE1))</definedName>
    <definedName name="AJAJ">IF(ISBLANK([15]工程量!AF1),0,EVALUATE([15]工程量!AF1))</definedName>
    <definedName name="AKAK">IF(ISBLANK([16]工程量!AG1),0,EVALUATE([16]工程量!AG1))</definedName>
    <definedName name="ALAL">IF(ISBLANK([16]工程量!AH1),0,EVALUATE([16]工程量!AH1))</definedName>
    <definedName name="az">EVALUATE(#REF!)</definedName>
    <definedName name="B">EVALUATE([14]地下室防水!$F:$F)</definedName>
    <definedName name="B10G">#REF!</definedName>
    <definedName name="B12G">#REF!</definedName>
    <definedName name="B15G">#REF!</definedName>
    <definedName name="B19G">#REF!</definedName>
    <definedName name="B565LG">#REF!</definedName>
    <definedName name="B595LG">#REF!</definedName>
    <definedName name="B5B">[17]MC!$B$17</definedName>
    <definedName name="B5G">#REF!</definedName>
    <definedName name="B5L">[17]MC!$B$14</definedName>
    <definedName name="B5Q">#REF!</definedName>
    <definedName name="B5Z">[18]MC!$B$11</definedName>
    <definedName name="B5ZT">[18]MC!$B$12</definedName>
    <definedName name="B6126LG">#REF!</definedName>
    <definedName name="B696LG">#REF!</definedName>
    <definedName name="B6G">#REF!</definedName>
    <definedName name="B6L">[17]MC!$B$15</definedName>
    <definedName name="B6ZT">[18]MC!$B$13</definedName>
    <definedName name="B8G">#REF!</definedName>
    <definedName name="B8L">[17]MC!$B$16</definedName>
    <definedName name="bb">"EVALUATE('BG-007'!$F$11:$F$34)"</definedName>
    <definedName name="BF">#REF!</definedName>
    <definedName name="B主筋锚长">[19]内围地梁钢筋说明!$C$17</definedName>
    <definedName name="ccc">EVALUATE(#REF!)</definedName>
    <definedName name="CQU">[20]Sheet1!$B$5:$D$846</definedName>
    <definedName name="D">EVALUATE([14]地下室防水!$H:$H)</definedName>
    <definedName name="DATABASE11">[21]PUR资料库!$B$5:$G$2118</definedName>
    <definedName name="DATABASR2">[21]PUR资料库!$B$5:$G$2118</definedName>
    <definedName name="ddd">EVALUATE(#REF!)</definedName>
    <definedName name="DIXI">#REF!</definedName>
    <definedName name="dw">#REF!</definedName>
    <definedName name="e">EVALUATE(#REF!)</definedName>
    <definedName name="eee">IF([22]一层入户大堂!XFD1="","",ROUND(EVALUATE(SUBSTITUTE(SUBSTITUTE([22]一层入户大堂!$E1,"[","*ISTEXT(""["),"]","]"")")),2))</definedName>
    <definedName name="ewrwerwe">[23]MC!$B$31</definedName>
    <definedName name="f">EVALUATE([15]工程量!B1)</definedName>
    <definedName name="FFFFF">#REF!</definedName>
    <definedName name="FG">#REF!</definedName>
    <definedName name="FN带胶片毛条">#REF!</definedName>
    <definedName name="g">EVALUATE(#REF!)</definedName>
    <definedName name="hh">IF(ISBLANK(#REF!),0,EVALUATE(#REF!))</definedName>
    <definedName name="HST18RF">[24]PUR资料库!$B$5:$AV$3310</definedName>
    <definedName name="i">IF(ISBLANK([25]A4石材!B1),0,EVALUATE([25]A4石材!B1))</definedName>
    <definedName name="ii">IF(ISBLANK(#REF!),0,EVALUATE(#REF!))</definedName>
    <definedName name="iii">#REF!</definedName>
    <definedName name="j">IF(ISBLANK([25]A4石材!C1),0,EVALUATE([25]A4石材!C1))</definedName>
    <definedName name="jj">IF(ISBLANK(#REF!),0,EVALUATE(#REF!))</definedName>
    <definedName name="JSB">[26]i.JSS!$A$5:$EY$19</definedName>
    <definedName name="JSBT">[26]i.JSS!$A$3:$EY$3</definedName>
    <definedName name="k">IF(ISBLANK([25]A4石材!D1),0,EVALUATE([25]A4石材!D1))</definedName>
    <definedName name="kk">IF(ISBLANK(#REF!),0,EVALUATE(#REF!))</definedName>
    <definedName name="kkk">#REF!</definedName>
    <definedName name="l">IF(ISBLANK([25]A4石材!E1),0,EVALUATE([25]A4石材!E1))</definedName>
    <definedName name="ll">IF(ISBLANK(#REF!),0,EVALUATE(#REF!))</definedName>
    <definedName name="m">IF(ISBLANK([25]A4石材!F1),0,EVALUATE([25]A4石材!F1))</definedName>
    <definedName name="mm">IF(ISBLANK(#REF!),0,EVALUATE(#REF!))</definedName>
    <definedName name="MSDGC_L">#REF!</definedName>
    <definedName name="n">IF(ISBLANK([25]A4石材!G1),0,EVALUATE([25]A4石材!G1))</definedName>
    <definedName name="nn">IF(ISBLANK(#REF!),0,EVALUATE(#REF!))</definedName>
    <definedName name="o">#REF!</definedName>
    <definedName name="oo">IF(ISBLANK(#REF!),0,EVALUATE(#REF!))</definedName>
    <definedName name="OU">EVALUATE(#REF!)</definedName>
    <definedName name="POIUHB" hidden="1">[27]XLR_NoRangeSheet!$B$6</definedName>
    <definedName name="pp">IF(ISBLANK(#REF!),0,EVALUATE(#REF!))</definedName>
    <definedName name="pur资料库">#REF!</definedName>
    <definedName name="qq">IF(ISBLANK(#REF!),0,EVALUATE(#REF!))</definedName>
    <definedName name="rr">IF(ISBLANK(#REF!),0,EVALUATE(#REF!))</definedName>
    <definedName name="S">EVALUATE([28]结构装饰工程量!$C:$C)</definedName>
    <definedName name="series01">#REF!</definedName>
    <definedName name="series02">#REF!</definedName>
    <definedName name="series03">#REF!</definedName>
    <definedName name="series04">#REF!</definedName>
    <definedName name="series05">#REF!</definedName>
    <definedName name="series06">#REF!</definedName>
    <definedName name="series07">#REF!</definedName>
    <definedName name="series08">#REF!</definedName>
    <definedName name="series09">#REF!</definedName>
    <definedName name="series10">#REF!</definedName>
    <definedName name="sl">IF([29]一层入户大堂!XFD1="","",ROUND(EVALUATE(SUBSTITUTE(SUBSTITUTE([29]一层入户大堂!$E1,"[","*ISTEXT(""["),"]","]"")")),2))</definedName>
    <definedName name="ss">IF(ISBLANK(#REF!),0,EVALUATE(#REF!))</definedName>
    <definedName name="tt">IF(ISBLANK(#REF!),0,EVALUATE(#REF!))</definedName>
    <definedName name="uu">IF(ISBLANK(#REF!),0,EVALUATE(#REF!))</definedName>
    <definedName name="uuuuu">#REF!</definedName>
    <definedName name="vv">IF(ISBLANK(#REF!),0,EVALUATE(#REF!))</definedName>
    <definedName name="W">#REF!</definedName>
    <definedName name="W_mm">'[30]1'!#REF!</definedName>
    <definedName name="ww">IF(ISBLANK(#REF!),0,EVALUATE(#REF!))</definedName>
    <definedName name="WWQ">#REF!</definedName>
    <definedName name="wwwww">EVALUATE(#REF!)</definedName>
    <definedName name="x">EVALUATE(SUBSTITUTE(SUBSTITUTE(#REF!,"[","*ISTEXT(""["),"]","]"")"))</definedName>
    <definedName name="XJ">EVALUATE(#REF!)</definedName>
    <definedName name="XLRPARAMS_GCMC" hidden="1">[31]XLR_NoRangeSheet!$B$6</definedName>
    <definedName name="XLRPARAMS_GCMC_" hidden="1">[32]XLR_NoRangeSheet!$B$6</definedName>
    <definedName name="xx">IF(ISBLANK(#REF!),0,EVALUATE(#REF!))</definedName>
    <definedName name="yy">IF(ISBLANK(#REF!),0,EVALUATE(#REF!))</definedName>
    <definedName name="yyy">#REF!</definedName>
    <definedName name="ZCB">[26]f.ZC!$B$4:$I$56</definedName>
    <definedName name="ZCBT">[26]f.ZC!$B$3:$I$3</definedName>
    <definedName name="ZCT_DL">#REF!</definedName>
    <definedName name="zl">SUMIF([29]一层入户大堂!C:C,[29]一层入户大堂!#REF!,[29]一层入户大堂!A:A)</definedName>
    <definedName name="zxd">#REF!</definedName>
    <definedName name="zz">IF(ISBLANK(#REF!),0,EVALUATE(#REF!))</definedName>
    <definedName name="艾丝凡">#REF!</definedName>
    <definedName name="安装缝隙">[33]型材表!$C$1</definedName>
    <definedName name="雸要">[34]计算稿!#REF!</definedName>
    <definedName name="百叶制安费">#REF!</definedName>
    <definedName name="板厚">#REF!</definedName>
    <definedName name="报价说明">EVALUATE(#REF!)</definedName>
    <definedName name="标题">#REF!</definedName>
    <definedName name="不锈钢门拉手">#REF!</definedName>
    <definedName name="材料">#REF!</definedName>
    <definedName name="材料量">SUMIF(INDIRECT([35]材料表!A$3&amp;"!$B$2:$B$40"),[35]材料表!$C1,INDIRECT([35]材料表!A$3&amp;"!$i$2:$i$40"))</definedName>
    <definedName name="材料名称">IF(#REF!=0,,INDIRECT("'"&amp;#REF!&amp;"'!B"&amp;#REF!))</definedName>
    <definedName name="材料运输">#REF!</definedName>
    <definedName name="采光蓬C0516">#REF!</definedName>
    <definedName name="产品名称">[36]PUR资料库!$B$5:$F$2527</definedName>
    <definedName name="產品編號">[37]明細表!$AA$967:$AA$967</definedName>
    <definedName name="窗二点锁">#REF!</definedName>
    <definedName name="次料库">[38]PUR资料库!$B$5:$J$2523</definedName>
    <definedName name="措施费">#REF!</definedName>
    <definedName name="代码">IF([39]工程量!$K1="","",COUNTA([39]工程量!$B1:$B$7))</definedName>
    <definedName name="单">[40]資料庫!$B$5:$H$1621</definedName>
    <definedName name="单价">#REF!</definedName>
    <definedName name="单位">[41]PUR资料库!$B$5:$F$2503</definedName>
    <definedName name="单位含量">IF('[35]1'!D1=0,,VLOOKUP('[35]1'!XEY1,INDIRECT("'"&amp;'[35]1'!$G$4&amp;"'!$B$1:$J$32"),8,FALSE))</definedName>
    <definedName name="单位名称">IF(#REF!=0,,VLOOKUP(#REF!,INDIRECT("'"&amp;#REF!&amp;"'!$B$1:$J$32"),3,FALSE))</definedName>
    <definedName name="地">#REF!</definedName>
    <definedName name="地弹门配件">#REF!</definedName>
    <definedName name="地方">EVALUATE(#REF!)</definedName>
    <definedName name="地坪厚度">#REF!</definedName>
    <definedName name="地址">[42]資料庫!$B$5:$H$1859</definedName>
    <definedName name="垫层厚">#REF!</definedName>
    <definedName name="垫层突出单边宽">#REF!</definedName>
    <definedName name="吊筋角度">[19]内围地梁钢筋说明!$C$22</definedName>
    <definedName name="吊筋锚长">[19]内围地梁钢筋说明!$C$23</definedName>
    <definedName name="订单">#REF!</definedName>
    <definedName name="镀锌钢材">#REF!</definedName>
    <definedName name="多點鎖手柄連單腳鎖盒___6點鎖">#REF!</definedName>
    <definedName name="二点锁">#REF!</definedName>
    <definedName name="二级">#REF!</definedName>
    <definedName name="发货单元">[43]資料庫!$B$5:$H$1555</definedName>
    <definedName name="放坡系数1">'[44]承台(砖模) '!#REF!</definedName>
    <definedName name="放坡系数2">'[44]承台(砖模) '!#REF!</definedName>
    <definedName name="放坡系数A">'[44]承台(砖模) '!#REF!</definedName>
    <definedName name="分部工程">#REF!</definedName>
    <definedName name="分项工程">#REF!</definedName>
    <definedName name="粉沫喷涂门窗料">#REF!</definedName>
    <definedName name="粉沫喷涂幕墙料">#REF!</definedName>
    <definedName name="风撑12">#REF!</definedName>
    <definedName name="氟碳喷涂门窗料">#REF!</definedName>
    <definedName name="氟碳喷涂幕墙料">#REF!</definedName>
    <definedName name="氟碳漆">#REF!</definedName>
    <definedName name="辅材费">VLOOKUP('[35]1'!XFD1048552,[45]清单!E1048555:XEZ1048566,9,FALSE)</definedName>
    <definedName name="钢材">#REF!</definedName>
    <definedName name="钢材损耗">#REF!</definedName>
    <definedName name="钢筋保护层">[19]内围地梁钢筋说明!$C$15</definedName>
    <definedName name="钢筋弯钩长度">#REF!</definedName>
    <definedName name="工程量">EVALUATE([46]工程量计算表!$F1)</definedName>
    <definedName name="工作">#REF!</definedName>
    <definedName name="工作面单边宽">#REF!</definedName>
    <definedName name="管理费">#REF!</definedName>
    <definedName name="规费">#REF!</definedName>
    <definedName name="含量">#REF!</definedName>
    <definedName name="合计">IF([39]工程量!$B1="","",ROUND(SUMIF([39]工程量!$O:$O,[39]工程量!$O2,[39]工程量!$K:$K),2))</definedName>
    <definedName name="合页">#REF!</definedName>
    <definedName name="胡">[19]内围地梁钢筋说明!$C$15</definedName>
    <definedName name="滑轮">#REF!</definedName>
    <definedName name="汇总表1">'[47]材料损耗(不打印)'!$B$4</definedName>
    <definedName name="机械费">VLOOKUP('[35]1'!XFD1048551,[45]清单!E1048554:XEZ1048565,10,FALSE)</definedName>
    <definedName name="计算结果">EVALUATE(#REF!)</definedName>
    <definedName name="计算结果3">EVALUATE(#REF!)</definedName>
    <definedName name="计算式">EVALUATE(#REF!)</definedName>
    <definedName name="计算式结果">EVALUATE(#REF!)</definedName>
    <definedName name="铰链12">#REF!</definedName>
    <definedName name="铰链16">#REF!</definedName>
    <definedName name="凯">#REF!</definedName>
    <definedName name="利润">#REF!</definedName>
    <definedName name="铝板2.5mm">#REF!</definedName>
    <definedName name="铝表面">[49]型材表!$K$12:$K$22</definedName>
    <definedName name="铝材">'[50]材料损耗(不打印)'!$B$1</definedName>
    <definedName name="铝材损耗">#REF!</definedName>
    <definedName name="铝结构">[49]型材表!$K$8:$K$11</definedName>
    <definedName name="铝牌号">[49]型材表!$K$5:$K$7</definedName>
    <definedName name="铝用途">[49]型材表!$L$2:$N$2</definedName>
    <definedName name="门窗表">#REF!</definedName>
    <definedName name="门窗表a23">#REF!</definedName>
    <definedName name="门窗玻璃损耗">#REF!</definedName>
    <definedName name="门窗胶">#REF!</definedName>
    <definedName name="门窗胶损耗">#REF!</definedName>
    <definedName name="门窗塞缝">#REF!</definedName>
    <definedName name="门窗小五金">#REF!</definedName>
    <definedName name="门窗制安费">#REF!</definedName>
    <definedName name="门窗综合单价分析表" hidden="1">#REF!</definedName>
    <definedName name="门二点锁">#REF!</definedName>
    <definedName name="名称">IF('[35]1.'!M8&lt;=MAX('[35]1.'!$A$36:$A$68),VLOOKUP('[35]1.'!C8,'[35]1.'!$A$36:$J$68,2,FALSE),0)</definedName>
    <definedName name="名称及规格">[34]计算稿!#REF!</definedName>
    <definedName name="幕墙结构胶">#REF!</definedName>
    <definedName name="幕墙密封胶">#REF!</definedName>
    <definedName name="幕墙制安费">#REF!</definedName>
    <definedName name="年度">#REF!</definedName>
    <definedName name="年度值">#REF!</definedName>
    <definedName name="欧坲">VLOOKUP('[35]1'!XFD1048552,[45]清单!E1048555:XEZ1048566,9,FALSE)</definedName>
    <definedName name="排水沟深">[19]内围地梁钢筋说明!$C$21</definedName>
    <definedName name="其他">'[50]材料损耗(不打印)'!$B$4</definedName>
    <definedName name="其它辅助材料">#REF!</definedName>
    <definedName name="球形锁">#REF!</definedName>
    <definedName name="人工费">VLOOKUP('[35]1'!XFD1048573,[45]清单!E11:XEZ1048576,8,FALSE)</definedName>
    <definedName name="三级">#REF!</definedName>
    <definedName name="三元乙丙密封胶条">#REF!</definedName>
    <definedName name="审杳">'[51]合格证 (2)'!$B$5:$H$1555</definedName>
    <definedName name="审杳表">#REF!</definedName>
    <definedName name="室内外地台差">'[44]承台(砖模) '!#REF!</definedName>
    <definedName name="室内外高差">#REF!</definedName>
    <definedName name="数量">[34]计算稿!#REF!</definedName>
    <definedName name="顺序">#REF!</definedName>
    <definedName name="损耗系数">IF('[35]1'!E1=0,,VLOOKUP('[35]1'!XEZ1,[35]材料表!$C$5:$K$145,9,FALSE))</definedName>
    <definedName name="踢">#REF!</definedName>
    <definedName name="踢脚线高">[44]柱!#REF!</definedName>
    <definedName name="同">EVALUATE([52]弱电!XFD1)</definedName>
    <definedName name="外委加工.dbf">#REF!</definedName>
    <definedName name="我">EVALUATE([9]嘉里塔楼工程量!$D:$D)</definedName>
    <definedName name="五金">'[50]材料损耗(不打印)'!$B$3</definedName>
    <definedName name="线密度">[53]型材线密度表!$A$2:$D$98</definedName>
    <definedName name="项目单位">VLOOKUP('[35]1'!XFD1048576,[45]清单!B3:XEZ14,4,FALSE)</definedName>
    <definedName name="项目名称">VLOOKUP('[35]1'!D1048576,[45]清单!F3:XFD14,3,FALSE)</definedName>
    <definedName name="械">[34]计算稿!#REF!</definedName>
    <definedName name="新">#REF!</definedName>
    <definedName name="新砌">#REF!</definedName>
    <definedName name="型材类型">[33]型材表!$K$1:$K$5</definedName>
    <definedName name="序号">IF(#REF!="","",COUNTA(#REF!))</definedName>
    <definedName name="序号显示">IF(#REF!=2,2,IF(INDIRECT("'"&amp;#REF!&amp;"'!A"&amp;#REF!)=0,,#REF!+1))</definedName>
    <definedName name="氧化门窗料">#REF!</definedName>
    <definedName name="氧化幕墙料">#REF!</definedName>
    <definedName name="样办单">[54]明細表!$AA$967:$AA$967</definedName>
    <definedName name="样办送">[54]明細表!$AA$967:$AA$967</definedName>
    <definedName name="样办送货单">#REF!</definedName>
    <definedName name="样办送货单1">[55]資料庫!$B$5:$H$2024</definedName>
    <definedName name="腰筋锚长">[19]内围地梁钢筋说明!$C$20</definedName>
    <definedName name="一级">#REF!</definedName>
    <definedName name="以">[56]資料庫!$B$5:$H$1621</definedName>
    <definedName name="月牙锁">#REF!</definedName>
    <definedName name="支座连接">#REF!</definedName>
    <definedName name="制作安装及加工费">[18]MC!$B$2</definedName>
    <definedName name="中建">[57]資料庫!$B$5:$AT$753</definedName>
    <definedName name="主材表">[58]材料表!$B$4:$G$47</definedName>
    <definedName name="資料庫">[55]資料庫!$B$5:$H$2024</definedName>
    <definedName name="综合单价">INDIRECT("'"&amp;[59]清单!XEY1&amp;".'!F2")</definedName>
    <definedName name="综合单价1">'[60]综合单价分析表 '!$A:$J</definedName>
    <definedName name="总包配合费">#REF!</definedName>
    <definedName name="玻璃百叶窗安装费">#REF!</definedName>
    <definedName name="玻璃百叶窗加工费">#REF!</definedName>
    <definedName name="玻璃栏板安装费">[61]参数表!$E$9</definedName>
    <definedName name="玻璃栏板加工费">[61]参数表!$E$8</definedName>
    <definedName name="玻璃栏杆安装费">#REF!</definedName>
    <definedName name="玻璃栏杆加工费">#REF!</definedName>
    <definedName name="玻璃幕墙安装费">[61]参数表!$E$19</definedName>
    <definedName name="玻璃幕墙加工费">[61]参数表!$E$18</definedName>
    <definedName name="玻璃雨棚安装费">#REF!</definedName>
    <definedName name="玻璃雨棚加工费">#REF!</definedName>
    <definedName name="不锈钢板幕墙安装费">#REF!</definedName>
    <definedName name="不锈钢板幕墙加工费">#REF!</definedName>
    <definedName name="不锈钢栏杆安装费">#REF!</definedName>
    <definedName name="不锈钢栏杆加工费">#REF!</definedName>
    <definedName name="不锈钢雨棚安装费">#REF!</definedName>
    <definedName name="不锈钢雨棚加工费">#REF!</definedName>
    <definedName name="擦窗机安装费">#REF!</definedName>
    <definedName name="槽式埋件安装费">#REF!</definedName>
    <definedName name="槽式埋件加工费">#REF!</definedName>
    <definedName name="单元式安装费">#REF!</definedName>
    <definedName name="单元式加工费">#REF!</definedName>
    <definedName name="地弹门安装费">#REF!</definedName>
    <definedName name="地弹门加工费">#REF!</definedName>
    <definedName name="点式玻璃幕墙安装费">[61]参数表!$E$15</definedName>
    <definedName name="点式玻璃幕墙加工费">[61]参数表!$E$14</definedName>
    <definedName name="电动开启窗安装费">#REF!</definedName>
    <definedName name="电动开启窗加工费">#REF!</definedName>
    <definedName name="防火幕墙安装费">[61]参数表!$E$5</definedName>
    <definedName name="防火幕墙加工费">[61]参数表!$E$4</definedName>
    <definedName name="钢结构安装费">[61]参数表!$E$17</definedName>
    <definedName name="钢结构加工费">[61]参数表!$E$16</definedName>
    <definedName name="钢结构挑檐安装费">#REF!</definedName>
    <definedName name="钢结构挑檐加工费">#REF!</definedName>
    <definedName name="横明竖隐玻璃幕墙安装费">#REF!</definedName>
    <definedName name="横明竖隐玻璃幕墙加工费">#REF!</definedName>
    <definedName name="结构胶损耗">#REF!</definedName>
    <definedName name="龙骨损耗">#REF!</definedName>
    <definedName name="铝板安装费">[61]参数表!$E$23</definedName>
    <definedName name="铝板吊顶安装费">[61]参数表!$E$13</definedName>
    <definedName name="铝板吊顶加工费">[61]参数表!$E$12</definedName>
    <definedName name="铝板加工费">[61]参数表!$E$22</definedName>
    <definedName name="铝板幕墙_无龙骨_安装费">#REF!</definedName>
    <definedName name="铝板幕墙_无龙骨_加工费">#REF!</definedName>
    <definedName name="铝板幕墙安装费">#REF!</definedName>
    <definedName name="铝板幕墙加工费">#REF!</definedName>
    <definedName name="铝板雨棚安装费">#REF!</definedName>
    <definedName name="铝板雨篷加工费">#REF!</definedName>
    <definedName name="铝板装饰线安装费">#REF!</definedName>
    <definedName name="铝板装饰线加工费">#REF!</definedName>
    <definedName name="铝合金百叶安装费">#REF!</definedName>
    <definedName name="铝合金百叶加工费">#REF!</definedName>
    <definedName name="铝合金栏杆安装费">#REF!</definedName>
    <definedName name="铝合金栏杆加工费">#REF!</definedName>
    <definedName name="铝合金门窗安装费">#REF!</definedName>
    <definedName name="铝合金门窗加工费">#REF!</definedName>
    <definedName name="铝合金装饰线安装费">#REF!</definedName>
    <definedName name="铝合金装饰线加工费">#REF!</definedName>
    <definedName name="面板损耗">#REF!</definedName>
    <definedName name="明框玻璃幕墙安装费">#REF!</definedName>
    <definedName name="明框玻璃幕墙加工费">#REF!</definedName>
    <definedName name="幕墙上悬窗安装费">#REF!</definedName>
    <definedName name="幕墙上悬窗加工费">#REF!</definedName>
    <definedName name="耐候胶损耗">#REF!</definedName>
    <definedName name="喷涂损耗">#REF!</definedName>
    <definedName name="平移门安装费">#REF!</definedName>
    <definedName name="平移门加工费">#REF!</definedName>
    <definedName name="其他损耗">#REF!</definedName>
    <definedName name="石材幕墙安装费">#REF!</definedName>
    <definedName name="石材幕墙加工费">#REF!</definedName>
    <definedName name="首层玻璃幕墙安装费">#REF!</definedName>
    <definedName name="首层玻璃幕墙加工费">#REF!</definedName>
    <definedName name="竖明横隐玻璃幕墙">#REF!</definedName>
    <definedName name="竖明横隐玻璃幕墙安装费">#REF!</definedName>
    <definedName name="竖明横隐玻璃幕墙加工费">#REF!</definedName>
    <definedName name="竖明横隐钢骨架玻璃幕墙安装费">#REF!</definedName>
    <definedName name="竖明横隐钢骨架玻璃幕墙加工费">#REF!</definedName>
    <definedName name="水泥纤维板幕墙安装费">#REF!</definedName>
    <definedName name="水泥纤维板幕墙加工费">#REF!</definedName>
    <definedName name="税金">#REF!</definedName>
    <definedName name="涂料安装费">[61]参数表!$E$11</definedName>
    <definedName name="涂料加工费">[61]参数表!$E$10</definedName>
    <definedName name="屋顶横明竖隐玻璃幕墙安装费">#REF!</definedName>
    <definedName name="屋顶横明竖隐玻璃幕墙加工费">#REF!</definedName>
    <definedName name="预埋件安装费">#REF!</definedName>
    <definedName name="预埋件加工费">#REF!</definedName>
    <definedName name="砖损耗">#REF!</definedName>
    <definedName name="自动旋转门安装费">#REF!</definedName>
    <definedName name="自动旋转门加工费">#REF!</definedName>
    <definedName name="____________________________a1">#REF!</definedName>
    <definedName name="__________ae1">#N/A</definedName>
    <definedName name="__________wa2">#REF!</definedName>
    <definedName name="_________wa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<sst xmlns="http://schemas.openxmlformats.org/spreadsheetml/2006/main" count="353" uniqueCount="247">
  <si>
    <t>分部分项工程量清单</t>
  </si>
  <si>
    <t>工程名称：广西白龙核电厂前区及倒班检修宿舍建设工程-65综合办公楼</t>
  </si>
  <si>
    <t>成本单价组成（投标人填写）</t>
  </si>
  <si>
    <t>序号</t>
  </si>
  <si>
    <t>项目名称</t>
  </si>
  <si>
    <t>项目特征描述</t>
  </si>
  <si>
    <t>单位</t>
  </si>
  <si>
    <t>工程量汇总</t>
  </si>
  <si>
    <t>不含成本单价</t>
  </si>
  <si>
    <t>不含税合计金额（元）</t>
  </si>
  <si>
    <t>备注</t>
  </si>
  <si>
    <t>单价合计</t>
  </si>
  <si>
    <t>主材费</t>
  </si>
  <si>
    <t>主材损耗率</t>
  </si>
  <si>
    <t>人工费</t>
  </si>
  <si>
    <t>辅材费</t>
  </si>
  <si>
    <t>机械费</t>
  </si>
  <si>
    <t>管理费</t>
  </si>
  <si>
    <t>利润</t>
  </si>
  <si>
    <t>合计</t>
  </si>
  <si>
    <t>一</t>
  </si>
  <si>
    <t>装饰工程</t>
  </si>
  <si>
    <t>（一）</t>
  </si>
  <si>
    <t>楼地面装饰工程</t>
  </si>
  <si>
    <t>石材地面F1</t>
  </si>
  <si>
    <t>1.20厚花岗石/大理石板，DTG砂浆擦缝
2.30厚M15砂浆结合层
3.素水泥扫浆或界面剂1 道
4.现浇钢筋混凝土楼板</t>
  </si>
  <si>
    <t>㎡</t>
  </si>
  <si>
    <t>石材晶面</t>
  </si>
  <si>
    <t>位置：石材面
1.抛光
2.涂刷结晶镜面剂
3.打磨：粗磨，细磨，精磨
4.石材清缝填缝</t>
  </si>
  <si>
    <t>石材刷防护涂料</t>
  </si>
  <si>
    <t>1.石材六面刷防护涂料</t>
  </si>
  <si>
    <t>仿石地砖F2</t>
  </si>
  <si>
    <t>1.10厚防滑地砖,干水泥擦缝
2.40厚M15砂浆（1：3干硬性水泥砂浆）结合层，表面撒水泥粉
3.素水泥扫浆或界面剂1道
4.现浇钢筋混凝土楼板</t>
  </si>
  <si>
    <t>防滑地砖（防水）F3</t>
  </si>
  <si>
    <t>1.10厚防滑地砖面层，DTG砂浆擦缝
2.20厚M15砂浆(1:3干硬性水泥砂浆)结合层，表面撒水泥粉
3.素水泥扫浆或界面剂1道
4.现浇钢筋混凝土结构楼板</t>
  </si>
  <si>
    <t>防滑地砖F4</t>
  </si>
  <si>
    <t>1.8~12 厚同质防滑地砖，素水泥擦缝
2.40厚M15砂浆（1：3干硬性水泥砂浆）结合层， 表面撒水泥粉
3.素水泥扫浆或界面剂1道
4.现浇钢筋混凝土结构楼板</t>
  </si>
  <si>
    <t>块料楼地面F3</t>
  </si>
  <si>
    <t>1.位置：楼梯间
2.8~12厚同质防滑地砖，素水泥擦缝
3.40厚15干硬性水泥砂浆结合层，表面撒水泥粉
4.素水泥扫浆或界面剂一道
5.按展开面积计算</t>
  </si>
  <si>
    <t>护栏下基座瓷砖包边</t>
  </si>
  <si>
    <t>位置：护栏下基座1个正面+2个侧面
1.面层瓷砖铺贴，砂浆或瓷砖粘结剂，同色填缝；
2.瓷砖阳角拼缝见光面L型直角5mm*5mm拼角
3.砂浆或粘贴剂粘贴层
4.基层基面素水泥扫浆或界面剂一道</t>
  </si>
  <si>
    <t>踏步防滑槽</t>
  </si>
  <si>
    <t>待定
做法暂定：
22J403-1，5-7页-图10，瓷砖面边沿75宽处设4道凹槽，
另见施工图大样图</t>
  </si>
  <si>
    <t>m</t>
  </si>
  <si>
    <t>复合地板楼面F6</t>
  </si>
  <si>
    <t>1.10-18厚复合木地板，地板胶粘剂粘铺，背面满刷木材防腐剂
2.32~40厚M20水泥砂浆找平层
3.素水泥扫浆或界面剂一道</t>
  </si>
  <si>
    <t>实木地板：菠萝格 金丝柚木 见封样样板材质</t>
  </si>
  <si>
    <t>1.位置：董事长 部门长办公室
2.18厚实木地板，背面贴防潮锡箔
3.木地板防潮垫
4.3厚垫层水泥基自流平砂浆
5.20厚C25细石混凝土基层，随打随抹平，强度达标后表面打磨
6.素水泥扫浆或界面剂1 道
7.现浇钢筋混凝土楼板</t>
  </si>
  <si>
    <t>耐磨混凝土楼面F7</t>
  </si>
  <si>
    <r>
      <rPr>
        <sz val="10"/>
        <rFont val="黑体"/>
        <charset val="134"/>
      </rPr>
      <t>1.现浇钢筋混凝土结构楼板50厚C20细石混凝（内配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6@200双向钢筋网片在砼初凝时，加耐磨料,用量为 5KG/M2
2.钢筋混凝土楼板</t>
    </r>
  </si>
  <si>
    <t>金刚砂固化地面F8</t>
  </si>
  <si>
    <r>
      <rPr>
        <sz val="10"/>
        <rFont val="黑体"/>
        <charset val="134"/>
      </rPr>
      <t>1.养护剂，养护抛光
2.双组份固化剂，用量不少于0.5kg/m2金刚砂耐磨地坪（彩色），机械抹光，材料用量5kg/m2
3.现浇钢筋混凝土面层，200mm 厚 C25 砼，内配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6@200 双向钢筋
4.水泥砂浆一道（内掺 5%建筑胶）
5.钢筋混凝土地下室底板随捣随抹，抗渗等级 P8</t>
    </r>
  </si>
  <si>
    <t>PVC地板F12（卷材/方块地毯）</t>
  </si>
  <si>
    <t>1.2厚PVC/橡胶地板卷材或3厚PVC/橡胶地板方块PVC地板F12（卷材/方块地毯）块材，用专用胶粘剂铺，用滚筒碾压2遍
2.3厚垫层水泥基自流平砂浆
3.40厚C25细石混凝土基层，随打随抹平，强度达标后表面打磨
4.素水泥扫浆或界面剂1 道
5.现浇钢筋混凝土楼板</t>
  </si>
  <si>
    <t>防辐射细石混凝土楼地面F9</t>
  </si>
  <si>
    <r>
      <rPr>
        <sz val="10"/>
        <rFont val="黑体"/>
        <charset val="134"/>
      </rPr>
      <t>1.3.0mm厚青灰色水性环氧防静电涂层三道（最后一道待设备安装后粉刷）
2.50厚C20细石混凝土整筑层随捣随光,内埋10x10钢丝网屏蔽层，（内配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6@200 双向钢筋网片）
3.1.5mm厚聚合物水泥防水涂料两道，四周沿墙上翻高出完成面，300高
4.现浇钢筋砼结构底板</t>
    </r>
  </si>
  <si>
    <t>架空防静电活动地板F10</t>
  </si>
  <si>
    <t>1.300高架空防静电地板
2.地板支座及布线空腔
3.现浇钢筋混凝土楼板,随捣随光</t>
  </si>
  <si>
    <t>细石混凝土楼面（防水）F11</t>
  </si>
  <si>
    <r>
      <rPr>
        <sz val="10"/>
        <rFont val="黑体"/>
        <charset val="134"/>
      </rPr>
      <t>1.50厚C30细石混凝土内配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6@200 双向钢筋网片）
2.1.2+1.2厚JS-II型防水，墙根上翻至完成面 300mm
3.20厚DS20（1：2.5）水泥砂浆找平层
4.现浇钢筋混凝土楼板,随捣随光,水泥砂浆一道（内渗 5%建筑胶）</t>
    </r>
  </si>
  <si>
    <t>仿水磨石地砖F5</t>
  </si>
  <si>
    <t>1.15厚1∶2.5 水泥彩色石子地面，表面磨光打蜡
2.20厚M15砂浆(1:3 水泥砂浆)结合层，干后卧分格条分格条打眼3.穿22号镀锌低碳钢丝，水泥浆八字角卧牢，每米4眼
4.素水泥扫浆或界面剂1道
5.现浇钢筋混凝土楼板</t>
  </si>
  <si>
    <t>水泥砂浆楼地面（20mm厚）</t>
  </si>
  <si>
    <t>1.位置：一般楼地面
1.20厚M15水泥砂浆找平层
2.基层基面素水泥扫浆或界面剂一道</t>
  </si>
  <si>
    <t>楼梯地面水泥砂浆楼地面（20mm厚）</t>
  </si>
  <si>
    <t>1.位置：楼梯地面
2.20厚M15水泥砂浆找平层
3.基层基面素水泥扫浆或界面剂一道</t>
  </si>
  <si>
    <t>护栏下基座石材包边</t>
  </si>
  <si>
    <t>1.位置：共享大堂二层调空临边处玻璃护栏底部基座
2.面层石材铺贴，砂浆或石材专用粘结剂，同色填缝；
3.石材见光侧面阳角边磨边抛光/阳角处2*2倒边磨边抛光
4.砂浆或粘贴剂粘贴层
5.基层基面素水泥扫浆或界面剂一道</t>
  </si>
  <si>
    <t>护栏下基座岩板包边</t>
  </si>
  <si>
    <t>1.位置：公共走廊临边处护栏底部基座
2.岩板面层 
3.砂浆或粘贴剂粘贴层
4.基层基面素水泥扫浆或界面剂一道</t>
  </si>
  <si>
    <t>门槛石
厚度：18mm</t>
  </si>
  <si>
    <t>1.面层石材铺贴，砂浆或石材专用粘结剂，同色填缝；
2.石材见光侧面阳角边磨边抛光/阳角处2*2倒边磨边抛光
3.砂浆或粘贴剂粘贴层结合层；
4.基层基面素水泥扫浆或界面剂一道</t>
  </si>
  <si>
    <t>窗台石
宽度：75mm</t>
  </si>
  <si>
    <t>位置：窗台处
1.面层石材铺贴，砂浆或石材专用粘结剂，同色填缝；
2.石材见光侧面加厚，阳角边磨边抛光/阳角处2*2倒边磨边抛光
3.砂浆或粘贴剂粘贴层结合层；
4.基层基面素水泥扫浆或界面剂一道</t>
  </si>
  <si>
    <t>水泥砂浆楼地面每增加1mm</t>
  </si>
  <si>
    <r>
      <rPr>
        <sz val="10"/>
        <rFont val="黑体"/>
        <charset val="134"/>
      </rPr>
      <t>水泥砂浆楼地面每增加1mm</t>
    </r>
    <r>
      <rPr>
        <sz val="10"/>
        <rFont val="Arial"/>
        <charset val="134"/>
      </rPr>
      <t></t>
    </r>
    <r>
      <rPr>
        <sz val="10"/>
        <rFont val="黑体"/>
        <charset val="134"/>
      </rPr>
      <t xml:space="preserve">
1.找平层/砂浆粘贴层水泥砂浆找平层每增加1mm</t>
    </r>
  </si>
  <si>
    <t>瓷砖为地漏水龙头/开关插座盒/马桶孔位/设备安装所需孔槽盒栋/护栏铁件/开孔开孔</t>
  </si>
  <si>
    <t>1.机械开孔，方形边长100或圆形直径100以内</t>
  </si>
  <si>
    <t>个</t>
  </si>
  <si>
    <t>（二）</t>
  </si>
  <si>
    <t>墙、柱装饰工程</t>
  </si>
  <si>
    <t>块料墙面N1</t>
  </si>
  <si>
    <t>1.5~10厚釉面砖,DTG砂浆勾缝或白水泥擦缝
2.10厚砂浆或瓷砖胶粘剂粘结层
3.界面剂1道
4.N9 20厚M15砂浆(1:3水泥砂浆)打底找平</t>
  </si>
  <si>
    <t>块料墙面（防水）N2</t>
  </si>
  <si>
    <t>1.5~10厚釉面砖,DTG砂浆勾缝或白水泥擦缝
2.10厚砂浆或瓷砖胶粘剂粘结层
3.N9 20厚M15砂浆(1:3水泥砂浆)打底找平</t>
  </si>
  <si>
    <t>墙面一般抹灰（20mm厚）</t>
  </si>
  <si>
    <t>位置：厨房、卫生间、管井、设备机房、地下室墙柱梁面
1.20厚M15水泥砂浆分层抹灰找平
2.冲筋或抹找平点
3.基面不同材料交接处钉(挂)铁丝网
4.甩浆毛化
5.刷界面剂一道
6.清扫浮尘，钉头铁件防锈漆处理
7.混凝土柱梁轻质砖墙面</t>
  </si>
  <si>
    <t>涂料墙面N4</t>
  </si>
  <si>
    <t>1.白色无机内墙涂料2遍
2.耐酸碱涂料底涂1遍
3.腻子批嵌3遍
4.满贴耐碱玻纤网格布一道
5.N10粉刷石膏抹灰</t>
  </si>
  <si>
    <t>防霉无机涂料墙面N5</t>
  </si>
  <si>
    <t>1.白色无机防霉内墙涂料2遍
2.耐酸碱涂料底涂1遍
3.腻子批嵌3遍
4.满贴耐碱玻纤网格布一道
5.N10粉刷石膏抹灰</t>
  </si>
  <si>
    <t>防辐射金属屏蔽涂料内墙N6</t>
  </si>
  <si>
    <t>防辐射金属屏蔽顶棚（A级，专业公司设计）
06J902-1，X34-4
1.嵌缝，防潮腻子防潮涂料各3遍
2.9厚防火石膏板
3.2厚铅板+12厚防火石膏板
4.2厚*50宽铅板条粘贴在龙骨上
5.19*50*0.5轻钢龙骨，竖向通长@420，板接缝处设置衬垫19*50龙骨或0.6*60钢带，上下端安装轻钢边龙骨与竖向龙骨固定
6.0.6厚U型卡（镀锌钢板条），直径6膨胀螺栓@800与墙体连接固定
06J902-1，X1-4.12.1/4.12.2
7.20厚钡水泥（（P≥2.35g/cm3））分层打底找平
8.界面剂一道
9.基层：混凝土墙、砌块墙240厚</t>
  </si>
  <si>
    <t>纤维增强水泥穿孔板吸声墙面N7</t>
  </si>
  <si>
    <r>
      <rPr>
        <sz val="10"/>
        <rFont val="黑体"/>
        <charset val="134"/>
      </rPr>
      <t>1.6 厚纤维增强水泥穿孔板，穿孔率20%
2.玻璃布一层绷紧固定在龙骨表面
3.40厚玻璃棉毡用建筑胶粘剂粘贴于龙骨档内
4.50X50X0.5轻钢龙骨用钢钉或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6膨胀螺栓与墙面固定
5.N9 20厚M15水泥砂浆分层打底扫毛并找平
6.界面剂一道
7.混凝土墙、砌块墙</t>
    </r>
  </si>
  <si>
    <t>壁纸（织物）墙面N8</t>
  </si>
  <si>
    <t>1.专用胶粘剂贴壁纸(织物)
2.壁纸基膜1道
3.满刮3~5厚耐水腻子
4.满贴耐碱玻纤网格布一道
5.N9粉刷石膏抹灰</t>
  </si>
  <si>
    <t>墙面水泥砂浆抹灰N9</t>
  </si>
  <si>
    <t>1.20厚M15水泥砂浆分层抹灰找平
2.冲筋或抹找平点
3.基面不同材料交接处钉(挂)铁丝网
4.甩浆毛化
5.刷界面剂一道
6.清扫浮尘，钉头铁件防锈漆处理
7.混凝土柱梁轻质砖墙面</t>
  </si>
  <si>
    <t>抹灰玻纤网</t>
  </si>
  <si>
    <t>位置：腻子与基层连接界面处
1.满贴耐碱玻纤网格布一道（或压入腻子内）</t>
  </si>
  <si>
    <t>免漆板木饰面N13</t>
  </si>
  <si>
    <t>1.免漆木饰面WD-01
2.墙面0.5mm防潮薄膜
3.基层12mm阻燃板，防潮防火涂料各三遍，螺丝固定于龙骨上
4.U型19*50轻钢龙骨，竖向通长，横向间距420，用铁片钢钉或木塞螺丝与墙连接，调平</t>
  </si>
  <si>
    <t>硬包墙面N15</t>
  </si>
  <si>
    <t>1.硬包板安装，1mm自然缝，金属连接件连接，非见光面直钉固定
2.硬包饰面皮革布料覆面包裹在底板上，表面摊平绷紧，折向背面用胶水和码钉固定
3.9mm厚雪峰板（PVC发泡板）制作软包底板
4.基层9mm阻燃板，防潮防火涂料各三遍，螺丝固定于龙骨上
5.U型19*50轻钢龙骨，竖向通长，横向间距420，用铁片钢钉或木塞螺丝与墙连接，调平</t>
  </si>
  <si>
    <t>岩板造型墙面</t>
  </si>
  <si>
    <t>1.位置：背景墙
2.7~10厚岩板,1mm自然缝（不填缝）
3.10厚瓷砖胶粘剂粘结层
4.界面剂1道
5.20厚 M15砂浆(1:3水泥砂浆)打底找平</t>
  </si>
  <si>
    <t>岩板墙面N12</t>
  </si>
  <si>
    <t>1.位置：背景墙背面、柱子
2.7~10厚岩板,1mm自然缝（不填缝）
3.10厚瓷砖胶粘剂粘结层
4.界面剂1道
5.20厚 M15砂浆(1:3水泥砂浆)打底找平</t>
  </si>
  <si>
    <t>1.位置：电梯厅
2.7~10厚岩板,1mm自然缝（不填缝）
3.10厚瓷砖胶粘剂粘结层
4.界面剂1道
5.20厚 M15砂浆(1:3水泥砂浆)打底找平</t>
  </si>
  <si>
    <t>1.位置：过道墙面
2.7~10厚岩板,1mm自然缝（不填缝）
3.10厚瓷砖胶粘剂粘结层
4.界面剂1道
5.20厚 M15砂浆(1:3水泥砂浆)打底找平</t>
  </si>
  <si>
    <t>墙面灯带凹槽制作</t>
  </si>
  <si>
    <t>1.9mm厚石膏板，螺钉固定在基层板上
2.18mmm木工板，防潮防火涂料各三遍
3.样式规格见详图</t>
  </si>
  <si>
    <t>消防箱暗门</t>
  </si>
  <si>
    <t>1.门扇背面无机涂料刷白，正面预留瓷砖贴面层厚度位置（瓷砖/岩板/石材/壁纸/涂料另列项）
2.门扇封板：双面9mm厚硅酸钙板封板
3.门框门扇制作安装：40*40镀锌角钢/20mm*40mm镀锌矩形钢管，门框焊接或直径6mm膨胀螺丝@600与洞口结构连接固定，门扇用铰链连接在门框上，
4.规格：800*1900以内，按设计图纸尺寸</t>
  </si>
  <si>
    <t>包不锈钢门套</t>
  </si>
  <si>
    <t>位置：电梯门套，防火门门套，管井门门套
1.不锈钢饰面（凹凸面）
2.木工板涂刷防潮漆/防火涂料各3遍
3.基层18mm木工板筒子板</t>
  </si>
  <si>
    <t>不锈钢饰面
（门头上方）</t>
  </si>
  <si>
    <t>1.不锈钢饰面（凹凸面）
2.木工板涂刷防潮漆/防火涂料各3遍
3.基层18mm木工板筒子板</t>
  </si>
  <si>
    <t>干挂石材N22</t>
  </si>
  <si>
    <r>
      <rPr>
        <sz val="10"/>
        <rFont val="黑体"/>
        <charset val="134"/>
      </rPr>
      <t>1.转入下道石材晶面工序
2.25厚石材干挂，4厚不锈钢连接件一端挂入石材槽口，填充石材胶粘剂，连接件另一端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6不锈钢螺栓固定于横向龙骨上
3.横向L50*50*5（厚度≥4）龙骨焊接在竖向龙骨上，竖向焊接（横向不焊接），焊缝长≥50mm，焊缝清除焊渣后刷防锈漆2遍
4.竖向龙骨C8#槽钢（80*45*5），与L50*50*5角码焊接固定，焊缝长≥50mm，焊缝清除焊渣后刷防锈漆2遍
5.L50*50*5角码焊接固定与预埋或后置钢板上，正面满焊，焊缝清除焊渣后刷防锈漆2遍
6.预埋或后置埋板-200*200*8，4*</t>
    </r>
    <r>
      <rPr>
        <sz val="10"/>
        <rFont val="宋体"/>
        <charset val="134"/>
      </rPr>
      <t>∅</t>
    </r>
    <r>
      <rPr>
        <sz val="10"/>
        <rFont val="黑体"/>
        <charset val="134"/>
      </rPr>
      <t>10钢筋（带弯钩）或4*</t>
    </r>
    <r>
      <rPr>
        <sz val="10"/>
        <rFont val="宋体"/>
        <charset val="134"/>
      </rPr>
      <t>∅</t>
    </r>
    <r>
      <rPr>
        <sz val="10"/>
        <rFont val="黑体"/>
        <charset val="134"/>
      </rPr>
      <t>10膨胀螺栓固定于混凝土结构中，埋板间距横向≤1500竖向≤3000。埋板遇轻质砖墙时采用直径</t>
    </r>
    <r>
      <rPr>
        <sz val="10"/>
        <rFont val="宋体"/>
        <charset val="134"/>
      </rPr>
      <t>∅</t>
    </r>
    <r>
      <rPr>
        <sz val="10"/>
        <rFont val="黑体"/>
        <charset val="134"/>
      </rPr>
      <t>12穿墙螺栓4厚垫片，埋板遇轻钢龙骨石膏板水泥板墙时则增设钢立柱或构造柱（另由建筑提供）。</t>
    </r>
  </si>
  <si>
    <t>玻璃隔断</t>
  </si>
  <si>
    <t>1.位置：
2.安装方式:玻璃胶粘贴
3.面层材料品种、规格、颜色:10mm厚钢化玻璃</t>
  </si>
  <si>
    <t>轻型钢骨架石膏板隔墙</t>
  </si>
  <si>
    <t>1.位置：电梯后
2.基层板：双层9.5mm厚石膏板
3.50mm厚，48kg/m3的吸音棉
4.U型19*50轻钢龙骨，竖向通长，横向间距420，用铁片钢钉或木塞螺丝与墙连接，调平</t>
  </si>
  <si>
    <t>木基层木饰面墙（柜）金属板墙为插座开关开孔</t>
  </si>
  <si>
    <t>（三）</t>
  </si>
  <si>
    <t>天棚工程</t>
  </si>
  <si>
    <t>涂料顶棚D1</t>
  </si>
  <si>
    <t>1.白色无机涂料饰面2遍
2.耐酸碱涂料底涂1遍
3.耐水腻子3遍刮顺平
4.D10粉刷石膏抹灰找顺平
5.刷界面剂一道
5.清除浮尘，钉头铁件防锈处理
6.现浇钢筋混凝土板</t>
  </si>
  <si>
    <t>防霉无机涂料顶棚D2</t>
  </si>
  <si>
    <t>1.白色无机防霉涂料饰面2遍
2.耐酸碱涂料底涂1遍
3.耐水腻子3遍刮顺平
4.D10粉刷石膏抹灰找顺平
5.刷界面剂一道
6.清除浮尘，钉头铁件防锈处理
7.现浇钢筋混凝土板</t>
  </si>
  <si>
    <t>裸顶顶棚粉刷石膏抹灰D10</t>
  </si>
  <si>
    <t>1.20厚粉刷石膏分层抹灰往房间中间起拱找顺平
2.冲筋或抹找平点
3.基面不同材料交接处钉(挂)铁丝网
4.甩浆毛化
5.刷界面剂一道
6.清扫浮尘，钉头铁件防锈处理
7.混凝土楼板底</t>
  </si>
  <si>
    <t>轻钢龙骨铝扣板顶棚D3</t>
  </si>
  <si>
    <r>
      <rPr>
        <sz val="10"/>
        <rFont val="黑体"/>
        <charset val="134"/>
      </rPr>
      <t>1.吊顶板：300x600x0.3铝合金条板吊顶与配套专用龙骨固定
2.主龙骨：C型38轻钢龙骨，次龙骨：T型24X32轻钢龙骨
3.承托角边线条：30*30金属角边安装，钢钉间距≤600固定在墙壁或梁上
4.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6吊杆，双向中距≤1200，吊杆上部与板底后置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6内胀螺栓固定
5.钢筋混凝土结构楼板内后置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6内胀螺栓，双向中距≤1200
6.钢筋混凝土结构楼板</t>
    </r>
  </si>
  <si>
    <t>纤维增强水泥穿孔板吸声顶棚D5</t>
  </si>
  <si>
    <r>
      <rPr>
        <sz val="10"/>
        <rFont val="黑体"/>
        <charset val="134"/>
      </rPr>
      <t>1.吊顶板： 600*600*6纤维增强水泥穿孔板，穿孔率20%
2.50厚32kg/m3离心玻璃布袋填于龙骨档内
3.主龙骨：C型38轻钢龙骨，次龙骨：T型24X32轻钢龙骨
4.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8吊杆，双向中距≤1200，吊杆上部与板底后置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8内胀螺栓固定
5.钢筋混凝土结构楼板内后置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8内胀螺栓，双向中距≤1200
6.钢筋混凝土结构楼板</t>
    </r>
  </si>
  <si>
    <t>防辐射金属屏蔽顶棚D6</t>
  </si>
  <si>
    <t>1.防辐射金属屏蔽涂料墙面（A级，专业公司设计）
06J902-1，X30~X31
1.嵌缝，防潮腻子防潮涂料各3遍
2.9厚防火石膏板石膏板
3.2厚铅板+12厚防火石膏板
4.2厚50宽铅板条粘贴在龙骨上
5.19*50*0.5次龙骨，@420*1200，吊挂卡件连接与主龙骨，四周与沿边龙骨固定
6.C型60主龙骨@750，直径8吊杆@750，直径8内胀螺栓连接结构楼板底内
06J902-1，X1-4.12.4
7.10厚钡水泥砂浆（P≥2.7g/cm3）分层打底扫毛并找顺平
8.界面剂一道
9.基层：混凝土楼板底</t>
  </si>
  <si>
    <t>吊顶天棚D7</t>
  </si>
  <si>
    <r>
      <rPr>
        <sz val="10"/>
        <rFont val="黑体"/>
        <charset val="134"/>
      </rPr>
      <t>1.双层（9+9）厚石膏板,板材用自攻螺丝与龙骨固定
2.C型横撑副龙骨,间距等于硅酸钙板板长，用挂插件与次龙骨联结
3.C型次龙骨,中距420,用挂件与承载龙骨联结
4.卡式主龙骨，中距&lt;1200,用吊件与吊杆连接后找平
5.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8吊杆，双向中距≤1200，吊杆上部与板底后置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8内胀螺栓固定
6.钢筋混凝土结构楼板内后置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8内胀螺栓，双向中距≤1200
7.钢筋混凝土结构楼板</t>
    </r>
  </si>
  <si>
    <t>轻钢龙骨石膏板异形造型顶棚D7a</t>
  </si>
  <si>
    <r>
      <rPr>
        <sz val="10"/>
        <rFont val="黑体"/>
        <charset val="134"/>
      </rPr>
      <t>1.位置：共享大堂
1.双层（9+9）厚石膏板,板材用自攻螺丝与龙骨固定
3.C型横撑副龙骨,间距等于硅酸钙板板长，用挂插件与次龙骨联结
4.C型次龙骨,中距420,用挂件与承载龙骨联结
5.卡式主龙骨，中距&lt;1200,用吊件与吊杆连接后找平
6.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8吊杆，双向中距≤1200，吊杆上部与板底后置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8内胀螺栓固定
7.钢筋混凝土结构楼板内后置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8内胀螺栓，双向中距≤1200
8.钢筋混凝土结构楼板</t>
    </r>
  </si>
  <si>
    <t>矿棉板顶棚D4</t>
  </si>
  <si>
    <r>
      <rPr>
        <sz val="10"/>
        <rFont val="黑体"/>
        <charset val="134"/>
      </rPr>
      <t>1.600*600*12矿棉装饰板饰面层，搁放在覆面龙骨上
2.覆面龙骨：T型24X32+T型24*24轻钢龙骨，600*600
3.C型38主龙骨，中距&lt;1200，用吊件与钢筋吊杆连接后找平
4.承托角边线条：30*30金属角边安装，钢钉间距≤600固定在墙壁或梁上
5.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6吊杆，双向中距≤1200，吊杆上部与板底后置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6内胀螺栓固定
6.钢筋混凝土结构楼板内后置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6内胀螺栓，双向中距≤1200
7.钢筋混凝土结构楼板</t>
    </r>
  </si>
  <si>
    <t>顶棚铝格栅吊顶D11</t>
  </si>
  <si>
    <r>
      <rPr>
        <sz val="10"/>
        <rFont val="黑体"/>
        <charset val="134"/>
      </rPr>
      <t>1.铝格栅条（正面底面宽50mm*侧面高40mm*上折边3mm*厚0.4mm*间距净宽100mm）安装调平
3.龙骨（卡式龙骨高35mm*厚0.8mm）螺丝固定连接在吊杆上，龙骨间距</t>
    </r>
    <r>
      <rPr>
        <sz val="10"/>
        <rFont val="Arial"/>
        <charset val="134"/>
      </rPr>
      <t>≤</t>
    </r>
    <r>
      <rPr>
        <sz val="10"/>
        <rFont val="黑体"/>
        <charset val="134"/>
      </rPr>
      <t>1200mm
4.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8吊杆连接固定在后置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8内胀螺栓内
5.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8内胀螺栓后置于楼板底梁板底混凝土内
6.结构混凝土楼板底或梁底</t>
    </r>
  </si>
  <si>
    <t>原建筑混凝土楼板底喷涂涂料</t>
  </si>
  <si>
    <t>1.位置：顶棚铝格栅吊顶处
2.原建筑混凝土楼板底喷涂涂料</t>
  </si>
  <si>
    <r>
      <rPr>
        <sz val="10"/>
        <rFont val="黑体"/>
        <charset val="134"/>
      </rPr>
      <t>位置：过道
1.双层（9+9）厚石膏板,板材用自攻螺丝与龙骨固定
2.C型横撑副龙骨,间距等于硅酸钙板板长，用挂插件与次龙骨联结
3.C型次龙骨,中距420,用挂件与承载龙骨联结
4.卡式主龙骨，中距&lt;1200,用吊件与吊杆连接后找平
5.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8吊杆，双向中距≤1200，吊杆上部与板底后置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8内胀螺栓固定
6.钢筋混凝土结构楼板内后置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8内胀螺栓，双向中距≤1200
7.钢筋混凝土结构楼板</t>
    </r>
  </si>
  <si>
    <t>轻钢龙骨20mm厚铝蜂窝不锈钢复合板顶棚D16</t>
  </si>
  <si>
    <t>1.位置：电梯厅
2.后置∅8内胀螺栓，双向中距≤1200
3.∅8吊杆，双向中距≤1200，吊杆上部与板底∅8后置内胀螺栓固定
4.轻钢龙骨标准骨架:U38卡式主龙骨中距≤1200，次龙骨（高19）中距≤1200
5.20mm厚铝蜂窝不锈钢复合板</t>
  </si>
  <si>
    <t>灯槽</t>
  </si>
  <si>
    <r>
      <rPr>
        <sz val="10"/>
        <rFont val="黑体"/>
        <charset val="134"/>
      </rPr>
      <t>1.9mm厚石膏板，螺钉固定在基层板上
2.18mmm木工板，防潮防火涂料各三遍，吊件连接固定或与顶棚吊顶骨架连接
3.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8吊杆与顶棚后置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8内胀螺栓连接固定
4.样式规格见详图</t>
    </r>
  </si>
  <si>
    <t>窗帘盒</t>
  </si>
  <si>
    <r>
      <rPr>
        <sz val="10"/>
        <rFont val="黑体"/>
        <charset val="134"/>
      </rPr>
      <t>1.9mm厚石膏板，螺钉固定在基层板上
2.18mmm木工板，防潮防火涂料各三遍，沿边固定于沿边龙骨上，外侧与吊杆吊件连接固定
3.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8吊杆与顶棚后置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8内胀螺栓连接固定
4.样式规格见详图</t>
    </r>
  </si>
  <si>
    <t>顶棚不锈钢线条</t>
  </si>
  <si>
    <t>1.规格尺寸：
1.12mm厚阻燃夹板
2.1.2mm不锈钢线条</t>
  </si>
  <si>
    <t>玻璃挡烟垂壁</t>
  </si>
  <si>
    <t>1.玻璃挡烟垂壁，距地2.8米</t>
  </si>
  <si>
    <t>顶棚检修板</t>
  </si>
  <si>
    <t>1.贴纸带刮腻子刷无机涂料
2.铝合金检修板框扇安装
3.规格≤600*600</t>
  </si>
  <si>
    <t>栏杆侧面钢结构龙骨石膏板封板</t>
  </si>
  <si>
    <t>1.9mm后阻燃夹板+9mm厚石膏板,板材用自攻螺丝与龙骨固定
2.钢结构龙骨，并刷防锈漆
3.预埋板、膨胀螺栓等辅材
4.钢筋混凝土结构楼板</t>
  </si>
  <si>
    <t>顶棚铝合金线条9*9</t>
  </si>
  <si>
    <t>1.与顶棚大面同色涂料3遍
2.钉头防锈处理，缝隙填补腻子，打磨光滑
3.h型18*（9+9+9）铝合金线条安装，见光面9*9mm
4.位置：涂料顶棚顶与墙梁柱连接的阴角处</t>
  </si>
  <si>
    <t>转换层</t>
  </si>
  <si>
    <t>1.钢结构转换层</t>
  </si>
  <si>
    <t>反支撑</t>
  </si>
  <si>
    <t>1.钢结构反支撑</t>
  </si>
  <si>
    <t>（四）</t>
  </si>
  <si>
    <t>柜子及门窗工程</t>
  </si>
  <si>
    <t>卫生间门</t>
  </si>
  <si>
    <t>1.木饰面WD-01门；
2.成品门拉手、合页、门吸等五金；
3.包含但不限于编制说明、图纸、技术要求中的相关</t>
  </si>
  <si>
    <t>推拉门</t>
  </si>
  <si>
    <t>1.位置：淋浴间
2.木饰面WD-01门；
3.成品门拉手、合页、门吸等五金；
4.包含但不限于编制说明、图纸、技术要求中的相关</t>
  </si>
  <si>
    <t>房间门
硬木夹板门</t>
  </si>
  <si>
    <t>1.发泡胶后塞口
3.成品垭口门套安装，螺丝铁片固定在门洞口两侧和上部连接，固定点≤6点，校正调平直
4.结构预留门洞口</t>
  </si>
  <si>
    <t>门框发泡胶塞口</t>
  </si>
  <si>
    <t>1.门套门框与门洞口缝隙填充发泡胶</t>
  </si>
  <si>
    <t>樘</t>
  </si>
  <si>
    <t>排水管井检修门</t>
  </si>
  <si>
    <t>1.成品铝合金检修口安装
2.检修门预留洞基体修整
3.规格：600*600以内，按设计图纸尺寸</t>
  </si>
  <si>
    <t>轻型钢骨架硅酸钙板封墙</t>
  </si>
  <si>
    <t>面层与相邻墙面同样做法饰面，另列项
1.20mm厚水泥砂浆抹灰
2.挂抹灰铁丝网
3.硅酸钙板表面界面剂一道
4.基层板：9mm厚硅酸钙板
5.龙骨：40*40镀锌角钢/20mm*40mm镀锌矩形钢管，直径6mm膨胀螺丝@600与建筑顶墙地结构固定</t>
  </si>
  <si>
    <t>装饰柜</t>
  </si>
  <si>
    <t>位置：正副职办公室
1.规格尺寸：柜深≤600mm*柜高≤3500mm*长（按现场）
2.含门铰、按弹器等所有五金；
3.结合现场实际尺寸进行施工；</t>
  </si>
  <si>
    <t>茶水/文印间地柜</t>
  </si>
  <si>
    <t>1.规格尺寸：柜筒深≤600mm*柜筒高≤850mm*长（按现场）
2.含门铰、按弹器等所有五金；
3.结合现场实际尺寸进行施工；</t>
  </si>
  <si>
    <t>茶水/文印间吊柜</t>
  </si>
  <si>
    <t>1.规格尺寸：柜筒深≤400mm*柜筒高≤800mm*长（按现场）
2.含门铰、按弹器等所有五金；
3.结合现场实际尺寸进行施工；</t>
  </si>
  <si>
    <t>（五）</t>
  </si>
  <si>
    <t>踢脚线工程</t>
  </si>
  <si>
    <t>面砖踢脚T1
(100高)</t>
  </si>
  <si>
    <t>1.8~10厚彩色釉面砖，DTG砂浆勾缝
2.5厚砂浆粘贴
3.界面剂1道
4.T2水泥踢脚</t>
  </si>
  <si>
    <t>石材踢脚T2</t>
  </si>
  <si>
    <t>15 厚磨光花岗石板，DTG砂浆勾绛
5 厚砂浆粘贴
10 厚 M15 砂浆(1:3 水泥砂浆)打底并划出纹道
界面剂1 道</t>
  </si>
  <si>
    <t>仿水磨石瓷砖踢脚T3</t>
  </si>
  <si>
    <t>1.15厚预制水磨石板,六面涂刷防污剂，DTG砂浆勾缝
2.5厚砂浆粘贴
3.界面剂1道
4.T2水泥踢脚</t>
  </si>
  <si>
    <t>水泥踢脚T4
(100高)</t>
  </si>
  <si>
    <t>1.20厚M15砂浆(1:3水泥砂浆)分层找平抹光，
2.界面剂1道</t>
  </si>
  <si>
    <t>木质踢脚线T5</t>
  </si>
  <si>
    <t>1.涂料
2.18厚硬木踢脚板(背面满刷氟化钠防腐剂)用尼龙膨胀螺丝固定在T2水泥踢脚面上
3.T2水泥踢脚</t>
  </si>
  <si>
    <t>金属踢脚线T6</t>
  </si>
  <si>
    <t>1.8厚成品不锈钢踢脚板安装在金属卡件上
2.固定2厚金属卡件，间距≤600mm，固定在T2水泥踢脚面上</t>
  </si>
  <si>
    <t>PVC踢脚线T7</t>
  </si>
  <si>
    <t>1.8厚成品PVC踢脚板安装在金属卡件上
2.金属踢脚卡件用钉子固定T2水泥踢脚面上，间距≤600mm</t>
  </si>
  <si>
    <t>水泥砂浆踢脚线</t>
  </si>
  <si>
    <t>1.位置：金属踢脚线底
2.底层厚度、砂浆种类、配合比:10mm厚DP M15(1:3水泥砂浆)压实抹平</t>
  </si>
  <si>
    <t>（六）</t>
  </si>
  <si>
    <t>栏杆工程</t>
  </si>
  <si>
    <t>楼梯护栏</t>
  </si>
  <si>
    <t>待定
做法暂定：
22J403-1，2-8页-B3型（900高），材质不锈钢
1.60*3钢管扶手
2.60*3钢管立柱，3G
3.38*1.2横杆，上下间距100，25*1.0竖杆@110
4.100*100*6预埋或后置钢板，10钢筋或膨胀螺栓连接固定于楼梯地面结构中</t>
  </si>
  <si>
    <t>楼梯靠墙扶手</t>
  </si>
  <si>
    <t>待定
做法暂定：
22J403-1，5-4页-图4(900高)，材质不锈钢
1.60*2钢管扶手
2.30*2连接件(R30圆弧)@1000+不锈钢法兰
3.90*90*6埋板+直径8钢筋或膨胀螺栓连墙固定</t>
  </si>
  <si>
    <t>玻璃栏板
（高度:850mm）</t>
  </si>
  <si>
    <t>1.栏杆玻璃的种类、规格、颜色:8+8mm夹胶钢化玻璃
2.安装玻璃，调整平直，低槽注胶
3.玻璃夹槽高80*槽宽20mm*壁厚2mm不锈钢U型槽安装，角码固定在结构混凝土上或焊接固定在预埋钢板上
4.高度:850mm</t>
  </si>
  <si>
    <t>玻璃栏板
（高度:1400mm）</t>
  </si>
  <si>
    <t>1.栏杆玻璃的种类、规格、颜色:8+8mm夹胶钢化玻璃
2.安装玻璃，调整平直，低槽注胶
3.玻璃夹槽高80*槽宽20mm*壁厚2mm不锈钢U型槽安装，角码固定在结构混凝土上或焊接固定在预埋钢板上
4.高度:1400mm</t>
  </si>
  <si>
    <t>m2</t>
  </si>
  <si>
    <t>中庭栏杆木扶手</t>
  </si>
  <si>
    <t>待定
1.仿木纹铝合金扶手，椭圆（直径120/60)，扶手内套筒螺丝连接接长，接驳缝隙自然缝，毛刺清除
2.直径38不锈钢立柱（间距1200~1500施工排版确定）焊接连接于埋板上，螺丝连接固定木扶手
3.预埋或后置90*90*6钢板，直径6钢筋或膨胀螺丝与护栏混凝土连接固定</t>
  </si>
  <si>
    <t>预埋/后埋铁件</t>
  </si>
  <si>
    <t>1.位置：护栏立柱与地面连接处/扶手与墙柱连接处
2.预埋后埋钢板，150*150*8mm</t>
  </si>
  <si>
    <t>kg</t>
  </si>
  <si>
    <t>（七）</t>
  </si>
  <si>
    <t>卫生间装饰工程</t>
  </si>
  <si>
    <t>卫生间扶手a</t>
  </si>
  <si>
    <t>1.扶手材料种类、规格:φ40*3不锈钢管
2.部位:洗手盆抓杆</t>
  </si>
  <si>
    <t>套</t>
  </si>
  <si>
    <t>卫生间扶手b</t>
  </si>
  <si>
    <t>1.扶手材料种类、规格:φ40*3不锈钢管
2.部位:无障碍专用厕位固定抓杆、水平旋转安全抓杆</t>
  </si>
  <si>
    <t>洗手台</t>
  </si>
  <si>
    <r>
      <rPr>
        <sz val="10"/>
        <rFont val="黑体"/>
        <charset val="134"/>
      </rPr>
      <t>1.洗手台面板/挡水板石材安装，中性硅酮胶粘贴固定
2.12mm厚水泥板封板，螺丝固定于钢骨架上
3.钢骨架焊接点刷防锈漆，刷白色油漆二遍
4.50*50*5（30*30*3）热镀锌角钢制作安装洗手台骨架，连墙</t>
    </r>
    <r>
      <rPr>
        <sz val="10"/>
        <rFont val="宋体"/>
        <charset val="134"/>
      </rPr>
      <t>∅</t>
    </r>
    <r>
      <rPr>
        <sz val="10"/>
        <rFont val="黑体"/>
        <charset val="134"/>
      </rPr>
      <t>8膨胀螺丝与混凝土结构固定≥4处，连墙轻质砖墙时增设4处后置钢埋板8mm*150*150
5.做法见图纸详图</t>
    </r>
  </si>
  <si>
    <t>镜子安装（洗手间）</t>
  </si>
  <si>
    <t>1.5厚镀铝膜面镜安装，背面涂镜背漆一道，四角塑料角夹卡，中间塑料卡@≤1200，胶塞螺丝固定于基层墙面</t>
  </si>
  <si>
    <t>卫生间隔断</t>
  </si>
  <si>
    <t>1.25mm厚铝蜂窝仿木纹铝板厕所隔断连门安装
2.厕所隔断高度到顶，隔断门扇高度2000mm</t>
  </si>
  <si>
    <t>小便斗隔断</t>
  </si>
  <si>
    <t>1.25mm厚铝蜂窝仿木纹铝板
2.小便斗隔断高度到顶</t>
  </si>
  <si>
    <t>帘子杆</t>
  </si>
  <si>
    <t>1.不锈钢活动门帘杆
2.高度:2100mm
3.参见施工图设计、图纸答疑、招标文件及相关规范图集</t>
  </si>
  <si>
    <t>淋浴坐凳</t>
  </si>
  <si>
    <t>1.成品尼龙坐凳,M6*75钢制膨胀螺栓固定
2.参见施工图设计、图纸答疑、招标文件及相关规范图集</t>
  </si>
  <si>
    <t>预埋后置埋件铁件
位置：隔断 扶手 淋浴座凳 与墙连接处</t>
  </si>
  <si>
    <t>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</si>
</sst>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  <numFmt numFmtId="177" formatCode="0.00_ "/>
  </numFmts>
  <fonts count="33">
    <font>
      <sz val="9"/>
      <color theme="1"/>
      <name val="??"/>
      <charset val="134"/>
      <scheme val="minor"/>
    </font>
    <font>
      <sz val="10"/>
      <name val="黑体"/>
      <charset val="134"/>
    </font>
    <font>
      <b/>
      <sz val="14"/>
      <name val="黑体"/>
      <charset val="134"/>
    </font>
    <font>
      <b/>
      <sz val="10"/>
      <name val="黑体"/>
      <charset val="134"/>
    </font>
    <font>
      <sz val="10"/>
      <color theme="1"/>
      <name val="??"/>
      <charset val="134"/>
      <scheme val="minor"/>
    </font>
    <font>
      <sz val="10"/>
      <color rgb="FF002060"/>
      <name val="黑体"/>
      <charset val="134"/>
    </font>
    <font>
      <sz val="10"/>
      <name val="??"/>
      <charset val="134"/>
      <scheme val="minor"/>
    </font>
    <font>
      <sz val="10"/>
      <color rgb="FFFF0000"/>
      <name val="黑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  <font>
      <sz val="12"/>
      <name val="宋体"/>
      <charset val="134"/>
    </font>
    <font>
      <sz val="12"/>
      <name val="楷体_GB2312"/>
      <charset val="134"/>
    </font>
    <font>
      <sz val="12"/>
      <color indexed="8"/>
      <name val="宋体"/>
      <charset val="134"/>
    </font>
    <font>
      <sz val="10"/>
      <name val="Arial"/>
      <charset val="134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8AC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0" borderId="0"/>
    <xf numFmtId="0" fontId="28" fillId="0" borderId="0">
      <alignment vertical="center"/>
    </xf>
    <xf numFmtId="0" fontId="8" fillId="0" borderId="0">
      <alignment vertical="center"/>
    </xf>
    <xf numFmtId="0" fontId="28" fillId="0" borderId="0"/>
    <xf numFmtId="0" fontId="29" fillId="0" borderId="0"/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30" fillId="0" borderId="0"/>
    <xf numFmtId="0" fontId="31" fillId="0" borderId="0"/>
    <xf numFmtId="0" fontId="28" fillId="0" borderId="0"/>
    <xf numFmtId="0" fontId="8" fillId="0" borderId="0">
      <alignment vertical="center"/>
    </xf>
    <xf numFmtId="0" fontId="28" fillId="0" borderId="0"/>
  </cellStyleXfs>
  <cellXfs count="47">
    <xf numFmtId="0" fontId="0" fillId="0" borderId="0" xfId="49"/>
    <xf numFmtId="0" fontId="1" fillId="0" borderId="0" xfId="49" applyFont="1" applyFill="1"/>
    <xf numFmtId="0" fontId="1" fillId="0" borderId="0" xfId="49" applyFont="1" applyFill="1" applyAlignment="1">
      <alignment horizontal="left" vertical="center"/>
    </xf>
    <xf numFmtId="176" fontId="1" fillId="0" borderId="0" xfId="49" applyNumberFormat="1" applyFont="1" applyFill="1" applyAlignment="1">
      <alignment horizontal="center"/>
    </xf>
    <xf numFmtId="176" fontId="1" fillId="0" borderId="0" xfId="49" applyNumberFormat="1" applyFont="1" applyFill="1"/>
    <xf numFmtId="176" fontId="1" fillId="0" borderId="0" xfId="49" applyNumberFormat="1" applyFont="1" applyFill="1" applyAlignment="1">
      <alignment horizontal="center" vertical="center"/>
    </xf>
    <xf numFmtId="10" fontId="1" fillId="0" borderId="0" xfId="49" applyNumberFormat="1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176" fontId="2" fillId="0" borderId="0" xfId="49" applyNumberFormat="1" applyFont="1" applyFill="1" applyAlignment="1">
      <alignment horizontal="center" vertical="center"/>
    </xf>
    <xf numFmtId="9" fontId="1" fillId="0" borderId="0" xfId="3" applyNumberFormat="1" applyFont="1" applyFill="1" applyAlignment="1">
      <alignment horizontal="center" vertical="center"/>
    </xf>
    <xf numFmtId="176" fontId="1" fillId="0" borderId="0" xfId="49" applyNumberFormat="1" applyFont="1" applyFill="1" applyAlignment="1">
      <alignment horizontal="left" vertical="center"/>
    </xf>
    <xf numFmtId="176" fontId="1" fillId="0" borderId="1" xfId="49" applyNumberFormat="1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176" fontId="3" fillId="0" borderId="1" xfId="49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 applyProtection="1">
      <alignment horizontal="center" vertical="center"/>
    </xf>
    <xf numFmtId="177" fontId="1" fillId="0" borderId="1" xfId="0" applyNumberFormat="1" applyFont="1" applyFill="1" applyBorder="1" applyAlignment="1" applyProtection="1">
      <alignment horizontal="center" vertical="center"/>
      <protection locked="0"/>
    </xf>
    <xf numFmtId="10" fontId="1" fillId="0" borderId="1" xfId="0" applyNumberFormat="1" applyFont="1" applyFill="1" applyBorder="1" applyAlignment="1" applyProtection="1">
      <alignment horizontal="center" vertical="center"/>
      <protection locked="0"/>
    </xf>
    <xf numFmtId="10" fontId="1" fillId="0" borderId="1" xfId="49" applyNumberFormat="1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left" vertical="center" wrapText="1"/>
    </xf>
    <xf numFmtId="176" fontId="3" fillId="0" borderId="1" xfId="49" applyNumberFormat="1" applyFont="1" applyFill="1" applyBorder="1" applyAlignment="1">
      <alignment horizontal="right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176" fontId="1" fillId="0" borderId="1" xfId="49" applyNumberFormat="1" applyFont="1" applyFill="1" applyBorder="1" applyAlignment="1">
      <alignment horizontal="center" vertical="center" wrapText="1"/>
    </xf>
    <xf numFmtId="176" fontId="1" fillId="0" borderId="1" xfId="49" applyNumberFormat="1" applyFont="1" applyFill="1" applyBorder="1" applyAlignment="1">
      <alignment horizontal="right" vertical="center" wrapText="1"/>
    </xf>
    <xf numFmtId="176" fontId="4" fillId="2" borderId="1" xfId="49" applyNumberFormat="1" applyFont="1" applyFill="1" applyBorder="1" applyAlignment="1">
      <alignment horizontal="center" vertical="center"/>
    </xf>
    <xf numFmtId="10" fontId="4" fillId="2" borderId="1" xfId="49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 applyProtection="1">
      <alignment horizontal="center" vertical="center"/>
      <protection locked="0"/>
    </xf>
    <xf numFmtId="10" fontId="5" fillId="2" borderId="1" xfId="49" applyNumberFormat="1" applyFont="1" applyFill="1" applyBorder="1" applyAlignment="1">
      <alignment horizontal="center" vertical="center"/>
    </xf>
    <xf numFmtId="176" fontId="5" fillId="2" borderId="1" xfId="49" applyNumberFormat="1" applyFont="1" applyFill="1" applyBorder="1" applyAlignment="1">
      <alignment horizontal="center" vertical="center"/>
    </xf>
    <xf numFmtId="176" fontId="1" fillId="2" borderId="1" xfId="49" applyNumberFormat="1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 applyProtection="1">
      <alignment horizontal="center" vertical="center"/>
      <protection locked="0"/>
    </xf>
    <xf numFmtId="10" fontId="6" fillId="3" borderId="1" xfId="0" applyNumberFormat="1" applyFont="1" applyFill="1" applyBorder="1" applyAlignment="1" applyProtection="1">
      <alignment horizontal="center" vertical="center"/>
      <protection locked="0"/>
    </xf>
    <xf numFmtId="177" fontId="5" fillId="3" borderId="1" xfId="0" applyNumberFormat="1" applyFont="1" applyFill="1" applyBorder="1" applyAlignment="1" applyProtection="1">
      <alignment horizontal="center" vertical="center"/>
    </xf>
    <xf numFmtId="0" fontId="7" fillId="0" borderId="1" xfId="49" applyFont="1" applyFill="1" applyBorder="1" applyAlignment="1">
      <alignment horizontal="left" vertical="center" wrapText="1"/>
    </xf>
    <xf numFmtId="10" fontId="5" fillId="2" borderId="1" xfId="0" applyNumberFormat="1" applyFont="1" applyFill="1" applyBorder="1" applyAlignment="1" applyProtection="1">
      <alignment horizontal="center" vertical="center"/>
      <protection locked="0"/>
    </xf>
    <xf numFmtId="10" fontId="1" fillId="2" borderId="1" xfId="49" applyNumberFormat="1" applyFont="1" applyFill="1" applyBorder="1" applyAlignment="1">
      <alignment horizontal="center" vertical="center"/>
    </xf>
    <xf numFmtId="10" fontId="5" fillId="3" borderId="1" xfId="3" applyNumberFormat="1" applyFont="1" applyFill="1" applyBorder="1" applyAlignment="1" applyProtection="1">
      <alignment horizontal="center" vertical="center" wrapText="1"/>
    </xf>
    <xf numFmtId="177" fontId="1" fillId="2" borderId="1" xfId="0" applyNumberFormat="1" applyFont="1" applyFill="1" applyBorder="1" applyAlignment="1" applyProtection="1">
      <alignment horizontal="center" vertical="center"/>
      <protection locked="0"/>
    </xf>
    <xf numFmtId="10" fontId="1" fillId="2" borderId="1" xfId="0" applyNumberFormat="1" applyFont="1" applyFill="1" applyBorder="1" applyAlignment="1" applyProtection="1">
      <alignment horizontal="center" vertical="center"/>
      <protection locked="0"/>
    </xf>
    <xf numFmtId="177" fontId="5" fillId="3" borderId="1" xfId="0" applyNumberFormat="1" applyFont="1" applyFill="1" applyBorder="1" applyAlignment="1" applyProtection="1">
      <alignment horizontal="center" vertical="center"/>
      <protection locked="0"/>
    </xf>
    <xf numFmtId="10" fontId="5" fillId="3" borderId="1" xfId="0" applyNumberFormat="1" applyFont="1" applyFill="1" applyBorder="1" applyAlignment="1" applyProtection="1">
      <alignment horizontal="center" vertical="center"/>
      <protection locked="0"/>
    </xf>
    <xf numFmtId="177" fontId="5" fillId="0" borderId="1" xfId="0" applyNumberFormat="1" applyFont="1" applyFill="1" applyBorder="1" applyAlignment="1" applyProtection="1">
      <alignment horizontal="center" vertical="center"/>
      <protection locked="0"/>
    </xf>
    <xf numFmtId="10" fontId="5" fillId="0" borderId="1" xfId="0" applyNumberFormat="1" applyFont="1" applyFill="1" applyBorder="1" applyAlignment="1" applyProtection="1">
      <alignment horizontal="center" vertical="center"/>
      <protection locked="0"/>
    </xf>
    <xf numFmtId="177" fontId="1" fillId="3" borderId="1" xfId="0" applyNumberFormat="1" applyFont="1" applyFill="1" applyBorder="1" applyAlignment="1" applyProtection="1">
      <alignment horizontal="center" vertical="center"/>
      <protection locked="0"/>
    </xf>
    <xf numFmtId="177" fontId="1" fillId="0" borderId="1" xfId="0" applyNumberFormat="1" applyFont="1" applyFill="1" applyBorder="1" applyAlignment="1">
      <alignment horizontal="left" vertical="center" wrapText="1"/>
    </xf>
    <xf numFmtId="0" fontId="1" fillId="0" borderId="1" xfId="50" applyNumberFormat="1" applyFont="1" applyFill="1" applyBorder="1" applyAlignment="1">
      <alignment horizontal="left" vertical="center" wrapText="1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_倾城二期54栋A户型样板房" xfId="50"/>
    <cellStyle name="常规 2" xfId="51"/>
    <cellStyle name="0,0_x000d__x000a_NA_x000d__x000a_" xfId="52"/>
    <cellStyle name="常规 3 2" xfId="53"/>
    <cellStyle name="常规 3 10 2" xfId="54"/>
    <cellStyle name="千位分隔 4" xfId="55"/>
    <cellStyle name="常规 3 10 2 2" xfId="56"/>
    <cellStyle name="千位分隔 10 2" xfId="57"/>
    <cellStyle name="常规 11" xfId="58"/>
    <cellStyle name="常规 5" xfId="59"/>
    <cellStyle name="0,0_x000d__x000a_NA_x000d__x000a_ 2 2_复件 佳兆业集团总包工程模拟清单20100916" xfId="60"/>
    <cellStyle name="常规 28" xfId="61"/>
    <cellStyle name="0,0_x000d__x000a_NA_x000d__x000a_ 2 2_复件 佳兆业集团总包工程模拟清单20100916 2" xfId="6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8" Type="http://schemas.openxmlformats.org/officeDocument/2006/relationships/styles" Target="styles.xml"/><Relationship Id="rId67" Type="http://www.wps.cn/officeDocument/2020/cellImage" Target="cellimages.xml"/><Relationship Id="rId66" Type="http://schemas.openxmlformats.org/officeDocument/2006/relationships/sharedStrings" Target="sharedStrings.xml"/><Relationship Id="rId65" Type="http://schemas.openxmlformats.org/officeDocument/2006/relationships/theme" Target="theme/theme1.xml"/><Relationship Id="rId64" Type="http://schemas.openxmlformats.org/officeDocument/2006/relationships/externalLink" Target="externalLinks/externalLink63.xml"/><Relationship Id="rId63" Type="http://schemas.openxmlformats.org/officeDocument/2006/relationships/externalLink" Target="externalLinks/externalLink62.xml"/><Relationship Id="rId62" Type="http://schemas.openxmlformats.org/officeDocument/2006/relationships/externalLink" Target="externalLinks/externalLink61.xml"/><Relationship Id="rId61" Type="http://schemas.openxmlformats.org/officeDocument/2006/relationships/externalLink" Target="externalLinks/externalLink60.xml"/><Relationship Id="rId60" Type="http://schemas.openxmlformats.org/officeDocument/2006/relationships/externalLink" Target="externalLinks/externalLink59.xml"/><Relationship Id="rId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58.xml"/><Relationship Id="rId58" Type="http://schemas.openxmlformats.org/officeDocument/2006/relationships/externalLink" Target="externalLinks/externalLink57.xml"/><Relationship Id="rId57" Type="http://schemas.openxmlformats.org/officeDocument/2006/relationships/externalLink" Target="externalLinks/externalLink56.xml"/><Relationship Id="rId56" Type="http://schemas.openxmlformats.org/officeDocument/2006/relationships/externalLink" Target="externalLinks/externalLink55.xml"/><Relationship Id="rId55" Type="http://schemas.openxmlformats.org/officeDocument/2006/relationships/externalLink" Target="externalLinks/externalLink54.xml"/><Relationship Id="rId54" Type="http://schemas.openxmlformats.org/officeDocument/2006/relationships/externalLink" Target="externalLinks/externalLink53.xml"/><Relationship Id="rId53" Type="http://schemas.openxmlformats.org/officeDocument/2006/relationships/externalLink" Target="externalLinks/externalLink52.xml"/><Relationship Id="rId52" Type="http://schemas.openxmlformats.org/officeDocument/2006/relationships/externalLink" Target="externalLinks/externalLink51.xml"/><Relationship Id="rId51" Type="http://schemas.openxmlformats.org/officeDocument/2006/relationships/externalLink" Target="externalLinks/externalLink50.xml"/><Relationship Id="rId50" Type="http://schemas.openxmlformats.org/officeDocument/2006/relationships/externalLink" Target="externalLinks/externalLink49.xml"/><Relationship Id="rId5" Type="http://schemas.openxmlformats.org/officeDocument/2006/relationships/externalLink" Target="externalLinks/externalLink4.xml"/><Relationship Id="rId49" Type="http://schemas.openxmlformats.org/officeDocument/2006/relationships/externalLink" Target="externalLinks/externalLink48.xml"/><Relationship Id="rId48" Type="http://schemas.openxmlformats.org/officeDocument/2006/relationships/externalLink" Target="externalLinks/externalLink47.xml"/><Relationship Id="rId47" Type="http://schemas.openxmlformats.org/officeDocument/2006/relationships/externalLink" Target="externalLinks/externalLink46.xml"/><Relationship Id="rId46" Type="http://schemas.openxmlformats.org/officeDocument/2006/relationships/externalLink" Target="externalLinks/externalLink45.xml"/><Relationship Id="rId45" Type="http://schemas.openxmlformats.org/officeDocument/2006/relationships/externalLink" Target="externalLinks/externalLink44.xml"/><Relationship Id="rId44" Type="http://schemas.openxmlformats.org/officeDocument/2006/relationships/externalLink" Target="externalLinks/externalLink43.xml"/><Relationship Id="rId43" Type="http://schemas.openxmlformats.org/officeDocument/2006/relationships/externalLink" Target="externalLinks/externalLink42.xml"/><Relationship Id="rId42" Type="http://schemas.openxmlformats.org/officeDocument/2006/relationships/externalLink" Target="externalLinks/externalLink41.xml"/><Relationship Id="rId41" Type="http://schemas.openxmlformats.org/officeDocument/2006/relationships/externalLink" Target="externalLinks/externalLink40.xml"/><Relationship Id="rId40" Type="http://schemas.openxmlformats.org/officeDocument/2006/relationships/externalLink" Target="externalLinks/externalLink39.xml"/><Relationship Id="rId4" Type="http://schemas.openxmlformats.org/officeDocument/2006/relationships/externalLink" Target="externalLinks/externalLink3.xml"/><Relationship Id="rId39" Type="http://schemas.openxmlformats.org/officeDocument/2006/relationships/externalLink" Target="externalLinks/externalLink38.xml"/><Relationship Id="rId38" Type="http://schemas.openxmlformats.org/officeDocument/2006/relationships/externalLink" Target="externalLinks/externalLink37.xml"/><Relationship Id="rId37" Type="http://schemas.openxmlformats.org/officeDocument/2006/relationships/externalLink" Target="externalLinks/externalLink36.xml"/><Relationship Id="rId36" Type="http://schemas.openxmlformats.org/officeDocument/2006/relationships/externalLink" Target="externalLinks/externalLink35.xml"/><Relationship Id="rId35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33.xml"/><Relationship Id="rId33" Type="http://schemas.openxmlformats.org/officeDocument/2006/relationships/externalLink" Target="externalLinks/externalLink32.xml"/><Relationship Id="rId32" Type="http://schemas.openxmlformats.org/officeDocument/2006/relationships/externalLink" Target="externalLinks/externalLink31.xml"/><Relationship Id="rId31" Type="http://schemas.openxmlformats.org/officeDocument/2006/relationships/externalLink" Target="externalLinks/externalLink30.xml"/><Relationship Id="rId30" Type="http://schemas.openxmlformats.org/officeDocument/2006/relationships/externalLink" Target="externalLinks/externalLink29.xml"/><Relationship Id="rId3" Type="http://schemas.openxmlformats.org/officeDocument/2006/relationships/externalLink" Target="externalLinks/externalLink2.xml"/><Relationship Id="rId29" Type="http://schemas.openxmlformats.org/officeDocument/2006/relationships/externalLink" Target="externalLinks/externalLink28.xml"/><Relationship Id="rId28" Type="http://schemas.openxmlformats.org/officeDocument/2006/relationships/externalLink" Target="externalLinks/externalLink27.xml"/><Relationship Id="rId27" Type="http://schemas.openxmlformats.org/officeDocument/2006/relationships/externalLink" Target="externalLinks/externalLink26.xml"/><Relationship Id="rId26" Type="http://schemas.openxmlformats.org/officeDocument/2006/relationships/externalLink" Target="externalLinks/externalLink25.xml"/><Relationship Id="rId25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23.xml"/><Relationship Id="rId23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20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8.xml"/><Relationship Id="rId18" Type="http://schemas.openxmlformats.org/officeDocument/2006/relationships/externalLink" Target="externalLinks/externalLink17.xml"/><Relationship Id="rId17" Type="http://schemas.openxmlformats.org/officeDocument/2006/relationships/externalLink" Target="externalLinks/externalLink16.xml"/><Relationship Id="rId16" Type="http://schemas.openxmlformats.org/officeDocument/2006/relationships/externalLink" Target="externalLinks/externalLink15.xml"/><Relationship Id="rId15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13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hiara\Library\Containers\com.kingsoft.wpsoffice.mac\Data\Library\Application%20Support\Kingsoft\WPS%20Cloud%20Files\userdata\qing\filecache\Chiara&#30340;&#20113;&#25991;&#26723;\&#23681;&#23453;\&#25104;&#26412;\Hp-server\I\CHINA\616\BQ-MEA\MC\HOUSE\REIN_HS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Awork\&#23681;&#23453;&#22269;&#23637;&#20013;&#24515;&#19968;&#26399;A&#26635;&#25209;&#37327;&#31934;&#35013;&#20462;\42~55&#23618;\[0]\07&#21495;&#28165;&#21333;%20&#38548;&#22681;&#22681;&#20307;&#24037;&#31243;&#12304;&#25152;&#26377;&#25143;&#22411;&#1230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OME\HOTELS\MOHKG\Hotel\RoomsAndr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FORECAST2002\OUT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udget2003\CO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6\&#25216;&#26415;&#37096;\&#21016;&#20426;6.1~6.30\&#38050;&#32467;&#26500;&#24037;&#31243;&#37327;&#35745;&#31639;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&#23385;&#22269;&#2648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CHEN\&#20844;&#36335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36164;&#26009;\&#25104;&#26412;&#26679;&#34920;\2005&#25237;&#26631;\&#39321;&#26684;&#37324;&#25289;&#37202;&#24215;\&#24037;&#31243;&#37327;&#35745;&#31639;&#3492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CHEN\&#20844;&#36335;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00\&#23436;&#20840;&#20849;&#20139;\&#24037;&#31243;\&#26045;&#24037;\&#24191;&#24030;&#19975;&#31185;&#22235;&#23395;&#33457;&#22478;\&#26045;&#24037;\&#23398;&#26657;\&#25972;&#29702;&#21518;&#25253;&#20215;\&#24191;&#24030;&#19975;&#31185;&#22235;&#23395;&#33457;&#22478;&#25253;&#20215;&#23567;&#23398;&#25945;&#23398;&#32508;&#21512;&#2700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7101;&#28789;&#21326;\&#22609;&#38050;&#38376;&#31383;%20(d)\&#24037;&#20316;\2006\&#28145;&#22323;&#24066;&#31119;&#30000;&#20132;&#36890;&#32508;&#21512;&#26530;&#32445;&#25442;&#20056;&#20013;&#24515;\&#24037;&#31243;\&#25237;&#26631;\2006&#24180;7&#26376;&#20197;&#21069;\&#24609;&#26223;&#35774;&#35745;&#26631;\&#25104;&#26412;&#26679;&#34920;\2005&#25237;&#26631;\&#39321;&#26684;&#37324;&#25289;&#37202;&#24215;\&#24037;&#31243;&#37327;&#35745;&#31639;&#3492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68;&#32452;&#22242;&#65289;-&#20837;&#25143;&#38376;&#12289;&#38450;&#28779;&#38376;&#12289;&#38109;&#21512;&#37329;&#38376;&#31383;\2015.10.9&#20110;&#23068;&#21457;&#38450;&#28779;&#28779;&#38376;&#26631;&#24213;&#21450;&#24037;&#31243;&#37327;\&#22825;&#24481;&#39033;&#30446;c1&#22320;-&#20998;&#21253;&#24037;&#31243;&#35745;&#31639;&#27719;&#24635;&#34920;-&#38450;&#28779;&#38376;&#26680;&#23545;OK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1\&#39044;&#31639;&#20849;&#20139;\&#28286;&#19978;&#33457;&#22253;\&#28286;&#19978;&#33457;&#22253;&#25307;&#25237;&#26631;\&#28286;&#19978;&#33457;&#22253;&#39640;&#23618;&#20837;&#25143;&#22823;&#22530;&#21450;&#26631;&#20934;&#23618;&#30005;&#26799;&#21381;&#35013;&#39280;&#35013;&#20462;\&#28165;&#21333;&#21450;&#25511;&#21046;&#20215;\&#19968;&#23618;&#22823;&#2253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1\&#39044;&#31639;&#20849;&#20139;\&#28286;&#19978;&#33457;&#22253;\&#28286;&#19978;&#33457;&#22253;&#25307;&#25237;&#26631;\&#28286;&#19978;&#33457;&#22253;&#39640;&#23618;&#20837;&#25143;&#22823;&#22530;&#21450;&#26631;&#20934;&#23618;&#30005;&#26799;&#21381;&#35013;&#39280;&#35013;&#20462;\&#28165;&#21333;&#21450;&#25511;&#21046;&#20215;\&#36127;&#19968;&#23618;&#22823;&#22530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0010;&#20154;&#25991;&#20214;&#22841;\&#22806;&#35013;\&#22825;&#23433;&#21335;&#28023;&#25968;&#30721;&#26032;&#22478;-&#22825;&#20305;&#21019;&#23500;&#22823;&#21414;(&#20108;&#26399;)\zyf\&#28145;&#19994;&#8226;&#24481;&#27849;&#23665;&#24196;&#39640;&#23618;&#21306;&#38109;&#21512;&#37329;&#38376;&#31383;&#12289;&#24149;&#22681;&#21450;&#25252;&#26639;&#21046;&#20316;&#21450;&#23433;&#35013;&#24037;&#31243;\&#28145;&#24481;&#27849;&#23665;&#24196;&#19994;&#22806;&#35013;&#25253;&#20215;&#20998;&#26512;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0010;&#20154;&#25991;&#20214;&#22841;\&#22806;&#35013;\&#22825;&#23433;&#21335;&#28023;&#25968;&#30721;&#26032;&#22478;-&#22825;&#20305;&#21019;&#23500;&#22823;&#21414;(&#20108;&#26399;)\10&#24481;&#27849;&#23665;&#24196;&#38376;&#31383;&#26045;&#24037;&#22270;\&#25237;&#26631;&#25991;&#20214;\&#39640;&#23618;&#21306;&#38109;&#21512;&#37329;&#38376;&#31383;&#12289;&#25252;&#31383;&#26639;&#26438;&#26631;&#27573;\&#21830;&#21153;&#26631;\&#25253;&#20215;&#20998;&#26512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4658;&#36890;&#27704;&#36798;\&#20975;&#33589;&#35946;&#22253;\&#20975;&#33589;&#35946;&#22253;&#32467;&#31639;\&#20013;&#24515;&#21306;&#24037;&#31243;&#32467;&#31639;\&#22320;&#19979;&#23460;&#24037;&#31243;\&#38050;&#31563;-&#22522;&#30784;&#26753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CND\CQ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&#27425;&#26009;&#24211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zf\xu\&#23453;&#23433;&#20013;&#27954;&#20013;&#22830;&#20844;&#22253;\1#\&#35745;&#31639;&#3129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0010;&#20154;&#25991;&#20214;&#22841;\&#22806;&#35013;\&#22825;&#23433;&#21335;&#28023;&#25968;&#30721;&#26032;&#22478;-&#22825;&#20305;&#21019;&#23500;&#22823;&#21414;(&#20108;&#26399;)\10&#24481;&#27849;&#23665;&#24196;&#38376;&#31383;&#26045;&#24037;&#22270;\&#25237;&#26631;&#25991;&#20214;\&#39640;&#23618;&#38109;&#21512;&#37329;&#38376;&#31383;&#24037;&#31243;&#37327;&#28165;&#21333;\&#24037;&#31243;&#37327;&#28165;&#21333;\&#24481;&#27849;&#23665;&#24196;&#39640;&#23618;&#38754;&#31215;&#32479;&#35745;&#65288;20081106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38463;&#37329;&#30340;&#25991;&#20214;\&#37329;\&#26032;&#24314;&#25991;&#20214;&#22841;\&#27425;&#26009;&#2421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72\&#25104;&#26412;&#37096;\&#22312;&#24314;&#39033;&#30446;\&#32769;&#38472;\&#20013;&#27954;&#22320;&#20135;\&#24800;&#24030;&#20013;&#27954;&#183;&#22830;&#31569;&#33457;&#22253;&#27915;&#25151;\&#20013;&#27954;&#183;&#22830;&#31569;&#33457;&#22253;&#20250;&#25152;&#35814;&#22270;&#21450;&#24179;&#31435;&#21078;\&#25237;&#26631;\&#21830;&#21153;&#26631;\2012-10-11\10-11&#24800;&#27954;&#22830;&#31569;&#33457;&#22253;&#19968;&#26399;&#30707;&#26448;&#24149;&#22681;&#28165;&#21333;(&#21547;&#39592;&#26550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\james&#25991;&#20214;&#22841;\&#25237;&#26631;&#25104;&#26412;&#25439;&#32791;&#12289;&#21462;&#20540;&#12289;&#21462;&#36153;&#22522;&#20934;&#34920;\2.&#25237;&#26631;&#27169;&#29256;&#38109;&#21512;&#37329;&#38376;&#31383;&#24037;&#31243;%20-%20&#21103;&#2641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1&#24180;&#24050;&#20570;&#26631;&#20070;\&#24800;&#24030;&#21150;\2010%20&#24037;&#31243;\12-14%20&#23433;&#24509;&#21315;&#22478;&#32622;&#19994;\2010%20&#24037;&#31243;\11-15%20&#20013;&#21830;&#19968;&#29615;&#38125;&#24231;\&#25237;&#26631;&#24037;&#31243;\&#19996;&#33694;&#28392;&#27743;&#20844;&#39302;&#39033;&#30446;&#20108;&#26399;\08&#24180;7-12&#26376;\&#27993;&#27743;&#27743;&#38376;&#30005;&#21147;\&#20379;&#30005;&#23616;&#29627;&#29827;&#24149;&#22681;&#28165;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&#19971;&#21313;&#20108;&#21306;\&#19971;&#21313;&#20108;&#21306;&#20844;&#20132;&#22330;&#31449;&#19968;&#26399;&#24037;&#31243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1\&#39044;&#31639;&#20849;&#20139;\&#28286;&#19978;&#33457;&#22253;\&#28286;&#19978;&#33457;&#22253;&#25307;&#25237;&#26631;\&#28286;&#19978;&#33457;&#22253;&#39640;&#23618;&#20837;&#25143;&#22823;&#22530;&#21450;&#26631;&#20934;&#23618;&#30005;&#26799;&#21381;&#35013;&#39280;&#35013;&#20462;\&#28165;&#21333;&#21450;&#25511;&#21046;&#20215;\&#23453;&#23433;&#20013;&#27954;&#20013;&#22830;&#20844;&#22253;\1#\&#35745;&#31639;&#3129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&#26368;&#32456;&#25253;&#20215;-&#24800;&#19996;&#30887;&#26690;&#22253;&#38376;&#31383;&#24037;&#31243;-&#2446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8&#24180;7-12&#26376;\&#27993;&#27743;&#27743;&#38376;&#30005;&#21147;\&#20379;&#30005;&#23616;&#29627;&#29827;&#24149;&#22681;&#28165;&#21333;\&#20379;&#30005;&#23616;&#29627;&#29827;&#24149;&#22681;&#28165;&#21333;\&#20998;&#37096;&#20998;&#39033;&#24037;&#31243;&#37327;&#28165;&#21333;(&#21547;&#29305;&#24449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8&#24180;7-12&#26376;\&#27993;&#27743;&#27743;&#38376;&#30005;&#21147;\&#20379;&#30005;&#23616;&#29627;&#29827;&#24149;&#22681;&#28165;&#21333;\&#20379;&#30005;&#23616;&#29627;&#29827;&#24149;&#22681;&#28165;&#21333;\&#20998;&#37096;&#20998;&#39033;&#24037;&#31243;&#37327;&#28165;&#21333;(&#21547;&#29305;&#24449;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Documents%20and%20Settings\Administrator.PC917\&#26700;&#38754;\20120104&#20315;&#23665;&#39046;&#22320;&#28023;&#32435;&#20844;&#39302;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800;&#24030;&#39044;&#31639;&#25991;&#20214;&#65288;&#22825;&#22495;&#22830;&#31569;&#65289;\&#22830;&#31569;D&#20844;&#20849;&#35013;&#20462;&#31639;&#37327;&#25991;&#20214;-16.09.22\&#35745;&#31639;&#31295;\&#22830;&#31569;D4~D6&#20844;&#20849;&#35013;&#20462;-&#39318;&#23618;&#22823;&#22530;-16.09.18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5972;&#29702;\&#26631;&#20934;&#26684;&#24335;\&#25104;&#26412;&#35745;&#20215;&#26684;&#24335;2008031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&#36164;&#26009;&#24211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My%20Documents\CND\HELENA\&#26126;&#32048;&#34920;%202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&#27425;&#26009;&#24211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8145;&#22323;&#19977;&#37995;\2009&#24180;\&#23500;&#21147;&#30408;&#21033;\&#24037;&#20316;&#25968;&#25454;\&#23545;&#25307;&#26631;&#20013;&#24515;\&#30408;&#20449;&#22823;&#21414;&#24149;&#22681;&#24037;&#31243;-081112\&#30408;&#20449;&#22823;&#21414;&#24149;&#22681;&#24037;&#31243;-&#25913;08121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A-K%2020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&#23385;&#22269;&#2648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36865;&#36135;&#21333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WINDOWS\Desktop\CDN\A-K%202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0313;&#27589;&#28304;\&#24037;&#31243;&#37327;&#35745;&#31639;&#24335;\&#24037;&#31243;&#37327;&#35745;&#31639;(&#27169;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(E-drive)\&#23567;Q\&#24037;&#31243;\&#25237;&#26631;\2009&#24180;\&#28304;&#20852;&#31185;&#25216;&#22823;&#21414;\&#25104;&#26412;&#25253;&#20215;\&#25253;&#20215;\&#25253;&#20215;0622\&#25253;&#20215;062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2017&#24180;\&#25237;&#26631;\&#20013;&#27954;&#22825;&#24481;&#20108;&#26399;&#19977;&#32452;&#22242;\&#20013;&#27954;&#22825;&#24481;&#33457;&#22253;(&#20108;&#26399;)&#19977;&#32452;&#22242;&#38109;&#21512;&#37329;&#38376;&#31383;&#24037;&#31243;&#25307;&#26631;&#25991;&#20214;\&#25237;&#26631;\&#20013;&#27954;&#22825;&#24481;&#33457;&#22253;&#65288;&#20108;&#26399;&#65289;&#30707;&#26448;&#12289;&#38632;&#34028;%20&#24037;&#31243;%202017-6-8\&#20013;&#27954;&#22825;&#24481;&#33457;&#22253;&#65288;&#19977;&#26399;&#65289;&#30707;&#26448;&#38632;&#31735;&#26045;&#24037;&#22270;20170224\&#24037;&#31243;&#36896;&#20215;&#19987;&#29992;\1EXCEL&#35745;&#31639;&#24037;&#31243;&#37327;&#38598;&#38182;\&#24037;&#31243;&#37327;&#35745;&#31639;&#27169;&#26495;&#36739;&#22909;&#30340;\&#23433;&#35013;&#24037;&#31243;&#24037;&#31243;&#37327;&#35745;&#31639;&#36739;&#22909;&#21487;&#20197;&#27719;&#24635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2010&#24180;&#24050;&#20570;&#26631;&#20070;\&#19996;&#33694;\&#28165;&#28330;&#32737;&#32736;&#21322;&#23707;&#19968;&#26399;&#19968;&#21306;\2010%20&#24037;&#31243;\11-15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6631;&#24213;\&#20016;&#30000;\&#22303;&#24314;&#24037;&#31243;&#37327;&#35745;&#31639;&#24335;&#21464;&#21387;&#22120;&#2515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3.&#25253;&#20215;&#22522;&#26412;&#20449;&#24687;&#12289;&#26448;&#26009;&#34920;&#12289;&#21462;&#36153;&#34920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&#29579;&#28156;\&#24037;&#31243;&#21442;&#32771;&#25991;&#20214;\6&#26376;14&#26085;&#19975;&#31185;&#37329;&#22495;\&#31532;&#20108;&#27425;&#19978;&#20256;&#25253;&#20215;\&#19977;&#20122;&#32418;&#26848;&#28286;(10.7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LH\A-K%202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494;&#20449;&#25991;&#20214;\WeChat%20Files\wxid_2323163229112\FileStorage\File\2021-04\file:\http:\www.a-housing.com\Upload\Invite\5D6A&#24635;&#21253;&#28165;&#21333;2.21\DOCUME~1\sucw\LOCALS~1\Temp\Rar$DI37.922\&#19975;&#31185;&#22235;&#23395;&#33457;&#22253;17-20#&#32452;&#22242;&#27700;&#30005;&#24037;&#31243;&#37327;&#35745;&#31639;&#34920;\&#30005;&#27668;&#24037;&#31243;&#37327;&#35745;&#31639;&#34920;\&#19975;&#31185;&#22235;&#23395;&#33457;&#22253;(18#&#32452;&#22242;)&#24037;&#31243;&#35745;&#37327;(&#30005;&#27668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66\&#26412;&#22320;&#30913;&#30424;%20(d)\&#25105;&#30340;&#24037;&#20316;\&#28145;&#22323;&#25104;&#26412;\&#25307;&#26631;\&#38109;&#21512;&#37329;&#25112;&#30053;&#37319;&#36141;\&#26631;&#20934;&#21270;&#38109;&#21512;&#37329;&#38376;&#31383;&#25253;&#20215;&#28165;&#21333;RevB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HELENA\&#26126;&#32048;&#34920;%202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A-K%20201.7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A-K%2020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R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4050;&#20570;&#24037;&#31243;&#26631;&#20070;\2012&#24180;&#24050;&#20570;&#26631;&#20070;\&#33463;&#23786;&#28572;&#28286;\&#24180;&#24230;&#26631;&#31639;&#26009;&#23545;&#27604;\&#29664;&#27743;&#20174;&#21270;&#22269;&#38469;&#23453;&#33322;&#39044;&#3163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5972;&#29702;\&#26631;&#20934;&#26684;&#24335;\&#26631;&#20934;&#26684;&#24335;3-12\&#32735;&#26041;3-13&#28165;&#21333;&#21450;&#31639;&#37327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4037;&#20316;&#25991;&#20214;\2011&#24180;&#24037;&#20316;&#36164;&#26009;\7&#26376;\&#27700;&#27053;&#33457;&#37117;\&#27700;&#27053;&#33457;&#37117;&#21830;&#21153;&#26631;\&#21830;&#21153;&#26631;%20%20%202011-11-18%20%20%20%20&#31532;&#22235;&#27425;&#35843;&#20215;\2011-11-21&#31532;&#20845;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7073;&#24535;&#28828;\&#24037;&#20316;\2018&#25237;&#26631;\20180807&#30334;&#37094;&#38182;&#22478;&#39033;&#30446;&#24149;&#22681;&#24037;&#31243;(&#20013;&#26631;&#65289;\&#25253;&#20215;&#36807;&#31243;\&#31532;&#22235;&#27425;&#35843;&#20215;&#65288;&#26368;&#32456;&#29256;&#65289;&#20998;&#26631;&#27573;\&#25104;&#37117;&#30334;&#37094;&#38182;&#22478;8#&#21830;&#19994;&#22806;&#31435;&#38754;&#24149;&#22681;&#24037;&#31243;&#25253;&#20215;&#65288;&#24191;&#30000;&#38598;&#22242;&#65289;&#26377;&#38142;&#25509;20181213&#65288;&#19981;&#21306;&#20998;&#26631;&#27573;&#29256;&#65289;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\&#24191;&#28286;\&#24191;&#35199;&#30333;&#40857;&#26680;&#30005;&#21378;&#21069;&#21306;&#21450;&#20498;&#29677;&#26816;&#20462;&#23487;&#33293;&#24314;&#35774;&#24037;&#31243;\&#25237;&#26631;&#36164;&#26009;\&#24191;&#35199;&#25253;&#20215;&#19982;&#25104;&#26412;&#34920;-20250817-&#24247;\&#23487;&#33293;&#21306;%20&#25104;&#26412;&#34920;%2020250728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\&#24191;&#28286;\&#24191;&#35199;&#30333;&#40857;&#26680;&#30005;&#21378;&#21069;&#21306;&#21450;&#20498;&#29677;&#26816;&#20462;&#23487;&#33293;&#24314;&#35774;&#24037;&#31243;\&#25237;&#26631;&#36164;&#26009;\&#24191;&#35199;&#25253;&#20215;&#19982;&#25104;&#26412;&#34920;-20250817-&#24247;\&#21378;&#21069;&#21306;%20&#25104;&#26412;&#34920;%202025073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PILE CAP"/>
      <sheetName val="BEAM"/>
      <sheetName val="SLAB"/>
      <sheetName val="WALL"/>
      <sheetName val="COLUMN"/>
      <sheetName val="General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1#非桩基础 "/>
      <sheetName val="投标总结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Sheet1"/>
      <sheetName val="暗渠以西人防地库（暂定）"/>
      <sheetName val="常用项目"/>
      <sheetName val="1 开办费汇总"/>
      <sheetName val="编制说明"/>
      <sheetName val="预算200326"/>
      <sheetName val="#REF!"/>
      <sheetName val="資料庫"/>
      <sheetName val="Sheet4"/>
      <sheetName val="应供量清单"/>
      <sheetName val="合格证 (2)"/>
      <sheetName val="明細表"/>
      <sheetName val="BQ2.10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21"/>
      <sheetName val="BQ2-住宅部分"/>
      <sheetName val="BQ2-商业街部分"/>
      <sheetName val="POWER ASSUMPTIONS"/>
      <sheetName val="3"/>
      <sheetName val="8"/>
      <sheetName val="中海城三期（01A及01E小学）"/>
      <sheetName val="中海城四期（02C）"/>
      <sheetName val="Toolbox"/>
      <sheetName val="主要项目单价分析表 "/>
      <sheetName val="电线"/>
      <sheetName val="电缆"/>
      <sheetName val="Wl. Fin."/>
      <sheetName val="GS"/>
      <sheetName val="型材表"/>
      <sheetName val="材料单价表"/>
      <sheetName val="汇总表"/>
      <sheetName val="配置表"/>
      <sheetName val="Main"/>
      <sheetName val="XLR_NoRangeSheet"/>
      <sheetName val="地连墙"/>
      <sheetName val="Financ. Overview"/>
      <sheetName val="Open"/>
      <sheetName val="eqpmad2"/>
      <sheetName val="磨具余料庫"/>
      <sheetName val="G1102地块一区（省一建） "/>
      <sheetName val="7"/>
      <sheetName val="投标材料清单 "/>
      <sheetName val="面积表"/>
      <sheetName val="S1单价表"/>
      <sheetName val="일반공사"/>
      <sheetName val="2012-9科目余额表 (6)"/>
      <sheetName val="科目余额表 (5)"/>
      <sheetName val="工料测量师报告"/>
      <sheetName val="7.1APP3"/>
      <sheetName val="1"/>
      <sheetName val="G2TempSheet"/>
      <sheetName val="2.1设计部"/>
      <sheetName val="银行账户"/>
      <sheetName val="单位"/>
      <sheetName val="SW-TEO"/>
      <sheetName val="二号清单"/>
      <sheetName val="内围地梁钢筋说明"/>
      <sheetName val="4、综合单价分析表"/>
      <sheetName val="材料价格"/>
      <sheetName val="工程量A"/>
      <sheetName val="单价报价明细表"/>
      <sheetName val="报价明细表"/>
      <sheetName val="清单"/>
      <sheetName val="2"/>
      <sheetName val="6"/>
      <sheetName val="面积合计（藏）"/>
      <sheetName val="4"/>
      <sheetName val="5"/>
      <sheetName val="计算表"/>
      <sheetName val="03定额库"/>
      <sheetName val="94定额库"/>
      <sheetName val="封面"/>
      <sheetName val="清单库"/>
      <sheetName val="单价分析表格式"/>
      <sheetName val="1#"/>
      <sheetName val="工程量"/>
      <sheetName val="1."/>
      <sheetName val="BQ4.1.1至4.1.4"/>
      <sheetName val="材料"/>
      <sheetName val="雨棚"/>
      <sheetName val="BQ3-1"/>
      <sheetName val="BQ5.3-1"/>
      <sheetName val="电视监控"/>
      <sheetName val="月报表"/>
      <sheetName val="Hic_150EOffice"/>
      <sheetName val="投标价目总计"/>
      <sheetName val="开办费"/>
      <sheetName val="BQ2.1~基础工程及土方工程清单"/>
      <sheetName val="BQ2.2~GDG9#网点土方清单"/>
      <sheetName val="BQ3.1.1~地下室1土建清单"/>
      <sheetName val="BQ3.1.2~地下室1机电清单"/>
      <sheetName val="BQ4.1.1~GDG9#土建清单"/>
      <sheetName val="BQ4.1.2~GDG9#机电清单"/>
      <sheetName val="BQ5.1.1~GD6#土建清单"/>
      <sheetName val="BQ5.1.2~GD6#机电清单"/>
      <sheetName val="BQ5.2.1~GD7+GDG8#土建清单"/>
      <sheetName val="BQ5.2.2~GD7+GDG8#机电清单"/>
      <sheetName val="BQ5.3.1~GD8+GDG10#土建清单"/>
      <sheetName val="BQ5.3.2~GD8+GDG10#机电清单"/>
      <sheetName val="BQ5.4.1~GD9#土建清单 "/>
      <sheetName val="BQ5.4.2~GD9#机电清单"/>
      <sheetName val="00000ppy"/>
      <sheetName val="Data"/>
      <sheetName val="before"/>
      <sheetName val="一层·C区"/>
      <sheetName val="单位库"/>
      <sheetName val="CD"/>
      <sheetName val="柱"/>
      <sheetName val="费率表"/>
      <sheetName val="A"/>
      <sheetName val="单价表"/>
      <sheetName val="土建地上商业部分"/>
      <sheetName val="貨品科目"/>
      <sheetName val="14.桥架"/>
      <sheetName val="计算稿-3#楼"/>
      <sheetName val="Bill-2.1（1）"/>
      <sheetName val="sn"/>
      <sheetName val="RA-markate"/>
      <sheetName val="Setting"/>
      <sheetName val="总量统计"/>
      <sheetName val="10"/>
      <sheetName val="节点（12-2立面）"/>
      <sheetName val="附件二"/>
      <sheetName val="rebrand"/>
      <sheetName val="下拉菜单"/>
      <sheetName val="dw list"/>
      <sheetName val="KDB"/>
      <sheetName val="A翼写字楼"/>
      <sheetName val="S-Hotel"/>
      <sheetName val="SR6SUM"/>
      <sheetName val="基本资料"/>
      <sheetName val="清单汇总"/>
      <sheetName val="基 础"/>
      <sheetName val="XL4Poppy"/>
      <sheetName val="Mp-team 1"/>
      <sheetName val="企业格式单价分析表"/>
      <sheetName val="改加胶玻璃、室外栏杆"/>
      <sheetName val="数据"/>
      <sheetName val="JOA首頁"/>
      <sheetName val="机房工程B"/>
      <sheetName val="第二章 - 可视对讲系统"/>
      <sheetName val="三号清单之电气工程综合单价分析"/>
      <sheetName val="三号清单之给排水工程综合单价分析"/>
      <sheetName val="B1-1清单外装修"/>
      <sheetName val="土建工程综合单价表"/>
      <sheetName val="土建工程综合单价组价明细表"/>
      <sheetName val="目录"/>
      <sheetName val="Sheet1 (11)"/>
      <sheetName val="T(B)Summary"/>
      <sheetName val="EXRATE"/>
      <sheetName val="BQ"/>
      <sheetName val="KKKKKKKK"/>
      <sheetName val="G.1R-Shou COP Gf"/>
      <sheetName val="工程量计算"/>
      <sheetName val="按新系统"/>
      <sheetName val="建筑面积 "/>
      <sheetName val="1#量统计"/>
      <sheetName val="1-2A"/>
      <sheetName val="报价细目表"/>
      <sheetName val="sheet2"/>
      <sheetName val="推拉"/>
      <sheetName val="D0026B3"/>
      <sheetName val="电气设置"/>
      <sheetName val="电气计算"/>
      <sheetName val="设计部"/>
      <sheetName val="塔楼主体"/>
      <sheetName val="BQ9 地下室（城市广场）(2)"/>
      <sheetName val="点表"/>
      <sheetName val="MOTOR"/>
      <sheetName val="S"/>
      <sheetName val="ID"/>
      <sheetName val="M&amp;E"/>
      <sheetName val="FS"/>
      <sheetName val="M-Par"/>
      <sheetName val="Col"/>
      <sheetName val="Wall(int)"/>
      <sheetName val="Wall(ext) "/>
      <sheetName val="Reinf"/>
      <sheetName val="Summary of Cost"/>
      <sheetName val="材料表"/>
      <sheetName val="G单价分析"/>
      <sheetName val="H单价分析"/>
      <sheetName val="N单价分析 "/>
      <sheetName val="C单价分析 "/>
      <sheetName val="一层电梯厅单价分析"/>
      <sheetName val="二层电梯厅单价分析"/>
      <sheetName val="参数"/>
      <sheetName val="Data Sheet"/>
      <sheetName val="A3地块围护结构"/>
      <sheetName val="第一部分定价"/>
      <sheetName val="Combo"/>
      <sheetName val="取费系数"/>
      <sheetName val="92#"/>
      <sheetName val="总价"/>
      <sheetName val="基础项目"/>
      <sheetName val="工程量清单计价表-塔楼-03"/>
      <sheetName val="室内汇总"/>
      <sheetName val="名称"/>
      <sheetName val="工程材料"/>
      <sheetName val="单价分析表"/>
      <sheetName val="分部分项清单(模板)"/>
      <sheetName val="15-1-A户型"/>
      <sheetName val="材料汇总"/>
      <sheetName val="土建直接费"/>
      <sheetName val="材料库"/>
      <sheetName val="附表02.管材管件"/>
      <sheetName val="index"/>
      <sheetName val="单价分析过程"/>
      <sheetName val="主要材料价格表 (2)"/>
      <sheetName val="MC"/>
      <sheetName val="7#强电"/>
      <sheetName val="ben"/>
      <sheetName val="材料名称标准表"/>
      <sheetName val="工程计算书"/>
      <sheetName val="Fly Sheets"/>
      <sheetName val="Fee Rate Summary"/>
      <sheetName val="一层板"/>
      <sheetName val="底板梁"/>
      <sheetName val="五金（华建+坚朗）"/>
      <sheetName val="材料表-王瑜"/>
      <sheetName val="架空层绿化回填土计算表"/>
      <sheetName val="架空层消防路回填土计算表"/>
      <sheetName val="开办费项目"/>
      <sheetName val="墙面工程"/>
      <sheetName val="汇总"/>
      <sheetName val="T1T2T3T4门窗表"/>
      <sheetName val="定额"/>
      <sheetName val="配合比"/>
      <sheetName val="封"/>
      <sheetName val="做法表"/>
      <sheetName val="模板参数"/>
      <sheetName val="送电装材统计"/>
      <sheetName val="零星钢筋工程"/>
      <sheetName val="防水工程"/>
      <sheetName val="找平及抹灰"/>
      <sheetName val="砌体、抹灰工程"/>
      <sheetName val="@cover"/>
      <sheetName val="Aging Datasheet"/>
      <sheetName val="ECCS_1 DataSheet"/>
      <sheetName val="KPI Datasheet"/>
      <sheetName val="措施费测算"/>
      <sheetName val="承台(砖模) "/>
      <sheetName val="综合单价分析表-详细"/>
      <sheetName val="P1012001"/>
      <sheetName val="PUR资料库"/>
      <sheetName val="表3"/>
      <sheetName val="BQ2"/>
      <sheetName val="门窗表"/>
      <sheetName val="301-6"/>
      <sheetName val="总措施项目"/>
      <sheetName val="G2C2"/>
      <sheetName val="工程清单"/>
      <sheetName val="主材表"/>
      <sheetName val="材料损耗(不打印)"/>
      <sheetName val="Estimate Details"/>
      <sheetName val="基础工程量估算"/>
      <sheetName val="ANL"/>
      <sheetName val="计算表2"/>
      <sheetName val="资料库"/>
      <sheetName val="e"/>
      <sheetName val="_______"/>
      <sheetName val="核算项目余额表"/>
      <sheetName val="土方"/>
      <sheetName val="铁塔材料明细"/>
      <sheetName val="混凝土杆材料"/>
      <sheetName val="单位工程2"/>
      <sheetName val="土石方计算(2)"/>
      <sheetName val="8、主材品牌表 "/>
      <sheetName val="甲"/>
      <sheetName val="甲指乙供材料报价表"/>
      <sheetName val="安装综合单价分析表"/>
      <sheetName val="slipsumpR"/>
      <sheetName val="BQ2.2"/>
      <sheetName val="BQ2.1"/>
      <sheetName val="Bill 3"/>
      <sheetName val="招标补充说明2017.6.3"/>
      <sheetName val="给排水工程综合单价分析"/>
      <sheetName val="乙供材料设备表"/>
      <sheetName val="125户型样板房"/>
      <sheetName val="成本预测"/>
      <sheetName val="成本结转表"/>
      <sheetName val="单价分析"/>
      <sheetName val="dm"/>
      <sheetName val="Sum"/>
      <sheetName val="辅助表"/>
      <sheetName val="Summary T(A)"/>
      <sheetName val=""/>
      <sheetName val="CFA"/>
      <sheetName val="Contents"/>
      <sheetName val="开发成本(PUD)"/>
      <sheetName val="开发产品变动表(Compelted units)"/>
      <sheetName val="JCT80"/>
      <sheetName val="2008实际(每月)"/>
      <sheetName val="2008实际(截至)"/>
      <sheetName val="2008予算(每月)"/>
      <sheetName val="2008予算(截至)"/>
      <sheetName val="目錄"/>
      <sheetName val="SkLabVariable"/>
      <sheetName val="11"/>
      <sheetName val="電気設備表"/>
      <sheetName val="含量"/>
      <sheetName val="销售"/>
      <sheetName val="3.1"/>
      <sheetName val="C"/>
      <sheetName val="BQMP"/>
      <sheetName val="BQMPALOC"/>
      <sheetName val="A-summary"/>
      <sheetName val="8.2-EX Summary"/>
      <sheetName val="测算依据"/>
      <sheetName val="东一一层方柱砼"/>
      <sheetName val="砂浆单价表"/>
      <sheetName val="9"/>
      <sheetName val="Hotel"/>
      <sheetName val="计算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cro1"/>
      <sheetName val="BQ7-SUM"/>
      <sheetName val="BQ7.1（A1-1G户型）"/>
      <sheetName val="BQ7.2（A1-2G户型）"/>
      <sheetName val="BQ7.3（A2-2户型）"/>
      <sheetName val="BQ7.4（A4-1G户型）"/>
      <sheetName val="BQ7.5（A4-2户型）"/>
      <sheetName val="main"/>
      <sheetName val="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main"/>
      <sheetName val="coa"/>
      <sheetName val="Ⅱ-B3.6"/>
      <sheetName val="东1#公寓楼精装修"/>
      <sheetName val="东4#娱乐楼精装修"/>
      <sheetName val="东1#公寓楼机电"/>
      <sheetName val="单位库"/>
      <sheetName val="#REF!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inputdata"/>
      <sheetName val="pl"/>
      <sheetName val="md"/>
      <sheetName val="Mon"/>
      <sheetName val="macro"/>
      <sheetName val="coa"/>
      <sheetName val="MOHKG"/>
      <sheetName val="西2#公寓楼精装修 "/>
      <sheetName val="单位库"/>
      <sheetName val="summary"/>
      <sheetName val="SR3.3"/>
      <sheetName val="FS3.4"/>
      <sheetName val="SUM"/>
      <sheetName val="SR15.1N"/>
      <sheetName val="BQ7.2（A1-2G户型）"/>
      <sheetName val="BQ7.3（A2-2户型）"/>
      <sheetName val="BQ7.4（A4-1G户型）"/>
      <sheetName val="BQ7.5（A4-2户型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a"/>
      <sheetName val="CoaDlg"/>
      <sheetName val="Macro"/>
      <sheetName val="MOHKG"/>
      <sheetName val="main"/>
      <sheetName val="#REF!"/>
      <sheetName val="东4#娱乐楼机电"/>
      <sheetName val="单位库"/>
      <sheetName val="15.1SUM"/>
      <sheetName val="SR15.2"/>
      <sheetName val="SR15.2-SUM"/>
      <sheetName val="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汇总"/>
      <sheetName val="钢结构计算"/>
      <sheetName val="钢材单重"/>
      <sheetName val="分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报价"/>
      <sheetName val="合同"/>
      <sheetName val="ASO (4)"/>
      <sheetName val="明細表"/>
      <sheetName val="資料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XLR_NoRangeSheet"/>
      <sheetName val="清单"/>
      <sheetName val="数据汇总表"/>
      <sheetName val="墙面工程"/>
      <sheetName val="基础项目"/>
      <sheetName val="材料损耗(不打印)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其他项目"/>
      <sheetName val="防水胶填缝"/>
      <sheetName val="材料表"/>
      <sheetName val="1"/>
      <sheetName val="1."/>
      <sheetName val="型材表"/>
      <sheetName val="#REF!"/>
      <sheetName val="承台(砖模) "/>
      <sheetName val="柱"/>
      <sheetName val="工程量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塔楼工程量数值、材料量"/>
      <sheetName val="嘉里塔楼工程量"/>
      <sheetName val="成本汇总表"/>
      <sheetName val="材料清单"/>
      <sheetName val="主材表"/>
      <sheetName val="1"/>
      <sheetName val="2"/>
      <sheetName val="3"/>
      <sheetName val="4"/>
      <sheetName val="5"/>
      <sheetName val="6"/>
      <sheetName val="10"/>
      <sheetName val="11"/>
      <sheetName val="26"/>
      <sheetName val="27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墙面工程"/>
      <sheetName val="XLR_NoRangeSheet"/>
      <sheetName val="建筑面积 "/>
      <sheetName val="1"/>
      <sheetName val="型材表"/>
      <sheetName val="材料表"/>
      <sheetName val="1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100x44x1.5(NC-0)(重做)更改"/>
      <sheetName val="100x44x1.5(NC-0)(重做)"/>
      <sheetName val="(四扇)90推拉窗NC-1(重做)"/>
      <sheetName val="(四扇)90推拉窗NC-1a(重做)"/>
      <sheetName val="(四扇)90推拉窗NC-2(重做)"/>
      <sheetName val="(四扇)90推拉窗NC-3(重做)"/>
      <sheetName val="(四扇)90推拉窗NC-3a(重做)"/>
      <sheetName val="(三扇)90推拉窗NC-4(重做)"/>
      <sheetName val="(二扇)90推拉窗NC-5(重做)"/>
      <sheetName val="(四扇)90推拉窗NC-6(重做)"/>
      <sheetName val="(四扇)90推拉窗NC-6(换扇)"/>
      <sheetName val="76x25x1.2(C1)(重做)"/>
      <sheetName val="(二扇)90推拉窗C2(换扇)"/>
      <sheetName val="(二扇带亮子)90推拉窗C3(换扇)"/>
      <sheetName val="(二扇带亮子)90推拉窗C4(重做)"/>
      <sheetName val="(四扇)90推拉窗C5(换扇)"/>
      <sheetName val="38平开窗(固定)c7(1)(换玻璃)"/>
      <sheetName val="38平开窗(固定)c7(2)(重做)"/>
      <sheetName val="38平开窗(固定)c7(3)(重做)"/>
      <sheetName val="(二扇)90推拉窗C8(换扇)"/>
      <sheetName val="(二扇带亮子)90推拉窗C9(换扇)"/>
      <sheetName val="(四扇)90推拉窗C10(重做)"/>
      <sheetName val="(四扇)90推拉窗C10(换扇)"/>
      <sheetName val="(二扇带亮子)90推拉窗C11(换扇)"/>
      <sheetName val="(四扇)90推拉窗C12(换扇)"/>
      <sheetName val="(四扇)90推拉窗C12 (重做)"/>
      <sheetName val="(二扇)90推拉窗C13(换扇)"/>
      <sheetName val="(二扇)90推拉窗C14(换扇)"/>
      <sheetName val="(二扇)90推拉窗C14(重做)"/>
      <sheetName val="(二扇)90推拉窗C15(重做)"/>
      <sheetName val="小学教学综合楼"/>
      <sheetName val="小学教学综合楼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塔楼工程量数值、材料量"/>
      <sheetName val="嘉里塔楼工程量"/>
      <sheetName val="成本汇总表"/>
      <sheetName val="材料清单"/>
      <sheetName val="主材表"/>
      <sheetName val="1"/>
      <sheetName val="2"/>
      <sheetName val="3"/>
      <sheetName val="4"/>
      <sheetName val="5"/>
      <sheetName val="6"/>
      <sheetName val="10"/>
      <sheetName val="11"/>
      <sheetName val="26"/>
      <sheetName val="27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eqpmad2"/>
      <sheetName val="计算稿封面"/>
      <sheetName val="门窗表"/>
      <sheetName val="计算稿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2.0厚双组份聚氨酯911防水涂膜"/>
      <sheetName val="2.0mm厚单面自粘式改性沥青防水卷材 "/>
      <sheetName val="2.0mm厚双面自粘式改性沥青防水卷材 "/>
      <sheetName val="1.5厚聚合物水泥基防水涂膜"/>
      <sheetName val="地下室防水"/>
      <sheetName val="外墙石材"/>
      <sheetName val="外墙面砖"/>
      <sheetName val="入户门"/>
      <sheetName val="防火门及防火卷帘"/>
      <sheetName val="铝合金门窗"/>
      <sheetName val="百叶窗"/>
      <sheetName val="阳台栏杆+门窗栏杆+楼梯栏杆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PVRZX"/>
      <sheetName val="清单造价"/>
      <sheetName val="工程量"/>
      <sheetName val="材料表"/>
      <sheetName val="建筑面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KQASSF"/>
      <sheetName val="清单造价 (2)"/>
      <sheetName val="工程量"/>
      <sheetName val="材料表"/>
      <sheetName val="建筑面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编制说明"/>
      <sheetName val="汇总表"/>
      <sheetName val="高层门窗清单"/>
      <sheetName val="铝合金护窗栏杆"/>
      <sheetName val="主材表"/>
      <sheetName val="高"/>
      <sheetName val="护"/>
      <sheetName val="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编制说明"/>
      <sheetName val="汇总表"/>
      <sheetName val="高层门窗清单"/>
      <sheetName val="铝合金护窗栏杆"/>
      <sheetName val="主材表"/>
      <sheetName val="高"/>
      <sheetName val="护"/>
      <sheetName val="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内围地梁钢筋说明"/>
      <sheetName val="原表模"/>
      <sheetName val="内基梁J~R"/>
      <sheetName val="钢筋模1.1"/>
      <sheetName val="内基梁A~J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Sheet1"/>
      <sheetName val="ASO"/>
      <sheetName val="ASO (3)"/>
      <sheetName val="张志玲"/>
      <sheetName val="兹溪兴发"/>
      <sheetName val="永丰"/>
      <sheetName val="鸿和岗"/>
      <sheetName val="惠峰"/>
      <sheetName val="国通"/>
      <sheetName val="明細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PUR资料库 (2)"/>
      <sheetName val="Sheet2"/>
      <sheetName val="Sheet2 (2)"/>
      <sheetName val="Sheet2 (3)"/>
      <sheetName val="Sheet2 (4)"/>
      <sheetName val="Sheet2 (5)"/>
      <sheetName val="2008年订单"/>
      <sheetName val="Sheet3"/>
      <sheetName val="Sheet1"/>
      <sheetName val="合同"/>
      <sheetName val="报价"/>
      <sheetName val="合格证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一层入户大堂"/>
      <sheetName val="标准层"/>
      <sheetName val="负一层"/>
      <sheetName val="负二层"/>
      <sheetName val="单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高层门窗清单"/>
      <sheetName val="幕墙清单"/>
      <sheetName val="商业街门窗清单"/>
      <sheetName val="百叶清单"/>
      <sheetName val="铝合金护窗栏杆"/>
      <sheetName val="主材表"/>
      <sheetName val="高"/>
      <sheetName val="幕"/>
      <sheetName val="商"/>
      <sheetName val="百"/>
      <sheetName val="护"/>
      <sheetName val="Sheet2"/>
      <sheetName val="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CDN"/>
      <sheetName val="报价"/>
      <sheetName val="报价 (2)"/>
      <sheetName val="报价1"/>
      <sheetName val="公司名称及地址"/>
      <sheetName val="办事处"/>
      <sheetName val="远大"/>
      <sheetName val="MSDN"/>
      <sheetName val="地址"/>
      <sheetName val="資料庫"/>
      <sheetName val="#REF!"/>
      <sheetName val="地下室防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Macro1"/>
      <sheetName val="填表指引"/>
      <sheetName val="1.0清单报价"/>
      <sheetName val="2.0主材量价表"/>
      <sheetName val="3.1柱单价分析"/>
      <sheetName val="3.2腰线单从分析"/>
      <sheetName val="3.3墙单价分析"/>
      <sheetName val="3.4梁单价分"/>
      <sheetName val="3.5有钢结构柱单价分析"/>
      <sheetName val="3.6有钢结构梁单价分析"/>
      <sheetName val="工程量汇总表"/>
      <sheetName val="A1A2A3石材"/>
      <sheetName val="A4石材"/>
      <sheetName val="A5石材"/>
      <sheetName val="A6石材"/>
      <sheetName val="A7石材"/>
      <sheetName val="骨架辅材汇总"/>
      <sheetName val="A1"/>
      <sheetName val="A2"/>
      <sheetName val="A3"/>
      <sheetName val="A4"/>
      <sheetName val="A5"/>
      <sheetName val="A6"/>
      <sheetName val="A7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a.BJFM"/>
      <sheetName val="a.TBFM"/>
      <sheetName val="b.SM"/>
      <sheetName val="c.HZ"/>
      <sheetName val="d.QD"/>
      <sheetName val="e.FX（系列）"/>
      <sheetName val="e.FX (单樘)"/>
      <sheetName val="f.ZC"/>
      <sheetName val="g.SPD"/>
      <sheetName val="h.YSB"/>
      <sheetName val="i.JSS"/>
      <sheetName val="j.XCB-XC"/>
      <sheetName val="i.XCB-BL"/>
      <sheetName val="i.XCB-WJ"/>
      <sheetName val="L.QF"/>
      <sheetName val="B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</sheetNames>
    <sheetDataSet>
      <sheetData sheetId="0"/>
      <sheetData sheetId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发文审批表"/>
      <sheetName val="清单封面及说明"/>
      <sheetName val="封面—编制"/>
      <sheetName val="编制说明—编制090722"/>
      <sheetName val="编制说明—编制090721"/>
      <sheetName val="编制说明—编制090716"/>
      <sheetName val="质量检查表"/>
      <sheetName val="造价咨询工作方案"/>
      <sheetName val="资料交接表"/>
      <sheetName val="钢筋调整"/>
      <sheetName val="结构装饰工程量"/>
      <sheetName val="钢筋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一层入户大堂"/>
      <sheetName val="标准层"/>
      <sheetName val="负一层"/>
      <sheetName val="负二层"/>
      <sheetName val="单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汇总表"/>
      <sheetName val="清单"/>
      <sheetName val="材料表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型材密度表"/>
      <sheetName val="材料损耗(不打印)"/>
      <sheetName val="改加胶玻璃、室外栏杆"/>
      <sheetName val="建筑面积 "/>
      <sheetName val="XLR_NoRangeSheet"/>
      <sheetName val="基础项目"/>
      <sheetName val="单价分析表"/>
      <sheetName val="计算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  <sheetName val="21"/>
      <sheetName val="3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基础项目"/>
      <sheetName val="单位"/>
      <sheetName val="常用项目"/>
      <sheetName val="工程量"/>
      <sheetName val="清单"/>
      <sheetName val="内围地梁钢筋说明"/>
      <sheetName val="总表（不打印）"/>
      <sheetName val="型材线密度表"/>
      <sheetName val="建筑面积 "/>
      <sheetName val="承台(砖模) "/>
      <sheetName val="柱"/>
      <sheetName val="材料表"/>
      <sheetName val="1."/>
      <sheetName val="材料损耗(不打印)"/>
      <sheetName val="Mp-team 1"/>
      <sheetName val="POWER ASSUMPTIONS"/>
      <sheetName val="墙面工程"/>
      <sheetName val="改加胶玻璃、室外栏杆"/>
      <sheetName val="嘉里塔楼工程量"/>
      <sheetName val="4、综合单价分析表"/>
      <sheetName val="清单汇总"/>
      <sheetName val="单价分析过程"/>
      <sheetName val="主要材料价格表 (2)"/>
      <sheetName val="19#楼(作废)"/>
      <sheetName val="Toolbox"/>
      <sheetName val="Elem Cost"/>
      <sheetName val="费率及线密度"/>
      <sheetName val="材料价格"/>
      <sheetName val="设置"/>
      <sheetName val="单价分析"/>
      <sheetName val="K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3"/>
      <sheetName val="4"/>
      <sheetName val="5"/>
      <sheetName val="3 (2)"/>
      <sheetName val="材料表"/>
      <sheetName val="型材表"/>
      <sheetName val="工程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Macro3"/>
      <sheetName val="Macro1"/>
      <sheetName val="数据汇总"/>
      <sheetName val="计算稿"/>
    </sheetNames>
    <sheetDataSet>
      <sheetData sheetId="0"/>
      <sheetData sheetId="1"/>
      <sheetData sheetId="2"/>
      <sheetData sheetId="3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成本说明"/>
      <sheetName val="单位"/>
      <sheetName val="清单"/>
      <sheetName val="措施"/>
      <sheetName val="其他"/>
      <sheetName val="规费"/>
      <sheetName val="1"/>
      <sheetName val="材料表"/>
      <sheetName val="1."/>
      <sheetName val="封面"/>
      <sheetName val="总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資料庫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明細表 (2)"/>
      <sheetName val="明細表"/>
      <sheetName val="資料庫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PUR资料库 (2)"/>
      <sheetName val="Sheet2"/>
      <sheetName val="Sheet2 (2)"/>
      <sheetName val="Sheet2 (3)"/>
      <sheetName val="Sheet2 (4)"/>
      <sheetName val="Sheet2 (5)"/>
      <sheetName val="2008年订单"/>
      <sheetName val="Sheet3"/>
      <sheetName val="Sheet1"/>
      <sheetName val="合同"/>
      <sheetName val="报价"/>
      <sheetName val="合格证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工程量"/>
      <sheetName val="清单表"/>
      <sheetName val="清单表 (2)"/>
    </sheetNames>
    <sheetDataSet>
      <sheetData sheetId="0"/>
      <sheetData sheetId="1"/>
      <sheetData sheetId="2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生产单"/>
      <sheetName val="生产单 (2)"/>
      <sheetName val="發貨單"/>
      <sheetName val="订单总结"/>
      <sheetName val="东方"/>
      <sheetName val="迅富"/>
      <sheetName val="吉田"/>
      <sheetName val="金盛"/>
      <sheetName val="雅维斯"/>
      <sheetName val="王锁生"/>
      <sheetName val="金圈"/>
      <sheetName val="金圈 (1)"/>
      <sheetName val="华加日"/>
      <sheetName val="华加日 (2)"/>
      <sheetName val="沈飞"/>
      <sheetName val="梁允党"/>
      <sheetName val="兴发"/>
      <sheetName val="特凌"/>
      <sheetName val="比利"/>
      <sheetName val="东亚"/>
      <sheetName val="固若"/>
      <sheetName val="创展"/>
      <sheetName val="刘忠"/>
      <sheetName val="粤骏"/>
      <sheetName val="时代"/>
      <sheetName val="绿城"/>
      <sheetName val="叶峰"/>
      <sheetName val="广亚"/>
      <sheetName val="瑞那斯"/>
      <sheetName val="广东装饰"/>
      <sheetName val="亚洲"/>
      <sheetName val="长空"/>
      <sheetName val="顺天通"/>
      <sheetName val="三元"/>
      <sheetName val="懿麟"/>
      <sheetName val="勃海铝"/>
      <sheetName val="泰克峰"/>
      <sheetName val="俊强"/>
      <sheetName val="中建三局"/>
      <sheetName val="俊强 (3)"/>
      <sheetName val="板和"/>
      <sheetName val="东林"/>
      <sheetName val="生产单 (1)"/>
      <sheetName val="出貨通知單 (1)"/>
      <sheetName val="出貨通知單 (2)"/>
      <sheetName val="樣辦單 (1)"/>
      <sheetName val="樣辦單 (2)"/>
      <sheetName val="CND"/>
      <sheetName val="CND (2)"/>
      <sheetName val="1"/>
      <sheetName val="2"/>
      <sheetName val="3"/>
      <sheetName val="4"/>
      <sheetName val="5"/>
      <sheetName val="6"/>
      <sheetName val="CNDA (3)"/>
      <sheetName val="公司名称及地址"/>
      <sheetName val="电镀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报价"/>
      <sheetName val="合同"/>
      <sheetName val="ASO (4)"/>
      <sheetName val="明細表"/>
      <sheetName val="資料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CDN"/>
      <sheetName val="資料庫"/>
      <sheetName val="CND"/>
      <sheetName val="北京辦 (4)"/>
      <sheetName val="北京辦 (5)"/>
      <sheetName val="北京辦"/>
      <sheetName val="北京辦 (3)"/>
      <sheetName val="順天通"/>
      <sheetName val="公司名称及地址 (2)"/>
      <sheetName val="全日通"/>
      <sheetName val="港龙"/>
      <sheetName val="申通"/>
      <sheetName val="顺风"/>
      <sheetName val="CND (2)"/>
      <sheetName val="固若1"/>
      <sheetName val="遠東"/>
      <sheetName val="迅富 5 (5)"/>
      <sheetName val="迅富1 (3)"/>
      <sheetName val="東方 (3)"/>
      <sheetName val="東方"/>
      <sheetName val="東方 (2)"/>
      <sheetName val="富達"/>
      <sheetName val="北京辦 (2)"/>
      <sheetName val="鴻恆基"/>
      <sheetName val="鴻恆基 (2)"/>
      <sheetName val="迅富 5 (4)"/>
      <sheetName val="東方5"/>
      <sheetName val="興發1"/>
      <sheetName val="CND  "/>
      <sheetName val="興 (3)"/>
      <sheetName val="深圳老厂1 (3)"/>
      <sheetName val="Sheet1"/>
      <sheetName val="深圳老厂"/>
      <sheetName val="深圳老厂1"/>
      <sheetName val="深圳老厂1 (4)"/>
      <sheetName val="深圳新厂"/>
      <sheetName val="Sheet2"/>
      <sheetName val="Sheet3"/>
      <sheetName val="清单"/>
      <sheetName val="送货单"/>
      <sheetName val="电镀"/>
      <sheetName val="电镀 (2)"/>
      <sheetName val="立兴"/>
      <sheetName val="立兴2"/>
      <sheetName val="新永兴1"/>
      <sheetName val="裕得利1"/>
      <sheetName val="新永兴"/>
      <sheetName val="钢峰电镀"/>
      <sheetName val="金属喷油"/>
      <sheetName val="富意达"/>
      <sheetName val="恒信"/>
      <sheetName val="环球"/>
      <sheetName val="存料"/>
      <sheetName val="存料 (2)"/>
      <sheetName val="貨物簽收單"/>
      <sheetName val="明細表"/>
      <sheetName val="明細表 (2)"/>
      <sheetName val="生產通知單"/>
      <sheetName val="發貨單"/>
      <sheetName val="樣辦單 (2)"/>
      <sheetName val="樣辦單"/>
      <sheetName val="香港益美"/>
      <sheetName val="益美"/>
      <sheetName val="佛山金固(戈利嘉)"/>
      <sheetName val="彪福"/>
      <sheetName val="立興"/>
      <sheetName val="莫兆記"/>
      <sheetName val="新泰"/>
      <sheetName val="美時"/>
      <sheetName val="美亨"/>
      <sheetName val="YKK"/>
      <sheetName val="聯達"/>
      <sheetName val="金鴻"/>
      <sheetName val="曼克頓"/>
      <sheetName val="聯安"/>
      <sheetName val="中聯"/>
      <sheetName val="大華"/>
      <sheetName val="專業"/>
      <sheetName val="東榮"/>
      <sheetName val="廣州幕墻"/>
      <sheetName val="散客"/>
      <sheetName val="鋼豐"/>
      <sheetName val="計量檢測"/>
      <sheetName val="需求单"/>
      <sheetName val="需求单 (2)"/>
      <sheetName val="采购单"/>
      <sheetName val="公司名称及地址"/>
      <sheetName val="青联"/>
      <sheetName val="鑫山"/>
      <sheetName val="卡莱"/>
      <sheetName val="正泰1"/>
      <sheetName val="渤海铝"/>
      <sheetName val="鲁华"/>
      <sheetName val="艺华"/>
      <sheetName val="鑫源"/>
      <sheetName val="正泰"/>
      <sheetName val="SCND"/>
      <sheetName val="QCND"/>
      <sheetName val="SCND (3)"/>
      <sheetName val="SCND (4)"/>
      <sheetName val="备货单"/>
      <sheetName val="深圳老厂1 (2)"/>
      <sheetName val="新厂"/>
      <sheetName val="新厂 (2)"/>
      <sheetName val="新厂 (3)"/>
      <sheetName val="新厂 (4)"/>
      <sheetName val="采购单 (2)"/>
      <sheetName val="新厂 (5)"/>
      <sheetName val="新厂 (6)"/>
      <sheetName val="安利达装饰"/>
      <sheetName val="南昌办 (2)"/>
      <sheetName val="王兴幕墙 (2)"/>
      <sheetName val="福州"/>
      <sheetName val="营口瑞那斯"/>
      <sheetName val="深圳"/>
      <sheetName val="川信(5)"/>
      <sheetName val="吉安 (6)"/>
      <sheetName val="吉安 (7)"/>
      <sheetName val="吉安 (5)"/>
      <sheetName val="杭州绿城"/>
      <sheetName val="武汉易成 (2)"/>
      <sheetName val="银鑫  "/>
      <sheetName val="新世家"/>
      <sheetName val="雅维斯  (2)"/>
      <sheetName val="南昌办"/>
      <sheetName val="川信   (2)"/>
      <sheetName val="川信   (3)"/>
      <sheetName val="川信  "/>
      <sheetName val="郑州华新"/>
      <sheetName val="佳兴"/>
      <sheetName val="吉安"/>
      <sheetName val="兰州新欣"/>
      <sheetName val="深圳 (2)"/>
      <sheetName val="福州办"/>
      <sheetName val="三元德隆  (2)"/>
      <sheetName val="三元德隆 "/>
      <sheetName val="杭州裕富"/>
      <sheetName val="宁波2"/>
      <sheetName val="宁波办 (2)"/>
      <sheetName val="宁波办"/>
      <sheetName val=""/>
      <sheetName val="汇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明細表"/>
      <sheetName val="生產通知單"/>
      <sheetName val="核对"/>
      <sheetName val="發貨單 (2)"/>
      <sheetName val="發貨單"/>
      <sheetName val="韶光"/>
      <sheetName val="吉田"/>
      <sheetName val="金盛"/>
      <sheetName val="雅維斯"/>
      <sheetName val="沈飞"/>
      <sheetName val="興發"/>
      <sheetName val="特凌"/>
      <sheetName val="東亞"/>
      <sheetName val="长空"/>
      <sheetName val="三元"/>
      <sheetName val="懿麟"/>
      <sheetName val="勃海铝"/>
      <sheetName val="板和"/>
      <sheetName val="订单总结"/>
      <sheetName val="王鎖生"/>
      <sheetName val="金圈"/>
      <sheetName val="金圈 (2)"/>
      <sheetName val="李鸿楷"/>
      <sheetName val="興發(2)"/>
      <sheetName val="興發(1)"/>
      <sheetName val="比利"/>
      <sheetName val="梁福成"/>
      <sheetName val="葉峰"/>
      <sheetName val="广亚"/>
      <sheetName val="瑞那斯"/>
      <sheetName val="广州装饰"/>
      <sheetName val="亚洲"/>
      <sheetName val="刘忠"/>
      <sheetName val="泰克峰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甲供料表"/>
      <sheetName val="人工挖孔桩"/>
      <sheetName val="承台(砖模) "/>
      <sheetName val="承台(木模)"/>
      <sheetName val="基础梁"/>
      <sheetName val="梁"/>
      <sheetName val="柱"/>
      <sheetName val="计算试"/>
      <sheetName val="砖墙"/>
      <sheetName val="门窗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说明"/>
      <sheetName val="投标报价汇总表"/>
      <sheetName val="报价表一"/>
      <sheetName val="报价表二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主材"/>
      <sheetName val="清单"/>
      <sheetName val="主材表"/>
      <sheetName val="厂家"/>
      <sheetName val="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封面"/>
      <sheetName val="工程计算项目列表"/>
      <sheetName val="工程量计算表"/>
      <sheetName val="工程量汇总表"/>
      <sheetName val="作法及图集选用表"/>
      <sheetName val="使用说明"/>
      <sheetName val="常用辅助资料"/>
      <sheetName val="資料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PKM"/>
      <sheetName val="GDC"/>
      <sheetName val="SXC"/>
      <sheetName val="NKXC"/>
      <sheetName val="PKC"/>
      <sheetName val="BYC"/>
      <sheetName val="MQ"/>
      <sheetName val="GS"/>
      <sheetName val="SC"/>
      <sheetName val="工程量"/>
      <sheetName val="材料表"/>
      <sheetName val="材料损耗(不打印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细部结构"/>
      <sheetName val="条型基础"/>
      <sheetName val="基础"/>
      <sheetName val="柱"/>
      <sheetName val="梁"/>
      <sheetName val="平楼板表(进度)"/>
      <sheetName val="钢筋"/>
      <sheetName val="建筑面积 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投标基本资料"/>
      <sheetName val="主材表"/>
      <sheetName val="取费表"/>
      <sheetName val="附表1税"/>
      <sheetName val="型材表"/>
      <sheetName val="玻璃"/>
      <sheetName val="配件"/>
      <sheetName val="材料损耗(不打印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PKM"/>
      <sheetName val="GDC"/>
      <sheetName val="SXC"/>
      <sheetName val="NKXC"/>
      <sheetName val="PKC"/>
      <sheetName val="BYC"/>
      <sheetName val="MQ"/>
      <sheetName val="GS"/>
      <sheetName val="SC"/>
      <sheetName val="工程量"/>
      <sheetName val="材料表"/>
      <sheetName val="材料损耗(不打印)"/>
      <sheetName val="基础项目"/>
      <sheetName val="改加胶玻璃、室外栏杆"/>
      <sheetName val="21"/>
      <sheetName val="承台(砖模) "/>
      <sheetName val="柱"/>
      <sheetName val="清单"/>
      <sheetName val="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资料表"/>
      <sheetName val="质保书"/>
      <sheetName val="质保书1"/>
      <sheetName val="Sheet1"/>
      <sheetName val="A"/>
      <sheetName val="C"/>
      <sheetName val="Ｄ"/>
      <sheetName val="东方"/>
      <sheetName val="迅富1"/>
      <sheetName val="迅富"/>
      <sheetName val="合格"/>
      <sheetName val="多点锁 (2)"/>
      <sheetName val="多点锁"/>
      <sheetName val="HHS1"/>
      <sheetName val="HHS"/>
      <sheetName val="合格证"/>
      <sheetName val="特凌"/>
      <sheetName val="Sheet2"/>
      <sheetName val="鸿恒基"/>
      <sheetName val="华加日"/>
      <sheetName val="固若"/>
      <sheetName val="合格证 (2)"/>
      <sheetName val="資料庫"/>
      <sheetName val="审查表"/>
      <sheetName val="生产单 (4)"/>
      <sheetName val="生产单"/>
      <sheetName val="生产单 (1)"/>
      <sheetName val="生产单 (2)"/>
      <sheetName val="生产单 (3)"/>
      <sheetName val="生产单 (6)"/>
      <sheetName val="生产单 (5)"/>
      <sheetName val="發貨單 (2)"/>
      <sheetName val="發貨單"/>
      <sheetName val="样办"/>
      <sheetName val="样办 (2)"/>
      <sheetName val="样办送货单"/>
      <sheetName val="样办送货单 (2)"/>
      <sheetName val="俊威"/>
      <sheetName val="电镀"/>
      <sheetName val="迅富2"/>
      <sheetName val="东林 (3)"/>
      <sheetName val="东方 (1)"/>
      <sheetName val="兴业"/>
      <sheetName val="沈飞"/>
      <sheetName val="梁允党"/>
      <sheetName val="兴发"/>
      <sheetName val="时代"/>
      <sheetName val="时代 (2)"/>
      <sheetName val="南雄"/>
      <sheetName val="板和"/>
      <sheetName val="中建三局"/>
      <sheetName val="三元"/>
      <sheetName val="创展"/>
      <sheetName val="CNDA (2)"/>
      <sheetName val="CNDA"/>
      <sheetName val="CND"/>
      <sheetName val="CND (2)"/>
      <sheetName val="公司名称及地址 (2)"/>
      <sheetName val="地址"/>
      <sheetName val="CS036"/>
      <sheetName val="CS036 (1)"/>
      <sheetName val="迅富 (2)"/>
      <sheetName val="南雄 "/>
      <sheetName val="上海华加日"/>
      <sheetName val="東方"/>
      <sheetName val="董生"/>
      <sheetName val="富达"/>
      <sheetName val="天地"/>
      <sheetName val="张志岭"/>
      <sheetName val="青岛"/>
      <sheetName val="普陀兴发"/>
      <sheetName val="陈会祥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展销部"/>
      <sheetName val="广州装饰"/>
      <sheetName val="懿麟"/>
      <sheetName val="佳明"/>
      <sheetName val="束嘉"/>
      <sheetName val="杨尚威"/>
      <sheetName val="俊强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盛兴"/>
      <sheetName val="德玛"/>
      <sheetName val="雅维斯"/>
      <sheetName val="源泰"/>
      <sheetName val="YKK"/>
      <sheetName val="YKK (2)"/>
      <sheetName val="北京办"/>
      <sheetName val="興發 (2)"/>
      <sheetName val="煙台盟昌"/>
      <sheetName val="廣州鋁質"/>
      <sheetName val="興安"/>
      <sheetName val="潤恆"/>
      <sheetName val="生產通知單"/>
      <sheetName val="核对"/>
      <sheetName val="订单总结"/>
      <sheetName val="韶光"/>
      <sheetName val="雅維斯"/>
      <sheetName val="王鎖生"/>
      <sheetName val="金圈 (2)"/>
      <sheetName val="李鸿楷"/>
      <sheetName val="興發(2)"/>
      <sheetName val="興發(1)"/>
      <sheetName val="興發"/>
      <sheetName val="比利"/>
      <sheetName val="東亞"/>
      <sheetName val="梁福成"/>
      <sheetName val="葉峰"/>
      <sheetName val="勃海铝"/>
      <sheetName val="泰克峰"/>
      <sheetName val="明細表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表12"/>
      <sheetName val="表13"/>
      <sheetName val="弱电"/>
      <sheetName val="户外照明线管"/>
      <sheetName val="户内照明"/>
      <sheetName val="电力预埋管"/>
      <sheetName val="单方含量"/>
      <sheetName val="XLR_NoRangeSheet"/>
      <sheetName val="21"/>
      <sheetName val="#REF!"/>
      <sheetName val="工程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附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基础项目"/>
      <sheetName val="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明細表 (2)"/>
      <sheetName val="明細表"/>
      <sheetName val="資料庫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审查表"/>
      <sheetName val="生产单 (4)"/>
      <sheetName val="生产单"/>
      <sheetName val="生产单 (2)"/>
      <sheetName val="生产单 (3)"/>
      <sheetName val="生产单 (1)"/>
      <sheetName val="發貨單"/>
      <sheetName val="样办"/>
      <sheetName val="样办 (2)"/>
      <sheetName val="樣辦送货單"/>
      <sheetName val="俊威"/>
      <sheetName val="电镀"/>
      <sheetName val="迅富2"/>
      <sheetName val="迅富1"/>
      <sheetName val="迅富"/>
      <sheetName val="东林 (3)"/>
      <sheetName val="东方"/>
      <sheetName val="东方 (1)"/>
      <sheetName val="东林 (2)"/>
      <sheetName val="兴业"/>
      <sheetName val="吉田"/>
      <sheetName val="金盛"/>
      <sheetName val="雅维斯"/>
      <sheetName val="王锁生"/>
      <sheetName val="金圈"/>
      <sheetName val="金圈 (1)"/>
      <sheetName val="华加日"/>
      <sheetName val="华加日 (2)"/>
      <sheetName val="沈飞"/>
      <sheetName val="梁允党"/>
      <sheetName val="兴发"/>
      <sheetName val="特凌"/>
      <sheetName val="比利"/>
      <sheetName val="东亚"/>
      <sheetName val="固若"/>
      <sheetName val="刘忠"/>
      <sheetName val="粤骏"/>
      <sheetName val="时代"/>
      <sheetName val="时代 (2)"/>
      <sheetName val="绿城"/>
      <sheetName val="叶峰"/>
      <sheetName val="广亚"/>
      <sheetName val="瑞那斯"/>
      <sheetName val="广东装饰"/>
      <sheetName val="亚洲"/>
      <sheetName val="长空"/>
      <sheetName val="顺天通"/>
      <sheetName val="懿麟"/>
      <sheetName val="勃海铝"/>
      <sheetName val="泰克峰"/>
      <sheetName val="中建三局"/>
      <sheetName val="盛兴"/>
      <sheetName val="富达"/>
      <sheetName val="板和"/>
      <sheetName val="东林"/>
      <sheetName val="三元"/>
      <sheetName val="创展"/>
      <sheetName val="CNDA"/>
      <sheetName val="CND"/>
      <sheetName val="公司名称及地址 (2)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生产单"/>
      <sheetName val="生产单 (2)"/>
      <sheetName val="發貨單"/>
      <sheetName val="订单总结"/>
      <sheetName val="东方"/>
      <sheetName val="迅富"/>
      <sheetName val="吉田"/>
      <sheetName val="金盛"/>
      <sheetName val="雅维斯"/>
      <sheetName val="王锁生"/>
      <sheetName val="金圈"/>
      <sheetName val="金圈 (1)"/>
      <sheetName val="华加日"/>
      <sheetName val="华加日 (2)"/>
      <sheetName val="沈飞"/>
      <sheetName val="梁允党"/>
      <sheetName val="兴发"/>
      <sheetName val="特凌"/>
      <sheetName val="比利"/>
      <sheetName val="东亚"/>
      <sheetName val="固若"/>
      <sheetName val="创展"/>
      <sheetName val="刘忠"/>
      <sheetName val="粤骏"/>
      <sheetName val="时代"/>
      <sheetName val="绿城"/>
      <sheetName val="叶峰"/>
      <sheetName val="广亚"/>
      <sheetName val="瑞那斯"/>
      <sheetName val="广东装饰"/>
      <sheetName val="亚洲"/>
      <sheetName val="长空"/>
      <sheetName val="顺天通"/>
      <sheetName val="三元"/>
      <sheetName val="懿麟"/>
      <sheetName val="勃海铝"/>
      <sheetName val="泰克峰"/>
      <sheetName val="俊强"/>
      <sheetName val="中建三局"/>
      <sheetName val="俊强 (3)"/>
      <sheetName val="板和"/>
      <sheetName val="东林"/>
      <sheetName val="生产单 (1)"/>
      <sheetName val="出貨通知單 (1)"/>
      <sheetName val="出貨通知單 (2)"/>
      <sheetName val="樣辦單 (1)"/>
      <sheetName val="樣辦單 (2)"/>
      <sheetName val="CND"/>
      <sheetName val="CND (2)"/>
      <sheetName val="1"/>
      <sheetName val="2"/>
      <sheetName val="3"/>
      <sheetName val="4"/>
      <sheetName val="5"/>
      <sheetName val="6"/>
      <sheetName val="CNDA (3)"/>
      <sheetName val="公司名称及地址"/>
      <sheetName val="电镀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劉忠"/>
      <sheetName val="CS036"/>
      <sheetName val="報價單 (2)"/>
      <sheetName val="報價單"/>
      <sheetName val="吉田"/>
      <sheetName val="金圈"/>
      <sheetName val="韶光"/>
      <sheetName val="梁允党"/>
      <sheetName val="興發"/>
      <sheetName val="興發 (2)"/>
      <sheetName val="興發 (3)"/>
      <sheetName val="煙台盟昌"/>
      <sheetName val="余建忠"/>
      <sheetName val="葉峰"/>
      <sheetName val="唐生"/>
      <sheetName val="杜良棠"/>
      <sheetName val="鄒生"/>
      <sheetName val="胡生"/>
      <sheetName val="梁福成"/>
      <sheetName val="南海二建"/>
      <sheetName val="富達"/>
      <sheetName val="軒泰"/>
      <sheetName val="金聖"/>
      <sheetName val="唐蕾"/>
      <sheetName val="唐蕾 (2)"/>
      <sheetName val="恆隆"/>
      <sheetName val="艾迪"/>
      <sheetName val="亞洲"/>
      <sheetName val="王鎖生"/>
      <sheetName val="煙京"/>
      <sheetName val="張建國"/>
      <sheetName val="張建國 (2)"/>
      <sheetName val="董宇飛"/>
      <sheetName val="廣州鋁質"/>
      <sheetName val="楊尚威 (2)"/>
      <sheetName val="创展"/>
      <sheetName val="楊尚威"/>
      <sheetName val="興安"/>
      <sheetName val="東方 (2)"/>
      <sheetName val="東方"/>
      <sheetName val="亮佳"/>
      <sheetName val="金盛"/>
      <sheetName val="偉發"/>
      <sheetName val="吳生"/>
      <sheetName val="偉志"/>
      <sheetName val="特凌"/>
      <sheetName val="林生"/>
      <sheetName val="林生 (2)"/>
      <sheetName val="華加日"/>
      <sheetName val="華加日 (2)"/>
      <sheetName val="金利"/>
      <sheetName val="上海摩林"/>
      <sheetName val="張志芩"/>
      <sheetName val="東亞"/>
      <sheetName val="粵駿"/>
      <sheetName val="廣東裝飾"/>
      <sheetName val="彪福"/>
      <sheetName val="绿城"/>
      <sheetName val="綠城1"/>
      <sheetName val="廣亞"/>
      <sheetName val="力基"/>
      <sheetName val="莫兆記"/>
      <sheetName val="泰利"/>
      <sheetName val="潤恆"/>
      <sheetName val="其昌"/>
      <sheetName val="佳明"/>
      <sheetName val="俊强"/>
      <sheetName val="束嘉"/>
      <sheetName val="中建三局"/>
      <sheetName val="中建三局 (3)"/>
      <sheetName val="中建三局 (2)"/>
      <sheetName val="黎明"/>
      <sheetName val="华美"/>
      <sheetName val="阳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预算书封面"/>
      <sheetName val="说明"/>
      <sheetName val="汇总表"/>
      <sheetName val="材料表"/>
      <sheetName val="1"/>
      <sheetName val="2"/>
      <sheetName val="3"/>
      <sheetName val="4"/>
      <sheetName val="5"/>
      <sheetName val="6"/>
      <sheetName val="7"/>
      <sheetName val="工程量"/>
      <sheetName val="工程量 (2)"/>
      <sheetName val="预算用量汇总表"/>
      <sheetName val="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主材分析表"/>
      <sheetName val="报价汇总表"/>
      <sheetName val="材料表"/>
      <sheetName val="清单"/>
      <sheetName val="1."/>
      <sheetName val="2."/>
      <sheetName val="3."/>
      <sheetName val="4."/>
      <sheetName val="5."/>
      <sheetName val="6."/>
      <sheetName val="7."/>
      <sheetName val="8."/>
      <sheetName val="9."/>
      <sheetName val="10."/>
      <sheetName val="11."/>
      <sheetName val="12."/>
      <sheetName val="13."/>
      <sheetName val="14."/>
      <sheetName val="15."/>
      <sheetName val="16."/>
      <sheetName val="17."/>
      <sheetName val="18."/>
      <sheetName val="19.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综合单价分析表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说明"/>
      <sheetName val="门窗汇总表"/>
      <sheetName val="百叶汇总表"/>
      <sheetName val="商业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2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主材表"/>
      <sheetName val="工程清单 （不打印）"/>
      <sheetName val="报审表（不打印）"/>
      <sheetName val="参数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参数表"/>
      <sheetName val="封面"/>
      <sheetName val="报价说明"/>
      <sheetName val="投标报价汇总表"/>
      <sheetName val="分部分项工程量清单计价表"/>
      <sheetName val="A栋单价分析表"/>
      <sheetName val="B、C综合单价分析表"/>
      <sheetName val="材料表"/>
      <sheetName val="措施项目清单"/>
      <sheetName val="A1"/>
      <sheetName val="A2"/>
      <sheetName val="A3"/>
      <sheetName val="A3-1"/>
      <sheetName val="A5"/>
      <sheetName val="A6"/>
      <sheetName val="A7"/>
      <sheetName val="A8"/>
      <sheetName val="A9"/>
      <sheetName val="A10"/>
      <sheetName val="XLR_NoRange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封面 "/>
      <sheetName val="自用规费草稿"/>
      <sheetName val="宿舍区造价汇总表"/>
      <sheetName val="检修宿舍汇总表"/>
      <sheetName val="ABCDEF户型"/>
      <sheetName val="宿舍楼公共走廊"/>
      <sheetName val="电梯厅、合用前室、扩大前室"/>
      <sheetName val="宿舍楼负一、一层入户门厅、入户大堂"/>
      <sheetName val="宿舍楼步梯间、强弱电井、水井等"/>
      <sheetName val="宿舍楼地下室其他空间"/>
      <sheetName val="检修食堂（656）"/>
      <sheetName val="电梯轿厢"/>
      <sheetName val="倒班检修宿舍区大门（6578）"/>
      <sheetName val="单项计价措施项目费"/>
      <sheetName val="总价项目措施费"/>
      <sheetName val="其它项目措施费"/>
      <sheetName val="备用清单"/>
      <sheetName val="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封面 "/>
      <sheetName val="厂前区办公楼汇总表"/>
      <sheetName val="65-653-654综合办公楼地下车库"/>
      <sheetName val="65综合办公楼"/>
      <sheetName val="653食堂"/>
      <sheetName val="654档案馆"/>
      <sheetName val="694警卫营房及训练场"/>
      <sheetName val="695消防站与训练塔"/>
      <sheetName val="699公安保卫楼"/>
      <sheetName val="651模拟机厂房（技能培训中心）"/>
      <sheetName val="95厂区大门及警卫室"/>
      <sheetName val="电梯轿厢"/>
      <sheetName val="单项计价措施项目费 "/>
      <sheetName val="项目措施费"/>
      <sheetName val="其它项目措施费"/>
      <sheetName val="备用清单"/>
      <sheetName val="BQ7.2（A1-2G户型）"/>
      <sheetName val="BQ7.3（A2-2户型）"/>
      <sheetName val="BQ7.4（A4-1G户型）"/>
      <sheetName val="BQ7.5（A4-2户型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D118"/>
  <sheetViews>
    <sheetView showGridLines="0" tabSelected="1" view="pageBreakPreview" zoomScaleNormal="100" workbookViewId="0">
      <pane xSplit="4" ySplit="4" topLeftCell="E5" activePane="bottomRight" state="frozen"/>
      <selection/>
      <selection pane="topRight"/>
      <selection pane="bottomLeft"/>
      <selection pane="bottomRight" activeCell="E135" sqref="E135"/>
    </sheetView>
  </sheetViews>
  <sheetFormatPr defaultColWidth="9" defaultRowHeight="12"/>
  <cols>
    <col min="1" max="1" width="8.14285714285714" style="1" customWidth="1"/>
    <col min="2" max="2" width="18.1428571428571" style="1" customWidth="1"/>
    <col min="3" max="3" width="38.5619047619048" style="1" customWidth="1"/>
    <col min="4" max="4" width="6.66666666666667" style="1" customWidth="1"/>
    <col min="5" max="5" width="11.5047619047619" style="3" customWidth="1"/>
    <col min="6" max="6" width="13" style="4" customWidth="1"/>
    <col min="7" max="7" width="15.752380952381" style="5" customWidth="1"/>
    <col min="8" max="8" width="10.8571428571429" style="5" customWidth="1"/>
    <col min="9" max="10" width="9.75238095238095" style="5"/>
    <col min="11" max="11" width="9" style="6" customWidth="1"/>
    <col min="12" max="16" width="9" style="5" customWidth="1"/>
    <col min="17" max="17" width="15.5047619047619" style="5" customWidth="1"/>
    <col min="18" max="18" width="16.5047619047619" style="5" customWidth="1"/>
    <col min="19" max="26" width="9" style="5"/>
    <col min="27" max="30" width="9" style="4"/>
    <col min="31" max="16384" width="9" style="1"/>
  </cols>
  <sheetData>
    <row r="1" s="1" customFormat="1" ht="18.75" spans="1:30">
      <c r="A1" s="7" t="s">
        <v>0</v>
      </c>
      <c r="B1" s="7"/>
      <c r="C1" s="7"/>
      <c r="D1" s="7"/>
      <c r="E1" s="8"/>
      <c r="F1" s="8"/>
      <c r="G1" s="8"/>
      <c r="H1" s="8"/>
      <c r="I1" s="5"/>
      <c r="J1" s="5"/>
      <c r="K1" s="6"/>
      <c r="L1" s="5"/>
      <c r="M1" s="5"/>
      <c r="N1" s="5"/>
      <c r="O1" s="9">
        <v>0</v>
      </c>
      <c r="P1" s="9">
        <v>0</v>
      </c>
      <c r="Q1" s="5"/>
      <c r="R1" s="5"/>
      <c r="S1" s="5"/>
      <c r="T1" s="5"/>
      <c r="U1" s="5"/>
      <c r="V1" s="5"/>
      <c r="W1" s="5"/>
      <c r="X1" s="5"/>
      <c r="Y1" s="5"/>
      <c r="Z1" s="5"/>
      <c r="AA1" s="4"/>
      <c r="AB1" s="4"/>
      <c r="AC1" s="4"/>
      <c r="AD1" s="4"/>
    </row>
    <row r="2" s="2" customFormat="1" spans="1:30">
      <c r="A2" s="2" t="s">
        <v>1</v>
      </c>
      <c r="E2" s="10"/>
      <c r="F2" s="10"/>
      <c r="G2" s="5"/>
      <c r="H2" s="5"/>
      <c r="I2" s="11" t="s">
        <v>2</v>
      </c>
      <c r="J2" s="11"/>
      <c r="K2" s="11"/>
      <c r="L2" s="11"/>
      <c r="M2" s="11"/>
      <c r="N2" s="11"/>
      <c r="O2" s="11"/>
      <c r="P2" s="11"/>
      <c r="Q2" s="11"/>
      <c r="R2" s="5"/>
      <c r="S2" s="5"/>
      <c r="T2" s="5"/>
      <c r="U2" s="5"/>
      <c r="V2" s="5"/>
      <c r="W2" s="5"/>
      <c r="X2" s="5"/>
      <c r="Y2" s="5"/>
      <c r="Z2" s="5"/>
      <c r="AA2" s="10"/>
      <c r="AB2" s="10"/>
      <c r="AC2" s="10"/>
      <c r="AD2" s="10"/>
    </row>
    <row r="3" s="1" customFormat="1" spans="1:30">
      <c r="A3" s="12" t="s">
        <v>3</v>
      </c>
      <c r="B3" s="12" t="s">
        <v>4</v>
      </c>
      <c r="C3" s="12" t="s">
        <v>5</v>
      </c>
      <c r="D3" s="12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4" t="s">
        <v>11</v>
      </c>
      <c r="J3" s="15" t="s">
        <v>12</v>
      </c>
      <c r="K3" s="16" t="s">
        <v>13</v>
      </c>
      <c r="L3" s="15" t="s">
        <v>14</v>
      </c>
      <c r="M3" s="15" t="s">
        <v>15</v>
      </c>
      <c r="N3" s="15" t="s">
        <v>16</v>
      </c>
      <c r="O3" s="14" t="s">
        <v>17</v>
      </c>
      <c r="P3" s="14" t="s">
        <v>18</v>
      </c>
      <c r="Q3" s="14" t="s">
        <v>19</v>
      </c>
      <c r="R3" s="5"/>
      <c r="S3" s="5"/>
      <c r="T3" s="5"/>
      <c r="U3" s="5"/>
      <c r="V3" s="5"/>
      <c r="W3" s="5"/>
      <c r="X3" s="5"/>
      <c r="Y3" s="5"/>
      <c r="Z3" s="5"/>
      <c r="AA3" s="4"/>
      <c r="AB3" s="4"/>
      <c r="AC3" s="4"/>
      <c r="AD3" s="4"/>
    </row>
    <row r="4" s="1" customFormat="1" spans="1:30">
      <c r="A4" s="12"/>
      <c r="B4" s="12"/>
      <c r="C4" s="12"/>
      <c r="D4" s="12"/>
      <c r="E4" s="13"/>
      <c r="F4" s="13"/>
      <c r="G4" s="13"/>
      <c r="H4" s="13"/>
      <c r="I4" s="11"/>
      <c r="J4" s="11"/>
      <c r="K4" s="17"/>
      <c r="L4" s="11"/>
      <c r="M4" s="11"/>
      <c r="N4" s="11"/>
      <c r="O4" s="11"/>
      <c r="P4" s="11"/>
      <c r="Q4" s="11"/>
      <c r="R4" s="5"/>
      <c r="S4" s="5"/>
      <c r="T4" s="5"/>
      <c r="U4" s="5"/>
      <c r="V4" s="5"/>
      <c r="W4" s="5"/>
      <c r="X4" s="5"/>
      <c r="Y4" s="5"/>
      <c r="Z4" s="5"/>
      <c r="AA4" s="4"/>
      <c r="AB4" s="4"/>
      <c r="AC4" s="4"/>
      <c r="AD4" s="4"/>
    </row>
    <row r="5" s="1" customFormat="1" ht="21" customHeight="1" spans="1:30">
      <c r="A5" s="12" t="s">
        <v>20</v>
      </c>
      <c r="B5" s="18"/>
      <c r="C5" s="18" t="s">
        <v>21</v>
      </c>
      <c r="D5" s="12"/>
      <c r="E5" s="13"/>
      <c r="F5" s="13"/>
      <c r="G5" s="13">
        <f>SUBTOTAL(9,G6:G117)</f>
        <v>11628493.0628034</v>
      </c>
      <c r="H5" s="13"/>
      <c r="I5" s="11"/>
      <c r="J5" s="11"/>
      <c r="K5" s="11"/>
      <c r="L5" s="11"/>
      <c r="M5" s="11"/>
      <c r="N5" s="11"/>
      <c r="O5" s="11"/>
      <c r="P5" s="11"/>
      <c r="Q5" s="13">
        <f>SUBTOTAL(9,Q6:Q117)</f>
        <v>13024074.4081563</v>
      </c>
      <c r="R5" s="5"/>
      <c r="S5" s="5"/>
      <c r="T5" s="5"/>
      <c r="U5" s="5"/>
      <c r="V5" s="5"/>
      <c r="W5" s="5"/>
      <c r="X5" s="5"/>
      <c r="Y5" s="5"/>
      <c r="Z5" s="5"/>
      <c r="AA5" s="4"/>
      <c r="AB5" s="4"/>
      <c r="AC5" s="4"/>
      <c r="AD5" s="4"/>
    </row>
    <row r="6" s="1" customFormat="1" ht="23" customHeight="1" spans="1:30">
      <c r="A6" s="12" t="s">
        <v>22</v>
      </c>
      <c r="B6" s="18"/>
      <c r="C6" s="18" t="s">
        <v>23</v>
      </c>
      <c r="D6" s="12"/>
      <c r="E6" s="13"/>
      <c r="F6" s="19"/>
      <c r="G6" s="13"/>
      <c r="H6" s="13"/>
      <c r="I6" s="11"/>
      <c r="J6" s="11"/>
      <c r="K6" s="11"/>
      <c r="L6" s="11"/>
      <c r="M6" s="11"/>
      <c r="N6" s="11"/>
      <c r="O6" s="11"/>
      <c r="P6" s="11"/>
      <c r="Q6" s="11"/>
      <c r="R6" s="5"/>
      <c r="S6" s="5"/>
      <c r="T6" s="5"/>
      <c r="U6" s="5"/>
      <c r="V6" s="5"/>
      <c r="W6" s="5"/>
      <c r="X6" s="5"/>
      <c r="Y6" s="5"/>
      <c r="Z6" s="5"/>
      <c r="AA6" s="4"/>
      <c r="AB6" s="4"/>
      <c r="AC6" s="4"/>
      <c r="AD6" s="4"/>
    </row>
    <row r="7" s="1" customFormat="1" ht="48" spans="1:30">
      <c r="A7" s="20">
        <v>1</v>
      </c>
      <c r="B7" s="21" t="s">
        <v>24</v>
      </c>
      <c r="C7" s="22" t="s">
        <v>25</v>
      </c>
      <c r="D7" s="20" t="s">
        <v>26</v>
      </c>
      <c r="E7" s="23">
        <v>427.82</v>
      </c>
      <c r="F7" s="24">
        <f>I7</f>
        <v>414.35</v>
      </c>
      <c r="G7" s="23">
        <f>E7*F7</f>
        <v>177267.217</v>
      </c>
      <c r="H7" s="23"/>
      <c r="I7" s="14">
        <f>J7*(1+K7)+L7+M7+N7+O7+P7</f>
        <v>414.35</v>
      </c>
      <c r="J7" s="25">
        <v>285</v>
      </c>
      <c r="K7" s="26">
        <v>0.05</v>
      </c>
      <c r="L7" s="25">
        <v>100</v>
      </c>
      <c r="M7" s="27">
        <f>470*0.03+1</f>
        <v>15.1</v>
      </c>
      <c r="N7" s="15">
        <v>0</v>
      </c>
      <c r="O7" s="15">
        <f>(J7*(1+K7)+L7+M7+N7)*$O$1</f>
        <v>0</v>
      </c>
      <c r="P7" s="15">
        <f>(J7*(1+K7)+L7+M7+N7+O7)*$P$1</f>
        <v>0</v>
      </c>
      <c r="Q7" s="14">
        <f>I7*E7</f>
        <v>177267.217</v>
      </c>
      <c r="R7" s="5"/>
      <c r="S7" s="5"/>
      <c r="T7" s="5"/>
      <c r="U7" s="5"/>
      <c r="V7" s="5"/>
      <c r="W7" s="5"/>
      <c r="X7" s="5"/>
      <c r="Y7" s="5"/>
      <c r="Z7" s="5"/>
      <c r="AA7" s="4"/>
      <c r="AB7" s="4"/>
      <c r="AC7" s="4"/>
      <c r="AD7" s="4"/>
    </row>
    <row r="8" s="1" customFormat="1" ht="66" customHeight="1" spans="1:30">
      <c r="A8" s="20">
        <v>2</v>
      </c>
      <c r="B8" s="21" t="s">
        <v>27</v>
      </c>
      <c r="C8" s="21" t="s">
        <v>28</v>
      </c>
      <c r="D8" s="20" t="s">
        <v>26</v>
      </c>
      <c r="E8" s="23">
        <v>427.82</v>
      </c>
      <c r="F8" s="24">
        <f t="shared" ref="F8:F32" si="0">I8</f>
        <v>50</v>
      </c>
      <c r="G8" s="23">
        <f>E8*F8</f>
        <v>21391</v>
      </c>
      <c r="H8" s="23"/>
      <c r="I8" s="14">
        <f>J8*(1+K8)+L8+M8+N8+O8+P8</f>
        <v>50</v>
      </c>
      <c r="J8" s="27">
        <v>25</v>
      </c>
      <c r="K8" s="28"/>
      <c r="L8" s="29">
        <v>25</v>
      </c>
      <c r="M8" s="30"/>
      <c r="N8" s="11"/>
      <c r="O8" s="15">
        <f>(J8*(1+K8)+L8+M8+N8)*$O$1</f>
        <v>0</v>
      </c>
      <c r="P8" s="15">
        <f>(J8*(1+K8)+L8+M8+N8+O8)*$P$1</f>
        <v>0</v>
      </c>
      <c r="Q8" s="14">
        <f>I8*E8</f>
        <v>21391</v>
      </c>
      <c r="R8" s="5"/>
      <c r="S8" s="5"/>
      <c r="T8" s="5"/>
      <c r="U8" s="5"/>
      <c r="V8" s="5"/>
      <c r="W8" s="5"/>
      <c r="X8" s="5"/>
      <c r="Y8" s="5"/>
      <c r="Z8" s="5"/>
      <c r="AA8" s="4"/>
      <c r="AB8" s="4"/>
      <c r="AC8" s="4"/>
      <c r="AD8" s="4"/>
    </row>
    <row r="9" s="1" customFormat="1" ht="27" customHeight="1" spans="1:30">
      <c r="A9" s="20">
        <v>3</v>
      </c>
      <c r="B9" s="21" t="s">
        <v>29</v>
      </c>
      <c r="C9" s="21" t="s">
        <v>30</v>
      </c>
      <c r="D9" s="20" t="s">
        <v>26</v>
      </c>
      <c r="E9" s="23">
        <v>427.82</v>
      </c>
      <c r="F9" s="24">
        <f t="shared" si="0"/>
        <v>20</v>
      </c>
      <c r="G9" s="23">
        <f>E9*F9</f>
        <v>8556.4</v>
      </c>
      <c r="H9" s="23"/>
      <c r="I9" s="14">
        <f>J9*(1+K9)+L9+M9+N9+O9+P9</f>
        <v>20</v>
      </c>
      <c r="J9" s="27"/>
      <c r="K9" s="28"/>
      <c r="L9" s="29">
        <v>10</v>
      </c>
      <c r="M9" s="29">
        <v>10</v>
      </c>
      <c r="N9" s="11"/>
      <c r="O9" s="15">
        <f>(J9*(1+K9)+L9+M9+N9)*$O$1</f>
        <v>0</v>
      </c>
      <c r="P9" s="15">
        <f>(J9*(1+K9)+L9+M9+N9+O9)*$P$1</f>
        <v>0</v>
      </c>
      <c r="Q9" s="14">
        <f>I9*E9</f>
        <v>8556.4</v>
      </c>
      <c r="R9" s="5"/>
      <c r="S9" s="5"/>
      <c r="T9" s="5"/>
      <c r="U9" s="5"/>
      <c r="V9" s="5"/>
      <c r="W9" s="5"/>
      <c r="X9" s="5"/>
      <c r="Y9" s="5"/>
      <c r="Z9" s="5"/>
      <c r="AA9" s="4"/>
      <c r="AB9" s="4"/>
      <c r="AC9" s="4"/>
      <c r="AD9" s="4"/>
    </row>
    <row r="10" s="1" customFormat="1" ht="80" customHeight="1" spans="1:30">
      <c r="A10" s="20">
        <v>4</v>
      </c>
      <c r="B10" s="21" t="s">
        <v>31</v>
      </c>
      <c r="C10" s="22" t="s">
        <v>32</v>
      </c>
      <c r="D10" s="20" t="s">
        <v>26</v>
      </c>
      <c r="E10" s="23">
        <v>9077.7</v>
      </c>
      <c r="F10" s="24">
        <f t="shared" si="0"/>
        <v>94.45</v>
      </c>
      <c r="G10" s="23">
        <f>E10*F10</f>
        <v>857388.765</v>
      </c>
      <c r="H10" s="23"/>
      <c r="I10" s="14">
        <f>J10*(1+K10)+L10+M10+N10+O10+P10</f>
        <v>94.45</v>
      </c>
      <c r="J10" s="15">
        <v>33</v>
      </c>
      <c r="K10" s="16">
        <v>0.05</v>
      </c>
      <c r="L10" s="15">
        <v>40</v>
      </c>
      <c r="M10" s="27">
        <f>470*0.04+1</f>
        <v>19.8</v>
      </c>
      <c r="N10" s="15"/>
      <c r="O10" s="15">
        <f>(J10*(1+K10)+L10+M10+N10)*$O$1</f>
        <v>0</v>
      </c>
      <c r="P10" s="15">
        <f>(J10*(1+K10)+L10+M10+N10+O10)*$P$1</f>
        <v>0</v>
      </c>
      <c r="Q10" s="14">
        <f>I10*E10</f>
        <v>857388.765</v>
      </c>
      <c r="R10" s="5"/>
      <c r="S10" s="5"/>
      <c r="T10" s="5"/>
      <c r="U10" s="5"/>
      <c r="V10" s="5"/>
      <c r="W10" s="5"/>
      <c r="X10" s="5"/>
      <c r="Y10" s="5"/>
      <c r="Z10" s="5"/>
      <c r="AA10" s="4"/>
      <c r="AB10" s="4"/>
      <c r="AC10" s="4"/>
      <c r="AD10" s="4"/>
    </row>
    <row r="11" s="1" customFormat="1" ht="60" spans="1:30">
      <c r="A11" s="20">
        <v>5</v>
      </c>
      <c r="B11" s="21" t="s">
        <v>33</v>
      </c>
      <c r="C11" s="22" t="s">
        <v>34</v>
      </c>
      <c r="D11" s="20" t="s">
        <v>26</v>
      </c>
      <c r="E11" s="23">
        <v>591.38</v>
      </c>
      <c r="F11" s="24">
        <f t="shared" si="0"/>
        <v>85.05</v>
      </c>
      <c r="G11" s="23">
        <f>E11*F11</f>
        <v>50296.869</v>
      </c>
      <c r="H11" s="23"/>
      <c r="I11" s="14">
        <f>J11*(1+K11)+L11+M11+N11+O11+P11</f>
        <v>85.05</v>
      </c>
      <c r="J11" s="11">
        <v>33</v>
      </c>
      <c r="K11" s="16">
        <v>0.05</v>
      </c>
      <c r="L11" s="15">
        <f>L10</f>
        <v>40</v>
      </c>
      <c r="M11" s="27">
        <f>470*0.02+1</f>
        <v>10.4</v>
      </c>
      <c r="N11" s="11"/>
      <c r="O11" s="15">
        <f>(J11*(1+K11)+L11+M11+N11)*$O$1</f>
        <v>0</v>
      </c>
      <c r="P11" s="15">
        <f>(J11*(1+K11)+L11+M11+N11+O11)*$P$1</f>
        <v>0</v>
      </c>
      <c r="Q11" s="14">
        <f>I11*E11</f>
        <v>50296.869</v>
      </c>
      <c r="R11" s="5"/>
      <c r="S11" s="5"/>
      <c r="T11" s="5"/>
      <c r="U11" s="5"/>
      <c r="V11" s="5"/>
      <c r="W11" s="5"/>
      <c r="X11" s="5"/>
      <c r="Y11" s="5"/>
      <c r="Z11" s="5"/>
      <c r="AA11" s="4"/>
      <c r="AB11" s="4"/>
      <c r="AC11" s="4"/>
      <c r="AD11" s="4"/>
    </row>
    <row r="12" s="1" customFormat="1" ht="83" customHeight="1" spans="1:30">
      <c r="A12" s="20">
        <v>6</v>
      </c>
      <c r="B12" s="21" t="s">
        <v>35</v>
      </c>
      <c r="C12" s="22" t="s">
        <v>36</v>
      </c>
      <c r="D12" s="20" t="s">
        <v>26</v>
      </c>
      <c r="E12" s="23">
        <v>924.47</v>
      </c>
      <c r="F12" s="24">
        <f t="shared" si="0"/>
        <v>94.45</v>
      </c>
      <c r="G12" s="23">
        <f t="shared" ref="G12:G18" si="1">E12*F12</f>
        <v>87316.1915</v>
      </c>
      <c r="H12" s="23"/>
      <c r="I12" s="14">
        <f t="shared" ref="I12:I18" si="2">J12*(1+K12)+L12+M12+N12+O12+P12</f>
        <v>94.45</v>
      </c>
      <c r="J12" s="15">
        <v>33</v>
      </c>
      <c r="K12" s="16">
        <v>0.05</v>
      </c>
      <c r="L12" s="15">
        <f>L10</f>
        <v>40</v>
      </c>
      <c r="M12" s="27">
        <f>470*0.04+1</f>
        <v>19.8</v>
      </c>
      <c r="N12" s="11"/>
      <c r="O12" s="15">
        <f t="shared" ref="O12:O18" si="3">(J12*(1+K12)+L12+M12+N12)*$O$1</f>
        <v>0</v>
      </c>
      <c r="P12" s="15">
        <f t="shared" ref="P12:P18" si="4">(J12*(1+K12)+L12+M12+N12+O12)*$P$1</f>
        <v>0</v>
      </c>
      <c r="Q12" s="14">
        <f t="shared" ref="Q12:Q18" si="5">I12*E12</f>
        <v>87316.1915</v>
      </c>
      <c r="R12" s="5"/>
      <c r="S12" s="5"/>
      <c r="T12" s="5"/>
      <c r="U12" s="5"/>
      <c r="V12" s="5"/>
      <c r="W12" s="5"/>
      <c r="X12" s="5"/>
      <c r="Y12" s="5"/>
      <c r="Z12" s="5"/>
      <c r="AA12" s="4"/>
      <c r="AB12" s="4"/>
      <c r="AC12" s="4"/>
      <c r="AD12" s="4"/>
    </row>
    <row r="13" s="1" customFormat="1" ht="90" customHeight="1" spans="1:30">
      <c r="A13" s="20">
        <v>7</v>
      </c>
      <c r="B13" s="21" t="s">
        <v>37</v>
      </c>
      <c r="C13" s="21" t="s">
        <v>38</v>
      </c>
      <c r="D13" s="20" t="s">
        <v>26</v>
      </c>
      <c r="E13" s="23">
        <v>464</v>
      </c>
      <c r="F13" s="24">
        <f t="shared" si="0"/>
        <v>135.0635</v>
      </c>
      <c r="G13" s="23">
        <f t="shared" si="1"/>
        <v>62669.464</v>
      </c>
      <c r="H13" s="23"/>
      <c r="I13" s="14">
        <f t="shared" si="2"/>
        <v>135.0635</v>
      </c>
      <c r="J13" s="15">
        <f>J12*1.43</f>
        <v>47.19</v>
      </c>
      <c r="K13" s="16">
        <v>0.05</v>
      </c>
      <c r="L13" s="15">
        <f>L12*1.43</f>
        <v>57.2</v>
      </c>
      <c r="M13" s="15">
        <f>M12*1.43</f>
        <v>28.314</v>
      </c>
      <c r="N13" s="11"/>
      <c r="O13" s="15">
        <f t="shared" si="3"/>
        <v>0</v>
      </c>
      <c r="P13" s="15">
        <f t="shared" si="4"/>
        <v>0</v>
      </c>
      <c r="Q13" s="14">
        <f t="shared" si="5"/>
        <v>62669.464</v>
      </c>
      <c r="R13" s="5"/>
      <c r="S13" s="5"/>
      <c r="T13" s="5"/>
      <c r="U13" s="5"/>
      <c r="V13" s="5"/>
      <c r="W13" s="5"/>
      <c r="X13" s="5"/>
      <c r="Y13" s="5"/>
      <c r="Z13" s="5"/>
      <c r="AA13" s="4"/>
      <c r="AB13" s="4"/>
      <c r="AC13" s="4"/>
      <c r="AD13" s="4"/>
    </row>
    <row r="14" s="1" customFormat="1" ht="84" spans="1:30">
      <c r="A14" s="20">
        <v>8</v>
      </c>
      <c r="B14" s="21" t="s">
        <v>39</v>
      </c>
      <c r="C14" s="21" t="s">
        <v>40</v>
      </c>
      <c r="D14" s="20" t="s">
        <v>26</v>
      </c>
      <c r="E14" s="23">
        <v>43.365</v>
      </c>
      <c r="F14" s="24">
        <f t="shared" si="0"/>
        <v>135.0635</v>
      </c>
      <c r="G14" s="23">
        <f t="shared" si="1"/>
        <v>5857.0286775</v>
      </c>
      <c r="H14" s="23"/>
      <c r="I14" s="14">
        <f t="shared" si="2"/>
        <v>135.0635</v>
      </c>
      <c r="J14" s="11">
        <f>J13</f>
        <v>47.19</v>
      </c>
      <c r="K14" s="17">
        <f t="shared" ref="J14:M14" si="6">K13</f>
        <v>0.05</v>
      </c>
      <c r="L14" s="11">
        <f t="shared" si="6"/>
        <v>57.2</v>
      </c>
      <c r="M14" s="11">
        <f t="shared" si="6"/>
        <v>28.314</v>
      </c>
      <c r="N14" s="11"/>
      <c r="O14" s="15">
        <f t="shared" si="3"/>
        <v>0</v>
      </c>
      <c r="P14" s="15">
        <f t="shared" si="4"/>
        <v>0</v>
      </c>
      <c r="Q14" s="14">
        <f t="shared" si="5"/>
        <v>5857.0286775</v>
      </c>
      <c r="R14" s="5"/>
      <c r="S14" s="5"/>
      <c r="T14" s="5"/>
      <c r="U14" s="5"/>
      <c r="V14" s="5"/>
      <c r="W14" s="5"/>
      <c r="X14" s="5"/>
      <c r="Y14" s="5"/>
      <c r="Z14" s="5"/>
      <c r="AA14" s="4"/>
      <c r="AB14" s="4"/>
      <c r="AC14" s="4"/>
      <c r="AD14" s="4"/>
    </row>
    <row r="15" s="1" customFormat="1" ht="70" customHeight="1" spans="1:30">
      <c r="A15" s="20">
        <v>9</v>
      </c>
      <c r="B15" s="21" t="s">
        <v>41</v>
      </c>
      <c r="C15" s="22" t="s">
        <v>42</v>
      </c>
      <c r="D15" s="20" t="s">
        <v>43</v>
      </c>
      <c r="E15" s="23">
        <v>711.36</v>
      </c>
      <c r="F15" s="24">
        <f t="shared" si="0"/>
        <v>3.6</v>
      </c>
      <c r="G15" s="23">
        <f t="shared" si="1"/>
        <v>2560.896</v>
      </c>
      <c r="H15" s="23"/>
      <c r="I15" s="14">
        <f t="shared" si="2"/>
        <v>3.6</v>
      </c>
      <c r="J15" s="11"/>
      <c r="K15" s="17"/>
      <c r="L15" s="31">
        <v>3.6</v>
      </c>
      <c r="M15" s="11"/>
      <c r="N15" s="11"/>
      <c r="O15" s="15">
        <f t="shared" si="3"/>
        <v>0</v>
      </c>
      <c r="P15" s="15">
        <f t="shared" si="4"/>
        <v>0</v>
      </c>
      <c r="Q15" s="14">
        <f t="shared" si="5"/>
        <v>2560.896</v>
      </c>
      <c r="R15" s="5"/>
      <c r="S15" s="5"/>
      <c r="T15" s="5"/>
      <c r="U15" s="5"/>
      <c r="V15" s="5"/>
      <c r="W15" s="5"/>
      <c r="X15" s="5"/>
      <c r="Y15" s="5"/>
      <c r="Z15" s="5"/>
      <c r="AA15" s="4"/>
      <c r="AB15" s="4"/>
      <c r="AC15" s="4"/>
      <c r="AD15" s="4"/>
    </row>
    <row r="16" s="1" customFormat="1" ht="64" customHeight="1" spans="1:30">
      <c r="A16" s="20">
        <v>10</v>
      </c>
      <c r="B16" s="21" t="s">
        <v>44</v>
      </c>
      <c r="C16" s="22" t="s">
        <v>45</v>
      </c>
      <c r="D16" s="20" t="s">
        <v>26</v>
      </c>
      <c r="E16" s="23">
        <v>0</v>
      </c>
      <c r="F16" s="24">
        <f t="shared" si="0"/>
        <v>89.75</v>
      </c>
      <c r="G16" s="23">
        <f t="shared" si="1"/>
        <v>0</v>
      </c>
      <c r="H16" s="23"/>
      <c r="I16" s="14">
        <f t="shared" si="2"/>
        <v>89.75</v>
      </c>
      <c r="J16" s="11">
        <v>65</v>
      </c>
      <c r="K16" s="17">
        <v>0.05</v>
      </c>
      <c r="L16" s="11">
        <v>18</v>
      </c>
      <c r="M16" s="11">
        <v>3.5</v>
      </c>
      <c r="N16" s="11"/>
      <c r="O16" s="15">
        <f t="shared" si="3"/>
        <v>0</v>
      </c>
      <c r="P16" s="15">
        <f t="shared" si="4"/>
        <v>0</v>
      </c>
      <c r="Q16" s="14">
        <f t="shared" si="5"/>
        <v>0</v>
      </c>
      <c r="R16" s="5"/>
      <c r="S16" s="5"/>
      <c r="T16" s="5"/>
      <c r="U16" s="5"/>
      <c r="V16" s="5"/>
      <c r="W16" s="5"/>
      <c r="X16" s="5"/>
      <c r="Y16" s="5"/>
      <c r="Z16" s="5"/>
      <c r="AA16" s="4"/>
      <c r="AB16" s="4"/>
      <c r="AC16" s="4"/>
      <c r="AD16" s="4"/>
    </row>
    <row r="17" s="1" customFormat="1" ht="102" customHeight="1" spans="1:30">
      <c r="A17" s="20">
        <v>11</v>
      </c>
      <c r="B17" s="21" t="s">
        <v>46</v>
      </c>
      <c r="C17" s="21" t="s">
        <v>47</v>
      </c>
      <c r="D17" s="20" t="s">
        <v>26</v>
      </c>
      <c r="E17" s="23">
        <v>0</v>
      </c>
      <c r="F17" s="24">
        <f t="shared" si="0"/>
        <v>222.75</v>
      </c>
      <c r="G17" s="23">
        <f t="shared" si="1"/>
        <v>0</v>
      </c>
      <c r="H17" s="23"/>
      <c r="I17" s="14">
        <f t="shared" si="2"/>
        <v>222.75</v>
      </c>
      <c r="J17" s="31">
        <v>185</v>
      </c>
      <c r="K17" s="32">
        <f>K16</f>
        <v>0.05</v>
      </c>
      <c r="L17" s="31">
        <v>25</v>
      </c>
      <c r="M17" s="31">
        <f>M16</f>
        <v>3.5</v>
      </c>
      <c r="N17" s="31">
        <f>L17*$I$1</f>
        <v>0</v>
      </c>
      <c r="O17" s="15">
        <f t="shared" si="3"/>
        <v>0</v>
      </c>
      <c r="P17" s="15">
        <f t="shared" si="4"/>
        <v>0</v>
      </c>
      <c r="Q17" s="14">
        <f t="shared" si="5"/>
        <v>0</v>
      </c>
      <c r="R17" s="5"/>
      <c r="S17" s="5"/>
      <c r="T17" s="5"/>
      <c r="U17" s="5"/>
      <c r="V17" s="5"/>
      <c r="W17" s="5"/>
      <c r="X17" s="5"/>
      <c r="Y17" s="5"/>
      <c r="Z17" s="5"/>
      <c r="AA17" s="4"/>
      <c r="AB17" s="4"/>
      <c r="AC17" s="4"/>
      <c r="AD17" s="4"/>
    </row>
    <row r="18" s="1" customFormat="1" ht="48" spans="1:30">
      <c r="A18" s="20">
        <v>12</v>
      </c>
      <c r="B18" s="21" t="s">
        <v>48</v>
      </c>
      <c r="C18" s="22" t="s">
        <v>49</v>
      </c>
      <c r="D18" s="20" t="s">
        <v>26</v>
      </c>
      <c r="E18" s="23">
        <v>515.52</v>
      </c>
      <c r="F18" s="24">
        <f t="shared" si="0"/>
        <v>61.05</v>
      </c>
      <c r="G18" s="23">
        <f t="shared" si="1"/>
        <v>31472.496</v>
      </c>
      <c r="H18" s="23"/>
      <c r="I18" s="14">
        <f t="shared" si="2"/>
        <v>61.05</v>
      </c>
      <c r="J18" s="31">
        <v>0</v>
      </c>
      <c r="K18" s="32">
        <v>0</v>
      </c>
      <c r="L18" s="33">
        <v>30</v>
      </c>
      <c r="M18" s="33">
        <f>9+0.05*420*1.05</f>
        <v>31.05</v>
      </c>
      <c r="N18" s="31">
        <f>L18*$I$1</f>
        <v>0</v>
      </c>
      <c r="O18" s="15">
        <f t="shared" si="3"/>
        <v>0</v>
      </c>
      <c r="P18" s="15">
        <f t="shared" si="4"/>
        <v>0</v>
      </c>
      <c r="Q18" s="14">
        <f t="shared" si="5"/>
        <v>31472.496</v>
      </c>
      <c r="R18" s="5"/>
      <c r="S18" s="5"/>
      <c r="T18" s="5"/>
      <c r="U18" s="5"/>
      <c r="V18" s="5"/>
      <c r="W18" s="5"/>
      <c r="X18" s="5"/>
      <c r="Y18" s="5"/>
      <c r="Z18" s="5"/>
      <c r="AA18" s="4"/>
      <c r="AB18" s="4"/>
      <c r="AC18" s="4"/>
      <c r="AD18" s="4"/>
    </row>
    <row r="19" s="1" customFormat="1" ht="65" customHeight="1" spans="1:30">
      <c r="A19" s="20">
        <v>13</v>
      </c>
      <c r="B19" s="21" t="s">
        <v>50</v>
      </c>
      <c r="C19" s="22" t="s">
        <v>51</v>
      </c>
      <c r="D19" s="20" t="s">
        <v>26</v>
      </c>
      <c r="E19" s="23">
        <v>0</v>
      </c>
      <c r="F19" s="24">
        <f t="shared" si="0"/>
        <v>100</v>
      </c>
      <c r="G19" s="23">
        <f t="shared" ref="G19:G31" si="7">E19*F19</f>
        <v>0</v>
      </c>
      <c r="H19" s="23"/>
      <c r="I19" s="14">
        <f t="shared" ref="I19:I31" si="8">J19*(1+K19)+L19+M19+N19+O19+P19</f>
        <v>100</v>
      </c>
      <c r="J19" s="11"/>
      <c r="K19" s="17"/>
      <c r="L19" s="11">
        <v>45</v>
      </c>
      <c r="M19" s="11">
        <v>55</v>
      </c>
      <c r="N19" s="11"/>
      <c r="O19" s="15">
        <f t="shared" ref="O19:O31" si="9">(J19*(1+K19)+L19+M19+N19)*$O$1</f>
        <v>0</v>
      </c>
      <c r="P19" s="15">
        <f t="shared" ref="P19:P31" si="10">(J19*(1+K19)+L19+M19+N19+O19)*$P$1</f>
        <v>0</v>
      </c>
      <c r="Q19" s="14">
        <f t="shared" ref="Q19:Q31" si="11">I19*E19</f>
        <v>0</v>
      </c>
      <c r="R19" s="5"/>
      <c r="S19" s="5"/>
      <c r="T19" s="5"/>
      <c r="U19" s="5"/>
      <c r="V19" s="5"/>
      <c r="W19" s="5"/>
      <c r="X19" s="5"/>
      <c r="Y19" s="5"/>
      <c r="Z19" s="5"/>
      <c r="AA19" s="4"/>
      <c r="AB19" s="4"/>
      <c r="AC19" s="4"/>
      <c r="AD19" s="4"/>
    </row>
    <row r="20" s="1" customFormat="1" ht="81" customHeight="1" spans="1:30">
      <c r="A20" s="20">
        <v>14</v>
      </c>
      <c r="B20" s="34" t="s">
        <v>52</v>
      </c>
      <c r="C20" s="22" t="s">
        <v>53</v>
      </c>
      <c r="D20" s="20" t="s">
        <v>26</v>
      </c>
      <c r="E20" s="23">
        <v>2467.92</v>
      </c>
      <c r="F20" s="24">
        <f t="shared" si="0"/>
        <v>103.39</v>
      </c>
      <c r="G20" s="23">
        <f t="shared" si="7"/>
        <v>255158.2488</v>
      </c>
      <c r="H20" s="23"/>
      <c r="I20" s="14">
        <f t="shared" si="8"/>
        <v>103.39</v>
      </c>
      <c r="J20" s="11">
        <v>33</v>
      </c>
      <c r="K20" s="17">
        <v>0.05</v>
      </c>
      <c r="L20" s="11">
        <v>40</v>
      </c>
      <c r="M20" s="11">
        <f>0.04*1.9*365+1</f>
        <v>28.74</v>
      </c>
      <c r="N20" s="11"/>
      <c r="O20" s="15">
        <f t="shared" si="9"/>
        <v>0</v>
      </c>
      <c r="P20" s="15">
        <f t="shared" si="10"/>
        <v>0</v>
      </c>
      <c r="Q20" s="14">
        <f t="shared" si="11"/>
        <v>255158.2488</v>
      </c>
      <c r="R20" s="5"/>
      <c r="S20" s="5"/>
      <c r="T20" s="5"/>
      <c r="U20" s="5"/>
      <c r="V20" s="5"/>
      <c r="W20" s="5"/>
      <c r="X20" s="5"/>
      <c r="Y20" s="5"/>
      <c r="Z20" s="5"/>
      <c r="AA20" s="4"/>
      <c r="AB20" s="4"/>
      <c r="AC20" s="4"/>
      <c r="AD20" s="4"/>
    </row>
    <row r="21" s="1" customFormat="1" ht="65" customHeight="1" spans="1:30">
      <c r="A21" s="20">
        <v>15</v>
      </c>
      <c r="B21" s="21" t="s">
        <v>54</v>
      </c>
      <c r="C21" s="22" t="s">
        <v>55</v>
      </c>
      <c r="D21" s="20" t="s">
        <v>26</v>
      </c>
      <c r="E21" s="23">
        <v>155.66</v>
      </c>
      <c r="F21" s="24">
        <f t="shared" si="0"/>
        <v>101</v>
      </c>
      <c r="G21" s="23">
        <f t="shared" si="7"/>
        <v>15721.66</v>
      </c>
      <c r="H21" s="23"/>
      <c r="I21" s="14">
        <f t="shared" si="8"/>
        <v>101</v>
      </c>
      <c r="J21" s="11"/>
      <c r="K21" s="17"/>
      <c r="L21" s="11">
        <f>30+18</f>
        <v>48</v>
      </c>
      <c r="M21" s="11">
        <f>0.05*400+9+3*8</f>
        <v>53</v>
      </c>
      <c r="N21" s="11"/>
      <c r="O21" s="15">
        <f t="shared" si="9"/>
        <v>0</v>
      </c>
      <c r="P21" s="15">
        <f t="shared" si="10"/>
        <v>0</v>
      </c>
      <c r="Q21" s="14">
        <f t="shared" si="11"/>
        <v>15721.66</v>
      </c>
      <c r="R21" s="5"/>
      <c r="S21" s="5"/>
      <c r="T21" s="5"/>
      <c r="U21" s="5"/>
      <c r="V21" s="5"/>
      <c r="W21" s="5"/>
      <c r="X21" s="5"/>
      <c r="Y21" s="5"/>
      <c r="Z21" s="5"/>
      <c r="AA21" s="4"/>
      <c r="AB21" s="4"/>
      <c r="AC21" s="4"/>
      <c r="AD21" s="4"/>
    </row>
    <row r="22" s="1" customFormat="1" ht="66" customHeight="1" spans="1:30">
      <c r="A22" s="20">
        <v>16</v>
      </c>
      <c r="B22" s="21" t="s">
        <v>56</v>
      </c>
      <c r="C22" s="22" t="s">
        <v>57</v>
      </c>
      <c r="D22" s="20" t="s">
        <v>26</v>
      </c>
      <c r="E22" s="23">
        <v>0</v>
      </c>
      <c r="F22" s="24">
        <f t="shared" si="0"/>
        <v>197.25</v>
      </c>
      <c r="G22" s="23">
        <f t="shared" si="7"/>
        <v>0</v>
      </c>
      <c r="H22" s="23"/>
      <c r="I22" s="14">
        <f t="shared" si="8"/>
        <v>197.25</v>
      </c>
      <c r="J22" s="11">
        <v>145</v>
      </c>
      <c r="K22" s="17">
        <v>0.05</v>
      </c>
      <c r="L22" s="11">
        <v>35</v>
      </c>
      <c r="M22" s="11">
        <v>10</v>
      </c>
      <c r="N22" s="11"/>
      <c r="O22" s="15">
        <f t="shared" si="9"/>
        <v>0</v>
      </c>
      <c r="P22" s="15">
        <f t="shared" si="10"/>
        <v>0</v>
      </c>
      <c r="Q22" s="14">
        <f t="shared" si="11"/>
        <v>0</v>
      </c>
      <c r="R22" s="5"/>
      <c r="S22" s="5"/>
      <c r="T22" s="5"/>
      <c r="U22" s="5"/>
      <c r="V22" s="5"/>
      <c r="W22" s="5"/>
      <c r="X22" s="5"/>
      <c r="Y22" s="5"/>
      <c r="Z22" s="5"/>
      <c r="AA22" s="4"/>
      <c r="AB22" s="4"/>
      <c r="AC22" s="4"/>
      <c r="AD22" s="4"/>
    </row>
    <row r="23" s="1" customFormat="1" ht="105" customHeight="1" spans="1:30">
      <c r="A23" s="20">
        <v>17</v>
      </c>
      <c r="B23" s="21" t="s">
        <v>58</v>
      </c>
      <c r="C23" s="22" t="s">
        <v>59</v>
      </c>
      <c r="D23" s="20" t="s">
        <v>26</v>
      </c>
      <c r="E23" s="23">
        <v>0</v>
      </c>
      <c r="F23" s="24">
        <f t="shared" si="0"/>
        <v>102</v>
      </c>
      <c r="G23" s="23">
        <f t="shared" si="7"/>
        <v>0</v>
      </c>
      <c r="H23" s="23"/>
      <c r="I23" s="14">
        <f t="shared" si="8"/>
        <v>102</v>
      </c>
      <c r="J23" s="11"/>
      <c r="K23" s="17"/>
      <c r="L23" s="11">
        <f>30+15</f>
        <v>45</v>
      </c>
      <c r="M23" s="11">
        <f>9+0.07*400+5+15</f>
        <v>57</v>
      </c>
      <c r="N23" s="11"/>
      <c r="O23" s="15">
        <f t="shared" si="9"/>
        <v>0</v>
      </c>
      <c r="P23" s="15">
        <f t="shared" si="10"/>
        <v>0</v>
      </c>
      <c r="Q23" s="14">
        <f t="shared" si="11"/>
        <v>0</v>
      </c>
      <c r="R23" s="5"/>
      <c r="S23" s="5"/>
      <c r="T23" s="5"/>
      <c r="U23" s="5"/>
      <c r="V23" s="5"/>
      <c r="W23" s="5"/>
      <c r="X23" s="5"/>
      <c r="Y23" s="5"/>
      <c r="Z23" s="5"/>
      <c r="AA23" s="4"/>
      <c r="AB23" s="4"/>
      <c r="AC23" s="4"/>
      <c r="AD23" s="4"/>
    </row>
    <row r="24" s="1" customFormat="1" ht="55" customHeight="1" spans="1:30">
      <c r="A24" s="20">
        <v>18</v>
      </c>
      <c r="B24" s="21" t="s">
        <v>60</v>
      </c>
      <c r="C24" s="22" t="s">
        <v>61</v>
      </c>
      <c r="D24" s="20" t="s">
        <v>26</v>
      </c>
      <c r="E24" s="23">
        <v>0</v>
      </c>
      <c r="F24" s="24">
        <f t="shared" si="0"/>
        <v>85.05</v>
      </c>
      <c r="G24" s="23">
        <f t="shared" si="7"/>
        <v>0</v>
      </c>
      <c r="H24" s="23"/>
      <c r="I24" s="14">
        <f t="shared" si="8"/>
        <v>85.05</v>
      </c>
      <c r="J24" s="11">
        <v>33</v>
      </c>
      <c r="K24" s="17">
        <v>0.05</v>
      </c>
      <c r="L24" s="11">
        <f>L12</f>
        <v>40</v>
      </c>
      <c r="M24" s="27">
        <f>470*0.02+1</f>
        <v>10.4</v>
      </c>
      <c r="N24" s="11"/>
      <c r="O24" s="15">
        <f t="shared" si="9"/>
        <v>0</v>
      </c>
      <c r="P24" s="15">
        <f t="shared" si="10"/>
        <v>0</v>
      </c>
      <c r="Q24" s="14">
        <f t="shared" si="11"/>
        <v>0</v>
      </c>
      <c r="R24" s="5"/>
      <c r="S24" s="5"/>
      <c r="T24" s="5"/>
      <c r="U24" s="5"/>
      <c r="V24" s="5"/>
      <c r="W24" s="5"/>
      <c r="X24" s="5"/>
      <c r="Y24" s="5"/>
      <c r="Z24" s="5"/>
      <c r="AA24" s="4"/>
      <c r="AB24" s="4"/>
      <c r="AC24" s="4"/>
      <c r="AD24" s="4"/>
    </row>
    <row r="25" s="1" customFormat="1" ht="44" customHeight="1" spans="1:30">
      <c r="A25" s="20">
        <v>19</v>
      </c>
      <c r="B25" s="21" t="s">
        <v>62</v>
      </c>
      <c r="C25" s="21" t="s">
        <v>63</v>
      </c>
      <c r="D25" s="20" t="s">
        <v>26</v>
      </c>
      <c r="E25" s="23">
        <v>13489.29</v>
      </c>
      <c r="F25" s="24">
        <f t="shared" si="0"/>
        <v>31.45</v>
      </c>
      <c r="G25" s="23">
        <f t="shared" si="7"/>
        <v>424238.1705</v>
      </c>
      <c r="H25" s="23"/>
      <c r="I25" s="14">
        <f t="shared" si="8"/>
        <v>31.45</v>
      </c>
      <c r="J25" s="11"/>
      <c r="K25" s="17"/>
      <c r="L25" s="29">
        <v>22</v>
      </c>
      <c r="M25" s="27">
        <f>0.02*1.05*450</f>
        <v>9.45</v>
      </c>
      <c r="N25" s="11"/>
      <c r="O25" s="15">
        <f t="shared" si="9"/>
        <v>0</v>
      </c>
      <c r="P25" s="15">
        <f t="shared" si="10"/>
        <v>0</v>
      </c>
      <c r="Q25" s="14">
        <f t="shared" si="11"/>
        <v>424238.1705</v>
      </c>
      <c r="R25" s="5"/>
      <c r="S25" s="5"/>
      <c r="T25" s="5"/>
      <c r="U25" s="5"/>
      <c r="V25" s="5"/>
      <c r="W25" s="5"/>
      <c r="X25" s="5"/>
      <c r="Y25" s="5"/>
      <c r="Z25" s="5"/>
      <c r="AA25" s="4"/>
      <c r="AB25" s="4"/>
      <c r="AC25" s="4"/>
      <c r="AD25" s="4"/>
    </row>
    <row r="26" s="1" customFormat="1" ht="44" customHeight="1" spans="1:30">
      <c r="A26" s="20">
        <v>20</v>
      </c>
      <c r="B26" s="21" t="s">
        <v>64</v>
      </c>
      <c r="C26" s="21" t="s">
        <v>65</v>
      </c>
      <c r="D26" s="20" t="s">
        <v>26</v>
      </c>
      <c r="E26" s="23">
        <v>464</v>
      </c>
      <c r="F26" s="24">
        <f t="shared" si="0"/>
        <v>31.45</v>
      </c>
      <c r="G26" s="23">
        <f t="shared" si="7"/>
        <v>14592.8</v>
      </c>
      <c r="H26" s="23"/>
      <c r="I26" s="14">
        <f t="shared" si="8"/>
        <v>31.45</v>
      </c>
      <c r="J26" s="11"/>
      <c r="K26" s="17"/>
      <c r="L26" s="11">
        <f>L25</f>
        <v>22</v>
      </c>
      <c r="M26" s="15">
        <f>M25</f>
        <v>9.45</v>
      </c>
      <c r="N26" s="11"/>
      <c r="O26" s="15">
        <f t="shared" si="9"/>
        <v>0</v>
      </c>
      <c r="P26" s="15">
        <f t="shared" si="10"/>
        <v>0</v>
      </c>
      <c r="Q26" s="14">
        <f t="shared" si="11"/>
        <v>14592.8</v>
      </c>
      <c r="R26" s="5"/>
      <c r="S26" s="5"/>
      <c r="T26" s="5"/>
      <c r="U26" s="5"/>
      <c r="V26" s="5"/>
      <c r="W26" s="5"/>
      <c r="X26" s="5"/>
      <c r="Y26" s="5"/>
      <c r="Z26" s="5"/>
      <c r="AA26" s="4"/>
      <c r="AB26" s="4"/>
      <c r="AC26" s="4"/>
      <c r="AD26" s="4"/>
    </row>
    <row r="27" s="1" customFormat="1" ht="96" spans="1:30">
      <c r="A27" s="20">
        <v>21</v>
      </c>
      <c r="B27" s="21" t="s">
        <v>66</v>
      </c>
      <c r="C27" s="21" t="s">
        <v>67</v>
      </c>
      <c r="D27" s="20" t="s">
        <v>26</v>
      </c>
      <c r="E27" s="23">
        <v>12.54</v>
      </c>
      <c r="F27" s="24">
        <f t="shared" si="0"/>
        <v>469.05</v>
      </c>
      <c r="G27" s="23">
        <f t="shared" si="7"/>
        <v>5881.887</v>
      </c>
      <c r="H27" s="23"/>
      <c r="I27" s="14">
        <f t="shared" si="8"/>
        <v>469.05</v>
      </c>
      <c r="J27" s="27">
        <v>285</v>
      </c>
      <c r="K27" s="28">
        <v>0.05</v>
      </c>
      <c r="L27" s="29">
        <v>150</v>
      </c>
      <c r="M27" s="27">
        <f t="shared" ref="M27:M29" si="12">470*0.04+1</f>
        <v>19.8</v>
      </c>
      <c r="N27" s="11"/>
      <c r="O27" s="15">
        <f t="shared" si="9"/>
        <v>0</v>
      </c>
      <c r="P27" s="15">
        <f t="shared" si="10"/>
        <v>0</v>
      </c>
      <c r="Q27" s="14">
        <f t="shared" si="11"/>
        <v>5881.887</v>
      </c>
      <c r="R27" s="5"/>
      <c r="S27" s="5"/>
      <c r="T27" s="5"/>
      <c r="U27" s="5"/>
      <c r="V27" s="5"/>
      <c r="W27" s="5"/>
      <c r="X27" s="5"/>
      <c r="Y27" s="5"/>
      <c r="Z27" s="5"/>
      <c r="AA27" s="4"/>
      <c r="AB27" s="4"/>
      <c r="AC27" s="4"/>
      <c r="AD27" s="4"/>
    </row>
    <row r="28" s="1" customFormat="1" ht="63" customHeight="1" spans="1:30">
      <c r="A28" s="20">
        <v>22</v>
      </c>
      <c r="B28" s="21" t="s">
        <v>68</v>
      </c>
      <c r="C28" s="21" t="s">
        <v>69</v>
      </c>
      <c r="D28" s="20" t="s">
        <v>26</v>
      </c>
      <c r="E28" s="23">
        <v>700.72</v>
      </c>
      <c r="F28" s="24">
        <f t="shared" si="0"/>
        <v>411.3</v>
      </c>
      <c r="G28" s="23">
        <f t="shared" si="7"/>
        <v>288206.136</v>
      </c>
      <c r="H28" s="23"/>
      <c r="I28" s="14">
        <f t="shared" si="8"/>
        <v>411.3</v>
      </c>
      <c r="J28" s="11">
        <v>230</v>
      </c>
      <c r="K28" s="17">
        <v>0.05</v>
      </c>
      <c r="L28" s="11">
        <v>150</v>
      </c>
      <c r="M28" s="27">
        <f t="shared" si="12"/>
        <v>19.8</v>
      </c>
      <c r="N28" s="11"/>
      <c r="O28" s="15">
        <f t="shared" si="9"/>
        <v>0</v>
      </c>
      <c r="P28" s="15">
        <f t="shared" si="10"/>
        <v>0</v>
      </c>
      <c r="Q28" s="14">
        <f t="shared" si="11"/>
        <v>288206.136</v>
      </c>
      <c r="R28" s="5"/>
      <c r="S28" s="5"/>
      <c r="T28" s="5"/>
      <c r="U28" s="5"/>
      <c r="V28" s="5"/>
      <c r="W28" s="5"/>
      <c r="X28" s="5"/>
      <c r="Y28" s="5"/>
      <c r="Z28" s="5"/>
      <c r="AA28" s="4"/>
      <c r="AB28" s="4"/>
      <c r="AC28" s="4"/>
      <c r="AD28" s="4"/>
    </row>
    <row r="29" s="1" customFormat="1" ht="72" spans="1:30">
      <c r="A29" s="20">
        <v>23</v>
      </c>
      <c r="B29" s="21" t="s">
        <v>70</v>
      </c>
      <c r="C29" s="21" t="s">
        <v>71</v>
      </c>
      <c r="D29" s="20" t="s">
        <v>26</v>
      </c>
      <c r="E29" s="23">
        <v>87.92</v>
      </c>
      <c r="F29" s="24">
        <f t="shared" si="0"/>
        <v>469.05</v>
      </c>
      <c r="G29" s="23">
        <f t="shared" si="7"/>
        <v>41238.876</v>
      </c>
      <c r="H29" s="23"/>
      <c r="I29" s="14">
        <f t="shared" si="8"/>
        <v>469.05</v>
      </c>
      <c r="J29" s="27">
        <v>285</v>
      </c>
      <c r="K29" s="28">
        <v>0.05</v>
      </c>
      <c r="L29" s="29">
        <v>150</v>
      </c>
      <c r="M29" s="27">
        <f t="shared" si="12"/>
        <v>19.8</v>
      </c>
      <c r="N29" s="11"/>
      <c r="O29" s="15">
        <f t="shared" si="9"/>
        <v>0</v>
      </c>
      <c r="P29" s="15">
        <f t="shared" si="10"/>
        <v>0</v>
      </c>
      <c r="Q29" s="14">
        <f t="shared" si="11"/>
        <v>41238.876</v>
      </c>
      <c r="R29" s="5"/>
      <c r="S29" s="5"/>
      <c r="T29" s="5"/>
      <c r="U29" s="5"/>
      <c r="V29" s="5"/>
      <c r="W29" s="5"/>
      <c r="X29" s="5"/>
      <c r="Y29" s="5"/>
      <c r="Z29" s="5"/>
      <c r="AA29" s="4"/>
      <c r="AB29" s="4"/>
      <c r="AC29" s="4"/>
      <c r="AD29" s="4"/>
    </row>
    <row r="30" s="1" customFormat="1" ht="95" customHeight="1" spans="1:30">
      <c r="A30" s="20">
        <v>24</v>
      </c>
      <c r="B30" s="21" t="s">
        <v>72</v>
      </c>
      <c r="C30" s="21" t="s">
        <v>73</v>
      </c>
      <c r="D30" s="20" t="s">
        <v>43</v>
      </c>
      <c r="E30" s="23">
        <v>1562.84</v>
      </c>
      <c r="F30" s="24">
        <f t="shared" si="0"/>
        <v>57.925</v>
      </c>
      <c r="G30" s="23">
        <f t="shared" si="7"/>
        <v>90527.507</v>
      </c>
      <c r="H30" s="23"/>
      <c r="I30" s="14">
        <f t="shared" si="8"/>
        <v>57.925</v>
      </c>
      <c r="J30" s="27">
        <f>J29*0.1</f>
        <v>28.5</v>
      </c>
      <c r="K30" s="28">
        <f>K29</f>
        <v>0.05</v>
      </c>
      <c r="L30" s="29">
        <v>25</v>
      </c>
      <c r="M30" s="29">
        <v>3</v>
      </c>
      <c r="N30" s="11"/>
      <c r="O30" s="15">
        <f t="shared" si="9"/>
        <v>0</v>
      </c>
      <c r="P30" s="15">
        <f t="shared" si="10"/>
        <v>0</v>
      </c>
      <c r="Q30" s="14">
        <f t="shared" si="11"/>
        <v>90527.507</v>
      </c>
      <c r="R30" s="5"/>
      <c r="S30" s="5"/>
      <c r="T30" s="5"/>
      <c r="U30" s="5"/>
      <c r="V30" s="5"/>
      <c r="W30" s="5"/>
      <c r="X30" s="5"/>
      <c r="Y30" s="5"/>
      <c r="Z30" s="5"/>
      <c r="AA30" s="4"/>
      <c r="AB30" s="4"/>
      <c r="AC30" s="4"/>
      <c r="AD30" s="4"/>
    </row>
    <row r="31" s="1" customFormat="1" ht="36.75" spans="1:30">
      <c r="A31" s="20">
        <v>27</v>
      </c>
      <c r="B31" s="21" t="s">
        <v>74</v>
      </c>
      <c r="C31" s="21" t="s">
        <v>75</v>
      </c>
      <c r="D31" s="20" t="s">
        <v>26</v>
      </c>
      <c r="E31" s="23">
        <v>1</v>
      </c>
      <c r="F31" s="24">
        <f t="shared" si="0"/>
        <v>0</v>
      </c>
      <c r="G31" s="23">
        <f>E31*F31</f>
        <v>0</v>
      </c>
      <c r="H31" s="23"/>
      <c r="I31" s="14">
        <f>J31*(1+K31)+L31+M31+N31+O31+P31</f>
        <v>0</v>
      </c>
      <c r="J31" s="11"/>
      <c r="K31" s="17"/>
      <c r="L31" s="11"/>
      <c r="M31" s="11"/>
      <c r="N31" s="11"/>
      <c r="O31" s="15">
        <f>(J31*(1+K31)+L31+M31+N31)*$O$1</f>
        <v>0</v>
      </c>
      <c r="P31" s="15">
        <f>(J31*(1+K31)+L31+M31+N31+O31)*$P$1</f>
        <v>0</v>
      </c>
      <c r="Q31" s="14">
        <f>I31*E31</f>
        <v>0</v>
      </c>
      <c r="R31" s="5"/>
      <c r="S31" s="5"/>
      <c r="T31" s="5"/>
      <c r="U31" s="5"/>
      <c r="V31" s="5"/>
      <c r="W31" s="5"/>
      <c r="X31" s="5"/>
      <c r="Y31" s="5"/>
      <c r="Z31" s="5"/>
      <c r="AA31" s="4"/>
      <c r="AB31" s="4"/>
      <c r="AC31" s="4"/>
      <c r="AD31" s="4"/>
    </row>
    <row r="32" s="1" customFormat="1" ht="60" spans="1:30">
      <c r="A32" s="20">
        <v>28</v>
      </c>
      <c r="B32" s="21" t="s">
        <v>76</v>
      </c>
      <c r="C32" s="21" t="s">
        <v>77</v>
      </c>
      <c r="D32" s="20" t="s">
        <v>78</v>
      </c>
      <c r="E32" s="23">
        <v>53</v>
      </c>
      <c r="F32" s="24">
        <f t="shared" si="0"/>
        <v>5.6071</v>
      </c>
      <c r="G32" s="23">
        <f>E32*F32</f>
        <v>297.1763</v>
      </c>
      <c r="H32" s="23"/>
      <c r="I32" s="14">
        <f>J32*(1+K32)+L32+M32+N32+O32+P32</f>
        <v>5.6071</v>
      </c>
      <c r="J32" s="11"/>
      <c r="K32" s="17"/>
      <c r="L32" s="11">
        <v>5</v>
      </c>
      <c r="M32" s="11">
        <v>0.5</v>
      </c>
      <c r="N32" s="11">
        <v>0.1071</v>
      </c>
      <c r="O32" s="15">
        <f>(J32*(1+K32)+L32+M32+N32)*$O$1</f>
        <v>0</v>
      </c>
      <c r="P32" s="15">
        <f>(J32*(1+K32)+L32+M32+N32+O32)*$P$1</f>
        <v>0</v>
      </c>
      <c r="Q32" s="14">
        <f>I32*E32</f>
        <v>297.1763</v>
      </c>
      <c r="R32" s="5"/>
      <c r="S32" s="5"/>
      <c r="T32" s="5"/>
      <c r="U32" s="5"/>
      <c r="V32" s="5"/>
      <c r="W32" s="5"/>
      <c r="X32" s="5"/>
      <c r="Y32" s="5"/>
      <c r="Z32" s="5"/>
      <c r="AA32" s="4"/>
      <c r="AB32" s="4"/>
      <c r="AC32" s="4"/>
      <c r="AD32" s="4"/>
    </row>
    <row r="33" s="1" customFormat="1" ht="21" customHeight="1" spans="1:30">
      <c r="A33" s="12" t="s">
        <v>79</v>
      </c>
      <c r="B33" s="18"/>
      <c r="C33" s="18" t="s">
        <v>80</v>
      </c>
      <c r="D33" s="12"/>
      <c r="E33" s="23"/>
      <c r="F33" s="19"/>
      <c r="G33" s="23"/>
      <c r="H33" s="13"/>
      <c r="I33" s="11"/>
      <c r="J33" s="11"/>
      <c r="K33" s="11"/>
      <c r="L33" s="11"/>
      <c r="M33" s="11"/>
      <c r="N33" s="11"/>
      <c r="O33" s="11"/>
      <c r="P33" s="11"/>
      <c r="Q33" s="11"/>
      <c r="R33" s="5"/>
      <c r="S33" s="5"/>
      <c r="T33" s="5"/>
      <c r="U33" s="5"/>
      <c r="V33" s="5"/>
      <c r="W33" s="5"/>
      <c r="X33" s="5"/>
      <c r="Y33" s="5"/>
      <c r="Z33" s="5"/>
      <c r="AA33" s="4"/>
      <c r="AB33" s="4"/>
      <c r="AC33" s="4"/>
      <c r="AD33" s="4"/>
    </row>
    <row r="34" s="1" customFormat="1" ht="75" customHeight="1" spans="1:30">
      <c r="A34" s="20">
        <v>29</v>
      </c>
      <c r="B34" s="21" t="s">
        <v>81</v>
      </c>
      <c r="C34" s="22" t="s">
        <v>82</v>
      </c>
      <c r="D34" s="20" t="s">
        <v>26</v>
      </c>
      <c r="E34" s="23">
        <v>0</v>
      </c>
      <c r="F34" s="24">
        <f t="shared" ref="F34:F59" si="13">I34</f>
        <v>91.6075</v>
      </c>
      <c r="G34" s="23">
        <f>E34*F34</f>
        <v>0</v>
      </c>
      <c r="H34" s="23"/>
      <c r="I34" s="14">
        <f>J34*(1+K34)+L34+M34+N34+O34+P34</f>
        <v>91.6075</v>
      </c>
      <c r="J34" s="27">
        <v>33</v>
      </c>
      <c r="K34" s="28">
        <v>0.05</v>
      </c>
      <c r="L34" s="29">
        <f>L24</f>
        <v>40</v>
      </c>
      <c r="M34" s="29">
        <f>0.01*1.9*850*1.05</f>
        <v>16.9575</v>
      </c>
      <c r="N34" s="11"/>
      <c r="O34" s="15">
        <f>(J34*(1+K34)+L34+M34+N34)*$O$1</f>
        <v>0</v>
      </c>
      <c r="P34" s="15">
        <f>(J34*(1+K34)+L34+M34+N34+O34)*$P$1</f>
        <v>0</v>
      </c>
      <c r="Q34" s="14">
        <f>I34*E34</f>
        <v>0</v>
      </c>
      <c r="R34" s="5"/>
      <c r="S34" s="5"/>
      <c r="T34" s="5"/>
      <c r="U34" s="5"/>
      <c r="V34" s="5"/>
      <c r="W34" s="5"/>
      <c r="X34" s="5"/>
      <c r="Y34" s="5"/>
      <c r="Z34" s="5"/>
      <c r="AA34" s="4"/>
      <c r="AB34" s="4"/>
      <c r="AC34" s="4"/>
      <c r="AD34" s="4"/>
    </row>
    <row r="35" s="1" customFormat="1" ht="70" customHeight="1" spans="1:30">
      <c r="A35" s="20">
        <v>30</v>
      </c>
      <c r="B35" s="21" t="s">
        <v>83</v>
      </c>
      <c r="C35" s="22" t="s">
        <v>84</v>
      </c>
      <c r="D35" s="20" t="s">
        <v>26</v>
      </c>
      <c r="E35" s="23">
        <v>2248.2765</v>
      </c>
      <c r="F35" s="24">
        <f t="shared" si="13"/>
        <v>91.6075</v>
      </c>
      <c r="G35" s="23">
        <f>E35*F35</f>
        <v>205958.98947375</v>
      </c>
      <c r="H35" s="23"/>
      <c r="I35" s="14">
        <f>J35*(1+K35)+L35+M35+N35+O35+P35</f>
        <v>91.6075</v>
      </c>
      <c r="J35" s="27">
        <f t="shared" ref="J35:M35" si="14">J34</f>
        <v>33</v>
      </c>
      <c r="K35" s="35">
        <f t="shared" si="14"/>
        <v>0.05</v>
      </c>
      <c r="L35" s="27">
        <f t="shared" si="14"/>
        <v>40</v>
      </c>
      <c r="M35" s="27">
        <f t="shared" si="14"/>
        <v>16.9575</v>
      </c>
      <c r="N35" s="11"/>
      <c r="O35" s="15">
        <f>(J35*(1+K35)+L35+M35+N35)*$O$1</f>
        <v>0</v>
      </c>
      <c r="P35" s="15">
        <f>(J35*(1+K35)+L35+M35+N35+O35)*$P$1</f>
        <v>0</v>
      </c>
      <c r="Q35" s="14">
        <f>I35*E35</f>
        <v>205958.98947375</v>
      </c>
      <c r="R35" s="5"/>
      <c r="S35" s="5"/>
      <c r="T35" s="5"/>
      <c r="U35" s="5"/>
      <c r="V35" s="5"/>
      <c r="W35" s="5"/>
      <c r="X35" s="5"/>
      <c r="Y35" s="5"/>
      <c r="Z35" s="5"/>
      <c r="AA35" s="4"/>
      <c r="AB35" s="4"/>
      <c r="AC35" s="4"/>
      <c r="AD35" s="4"/>
    </row>
    <row r="36" s="1" customFormat="1" ht="81" customHeight="1" spans="1:30">
      <c r="A36" s="20">
        <v>31</v>
      </c>
      <c r="B36" s="21" t="s">
        <v>85</v>
      </c>
      <c r="C36" s="21" t="s">
        <v>86</v>
      </c>
      <c r="D36" s="20" t="s">
        <v>26</v>
      </c>
      <c r="E36" s="23">
        <v>2248.2765</v>
      </c>
      <c r="F36" s="24">
        <f t="shared" si="13"/>
        <v>32.45</v>
      </c>
      <c r="G36" s="23">
        <f>E36*F36</f>
        <v>72956.572425</v>
      </c>
      <c r="H36" s="23"/>
      <c r="I36" s="14">
        <f>J36*(1+K36)+L36+M36+N36+O36+P36</f>
        <v>32.45</v>
      </c>
      <c r="J36" s="30"/>
      <c r="K36" s="36"/>
      <c r="L36" s="29">
        <v>23</v>
      </c>
      <c r="M36" s="29">
        <f>0.02*1.05*450</f>
        <v>9.45</v>
      </c>
      <c r="N36" s="11"/>
      <c r="O36" s="15">
        <f>(J36*(1+K36)+L36+M36+N36)*$O$1</f>
        <v>0</v>
      </c>
      <c r="P36" s="15">
        <f>(J36*(1+K36)+L36+M36+N36+O36)*$P$1</f>
        <v>0</v>
      </c>
      <c r="Q36" s="14">
        <f>I36*E36</f>
        <v>72956.572425</v>
      </c>
      <c r="R36" s="5"/>
      <c r="S36" s="5"/>
      <c r="T36" s="5"/>
      <c r="U36" s="5"/>
      <c r="V36" s="5"/>
      <c r="W36" s="5"/>
      <c r="X36" s="5"/>
      <c r="Y36" s="5"/>
      <c r="Z36" s="5"/>
      <c r="AA36" s="4"/>
      <c r="AB36" s="4"/>
      <c r="AC36" s="4"/>
      <c r="AD36" s="4"/>
    </row>
    <row r="37" s="1" customFormat="1" ht="69" customHeight="1" spans="1:30">
      <c r="A37" s="20">
        <v>32</v>
      </c>
      <c r="B37" s="21" t="s">
        <v>87</v>
      </c>
      <c r="C37" s="22" t="s">
        <v>88</v>
      </c>
      <c r="D37" s="20" t="s">
        <v>26</v>
      </c>
      <c r="E37" s="23">
        <v>7375.6553</v>
      </c>
      <c r="F37" s="24">
        <f t="shared" si="13"/>
        <v>31.225</v>
      </c>
      <c r="G37" s="23">
        <f>E37*F37</f>
        <v>230304.8367425</v>
      </c>
      <c r="H37" s="23"/>
      <c r="I37" s="14">
        <f>J37*(1+K37)+L37+M37+N37+O37+P37</f>
        <v>31.225</v>
      </c>
      <c r="J37" s="27">
        <f>5</f>
        <v>5</v>
      </c>
      <c r="K37" s="28">
        <v>0.05</v>
      </c>
      <c r="L37" s="29">
        <v>20</v>
      </c>
      <c r="M37" s="29">
        <f>0.005*1.9*550+0.75</f>
        <v>5.975</v>
      </c>
      <c r="N37" s="11"/>
      <c r="O37" s="15">
        <f>(J37*(1+K37)+L37+M37+N37)*$O$1</f>
        <v>0</v>
      </c>
      <c r="P37" s="15">
        <f>(J37*(1+K37)+L37+M37+N37+O37)*$P$1</f>
        <v>0</v>
      </c>
      <c r="Q37" s="14">
        <f>I37*E37</f>
        <v>230304.8367425</v>
      </c>
      <c r="R37" s="5"/>
      <c r="S37" s="5"/>
      <c r="T37" s="5"/>
      <c r="U37" s="5"/>
      <c r="V37" s="5"/>
      <c r="W37" s="5"/>
      <c r="X37" s="5"/>
      <c r="Y37" s="5"/>
      <c r="Z37" s="5"/>
      <c r="AA37" s="4"/>
      <c r="AB37" s="4"/>
      <c r="AC37" s="4"/>
      <c r="AD37" s="4"/>
    </row>
    <row r="38" s="1" customFormat="1" ht="74" customHeight="1" spans="1:30">
      <c r="A38" s="20">
        <v>33</v>
      </c>
      <c r="B38" s="21" t="s">
        <v>89</v>
      </c>
      <c r="C38" s="22" t="s">
        <v>90</v>
      </c>
      <c r="D38" s="20" t="s">
        <v>26</v>
      </c>
      <c r="E38" s="23">
        <v>4733.3325</v>
      </c>
      <c r="F38" s="24">
        <f t="shared" si="13"/>
        <v>31.225</v>
      </c>
      <c r="G38" s="23">
        <f>E38*F38</f>
        <v>147798.3073125</v>
      </c>
      <c r="H38" s="23"/>
      <c r="I38" s="14">
        <f>J38*(1+K38)+L38+M38+N38+O38+P38</f>
        <v>31.225</v>
      </c>
      <c r="J38" s="27">
        <f>J37</f>
        <v>5</v>
      </c>
      <c r="K38" s="28">
        <v>0.05</v>
      </c>
      <c r="L38" s="29">
        <f>L37</f>
        <v>20</v>
      </c>
      <c r="M38" s="29">
        <f>0.005*1.9*550+0.75</f>
        <v>5.975</v>
      </c>
      <c r="N38" s="11"/>
      <c r="O38" s="15">
        <f>(J38*(1+K38)+L38+M38+N38)*$O$1</f>
        <v>0</v>
      </c>
      <c r="P38" s="15">
        <f>(J38*(1+K38)+L38+M38+N38+O38)*$P$1</f>
        <v>0</v>
      </c>
      <c r="Q38" s="14">
        <f>I38*E38</f>
        <v>147798.3073125</v>
      </c>
      <c r="R38" s="5"/>
      <c r="S38" s="5"/>
      <c r="T38" s="5"/>
      <c r="U38" s="5"/>
      <c r="V38" s="5"/>
      <c r="W38" s="5"/>
      <c r="X38" s="5"/>
      <c r="Y38" s="5"/>
      <c r="Z38" s="5"/>
      <c r="AA38" s="4"/>
      <c r="AB38" s="4"/>
      <c r="AC38" s="4"/>
      <c r="AD38" s="4"/>
    </row>
    <row r="39" s="1" customFormat="1" ht="63" customHeight="1" spans="1:30">
      <c r="A39" s="20">
        <v>34</v>
      </c>
      <c r="B39" s="21" t="s">
        <v>91</v>
      </c>
      <c r="C39" s="22" t="s">
        <v>92</v>
      </c>
      <c r="D39" s="20" t="s">
        <v>26</v>
      </c>
      <c r="E39" s="23">
        <v>0</v>
      </c>
      <c r="F39" s="24">
        <f t="shared" si="13"/>
        <v>737.5269665</v>
      </c>
      <c r="G39" s="23">
        <f>E39*F39</f>
        <v>0</v>
      </c>
      <c r="H39" s="23"/>
      <c r="I39" s="14">
        <f>J39*(1+K39)+L39+M39+N39+O39+P39</f>
        <v>737.5269665</v>
      </c>
      <c r="J39" s="33">
        <f>2*16.5*11.3437*1.3</f>
        <v>486.64473</v>
      </c>
      <c r="K39" s="37">
        <v>0.05</v>
      </c>
      <c r="L39" s="33">
        <f>75+50+25</f>
        <v>150</v>
      </c>
      <c r="M39" s="33">
        <f>45+12+0.65*27+2</f>
        <v>76.55</v>
      </c>
      <c r="N39" s="11"/>
      <c r="O39" s="15">
        <f>(J39*(1+K39)+L39+M39+N39)*$O$1</f>
        <v>0</v>
      </c>
      <c r="P39" s="15">
        <f>(J39*(1+K39)+L39+M39+N39+O39)*$P$1</f>
        <v>0</v>
      </c>
      <c r="Q39" s="14">
        <f>I39*E39</f>
        <v>0</v>
      </c>
      <c r="R39" s="5"/>
      <c r="S39" s="5"/>
      <c r="T39" s="5"/>
      <c r="U39" s="5"/>
      <c r="V39" s="5"/>
      <c r="W39" s="5"/>
      <c r="X39" s="5"/>
      <c r="Y39" s="5"/>
      <c r="Z39" s="5"/>
      <c r="AA39" s="4"/>
      <c r="AB39" s="4"/>
      <c r="AC39" s="4"/>
      <c r="AD39" s="4"/>
    </row>
    <row r="40" s="1" customFormat="1" ht="63" customHeight="1" spans="1:30">
      <c r="A40" s="20">
        <v>35</v>
      </c>
      <c r="B40" s="21" t="s">
        <v>93</v>
      </c>
      <c r="C40" s="22" t="s">
        <v>94</v>
      </c>
      <c r="D40" s="20" t="s">
        <v>26</v>
      </c>
      <c r="E40" s="23">
        <v>362.4955</v>
      </c>
      <c r="F40" s="24">
        <f t="shared" si="13"/>
        <v>136.25</v>
      </c>
      <c r="G40" s="23">
        <f>E40*F40</f>
        <v>49390.011875</v>
      </c>
      <c r="H40" s="23"/>
      <c r="I40" s="14">
        <f>J40*(1+K40)+L40+M40+N40+O40+P40</f>
        <v>136.25</v>
      </c>
      <c r="J40" s="33">
        <v>25</v>
      </c>
      <c r="K40" s="37">
        <v>0.05</v>
      </c>
      <c r="L40" s="33">
        <v>65</v>
      </c>
      <c r="M40" s="33">
        <v>45</v>
      </c>
      <c r="N40" s="11"/>
      <c r="O40" s="15">
        <f>(J40*(1+K40)+L40+M40+N40)*$O$1</f>
        <v>0</v>
      </c>
      <c r="P40" s="15">
        <f>(J40*(1+K40)+L40+M40+N40+O40)*$P$1</f>
        <v>0</v>
      </c>
      <c r="Q40" s="14">
        <f>I40*E40</f>
        <v>49390.011875</v>
      </c>
      <c r="R40" s="5"/>
      <c r="S40" s="5"/>
      <c r="T40" s="5"/>
      <c r="U40" s="5"/>
      <c r="V40" s="5"/>
      <c r="W40" s="5"/>
      <c r="X40" s="5"/>
      <c r="Y40" s="5"/>
      <c r="Z40" s="5"/>
      <c r="AA40" s="4"/>
      <c r="AB40" s="4"/>
      <c r="AC40" s="4"/>
      <c r="AD40" s="4"/>
    </row>
    <row r="41" s="1" customFormat="1" ht="72" customHeight="1" spans="1:30">
      <c r="A41" s="20">
        <v>36</v>
      </c>
      <c r="B41" s="21" t="s">
        <v>95</v>
      </c>
      <c r="C41" s="22" t="s">
        <v>96</v>
      </c>
      <c r="D41" s="20" t="s">
        <v>26</v>
      </c>
      <c r="E41" s="23">
        <v>843.812484</v>
      </c>
      <c r="F41" s="24">
        <f t="shared" si="13"/>
        <v>31.475</v>
      </c>
      <c r="G41" s="23">
        <f t="shared" ref="G41:G51" si="15">E41*F41</f>
        <v>26558.9979339</v>
      </c>
      <c r="H41" s="23"/>
      <c r="I41" s="14">
        <f t="shared" ref="I41:I51" si="16">J41*(1+K41)+L41+M41+N41+O41+P41</f>
        <v>31.475</v>
      </c>
      <c r="J41" s="11">
        <f>J37</f>
        <v>5</v>
      </c>
      <c r="K41" s="17">
        <v>0.1</v>
      </c>
      <c r="L41" s="11">
        <f>L37</f>
        <v>20</v>
      </c>
      <c r="M41" s="11">
        <f>M37</f>
        <v>5.975</v>
      </c>
      <c r="N41" s="11"/>
      <c r="O41" s="15">
        <f t="shared" ref="O41:O51" si="17">(J41*(1+K41)+L41+M41+N41)*$O$1</f>
        <v>0</v>
      </c>
      <c r="P41" s="15">
        <f t="shared" ref="P41:P51" si="18">(J41*(1+K41)+L41+M41+N41+O41)*$P$1</f>
        <v>0</v>
      </c>
      <c r="Q41" s="14">
        <f t="shared" ref="Q41:Q51" si="19">I41*E41</f>
        <v>26558.9979339</v>
      </c>
      <c r="R41" s="5"/>
      <c r="S41" s="5"/>
      <c r="T41" s="5"/>
      <c r="U41" s="5"/>
      <c r="V41" s="5"/>
      <c r="W41" s="5"/>
      <c r="X41" s="5"/>
      <c r="Y41" s="5"/>
      <c r="Z41" s="5"/>
      <c r="AA41" s="4"/>
      <c r="AB41" s="4"/>
      <c r="AC41" s="4"/>
      <c r="AD41" s="4"/>
    </row>
    <row r="42" s="1" customFormat="1" ht="98" customHeight="1" spans="1:30">
      <c r="A42" s="20">
        <v>37</v>
      </c>
      <c r="B42" s="21" t="s">
        <v>97</v>
      </c>
      <c r="C42" s="22" t="s">
        <v>98</v>
      </c>
      <c r="D42" s="20" t="s">
        <v>26</v>
      </c>
      <c r="E42" s="23">
        <v>22947.355784</v>
      </c>
      <c r="F42" s="24">
        <f t="shared" si="13"/>
        <v>32.45</v>
      </c>
      <c r="G42" s="23">
        <f t="shared" si="15"/>
        <v>744641.6951908</v>
      </c>
      <c r="H42" s="23"/>
      <c r="I42" s="14">
        <f t="shared" si="16"/>
        <v>32.45</v>
      </c>
      <c r="J42" s="30"/>
      <c r="K42" s="36"/>
      <c r="L42" s="29">
        <v>23</v>
      </c>
      <c r="M42" s="29">
        <f>0.02*1.05*450</f>
        <v>9.45</v>
      </c>
      <c r="N42" s="11"/>
      <c r="O42" s="15">
        <f t="shared" si="17"/>
        <v>0</v>
      </c>
      <c r="P42" s="15">
        <f t="shared" si="18"/>
        <v>0</v>
      </c>
      <c r="Q42" s="14">
        <f t="shared" si="19"/>
        <v>744641.6951908</v>
      </c>
      <c r="R42" s="5"/>
      <c r="S42" s="5"/>
      <c r="T42" s="5"/>
      <c r="U42" s="5"/>
      <c r="V42" s="5"/>
      <c r="W42" s="5"/>
      <c r="X42" s="5"/>
      <c r="Y42" s="5"/>
      <c r="Z42" s="5"/>
      <c r="AA42" s="4"/>
      <c r="AB42" s="4"/>
      <c r="AC42" s="4"/>
      <c r="AD42" s="4"/>
    </row>
    <row r="43" s="1" customFormat="1" ht="36" customHeight="1" spans="1:30">
      <c r="A43" s="20">
        <v>38</v>
      </c>
      <c r="B43" s="21" t="s">
        <v>99</v>
      </c>
      <c r="C43" s="21" t="s">
        <v>100</v>
      </c>
      <c r="D43" s="20" t="s">
        <v>26</v>
      </c>
      <c r="E43" s="23">
        <v>22947.355784</v>
      </c>
      <c r="F43" s="24">
        <f t="shared" si="13"/>
        <v>2.3</v>
      </c>
      <c r="G43" s="23">
        <f t="shared" si="15"/>
        <v>52778.9183032</v>
      </c>
      <c r="H43" s="23"/>
      <c r="I43" s="14">
        <f t="shared" si="16"/>
        <v>2.3</v>
      </c>
      <c r="J43" s="38"/>
      <c r="K43" s="39"/>
      <c r="L43" s="38"/>
      <c r="M43" s="27">
        <v>2.3</v>
      </c>
      <c r="N43" s="38"/>
      <c r="O43" s="15">
        <f t="shared" si="17"/>
        <v>0</v>
      </c>
      <c r="P43" s="15">
        <f t="shared" si="18"/>
        <v>0</v>
      </c>
      <c r="Q43" s="14">
        <f t="shared" si="19"/>
        <v>52778.9183032</v>
      </c>
      <c r="R43" s="5"/>
      <c r="S43" s="5"/>
      <c r="T43" s="5"/>
      <c r="U43" s="5"/>
      <c r="V43" s="5"/>
      <c r="W43" s="5"/>
      <c r="X43" s="5"/>
      <c r="Y43" s="5"/>
      <c r="Z43" s="5"/>
      <c r="AA43" s="4"/>
      <c r="AB43" s="4"/>
      <c r="AC43" s="4"/>
      <c r="AD43" s="4"/>
    </row>
    <row r="44" s="1" customFormat="1" ht="96" customHeight="1" spans="1:30">
      <c r="A44" s="20">
        <v>39</v>
      </c>
      <c r="B44" s="21" t="s">
        <v>101</v>
      </c>
      <c r="C44" s="21" t="s">
        <v>102</v>
      </c>
      <c r="D44" s="20" t="s">
        <v>26</v>
      </c>
      <c r="E44" s="23">
        <v>1418.115363</v>
      </c>
      <c r="F44" s="24">
        <f t="shared" si="13"/>
        <v>197.75</v>
      </c>
      <c r="G44" s="23">
        <f t="shared" si="15"/>
        <v>280432.31303325</v>
      </c>
      <c r="H44" s="23"/>
      <c r="I44" s="14">
        <f t="shared" si="16"/>
        <v>197.75</v>
      </c>
      <c r="J44" s="11">
        <v>85</v>
      </c>
      <c r="K44" s="17">
        <v>0.05</v>
      </c>
      <c r="L44" s="11">
        <v>65</v>
      </c>
      <c r="M44" s="11">
        <f>25+15+3.5</f>
        <v>43.5</v>
      </c>
      <c r="N44" s="11"/>
      <c r="O44" s="15">
        <f t="shared" si="17"/>
        <v>0</v>
      </c>
      <c r="P44" s="15">
        <f t="shared" si="18"/>
        <v>0</v>
      </c>
      <c r="Q44" s="14">
        <f t="shared" si="19"/>
        <v>280432.31303325</v>
      </c>
      <c r="R44" s="5"/>
      <c r="S44" s="5"/>
      <c r="T44" s="5"/>
      <c r="U44" s="5"/>
      <c r="V44" s="5"/>
      <c r="W44" s="5"/>
      <c r="X44" s="5"/>
      <c r="Y44" s="5"/>
      <c r="Z44" s="5"/>
      <c r="AA44" s="4"/>
      <c r="AB44" s="4"/>
      <c r="AC44" s="4"/>
      <c r="AD44" s="4"/>
    </row>
    <row r="45" s="1" customFormat="1" ht="102" customHeight="1" spans="1:30">
      <c r="A45" s="20">
        <v>40</v>
      </c>
      <c r="B45" s="21" t="s">
        <v>103</v>
      </c>
      <c r="C45" s="22" t="s">
        <v>104</v>
      </c>
      <c r="D45" s="20" t="s">
        <v>26</v>
      </c>
      <c r="E45" s="23">
        <v>632.859363</v>
      </c>
      <c r="F45" s="24">
        <f t="shared" si="13"/>
        <v>201.51</v>
      </c>
      <c r="G45" s="23">
        <f t="shared" si="15"/>
        <v>127527.49023813</v>
      </c>
      <c r="H45" s="23"/>
      <c r="I45" s="14">
        <f t="shared" si="16"/>
        <v>201.51</v>
      </c>
      <c r="J45" s="11">
        <f>30+20</f>
        <v>50</v>
      </c>
      <c r="K45" s="17">
        <v>0.08</v>
      </c>
      <c r="L45" s="11">
        <v>90</v>
      </c>
      <c r="M45" s="11">
        <f>35+5+3.3*3.7+1*3.3+2</f>
        <v>57.51</v>
      </c>
      <c r="N45" s="11"/>
      <c r="O45" s="15">
        <f t="shared" si="17"/>
        <v>0</v>
      </c>
      <c r="P45" s="15">
        <f t="shared" si="18"/>
        <v>0</v>
      </c>
      <c r="Q45" s="14">
        <f t="shared" si="19"/>
        <v>127527.49023813</v>
      </c>
      <c r="R45" s="5"/>
      <c r="S45" s="5"/>
      <c r="T45" s="5"/>
      <c r="U45" s="5"/>
      <c r="V45" s="5"/>
      <c r="W45" s="5"/>
      <c r="X45" s="5"/>
      <c r="Y45" s="5"/>
      <c r="Z45" s="5"/>
      <c r="AA45" s="4"/>
      <c r="AB45" s="4"/>
      <c r="AC45" s="4"/>
      <c r="AD45" s="4"/>
    </row>
    <row r="46" s="1" customFormat="1" ht="60" spans="1:30">
      <c r="A46" s="20">
        <v>41</v>
      </c>
      <c r="B46" s="21" t="s">
        <v>105</v>
      </c>
      <c r="C46" s="21" t="s">
        <v>106</v>
      </c>
      <c r="D46" s="20" t="s">
        <v>26</v>
      </c>
      <c r="E46" s="23">
        <v>163.2</v>
      </c>
      <c r="F46" s="24">
        <f t="shared" si="13"/>
        <v>391.875</v>
      </c>
      <c r="G46" s="23">
        <f t="shared" si="15"/>
        <v>63954</v>
      </c>
      <c r="H46" s="23"/>
      <c r="I46" s="14">
        <f t="shared" si="16"/>
        <v>391.875</v>
      </c>
      <c r="J46" s="11">
        <f t="shared" ref="J46:M46" si="20">J47*1.5</f>
        <v>225</v>
      </c>
      <c r="K46" s="11">
        <f t="shared" si="20"/>
        <v>0.075</v>
      </c>
      <c r="L46" s="11">
        <f t="shared" si="20"/>
        <v>127.5</v>
      </c>
      <c r="M46" s="11">
        <f t="shared" si="20"/>
        <v>22.5</v>
      </c>
      <c r="N46" s="11"/>
      <c r="O46" s="15">
        <f t="shared" si="17"/>
        <v>0</v>
      </c>
      <c r="P46" s="15">
        <f t="shared" si="18"/>
        <v>0</v>
      </c>
      <c r="Q46" s="14">
        <f t="shared" si="19"/>
        <v>63954</v>
      </c>
      <c r="R46" s="5"/>
      <c r="S46" s="5"/>
      <c r="T46" s="5"/>
      <c r="U46" s="5"/>
      <c r="V46" s="5"/>
      <c r="W46" s="5"/>
      <c r="X46" s="5"/>
      <c r="Y46" s="5"/>
      <c r="Z46" s="5"/>
      <c r="AA46" s="4"/>
      <c r="AB46" s="4"/>
      <c r="AC46" s="4"/>
      <c r="AD46" s="4"/>
    </row>
    <row r="47" s="1" customFormat="1" ht="108" spans="1:30">
      <c r="A47" s="20">
        <v>42</v>
      </c>
      <c r="B47" s="21" t="s">
        <v>107</v>
      </c>
      <c r="C47" s="22" t="s">
        <v>108</v>
      </c>
      <c r="D47" s="20" t="s">
        <v>26</v>
      </c>
      <c r="E47" s="23">
        <v>502.4</v>
      </c>
      <c r="F47" s="24">
        <f t="shared" si="13"/>
        <v>257.5</v>
      </c>
      <c r="G47" s="23">
        <f t="shared" si="15"/>
        <v>129368</v>
      </c>
      <c r="H47" s="23"/>
      <c r="I47" s="14">
        <f t="shared" si="16"/>
        <v>257.5</v>
      </c>
      <c r="J47" s="11">
        <v>150</v>
      </c>
      <c r="K47" s="17">
        <v>0.05</v>
      </c>
      <c r="L47" s="11">
        <v>85</v>
      </c>
      <c r="M47" s="11">
        <v>15</v>
      </c>
      <c r="N47" s="11"/>
      <c r="O47" s="15">
        <f t="shared" si="17"/>
        <v>0</v>
      </c>
      <c r="P47" s="15">
        <f t="shared" si="18"/>
        <v>0</v>
      </c>
      <c r="Q47" s="14">
        <f t="shared" si="19"/>
        <v>129368</v>
      </c>
      <c r="R47" s="5"/>
      <c r="S47" s="5"/>
      <c r="T47" s="5"/>
      <c r="U47" s="5"/>
      <c r="V47" s="5"/>
      <c r="W47" s="5"/>
      <c r="X47" s="5"/>
      <c r="Y47" s="5"/>
      <c r="Z47" s="5"/>
      <c r="AA47" s="4"/>
      <c r="AB47" s="4"/>
      <c r="AC47" s="4"/>
      <c r="AD47" s="4"/>
    </row>
    <row r="48" s="1" customFormat="1" ht="72" spans="1:30">
      <c r="A48" s="20">
        <v>43</v>
      </c>
      <c r="B48" s="21" t="s">
        <v>107</v>
      </c>
      <c r="C48" s="22" t="s">
        <v>109</v>
      </c>
      <c r="D48" s="20" t="s">
        <v>26</v>
      </c>
      <c r="E48" s="23">
        <v>558.149</v>
      </c>
      <c r="F48" s="24">
        <f t="shared" si="13"/>
        <v>257.5</v>
      </c>
      <c r="G48" s="23">
        <f t="shared" si="15"/>
        <v>143723.3675</v>
      </c>
      <c r="H48" s="23"/>
      <c r="I48" s="14">
        <f t="shared" si="16"/>
        <v>257.5</v>
      </c>
      <c r="J48" s="11">
        <v>150</v>
      </c>
      <c r="K48" s="17">
        <v>0.05</v>
      </c>
      <c r="L48" s="11">
        <v>85</v>
      </c>
      <c r="M48" s="11">
        <v>15</v>
      </c>
      <c r="N48" s="11"/>
      <c r="O48" s="15">
        <f t="shared" si="17"/>
        <v>0</v>
      </c>
      <c r="P48" s="15">
        <f t="shared" si="18"/>
        <v>0</v>
      </c>
      <c r="Q48" s="14">
        <f t="shared" si="19"/>
        <v>143723.3675</v>
      </c>
      <c r="R48" s="5"/>
      <c r="S48" s="5"/>
      <c r="T48" s="5"/>
      <c r="U48" s="5"/>
      <c r="V48" s="5"/>
      <c r="W48" s="5"/>
      <c r="X48" s="5"/>
      <c r="Y48" s="5"/>
      <c r="Z48" s="5"/>
      <c r="AA48" s="4"/>
      <c r="AB48" s="4"/>
      <c r="AC48" s="4"/>
      <c r="AD48" s="4"/>
    </row>
    <row r="49" s="1" customFormat="1" ht="77" customHeight="1" spans="1:30">
      <c r="A49" s="20">
        <v>44</v>
      </c>
      <c r="B49" s="21" t="s">
        <v>107</v>
      </c>
      <c r="C49" s="21" t="s">
        <v>110</v>
      </c>
      <c r="D49" s="20" t="s">
        <v>26</v>
      </c>
      <c r="E49" s="23">
        <v>6160.0345</v>
      </c>
      <c r="F49" s="24">
        <f t="shared" si="13"/>
        <v>257.5</v>
      </c>
      <c r="G49" s="23">
        <f t="shared" si="15"/>
        <v>1586208.88375</v>
      </c>
      <c r="H49" s="23"/>
      <c r="I49" s="14">
        <f t="shared" si="16"/>
        <v>257.5</v>
      </c>
      <c r="J49" s="11">
        <v>150</v>
      </c>
      <c r="K49" s="17">
        <v>0.05</v>
      </c>
      <c r="L49" s="11">
        <v>85</v>
      </c>
      <c r="M49" s="11">
        <v>15</v>
      </c>
      <c r="N49" s="11"/>
      <c r="O49" s="15">
        <f t="shared" si="17"/>
        <v>0</v>
      </c>
      <c r="P49" s="15">
        <f t="shared" si="18"/>
        <v>0</v>
      </c>
      <c r="Q49" s="14">
        <f t="shared" si="19"/>
        <v>1586208.88375</v>
      </c>
      <c r="R49" s="5"/>
      <c r="S49" s="5"/>
      <c r="T49" s="5"/>
      <c r="U49" s="5"/>
      <c r="V49" s="5"/>
      <c r="W49" s="5"/>
      <c r="X49" s="5"/>
      <c r="Y49" s="5"/>
      <c r="Z49" s="5"/>
      <c r="AA49" s="4"/>
      <c r="AB49" s="4"/>
      <c r="AC49" s="4"/>
      <c r="AD49" s="4"/>
    </row>
    <row r="50" s="1" customFormat="1" ht="68" customHeight="1" spans="1:30">
      <c r="A50" s="20">
        <v>45</v>
      </c>
      <c r="B50" s="21" t="s">
        <v>111</v>
      </c>
      <c r="C50" s="21" t="s">
        <v>112</v>
      </c>
      <c r="D50" s="20" t="s">
        <v>43</v>
      </c>
      <c r="E50" s="23">
        <v>188.55</v>
      </c>
      <c r="F50" s="24">
        <f t="shared" si="13"/>
        <v>66.25</v>
      </c>
      <c r="G50" s="23">
        <f t="shared" si="15"/>
        <v>12491.4375</v>
      </c>
      <c r="H50" s="23"/>
      <c r="I50" s="14">
        <f t="shared" si="16"/>
        <v>66.25</v>
      </c>
      <c r="J50" s="11"/>
      <c r="K50" s="17"/>
      <c r="L50" s="11">
        <v>40</v>
      </c>
      <c r="M50" s="11">
        <f>(35+10+5)*1.05*0.5</f>
        <v>26.25</v>
      </c>
      <c r="N50" s="11"/>
      <c r="O50" s="15">
        <f t="shared" si="17"/>
        <v>0</v>
      </c>
      <c r="P50" s="15">
        <f t="shared" si="18"/>
        <v>0</v>
      </c>
      <c r="Q50" s="14">
        <f t="shared" si="19"/>
        <v>12491.4375</v>
      </c>
      <c r="R50" s="5"/>
      <c r="S50" s="5"/>
      <c r="T50" s="5"/>
      <c r="U50" s="5"/>
      <c r="V50" s="5"/>
      <c r="W50" s="5"/>
      <c r="X50" s="5"/>
      <c r="Y50" s="5"/>
      <c r="Z50" s="5"/>
      <c r="AA50" s="4"/>
      <c r="AB50" s="4"/>
      <c r="AC50" s="4"/>
      <c r="AD50" s="4"/>
    </row>
    <row r="51" s="1" customFormat="1" ht="108" spans="1:30">
      <c r="A51" s="20">
        <v>46</v>
      </c>
      <c r="B51" s="21" t="s">
        <v>113</v>
      </c>
      <c r="C51" s="22" t="s">
        <v>114</v>
      </c>
      <c r="D51" s="20" t="s">
        <v>26</v>
      </c>
      <c r="E51" s="23">
        <v>111.6</v>
      </c>
      <c r="F51" s="24">
        <f t="shared" si="13"/>
        <v>569.8</v>
      </c>
      <c r="G51" s="23">
        <f t="shared" si="15"/>
        <v>63589.68</v>
      </c>
      <c r="H51" s="23"/>
      <c r="I51" s="14">
        <f t="shared" si="16"/>
        <v>569.8</v>
      </c>
      <c r="J51" s="40"/>
      <c r="K51" s="41"/>
      <c r="L51" s="42">
        <v>200</v>
      </c>
      <c r="M51" s="42">
        <f>12*3.98*5+100+20*1.05+5+5</f>
        <v>369.8</v>
      </c>
      <c r="N51" s="40"/>
      <c r="O51" s="15">
        <f t="shared" si="17"/>
        <v>0</v>
      </c>
      <c r="P51" s="15">
        <f t="shared" si="18"/>
        <v>0</v>
      </c>
      <c r="Q51" s="14">
        <f t="shared" si="19"/>
        <v>63589.68</v>
      </c>
      <c r="R51" s="5"/>
      <c r="S51" s="5"/>
      <c r="T51" s="5"/>
      <c r="U51" s="5"/>
      <c r="V51" s="5"/>
      <c r="W51" s="5"/>
      <c r="X51" s="5"/>
      <c r="Y51" s="5"/>
      <c r="Z51" s="5"/>
      <c r="AA51" s="4"/>
      <c r="AB51" s="4"/>
      <c r="AC51" s="4"/>
      <c r="AD51" s="4"/>
    </row>
    <row r="52" s="1" customFormat="1" ht="60" spans="1:30">
      <c r="A52" s="20">
        <v>48</v>
      </c>
      <c r="B52" s="21" t="s">
        <v>115</v>
      </c>
      <c r="C52" s="21" t="s">
        <v>116</v>
      </c>
      <c r="D52" s="20" t="s">
        <v>26</v>
      </c>
      <c r="E52" s="23">
        <v>88.5</v>
      </c>
      <c r="F52" s="24">
        <f t="shared" si="13"/>
        <v>431.175</v>
      </c>
      <c r="G52" s="23">
        <f>E52*F52</f>
        <v>38158.9875</v>
      </c>
      <c r="H52" s="23"/>
      <c r="I52" s="14">
        <f>J52*(1+K52)+L52+M52+N52+O52+P52</f>
        <v>431.175</v>
      </c>
      <c r="J52" s="42">
        <f>185*1.1</f>
        <v>203.5</v>
      </c>
      <c r="K52" s="43">
        <v>0.05</v>
      </c>
      <c r="L52" s="42">
        <v>150</v>
      </c>
      <c r="M52" s="42">
        <f>50*1.05+15</f>
        <v>67.5</v>
      </c>
      <c r="N52" s="15"/>
      <c r="O52" s="15">
        <f>(J52*(1+K52)+L52+M52+N52)*$O$1</f>
        <v>0</v>
      </c>
      <c r="P52" s="15">
        <f>(J52*(1+K52)+L52+M52+N52+O52)*$P$1</f>
        <v>0</v>
      </c>
      <c r="Q52" s="14">
        <f>I52*E52</f>
        <v>38158.9875</v>
      </c>
      <c r="R52" s="5"/>
      <c r="S52" s="5"/>
      <c r="T52" s="5"/>
      <c r="U52" s="5"/>
      <c r="V52" s="5"/>
      <c r="W52" s="5"/>
      <c r="X52" s="5"/>
      <c r="Y52" s="5"/>
      <c r="Z52" s="5"/>
      <c r="AA52" s="4"/>
      <c r="AB52" s="4"/>
      <c r="AC52" s="4"/>
      <c r="AD52" s="4"/>
    </row>
    <row r="53" s="1" customFormat="1" ht="36" spans="1:30">
      <c r="A53" s="20">
        <v>49</v>
      </c>
      <c r="B53" s="21" t="s">
        <v>117</v>
      </c>
      <c r="C53" s="21" t="s">
        <v>118</v>
      </c>
      <c r="D53" s="20" t="s">
        <v>26</v>
      </c>
      <c r="E53" s="23">
        <v>53.955</v>
      </c>
      <c r="F53" s="24">
        <f t="shared" si="13"/>
        <v>498.0125</v>
      </c>
      <c r="G53" s="23">
        <f>E53*F53</f>
        <v>26870.2644375</v>
      </c>
      <c r="H53" s="23"/>
      <c r="I53" s="14">
        <f>J53*(1+K53)+L53+M53+N53+O53+P53</f>
        <v>498.0125</v>
      </c>
      <c r="J53" s="42">
        <f>185*1.5*1.1</f>
        <v>305.25</v>
      </c>
      <c r="K53" s="43">
        <v>0.05</v>
      </c>
      <c r="L53" s="42">
        <v>110</v>
      </c>
      <c r="M53" s="42">
        <f>50*1.05+15</f>
        <v>67.5</v>
      </c>
      <c r="N53" s="15"/>
      <c r="O53" s="15">
        <f>(J53*(1+K53)+L53+M53+N53)*$O$1</f>
        <v>0</v>
      </c>
      <c r="P53" s="15">
        <f>(J53*(1+K53)+L53+M53+N53+O53)*$P$1</f>
        <v>0</v>
      </c>
      <c r="Q53" s="14">
        <f>I53*E53</f>
        <v>26870.2644375</v>
      </c>
      <c r="R53" s="5"/>
      <c r="S53" s="5"/>
      <c r="T53" s="5"/>
      <c r="U53" s="5"/>
      <c r="V53" s="5"/>
      <c r="W53" s="5"/>
      <c r="X53" s="5"/>
      <c r="Y53" s="5"/>
      <c r="Z53" s="5"/>
      <c r="AA53" s="4"/>
      <c r="AB53" s="4"/>
      <c r="AC53" s="4"/>
      <c r="AD53" s="4"/>
    </row>
    <row r="54" s="1" customFormat="1" ht="114" customHeight="1" spans="1:30">
      <c r="A54" s="20">
        <v>50</v>
      </c>
      <c r="B54" s="21" t="s">
        <v>119</v>
      </c>
      <c r="C54" s="22" t="s">
        <v>120</v>
      </c>
      <c r="D54" s="20" t="s">
        <v>26</v>
      </c>
      <c r="E54" s="23">
        <v>0</v>
      </c>
      <c r="F54" s="24">
        <f t="shared" si="13"/>
        <v>582.25</v>
      </c>
      <c r="G54" s="23">
        <f>E54*F54</f>
        <v>0</v>
      </c>
      <c r="H54" s="23"/>
      <c r="I54" s="14">
        <f>J54*(1+K54)+L54+M54+N54+O54+P54</f>
        <v>582.25</v>
      </c>
      <c r="J54" s="15">
        <v>285</v>
      </c>
      <c r="K54" s="16">
        <v>0.05</v>
      </c>
      <c r="L54" s="15">
        <v>150</v>
      </c>
      <c r="M54" s="15">
        <f>20*5.5+4*3.5+4*1+5</f>
        <v>133</v>
      </c>
      <c r="N54" s="15"/>
      <c r="O54" s="15">
        <f>(J54*(1+K54)+L54+M54+N54)*$O$1</f>
        <v>0</v>
      </c>
      <c r="P54" s="15">
        <f>(J54*(1+K54)+L54+M54+N54+O54)*$P$1</f>
        <v>0</v>
      </c>
      <c r="Q54" s="14">
        <f>I54*E54</f>
        <v>0</v>
      </c>
      <c r="R54" s="5"/>
      <c r="S54" s="5"/>
      <c r="T54" s="5"/>
      <c r="U54" s="5"/>
      <c r="V54" s="5"/>
      <c r="W54" s="5"/>
      <c r="X54" s="5"/>
      <c r="Y54" s="5"/>
      <c r="Z54" s="5"/>
      <c r="AA54" s="4"/>
      <c r="AB54" s="4"/>
      <c r="AC54" s="4"/>
      <c r="AD54" s="4"/>
    </row>
    <row r="55" s="1" customFormat="1" ht="48" spans="1:30">
      <c r="A55" s="20">
        <v>51</v>
      </c>
      <c r="B55" s="21" t="s">
        <v>121</v>
      </c>
      <c r="C55" s="21" t="s">
        <v>122</v>
      </c>
      <c r="D55" s="20" t="s">
        <v>26</v>
      </c>
      <c r="E55" s="23">
        <v>0</v>
      </c>
      <c r="F55" s="24">
        <f t="shared" si="13"/>
        <v>301</v>
      </c>
      <c r="G55" s="23">
        <f>E55*F55</f>
        <v>0</v>
      </c>
      <c r="H55" s="23"/>
      <c r="I55" s="14">
        <f>J55*(1+K55)+L55+M55+N55+O55+P55</f>
        <v>301</v>
      </c>
      <c r="J55" s="15">
        <v>120</v>
      </c>
      <c r="K55" s="16">
        <v>0.05</v>
      </c>
      <c r="L55" s="15">
        <v>120</v>
      </c>
      <c r="M55" s="15">
        <v>55</v>
      </c>
      <c r="N55" s="15"/>
      <c r="O55" s="15">
        <f>(J55*(1+K55)+L55+M55+N55)*$O$1</f>
        <v>0</v>
      </c>
      <c r="P55" s="15">
        <f>(J55*(1+K55)+L55+M55+N55+O55)*$P$1</f>
        <v>0</v>
      </c>
      <c r="Q55" s="14">
        <f>I55*E55</f>
        <v>0</v>
      </c>
      <c r="R55" s="5"/>
      <c r="S55" s="5"/>
      <c r="T55" s="5"/>
      <c r="U55" s="5"/>
      <c r="V55" s="5"/>
      <c r="W55" s="5"/>
      <c r="X55" s="5"/>
      <c r="Y55" s="5"/>
      <c r="Z55" s="5"/>
      <c r="AA55" s="4"/>
      <c r="AB55" s="4"/>
      <c r="AC55" s="4"/>
      <c r="AD55" s="4"/>
    </row>
    <row r="56" s="1" customFormat="1" ht="72" spans="1:30">
      <c r="A56" s="20">
        <v>53</v>
      </c>
      <c r="B56" s="21" t="s">
        <v>123</v>
      </c>
      <c r="C56" s="22" t="s">
        <v>124</v>
      </c>
      <c r="D56" s="20" t="s">
        <v>26</v>
      </c>
      <c r="E56" s="23">
        <v>425.209</v>
      </c>
      <c r="F56" s="24">
        <f t="shared" si="13"/>
        <v>132.265</v>
      </c>
      <c r="G56" s="23">
        <f>E56*F56</f>
        <v>56240.268385</v>
      </c>
      <c r="H56" s="23"/>
      <c r="I56" s="14">
        <f>J56*(1+K56)+L56+M56+N56+O56+P56</f>
        <v>132.265</v>
      </c>
      <c r="J56" s="11"/>
      <c r="K56" s="17"/>
      <c r="L56" s="11">
        <v>75</v>
      </c>
      <c r="M56" s="11">
        <f>3.3*4.7+1*3.3+3.3*0.33+3.3*0.02+40*0.04+35+1*0.7</f>
        <v>57.265</v>
      </c>
      <c r="N56" s="11"/>
      <c r="O56" s="15">
        <f>(J56*(1+K56)+L56+M56+N56)*$O$1</f>
        <v>0</v>
      </c>
      <c r="P56" s="15">
        <f>(J56*(1+K56)+L56+M56+N56+O56)*$P$1</f>
        <v>0</v>
      </c>
      <c r="Q56" s="14">
        <f>I56*E56</f>
        <v>56240.268385</v>
      </c>
      <c r="R56" s="5"/>
      <c r="S56" s="5"/>
      <c r="T56" s="5"/>
      <c r="U56" s="5"/>
      <c r="V56" s="5"/>
      <c r="W56" s="5"/>
      <c r="X56" s="5"/>
      <c r="Y56" s="5"/>
      <c r="Z56" s="5"/>
      <c r="AA56" s="4"/>
      <c r="AB56" s="4"/>
      <c r="AC56" s="4"/>
      <c r="AD56" s="4"/>
    </row>
    <row r="57" s="1" customFormat="1" ht="60" spans="1:30">
      <c r="A57" s="20">
        <v>55</v>
      </c>
      <c r="B57" s="21" t="s">
        <v>76</v>
      </c>
      <c r="C57" s="21" t="s">
        <v>77</v>
      </c>
      <c r="D57" s="20" t="s">
        <v>78</v>
      </c>
      <c r="E57" s="23">
        <v>120</v>
      </c>
      <c r="F57" s="24">
        <f>I57</f>
        <v>5.6071</v>
      </c>
      <c r="G57" s="23">
        <f t="shared" ref="G57:G82" si="21">E57*F57</f>
        <v>672.852</v>
      </c>
      <c r="H57" s="23"/>
      <c r="I57" s="14">
        <f t="shared" ref="I57:I82" si="22">J57*(1+K57)+L57+M57+N57+O57+P57</f>
        <v>5.6071</v>
      </c>
      <c r="J57" s="27"/>
      <c r="K57" s="28"/>
      <c r="L57" s="11">
        <v>5</v>
      </c>
      <c r="M57" s="11">
        <v>0.5</v>
      </c>
      <c r="N57" s="11">
        <v>0.1071</v>
      </c>
      <c r="O57" s="15">
        <f t="shared" ref="O57:O82" si="23">(J57*(1+K57)+L57+M57+N57)*$O$1</f>
        <v>0</v>
      </c>
      <c r="P57" s="15">
        <f t="shared" ref="P57:P82" si="24">(J57*(1+K57)+L57+M57+N57+O57)*$P$1</f>
        <v>0</v>
      </c>
      <c r="Q57" s="14">
        <f t="shared" ref="Q57:Q82" si="25">I57*E57</f>
        <v>672.852</v>
      </c>
      <c r="R57" s="5"/>
      <c r="S57" s="5"/>
      <c r="T57" s="5"/>
      <c r="U57" s="5"/>
      <c r="V57" s="5"/>
      <c r="W57" s="5"/>
      <c r="X57" s="5"/>
      <c r="Y57" s="5"/>
      <c r="Z57" s="5"/>
      <c r="AA57" s="4"/>
      <c r="AB57" s="4"/>
      <c r="AC57" s="4"/>
      <c r="AD57" s="4"/>
    </row>
    <row r="58" s="1" customFormat="1" ht="36" spans="1:30">
      <c r="A58" s="20">
        <v>56</v>
      </c>
      <c r="B58" s="21" t="s">
        <v>125</v>
      </c>
      <c r="C58" s="21" t="s">
        <v>77</v>
      </c>
      <c r="D58" s="20" t="s">
        <v>78</v>
      </c>
      <c r="E58" s="23">
        <v>120</v>
      </c>
      <c r="F58" s="24">
        <f>I58</f>
        <v>5.6071</v>
      </c>
      <c r="G58" s="23">
        <f t="shared" si="21"/>
        <v>672.852</v>
      </c>
      <c r="H58" s="23"/>
      <c r="I58" s="14">
        <f t="shared" si="22"/>
        <v>5.6071</v>
      </c>
      <c r="J58" s="11"/>
      <c r="K58" s="17"/>
      <c r="L58" s="11">
        <v>5</v>
      </c>
      <c r="M58" s="11">
        <v>0.5</v>
      </c>
      <c r="N58" s="11">
        <v>0.1071</v>
      </c>
      <c r="O58" s="15">
        <f t="shared" si="23"/>
        <v>0</v>
      </c>
      <c r="P58" s="15">
        <f t="shared" si="24"/>
        <v>0</v>
      </c>
      <c r="Q58" s="14">
        <f t="shared" si="25"/>
        <v>672.852</v>
      </c>
      <c r="R58" s="5"/>
      <c r="S58" s="5"/>
      <c r="T58" s="5"/>
      <c r="U58" s="5"/>
      <c r="V58" s="5"/>
      <c r="W58" s="5"/>
      <c r="X58" s="5"/>
      <c r="Y58" s="5"/>
      <c r="Z58" s="5"/>
      <c r="AA58" s="4"/>
      <c r="AB58" s="4"/>
      <c r="AC58" s="4"/>
      <c r="AD58" s="4"/>
    </row>
    <row r="59" s="1" customFormat="1" spans="1:30">
      <c r="A59" s="12" t="s">
        <v>126</v>
      </c>
      <c r="B59" s="18"/>
      <c r="C59" s="18" t="s">
        <v>127</v>
      </c>
      <c r="D59" s="12"/>
      <c r="E59" s="23"/>
      <c r="F59" s="24"/>
      <c r="G59" s="23"/>
      <c r="H59" s="13"/>
      <c r="I59" s="11"/>
      <c r="J59" s="11"/>
      <c r="K59" s="11"/>
      <c r="L59" s="11"/>
      <c r="M59" s="11"/>
      <c r="N59" s="11"/>
      <c r="O59" s="11"/>
      <c r="P59" s="11"/>
      <c r="Q59" s="11"/>
      <c r="R59" s="5"/>
      <c r="S59" s="5"/>
      <c r="T59" s="5"/>
      <c r="U59" s="5"/>
      <c r="V59" s="5"/>
      <c r="W59" s="5"/>
      <c r="X59" s="5"/>
      <c r="Y59" s="5"/>
      <c r="Z59" s="5"/>
      <c r="AA59" s="4"/>
      <c r="AB59" s="4"/>
      <c r="AC59" s="4"/>
      <c r="AD59" s="4"/>
    </row>
    <row r="60" s="1" customFormat="1" ht="78" customHeight="1" spans="1:30">
      <c r="A60" s="20">
        <v>57</v>
      </c>
      <c r="B60" s="21" t="s">
        <v>128</v>
      </c>
      <c r="C60" s="22" t="s">
        <v>129</v>
      </c>
      <c r="D60" s="20" t="s">
        <v>26</v>
      </c>
      <c r="E60" s="23">
        <v>4467.3</v>
      </c>
      <c r="F60" s="24">
        <f t="shared" ref="F60:F82" si="26">I60</f>
        <v>31.225</v>
      </c>
      <c r="G60" s="23">
        <f t="shared" si="21"/>
        <v>139491.4425</v>
      </c>
      <c r="H60" s="23"/>
      <c r="I60" s="14">
        <f t="shared" si="22"/>
        <v>31.225</v>
      </c>
      <c r="J60" s="27">
        <f>J37</f>
        <v>5</v>
      </c>
      <c r="K60" s="28">
        <v>0.05</v>
      </c>
      <c r="L60" s="29">
        <f>L37</f>
        <v>20</v>
      </c>
      <c r="M60" s="29">
        <f>0.005*1.9*550+0.75</f>
        <v>5.975</v>
      </c>
      <c r="N60" s="27"/>
      <c r="O60" s="15">
        <f t="shared" si="23"/>
        <v>0</v>
      </c>
      <c r="P60" s="15">
        <f t="shared" si="24"/>
        <v>0</v>
      </c>
      <c r="Q60" s="14">
        <f t="shared" si="25"/>
        <v>139491.4425</v>
      </c>
      <c r="R60" s="5"/>
      <c r="S60" s="5"/>
      <c r="T60" s="5"/>
      <c r="U60" s="5"/>
      <c r="V60" s="5"/>
      <c r="W60" s="5"/>
      <c r="X60" s="5"/>
      <c r="Y60" s="5"/>
      <c r="Z60" s="5"/>
      <c r="AA60" s="4"/>
      <c r="AB60" s="4"/>
      <c r="AC60" s="4"/>
      <c r="AD60" s="4"/>
    </row>
    <row r="61" s="1" customFormat="1" ht="76" customHeight="1" spans="1:30">
      <c r="A61" s="20">
        <v>58</v>
      </c>
      <c r="B61" s="21" t="s">
        <v>130</v>
      </c>
      <c r="C61" s="22" t="s">
        <v>131</v>
      </c>
      <c r="D61" s="20" t="s">
        <v>26</v>
      </c>
      <c r="E61" s="23">
        <v>939.865</v>
      </c>
      <c r="F61" s="24">
        <f t="shared" si="26"/>
        <v>31.225</v>
      </c>
      <c r="G61" s="23">
        <f t="shared" si="21"/>
        <v>29347.284625</v>
      </c>
      <c r="H61" s="23"/>
      <c r="I61" s="14">
        <f t="shared" si="22"/>
        <v>31.225</v>
      </c>
      <c r="J61" s="27">
        <f>J37</f>
        <v>5</v>
      </c>
      <c r="K61" s="28">
        <v>0.05</v>
      </c>
      <c r="L61" s="29">
        <f>L37</f>
        <v>20</v>
      </c>
      <c r="M61" s="29">
        <f>0.005*1.9*550+0.75</f>
        <v>5.975</v>
      </c>
      <c r="N61" s="11"/>
      <c r="O61" s="15">
        <f t="shared" si="23"/>
        <v>0</v>
      </c>
      <c r="P61" s="15">
        <f t="shared" si="24"/>
        <v>0</v>
      </c>
      <c r="Q61" s="14">
        <f t="shared" si="25"/>
        <v>29347.284625</v>
      </c>
      <c r="R61" s="5"/>
      <c r="S61" s="5"/>
      <c r="T61" s="5"/>
      <c r="U61" s="5"/>
      <c r="V61" s="5"/>
      <c r="W61" s="5"/>
      <c r="X61" s="5"/>
      <c r="Y61" s="5"/>
      <c r="Z61" s="5"/>
      <c r="AA61" s="4"/>
      <c r="AB61" s="4"/>
      <c r="AC61" s="4"/>
      <c r="AD61" s="4"/>
    </row>
    <row r="62" s="1" customFormat="1" ht="96" spans="1:30">
      <c r="A62" s="20">
        <v>59</v>
      </c>
      <c r="B62" s="21" t="s">
        <v>132</v>
      </c>
      <c r="C62" s="22" t="s">
        <v>133</v>
      </c>
      <c r="D62" s="20" t="s">
        <v>26</v>
      </c>
      <c r="E62" s="23">
        <v>939.865</v>
      </c>
      <c r="F62" s="24">
        <f t="shared" si="26"/>
        <v>25.5</v>
      </c>
      <c r="G62" s="23">
        <f t="shared" si="21"/>
        <v>23966.5575</v>
      </c>
      <c r="H62" s="23"/>
      <c r="I62" s="14">
        <f t="shared" si="22"/>
        <v>25.5</v>
      </c>
      <c r="J62" s="27"/>
      <c r="K62" s="28"/>
      <c r="L62" s="29">
        <v>15</v>
      </c>
      <c r="M62" s="29">
        <f>0.01*1000*1.05</f>
        <v>10.5</v>
      </c>
      <c r="N62" s="27"/>
      <c r="O62" s="15">
        <f t="shared" si="23"/>
        <v>0</v>
      </c>
      <c r="P62" s="15">
        <f t="shared" si="24"/>
        <v>0</v>
      </c>
      <c r="Q62" s="14">
        <f t="shared" si="25"/>
        <v>23966.5575</v>
      </c>
      <c r="R62" s="5"/>
      <c r="S62" s="5"/>
      <c r="T62" s="5"/>
      <c r="U62" s="5"/>
      <c r="V62" s="5"/>
      <c r="W62" s="5"/>
      <c r="X62" s="5"/>
      <c r="Y62" s="5"/>
      <c r="Z62" s="5"/>
      <c r="AA62" s="4"/>
      <c r="AB62" s="4"/>
      <c r="AC62" s="4"/>
      <c r="AD62" s="4"/>
    </row>
    <row r="63" s="1" customFormat="1" ht="106" customHeight="1" spans="1:30">
      <c r="A63" s="20">
        <v>60</v>
      </c>
      <c r="B63" s="21" t="s">
        <v>134</v>
      </c>
      <c r="C63" s="22" t="s">
        <v>135</v>
      </c>
      <c r="D63" s="20" t="s">
        <v>26</v>
      </c>
      <c r="E63" s="23">
        <v>743.74</v>
      </c>
      <c r="F63" s="24">
        <f t="shared" si="26"/>
        <v>80.25</v>
      </c>
      <c r="G63" s="23">
        <f t="shared" si="21"/>
        <v>59685.135</v>
      </c>
      <c r="H63" s="23"/>
      <c r="I63" s="14">
        <f t="shared" si="22"/>
        <v>80.25</v>
      </c>
      <c r="J63" s="27">
        <v>45</v>
      </c>
      <c r="K63" s="28">
        <v>0.05</v>
      </c>
      <c r="L63" s="29">
        <v>30</v>
      </c>
      <c r="M63" s="29">
        <v>3</v>
      </c>
      <c r="N63" s="38"/>
      <c r="O63" s="15">
        <f t="shared" si="23"/>
        <v>0</v>
      </c>
      <c r="P63" s="15">
        <f t="shared" si="24"/>
        <v>0</v>
      </c>
      <c r="Q63" s="14">
        <f t="shared" si="25"/>
        <v>59685.135</v>
      </c>
      <c r="R63" s="5"/>
      <c r="S63" s="5"/>
      <c r="T63" s="5"/>
      <c r="U63" s="5"/>
      <c r="V63" s="5"/>
      <c r="W63" s="5"/>
      <c r="X63" s="5"/>
      <c r="Y63" s="5"/>
      <c r="Z63" s="5"/>
      <c r="AA63" s="4"/>
      <c r="AB63" s="4"/>
      <c r="AC63" s="4"/>
      <c r="AD63" s="4"/>
    </row>
    <row r="64" s="1" customFormat="1" ht="71" customHeight="1" spans="1:30">
      <c r="A64" s="20">
        <v>61</v>
      </c>
      <c r="B64" s="21" t="s">
        <v>136</v>
      </c>
      <c r="C64" s="22" t="s">
        <v>137</v>
      </c>
      <c r="D64" s="20" t="s">
        <v>26</v>
      </c>
      <c r="E64" s="23">
        <v>194.28</v>
      </c>
      <c r="F64" s="24">
        <f t="shared" si="26"/>
        <v>31.225</v>
      </c>
      <c r="G64" s="23">
        <f t="shared" si="21"/>
        <v>6066.393</v>
      </c>
      <c r="H64" s="23"/>
      <c r="I64" s="14">
        <f t="shared" si="22"/>
        <v>31.225</v>
      </c>
      <c r="J64" s="33">
        <f t="shared" ref="J64:M64" si="27">J60</f>
        <v>5</v>
      </c>
      <c r="K64" s="33">
        <f t="shared" si="27"/>
        <v>0.05</v>
      </c>
      <c r="L64" s="33">
        <f t="shared" si="27"/>
        <v>20</v>
      </c>
      <c r="M64" s="33">
        <f t="shared" si="27"/>
        <v>5.975</v>
      </c>
      <c r="N64" s="11"/>
      <c r="O64" s="15">
        <f t="shared" si="23"/>
        <v>0</v>
      </c>
      <c r="P64" s="15">
        <f t="shared" si="24"/>
        <v>0</v>
      </c>
      <c r="Q64" s="14">
        <f t="shared" si="25"/>
        <v>6066.393</v>
      </c>
      <c r="R64" s="5"/>
      <c r="S64" s="5"/>
      <c r="T64" s="5"/>
      <c r="U64" s="5"/>
      <c r="V64" s="5"/>
      <c r="W64" s="5"/>
      <c r="X64" s="5"/>
      <c r="Y64" s="5"/>
      <c r="Z64" s="5"/>
      <c r="AA64" s="4"/>
      <c r="AB64" s="4"/>
      <c r="AC64" s="4"/>
      <c r="AD64" s="4"/>
    </row>
    <row r="65" s="1" customFormat="1" ht="71" customHeight="1" spans="1:30">
      <c r="A65" s="20">
        <v>62</v>
      </c>
      <c r="B65" s="21" t="s">
        <v>138</v>
      </c>
      <c r="C65" s="22" t="s">
        <v>139</v>
      </c>
      <c r="D65" s="20" t="s">
        <v>26</v>
      </c>
      <c r="E65" s="23">
        <v>0</v>
      </c>
      <c r="F65" s="24">
        <f t="shared" si="26"/>
        <v>737.5269665</v>
      </c>
      <c r="G65" s="23">
        <f t="shared" si="21"/>
        <v>0</v>
      </c>
      <c r="H65" s="23"/>
      <c r="I65" s="14">
        <f t="shared" si="22"/>
        <v>737.5269665</v>
      </c>
      <c r="J65" s="33">
        <f>2*16.5*11.3437*1.3</f>
        <v>486.64473</v>
      </c>
      <c r="K65" s="37">
        <v>0.05</v>
      </c>
      <c r="L65" s="33">
        <f>75+50+25</f>
        <v>150</v>
      </c>
      <c r="M65" s="33">
        <f>45+12+0.65*27+2</f>
        <v>76.55</v>
      </c>
      <c r="N65" s="11"/>
      <c r="O65" s="15">
        <f t="shared" si="23"/>
        <v>0</v>
      </c>
      <c r="P65" s="15">
        <f t="shared" si="24"/>
        <v>0</v>
      </c>
      <c r="Q65" s="14">
        <f t="shared" si="25"/>
        <v>0</v>
      </c>
      <c r="R65" s="5"/>
      <c r="S65" s="5"/>
      <c r="T65" s="5"/>
      <c r="U65" s="5"/>
      <c r="V65" s="5"/>
      <c r="W65" s="5"/>
      <c r="X65" s="5"/>
      <c r="Y65" s="5"/>
      <c r="Z65" s="5"/>
      <c r="AA65" s="4"/>
      <c r="AB65" s="4"/>
      <c r="AC65" s="4"/>
      <c r="AD65" s="4"/>
    </row>
    <row r="66" s="1" customFormat="1" ht="98" customHeight="1" spans="1:30">
      <c r="A66" s="20">
        <v>63</v>
      </c>
      <c r="B66" s="21" t="s">
        <v>140</v>
      </c>
      <c r="C66" s="22" t="s">
        <v>141</v>
      </c>
      <c r="D66" s="20" t="s">
        <v>26</v>
      </c>
      <c r="E66" s="23">
        <v>2573.72</v>
      </c>
      <c r="F66" s="24">
        <f t="shared" si="26"/>
        <v>119.497</v>
      </c>
      <c r="G66" s="23">
        <f t="shared" si="21"/>
        <v>307551.81884</v>
      </c>
      <c r="H66" s="23"/>
      <c r="I66" s="14">
        <f t="shared" si="22"/>
        <v>119.497</v>
      </c>
      <c r="J66" s="27"/>
      <c r="K66" s="28"/>
      <c r="L66" s="29">
        <v>70</v>
      </c>
      <c r="M66" s="29">
        <f>(3.3*3.7+1.1*4.7+1.5+6*0.23+1*0.75+1*0.13+80*0.04+1*2.8)*1.05+10*2*1.05</f>
        <v>49.497</v>
      </c>
      <c r="N66" s="27"/>
      <c r="O66" s="15">
        <f t="shared" si="23"/>
        <v>0</v>
      </c>
      <c r="P66" s="15">
        <f t="shared" si="24"/>
        <v>0</v>
      </c>
      <c r="Q66" s="14">
        <f t="shared" si="25"/>
        <v>307551.81884</v>
      </c>
      <c r="R66" s="5"/>
      <c r="S66" s="5"/>
      <c r="T66" s="5"/>
      <c r="U66" s="5"/>
      <c r="V66" s="5"/>
      <c r="W66" s="5"/>
      <c r="X66" s="5"/>
      <c r="Y66" s="5"/>
      <c r="Z66" s="5"/>
      <c r="AA66" s="4"/>
      <c r="AB66" s="4"/>
      <c r="AC66" s="4"/>
      <c r="AD66" s="4"/>
    </row>
    <row r="67" s="1" customFormat="1" ht="106" customHeight="1" spans="1:30">
      <c r="A67" s="20">
        <v>64</v>
      </c>
      <c r="B67" s="21" t="s">
        <v>142</v>
      </c>
      <c r="C67" s="21" t="s">
        <v>143</v>
      </c>
      <c r="D67" s="20" t="s">
        <v>26</v>
      </c>
      <c r="E67" s="23">
        <v>427.82</v>
      </c>
      <c r="F67" s="24">
        <f t="shared" si="26"/>
        <v>214.2455</v>
      </c>
      <c r="G67" s="23">
        <f t="shared" si="21"/>
        <v>91658.50981</v>
      </c>
      <c r="H67" s="23"/>
      <c r="I67" s="14">
        <f t="shared" si="22"/>
        <v>214.2455</v>
      </c>
      <c r="J67" s="11"/>
      <c r="K67" s="17"/>
      <c r="L67" s="11">
        <f>L66*2</f>
        <v>140</v>
      </c>
      <c r="M67" s="11">
        <f>M66*1.5</f>
        <v>74.2455</v>
      </c>
      <c r="N67" s="11"/>
      <c r="O67" s="15">
        <f t="shared" si="23"/>
        <v>0</v>
      </c>
      <c r="P67" s="15">
        <f t="shared" si="24"/>
        <v>0</v>
      </c>
      <c r="Q67" s="14">
        <f t="shared" si="25"/>
        <v>91658.50981</v>
      </c>
      <c r="R67" s="5"/>
      <c r="S67" s="5"/>
      <c r="T67" s="5"/>
      <c r="U67" s="5"/>
      <c r="V67" s="5"/>
      <c r="W67" s="5"/>
      <c r="X67" s="5"/>
      <c r="Y67" s="5"/>
      <c r="Z67" s="5"/>
      <c r="AA67" s="4"/>
      <c r="AB67" s="4"/>
      <c r="AC67" s="4"/>
      <c r="AD67" s="4"/>
    </row>
    <row r="68" s="1" customFormat="1" ht="90" customHeight="1" spans="1:30">
      <c r="A68" s="20">
        <v>65</v>
      </c>
      <c r="B68" s="21" t="s">
        <v>144</v>
      </c>
      <c r="C68" s="22" t="s">
        <v>145</v>
      </c>
      <c r="D68" s="20" t="s">
        <v>26</v>
      </c>
      <c r="E68" s="23">
        <v>5389.57</v>
      </c>
      <c r="F68" s="24">
        <f t="shared" si="26"/>
        <v>65.05</v>
      </c>
      <c r="G68" s="23">
        <f t="shared" si="21"/>
        <v>350591.5285</v>
      </c>
      <c r="H68" s="23"/>
      <c r="I68" s="14">
        <f t="shared" si="22"/>
        <v>65.05</v>
      </c>
      <c r="J68" s="11">
        <v>32</v>
      </c>
      <c r="K68" s="17">
        <v>0.05</v>
      </c>
      <c r="L68" s="11">
        <v>22</v>
      </c>
      <c r="M68" s="11">
        <f>(4.7+1.5+2.8)*1.05</f>
        <v>9.45</v>
      </c>
      <c r="N68" s="15"/>
      <c r="O68" s="15">
        <f t="shared" si="23"/>
        <v>0</v>
      </c>
      <c r="P68" s="15">
        <f t="shared" si="24"/>
        <v>0</v>
      </c>
      <c r="Q68" s="14">
        <f t="shared" si="25"/>
        <v>350591.5285</v>
      </c>
      <c r="R68" s="5"/>
      <c r="S68" s="5"/>
      <c r="T68" s="5"/>
      <c r="U68" s="5"/>
      <c r="V68" s="5"/>
      <c r="W68" s="5"/>
      <c r="X68" s="5"/>
      <c r="Y68" s="5"/>
      <c r="Z68" s="5"/>
      <c r="AA68" s="4"/>
      <c r="AB68" s="4"/>
      <c r="AC68" s="4"/>
      <c r="AD68" s="4"/>
    </row>
    <row r="69" s="1" customFormat="1" ht="88" customHeight="1" spans="1:30">
      <c r="A69" s="20">
        <v>66</v>
      </c>
      <c r="B69" s="21" t="s">
        <v>146</v>
      </c>
      <c r="C69" s="22" t="s">
        <v>147</v>
      </c>
      <c r="D69" s="20" t="s">
        <v>26</v>
      </c>
      <c r="E69" s="23">
        <v>1097.34</v>
      </c>
      <c r="F69" s="24">
        <f t="shared" si="26"/>
        <v>118.68</v>
      </c>
      <c r="G69" s="23">
        <f t="shared" si="21"/>
        <v>130232.3112</v>
      </c>
      <c r="H69" s="23"/>
      <c r="I69" s="14">
        <f t="shared" si="22"/>
        <v>118.68</v>
      </c>
      <c r="J69" s="42">
        <f>7*7.6</f>
        <v>53.2</v>
      </c>
      <c r="K69" s="43">
        <v>0.05</v>
      </c>
      <c r="L69" s="42">
        <v>55</v>
      </c>
      <c r="M69" s="42">
        <f>4.7*1.1+1.5*1.1+1</f>
        <v>7.82</v>
      </c>
      <c r="N69" s="11"/>
      <c r="O69" s="15">
        <f t="shared" si="23"/>
        <v>0</v>
      </c>
      <c r="P69" s="15">
        <f t="shared" si="24"/>
        <v>0</v>
      </c>
      <c r="Q69" s="14">
        <f t="shared" si="25"/>
        <v>130232.3112</v>
      </c>
      <c r="R69" s="5"/>
      <c r="S69" s="5"/>
      <c r="T69" s="5"/>
      <c r="U69" s="5"/>
      <c r="V69" s="5"/>
      <c r="W69" s="5"/>
      <c r="X69" s="5"/>
      <c r="Y69" s="5"/>
      <c r="Z69" s="5"/>
      <c r="AA69" s="4"/>
      <c r="AB69" s="4"/>
      <c r="AC69" s="4"/>
      <c r="AD69" s="4"/>
    </row>
    <row r="70" s="1" customFormat="1" ht="42" customHeight="1" spans="1:30">
      <c r="A70" s="20">
        <v>67</v>
      </c>
      <c r="B70" s="21" t="s">
        <v>148</v>
      </c>
      <c r="C70" s="21" t="s">
        <v>149</v>
      </c>
      <c r="D70" s="20" t="s">
        <v>26</v>
      </c>
      <c r="E70" s="23">
        <v>1172.58</v>
      </c>
      <c r="F70" s="24">
        <f t="shared" si="26"/>
        <v>11.96825</v>
      </c>
      <c r="G70" s="23">
        <f t="shared" si="21"/>
        <v>14033.730585</v>
      </c>
      <c r="H70" s="23"/>
      <c r="I70" s="14">
        <f t="shared" si="22"/>
        <v>11.96825</v>
      </c>
      <c r="J70" s="11"/>
      <c r="K70" s="17"/>
      <c r="L70" s="11">
        <v>8</v>
      </c>
      <c r="M70" s="11">
        <f>0.143*1.5*18.5</f>
        <v>3.96825</v>
      </c>
      <c r="N70" s="11"/>
      <c r="O70" s="15">
        <f t="shared" si="23"/>
        <v>0</v>
      </c>
      <c r="P70" s="15">
        <f t="shared" si="24"/>
        <v>0</v>
      </c>
      <c r="Q70" s="14">
        <f t="shared" si="25"/>
        <v>14033.730585</v>
      </c>
      <c r="R70" s="5"/>
      <c r="S70" s="5"/>
      <c r="T70" s="5"/>
      <c r="U70" s="5"/>
      <c r="V70" s="5"/>
      <c r="W70" s="5"/>
      <c r="X70" s="5"/>
      <c r="Y70" s="5"/>
      <c r="Z70" s="5"/>
      <c r="AA70" s="4"/>
      <c r="AB70" s="4"/>
      <c r="AC70" s="4"/>
      <c r="AD70" s="4"/>
    </row>
    <row r="71" s="1" customFormat="1" ht="98" customHeight="1" spans="1:30">
      <c r="A71" s="20">
        <v>68</v>
      </c>
      <c r="B71" s="21" t="s">
        <v>140</v>
      </c>
      <c r="C71" s="22" t="s">
        <v>150</v>
      </c>
      <c r="D71" s="20" t="s">
        <v>26</v>
      </c>
      <c r="E71" s="23">
        <v>2815.9</v>
      </c>
      <c r="F71" s="24">
        <f t="shared" si="26"/>
        <v>119.497</v>
      </c>
      <c r="G71" s="23">
        <f t="shared" si="21"/>
        <v>336491.6023</v>
      </c>
      <c r="H71" s="23"/>
      <c r="I71" s="14">
        <f t="shared" si="22"/>
        <v>119.497</v>
      </c>
      <c r="J71" s="27"/>
      <c r="K71" s="28"/>
      <c r="L71" s="29">
        <v>70</v>
      </c>
      <c r="M71" s="29">
        <f>(3.3*3.7+1.1*4.7+1.5+6*0.23+1*0.75+1*0.13+80*0.04+1*2.8)*1.05+10*2*1.05</f>
        <v>49.497</v>
      </c>
      <c r="N71" s="27"/>
      <c r="O71" s="15">
        <f t="shared" si="23"/>
        <v>0</v>
      </c>
      <c r="P71" s="15">
        <f t="shared" si="24"/>
        <v>0</v>
      </c>
      <c r="Q71" s="14">
        <f t="shared" si="25"/>
        <v>336491.6023</v>
      </c>
      <c r="R71" s="5"/>
      <c r="S71" s="5"/>
      <c r="T71" s="5"/>
      <c r="U71" s="5"/>
      <c r="V71" s="5"/>
      <c r="W71" s="5"/>
      <c r="X71" s="5"/>
      <c r="Y71" s="5"/>
      <c r="Z71" s="5"/>
      <c r="AA71" s="4"/>
      <c r="AB71" s="4"/>
      <c r="AC71" s="4"/>
      <c r="AD71" s="4"/>
    </row>
    <row r="72" s="1" customFormat="1" ht="88" customHeight="1" spans="1:30">
      <c r="A72" s="20">
        <v>69</v>
      </c>
      <c r="B72" s="21" t="s">
        <v>151</v>
      </c>
      <c r="C72" s="22" t="s">
        <v>152</v>
      </c>
      <c r="D72" s="20" t="s">
        <v>26</v>
      </c>
      <c r="E72" s="23">
        <v>608.5</v>
      </c>
      <c r="F72" s="24">
        <f t="shared" si="26"/>
        <v>433.7</v>
      </c>
      <c r="G72" s="23">
        <f t="shared" si="21"/>
        <v>263906.45</v>
      </c>
      <c r="H72" s="23"/>
      <c r="I72" s="14">
        <f t="shared" si="22"/>
        <v>433.7</v>
      </c>
      <c r="J72" s="11">
        <f>185+65+35+25</f>
        <v>310</v>
      </c>
      <c r="K72" s="17">
        <v>0.02</v>
      </c>
      <c r="L72" s="11">
        <f>30+60</f>
        <v>90</v>
      </c>
      <c r="M72" s="11">
        <v>26</v>
      </c>
      <c r="N72" s="11">
        <v>1.5</v>
      </c>
      <c r="O72" s="15">
        <f t="shared" si="23"/>
        <v>0</v>
      </c>
      <c r="P72" s="15">
        <f t="shared" si="24"/>
        <v>0</v>
      </c>
      <c r="Q72" s="14">
        <f t="shared" si="25"/>
        <v>263906.45</v>
      </c>
      <c r="R72" s="5"/>
      <c r="S72" s="5"/>
      <c r="T72" s="5"/>
      <c r="U72" s="5"/>
      <c r="V72" s="5"/>
      <c r="W72" s="5"/>
      <c r="X72" s="5"/>
      <c r="Y72" s="5"/>
      <c r="Z72" s="5"/>
      <c r="AA72" s="4"/>
      <c r="AB72" s="4"/>
      <c r="AC72" s="4"/>
      <c r="AD72" s="4"/>
    </row>
    <row r="73" s="1" customFormat="1" ht="60" spans="1:30">
      <c r="A73" s="20">
        <v>70</v>
      </c>
      <c r="B73" s="21" t="s">
        <v>153</v>
      </c>
      <c r="C73" s="22" t="s">
        <v>154</v>
      </c>
      <c r="D73" s="20" t="s">
        <v>43</v>
      </c>
      <c r="E73" s="23">
        <v>3838.42</v>
      </c>
      <c r="F73" s="24">
        <f t="shared" si="26"/>
        <v>58.675</v>
      </c>
      <c r="G73" s="23">
        <f t="shared" si="21"/>
        <v>225219.2935</v>
      </c>
      <c r="H73" s="23"/>
      <c r="I73" s="14">
        <f t="shared" si="22"/>
        <v>58.675</v>
      </c>
      <c r="J73" s="11">
        <f t="shared" ref="J73:M73" si="28">J69*0.5</f>
        <v>26.6</v>
      </c>
      <c r="K73" s="11">
        <f t="shared" si="28"/>
        <v>0.025</v>
      </c>
      <c r="L73" s="11">
        <f t="shared" si="28"/>
        <v>27.5</v>
      </c>
      <c r="M73" s="11">
        <f t="shared" si="28"/>
        <v>3.91</v>
      </c>
      <c r="N73" s="11"/>
      <c r="O73" s="15">
        <f t="shared" si="23"/>
        <v>0</v>
      </c>
      <c r="P73" s="15">
        <f t="shared" si="24"/>
        <v>0</v>
      </c>
      <c r="Q73" s="14">
        <f t="shared" si="25"/>
        <v>225219.2935</v>
      </c>
      <c r="R73" s="5"/>
      <c r="S73" s="5"/>
      <c r="T73" s="5"/>
      <c r="U73" s="5"/>
      <c r="V73" s="5"/>
      <c r="W73" s="5"/>
      <c r="X73" s="5"/>
      <c r="Y73" s="5"/>
      <c r="Z73" s="5"/>
      <c r="AA73" s="4"/>
      <c r="AB73" s="4"/>
      <c r="AC73" s="4"/>
      <c r="AD73" s="4"/>
    </row>
    <row r="74" s="1" customFormat="1" ht="79" customHeight="1" spans="1:30">
      <c r="A74" s="20">
        <v>71</v>
      </c>
      <c r="B74" s="21" t="s">
        <v>155</v>
      </c>
      <c r="C74" s="22" t="s">
        <v>156</v>
      </c>
      <c r="D74" s="20" t="s">
        <v>43</v>
      </c>
      <c r="E74" s="23">
        <v>1562.84</v>
      </c>
      <c r="F74" s="24">
        <f t="shared" si="26"/>
        <v>58.675</v>
      </c>
      <c r="G74" s="23">
        <f t="shared" si="21"/>
        <v>91699.637</v>
      </c>
      <c r="H74" s="23"/>
      <c r="I74" s="14">
        <f t="shared" si="22"/>
        <v>58.675</v>
      </c>
      <c r="J74" s="11">
        <f t="shared" ref="J74:M74" si="29">J73</f>
        <v>26.6</v>
      </c>
      <c r="K74" s="11">
        <f t="shared" si="29"/>
        <v>0.025</v>
      </c>
      <c r="L74" s="11">
        <f t="shared" si="29"/>
        <v>27.5</v>
      </c>
      <c r="M74" s="11">
        <f t="shared" si="29"/>
        <v>3.91</v>
      </c>
      <c r="N74" s="11"/>
      <c r="O74" s="15">
        <f t="shared" si="23"/>
        <v>0</v>
      </c>
      <c r="P74" s="15">
        <f t="shared" si="24"/>
        <v>0</v>
      </c>
      <c r="Q74" s="14">
        <f t="shared" si="25"/>
        <v>91699.637</v>
      </c>
      <c r="R74" s="5"/>
      <c r="S74" s="5"/>
      <c r="T74" s="5"/>
      <c r="U74" s="5"/>
      <c r="V74" s="5"/>
      <c r="W74" s="5"/>
      <c r="X74" s="5"/>
      <c r="Y74" s="5"/>
      <c r="Z74" s="5"/>
      <c r="AA74" s="4"/>
      <c r="AB74" s="4"/>
      <c r="AC74" s="4"/>
      <c r="AD74" s="4"/>
    </row>
    <row r="75" s="1" customFormat="1" ht="36" spans="1:30">
      <c r="A75" s="20">
        <v>72</v>
      </c>
      <c r="B75" s="21" t="s">
        <v>157</v>
      </c>
      <c r="C75" s="21" t="s">
        <v>158</v>
      </c>
      <c r="D75" s="20" t="s">
        <v>43</v>
      </c>
      <c r="E75" s="23">
        <v>3593.3</v>
      </c>
      <c r="F75" s="24">
        <f t="shared" si="26"/>
        <v>64.225</v>
      </c>
      <c r="G75" s="23">
        <f t="shared" si="21"/>
        <v>230779.6925</v>
      </c>
      <c r="H75" s="23"/>
      <c r="I75" s="14">
        <f t="shared" si="22"/>
        <v>64.225</v>
      </c>
      <c r="J75" s="11">
        <f>230*0.15</f>
        <v>34.5</v>
      </c>
      <c r="K75" s="17">
        <v>0.05</v>
      </c>
      <c r="L75" s="11">
        <v>25</v>
      </c>
      <c r="M75" s="11">
        <v>3</v>
      </c>
      <c r="N75" s="11"/>
      <c r="O75" s="15">
        <f t="shared" si="23"/>
        <v>0</v>
      </c>
      <c r="P75" s="15">
        <f t="shared" si="24"/>
        <v>0</v>
      </c>
      <c r="Q75" s="14">
        <f t="shared" si="25"/>
        <v>230779.6925</v>
      </c>
      <c r="R75" s="5"/>
      <c r="S75" s="5"/>
      <c r="T75" s="5"/>
      <c r="U75" s="5"/>
      <c r="V75" s="5"/>
      <c r="W75" s="5"/>
      <c r="X75" s="5"/>
      <c r="Y75" s="5"/>
      <c r="Z75" s="5"/>
      <c r="AA75" s="4"/>
      <c r="AB75" s="4"/>
      <c r="AC75" s="4"/>
      <c r="AD75" s="4"/>
    </row>
    <row r="76" s="1" customFormat="1" ht="26" customHeight="1" spans="1:30">
      <c r="A76" s="20">
        <v>73</v>
      </c>
      <c r="B76" s="21" t="s">
        <v>159</v>
      </c>
      <c r="C76" s="21" t="s">
        <v>160</v>
      </c>
      <c r="D76" s="20" t="s">
        <v>43</v>
      </c>
      <c r="E76" s="23">
        <v>125.4</v>
      </c>
      <c r="F76" s="24">
        <f t="shared" si="26"/>
        <v>288.88</v>
      </c>
      <c r="G76" s="23">
        <f t="shared" si="21"/>
        <v>36225.552</v>
      </c>
      <c r="H76" s="23"/>
      <c r="I76" s="14">
        <f t="shared" si="22"/>
        <v>288.88</v>
      </c>
      <c r="J76" s="11">
        <f>176*1.1</f>
        <v>193.6</v>
      </c>
      <c r="K76" s="17">
        <v>0.05</v>
      </c>
      <c r="L76" s="11">
        <v>55</v>
      </c>
      <c r="M76" s="11">
        <f>4*5.5+2*1.5+2*0.3+5</f>
        <v>30.6</v>
      </c>
      <c r="N76" s="11"/>
      <c r="O76" s="15">
        <f t="shared" si="23"/>
        <v>0</v>
      </c>
      <c r="P76" s="15">
        <f t="shared" si="24"/>
        <v>0</v>
      </c>
      <c r="Q76" s="14">
        <f t="shared" si="25"/>
        <v>36225.552</v>
      </c>
      <c r="R76" s="5"/>
      <c r="S76" s="5"/>
      <c r="T76" s="5"/>
      <c r="U76" s="5"/>
      <c r="V76" s="5"/>
      <c r="W76" s="5"/>
      <c r="X76" s="5"/>
      <c r="Y76" s="5"/>
      <c r="Z76" s="5"/>
      <c r="AA76" s="4"/>
      <c r="AB76" s="4"/>
      <c r="AC76" s="4"/>
      <c r="AD76" s="4"/>
    </row>
    <row r="77" s="1" customFormat="1" ht="36" spans="1:30">
      <c r="A77" s="20">
        <v>74</v>
      </c>
      <c r="B77" s="21" t="s">
        <v>161</v>
      </c>
      <c r="C77" s="21" t="s">
        <v>162</v>
      </c>
      <c r="D77" s="20" t="s">
        <v>78</v>
      </c>
      <c r="E77" s="23">
        <v>36</v>
      </c>
      <c r="F77" s="24">
        <f t="shared" si="26"/>
        <v>100</v>
      </c>
      <c r="G77" s="23">
        <f t="shared" si="21"/>
        <v>3600</v>
      </c>
      <c r="H77" s="23"/>
      <c r="I77" s="14">
        <f t="shared" si="22"/>
        <v>100</v>
      </c>
      <c r="J77" s="11"/>
      <c r="K77" s="17"/>
      <c r="L77" s="11">
        <v>35</v>
      </c>
      <c r="M77" s="11">
        <v>65</v>
      </c>
      <c r="N77" s="11"/>
      <c r="O77" s="15">
        <f t="shared" si="23"/>
        <v>0</v>
      </c>
      <c r="P77" s="15">
        <f t="shared" si="24"/>
        <v>0</v>
      </c>
      <c r="Q77" s="14">
        <f t="shared" si="25"/>
        <v>3600</v>
      </c>
      <c r="R77" s="5"/>
      <c r="S77" s="5"/>
      <c r="T77" s="5"/>
      <c r="U77" s="5"/>
      <c r="V77" s="5"/>
      <c r="W77" s="5"/>
      <c r="X77" s="5"/>
      <c r="Y77" s="5"/>
      <c r="Z77" s="5"/>
      <c r="AA77" s="4"/>
      <c r="AB77" s="4"/>
      <c r="AC77" s="4"/>
      <c r="AD77" s="4"/>
    </row>
    <row r="78" s="1" customFormat="1" ht="85" customHeight="1" spans="1:30">
      <c r="A78" s="20">
        <v>75</v>
      </c>
      <c r="B78" s="21" t="s">
        <v>163</v>
      </c>
      <c r="C78" s="21" t="s">
        <v>164</v>
      </c>
      <c r="D78" s="20" t="s">
        <v>26</v>
      </c>
      <c r="E78" s="23">
        <v>1226.4</v>
      </c>
      <c r="F78" s="24">
        <f t="shared" si="26"/>
        <v>172.91</v>
      </c>
      <c r="G78" s="23">
        <f t="shared" si="21"/>
        <v>212056.824</v>
      </c>
      <c r="H78" s="23"/>
      <c r="I78" s="14">
        <f t="shared" si="22"/>
        <v>172.91</v>
      </c>
      <c r="J78" s="11"/>
      <c r="K78" s="17"/>
      <c r="L78" s="11">
        <f>45+18+12+15</f>
        <v>90</v>
      </c>
      <c r="M78" s="11">
        <f>35+25+7.85+15</f>
        <v>82.85</v>
      </c>
      <c r="N78" s="11">
        <v>0.06</v>
      </c>
      <c r="O78" s="15">
        <f t="shared" si="23"/>
        <v>0</v>
      </c>
      <c r="P78" s="15">
        <f t="shared" si="24"/>
        <v>0</v>
      </c>
      <c r="Q78" s="14">
        <f t="shared" si="25"/>
        <v>212056.824</v>
      </c>
      <c r="R78" s="5"/>
      <c r="S78" s="5"/>
      <c r="T78" s="5"/>
      <c r="U78" s="5"/>
      <c r="V78" s="5"/>
      <c r="W78" s="5"/>
      <c r="X78" s="5"/>
      <c r="Y78" s="5"/>
      <c r="Z78" s="5"/>
      <c r="AA78" s="4"/>
      <c r="AB78" s="4"/>
      <c r="AC78" s="4"/>
      <c r="AD78" s="4"/>
    </row>
    <row r="79" s="1" customFormat="1" ht="84" spans="1:30">
      <c r="A79" s="20">
        <v>76</v>
      </c>
      <c r="B79" s="21" t="s">
        <v>165</v>
      </c>
      <c r="C79" s="21" t="s">
        <v>166</v>
      </c>
      <c r="D79" s="20" t="s">
        <v>43</v>
      </c>
      <c r="E79" s="23">
        <v>872.8</v>
      </c>
      <c r="F79" s="24">
        <f t="shared" si="26"/>
        <v>13</v>
      </c>
      <c r="G79" s="23">
        <f t="shared" si="21"/>
        <v>11346.4</v>
      </c>
      <c r="H79" s="23"/>
      <c r="I79" s="14">
        <f t="shared" si="22"/>
        <v>13</v>
      </c>
      <c r="J79" s="11"/>
      <c r="K79" s="17"/>
      <c r="L79" s="11">
        <v>10</v>
      </c>
      <c r="M79" s="11">
        <f>1+2</f>
        <v>3</v>
      </c>
      <c r="N79" s="11"/>
      <c r="O79" s="15">
        <f t="shared" si="23"/>
        <v>0</v>
      </c>
      <c r="P79" s="15">
        <f t="shared" si="24"/>
        <v>0</v>
      </c>
      <c r="Q79" s="14">
        <f t="shared" si="25"/>
        <v>11346.4</v>
      </c>
      <c r="R79" s="5"/>
      <c r="S79" s="5"/>
      <c r="T79" s="5"/>
      <c r="U79" s="5"/>
      <c r="V79" s="5"/>
      <c r="W79" s="5"/>
      <c r="X79" s="5"/>
      <c r="Y79" s="5"/>
      <c r="Z79" s="5"/>
      <c r="AA79" s="4"/>
      <c r="AB79" s="4"/>
      <c r="AC79" s="4"/>
      <c r="AD79" s="4"/>
    </row>
    <row r="80" s="1" customFormat="1" ht="30" customHeight="1" spans="1:30">
      <c r="A80" s="20">
        <v>78</v>
      </c>
      <c r="B80" s="21" t="s">
        <v>167</v>
      </c>
      <c r="C80" s="21" t="s">
        <v>168</v>
      </c>
      <c r="D80" s="20" t="s">
        <v>26</v>
      </c>
      <c r="E80" s="23">
        <v>4452.44</v>
      </c>
      <c r="F80" s="24">
        <f>I80</f>
        <v>70</v>
      </c>
      <c r="G80" s="23">
        <f>E80*F80</f>
        <v>311670.8</v>
      </c>
      <c r="H80" s="23"/>
      <c r="I80" s="14">
        <f>J80*(1+K80)+L80+M80+N80+O80+P80</f>
        <v>70</v>
      </c>
      <c r="J80" s="40">
        <v>30</v>
      </c>
      <c r="K80" s="41"/>
      <c r="L80" s="40">
        <v>40</v>
      </c>
      <c r="M80" s="11"/>
      <c r="N80" s="11"/>
      <c r="O80" s="15">
        <f>(J80*(1+K80)+L80+M80+N80)*$O$1</f>
        <v>0</v>
      </c>
      <c r="P80" s="15">
        <f>(J80*(1+K80)+L80+M80+N80+O80)*$P$1</f>
        <v>0</v>
      </c>
      <c r="Q80" s="14">
        <f>I80*E80</f>
        <v>311670.8</v>
      </c>
      <c r="R80" s="5"/>
      <c r="S80" s="5"/>
      <c r="T80" s="5"/>
      <c r="U80" s="5"/>
      <c r="V80" s="5"/>
      <c r="W80" s="5"/>
      <c r="X80" s="5"/>
      <c r="Y80" s="5"/>
      <c r="Z80" s="5"/>
      <c r="AA80" s="4"/>
      <c r="AB80" s="4"/>
      <c r="AC80" s="4"/>
      <c r="AD80" s="4"/>
    </row>
    <row r="81" s="1" customFormat="1" ht="30" customHeight="1" spans="1:30">
      <c r="A81" s="20">
        <v>79</v>
      </c>
      <c r="B81" s="21" t="s">
        <v>169</v>
      </c>
      <c r="C81" s="21" t="s">
        <v>170</v>
      </c>
      <c r="D81" s="20" t="s">
        <v>26</v>
      </c>
      <c r="E81" s="23">
        <v>0</v>
      </c>
      <c r="F81" s="24">
        <f>I81</f>
        <v>40</v>
      </c>
      <c r="G81" s="23">
        <f>E81*F81</f>
        <v>0</v>
      </c>
      <c r="H81" s="23"/>
      <c r="I81" s="14">
        <f>J81*(1+K81)+L81+M81+N81+O81+P81</f>
        <v>40</v>
      </c>
      <c r="J81" s="40">
        <v>15</v>
      </c>
      <c r="K81" s="41"/>
      <c r="L81" s="40">
        <v>25</v>
      </c>
      <c r="M81" s="11"/>
      <c r="N81" s="11"/>
      <c r="O81" s="15">
        <f>(J81*(1+K81)+L81+M81+N81)*$O$1</f>
        <v>0</v>
      </c>
      <c r="P81" s="15">
        <f>(J81*(1+K81)+L81+M81+N81+O81)*$P$1</f>
        <v>0</v>
      </c>
      <c r="Q81" s="14">
        <f>I81*E81</f>
        <v>0</v>
      </c>
      <c r="R81" s="5"/>
      <c r="S81" s="5"/>
      <c r="T81" s="5"/>
      <c r="U81" s="5"/>
      <c r="V81" s="5"/>
      <c r="W81" s="5"/>
      <c r="X81" s="5"/>
      <c r="Y81" s="5"/>
      <c r="Z81" s="5"/>
      <c r="AA81" s="4"/>
      <c r="AB81" s="4"/>
      <c r="AC81" s="4"/>
      <c r="AD81" s="4"/>
    </row>
    <row r="82" s="1" customFormat="1" ht="22" customHeight="1" spans="1:30">
      <c r="A82" s="12" t="s">
        <v>171</v>
      </c>
      <c r="B82" s="18"/>
      <c r="C82" s="18" t="s">
        <v>172</v>
      </c>
      <c r="D82" s="12"/>
      <c r="E82" s="23"/>
      <c r="F82" s="24"/>
      <c r="G82" s="23"/>
      <c r="H82" s="13"/>
      <c r="I82" s="11"/>
      <c r="J82" s="11"/>
      <c r="K82" s="11"/>
      <c r="L82" s="11"/>
      <c r="M82" s="11"/>
      <c r="N82" s="11"/>
      <c r="O82" s="11"/>
      <c r="P82" s="11"/>
      <c r="Q82" s="11"/>
      <c r="R82" s="5"/>
      <c r="S82" s="5"/>
      <c r="T82" s="5"/>
      <c r="U82" s="5"/>
      <c r="V82" s="5"/>
      <c r="W82" s="5"/>
      <c r="X82" s="5"/>
      <c r="Y82" s="5"/>
      <c r="Z82" s="5"/>
      <c r="AA82" s="4"/>
      <c r="AB82" s="4"/>
      <c r="AC82" s="4"/>
      <c r="AD82" s="4"/>
    </row>
    <row r="83" s="1" customFormat="1" ht="48" spans="1:30">
      <c r="A83" s="20">
        <v>80</v>
      </c>
      <c r="B83" s="21" t="s">
        <v>173</v>
      </c>
      <c r="C83" s="21" t="s">
        <v>174</v>
      </c>
      <c r="D83" s="20" t="s">
        <v>26</v>
      </c>
      <c r="E83" s="23">
        <v>119.76</v>
      </c>
      <c r="F83" s="24">
        <f>I83</f>
        <v>560.571428571428</v>
      </c>
      <c r="G83" s="23">
        <f>E83*F83</f>
        <v>67134.0342857143</v>
      </c>
      <c r="H83" s="23"/>
      <c r="I83" s="14">
        <f>J83*(1+K83)+L83+M83+N83+O83+P83</f>
        <v>560.571428571428</v>
      </c>
      <c r="J83" s="27">
        <f t="shared" ref="J83:J85" si="30">800/0.8/2.1</f>
        <v>476.190476190476</v>
      </c>
      <c r="K83" s="28">
        <v>0.005</v>
      </c>
      <c r="L83" s="29">
        <v>80</v>
      </c>
      <c r="M83" s="29">
        <v>2</v>
      </c>
      <c r="N83" s="11"/>
      <c r="O83" s="15">
        <f>(J83*(1+K83)+L83+M83+N83)*$O$1</f>
        <v>0</v>
      </c>
      <c r="P83" s="15">
        <f>(J83*(1+K83)+L83+M83+N83+O83)*$P$1</f>
        <v>0</v>
      </c>
      <c r="Q83" s="14">
        <f>I83*E83</f>
        <v>67134.0342857143</v>
      </c>
      <c r="R83" s="5"/>
      <c r="S83" s="5"/>
      <c r="T83" s="5"/>
      <c r="U83" s="5"/>
      <c r="V83" s="5"/>
      <c r="W83" s="5"/>
      <c r="X83" s="5"/>
      <c r="Y83" s="5"/>
      <c r="Z83" s="5"/>
      <c r="AA83" s="4"/>
      <c r="AB83" s="4"/>
      <c r="AC83" s="4"/>
      <c r="AD83" s="4"/>
    </row>
    <row r="84" s="1" customFormat="1" ht="65" customHeight="1" spans="1:30">
      <c r="A84" s="20">
        <v>81</v>
      </c>
      <c r="B84" s="21" t="s">
        <v>175</v>
      </c>
      <c r="C84" s="21" t="s">
        <v>176</v>
      </c>
      <c r="D84" s="20" t="s">
        <v>26</v>
      </c>
      <c r="E84" s="23">
        <v>17.28</v>
      </c>
      <c r="F84" s="24">
        <f>I84</f>
        <v>560.571428571428</v>
      </c>
      <c r="G84" s="23">
        <f>E84*F84</f>
        <v>9686.67428571428</v>
      </c>
      <c r="H84" s="23"/>
      <c r="I84" s="14">
        <f>J84*(1+K84)+L84+M84+N84+O84+P84</f>
        <v>560.571428571428</v>
      </c>
      <c r="J84" s="27">
        <f t="shared" si="30"/>
        <v>476.190476190476</v>
      </c>
      <c r="K84" s="28">
        <v>0.005</v>
      </c>
      <c r="L84" s="29">
        <v>80</v>
      </c>
      <c r="M84" s="29">
        <v>2</v>
      </c>
      <c r="N84" s="11"/>
      <c r="O84" s="15">
        <f>(J84*(1+K84)+L84+M84+N84)*$O$1</f>
        <v>0</v>
      </c>
      <c r="P84" s="15">
        <f>(J84*(1+K84)+L84+M84+N84+O84)*$P$1</f>
        <v>0</v>
      </c>
      <c r="Q84" s="14">
        <f>I84*E84</f>
        <v>9686.67428571428</v>
      </c>
      <c r="R84" s="5"/>
      <c r="S84" s="5"/>
      <c r="T84" s="5"/>
      <c r="U84" s="5"/>
      <c r="V84" s="5"/>
      <c r="W84" s="5"/>
      <c r="X84" s="5"/>
      <c r="Y84" s="5"/>
      <c r="Z84" s="5"/>
      <c r="AA84" s="4"/>
      <c r="AB84" s="4"/>
      <c r="AC84" s="4"/>
      <c r="AD84" s="4"/>
    </row>
    <row r="85" s="1" customFormat="1" ht="60" spans="1:30">
      <c r="A85" s="20">
        <v>82</v>
      </c>
      <c r="B85" s="21" t="s">
        <v>177</v>
      </c>
      <c r="C85" s="22" t="s">
        <v>178</v>
      </c>
      <c r="D85" s="20" t="s">
        <v>26</v>
      </c>
      <c r="E85" s="23">
        <v>647.76</v>
      </c>
      <c r="F85" s="24">
        <f>I85</f>
        <v>560.571428571428</v>
      </c>
      <c r="G85" s="23">
        <f>E85*F85</f>
        <v>363115.748571428</v>
      </c>
      <c r="H85" s="23"/>
      <c r="I85" s="14">
        <f>J85*(1+K85)+L85+M85+N85+O85+P85</f>
        <v>560.571428571428</v>
      </c>
      <c r="J85" s="27">
        <f t="shared" si="30"/>
        <v>476.190476190476</v>
      </c>
      <c r="K85" s="28">
        <v>0.005</v>
      </c>
      <c r="L85" s="29">
        <v>80</v>
      </c>
      <c r="M85" s="29">
        <v>2</v>
      </c>
      <c r="N85" s="11"/>
      <c r="O85" s="15">
        <f>(J85*(1+K85)+L85+M85+N85)*$O$1</f>
        <v>0</v>
      </c>
      <c r="P85" s="15">
        <f>(J85*(1+K85)+L85+M85+N85+O85)*$P$1</f>
        <v>0</v>
      </c>
      <c r="Q85" s="14">
        <f>I85*E85</f>
        <v>363115.748571428</v>
      </c>
      <c r="R85" s="5"/>
      <c r="S85" s="5"/>
      <c r="T85" s="5"/>
      <c r="U85" s="5"/>
      <c r="V85" s="5"/>
      <c r="W85" s="5"/>
      <c r="X85" s="5"/>
      <c r="Y85" s="5"/>
      <c r="Z85" s="5"/>
      <c r="AA85" s="4"/>
      <c r="AB85" s="4"/>
      <c r="AC85" s="4"/>
      <c r="AD85" s="4"/>
    </row>
    <row r="86" s="1" customFormat="1" ht="18" customHeight="1" spans="1:30">
      <c r="A86" s="20">
        <v>83</v>
      </c>
      <c r="B86" s="21" t="s">
        <v>179</v>
      </c>
      <c r="C86" s="21" t="s">
        <v>180</v>
      </c>
      <c r="D86" s="20" t="s">
        <v>181</v>
      </c>
      <c r="E86" s="23">
        <v>429</v>
      </c>
      <c r="F86" s="24">
        <f t="shared" ref="F86:F91" si="31">I86</f>
        <v>30</v>
      </c>
      <c r="G86" s="23">
        <f t="shared" ref="G86:G91" si="32">E86*F86</f>
        <v>12870</v>
      </c>
      <c r="H86" s="23"/>
      <c r="I86" s="14">
        <f t="shared" ref="I86:I91" si="33">J86*(1+K86)+L86+M86+N86+O86+P86</f>
        <v>30</v>
      </c>
      <c r="J86" s="27"/>
      <c r="K86" s="28"/>
      <c r="L86" s="29">
        <v>15</v>
      </c>
      <c r="M86" s="29">
        <v>15</v>
      </c>
      <c r="N86" s="38"/>
      <c r="O86" s="15">
        <f t="shared" ref="O86:O91" si="34">(J86*(1+K86)+L86+M86+N86)*$O$1</f>
        <v>0</v>
      </c>
      <c r="P86" s="15">
        <f t="shared" ref="P86:P91" si="35">(J86*(1+K86)+L86+M86+N86+O86)*$P$1</f>
        <v>0</v>
      </c>
      <c r="Q86" s="14">
        <f t="shared" ref="Q86:Q91" si="36">I86*E86</f>
        <v>12870</v>
      </c>
      <c r="R86" s="5"/>
      <c r="S86" s="5"/>
      <c r="T86" s="5"/>
      <c r="U86" s="5"/>
      <c r="V86" s="5"/>
      <c r="W86" s="5"/>
      <c r="X86" s="5"/>
      <c r="Y86" s="5"/>
      <c r="Z86" s="5"/>
      <c r="AA86" s="4"/>
      <c r="AB86" s="4"/>
      <c r="AC86" s="4"/>
      <c r="AD86" s="4"/>
    </row>
    <row r="87" s="1" customFormat="1" ht="36" spans="1:30">
      <c r="A87" s="20">
        <v>84</v>
      </c>
      <c r="B87" s="21" t="s">
        <v>182</v>
      </c>
      <c r="C87" s="21" t="s">
        <v>183</v>
      </c>
      <c r="D87" s="20" t="s">
        <v>181</v>
      </c>
      <c r="E87" s="23">
        <v>24</v>
      </c>
      <c r="F87" s="24">
        <f t="shared" si="31"/>
        <v>160</v>
      </c>
      <c r="G87" s="23">
        <f t="shared" si="32"/>
        <v>3840</v>
      </c>
      <c r="H87" s="23"/>
      <c r="I87" s="14">
        <f t="shared" si="33"/>
        <v>160</v>
      </c>
      <c r="J87" s="11"/>
      <c r="K87" s="17"/>
      <c r="L87" s="11">
        <v>80</v>
      </c>
      <c r="M87" s="11">
        <v>80</v>
      </c>
      <c r="N87" s="11"/>
      <c r="O87" s="15">
        <f t="shared" si="34"/>
        <v>0</v>
      </c>
      <c r="P87" s="15">
        <f t="shared" si="35"/>
        <v>0</v>
      </c>
      <c r="Q87" s="14">
        <f t="shared" si="36"/>
        <v>3840</v>
      </c>
      <c r="R87" s="5"/>
      <c r="S87" s="5"/>
      <c r="T87" s="5"/>
      <c r="U87" s="5"/>
      <c r="V87" s="5"/>
      <c r="W87" s="5"/>
      <c r="X87" s="5"/>
      <c r="Y87" s="5"/>
      <c r="Z87" s="5"/>
      <c r="AA87" s="4"/>
      <c r="AB87" s="4"/>
      <c r="AC87" s="4"/>
      <c r="AD87" s="4"/>
    </row>
    <row r="88" s="1" customFormat="1" ht="96" spans="1:30">
      <c r="A88" s="20">
        <v>85</v>
      </c>
      <c r="B88" s="21" t="s">
        <v>184</v>
      </c>
      <c r="C88" s="22" t="s">
        <v>185</v>
      </c>
      <c r="D88" s="20" t="s">
        <v>26</v>
      </c>
      <c r="E88" s="23">
        <v>88.74</v>
      </c>
      <c r="F88" s="24">
        <f t="shared" si="31"/>
        <v>275.0275</v>
      </c>
      <c r="G88" s="23">
        <f t="shared" si="32"/>
        <v>24405.94035</v>
      </c>
      <c r="H88" s="23"/>
      <c r="I88" s="14">
        <f t="shared" si="33"/>
        <v>275.0275</v>
      </c>
      <c r="J88" s="27"/>
      <c r="K88" s="28"/>
      <c r="L88" s="29">
        <v>150</v>
      </c>
      <c r="M88" s="29">
        <f>4.5*3.98*5*1.05+2+2+10+2+15</f>
        <v>125.0275</v>
      </c>
      <c r="N88" s="38"/>
      <c r="O88" s="15">
        <f t="shared" si="34"/>
        <v>0</v>
      </c>
      <c r="P88" s="15">
        <f t="shared" si="35"/>
        <v>0</v>
      </c>
      <c r="Q88" s="14">
        <f t="shared" si="36"/>
        <v>24405.94035</v>
      </c>
      <c r="R88" s="5"/>
      <c r="S88" s="5"/>
      <c r="T88" s="5"/>
      <c r="U88" s="5"/>
      <c r="V88" s="5"/>
      <c r="W88" s="5"/>
      <c r="X88" s="5"/>
      <c r="Y88" s="5"/>
      <c r="Z88" s="5"/>
      <c r="AA88" s="4"/>
      <c r="AB88" s="4"/>
      <c r="AC88" s="4"/>
      <c r="AD88" s="4"/>
    </row>
    <row r="89" s="1" customFormat="1" ht="60" spans="1:30">
      <c r="A89" s="20">
        <v>86</v>
      </c>
      <c r="B89" s="21" t="s">
        <v>186</v>
      </c>
      <c r="C89" s="22" t="s">
        <v>187</v>
      </c>
      <c r="D89" s="20" t="s">
        <v>26</v>
      </c>
      <c r="E89" s="23">
        <v>597.8</v>
      </c>
      <c r="F89" s="24">
        <f t="shared" si="31"/>
        <v>1750</v>
      </c>
      <c r="G89" s="23">
        <f t="shared" si="32"/>
        <v>1046150</v>
      </c>
      <c r="H89" s="23"/>
      <c r="I89" s="14">
        <f t="shared" si="33"/>
        <v>1750</v>
      </c>
      <c r="J89" s="11">
        <v>1750</v>
      </c>
      <c r="K89" s="17"/>
      <c r="L89" s="11"/>
      <c r="M89" s="11"/>
      <c r="N89" s="11"/>
      <c r="O89" s="15">
        <f t="shared" si="34"/>
        <v>0</v>
      </c>
      <c r="P89" s="15">
        <f t="shared" si="35"/>
        <v>0</v>
      </c>
      <c r="Q89" s="14">
        <f t="shared" si="36"/>
        <v>1046150</v>
      </c>
      <c r="R89" s="5"/>
      <c r="S89" s="5"/>
      <c r="T89" s="5"/>
      <c r="U89" s="5"/>
      <c r="V89" s="5"/>
      <c r="W89" s="5"/>
      <c r="X89" s="5"/>
      <c r="Y89" s="5"/>
      <c r="Z89" s="5"/>
      <c r="AA89" s="4"/>
      <c r="AB89" s="4"/>
      <c r="AC89" s="4"/>
      <c r="AD89" s="4"/>
    </row>
    <row r="90" s="1" customFormat="1" ht="48" spans="1:30">
      <c r="A90" s="20">
        <v>87</v>
      </c>
      <c r="B90" s="21" t="s">
        <v>188</v>
      </c>
      <c r="C90" s="21" t="s">
        <v>189</v>
      </c>
      <c r="D90" s="20" t="s">
        <v>43</v>
      </c>
      <c r="E90" s="23">
        <v>35.3</v>
      </c>
      <c r="F90" s="24">
        <f t="shared" si="31"/>
        <v>1154.75</v>
      </c>
      <c r="G90" s="23">
        <f t="shared" si="32"/>
        <v>40762.675</v>
      </c>
      <c r="H90" s="23"/>
      <c r="I90" s="14">
        <f t="shared" si="33"/>
        <v>1154.75</v>
      </c>
      <c r="J90" s="27">
        <v>950</v>
      </c>
      <c r="K90" s="28">
        <v>0.005</v>
      </c>
      <c r="L90" s="29">
        <v>180</v>
      </c>
      <c r="M90" s="29">
        <v>20</v>
      </c>
      <c r="N90" s="11"/>
      <c r="O90" s="15">
        <f t="shared" si="34"/>
        <v>0</v>
      </c>
      <c r="P90" s="15">
        <f t="shared" si="35"/>
        <v>0</v>
      </c>
      <c r="Q90" s="14">
        <f t="shared" si="36"/>
        <v>40762.675</v>
      </c>
      <c r="R90" s="5"/>
      <c r="S90" s="5"/>
      <c r="T90" s="5"/>
      <c r="U90" s="5"/>
      <c r="V90" s="5"/>
      <c r="W90" s="5"/>
      <c r="X90" s="5"/>
      <c r="Y90" s="5"/>
      <c r="Z90" s="5"/>
      <c r="AA90" s="4"/>
      <c r="AB90" s="4"/>
      <c r="AC90" s="4"/>
      <c r="AD90" s="4"/>
    </row>
    <row r="91" s="1" customFormat="1" ht="48" spans="1:30">
      <c r="A91" s="20">
        <v>88</v>
      </c>
      <c r="B91" s="21" t="s">
        <v>190</v>
      </c>
      <c r="C91" s="21" t="s">
        <v>191</v>
      </c>
      <c r="D91" s="20" t="s">
        <v>43</v>
      </c>
      <c r="E91" s="23">
        <v>35.3</v>
      </c>
      <c r="F91" s="24">
        <f t="shared" si="31"/>
        <v>637.75</v>
      </c>
      <c r="G91" s="23">
        <f t="shared" si="32"/>
        <v>22512.575</v>
      </c>
      <c r="H91" s="23"/>
      <c r="I91" s="14">
        <f t="shared" si="33"/>
        <v>637.75</v>
      </c>
      <c r="J91" s="27">
        <v>550</v>
      </c>
      <c r="K91" s="28">
        <v>0.005</v>
      </c>
      <c r="L91" s="29">
        <v>80</v>
      </c>
      <c r="M91" s="29">
        <v>5</v>
      </c>
      <c r="N91" s="11"/>
      <c r="O91" s="15">
        <f t="shared" si="34"/>
        <v>0</v>
      </c>
      <c r="P91" s="15">
        <f t="shared" si="35"/>
        <v>0</v>
      </c>
      <c r="Q91" s="14">
        <f t="shared" si="36"/>
        <v>22512.575</v>
      </c>
      <c r="R91" s="5"/>
      <c r="S91" s="5"/>
      <c r="T91" s="5"/>
      <c r="U91" s="5"/>
      <c r="V91" s="5"/>
      <c r="W91" s="5"/>
      <c r="X91" s="5"/>
      <c r="Y91" s="5"/>
      <c r="Z91" s="5"/>
      <c r="AA91" s="4"/>
      <c r="AB91" s="4"/>
      <c r="AC91" s="4"/>
      <c r="AD91" s="4"/>
    </row>
    <row r="92" s="1" customFormat="1" spans="1:30">
      <c r="A92" s="12" t="s">
        <v>192</v>
      </c>
      <c r="B92" s="18"/>
      <c r="C92" s="18" t="s">
        <v>193</v>
      </c>
      <c r="D92" s="12"/>
      <c r="E92" s="23"/>
      <c r="F92" s="19"/>
      <c r="G92" s="23"/>
      <c r="H92" s="13"/>
      <c r="I92" s="11"/>
      <c r="J92" s="11"/>
      <c r="K92" s="11"/>
      <c r="L92" s="11"/>
      <c r="M92" s="11"/>
      <c r="N92" s="11"/>
      <c r="O92" s="11"/>
      <c r="P92" s="11"/>
      <c r="Q92" s="11"/>
      <c r="R92" s="5"/>
      <c r="S92" s="5"/>
      <c r="T92" s="5"/>
      <c r="U92" s="5"/>
      <c r="V92" s="5"/>
      <c r="W92" s="5"/>
      <c r="X92" s="5"/>
      <c r="Y92" s="5"/>
      <c r="Z92" s="5"/>
      <c r="AA92" s="4"/>
      <c r="AB92" s="4"/>
      <c r="AC92" s="4"/>
      <c r="AD92" s="4"/>
    </row>
    <row r="93" s="1" customFormat="1" ht="63" customHeight="1" spans="1:30">
      <c r="A93" s="20">
        <v>89</v>
      </c>
      <c r="B93" s="21" t="s">
        <v>194</v>
      </c>
      <c r="C93" s="22" t="s">
        <v>195</v>
      </c>
      <c r="D93" s="20" t="s">
        <v>26</v>
      </c>
      <c r="E93" s="23">
        <v>86.86</v>
      </c>
      <c r="F93" s="24">
        <f t="shared" ref="F93:F100" si="37">I93</f>
        <v>197.75</v>
      </c>
      <c r="G93" s="23">
        <f t="shared" ref="G93:G100" si="38">E93*F93</f>
        <v>17176.565</v>
      </c>
      <c r="H93" s="23"/>
      <c r="I93" s="14">
        <f t="shared" ref="I93:I100" si="39">J93*(1+K93)+L93+M93+N93+O93+P93</f>
        <v>197.75</v>
      </c>
      <c r="J93" s="11">
        <v>55</v>
      </c>
      <c r="K93" s="17">
        <v>0.05</v>
      </c>
      <c r="L93" s="11">
        <v>120</v>
      </c>
      <c r="M93" s="11">
        <v>20</v>
      </c>
      <c r="N93" s="11"/>
      <c r="O93" s="15">
        <f t="shared" ref="O93:O100" si="40">(J93*(1+K93)+L93+M93+N93)*$O$1</f>
        <v>0</v>
      </c>
      <c r="P93" s="15">
        <f t="shared" ref="P93:P100" si="41">(J93*(1+K93)+L93+M93+N93+O93)*$P$1</f>
        <v>0</v>
      </c>
      <c r="Q93" s="14">
        <f t="shared" ref="Q93:Q100" si="42">I93*E93</f>
        <v>17176.565</v>
      </c>
      <c r="R93" s="5"/>
      <c r="S93" s="5"/>
      <c r="T93" s="5"/>
      <c r="U93" s="5"/>
      <c r="V93" s="5"/>
      <c r="W93" s="5"/>
      <c r="X93" s="5"/>
      <c r="Y93" s="5"/>
      <c r="Z93" s="5"/>
      <c r="AA93" s="4"/>
      <c r="AB93" s="4"/>
      <c r="AC93" s="4"/>
      <c r="AD93" s="4"/>
    </row>
    <row r="94" s="1" customFormat="1" ht="60" spans="1:30">
      <c r="A94" s="20">
        <v>90</v>
      </c>
      <c r="B94" s="21" t="s">
        <v>196</v>
      </c>
      <c r="C94" s="22" t="s">
        <v>197</v>
      </c>
      <c r="D94" s="20" t="s">
        <v>26</v>
      </c>
      <c r="E94" s="23">
        <v>0</v>
      </c>
      <c r="F94" s="24">
        <f t="shared" si="37"/>
        <v>479.25</v>
      </c>
      <c r="G94" s="23">
        <f t="shared" si="38"/>
        <v>0</v>
      </c>
      <c r="H94" s="23"/>
      <c r="I94" s="14">
        <f t="shared" si="39"/>
        <v>479.25</v>
      </c>
      <c r="J94" s="11">
        <v>285</v>
      </c>
      <c r="K94" s="17">
        <v>0.05</v>
      </c>
      <c r="L94" s="11">
        <v>150</v>
      </c>
      <c r="M94" s="11">
        <v>30</v>
      </c>
      <c r="N94" s="11"/>
      <c r="O94" s="15">
        <f t="shared" si="40"/>
        <v>0</v>
      </c>
      <c r="P94" s="15">
        <f t="shared" si="41"/>
        <v>0</v>
      </c>
      <c r="Q94" s="14">
        <f t="shared" si="42"/>
        <v>0</v>
      </c>
      <c r="R94" s="5"/>
      <c r="S94" s="5"/>
      <c r="T94" s="5"/>
      <c r="U94" s="5"/>
      <c r="V94" s="5"/>
      <c r="W94" s="5"/>
      <c r="X94" s="5"/>
      <c r="Y94" s="5"/>
      <c r="Z94" s="5"/>
      <c r="AA94" s="4"/>
      <c r="AB94" s="4"/>
      <c r="AC94" s="4"/>
      <c r="AD94" s="4"/>
    </row>
    <row r="95" s="1" customFormat="1" ht="60" spans="1:30">
      <c r="A95" s="20">
        <v>91</v>
      </c>
      <c r="B95" s="21" t="s">
        <v>198</v>
      </c>
      <c r="C95" s="22" t="s">
        <v>199</v>
      </c>
      <c r="D95" s="20" t="s">
        <v>26</v>
      </c>
      <c r="E95" s="23">
        <v>0</v>
      </c>
      <c r="F95" s="24">
        <f t="shared" si="37"/>
        <v>197.75</v>
      </c>
      <c r="G95" s="23">
        <f t="shared" si="38"/>
        <v>0</v>
      </c>
      <c r="H95" s="23"/>
      <c r="I95" s="14">
        <f t="shared" si="39"/>
        <v>197.75</v>
      </c>
      <c r="J95" s="11">
        <f t="shared" ref="J95:M95" si="43">J93</f>
        <v>55</v>
      </c>
      <c r="K95" s="11">
        <f t="shared" si="43"/>
        <v>0.05</v>
      </c>
      <c r="L95" s="11">
        <f t="shared" si="43"/>
        <v>120</v>
      </c>
      <c r="M95" s="11">
        <f t="shared" si="43"/>
        <v>20</v>
      </c>
      <c r="N95" s="11"/>
      <c r="O95" s="15">
        <f t="shared" si="40"/>
        <v>0</v>
      </c>
      <c r="P95" s="15">
        <f t="shared" si="41"/>
        <v>0</v>
      </c>
      <c r="Q95" s="14">
        <f t="shared" si="42"/>
        <v>0</v>
      </c>
      <c r="R95" s="5"/>
      <c r="S95" s="5"/>
      <c r="T95" s="5"/>
      <c r="U95" s="5"/>
      <c r="V95" s="5"/>
      <c r="W95" s="5"/>
      <c r="X95" s="5"/>
      <c r="Y95" s="5"/>
      <c r="Z95" s="5"/>
      <c r="AA95" s="4"/>
      <c r="AB95" s="4"/>
      <c r="AC95" s="4"/>
      <c r="AD95" s="4"/>
    </row>
    <row r="96" s="1" customFormat="1" ht="78" customHeight="1" spans="1:30">
      <c r="A96" s="20">
        <v>92</v>
      </c>
      <c r="B96" s="21" t="s">
        <v>200</v>
      </c>
      <c r="C96" s="22" t="s">
        <v>201</v>
      </c>
      <c r="D96" s="20" t="s">
        <v>26</v>
      </c>
      <c r="E96" s="23">
        <v>29.635</v>
      </c>
      <c r="F96" s="24">
        <f t="shared" si="37"/>
        <v>196.73</v>
      </c>
      <c r="G96" s="23">
        <f t="shared" si="38"/>
        <v>5830.09355</v>
      </c>
      <c r="H96" s="23"/>
      <c r="I96" s="14">
        <f t="shared" si="39"/>
        <v>196.73</v>
      </c>
      <c r="J96" s="27">
        <v>67.28</v>
      </c>
      <c r="K96" s="35"/>
      <c r="L96" s="27">
        <v>120</v>
      </c>
      <c r="M96" s="27">
        <f>0.02*450*1.05</f>
        <v>9.45</v>
      </c>
      <c r="N96" s="44"/>
      <c r="O96" s="15">
        <f t="shared" si="40"/>
        <v>0</v>
      </c>
      <c r="P96" s="15">
        <f t="shared" si="41"/>
        <v>0</v>
      </c>
      <c r="Q96" s="14">
        <f t="shared" si="42"/>
        <v>5830.09355</v>
      </c>
      <c r="R96" s="5"/>
      <c r="S96" s="5"/>
      <c r="T96" s="5"/>
      <c r="U96" s="5"/>
      <c r="V96" s="5"/>
      <c r="W96" s="5"/>
      <c r="X96" s="5"/>
      <c r="Y96" s="5"/>
      <c r="Z96" s="5"/>
      <c r="AA96" s="4"/>
      <c r="AB96" s="4"/>
      <c r="AC96" s="4"/>
      <c r="AD96" s="4"/>
    </row>
    <row r="97" s="1" customFormat="1" ht="78" customHeight="1" spans="1:30">
      <c r="A97" s="20">
        <v>93</v>
      </c>
      <c r="B97" s="21" t="s">
        <v>202</v>
      </c>
      <c r="C97" s="22" t="s">
        <v>203</v>
      </c>
      <c r="D97" s="20" t="s">
        <v>26</v>
      </c>
      <c r="E97" s="23">
        <v>0</v>
      </c>
      <c r="F97" s="24">
        <f t="shared" si="37"/>
        <v>256.84</v>
      </c>
      <c r="G97" s="23">
        <f t="shared" si="38"/>
        <v>0</v>
      </c>
      <c r="H97" s="23"/>
      <c r="I97" s="14">
        <f t="shared" si="39"/>
        <v>256.84</v>
      </c>
      <c r="J97" s="11">
        <f>13*7.6</f>
        <v>98.8</v>
      </c>
      <c r="K97" s="17">
        <v>0.05</v>
      </c>
      <c r="L97" s="11">
        <f t="shared" ref="L97:L99" si="44">13*10</f>
        <v>130</v>
      </c>
      <c r="M97" s="11">
        <f>33*0.7</f>
        <v>23.1</v>
      </c>
      <c r="N97" s="11"/>
      <c r="O97" s="15">
        <f t="shared" si="40"/>
        <v>0</v>
      </c>
      <c r="P97" s="15">
        <f t="shared" si="41"/>
        <v>0</v>
      </c>
      <c r="Q97" s="14">
        <f t="shared" si="42"/>
        <v>0</v>
      </c>
      <c r="R97" s="5"/>
      <c r="S97" s="5"/>
      <c r="T97" s="5"/>
      <c r="U97" s="5"/>
      <c r="V97" s="5"/>
      <c r="W97" s="5"/>
      <c r="X97" s="5"/>
      <c r="Y97" s="5"/>
      <c r="Z97" s="5"/>
      <c r="AA97" s="4"/>
      <c r="AB97" s="4"/>
      <c r="AC97" s="4"/>
      <c r="AD97" s="4"/>
    </row>
    <row r="98" s="1" customFormat="1" ht="63" customHeight="1" spans="1:30">
      <c r="A98" s="20">
        <v>94</v>
      </c>
      <c r="B98" s="21" t="s">
        <v>204</v>
      </c>
      <c r="C98" s="22" t="s">
        <v>205</v>
      </c>
      <c r="D98" s="20" t="s">
        <v>26</v>
      </c>
      <c r="E98" s="23">
        <v>256.659</v>
      </c>
      <c r="F98" s="24">
        <f t="shared" si="37"/>
        <v>383.4175</v>
      </c>
      <c r="G98" s="23">
        <f t="shared" si="38"/>
        <v>98407.5521325</v>
      </c>
      <c r="H98" s="23"/>
      <c r="I98" s="14">
        <f t="shared" si="39"/>
        <v>383.4175</v>
      </c>
      <c r="J98" s="27">
        <f>18.5*1.15*10</f>
        <v>212.75</v>
      </c>
      <c r="K98" s="28">
        <v>0.05</v>
      </c>
      <c r="L98" s="29">
        <f t="shared" si="44"/>
        <v>130</v>
      </c>
      <c r="M98" s="29">
        <f>13*3.3*0.7</f>
        <v>30.03</v>
      </c>
      <c r="N98" s="44"/>
      <c r="O98" s="15">
        <f t="shared" si="40"/>
        <v>0</v>
      </c>
      <c r="P98" s="15">
        <f t="shared" si="41"/>
        <v>0</v>
      </c>
      <c r="Q98" s="14">
        <f t="shared" si="42"/>
        <v>98407.5521325</v>
      </c>
      <c r="R98" s="5"/>
      <c r="S98" s="5"/>
      <c r="T98" s="5"/>
      <c r="U98" s="5"/>
      <c r="V98" s="5"/>
      <c r="W98" s="5"/>
      <c r="X98" s="5"/>
      <c r="Y98" s="5"/>
      <c r="Z98" s="5"/>
      <c r="AA98" s="4"/>
      <c r="AB98" s="4"/>
      <c r="AC98" s="4"/>
      <c r="AD98" s="4"/>
    </row>
    <row r="99" s="1" customFormat="1" ht="77" customHeight="1" spans="1:30">
      <c r="A99" s="20">
        <v>95</v>
      </c>
      <c r="B99" s="21" t="s">
        <v>206</v>
      </c>
      <c r="C99" s="22" t="s">
        <v>207</v>
      </c>
      <c r="D99" s="20" t="s">
        <v>26</v>
      </c>
      <c r="E99" s="23">
        <v>80.508</v>
      </c>
      <c r="F99" s="24">
        <f t="shared" si="37"/>
        <v>256.84</v>
      </c>
      <c r="G99" s="23">
        <f t="shared" si="38"/>
        <v>20677.67472</v>
      </c>
      <c r="H99" s="23"/>
      <c r="I99" s="14">
        <f t="shared" si="39"/>
        <v>256.84</v>
      </c>
      <c r="J99" s="11">
        <f>13*7.6</f>
        <v>98.8</v>
      </c>
      <c r="K99" s="17">
        <v>0.05</v>
      </c>
      <c r="L99" s="11">
        <f t="shared" si="44"/>
        <v>130</v>
      </c>
      <c r="M99" s="11">
        <f>33*0.7</f>
        <v>23.1</v>
      </c>
      <c r="N99" s="11"/>
      <c r="O99" s="15">
        <f t="shared" si="40"/>
        <v>0</v>
      </c>
      <c r="P99" s="15">
        <f t="shared" si="41"/>
        <v>0</v>
      </c>
      <c r="Q99" s="14">
        <f t="shared" si="42"/>
        <v>20677.67472</v>
      </c>
      <c r="R99" s="5"/>
      <c r="S99" s="5"/>
      <c r="T99" s="5"/>
      <c r="U99" s="5"/>
      <c r="V99" s="5"/>
      <c r="W99" s="5"/>
      <c r="X99" s="5"/>
      <c r="Y99" s="5"/>
      <c r="Z99" s="5"/>
      <c r="AA99" s="4"/>
      <c r="AB99" s="4"/>
      <c r="AC99" s="4"/>
      <c r="AD99" s="4"/>
    </row>
    <row r="100" s="1" customFormat="1" ht="59" customHeight="1" spans="1:30">
      <c r="A100" s="20">
        <v>96</v>
      </c>
      <c r="B100" s="21" t="s">
        <v>208</v>
      </c>
      <c r="C100" s="21" t="s">
        <v>209</v>
      </c>
      <c r="D100" s="20" t="s">
        <v>26</v>
      </c>
      <c r="E100" s="23">
        <v>256.659</v>
      </c>
      <c r="F100" s="24">
        <f t="shared" si="37"/>
        <v>196.73</v>
      </c>
      <c r="G100" s="23">
        <f t="shared" si="38"/>
        <v>50492.52507</v>
      </c>
      <c r="H100" s="23"/>
      <c r="I100" s="14">
        <f t="shared" si="39"/>
        <v>196.73</v>
      </c>
      <c r="J100" s="27">
        <v>67.28</v>
      </c>
      <c r="K100" s="35"/>
      <c r="L100" s="27">
        <v>120</v>
      </c>
      <c r="M100" s="27">
        <f>0.02*450*1.05</f>
        <v>9.45</v>
      </c>
      <c r="N100" s="44"/>
      <c r="O100" s="15">
        <f t="shared" si="40"/>
        <v>0</v>
      </c>
      <c r="P100" s="15">
        <f t="shared" si="41"/>
        <v>0</v>
      </c>
      <c r="Q100" s="14">
        <f t="shared" si="42"/>
        <v>50492.52507</v>
      </c>
      <c r="R100" s="5"/>
      <c r="S100" s="5"/>
      <c r="T100" s="5"/>
      <c r="U100" s="5"/>
      <c r="V100" s="5"/>
      <c r="W100" s="5"/>
      <c r="X100" s="5"/>
      <c r="Y100" s="5"/>
      <c r="Z100" s="5"/>
      <c r="AA100" s="4"/>
      <c r="AB100" s="4"/>
      <c r="AC100" s="4"/>
      <c r="AD100" s="4"/>
    </row>
    <row r="101" s="1" customFormat="1" spans="1:30">
      <c r="A101" s="12" t="s">
        <v>210</v>
      </c>
      <c r="B101" s="18"/>
      <c r="C101" s="18" t="s">
        <v>211</v>
      </c>
      <c r="D101" s="12"/>
      <c r="E101" s="23"/>
      <c r="F101" s="24"/>
      <c r="G101" s="23"/>
      <c r="H101" s="13"/>
      <c r="I101" s="11"/>
      <c r="J101" s="11"/>
      <c r="K101" s="11"/>
      <c r="L101" s="11"/>
      <c r="M101" s="11"/>
      <c r="N101" s="11"/>
      <c r="O101" s="11"/>
      <c r="P101" s="11"/>
      <c r="Q101" s="11"/>
      <c r="R101" s="5"/>
      <c r="S101" s="5"/>
      <c r="T101" s="5"/>
      <c r="U101" s="5"/>
      <c r="V101" s="5"/>
      <c r="W101" s="5"/>
      <c r="X101" s="5"/>
      <c r="Y101" s="5"/>
      <c r="Z101" s="5"/>
      <c r="AA101" s="4"/>
      <c r="AB101" s="4"/>
      <c r="AC101" s="4"/>
      <c r="AD101" s="4"/>
    </row>
    <row r="102" s="1" customFormat="1" ht="72" customHeight="1" spans="1:30">
      <c r="A102" s="20">
        <v>97</v>
      </c>
      <c r="B102" s="21" t="s">
        <v>212</v>
      </c>
      <c r="C102" s="22" t="s">
        <v>213</v>
      </c>
      <c r="D102" s="20" t="s">
        <v>43</v>
      </c>
      <c r="E102" s="23">
        <v>173.46</v>
      </c>
      <c r="F102" s="24">
        <f t="shared" ref="F102:F107" si="45">I102</f>
        <v>432.356741576</v>
      </c>
      <c r="G102" s="23"/>
      <c r="H102" s="23"/>
      <c r="I102" s="14">
        <f>J102*(1+K102)+L102+M102+N102+O102+P102</f>
        <v>432.356741576</v>
      </c>
      <c r="J102" s="11">
        <f>0.063*3.14*3*7.93*18*2+0.038*3.14*1.2*7.93*18*2+0.025*3.14*1*7.93*18*8+0.1*0.1*8*5.5+4*0.35+0.1*18+2*3.5+1*5+20</f>
        <v>335.57784912</v>
      </c>
      <c r="K102" s="17">
        <v>0.05</v>
      </c>
      <c r="L102" s="11">
        <v>80</v>
      </c>
      <c r="M102" s="44"/>
      <c r="N102" s="44"/>
      <c r="O102" s="15">
        <f>(J102*(1+K102)+L102+M102+N102)*$O$1</f>
        <v>0</v>
      </c>
      <c r="P102" s="15">
        <f>(J102*(1+K102)+L102+M102+N102+O102)*$P$1</f>
        <v>0</v>
      </c>
      <c r="Q102" s="14">
        <f>I102*E102</f>
        <v>74996.600393773</v>
      </c>
      <c r="R102" s="5"/>
      <c r="S102" s="5"/>
      <c r="T102" s="5"/>
      <c r="U102" s="5"/>
      <c r="V102" s="5"/>
      <c r="W102" s="5"/>
      <c r="X102" s="5"/>
      <c r="Y102" s="5"/>
      <c r="Z102" s="5"/>
      <c r="AA102" s="4"/>
      <c r="AB102" s="4"/>
      <c r="AC102" s="4"/>
      <c r="AD102" s="4"/>
    </row>
    <row r="103" s="1" customFormat="1" ht="72" customHeight="1" spans="1:30">
      <c r="A103" s="20">
        <v>98</v>
      </c>
      <c r="B103" s="21" t="s">
        <v>214</v>
      </c>
      <c r="C103" s="22" t="s">
        <v>215</v>
      </c>
      <c r="D103" s="20" t="s">
        <v>43</v>
      </c>
      <c r="E103" s="23">
        <v>170.74</v>
      </c>
      <c r="F103" s="24">
        <f t="shared" si="45"/>
        <v>106</v>
      </c>
      <c r="G103" s="23"/>
      <c r="H103" s="23"/>
      <c r="I103" s="14">
        <f>J103*(1+K103)+L103+M103+N103+O103+P103</f>
        <v>106</v>
      </c>
      <c r="J103" s="44">
        <v>80</v>
      </c>
      <c r="K103" s="44"/>
      <c r="L103" s="44">
        <v>25</v>
      </c>
      <c r="M103" s="44"/>
      <c r="N103" s="44">
        <v>1</v>
      </c>
      <c r="O103" s="15">
        <f>(J103*(1+K103)+L103+M103+N103)*$O$1</f>
        <v>0</v>
      </c>
      <c r="P103" s="15">
        <f>(J103*(1+K103)+L103+M103+N103+O103)*$P$1</f>
        <v>0</v>
      </c>
      <c r="Q103" s="14">
        <f>I103*E103</f>
        <v>18098.44</v>
      </c>
      <c r="R103" s="5"/>
      <c r="S103" s="5"/>
      <c r="T103" s="5"/>
      <c r="U103" s="5"/>
      <c r="V103" s="5"/>
      <c r="W103" s="5"/>
      <c r="X103" s="5"/>
      <c r="Y103" s="5"/>
      <c r="Z103" s="5"/>
      <c r="AA103" s="4"/>
      <c r="AB103" s="4"/>
      <c r="AC103" s="4"/>
      <c r="AD103" s="4"/>
    </row>
    <row r="104" s="1" customFormat="1" ht="84" spans="1:30">
      <c r="A104" s="20">
        <v>99</v>
      </c>
      <c r="B104" s="21" t="s">
        <v>216</v>
      </c>
      <c r="C104" s="21" t="s">
        <v>217</v>
      </c>
      <c r="D104" s="20" t="s">
        <v>43</v>
      </c>
      <c r="E104" s="23">
        <v>1423.07</v>
      </c>
      <c r="F104" s="24">
        <f t="shared" si="45"/>
        <v>336.746</v>
      </c>
      <c r="G104" s="23"/>
      <c r="H104" s="23"/>
      <c r="I104" s="14">
        <f t="shared" ref="I104:I111" si="46">J104*(1+K104)+L104+M104+N104+O104+P104</f>
        <v>336.746</v>
      </c>
      <c r="J104" s="11">
        <f>176*1</f>
        <v>176</v>
      </c>
      <c r="K104" s="17">
        <v>0.1</v>
      </c>
      <c r="L104" s="11">
        <v>80</v>
      </c>
      <c r="M104" s="11">
        <f>0.2*2*7.93*18+3*0.35+5</f>
        <v>63.146</v>
      </c>
      <c r="N104" s="11"/>
      <c r="O104" s="15">
        <f t="shared" ref="O104:O111" si="47">(J104*(1+K104)+L104+M104+N104)*$O$1</f>
        <v>0</v>
      </c>
      <c r="P104" s="15">
        <f t="shared" ref="P104:P111" si="48">(J104*(1+K104)+L104+M104+N104+O104)*$P$1</f>
        <v>0</v>
      </c>
      <c r="Q104" s="14">
        <f t="shared" ref="Q104:Q111" si="49">I104*E104</f>
        <v>479213.13022</v>
      </c>
      <c r="R104" s="5"/>
      <c r="S104" s="5"/>
      <c r="T104" s="5"/>
      <c r="U104" s="5"/>
      <c r="V104" s="5"/>
      <c r="W104" s="5"/>
      <c r="X104" s="5"/>
      <c r="Y104" s="5"/>
      <c r="Z104" s="5"/>
      <c r="AA104" s="4"/>
      <c r="AB104" s="4"/>
      <c r="AC104" s="4"/>
      <c r="AD104" s="4"/>
    </row>
    <row r="105" s="1" customFormat="1" ht="84" spans="1:30">
      <c r="A105" s="20">
        <v>100</v>
      </c>
      <c r="B105" s="21" t="s">
        <v>218</v>
      </c>
      <c r="C105" s="21" t="s">
        <v>219</v>
      </c>
      <c r="D105" s="20" t="s">
        <v>220</v>
      </c>
      <c r="E105" s="23">
        <v>781</v>
      </c>
      <c r="F105" s="24">
        <f t="shared" si="45"/>
        <v>482.016588235294</v>
      </c>
      <c r="G105" s="23"/>
      <c r="H105" s="23"/>
      <c r="I105" s="14">
        <f t="shared" si="46"/>
        <v>482.016588235294</v>
      </c>
      <c r="J105" s="11">
        <f>J104/0.85*1.4</f>
        <v>289.882352941176</v>
      </c>
      <c r="K105" s="17">
        <v>0.1</v>
      </c>
      <c r="L105" s="11">
        <v>100</v>
      </c>
      <c r="M105" s="11">
        <f>M104</f>
        <v>63.146</v>
      </c>
      <c r="N105" s="11"/>
      <c r="O105" s="15">
        <f t="shared" si="47"/>
        <v>0</v>
      </c>
      <c r="P105" s="15">
        <f t="shared" si="48"/>
        <v>0</v>
      </c>
      <c r="Q105" s="14">
        <f t="shared" si="49"/>
        <v>376454.955411765</v>
      </c>
      <c r="R105" s="5"/>
      <c r="S105" s="5"/>
      <c r="T105" s="5"/>
      <c r="U105" s="5"/>
      <c r="V105" s="5"/>
      <c r="W105" s="5"/>
      <c r="X105" s="5"/>
      <c r="Y105" s="5"/>
      <c r="Z105" s="5"/>
      <c r="AA105" s="4"/>
      <c r="AB105" s="4"/>
      <c r="AC105" s="4"/>
      <c r="AD105" s="4"/>
    </row>
    <row r="106" s="1" customFormat="1" ht="108" spans="1:30">
      <c r="A106" s="20">
        <v>101</v>
      </c>
      <c r="B106" s="21" t="s">
        <v>221</v>
      </c>
      <c r="C106" s="22" t="s">
        <v>222</v>
      </c>
      <c r="D106" s="20" t="s">
        <v>43</v>
      </c>
      <c r="E106" s="23">
        <v>2204.07</v>
      </c>
      <c r="F106" s="24">
        <f t="shared" si="45"/>
        <v>187.1817856</v>
      </c>
      <c r="G106" s="23"/>
      <c r="H106" s="23"/>
      <c r="I106" s="14">
        <f t="shared" si="46"/>
        <v>187.1817856</v>
      </c>
      <c r="J106" s="11">
        <f>0.08*3.14*4*2.79*38</f>
        <v>106.528896</v>
      </c>
      <c r="K106" s="17">
        <v>0.1</v>
      </c>
      <c r="L106" s="11">
        <v>50</v>
      </c>
      <c r="M106" s="11">
        <v>20</v>
      </c>
      <c r="N106" s="11"/>
      <c r="O106" s="15">
        <f t="shared" si="47"/>
        <v>0</v>
      </c>
      <c r="P106" s="15">
        <f t="shared" si="48"/>
        <v>0</v>
      </c>
      <c r="Q106" s="14">
        <f t="shared" si="49"/>
        <v>412561.758187392</v>
      </c>
      <c r="R106" s="5"/>
      <c r="S106" s="5"/>
      <c r="T106" s="5"/>
      <c r="U106" s="5"/>
      <c r="V106" s="5"/>
      <c r="W106" s="5"/>
      <c r="X106" s="5"/>
      <c r="Y106" s="5"/>
      <c r="Z106" s="5"/>
      <c r="AA106" s="4"/>
      <c r="AB106" s="4"/>
      <c r="AC106" s="4"/>
      <c r="AD106" s="4"/>
    </row>
    <row r="107" s="1" customFormat="1" ht="36" spans="1:30">
      <c r="A107" s="20">
        <v>102</v>
      </c>
      <c r="B107" s="21" t="s">
        <v>223</v>
      </c>
      <c r="C107" s="21" t="s">
        <v>224</v>
      </c>
      <c r="D107" s="20" t="s">
        <v>225</v>
      </c>
      <c r="E107" s="23">
        <v>3114.22374</v>
      </c>
      <c r="F107" s="24">
        <f t="shared" si="45"/>
        <v>11</v>
      </c>
      <c r="G107" s="23"/>
      <c r="H107" s="23"/>
      <c r="I107" s="14">
        <f t="shared" si="46"/>
        <v>11</v>
      </c>
      <c r="J107" s="11"/>
      <c r="K107" s="17"/>
      <c r="L107" s="11">
        <v>4</v>
      </c>
      <c r="M107" s="11">
        <v>7</v>
      </c>
      <c r="N107" s="11"/>
      <c r="O107" s="15">
        <f t="shared" si="47"/>
        <v>0</v>
      </c>
      <c r="P107" s="15">
        <f t="shared" si="48"/>
        <v>0</v>
      </c>
      <c r="Q107" s="14">
        <f t="shared" si="49"/>
        <v>34256.46114</v>
      </c>
      <c r="R107" s="5"/>
      <c r="S107" s="5"/>
      <c r="T107" s="5"/>
      <c r="U107" s="5"/>
      <c r="V107" s="5"/>
      <c r="W107" s="5"/>
      <c r="X107" s="5"/>
      <c r="Y107" s="5"/>
      <c r="Z107" s="5"/>
      <c r="AA107" s="4"/>
      <c r="AB107" s="4"/>
      <c r="AC107" s="4"/>
      <c r="AD107" s="4"/>
    </row>
    <row r="108" s="1" customFormat="1" ht="21" customHeight="1" spans="1:30">
      <c r="A108" s="12" t="s">
        <v>226</v>
      </c>
      <c r="B108" s="18"/>
      <c r="C108" s="18" t="s">
        <v>227</v>
      </c>
      <c r="D108" s="12"/>
      <c r="E108" s="23"/>
      <c r="F108" s="24"/>
      <c r="G108" s="23"/>
      <c r="H108" s="13"/>
      <c r="I108" s="11"/>
      <c r="J108" s="11"/>
      <c r="K108" s="11"/>
      <c r="L108" s="11"/>
      <c r="M108" s="11"/>
      <c r="N108" s="11"/>
      <c r="O108" s="11"/>
      <c r="P108" s="11"/>
      <c r="Q108" s="11"/>
      <c r="R108" s="5"/>
      <c r="S108" s="5"/>
      <c r="T108" s="5"/>
      <c r="U108" s="5"/>
      <c r="V108" s="5"/>
      <c r="W108" s="5"/>
      <c r="X108" s="5"/>
      <c r="Y108" s="5"/>
      <c r="Z108" s="5"/>
      <c r="AA108" s="4"/>
      <c r="AB108" s="4"/>
      <c r="AC108" s="4"/>
      <c r="AD108" s="4"/>
    </row>
    <row r="109" s="1" customFormat="1" ht="31" customHeight="1" spans="1:30">
      <c r="A109" s="20">
        <v>103</v>
      </c>
      <c r="B109" s="21" t="s">
        <v>228</v>
      </c>
      <c r="C109" s="21" t="s">
        <v>229</v>
      </c>
      <c r="D109" s="20" t="s">
        <v>230</v>
      </c>
      <c r="E109" s="23">
        <v>20</v>
      </c>
      <c r="F109" s="24">
        <f t="shared" ref="F109:F117" si="50">I109</f>
        <v>164.7</v>
      </c>
      <c r="G109" s="23">
        <f>E109*F109</f>
        <v>3294</v>
      </c>
      <c r="H109" s="23"/>
      <c r="I109" s="14">
        <f t="shared" si="46"/>
        <v>164.7</v>
      </c>
      <c r="J109" s="11">
        <v>135</v>
      </c>
      <c r="K109" s="17">
        <v>0.02</v>
      </c>
      <c r="L109" s="11">
        <v>25</v>
      </c>
      <c r="M109" s="11">
        <v>2</v>
      </c>
      <c r="N109" s="11"/>
      <c r="O109" s="15">
        <f t="shared" si="47"/>
        <v>0</v>
      </c>
      <c r="P109" s="15">
        <f t="shared" si="48"/>
        <v>0</v>
      </c>
      <c r="Q109" s="14">
        <f t="shared" si="49"/>
        <v>3294</v>
      </c>
      <c r="R109" s="5"/>
      <c r="S109" s="5"/>
      <c r="T109" s="5"/>
      <c r="U109" s="5"/>
      <c r="V109" s="5"/>
      <c r="W109" s="5"/>
      <c r="X109" s="5"/>
      <c r="Y109" s="5"/>
      <c r="Z109" s="5"/>
      <c r="AA109" s="4"/>
      <c r="AB109" s="4"/>
      <c r="AC109" s="4"/>
      <c r="AD109" s="4"/>
    </row>
    <row r="110" s="1" customFormat="1" ht="53" customHeight="1" spans="1:30">
      <c r="A110" s="20">
        <v>104</v>
      </c>
      <c r="B110" s="21" t="s">
        <v>231</v>
      </c>
      <c r="C110" s="21" t="s">
        <v>232</v>
      </c>
      <c r="D110" s="20" t="s">
        <v>230</v>
      </c>
      <c r="E110" s="23">
        <v>40</v>
      </c>
      <c r="F110" s="24">
        <f t="shared" si="50"/>
        <v>164.7</v>
      </c>
      <c r="G110" s="23">
        <f>E110*F110</f>
        <v>6588</v>
      </c>
      <c r="H110" s="23"/>
      <c r="I110" s="14">
        <f t="shared" si="46"/>
        <v>164.7</v>
      </c>
      <c r="J110" s="11">
        <f t="shared" ref="J110:M110" si="51">J109</f>
        <v>135</v>
      </c>
      <c r="K110" s="11">
        <f t="shared" si="51"/>
        <v>0.02</v>
      </c>
      <c r="L110" s="11">
        <f t="shared" si="51"/>
        <v>25</v>
      </c>
      <c r="M110" s="11">
        <f t="shared" si="51"/>
        <v>2</v>
      </c>
      <c r="N110" s="11"/>
      <c r="O110" s="15">
        <f t="shared" si="47"/>
        <v>0</v>
      </c>
      <c r="P110" s="15">
        <f t="shared" si="48"/>
        <v>0</v>
      </c>
      <c r="Q110" s="14">
        <f t="shared" si="49"/>
        <v>6588</v>
      </c>
      <c r="R110" s="5"/>
      <c r="S110" s="5"/>
      <c r="T110" s="5"/>
      <c r="U110" s="5"/>
      <c r="V110" s="5"/>
      <c r="W110" s="5"/>
      <c r="X110" s="5"/>
      <c r="Y110" s="5"/>
      <c r="Z110" s="5"/>
      <c r="AA110" s="4"/>
      <c r="AB110" s="4"/>
      <c r="AC110" s="4"/>
      <c r="AD110" s="4"/>
    </row>
    <row r="111" s="1" customFormat="1" ht="102" customHeight="1" spans="1:30">
      <c r="A111" s="20">
        <v>105</v>
      </c>
      <c r="B111" s="45" t="s">
        <v>233</v>
      </c>
      <c r="C111" s="22" t="s">
        <v>234</v>
      </c>
      <c r="D111" s="20" t="s">
        <v>43</v>
      </c>
      <c r="E111" s="23">
        <v>58.2</v>
      </c>
      <c r="F111" s="24">
        <f t="shared" si="50"/>
        <v>882.5</v>
      </c>
      <c r="G111" s="23">
        <f t="shared" ref="G111:G123" si="52">E111*F111</f>
        <v>51361.5</v>
      </c>
      <c r="H111" s="23"/>
      <c r="I111" s="14">
        <f t="shared" ref="I111:I123" si="53">J111*(1+K111)+L111+M111+N111+O111+P111</f>
        <v>882.5</v>
      </c>
      <c r="J111" s="11">
        <v>350</v>
      </c>
      <c r="K111" s="17">
        <v>0.05</v>
      </c>
      <c r="L111" s="11">
        <v>300</v>
      </c>
      <c r="M111" s="11">
        <f>30*5.5+50</f>
        <v>215</v>
      </c>
      <c r="N111" s="11"/>
      <c r="O111" s="15">
        <f t="shared" ref="O111:O123" si="54">(J111*(1+K111)+L111+M111+N111)*$O$1</f>
        <v>0</v>
      </c>
      <c r="P111" s="15">
        <f t="shared" ref="P111:P123" si="55">(J111*(1+K111)+L111+M111+N111+O111)*$P$1</f>
        <v>0</v>
      </c>
      <c r="Q111" s="14">
        <f t="shared" ref="Q111:Q123" si="56">I111*E111</f>
        <v>51361.5</v>
      </c>
      <c r="R111" s="5"/>
      <c r="S111" s="5"/>
      <c r="T111" s="5"/>
      <c r="U111" s="5"/>
      <c r="V111" s="5"/>
      <c r="W111" s="5"/>
      <c r="X111" s="5"/>
      <c r="Y111" s="5"/>
      <c r="Z111" s="5"/>
      <c r="AA111" s="4"/>
      <c r="AB111" s="4"/>
      <c r="AC111" s="4"/>
      <c r="AD111" s="4"/>
    </row>
    <row r="112" s="1" customFormat="1" ht="48" spans="1:30">
      <c r="A112" s="20">
        <v>106</v>
      </c>
      <c r="B112" s="45" t="s">
        <v>235</v>
      </c>
      <c r="C112" s="22" t="s">
        <v>236</v>
      </c>
      <c r="D112" s="20" t="s">
        <v>26</v>
      </c>
      <c r="E112" s="23">
        <v>64.02</v>
      </c>
      <c r="F112" s="24">
        <f t="shared" si="50"/>
        <v>170</v>
      </c>
      <c r="G112" s="23">
        <f t="shared" si="52"/>
        <v>10883.4</v>
      </c>
      <c r="H112" s="23"/>
      <c r="I112" s="14">
        <f t="shared" si="53"/>
        <v>170</v>
      </c>
      <c r="J112" s="11">
        <v>100</v>
      </c>
      <c r="K112" s="17">
        <v>0.05</v>
      </c>
      <c r="L112" s="11">
        <v>50</v>
      </c>
      <c r="M112" s="11">
        <v>15</v>
      </c>
      <c r="N112" s="11"/>
      <c r="O112" s="15">
        <f t="shared" si="54"/>
        <v>0</v>
      </c>
      <c r="P112" s="15">
        <f t="shared" si="55"/>
        <v>0</v>
      </c>
      <c r="Q112" s="14">
        <f t="shared" si="56"/>
        <v>10883.4</v>
      </c>
      <c r="R112" s="5"/>
      <c r="S112" s="5"/>
      <c r="T112" s="5"/>
      <c r="U112" s="5"/>
      <c r="V112" s="5"/>
      <c r="W112" s="5"/>
      <c r="X112" s="5"/>
      <c r="Y112" s="5"/>
      <c r="Z112" s="5"/>
      <c r="AA112" s="4"/>
      <c r="AB112" s="4"/>
      <c r="AC112" s="4"/>
      <c r="AD112" s="4"/>
    </row>
    <row r="113" s="1" customFormat="1" ht="47" customHeight="1" spans="1:30">
      <c r="A113" s="20">
        <v>107</v>
      </c>
      <c r="B113" s="45" t="s">
        <v>237</v>
      </c>
      <c r="C113" s="46" t="s">
        <v>238</v>
      </c>
      <c r="D113" s="20" t="s">
        <v>26</v>
      </c>
      <c r="E113" s="23">
        <v>886.621</v>
      </c>
      <c r="F113" s="24">
        <f t="shared" si="50"/>
        <v>355.6</v>
      </c>
      <c r="G113" s="23">
        <f t="shared" si="52"/>
        <v>315282.4276</v>
      </c>
      <c r="H113" s="23"/>
      <c r="I113" s="14">
        <f t="shared" si="53"/>
        <v>355.6</v>
      </c>
      <c r="J113" s="11">
        <v>280</v>
      </c>
      <c r="K113" s="17">
        <v>0.02</v>
      </c>
      <c r="L113" s="11">
        <v>65</v>
      </c>
      <c r="M113" s="11">
        <v>5</v>
      </c>
      <c r="N113" s="11"/>
      <c r="O113" s="15">
        <f t="shared" si="54"/>
        <v>0</v>
      </c>
      <c r="P113" s="15">
        <f t="shared" si="55"/>
        <v>0</v>
      </c>
      <c r="Q113" s="14">
        <f t="shared" si="56"/>
        <v>315282.4276</v>
      </c>
      <c r="R113" s="5"/>
      <c r="S113" s="5"/>
      <c r="T113" s="5"/>
      <c r="U113" s="5"/>
      <c r="V113" s="5"/>
      <c r="W113" s="5"/>
      <c r="X113" s="5"/>
      <c r="Y113" s="5"/>
      <c r="Z113" s="5"/>
      <c r="AA113" s="4"/>
      <c r="AB113" s="4"/>
      <c r="AC113" s="4"/>
      <c r="AD113" s="4"/>
    </row>
    <row r="114" s="1" customFormat="1" ht="45" customHeight="1" spans="1:30">
      <c r="A114" s="20">
        <v>108</v>
      </c>
      <c r="B114" s="45" t="s">
        <v>239</v>
      </c>
      <c r="C114" s="46" t="s">
        <v>240</v>
      </c>
      <c r="D114" s="20" t="s">
        <v>26</v>
      </c>
      <c r="E114" s="23">
        <v>89.52</v>
      </c>
      <c r="F114" s="24">
        <f t="shared" si="50"/>
        <v>910</v>
      </c>
      <c r="G114" s="23">
        <f t="shared" si="52"/>
        <v>81463.2</v>
      </c>
      <c r="H114" s="23"/>
      <c r="I114" s="14">
        <f t="shared" si="53"/>
        <v>910</v>
      </c>
      <c r="J114" s="11">
        <f t="shared" ref="J114:M114" si="57">J113</f>
        <v>280</v>
      </c>
      <c r="K114" s="11">
        <v>2</v>
      </c>
      <c r="L114" s="11">
        <f t="shared" si="57"/>
        <v>65</v>
      </c>
      <c r="M114" s="11">
        <f t="shared" si="57"/>
        <v>5</v>
      </c>
      <c r="N114" s="11"/>
      <c r="O114" s="15">
        <f t="shared" si="54"/>
        <v>0</v>
      </c>
      <c r="P114" s="15">
        <f t="shared" si="55"/>
        <v>0</v>
      </c>
      <c r="Q114" s="14">
        <f t="shared" si="56"/>
        <v>81463.2</v>
      </c>
      <c r="R114" s="5"/>
      <c r="S114" s="5"/>
      <c r="T114" s="5"/>
      <c r="U114" s="5"/>
      <c r="V114" s="5"/>
      <c r="W114" s="5"/>
      <c r="X114" s="5"/>
      <c r="Y114" s="5"/>
      <c r="Z114" s="5"/>
      <c r="AA114" s="4"/>
      <c r="AB114" s="4"/>
      <c r="AC114" s="4"/>
      <c r="AD114" s="4"/>
    </row>
    <row r="115" s="1" customFormat="1" ht="48" spans="1:30">
      <c r="A115" s="20">
        <v>109</v>
      </c>
      <c r="B115" s="45" t="s">
        <v>241</v>
      </c>
      <c r="C115" s="46" t="s">
        <v>242</v>
      </c>
      <c r="D115" s="20" t="s">
        <v>43</v>
      </c>
      <c r="E115" s="23">
        <v>0</v>
      </c>
      <c r="F115" s="24">
        <f t="shared" si="50"/>
        <v>55.5</v>
      </c>
      <c r="G115" s="23">
        <f t="shared" si="52"/>
        <v>0</v>
      </c>
      <c r="H115" s="23"/>
      <c r="I115" s="14">
        <f t="shared" si="53"/>
        <v>55.5</v>
      </c>
      <c r="J115" s="11">
        <v>25</v>
      </c>
      <c r="K115" s="17">
        <v>0.02</v>
      </c>
      <c r="L115" s="11">
        <v>25</v>
      </c>
      <c r="M115" s="11">
        <v>5</v>
      </c>
      <c r="N115" s="11"/>
      <c r="O115" s="15">
        <f t="shared" si="54"/>
        <v>0</v>
      </c>
      <c r="P115" s="15">
        <f t="shared" si="55"/>
        <v>0</v>
      </c>
      <c r="Q115" s="14">
        <f t="shared" si="56"/>
        <v>0</v>
      </c>
      <c r="R115" s="5"/>
      <c r="S115" s="5"/>
      <c r="T115" s="5"/>
      <c r="U115" s="5"/>
      <c r="V115" s="5"/>
      <c r="W115" s="5"/>
      <c r="X115" s="5"/>
      <c r="Y115" s="5"/>
      <c r="Z115" s="5"/>
      <c r="AA115" s="4"/>
      <c r="AB115" s="4"/>
      <c r="AC115" s="4"/>
      <c r="AD115" s="4"/>
    </row>
    <row r="116" s="1" customFormat="1" ht="48" customHeight="1" spans="1:30">
      <c r="A116" s="20">
        <v>110</v>
      </c>
      <c r="B116" s="45" t="s">
        <v>243</v>
      </c>
      <c r="C116" s="46" t="s">
        <v>244</v>
      </c>
      <c r="D116" s="20" t="s">
        <v>230</v>
      </c>
      <c r="E116" s="23">
        <v>0</v>
      </c>
      <c r="F116" s="24">
        <f t="shared" si="50"/>
        <v>116.7</v>
      </c>
      <c r="G116" s="23">
        <f t="shared" si="52"/>
        <v>0</v>
      </c>
      <c r="H116" s="23"/>
      <c r="I116" s="14">
        <f t="shared" si="53"/>
        <v>116.7</v>
      </c>
      <c r="J116" s="11">
        <v>85</v>
      </c>
      <c r="K116" s="17">
        <v>0.02</v>
      </c>
      <c r="L116" s="11">
        <v>25</v>
      </c>
      <c r="M116" s="11">
        <v>5</v>
      </c>
      <c r="N116" s="11"/>
      <c r="O116" s="15">
        <f t="shared" si="54"/>
        <v>0</v>
      </c>
      <c r="P116" s="15">
        <f t="shared" si="55"/>
        <v>0</v>
      </c>
      <c r="Q116" s="14">
        <f t="shared" si="56"/>
        <v>0</v>
      </c>
      <c r="R116" s="5"/>
      <c r="S116" s="5"/>
      <c r="T116" s="5"/>
      <c r="U116" s="5"/>
      <c r="V116" s="5"/>
      <c r="W116" s="5"/>
      <c r="X116" s="5"/>
      <c r="Y116" s="5"/>
      <c r="Z116" s="5"/>
      <c r="AA116" s="4"/>
      <c r="AB116" s="4"/>
      <c r="AC116" s="4"/>
      <c r="AD116" s="4"/>
    </row>
    <row r="117" s="1" customFormat="1" ht="24" spans="1:30">
      <c r="A117" s="20">
        <v>111</v>
      </c>
      <c r="B117" s="21" t="s">
        <v>223</v>
      </c>
      <c r="C117" s="21" t="s">
        <v>245</v>
      </c>
      <c r="D117" s="20" t="s">
        <v>225</v>
      </c>
      <c r="E117" s="23">
        <v>0</v>
      </c>
      <c r="F117" s="24">
        <f t="shared" si="50"/>
        <v>11</v>
      </c>
      <c r="G117" s="23">
        <f t="shared" si="52"/>
        <v>0</v>
      </c>
      <c r="H117" s="23"/>
      <c r="I117" s="14">
        <f t="shared" si="53"/>
        <v>11</v>
      </c>
      <c r="J117" s="11"/>
      <c r="K117" s="17"/>
      <c r="L117" s="11">
        <v>4</v>
      </c>
      <c r="M117" s="11">
        <v>7</v>
      </c>
      <c r="N117" s="11"/>
      <c r="O117" s="15">
        <f t="shared" si="54"/>
        <v>0</v>
      </c>
      <c r="P117" s="15">
        <f t="shared" si="55"/>
        <v>0</v>
      </c>
      <c r="Q117" s="14">
        <f t="shared" si="56"/>
        <v>0</v>
      </c>
      <c r="R117" s="5"/>
      <c r="S117" s="5"/>
      <c r="T117" s="5"/>
      <c r="U117" s="5"/>
      <c r="V117" s="5"/>
      <c r="W117" s="5"/>
      <c r="X117" s="5"/>
      <c r="Y117" s="5"/>
      <c r="Z117" s="5"/>
      <c r="AA117" s="4"/>
      <c r="AB117" s="4"/>
      <c r="AC117" s="4"/>
      <c r="AD117" s="4"/>
    </row>
    <row r="118" s="1" customFormat="1" ht="25" customHeight="1" spans="1:30">
      <c r="A118" s="12" t="s">
        <v>246</v>
      </c>
      <c r="B118" s="18"/>
      <c r="C118" s="18" t="s">
        <v>19</v>
      </c>
      <c r="D118" s="12"/>
      <c r="E118" s="13"/>
      <c r="F118" s="13"/>
      <c r="G118" s="13">
        <f>SUBTOTAL(9,G6:G117)</f>
        <v>11628493.0628034</v>
      </c>
      <c r="H118" s="13"/>
      <c r="I118" s="11"/>
      <c r="J118" s="11"/>
      <c r="K118" s="11"/>
      <c r="L118" s="11"/>
      <c r="M118" s="11"/>
      <c r="N118" s="11"/>
      <c r="O118" s="11"/>
      <c r="P118" s="11"/>
      <c r="Q118" s="13">
        <f>SUBTOTAL(9,Q6:Q117)</f>
        <v>13024074.4081563</v>
      </c>
      <c r="R118" s="5"/>
      <c r="S118" s="5"/>
      <c r="T118" s="5"/>
      <c r="U118" s="5"/>
      <c r="V118" s="5"/>
      <c r="W118" s="5"/>
      <c r="X118" s="5"/>
      <c r="Y118" s="5"/>
      <c r="Z118" s="5"/>
      <c r="AA118" s="4"/>
      <c r="AB118" s="4"/>
      <c r="AC118" s="4"/>
      <c r="AD118" s="4"/>
    </row>
  </sheetData>
  <autoFilter xmlns:etc="http://www.wps.cn/officeDocument/2017/etCustomData" ref="A3:AD117" etc:filterBottomFollowUsedRange="0">
    <extLst/>
  </autoFilter>
  <mergeCells count="11">
    <mergeCell ref="A1:H1"/>
    <mergeCell ref="A2:H2"/>
    <mergeCell ref="I2:Q2"/>
    <mergeCell ref="A3:A4"/>
    <mergeCell ref="B3:B4"/>
    <mergeCell ref="C3:C4"/>
    <mergeCell ref="D3:D4"/>
    <mergeCell ref="E3:E4"/>
    <mergeCell ref="F3:F4"/>
    <mergeCell ref="G3:G4"/>
    <mergeCell ref="H3:H4"/>
  </mergeCells>
  <printOptions horizontalCentered="1"/>
  <pageMargins left="0.590277777777778" right="0.590277777777778" top="0.590277777777778" bottom="0.590277777777778" header="0.196527777777778" footer="0.196527777777778"/>
  <pageSetup paperSize="9" scale="56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65综合办公楼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叶渭淋</cp:lastModifiedBy>
  <dcterms:created xsi:type="dcterms:W3CDTF">2025-05-20T11:06:00Z</dcterms:created>
  <dcterms:modified xsi:type="dcterms:W3CDTF">2026-05-27T07:54:09Z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A09B22D8535741BF8B7A3751CA9D4755_13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