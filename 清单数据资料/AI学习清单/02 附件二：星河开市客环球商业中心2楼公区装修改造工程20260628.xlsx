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bookViews>
  <sheets>
    <sheet name="2层公区" sheetId="1" r:id="rId1"/>
  </sheets>
  <definedNames>
    <definedName name="_xlnm._FilterDatabase" localSheetId="0" hidden="1">'2层公区'!$A$3:$K$92</definedName>
    <definedName name="_xlnm.Print_Area" localSheetId="0">'2层公区'!$A$1:$K$92</definedName>
    <definedName name="_xlnm.Print_Titles" localSheetId="0">'2层公区'!$1:$3</definedName>
    <definedName name="__QC1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<sst xmlns="http://schemas.openxmlformats.org/spreadsheetml/2006/main" count="267" uniqueCount="189">
  <si>
    <t>星河开市客环球商业中心2楼公区装修改造工程报价清单</t>
  </si>
  <si>
    <t>序号</t>
  </si>
  <si>
    <t>名   称</t>
  </si>
  <si>
    <t>项目特征</t>
  </si>
  <si>
    <t>单位</t>
  </si>
  <si>
    <t>数量</t>
  </si>
  <si>
    <t>综合单价</t>
  </si>
  <si>
    <t>其      中</t>
  </si>
  <si>
    <t>合    价</t>
  </si>
  <si>
    <t>备   注</t>
  </si>
  <si>
    <t>复核工程量</t>
  </si>
  <si>
    <t>成本价</t>
  </si>
  <si>
    <t>主材费</t>
  </si>
  <si>
    <t>主材损耗率</t>
  </si>
  <si>
    <t>人工费</t>
  </si>
  <si>
    <t>辅材费</t>
  </si>
  <si>
    <t>机械费</t>
  </si>
  <si>
    <t>成本合计</t>
  </si>
  <si>
    <t>材料费</t>
  </si>
  <si>
    <t>其他费</t>
  </si>
  <si>
    <t>一、拆除工程</t>
  </si>
  <si>
    <t>墙体拆除</t>
  </si>
  <si>
    <t>1.材质：红砖、灰砂砖、加气砌块、集成墙板等实体砖墙
2.墙厚综合考虑
3.综合考虑表面有附加层
4.含砌体墙中的圈梁、构造柱等二次构件拆除
5.含墙体、墙面中的管线、开关插座面板等一起拆除，不另算          
6.场地清理，废料场内运输
7.破坏性拆除废料自行处置（垃圾外运另算）</t>
  </si>
  <si>
    <t>m3</t>
  </si>
  <si>
    <t>二、墙体工程</t>
  </si>
  <si>
    <t>砌块墙</t>
  </si>
  <si>
    <t>1.材质：轻质砌块砖；
2.厚度：综合考虑；
3.粘结材料：水泥砂浆；
4.含砖砌所需拉结筋、过梁、门柱等费用
5.含脚手架或梯子等高空作业措施费。</t>
  </si>
  <si>
    <t>圈梁</t>
  </si>
  <si>
    <t>1.种类：商品混凝土/现场拌制                 
2.强度等级：C25或更高规格         
3.钢筋种类、规格：满足规范要求                      
4.含模板制作、安装、拆除
5.含脚手架或梯子等高空作业措施费。</t>
  </si>
  <si>
    <t>m</t>
  </si>
  <si>
    <t>构造柱</t>
  </si>
  <si>
    <t>1.混凝土种类：商品混凝土/现场拌制              
2.混凝土强度等级：C25或更高规格         
3.钢筋种类、规格：满足规范要求
4.含钢筋及模板制作、安装、拆除</t>
  </si>
  <si>
    <t>墙面抹灰</t>
  </si>
  <si>
    <t>1.墙面抹灰                         
2.砂浆配合比：1:3水泥砂浆
3.含墙面交接处挂钢丝网等       
4.要求表面光滑、洁净，接茬平整
5.含脚手架或梯子等高空作业措施费。
6.包含新墙体抹灰及隔墙拆除部分的抹灰修补</t>
  </si>
  <si>
    <t>m2</t>
  </si>
  <si>
    <t>轻钢龙骨石膏板墙</t>
  </si>
  <si>
    <t>1  φ12膨胀螺栓固定，轻钢龙骨75型、38毫米穿心龙骨；
2 一面单层9mm厚石膏板，一面12mm厚阻燃夹板
面层具体见图示；
3 满填隔音棉（密度：80kg/m3）
4.墙体厚度：100mm</t>
  </si>
  <si>
    <t>三、地面工程</t>
  </si>
  <si>
    <t>卫生间及过道地面回填抬高</t>
  </si>
  <si>
    <t>1.陶粒混凝土回填、平整；
2.厚度综合考虑；
3.场地清理</t>
  </si>
  <si>
    <t>卫生间地面涂膜防水（槽底及贴砖底各两遍）</t>
  </si>
  <si>
    <t>1.基层处理：1：3水泥砂浆找平层
2.防水膜品种：聚氨酯防水涂膜（黑豹或同档次品牌
3.涂膜厚度、遍数：防水厚1.5mm，2遍
4.闭水试验时间：48-72个小时
5.质保期：五年</t>
  </si>
  <si>
    <t>卫生间地面卷材防水</t>
  </si>
  <si>
    <t>1.基层处理：1：3水泥砂浆找平层
2.防水膜品种：自粘式防水卷材
3.延墙边上翻300mm
4.闭水试验时间：48-72个小时
5.质保期：五年</t>
  </si>
  <si>
    <t>600*1200mm灰色地砖地面</t>
  </si>
  <si>
    <t>1.水泥砂浆找平，厚度综合考虑；
2.600*1200mm灰色地砖铺贴,CP-01，样板需经甲方确认；
3.专业勾缝剂勾缝。
4.磨光、酸洗、打蜡、晶面处理要求：达到美观、靓丽。符合审美效果</t>
  </si>
  <si>
    <t>800*800mm防滑地砖地面</t>
  </si>
  <si>
    <t>1.水泥砂浆找平，厚度综合考虑；
2.800*800mm防滑地砖铺贴,CP-02，样板需经甲方确认；
3.专业勾缝剂勾缝。
4.磨光、酸洗、打蜡、晶面处理要求：达到美观、靓丽。符合审美效果</t>
  </si>
  <si>
    <t>灰色大理石门槛石</t>
  </si>
  <si>
    <t>1.找平层：1：3水泥砂浆，厚度综合考虑                  
2.面层：灰色大理石，常规综合厚度 
3.嵌缝材料：白水泥、填缝剂、美缝剂                        
4.防护材料：水剂型、溶剂型、渗透型、密封型防护材料
5.磨光、酸洗、打蜡、晶面处理要求：达到美观、靓丽。符合审美效果</t>
  </si>
  <si>
    <t>四、天棚工程</t>
  </si>
  <si>
    <t>石膏板吊顶天棚</t>
  </si>
  <si>
    <t>1.面层9mm厚石膏板（卫生间9mm防水石膏板）（密度：700kg/m3），自攻螺丝拧牢；
2.基层9mm厚石膏板（密度：700kg/m3）；
3.φ8钢筋吊杆，双向中距900~1200，与角钢焊接；CS50系列轻钢龙骨标准骨架，主龍骨50*20mm中距900~1000，次龍骨60*20@400mm，横撑龙骨中距900；
4.包括但不限于立板、跌级侧板、压条、收边条、收口、封口、灯孔、风口、检查口等一切机电设备之开孔、加固等；
5.含检查口制作安装；
6.满足设计图纸、招标文件及施工规范要求。</t>
  </si>
  <si>
    <t>吊顶天棚（不锈钢板）</t>
  </si>
  <si>
    <t>1.形式：Φ8吊杆                        
2.龙骨材料：轻钢龙骨
3.基层：阻燃夹板基层
3.面层：不锈钢板面层
4.含一切机电设备之开孔、加固等
5.含脚手架或梯子等高空作业措施费。</t>
  </si>
  <si>
    <t>灯槽
（不含光源）</t>
  </si>
  <si>
    <t xml:space="preserve">1.吊顶形式、吊杆规格：Φ8吊杆                 
2.基层材料：木夹板加石膏板               
3.刮腻子、刷乳胶漆
4.墙面清理干净                  </t>
  </si>
  <si>
    <t>消防排烟口百叶</t>
  </si>
  <si>
    <t>1.名称:消防排烟百叶
2.宽度:300
3.百叶材质：铝合金
4.详见招标文件、图纸及相关规范</t>
  </si>
  <si>
    <t>吊顶油漆</t>
  </si>
  <si>
    <t>1.孔眼涂抹防锈漆、专用填缝腻子抹平孔 眼与板缝；
2.刮腻子批灰打磨2遍；
3.耐擦洗乳胶漆一底二面；</t>
  </si>
  <si>
    <t>原顶油漆</t>
  </si>
  <si>
    <t>1 原顶基面清理、喷白色乳胶漆三遍
2 工程量为投影面积，综合单价综合考虑墙、梁侧面及管道因素。</t>
  </si>
  <si>
    <t>五、墙柱面工程</t>
  </si>
  <si>
    <t>公区600*1200mm灰色瓷砖墙面</t>
  </si>
  <si>
    <t>1.安装方式：瓷砖专用粘结剂胶贴
2.面层：600*1200mm灰色瓷砖CT-01，样板需经甲方确认；
3.嵌缝材料：白水泥、填缝剂、美缝剂                        
4.防护材料：水剂型、溶剂型、渗透型、密封型防护材料
5.磨光、酸洗、打蜡要求：达到美观、靓丽。符合审美效果</t>
  </si>
  <si>
    <t>卫生间600*1200mm灰色瓷砖墙面</t>
  </si>
  <si>
    <t>卫生间墙面防水</t>
  </si>
  <si>
    <t>1.基层处理：刷素水泥浆一道
2.防水膜品种：聚氨酯防水涂膜（黑豹或同档次品牌
3.涂膜厚度、遍数：防水厚1.5mm，2遍
4.质保期：五年</t>
  </si>
  <si>
    <t>卫生间银镜底灰色人造石墙面（湿贴）</t>
  </si>
  <si>
    <t>1.安装方式：1：3水泥砂浆湿贴或胶泥湿贴
2.面层：灰色人造石CT-03，常规综合厚度
3.嵌缝材料：白水泥、填缝剂、美缝剂                        
4.防护材料：水剂型、溶剂型、渗透型、密封型防护材料
5.磨光、酸洗、打蜡要求：达到美观、靓丽。符合审美效果</t>
  </si>
  <si>
    <t>电梯门3M贴膜</t>
  </si>
  <si>
    <t>1.清理金属表面
2.贴膜作业
3.清理现场</t>
  </si>
  <si>
    <t>管井暗门制作</t>
  </si>
  <si>
    <t>1.门扇材料种类：管井暗门
2.镀锌型钢骨架           
3.含门锁、合页、铰链、自弹器等五金配件
4.面挂贴600*1200灰色瓷砖CT-01，内侧墙面白色乳胶漆
5.1.0厚白色铝边条</t>
  </si>
  <si>
    <t>不锈钢饰面</t>
  </si>
  <si>
    <t>1.墙面清理干净                                   
2.基层：木龙骨+9mm阻燃夹板基层                            
3.面层：1.2不锈钢饰面MT-01
4.门套及墙面饰面
5.含电梯顶部亚克力灯位</t>
  </si>
  <si>
    <t>白色乳胶漆墙面（电梯厅、走道等原天花喷漆区域墙面）</t>
  </si>
  <si>
    <t>1.墙面清理干净                  
2.腻子种类：普通腻子                           
3.刮腻子遍数：二遍                  
4.品种、刷漆遍数：一遍底漆、二遍面漆PT-01
5.含脚手架或梯子等高空作业措施费。</t>
  </si>
  <si>
    <t>金属踢脚线</t>
  </si>
  <si>
    <t>1.踢脚线高度：50mm              
2.基层:9mm厚木夹板                                                          
3.面层:304#不锈钢MT-01，常规综合厚度</t>
  </si>
  <si>
    <t>灰色人造大理石洗手台（无柜）</t>
  </si>
  <si>
    <t>1.灰色人造大理石台面CT-03，侧面抗倍特板
2.镀锌型钢骨架,，膨胀螺栓固定;
3.含不锈钢板垃圾桶托板MT-01
4.具体做法详见施工图纸。</t>
  </si>
  <si>
    <t>银镜（带框）</t>
  </si>
  <si>
    <t>1.镀锌型钢骨架，9mm木夹板基层
2.银镜玻璃安装 常规综合厚度
3.不锈钢条收边 40mm宽
4.内藏不锈钢纸巾盒</t>
  </si>
  <si>
    <t>小便斗隔断</t>
  </si>
  <si>
    <t>1.成品隔断安装
2.材质：抗倍特板WD-01 常规综合厚度</t>
  </si>
  <si>
    <t>个</t>
  </si>
  <si>
    <t>厕所成品隔断</t>
  </si>
  <si>
    <t>1.厕所成品隔断安装
2.材质：抗倍特板WD-01 常规综合厚度</t>
  </si>
  <si>
    <t>套</t>
  </si>
  <si>
    <t>公区走道两端临时固定围挡</t>
  </si>
  <si>
    <t>1.龙骨材料种类：规格：专用安全围挡钢管                          
2.面层材料种类、规格：9mm厚木夹板</t>
  </si>
  <si>
    <t>六、门窗工程</t>
  </si>
  <si>
    <t>定制单开门</t>
  </si>
  <si>
    <t>1.门规格：1000*2800mm 单开门及门框
2.含成品门把手、铰链、锁、门吸、闭门器等相关五金；
3.底部做防潮处理
4.材质及颜色需经甲方确认；
5.详见大样图D-07-14</t>
  </si>
  <si>
    <t>樘</t>
  </si>
  <si>
    <t>1.门规格：700*2800mm 单开门及门框
2.含成品门把手、铰链、锁、门吸、闭门器等相关五金；
3.底部做防潮处理
4.材质及颜色需经甲方确认；
5.详见大样图D-07-14</t>
  </si>
  <si>
    <t>钢制防火门</t>
  </si>
  <si>
    <t>1.门规格：钢制防火门；                                      
2.防火等级：甲级              
3.含门框、门套、门锁、合页、门拉手、闭门器等五金配件</t>
  </si>
  <si>
    <t>七、强电工程</t>
  </si>
  <si>
    <t>钢制配电箱（半周长小于1.5M)</t>
  </si>
  <si>
    <t>1 钢制配电箱（箱体采购及安装）
3 安装方式:明装
4 由投标单位看现场 ，综合考虑进线电线费用
5 详见招标文件、图纸及相关规范</t>
  </si>
  <si>
    <t>台</t>
  </si>
  <si>
    <t>电子式电能表（三相）</t>
  </si>
  <si>
    <t xml:space="preserve">1.名称：三相电子式电能表          
2.额定电压：220V               
3.显示方式：LCD、LED                                   </t>
  </si>
  <si>
    <t>品牌：正泰</t>
  </si>
  <si>
    <t>配电箱元器件C63/3P
C型</t>
  </si>
  <si>
    <t>1 配电箱元器件采购及安装C63/3P
2 安装方式:配电箱内安装
3 由投标单位看现场 ，综合考虑进线电线费用
4 详见招标文件、图纸及相关规范</t>
  </si>
  <si>
    <t>配电箱元器件C32A/1P 带漏保
C型</t>
  </si>
  <si>
    <t>1 配电箱元器件采购及安装C32A/1P 带漏保
2 安装方式:配电箱内安装
3 由投标单位看现场 ，综合考虑进线电线费用
4 详见招标文件、图纸及相关规范</t>
  </si>
  <si>
    <t>配电箱元器件C20A/1P
C型</t>
  </si>
  <si>
    <t>1 新增配电箱元器件采购及安装C20A/1P
2 安装方式:配电箱内安装
3 由投标单位看现场 ，综合考虑进线电线费用
4 详见招标文件、图纸及相关规范</t>
  </si>
  <si>
    <t>配管</t>
  </si>
  <si>
    <t>1 规格型号：JDG20
2 敷设方式:综合考虑，包括但不限于天花内、沿墙面、地面敷设包含剔槽及修复等一切相关工序内容；
3 包含管道、接线盒、直接等一切配件；
4 详见招标文件、图纸及相关规范</t>
  </si>
  <si>
    <t>配线</t>
  </si>
  <si>
    <t>1 配线WDZB-BYJ-4
2 配线形式:沿桥架或管内穿线；                               3 含接线端子提供及安装
4.详见招标文件、图纸及相关规范</t>
  </si>
  <si>
    <t>1 配线.WDZB-BYJ-2.5
2 配线形式:沿桥架或管内穿线；                               3 含接线端子提供及安装
4.详见招标文件、图纸及相关规范</t>
  </si>
  <si>
    <t>插座</t>
  </si>
  <si>
    <t>1.防溅插座；
2 含材料、安装、配件及含钢制暗装线盒；
3 详见招标文件、图纸及相关规范；</t>
  </si>
  <si>
    <t>1.五孔插座，不带开关；
2 含材料、安装、配件及含钢制暗装线盒；
3 详见招标文件、图纸及相关规范；</t>
  </si>
  <si>
    <t>暗装
LED天花筒灯</t>
  </si>
  <si>
    <t>1 嵌入式筒灯
2 含材料、安装、钢制暗装线盒及配件；
3 功率LED 12W 4000K
4 详见招标文件、灯具物料表、图纸及相关规范</t>
  </si>
  <si>
    <t>普通灯具</t>
  </si>
  <si>
    <t>1 长条形灯盘200*1200（吊线）
2 含材料、吊线安装、钢制暗装线盒及配件；
3 功率40W、色温5700K
4 详见招标文件、灯具物料表、图纸及相关规范</t>
  </si>
  <si>
    <t>LED灯带
（含变压器）</t>
  </si>
  <si>
    <t xml:space="preserve">1.名称：LED灯带 （含变压器）                  
2.寿命：50000（H）以上                             
3.功率 4W/m                     </t>
  </si>
  <si>
    <t>照明开关</t>
  </si>
  <si>
    <t>1.单控单联开关250V  10A；
2 含材料、安装、配件及含钢制暗装线盒；
3 详见招标文件、图纸及相关规范；</t>
  </si>
  <si>
    <t>1.单控双联开关250V  10A；
2 含材料、安装、配件及含钢制暗装线盒；
3 详见招标文件、图纸及相关规范；</t>
  </si>
  <si>
    <t>1.单控三联开关250V  10A；
2 含材料、安装、配件及含钢制暗装线盒；
3 详见招标文件、图纸及相关规范；</t>
  </si>
  <si>
    <t>八、给排水工程</t>
  </si>
  <si>
    <t>塑料管（DN40）</t>
  </si>
  <si>
    <t xml:space="preserve">1.介质：给水                    
2.材质、规格：PP-R冷热给水管                          
3.连接形式：热熔连接             
4.压力试验及吹、洗设计要求：达到国标规定要求
5.含所有塑料管穿墙板打孔及洞口收边修复
6.含支吊架制安                      </t>
  </si>
  <si>
    <t>塑料管（DN25）</t>
  </si>
  <si>
    <t>塑料管（DN100）</t>
  </si>
  <si>
    <t xml:space="preserve">1.安装部位：室内、室外          
2.介质：排水                    
3.材质、规格：UUPVC/PVC排水管、DN100                              
4.连接形式：密封胶圈连接、粘接连接、法兰连接                  
5.压力试验及吹、洗设计要求：达到国标规定要求
6.含所有塑料管穿墙板打孔及洞口收边修复及新旧管连接
7.含支吊架制安                     </t>
  </si>
  <si>
    <t>塑料管（DN75）</t>
  </si>
  <si>
    <t xml:space="preserve">1.安装部位：室内、室外          
2.介质：排水                    
3.材质、规格：UUPVC/PVC排水管、DN75                              
4.连接形式：密封胶圈连接、粘接连接、法兰连接                  
5.压力试验及吹、洗设计要求：达到国标规定要求
6.含所有塑料管穿墙板打孔及洞口收边修复及新旧管连接
7.含支吊架制安                     </t>
  </si>
  <si>
    <t>塑料管（DN50）</t>
  </si>
  <si>
    <t xml:space="preserve">1.介质：排水                    
2.材质、规格：UUPVC/PVC排水管  DN50                       
3.连接形式：密封胶圈连接、粘接连接、法兰连接                  
4.压力试验及吹、洗设计要求：达到国标规定要求
5.含所有塑料管穿墙板打孔及洞口收边修复DN75及新旧管连接 
6.含支吊架制安                     </t>
  </si>
  <si>
    <t>污水提升泵</t>
  </si>
  <si>
    <t>1.设备采购安装
2.功率、扬程综合考虑</t>
  </si>
  <si>
    <t>水表（DN40）</t>
  </si>
  <si>
    <t>1.材质：碳钢机械式水表                 
2.安装部位：室内、室外          
3.型号、规格：DN40           
4.连接形式：螺纹或法兰            
5.消防局认可</t>
  </si>
  <si>
    <t>截止阀（DN40）</t>
  </si>
  <si>
    <t>1.材质：铜截止阀                   
2.规格：DN40                
3.连接形式：焊接连接、螺纹连接、卡箍沟槽连接、法兰连接</t>
  </si>
  <si>
    <t>地漏</t>
  </si>
  <si>
    <t>1.材质：不锈钢                    
2.规格、类型：防臭地漏</t>
  </si>
  <si>
    <t>感应小便斗（感应）</t>
  </si>
  <si>
    <t>1.安装成品小便斗（含感应器）
2.含人工、材料、安装调试、辅材等所有费用
3.品牌型号需经甲方确认</t>
  </si>
  <si>
    <t>马桶</t>
  </si>
  <si>
    <t>1.安装成品马桶
2.含人工、材料、安装调试、辅材等所有费用
3.含角阀、软管、存水弯及配件制安
4.品牌型号需经甲方确认</t>
  </si>
  <si>
    <t>蹲便器</t>
  </si>
  <si>
    <t>1.安装成品蹲便器（含冲水水箱）
2.含人工、材料、安装调试、辅材等所有费用
3.含角阀、软管、存水弯及配件制安
4.品牌型号需经甲方确认</t>
  </si>
  <si>
    <t>洗手盆</t>
  </si>
  <si>
    <t>1.成品洗手盆及辅材安装
2.含人工、材料、安装调试、辅材等所有费用
3.品牌型号需经甲方确认</t>
  </si>
  <si>
    <t>感应水龙头安装</t>
  </si>
  <si>
    <t>1.感应水龙头安装
2.规格：常用款，综合考虑
3.含角阀、软管、存水弯及配件制安</t>
  </si>
  <si>
    <t>拖把池</t>
  </si>
  <si>
    <t>1.成品陶瓷拖把池及辅材安装
2.含人工、材料、安装调试、辅材等所有费用</t>
  </si>
  <si>
    <t>拖把池水龙头</t>
  </si>
  <si>
    <t>1.材料名称：不锈钢水龙头
2.安装部位：一般用水处
3.含人工、材料、安装调试、辅材等所有费用
4.含所有安装配件</t>
  </si>
  <si>
    <t>成品置物架兼纸巾盒（透明+锁扣）</t>
  </si>
  <si>
    <t>1.材质：不锈钢、塑料                    
2.规格、类型：成品置物架兼纸巾盒
3.含人工、材料、安装调试、辅材等所有费用</t>
  </si>
  <si>
    <t>九、空调工程</t>
  </si>
  <si>
    <t>空调末端机拆除</t>
  </si>
  <si>
    <t>1.材质:空调室内机保护性拆除，管道封堵；
2.设备支架拆除
3.其他配套工作等</t>
  </si>
  <si>
    <t>风管拆除</t>
  </si>
  <si>
    <t>1.材质:镀锌铁皮风管拆除
2.型号、规格:0.5~1.0MM
3.工作内容：含支吊架及保温层拆除</t>
  </si>
  <si>
    <t>原空调末端机重新安装（设备利旧）</t>
  </si>
  <si>
    <t>1.名称:风管式室内机FP-110\FP-106
2.安装方式:吊顶安装
3.设备支架制作安装
4.设备支架除锈刷油
5.详见招标文件、图纸及相关规范         
6.包含配套水管、水管保温、电源控制、信号管线敷设及接驳、添加冷媒、系统调试、图纸深化等一切工作内容</t>
  </si>
  <si>
    <t>碳钢通风管道</t>
  </si>
  <si>
    <t>1.名称:镀锌钢板
2.形状:矩形
3.板材厚度:0.75mm~1mm
4.含管道、管件、法兰、弯头、导流叶片支吊架制安及防锈刷漆
5.保温:25mm厚难燃B1级橡塑保温材料
6.风管支吊架制作安装
7.风管支吊架除锈刷油
8.其他：详见招标文件、图纸及相关规范
9.包含系统调试、等一切工作内容</t>
  </si>
  <si>
    <t>M2</t>
  </si>
  <si>
    <t>单层百叶</t>
  </si>
  <si>
    <t>1.名称:送、回风口
2.型号:1000*200
3.包含系统调试、等一切工作内容
4.详见招标文件、图纸及相关规范</t>
  </si>
  <si>
    <t>空调开关</t>
  </si>
  <si>
    <t>1.空调控制面板；
2 含材料、安装、配件及含钢制暗装线盒；
3 详见招标文件、图纸及相关规范；</t>
  </si>
  <si>
    <t>十、其他</t>
  </si>
  <si>
    <t>措施费</t>
  </si>
  <si>
    <t>1.赶工费、夜间施工费、加班费、成品保护费，材料二次转运费、垃圾清理外运、高空作业增加费等；
2.安全文明措施费、临水临电等费用；
3.施工所需脚手架、模板等费用；
4.街道/社区报建备案所需费用；
5.工程完工验收前清洁费；
6.费用包干，结算不因签证变更而调整。</t>
  </si>
  <si>
    <t>项</t>
  </si>
  <si>
    <t>不含税小计</t>
  </si>
  <si>
    <t>税 金</t>
  </si>
  <si>
    <t>黄色框填税率</t>
  </si>
  <si>
    <t>含税合计</t>
  </si>
  <si>
    <r>
      <rPr>
        <sz val="9"/>
        <rFont val="微软雅黑"/>
        <charset val="134"/>
      </rPr>
      <t>备注：
1.本次报价以图纸、承包范围、技术规范、合同条款、招标文件等约定</t>
    </r>
    <r>
      <rPr>
        <b/>
        <sz val="9"/>
        <color rgb="FFFF0000"/>
        <rFont val="微软雅黑"/>
        <charset val="134"/>
      </rPr>
      <t>总价包干</t>
    </r>
    <r>
      <rPr>
        <sz val="9"/>
        <rFont val="微软雅黑"/>
        <charset val="134"/>
      </rPr>
      <t xml:space="preserve">。包工、包料、包安全、包质量、包工期、包配合、包施工现场及运输通道的环境卫生等一切费用。投标单位须仔细勘查施工现场，自行评估施工难度并制定可行的施工计划。报价时各报价单位已完全复核清单与图纸、承包范围、技术规范、合同条款、招标文件等约定的符合性，同时各报价单位已仔细复核了报价清单的计算、合计、汇总等计算的正确性。以上各报价单位已完全清楚并已充分考虑在报价及其总价中，无论清单中是否漏项漏量，计算、合计、汇总等是否正确，均视为已包含在其他报价和报价总价中，施工中和结算时均不予调整。本报价清单仅供各报价单位参考，各报价单位负有复核、检查和最终承担的责任，如发现报价清单包括但不限于以上的错误，各报价单位不应自行修改，须以答疑的方式向发包方提出，由发包方判断并修正报价清单后重新发出。除按本合同约定办理的设计变更或按本合同约定办理的有效现场签证外，结算时一律不予调整。
2.报价中综合单价包含但不限于主材、辅材、人工费、机械费、水电费、检验试验费、运费、搬运费、保险、企业管理费、规费、损耗、利润等达到图纸、招标人的技术要求所需的一切费用；水电费由中标单位自行承担缴纳。
</t>
    </r>
    <r>
      <rPr>
        <sz val="9"/>
        <color rgb="FFFF0000"/>
        <rFont val="微软雅黑"/>
        <charset val="134"/>
      </rPr>
      <t>3.本项目不包含消防、排油烟、智能化项目。</t>
    </r>
  </si>
  <si>
    <t>伍拾玖万壹仟陆佰零玖元伍角玖分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</si>
</sst>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2]* #,##0.00_ ;_ [$€-2]* \-#,##0.00_ ;_ [$€-2]* &quot;-&quot;??_ "/>
    <numFmt numFmtId="177" formatCode="0.00_ "/>
    <numFmt numFmtId="178" formatCode="0.00_);[Red]\(0.00\)"/>
    <numFmt numFmtId="179" formatCode="&quot;1.税率：&quot;.0%"/>
  </numFmts>
  <fonts count="38">
    <font>
      <sz val="11"/>
      <color theme="1"/>
      <name val="宋体"/>
      <charset val="134"/>
      <scheme val="minor"/>
    </font>
    <font>
      <sz val="9"/>
      <color theme="1"/>
      <name val="微软雅黑"/>
      <charset val="134"/>
    </font>
    <font>
      <sz val="9"/>
      <color theme="1"/>
      <name val="宋体"/>
      <charset val="134"/>
      <scheme val="minor"/>
    </font>
    <font>
      <sz val="9"/>
      <name val="微软雅黑"/>
      <charset val="134"/>
    </font>
    <font>
      <b/>
      <sz val="9"/>
      <name val="微软雅黑"/>
      <charset val="134"/>
    </font>
    <font>
      <sz val="9"/>
      <name val="宋体"/>
      <charset val="134"/>
    </font>
    <font>
      <sz val="9"/>
      <color theme="1"/>
      <name val="宋体"/>
      <charset val="134"/>
    </font>
    <font>
      <b/>
      <sz val="16"/>
      <color theme="1"/>
      <name val="宋体"/>
      <charset val="134"/>
      <scheme val="minor"/>
    </font>
    <font>
      <sz val="9"/>
      <color rgb="FF000000"/>
      <name val="宋体"/>
      <charset val="134"/>
    </font>
    <font>
      <b/>
      <sz val="9"/>
      <color theme="1"/>
      <name val="宋体"/>
      <charset val="134"/>
      <scheme val="minor"/>
    </font>
    <font>
      <sz val="9"/>
      <name val="宋体"/>
      <charset val="134"/>
      <scheme val="minor"/>
    </font>
    <font>
      <sz val="9"/>
      <color indexed="8"/>
      <name val="宋体"/>
      <charset val="134"/>
    </font>
    <font>
      <sz val="9"/>
      <name val="黑体"/>
      <charset val="134"/>
    </font>
    <font>
      <sz val="9"/>
      <color theme="1"/>
      <name val="黑体"/>
      <charset val="134"/>
    </font>
    <font>
      <b/>
      <sz val="9"/>
      <name val="宋体"/>
      <charset val="134"/>
    </font>
    <font>
      <b/>
      <sz val="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b/>
      <sz val="9"/>
      <color rgb="FFFF0000"/>
      <name val="微软雅黑"/>
      <charset val="134"/>
    </font>
    <font>
      <sz val="9"/>
      <color rgb="FFFF0000"/>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14"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5" applyNumberFormat="0" applyFill="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3" fillId="0" borderId="0" applyNumberFormat="0" applyFill="0" applyBorder="0" applyAlignment="0" applyProtection="0">
      <alignment vertical="center"/>
    </xf>
    <xf numFmtId="0" fontId="24" fillId="3" borderId="17" applyNumberFormat="0" applyAlignment="0" applyProtection="0">
      <alignment vertical="center"/>
    </xf>
    <xf numFmtId="0" fontId="25" fillId="4" borderId="18" applyNumberFormat="0" applyAlignment="0" applyProtection="0">
      <alignment vertical="center"/>
    </xf>
    <xf numFmtId="0" fontId="26" fillId="4" borderId="17" applyNumberFormat="0" applyAlignment="0" applyProtection="0">
      <alignment vertical="center"/>
    </xf>
    <xf numFmtId="0" fontId="27" fillId="5" borderId="19" applyNumberFormat="0" applyAlignment="0" applyProtection="0">
      <alignment vertical="center"/>
    </xf>
    <xf numFmtId="0" fontId="28" fillId="0" borderId="20" applyNumberFormat="0" applyFill="0" applyAlignment="0" applyProtection="0">
      <alignment vertical="center"/>
    </xf>
    <xf numFmtId="0" fontId="29" fillId="0" borderId="21"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176" fontId="35" fillId="0" borderId="0">
      <alignment vertical="center"/>
    </xf>
    <xf numFmtId="0" fontId="35" fillId="0" borderId="0">
      <alignment vertical="center"/>
    </xf>
    <xf numFmtId="0" fontId="0" fillId="0" borderId="0">
      <alignment vertical="center"/>
    </xf>
  </cellStyleXfs>
  <cellXfs count="98">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3" fillId="0" borderId="0" xfId="0" applyFont="1" applyFill="1">
      <alignment vertical="center"/>
    </xf>
    <xf numFmtId="176" fontId="4" fillId="0" borderId="0" xfId="49" applyNumberFormat="1" applyFont="1" applyFill="1" applyBorder="1" applyAlignment="1" applyProtection="1">
      <alignment horizontal="center" vertical="center" wrapText="1"/>
      <protection hidden="1"/>
    </xf>
    <xf numFmtId="0" fontId="5" fillId="0" borderId="0" xfId="0" applyFont="1" applyFill="1" applyBorder="1" applyAlignment="1">
      <alignment horizontal="center" vertical="center" wrapText="1"/>
    </xf>
    <xf numFmtId="0" fontId="1" fillId="0" borderId="0" xfId="0" applyFont="1" applyFill="1" applyAlignment="1">
      <alignment vertical="center" wrapText="1"/>
    </xf>
    <xf numFmtId="177" fontId="6" fillId="0" borderId="0" xfId="0" applyNumberFormat="1" applyFont="1" applyFill="1" applyAlignment="1">
      <alignment horizontal="center" vertical="center" wrapText="1"/>
    </xf>
    <xf numFmtId="10" fontId="6" fillId="0" borderId="0" xfId="0" applyNumberFormat="1" applyFont="1" applyFill="1" applyAlignment="1">
      <alignment horizontal="center" vertical="center" wrapText="1"/>
    </xf>
    <xf numFmtId="177" fontId="6" fillId="0" borderId="0" xfId="0" applyNumberFormat="1" applyFont="1" applyFill="1" applyAlignment="1">
      <alignment vertical="center" wrapText="1"/>
    </xf>
    <xf numFmtId="177" fontId="6" fillId="0" borderId="0" xfId="0" applyNumberFormat="1" applyFont="1" applyFill="1">
      <alignment vertical="center"/>
    </xf>
    <xf numFmtId="177" fontId="1" fillId="0" borderId="0" xfId="0" applyNumberFormat="1" applyFont="1" applyFill="1">
      <alignment vertical="center"/>
    </xf>
    <xf numFmtId="0" fontId="7" fillId="0" borderId="0" xfId="0" applyFont="1" applyFill="1" applyBorder="1" applyAlignment="1">
      <alignment horizontal="center" vertical="center"/>
    </xf>
    <xf numFmtId="0" fontId="7" fillId="0" borderId="0" xfId="0" applyFont="1" applyFill="1" applyBorder="1" applyAlignment="1">
      <alignment horizontal="center" vertical="center" wrapText="1"/>
    </xf>
    <xf numFmtId="10" fontId="8" fillId="0" borderId="0" xfId="3" applyNumberFormat="1" applyFont="1" applyFill="1" applyAlignment="1">
      <alignment horizontal="center" vertical="center" wrapText="1"/>
    </xf>
    <xf numFmtId="177" fontId="8" fillId="0" borderId="0" xfId="0" applyNumberFormat="1" applyFont="1" applyFill="1" applyAlignment="1">
      <alignment horizontal="center" vertical="center" wrapText="1"/>
    </xf>
    <xf numFmtId="10" fontId="8" fillId="0" borderId="0" xfId="0" applyNumberFormat="1" applyFont="1" applyFill="1" applyAlignment="1">
      <alignment horizontal="center" vertical="center" wrapText="1"/>
    </xf>
    <xf numFmtId="0" fontId="9" fillId="0" borderId="1" xfId="0" applyFont="1" applyFill="1" applyBorder="1" applyAlignment="1">
      <alignment horizontal="center" vertical="center"/>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177" fontId="6" fillId="0" borderId="4" xfId="0" applyNumberFormat="1" applyFont="1" applyFill="1" applyBorder="1" applyAlignment="1" applyProtection="1">
      <alignment horizontal="center" vertical="center" wrapText="1"/>
    </xf>
    <xf numFmtId="177" fontId="6" fillId="0" borderId="4" xfId="0" applyNumberFormat="1" applyFont="1" applyFill="1" applyBorder="1" applyAlignment="1" applyProtection="1">
      <alignment horizontal="center" vertical="center" wrapText="1"/>
      <protection locked="0"/>
    </xf>
    <xf numFmtId="10" fontId="6" fillId="0" borderId="4" xfId="0" applyNumberFormat="1" applyFont="1" applyFill="1" applyBorder="1" applyAlignment="1" applyProtection="1">
      <alignment horizontal="center" vertical="center" wrapText="1"/>
      <protection locked="0"/>
    </xf>
    <xf numFmtId="0" fontId="9" fillId="0" borderId="5" xfId="0" applyFont="1" applyFill="1" applyBorder="1" applyAlignment="1">
      <alignment horizontal="center" vertical="center"/>
    </xf>
    <xf numFmtId="0" fontId="9" fillId="0" borderId="4" xfId="0" applyFont="1" applyFill="1" applyBorder="1" applyAlignment="1">
      <alignment horizontal="center" vertical="center" wrapText="1"/>
    </xf>
    <xf numFmtId="0" fontId="9" fillId="0" borderId="6" xfId="0" applyFont="1" applyFill="1" applyBorder="1" applyAlignment="1">
      <alignment horizontal="center" vertical="center" wrapText="1"/>
    </xf>
    <xf numFmtId="177" fontId="6" fillId="0" borderId="0" xfId="0" applyNumberFormat="1" applyFont="1" applyFill="1" applyAlignment="1" applyProtection="1">
      <alignment horizontal="center" vertical="center" wrapText="1"/>
    </xf>
    <xf numFmtId="177" fontId="6" fillId="0" borderId="0" xfId="0" applyNumberFormat="1" applyFont="1" applyFill="1" applyAlignment="1" applyProtection="1">
      <alignment horizontal="center" vertical="center" wrapText="1"/>
      <protection locked="0"/>
    </xf>
    <xf numFmtId="10" fontId="6" fillId="0" borderId="0" xfId="0" applyNumberFormat="1" applyFont="1" applyFill="1" applyAlignment="1" applyProtection="1">
      <alignment horizontal="center" vertical="center" wrapText="1"/>
      <protection locked="0"/>
    </xf>
    <xf numFmtId="177" fontId="2" fillId="0" borderId="0" xfId="0" applyNumberFormat="1" applyFont="1" applyFill="1">
      <alignment vertical="center"/>
    </xf>
    <xf numFmtId="0" fontId="2" fillId="0" borderId="5"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4" xfId="0" applyFont="1" applyFill="1" applyBorder="1" applyAlignment="1" applyProtection="1">
      <alignment horizontal="center" vertical="center" wrapText="1"/>
    </xf>
    <xf numFmtId="0" fontId="5" fillId="0" borderId="4" xfId="0" applyFont="1" applyFill="1" applyBorder="1" applyAlignment="1" applyProtection="1">
      <alignment horizontal="left" vertical="center" wrapText="1"/>
    </xf>
    <xf numFmtId="178" fontId="5" fillId="0" borderId="4" xfId="0" applyNumberFormat="1" applyFont="1" applyFill="1" applyBorder="1" applyAlignment="1" applyProtection="1">
      <alignment horizontal="center" vertical="center" wrapText="1" shrinkToFit="1"/>
    </xf>
    <xf numFmtId="43" fontId="10" fillId="0" borderId="4" xfId="0" applyNumberFormat="1" applyFont="1" applyFill="1" applyBorder="1" applyAlignment="1">
      <alignment horizontal="center" vertical="center" wrapText="1"/>
    </xf>
    <xf numFmtId="177" fontId="10" fillId="0" borderId="4" xfId="0" applyNumberFormat="1" applyFont="1" applyFill="1" applyBorder="1" applyAlignment="1">
      <alignment horizontal="center" vertical="center" wrapText="1"/>
    </xf>
    <xf numFmtId="0" fontId="10" fillId="0" borderId="6" xfId="0" applyFont="1" applyFill="1" applyBorder="1" applyAlignment="1">
      <alignment horizontal="center" vertical="center" wrapText="1"/>
    </xf>
    <xf numFmtId="177" fontId="5" fillId="0" borderId="0" xfId="0" applyNumberFormat="1" applyFont="1" applyFill="1" applyAlignment="1">
      <alignment horizontal="center" vertical="center" wrapText="1"/>
    </xf>
    <xf numFmtId="177" fontId="5" fillId="0" borderId="0" xfId="0" applyNumberFormat="1" applyFont="1" applyFill="1" applyAlignment="1" applyProtection="1">
      <alignment horizontal="center" vertical="center" wrapText="1"/>
      <protection locked="0"/>
    </xf>
    <xf numFmtId="10" fontId="5" fillId="0" borderId="0" xfId="0" applyNumberFormat="1" applyFont="1" applyFill="1" applyAlignment="1" applyProtection="1">
      <alignment horizontal="center" vertical="center" wrapText="1"/>
      <protection locked="0"/>
    </xf>
    <xf numFmtId="177" fontId="5" fillId="0" borderId="0" xfId="0" applyNumberFormat="1" applyFont="1" applyFill="1" applyAlignment="1">
      <alignment vertical="center" wrapText="1"/>
    </xf>
    <xf numFmtId="177" fontId="5" fillId="0" borderId="0" xfId="0" applyNumberFormat="1" applyFont="1" applyFill="1">
      <alignment vertical="center"/>
    </xf>
    <xf numFmtId="177" fontId="3" fillId="0" borderId="0" xfId="0" applyNumberFormat="1" applyFont="1" applyFill="1">
      <alignment vertical="center"/>
    </xf>
    <xf numFmtId="0" fontId="11" fillId="0" borderId="4" xfId="0" applyFont="1" applyFill="1" applyBorder="1" applyAlignment="1" applyProtection="1">
      <alignment horizontal="center" vertical="center" wrapText="1"/>
    </xf>
    <xf numFmtId="0" fontId="11" fillId="0" borderId="4" xfId="0" applyFont="1" applyFill="1" applyBorder="1" applyAlignment="1" applyProtection="1">
      <alignment horizontal="left" vertical="center" wrapText="1"/>
    </xf>
    <xf numFmtId="43" fontId="2" fillId="0" borderId="4" xfId="0" applyNumberFormat="1" applyFont="1" applyFill="1" applyBorder="1" applyAlignment="1">
      <alignment horizontal="center" vertical="center" wrapText="1"/>
    </xf>
    <xf numFmtId="0" fontId="2" fillId="0" borderId="6" xfId="0" applyFont="1" applyFill="1" applyBorder="1" applyAlignment="1">
      <alignment horizontal="center" vertical="center" wrapText="1"/>
    </xf>
    <xf numFmtId="178" fontId="2" fillId="0" borderId="4" xfId="0" applyNumberFormat="1" applyFont="1" applyFill="1" applyBorder="1" applyAlignment="1">
      <alignment horizontal="center" vertical="center" wrapText="1"/>
    </xf>
    <xf numFmtId="23" fontId="5" fillId="0" borderId="4" xfId="0" applyNumberFormat="1" applyFont="1" applyFill="1" applyBorder="1" applyAlignment="1" applyProtection="1">
      <alignment horizontal="center" vertical="center" wrapText="1"/>
    </xf>
    <xf numFmtId="23" fontId="5" fillId="0" borderId="4" xfId="0" applyNumberFormat="1" applyFont="1" applyFill="1" applyBorder="1" applyAlignment="1" applyProtection="1">
      <alignment horizontal="left" vertical="center" wrapText="1"/>
    </xf>
    <xf numFmtId="178" fontId="9" fillId="0" borderId="4" xfId="0" applyNumberFormat="1" applyFont="1" applyFill="1" applyBorder="1" applyAlignment="1">
      <alignment horizontal="center" vertical="center" wrapText="1"/>
    </xf>
    <xf numFmtId="0" fontId="8" fillId="0" borderId="4" xfId="0" applyFont="1" applyFill="1" applyBorder="1" applyAlignment="1" applyProtection="1">
      <alignment horizontal="left" vertical="center" wrapText="1"/>
    </xf>
    <xf numFmtId="177" fontId="12" fillId="0" borderId="0" xfId="0" applyNumberFormat="1" applyFont="1" applyFill="1" applyAlignment="1" applyProtection="1">
      <alignment horizontal="center" vertical="center" wrapText="1"/>
      <protection locked="0"/>
    </xf>
    <xf numFmtId="10" fontId="12" fillId="0" borderId="0" xfId="0" applyNumberFormat="1" applyFont="1" applyFill="1" applyAlignment="1" applyProtection="1">
      <alignment horizontal="center" vertical="center" wrapText="1"/>
      <protection locked="0"/>
    </xf>
    <xf numFmtId="177" fontId="13" fillId="0" borderId="0" xfId="0" applyNumberFormat="1" applyFont="1" applyFill="1" applyAlignment="1" applyProtection="1">
      <alignment horizontal="center" vertical="center" wrapText="1"/>
      <protection locked="0"/>
    </xf>
    <xf numFmtId="23" fontId="6" fillId="0" borderId="4" xfId="0" applyNumberFormat="1" applyFont="1" applyFill="1" applyBorder="1" applyAlignment="1" applyProtection="1">
      <alignment horizontal="center" vertical="center" wrapText="1"/>
    </xf>
    <xf numFmtId="23" fontId="6" fillId="0" borderId="4" xfId="0" applyNumberFormat="1" applyFont="1" applyFill="1" applyBorder="1" applyAlignment="1" applyProtection="1">
      <alignment horizontal="left" vertical="center" wrapText="1"/>
    </xf>
    <xf numFmtId="177" fontId="5" fillId="0" borderId="4" xfId="1" applyNumberFormat="1" applyFont="1" applyFill="1" applyBorder="1" applyAlignment="1">
      <alignment horizontal="center" vertical="center" wrapText="1"/>
    </xf>
    <xf numFmtId="0" fontId="6" fillId="0" borderId="4" xfId="0" applyFont="1" applyFill="1" applyBorder="1" applyAlignment="1" applyProtection="1">
      <alignment horizontal="left" vertical="center" wrapText="1"/>
    </xf>
    <xf numFmtId="0" fontId="10" fillId="0" borderId="4" xfId="0" applyFont="1" applyFill="1" applyBorder="1" applyAlignment="1">
      <alignment horizontal="center" vertical="center" wrapText="1"/>
    </xf>
    <xf numFmtId="10" fontId="13" fillId="0" borderId="0" xfId="0" applyNumberFormat="1" applyFont="1" applyFill="1" applyBorder="1" applyAlignment="1">
      <alignment horizontal="center" vertical="center" wrapText="1"/>
    </xf>
    <xf numFmtId="177" fontId="13" fillId="0" borderId="0" xfId="0" applyNumberFormat="1" applyFont="1" applyFill="1" applyBorder="1" applyAlignment="1">
      <alignment horizontal="center" vertical="center" wrapText="1"/>
    </xf>
    <xf numFmtId="0" fontId="6" fillId="0" borderId="4" xfId="0" applyFont="1" applyFill="1" applyBorder="1" applyAlignment="1" applyProtection="1">
      <alignment horizontal="center" vertical="center" wrapText="1"/>
    </xf>
    <xf numFmtId="23" fontId="14" fillId="0" borderId="4" xfId="0" applyNumberFormat="1" applyFont="1" applyFill="1" applyBorder="1" applyAlignment="1" applyProtection="1">
      <alignment horizontal="center" vertical="center" wrapText="1"/>
    </xf>
    <xf numFmtId="23" fontId="5" fillId="0" borderId="4" xfId="0" applyNumberFormat="1" applyFont="1" applyFill="1" applyBorder="1" applyAlignment="1" applyProtection="1">
      <alignment vertical="center" wrapText="1"/>
    </xf>
    <xf numFmtId="0" fontId="11" fillId="0" borderId="4" xfId="0" applyFont="1" applyFill="1" applyBorder="1" applyAlignment="1">
      <alignment horizontal="center" vertical="center" wrapText="1"/>
    </xf>
    <xf numFmtId="0" fontId="11" fillId="0" borderId="4" xfId="0"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4" xfId="0" applyFont="1" applyFill="1" applyBorder="1" applyAlignment="1">
      <alignment horizontal="center" vertical="center" wrapText="1"/>
    </xf>
    <xf numFmtId="23" fontId="5" fillId="0" borderId="7" xfId="0" applyNumberFormat="1" applyFont="1" applyFill="1" applyBorder="1" applyAlignment="1" applyProtection="1">
      <alignment horizontal="center" vertical="center" wrapText="1"/>
    </xf>
    <xf numFmtId="23" fontId="5" fillId="0" borderId="7" xfId="0" applyNumberFormat="1" applyFont="1" applyFill="1" applyBorder="1" applyAlignment="1" applyProtection="1">
      <alignment horizontal="left" vertical="center" wrapText="1"/>
    </xf>
    <xf numFmtId="178" fontId="5" fillId="0" borderId="4" xfId="1" applyNumberFormat="1" applyFont="1" applyFill="1" applyBorder="1" applyAlignment="1">
      <alignment horizontal="center" vertical="center" wrapText="1"/>
    </xf>
    <xf numFmtId="0" fontId="8" fillId="0" borderId="4" xfId="0" applyFont="1" applyFill="1" applyBorder="1" applyAlignment="1">
      <alignment horizontal="left" vertical="center" wrapText="1"/>
    </xf>
    <xf numFmtId="177" fontId="5" fillId="0" borderId="4" xfId="0" applyNumberFormat="1" applyFont="1" applyFill="1" applyBorder="1" applyAlignment="1">
      <alignment horizontal="center" vertical="center" wrapText="1"/>
    </xf>
    <xf numFmtId="23" fontId="11" fillId="0" borderId="4" xfId="0" applyNumberFormat="1" applyFont="1" applyFill="1" applyBorder="1" applyAlignment="1" applyProtection="1">
      <alignment horizontal="center" vertical="center" wrapText="1"/>
    </xf>
    <xf numFmtId="177" fontId="15" fillId="0" borderId="8" xfId="49" applyNumberFormat="1" applyFont="1" applyFill="1" applyBorder="1" applyAlignment="1" applyProtection="1">
      <alignment horizontal="center" vertical="center" wrapText="1"/>
      <protection hidden="1"/>
    </xf>
    <xf numFmtId="177" fontId="15" fillId="0" borderId="9" xfId="49" applyNumberFormat="1" applyFont="1" applyFill="1" applyBorder="1" applyAlignment="1" applyProtection="1">
      <alignment horizontal="center" vertical="center" wrapText="1"/>
      <protection hidden="1"/>
    </xf>
    <xf numFmtId="177" fontId="10" fillId="0" borderId="4" xfId="49" applyNumberFormat="1" applyFont="1" applyFill="1" applyBorder="1" applyAlignment="1" applyProtection="1">
      <alignment horizontal="center" vertical="center" wrapText="1"/>
      <protection hidden="1"/>
    </xf>
    <xf numFmtId="178" fontId="10" fillId="0" borderId="4" xfId="49" applyNumberFormat="1" applyFont="1" applyFill="1" applyBorder="1" applyAlignment="1" applyProtection="1">
      <alignment horizontal="center" vertical="center" wrapText="1"/>
      <protection hidden="1"/>
    </xf>
    <xf numFmtId="176" fontId="15" fillId="0" borderId="4" xfId="49" applyNumberFormat="1" applyFont="1" applyFill="1" applyBorder="1" applyAlignment="1" applyProtection="1">
      <alignment horizontal="center" vertical="center" wrapText="1"/>
      <protection hidden="1"/>
    </xf>
    <xf numFmtId="43" fontId="9" fillId="0" borderId="4" xfId="0" applyNumberFormat="1" applyFont="1" applyFill="1" applyBorder="1" applyAlignment="1">
      <alignment horizontal="center" vertical="center" wrapText="1"/>
    </xf>
    <xf numFmtId="176" fontId="15" fillId="0" borderId="6" xfId="49" applyNumberFormat="1" applyFont="1" applyFill="1" applyBorder="1" applyAlignment="1" applyProtection="1">
      <alignment horizontal="center" vertical="center" wrapText="1"/>
      <protection hidden="1"/>
    </xf>
    <xf numFmtId="177" fontId="14" fillId="0" borderId="0" xfId="49" applyNumberFormat="1" applyFont="1" applyFill="1" applyBorder="1" applyAlignment="1" applyProtection="1">
      <alignment horizontal="center" vertical="center" wrapText="1"/>
      <protection hidden="1"/>
    </xf>
    <xf numFmtId="10" fontId="14" fillId="0" borderId="0" xfId="49" applyNumberFormat="1" applyFont="1" applyFill="1" applyBorder="1" applyAlignment="1" applyProtection="1">
      <alignment horizontal="center" vertical="center" wrapText="1"/>
      <protection hidden="1"/>
    </xf>
    <xf numFmtId="177" fontId="4" fillId="0" borderId="0" xfId="49" applyNumberFormat="1" applyFont="1" applyFill="1" applyBorder="1" applyAlignment="1" applyProtection="1">
      <alignment horizontal="center" vertical="center" wrapText="1"/>
      <protection hidden="1"/>
    </xf>
    <xf numFmtId="177" fontId="15" fillId="0" borderId="4" xfId="49" applyNumberFormat="1" applyFont="1" applyFill="1" applyBorder="1" applyAlignment="1" applyProtection="1">
      <alignment horizontal="center" vertical="center" wrapText="1"/>
      <protection hidden="1"/>
    </xf>
    <xf numFmtId="179" fontId="15" fillId="0" borderId="4" xfId="0" applyNumberFormat="1" applyFont="1" applyFill="1" applyBorder="1" applyAlignment="1">
      <alignment horizontal="left" vertical="center" wrapText="1"/>
    </xf>
    <xf numFmtId="9" fontId="10" fillId="0" borderId="4" xfId="3" applyNumberFormat="1" applyFont="1" applyFill="1" applyBorder="1" applyAlignment="1" applyProtection="1">
      <alignment horizontal="center" vertical="center" wrapText="1"/>
      <protection hidden="1"/>
    </xf>
    <xf numFmtId="177" fontId="15" fillId="0" borderId="10" xfId="49" applyNumberFormat="1" applyFont="1" applyFill="1" applyBorder="1" applyAlignment="1" applyProtection="1">
      <alignment horizontal="center" vertical="center" wrapText="1"/>
      <protection hidden="1"/>
    </xf>
    <xf numFmtId="177" fontId="15" fillId="0" borderId="11" xfId="49" applyNumberFormat="1" applyFont="1" applyFill="1" applyBorder="1" applyAlignment="1" applyProtection="1">
      <alignment horizontal="center" vertical="center" wrapText="1"/>
      <protection hidden="1"/>
    </xf>
    <xf numFmtId="177" fontId="10" fillId="0" borderId="12" xfId="49" applyNumberFormat="1" applyFont="1" applyFill="1" applyBorder="1" applyAlignment="1" applyProtection="1">
      <alignment horizontal="center" vertical="center" wrapText="1"/>
      <protection hidden="1"/>
    </xf>
    <xf numFmtId="176" fontId="15" fillId="0" borderId="12" xfId="49" applyNumberFormat="1" applyFont="1" applyFill="1" applyBorder="1" applyAlignment="1" applyProtection="1">
      <alignment horizontal="center" vertical="center" wrapText="1"/>
      <protection hidden="1"/>
    </xf>
    <xf numFmtId="43" fontId="9" fillId="0" borderId="12" xfId="0" applyNumberFormat="1" applyFont="1" applyFill="1" applyBorder="1" applyAlignment="1">
      <alignment horizontal="center" vertical="center" wrapText="1"/>
    </xf>
    <xf numFmtId="176" fontId="15" fillId="0" borderId="13" xfId="49" applyNumberFormat="1" applyFont="1" applyFill="1" applyBorder="1" applyAlignment="1" applyProtection="1">
      <alignment horizontal="center" vertical="center" wrapText="1"/>
      <protection hidden="1"/>
    </xf>
    <xf numFmtId="0" fontId="3" fillId="0" borderId="0" xfId="0" applyNumberFormat="1" applyFont="1" applyFill="1" applyAlignment="1">
      <alignment horizontal="left" vertical="center" wrapText="1"/>
    </xf>
    <xf numFmtId="177" fontId="5" fillId="0" borderId="0" xfId="0" applyNumberFormat="1" applyFont="1" applyFill="1" applyBorder="1" applyAlignment="1">
      <alignment horizontal="center" vertical="center" wrapText="1"/>
    </xf>
    <xf numFmtId="10" fontId="5" fillId="0" borderId="0" xfId="0" applyNumberFormat="1" applyFont="1" applyFill="1" applyBorder="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6 2 2" xfId="49"/>
    <cellStyle name="常规 4 8" xfId="50"/>
    <cellStyle name="常规 2 2 13" xfId="51"/>
  </cellStyles>
  <dxfs count="24">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2F2F2"/>
        </patternFill>
      </fill>
    </dxf>
    <dxf>
      <fill>
        <patternFill patternType="solid">
          <bgColor rgb="FFF2F2F2"/>
        </patternFill>
      </fill>
    </dxf>
    <dxf>
      <font>
        <b val="0"/>
        <i val="0"/>
        <u val="none"/>
        <sz val="10"/>
        <color rgb="FF000000"/>
      </font>
      <fill>
        <patternFill patternType="solid">
          <bgColor rgb="FFE0E0E0"/>
        </patternFill>
      </fill>
      <border>
        <left/>
        <right/>
        <top/>
        <bottom style="medium">
          <color theme="4"/>
        </bottom>
        <vertical/>
        <horizontal/>
      </border>
    </dxf>
    <dxf>
      <font>
        <b val="0"/>
        <i val="0"/>
        <u val="none"/>
        <sz val="11"/>
        <color rgb="FF000000"/>
      </font>
      <fill>
        <patternFill patternType="solid">
          <bgColor rgb="FFE0E0E0"/>
        </patternFill>
      </fill>
    </dxf>
    <dxf>
      <font>
        <b val="1"/>
        <u val="none"/>
        <color rgb="FFFFFFFF"/>
      </font>
      <fill>
        <gradientFill>
          <stop position="0">
            <color theme="4"/>
          </stop>
          <stop position="1">
            <color rgb="FFFFC0CB"/>
          </stop>
        </gradientFill>
      </fill>
      <border>
        <left/>
        <right/>
        <top/>
        <bottom/>
        <vertical/>
        <horizontal/>
      </border>
    </dxf>
    <dxf>
      <font>
        <b val="1"/>
        <u val="none"/>
        <color rgb="FFFFFFFF"/>
      </font>
      <fill>
        <gradientFill>
          <stop position="0">
            <color theme="4"/>
          </stop>
          <stop position="1">
            <color rgb="FFFFC0CB"/>
          </stop>
        </gradientFill>
      </fill>
    </dxf>
    <dxf>
      <font>
        <b val="0"/>
        <i val="0"/>
        <u val="none"/>
        <sz val="11"/>
        <color rgb="FF000000"/>
      </font>
      <fill>
        <patternFill patternType="solid">
          <bgColor rgb="FFFFFFFF"/>
        </patternFill>
      </fill>
      <border>
        <left/>
        <right/>
        <top/>
        <bottom style="medium">
          <color theme="4"/>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渐变色标题行镶边行表格样式_85b582" count="7" xr9:uid="{B049A952-D78F-4601-A6FB-12D14E65818E}">
      <tableStyleElement type="wholeTable" dxfId="13"/>
      <tableStyleElement type="headerRow" dxfId="12"/>
      <tableStyleElement type="totalRow" dxfId="11"/>
      <tableStyleElement type="firstColumn" dxfId="10"/>
      <tableStyleElement type="lastColumn" dxfId="9"/>
      <tableStyleElement type="second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C92"/>
  <sheetViews>
    <sheetView tabSelected="1" view="pageBreakPreview" zoomScale="110" zoomScaleNormal="100" workbookViewId="0">
      <pane xSplit="4" ySplit="3" topLeftCell="E84" activePane="bottomRight" state="frozen"/>
      <selection/>
      <selection pane="topRight"/>
      <selection pane="bottomLeft"/>
      <selection pane="bottomRight" activeCell="S84" sqref="S84"/>
    </sheetView>
  </sheetViews>
  <sheetFormatPr defaultColWidth="9" defaultRowHeight="14.25"/>
  <cols>
    <col min="1" max="1" width="4.625" style="1" customWidth="1"/>
    <col min="2" max="2" width="11.475" style="6" customWidth="1"/>
    <col min="3" max="3" width="28.75" style="6" customWidth="1"/>
    <col min="4" max="4" width="5.29166666666667" style="6" customWidth="1"/>
    <col min="5" max="5" width="10.4333333333333" style="6" customWidth="1"/>
    <col min="6" max="6" width="9.25" style="6" customWidth="1"/>
    <col min="7" max="7" width="8.63333333333333" style="6" customWidth="1"/>
    <col min="8" max="8" width="8.625" style="6" customWidth="1"/>
    <col min="9" max="9" width="6.73333333333333" style="6" customWidth="1"/>
    <col min="10" max="10" width="12.6083333333333" style="6" customWidth="1"/>
    <col min="11" max="11" width="10.3416666666667" style="6" customWidth="1"/>
    <col min="12" max="12" width="10.7916666666667" style="7" customWidth="1"/>
    <col min="13" max="14" width="9.375" style="7"/>
    <col min="15" max="15" width="9" style="8"/>
    <col min="16" max="16" width="9.25" style="7"/>
    <col min="17" max="18" width="9" style="7"/>
    <col min="19" max="19" width="9.25" style="7"/>
    <col min="20" max="20" width="9" style="9"/>
    <col min="21" max="27" width="9" style="10"/>
    <col min="28" max="29" width="9" style="11"/>
    <col min="30" max="16384" width="9" style="1"/>
  </cols>
  <sheetData>
    <row r="1" ht="21" spans="1:29">
      <c r="A1" s="12" t="s">
        <v>0</v>
      </c>
      <c r="B1" s="13"/>
      <c r="C1" s="13"/>
      <c r="D1" s="13"/>
      <c r="E1" s="13"/>
      <c r="F1" s="13"/>
      <c r="G1" s="13"/>
      <c r="H1" s="13"/>
      <c r="I1" s="13"/>
      <c r="J1" s="13"/>
      <c r="K1" s="13"/>
      <c r="L1" s="7">
        <f>J91</f>
        <v>467536.810747</v>
      </c>
      <c r="M1" s="14">
        <v>0</v>
      </c>
      <c r="N1" s="15">
        <v>1</v>
      </c>
      <c r="O1" s="16"/>
      <c r="P1" s="15">
        <v>1</v>
      </c>
      <c r="Q1" s="15">
        <v>1</v>
      </c>
      <c r="R1" s="15"/>
      <c r="S1" s="15"/>
    </row>
    <row r="2" s="1" customFormat="1" spans="1:29">
      <c r="A2" s="17" t="s">
        <v>1</v>
      </c>
      <c r="B2" s="18" t="s">
        <v>2</v>
      </c>
      <c r="C2" s="18" t="s">
        <v>3</v>
      </c>
      <c r="D2" s="18" t="s">
        <v>4</v>
      </c>
      <c r="E2" s="18" t="s">
        <v>5</v>
      </c>
      <c r="F2" s="18" t="s">
        <v>6</v>
      </c>
      <c r="G2" s="18" t="s">
        <v>7</v>
      </c>
      <c r="H2" s="18"/>
      <c r="I2" s="18"/>
      <c r="J2" s="18" t="s">
        <v>8</v>
      </c>
      <c r="K2" s="19" t="s">
        <v>9</v>
      </c>
      <c r="L2" s="7" t="s">
        <v>10</v>
      </c>
      <c r="M2" s="20" t="s">
        <v>11</v>
      </c>
      <c r="N2" s="21" t="s">
        <v>12</v>
      </c>
      <c r="O2" s="22" t="s">
        <v>13</v>
      </c>
      <c r="P2" s="21" t="s">
        <v>14</v>
      </c>
      <c r="Q2" s="21" t="s">
        <v>15</v>
      </c>
      <c r="R2" s="21" t="s">
        <v>16</v>
      </c>
      <c r="S2" s="20" t="s">
        <v>17</v>
      </c>
      <c r="T2" s="9"/>
      <c r="U2" s="10"/>
      <c r="V2" s="10"/>
      <c r="W2" s="10"/>
      <c r="X2" s="10"/>
      <c r="Y2" s="10"/>
      <c r="Z2" s="10"/>
      <c r="AA2" s="10"/>
      <c r="AB2" s="11"/>
      <c r="AC2" s="11"/>
    </row>
    <row r="3" s="2" customFormat="1" ht="11.25" spans="1:29">
      <c r="A3" s="23"/>
      <c r="B3" s="24"/>
      <c r="C3" s="24"/>
      <c r="D3" s="24"/>
      <c r="E3" s="24"/>
      <c r="F3" s="24"/>
      <c r="G3" s="24" t="s">
        <v>14</v>
      </c>
      <c r="H3" s="24" t="s">
        <v>18</v>
      </c>
      <c r="I3" s="24" t="s">
        <v>19</v>
      </c>
      <c r="J3" s="24"/>
      <c r="K3" s="25"/>
      <c r="L3" s="7"/>
      <c r="M3" s="26"/>
      <c r="N3" s="27"/>
      <c r="O3" s="28"/>
      <c r="P3" s="27"/>
      <c r="Q3" s="27"/>
      <c r="R3" s="27"/>
      <c r="S3" s="27"/>
      <c r="T3" s="9"/>
      <c r="U3" s="10"/>
      <c r="V3" s="10"/>
      <c r="W3" s="10"/>
      <c r="X3" s="10"/>
      <c r="Y3" s="10"/>
      <c r="Z3" s="10"/>
      <c r="AA3" s="10"/>
      <c r="AB3" s="29"/>
      <c r="AC3" s="29"/>
    </row>
    <row r="4" s="2" customFormat="1" ht="11.25" spans="1:29">
      <c r="A4" s="30">
        <v>1</v>
      </c>
      <c r="B4" s="24" t="s">
        <v>20</v>
      </c>
      <c r="C4" s="24"/>
      <c r="D4" s="24"/>
      <c r="E4" s="24"/>
      <c r="F4" s="24"/>
      <c r="G4" s="24"/>
      <c r="H4" s="24"/>
      <c r="I4" s="24"/>
      <c r="J4" s="24"/>
      <c r="K4" s="25"/>
      <c r="L4" s="7"/>
      <c r="M4" s="27"/>
      <c r="N4" s="27"/>
      <c r="O4" s="28"/>
      <c r="P4" s="27"/>
      <c r="Q4" s="27"/>
      <c r="R4" s="27"/>
      <c r="S4" s="27"/>
      <c r="T4" s="9"/>
      <c r="U4" s="10"/>
      <c r="V4" s="10"/>
      <c r="W4" s="10"/>
      <c r="X4" s="10"/>
      <c r="Y4" s="10"/>
      <c r="Z4" s="10"/>
      <c r="AA4" s="10"/>
      <c r="AB4" s="29"/>
      <c r="AC4" s="29"/>
    </row>
    <row r="5" s="3" customFormat="1" ht="134" customHeight="1" spans="1:29">
      <c r="A5" s="31">
        <v>2</v>
      </c>
      <c r="B5" s="32" t="s">
        <v>21</v>
      </c>
      <c r="C5" s="33" t="s">
        <v>22</v>
      </c>
      <c r="D5" s="32" t="s">
        <v>23</v>
      </c>
      <c r="E5" s="34">
        <v>14.2359</v>
      </c>
      <c r="F5" s="35">
        <f t="shared" ref="F5:F11" si="0">G5+H5+I5</f>
        <v>227.5</v>
      </c>
      <c r="G5" s="36">
        <f>P5*$P$1</f>
        <v>225</v>
      </c>
      <c r="H5" s="36">
        <f>(N5+N5*O5)*$N$1+Q5*$Q$1+R5</f>
        <v>2.5</v>
      </c>
      <c r="I5" s="36">
        <f>M5*$M$1</f>
        <v>0</v>
      </c>
      <c r="J5" s="35">
        <f t="shared" ref="J5:J11" si="1">F5*E5</f>
        <v>3238.66725</v>
      </c>
      <c r="K5" s="37"/>
      <c r="L5" s="38"/>
      <c r="M5" s="39">
        <f>N5+N5*O5+P5+Q5+R5</f>
        <v>227.5</v>
      </c>
      <c r="N5" s="39">
        <v>0</v>
      </c>
      <c r="O5" s="40">
        <v>0</v>
      </c>
      <c r="P5" s="39">
        <f>45*5</f>
        <v>225</v>
      </c>
      <c r="Q5" s="39">
        <v>0</v>
      </c>
      <c r="R5" s="39">
        <v>2.5</v>
      </c>
      <c r="S5" s="39">
        <f>E5*M5</f>
        <v>3238.66725</v>
      </c>
      <c r="T5" s="41"/>
      <c r="U5" s="42"/>
      <c r="V5" s="42"/>
      <c r="W5" s="42"/>
      <c r="X5" s="42"/>
      <c r="Y5" s="42"/>
      <c r="Z5" s="42"/>
      <c r="AA5" s="42"/>
      <c r="AB5" s="43"/>
      <c r="AC5" s="43"/>
    </row>
    <row r="6" s="2" customFormat="1" ht="11.25" spans="1:29">
      <c r="A6" s="30">
        <v>3</v>
      </c>
      <c r="B6" s="24" t="s">
        <v>24</v>
      </c>
      <c r="C6" s="24"/>
      <c r="D6" s="24"/>
      <c r="E6" s="24"/>
      <c r="F6" s="24"/>
      <c r="G6" s="24"/>
      <c r="H6" s="24"/>
      <c r="I6" s="24"/>
      <c r="J6" s="24"/>
      <c r="K6" s="25"/>
      <c r="L6" s="7"/>
      <c r="M6" s="7"/>
      <c r="N6" s="7"/>
      <c r="O6" s="8"/>
      <c r="P6" s="7"/>
      <c r="Q6" s="7"/>
      <c r="R6" s="7"/>
      <c r="S6" s="7"/>
      <c r="T6" s="9"/>
      <c r="U6" s="10"/>
      <c r="V6" s="10"/>
      <c r="W6" s="10"/>
      <c r="X6" s="10"/>
      <c r="Y6" s="10"/>
      <c r="Z6" s="10"/>
      <c r="AA6" s="10"/>
      <c r="AB6" s="29"/>
      <c r="AC6" s="29"/>
    </row>
    <row r="7" s="1" customFormat="1" ht="66" customHeight="1" spans="1:29">
      <c r="A7" s="30">
        <v>4</v>
      </c>
      <c r="B7" s="44" t="s">
        <v>25</v>
      </c>
      <c r="C7" s="45" t="s">
        <v>26</v>
      </c>
      <c r="D7" s="32" t="s">
        <v>23</v>
      </c>
      <c r="E7" s="34">
        <v>25.804</v>
      </c>
      <c r="F7" s="46">
        <f t="shared" si="0"/>
        <v>794.25</v>
      </c>
      <c r="G7" s="36">
        <f>P7*$P$1</f>
        <v>275</v>
      </c>
      <c r="H7" s="36">
        <f>(N7+N7*O7)*$N$1+Q7*$Q$1+R7</f>
        <v>519.25</v>
      </c>
      <c r="I7" s="36">
        <f>M7*$M$1</f>
        <v>0</v>
      </c>
      <c r="J7" s="46">
        <f t="shared" si="1"/>
        <v>20494.827</v>
      </c>
      <c r="K7" s="47"/>
      <c r="L7" s="7"/>
      <c r="M7" s="39">
        <f>N7+N7*O7+P7+Q7+R7</f>
        <v>794.25</v>
      </c>
      <c r="N7" s="7">
        <f>85*5</f>
        <v>425</v>
      </c>
      <c r="O7" s="8">
        <v>0.01</v>
      </c>
      <c r="P7" s="7">
        <f>55*5</f>
        <v>275</v>
      </c>
      <c r="Q7" s="7">
        <f>18*5</f>
        <v>90</v>
      </c>
      <c r="R7" s="7"/>
      <c r="S7" s="39">
        <f>E7*M7</f>
        <v>20494.827</v>
      </c>
      <c r="T7" s="9"/>
      <c r="U7" s="10"/>
      <c r="V7" s="10"/>
      <c r="W7" s="10"/>
      <c r="X7" s="10"/>
      <c r="Y7" s="10"/>
      <c r="Z7" s="10"/>
      <c r="AA7" s="10"/>
      <c r="AB7" s="11"/>
      <c r="AC7" s="11"/>
    </row>
    <row r="8" s="1" customFormat="1" ht="70" customHeight="1" spans="1:29">
      <c r="A8" s="30">
        <v>5</v>
      </c>
      <c r="B8" s="44" t="s">
        <v>27</v>
      </c>
      <c r="C8" s="45" t="s">
        <v>28</v>
      </c>
      <c r="D8" s="44" t="s">
        <v>29</v>
      </c>
      <c r="E8" s="48">
        <v>27.6</v>
      </c>
      <c r="F8" s="46">
        <f t="shared" si="0"/>
        <v>93.4</v>
      </c>
      <c r="G8" s="36">
        <f>P8*$P$1</f>
        <v>45</v>
      </c>
      <c r="H8" s="36">
        <f>(N8+N8*O8)*$N$1+Q8*$Q$1+R8</f>
        <v>48.4</v>
      </c>
      <c r="I8" s="36">
        <f>M8*$M$1</f>
        <v>0</v>
      </c>
      <c r="J8" s="46">
        <f t="shared" si="1"/>
        <v>2577.84</v>
      </c>
      <c r="K8" s="47"/>
      <c r="L8" s="7"/>
      <c r="M8" s="39">
        <f>N8+N8*O8+P8+Q8+R8</f>
        <v>93.4</v>
      </c>
      <c r="N8" s="7">
        <v>40</v>
      </c>
      <c r="O8" s="8">
        <v>0.01</v>
      </c>
      <c r="P8" s="7">
        <v>45</v>
      </c>
      <c r="Q8" s="7">
        <v>8</v>
      </c>
      <c r="R8" s="7"/>
      <c r="S8" s="39">
        <f>E8*M8</f>
        <v>2577.84</v>
      </c>
      <c r="T8" s="9"/>
      <c r="U8" s="10"/>
      <c r="V8" s="10"/>
      <c r="W8" s="10"/>
      <c r="X8" s="10"/>
      <c r="Y8" s="10"/>
      <c r="Z8" s="10"/>
      <c r="AA8" s="10"/>
      <c r="AB8" s="11"/>
      <c r="AC8" s="11"/>
    </row>
    <row r="9" s="1" customFormat="1" ht="70" customHeight="1" spans="1:29">
      <c r="A9" s="30">
        <v>6</v>
      </c>
      <c r="B9" s="49" t="s">
        <v>30</v>
      </c>
      <c r="C9" s="50" t="s">
        <v>31</v>
      </c>
      <c r="D9" s="44" t="s">
        <v>29</v>
      </c>
      <c r="E9" s="48">
        <v>26.5</v>
      </c>
      <c r="F9" s="46">
        <f t="shared" si="0"/>
        <v>111.56</v>
      </c>
      <c r="G9" s="36">
        <f>P9*$P$1</f>
        <v>45</v>
      </c>
      <c r="H9" s="36">
        <f>(N9+N9*O9)*$N$1+Q9*$Q$1+R9</f>
        <v>66.56</v>
      </c>
      <c r="I9" s="36">
        <f>M9*$M$1</f>
        <v>0</v>
      </c>
      <c r="J9" s="46">
        <f t="shared" si="1"/>
        <v>2956.34</v>
      </c>
      <c r="K9" s="47"/>
      <c r="L9" s="7"/>
      <c r="M9" s="39">
        <f>N9+N9*O9+P9+Q9+R9</f>
        <v>111.56</v>
      </c>
      <c r="N9" s="7">
        <v>56</v>
      </c>
      <c r="O9" s="8">
        <v>0.01</v>
      </c>
      <c r="P9" s="7">
        <v>45</v>
      </c>
      <c r="Q9" s="7">
        <v>10</v>
      </c>
      <c r="R9" s="7"/>
      <c r="S9" s="39">
        <f>E9*M9</f>
        <v>2956.34</v>
      </c>
      <c r="T9" s="9"/>
      <c r="U9" s="10"/>
      <c r="V9" s="10"/>
      <c r="W9" s="10"/>
      <c r="X9" s="10"/>
      <c r="Y9" s="10"/>
      <c r="Z9" s="10"/>
      <c r="AA9" s="10"/>
      <c r="AB9" s="11"/>
      <c r="AC9" s="11"/>
    </row>
    <row r="10" s="1" customFormat="1" ht="90" customHeight="1" spans="1:29">
      <c r="A10" s="30">
        <v>7</v>
      </c>
      <c r="B10" s="44" t="s">
        <v>32</v>
      </c>
      <c r="C10" s="33" t="s">
        <v>33</v>
      </c>
      <c r="D10" s="44" t="s">
        <v>34</v>
      </c>
      <c r="E10" s="48">
        <v>279.68</v>
      </c>
      <c r="F10" s="46">
        <f t="shared" si="0"/>
        <v>48</v>
      </c>
      <c r="G10" s="36">
        <f>P10*$P$1</f>
        <v>28</v>
      </c>
      <c r="H10" s="36">
        <f>(N10+N10*O10)*$N$1+Q10*$Q$1+R10</f>
        <v>20</v>
      </c>
      <c r="I10" s="36">
        <f>M10*$M$1</f>
        <v>0</v>
      </c>
      <c r="J10" s="46">
        <f t="shared" si="1"/>
        <v>13424.64</v>
      </c>
      <c r="K10" s="47"/>
      <c r="L10" s="7"/>
      <c r="M10" s="39">
        <f>N10+N10*O10+P10+Q10+R10</f>
        <v>48</v>
      </c>
      <c r="N10" s="7"/>
      <c r="O10" s="8">
        <v>0.01</v>
      </c>
      <c r="P10" s="7">
        <v>28</v>
      </c>
      <c r="Q10" s="7">
        <v>20</v>
      </c>
      <c r="R10" s="7"/>
      <c r="S10" s="39">
        <f>E10*M10</f>
        <v>13424.64</v>
      </c>
      <c r="T10" s="9"/>
      <c r="U10" s="10"/>
      <c r="V10" s="10"/>
      <c r="W10" s="10"/>
      <c r="X10" s="10"/>
      <c r="Y10" s="10"/>
      <c r="Z10" s="10"/>
      <c r="AA10" s="10"/>
      <c r="AB10" s="11"/>
      <c r="AC10" s="11"/>
    </row>
    <row r="11" s="1" customFormat="1" ht="78.75" spans="1:29">
      <c r="A11" s="30">
        <v>8</v>
      </c>
      <c r="B11" s="49" t="s">
        <v>35</v>
      </c>
      <c r="C11" s="50" t="s">
        <v>36</v>
      </c>
      <c r="D11" s="49" t="s">
        <v>34</v>
      </c>
      <c r="E11" s="48">
        <v>2.12</v>
      </c>
      <c r="F11" s="46">
        <f t="shared" si="0"/>
        <v>152.54</v>
      </c>
      <c r="G11" s="36">
        <f>P11*$P$1</f>
        <v>75</v>
      </c>
      <c r="H11" s="36">
        <f>(N11+N11*O11)*$N$1+Q11*$Q$1+R11</f>
        <v>77.54</v>
      </c>
      <c r="I11" s="36">
        <f>M11*$M$1</f>
        <v>0</v>
      </c>
      <c r="J11" s="46">
        <f t="shared" si="1"/>
        <v>323.3848</v>
      </c>
      <c r="K11" s="47"/>
      <c r="L11" s="7"/>
      <c r="M11" s="39">
        <f>N11+N11*O11+P11+Q11+R11</f>
        <v>152.54</v>
      </c>
      <c r="N11" s="7">
        <f>10.5+28.5</f>
        <v>39</v>
      </c>
      <c r="O11" s="8">
        <v>0.01</v>
      </c>
      <c r="P11" s="7">
        <v>75</v>
      </c>
      <c r="Q11" s="7">
        <f>26.5+11.65</f>
        <v>38.15</v>
      </c>
      <c r="R11" s="7"/>
      <c r="S11" s="39">
        <f>E11*M11</f>
        <v>323.3848</v>
      </c>
      <c r="T11" s="9"/>
      <c r="U11" s="10"/>
      <c r="V11" s="10"/>
      <c r="W11" s="10"/>
      <c r="X11" s="10"/>
      <c r="Y11" s="10"/>
      <c r="Z11" s="10"/>
      <c r="AA11" s="10"/>
      <c r="AB11" s="11"/>
      <c r="AC11" s="11"/>
    </row>
    <row r="12" s="1" customFormat="1" spans="1:29">
      <c r="A12" s="30">
        <v>9</v>
      </c>
      <c r="B12" s="24" t="s">
        <v>37</v>
      </c>
      <c r="C12" s="24"/>
      <c r="D12" s="24"/>
      <c r="E12" s="51"/>
      <c r="F12" s="24"/>
      <c r="G12" s="24"/>
      <c r="H12" s="24"/>
      <c r="I12" s="24"/>
      <c r="J12" s="24"/>
      <c r="K12" s="25"/>
      <c r="L12" s="7"/>
      <c r="M12" s="7"/>
      <c r="N12" s="7"/>
      <c r="O12" s="8"/>
      <c r="P12" s="7"/>
      <c r="Q12" s="7"/>
      <c r="R12" s="7"/>
      <c r="S12" s="7"/>
      <c r="T12" s="9"/>
      <c r="U12" s="10"/>
      <c r="V12" s="10"/>
      <c r="W12" s="10"/>
      <c r="X12" s="10"/>
      <c r="Y12" s="10"/>
      <c r="Z12" s="10"/>
      <c r="AA12" s="10"/>
      <c r="AB12" s="11"/>
      <c r="AC12" s="11"/>
    </row>
    <row r="13" s="1" customFormat="1" ht="46" customHeight="1" spans="1:29">
      <c r="A13" s="30">
        <v>10</v>
      </c>
      <c r="B13" s="49" t="s">
        <v>38</v>
      </c>
      <c r="C13" s="50" t="s">
        <v>39</v>
      </c>
      <c r="D13" s="49" t="s">
        <v>23</v>
      </c>
      <c r="E13" s="48">
        <v>25.574</v>
      </c>
      <c r="F13" s="46">
        <f>G13+H13+I13</f>
        <v>524.85</v>
      </c>
      <c r="G13" s="36">
        <f t="shared" ref="G13:G18" si="2">P13*$P$1</f>
        <v>120</v>
      </c>
      <c r="H13" s="36">
        <f t="shared" ref="H13:H18" si="3">(N13+N13*O13)*$N$1+Q13*$Q$1+R13</f>
        <v>404.85</v>
      </c>
      <c r="I13" s="36">
        <f t="shared" ref="I13:I18" si="4">M13*$M$1</f>
        <v>0</v>
      </c>
      <c r="J13" s="46">
        <f>F13*E13</f>
        <v>13422.5139</v>
      </c>
      <c r="K13" s="47"/>
      <c r="L13" s="7"/>
      <c r="M13" s="39">
        <f t="shared" ref="M13:M18" si="5">N13+N13*O13+P13+Q13+R13</f>
        <v>524.85</v>
      </c>
      <c r="N13" s="7">
        <v>335</v>
      </c>
      <c r="O13" s="8">
        <v>0.01</v>
      </c>
      <c r="P13" s="7">
        <v>120</v>
      </c>
      <c r="Q13" s="7">
        <v>65</v>
      </c>
      <c r="R13" s="7">
        <v>1.5</v>
      </c>
      <c r="S13" s="39">
        <f t="shared" ref="S13:S18" si="6">E13*M13</f>
        <v>13422.5139</v>
      </c>
      <c r="T13" s="9"/>
      <c r="U13" s="10"/>
      <c r="V13" s="10"/>
      <c r="W13" s="10"/>
      <c r="X13" s="10"/>
      <c r="Y13" s="10"/>
      <c r="Z13" s="10"/>
      <c r="AA13" s="10"/>
      <c r="AB13" s="11"/>
      <c r="AC13" s="11"/>
    </row>
    <row r="14" s="1" customFormat="1" ht="83" customHeight="1" spans="1:29">
      <c r="A14" s="30">
        <v>11</v>
      </c>
      <c r="B14" s="44" t="s">
        <v>40</v>
      </c>
      <c r="C14" s="33" t="s">
        <v>41</v>
      </c>
      <c r="D14" s="44" t="s">
        <v>34</v>
      </c>
      <c r="E14" s="48">
        <v>67.84</v>
      </c>
      <c r="F14" s="46">
        <f>G14+H14+I14</f>
        <v>84.3</v>
      </c>
      <c r="G14" s="36">
        <f t="shared" si="2"/>
        <v>42</v>
      </c>
      <c r="H14" s="36">
        <f t="shared" si="3"/>
        <v>42.3</v>
      </c>
      <c r="I14" s="36">
        <f t="shared" si="4"/>
        <v>0</v>
      </c>
      <c r="J14" s="46">
        <f>F14*E14</f>
        <v>5718.912</v>
      </c>
      <c r="K14" s="47"/>
      <c r="L14" s="7">
        <f>16.52+16.07</f>
        <v>32.59</v>
      </c>
      <c r="M14" s="39">
        <f t="shared" si="5"/>
        <v>84.3</v>
      </c>
      <c r="N14" s="7">
        <f>30</f>
        <v>30</v>
      </c>
      <c r="O14" s="8">
        <v>0.01</v>
      </c>
      <c r="P14" s="7">
        <f>22+20</f>
        <v>42</v>
      </c>
      <c r="Q14" s="7">
        <f>12</f>
        <v>12</v>
      </c>
      <c r="R14" s="7"/>
      <c r="S14" s="39">
        <f t="shared" si="6"/>
        <v>5718.912</v>
      </c>
      <c r="T14" s="9"/>
      <c r="U14" s="10"/>
      <c r="V14" s="10"/>
      <c r="W14" s="10"/>
      <c r="X14" s="10"/>
      <c r="Y14" s="10"/>
      <c r="Z14" s="10"/>
      <c r="AA14" s="10"/>
      <c r="AB14" s="11"/>
      <c r="AC14" s="11"/>
    </row>
    <row r="15" s="1" customFormat="1" ht="76" customHeight="1" spans="1:29">
      <c r="A15" s="30">
        <v>12</v>
      </c>
      <c r="B15" s="44" t="s">
        <v>42</v>
      </c>
      <c r="C15" s="33" t="s">
        <v>43</v>
      </c>
      <c r="D15" s="44" t="s">
        <v>34</v>
      </c>
      <c r="E15" s="48">
        <v>42.38</v>
      </c>
      <c r="F15" s="46">
        <f>G15+H15+I15</f>
        <v>60.685</v>
      </c>
      <c r="G15" s="36">
        <f t="shared" si="2"/>
        <v>30</v>
      </c>
      <c r="H15" s="36">
        <f t="shared" si="3"/>
        <v>30.685</v>
      </c>
      <c r="I15" s="36">
        <f t="shared" si="4"/>
        <v>0</v>
      </c>
      <c r="J15" s="46">
        <f>F15*E15</f>
        <v>2571.8303</v>
      </c>
      <c r="K15" s="47"/>
      <c r="L15" s="7"/>
      <c r="M15" s="39">
        <f t="shared" si="5"/>
        <v>60.685</v>
      </c>
      <c r="N15" s="7">
        <f>18.5</f>
        <v>18.5</v>
      </c>
      <c r="O15" s="8">
        <v>0.01</v>
      </c>
      <c r="P15" s="7">
        <f>10+20</f>
        <v>30</v>
      </c>
      <c r="Q15" s="7">
        <f>12</f>
        <v>12</v>
      </c>
      <c r="R15" s="7"/>
      <c r="S15" s="39">
        <f t="shared" si="6"/>
        <v>2571.8303</v>
      </c>
      <c r="T15" s="9"/>
      <c r="U15" s="10"/>
      <c r="V15" s="10"/>
      <c r="W15" s="10"/>
      <c r="X15" s="10"/>
      <c r="Y15" s="10"/>
      <c r="Z15" s="10"/>
      <c r="AA15" s="10"/>
      <c r="AB15" s="11"/>
      <c r="AC15" s="11"/>
    </row>
    <row r="16" s="1" customFormat="1" ht="80" customHeight="1" spans="1:29">
      <c r="A16" s="30">
        <v>13</v>
      </c>
      <c r="B16" s="49" t="s">
        <v>44</v>
      </c>
      <c r="C16" s="50" t="s">
        <v>45</v>
      </c>
      <c r="D16" s="44" t="s">
        <v>34</v>
      </c>
      <c r="E16" s="48">
        <v>202.97</v>
      </c>
      <c r="F16" s="46">
        <f>G16+H16+I16</f>
        <v>221.5</v>
      </c>
      <c r="G16" s="36">
        <f t="shared" si="2"/>
        <v>65</v>
      </c>
      <c r="H16" s="36">
        <f t="shared" si="3"/>
        <v>156.5</v>
      </c>
      <c r="I16" s="36">
        <f t="shared" si="4"/>
        <v>0</v>
      </c>
      <c r="J16" s="46">
        <f>F16*E16</f>
        <v>44957.855</v>
      </c>
      <c r="K16" s="47"/>
      <c r="L16" s="7">
        <f>16.52+16.07+170.21</f>
        <v>202.8</v>
      </c>
      <c r="M16" s="39">
        <f t="shared" si="5"/>
        <v>221.5</v>
      </c>
      <c r="N16" s="7">
        <v>120</v>
      </c>
      <c r="O16" s="8">
        <v>0.16</v>
      </c>
      <c r="P16" s="7">
        <v>65</v>
      </c>
      <c r="Q16" s="7">
        <v>16.5</v>
      </c>
      <c r="R16" s="7">
        <v>0.8</v>
      </c>
      <c r="S16" s="39">
        <f t="shared" si="6"/>
        <v>44957.855</v>
      </c>
      <c r="T16" s="9"/>
      <c r="U16" s="10"/>
      <c r="V16" s="10"/>
      <c r="W16" s="10"/>
      <c r="X16" s="10"/>
      <c r="Y16" s="10"/>
      <c r="Z16" s="10"/>
      <c r="AA16" s="10"/>
      <c r="AB16" s="11"/>
      <c r="AC16" s="11"/>
    </row>
    <row r="17" s="1" customFormat="1" ht="80" customHeight="1" spans="1:29">
      <c r="A17" s="30">
        <v>14</v>
      </c>
      <c r="B17" s="49" t="s">
        <v>46</v>
      </c>
      <c r="C17" s="50" t="s">
        <v>47</v>
      </c>
      <c r="D17" s="44" t="s">
        <v>34</v>
      </c>
      <c r="E17" s="48">
        <v>77.52</v>
      </c>
      <c r="F17" s="46">
        <f>G17+H17+I17</f>
        <v>208.8</v>
      </c>
      <c r="G17" s="36">
        <f t="shared" si="2"/>
        <v>65</v>
      </c>
      <c r="H17" s="36">
        <f t="shared" si="3"/>
        <v>143.8</v>
      </c>
      <c r="I17" s="36">
        <f t="shared" si="4"/>
        <v>0</v>
      </c>
      <c r="J17" s="46">
        <f>F17*E17</f>
        <v>16186.176</v>
      </c>
      <c r="K17" s="47"/>
      <c r="L17" s="7">
        <f>11.04+37.51+12.08+9.5+7.8</f>
        <v>77.93</v>
      </c>
      <c r="M17" s="39">
        <f t="shared" si="5"/>
        <v>208.8</v>
      </c>
      <c r="N17" s="7">
        <v>115</v>
      </c>
      <c r="O17" s="8">
        <v>0.1</v>
      </c>
      <c r="P17" s="7">
        <v>65</v>
      </c>
      <c r="Q17" s="7">
        <v>16.5</v>
      </c>
      <c r="R17" s="7">
        <v>0.8</v>
      </c>
      <c r="S17" s="39">
        <f t="shared" si="6"/>
        <v>16186.176</v>
      </c>
      <c r="T17" s="9"/>
      <c r="U17" s="10"/>
      <c r="V17" s="10"/>
      <c r="W17" s="10"/>
      <c r="X17" s="10"/>
      <c r="Y17" s="10"/>
      <c r="Z17" s="10"/>
      <c r="AA17" s="10"/>
      <c r="AB17" s="11"/>
      <c r="AC17" s="11"/>
    </row>
    <row r="18" s="1" customFormat="1" ht="92" customHeight="1" spans="1:29">
      <c r="A18" s="30">
        <v>15</v>
      </c>
      <c r="B18" s="44" t="s">
        <v>48</v>
      </c>
      <c r="C18" s="33" t="s">
        <v>49</v>
      </c>
      <c r="D18" s="44" t="s">
        <v>34</v>
      </c>
      <c r="E18" s="48">
        <f>13.75*0.2</f>
        <v>2.75</v>
      </c>
      <c r="F18" s="46">
        <f t="shared" ref="F18:F25" si="7">G18+H18+I18</f>
        <v>637.9</v>
      </c>
      <c r="G18" s="36">
        <f t="shared" si="2"/>
        <v>140</v>
      </c>
      <c r="H18" s="36">
        <f t="shared" si="3"/>
        <v>497.9</v>
      </c>
      <c r="I18" s="36">
        <f t="shared" si="4"/>
        <v>0</v>
      </c>
      <c r="J18" s="46">
        <f t="shared" ref="J18:J25" si="8">F18*E18</f>
        <v>1754.225</v>
      </c>
      <c r="K18" s="47"/>
      <c r="L18" s="7"/>
      <c r="M18" s="39">
        <f t="shared" si="5"/>
        <v>637.9</v>
      </c>
      <c r="N18" s="7">
        <v>450</v>
      </c>
      <c r="O18" s="8">
        <v>0.03</v>
      </c>
      <c r="P18" s="7">
        <v>140</v>
      </c>
      <c r="Q18" s="7">
        <f>420*0.08</f>
        <v>33.6</v>
      </c>
      <c r="R18" s="7">
        <v>0.8</v>
      </c>
      <c r="S18" s="39">
        <f t="shared" si="6"/>
        <v>1754.225</v>
      </c>
      <c r="T18" s="9"/>
      <c r="U18" s="10"/>
      <c r="V18" s="10"/>
      <c r="W18" s="10"/>
      <c r="X18" s="10"/>
      <c r="Y18" s="10"/>
      <c r="Z18" s="10"/>
      <c r="AA18" s="10"/>
      <c r="AB18" s="11"/>
      <c r="AC18" s="11"/>
    </row>
    <row r="19" s="1" customFormat="1" spans="1:29">
      <c r="A19" s="30">
        <v>16</v>
      </c>
      <c r="B19" s="24" t="s">
        <v>50</v>
      </c>
      <c r="C19" s="24"/>
      <c r="D19" s="24"/>
      <c r="E19" s="51"/>
      <c r="F19" s="24"/>
      <c r="G19" s="24"/>
      <c r="H19" s="24"/>
      <c r="I19" s="24"/>
      <c r="J19" s="24"/>
      <c r="K19" s="25"/>
      <c r="L19" s="7"/>
      <c r="M19" s="7"/>
      <c r="N19" s="7"/>
      <c r="O19" s="8"/>
      <c r="P19" s="7"/>
      <c r="Q19" s="7"/>
      <c r="R19" s="7"/>
      <c r="S19" s="7"/>
      <c r="T19" s="9"/>
      <c r="U19" s="10"/>
      <c r="V19" s="10"/>
      <c r="W19" s="10"/>
      <c r="X19" s="10"/>
      <c r="Y19" s="10"/>
      <c r="Z19" s="10"/>
      <c r="AA19" s="10"/>
      <c r="AB19" s="11"/>
      <c r="AC19" s="11"/>
    </row>
    <row r="20" s="1" customFormat="1" ht="157.5" spans="1:29">
      <c r="A20" s="30">
        <v>17</v>
      </c>
      <c r="B20" s="49" t="s">
        <v>51</v>
      </c>
      <c r="C20" s="50" t="s">
        <v>52</v>
      </c>
      <c r="D20" s="44" t="s">
        <v>34</v>
      </c>
      <c r="E20" s="48">
        <v>142.77</v>
      </c>
      <c r="F20" s="46">
        <f t="shared" si="7"/>
        <v>129.145</v>
      </c>
      <c r="G20" s="36">
        <f t="shared" ref="G20:G25" si="9">P20*$P$1</f>
        <v>85</v>
      </c>
      <c r="H20" s="36">
        <f t="shared" ref="H20:H25" si="10">(N20+N20*O20)*$N$1+Q20*$Q$1+R20</f>
        <v>44.145</v>
      </c>
      <c r="I20" s="36">
        <f t="shared" ref="I20:I25" si="11">M20*$M$1</f>
        <v>0</v>
      </c>
      <c r="J20" s="46">
        <f t="shared" si="8"/>
        <v>18438.03165</v>
      </c>
      <c r="K20" s="47"/>
      <c r="L20" s="7">
        <f>16.52+16.07+170.21-33.7-17.48*0.2-8.95-17.54+1.5</f>
        <v>140.614</v>
      </c>
      <c r="M20" s="39">
        <f t="shared" ref="M20:M25" si="12">N20+N20*O20+P20+Q20+R20</f>
        <v>129.145</v>
      </c>
      <c r="N20" s="7">
        <v>14.5</v>
      </c>
      <c r="O20" s="8">
        <v>0.01</v>
      </c>
      <c r="P20" s="7">
        <v>85</v>
      </c>
      <c r="Q20" s="7">
        <f>26+3.5</f>
        <v>29.5</v>
      </c>
      <c r="R20" s="7"/>
      <c r="S20" s="39">
        <f t="shared" ref="S20:S25" si="13">E20*M20</f>
        <v>18438.03165</v>
      </c>
      <c r="T20" s="9"/>
      <c r="U20" s="10"/>
      <c r="V20" s="10"/>
      <c r="W20" s="10"/>
      <c r="X20" s="10"/>
      <c r="Y20" s="10"/>
      <c r="Z20" s="10"/>
      <c r="AA20" s="10"/>
      <c r="AB20" s="11"/>
      <c r="AC20" s="11"/>
    </row>
    <row r="21" s="1" customFormat="1" ht="77" customHeight="1" spans="1:29">
      <c r="A21" s="30">
        <v>18</v>
      </c>
      <c r="B21" s="44" t="s">
        <v>53</v>
      </c>
      <c r="C21" s="52" t="s">
        <v>54</v>
      </c>
      <c r="D21" s="44" t="s">
        <v>34</v>
      </c>
      <c r="E21" s="48">
        <v>9.68</v>
      </c>
      <c r="F21" s="46">
        <f t="shared" si="7"/>
        <v>551.4</v>
      </c>
      <c r="G21" s="36">
        <f t="shared" si="9"/>
        <v>125</v>
      </c>
      <c r="H21" s="36">
        <f t="shared" si="10"/>
        <v>426.4</v>
      </c>
      <c r="I21" s="36">
        <f t="shared" si="11"/>
        <v>0</v>
      </c>
      <c r="J21" s="46">
        <f t="shared" si="8"/>
        <v>5337.552</v>
      </c>
      <c r="K21" s="47"/>
      <c r="L21" s="7">
        <f>0.15*(32.5+27.16)</f>
        <v>8.949</v>
      </c>
      <c r="M21" s="39">
        <f t="shared" si="12"/>
        <v>551.4</v>
      </c>
      <c r="N21" s="7">
        <v>380</v>
      </c>
      <c r="O21" s="8">
        <v>0.03</v>
      </c>
      <c r="P21" s="7">
        <f>60+65</f>
        <v>125</v>
      </c>
      <c r="Q21" s="7">
        <f>28.5+6.5</f>
        <v>35</v>
      </c>
      <c r="R21" s="7"/>
      <c r="S21" s="39">
        <f t="shared" si="13"/>
        <v>5337.552</v>
      </c>
      <c r="T21" s="9"/>
      <c r="U21" s="10"/>
      <c r="V21" s="10"/>
      <c r="W21" s="10"/>
      <c r="X21" s="10"/>
      <c r="Y21" s="10"/>
      <c r="Z21" s="10"/>
      <c r="AA21" s="10"/>
      <c r="AB21" s="11"/>
      <c r="AC21" s="11"/>
    </row>
    <row r="22" s="1" customFormat="1" ht="57" customHeight="1" spans="1:29">
      <c r="A22" s="30">
        <v>19</v>
      </c>
      <c r="B22" s="44" t="s">
        <v>55</v>
      </c>
      <c r="C22" s="45" t="s">
        <v>56</v>
      </c>
      <c r="D22" s="44" t="s">
        <v>29</v>
      </c>
      <c r="E22" s="48">
        <v>17.58</v>
      </c>
      <c r="F22" s="46">
        <f t="shared" si="7"/>
        <v>86.528</v>
      </c>
      <c r="G22" s="36">
        <f t="shared" si="9"/>
        <v>60</v>
      </c>
      <c r="H22" s="36">
        <f t="shared" si="10"/>
        <v>26.528</v>
      </c>
      <c r="I22" s="36">
        <f t="shared" si="11"/>
        <v>0</v>
      </c>
      <c r="J22" s="46">
        <f t="shared" si="8"/>
        <v>1521.16224</v>
      </c>
      <c r="K22" s="47"/>
      <c r="L22" s="7">
        <f>4.4+2.05+4.61+3.66+2.76</f>
        <v>17.48</v>
      </c>
      <c r="M22" s="39">
        <f t="shared" si="12"/>
        <v>86.528</v>
      </c>
      <c r="N22" s="53">
        <v>22.8</v>
      </c>
      <c r="O22" s="54">
        <v>0.01</v>
      </c>
      <c r="P22" s="53">
        <v>60</v>
      </c>
      <c r="Q22" s="53">
        <v>3.5</v>
      </c>
      <c r="R22" s="55">
        <v>0</v>
      </c>
      <c r="S22" s="39">
        <f t="shared" si="13"/>
        <v>1521.16224</v>
      </c>
      <c r="T22" s="9"/>
      <c r="U22" s="10"/>
      <c r="V22" s="10"/>
      <c r="W22" s="10"/>
      <c r="X22" s="10"/>
      <c r="Y22" s="10"/>
      <c r="Z22" s="10"/>
      <c r="AA22" s="10"/>
      <c r="AB22" s="11"/>
      <c r="AC22" s="11"/>
    </row>
    <row r="23" s="1" customFormat="1" ht="55" customHeight="1" spans="1:29">
      <c r="A23" s="30">
        <v>20</v>
      </c>
      <c r="B23" s="56" t="s">
        <v>57</v>
      </c>
      <c r="C23" s="57" t="s">
        <v>58</v>
      </c>
      <c r="D23" s="44" t="s">
        <v>34</v>
      </c>
      <c r="E23" s="58">
        <v>16.98</v>
      </c>
      <c r="F23" s="46">
        <f t="shared" si="7"/>
        <v>556.020491803279</v>
      </c>
      <c r="G23" s="36">
        <f t="shared" si="9"/>
        <v>60</v>
      </c>
      <c r="H23" s="36">
        <f t="shared" si="10"/>
        <v>496.020491803279</v>
      </c>
      <c r="I23" s="36">
        <f t="shared" si="11"/>
        <v>0</v>
      </c>
      <c r="J23" s="46">
        <f t="shared" si="8"/>
        <v>9441.22795081967</v>
      </c>
      <c r="K23" s="47"/>
      <c r="L23" s="7">
        <f>0.3*(30.81+27.65)</f>
        <v>17.538</v>
      </c>
      <c r="M23" s="39">
        <f t="shared" si="12"/>
        <v>556.020491803279</v>
      </c>
      <c r="N23" s="53">
        <v>425</v>
      </c>
      <c r="O23" s="54">
        <v>0.01</v>
      </c>
      <c r="P23" s="53">
        <v>60</v>
      </c>
      <c r="Q23" s="53">
        <f>5.5*(4.3+4.8+2.8*2)/1.22</f>
        <v>66.2704918032787</v>
      </c>
      <c r="R23" s="53">
        <v>0.5</v>
      </c>
      <c r="S23" s="39">
        <f t="shared" si="13"/>
        <v>9441.22795081967</v>
      </c>
      <c r="T23" s="9"/>
      <c r="U23" s="10"/>
      <c r="V23" s="10"/>
      <c r="W23" s="10"/>
      <c r="X23" s="10"/>
      <c r="Y23" s="10"/>
      <c r="Z23" s="10"/>
      <c r="AA23" s="10"/>
      <c r="AB23" s="11"/>
      <c r="AC23" s="11"/>
    </row>
    <row r="24" s="1" customFormat="1" ht="54" customHeight="1" spans="1:29">
      <c r="A24" s="30">
        <v>21</v>
      </c>
      <c r="B24" s="49" t="s">
        <v>59</v>
      </c>
      <c r="C24" s="50" t="s">
        <v>60</v>
      </c>
      <c r="D24" s="49" t="s">
        <v>34</v>
      </c>
      <c r="E24" s="48">
        <v>157.047</v>
      </c>
      <c r="F24" s="46">
        <f t="shared" si="7"/>
        <v>47.845</v>
      </c>
      <c r="G24" s="36">
        <f t="shared" si="9"/>
        <v>36</v>
      </c>
      <c r="H24" s="36">
        <f t="shared" si="10"/>
        <v>11.845</v>
      </c>
      <c r="I24" s="36">
        <f t="shared" si="11"/>
        <v>0</v>
      </c>
      <c r="J24" s="46">
        <f t="shared" si="8"/>
        <v>7513.913715</v>
      </c>
      <c r="K24" s="47"/>
      <c r="L24" s="7">
        <f>L20</f>
        <v>140.614</v>
      </c>
      <c r="M24" s="39">
        <f t="shared" si="12"/>
        <v>47.845</v>
      </c>
      <c r="N24" s="7">
        <v>4.5</v>
      </c>
      <c r="O24" s="8">
        <v>0.01</v>
      </c>
      <c r="P24" s="7">
        <v>36</v>
      </c>
      <c r="Q24" s="7">
        <v>7</v>
      </c>
      <c r="R24" s="7">
        <v>0.3</v>
      </c>
      <c r="S24" s="39">
        <f t="shared" si="13"/>
        <v>7513.913715</v>
      </c>
      <c r="T24" s="9"/>
      <c r="U24" s="10"/>
      <c r="V24" s="10"/>
      <c r="W24" s="10"/>
      <c r="X24" s="10"/>
      <c r="Y24" s="10"/>
      <c r="Z24" s="10"/>
      <c r="AA24" s="10"/>
      <c r="AB24" s="11"/>
      <c r="AC24" s="11"/>
    </row>
    <row r="25" s="1" customFormat="1" ht="54" customHeight="1" spans="1:29">
      <c r="A25" s="30">
        <v>22</v>
      </c>
      <c r="B25" s="49" t="s">
        <v>61</v>
      </c>
      <c r="C25" s="50" t="s">
        <v>62</v>
      </c>
      <c r="D25" s="49" t="s">
        <v>34</v>
      </c>
      <c r="E25" s="48">
        <v>77.52</v>
      </c>
      <c r="F25" s="46">
        <f t="shared" si="7"/>
        <v>14.04</v>
      </c>
      <c r="G25" s="36">
        <f t="shared" si="9"/>
        <v>8</v>
      </c>
      <c r="H25" s="36">
        <f t="shared" si="10"/>
        <v>6.04</v>
      </c>
      <c r="I25" s="36">
        <f t="shared" si="11"/>
        <v>0</v>
      </c>
      <c r="J25" s="46">
        <f t="shared" si="8"/>
        <v>1088.3808</v>
      </c>
      <c r="K25" s="47"/>
      <c r="L25" s="7">
        <f>11.04+37.51+12.08+9.5+7.8</f>
        <v>77.93</v>
      </c>
      <c r="M25" s="39">
        <f t="shared" si="12"/>
        <v>14.04</v>
      </c>
      <c r="N25" s="53">
        <v>4</v>
      </c>
      <c r="O25" s="54">
        <v>0.01</v>
      </c>
      <c r="P25" s="53">
        <v>8</v>
      </c>
      <c r="Q25" s="53">
        <v>0.5</v>
      </c>
      <c r="R25" s="53">
        <v>1.5</v>
      </c>
      <c r="S25" s="39">
        <f t="shared" si="13"/>
        <v>1088.3808</v>
      </c>
      <c r="T25" s="9"/>
      <c r="U25" s="10"/>
      <c r="V25" s="10"/>
      <c r="W25" s="10"/>
      <c r="X25" s="10"/>
      <c r="Y25" s="10"/>
      <c r="Z25" s="10"/>
      <c r="AA25" s="10"/>
      <c r="AB25" s="11"/>
      <c r="AC25" s="11"/>
    </row>
    <row r="26" s="1" customFormat="1" ht="22.5" spans="1:29">
      <c r="A26" s="30">
        <v>23</v>
      </c>
      <c r="B26" s="24" t="s">
        <v>63</v>
      </c>
      <c r="C26" s="24"/>
      <c r="D26" s="24"/>
      <c r="E26" s="51"/>
      <c r="F26" s="24"/>
      <c r="G26" s="24"/>
      <c r="H26" s="24"/>
      <c r="I26" s="24"/>
      <c r="J26" s="24"/>
      <c r="K26" s="25"/>
      <c r="L26" s="7"/>
      <c r="M26" s="7"/>
      <c r="N26" s="7"/>
      <c r="O26" s="8"/>
      <c r="P26" s="7"/>
      <c r="Q26" s="7"/>
      <c r="R26" s="7"/>
      <c r="S26" s="7"/>
      <c r="T26" s="9"/>
      <c r="U26" s="10"/>
      <c r="V26" s="10"/>
      <c r="W26" s="10"/>
      <c r="X26" s="10"/>
      <c r="Y26" s="10"/>
      <c r="Z26" s="10"/>
      <c r="AA26" s="10"/>
      <c r="AB26" s="11"/>
      <c r="AC26" s="11"/>
    </row>
    <row r="27" s="1" customFormat="1" ht="102" customHeight="1" spans="1:29">
      <c r="A27" s="30">
        <v>24</v>
      </c>
      <c r="B27" s="44" t="s">
        <v>64</v>
      </c>
      <c r="C27" s="59" t="s">
        <v>65</v>
      </c>
      <c r="D27" s="44" t="s">
        <v>34</v>
      </c>
      <c r="E27" s="48">
        <v>159.20375</v>
      </c>
      <c r="F27" s="46">
        <f t="shared" ref="F27:F33" si="14">G27+H27+I27</f>
        <v>214.3</v>
      </c>
      <c r="G27" s="36">
        <f t="shared" ref="G27:G40" si="15">P27*$P$1</f>
        <v>65</v>
      </c>
      <c r="H27" s="36">
        <f t="shared" ref="H27:H40" si="16">(N27+N27*O27)*$N$1+Q27*$Q$1+R27</f>
        <v>149.3</v>
      </c>
      <c r="I27" s="36">
        <f t="shared" ref="I27:I40" si="17">M27*$M$1</f>
        <v>0</v>
      </c>
      <c r="J27" s="46">
        <f t="shared" ref="J27:J33" si="18">F27*E27</f>
        <v>34117.363625</v>
      </c>
      <c r="K27" s="47"/>
      <c r="L27" s="7">
        <f>(2.8-0.05)*(13-1.24*4-0.025*2+35.32-2.025-2.25+29.65-2.025)-5.13-2.3*(1*2+1.5*2+1.6*2)</f>
        <v>159.325</v>
      </c>
      <c r="M27" s="39">
        <f t="shared" ref="M27:M40" si="19">N27+N27*O27+P27+Q27+R27</f>
        <v>214.3</v>
      </c>
      <c r="N27" s="7">
        <v>120</v>
      </c>
      <c r="O27" s="8">
        <v>0.1</v>
      </c>
      <c r="P27" s="7">
        <v>65</v>
      </c>
      <c r="Q27" s="7">
        <v>16.5</v>
      </c>
      <c r="R27" s="7">
        <v>0.8</v>
      </c>
      <c r="S27" s="39">
        <f t="shared" ref="S27:S40" si="20">E27*M27</f>
        <v>34117.363625</v>
      </c>
      <c r="T27" s="9"/>
      <c r="U27" s="10"/>
      <c r="V27" s="10"/>
      <c r="W27" s="10"/>
      <c r="X27" s="10"/>
      <c r="Y27" s="10"/>
      <c r="Z27" s="10"/>
      <c r="AA27" s="10"/>
      <c r="AB27" s="11"/>
      <c r="AC27" s="11"/>
    </row>
    <row r="28" s="1" customFormat="1" ht="102" customHeight="1" spans="1:29">
      <c r="A28" s="30">
        <v>25</v>
      </c>
      <c r="B28" s="44" t="s">
        <v>66</v>
      </c>
      <c r="C28" s="59" t="s">
        <v>65</v>
      </c>
      <c r="D28" s="44" t="s">
        <v>34</v>
      </c>
      <c r="E28" s="48">
        <v>83.796</v>
      </c>
      <c r="F28" s="46">
        <f t="shared" si="14"/>
        <v>221.5</v>
      </c>
      <c r="G28" s="36">
        <f t="shared" si="15"/>
        <v>65</v>
      </c>
      <c r="H28" s="36">
        <f t="shared" si="16"/>
        <v>156.5</v>
      </c>
      <c r="I28" s="36">
        <f t="shared" si="17"/>
        <v>0</v>
      </c>
      <c r="J28" s="46">
        <f t="shared" si="18"/>
        <v>18560.814</v>
      </c>
      <c r="K28" s="47"/>
      <c r="L28" s="7">
        <f>2.8*(16.62+16.18+4.95-3.35)-1*2.4*2-2.42*1.21*2-0.7*2.4</f>
        <v>83.9836</v>
      </c>
      <c r="M28" s="39">
        <f t="shared" si="19"/>
        <v>221.5</v>
      </c>
      <c r="N28" s="7">
        <v>120</v>
      </c>
      <c r="O28" s="8">
        <v>0.16</v>
      </c>
      <c r="P28" s="7">
        <v>65</v>
      </c>
      <c r="Q28" s="7">
        <v>16.5</v>
      </c>
      <c r="R28" s="7">
        <v>0.8</v>
      </c>
      <c r="S28" s="39">
        <f t="shared" si="20"/>
        <v>18560.814</v>
      </c>
      <c r="T28" s="9"/>
      <c r="U28" s="10"/>
      <c r="V28" s="10"/>
      <c r="W28" s="10"/>
      <c r="X28" s="10"/>
      <c r="Y28" s="10"/>
      <c r="Z28" s="10"/>
      <c r="AA28" s="10"/>
      <c r="AB28" s="11"/>
      <c r="AC28" s="11"/>
    </row>
    <row r="29" s="1" customFormat="1" ht="56.25" spans="1:29">
      <c r="A29" s="30">
        <v>26</v>
      </c>
      <c r="B29" s="44" t="s">
        <v>67</v>
      </c>
      <c r="C29" s="45" t="s">
        <v>68</v>
      </c>
      <c r="D29" s="44" t="s">
        <v>34</v>
      </c>
      <c r="E29" s="48">
        <v>31.77</v>
      </c>
      <c r="F29" s="46">
        <f t="shared" si="14"/>
        <v>55.3</v>
      </c>
      <c r="G29" s="36">
        <f t="shared" si="15"/>
        <v>25</v>
      </c>
      <c r="H29" s="36">
        <f t="shared" si="16"/>
        <v>30.3</v>
      </c>
      <c r="I29" s="36">
        <f t="shared" si="17"/>
        <v>0</v>
      </c>
      <c r="J29" s="46">
        <f t="shared" si="18"/>
        <v>1756.881</v>
      </c>
      <c r="K29" s="47"/>
      <c r="L29" s="7"/>
      <c r="M29" s="39">
        <f t="shared" si="19"/>
        <v>55.3</v>
      </c>
      <c r="N29" s="7">
        <f>30</f>
        <v>30</v>
      </c>
      <c r="O29" s="8">
        <v>0.01</v>
      </c>
      <c r="P29" s="7">
        <v>25</v>
      </c>
      <c r="Q29" s="7">
        <v>0</v>
      </c>
      <c r="R29" s="7"/>
      <c r="S29" s="39">
        <f t="shared" si="20"/>
        <v>1756.881</v>
      </c>
      <c r="T29" s="9"/>
      <c r="U29" s="10"/>
      <c r="V29" s="10"/>
      <c r="W29" s="10"/>
      <c r="X29" s="10"/>
      <c r="Y29" s="10"/>
      <c r="Z29" s="10"/>
      <c r="AA29" s="10"/>
      <c r="AB29" s="11"/>
      <c r="AC29" s="11"/>
    </row>
    <row r="30" s="1" customFormat="1" ht="90" spans="1:29">
      <c r="A30" s="30">
        <v>27</v>
      </c>
      <c r="B30" s="44" t="s">
        <v>69</v>
      </c>
      <c r="C30" s="59" t="s">
        <v>70</v>
      </c>
      <c r="D30" s="44" t="s">
        <v>34</v>
      </c>
      <c r="E30" s="48">
        <v>1.075</v>
      </c>
      <c r="F30" s="46">
        <f t="shared" si="14"/>
        <v>577.5</v>
      </c>
      <c r="G30" s="36">
        <f t="shared" si="15"/>
        <v>120</v>
      </c>
      <c r="H30" s="36">
        <f t="shared" si="16"/>
        <v>457.5</v>
      </c>
      <c r="I30" s="36">
        <f t="shared" si="17"/>
        <v>0</v>
      </c>
      <c r="J30" s="46">
        <f t="shared" si="18"/>
        <v>620.8125</v>
      </c>
      <c r="K30" s="47"/>
      <c r="L30" s="7"/>
      <c r="M30" s="39">
        <f t="shared" si="19"/>
        <v>577.5</v>
      </c>
      <c r="N30" s="7">
        <v>420</v>
      </c>
      <c r="O30" s="8">
        <v>0.05</v>
      </c>
      <c r="P30" s="7">
        <v>120</v>
      </c>
      <c r="Q30" s="7">
        <v>16.5</v>
      </c>
      <c r="R30" s="7"/>
      <c r="S30" s="39">
        <f t="shared" si="20"/>
        <v>620.8125</v>
      </c>
      <c r="T30" s="9"/>
      <c r="U30" s="10"/>
      <c r="V30" s="10"/>
      <c r="W30" s="10"/>
      <c r="X30" s="10"/>
      <c r="Y30" s="10"/>
      <c r="Z30" s="10"/>
      <c r="AA30" s="10"/>
      <c r="AB30" s="11"/>
      <c r="AC30" s="11"/>
    </row>
    <row r="31" s="1" customFormat="1" ht="44" customHeight="1" spans="1:29">
      <c r="A31" s="30">
        <v>28</v>
      </c>
      <c r="B31" s="60" t="s">
        <v>71</v>
      </c>
      <c r="C31" s="50" t="s">
        <v>72</v>
      </c>
      <c r="D31" s="44" t="s">
        <v>34</v>
      </c>
      <c r="E31" s="48">
        <v>20.16</v>
      </c>
      <c r="F31" s="46">
        <f t="shared" si="14"/>
        <v>441.8</v>
      </c>
      <c r="G31" s="36">
        <f t="shared" si="15"/>
        <v>50</v>
      </c>
      <c r="H31" s="36">
        <f t="shared" si="16"/>
        <v>391.8</v>
      </c>
      <c r="I31" s="36">
        <f t="shared" si="17"/>
        <v>0</v>
      </c>
      <c r="J31" s="46">
        <f t="shared" si="18"/>
        <v>8906.688</v>
      </c>
      <c r="K31" s="47"/>
      <c r="L31" s="7"/>
      <c r="M31" s="39">
        <f t="shared" si="19"/>
        <v>441.8</v>
      </c>
      <c r="N31" s="7">
        <v>350</v>
      </c>
      <c r="O31" s="8">
        <v>0.1</v>
      </c>
      <c r="P31" s="7">
        <v>50</v>
      </c>
      <c r="Q31" s="7">
        <v>6.5</v>
      </c>
      <c r="R31" s="7">
        <v>0.3</v>
      </c>
      <c r="S31" s="39">
        <f t="shared" si="20"/>
        <v>8906.688</v>
      </c>
      <c r="T31" s="9"/>
      <c r="U31" s="10"/>
      <c r="V31" s="10"/>
      <c r="W31" s="10"/>
      <c r="X31" s="10"/>
      <c r="Y31" s="10"/>
      <c r="Z31" s="10"/>
      <c r="AA31" s="10"/>
      <c r="AB31" s="11"/>
      <c r="AC31" s="11"/>
    </row>
    <row r="32" s="1" customFormat="1" ht="78.75" spans="1:29">
      <c r="A32" s="30">
        <v>29</v>
      </c>
      <c r="B32" s="44" t="s">
        <v>73</v>
      </c>
      <c r="C32" s="45" t="s">
        <v>74</v>
      </c>
      <c r="D32" s="44" t="s">
        <v>34</v>
      </c>
      <c r="E32" s="48">
        <v>5.1275</v>
      </c>
      <c r="F32" s="46">
        <f t="shared" si="14"/>
        <v>704.374430328695</v>
      </c>
      <c r="G32" s="36">
        <f t="shared" si="15"/>
        <v>210</v>
      </c>
      <c r="H32" s="36">
        <f t="shared" si="16"/>
        <v>494.374430328695</v>
      </c>
      <c r="I32" s="36">
        <f t="shared" si="17"/>
        <v>0</v>
      </c>
      <c r="J32" s="46">
        <f t="shared" si="18"/>
        <v>3611.67989151038</v>
      </c>
      <c r="K32" s="47"/>
      <c r="L32" s="7"/>
      <c r="M32" s="39">
        <f t="shared" si="19"/>
        <v>704.374430328695</v>
      </c>
      <c r="N32" s="7">
        <v>120</v>
      </c>
      <c r="O32" s="61">
        <v>0.16</v>
      </c>
      <c r="P32" s="62">
        <v>210</v>
      </c>
      <c r="Q32" s="62">
        <f>(27.3*5+30*2+25+25+16.5)/(0.87*1.14)+33.5+55</f>
        <v>353.674430328695</v>
      </c>
      <c r="R32" s="7">
        <v>1.5</v>
      </c>
      <c r="S32" s="39">
        <f t="shared" si="20"/>
        <v>3611.67989151038</v>
      </c>
      <c r="T32" s="9"/>
      <c r="U32" s="10"/>
      <c r="V32" s="10"/>
      <c r="W32" s="10"/>
      <c r="X32" s="10"/>
      <c r="Y32" s="10"/>
      <c r="Z32" s="10"/>
      <c r="AA32" s="10"/>
      <c r="AB32" s="11"/>
      <c r="AC32" s="11"/>
    </row>
    <row r="33" s="1" customFormat="1" ht="70" customHeight="1" spans="1:29">
      <c r="A33" s="30">
        <v>30</v>
      </c>
      <c r="B33" s="44" t="s">
        <v>75</v>
      </c>
      <c r="C33" s="33" t="s">
        <v>76</v>
      </c>
      <c r="D33" s="44" t="s">
        <v>34</v>
      </c>
      <c r="E33" s="48">
        <v>30.112</v>
      </c>
      <c r="F33" s="46">
        <f t="shared" si="14"/>
        <v>558.3</v>
      </c>
      <c r="G33" s="36">
        <f t="shared" si="15"/>
        <v>125</v>
      </c>
      <c r="H33" s="36">
        <f t="shared" si="16"/>
        <v>433.3</v>
      </c>
      <c r="I33" s="36">
        <f t="shared" si="17"/>
        <v>0</v>
      </c>
      <c r="J33" s="46">
        <f t="shared" si="18"/>
        <v>16811.5296</v>
      </c>
      <c r="K33" s="47"/>
      <c r="L33" s="7"/>
      <c r="M33" s="39">
        <f t="shared" si="19"/>
        <v>558.3</v>
      </c>
      <c r="N33" s="7">
        <v>380</v>
      </c>
      <c r="O33" s="61">
        <v>0.01</v>
      </c>
      <c r="P33" s="62">
        <f>45+80</f>
        <v>125</v>
      </c>
      <c r="Q33" s="62">
        <f>12.5+28.5+8.5</f>
        <v>49.5</v>
      </c>
      <c r="R33" s="7"/>
      <c r="S33" s="39">
        <f t="shared" si="20"/>
        <v>16811.5296</v>
      </c>
      <c r="T33" s="9"/>
      <c r="U33" s="10"/>
      <c r="V33" s="10"/>
      <c r="W33" s="10"/>
      <c r="X33" s="10"/>
      <c r="Y33" s="10"/>
      <c r="Z33" s="10"/>
      <c r="AA33" s="10"/>
      <c r="AB33" s="11"/>
      <c r="AC33" s="11"/>
    </row>
    <row r="34" s="1" customFormat="1" ht="79" customHeight="1" spans="1:29">
      <c r="A34" s="30">
        <v>31</v>
      </c>
      <c r="B34" s="44" t="s">
        <v>77</v>
      </c>
      <c r="C34" s="45" t="s">
        <v>78</v>
      </c>
      <c r="D34" s="44" t="s">
        <v>34</v>
      </c>
      <c r="E34" s="48">
        <v>266.195</v>
      </c>
      <c r="F34" s="46">
        <f t="shared" ref="F34:F40" si="21">G34+H34+I34</f>
        <v>53.845</v>
      </c>
      <c r="G34" s="36">
        <f t="shared" si="15"/>
        <v>42</v>
      </c>
      <c r="H34" s="36">
        <f t="shared" si="16"/>
        <v>11.845</v>
      </c>
      <c r="I34" s="36">
        <f t="shared" si="17"/>
        <v>0</v>
      </c>
      <c r="J34" s="46">
        <f t="shared" ref="J34:J40" si="22">F34*E34</f>
        <v>14333.269775</v>
      </c>
      <c r="K34" s="47"/>
      <c r="L34" s="7">
        <f>2.75*(4.65+6.43*2+1.4)-0.9*2.3*2-0.7*2.3+4*(12.8+12.6+3.4*2)-0.6*2.3*3-1.2*2.3-1.5*2.3*2+3.4*(3.65*2+3.35+2.65+20.08+12.6+11.9-1.4-0.6*3-1-1-0.6-1.28-1.65-1.95)-1.6*2.3*2-1.2*2.3</f>
        <v>311.6125</v>
      </c>
      <c r="M34" s="39">
        <f t="shared" si="19"/>
        <v>53.845</v>
      </c>
      <c r="N34" s="7">
        <f>$N$24</f>
        <v>4.5</v>
      </c>
      <c r="O34" s="8">
        <f>$O$24</f>
        <v>0.01</v>
      </c>
      <c r="P34" s="7">
        <v>42</v>
      </c>
      <c r="Q34" s="7">
        <f>$Q$24</f>
        <v>7</v>
      </c>
      <c r="R34" s="7">
        <f>$R$24</f>
        <v>0.3</v>
      </c>
      <c r="S34" s="39">
        <f t="shared" si="20"/>
        <v>14333.269775</v>
      </c>
      <c r="T34" s="9"/>
      <c r="U34" s="10"/>
      <c r="V34" s="10"/>
      <c r="W34" s="10"/>
      <c r="X34" s="10"/>
      <c r="Y34" s="10"/>
      <c r="Z34" s="10"/>
      <c r="AA34" s="10"/>
      <c r="AB34" s="11"/>
      <c r="AC34" s="11"/>
    </row>
    <row r="35" s="1" customFormat="1" ht="48" customHeight="1" spans="1:29">
      <c r="A35" s="30">
        <v>32</v>
      </c>
      <c r="B35" s="44" t="s">
        <v>79</v>
      </c>
      <c r="C35" s="45" t="s">
        <v>80</v>
      </c>
      <c r="D35" s="44" t="s">
        <v>29</v>
      </c>
      <c r="E35" s="48">
        <v>152.775</v>
      </c>
      <c r="F35" s="46">
        <f t="shared" si="21"/>
        <v>40.809</v>
      </c>
      <c r="G35" s="36">
        <f t="shared" si="15"/>
        <v>12</v>
      </c>
      <c r="H35" s="36">
        <f t="shared" si="16"/>
        <v>28.809</v>
      </c>
      <c r="I35" s="36">
        <f t="shared" si="17"/>
        <v>0</v>
      </c>
      <c r="J35" s="46">
        <f t="shared" si="22"/>
        <v>6234.594975</v>
      </c>
      <c r="K35" s="47"/>
      <c r="L35" s="7"/>
      <c r="M35" s="39">
        <f t="shared" si="19"/>
        <v>40.809</v>
      </c>
      <c r="N35" s="7">
        <f>380*0.06+2.5</f>
        <v>25.3</v>
      </c>
      <c r="O35" s="61">
        <v>0.03</v>
      </c>
      <c r="P35" s="62">
        <v>12</v>
      </c>
      <c r="Q35" s="62">
        <f>25*0.05+1.5</f>
        <v>2.75</v>
      </c>
      <c r="R35" s="7"/>
      <c r="S35" s="39">
        <f t="shared" si="20"/>
        <v>6234.594975</v>
      </c>
      <c r="T35" s="9"/>
      <c r="U35" s="10"/>
      <c r="V35" s="10"/>
      <c r="W35" s="10"/>
      <c r="X35" s="10"/>
      <c r="Y35" s="10"/>
      <c r="Z35" s="10"/>
      <c r="AA35" s="10"/>
      <c r="AB35" s="11"/>
      <c r="AC35" s="11"/>
    </row>
    <row r="36" s="1" customFormat="1" ht="56.25" spans="1:29">
      <c r="A36" s="30">
        <v>33</v>
      </c>
      <c r="B36" s="44" t="s">
        <v>81</v>
      </c>
      <c r="C36" s="45" t="s">
        <v>82</v>
      </c>
      <c r="D36" s="63" t="s">
        <v>29</v>
      </c>
      <c r="E36" s="48">
        <v>4.3</v>
      </c>
      <c r="F36" s="46">
        <f t="shared" si="21"/>
        <v>691.83</v>
      </c>
      <c r="G36" s="36">
        <f t="shared" si="15"/>
        <v>150</v>
      </c>
      <c r="H36" s="36">
        <f t="shared" si="16"/>
        <v>541.83</v>
      </c>
      <c r="I36" s="36">
        <f t="shared" si="17"/>
        <v>0</v>
      </c>
      <c r="J36" s="46">
        <f t="shared" si="22"/>
        <v>2974.869</v>
      </c>
      <c r="K36" s="47"/>
      <c r="L36" s="7"/>
      <c r="M36" s="39">
        <f t="shared" si="19"/>
        <v>691.83</v>
      </c>
      <c r="N36" s="7">
        <f>450*0.6+360*0.35</f>
        <v>396</v>
      </c>
      <c r="O36" s="61">
        <v>0.03</v>
      </c>
      <c r="P36" s="62">
        <v>150</v>
      </c>
      <c r="Q36" s="62">
        <f>10.79*5+5*6+33.5+16.5</f>
        <v>133.95</v>
      </c>
      <c r="R36" s="7"/>
      <c r="S36" s="39">
        <f t="shared" si="20"/>
        <v>2974.869</v>
      </c>
      <c r="T36" s="9"/>
      <c r="U36" s="10"/>
      <c r="V36" s="10"/>
      <c r="W36" s="10"/>
      <c r="X36" s="10"/>
      <c r="Y36" s="10"/>
      <c r="Z36" s="10"/>
      <c r="AA36" s="10"/>
      <c r="AB36" s="11"/>
      <c r="AC36" s="11"/>
    </row>
    <row r="37" s="1" customFormat="1" ht="60" customHeight="1" spans="1:29">
      <c r="A37" s="30">
        <v>34</v>
      </c>
      <c r="B37" s="44" t="s">
        <v>83</v>
      </c>
      <c r="C37" s="45" t="s">
        <v>84</v>
      </c>
      <c r="D37" s="44" t="s">
        <v>34</v>
      </c>
      <c r="E37" s="48">
        <v>5.16</v>
      </c>
      <c r="F37" s="46">
        <f t="shared" si="21"/>
        <v>735</v>
      </c>
      <c r="G37" s="36">
        <f t="shared" si="15"/>
        <v>80</v>
      </c>
      <c r="H37" s="36">
        <f t="shared" si="16"/>
        <v>655</v>
      </c>
      <c r="I37" s="36">
        <f t="shared" si="17"/>
        <v>0</v>
      </c>
      <c r="J37" s="46">
        <f t="shared" si="22"/>
        <v>3792.6</v>
      </c>
      <c r="K37" s="47"/>
      <c r="L37" s="7"/>
      <c r="M37" s="39">
        <f t="shared" si="19"/>
        <v>735</v>
      </c>
      <c r="N37" s="7">
        <v>650</v>
      </c>
      <c r="O37" s="61">
        <v>0</v>
      </c>
      <c r="P37" s="62">
        <v>80</v>
      </c>
      <c r="Q37" s="62">
        <v>5</v>
      </c>
      <c r="R37" s="7"/>
      <c r="S37" s="39">
        <f t="shared" si="20"/>
        <v>3792.6</v>
      </c>
      <c r="T37" s="9"/>
      <c r="U37" s="10"/>
      <c r="V37" s="10"/>
      <c r="W37" s="10"/>
      <c r="X37" s="10"/>
      <c r="Y37" s="10"/>
      <c r="Z37" s="10"/>
      <c r="AA37" s="10"/>
      <c r="AB37" s="11"/>
      <c r="AC37" s="11"/>
    </row>
    <row r="38" s="1" customFormat="1" ht="33" customHeight="1" spans="1:29">
      <c r="A38" s="30">
        <v>35</v>
      </c>
      <c r="B38" s="44" t="s">
        <v>85</v>
      </c>
      <c r="C38" s="45" t="s">
        <v>86</v>
      </c>
      <c r="D38" s="44" t="s">
        <v>87</v>
      </c>
      <c r="E38" s="48">
        <v>2</v>
      </c>
      <c r="F38" s="46">
        <f t="shared" si="21"/>
        <v>207.5</v>
      </c>
      <c r="G38" s="36">
        <f t="shared" si="15"/>
        <v>50</v>
      </c>
      <c r="H38" s="36">
        <f t="shared" si="16"/>
        <v>157.5</v>
      </c>
      <c r="I38" s="36">
        <f t="shared" si="17"/>
        <v>0</v>
      </c>
      <c r="J38" s="46">
        <f t="shared" si="22"/>
        <v>415</v>
      </c>
      <c r="K38" s="47"/>
      <c r="L38" s="7"/>
      <c r="M38" s="39">
        <f t="shared" si="19"/>
        <v>207.5</v>
      </c>
      <c r="N38" s="7">
        <f>295*0.5*1</f>
        <v>147.5</v>
      </c>
      <c r="O38" s="61">
        <v>0</v>
      </c>
      <c r="P38" s="62">
        <v>50</v>
      </c>
      <c r="Q38" s="62">
        <v>10</v>
      </c>
      <c r="R38" s="7"/>
      <c r="S38" s="39">
        <f t="shared" si="20"/>
        <v>415</v>
      </c>
      <c r="T38" s="9"/>
      <c r="U38" s="10"/>
      <c r="V38" s="10"/>
      <c r="W38" s="10"/>
      <c r="X38" s="10"/>
      <c r="Y38" s="10"/>
      <c r="Z38" s="10"/>
      <c r="AA38" s="10"/>
      <c r="AB38" s="11"/>
      <c r="AC38" s="11"/>
    </row>
    <row r="39" s="1" customFormat="1" ht="33" customHeight="1" spans="1:29">
      <c r="A39" s="30">
        <v>36</v>
      </c>
      <c r="B39" s="44" t="s">
        <v>88</v>
      </c>
      <c r="C39" s="45" t="s">
        <v>89</v>
      </c>
      <c r="D39" s="44" t="s">
        <v>90</v>
      </c>
      <c r="E39" s="48">
        <v>9</v>
      </c>
      <c r="F39" s="46">
        <f t="shared" si="21"/>
        <v>2105.4</v>
      </c>
      <c r="G39" s="36">
        <f t="shared" si="15"/>
        <v>180</v>
      </c>
      <c r="H39" s="36">
        <f t="shared" si="16"/>
        <v>1925.4</v>
      </c>
      <c r="I39" s="36">
        <f t="shared" si="17"/>
        <v>0</v>
      </c>
      <c r="J39" s="46">
        <f t="shared" si="22"/>
        <v>18948.6</v>
      </c>
      <c r="K39" s="47"/>
      <c r="L39" s="7"/>
      <c r="M39" s="39">
        <f t="shared" si="19"/>
        <v>2105.4</v>
      </c>
      <c r="N39" s="7">
        <f>305*6.28</f>
        <v>1915.4</v>
      </c>
      <c r="O39" s="61">
        <v>0</v>
      </c>
      <c r="P39" s="62">
        <f>30*6</f>
        <v>180</v>
      </c>
      <c r="Q39" s="62">
        <v>10</v>
      </c>
      <c r="R39" s="7"/>
      <c r="S39" s="39">
        <f t="shared" si="20"/>
        <v>18948.6</v>
      </c>
      <c r="T39" s="9">
        <f>2.2*(3.675+1.55*5)/4</f>
        <v>6.28375</v>
      </c>
      <c r="U39" s="10"/>
      <c r="V39" s="10"/>
      <c r="W39" s="10"/>
      <c r="X39" s="10"/>
      <c r="Y39" s="10"/>
      <c r="Z39" s="10"/>
      <c r="AA39" s="10"/>
      <c r="AB39" s="11"/>
      <c r="AC39" s="11"/>
    </row>
    <row r="40" s="1" customFormat="1" ht="47" customHeight="1" spans="1:29">
      <c r="A40" s="30">
        <v>37</v>
      </c>
      <c r="B40" s="44" t="s">
        <v>91</v>
      </c>
      <c r="C40" s="52" t="s">
        <v>92</v>
      </c>
      <c r="D40" s="44" t="s">
        <v>34</v>
      </c>
      <c r="E40" s="48">
        <v>16.94</v>
      </c>
      <c r="F40" s="46">
        <f t="shared" si="21"/>
        <v>144.485</v>
      </c>
      <c r="G40" s="36">
        <f t="shared" si="15"/>
        <v>63</v>
      </c>
      <c r="H40" s="36">
        <f t="shared" si="16"/>
        <v>81.485</v>
      </c>
      <c r="I40" s="36">
        <f t="shared" si="17"/>
        <v>0</v>
      </c>
      <c r="J40" s="46">
        <f t="shared" si="22"/>
        <v>2447.5759</v>
      </c>
      <c r="K40" s="47"/>
      <c r="L40" s="7"/>
      <c r="M40" s="39">
        <f t="shared" si="19"/>
        <v>144.485</v>
      </c>
      <c r="N40" s="7">
        <v>23.5</v>
      </c>
      <c r="O40" s="8">
        <v>0.01</v>
      </c>
      <c r="P40" s="7">
        <f>45+18</f>
        <v>63</v>
      </c>
      <c r="Q40" s="7">
        <f>5.5*10.5</f>
        <v>57.75</v>
      </c>
      <c r="R40" s="7"/>
      <c r="S40" s="39">
        <f t="shared" si="20"/>
        <v>2447.5759</v>
      </c>
      <c r="T40" s="9"/>
      <c r="U40" s="10"/>
      <c r="V40" s="10"/>
      <c r="W40" s="10"/>
      <c r="X40" s="10"/>
      <c r="Y40" s="10"/>
      <c r="Z40" s="10"/>
      <c r="AA40" s="10"/>
      <c r="AB40" s="11"/>
      <c r="AC40" s="11"/>
    </row>
    <row r="41" s="1" customFormat="1" ht="20" customHeight="1" spans="1:29">
      <c r="A41" s="30">
        <v>38</v>
      </c>
      <c r="B41" s="64" t="s">
        <v>93</v>
      </c>
      <c r="C41" s="24"/>
      <c r="D41" s="24"/>
      <c r="E41" s="51"/>
      <c r="F41" s="24"/>
      <c r="G41" s="24"/>
      <c r="H41" s="24"/>
      <c r="I41" s="24"/>
      <c r="J41" s="24"/>
      <c r="K41" s="25"/>
      <c r="L41" s="7"/>
      <c r="M41" s="7"/>
      <c r="N41" s="7"/>
      <c r="O41" s="8"/>
      <c r="P41" s="7"/>
      <c r="Q41" s="7"/>
      <c r="R41" s="7"/>
      <c r="S41" s="7"/>
      <c r="T41" s="9"/>
      <c r="U41" s="10"/>
      <c r="V41" s="10"/>
      <c r="W41" s="10"/>
      <c r="X41" s="10"/>
      <c r="Y41" s="10"/>
      <c r="Z41" s="10"/>
      <c r="AA41" s="10"/>
      <c r="AB41" s="11"/>
      <c r="AC41" s="11"/>
    </row>
    <row r="42" s="1" customFormat="1" ht="79" customHeight="1" spans="1:29">
      <c r="A42" s="30">
        <v>39</v>
      </c>
      <c r="B42" s="49" t="s">
        <v>94</v>
      </c>
      <c r="C42" s="50" t="s">
        <v>95</v>
      </c>
      <c r="D42" s="49" t="s">
        <v>96</v>
      </c>
      <c r="E42" s="48">
        <v>2</v>
      </c>
      <c r="F42" s="46">
        <f t="shared" ref="F42:F49" si="23">G42+H42+I42</f>
        <v>2218.69</v>
      </c>
      <c r="G42" s="36">
        <f>P42*$P$1</f>
        <v>403</v>
      </c>
      <c r="H42" s="36">
        <f>(N42+N42*O42)*$N$1+Q42*$Q$1+R42</f>
        <v>1815.69</v>
      </c>
      <c r="I42" s="36">
        <f>M42*$M$1</f>
        <v>0</v>
      </c>
      <c r="J42" s="46">
        <f t="shared" ref="J42:J49" si="24">F42*E42</f>
        <v>4437.38</v>
      </c>
      <c r="K42" s="47"/>
      <c r="L42" s="7"/>
      <c r="M42" s="39">
        <f>N42+N42*O42+P42+Q42+R42</f>
        <v>2218.69</v>
      </c>
      <c r="N42" s="53">
        <f>1540+200</f>
        <v>1740</v>
      </c>
      <c r="O42" s="54"/>
      <c r="P42" s="53">
        <f>(2.4*2+1)*35+200</f>
        <v>403</v>
      </c>
      <c r="Q42" s="7">
        <f t="shared" ref="Q42:Q44" si="25">(2.4*2+1)*0.3*(15+28.5)</f>
        <v>75.69</v>
      </c>
      <c r="R42" s="7"/>
      <c r="S42" s="39">
        <f>E42*M42</f>
        <v>4437.38</v>
      </c>
      <c r="T42" s="9"/>
      <c r="U42" s="10"/>
      <c r="V42" s="10"/>
      <c r="W42" s="10"/>
      <c r="X42" s="10"/>
      <c r="Y42" s="10"/>
      <c r="Z42" s="10"/>
      <c r="AA42" s="10"/>
      <c r="AB42" s="11"/>
      <c r="AC42" s="11"/>
    </row>
    <row r="43" s="1" customFormat="1" ht="88" customHeight="1" spans="1:29">
      <c r="A43" s="30">
        <v>40</v>
      </c>
      <c r="B43" s="49" t="s">
        <v>94</v>
      </c>
      <c r="C43" s="50" t="s">
        <v>97</v>
      </c>
      <c r="D43" s="49" t="s">
        <v>96</v>
      </c>
      <c r="E43" s="48">
        <v>1</v>
      </c>
      <c r="F43" s="46">
        <f t="shared" si="23"/>
        <v>2218.69</v>
      </c>
      <c r="G43" s="36">
        <f>P43*$P$1</f>
        <v>403</v>
      </c>
      <c r="H43" s="36">
        <f>(N43+N43*O43)*$N$1+Q43*$Q$1+R43</f>
        <v>1815.69</v>
      </c>
      <c r="I43" s="36">
        <f>M43*$M$1</f>
        <v>0</v>
      </c>
      <c r="J43" s="46">
        <f t="shared" si="24"/>
        <v>2218.69</v>
      </c>
      <c r="K43" s="47"/>
      <c r="L43" s="7"/>
      <c r="M43" s="39">
        <f>N43+N43*O43+P43+Q43+R43</f>
        <v>2218.69</v>
      </c>
      <c r="N43" s="53">
        <f>1540+200</f>
        <v>1740</v>
      </c>
      <c r="O43" s="54"/>
      <c r="P43" s="53">
        <f>(2.4*2+1)*35+200</f>
        <v>403</v>
      </c>
      <c r="Q43" s="7">
        <f t="shared" si="25"/>
        <v>75.69</v>
      </c>
      <c r="R43" s="7"/>
      <c r="S43" s="39">
        <f>E43*M43</f>
        <v>2218.69</v>
      </c>
      <c r="T43" s="9"/>
      <c r="U43" s="10"/>
      <c r="V43" s="10"/>
      <c r="W43" s="10"/>
      <c r="X43" s="10"/>
      <c r="Y43" s="10"/>
      <c r="Z43" s="10"/>
      <c r="AA43" s="10"/>
      <c r="AB43" s="11"/>
      <c r="AC43" s="11"/>
    </row>
    <row r="44" s="1" customFormat="1" ht="58" customHeight="1" spans="1:29">
      <c r="A44" s="30">
        <v>41</v>
      </c>
      <c r="B44" s="44" t="s">
        <v>98</v>
      </c>
      <c r="C44" s="45" t="s">
        <v>99</v>
      </c>
      <c r="D44" s="49" t="s">
        <v>34</v>
      </c>
      <c r="E44" s="48">
        <v>9.2</v>
      </c>
      <c r="F44" s="46">
        <f t="shared" si="23"/>
        <v>880.69</v>
      </c>
      <c r="G44" s="36">
        <f>P44*$P$1</f>
        <v>125</v>
      </c>
      <c r="H44" s="36">
        <f>(N44+N44*O44)*$N$1+Q44*$Q$1+R44</f>
        <v>755.69</v>
      </c>
      <c r="I44" s="36">
        <f>M44*$M$1</f>
        <v>0</v>
      </c>
      <c r="J44" s="46">
        <f t="shared" si="24"/>
        <v>8102.348</v>
      </c>
      <c r="K44" s="47"/>
      <c r="L44" s="7"/>
      <c r="M44" s="39">
        <f>N44+N44*O44+P44+Q44+R44</f>
        <v>880.69</v>
      </c>
      <c r="N44" s="7">
        <v>680</v>
      </c>
      <c r="O44" s="8"/>
      <c r="P44" s="7">
        <f>350/2.8</f>
        <v>125</v>
      </c>
      <c r="Q44" s="7">
        <f t="shared" si="25"/>
        <v>75.69</v>
      </c>
      <c r="R44" s="7"/>
      <c r="S44" s="39">
        <f>E44*M44</f>
        <v>8102.348</v>
      </c>
      <c r="T44" s="9"/>
      <c r="U44" s="10"/>
      <c r="V44" s="10"/>
      <c r="W44" s="10"/>
      <c r="X44" s="10"/>
      <c r="Y44" s="10"/>
      <c r="Z44" s="10"/>
      <c r="AA44" s="10"/>
      <c r="AB44" s="11"/>
      <c r="AC44" s="11"/>
    </row>
    <row r="45" s="1" customFormat="1" spans="1:29">
      <c r="A45" s="30">
        <v>42</v>
      </c>
      <c r="B45" s="64" t="s">
        <v>100</v>
      </c>
      <c r="C45" s="24"/>
      <c r="D45" s="24"/>
      <c r="E45" s="51"/>
      <c r="F45" s="24"/>
      <c r="G45" s="24"/>
      <c r="H45" s="24"/>
      <c r="I45" s="24"/>
      <c r="J45" s="24"/>
      <c r="K45" s="25"/>
      <c r="L45" s="7"/>
      <c r="M45" s="7"/>
      <c r="N45" s="7"/>
      <c r="O45" s="8"/>
      <c r="P45" s="7"/>
      <c r="Q45" s="7"/>
      <c r="R45" s="7"/>
      <c r="S45" s="7"/>
      <c r="T45" s="9"/>
      <c r="U45" s="10"/>
      <c r="V45" s="10"/>
      <c r="W45" s="10"/>
      <c r="X45" s="10"/>
      <c r="Y45" s="10"/>
      <c r="Z45" s="10"/>
      <c r="AA45" s="10"/>
      <c r="AB45" s="11"/>
      <c r="AC45" s="11"/>
    </row>
    <row r="46" s="1" customFormat="1" ht="70" customHeight="1" spans="1:29">
      <c r="A46" s="30">
        <v>43</v>
      </c>
      <c r="B46" s="49" t="s">
        <v>101</v>
      </c>
      <c r="C46" s="65" t="s">
        <v>102</v>
      </c>
      <c r="D46" s="49" t="s">
        <v>103</v>
      </c>
      <c r="E46" s="48">
        <v>1</v>
      </c>
      <c r="F46" s="46">
        <f t="shared" si="23"/>
        <v>1313</v>
      </c>
      <c r="G46" s="36">
        <f t="shared" ref="G46:G61" si="26">P46*$P$1</f>
        <v>500</v>
      </c>
      <c r="H46" s="36">
        <f t="shared" ref="H46:H61" si="27">(N46+N46*O46)*$N$1+Q46*$Q$1+R46</f>
        <v>813</v>
      </c>
      <c r="I46" s="36">
        <f t="shared" ref="I46:I61" si="28">M46*$M$1</f>
        <v>0</v>
      </c>
      <c r="J46" s="46">
        <f t="shared" si="24"/>
        <v>1313</v>
      </c>
      <c r="K46" s="47"/>
      <c r="L46" s="7"/>
      <c r="M46" s="39">
        <f t="shared" ref="M46:M61" si="29">N46+N46*O46+P46+Q46+R46</f>
        <v>1313</v>
      </c>
      <c r="N46" s="7">
        <v>778</v>
      </c>
      <c r="O46" s="8"/>
      <c r="P46" s="7">
        <v>500</v>
      </c>
      <c r="Q46" s="7">
        <v>35</v>
      </c>
      <c r="R46" s="7"/>
      <c r="S46" s="39">
        <f t="shared" ref="S46:S61" si="30">E46*M46</f>
        <v>1313</v>
      </c>
      <c r="T46" s="9"/>
      <c r="U46" s="10"/>
      <c r="V46" s="10"/>
      <c r="W46" s="10"/>
      <c r="X46" s="10"/>
      <c r="Y46" s="10"/>
      <c r="Z46" s="10"/>
      <c r="AA46" s="10"/>
      <c r="AB46" s="11"/>
      <c r="AC46" s="11"/>
    </row>
    <row r="47" s="1" customFormat="1" ht="48" customHeight="1" spans="1:29">
      <c r="A47" s="30">
        <v>44</v>
      </c>
      <c r="B47" s="66" t="s">
        <v>104</v>
      </c>
      <c r="C47" s="67" t="s">
        <v>105</v>
      </c>
      <c r="D47" s="66" t="s">
        <v>87</v>
      </c>
      <c r="E47" s="48">
        <v>1</v>
      </c>
      <c r="F47" s="46">
        <f t="shared" si="23"/>
        <v>399.5</v>
      </c>
      <c r="G47" s="36">
        <f t="shared" si="26"/>
        <v>45</v>
      </c>
      <c r="H47" s="36">
        <f t="shared" si="27"/>
        <v>354.5</v>
      </c>
      <c r="I47" s="36">
        <f t="shared" si="28"/>
        <v>0</v>
      </c>
      <c r="J47" s="46">
        <f t="shared" si="24"/>
        <v>399.5</v>
      </c>
      <c r="K47" s="47" t="s">
        <v>106</v>
      </c>
      <c r="L47" s="7"/>
      <c r="M47" s="39">
        <f t="shared" si="29"/>
        <v>399.5</v>
      </c>
      <c r="N47" s="7">
        <v>350</v>
      </c>
      <c r="O47" s="8"/>
      <c r="P47" s="7">
        <v>45</v>
      </c>
      <c r="Q47" s="7">
        <v>4.5</v>
      </c>
      <c r="R47" s="7"/>
      <c r="S47" s="39">
        <f t="shared" si="30"/>
        <v>399.5</v>
      </c>
      <c r="T47" s="9"/>
      <c r="U47" s="10"/>
      <c r="V47" s="10"/>
      <c r="W47" s="10"/>
      <c r="X47" s="10"/>
      <c r="Y47" s="10"/>
      <c r="Z47" s="10"/>
      <c r="AA47" s="10"/>
      <c r="AB47" s="11"/>
      <c r="AC47" s="11"/>
    </row>
    <row r="48" s="1" customFormat="1" ht="68" customHeight="1" spans="1:29">
      <c r="A48" s="30">
        <v>45</v>
      </c>
      <c r="B48" s="49" t="s">
        <v>107</v>
      </c>
      <c r="C48" s="65" t="s">
        <v>108</v>
      </c>
      <c r="D48" s="49" t="s">
        <v>90</v>
      </c>
      <c r="E48" s="48">
        <v>1</v>
      </c>
      <c r="F48" s="46">
        <f t="shared" si="23"/>
        <v>131.5</v>
      </c>
      <c r="G48" s="36">
        <f t="shared" si="26"/>
        <v>25</v>
      </c>
      <c r="H48" s="36">
        <f t="shared" si="27"/>
        <v>106.5</v>
      </c>
      <c r="I48" s="36">
        <f t="shared" si="28"/>
        <v>0</v>
      </c>
      <c r="J48" s="46">
        <f t="shared" si="24"/>
        <v>131.5</v>
      </c>
      <c r="K48" s="47" t="s">
        <v>106</v>
      </c>
      <c r="L48" s="7"/>
      <c r="M48" s="39">
        <f t="shared" si="29"/>
        <v>131.5</v>
      </c>
      <c r="N48" s="7">
        <v>105</v>
      </c>
      <c r="O48" s="8"/>
      <c r="P48" s="7">
        <v>25</v>
      </c>
      <c r="Q48" s="7">
        <v>1.5</v>
      </c>
      <c r="R48" s="7"/>
      <c r="S48" s="39">
        <f t="shared" si="30"/>
        <v>131.5</v>
      </c>
      <c r="T48" s="9"/>
      <c r="U48" s="10"/>
      <c r="V48" s="10"/>
      <c r="W48" s="10"/>
      <c r="X48" s="10"/>
      <c r="Y48" s="10"/>
      <c r="Z48" s="10"/>
      <c r="AA48" s="10"/>
      <c r="AB48" s="11"/>
      <c r="AC48" s="11"/>
    </row>
    <row r="49" s="1" customFormat="1" ht="80" customHeight="1" spans="1:29">
      <c r="A49" s="30">
        <v>46</v>
      </c>
      <c r="B49" s="49" t="s">
        <v>109</v>
      </c>
      <c r="C49" s="65" t="s">
        <v>110</v>
      </c>
      <c r="D49" s="49" t="s">
        <v>90</v>
      </c>
      <c r="E49" s="48">
        <v>4</v>
      </c>
      <c r="F49" s="46">
        <f t="shared" si="23"/>
        <v>71.5</v>
      </c>
      <c r="G49" s="36">
        <f t="shared" si="26"/>
        <v>25</v>
      </c>
      <c r="H49" s="36">
        <f t="shared" si="27"/>
        <v>46.5</v>
      </c>
      <c r="I49" s="36">
        <f t="shared" si="28"/>
        <v>0</v>
      </c>
      <c r="J49" s="46">
        <f t="shared" si="24"/>
        <v>286</v>
      </c>
      <c r="K49" s="47" t="s">
        <v>106</v>
      </c>
      <c r="L49" s="7"/>
      <c r="M49" s="39">
        <f t="shared" si="29"/>
        <v>71.5</v>
      </c>
      <c r="N49" s="7">
        <v>45</v>
      </c>
      <c r="O49" s="8"/>
      <c r="P49" s="7">
        <v>25</v>
      </c>
      <c r="Q49" s="7">
        <v>1.5</v>
      </c>
      <c r="R49" s="7"/>
      <c r="S49" s="39">
        <f t="shared" si="30"/>
        <v>286</v>
      </c>
      <c r="T49" s="9"/>
      <c r="U49" s="10"/>
      <c r="V49" s="10"/>
      <c r="W49" s="10"/>
      <c r="X49" s="10"/>
      <c r="Y49" s="10"/>
      <c r="Z49" s="10"/>
      <c r="AA49" s="10"/>
      <c r="AB49" s="11"/>
      <c r="AC49" s="11"/>
    </row>
    <row r="50" s="1" customFormat="1" ht="65" customHeight="1" spans="1:29">
      <c r="A50" s="30">
        <v>47</v>
      </c>
      <c r="B50" s="49" t="s">
        <v>111</v>
      </c>
      <c r="C50" s="65" t="s">
        <v>112</v>
      </c>
      <c r="D50" s="49" t="s">
        <v>90</v>
      </c>
      <c r="E50" s="48">
        <v>5</v>
      </c>
      <c r="F50" s="46">
        <f t="shared" ref="F50:F61" si="31">G50+H50+I50</f>
        <v>58.5</v>
      </c>
      <c r="G50" s="36">
        <f t="shared" si="26"/>
        <v>25</v>
      </c>
      <c r="H50" s="36">
        <f t="shared" si="27"/>
        <v>33.5</v>
      </c>
      <c r="I50" s="36">
        <f t="shared" si="28"/>
        <v>0</v>
      </c>
      <c r="J50" s="46">
        <f t="shared" ref="J50:J61" si="32">F50*E50</f>
        <v>292.5</v>
      </c>
      <c r="K50" s="47" t="s">
        <v>106</v>
      </c>
      <c r="L50" s="7"/>
      <c r="M50" s="39">
        <f t="shared" si="29"/>
        <v>58.5</v>
      </c>
      <c r="N50" s="7">
        <v>32</v>
      </c>
      <c r="O50" s="8"/>
      <c r="P50" s="7">
        <v>25</v>
      </c>
      <c r="Q50" s="7">
        <v>1.5</v>
      </c>
      <c r="R50" s="7"/>
      <c r="S50" s="39">
        <f t="shared" si="30"/>
        <v>292.5</v>
      </c>
      <c r="T50" s="9"/>
      <c r="U50" s="10"/>
      <c r="V50" s="10"/>
      <c r="W50" s="10"/>
      <c r="X50" s="10"/>
      <c r="Y50" s="10"/>
      <c r="Z50" s="10"/>
      <c r="AA50" s="10"/>
      <c r="AB50" s="11"/>
      <c r="AC50" s="11"/>
    </row>
    <row r="51" s="1" customFormat="1" ht="80" customHeight="1" spans="1:29">
      <c r="A51" s="30">
        <v>48</v>
      </c>
      <c r="B51" s="49" t="s">
        <v>113</v>
      </c>
      <c r="C51" s="65" t="s">
        <v>114</v>
      </c>
      <c r="D51" s="49" t="s">
        <v>29</v>
      </c>
      <c r="E51" s="48">
        <v>393.31</v>
      </c>
      <c r="F51" s="46">
        <f t="shared" si="31"/>
        <v>16.4812</v>
      </c>
      <c r="G51" s="36">
        <f t="shared" si="26"/>
        <v>8.5</v>
      </c>
      <c r="H51" s="36">
        <f t="shared" si="27"/>
        <v>7.9812</v>
      </c>
      <c r="I51" s="36">
        <f t="shared" si="28"/>
        <v>0</v>
      </c>
      <c r="J51" s="46">
        <f t="shared" si="32"/>
        <v>6482.220772</v>
      </c>
      <c r="K51" s="47"/>
      <c r="L51" s="7"/>
      <c r="M51" s="39">
        <f t="shared" si="29"/>
        <v>16.4812</v>
      </c>
      <c r="N51" s="53">
        <v>6.12</v>
      </c>
      <c r="O51" s="54">
        <v>0.01</v>
      </c>
      <c r="P51" s="53">
        <v>8.5</v>
      </c>
      <c r="Q51" s="53">
        <v>1.8</v>
      </c>
      <c r="R51" s="7"/>
      <c r="S51" s="39">
        <f t="shared" si="30"/>
        <v>6482.220772</v>
      </c>
      <c r="T51" s="9"/>
      <c r="U51" s="10"/>
      <c r="V51" s="10"/>
      <c r="W51" s="10"/>
      <c r="X51" s="10"/>
      <c r="Y51" s="10"/>
      <c r="Z51" s="10"/>
      <c r="AA51" s="10"/>
      <c r="AB51" s="11"/>
      <c r="AC51" s="11"/>
    </row>
    <row r="52" s="1" customFormat="1" ht="61" customHeight="1" spans="1:29">
      <c r="A52" s="30">
        <v>49</v>
      </c>
      <c r="B52" s="49" t="s">
        <v>115</v>
      </c>
      <c r="C52" s="65" t="s">
        <v>116</v>
      </c>
      <c r="D52" s="49" t="s">
        <v>29</v>
      </c>
      <c r="E52" s="48">
        <v>375.12</v>
      </c>
      <c r="F52" s="46">
        <f t="shared" si="31"/>
        <v>6.422</v>
      </c>
      <c r="G52" s="36">
        <f t="shared" si="26"/>
        <v>2</v>
      </c>
      <c r="H52" s="36">
        <f t="shared" si="27"/>
        <v>4.422</v>
      </c>
      <c r="I52" s="36">
        <f t="shared" si="28"/>
        <v>0</v>
      </c>
      <c r="J52" s="46">
        <f t="shared" si="32"/>
        <v>2409.02064</v>
      </c>
      <c r="K52" s="47"/>
      <c r="L52" s="7"/>
      <c r="M52" s="39">
        <f t="shared" si="29"/>
        <v>6.422</v>
      </c>
      <c r="N52" s="53">
        <v>4.2</v>
      </c>
      <c r="O52" s="61">
        <v>0.01</v>
      </c>
      <c r="P52" s="62">
        <v>2</v>
      </c>
      <c r="Q52" s="62">
        <v>0.18</v>
      </c>
      <c r="R52" s="7"/>
      <c r="S52" s="39">
        <f t="shared" si="30"/>
        <v>2409.02064</v>
      </c>
      <c r="T52" s="9"/>
      <c r="U52" s="10"/>
      <c r="V52" s="10"/>
      <c r="W52" s="10"/>
      <c r="X52" s="10"/>
      <c r="Y52" s="10"/>
      <c r="Z52" s="10"/>
      <c r="AA52" s="10"/>
      <c r="AB52" s="11"/>
      <c r="AC52" s="11"/>
    </row>
    <row r="53" s="1" customFormat="1" ht="55" customHeight="1" spans="1:29">
      <c r="A53" s="30">
        <v>50</v>
      </c>
      <c r="B53" s="49" t="s">
        <v>115</v>
      </c>
      <c r="C53" s="65" t="s">
        <v>117</v>
      </c>
      <c r="D53" s="49" t="s">
        <v>29</v>
      </c>
      <c r="E53" s="48">
        <v>804.81</v>
      </c>
      <c r="F53" s="46">
        <f t="shared" si="31"/>
        <v>4.5252</v>
      </c>
      <c r="G53" s="36">
        <f t="shared" si="26"/>
        <v>1.8</v>
      </c>
      <c r="H53" s="36">
        <f t="shared" si="27"/>
        <v>2.7252</v>
      </c>
      <c r="I53" s="36">
        <f t="shared" si="28"/>
        <v>0</v>
      </c>
      <c r="J53" s="46">
        <f t="shared" si="32"/>
        <v>3641.926212</v>
      </c>
      <c r="K53" s="47"/>
      <c r="L53" s="7"/>
      <c r="M53" s="39">
        <f t="shared" si="29"/>
        <v>4.5252</v>
      </c>
      <c r="N53" s="53">
        <v>2.52</v>
      </c>
      <c r="O53" s="54">
        <v>0.01</v>
      </c>
      <c r="P53" s="53">
        <v>1.8</v>
      </c>
      <c r="Q53" s="53">
        <v>0.18</v>
      </c>
      <c r="R53" s="7"/>
      <c r="S53" s="39">
        <f t="shared" si="30"/>
        <v>3641.926212</v>
      </c>
      <c r="T53" s="9"/>
      <c r="U53" s="10"/>
      <c r="V53" s="10"/>
      <c r="W53" s="10"/>
      <c r="X53" s="10"/>
      <c r="Y53" s="10"/>
      <c r="Z53" s="10"/>
      <c r="AA53" s="10"/>
      <c r="AB53" s="11"/>
      <c r="AC53" s="11"/>
    </row>
    <row r="54" s="1" customFormat="1" ht="55" customHeight="1" spans="1:29">
      <c r="A54" s="30">
        <v>51</v>
      </c>
      <c r="B54" s="49" t="s">
        <v>118</v>
      </c>
      <c r="C54" s="65" t="s">
        <v>119</v>
      </c>
      <c r="D54" s="49" t="s">
        <v>87</v>
      </c>
      <c r="E54" s="48">
        <v>2</v>
      </c>
      <c r="F54" s="46">
        <f t="shared" si="31"/>
        <v>40.2</v>
      </c>
      <c r="G54" s="36">
        <f t="shared" si="26"/>
        <v>15</v>
      </c>
      <c r="H54" s="36">
        <f t="shared" si="27"/>
        <v>25.2</v>
      </c>
      <c r="I54" s="36">
        <f t="shared" si="28"/>
        <v>0</v>
      </c>
      <c r="J54" s="46">
        <f t="shared" si="32"/>
        <v>80.4</v>
      </c>
      <c r="K54" s="47"/>
      <c r="L54" s="7"/>
      <c r="M54" s="39">
        <f t="shared" si="29"/>
        <v>40.2</v>
      </c>
      <c r="N54" s="7">
        <v>25</v>
      </c>
      <c r="O54" s="8"/>
      <c r="P54" s="7">
        <v>15</v>
      </c>
      <c r="Q54" s="7">
        <v>0.2</v>
      </c>
      <c r="R54" s="7"/>
      <c r="S54" s="39">
        <f t="shared" si="30"/>
        <v>80.4</v>
      </c>
      <c r="T54" s="9"/>
      <c r="U54" s="10"/>
      <c r="V54" s="10"/>
      <c r="W54" s="10"/>
      <c r="X54" s="10"/>
      <c r="Y54" s="10"/>
      <c r="Z54" s="10"/>
      <c r="AA54" s="10"/>
      <c r="AB54" s="11"/>
      <c r="AC54" s="11"/>
    </row>
    <row r="55" s="1" customFormat="1" ht="45" spans="1:29">
      <c r="A55" s="30">
        <v>52</v>
      </c>
      <c r="B55" s="49" t="s">
        <v>118</v>
      </c>
      <c r="C55" s="65" t="s">
        <v>120</v>
      </c>
      <c r="D55" s="49" t="s">
        <v>87</v>
      </c>
      <c r="E55" s="48">
        <v>4</v>
      </c>
      <c r="F55" s="46">
        <f t="shared" si="31"/>
        <v>30.2</v>
      </c>
      <c r="G55" s="36">
        <f t="shared" si="26"/>
        <v>15</v>
      </c>
      <c r="H55" s="36">
        <f t="shared" si="27"/>
        <v>15.2</v>
      </c>
      <c r="I55" s="36">
        <f t="shared" si="28"/>
        <v>0</v>
      </c>
      <c r="J55" s="46">
        <f t="shared" si="32"/>
        <v>120.8</v>
      </c>
      <c r="K55" s="47"/>
      <c r="L55" s="7"/>
      <c r="M55" s="39">
        <f t="shared" si="29"/>
        <v>30.2</v>
      </c>
      <c r="N55" s="7">
        <v>15</v>
      </c>
      <c r="O55" s="8"/>
      <c r="P55" s="7">
        <v>15</v>
      </c>
      <c r="Q55" s="7">
        <v>0.2</v>
      </c>
      <c r="R55" s="7"/>
      <c r="S55" s="39">
        <f t="shared" si="30"/>
        <v>120.8</v>
      </c>
      <c r="T55" s="9"/>
      <c r="U55" s="10"/>
      <c r="V55" s="10"/>
      <c r="W55" s="10"/>
      <c r="X55" s="10"/>
      <c r="Y55" s="10"/>
      <c r="Z55" s="10"/>
      <c r="AA55" s="10"/>
      <c r="AB55" s="11"/>
      <c r="AC55" s="11"/>
    </row>
    <row r="56" s="1" customFormat="1" ht="74" customHeight="1" spans="1:29">
      <c r="A56" s="30">
        <v>53</v>
      </c>
      <c r="B56" s="49" t="s">
        <v>121</v>
      </c>
      <c r="C56" s="65" t="s">
        <v>122</v>
      </c>
      <c r="D56" s="49" t="s">
        <v>90</v>
      </c>
      <c r="E56" s="48">
        <v>81</v>
      </c>
      <c r="F56" s="46">
        <f t="shared" si="31"/>
        <v>90.2</v>
      </c>
      <c r="G56" s="36">
        <f t="shared" si="26"/>
        <v>20</v>
      </c>
      <c r="H56" s="36">
        <f t="shared" si="27"/>
        <v>70.2</v>
      </c>
      <c r="I56" s="36">
        <f t="shared" si="28"/>
        <v>0</v>
      </c>
      <c r="J56" s="46">
        <f t="shared" si="32"/>
        <v>7306.2</v>
      </c>
      <c r="K56" s="47"/>
      <c r="L56" s="7"/>
      <c r="M56" s="39">
        <f t="shared" si="29"/>
        <v>90.2</v>
      </c>
      <c r="N56" s="53">
        <v>70</v>
      </c>
      <c r="O56" s="54"/>
      <c r="P56" s="53">
        <v>20</v>
      </c>
      <c r="Q56" s="7">
        <v>0.2</v>
      </c>
      <c r="R56" s="7"/>
      <c r="S56" s="39">
        <f t="shared" si="30"/>
        <v>7306.2</v>
      </c>
      <c r="T56" s="9"/>
      <c r="U56" s="10"/>
      <c r="V56" s="10"/>
      <c r="W56" s="10"/>
      <c r="X56" s="10"/>
      <c r="Y56" s="10"/>
      <c r="Z56" s="10"/>
      <c r="AA56" s="10"/>
      <c r="AB56" s="11"/>
      <c r="AC56" s="11"/>
    </row>
    <row r="57" s="1" customFormat="1" ht="78" customHeight="1" spans="1:29">
      <c r="A57" s="30">
        <v>54</v>
      </c>
      <c r="B57" s="49" t="s">
        <v>123</v>
      </c>
      <c r="C57" s="65" t="s">
        <v>124</v>
      </c>
      <c r="D57" s="49" t="s">
        <v>90</v>
      </c>
      <c r="E57" s="48">
        <v>16</v>
      </c>
      <c r="F57" s="46">
        <f t="shared" si="31"/>
        <v>155.2</v>
      </c>
      <c r="G57" s="36">
        <f t="shared" si="26"/>
        <v>20</v>
      </c>
      <c r="H57" s="36">
        <f t="shared" si="27"/>
        <v>135.2</v>
      </c>
      <c r="I57" s="36">
        <f t="shared" si="28"/>
        <v>0</v>
      </c>
      <c r="J57" s="46">
        <f t="shared" si="32"/>
        <v>2483.2</v>
      </c>
      <c r="K57" s="47"/>
      <c r="L57" s="7"/>
      <c r="M57" s="39">
        <f t="shared" si="29"/>
        <v>155.2</v>
      </c>
      <c r="N57" s="7">
        <v>135</v>
      </c>
      <c r="O57" s="8"/>
      <c r="P57" s="7">
        <v>20</v>
      </c>
      <c r="Q57" s="7">
        <v>0.2</v>
      </c>
      <c r="R57" s="7"/>
      <c r="S57" s="39">
        <f t="shared" si="30"/>
        <v>2483.2</v>
      </c>
      <c r="T57" s="9"/>
      <c r="U57" s="10"/>
      <c r="V57" s="10"/>
      <c r="W57" s="10"/>
      <c r="X57" s="10"/>
      <c r="Y57" s="10"/>
      <c r="Z57" s="10"/>
      <c r="AA57" s="10"/>
      <c r="AB57" s="11"/>
      <c r="AC57" s="11"/>
    </row>
    <row r="58" s="1" customFormat="1" ht="49" customHeight="1" spans="1:29">
      <c r="A58" s="30">
        <v>55</v>
      </c>
      <c r="B58" s="66" t="s">
        <v>125</v>
      </c>
      <c r="C58" s="67" t="s">
        <v>126</v>
      </c>
      <c r="D58" s="66" t="s">
        <v>29</v>
      </c>
      <c r="E58" s="48">
        <v>17.58</v>
      </c>
      <c r="F58" s="46">
        <f t="shared" si="31"/>
        <v>31.7</v>
      </c>
      <c r="G58" s="36">
        <f t="shared" si="26"/>
        <v>8</v>
      </c>
      <c r="H58" s="36">
        <f t="shared" si="27"/>
        <v>23.7</v>
      </c>
      <c r="I58" s="36">
        <f t="shared" si="28"/>
        <v>0</v>
      </c>
      <c r="J58" s="46">
        <f t="shared" si="32"/>
        <v>557.286</v>
      </c>
      <c r="K58" s="47"/>
      <c r="L58" s="7"/>
      <c r="M58" s="39">
        <f t="shared" si="29"/>
        <v>31.7</v>
      </c>
      <c r="N58" s="7">
        <v>23.5</v>
      </c>
      <c r="O58" s="8"/>
      <c r="P58" s="7">
        <v>8</v>
      </c>
      <c r="Q58" s="7">
        <v>0.2</v>
      </c>
      <c r="R58" s="7"/>
      <c r="S58" s="39">
        <f t="shared" si="30"/>
        <v>557.286</v>
      </c>
      <c r="T58" s="9"/>
      <c r="U58" s="10"/>
      <c r="V58" s="10"/>
      <c r="W58" s="10"/>
      <c r="X58" s="10"/>
      <c r="Y58" s="10"/>
      <c r="Z58" s="10"/>
      <c r="AA58" s="10"/>
      <c r="AB58" s="11"/>
      <c r="AC58" s="11"/>
    </row>
    <row r="59" s="1" customFormat="1" ht="45" spans="1:29">
      <c r="A59" s="30">
        <v>56</v>
      </c>
      <c r="B59" s="49" t="s">
        <v>127</v>
      </c>
      <c r="C59" s="65" t="s">
        <v>128</v>
      </c>
      <c r="D59" s="49" t="s">
        <v>87</v>
      </c>
      <c r="E59" s="48">
        <v>7</v>
      </c>
      <c r="F59" s="46">
        <f t="shared" si="31"/>
        <v>32.2</v>
      </c>
      <c r="G59" s="36">
        <f t="shared" si="26"/>
        <v>15</v>
      </c>
      <c r="H59" s="36">
        <f t="shared" si="27"/>
        <v>17.2</v>
      </c>
      <c r="I59" s="36">
        <f t="shared" si="28"/>
        <v>0</v>
      </c>
      <c r="J59" s="46">
        <f t="shared" si="32"/>
        <v>225.4</v>
      </c>
      <c r="K59" s="47"/>
      <c r="L59" s="7"/>
      <c r="M59" s="39">
        <f t="shared" si="29"/>
        <v>32.2</v>
      </c>
      <c r="N59" s="7">
        <v>17</v>
      </c>
      <c r="O59" s="8"/>
      <c r="P59" s="7">
        <v>15</v>
      </c>
      <c r="Q59" s="7">
        <v>0.2</v>
      </c>
      <c r="R59" s="7"/>
      <c r="S59" s="39">
        <f t="shared" si="30"/>
        <v>225.4</v>
      </c>
      <c r="T59" s="9"/>
      <c r="U59" s="10"/>
      <c r="V59" s="10"/>
      <c r="W59" s="10"/>
      <c r="X59" s="10"/>
      <c r="Y59" s="10"/>
      <c r="Z59" s="10"/>
      <c r="AA59" s="10"/>
      <c r="AB59" s="11"/>
      <c r="AC59" s="11"/>
    </row>
    <row r="60" s="1" customFormat="1" ht="45" spans="1:29">
      <c r="A60" s="30">
        <v>57</v>
      </c>
      <c r="B60" s="49" t="s">
        <v>127</v>
      </c>
      <c r="C60" s="65" t="s">
        <v>129</v>
      </c>
      <c r="D60" s="49" t="s">
        <v>87</v>
      </c>
      <c r="E60" s="48">
        <v>2</v>
      </c>
      <c r="F60" s="46">
        <f t="shared" si="31"/>
        <v>33.7</v>
      </c>
      <c r="G60" s="36">
        <f t="shared" si="26"/>
        <v>15</v>
      </c>
      <c r="H60" s="36">
        <f t="shared" si="27"/>
        <v>18.7</v>
      </c>
      <c r="I60" s="36">
        <f t="shared" si="28"/>
        <v>0</v>
      </c>
      <c r="J60" s="46">
        <f t="shared" si="32"/>
        <v>67.4</v>
      </c>
      <c r="K60" s="47"/>
      <c r="L60" s="7"/>
      <c r="M60" s="39">
        <f t="shared" si="29"/>
        <v>33.7</v>
      </c>
      <c r="N60" s="7">
        <v>18.5</v>
      </c>
      <c r="O60" s="8"/>
      <c r="P60" s="7">
        <v>15</v>
      </c>
      <c r="Q60" s="7">
        <v>0.2</v>
      </c>
      <c r="R60" s="7"/>
      <c r="S60" s="39">
        <f t="shared" si="30"/>
        <v>67.4</v>
      </c>
      <c r="T60" s="9"/>
      <c r="U60" s="10"/>
      <c r="V60" s="10"/>
      <c r="W60" s="10"/>
      <c r="X60" s="10"/>
      <c r="Y60" s="10"/>
      <c r="Z60" s="10"/>
      <c r="AA60" s="10"/>
      <c r="AB60" s="11"/>
      <c r="AC60" s="11"/>
    </row>
    <row r="61" s="1" customFormat="1" ht="45" spans="1:29">
      <c r="A61" s="30">
        <v>58</v>
      </c>
      <c r="B61" s="49" t="s">
        <v>127</v>
      </c>
      <c r="C61" s="65" t="s">
        <v>130</v>
      </c>
      <c r="D61" s="49" t="s">
        <v>87</v>
      </c>
      <c r="E61" s="48">
        <v>3</v>
      </c>
      <c r="F61" s="46">
        <f t="shared" si="31"/>
        <v>34.7</v>
      </c>
      <c r="G61" s="36">
        <f t="shared" si="26"/>
        <v>15</v>
      </c>
      <c r="H61" s="36">
        <f t="shared" si="27"/>
        <v>19.7</v>
      </c>
      <c r="I61" s="36">
        <f t="shared" si="28"/>
        <v>0</v>
      </c>
      <c r="J61" s="46">
        <f t="shared" si="32"/>
        <v>104.1</v>
      </c>
      <c r="K61" s="47"/>
      <c r="L61" s="7"/>
      <c r="M61" s="39">
        <f t="shared" si="29"/>
        <v>34.7</v>
      </c>
      <c r="N61" s="7">
        <v>19.5</v>
      </c>
      <c r="O61" s="8"/>
      <c r="P61" s="7">
        <v>15</v>
      </c>
      <c r="Q61" s="7">
        <v>0.2</v>
      </c>
      <c r="R61" s="7"/>
      <c r="S61" s="39">
        <f t="shared" si="30"/>
        <v>104.1</v>
      </c>
      <c r="T61" s="9"/>
      <c r="U61" s="10"/>
      <c r="V61" s="10"/>
      <c r="W61" s="10"/>
      <c r="X61" s="10"/>
      <c r="Y61" s="10"/>
      <c r="Z61" s="10"/>
      <c r="AA61" s="10"/>
      <c r="AB61" s="11"/>
      <c r="AC61" s="11"/>
    </row>
    <row r="62" s="1" customFormat="1" ht="22.5" spans="1:29">
      <c r="A62" s="30">
        <v>59</v>
      </c>
      <c r="B62" s="64" t="s">
        <v>131</v>
      </c>
      <c r="C62" s="24"/>
      <c r="D62" s="24"/>
      <c r="E62" s="51"/>
      <c r="F62" s="24"/>
      <c r="G62" s="24"/>
      <c r="H62" s="24"/>
      <c r="I62" s="24"/>
      <c r="J62" s="24"/>
      <c r="K62" s="25"/>
      <c r="L62" s="7"/>
      <c r="M62" s="7"/>
      <c r="N62" s="7"/>
      <c r="O62" s="8"/>
      <c r="P62" s="7"/>
      <c r="Q62" s="7"/>
      <c r="R62" s="7"/>
      <c r="S62" s="7"/>
      <c r="T62" s="9"/>
      <c r="U62" s="10"/>
      <c r="V62" s="10"/>
      <c r="W62" s="10"/>
      <c r="X62" s="10"/>
      <c r="Y62" s="10"/>
      <c r="Z62" s="10"/>
      <c r="AA62" s="10"/>
      <c r="AB62" s="11"/>
      <c r="AC62" s="11"/>
    </row>
    <row r="63" s="1" customFormat="1" ht="90" spans="1:29">
      <c r="A63" s="30">
        <v>60</v>
      </c>
      <c r="B63" s="49" t="s">
        <v>132</v>
      </c>
      <c r="C63" s="50" t="s">
        <v>133</v>
      </c>
      <c r="D63" s="66" t="s">
        <v>29</v>
      </c>
      <c r="E63" s="48">
        <v>89.51</v>
      </c>
      <c r="F63" s="46">
        <f t="shared" ref="F63:F70" si="33">G63+H63+I63</f>
        <v>39.34</v>
      </c>
      <c r="G63" s="36">
        <f t="shared" ref="G63:G79" si="34">P63*$P$1</f>
        <v>20</v>
      </c>
      <c r="H63" s="36">
        <f t="shared" ref="H63:H79" si="35">(N63+N63*O63)*$N$1+Q63*$Q$1+R63</f>
        <v>19.34</v>
      </c>
      <c r="I63" s="36">
        <f t="shared" ref="I63:I79" si="36">M63*$M$1</f>
        <v>0</v>
      </c>
      <c r="J63" s="46">
        <f t="shared" ref="J63:J70" si="37">F63*E63</f>
        <v>3521.3234</v>
      </c>
      <c r="K63" s="47"/>
      <c r="L63" s="7"/>
      <c r="M63" s="39">
        <f t="shared" ref="M63:M79" si="38">N63+N63*O63+P63+Q63+R63</f>
        <v>39.34</v>
      </c>
      <c r="N63" s="7">
        <v>18</v>
      </c>
      <c r="O63" s="61">
        <v>0.03</v>
      </c>
      <c r="P63" s="62">
        <v>20</v>
      </c>
      <c r="Q63" s="62">
        <v>0.8</v>
      </c>
      <c r="R63" s="7"/>
      <c r="S63" s="39">
        <f t="shared" ref="S63:S79" si="39">E63*M63</f>
        <v>3521.3234</v>
      </c>
      <c r="T63" s="9"/>
      <c r="U63" s="10"/>
      <c r="V63" s="10"/>
      <c r="W63" s="10"/>
      <c r="X63" s="10"/>
      <c r="Y63" s="10"/>
      <c r="Z63" s="10"/>
      <c r="AA63" s="10"/>
      <c r="AB63" s="11"/>
      <c r="AC63" s="11"/>
    </row>
    <row r="64" s="1" customFormat="1" ht="90" spans="1:29">
      <c r="A64" s="30">
        <v>61</v>
      </c>
      <c r="B64" s="49" t="s">
        <v>134</v>
      </c>
      <c r="C64" s="50" t="s">
        <v>133</v>
      </c>
      <c r="D64" s="49" t="s">
        <v>29</v>
      </c>
      <c r="E64" s="48">
        <v>18</v>
      </c>
      <c r="F64" s="46">
        <f t="shared" si="33"/>
        <v>26.465</v>
      </c>
      <c r="G64" s="36">
        <f t="shared" si="34"/>
        <v>20</v>
      </c>
      <c r="H64" s="36">
        <f t="shared" si="35"/>
        <v>6.465</v>
      </c>
      <c r="I64" s="36">
        <f t="shared" si="36"/>
        <v>0</v>
      </c>
      <c r="J64" s="46">
        <f t="shared" si="37"/>
        <v>476.37</v>
      </c>
      <c r="K64" s="47"/>
      <c r="L64" s="7"/>
      <c r="M64" s="39">
        <f t="shared" si="38"/>
        <v>26.465</v>
      </c>
      <c r="N64" s="7">
        <v>5.5</v>
      </c>
      <c r="O64" s="61">
        <v>0.03</v>
      </c>
      <c r="P64" s="62">
        <v>20</v>
      </c>
      <c r="Q64" s="62">
        <v>0.8</v>
      </c>
      <c r="R64" s="7"/>
      <c r="S64" s="39">
        <f t="shared" si="39"/>
        <v>476.37</v>
      </c>
      <c r="T64" s="9"/>
      <c r="U64" s="10"/>
      <c r="V64" s="10"/>
      <c r="W64" s="10"/>
      <c r="X64" s="10"/>
      <c r="Y64" s="10"/>
      <c r="Z64" s="10"/>
      <c r="AA64" s="10"/>
      <c r="AB64" s="11"/>
      <c r="AC64" s="11"/>
    </row>
    <row r="65" s="1" customFormat="1" ht="126" customHeight="1" spans="1:29">
      <c r="A65" s="30">
        <v>62</v>
      </c>
      <c r="B65" s="66" t="s">
        <v>135</v>
      </c>
      <c r="C65" s="68" t="s">
        <v>136</v>
      </c>
      <c r="D65" s="66" t="s">
        <v>29</v>
      </c>
      <c r="E65" s="69">
        <v>46.93</v>
      </c>
      <c r="F65" s="46">
        <f t="shared" si="33"/>
        <v>92.8</v>
      </c>
      <c r="G65" s="36">
        <f t="shared" si="34"/>
        <v>55</v>
      </c>
      <c r="H65" s="36">
        <f t="shared" si="35"/>
        <v>37.8</v>
      </c>
      <c r="I65" s="36">
        <f t="shared" si="36"/>
        <v>0</v>
      </c>
      <c r="J65" s="46">
        <f t="shared" si="37"/>
        <v>4355.104</v>
      </c>
      <c r="K65" s="47"/>
      <c r="L65" s="7"/>
      <c r="M65" s="39">
        <f t="shared" si="38"/>
        <v>92.8</v>
      </c>
      <c r="N65" s="7">
        <v>36</v>
      </c>
      <c r="O65" s="8"/>
      <c r="P65" s="7">
        <v>55</v>
      </c>
      <c r="Q65" s="7">
        <v>1.8</v>
      </c>
      <c r="R65" s="7"/>
      <c r="S65" s="39">
        <f t="shared" si="39"/>
        <v>4355.104</v>
      </c>
      <c r="T65" s="9"/>
      <c r="U65" s="10"/>
      <c r="V65" s="10"/>
      <c r="W65" s="10"/>
      <c r="X65" s="10"/>
      <c r="Y65" s="10"/>
      <c r="Z65" s="10"/>
      <c r="AA65" s="10"/>
      <c r="AB65" s="11"/>
      <c r="AC65" s="11"/>
    </row>
    <row r="66" s="1" customFormat="1" ht="132" customHeight="1" spans="1:29">
      <c r="A66" s="30">
        <v>63</v>
      </c>
      <c r="B66" s="66" t="s">
        <v>137</v>
      </c>
      <c r="C66" s="68" t="s">
        <v>138</v>
      </c>
      <c r="D66" s="66" t="s">
        <v>29</v>
      </c>
      <c r="E66" s="69">
        <v>38.51</v>
      </c>
      <c r="F66" s="46">
        <f t="shared" si="33"/>
        <v>64.5</v>
      </c>
      <c r="G66" s="36">
        <f t="shared" si="34"/>
        <v>45</v>
      </c>
      <c r="H66" s="36">
        <f t="shared" si="35"/>
        <v>19.5</v>
      </c>
      <c r="I66" s="36">
        <f t="shared" si="36"/>
        <v>0</v>
      </c>
      <c r="J66" s="46">
        <f t="shared" si="37"/>
        <v>2483.895</v>
      </c>
      <c r="K66" s="47"/>
      <c r="L66" s="7"/>
      <c r="M66" s="39">
        <f t="shared" si="38"/>
        <v>64.5</v>
      </c>
      <c r="N66" s="7">
        <v>18</v>
      </c>
      <c r="O66" s="8"/>
      <c r="P66" s="7">
        <v>45</v>
      </c>
      <c r="Q66" s="7">
        <v>1.5</v>
      </c>
      <c r="R66" s="7"/>
      <c r="S66" s="39">
        <f t="shared" si="39"/>
        <v>2483.895</v>
      </c>
      <c r="T66" s="9"/>
      <c r="U66" s="10"/>
      <c r="V66" s="10"/>
      <c r="W66" s="10"/>
      <c r="X66" s="10"/>
      <c r="Y66" s="10"/>
      <c r="Z66" s="10"/>
      <c r="AA66" s="10"/>
      <c r="AB66" s="11"/>
      <c r="AC66" s="11"/>
    </row>
    <row r="67" s="1" customFormat="1" ht="111" customHeight="1" spans="1:29">
      <c r="A67" s="30">
        <v>64</v>
      </c>
      <c r="B67" s="49" t="s">
        <v>139</v>
      </c>
      <c r="C67" s="50" t="s">
        <v>140</v>
      </c>
      <c r="D67" s="49" t="s">
        <v>29</v>
      </c>
      <c r="E67" s="69">
        <v>9.6</v>
      </c>
      <c r="F67" s="46">
        <f t="shared" si="33"/>
        <v>31.2</v>
      </c>
      <c r="G67" s="36">
        <f t="shared" si="34"/>
        <v>20</v>
      </c>
      <c r="H67" s="36">
        <f t="shared" si="35"/>
        <v>11.2</v>
      </c>
      <c r="I67" s="36">
        <f t="shared" si="36"/>
        <v>0</v>
      </c>
      <c r="J67" s="46">
        <f t="shared" si="37"/>
        <v>299.52</v>
      </c>
      <c r="K67" s="47"/>
      <c r="L67" s="7"/>
      <c r="M67" s="39">
        <f t="shared" si="38"/>
        <v>31.2</v>
      </c>
      <c r="N67" s="7">
        <v>10</v>
      </c>
      <c r="O67" s="8"/>
      <c r="P67" s="7">
        <v>20</v>
      </c>
      <c r="Q67" s="7">
        <v>1.2</v>
      </c>
      <c r="R67" s="7"/>
      <c r="S67" s="39">
        <f t="shared" si="39"/>
        <v>299.52</v>
      </c>
      <c r="T67" s="9"/>
      <c r="U67" s="10"/>
      <c r="V67" s="10"/>
      <c r="W67" s="10"/>
      <c r="X67" s="10"/>
      <c r="Y67" s="10"/>
      <c r="Z67" s="10"/>
      <c r="AA67" s="10"/>
      <c r="AB67" s="11"/>
      <c r="AC67" s="11"/>
    </row>
    <row r="68" s="1" customFormat="1" ht="49" customHeight="1" spans="1:29">
      <c r="A68" s="30">
        <v>65</v>
      </c>
      <c r="B68" s="70" t="s">
        <v>141</v>
      </c>
      <c r="C68" s="71" t="s">
        <v>142</v>
      </c>
      <c r="D68" s="49" t="s">
        <v>87</v>
      </c>
      <c r="E68" s="72">
        <v>1</v>
      </c>
      <c r="F68" s="46">
        <f t="shared" si="33"/>
        <v>16200</v>
      </c>
      <c r="G68" s="36">
        <f t="shared" si="34"/>
        <v>1200</v>
      </c>
      <c r="H68" s="36">
        <f t="shared" si="35"/>
        <v>15000</v>
      </c>
      <c r="I68" s="36">
        <f t="shared" si="36"/>
        <v>0</v>
      </c>
      <c r="J68" s="46">
        <f t="shared" si="37"/>
        <v>16200</v>
      </c>
      <c r="K68" s="47"/>
      <c r="L68" s="7"/>
      <c r="M68" s="39">
        <f t="shared" si="38"/>
        <v>16200</v>
      </c>
      <c r="N68" s="7">
        <v>15000</v>
      </c>
      <c r="O68" s="8"/>
      <c r="P68" s="7">
        <v>1200</v>
      </c>
      <c r="Q68" s="7"/>
      <c r="R68" s="7"/>
      <c r="S68" s="39">
        <f t="shared" si="39"/>
        <v>16200</v>
      </c>
      <c r="T68" s="9"/>
      <c r="U68" s="10"/>
      <c r="V68" s="10"/>
      <c r="W68" s="10"/>
      <c r="X68" s="10"/>
      <c r="Y68" s="10"/>
      <c r="Z68" s="10"/>
      <c r="AA68" s="10"/>
      <c r="AB68" s="11"/>
      <c r="AC68" s="11"/>
    </row>
    <row r="69" s="1" customFormat="1" ht="68" customHeight="1" spans="1:29">
      <c r="A69" s="30">
        <v>66</v>
      </c>
      <c r="B69" s="66" t="s">
        <v>143</v>
      </c>
      <c r="C69" s="73" t="s">
        <v>144</v>
      </c>
      <c r="D69" s="66" t="s">
        <v>87</v>
      </c>
      <c r="E69" s="72">
        <v>1</v>
      </c>
      <c r="F69" s="46">
        <f t="shared" si="33"/>
        <v>401.5</v>
      </c>
      <c r="G69" s="36">
        <f t="shared" si="34"/>
        <v>50</v>
      </c>
      <c r="H69" s="36">
        <f t="shared" si="35"/>
        <v>351.5</v>
      </c>
      <c r="I69" s="36">
        <f t="shared" si="36"/>
        <v>0</v>
      </c>
      <c r="J69" s="46">
        <f t="shared" si="37"/>
        <v>401.5</v>
      </c>
      <c r="K69" s="47"/>
      <c r="L69" s="7"/>
      <c r="M69" s="39">
        <f t="shared" si="38"/>
        <v>401.5</v>
      </c>
      <c r="N69" s="7">
        <v>350</v>
      </c>
      <c r="O69" s="8"/>
      <c r="P69" s="7">
        <v>50</v>
      </c>
      <c r="Q69" s="7">
        <v>1.5</v>
      </c>
      <c r="R69" s="7"/>
      <c r="S69" s="39">
        <f t="shared" si="39"/>
        <v>401.5</v>
      </c>
      <c r="T69" s="9"/>
      <c r="U69" s="10"/>
      <c r="V69" s="10"/>
      <c r="W69" s="10"/>
      <c r="X69" s="10"/>
      <c r="Y69" s="10"/>
      <c r="Z69" s="10"/>
      <c r="AA69" s="10"/>
      <c r="AB69" s="11"/>
      <c r="AC69" s="11"/>
    </row>
    <row r="70" s="1" customFormat="1" ht="60" customHeight="1" spans="1:29">
      <c r="A70" s="30">
        <v>67</v>
      </c>
      <c r="B70" s="49" t="s">
        <v>145</v>
      </c>
      <c r="C70" s="50" t="s">
        <v>146</v>
      </c>
      <c r="D70" s="49" t="s">
        <v>87</v>
      </c>
      <c r="E70" s="72">
        <v>2</v>
      </c>
      <c r="F70" s="46">
        <f t="shared" si="33"/>
        <v>111.5</v>
      </c>
      <c r="G70" s="36">
        <f t="shared" si="34"/>
        <v>35</v>
      </c>
      <c r="H70" s="36">
        <f t="shared" si="35"/>
        <v>76.5</v>
      </c>
      <c r="I70" s="36">
        <f t="shared" si="36"/>
        <v>0</v>
      </c>
      <c r="J70" s="46">
        <f t="shared" si="37"/>
        <v>223</v>
      </c>
      <c r="K70" s="47"/>
      <c r="L70" s="7"/>
      <c r="M70" s="39">
        <f t="shared" si="38"/>
        <v>111.5</v>
      </c>
      <c r="N70" s="7">
        <v>75</v>
      </c>
      <c r="O70" s="8"/>
      <c r="P70" s="7">
        <v>35</v>
      </c>
      <c r="Q70" s="7">
        <v>1.5</v>
      </c>
      <c r="R70" s="7"/>
      <c r="S70" s="39">
        <f t="shared" si="39"/>
        <v>223</v>
      </c>
      <c r="T70" s="9"/>
      <c r="U70" s="10"/>
      <c r="V70" s="10"/>
      <c r="W70" s="10"/>
      <c r="X70" s="10"/>
      <c r="Y70" s="10"/>
      <c r="Z70" s="10"/>
      <c r="AA70" s="10"/>
      <c r="AB70" s="11"/>
      <c r="AC70" s="11"/>
    </row>
    <row r="71" s="1" customFormat="1" ht="39" customHeight="1" spans="1:29">
      <c r="A71" s="30">
        <v>68</v>
      </c>
      <c r="B71" s="66" t="s">
        <v>147</v>
      </c>
      <c r="C71" s="67" t="s">
        <v>148</v>
      </c>
      <c r="D71" s="66" t="s">
        <v>87</v>
      </c>
      <c r="E71" s="48">
        <v>4</v>
      </c>
      <c r="F71" s="46">
        <f t="shared" ref="F71:F79" si="40">G71+H71+I71</f>
        <v>81.5</v>
      </c>
      <c r="G71" s="36">
        <f t="shared" si="34"/>
        <v>25</v>
      </c>
      <c r="H71" s="36">
        <f t="shared" si="35"/>
        <v>56.5</v>
      </c>
      <c r="I71" s="36">
        <f t="shared" si="36"/>
        <v>0</v>
      </c>
      <c r="J71" s="46">
        <f t="shared" ref="J71:J79" si="41">F71*E71</f>
        <v>326</v>
      </c>
      <c r="K71" s="47"/>
      <c r="L71" s="7"/>
      <c r="M71" s="39">
        <f t="shared" si="38"/>
        <v>81.5</v>
      </c>
      <c r="N71" s="7">
        <v>55</v>
      </c>
      <c r="O71" s="8"/>
      <c r="P71" s="7">
        <v>25</v>
      </c>
      <c r="Q71" s="7">
        <v>1.5</v>
      </c>
      <c r="R71" s="7"/>
      <c r="S71" s="39">
        <f t="shared" si="39"/>
        <v>326</v>
      </c>
      <c r="T71" s="9"/>
      <c r="U71" s="10"/>
      <c r="V71" s="10"/>
      <c r="W71" s="10"/>
      <c r="X71" s="10"/>
      <c r="Y71" s="10"/>
      <c r="Z71" s="10"/>
      <c r="AA71" s="10"/>
      <c r="AB71" s="11"/>
      <c r="AC71" s="11"/>
    </row>
    <row r="72" s="1" customFormat="1" ht="61" customHeight="1" spans="1:29">
      <c r="A72" s="30">
        <v>69</v>
      </c>
      <c r="B72" s="66" t="s">
        <v>149</v>
      </c>
      <c r="C72" s="67" t="s">
        <v>150</v>
      </c>
      <c r="D72" s="66" t="s">
        <v>87</v>
      </c>
      <c r="E72" s="72">
        <v>3</v>
      </c>
      <c r="F72" s="46">
        <f t="shared" si="40"/>
        <v>619</v>
      </c>
      <c r="G72" s="36">
        <f t="shared" si="34"/>
        <v>100</v>
      </c>
      <c r="H72" s="36">
        <f t="shared" si="35"/>
        <v>519</v>
      </c>
      <c r="I72" s="36">
        <f t="shared" si="36"/>
        <v>0</v>
      </c>
      <c r="J72" s="46">
        <f t="shared" si="41"/>
        <v>1857</v>
      </c>
      <c r="K72" s="47"/>
      <c r="L72" s="7"/>
      <c r="M72" s="39">
        <f t="shared" si="38"/>
        <v>619</v>
      </c>
      <c r="N72" s="7">
        <f>232+277</f>
        <v>509</v>
      </c>
      <c r="O72" s="8"/>
      <c r="P72" s="7">
        <v>100</v>
      </c>
      <c r="Q72" s="7">
        <v>10</v>
      </c>
      <c r="R72" s="7"/>
      <c r="S72" s="39">
        <f t="shared" si="39"/>
        <v>1857</v>
      </c>
      <c r="T72" s="9"/>
      <c r="U72" s="10"/>
      <c r="V72" s="10"/>
      <c r="W72" s="10"/>
      <c r="X72" s="10"/>
      <c r="Y72" s="10"/>
      <c r="Z72" s="10"/>
      <c r="AA72" s="10"/>
      <c r="AB72" s="11"/>
      <c r="AC72" s="11"/>
    </row>
    <row r="73" s="1" customFormat="1" ht="56.25" spans="1:29">
      <c r="A73" s="30">
        <v>70</v>
      </c>
      <c r="B73" s="66" t="s">
        <v>151</v>
      </c>
      <c r="C73" s="67" t="s">
        <v>152</v>
      </c>
      <c r="D73" s="66" t="s">
        <v>87</v>
      </c>
      <c r="E73" s="72">
        <v>2</v>
      </c>
      <c r="F73" s="46">
        <f t="shared" si="40"/>
        <v>880</v>
      </c>
      <c r="G73" s="36">
        <f t="shared" si="34"/>
        <v>85</v>
      </c>
      <c r="H73" s="36">
        <f t="shared" si="35"/>
        <v>795</v>
      </c>
      <c r="I73" s="36">
        <f t="shared" si="36"/>
        <v>0</v>
      </c>
      <c r="J73" s="46">
        <f t="shared" si="41"/>
        <v>1760</v>
      </c>
      <c r="K73" s="47"/>
      <c r="L73" s="7"/>
      <c r="M73" s="39">
        <f t="shared" si="38"/>
        <v>880</v>
      </c>
      <c r="N73" s="7">
        <v>790</v>
      </c>
      <c r="O73" s="8"/>
      <c r="P73" s="7">
        <v>85</v>
      </c>
      <c r="Q73" s="7">
        <v>5</v>
      </c>
      <c r="R73" s="7"/>
      <c r="S73" s="39">
        <f t="shared" si="39"/>
        <v>1760</v>
      </c>
      <c r="T73" s="9"/>
      <c r="U73" s="10"/>
      <c r="V73" s="10"/>
      <c r="W73" s="10"/>
      <c r="X73" s="10"/>
      <c r="Y73" s="10"/>
      <c r="Z73" s="10"/>
      <c r="AA73" s="10"/>
      <c r="AB73" s="11"/>
      <c r="AC73" s="11"/>
    </row>
    <row r="74" s="1" customFormat="1" ht="73" customHeight="1" spans="1:29">
      <c r="A74" s="30">
        <v>71</v>
      </c>
      <c r="B74" s="66" t="s">
        <v>153</v>
      </c>
      <c r="C74" s="67" t="s">
        <v>154</v>
      </c>
      <c r="D74" s="66" t="s">
        <v>87</v>
      </c>
      <c r="E74" s="74">
        <v>7</v>
      </c>
      <c r="F74" s="46">
        <f t="shared" si="40"/>
        <v>596</v>
      </c>
      <c r="G74" s="36">
        <f t="shared" si="34"/>
        <v>100</v>
      </c>
      <c r="H74" s="36">
        <f t="shared" si="35"/>
        <v>496</v>
      </c>
      <c r="I74" s="36">
        <f t="shared" si="36"/>
        <v>0</v>
      </c>
      <c r="J74" s="46">
        <f t="shared" si="41"/>
        <v>4172</v>
      </c>
      <c r="K74" s="47"/>
      <c r="L74" s="7"/>
      <c r="M74" s="39">
        <f t="shared" si="38"/>
        <v>596</v>
      </c>
      <c r="N74" s="7">
        <v>491</v>
      </c>
      <c r="O74" s="8"/>
      <c r="P74" s="7">
        <v>100</v>
      </c>
      <c r="Q74" s="7">
        <v>5</v>
      </c>
      <c r="R74" s="7"/>
      <c r="S74" s="39">
        <f t="shared" si="39"/>
        <v>4172</v>
      </c>
      <c r="T74" s="9"/>
      <c r="U74" s="10"/>
      <c r="V74" s="10"/>
      <c r="W74" s="10"/>
      <c r="X74" s="10"/>
      <c r="Y74" s="10"/>
      <c r="Z74" s="10"/>
      <c r="AA74" s="10"/>
      <c r="AB74" s="11"/>
      <c r="AC74" s="11"/>
    </row>
    <row r="75" s="1" customFormat="1" ht="60" customHeight="1" spans="1:29">
      <c r="A75" s="30">
        <v>72</v>
      </c>
      <c r="B75" s="66" t="s">
        <v>155</v>
      </c>
      <c r="C75" s="67" t="s">
        <v>156</v>
      </c>
      <c r="D75" s="66" t="s">
        <v>87</v>
      </c>
      <c r="E75" s="58">
        <v>4</v>
      </c>
      <c r="F75" s="46">
        <f t="shared" si="40"/>
        <v>285</v>
      </c>
      <c r="G75" s="36">
        <f t="shared" si="34"/>
        <v>85</v>
      </c>
      <c r="H75" s="36">
        <f t="shared" si="35"/>
        <v>200</v>
      </c>
      <c r="I75" s="36">
        <f t="shared" si="36"/>
        <v>0</v>
      </c>
      <c r="J75" s="46">
        <f t="shared" si="41"/>
        <v>1140</v>
      </c>
      <c r="K75" s="47"/>
      <c r="L75" s="7"/>
      <c r="M75" s="39">
        <f t="shared" si="38"/>
        <v>285</v>
      </c>
      <c r="N75" s="7">
        <v>195</v>
      </c>
      <c r="O75" s="8"/>
      <c r="P75" s="7">
        <v>85</v>
      </c>
      <c r="Q75" s="7">
        <v>5</v>
      </c>
      <c r="R75" s="7"/>
      <c r="S75" s="39">
        <f t="shared" si="39"/>
        <v>1140</v>
      </c>
      <c r="T75" s="9"/>
      <c r="U75" s="10"/>
      <c r="V75" s="10"/>
      <c r="W75" s="10"/>
      <c r="X75" s="10"/>
      <c r="Y75" s="10"/>
      <c r="Z75" s="10"/>
      <c r="AA75" s="10"/>
      <c r="AB75" s="11"/>
      <c r="AC75" s="11"/>
    </row>
    <row r="76" s="1" customFormat="1" ht="48" customHeight="1" spans="1:29">
      <c r="A76" s="30">
        <v>73</v>
      </c>
      <c r="B76" s="66" t="s">
        <v>157</v>
      </c>
      <c r="C76" s="68" t="s">
        <v>158</v>
      </c>
      <c r="D76" s="69" t="s">
        <v>90</v>
      </c>
      <c r="E76" s="74">
        <v>4</v>
      </c>
      <c r="F76" s="46">
        <f t="shared" si="40"/>
        <v>533.5</v>
      </c>
      <c r="G76" s="36">
        <f t="shared" si="34"/>
        <v>50</v>
      </c>
      <c r="H76" s="36">
        <f t="shared" si="35"/>
        <v>483.5</v>
      </c>
      <c r="I76" s="36">
        <f t="shared" si="36"/>
        <v>0</v>
      </c>
      <c r="J76" s="46">
        <f t="shared" si="41"/>
        <v>2134</v>
      </c>
      <c r="K76" s="47"/>
      <c r="L76" s="7"/>
      <c r="M76" s="39">
        <f t="shared" si="38"/>
        <v>533.5</v>
      </c>
      <c r="N76" s="7">
        <v>480</v>
      </c>
      <c r="O76" s="8"/>
      <c r="P76" s="7">
        <v>50</v>
      </c>
      <c r="Q76" s="7">
        <v>3.5</v>
      </c>
      <c r="R76" s="7"/>
      <c r="S76" s="39">
        <f t="shared" si="39"/>
        <v>2134</v>
      </c>
      <c r="T76" s="9"/>
      <c r="U76" s="10"/>
      <c r="V76" s="10"/>
      <c r="W76" s="10"/>
      <c r="X76" s="10"/>
      <c r="Y76" s="10"/>
      <c r="Z76" s="10"/>
      <c r="AA76" s="10"/>
      <c r="AB76" s="11"/>
      <c r="AC76" s="11"/>
    </row>
    <row r="77" s="1" customFormat="1" ht="47" customHeight="1" spans="1:29">
      <c r="A77" s="30">
        <v>74</v>
      </c>
      <c r="B77" s="66" t="s">
        <v>159</v>
      </c>
      <c r="C77" s="67" t="s">
        <v>160</v>
      </c>
      <c r="D77" s="66" t="s">
        <v>87</v>
      </c>
      <c r="E77" s="58">
        <v>1</v>
      </c>
      <c r="F77" s="46">
        <f t="shared" si="40"/>
        <v>381</v>
      </c>
      <c r="G77" s="36">
        <f t="shared" si="34"/>
        <v>85</v>
      </c>
      <c r="H77" s="36">
        <f t="shared" si="35"/>
        <v>296</v>
      </c>
      <c r="I77" s="36">
        <f t="shared" si="36"/>
        <v>0</v>
      </c>
      <c r="J77" s="46">
        <f t="shared" si="41"/>
        <v>381</v>
      </c>
      <c r="K77" s="47"/>
      <c r="L77" s="7"/>
      <c r="M77" s="39">
        <f t="shared" si="38"/>
        <v>381</v>
      </c>
      <c r="N77" s="7">
        <v>291</v>
      </c>
      <c r="O77" s="8"/>
      <c r="P77" s="7">
        <v>85</v>
      </c>
      <c r="Q77" s="7">
        <v>5</v>
      </c>
      <c r="R77" s="7"/>
      <c r="S77" s="39">
        <f t="shared" si="39"/>
        <v>381</v>
      </c>
      <c r="T77" s="9"/>
      <c r="U77" s="10"/>
      <c r="V77" s="10"/>
      <c r="W77" s="10"/>
      <c r="X77" s="10"/>
      <c r="Y77" s="10"/>
      <c r="Z77" s="10"/>
      <c r="AA77" s="10"/>
      <c r="AB77" s="11"/>
      <c r="AC77" s="11"/>
    </row>
    <row r="78" s="1" customFormat="1" ht="64" customHeight="1" spans="1:29">
      <c r="A78" s="30">
        <v>75</v>
      </c>
      <c r="B78" s="66" t="s">
        <v>161</v>
      </c>
      <c r="C78" s="67" t="s">
        <v>162</v>
      </c>
      <c r="D78" s="66" t="s">
        <v>87</v>
      </c>
      <c r="E78" s="72">
        <v>1</v>
      </c>
      <c r="F78" s="46">
        <f t="shared" si="40"/>
        <v>56.8</v>
      </c>
      <c r="G78" s="36">
        <f t="shared" si="34"/>
        <v>20</v>
      </c>
      <c r="H78" s="36">
        <f t="shared" si="35"/>
        <v>36.8</v>
      </c>
      <c r="I78" s="36">
        <f t="shared" si="36"/>
        <v>0</v>
      </c>
      <c r="J78" s="46">
        <f t="shared" si="41"/>
        <v>56.8</v>
      </c>
      <c r="K78" s="47"/>
      <c r="L78" s="7"/>
      <c r="M78" s="39">
        <f t="shared" si="38"/>
        <v>56.8</v>
      </c>
      <c r="N78" s="7">
        <v>36</v>
      </c>
      <c r="O78" s="8"/>
      <c r="P78" s="7">
        <v>20</v>
      </c>
      <c r="Q78" s="7">
        <v>0.8</v>
      </c>
      <c r="R78" s="7"/>
      <c r="S78" s="39">
        <f t="shared" si="39"/>
        <v>56.8</v>
      </c>
      <c r="T78" s="9"/>
      <c r="U78" s="10"/>
      <c r="V78" s="10"/>
      <c r="W78" s="10"/>
      <c r="X78" s="10"/>
      <c r="Y78" s="10"/>
      <c r="Z78" s="10"/>
      <c r="AA78" s="10"/>
      <c r="AB78" s="11"/>
      <c r="AC78" s="11"/>
    </row>
    <row r="79" s="1" customFormat="1" ht="57" customHeight="1" spans="1:29">
      <c r="A79" s="30">
        <v>76</v>
      </c>
      <c r="B79" s="66" t="s">
        <v>163</v>
      </c>
      <c r="C79" s="67" t="s">
        <v>164</v>
      </c>
      <c r="D79" s="66" t="s">
        <v>87</v>
      </c>
      <c r="E79" s="72">
        <v>9</v>
      </c>
      <c r="F79" s="46">
        <f t="shared" si="40"/>
        <v>233.8</v>
      </c>
      <c r="G79" s="36">
        <f t="shared" si="34"/>
        <v>20</v>
      </c>
      <c r="H79" s="36">
        <f t="shared" si="35"/>
        <v>213.8</v>
      </c>
      <c r="I79" s="36">
        <f t="shared" si="36"/>
        <v>0</v>
      </c>
      <c r="J79" s="46">
        <f t="shared" si="41"/>
        <v>2104.2</v>
      </c>
      <c r="K79" s="47"/>
      <c r="L79" s="7"/>
      <c r="M79" s="39">
        <f t="shared" si="38"/>
        <v>233.8</v>
      </c>
      <c r="N79" s="7">
        <v>213</v>
      </c>
      <c r="O79" s="8"/>
      <c r="P79" s="7">
        <v>20</v>
      </c>
      <c r="Q79" s="7">
        <v>0.8</v>
      </c>
      <c r="R79" s="7"/>
      <c r="S79" s="39">
        <f t="shared" si="39"/>
        <v>2104.2</v>
      </c>
      <c r="T79" s="9"/>
      <c r="U79" s="10"/>
      <c r="V79" s="10"/>
      <c r="W79" s="10"/>
      <c r="X79" s="10"/>
      <c r="Y79" s="10"/>
      <c r="Z79" s="10"/>
      <c r="AA79" s="10"/>
      <c r="AB79" s="11"/>
      <c r="AC79" s="11"/>
    </row>
    <row r="80" s="1" customFormat="1" ht="21" customHeight="1" spans="1:29">
      <c r="A80" s="30">
        <v>77</v>
      </c>
      <c r="B80" s="64" t="s">
        <v>165</v>
      </c>
      <c r="C80" s="24"/>
      <c r="D80" s="24"/>
      <c r="E80" s="51"/>
      <c r="F80" s="24"/>
      <c r="G80" s="24"/>
      <c r="H80" s="24"/>
      <c r="I80" s="24"/>
      <c r="J80" s="24"/>
      <c r="K80" s="25"/>
      <c r="L80" s="7"/>
      <c r="M80" s="7"/>
      <c r="N80" s="7"/>
      <c r="O80" s="8"/>
      <c r="P80" s="7"/>
      <c r="Q80" s="7"/>
      <c r="R80" s="7"/>
      <c r="S80" s="7"/>
      <c r="T80" s="9"/>
      <c r="U80" s="10"/>
      <c r="V80" s="10"/>
      <c r="W80" s="10"/>
      <c r="X80" s="10"/>
      <c r="Y80" s="10"/>
      <c r="Z80" s="10"/>
      <c r="AA80" s="10"/>
      <c r="AB80" s="11"/>
      <c r="AC80" s="11"/>
    </row>
    <row r="81" s="1" customFormat="1" ht="57" customHeight="1" spans="1:29">
      <c r="A81" s="30">
        <v>78</v>
      </c>
      <c r="B81" s="49" t="s">
        <v>166</v>
      </c>
      <c r="C81" s="50" t="s">
        <v>167</v>
      </c>
      <c r="D81" s="75" t="s">
        <v>103</v>
      </c>
      <c r="E81" s="58">
        <v>2</v>
      </c>
      <c r="F81" s="46">
        <f t="shared" ref="F81:F86" si="42">G81+H81+I81</f>
        <v>450</v>
      </c>
      <c r="G81" s="36">
        <f t="shared" ref="G81:G86" si="43">P81*$P$1</f>
        <v>450</v>
      </c>
      <c r="H81" s="36">
        <f t="shared" ref="H81:H86" si="44">(N81+N81*O81)*$N$1+Q81*$Q$1+R81</f>
        <v>0</v>
      </c>
      <c r="I81" s="36">
        <f t="shared" ref="I81:I86" si="45">M81*$M$1</f>
        <v>0</v>
      </c>
      <c r="J81" s="46">
        <f t="shared" ref="J81:J86" si="46">F81*E81</f>
        <v>900</v>
      </c>
      <c r="K81" s="47"/>
      <c r="L81" s="7"/>
      <c r="M81" s="39">
        <f t="shared" ref="M81:M86" si="47">N81+N81*O81+P81+Q81+R81</f>
        <v>450</v>
      </c>
      <c r="N81" s="7"/>
      <c r="O81" s="8"/>
      <c r="P81" s="7">
        <v>450</v>
      </c>
      <c r="Q81" s="7"/>
      <c r="R81" s="7"/>
      <c r="S81" s="39">
        <f t="shared" ref="S81:S86" si="48">E81*M81</f>
        <v>900</v>
      </c>
      <c r="T81" s="9"/>
      <c r="U81" s="10"/>
      <c r="V81" s="10"/>
      <c r="W81" s="10"/>
      <c r="X81" s="10"/>
      <c r="Y81" s="10"/>
      <c r="Z81" s="10"/>
      <c r="AA81" s="10"/>
      <c r="AB81" s="11"/>
      <c r="AC81" s="11"/>
    </row>
    <row r="82" s="1" customFormat="1" ht="47" customHeight="1" spans="1:29">
      <c r="A82" s="30">
        <v>79</v>
      </c>
      <c r="B82" s="49" t="s">
        <v>168</v>
      </c>
      <c r="C82" s="50" t="s">
        <v>169</v>
      </c>
      <c r="D82" s="75" t="s">
        <v>34</v>
      </c>
      <c r="E82" s="74">
        <v>25.224</v>
      </c>
      <c r="F82" s="46">
        <f t="shared" si="42"/>
        <v>15</v>
      </c>
      <c r="G82" s="36">
        <f t="shared" si="43"/>
        <v>15</v>
      </c>
      <c r="H82" s="36">
        <f t="shared" si="44"/>
        <v>0</v>
      </c>
      <c r="I82" s="36">
        <f t="shared" si="45"/>
        <v>0</v>
      </c>
      <c r="J82" s="46">
        <f t="shared" si="46"/>
        <v>378.36</v>
      </c>
      <c r="K82" s="47"/>
      <c r="L82" s="7"/>
      <c r="M82" s="39">
        <f t="shared" si="47"/>
        <v>15</v>
      </c>
      <c r="N82" s="7"/>
      <c r="O82" s="8"/>
      <c r="P82" s="7">
        <v>15</v>
      </c>
      <c r="Q82" s="7"/>
      <c r="R82" s="7"/>
      <c r="S82" s="39">
        <f t="shared" si="48"/>
        <v>378.36</v>
      </c>
      <c r="T82" s="9"/>
      <c r="U82" s="10"/>
      <c r="V82" s="10"/>
      <c r="W82" s="10"/>
      <c r="X82" s="10"/>
      <c r="Y82" s="10"/>
      <c r="Z82" s="10"/>
      <c r="AA82" s="10"/>
      <c r="AB82" s="11"/>
      <c r="AC82" s="11"/>
    </row>
    <row r="83" s="1" customFormat="1" ht="105" customHeight="1" spans="1:29">
      <c r="A83" s="30">
        <v>80</v>
      </c>
      <c r="B83" s="66" t="s">
        <v>170</v>
      </c>
      <c r="C83" s="67" t="s">
        <v>171</v>
      </c>
      <c r="D83" s="66" t="s">
        <v>103</v>
      </c>
      <c r="E83" s="72">
        <v>2</v>
      </c>
      <c r="F83" s="46">
        <f t="shared" si="42"/>
        <v>835</v>
      </c>
      <c r="G83" s="36">
        <f t="shared" si="43"/>
        <v>800</v>
      </c>
      <c r="H83" s="36">
        <f t="shared" si="44"/>
        <v>35</v>
      </c>
      <c r="I83" s="36">
        <f t="shared" si="45"/>
        <v>0</v>
      </c>
      <c r="J83" s="46">
        <f t="shared" si="46"/>
        <v>1670</v>
      </c>
      <c r="K83" s="47"/>
      <c r="L83" s="7"/>
      <c r="M83" s="39">
        <f t="shared" si="47"/>
        <v>835</v>
      </c>
      <c r="N83" s="7"/>
      <c r="O83" s="8"/>
      <c r="P83" s="7">
        <v>800</v>
      </c>
      <c r="Q83" s="7">
        <v>35</v>
      </c>
      <c r="R83" s="7"/>
      <c r="S83" s="39">
        <f t="shared" si="48"/>
        <v>1670</v>
      </c>
      <c r="T83" s="9"/>
      <c r="U83" s="10"/>
      <c r="V83" s="10"/>
      <c r="W83" s="10"/>
      <c r="X83" s="10"/>
      <c r="Y83" s="10"/>
      <c r="Z83" s="10"/>
      <c r="AA83" s="10"/>
      <c r="AB83" s="11"/>
      <c r="AC83" s="11"/>
    </row>
    <row r="84" s="1" customFormat="1" ht="124" customHeight="1" spans="1:29">
      <c r="A84" s="30">
        <v>81</v>
      </c>
      <c r="B84" s="49" t="s">
        <v>172</v>
      </c>
      <c r="C84" s="50" t="s">
        <v>173</v>
      </c>
      <c r="D84" s="75" t="s">
        <v>174</v>
      </c>
      <c r="E84" s="72">
        <v>19.264</v>
      </c>
      <c r="F84" s="46">
        <f t="shared" si="42"/>
        <v>155.5</v>
      </c>
      <c r="G84" s="36">
        <f t="shared" si="43"/>
        <v>75</v>
      </c>
      <c r="H84" s="36">
        <f t="shared" si="44"/>
        <v>80.5</v>
      </c>
      <c r="I84" s="36">
        <f t="shared" si="45"/>
        <v>0</v>
      </c>
      <c r="J84" s="46">
        <f t="shared" si="46"/>
        <v>2995.552</v>
      </c>
      <c r="K84" s="47"/>
      <c r="L84" s="7"/>
      <c r="M84" s="39">
        <f t="shared" si="47"/>
        <v>155.5</v>
      </c>
      <c r="N84" s="7">
        <v>55</v>
      </c>
      <c r="O84" s="8"/>
      <c r="P84" s="7">
        <v>75</v>
      </c>
      <c r="Q84" s="7">
        <v>25</v>
      </c>
      <c r="R84" s="7">
        <v>0.5</v>
      </c>
      <c r="S84" s="39">
        <f t="shared" si="48"/>
        <v>2995.552</v>
      </c>
      <c r="T84" s="9"/>
      <c r="U84" s="10"/>
      <c r="V84" s="10"/>
      <c r="W84" s="10"/>
      <c r="X84" s="10"/>
      <c r="Y84" s="10"/>
      <c r="Z84" s="10"/>
      <c r="AA84" s="10"/>
      <c r="AB84" s="11"/>
      <c r="AC84" s="11"/>
    </row>
    <row r="85" s="1" customFormat="1" ht="53" customHeight="1" spans="1:29">
      <c r="A85" s="30">
        <v>82</v>
      </c>
      <c r="B85" s="56" t="s">
        <v>175</v>
      </c>
      <c r="C85" s="57" t="s">
        <v>176</v>
      </c>
      <c r="D85" s="56" t="s">
        <v>87</v>
      </c>
      <c r="E85" s="58">
        <v>4</v>
      </c>
      <c r="F85" s="46">
        <f t="shared" si="42"/>
        <v>164.5</v>
      </c>
      <c r="G85" s="36">
        <f t="shared" si="43"/>
        <v>36</v>
      </c>
      <c r="H85" s="36">
        <f t="shared" si="44"/>
        <v>128.5</v>
      </c>
      <c r="I85" s="36">
        <f t="shared" si="45"/>
        <v>0</v>
      </c>
      <c r="J85" s="46">
        <f t="shared" si="46"/>
        <v>658</v>
      </c>
      <c r="K85" s="47"/>
      <c r="L85" s="7"/>
      <c r="M85" s="39">
        <f t="shared" si="47"/>
        <v>164.5</v>
      </c>
      <c r="N85" s="7">
        <v>125</v>
      </c>
      <c r="O85" s="8"/>
      <c r="P85" s="7">
        <v>36</v>
      </c>
      <c r="Q85" s="7">
        <v>3.5</v>
      </c>
      <c r="R85" s="7"/>
      <c r="S85" s="39">
        <f t="shared" si="48"/>
        <v>658</v>
      </c>
      <c r="T85" s="9"/>
      <c r="U85" s="10"/>
      <c r="V85" s="10"/>
      <c r="W85" s="10"/>
      <c r="X85" s="10"/>
      <c r="Y85" s="10"/>
      <c r="Z85" s="10"/>
      <c r="AA85" s="10"/>
      <c r="AB85" s="11"/>
      <c r="AC85" s="11"/>
    </row>
    <row r="86" s="1" customFormat="1" ht="45" spans="1:29">
      <c r="A86" s="30">
        <v>83</v>
      </c>
      <c r="B86" s="56" t="s">
        <v>177</v>
      </c>
      <c r="C86" s="65" t="s">
        <v>178</v>
      </c>
      <c r="D86" s="56" t="s">
        <v>87</v>
      </c>
      <c r="E86" s="72">
        <v>2</v>
      </c>
      <c r="F86" s="46">
        <f t="shared" si="42"/>
        <v>140.3</v>
      </c>
      <c r="G86" s="36">
        <f t="shared" si="43"/>
        <v>15</v>
      </c>
      <c r="H86" s="36">
        <f t="shared" si="44"/>
        <v>125.3</v>
      </c>
      <c r="I86" s="36">
        <f t="shared" si="45"/>
        <v>0</v>
      </c>
      <c r="J86" s="46">
        <f t="shared" si="46"/>
        <v>280.6</v>
      </c>
      <c r="K86" s="47"/>
      <c r="L86" s="7"/>
      <c r="M86" s="39">
        <f t="shared" si="47"/>
        <v>140.3</v>
      </c>
      <c r="N86" s="7">
        <v>125</v>
      </c>
      <c r="O86" s="8"/>
      <c r="P86" s="7">
        <v>15</v>
      </c>
      <c r="Q86" s="7">
        <v>0.3</v>
      </c>
      <c r="R86" s="7"/>
      <c r="S86" s="39">
        <f t="shared" si="48"/>
        <v>280.6</v>
      </c>
      <c r="T86" s="9"/>
      <c r="U86" s="10"/>
      <c r="V86" s="10"/>
      <c r="W86" s="10"/>
      <c r="X86" s="10"/>
      <c r="Y86" s="10"/>
      <c r="Z86" s="10"/>
      <c r="AA86" s="10"/>
      <c r="AB86" s="11"/>
      <c r="AC86" s="11"/>
    </row>
    <row r="87" s="1" customFormat="1" spans="1:29">
      <c r="A87" s="30">
        <v>84</v>
      </c>
      <c r="B87" s="64" t="s">
        <v>179</v>
      </c>
      <c r="C87" s="24"/>
      <c r="D87" s="24"/>
      <c r="E87" s="51"/>
      <c r="F87" s="24"/>
      <c r="G87" s="24"/>
      <c r="H87" s="24"/>
      <c r="I87" s="24"/>
      <c r="J87" s="24"/>
      <c r="K87" s="25"/>
      <c r="L87" s="7"/>
      <c r="M87" s="7"/>
      <c r="N87" s="7"/>
      <c r="O87" s="8"/>
      <c r="P87" s="7"/>
      <c r="Q87" s="7"/>
      <c r="R87" s="7"/>
      <c r="S87" s="7"/>
      <c r="T87" s="9"/>
      <c r="U87" s="10"/>
      <c r="V87" s="10"/>
      <c r="W87" s="10"/>
      <c r="X87" s="10"/>
      <c r="Y87" s="10"/>
      <c r="Z87" s="10"/>
      <c r="AA87" s="10"/>
      <c r="AB87" s="11"/>
      <c r="AC87" s="11"/>
    </row>
    <row r="88" s="1" customFormat="1" ht="102" customHeight="1" spans="1:29">
      <c r="A88" s="30">
        <v>85</v>
      </c>
      <c r="B88" s="49" t="s">
        <v>180</v>
      </c>
      <c r="C88" s="65" t="s">
        <v>181</v>
      </c>
      <c r="D88" s="49" t="s">
        <v>182</v>
      </c>
      <c r="E88" s="72">
        <v>1</v>
      </c>
      <c r="F88" s="46">
        <f>G88+H88+I88</f>
        <v>35000</v>
      </c>
      <c r="G88" s="36">
        <f>P88*$P$1</f>
        <v>35000</v>
      </c>
      <c r="H88" s="36">
        <f>(N88+N88*O88)*$N$1+Q88*$Q$1+R88</f>
        <v>0</v>
      </c>
      <c r="I88" s="36">
        <f>M88*$M$1</f>
        <v>0</v>
      </c>
      <c r="J88" s="46">
        <f>F88*E88</f>
        <v>35000</v>
      </c>
      <c r="K88" s="47"/>
      <c r="L88" s="7"/>
      <c r="M88" s="39">
        <f>N88+N88*O88+P88+Q88+R88</f>
        <v>35000</v>
      </c>
      <c r="N88" s="7"/>
      <c r="O88" s="8"/>
      <c r="P88" s="7">
        <v>35000</v>
      </c>
      <c r="Q88" s="7"/>
      <c r="R88" s="7"/>
      <c r="S88" s="39">
        <f>E88*M88</f>
        <v>35000</v>
      </c>
      <c r="T88" s="9"/>
      <c r="U88" s="10"/>
      <c r="V88" s="10"/>
      <c r="W88" s="10"/>
      <c r="X88" s="10"/>
      <c r="Y88" s="10"/>
      <c r="Z88" s="10"/>
      <c r="AA88" s="10"/>
      <c r="AB88" s="11"/>
      <c r="AC88" s="11"/>
    </row>
    <row r="89" s="4" customFormat="1" ht="30" customHeight="1" spans="1:29">
      <c r="A89" s="30">
        <v>86</v>
      </c>
      <c r="B89" s="76" t="s">
        <v>183</v>
      </c>
      <c r="C89" s="77"/>
      <c r="D89" s="78"/>
      <c r="E89" s="79"/>
      <c r="F89" s="78"/>
      <c r="G89" s="80"/>
      <c r="H89" s="80"/>
      <c r="I89" s="80"/>
      <c r="J89" s="81">
        <f>SUM(J5:J88)</f>
        <v>428932.85389633</v>
      </c>
      <c r="K89" s="82"/>
      <c r="L89" s="83"/>
      <c r="M89" s="83"/>
      <c r="N89" s="83"/>
      <c r="O89" s="84"/>
      <c r="P89" s="83"/>
      <c r="Q89" s="83"/>
      <c r="R89" s="83"/>
      <c r="S89" s="83"/>
      <c r="T89" s="83"/>
      <c r="U89" s="83"/>
      <c r="V89" s="83"/>
      <c r="W89" s="83"/>
      <c r="X89" s="83"/>
      <c r="Y89" s="83"/>
      <c r="Z89" s="83"/>
      <c r="AA89" s="83"/>
      <c r="AB89" s="85"/>
      <c r="AC89" s="85"/>
    </row>
    <row r="90" s="4" customFormat="1" ht="30" customHeight="1" spans="1:29">
      <c r="A90" s="30">
        <v>87</v>
      </c>
      <c r="B90" s="86" t="s">
        <v>184</v>
      </c>
      <c r="C90" s="87">
        <f>F90</f>
        <v>0.09</v>
      </c>
      <c r="D90" s="78" t="s">
        <v>182</v>
      </c>
      <c r="E90" s="48">
        <v>1</v>
      </c>
      <c r="F90" s="88">
        <v>0.09</v>
      </c>
      <c r="G90" s="80"/>
      <c r="H90" s="80"/>
      <c r="I90" s="80"/>
      <c r="J90" s="81">
        <f>J89*F90</f>
        <v>38603.9568506697</v>
      </c>
      <c r="K90" s="82" t="s">
        <v>185</v>
      </c>
      <c r="L90" s="83"/>
      <c r="M90" s="83"/>
      <c r="N90" s="83"/>
      <c r="O90" s="84"/>
      <c r="P90" s="83"/>
      <c r="Q90" s="83"/>
      <c r="R90" s="83"/>
      <c r="S90" s="83"/>
      <c r="T90" s="83"/>
      <c r="U90" s="83"/>
      <c r="V90" s="83"/>
      <c r="W90" s="83"/>
      <c r="X90" s="83"/>
      <c r="Y90" s="83"/>
      <c r="Z90" s="83"/>
      <c r="AA90" s="83"/>
      <c r="AB90" s="85"/>
      <c r="AC90" s="85"/>
    </row>
    <row r="91" s="4" customFormat="1" ht="30" customHeight="1" spans="1:29">
      <c r="A91" s="30">
        <v>88</v>
      </c>
      <c r="B91" s="89" t="s">
        <v>186</v>
      </c>
      <c r="C91" s="90"/>
      <c r="D91" s="91"/>
      <c r="E91" s="91"/>
      <c r="F91" s="91"/>
      <c r="G91" s="92"/>
      <c r="H91" s="92"/>
      <c r="I91" s="92"/>
      <c r="J91" s="93">
        <f>SUM(J89:J90)</f>
        <v>467536.810747</v>
      </c>
      <c r="K91" s="94"/>
      <c r="L91" s="83">
        <v>285</v>
      </c>
      <c r="M91" s="83">
        <f>J91/L91</f>
        <v>1640.48003770877</v>
      </c>
      <c r="N91" s="83"/>
      <c r="O91" s="84"/>
      <c r="P91" s="83"/>
      <c r="Q91" s="83"/>
      <c r="R91" s="83"/>
      <c r="S91" s="83"/>
      <c r="T91" s="83"/>
      <c r="U91" s="83"/>
      <c r="V91" s="83"/>
      <c r="W91" s="83"/>
      <c r="X91" s="83"/>
      <c r="Y91" s="83"/>
      <c r="Z91" s="83"/>
      <c r="AA91" s="83"/>
      <c r="AB91" s="85"/>
      <c r="AC91" s="85"/>
    </row>
    <row r="92" s="5" customFormat="1" ht="165" customHeight="1" spans="1:29">
      <c r="A92" s="95" t="s">
        <v>187</v>
      </c>
      <c r="B92" s="95"/>
      <c r="C92" s="95"/>
      <c r="D92" s="95"/>
      <c r="E92" s="95"/>
      <c r="F92" s="95"/>
      <c r="G92" s="95"/>
      <c r="H92" s="95"/>
      <c r="I92" s="95"/>
      <c r="J92" s="95"/>
      <c r="K92" s="95"/>
      <c r="L92" s="96">
        <v>591609.59</v>
      </c>
      <c r="M92" s="96" t="str">
        <f>IF(J91&lt;0,"负","")&amp;SUBSTITUTE(SUBSTITUTE(TEXT(TRUNC(FIXED(ABS(J91))),"[&gt;0][dbnum2];;")&amp;TEXT(RIGHT(FIXED(J91),2),"元[dbnum2]0角0分;;"&amp;IF(ABS(J91)&gt;1%,"元整",)),"零角",IF(ABS(J91)&lt;1,,"零")),"零分","整")</f>
        <v>肆拾陆万柒仟伍佰叁拾陆元捌角壹分</v>
      </c>
      <c r="N92" s="96" t="s">
        <v>188</v>
      </c>
      <c r="O92" s="97"/>
      <c r="P92" s="96"/>
      <c r="Q92" s="96"/>
      <c r="R92" s="96"/>
      <c r="S92" s="96"/>
      <c r="T92" s="96"/>
      <c r="U92" s="96"/>
      <c r="V92" s="96"/>
      <c r="W92" s="96"/>
      <c r="X92" s="96"/>
      <c r="Y92" s="96"/>
      <c r="Z92" s="96"/>
      <c r="AA92" s="96"/>
      <c r="AB92" s="96"/>
      <c r="AC92" s="96"/>
    </row>
  </sheetData>
  <protectedRanges>
    <protectedRange sqref="B7:B8" name="区域1_2"/>
    <protectedRange sqref="B13:D13" name="区域1_9"/>
    <protectedRange sqref="D16" name="区域1_10"/>
    <protectedRange sqref="C8" name="区域1_1_1"/>
    <protectedRange sqref="B18:D18" name="区域1_10_1"/>
    <protectedRange sqref="B14:D14" name="区域1_18"/>
    <protectedRange sqref="B27 D27" name="区域1"/>
    <protectedRange sqref="B32:C32" name="区域1_1"/>
    <protectedRange sqref="B33:D33" name="区域1_4"/>
    <protectedRange sqref="B40 D40" name="区域1_5"/>
    <protectedRange sqref="B38:D38" name="区域1_7"/>
    <protectedRange sqref="B37:D37" name="区域1_8"/>
    <protectedRange sqref="C28:D28 C27" name="区域1_11"/>
    <protectedRange sqref="B36:D36" name="区域1_12"/>
    <protectedRange sqref="B44:D44" name="区域1_13"/>
    <protectedRange sqref="C40" name="区域1_3"/>
    <protectedRange sqref="B5:D5" name="区域1_14"/>
    <protectedRange sqref="B21:D21" name="区域1_15"/>
    <protectedRange sqref="B22:D22" name="区域1_12_1"/>
    <protectedRange sqref="D23" name="区域1_15_1"/>
  </protectedRanges>
  <autoFilter xmlns:etc="http://www.wps.cn/officeDocument/2017/etCustomData" ref="A3:K92" etc:filterBottomFollowUsedRange="0">
    <extLst/>
  </autoFilter>
  <mergeCells count="13">
    <mergeCell ref="A1:K1"/>
    <mergeCell ref="G2:I2"/>
    <mergeCell ref="B89:C89"/>
    <mergeCell ref="B91:C91"/>
    <mergeCell ref="A92:K92"/>
    <mergeCell ref="A2:A3"/>
    <mergeCell ref="B2:B3"/>
    <mergeCell ref="C2:C3"/>
    <mergeCell ref="D2:D3"/>
    <mergeCell ref="E2:E3"/>
    <mergeCell ref="F2:F3"/>
    <mergeCell ref="J2:J3"/>
    <mergeCell ref="K2:K3"/>
  </mergeCells>
  <printOptions horizontalCentered="1"/>
  <pageMargins left="0.590277777777778" right="0.590277777777778" top="0.590277777777778" bottom="0.590277777777778" header="0.302777777777778" footer="0.302777777777778"/>
  <pageSetup paperSize="9" scale="78" fitToHeight="0" orientation="portrait" horizontalDpi="600"/>
  <headerFooter>
    <oddFooter>&amp;C第 &amp;P 页，共 &amp;N 页</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1_2" rangeCreator="" othersAccessPermission="edit"/>
    <arrUserId title="区域1_9" rangeCreator="" othersAccessPermission="edit"/>
    <arrUserId title="区域1_10" rangeCreator="" othersAccessPermission="edit"/>
    <arrUserId title="区域1_1_1" rangeCreator="" othersAccessPermission="edit"/>
    <arrUserId title="区域1_10_1" rangeCreator="" othersAccessPermission="edit"/>
    <arrUserId title="区域1_18" rangeCreator="" othersAccessPermission="edit"/>
    <arrUserId title="区域1" rangeCreator="" othersAccessPermission="edit"/>
    <arrUserId title="区域1_1" rangeCreator="" othersAccessPermission="edit"/>
    <arrUserId title="区域1_4" rangeCreator="" othersAccessPermission="edit"/>
    <arrUserId title="区域1_5" rangeCreator="" othersAccessPermission="edit"/>
    <arrUserId title="区域1_7" rangeCreator="" othersAccessPermission="edit"/>
    <arrUserId title="区域1_8" rangeCreator="" othersAccessPermission="edit"/>
    <arrUserId title="区域1_11" rangeCreator="" othersAccessPermission="edit"/>
    <arrUserId title="区域1_12" rangeCreator="" othersAccessPermission="edit"/>
    <arrUserId title="区域1_13" rangeCreator="" othersAccessPermission="edit"/>
    <arrUserId title="区域1_3" rangeCreator="" othersAccessPermission="edit"/>
    <arrUserId title="区域1_14" rangeCreator="" othersAccessPermission="edit"/>
    <arrUserId title="区域1_15" rangeCreator="" othersAccessPermission="edit"/>
    <arrUserId title="区域1_12_1" rangeCreator="" othersAccessPermission="edit"/>
    <arrUserId title="区域1_15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2层公区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叶渭淋</cp:lastModifiedBy>
  <dcterms:created xsi:type="dcterms:W3CDTF">2025-06-23T01:32:00Z</dcterms:created>
  <dcterms:modified xsi:type="dcterms:W3CDTF">2026-06-29T09:49:11Z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59E8CB60C5514D619F19DAFCAFC4642D_13</vt:lpwstr>
  </property>
  <property fmtid="{D5CDD505-2E9C-101B-9397-08002B2CF9AE}" pid="3" name="KSOProductBuildVer">
    <vt:lpwstr>2052-12.1.0.26895</vt:lpwstr>
  </property>
  <property fmtid="{D5CDD505-2E9C-101B-9397-08002B2CF9AE}" pid="4" name="CalculationRule">
    <vt:i4>0</vt:i4>
  </property>
</Properties>
</file>