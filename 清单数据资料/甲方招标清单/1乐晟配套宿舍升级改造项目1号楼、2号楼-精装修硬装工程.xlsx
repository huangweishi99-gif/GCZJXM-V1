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单位工程投标报价汇总表" sheetId="1" r:id="rId1"/>
    <sheet name="表-08 分部分项工程和单价措施项目清单与计价表" sheetId="2" r:id="rId2"/>
  </sheets>
  <definedNames>
    <definedName name="_xlnm._FilterDatabase" localSheetId="1" hidden="1">'表-08 分部分项工程和单价措施项目清单与计价表'!$A$3:$I$80</definedName>
    <definedName name="_xlnm.Print_Titles" localSheetId="1">'表-08 分部分项工程和单价措施项目清单与计价表'!$1:$5</definedName>
    <definedName name="_xlnm.Print_Area" localSheetId="1">'表-08 分部分项工程和单价措施项目清单与计价表'!$A$1:$I$80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<sst xmlns="http://schemas.openxmlformats.org/spreadsheetml/2006/main" count="319" uniqueCount="176">
  <si>
    <t>单位工程投标报价汇总表</t>
  </si>
  <si>
    <t>工程名称：乐晟配套宿舍升级改造项目1号楼、2号楼-精装修硬装工程</t>
  </si>
  <si>
    <t>序号</t>
  </si>
  <si>
    <t>汇总内容</t>
  </si>
  <si>
    <t>金额:(元)</t>
  </si>
  <si>
    <t>其中：暂估价(元)</t>
  </si>
  <si>
    <t>1</t>
  </si>
  <si>
    <t>分部分项合计</t>
  </si>
  <si>
    <t>1.1</t>
  </si>
  <si>
    <t>宿舍1号楼-装饰部分</t>
  </si>
  <si>
    <t>1.2</t>
  </si>
  <si>
    <t>宿舍2号楼-装饰部分</t>
  </si>
  <si>
    <t>2</t>
  </si>
  <si>
    <t>措施合计</t>
  </si>
  <si>
    <t>2.1</t>
  </si>
  <si>
    <t>绿色施工安全防护措施费</t>
  </si>
  <si>
    <t>2.2</t>
  </si>
  <si>
    <t>其他措施费</t>
  </si>
  <si>
    <t>税前工程造价</t>
  </si>
  <si>
    <t>增值税销项税额</t>
  </si>
  <si>
    <t>总造价</t>
  </si>
  <si>
    <t>投标报价合计</t>
  </si>
  <si>
    <t>分部分项工程和单价措施项目清单与计价表</t>
  </si>
  <si>
    <t>项目编码</t>
  </si>
  <si>
    <t>项目名称</t>
  </si>
  <si>
    <t>项目特征描述</t>
  </si>
  <si>
    <t>计量单位</t>
  </si>
  <si>
    <t>工程量</t>
  </si>
  <si>
    <t>金额（元）</t>
  </si>
  <si>
    <t>综合单价</t>
  </si>
  <si>
    <t>综合合价</t>
  </si>
  <si>
    <t>备注</t>
  </si>
  <si>
    <t>011102003004</t>
  </si>
  <si>
    <t>块料楼地面-600*600</t>
  </si>
  <si>
    <t>1、10厚地砖,专用勾缝剂勾缝
2、10mm厚水泥砂浆粘结层
3、30mm厚1:3水泥砂浆层
4、满足招标文件、设计图纸及相关技术规范要求</t>
  </si>
  <si>
    <t>m2</t>
  </si>
  <si>
    <t>011102003005</t>
  </si>
  <si>
    <t>块料楼地面-800*800</t>
  </si>
  <si>
    <t>011102003006</t>
  </si>
  <si>
    <t>块料楼梯地面（含踢脚线）</t>
  </si>
  <si>
    <t>011104002001</t>
  </si>
  <si>
    <t>SPC地板</t>
  </si>
  <si>
    <t>1、20mm厚1:3水泥砂浆层
2、SPC地板
3、满足招标文件、设计图纸及相关技术规范要求</t>
  </si>
  <si>
    <t>011106002002</t>
  </si>
  <si>
    <t>块料楼梯面层</t>
  </si>
  <si>
    <t>010904002002</t>
  </si>
  <si>
    <t>楼(地)面涂膜防水</t>
  </si>
  <si>
    <t>1、聚氨酯涂膜防水两遍
2、满足招标文件、设计图纸及相关技术规范要求</t>
  </si>
  <si>
    <t>011108001002</t>
  </si>
  <si>
    <t>石门槛</t>
  </si>
  <si>
    <t>1、石门槛
2、2mm聚合物水泥(JS)防水涂料
3、满足招标文件、设计图纸及相关技术规范要求</t>
  </si>
  <si>
    <t>m</t>
  </si>
  <si>
    <t>010103001002</t>
  </si>
  <si>
    <t>回填陶粒</t>
  </si>
  <si>
    <t>1、150mm厚陶粒回填层
2、满足招标文件、设计图纸及相关技术规范要求</t>
  </si>
  <si>
    <t>m3</t>
  </si>
  <si>
    <t>011105006002</t>
  </si>
  <si>
    <t>金属踢脚线</t>
  </si>
  <si>
    <t>1、50mm黑色不锈钢
2、满足招标文件、设计图纸及相关技术规范要求</t>
  </si>
  <si>
    <t>011407001002</t>
  </si>
  <si>
    <t>白色无机涂料-内墙面</t>
  </si>
  <si>
    <t>1、白色涂料饰面
2、2厚面层耐水腻子分遍刮平
3、5厚WP M7.5湿拌抹灰砂浆找平
4、8厚WP M7.5湿拌抹灰砂浆打底
5、素水泥浆一道甩毛（内掺建筑胶）
6、满足招标文件、设计图纸及相关技术规范要求</t>
  </si>
  <si>
    <t>011204003002</t>
  </si>
  <si>
    <t>块料墙面</t>
  </si>
  <si>
    <t>1、8~10厚面砖专用粘结剂粘贴,配套勾缝剂勾缝
2、15厚1:3(M15)水泥砂浆分两层抹平
3、满足招标文件、设计图纸及相关技术规范要求</t>
  </si>
  <si>
    <t>011406001005</t>
  </si>
  <si>
    <t>白色无机涂料- 天棚面</t>
  </si>
  <si>
    <t>1、白色无机涂料
2、满刮天棚面腻子两遍,刷底漆一遍
3、1:3(M15)水泥砂浆修补嵌缝
4、钢筋砼板底面清理干净
5、满足招标文件、设计图纸及相关技术规范要求</t>
  </si>
  <si>
    <t>011406001006</t>
  </si>
  <si>
    <t>防水白色无机涂料- 天棚面</t>
  </si>
  <si>
    <t>1、防水白色无机涂料
2、满刮天棚面腻子两遍,刷底漆一遍
3、1:3(M15)水泥砂浆修补嵌缝
4、钢筋砼板底面清理干净
5、满足招标文件、设计图纸及相关技术规范要求</t>
  </si>
  <si>
    <t>011302001003</t>
  </si>
  <si>
    <t>吊顶天棚</t>
  </si>
  <si>
    <t>1、轻钢天棚龙骨
2、12mm石膏板
3、满足招标文件、设计图纸及相关技术规范要求</t>
  </si>
  <si>
    <t>011501010002</t>
  </si>
  <si>
    <t>厨房吊柜</t>
  </si>
  <si>
    <t>1、成品橱柜 吊柜（上柜）
2、满足招标文件、设计图纸及相关技术规范要求</t>
  </si>
  <si>
    <t>011501009002</t>
  </si>
  <si>
    <t>厨房低柜</t>
  </si>
  <si>
    <t>1、成品橱柜 下柜
2、含操作台石材台面
3、满足招标文件、设计图纸及相关技术规范要求</t>
  </si>
  <si>
    <t>011505010002</t>
  </si>
  <si>
    <t>银镜面玻璃-卫生间</t>
  </si>
  <si>
    <t>1、银镜面玻璃
2、已综合考虑所有五金配件制作安装
3、满足招标文件、设计图纸及相关技术规范要求</t>
  </si>
  <si>
    <t>011302001004</t>
  </si>
  <si>
    <t>雨棚</t>
  </si>
  <si>
    <t>1、户外雨棚
2、雨水槽
3、2mm厚铝板喷户外肌理漆
4、铝板专用扣件
5、满足招标文件、设计图纸及相关技术规范要求</t>
  </si>
  <si>
    <t>011503002001</t>
  </si>
  <si>
    <t>木扶手</t>
  </si>
  <si>
    <t>1、木扶手
2、已综合考虑所有五金配件制作安装
3、满足招标文件、设计图纸及相关技术规范要求</t>
  </si>
  <si>
    <t>011403001001</t>
  </si>
  <si>
    <t>木扶手油漆</t>
  </si>
  <si>
    <t>1、刮腻子、调和漆二遍
2、底漆二遍、棕色漆二遍
3、满足招标文件、设计图纸及相关技术规范要求</t>
  </si>
  <si>
    <t>010101004002</t>
  </si>
  <si>
    <t>挖电梯基坑土方（含土方弃置及回填）</t>
  </si>
  <si>
    <t>1、人工挖基坑土方 一、二类土 深度在2m内
2、人工装车 土方
3、汽车运土方运距自行考虑
4、满足招标文件、设计图纸及相关技术规范要求</t>
  </si>
  <si>
    <t>010501006002</t>
  </si>
  <si>
    <t>电梯底座（含基础）</t>
  </si>
  <si>
    <t>1、电梯底座（含基础）
2、C30混凝土
3、满足招标文件、设计图纸及相关技术规范要求</t>
  </si>
  <si>
    <t>010503004002</t>
  </si>
  <si>
    <t>电梯圈梁（含牛腿）</t>
  </si>
  <si>
    <t>1、电梯圈梁（含牛腿）
2、C30混凝土
3、满足招标文件、设计图纸及相关技术规范要求</t>
  </si>
  <si>
    <t>010515001002</t>
  </si>
  <si>
    <t>现浇构件钢筋</t>
  </si>
  <si>
    <t>1、三级螺纹钢筋φ25以内
2、满足招标文件、设计图纸及相关技术规范要求</t>
  </si>
  <si>
    <t>t</t>
  </si>
  <si>
    <t>010606013002</t>
  </si>
  <si>
    <t>3T吊钩-电梯</t>
  </si>
  <si>
    <t>1、3T吊钩-电梯
2、满足招标文件、设计图纸及相关技术规范要求</t>
  </si>
  <si>
    <t>个</t>
  </si>
  <si>
    <t>011108001006</t>
  </si>
  <si>
    <t>石门槛-电梯</t>
  </si>
  <si>
    <t>1、石门槛-电梯
2、10mm厚水泥砂浆粘结层
3、满足招标文件、设计图纸及相关技术规范要求</t>
  </si>
  <si>
    <t>011108001007</t>
  </si>
  <si>
    <t>铺砖石材-电梯</t>
  </si>
  <si>
    <t>1、铺砖石材-电梯
2、10mm厚水泥砂浆粘结层
3、满足招标文件、设计图纸及相关技术规范要求</t>
  </si>
  <si>
    <t>011108001008</t>
  </si>
  <si>
    <t>黑金砂石材-电梯</t>
  </si>
  <si>
    <t>1、黑金砂石材-电梯
2、10mm厚水泥砂浆粘结层
3、满足招标文件、设计图纸及相关技术规范要求</t>
  </si>
  <si>
    <t>010808004002</t>
  </si>
  <si>
    <t>枪灰色不锈钢门套</t>
  </si>
  <si>
    <t>1、电梯门套
2、枪灰色不锈钢门套
3、满足招标文件、设计图纸及相关技术规范要求</t>
  </si>
  <si>
    <t>套</t>
  </si>
  <si>
    <t>011302001006</t>
  </si>
  <si>
    <t>电梯吊顶天棚</t>
  </si>
  <si>
    <t>1、轻钢天棚龙骨
2、枪灰色不锈钢吊顶天棚
3、满足招标文件、设计图纸及相关技术规范要求</t>
  </si>
  <si>
    <t>011207001003</t>
  </si>
  <si>
    <t>墙面装饰板</t>
  </si>
  <si>
    <t>1、电梯墙面
2、枪灰色不锈钢
3、满足招标文件、设计图纸及相关技术规范要求</t>
  </si>
  <si>
    <t>011207001004</t>
  </si>
  <si>
    <t>1、电梯墙面
2、木饰面
3、满足招标文件、设计图纸及相关技术规范要求</t>
  </si>
  <si>
    <t>011503002004</t>
  </si>
  <si>
    <t>电梯木扶手</t>
  </si>
  <si>
    <t>011702001002</t>
  </si>
  <si>
    <t>电梯底座（含基础）-模板</t>
  </si>
  <si>
    <t>1、电梯底座（含基础）-模板
2、满足招标文件、设计图纸及相关技术规范要求</t>
  </si>
  <si>
    <t>011702008002</t>
  </si>
  <si>
    <t>电梯圈梁（含牛腿）-模板</t>
  </si>
  <si>
    <t>1、电梯圈梁（含牛腿）-模板
2、满足招标文件、设计图纸及相关技术规范要求</t>
  </si>
  <si>
    <t>宿舍1号楼-装饰部分合计</t>
  </si>
  <si>
    <t>011102003001</t>
  </si>
  <si>
    <t>011102003002</t>
  </si>
  <si>
    <t>011102003007</t>
  </si>
  <si>
    <t>011104002002</t>
  </si>
  <si>
    <t>011106002001</t>
  </si>
  <si>
    <t>010904002001</t>
  </si>
  <si>
    <t>011108001001</t>
  </si>
  <si>
    <t>010103001001</t>
  </si>
  <si>
    <t>011105006001</t>
  </si>
  <si>
    <t>011407001001</t>
  </si>
  <si>
    <t>011204003001</t>
  </si>
  <si>
    <t>011406001001</t>
  </si>
  <si>
    <t>011406001002</t>
  </si>
  <si>
    <t>011302001002</t>
  </si>
  <si>
    <t>011501010001</t>
  </si>
  <si>
    <t>011501009001</t>
  </si>
  <si>
    <t>011505010001</t>
  </si>
  <si>
    <t>011302001001</t>
  </si>
  <si>
    <t>011503002002</t>
  </si>
  <si>
    <t>011403001002</t>
  </si>
  <si>
    <t>010101004001</t>
  </si>
  <si>
    <t>010501006001</t>
  </si>
  <si>
    <t>010503004001</t>
  </si>
  <si>
    <t>010515001001</t>
  </si>
  <si>
    <t>010606013001</t>
  </si>
  <si>
    <t>011108001003</t>
  </si>
  <si>
    <t>011108001004</t>
  </si>
  <si>
    <t>011108001005</t>
  </si>
  <si>
    <t>010808004001</t>
  </si>
  <si>
    <t>011302001007</t>
  </si>
  <si>
    <t>011207001005</t>
  </si>
  <si>
    <t>电梯墙面装饰板</t>
  </si>
  <si>
    <t>011207001006</t>
  </si>
  <si>
    <t>011503002003</t>
  </si>
  <si>
    <t>011702001001</t>
  </si>
  <si>
    <t>011702008001</t>
  </si>
  <si>
    <t>宿舍2号楼-装饰部分合计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</si>
</sst>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9"/>
      <color theme="1"/>
      <name val="??"/>
      <charset val="134"/>
      <scheme val="minor"/>
    </font>
    <font>
      <sz val="9"/>
      <color theme="1"/>
      <name val="宋体"/>
      <charset val="134"/>
    </font>
    <font>
      <sz val="10"/>
      <color theme="1"/>
      <name val="宋体"/>
      <charset val="134"/>
    </font>
    <font>
      <b/>
      <sz val="20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1"/>
      <color theme="1"/>
      <name val="??"/>
      <charset val="134"/>
      <scheme val="minor"/>
    </font>
    <font>
      <u/>
      <sz val="11"/>
      <color rgb="FF0000FF"/>
      <name val="??"/>
      <charset val="0"/>
      <scheme val="minor"/>
    </font>
    <font>
      <u/>
      <sz val="11"/>
      <color rgb="FF800080"/>
      <name val="??"/>
      <charset val="0"/>
      <scheme val="minor"/>
    </font>
    <font>
      <sz val="11"/>
      <color rgb="FFFF0000"/>
      <name val="??"/>
      <charset val="0"/>
      <scheme val="minor"/>
    </font>
    <font>
      <b/>
      <sz val="18"/>
      <color theme="3"/>
      <name val="??"/>
      <charset val="134"/>
      <scheme val="minor"/>
    </font>
    <font>
      <i/>
      <sz val="11"/>
      <color rgb="FF7F7F7F"/>
      <name val="??"/>
      <charset val="0"/>
      <scheme val="minor"/>
    </font>
    <font>
      <b/>
      <sz val="15"/>
      <color theme="3"/>
      <name val="??"/>
      <charset val="134"/>
      <scheme val="minor"/>
    </font>
    <font>
      <b/>
      <sz val="13"/>
      <color theme="3"/>
      <name val="??"/>
      <charset val="134"/>
      <scheme val="minor"/>
    </font>
    <font>
      <b/>
      <sz val="11"/>
      <color theme="3"/>
      <name val="??"/>
      <charset val="134"/>
      <scheme val="minor"/>
    </font>
    <font>
      <sz val="11"/>
      <color rgb="FF3F3F76"/>
      <name val="??"/>
      <charset val="0"/>
      <scheme val="minor"/>
    </font>
    <font>
      <b/>
      <sz val="11"/>
      <color rgb="FF3F3F3F"/>
      <name val="??"/>
      <charset val="0"/>
      <scheme val="minor"/>
    </font>
    <font>
      <b/>
      <sz val="11"/>
      <color rgb="FFFA7D00"/>
      <name val="??"/>
      <charset val="0"/>
      <scheme val="minor"/>
    </font>
    <font>
      <b/>
      <sz val="11"/>
      <color rgb="FFFFFFFF"/>
      <name val="??"/>
      <charset val="0"/>
      <scheme val="minor"/>
    </font>
    <font>
      <sz val="11"/>
      <color rgb="FFFA7D00"/>
      <name val="??"/>
      <charset val="0"/>
      <scheme val="minor"/>
    </font>
    <font>
      <b/>
      <sz val="11"/>
      <color theme="1"/>
      <name val="??"/>
      <charset val="0"/>
      <scheme val="minor"/>
    </font>
    <font>
      <sz val="11"/>
      <color rgb="FF006100"/>
      <name val="??"/>
      <charset val="0"/>
      <scheme val="minor"/>
    </font>
    <font>
      <sz val="11"/>
      <color rgb="FF9C0006"/>
      <name val="??"/>
      <charset val="0"/>
      <scheme val="minor"/>
    </font>
    <font>
      <sz val="11"/>
      <color rgb="FF9C6500"/>
      <name val="??"/>
      <charset val="0"/>
      <scheme val="minor"/>
    </font>
    <font>
      <sz val="11"/>
      <color theme="0"/>
      <name val="??"/>
      <charset val="0"/>
      <scheme val="minor"/>
    </font>
    <font>
      <sz val="11"/>
      <color theme="1"/>
      <name val="??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5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Font="1"/>
    <xf numFmtId="176" fontId="1" fillId="0" borderId="0" xfId="49" applyNumberFormat="1" applyFont="1"/>
    <xf numFmtId="176" fontId="2" fillId="0" borderId="0" xfId="49" applyNumberFormat="1" applyFont="1"/>
    <xf numFmtId="0" fontId="3" fillId="2" borderId="0" xfId="49" applyFont="1" applyFill="1" applyAlignment="1">
      <alignment horizontal="center" vertical="center" wrapText="1"/>
    </xf>
    <xf numFmtId="176" fontId="3" fillId="2" borderId="0" xfId="49" applyNumberFormat="1" applyFont="1" applyFill="1" applyAlignment="1">
      <alignment horizontal="center" vertical="center" wrapText="1"/>
    </xf>
    <xf numFmtId="176" fontId="4" fillId="2" borderId="0" xfId="49" applyNumberFormat="1" applyFont="1" applyFill="1" applyAlignment="1">
      <alignment horizontal="center" vertical="center" wrapText="1"/>
    </xf>
    <xf numFmtId="176" fontId="4" fillId="2" borderId="0" xfId="49" applyNumberFormat="1" applyFont="1" applyFill="1" applyAlignment="1">
      <alignment horizontal="right" vertical="center" wrapText="1"/>
    </xf>
    <xf numFmtId="176" fontId="3" fillId="2" borderId="0" xfId="49" applyNumberFormat="1" applyFont="1" applyFill="1" applyAlignment="1">
      <alignment horizontal="right" vertical="center" wrapText="1"/>
    </xf>
    <xf numFmtId="0" fontId="5" fillId="2" borderId="0" xfId="49" applyFont="1" applyFill="1" applyAlignment="1">
      <alignment horizontal="left" wrapText="1"/>
    </xf>
    <xf numFmtId="176" fontId="5" fillId="2" borderId="0" xfId="49" applyNumberFormat="1" applyFont="1" applyFill="1" applyAlignment="1">
      <alignment horizontal="left" wrapText="1"/>
    </xf>
    <xf numFmtId="176" fontId="5" fillId="2" borderId="0" xfId="49" applyNumberFormat="1" applyFont="1" applyFill="1" applyAlignment="1">
      <alignment horizontal="right" wrapText="1"/>
    </xf>
    <xf numFmtId="0" fontId="5" fillId="2" borderId="1" xfId="49" applyFont="1" applyFill="1" applyBorder="1" applyAlignment="1">
      <alignment horizontal="center" vertical="center" wrapText="1"/>
    </xf>
    <xf numFmtId="0" fontId="5" fillId="2" borderId="2" xfId="49" applyFont="1" applyFill="1" applyBorder="1" applyAlignment="1">
      <alignment horizontal="center" vertical="center" wrapText="1"/>
    </xf>
    <xf numFmtId="176" fontId="5" fillId="2" borderId="2" xfId="49" applyNumberFormat="1" applyFont="1" applyFill="1" applyBorder="1" applyAlignment="1">
      <alignment horizontal="center" vertical="center" wrapText="1"/>
    </xf>
    <xf numFmtId="176" fontId="5" fillId="2" borderId="3" xfId="49" applyNumberFormat="1" applyFont="1" applyFill="1" applyBorder="1" applyAlignment="1">
      <alignment horizontal="center" vertical="center" wrapText="1"/>
    </xf>
    <xf numFmtId="0" fontId="5" fillId="2" borderId="4" xfId="49" applyFont="1" applyFill="1" applyBorder="1" applyAlignment="1">
      <alignment horizontal="center" vertical="center" wrapText="1"/>
    </xf>
    <xf numFmtId="0" fontId="5" fillId="2" borderId="5" xfId="49" applyFont="1" applyFill="1" applyBorder="1" applyAlignment="1">
      <alignment horizontal="center" vertical="center" wrapText="1"/>
    </xf>
    <xf numFmtId="176" fontId="5" fillId="2" borderId="5" xfId="49" applyNumberFormat="1" applyFont="1" applyFill="1" applyBorder="1" applyAlignment="1">
      <alignment horizontal="center" vertical="center" wrapText="1"/>
    </xf>
    <xf numFmtId="176" fontId="5" fillId="2" borderId="6" xfId="49" applyNumberFormat="1" applyFont="1" applyFill="1" applyBorder="1" applyAlignment="1">
      <alignment horizontal="center" vertical="center" wrapText="1"/>
    </xf>
    <xf numFmtId="176" fontId="5" fillId="2" borderId="7" xfId="49" applyNumberFormat="1" applyFont="1" applyFill="1" applyBorder="1" applyAlignment="1">
      <alignment horizontal="center" vertical="center" wrapText="1"/>
    </xf>
    <xf numFmtId="0" fontId="5" fillId="2" borderId="5" xfId="49" applyFont="1" applyFill="1" applyBorder="1" applyAlignment="1">
      <alignment horizontal="left" vertical="center" wrapText="1"/>
    </xf>
    <xf numFmtId="176" fontId="5" fillId="2" borderId="5" xfId="49" applyNumberFormat="1" applyFont="1" applyFill="1" applyBorder="1" applyAlignment="1">
      <alignment horizontal="right" vertical="center" wrapText="1"/>
    </xf>
    <xf numFmtId="176" fontId="5" fillId="2" borderId="8" xfId="49" applyNumberFormat="1" applyFont="1" applyFill="1" applyBorder="1" applyAlignment="1">
      <alignment horizontal="right" vertical="center" wrapText="1"/>
    </xf>
    <xf numFmtId="176" fontId="5" fillId="2" borderId="5" xfId="49" applyNumberFormat="1" applyFont="1" applyFill="1" applyBorder="1" applyAlignment="1">
      <alignment horizontal="left" vertical="center" wrapText="1"/>
    </xf>
    <xf numFmtId="176" fontId="6" fillId="2" borderId="8" xfId="49" applyNumberFormat="1" applyFont="1" applyFill="1" applyBorder="1" applyAlignment="1">
      <alignment horizontal="left" vertical="center" wrapText="1"/>
    </xf>
    <xf numFmtId="0" fontId="3" fillId="2" borderId="0" xfId="49" applyFont="1" applyFill="1" applyAlignment="1">
      <alignment horizontal="right" vertical="center" wrapText="1"/>
    </xf>
    <xf numFmtId="0" fontId="5" fillId="2" borderId="0" xfId="49" applyFont="1" applyFill="1" applyAlignment="1">
      <alignment horizontal="right" wrapText="1"/>
    </xf>
    <xf numFmtId="0" fontId="5" fillId="2" borderId="3" xfId="49" applyFont="1" applyFill="1" applyBorder="1" applyAlignment="1">
      <alignment horizontal="center" vertical="center" wrapText="1"/>
    </xf>
    <xf numFmtId="0" fontId="5" fillId="2" borderId="8" xfId="49" applyFont="1" applyFill="1" applyBorder="1" applyAlignment="1">
      <alignment horizontal="right" vertical="center" wrapText="1"/>
    </xf>
    <xf numFmtId="10" fontId="5" fillId="2" borderId="8" xfId="49" applyNumberFormat="1" applyFont="1" applyFill="1" applyBorder="1" applyAlignment="1">
      <alignment horizontal="right" vertical="center" wrapText="1"/>
    </xf>
    <xf numFmtId="0" fontId="5" fillId="2" borderId="9" xfId="49" applyFont="1" applyFill="1" applyBorder="1" applyAlignment="1">
      <alignment horizontal="center" vertical="center" wrapText="1"/>
    </xf>
    <xf numFmtId="0" fontId="5" fillId="2" borderId="10" xfId="49" applyFont="1" applyFill="1" applyBorder="1" applyAlignment="1">
      <alignment horizontal="center" vertical="center" wrapText="1"/>
    </xf>
    <xf numFmtId="176" fontId="5" fillId="2" borderId="10" xfId="49" applyNumberFormat="1" applyFont="1" applyFill="1" applyBorder="1" applyAlignment="1">
      <alignment horizontal="right" vertical="center" wrapText="1"/>
    </xf>
    <xf numFmtId="0" fontId="5" fillId="2" borderId="11" xfId="49" applyFont="1" applyFill="1" applyBorder="1" applyAlignment="1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showGridLines="0" view="pageBreakPreview" zoomScaleNormal="100" workbookViewId="0">
      <selection activeCell="C34" sqref="C34"/>
    </sheetView>
  </sheetViews>
  <sheetFormatPr defaultColWidth="9" defaultRowHeight="11.25" outlineLevelCol="3"/>
  <cols>
    <col min="1" max="1" width="10.5714285714286" style="1" customWidth="1"/>
    <col min="2" max="2" width="40.5714285714286" style="1" customWidth="1"/>
    <col min="3" max="3" width="18.8285714285714" style="2" customWidth="1"/>
    <col min="4" max="4" width="20.1714285714286" style="1" customWidth="1"/>
    <col min="5" max="18" width="9" style="2"/>
    <col min="19" max="16384" width="9" style="1"/>
  </cols>
  <sheetData>
    <row r="1" ht="39.75" customHeight="1" spans="1:4">
      <c r="A1" s="4" t="s">
        <v>0</v>
      </c>
      <c r="B1" s="4"/>
      <c r="C1" s="5"/>
      <c r="D1" s="26"/>
    </row>
    <row r="2" ht="28.5" customHeight="1" spans="1:4">
      <c r="A2" s="9" t="s">
        <v>1</v>
      </c>
      <c r="B2" s="9"/>
      <c r="C2" s="10"/>
      <c r="D2" s="27"/>
    </row>
    <row r="3" ht="18.75" customHeight="1" spans="1:4">
      <c r="A3" s="12" t="s">
        <v>2</v>
      </c>
      <c r="B3" s="13" t="s">
        <v>3</v>
      </c>
      <c r="C3" s="14" t="s">
        <v>4</v>
      </c>
      <c r="D3" s="28" t="s">
        <v>5</v>
      </c>
    </row>
    <row r="4" ht="18" customHeight="1" spans="1:4">
      <c r="A4" s="16" t="s">
        <v>6</v>
      </c>
      <c r="B4" s="21" t="s">
        <v>7</v>
      </c>
      <c r="C4" s="22">
        <f>C5+C6</f>
        <v>0</v>
      </c>
      <c r="D4" s="29"/>
    </row>
    <row r="5" ht="18" customHeight="1" spans="1:4">
      <c r="A5" s="16" t="s">
        <v>8</v>
      </c>
      <c r="B5" s="21" t="s">
        <v>9</v>
      </c>
      <c r="C5" s="22">
        <f>'表-08 分部分项工程和单价措施项目清单与计价表'!H42</f>
        <v>0</v>
      </c>
      <c r="D5" s="29"/>
    </row>
    <row r="6" ht="18" customHeight="1" spans="1:4">
      <c r="A6" s="16" t="s">
        <v>10</v>
      </c>
      <c r="B6" s="21" t="s">
        <v>11</v>
      </c>
      <c r="C6" s="22">
        <f>'表-08 分部分项工程和单价措施项目清单与计价表'!H79</f>
        <v>0</v>
      </c>
      <c r="D6" s="29"/>
    </row>
    <row r="7" ht="18" customHeight="1" spans="1:4">
      <c r="A7" s="16" t="s">
        <v>12</v>
      </c>
      <c r="B7" s="21" t="s">
        <v>13</v>
      </c>
      <c r="C7" s="22"/>
      <c r="D7" s="29"/>
    </row>
    <row r="8" ht="18" customHeight="1" spans="1:4">
      <c r="A8" s="16" t="s">
        <v>14</v>
      </c>
      <c r="B8" s="21" t="s">
        <v>15</v>
      </c>
      <c r="C8" s="22"/>
      <c r="D8" s="29"/>
    </row>
    <row r="9" ht="18" customHeight="1" spans="1:4">
      <c r="A9" s="16" t="s">
        <v>16</v>
      </c>
      <c r="B9" s="21" t="s">
        <v>17</v>
      </c>
      <c r="C9" s="22"/>
      <c r="D9" s="29"/>
    </row>
    <row r="10" ht="18" customHeight="1" spans="1:4">
      <c r="A10" s="16">
        <v>3</v>
      </c>
      <c r="B10" s="21" t="s">
        <v>18</v>
      </c>
      <c r="C10" s="22">
        <f>C4</f>
        <v>0</v>
      </c>
      <c r="D10" s="23"/>
    </row>
    <row r="11" ht="18" customHeight="1" spans="1:4">
      <c r="A11" s="16">
        <v>4</v>
      </c>
      <c r="B11" s="21" t="s">
        <v>19</v>
      </c>
      <c r="C11" s="22">
        <f>C10*D11</f>
        <v>0</v>
      </c>
      <c r="D11" s="30">
        <v>0.09</v>
      </c>
    </row>
    <row r="12" ht="18" customHeight="1" spans="1:4">
      <c r="A12" s="16">
        <v>5</v>
      </c>
      <c r="B12" s="21" t="s">
        <v>20</v>
      </c>
      <c r="C12" s="22">
        <f>C10+C11</f>
        <v>0</v>
      </c>
      <c r="D12" s="23"/>
    </row>
    <row r="13" ht="18" customHeight="1" spans="1:4">
      <c r="A13" s="16"/>
      <c r="B13" s="21"/>
      <c r="C13" s="22"/>
      <c r="D13" s="29"/>
    </row>
    <row r="14" ht="18" customHeight="1" spans="1:4">
      <c r="A14" s="16"/>
      <c r="B14" s="21"/>
      <c r="C14" s="22"/>
      <c r="D14" s="29"/>
    </row>
    <row r="15" ht="18" customHeight="1" spans="1:4">
      <c r="A15" s="16"/>
      <c r="B15" s="21"/>
      <c r="C15" s="22"/>
      <c r="D15" s="29"/>
    </row>
    <row r="16" ht="18" customHeight="1" spans="1:4">
      <c r="A16" s="16"/>
      <c r="B16" s="21"/>
      <c r="C16" s="22"/>
      <c r="D16" s="29"/>
    </row>
    <row r="17" ht="18" customHeight="1" spans="1:4">
      <c r="A17" s="16"/>
      <c r="B17" s="21"/>
      <c r="C17" s="22"/>
      <c r="D17" s="29"/>
    </row>
    <row r="18" ht="18" customHeight="1" spans="1:4">
      <c r="A18" s="16"/>
      <c r="B18" s="21"/>
      <c r="C18" s="22"/>
      <c r="D18" s="29"/>
    </row>
    <row r="19" ht="18" customHeight="1" spans="1:4">
      <c r="A19" s="16"/>
      <c r="B19" s="21"/>
      <c r="C19" s="22"/>
      <c r="D19" s="29"/>
    </row>
    <row r="20" ht="18" customHeight="1" spans="1:4">
      <c r="A20" s="16"/>
      <c r="B20" s="21"/>
      <c r="C20" s="22"/>
      <c r="D20" s="29"/>
    </row>
    <row r="21" ht="18" customHeight="1" spans="1:4">
      <c r="A21" s="16"/>
      <c r="B21" s="21"/>
      <c r="C21" s="22"/>
      <c r="D21" s="29"/>
    </row>
    <row r="22" ht="18" customHeight="1" spans="1:4">
      <c r="A22" s="16"/>
      <c r="B22" s="21"/>
      <c r="C22" s="22"/>
      <c r="D22" s="29"/>
    </row>
    <row r="23" ht="18" customHeight="1" spans="1:4">
      <c r="A23" s="16"/>
      <c r="B23" s="21"/>
      <c r="C23" s="22"/>
      <c r="D23" s="29"/>
    </row>
    <row r="24" ht="18" customHeight="1" spans="1:4">
      <c r="A24" s="31" t="s">
        <v>21</v>
      </c>
      <c r="B24" s="32"/>
      <c r="C24" s="33">
        <f>C12</f>
        <v>0</v>
      </c>
      <c r="D24" s="34"/>
    </row>
  </sheetData>
  <mergeCells count="3">
    <mergeCell ref="A1:D1"/>
    <mergeCell ref="A2:B2"/>
    <mergeCell ref="A24:B24"/>
  </mergeCells>
  <printOptions horizontalCentered="1"/>
  <pageMargins left="0.118055555555556" right="0.118055555555556" top="0.594444444444444" bottom="0" header="0.594444444444444" footer="0"/>
  <pageSetup paperSize="9" orientation="portrait" horizontalDpi="600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showGridLines="0" tabSelected="1" view="pageBreakPreview" zoomScaleNormal="100" workbookViewId="0">
      <pane xSplit="5" ySplit="5" topLeftCell="F6" activePane="bottomRight" state="frozen"/>
      <selection/>
      <selection pane="topRight"/>
      <selection pane="bottomLeft"/>
      <selection pane="bottomRight" activeCell="R8" sqref="R8"/>
    </sheetView>
  </sheetViews>
  <sheetFormatPr defaultColWidth="9" defaultRowHeight="12"/>
  <cols>
    <col min="1" max="1" width="7.5047619047619" style="1" customWidth="1"/>
    <col min="2" max="2" width="12" style="1" customWidth="1"/>
    <col min="3" max="3" width="16" style="1" customWidth="1"/>
    <col min="4" max="4" width="23.7142857142857" style="1" customWidth="1"/>
    <col min="5" max="5" width="5.66666666666667" style="1" customWidth="1"/>
    <col min="6" max="6" width="9.82857142857143" style="2" customWidth="1"/>
    <col min="7" max="7" width="12.4285714285714" style="3" customWidth="1"/>
    <col min="8" max="8" width="13" style="3" customWidth="1"/>
    <col min="9" max="9" width="9" style="2" customWidth="1"/>
    <col min="10" max="16384" width="9" style="1"/>
  </cols>
  <sheetData>
    <row r="1" ht="33" customHeight="1" spans="1:9">
      <c r="A1" s="4" t="s">
        <v>22</v>
      </c>
      <c r="B1" s="4"/>
      <c r="C1" s="4"/>
      <c r="D1" s="4"/>
      <c r="E1" s="4"/>
      <c r="F1" s="5"/>
      <c r="G1" s="6"/>
      <c r="H1" s="7"/>
      <c r="I1" s="8"/>
    </row>
    <row r="2" ht="28.5" customHeight="1" spans="1:9">
      <c r="A2" s="9" t="s">
        <v>1</v>
      </c>
      <c r="B2" s="9"/>
      <c r="C2" s="9"/>
      <c r="D2" s="9"/>
      <c r="E2" s="9"/>
      <c r="F2" s="10"/>
      <c r="G2" s="10"/>
      <c r="H2" s="11"/>
      <c r="I2" s="11"/>
    </row>
    <row r="3" ht="29" customHeight="1" spans="1:9">
      <c r="A3" s="12" t="s">
        <v>2</v>
      </c>
      <c r="B3" s="13" t="s">
        <v>23</v>
      </c>
      <c r="C3" s="13" t="s">
        <v>24</v>
      </c>
      <c r="D3" s="13" t="s">
        <v>25</v>
      </c>
      <c r="E3" s="13" t="s">
        <v>26</v>
      </c>
      <c r="F3" s="14" t="s">
        <v>27</v>
      </c>
      <c r="G3" s="14" t="s">
        <v>28</v>
      </c>
      <c r="H3" s="14"/>
      <c r="I3" s="15"/>
    </row>
    <row r="4" ht="17.25" customHeight="1" spans="1:9">
      <c r="A4" s="16"/>
      <c r="B4" s="17"/>
      <c r="C4" s="17"/>
      <c r="D4" s="17"/>
      <c r="E4" s="17"/>
      <c r="F4" s="18"/>
      <c r="G4" s="18" t="s">
        <v>29</v>
      </c>
      <c r="H4" s="18" t="s">
        <v>30</v>
      </c>
      <c r="I4" s="19" t="s">
        <v>31</v>
      </c>
    </row>
    <row r="5" ht="17.25" customHeight="1" spans="1:9">
      <c r="A5" s="16"/>
      <c r="B5" s="17"/>
      <c r="C5" s="17"/>
      <c r="D5" s="17"/>
      <c r="E5" s="17"/>
      <c r="F5" s="18"/>
      <c r="G5" s="18"/>
      <c r="H5" s="18"/>
      <c r="I5" s="20"/>
    </row>
    <row r="6" ht="28.5" customHeight="1" spans="1:9">
      <c r="A6" s="16"/>
      <c r="B6" s="21"/>
      <c r="C6" s="21" t="s">
        <v>9</v>
      </c>
      <c r="D6" s="21"/>
      <c r="E6" s="21"/>
      <c r="F6" s="22"/>
      <c r="G6" s="22"/>
      <c r="H6" s="22"/>
      <c r="I6" s="23"/>
    </row>
    <row r="7" ht="66.75" customHeight="1" spans="1:9">
      <c r="A7" s="16">
        <v>1</v>
      </c>
      <c r="B7" s="21" t="s">
        <v>32</v>
      </c>
      <c r="C7" s="21" t="s">
        <v>33</v>
      </c>
      <c r="D7" s="21" t="s">
        <v>34</v>
      </c>
      <c r="E7" s="17" t="s">
        <v>35</v>
      </c>
      <c r="F7" s="22">
        <v>1402.57</v>
      </c>
      <c r="G7" s="24"/>
      <c r="H7" s="24">
        <f>F7*G7</f>
        <v>0</v>
      </c>
      <c r="I7" s="25"/>
    </row>
    <row r="8" ht="66.75" customHeight="1" spans="1:9">
      <c r="A8" s="16">
        <v>2</v>
      </c>
      <c r="B8" s="21" t="s">
        <v>36</v>
      </c>
      <c r="C8" s="21" t="s">
        <v>37</v>
      </c>
      <c r="D8" s="21" t="s">
        <v>34</v>
      </c>
      <c r="E8" s="17" t="s">
        <v>35</v>
      </c>
      <c r="F8" s="22">
        <v>785.03</v>
      </c>
      <c r="G8" s="24"/>
      <c r="H8" s="24">
        <f t="shared" ref="H8:H41" si="0">F8*G8</f>
        <v>0</v>
      </c>
      <c r="I8" s="25"/>
    </row>
    <row r="9" ht="66.75" customHeight="1" spans="1:9">
      <c r="A9" s="16">
        <v>3</v>
      </c>
      <c r="B9" s="21" t="s">
        <v>38</v>
      </c>
      <c r="C9" s="21" t="s">
        <v>39</v>
      </c>
      <c r="D9" s="21" t="s">
        <v>34</v>
      </c>
      <c r="E9" s="17" t="s">
        <v>35</v>
      </c>
      <c r="F9" s="22">
        <v>414</v>
      </c>
      <c r="G9" s="24"/>
      <c r="H9" s="24">
        <f t="shared" si="0"/>
        <v>0</v>
      </c>
      <c r="I9" s="25"/>
    </row>
    <row r="10" ht="54" customHeight="1" spans="1:9">
      <c r="A10" s="16">
        <v>4</v>
      </c>
      <c r="B10" s="21" t="s">
        <v>40</v>
      </c>
      <c r="C10" s="21" t="s">
        <v>41</v>
      </c>
      <c r="D10" s="21" t="s">
        <v>42</v>
      </c>
      <c r="E10" s="17" t="s">
        <v>35</v>
      </c>
      <c r="F10" s="22">
        <v>4121.52</v>
      </c>
      <c r="G10" s="24"/>
      <c r="H10" s="24">
        <f t="shared" si="0"/>
        <v>0</v>
      </c>
      <c r="I10" s="25"/>
    </row>
    <row r="11" ht="66.75" customHeight="1" spans="1:9">
      <c r="A11" s="16">
        <v>5</v>
      </c>
      <c r="B11" s="21" t="s">
        <v>43</v>
      </c>
      <c r="C11" s="21" t="s">
        <v>44</v>
      </c>
      <c r="D11" s="21" t="s">
        <v>34</v>
      </c>
      <c r="E11" s="17" t="s">
        <v>35</v>
      </c>
      <c r="F11" s="22">
        <v>285</v>
      </c>
      <c r="G11" s="24"/>
      <c r="H11" s="24">
        <f t="shared" si="0"/>
        <v>0</v>
      </c>
      <c r="I11" s="25"/>
    </row>
    <row r="12" ht="41.25" customHeight="1" spans="1:9">
      <c r="A12" s="16">
        <v>6</v>
      </c>
      <c r="B12" s="21" t="s">
        <v>45</v>
      </c>
      <c r="C12" s="21" t="s">
        <v>46</v>
      </c>
      <c r="D12" s="21" t="s">
        <v>47</v>
      </c>
      <c r="E12" s="17" t="s">
        <v>35</v>
      </c>
      <c r="F12" s="22">
        <v>3576</v>
      </c>
      <c r="G12" s="24"/>
      <c r="H12" s="24">
        <f t="shared" si="0"/>
        <v>0</v>
      </c>
      <c r="I12" s="25"/>
    </row>
    <row r="13" ht="66.75" customHeight="1" spans="1:9">
      <c r="A13" s="16">
        <v>7</v>
      </c>
      <c r="B13" s="21" t="s">
        <v>48</v>
      </c>
      <c r="C13" s="21" t="s">
        <v>49</v>
      </c>
      <c r="D13" s="21" t="s">
        <v>50</v>
      </c>
      <c r="E13" s="17" t="s">
        <v>51</v>
      </c>
      <c r="F13" s="22">
        <v>909.75</v>
      </c>
      <c r="G13" s="24"/>
      <c r="H13" s="24">
        <f t="shared" si="0"/>
        <v>0</v>
      </c>
      <c r="I13" s="25"/>
    </row>
    <row r="14" ht="41.25" customHeight="1" spans="1:9">
      <c r="A14" s="16">
        <v>8</v>
      </c>
      <c r="B14" s="21" t="s">
        <v>52</v>
      </c>
      <c r="C14" s="21" t="s">
        <v>53</v>
      </c>
      <c r="D14" s="21" t="s">
        <v>54</v>
      </c>
      <c r="E14" s="17" t="s">
        <v>55</v>
      </c>
      <c r="F14" s="22">
        <v>66.72</v>
      </c>
      <c r="G14" s="24"/>
      <c r="H14" s="24">
        <f t="shared" si="0"/>
        <v>0</v>
      </c>
      <c r="I14" s="25"/>
    </row>
    <row r="15" ht="41.25" customHeight="1" spans="1:9">
      <c r="A15" s="16">
        <v>9</v>
      </c>
      <c r="B15" s="21" t="s">
        <v>56</v>
      </c>
      <c r="C15" s="21" t="s">
        <v>57</v>
      </c>
      <c r="D15" s="21" t="s">
        <v>58</v>
      </c>
      <c r="E15" s="17" t="s">
        <v>51</v>
      </c>
      <c r="F15" s="22">
        <v>3611.5</v>
      </c>
      <c r="G15" s="24"/>
      <c r="H15" s="24">
        <f t="shared" si="0"/>
        <v>0</v>
      </c>
      <c r="I15" s="25"/>
    </row>
    <row r="16" ht="130.5" customHeight="1" spans="1:9">
      <c r="A16" s="16">
        <v>10</v>
      </c>
      <c r="B16" s="21" t="s">
        <v>59</v>
      </c>
      <c r="C16" s="21" t="s">
        <v>60</v>
      </c>
      <c r="D16" s="21" t="s">
        <v>61</v>
      </c>
      <c r="E16" s="17" t="s">
        <v>35</v>
      </c>
      <c r="F16" s="22">
        <v>16418.06</v>
      </c>
      <c r="G16" s="24"/>
      <c r="H16" s="24">
        <f t="shared" si="0"/>
        <v>0</v>
      </c>
      <c r="I16" s="25"/>
    </row>
    <row r="17" ht="79.5" customHeight="1" spans="1:9">
      <c r="A17" s="16">
        <v>11</v>
      </c>
      <c r="B17" s="21" t="s">
        <v>62</v>
      </c>
      <c r="C17" s="21" t="s">
        <v>63</v>
      </c>
      <c r="D17" s="21" t="s">
        <v>64</v>
      </c>
      <c r="E17" s="17" t="s">
        <v>35</v>
      </c>
      <c r="F17" s="22">
        <v>6771.9</v>
      </c>
      <c r="G17" s="24"/>
      <c r="H17" s="24">
        <f t="shared" si="0"/>
        <v>0</v>
      </c>
      <c r="I17" s="25"/>
    </row>
    <row r="18" ht="105" customHeight="1" spans="1:9">
      <c r="A18" s="16">
        <v>12</v>
      </c>
      <c r="B18" s="21" t="s">
        <v>65</v>
      </c>
      <c r="C18" s="21" t="s">
        <v>66</v>
      </c>
      <c r="D18" s="21" t="s">
        <v>67</v>
      </c>
      <c r="E18" s="17" t="s">
        <v>35</v>
      </c>
      <c r="F18" s="22">
        <v>7422.61</v>
      </c>
      <c r="G18" s="24"/>
      <c r="H18" s="24">
        <f t="shared" si="0"/>
        <v>0</v>
      </c>
      <c r="I18" s="25"/>
    </row>
    <row r="19" ht="105" customHeight="1" spans="1:9">
      <c r="A19" s="16">
        <v>13</v>
      </c>
      <c r="B19" s="21" t="s">
        <v>68</v>
      </c>
      <c r="C19" s="21" t="s">
        <v>69</v>
      </c>
      <c r="D19" s="21" t="s">
        <v>70</v>
      </c>
      <c r="E19" s="17" t="s">
        <v>35</v>
      </c>
      <c r="F19" s="22">
        <v>444.8</v>
      </c>
      <c r="G19" s="24"/>
      <c r="H19" s="24">
        <f t="shared" si="0"/>
        <v>0</v>
      </c>
      <c r="I19" s="25"/>
    </row>
    <row r="20" ht="54" customHeight="1" spans="1:9">
      <c r="A20" s="16">
        <v>14</v>
      </c>
      <c r="B20" s="21" t="s">
        <v>71</v>
      </c>
      <c r="C20" s="21" t="s">
        <v>72</v>
      </c>
      <c r="D20" s="21" t="s">
        <v>73</v>
      </c>
      <c r="E20" s="17" t="s">
        <v>35</v>
      </c>
      <c r="F20" s="22">
        <v>720</v>
      </c>
      <c r="G20" s="24"/>
      <c r="H20" s="24">
        <f t="shared" si="0"/>
        <v>0</v>
      </c>
      <c r="I20" s="25"/>
    </row>
    <row r="21" ht="41.25" customHeight="1" spans="1:9">
      <c r="A21" s="16">
        <v>15</v>
      </c>
      <c r="B21" s="21" t="s">
        <v>74</v>
      </c>
      <c r="C21" s="21" t="s">
        <v>75</v>
      </c>
      <c r="D21" s="21" t="s">
        <v>76</v>
      </c>
      <c r="E21" s="17" t="s">
        <v>51</v>
      </c>
      <c r="F21" s="22">
        <v>367.84</v>
      </c>
      <c r="G21" s="24"/>
      <c r="H21" s="24">
        <f t="shared" si="0"/>
        <v>0</v>
      </c>
      <c r="I21" s="25"/>
    </row>
    <row r="22" ht="54" customHeight="1" spans="1:9">
      <c r="A22" s="16">
        <v>16</v>
      </c>
      <c r="B22" s="21" t="s">
        <v>77</v>
      </c>
      <c r="C22" s="21" t="s">
        <v>78</v>
      </c>
      <c r="D22" s="21" t="s">
        <v>79</v>
      </c>
      <c r="E22" s="17" t="s">
        <v>51</v>
      </c>
      <c r="F22" s="22">
        <v>367.84</v>
      </c>
      <c r="G22" s="24"/>
      <c r="H22" s="24">
        <f t="shared" si="0"/>
        <v>0</v>
      </c>
      <c r="I22" s="25"/>
    </row>
    <row r="23" ht="66.75" customHeight="1" spans="1:9">
      <c r="A23" s="16">
        <v>17</v>
      </c>
      <c r="B23" s="21" t="s">
        <v>80</v>
      </c>
      <c r="C23" s="21" t="s">
        <v>81</v>
      </c>
      <c r="D23" s="21" t="s">
        <v>82</v>
      </c>
      <c r="E23" s="17" t="s">
        <v>35</v>
      </c>
      <c r="F23" s="22">
        <v>122.4</v>
      </c>
      <c r="G23" s="24"/>
      <c r="H23" s="24">
        <f t="shared" si="0"/>
        <v>0</v>
      </c>
      <c r="I23" s="25"/>
    </row>
    <row r="24" ht="79.5" customHeight="1" spans="1:9">
      <c r="A24" s="16">
        <v>18</v>
      </c>
      <c r="B24" s="21" t="s">
        <v>83</v>
      </c>
      <c r="C24" s="21" t="s">
        <v>84</v>
      </c>
      <c r="D24" s="21" t="s">
        <v>85</v>
      </c>
      <c r="E24" s="17" t="s">
        <v>35</v>
      </c>
      <c r="F24" s="22">
        <v>36.49</v>
      </c>
      <c r="G24" s="24"/>
      <c r="H24" s="24">
        <f t="shared" si="0"/>
        <v>0</v>
      </c>
      <c r="I24" s="25"/>
    </row>
    <row r="25" ht="66.75" customHeight="1" spans="1:9">
      <c r="A25" s="16">
        <v>19</v>
      </c>
      <c r="B25" s="21" t="s">
        <v>86</v>
      </c>
      <c r="C25" s="21" t="s">
        <v>87</v>
      </c>
      <c r="D25" s="21" t="s">
        <v>88</v>
      </c>
      <c r="E25" s="17" t="s">
        <v>51</v>
      </c>
      <c r="F25" s="22">
        <v>104.46</v>
      </c>
      <c r="G25" s="24"/>
      <c r="H25" s="24">
        <f t="shared" si="0"/>
        <v>0</v>
      </c>
      <c r="I25" s="25"/>
    </row>
    <row r="26" ht="54" customHeight="1" spans="1:9">
      <c r="A26" s="16">
        <v>20</v>
      </c>
      <c r="B26" s="21" t="s">
        <v>89</v>
      </c>
      <c r="C26" s="21" t="s">
        <v>90</v>
      </c>
      <c r="D26" s="21" t="s">
        <v>91</v>
      </c>
      <c r="E26" s="17" t="s">
        <v>51</v>
      </c>
      <c r="F26" s="22">
        <v>104.46</v>
      </c>
      <c r="G26" s="24"/>
      <c r="H26" s="24">
        <f t="shared" si="0"/>
        <v>0</v>
      </c>
      <c r="I26" s="25"/>
    </row>
    <row r="27" ht="79.5" customHeight="1" spans="1:9">
      <c r="A27" s="16">
        <v>21</v>
      </c>
      <c r="B27" s="21" t="s">
        <v>92</v>
      </c>
      <c r="C27" s="21" t="s">
        <v>93</v>
      </c>
      <c r="D27" s="21" t="s">
        <v>94</v>
      </c>
      <c r="E27" s="17" t="s">
        <v>55</v>
      </c>
      <c r="F27" s="22">
        <v>7.7</v>
      </c>
      <c r="G27" s="24"/>
      <c r="H27" s="24">
        <f t="shared" si="0"/>
        <v>0</v>
      </c>
      <c r="I27" s="25"/>
    </row>
    <row r="28" ht="54" customHeight="1" spans="1:9">
      <c r="A28" s="16">
        <v>22</v>
      </c>
      <c r="B28" s="21" t="s">
        <v>95</v>
      </c>
      <c r="C28" s="21" t="s">
        <v>96</v>
      </c>
      <c r="D28" s="21" t="s">
        <v>97</v>
      </c>
      <c r="E28" s="17" t="s">
        <v>55</v>
      </c>
      <c r="F28" s="22">
        <v>1.83</v>
      </c>
      <c r="G28" s="24"/>
      <c r="H28" s="24">
        <f t="shared" si="0"/>
        <v>0</v>
      </c>
      <c r="I28" s="25"/>
    </row>
    <row r="29" ht="54" customHeight="1" spans="1:9">
      <c r="A29" s="16">
        <v>23</v>
      </c>
      <c r="B29" s="21" t="s">
        <v>98</v>
      </c>
      <c r="C29" s="21" t="s">
        <v>99</v>
      </c>
      <c r="D29" s="21" t="s">
        <v>100</v>
      </c>
      <c r="E29" s="17" t="s">
        <v>55</v>
      </c>
      <c r="F29" s="22">
        <v>3.98</v>
      </c>
      <c r="G29" s="24"/>
      <c r="H29" s="24">
        <f t="shared" si="0"/>
        <v>0</v>
      </c>
      <c r="I29" s="25"/>
    </row>
    <row r="30" ht="41.25" customHeight="1" spans="1:9">
      <c r="A30" s="16">
        <v>24</v>
      </c>
      <c r="B30" s="21" t="s">
        <v>101</v>
      </c>
      <c r="C30" s="21" t="s">
        <v>102</v>
      </c>
      <c r="D30" s="21" t="s">
        <v>103</v>
      </c>
      <c r="E30" s="17" t="s">
        <v>104</v>
      </c>
      <c r="F30" s="22">
        <v>1</v>
      </c>
      <c r="G30" s="24"/>
      <c r="H30" s="24">
        <f t="shared" si="0"/>
        <v>0</v>
      </c>
      <c r="I30" s="25"/>
    </row>
    <row r="31" ht="41.25" customHeight="1" spans="1:9">
      <c r="A31" s="16">
        <v>25</v>
      </c>
      <c r="B31" s="21" t="s">
        <v>105</v>
      </c>
      <c r="C31" s="21" t="s">
        <v>106</v>
      </c>
      <c r="D31" s="21" t="s">
        <v>107</v>
      </c>
      <c r="E31" s="17" t="s">
        <v>108</v>
      </c>
      <c r="F31" s="22">
        <v>2</v>
      </c>
      <c r="G31" s="24"/>
      <c r="H31" s="24">
        <f t="shared" si="0"/>
        <v>0</v>
      </c>
      <c r="I31" s="25"/>
    </row>
    <row r="32" ht="54" customHeight="1" spans="1:9">
      <c r="A32" s="16">
        <v>26</v>
      </c>
      <c r="B32" s="21" t="s">
        <v>109</v>
      </c>
      <c r="C32" s="21" t="s">
        <v>110</v>
      </c>
      <c r="D32" s="21" t="s">
        <v>111</v>
      </c>
      <c r="E32" s="17" t="s">
        <v>51</v>
      </c>
      <c r="F32" s="22">
        <v>5.4</v>
      </c>
      <c r="G32" s="24"/>
      <c r="H32" s="24">
        <f t="shared" si="0"/>
        <v>0</v>
      </c>
      <c r="I32" s="25"/>
    </row>
    <row r="33" ht="54" customHeight="1" spans="1:9">
      <c r="A33" s="16">
        <v>27</v>
      </c>
      <c r="B33" s="21" t="s">
        <v>112</v>
      </c>
      <c r="C33" s="21" t="s">
        <v>113</v>
      </c>
      <c r="D33" s="21" t="s">
        <v>114</v>
      </c>
      <c r="E33" s="17" t="s">
        <v>35</v>
      </c>
      <c r="F33" s="22">
        <v>22.36</v>
      </c>
      <c r="G33" s="24"/>
      <c r="H33" s="24">
        <f t="shared" si="0"/>
        <v>0</v>
      </c>
      <c r="I33" s="25"/>
    </row>
    <row r="34" ht="54" customHeight="1" spans="1:9">
      <c r="A34" s="16">
        <v>28</v>
      </c>
      <c r="B34" s="21" t="s">
        <v>115</v>
      </c>
      <c r="C34" s="21" t="s">
        <v>116</v>
      </c>
      <c r="D34" s="21" t="s">
        <v>117</v>
      </c>
      <c r="E34" s="17" t="s">
        <v>35</v>
      </c>
      <c r="F34" s="22">
        <v>3.32</v>
      </c>
      <c r="G34" s="24"/>
      <c r="H34" s="24">
        <f t="shared" si="0"/>
        <v>0</v>
      </c>
      <c r="I34" s="25"/>
    </row>
    <row r="35" ht="54" customHeight="1" spans="1:9">
      <c r="A35" s="16">
        <v>29</v>
      </c>
      <c r="B35" s="21" t="s">
        <v>118</v>
      </c>
      <c r="C35" s="21" t="s">
        <v>119</v>
      </c>
      <c r="D35" s="21" t="s">
        <v>120</v>
      </c>
      <c r="E35" s="17" t="s">
        <v>121</v>
      </c>
      <c r="F35" s="22">
        <v>6</v>
      </c>
      <c r="G35" s="24"/>
      <c r="H35" s="24">
        <f t="shared" si="0"/>
        <v>0</v>
      </c>
      <c r="I35" s="25"/>
    </row>
    <row r="36" ht="54" customHeight="1" spans="1:9">
      <c r="A36" s="16">
        <v>30</v>
      </c>
      <c r="B36" s="21" t="s">
        <v>122</v>
      </c>
      <c r="C36" s="21" t="s">
        <v>123</v>
      </c>
      <c r="D36" s="21" t="s">
        <v>124</v>
      </c>
      <c r="E36" s="17" t="s">
        <v>35</v>
      </c>
      <c r="F36" s="22">
        <v>25.68</v>
      </c>
      <c r="G36" s="24"/>
      <c r="H36" s="24">
        <f t="shared" si="0"/>
        <v>0</v>
      </c>
      <c r="I36" s="25"/>
    </row>
    <row r="37" ht="54" customHeight="1" spans="1:9">
      <c r="A37" s="16">
        <v>31</v>
      </c>
      <c r="B37" s="21" t="s">
        <v>125</v>
      </c>
      <c r="C37" s="21" t="s">
        <v>126</v>
      </c>
      <c r="D37" s="21" t="s">
        <v>127</v>
      </c>
      <c r="E37" s="17" t="s">
        <v>35</v>
      </c>
      <c r="F37" s="22">
        <v>8.33</v>
      </c>
      <c r="G37" s="24"/>
      <c r="H37" s="24">
        <f t="shared" si="0"/>
        <v>0</v>
      </c>
      <c r="I37" s="25"/>
    </row>
    <row r="38" ht="54" customHeight="1" spans="1:9">
      <c r="A38" s="16">
        <v>32</v>
      </c>
      <c r="B38" s="21" t="s">
        <v>128</v>
      </c>
      <c r="C38" s="21" t="s">
        <v>126</v>
      </c>
      <c r="D38" s="21" t="s">
        <v>129</v>
      </c>
      <c r="E38" s="17" t="s">
        <v>35</v>
      </c>
      <c r="F38" s="22">
        <v>6.13</v>
      </c>
      <c r="G38" s="24"/>
      <c r="H38" s="24">
        <f t="shared" si="0"/>
        <v>0</v>
      </c>
      <c r="I38" s="25"/>
    </row>
    <row r="39" ht="66.75" customHeight="1" spans="1:9">
      <c r="A39" s="16">
        <v>33</v>
      </c>
      <c r="B39" s="21" t="s">
        <v>130</v>
      </c>
      <c r="C39" s="21" t="s">
        <v>131</v>
      </c>
      <c r="D39" s="21" t="s">
        <v>88</v>
      </c>
      <c r="E39" s="17" t="s">
        <v>51</v>
      </c>
      <c r="F39" s="22">
        <v>3.3</v>
      </c>
      <c r="G39" s="24"/>
      <c r="H39" s="24">
        <f t="shared" si="0"/>
        <v>0</v>
      </c>
      <c r="I39" s="25"/>
    </row>
    <row r="40" ht="41.25" customHeight="1" spans="1:9">
      <c r="A40" s="16">
        <v>34</v>
      </c>
      <c r="B40" s="21" t="s">
        <v>132</v>
      </c>
      <c r="C40" s="21" t="s">
        <v>133</v>
      </c>
      <c r="D40" s="21" t="s">
        <v>134</v>
      </c>
      <c r="E40" s="17" t="s">
        <v>35</v>
      </c>
      <c r="F40" s="22">
        <v>37.2</v>
      </c>
      <c r="G40" s="24"/>
      <c r="H40" s="24">
        <f t="shared" si="0"/>
        <v>0</v>
      </c>
      <c r="I40" s="25"/>
    </row>
    <row r="41" ht="41.25" customHeight="1" spans="1:9">
      <c r="A41" s="16">
        <v>35</v>
      </c>
      <c r="B41" s="21" t="s">
        <v>135</v>
      </c>
      <c r="C41" s="21" t="s">
        <v>136</v>
      </c>
      <c r="D41" s="21" t="s">
        <v>137</v>
      </c>
      <c r="E41" s="17" t="s">
        <v>35</v>
      </c>
      <c r="F41" s="22">
        <v>59.76</v>
      </c>
      <c r="G41" s="24"/>
      <c r="H41" s="24">
        <f t="shared" si="0"/>
        <v>0</v>
      </c>
      <c r="I41" s="25"/>
    </row>
    <row r="42" ht="28.5" customHeight="1" spans="1:9">
      <c r="A42" s="16"/>
      <c r="B42" s="21"/>
      <c r="C42" s="21" t="s">
        <v>138</v>
      </c>
      <c r="D42" s="21"/>
      <c r="E42" s="21"/>
      <c r="F42" s="22"/>
      <c r="G42" s="22"/>
      <c r="H42" s="22">
        <f>SUBTOTAL(9,H6:H41)</f>
        <v>0</v>
      </c>
      <c r="I42" s="23"/>
    </row>
    <row r="43" ht="28.5" customHeight="1" spans="1:9">
      <c r="A43" s="16"/>
      <c r="B43" s="21"/>
      <c r="C43" s="21" t="s">
        <v>11</v>
      </c>
      <c r="D43" s="21"/>
      <c r="E43" s="21"/>
      <c r="F43" s="22"/>
      <c r="G43" s="22"/>
      <c r="H43" s="22"/>
      <c r="I43" s="23"/>
    </row>
    <row r="44" ht="66.75" customHeight="1" spans="1:9">
      <c r="A44" s="16">
        <v>36</v>
      </c>
      <c r="B44" s="21" t="s">
        <v>139</v>
      </c>
      <c r="C44" s="21" t="s">
        <v>33</v>
      </c>
      <c r="D44" s="21" t="s">
        <v>34</v>
      </c>
      <c r="E44" s="17" t="s">
        <v>35</v>
      </c>
      <c r="F44" s="22">
        <v>1017.4</v>
      </c>
      <c r="G44" s="24"/>
      <c r="H44" s="24">
        <f t="shared" ref="H44:H78" si="1">F44*G44</f>
        <v>0</v>
      </c>
      <c r="I44" s="25"/>
    </row>
    <row r="45" ht="66.75" customHeight="1" spans="1:9">
      <c r="A45" s="16">
        <v>37</v>
      </c>
      <c r="B45" s="21" t="s">
        <v>140</v>
      </c>
      <c r="C45" s="21" t="s">
        <v>37</v>
      </c>
      <c r="D45" s="21" t="s">
        <v>34</v>
      </c>
      <c r="E45" s="17" t="s">
        <v>35</v>
      </c>
      <c r="F45" s="22">
        <v>1590.14</v>
      </c>
      <c r="G45" s="24"/>
      <c r="H45" s="24">
        <f t="shared" si="1"/>
        <v>0</v>
      </c>
      <c r="I45" s="25"/>
    </row>
    <row r="46" ht="66.75" customHeight="1" spans="1:9">
      <c r="A46" s="16">
        <v>38</v>
      </c>
      <c r="B46" s="21" t="s">
        <v>141</v>
      </c>
      <c r="C46" s="21" t="s">
        <v>39</v>
      </c>
      <c r="D46" s="21" t="s">
        <v>34</v>
      </c>
      <c r="E46" s="17" t="s">
        <v>35</v>
      </c>
      <c r="F46" s="22">
        <v>408</v>
      </c>
      <c r="G46" s="24"/>
      <c r="H46" s="24">
        <f t="shared" si="1"/>
        <v>0</v>
      </c>
      <c r="I46" s="25"/>
    </row>
    <row r="47" ht="54" customHeight="1" spans="1:9">
      <c r="A47" s="16">
        <v>39</v>
      </c>
      <c r="B47" s="21" t="s">
        <v>142</v>
      </c>
      <c r="C47" s="21" t="s">
        <v>41</v>
      </c>
      <c r="D47" s="21" t="s">
        <v>42</v>
      </c>
      <c r="E47" s="17" t="s">
        <v>35</v>
      </c>
      <c r="F47" s="22">
        <v>2944.42</v>
      </c>
      <c r="G47" s="24"/>
      <c r="H47" s="24">
        <f t="shared" si="1"/>
        <v>0</v>
      </c>
      <c r="I47" s="25"/>
    </row>
    <row r="48" ht="66.75" customHeight="1" spans="1:9">
      <c r="A48" s="16">
        <v>40</v>
      </c>
      <c r="B48" s="21" t="s">
        <v>143</v>
      </c>
      <c r="C48" s="21" t="s">
        <v>44</v>
      </c>
      <c r="D48" s="21" t="s">
        <v>34</v>
      </c>
      <c r="E48" s="17" t="s">
        <v>35</v>
      </c>
      <c r="F48" s="22">
        <v>241.05</v>
      </c>
      <c r="G48" s="24"/>
      <c r="H48" s="24">
        <f t="shared" si="1"/>
        <v>0</v>
      </c>
      <c r="I48" s="25"/>
    </row>
    <row r="49" ht="41.25" customHeight="1" spans="1:9">
      <c r="A49" s="16">
        <v>41</v>
      </c>
      <c r="B49" s="21" t="s">
        <v>144</v>
      </c>
      <c r="C49" s="21" t="s">
        <v>46</v>
      </c>
      <c r="D49" s="21" t="s">
        <v>47</v>
      </c>
      <c r="E49" s="17" t="s">
        <v>35</v>
      </c>
      <c r="F49" s="22">
        <v>1816.1</v>
      </c>
      <c r="G49" s="24"/>
      <c r="H49" s="24">
        <f t="shared" si="1"/>
        <v>0</v>
      </c>
      <c r="I49" s="25"/>
    </row>
    <row r="50" ht="66.75" customHeight="1" spans="1:9">
      <c r="A50" s="16">
        <v>42</v>
      </c>
      <c r="B50" s="21" t="s">
        <v>145</v>
      </c>
      <c r="C50" s="21" t="s">
        <v>49</v>
      </c>
      <c r="D50" s="21" t="s">
        <v>50</v>
      </c>
      <c r="E50" s="17" t="s">
        <v>51</v>
      </c>
      <c r="F50" s="22">
        <v>592.05</v>
      </c>
      <c r="G50" s="24"/>
      <c r="H50" s="24">
        <f t="shared" si="1"/>
        <v>0</v>
      </c>
      <c r="I50" s="25"/>
    </row>
    <row r="51" ht="41.25" customHeight="1" spans="1:9">
      <c r="A51" s="16">
        <v>43</v>
      </c>
      <c r="B51" s="21" t="s">
        <v>146</v>
      </c>
      <c r="C51" s="21" t="s">
        <v>53</v>
      </c>
      <c r="D51" s="21" t="s">
        <v>54</v>
      </c>
      <c r="E51" s="17" t="s">
        <v>55</v>
      </c>
      <c r="F51" s="22">
        <v>53</v>
      </c>
      <c r="G51" s="24"/>
      <c r="H51" s="24">
        <f t="shared" si="1"/>
        <v>0</v>
      </c>
      <c r="I51" s="25"/>
    </row>
    <row r="52" ht="41.25" customHeight="1" spans="1:9">
      <c r="A52" s="16">
        <v>44</v>
      </c>
      <c r="B52" s="21" t="s">
        <v>147</v>
      </c>
      <c r="C52" s="21" t="s">
        <v>57</v>
      </c>
      <c r="D52" s="21" t="s">
        <v>58</v>
      </c>
      <c r="E52" s="17" t="s">
        <v>51</v>
      </c>
      <c r="F52" s="22">
        <v>3282.45</v>
      </c>
      <c r="G52" s="24"/>
      <c r="H52" s="24">
        <f t="shared" si="1"/>
        <v>0</v>
      </c>
      <c r="I52" s="25"/>
    </row>
    <row r="53" ht="130.5" customHeight="1" spans="1:9">
      <c r="A53" s="16">
        <v>45</v>
      </c>
      <c r="B53" s="21" t="s">
        <v>148</v>
      </c>
      <c r="C53" s="21" t="s">
        <v>60</v>
      </c>
      <c r="D53" s="21" t="s">
        <v>61</v>
      </c>
      <c r="E53" s="17" t="s">
        <v>35</v>
      </c>
      <c r="F53" s="22">
        <v>11967.74</v>
      </c>
      <c r="G53" s="24"/>
      <c r="H53" s="24">
        <f t="shared" si="1"/>
        <v>0</v>
      </c>
      <c r="I53" s="25"/>
    </row>
    <row r="54" ht="79.5" customHeight="1" spans="1:9">
      <c r="A54" s="16">
        <v>46</v>
      </c>
      <c r="B54" s="21" t="s">
        <v>149</v>
      </c>
      <c r="C54" s="21" t="s">
        <v>63</v>
      </c>
      <c r="D54" s="21" t="s">
        <v>64</v>
      </c>
      <c r="E54" s="17" t="s">
        <v>35</v>
      </c>
      <c r="F54" s="22">
        <v>4964.45</v>
      </c>
      <c r="G54" s="24"/>
      <c r="H54" s="24">
        <f t="shared" si="1"/>
        <v>0</v>
      </c>
      <c r="I54" s="25"/>
    </row>
    <row r="55" ht="105" customHeight="1" spans="1:9">
      <c r="A55" s="16">
        <v>47</v>
      </c>
      <c r="B55" s="21" t="s">
        <v>150</v>
      </c>
      <c r="C55" s="21" t="s">
        <v>66</v>
      </c>
      <c r="D55" s="21" t="s">
        <v>67</v>
      </c>
      <c r="E55" s="17" t="s">
        <v>35</v>
      </c>
      <c r="F55" s="22">
        <v>5613.73</v>
      </c>
      <c r="G55" s="24"/>
      <c r="H55" s="24">
        <f t="shared" si="1"/>
        <v>0</v>
      </c>
      <c r="I55" s="25"/>
    </row>
    <row r="56" ht="105" customHeight="1" spans="1:9">
      <c r="A56" s="16">
        <v>48</v>
      </c>
      <c r="B56" s="21" t="s">
        <v>151</v>
      </c>
      <c r="C56" s="21" t="s">
        <v>69</v>
      </c>
      <c r="D56" s="21" t="s">
        <v>70</v>
      </c>
      <c r="E56" s="17" t="s">
        <v>35</v>
      </c>
      <c r="F56" s="22">
        <v>353.26</v>
      </c>
      <c r="G56" s="24"/>
      <c r="H56" s="24">
        <f t="shared" si="1"/>
        <v>0</v>
      </c>
      <c r="I56" s="25"/>
    </row>
    <row r="57" ht="54" customHeight="1" spans="1:9">
      <c r="A57" s="16">
        <v>49</v>
      </c>
      <c r="B57" s="21" t="s">
        <v>152</v>
      </c>
      <c r="C57" s="21" t="s">
        <v>72</v>
      </c>
      <c r="D57" s="21" t="s">
        <v>73</v>
      </c>
      <c r="E57" s="17" t="s">
        <v>35</v>
      </c>
      <c r="F57" s="22">
        <v>634.75</v>
      </c>
      <c r="G57" s="24"/>
      <c r="H57" s="24">
        <f t="shared" si="1"/>
        <v>0</v>
      </c>
      <c r="I57" s="25"/>
    </row>
    <row r="58" ht="41.25" customHeight="1" spans="1:9">
      <c r="A58" s="16">
        <v>50</v>
      </c>
      <c r="B58" s="21" t="s">
        <v>153</v>
      </c>
      <c r="C58" s="21" t="s">
        <v>75</v>
      </c>
      <c r="D58" s="21" t="s">
        <v>76</v>
      </c>
      <c r="E58" s="17" t="s">
        <v>51</v>
      </c>
      <c r="F58" s="22">
        <v>292.55</v>
      </c>
      <c r="G58" s="24"/>
      <c r="H58" s="24">
        <f t="shared" si="1"/>
        <v>0</v>
      </c>
      <c r="I58" s="25"/>
    </row>
    <row r="59" ht="54" customHeight="1" spans="1:9">
      <c r="A59" s="16">
        <v>51</v>
      </c>
      <c r="B59" s="21" t="s">
        <v>154</v>
      </c>
      <c r="C59" s="21" t="s">
        <v>78</v>
      </c>
      <c r="D59" s="21" t="s">
        <v>79</v>
      </c>
      <c r="E59" s="17" t="s">
        <v>51</v>
      </c>
      <c r="F59" s="22">
        <v>292.55</v>
      </c>
      <c r="G59" s="24"/>
      <c r="H59" s="24">
        <f t="shared" si="1"/>
        <v>0</v>
      </c>
      <c r="I59" s="25"/>
    </row>
    <row r="60" ht="66.75" customHeight="1" spans="1:9">
      <c r="A60" s="16">
        <v>52</v>
      </c>
      <c r="B60" s="21" t="s">
        <v>155</v>
      </c>
      <c r="C60" s="21" t="s">
        <v>81</v>
      </c>
      <c r="D60" s="21" t="s">
        <v>82</v>
      </c>
      <c r="E60" s="17" t="s">
        <v>35</v>
      </c>
      <c r="F60" s="22">
        <v>92.16</v>
      </c>
      <c r="G60" s="24"/>
      <c r="H60" s="24">
        <f t="shared" si="1"/>
        <v>0</v>
      </c>
      <c r="I60" s="25"/>
    </row>
    <row r="61" ht="79.5" customHeight="1" spans="1:9">
      <c r="A61" s="16">
        <v>53</v>
      </c>
      <c r="B61" s="21" t="s">
        <v>156</v>
      </c>
      <c r="C61" s="21" t="s">
        <v>84</v>
      </c>
      <c r="D61" s="21" t="s">
        <v>85</v>
      </c>
      <c r="E61" s="17" t="s">
        <v>35</v>
      </c>
      <c r="F61" s="22">
        <v>101.84</v>
      </c>
      <c r="G61" s="24"/>
      <c r="H61" s="24">
        <f t="shared" si="1"/>
        <v>0</v>
      </c>
      <c r="I61" s="25"/>
    </row>
    <row r="62" ht="66.75" customHeight="1" spans="1:9">
      <c r="A62" s="16">
        <v>54</v>
      </c>
      <c r="B62" s="21" t="s">
        <v>157</v>
      </c>
      <c r="C62" s="21" t="s">
        <v>87</v>
      </c>
      <c r="D62" s="21" t="s">
        <v>88</v>
      </c>
      <c r="E62" s="17" t="s">
        <v>51</v>
      </c>
      <c r="F62" s="22">
        <v>104.46</v>
      </c>
      <c r="G62" s="24"/>
      <c r="H62" s="24">
        <f t="shared" si="1"/>
        <v>0</v>
      </c>
      <c r="I62" s="25"/>
    </row>
    <row r="63" ht="54" customHeight="1" spans="1:9">
      <c r="A63" s="16">
        <v>55</v>
      </c>
      <c r="B63" s="21" t="s">
        <v>158</v>
      </c>
      <c r="C63" s="21" t="s">
        <v>90</v>
      </c>
      <c r="D63" s="21" t="s">
        <v>91</v>
      </c>
      <c r="E63" s="17" t="s">
        <v>51</v>
      </c>
      <c r="F63" s="22">
        <v>104.46</v>
      </c>
      <c r="G63" s="24"/>
      <c r="H63" s="24">
        <f t="shared" si="1"/>
        <v>0</v>
      </c>
      <c r="I63" s="25"/>
    </row>
    <row r="64" ht="79.5" customHeight="1" spans="1:9">
      <c r="A64" s="16">
        <v>56</v>
      </c>
      <c r="B64" s="21" t="s">
        <v>159</v>
      </c>
      <c r="C64" s="21" t="s">
        <v>93</v>
      </c>
      <c r="D64" s="21" t="s">
        <v>94</v>
      </c>
      <c r="E64" s="17" t="s">
        <v>55</v>
      </c>
      <c r="F64" s="22">
        <v>7.7</v>
      </c>
      <c r="G64" s="24"/>
      <c r="H64" s="24">
        <f t="shared" si="1"/>
        <v>0</v>
      </c>
      <c r="I64" s="25"/>
    </row>
    <row r="65" ht="54" customHeight="1" spans="1:9">
      <c r="A65" s="16">
        <v>57</v>
      </c>
      <c r="B65" s="21" t="s">
        <v>160</v>
      </c>
      <c r="C65" s="21" t="s">
        <v>96</v>
      </c>
      <c r="D65" s="21" t="s">
        <v>97</v>
      </c>
      <c r="E65" s="17" t="s">
        <v>55</v>
      </c>
      <c r="F65" s="22">
        <v>1.83</v>
      </c>
      <c r="G65" s="24"/>
      <c r="H65" s="24">
        <f t="shared" si="1"/>
        <v>0</v>
      </c>
      <c r="I65" s="25"/>
    </row>
    <row r="66" ht="54" customHeight="1" spans="1:9">
      <c r="A66" s="16">
        <v>58</v>
      </c>
      <c r="B66" s="21" t="s">
        <v>161</v>
      </c>
      <c r="C66" s="21" t="s">
        <v>99</v>
      </c>
      <c r="D66" s="21" t="s">
        <v>100</v>
      </c>
      <c r="E66" s="17" t="s">
        <v>55</v>
      </c>
      <c r="F66" s="22">
        <v>3.98</v>
      </c>
      <c r="G66" s="24"/>
      <c r="H66" s="24">
        <f t="shared" si="1"/>
        <v>0</v>
      </c>
      <c r="I66" s="25"/>
    </row>
    <row r="67" ht="41.25" customHeight="1" spans="1:9">
      <c r="A67" s="16">
        <v>59</v>
      </c>
      <c r="B67" s="21" t="s">
        <v>162</v>
      </c>
      <c r="C67" s="21" t="s">
        <v>102</v>
      </c>
      <c r="D67" s="21" t="s">
        <v>103</v>
      </c>
      <c r="E67" s="17" t="s">
        <v>104</v>
      </c>
      <c r="F67" s="22">
        <v>1</v>
      </c>
      <c r="G67" s="24"/>
      <c r="H67" s="24">
        <f t="shared" si="1"/>
        <v>0</v>
      </c>
      <c r="I67" s="25"/>
    </row>
    <row r="68" ht="41.25" customHeight="1" spans="1:9">
      <c r="A68" s="16">
        <v>60</v>
      </c>
      <c r="B68" s="21" t="s">
        <v>163</v>
      </c>
      <c r="C68" s="21" t="s">
        <v>106</v>
      </c>
      <c r="D68" s="21" t="s">
        <v>107</v>
      </c>
      <c r="E68" s="17" t="s">
        <v>108</v>
      </c>
      <c r="F68" s="22">
        <v>2</v>
      </c>
      <c r="G68" s="24"/>
      <c r="H68" s="24">
        <f t="shared" si="1"/>
        <v>0</v>
      </c>
      <c r="I68" s="25"/>
    </row>
    <row r="69" ht="54" customHeight="1" spans="1:9">
      <c r="A69" s="16">
        <v>61</v>
      </c>
      <c r="B69" s="21" t="s">
        <v>164</v>
      </c>
      <c r="C69" s="21" t="s">
        <v>110</v>
      </c>
      <c r="D69" s="21" t="s">
        <v>111</v>
      </c>
      <c r="E69" s="17" t="s">
        <v>51</v>
      </c>
      <c r="F69" s="22">
        <v>5.4</v>
      </c>
      <c r="G69" s="24"/>
      <c r="H69" s="24">
        <f t="shared" si="1"/>
        <v>0</v>
      </c>
      <c r="I69" s="25"/>
    </row>
    <row r="70" ht="54" customHeight="1" spans="1:9">
      <c r="A70" s="16">
        <v>62</v>
      </c>
      <c r="B70" s="21" t="s">
        <v>165</v>
      </c>
      <c r="C70" s="21" t="s">
        <v>113</v>
      </c>
      <c r="D70" s="21" t="s">
        <v>114</v>
      </c>
      <c r="E70" s="17" t="s">
        <v>35</v>
      </c>
      <c r="F70" s="22">
        <v>22.36</v>
      </c>
      <c r="G70" s="24"/>
      <c r="H70" s="24">
        <f t="shared" si="1"/>
        <v>0</v>
      </c>
      <c r="I70" s="25"/>
    </row>
    <row r="71" ht="54" customHeight="1" spans="1:9">
      <c r="A71" s="16">
        <v>63</v>
      </c>
      <c r="B71" s="21" t="s">
        <v>166</v>
      </c>
      <c r="C71" s="21" t="s">
        <v>116</v>
      </c>
      <c r="D71" s="21" t="s">
        <v>117</v>
      </c>
      <c r="E71" s="17" t="s">
        <v>35</v>
      </c>
      <c r="F71" s="22">
        <v>3.32</v>
      </c>
      <c r="G71" s="24"/>
      <c r="H71" s="24">
        <f t="shared" si="1"/>
        <v>0</v>
      </c>
      <c r="I71" s="25"/>
    </row>
    <row r="72" ht="54" customHeight="1" spans="1:9">
      <c r="A72" s="16">
        <v>64</v>
      </c>
      <c r="B72" s="21" t="s">
        <v>167</v>
      </c>
      <c r="C72" s="21" t="s">
        <v>119</v>
      </c>
      <c r="D72" s="21" t="s">
        <v>120</v>
      </c>
      <c r="E72" s="17" t="s">
        <v>121</v>
      </c>
      <c r="F72" s="22">
        <v>6</v>
      </c>
      <c r="G72" s="24"/>
      <c r="H72" s="24">
        <f t="shared" si="1"/>
        <v>0</v>
      </c>
      <c r="I72" s="25"/>
    </row>
    <row r="73" ht="54" customHeight="1" spans="1:9">
      <c r="A73" s="16">
        <v>65</v>
      </c>
      <c r="B73" s="21" t="s">
        <v>168</v>
      </c>
      <c r="C73" s="21" t="s">
        <v>123</v>
      </c>
      <c r="D73" s="21" t="s">
        <v>124</v>
      </c>
      <c r="E73" s="17" t="s">
        <v>35</v>
      </c>
      <c r="F73" s="22">
        <v>25.68</v>
      </c>
      <c r="G73" s="24"/>
      <c r="H73" s="24">
        <f t="shared" si="1"/>
        <v>0</v>
      </c>
      <c r="I73" s="25"/>
    </row>
    <row r="74" ht="54" customHeight="1" spans="1:9">
      <c r="A74" s="16">
        <v>66</v>
      </c>
      <c r="B74" s="21" t="s">
        <v>169</v>
      </c>
      <c r="C74" s="21" t="s">
        <v>170</v>
      </c>
      <c r="D74" s="21" t="s">
        <v>127</v>
      </c>
      <c r="E74" s="17" t="s">
        <v>35</v>
      </c>
      <c r="F74" s="22">
        <v>8.33</v>
      </c>
      <c r="G74" s="24"/>
      <c r="H74" s="24">
        <f t="shared" si="1"/>
        <v>0</v>
      </c>
      <c r="I74" s="25"/>
    </row>
    <row r="75" ht="54" customHeight="1" spans="1:9">
      <c r="A75" s="16">
        <v>67</v>
      </c>
      <c r="B75" s="21" t="s">
        <v>171</v>
      </c>
      <c r="C75" s="21" t="s">
        <v>170</v>
      </c>
      <c r="D75" s="21" t="s">
        <v>129</v>
      </c>
      <c r="E75" s="17" t="s">
        <v>35</v>
      </c>
      <c r="F75" s="22">
        <v>6.13</v>
      </c>
      <c r="G75" s="24"/>
      <c r="H75" s="24">
        <f t="shared" si="1"/>
        <v>0</v>
      </c>
      <c r="I75" s="25"/>
    </row>
    <row r="76" ht="66.75" customHeight="1" spans="1:9">
      <c r="A76" s="16">
        <v>68</v>
      </c>
      <c r="B76" s="21" t="s">
        <v>172</v>
      </c>
      <c r="C76" s="21" t="s">
        <v>131</v>
      </c>
      <c r="D76" s="21" t="s">
        <v>88</v>
      </c>
      <c r="E76" s="17" t="s">
        <v>51</v>
      </c>
      <c r="F76" s="22">
        <v>3.3</v>
      </c>
      <c r="G76" s="24"/>
      <c r="H76" s="24">
        <f t="shared" si="1"/>
        <v>0</v>
      </c>
      <c r="I76" s="25"/>
    </row>
    <row r="77" ht="41.25" customHeight="1" spans="1:9">
      <c r="A77" s="16">
        <v>69</v>
      </c>
      <c r="B77" s="21" t="s">
        <v>173</v>
      </c>
      <c r="C77" s="21" t="s">
        <v>133</v>
      </c>
      <c r="D77" s="21" t="s">
        <v>134</v>
      </c>
      <c r="E77" s="17" t="s">
        <v>35</v>
      </c>
      <c r="F77" s="22">
        <v>37.2</v>
      </c>
      <c r="G77" s="24"/>
      <c r="H77" s="24">
        <f t="shared" si="1"/>
        <v>0</v>
      </c>
      <c r="I77" s="25"/>
    </row>
    <row r="78" ht="41.25" customHeight="1" spans="1:9">
      <c r="A78" s="16">
        <v>70</v>
      </c>
      <c r="B78" s="21" t="s">
        <v>174</v>
      </c>
      <c r="C78" s="21" t="s">
        <v>136</v>
      </c>
      <c r="D78" s="21" t="s">
        <v>137</v>
      </c>
      <c r="E78" s="17" t="s">
        <v>35</v>
      </c>
      <c r="F78" s="22">
        <v>59.76</v>
      </c>
      <c r="G78" s="24"/>
      <c r="H78" s="24">
        <f t="shared" si="1"/>
        <v>0</v>
      </c>
      <c r="I78" s="25"/>
    </row>
    <row r="79" ht="35" customHeight="1" spans="1:9">
      <c r="A79" s="16"/>
      <c r="B79" s="21"/>
      <c r="C79" s="21" t="s">
        <v>175</v>
      </c>
      <c r="D79" s="21"/>
      <c r="E79" s="21"/>
      <c r="F79" s="22"/>
      <c r="G79" s="22"/>
      <c r="H79" s="22">
        <f>SUBTOTAL(9,H43:H78)</f>
        <v>0</v>
      </c>
      <c r="I79" s="23"/>
    </row>
    <row r="80" ht="35" customHeight="1" spans="1:9">
      <c r="A80" s="16"/>
      <c r="B80" s="21"/>
      <c r="C80" s="21" t="s">
        <v>7</v>
      </c>
      <c r="D80" s="21"/>
      <c r="E80" s="21"/>
      <c r="F80" s="22"/>
      <c r="G80" s="22"/>
      <c r="H80" s="22">
        <f>SUBTOTAL(9,H6:H79)</f>
        <v>0</v>
      </c>
      <c r="I80" s="23"/>
    </row>
  </sheetData>
  <autoFilter xmlns:etc="http://www.wps.cn/officeDocument/2017/etCustomData" ref="A3:I80" etc:filterBottomFollowUsedRange="0">
    <extLst/>
  </autoFilter>
  <mergeCells count="14">
    <mergeCell ref="A1:I1"/>
    <mergeCell ref="A2:D2"/>
    <mergeCell ref="E2:G2"/>
    <mergeCell ref="H2:I2"/>
    <mergeCell ref="G3:I3"/>
    <mergeCell ref="A3:A5"/>
    <mergeCell ref="B3:B5"/>
    <mergeCell ref="C3:C5"/>
    <mergeCell ref="D3:D5"/>
    <mergeCell ref="E3:E5"/>
    <mergeCell ref="F3:F5"/>
    <mergeCell ref="G4:G5"/>
    <mergeCell ref="H4:H5"/>
    <mergeCell ref="I4:I5"/>
  </mergeCells>
  <printOptions horizontalCentered="1"/>
  <pageMargins left="0.590277777777778" right="0.590277777777778" top="0.590277777777778" bottom="0.590277777777778" header="0.196527777777778" footer="0.196527777777778"/>
  <pageSetup paperSize="9" scale="92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单位工程投标报价汇总表</vt:lpstr>
      <vt:lpstr>表-08 分部分项工程和单价措施项目清单与计价表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叶渭淋</cp:lastModifiedBy>
  <dcterms:created xsi:type="dcterms:W3CDTF">2026-04-08T10:22:00Z</dcterms:created>
  <dcterms:modified xsi:type="dcterms:W3CDTF">2026-05-27T11:32:39Z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F04FF8374C504B189F79068862E3FB33_12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