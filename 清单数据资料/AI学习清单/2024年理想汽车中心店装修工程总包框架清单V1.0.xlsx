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943" activeTab="1"/>
  </bookViews>
  <sheets>
    <sheet name="2-报价汇总" sheetId="3" r:id="rId1"/>
    <sheet name="2.1-装饰工程" sheetId="4" r:id="rId2"/>
    <sheet name="2.2-电气工程" sheetId="5" r:id="rId3"/>
    <sheet name="2.3-给排水工程" sheetId="6" r:id="rId4"/>
    <sheet name="2.4-外立面工程" sheetId="7" r:id="rId5"/>
    <sheet name="2.5-室外工程" sheetId="8" r:id="rId6"/>
    <sheet name="2.6-消防工程" sheetId="9" r:id="rId7"/>
    <sheet name="2.7-屋面工程" sheetId="10" r:id="rId8"/>
    <sheet name="2.8-结构工程" sheetId="11" r:id="rId9"/>
    <sheet name="2.9-空调工程" sheetId="12" r:id="rId10"/>
    <sheet name="2.10-采暖工程" sheetId="13" r:id="rId11"/>
    <sheet name="2.11-施工图纸" sheetId="14" r:id="rId12"/>
    <sheet name="2.12-其他措施费" sheetId="15" r:id="rId13"/>
    <sheet name="3-材料品牌表" sheetId="16" r:id="rId14"/>
  </sheets>
  <definedNames>
    <definedName name="_xlnm._FilterDatabase" localSheetId="1" hidden="1">'2.1-装饰工程'!$A$3:$T$306</definedName>
    <definedName name="_xlnm._FilterDatabase" localSheetId="2" hidden="1">'2.2-电气工程'!$A$3:$Q$257</definedName>
    <definedName name="_xlnm._FilterDatabase" localSheetId="3" hidden="1">'2.3-给排水工程'!$A$3:$V$54</definedName>
    <definedName name="_xlnm._FilterDatabase" localSheetId="4" hidden="1">'2.4-外立面工程'!$A$3:$P$69</definedName>
    <definedName name="_xlnm._FilterDatabase" localSheetId="5" hidden="1">'2.5-室外工程'!$A$3:$T$49</definedName>
    <definedName name="_xlnm._FilterDatabase" localSheetId="6" hidden="1">'2.6-消防工程'!$A$3:$U$59</definedName>
    <definedName name="_xlnm._FilterDatabase" localSheetId="8" hidden="1">'2.8-结构工程'!$A$3:$V$35</definedName>
    <definedName name="_xlnm._FilterDatabase" localSheetId="9" hidden="1">'2.9-空调工程'!$A$3:$P$177</definedName>
    <definedName name="_xlnm._FilterDatabase" localSheetId="10" hidden="1">'2.10-采暖工程'!$A$3:$O$52</definedName>
    <definedName name="_xlnm._FilterDatabase" localSheetId="13" hidden="1">'3-材料品牌表'!$A$2:$T$202</definedName>
    <definedName name="_xlnm.Print_Area" localSheetId="0">'2-报价汇总'!$A$1:$F$12</definedName>
    <definedName name="_xlnm.Print_Titles" localSheetId="0">'2-报价汇总'!$1:$3</definedName>
    <definedName name="_xlnm.Print_Titles" localSheetId="1">'2.1-装饰工程'!$1:$3</definedName>
    <definedName name="_xlnm.Print_Titles" localSheetId="2">'2.2-电气工程'!$1:$3</definedName>
    <definedName name="_xlnm.Print_Titles" localSheetId="3">'2.3-给排水工程'!$1:$3</definedName>
    <definedName name="_xlnm.Print_Titles" localSheetId="4">'2.4-外立面工程'!$1:$3</definedName>
    <definedName name="_xlnm.Print_Titles" localSheetId="5">'2.5-室外工程'!$1:$3</definedName>
    <definedName name="_xlnm.Print_Titles" localSheetId="6">'2.6-消防工程'!$1:$3</definedName>
    <definedName name="_xlnm.Print_Titles" localSheetId="7">'2.7-屋面工程'!$1:$3</definedName>
    <definedName name="_xlnm.Print_Titles" localSheetId="8">'2.8-结构工程'!$1:$3</definedName>
    <definedName name="_xlnm.Print_Titles" localSheetId="9">'2.9-空调工程'!$1:$3</definedName>
    <definedName name="_xlnm.Print_Titles" localSheetId="10">'2.10-采暖工程'!$1:$3</definedName>
    <definedName name="_xlnm.Print_Titles" localSheetId="11">'2.11-施工图纸'!$1:$3</definedName>
    <definedName name="_xlnm.Print_Titles" localSheetId="12">'2.12-其他措施费'!$1:$3</definedName>
    <definedName name="_xlnm.Print_Titles" localSheetId="13">'3-材料品牌表'!$1:$2</definedName>
    <definedName name="_xlnm.Print_Area" localSheetId="3">'2.3-给排水工程'!$A$1:$P$54</definedName>
    <definedName name="_xlnm.Print_Area" localSheetId="10">'2.10-采暖工程'!$A$1:$O$52</definedName>
    <definedName name="_xlnm.Print_Area" localSheetId="11">'2.11-施工图纸'!$A$1:$I$19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<sst xmlns="http://schemas.openxmlformats.org/spreadsheetml/2006/main" count="6178" uniqueCount="3166">
  <si>
    <t>安措</t>
  </si>
  <si>
    <t>管理</t>
  </si>
  <si>
    <t>利润</t>
  </si>
  <si>
    <t>理想汽车中心店装修工程量清单</t>
  </si>
  <si>
    <t>注意：此报价清单每项不得随意更改、删减，如有任何增加项请务必在每大项最后“补充项“中列举，补充项及说明字体颜色均采用蓝色；且所有项目都需要填写。</t>
  </si>
  <si>
    <t>序号</t>
  </si>
  <si>
    <t>项目名称</t>
  </si>
  <si>
    <t>项目特征</t>
  </si>
  <si>
    <t>适用范围</t>
  </si>
  <si>
    <t>工程量计算规则</t>
  </si>
  <si>
    <t>单位</t>
  </si>
  <si>
    <t>24/25年暂估工程量</t>
  </si>
  <si>
    <t>综合单价</t>
  </si>
  <si>
    <t>人工费</t>
  </si>
  <si>
    <t>材料费</t>
  </si>
  <si>
    <t>机械费</t>
  </si>
  <si>
    <t>安措费</t>
  </si>
  <si>
    <t>管理费</t>
  </si>
  <si>
    <t>24/25年暂估总价</t>
  </si>
  <si>
    <t>备注</t>
  </si>
  <si>
    <t>2.1装饰工程</t>
  </si>
  <si>
    <t>2.1.1</t>
  </si>
  <si>
    <t>拆除工程</t>
  </si>
  <si>
    <t>2.1.1.01</t>
  </si>
  <si>
    <t>原有石膏板天花拆除</t>
  </si>
  <si>
    <t>1.拆除原有天花
2.龙骨、吊筋拆除</t>
  </si>
  <si>
    <t>室内、室外装饰装修及安装工程项目</t>
  </si>
  <si>
    <t>按拆除面积计算。垃圾清理折算系数：0.05</t>
  </si>
  <si>
    <t>m2</t>
  </si>
  <si>
    <t>2.1.1.02</t>
  </si>
  <si>
    <t>原有矿棉板/铝扣板天花拆除</t>
  </si>
  <si>
    <t>2.1.1.03</t>
  </si>
  <si>
    <t>原有地砖或石材地面拆除
*拆除至不改变地面标高</t>
  </si>
  <si>
    <t>1.拆除原有地面石材&amp;地砖
2.粘结层拆除至满足图纸地面面层做法高度</t>
  </si>
  <si>
    <t>2.1.1.04</t>
  </si>
  <si>
    <t>混凝土地面拆除</t>
  </si>
  <si>
    <t>1.拆除原有混凝土地面，≤100mm厚
2.＞100mm厚按此项目比例折算</t>
  </si>
  <si>
    <t>2.1.1.05</t>
  </si>
  <si>
    <t>原有环氧树脂地面拆除（刨铣）
*拆除至不改变地面标高</t>
  </si>
  <si>
    <t>1.拆除原有环氧树脂自流平
2.地面打磨平整并不改变地面标高</t>
  </si>
  <si>
    <t>按拆除面积计算。垃圾清理折算系数：0.005</t>
  </si>
  <si>
    <t>2.1.1.06</t>
  </si>
  <si>
    <t>原有地毯或胶地板地面拆除</t>
  </si>
  <si>
    <t>1.拆除原有地面地毯、胶地板、木地板</t>
  </si>
  <si>
    <t>按拆除面积计算。垃圾清理折算系数：0.01</t>
  </si>
  <si>
    <t>2.1.1.07</t>
  </si>
  <si>
    <t>原有砌筑墙体（连门）拆除</t>
  </si>
  <si>
    <t>1.拆除原有砌体墙连墙体内砼柱破碎
2.装袋清理</t>
  </si>
  <si>
    <t>以 m3计量，按拆除的体积计算。垃圾清理折算系数：1</t>
  </si>
  <si>
    <t>m3</t>
  </si>
  <si>
    <t>2.1.1.08</t>
  </si>
  <si>
    <t>原有玻璃隔墙（连门）拆除</t>
  </si>
  <si>
    <t>1.拆除原有玻璃隔断及框
2.装袋清理</t>
  </si>
  <si>
    <t>按拆除的面积计算。垃圾清理折算系数：0.05</t>
  </si>
  <si>
    <t>2.1.1.09</t>
  </si>
  <si>
    <t>原有石膏板/水泥压力板隔墙（连门）拆除</t>
  </si>
  <si>
    <t>1.拆除原有龙骨式隔墙
2.装袋清理</t>
  </si>
  <si>
    <t>按拆除面积计算。垃圾清理折算系数：0.15</t>
  </si>
  <si>
    <t>2.1.1.10</t>
  </si>
  <si>
    <t>拆除墙面石材、墙砖</t>
  </si>
  <si>
    <t>1.拆除原有墙面石材&amp;瓷砖
2.粘结层拆除至满足图纸墙面面层做法厚度</t>
  </si>
  <si>
    <t>2.1.1.11</t>
  </si>
  <si>
    <t>乳胶漆铲除</t>
  </si>
  <si>
    <t>1.铲除原有墙面/顶面乳胶漆及腻子</t>
  </si>
  <si>
    <t>按拆除部位的面积计算。垃圾清理折算系数：0.001</t>
  </si>
  <si>
    <t>2.1.1.12</t>
  </si>
  <si>
    <t>拆除外窗</t>
  </si>
  <si>
    <t>1.拆除原有外窗
2.装袋清理</t>
  </si>
  <si>
    <t>按拆除部位的面积计算。垃圾清理折算系数：0.02</t>
  </si>
  <si>
    <t>2.1.1.13</t>
  </si>
  <si>
    <t>卫生间隔断拆除</t>
  </si>
  <si>
    <t>1.拆除原有卫生间隔断
2.装袋清理</t>
  </si>
  <si>
    <t>按设计拆除部位以数量计算。垃圾清理折算系数：0.02</t>
  </si>
  <si>
    <t>间</t>
  </si>
  <si>
    <t>2.1.1.14</t>
  </si>
  <si>
    <t>卫生间台盆拆除</t>
  </si>
  <si>
    <t>1.拆除原有卫生间台盆
2.装袋清理</t>
  </si>
  <si>
    <t>按拆除的数量计算</t>
  </si>
  <si>
    <t>个</t>
  </si>
  <si>
    <t>2.1.1.15</t>
  </si>
  <si>
    <t>卫生间小便斗拆除</t>
  </si>
  <si>
    <t>1.拆除原有卫生间小便斗
2.装袋清理</t>
  </si>
  <si>
    <t>2.1.1.16</t>
  </si>
  <si>
    <t>卫生间坐便拆除</t>
  </si>
  <si>
    <t>1.拆除原有卫生间坐便
2.装袋清理</t>
  </si>
  <si>
    <t>2.1.1.17</t>
  </si>
  <si>
    <t>固定家具拆除</t>
  </si>
  <si>
    <t>1.拆除原有固定家具
2.装袋清理</t>
  </si>
  <si>
    <t>以 m 为单位计量，按拆除延长米计算</t>
  </si>
  <si>
    <t>m</t>
  </si>
  <si>
    <t>2.1.1.18</t>
  </si>
  <si>
    <t>电气工程拆除</t>
  </si>
  <si>
    <t>1.拆除原有电气工程（电线、管路、灯具、弱电）
2.装袋清理</t>
  </si>
  <si>
    <t>室内、室外装饰装修及安装工程项目≤2500平米</t>
  </si>
  <si>
    <t>按设计图示室内装修尺寸面积计算。垃圾清理折算系数：0.005</t>
  </si>
  <si>
    <t>2.1.1.19</t>
  </si>
  <si>
    <t>室内、室外装饰装修及安装工程项目＞2500平米</t>
  </si>
  <si>
    <t>2.1.1.20</t>
  </si>
  <si>
    <t>室外台阶拆除</t>
  </si>
  <si>
    <t>1.拆除原有室外台阶至室外地坪标高
2.装袋清理</t>
  </si>
  <si>
    <t>按图示数量按个计算</t>
  </si>
  <si>
    <t>项</t>
  </si>
  <si>
    <t>2.1.1.21</t>
  </si>
  <si>
    <t>拆除钢楼梯</t>
  </si>
  <si>
    <t>1.拆除原有钢结构楼梯及基础
2.垃圾清理及垃圾外运</t>
  </si>
  <si>
    <t>按图示数量按部计算</t>
  </si>
  <si>
    <t>部</t>
  </si>
  <si>
    <t>2.1.1.22</t>
  </si>
  <si>
    <t>拆除混凝土楼梯</t>
  </si>
  <si>
    <t>1.拆除原有混凝土楼梯及基础
2.垃圾清理及垃圾外运</t>
  </si>
  <si>
    <t>2.1.1.23</t>
  </si>
  <si>
    <t>卫生间地台拆除</t>
  </si>
  <si>
    <t>1.拆除原有卫生间地台至室内±0.00
2.垃圾清理及垃圾外运</t>
  </si>
  <si>
    <t>位</t>
  </si>
  <si>
    <t>2.1.1.24</t>
  </si>
  <si>
    <t>拆除金属栏杆</t>
  </si>
  <si>
    <t>1.拆除原有金属栏杆及相关附件
2.垃圾清理及垃圾外运</t>
  </si>
  <si>
    <t>以 m 计量，按拆除的延长米计算</t>
  </si>
  <si>
    <t>2.1.1.25</t>
  </si>
  <si>
    <t>玻璃幕墙广告画拆除</t>
  </si>
  <si>
    <t>1.拆除原有广告画及玻璃膜（室外）
2.垃圾清理及垃圾外运</t>
  </si>
  <si>
    <t>按拆除面积计算</t>
  </si>
  <si>
    <t>2.1.1.26</t>
  </si>
  <si>
    <t>钢结构拆除</t>
  </si>
  <si>
    <t>1.拆除原有钢结构（楼板、钢梁、钢柱及相关配件锚栓等）
2.垃圾清理及垃圾外运（拆除钢材所有权为总包）</t>
  </si>
  <si>
    <t>以 t 计算，按拆除构件的质量计算</t>
  </si>
  <si>
    <t>t</t>
  </si>
  <si>
    <t>2.1.1.27</t>
  </si>
  <si>
    <t>1.拆除原有钢结构（楼板、钢梁、钢柱及相关配件锚栓等）
2.垃圾清理及垃圾外运（拆除钢材所有权不为总包）</t>
  </si>
  <si>
    <t>2.1.1.28</t>
  </si>
  <si>
    <t>轻钢龙骨拆除</t>
  </si>
  <si>
    <t>1.拆除原有龙骨
2.垃圾清理及垃圾外运</t>
  </si>
  <si>
    <t>按拆除面积计算。垃圾清理折算系数：0.12</t>
  </si>
  <si>
    <t>2.1.1.29</t>
  </si>
  <si>
    <t>地面磨砂膜拆除</t>
  </si>
  <si>
    <t>1.地面地贴拆除（磨砂膜，广告贴，指引贴等）
2.垃圾清理及垃圾外运</t>
  </si>
  <si>
    <t>2.1.1.30</t>
  </si>
  <si>
    <t>拆除卷帘门</t>
  </si>
  <si>
    <t>1.拆除原有卷帘门（包含卷帘门、电机、加固结构等）
2.垃圾清理及垃圾外运</t>
  </si>
  <si>
    <t>按设计图示尺寸面积计算以 m2计量，按拆除面积计算</t>
  </si>
  <si>
    <t>2.1.1.31</t>
  </si>
  <si>
    <t>拆除原有踢脚线</t>
  </si>
  <si>
    <t>1.拆除原有踢脚线
2.垃圾清理及垃圾外运</t>
  </si>
  <si>
    <t>利旧墙面踢脚线</t>
  </si>
  <si>
    <t>按拆除部位以延长米计算</t>
  </si>
  <si>
    <t>2.1.1.32</t>
  </si>
  <si>
    <t>拆除室内雨水管</t>
  </si>
  <si>
    <t>1.拆除室内雨水管道（保护性拆除）
2.垃圾清理及垃圾外运</t>
  </si>
  <si>
    <t>2.1.1.33</t>
  </si>
  <si>
    <t>幕墙钢框保护利旧及拆除幕墙玻璃</t>
  </si>
  <si>
    <t>1.原有幕墙玻璃拆除
2.原幕墙结构保护
3.垃圾清理及垃圾外运</t>
  </si>
  <si>
    <t>2.1.1.34</t>
  </si>
  <si>
    <t>拆除垃圾清理、清运（规格：5立方）</t>
  </si>
  <si>
    <t>分项工程垃圾清理折算系数*面积之和/5</t>
  </si>
  <si>
    <t>车</t>
  </si>
  <si>
    <t>2.1.1.35</t>
  </si>
  <si>
    <t>拆除垃圾清理、清运（规格：7立方）</t>
  </si>
  <si>
    <t>分项工程垃圾清理折算系数*面积之和/7</t>
  </si>
  <si>
    <t>补充项</t>
  </si>
  <si>
    <t>小  计</t>
  </si>
  <si>
    <t>2.1.2</t>
  </si>
  <si>
    <t>隔断工程</t>
  </si>
  <si>
    <t>2.1.2.01</t>
  </si>
  <si>
    <t>120mm厚双面双层石膏板隔墙</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</si>
  <si>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双面双层</t>
    </r>
    <r>
      <rPr>
        <sz val="10"/>
        <color rgb="FF000000"/>
        <rFont val="Calibri"/>
        <charset val="134"/>
      </rPr>
      <t>9</t>
    </r>
    <r>
      <rPr>
        <sz val="10"/>
        <color rgb="FF000000"/>
        <rFont val="宋体"/>
        <charset val="134"/>
      </rPr>
      <t>厘石膏板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</si>
  <si>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室内、室外装饰装修项目</t>
  </si>
  <si>
    <t>按设计图示尺寸以面积计算</t>
  </si>
  <si>
    <t>2.1.2.02</t>
  </si>
  <si>
    <t>120mm厚双面双层防水石膏板隔墙</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</si>
  <si>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双面双层</t>
    </r>
    <r>
      <rPr>
        <sz val="10"/>
        <color rgb="FF000000"/>
        <rFont val="Calibri"/>
        <charset val="134"/>
      </rPr>
      <t>9</t>
    </r>
    <r>
      <rPr>
        <sz val="10"/>
        <color rgb="FF000000"/>
        <rFont val="宋体"/>
        <charset val="134"/>
      </rPr>
      <t>厘防水石膏板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</si>
  <si>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按设计图示尺寸面积计算</t>
  </si>
  <si>
    <t>2.1.2.03</t>
  </si>
  <si>
    <t>100mm厚单面双层石膏板隔墙包管道或墙体，假天花标高：（管道、消防栓）</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</si>
  <si>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单面双层</t>
    </r>
    <r>
      <rPr>
        <sz val="10"/>
        <color rgb="FF000000"/>
        <rFont val="Calibri"/>
        <charset val="134"/>
      </rPr>
      <t>9</t>
    </r>
    <r>
      <rPr>
        <sz val="10"/>
        <color rgb="FF000000"/>
        <rFont val="宋体"/>
        <charset val="134"/>
      </rPr>
      <t>厘石膏板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</si>
  <si>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2.1.2.04</t>
  </si>
  <si>
    <t>100mm厚单面双层防水石膏板隔墙包管道或墙体，假天花标高：（管道、消防栓）</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</si>
  <si>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单面双层</t>
    </r>
    <r>
      <rPr>
        <sz val="10"/>
        <color rgb="FF000000"/>
        <rFont val="Calibri"/>
        <charset val="134"/>
      </rPr>
      <t>9</t>
    </r>
    <r>
      <rPr>
        <sz val="10"/>
        <color rgb="FF000000"/>
        <rFont val="宋体"/>
        <charset val="134"/>
      </rPr>
      <t>厘防水石膏板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</si>
  <si>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2.1.2.05</t>
  </si>
  <si>
    <t>100mm厚双面单层水泥压力板隔墙</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</si>
  <si>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双面单层</t>
    </r>
    <r>
      <rPr>
        <sz val="10"/>
        <color rgb="FF000000"/>
        <rFont val="Calibri"/>
        <charset val="134"/>
      </rPr>
      <t>12</t>
    </r>
    <r>
      <rPr>
        <sz val="10"/>
        <color rgb="FF000000"/>
        <rFont val="宋体"/>
        <charset val="134"/>
      </rPr>
      <t>厘水泥压力板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</si>
  <si>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2.1.2.06</t>
  </si>
  <si>
    <t>100mm厚单面单层水泥压力板板隔墙包管道或墙体，假天花标高：（管道、消防栓）</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</si>
  <si>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单面单层</t>
    </r>
    <r>
      <rPr>
        <sz val="10"/>
        <color rgb="FF000000"/>
        <rFont val="Calibri"/>
        <charset val="134"/>
      </rPr>
      <t>12</t>
    </r>
    <r>
      <rPr>
        <sz val="10"/>
        <color rgb="FF000000"/>
        <rFont val="宋体"/>
        <charset val="134"/>
      </rPr>
      <t>厘水泥压力板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</si>
  <si>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2.1.2.07</t>
  </si>
  <si>
    <t>120mm厚单面双层石膏板+单面双层水泥板隔墙</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</si>
  <si>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单面双层</t>
    </r>
    <r>
      <rPr>
        <sz val="10"/>
        <color rgb="FF000000"/>
        <rFont val="Calibri"/>
        <charset val="134"/>
      </rPr>
      <t>9</t>
    </r>
    <r>
      <rPr>
        <sz val="10"/>
        <color rgb="FF000000"/>
        <rFont val="宋体"/>
        <charset val="134"/>
      </rPr>
      <t>厘石膏板</t>
    </r>
    <r>
      <rPr>
        <sz val="10"/>
        <color rgb="FF000000"/>
        <rFont val="Calibri"/>
        <charset val="134"/>
      </rPr>
      <t>+</t>
    </r>
    <r>
      <rPr>
        <sz val="10"/>
        <color rgb="FF000000"/>
        <rFont val="宋体"/>
        <charset val="134"/>
      </rPr>
      <t>单面双层</t>
    </r>
    <r>
      <rPr>
        <sz val="10"/>
        <color rgb="FF000000"/>
        <rFont val="Calibri"/>
        <charset val="134"/>
      </rPr>
      <t>9</t>
    </r>
    <r>
      <rPr>
        <sz val="10"/>
        <color rgb="FF000000"/>
        <rFont val="宋体"/>
        <charset val="134"/>
      </rPr>
      <t>厘水泥板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</si>
  <si>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室内、室外装饰装修项目（无特殊原因不采用此项目，砌块墙优先选择）</t>
  </si>
  <si>
    <t>2.1.2.08</t>
  </si>
  <si>
    <t>120mm厚双面双层水泥压力板隔墙</t>
  </si>
  <si>
    <r>
      <rPr>
        <sz val="10"/>
        <color rgb="FF000000"/>
        <rFont val="Calibri"/>
        <charset val="134"/>
      </rPr>
      <t>1.75</t>
    </r>
    <r>
      <rPr>
        <sz val="10"/>
        <color rgb="FF000000"/>
        <rFont val="宋体"/>
        <charset val="134"/>
      </rPr>
      <t>轻钢龙骨</t>
    </r>
    <r>
      <rPr>
        <sz val="10"/>
        <color rgb="FF000000"/>
        <rFont val="Calibri"/>
        <charset val="134"/>
      </rPr>
      <t xml:space="preserve"> </t>
    </r>
    <r>
      <rPr>
        <sz val="10"/>
        <color rgb="FF000000"/>
        <rFont val="宋体"/>
        <charset val="134"/>
      </rPr>
      <t>间距</t>
    </r>
    <r>
      <rPr>
        <sz val="10"/>
        <color rgb="FF000000"/>
        <rFont val="Calibri"/>
        <charset val="134"/>
      </rPr>
      <t>400
2.</t>
    </r>
    <r>
      <rPr>
        <sz val="10"/>
        <color rgb="FF000000"/>
        <rFont val="宋体"/>
        <charset val="134"/>
      </rPr>
      <t>双面双层</t>
    </r>
    <r>
      <rPr>
        <sz val="10"/>
        <color rgb="FF000000"/>
        <rFont val="Calibri"/>
        <charset val="134"/>
      </rPr>
      <t>9</t>
    </r>
    <r>
      <rPr>
        <sz val="10"/>
        <color rgb="FF000000"/>
        <rFont val="宋体"/>
        <charset val="134"/>
      </rPr>
      <t>厘水泥压力板</t>
    </r>
    <r>
      <rPr>
        <sz val="10"/>
        <color rgb="FF000000"/>
        <rFont val="Calibri"/>
        <charset val="134"/>
      </rPr>
      <t xml:space="preserve"> </t>
    </r>
    <r>
      <rPr>
        <sz val="10"/>
        <color rgb="FF000000"/>
        <rFont val="宋体"/>
        <charset val="134"/>
      </rPr>
      <t>防锈螺钉固定</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</si>
  <si>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2.1.2.09</t>
  </si>
  <si>
    <t>100mm厚单面双层水泥压力板板隔墙包管道或墙体（管道、消防栓）</t>
  </si>
  <si>
    <t>1.75轻钢龙骨 间距400
2.单面双层9厘水泥压力板 防锈螺钉固定
3.内填50mm隔音岩棉，容重65kg/m3</t>
  </si>
  <si>
    <t>2.1.2.10</t>
  </si>
  <si>
    <t>在原有墙面 贴2层纸面石膏板
单面双层9mm厚石膏板 防锈螺钉固定</t>
  </si>
  <si>
    <t>1.原墙面修补双层纸面石膏板
2.防锈螺钉固定</t>
  </si>
  <si>
    <t>2.1.2.11</t>
  </si>
  <si>
    <t>20*40方钢管双层防水纸面石膏板</t>
  </si>
  <si>
    <t>1.20*40方钢龙骨
2.双面双层9厘防水石膏板，防锈螺钉固定
3.内填50mm隔音岩棉，容重65kg/m3</t>
  </si>
  <si>
    <t>2.1.2.12</t>
  </si>
  <si>
    <t>在原有墙面 贴2层水泥板
单面双层12mm厚水泥压力板 防锈螺钉固定</t>
  </si>
  <si>
    <t>1.原墙面修补双层水泥压力板
2.防锈螺钉固定</t>
  </si>
  <si>
    <t>2.1.2.13</t>
  </si>
  <si>
    <t>200mm厚加气混凝土砌块墙</t>
  </si>
  <si>
    <t>1.200厚砌块砖、地面200厚混凝土反梁，模板综合考虑
2.墙体内预埋搭接加强筋
3.门/窗洞处加槽钢加强框架
4.墙面挂防裂网、抹灰找平
*3米以上包括地梁、圈梁，构造柱按规范要求设立，模板综合考虑</t>
  </si>
  <si>
    <t>2.1.2.14</t>
  </si>
  <si>
    <t>150mm厚加气混凝土砌块墙</t>
  </si>
  <si>
    <t>1.150厚砌块砖、地面150厚混凝土反梁，模板综合考虑
2.墙体内预埋搭接加强筋
3.门/窗洞处加槽钢加强框架
4.墙面挂防裂网、抹灰找平
*3米以上包括地梁、圈梁，构造柱按规范要求设立，模板综合考虑</t>
  </si>
  <si>
    <t>2.1.2.15</t>
  </si>
  <si>
    <t>120mm厚加气混凝土砌块墙</t>
  </si>
  <si>
    <t>1.120厚砌块砖、地面120厚混凝土反梁，模板综合考虑
2.墙体内预埋搭接加强筋
3.门/窗洞处加槽钢加强框架
4.墙面挂防裂网、抹灰找平
*3米以上包括地梁、圈梁，构造柱按规范要求设立，模板综合考虑</t>
  </si>
  <si>
    <t>2.1.2.16</t>
  </si>
  <si>
    <t>120厚红机砖墙</t>
  </si>
  <si>
    <t>1.120厚红机砖、地面120厚混凝土反梁，模板综合考虑
2.墙体内预埋搭接加强筋
3.门/窗洞处加槽钢加强框架
4.墙面挂防裂网、抹灰找平
*3米以上包括地梁、圈梁，构造柱按规范要求设立，模板综合考虑</t>
  </si>
  <si>
    <t>2.1.2.17</t>
  </si>
  <si>
    <t>240厚红机砖墙</t>
  </si>
  <si>
    <t>1.240厚红机砖、地面240厚混凝土反梁，模板综合考虑
2.墙体内预埋搭接加强筋
3.门/窗洞处加槽钢加强框架
4.墙面挂防裂网、抹灰找平
*3米以上包括地梁、圈梁，构造柱按规范要求设立，模板综合考虑</t>
  </si>
  <si>
    <t>2.1.2.18</t>
  </si>
  <si>
    <t>原有玻璃隔断、门窗框氟碳喷漆</t>
  </si>
  <si>
    <t>1.原面层打磨
2.原子灰修补
3.氟碳喷涂
4.包含相关一切辅助工作内容</t>
  </si>
  <si>
    <t>按窗框设计图示尺寸延长米计算</t>
  </si>
  <si>
    <t>2.1.2.19</t>
  </si>
  <si>
    <t>提供及贴玻璃磨砂膜</t>
  </si>
  <si>
    <t>1.基层清理
2.提供及安装玻璃磨砂膜</t>
  </si>
  <si>
    <t>2.1.2.20</t>
  </si>
  <si>
    <t>方钢加固</t>
  </si>
  <si>
    <t>1.50*70，2mm厚镀锌方钢
2.间距3米布置一根竖向，横向间距3米，起始端及末端不布置</t>
  </si>
  <si>
    <t>轻钢龙骨石膏板隔墙墙体高度≥5m适用此项</t>
  </si>
  <si>
    <t>按设计图示尺寸延长米计算</t>
  </si>
  <si>
    <t>2.1.2.21</t>
  </si>
  <si>
    <t>金属框玻璃窗（防火等级：甲级）</t>
  </si>
  <si>
    <t>1.甲级防火玻璃窗
2.防火玻璃耐火≥2h</t>
  </si>
  <si>
    <t>2.1.2.22</t>
  </si>
  <si>
    <t>彩钢板隔墙（含超高费）</t>
  </si>
  <si>
    <t>1.型钢龙骨
2.双面封单层彩钢板厚度1mm
3.内填50mm隔音岩棉，容重65kg/m3</t>
  </si>
  <si>
    <t>2.1.2.23</t>
  </si>
  <si>
    <t>单面彩钢板隔墙（含超高费）</t>
  </si>
  <si>
    <t>1.型钢龙骨
2.单面封单层彩钢板</t>
  </si>
  <si>
    <t>2.1.2.24</t>
  </si>
  <si>
    <t>岩棉彩钢板隔墙（含超高费）</t>
  </si>
  <si>
    <t>1.成品岩棉彩钢板隔墙安装</t>
  </si>
  <si>
    <t>2.1.2.25</t>
  </si>
  <si>
    <t>提供及安装无框单层清玻璃隔断</t>
  </si>
  <si>
    <t>1.12mm厚钢化玻璃（普白）
2.配套五金及配件
3.与其相关的一切辅助工作</t>
  </si>
  <si>
    <t>室内装饰装修项目</t>
  </si>
  <si>
    <t>2.1.2.26</t>
  </si>
  <si>
    <t>提供及安装有框单层清玻璃隔断</t>
  </si>
  <si>
    <t>1.12mm厚钢化玻璃（普白）
2.配套五金及配件
3.有框 深灰色铝合金型材烤漆 40*80</t>
  </si>
  <si>
    <t>2.1.2.27</t>
  </si>
  <si>
    <t>1.15mm厚钢化玻璃（普白）
2.配套五金及配件
3.有框 深灰色铝合金型材烤漆 40*80</t>
  </si>
  <si>
    <t>室内装饰装修项目及外立面≤3米高外玻璃隔断</t>
  </si>
  <si>
    <t>2.1.2.28</t>
  </si>
  <si>
    <t>1.12mm厚钢化玻璃（超白）
2.配套五金及配件
3.与其相关的一切辅助工作</t>
  </si>
  <si>
    <t>2.1.2.29</t>
  </si>
  <si>
    <t>1.12mm厚钢化玻璃（超白）
2.配套五金及配件
3.有框深灰色铝合金型材烤漆 40*80</t>
  </si>
  <si>
    <t>2.1.2.30</t>
  </si>
  <si>
    <t>1.15mm厚钢化玻璃（超白）
2.配套五金及配件
3.有框 深灰色铝合金型材烤漆 40*80</t>
  </si>
  <si>
    <t>2.1.2.31</t>
  </si>
  <si>
    <t>单面单层阻燃板隔墙</t>
  </si>
  <si>
    <t>1.75轻钢龙骨
2.单层15厘阻燃板 防锈螺钉固定
3.内填50mm隔音岩棉，容重65kg/m3</t>
  </si>
  <si>
    <t>按设计图示尺寸以以面积计算</t>
  </si>
  <si>
    <t>2.1.2.32</t>
  </si>
  <si>
    <t>100mm厚单面单层石膏板隔墙</t>
  </si>
  <si>
    <t>1.75轻钢龙骨间距400
2.单面单层9厘石膏板 防锈螺钉固定
3.内填50mm隔音岩棉，容重65kg/m3</t>
  </si>
  <si>
    <t>2.1.2.33</t>
  </si>
  <si>
    <t>隔墙圆弧角加工制作（阴角弧长785mm）</t>
  </si>
  <si>
    <t>按设计图示尺寸以长度计算（从地面算至天花）</t>
  </si>
  <si>
    <t>2.1.2.34</t>
  </si>
  <si>
    <t>隔墙圆弧角加工制作（阳角弧长314mm）</t>
  </si>
  <si>
    <t>2.1.3</t>
  </si>
  <si>
    <t>地面工程</t>
  </si>
  <si>
    <t>2.1.3.01</t>
  </si>
  <si>
    <t>车间排水沟&amp;排水篦子</t>
  </si>
  <si>
    <r>
      <rPr>
        <sz val="10"/>
        <color rgb="FF000000"/>
        <rFont val="Calibri"/>
        <charset val="134"/>
      </rPr>
      <t>1.C20</t>
    </r>
    <r>
      <rPr>
        <sz val="10"/>
        <color rgb="FF000000"/>
        <rFont val="宋体"/>
        <charset val="134"/>
      </rPr>
      <t>混凝土基础，含</t>
    </r>
    <r>
      <rPr>
        <sz val="10"/>
        <color rgb="FF000000"/>
        <rFont val="Calibri"/>
        <charset val="134"/>
      </rPr>
      <t>L</t>
    </r>
    <r>
      <rPr>
        <sz val="10"/>
        <color rgb="FF000000"/>
        <rFont val="宋体"/>
        <charset val="134"/>
      </rPr>
      <t>型角铁</t>
    </r>
    <r>
      <rPr>
        <sz val="10"/>
        <color rgb="FF000000"/>
        <rFont val="Calibri"/>
        <charset val="134"/>
      </rPr>
      <t xml:space="preserve">
2.</t>
    </r>
    <r>
      <rPr>
        <sz val="10"/>
        <color rgb="FF000000"/>
        <rFont val="宋体"/>
        <charset val="134"/>
      </rPr>
      <t>树脂篦子，小孔</t>
    </r>
    <r>
      <rPr>
        <sz val="10"/>
        <color rgb="FF000000"/>
        <rFont val="Calibri"/>
        <charset val="134"/>
      </rPr>
      <t xml:space="preserve">
3.</t>
    </r>
    <r>
      <rPr>
        <sz val="10"/>
        <color rgb="FF000000"/>
        <rFont val="宋体"/>
        <charset val="134"/>
      </rPr>
      <t>地面开挖及回填</t>
    </r>
    <r>
      <rPr>
        <sz val="10"/>
        <color rgb="FF000000"/>
        <rFont val="Calibri"/>
        <charset val="134"/>
      </rPr>
      <t xml:space="preserve">
4.</t>
    </r>
    <r>
      <rPr>
        <sz val="10"/>
        <color rgb="FF000000"/>
        <rFont val="宋体"/>
        <charset val="134"/>
      </rPr>
      <t>基础宽</t>
    </r>
    <r>
      <rPr>
        <sz val="10"/>
        <color rgb="FF000000"/>
        <rFont val="Calibri"/>
        <charset val="134"/>
      </rPr>
      <t>1400mm</t>
    </r>
    <r>
      <rPr>
        <sz val="10"/>
        <color rgb="FF000000"/>
        <rFont val="宋体"/>
        <charset val="134"/>
      </rPr>
      <t>，篦子宽</t>
    </r>
    <r>
      <rPr>
        <sz val="10"/>
        <color rgb="FF000000"/>
        <rFont val="Calibri"/>
        <charset val="134"/>
      </rPr>
      <t>300mm</t>
    </r>
  </si>
  <si>
    <t>室内、室外车间及洗车区</t>
  </si>
  <si>
    <t>位置：车间</t>
  </si>
  <si>
    <t>2.1.3.02</t>
  </si>
  <si>
    <t>洗车工位活动盖板</t>
  </si>
  <si>
    <t>1.C20混凝土网格基础，含L型角铁
2.土方开挖及回填外运
3.树脂盖板，小孔</t>
  </si>
  <si>
    <t>2.1.3.03</t>
  </si>
  <si>
    <t>混凝土地面垫层</t>
  </si>
  <si>
    <t>1.地面清理
2.C20混凝土找平
3.包括一切所需的材料及工作</t>
  </si>
  <si>
    <t>室内装饰装修工程</t>
  </si>
  <si>
    <t>2.1.3.04</t>
  </si>
  <si>
    <t>陶粒混凝土地面垫层</t>
  </si>
  <si>
    <t>1.陶粒水泥砂浆找平
2.陶粒层及30mm厚水泥砂浆找平层
3.具体尺寸以现场实际高度为准,包括到综合单价内
4.包括一切所需的材料及工作</t>
  </si>
  <si>
    <t>2.1.3.05</t>
  </si>
  <si>
    <t>600x600地砖</t>
  </si>
  <si>
    <t>1.600*600地面瓷砖铺装（含切割、磨边、勾缝）
2.基层处理，粘结层
3.素水泥砂浆一道(内掺建筑胶）
4.1：2.5水泥砂浆找平层
5.原有地面机械刨铣，深度大于3公分
*包含消耗量，品牌：以品牌清单要求为准</t>
  </si>
  <si>
    <t>主材现按86元/㎡组价</t>
  </si>
  <si>
    <t>2.1.3.06</t>
  </si>
  <si>
    <r>
      <rPr>
        <sz val="10"/>
        <color rgb="FF000000"/>
        <rFont val="Calibri"/>
        <charset val="134"/>
      </rPr>
      <t>200x200</t>
    </r>
    <r>
      <rPr>
        <sz val="10"/>
        <color rgb="FF000000"/>
        <rFont val="宋体"/>
        <charset val="134"/>
      </rPr>
      <t>地砖</t>
    </r>
  </si>
  <si>
    <t>1.200*200地面瓷砖铺装（含切割、磨边、勾缝）
2.基层处理，粘结层
3.素水泥砂浆一道(内掺建筑胶）
4.1：2.5水泥砂浆找平层
5.原有地面机械刨铣，深度大于3公分
*包含消耗量，品牌：以品牌清单要求为准</t>
  </si>
  <si>
    <t>主材现按76元/㎡组价</t>
  </si>
  <si>
    <t>2.1.3.07</t>
  </si>
  <si>
    <r>
      <rPr>
        <sz val="10"/>
        <color rgb="FF000000"/>
        <rFont val="Calibri"/>
        <charset val="134"/>
      </rPr>
      <t>800*800</t>
    </r>
    <r>
      <rPr>
        <sz val="10"/>
        <color rgb="FF000000"/>
        <rFont val="宋体"/>
        <charset val="134"/>
      </rPr>
      <t>地砖</t>
    </r>
  </si>
  <si>
    <r>
      <rPr>
        <sz val="10"/>
        <color rgb="FF000000"/>
        <rFont val="Calibri"/>
        <charset val="134"/>
      </rPr>
      <t>1.800*800</t>
    </r>
    <r>
      <rPr>
        <sz val="10"/>
        <color rgb="FF000000"/>
        <rFont val="宋体"/>
        <charset val="134"/>
      </rPr>
      <t>地面瓷砖铺装（含切割、磨边、勾缝）</t>
    </r>
    <r>
      <rPr>
        <sz val="10"/>
        <color rgb="FF000000"/>
        <rFont val="Calibri"/>
        <charset val="134"/>
      </rPr>
      <t xml:space="preserve">
2.</t>
    </r>
    <r>
      <rPr>
        <sz val="10"/>
        <color rgb="FF000000"/>
        <rFont val="宋体"/>
        <charset val="134"/>
      </rPr>
      <t>基层处理，粘结层</t>
    </r>
    <r>
      <rPr>
        <sz val="10"/>
        <color rgb="FF000000"/>
        <rFont val="Calibri"/>
        <charset val="134"/>
      </rPr>
      <t xml:space="preserve">
3.</t>
    </r>
    <r>
      <rPr>
        <sz val="10"/>
        <color rgb="FF000000"/>
        <rFont val="宋体"/>
        <charset val="134"/>
      </rPr>
      <t>素水泥砂浆一道</t>
    </r>
    <r>
      <rPr>
        <sz val="10"/>
        <color rgb="FF000000"/>
        <rFont val="Calibri"/>
        <charset val="134"/>
      </rPr>
      <t>(</t>
    </r>
    <r>
      <rPr>
        <sz val="10"/>
        <color rgb="FF000000"/>
        <rFont val="宋体"/>
        <charset val="134"/>
      </rPr>
      <t>内掺建筑胶）</t>
    </r>
    <r>
      <rPr>
        <sz val="10"/>
        <color rgb="FF000000"/>
        <rFont val="Calibri"/>
        <charset val="134"/>
      </rPr>
      <t xml:space="preserve">
4.1</t>
    </r>
    <r>
      <rPr>
        <sz val="10"/>
        <color rgb="FF000000"/>
        <rFont val="宋体"/>
        <charset val="134"/>
      </rPr>
      <t>：</t>
    </r>
    <r>
      <rPr>
        <sz val="10"/>
        <color rgb="FF000000"/>
        <rFont val="Calibri"/>
        <charset val="134"/>
      </rPr>
      <t>2.5</t>
    </r>
    <r>
      <rPr>
        <sz val="10"/>
        <color rgb="FF000000"/>
        <rFont val="宋体"/>
        <charset val="134"/>
      </rPr>
      <t>水泥砂浆找平层</t>
    </r>
    <r>
      <rPr>
        <sz val="10"/>
        <color rgb="FF000000"/>
        <rFont val="Calibri"/>
        <charset val="134"/>
      </rPr>
      <t xml:space="preserve">
5.</t>
    </r>
    <r>
      <rPr>
        <sz val="10"/>
        <color rgb="FF000000"/>
        <rFont val="宋体"/>
        <charset val="134"/>
      </rPr>
      <t>原有地面机械刨铣，深度大于</t>
    </r>
    <r>
      <rPr>
        <sz val="10"/>
        <color rgb="FF000000"/>
        <rFont val="Calibri"/>
        <charset val="134"/>
      </rPr>
      <t>3</t>
    </r>
    <r>
      <rPr>
        <sz val="10"/>
        <color rgb="FF000000"/>
        <rFont val="宋体"/>
        <charset val="134"/>
      </rPr>
      <t>公分</t>
    </r>
    <r>
      <rPr>
        <sz val="10"/>
        <color rgb="FF000000"/>
        <rFont val="Calibri"/>
        <charset val="134"/>
      </rPr>
      <t xml:space="preserve">
*</t>
    </r>
    <r>
      <rPr>
        <sz val="10"/>
        <color rgb="FF000000"/>
        <rFont val="宋体"/>
        <charset val="134"/>
      </rPr>
      <t>包含消耗量，品牌：以品牌清单要求为准</t>
    </r>
    <r>
      <rPr>
        <sz val="10"/>
        <color rgb="FF000000"/>
        <rFont val="Calibri"/>
        <charset val="134"/>
      </rPr>
      <t xml:space="preserve">
</t>
    </r>
  </si>
  <si>
    <r>
      <rPr>
        <sz val="10"/>
        <color rgb="FF000000"/>
        <rFont val="宋体"/>
        <charset val="134"/>
      </rPr>
      <t>主材现按</t>
    </r>
    <r>
      <rPr>
        <sz val="10"/>
        <color rgb="FF000000"/>
        <rFont val="Calibri"/>
        <charset val="134"/>
      </rPr>
      <t>55.8</t>
    </r>
    <r>
      <rPr>
        <sz val="10"/>
        <color rgb="FF000000"/>
        <rFont val="宋体"/>
        <charset val="134"/>
      </rPr>
      <t>元</t>
    </r>
    <r>
      <rPr>
        <sz val="10"/>
        <color rgb="FF000000"/>
        <rFont val="Calibri"/>
        <charset val="134"/>
      </rPr>
      <t>/</t>
    </r>
    <r>
      <rPr>
        <sz val="10"/>
        <color rgb="FF000000"/>
        <rFont val="宋体"/>
        <charset val="134"/>
      </rPr>
      <t>㎡组价</t>
    </r>
  </si>
  <si>
    <t>2.1.3.08</t>
  </si>
  <si>
    <t>300x300地砖</t>
  </si>
  <si>
    <t>1.300*300地面瓷砖铺装（含切割、磨边、勾缝）
2.基层处理，粘结层
3.素水泥砂浆一道(内掺建筑胶）
4.1：2.5水泥砂浆找平层
5.原有地面机械刨铣，深度大于3公分
*包含消耗量，品牌：以品牌清单要求为准</t>
  </si>
  <si>
    <t>2.1.3.09</t>
  </si>
  <si>
    <t>900*900地砖</t>
  </si>
  <si>
    <t>1.900*900地面瓷砖铺装（含切割、磨边、勾缝）
2.基层处理，粘结层
3.素水泥砂浆一道(内掺建筑胶）
4.1：2.5水泥砂浆找平层
5.原有地面机械刨铣，深度大于3公分
*包含消耗量，品牌：以品牌清单要求为准</t>
  </si>
  <si>
    <t>2.1.3.10</t>
  </si>
  <si>
    <t>瓷砖美缝</t>
  </si>
  <si>
    <t>1.地面瓷砖缝清理
2.美缝剂
3.面层清理</t>
  </si>
  <si>
    <t>2.1.3.11</t>
  </si>
  <si>
    <t>楼梯地砖</t>
  </si>
  <si>
    <t>1.地面瓷砖铺装（含切割、磨边、勾缝）
2.基层处理，粘结层
3.素水泥砂浆一道(内掺建筑胶）
4.1：2.5水泥砂浆找平层
5.原有地面机械刨铣，深度大于3公分
6.含成品金属止滑条
*包含消耗量，品牌：以品牌清单要求为准</t>
  </si>
  <si>
    <t>室内、室外楼梯间</t>
  </si>
  <si>
    <t>2.1.3.12</t>
  </si>
  <si>
    <t>地面3mm环氧自流平连混凝土基层处理</t>
  </si>
  <si>
    <r>
      <rPr>
        <sz val="10"/>
        <color rgb="FF000000"/>
        <rFont val="Calibri"/>
        <charset val="134"/>
      </rPr>
      <t>1.</t>
    </r>
    <r>
      <rPr>
        <sz val="10"/>
        <color rgb="FF000000"/>
        <rFont val="宋体"/>
        <charset val="134"/>
      </rPr>
      <t>界面剂一道</t>
    </r>
    <r>
      <rPr>
        <sz val="10"/>
        <color rgb="FF000000"/>
        <rFont val="Calibri"/>
        <charset val="134"/>
      </rPr>
      <t xml:space="preserve">
2.20mm</t>
    </r>
    <r>
      <rPr>
        <sz val="10"/>
        <color rgb="FF000000"/>
        <rFont val="宋体"/>
        <charset val="134"/>
      </rPr>
      <t>厚</t>
    </r>
    <r>
      <rPr>
        <sz val="10"/>
        <color rgb="FF000000"/>
        <rFont val="Calibri"/>
        <charset val="134"/>
      </rPr>
      <t>C20</t>
    </r>
    <r>
      <rPr>
        <sz val="10"/>
        <color rgb="FF000000"/>
        <rFont val="宋体"/>
        <charset val="134"/>
      </rPr>
      <t>细石混凝土垫层，双向</t>
    </r>
    <r>
      <rPr>
        <sz val="10"/>
        <color rgb="FF000000"/>
        <rFont val="Calibri"/>
        <charset val="134"/>
      </rPr>
      <t>Φ6</t>
    </r>
    <r>
      <rPr>
        <sz val="10"/>
        <color rgb="FF000000"/>
        <rFont val="宋体"/>
        <charset val="134"/>
      </rPr>
      <t>钢筋</t>
    </r>
    <r>
      <rPr>
        <sz val="10"/>
        <color rgb="FF000000"/>
        <rFont val="Calibri"/>
        <charset val="134"/>
      </rPr>
      <t>@150
3.10mm</t>
    </r>
    <r>
      <rPr>
        <sz val="10"/>
        <color rgb="FF000000"/>
        <rFont val="宋体"/>
        <charset val="134"/>
      </rPr>
      <t>厚</t>
    </r>
    <r>
      <rPr>
        <sz val="10"/>
        <color rgb="FF000000"/>
        <rFont val="Calibri"/>
        <charset val="134"/>
      </rPr>
      <t>1</t>
    </r>
    <r>
      <rPr>
        <sz val="10"/>
        <color rgb="FF000000"/>
        <rFont val="宋体"/>
        <charset val="134"/>
      </rPr>
      <t>：</t>
    </r>
    <r>
      <rPr>
        <sz val="10"/>
        <color rgb="FF000000"/>
        <rFont val="Calibri"/>
        <charset val="134"/>
      </rPr>
      <t>3</t>
    </r>
    <r>
      <rPr>
        <sz val="10"/>
        <color rgb="FF000000"/>
        <rFont val="宋体"/>
        <charset val="134"/>
      </rPr>
      <t>水泥砂浆保护层</t>
    </r>
    <r>
      <rPr>
        <sz val="10"/>
        <color rgb="FF000000"/>
        <rFont val="Calibri"/>
        <charset val="134"/>
      </rPr>
      <t xml:space="preserve">
4.1.5mm</t>
    </r>
    <r>
      <rPr>
        <sz val="10"/>
        <color rgb="FF000000"/>
        <rFont val="宋体"/>
        <charset val="134"/>
      </rPr>
      <t>厚聚氨酯防水涂膜</t>
    </r>
    <r>
      <rPr>
        <sz val="10"/>
        <color rgb="FF000000"/>
        <rFont val="Calibri"/>
        <charset val="134"/>
      </rPr>
      <t xml:space="preserve">
5.</t>
    </r>
    <r>
      <rPr>
        <sz val="10"/>
        <color rgb="FF000000"/>
        <rFont val="宋体"/>
        <charset val="134"/>
      </rPr>
      <t>自流平界面剂</t>
    </r>
    <r>
      <rPr>
        <sz val="10"/>
        <color rgb="FF000000"/>
        <rFont val="Calibri"/>
        <charset val="134"/>
      </rPr>
      <t xml:space="preserve">
6.</t>
    </r>
    <r>
      <rPr>
        <sz val="10"/>
        <color rgb="FF000000"/>
        <rFont val="宋体"/>
        <charset val="134"/>
      </rPr>
      <t>水泥基自流平砂浆层</t>
    </r>
    <r>
      <rPr>
        <sz val="10"/>
        <color rgb="FF000000"/>
        <rFont val="Calibri"/>
        <charset val="134"/>
      </rPr>
      <t xml:space="preserve">
7.</t>
    </r>
    <r>
      <rPr>
        <sz val="10"/>
        <color rgb="FF000000"/>
        <rFont val="宋体"/>
        <charset val="134"/>
      </rPr>
      <t>底涂层</t>
    </r>
    <r>
      <rPr>
        <sz val="10"/>
        <color rgb="FF000000"/>
        <rFont val="Calibri"/>
        <charset val="134"/>
      </rPr>
      <t>+3mm</t>
    </r>
    <r>
      <rPr>
        <sz val="10"/>
        <color rgb="FF000000"/>
        <rFont val="宋体"/>
        <charset val="134"/>
      </rPr>
      <t>厚环氧树脂深灰色自流平</t>
    </r>
    <r>
      <rPr>
        <sz val="10"/>
        <color rgb="FF000000"/>
        <rFont val="Calibri"/>
        <charset val="134"/>
      </rPr>
      <t>+</t>
    </r>
    <r>
      <rPr>
        <sz val="10"/>
        <color rgb="FF000000"/>
        <rFont val="宋体"/>
        <charset val="134"/>
      </rPr>
      <t>超耐磨面层；半哑光无高亮反光；保证完成后地面不会与轮胎产生化学反应印记；不开裂；不脱层；</t>
    </r>
  </si>
  <si>
    <t>2.1.3.13</t>
  </si>
  <si>
    <t>地面3mm环氧自流平</t>
  </si>
  <si>
    <r>
      <rPr>
        <sz val="10"/>
        <color rgb="FF000000"/>
        <rFont val="Calibri"/>
        <charset val="134"/>
      </rPr>
      <t>1.</t>
    </r>
    <r>
      <rPr>
        <sz val="10"/>
        <color rgb="FF000000"/>
        <rFont val="宋体"/>
        <charset val="134"/>
      </rPr>
      <t>自流平界面剂</t>
    </r>
    <r>
      <rPr>
        <sz val="10"/>
        <color rgb="FF000000"/>
        <rFont val="Calibri"/>
        <charset val="134"/>
      </rPr>
      <t xml:space="preserve">
2</t>
    </r>
    <r>
      <rPr>
        <sz val="10"/>
        <color rgb="FF000000"/>
        <rFont val="宋体"/>
        <charset val="134"/>
      </rPr>
      <t>水泥基自流平砂浆层</t>
    </r>
    <r>
      <rPr>
        <sz val="10"/>
        <color rgb="FF000000"/>
        <rFont val="Calibri"/>
        <charset val="134"/>
      </rPr>
      <t xml:space="preserve">
3.</t>
    </r>
    <r>
      <rPr>
        <sz val="10"/>
        <color rgb="FF000000"/>
        <rFont val="宋体"/>
        <charset val="134"/>
      </rPr>
      <t>底涂层</t>
    </r>
    <r>
      <rPr>
        <sz val="10"/>
        <color rgb="FF000000"/>
        <rFont val="Calibri"/>
        <charset val="134"/>
      </rPr>
      <t>+3mm</t>
    </r>
    <r>
      <rPr>
        <sz val="10"/>
        <color rgb="FF000000"/>
        <rFont val="宋体"/>
        <charset val="134"/>
      </rPr>
      <t>厚环氧树脂深灰色自流平</t>
    </r>
    <r>
      <rPr>
        <sz val="10"/>
        <color rgb="FF000000"/>
        <rFont val="Calibri"/>
        <charset val="134"/>
      </rPr>
      <t>+</t>
    </r>
    <r>
      <rPr>
        <sz val="10"/>
        <color rgb="FF000000"/>
        <rFont val="宋体"/>
        <charset val="134"/>
      </rPr>
      <t>超耐磨面层；</t>
    </r>
    <r>
      <rPr>
        <sz val="10"/>
        <color rgb="FF000000"/>
        <rFont val="Calibri"/>
        <charset val="134"/>
      </rPr>
      <t xml:space="preserve">
4.</t>
    </r>
    <r>
      <rPr>
        <sz val="10"/>
        <color rgb="FF000000"/>
        <rFont val="宋体"/>
        <charset val="134"/>
      </rPr>
      <t>半哑光无高亮反光；</t>
    </r>
    <r>
      <rPr>
        <sz val="10"/>
        <color rgb="FF000000"/>
        <rFont val="Calibri"/>
        <charset val="134"/>
      </rPr>
      <t xml:space="preserve">
5.</t>
    </r>
    <r>
      <rPr>
        <sz val="10"/>
        <color rgb="FF000000"/>
        <rFont val="宋体"/>
        <charset val="134"/>
      </rPr>
      <t>保证完成后地面不会与轮胎产生化学反应印记；</t>
    </r>
    <r>
      <rPr>
        <sz val="10"/>
        <color rgb="FF000000"/>
        <rFont val="Calibri"/>
        <charset val="134"/>
      </rPr>
      <t xml:space="preserve">
6.</t>
    </r>
    <r>
      <rPr>
        <sz val="10"/>
        <color rgb="FF000000"/>
        <rFont val="宋体"/>
        <charset val="134"/>
      </rPr>
      <t>不开裂；不脱层；</t>
    </r>
  </si>
  <si>
    <t>2.1.3.14</t>
  </si>
  <si>
    <t>1.原地面打磨找平
2.地面清理修补
3.底涂层+3mm厚环氧树脂深灰色自流平
4.半哑光无高亮反光
5.保证完成后地面不会与轮胎产生化学反应印记
6.不开裂；不脱层；（含超耐磨面层）</t>
  </si>
  <si>
    <t>2.1.3.15</t>
  </si>
  <si>
    <t>机房防静电架空地板</t>
  </si>
  <si>
    <t>1.基层处理
2.地面防尘漆
3.防静电架空地板</t>
  </si>
  <si>
    <t>IT机房</t>
  </si>
  <si>
    <t>2.1.3.16</t>
  </si>
  <si>
    <t>地面铺贴500*500地毯</t>
  </si>
  <si>
    <t>1.地面基层处理
2.地面涂刷界面剂
3.铺贴胶片
4.500*500地毯</t>
  </si>
  <si>
    <t>2.1.3.17</t>
  </si>
  <si>
    <t>楼梯地毯</t>
  </si>
  <si>
    <t>1.500*500地面地毯铺装（含收边处理、胶垫、成品防滑条）
*包含消耗量，品牌：以品牌清单要求为准</t>
  </si>
  <si>
    <t>2.1.3.18</t>
  </si>
  <si>
    <t>楼梯防滑条</t>
  </si>
  <si>
    <t>1.成品防滑条</t>
  </si>
  <si>
    <t>2.1.3.19</t>
  </si>
  <si>
    <t>地面防水</t>
  </si>
  <si>
    <t>1.从门口处至地漏找1％的坡，随打随抹平（防水找平层）
2.1.5厚聚氨酯防水涂膜
3.聚合物水泥砂浆两道防水保护层      
4.24H闭水试验</t>
  </si>
  <si>
    <t>卫生间、淋浴室、洗车房、车间排水沟</t>
  </si>
  <si>
    <t xml:space="preserve">按设计图示尺寸面积计算
</t>
  </si>
  <si>
    <t>2.1.3.20</t>
  </si>
  <si>
    <t>停车位划线、数字</t>
  </si>
  <si>
    <t>1.基层清理
2.150mm宽白色热融漆划线；
3.含白色数字编号、标识等，按公司规范字体；
4.一套橡胶车档（含安装）</t>
  </si>
  <si>
    <t>按设计图示数量计算</t>
  </si>
  <si>
    <t>车位</t>
  </si>
  <si>
    <t>2.1.3.21</t>
  </si>
  <si>
    <t>室外踏步</t>
  </si>
  <si>
    <t>1.面层3cm厚毛面花岗岩
2.150厚C25钢筋混凝土基层（含基层开挖）</t>
  </si>
  <si>
    <t>室外装饰装修项目</t>
  </si>
  <si>
    <t>按水平投影面积计算</t>
  </si>
  <si>
    <t>2.1.3.22</t>
  </si>
  <si>
    <t>室外坡道</t>
  </si>
  <si>
    <t>1.混凝土面层（含防滑处理）
2.150厚C25钢筋混凝土基层（含基层开挖）</t>
  </si>
  <si>
    <t>2.1.3.23</t>
  </si>
  <si>
    <t>2.1.3.24</t>
  </si>
  <si>
    <t>入口处蹭脚垫</t>
  </si>
  <si>
    <t>1.嵌入式铝合金地垫； 
2.3mm宽金属收边条，尼龙+铝合金）
3.混凝土基础
4.含不锈钢边、护角</t>
  </si>
  <si>
    <t>2.1.3.25</t>
  </si>
  <si>
    <t>卫生间混凝土砌筑高台250高</t>
  </si>
  <si>
    <t>1.基层处理
2.陶粒混凝土250厚
3.水泥砂浆找平</t>
  </si>
  <si>
    <t>2.1.3.26</t>
  </si>
  <si>
    <t>卫生间地面开挖，深度：300高</t>
  </si>
  <si>
    <t>2.1.3.27</t>
  </si>
  <si>
    <t>淋浴间挡水台</t>
  </si>
  <si>
    <t>1.基层处理
2.混凝土基层
3.聚氨酯防水
3.同淋浴间地面瓷砖</t>
  </si>
  <si>
    <t>淋浴间、卫生间</t>
  </si>
  <si>
    <t>2.1.3.28</t>
  </si>
  <si>
    <t>过门石</t>
  </si>
  <si>
    <t>1.地面瓷砖铺装（含切割、磨边、勾缝）
2.基层处理，2cm厚粘结层
3.素水泥砂浆一道(内掺建筑胶）
4.2cm厚1：2.5水泥砂浆找平层
5.原有地面机械刨铣，深度大于3公分，整体做法5公分
*包含消耗量，品牌：以品牌清单要求为准</t>
  </si>
  <si>
    <t>2.1.3.29</t>
  </si>
  <si>
    <t>PDI工位地沟防护网</t>
  </si>
  <si>
    <t>2.1.3.30</t>
  </si>
  <si>
    <t>交付大厅地面工位划线（白色热融漆划线）
（1）地面白色车位线200mm宽</t>
  </si>
  <si>
    <t>2.1.3.31</t>
  </si>
  <si>
    <t>地面基层竹胶板（钢结构基层上铺设）</t>
  </si>
  <si>
    <t>1.地面清理
2.地面满铺竹胶板</t>
  </si>
  <si>
    <t>2.1.3.32</t>
  </si>
  <si>
    <t>地面实心不锈钢条收口（3mm厚）</t>
  </si>
  <si>
    <t>2.1.3.33</t>
  </si>
  <si>
    <t>换排水沟上树脂篦子（小孔）盖板</t>
  </si>
  <si>
    <t>1.原有排水沟修整清理
2.拆除原有排水篦子盖板
3.提供安装树脂篦子（小孔）</t>
  </si>
  <si>
    <t>2.1.3.34</t>
  </si>
  <si>
    <t>3：7灰土回填
1、夯实系数≥95</t>
  </si>
  <si>
    <t>1.3:7灰土回填
2.夯实系数≥95</t>
  </si>
  <si>
    <t>按设计图示尺寸体积计算</t>
  </si>
  <si>
    <t>2.1.3.35</t>
  </si>
  <si>
    <t>素土回填
1、夯实系数≥95</t>
  </si>
  <si>
    <t>1.素土回填
2.夯实系数≥95</t>
  </si>
  <si>
    <t>2.1.3.36</t>
  </si>
  <si>
    <t>胶地板地面</t>
  </si>
  <si>
    <t>1、自流平找平
2、防滑胶地板
3、耐磨层厚度：卷材0.35mm，片材0.25mm</t>
  </si>
  <si>
    <t>2.1.3.37</t>
  </si>
  <si>
    <t>原洗车房地垫（原有地面找平后铺贴）
(1)树脂盖板，小孔</t>
  </si>
  <si>
    <t>1.原洗车房地垫拆除
2.原有基础修补找平
3.树脂篦子（小孔）供应安装</t>
  </si>
  <si>
    <t>2.1.3.38</t>
  </si>
  <si>
    <t>危险品库房地面导油槽</t>
  </si>
  <si>
    <t>1.混凝土地面导油槽</t>
  </si>
  <si>
    <t>2.1.3.39</t>
  </si>
  <si>
    <t>原有排水篦子盖板拆除</t>
  </si>
  <si>
    <t>1.拆除原有排水篦子
2.垃圾清理及垃圾外运</t>
  </si>
  <si>
    <t>2.1.3.40</t>
  </si>
  <si>
    <t>局部地面瓷砖修补</t>
  </si>
  <si>
    <t>1.局部地面瓷砖拆除
2.瓷砖专用粘结剂
3.修补瓷砖面层
4.切割、磨边、勾缝
5.垃圾清理及垃圾外运</t>
  </si>
  <si>
    <t>2.1.3.41</t>
  </si>
  <si>
    <t>交付大厅地砖</t>
  </si>
  <si>
    <t>2.1.3.42</t>
  </si>
  <si>
    <t>灰色过门石连基层处理</t>
  </si>
  <si>
    <t>1.灰色过门石铺装（含切割、磨边、勾缝）
2.素水泥砂浆一道(内掺建筑胶）
3.水泥砂浆粘结层
4.包含消耗量</t>
  </si>
  <si>
    <t>2.1.3.43</t>
  </si>
  <si>
    <t>原地面打磨，面刷两遍透明地固</t>
  </si>
  <si>
    <t>2.1.3.44</t>
  </si>
  <si>
    <t>1.C20混凝土基础，含L型角铁
2.树脂篦子，小孔
3.地面开挖及回填
4.基础宽800mm，篦子宽200mm</t>
  </si>
  <si>
    <t>2.1.3.45</t>
  </si>
  <si>
    <t>1.C20混凝土基础，含L型角铁
2.树脂篦子，小孔
3.地面开挖及回填
4.基础宽800mm，篦子宽300mm</t>
  </si>
  <si>
    <t>位置：洗车区</t>
  </si>
  <si>
    <t>2.1.4</t>
  </si>
  <si>
    <t>天花工程</t>
  </si>
  <si>
    <t>2.1.4.01</t>
  </si>
  <si>
    <t>裸顶喷涂料</t>
  </si>
  <si>
    <r>
      <rPr>
        <sz val="10"/>
        <color rgb="FF000000"/>
        <rFont val="Calibri"/>
        <charset val="134"/>
      </rPr>
      <t>1.</t>
    </r>
    <r>
      <rPr>
        <sz val="10"/>
        <color rgb="FF000000"/>
        <rFont val="宋体"/>
        <charset val="134"/>
      </rPr>
      <t>白色乳胶漆，找补腻子</t>
    </r>
    <r>
      <rPr>
        <sz val="10"/>
        <color rgb="FF000000"/>
        <rFont val="Calibri"/>
        <charset val="134"/>
      </rPr>
      <t xml:space="preserve">
2.</t>
    </r>
    <r>
      <rPr>
        <sz val="10"/>
        <color rgb="FF000000"/>
        <rFont val="宋体"/>
        <charset val="134"/>
      </rPr>
      <t>管线、设备表面全部喷涂</t>
    </r>
    <r>
      <rPr>
        <sz val="10"/>
        <color rgb="FF000000"/>
        <rFont val="Calibri"/>
        <charset val="134"/>
      </rPr>
      <t xml:space="preserve">
3.</t>
    </r>
    <r>
      <rPr>
        <sz val="10"/>
        <color rgb="FF000000"/>
        <rFont val="宋体"/>
        <charset val="134"/>
      </rPr>
      <t>原基础层修补</t>
    </r>
  </si>
  <si>
    <t>按投影面积计算</t>
  </si>
  <si>
    <t>2.1.4.02</t>
  </si>
  <si>
    <r>
      <rPr>
        <sz val="10"/>
        <color rgb="FF000000"/>
        <rFont val="Calibri"/>
        <charset val="134"/>
      </rPr>
      <t>1.</t>
    </r>
    <r>
      <rPr>
        <sz val="10"/>
        <color rgb="FF000000"/>
        <rFont val="宋体"/>
        <charset val="134"/>
      </rPr>
      <t>黑</t>
    </r>
    <r>
      <rPr>
        <sz val="10"/>
        <color rgb="FF000000"/>
        <rFont val="Calibri"/>
        <charset val="134"/>
      </rPr>
      <t>/</t>
    </r>
    <r>
      <rPr>
        <sz val="10"/>
        <color rgb="FF000000"/>
        <rFont val="宋体"/>
        <charset val="134"/>
      </rPr>
      <t>灰色乳胶漆，找补腻子</t>
    </r>
    <r>
      <rPr>
        <sz val="10"/>
        <color rgb="FF000000"/>
        <rFont val="Calibri"/>
        <charset val="134"/>
      </rPr>
      <t xml:space="preserve">
2.</t>
    </r>
    <r>
      <rPr>
        <sz val="10"/>
        <color rgb="FF000000"/>
        <rFont val="宋体"/>
        <charset val="134"/>
      </rPr>
      <t>管线、设备表面全部喷涂</t>
    </r>
    <r>
      <rPr>
        <sz val="10"/>
        <color rgb="FF000000"/>
        <rFont val="Calibri"/>
        <charset val="134"/>
      </rPr>
      <t xml:space="preserve">
3.</t>
    </r>
    <r>
      <rPr>
        <sz val="10"/>
        <color rgb="FF000000"/>
        <rFont val="宋体"/>
        <charset val="134"/>
      </rPr>
      <t>原基础层修补</t>
    </r>
  </si>
  <si>
    <t>2.1.4.03</t>
  </si>
  <si>
    <t>轻钢龙骨双层石膏板吊顶</t>
  </si>
  <si>
    <t>1.直径8钢筋吊杆，中距横向≤1200，纵向≤1100
2.U型轻钢主龙骨CB50*20，中距≤1200
3.9.5mm双层石膏板，表面刮腻子、刷白色防水乳胶漆</t>
  </si>
  <si>
    <t>2.1.4.04</t>
  </si>
  <si>
    <t>轻钢龙骨双层防水石膏板吊顶</t>
  </si>
  <si>
    <t>1.直径8钢筋吊杆，中距横向≤1200，纵向≤1100
2.U型轻钢主龙骨CB50*20，中距≤1200
3.9.5mm双层防水石膏板，表面刮腻子、刷白色防水乳胶漆</t>
  </si>
  <si>
    <t>卫生间</t>
  </si>
  <si>
    <t>2.1.4.05</t>
  </si>
  <si>
    <t>轻钢龙骨矿棉板吊顶</t>
  </si>
  <si>
    <t>1.直径8钢筋吊杆，中距横向≤1200，纵向≤1100
2.U型轻钢主龙骨CB50*20，中距≤1200
3.矿棉板与龙骨固定</t>
  </si>
  <si>
    <t>办公区、辅房</t>
  </si>
  <si>
    <t>2.1.4.06</t>
  </si>
  <si>
    <t>天花铝扣板300mm*300mm</t>
  </si>
  <si>
    <t>1.10厚镀锌低碳钢丝吊杆，双向中距≤1200，吊杆上部与檩条固定      
2.与暗架式配套的专用上层主龙骨。间距≤1200，用吊件与钢筋吊杆连接后找平             
3.与铝合金方板配套的专用下层副龙骨连接，间距≤600   
4.铝扣板与配套专用龙骨固定</t>
  </si>
  <si>
    <t>淋浴室、卫生间</t>
  </si>
  <si>
    <t>2.1.4.07</t>
  </si>
  <si>
    <t>石膏板暗藏式检修口</t>
  </si>
  <si>
    <t>1.规格：600mm*600mm</t>
  </si>
  <si>
    <t>2.1.4.08</t>
  </si>
  <si>
    <t>条形灯上方镀锌方管灯架</t>
  </si>
  <si>
    <t>1.方钢规格50mm*50mm
2.方钢厚度3mm
3.所有电线走方钢管内
4.镀锌方钢同天花颜色</t>
  </si>
  <si>
    <t>2.1.4.09</t>
  </si>
  <si>
    <t>天花反支撑</t>
  </si>
  <si>
    <t>板底至吊顶高度≥1.5m＜2m
按设计图示尺寸面积计算</t>
  </si>
  <si>
    <t>2.1.4.10</t>
  </si>
  <si>
    <t>天花钢结构转换层</t>
  </si>
  <si>
    <t>1.型材规格50*50角钢</t>
  </si>
  <si>
    <t>板底至吊顶高度＞2m
按设计图示尺寸面积计算</t>
  </si>
  <si>
    <t>2.1.4.11</t>
  </si>
  <si>
    <t>窗帘盒</t>
  </si>
  <si>
    <t>1.窗帘盒材质、规格:18mm厚防火阻燃板，9.5mm厚纸面石膏板
2.防护材料种类:木基层作三防处理，石膏板表面刷白色防水乳胶漆
3.其他:满足设计要求及施工规范</t>
  </si>
  <si>
    <t>2.1.4.12</t>
  </si>
  <si>
    <t>供应及安装半遮光卷帘</t>
  </si>
  <si>
    <t>1.成品半遮光卷帘供应及安装</t>
  </si>
  <si>
    <t>2.1.4.13</t>
  </si>
  <si>
    <t>提供及安装电动半遮光卷帘</t>
  </si>
  <si>
    <t>1.成品电动半遮光卷帘供应及安装</t>
  </si>
  <si>
    <t>2.1.4.14</t>
  </si>
  <si>
    <t>天花石膏板面白色乳胶漆</t>
  </si>
  <si>
    <t>1.顶面基层刮腻子、打砂纸处理等
2.表面刷两遍底漆、三遍白色面漆</t>
  </si>
  <si>
    <t>原有石膏板天花乳胶漆翻新</t>
  </si>
  <si>
    <t>2.1.4.15</t>
  </si>
  <si>
    <t>客休、交付大厅吊顶条形灯附加龙骨</t>
  </si>
  <si>
    <t>条形灯、磁吸灯等</t>
  </si>
  <si>
    <t>2.1.4.16</t>
  </si>
  <si>
    <t>彩钢板屋顶</t>
  </si>
  <si>
    <t>2.1.4.17</t>
  </si>
  <si>
    <t>天花铝扣板600mm*600mm</t>
  </si>
  <si>
    <t>卫生间、淋浴室</t>
  </si>
  <si>
    <t>2.1.4.18</t>
  </si>
  <si>
    <t>天花磁吸灯预埋轨道</t>
  </si>
  <si>
    <t>1.轻钢龙骨C50@&lt;=1200加固
2.双层9.5mm纸面石膏板基层
3.面层2遍腻子2遍白色无机涂料
4.规格：50mm*50mm
5.成品磁吸灯轨道供应安装</t>
  </si>
  <si>
    <t>2.1.4.19</t>
  </si>
  <si>
    <t>天花铝格栅吊顶</t>
  </si>
  <si>
    <t>1.直径8钢筋吊杆，中距横向≦1200纵向≦1100
2.U型轻钢主龙骨CB50*20，中距≦1200
3.50mm*100mm铝格栅
4.安装间距100mm</t>
  </si>
  <si>
    <t>2.1.4.20</t>
  </si>
  <si>
    <t>原有顶面新做单层石膏板面刷乳胶漆</t>
  </si>
  <si>
    <t>1、原有石膏板顶面封单层石膏板，填补原有叠级吊顶
2.面层2遍腻子3遍乳胶漆</t>
  </si>
  <si>
    <t>2.1.4.21</t>
  </si>
  <si>
    <t>维修工位气鼓吊架</t>
  </si>
  <si>
    <t>1.100*100方钢结构天花固定
2.40角钢斜支撑
3.具体尺寸以现场设备要求为准</t>
  </si>
  <si>
    <t>套</t>
  </si>
  <si>
    <t>2.1.4.22</t>
  </si>
  <si>
    <t>维修工位尾排吊架</t>
  </si>
  <si>
    <t>1.40*40方钢结构天花固定
2.100*100*8钢板底座
3.具体尺寸以现场设备要求为准</t>
  </si>
  <si>
    <t>2.1.4.23</t>
  </si>
  <si>
    <t>修补筒灯孔</t>
  </si>
  <si>
    <t>1.轻钢龙骨加固
2.石膏板修补
3.面层2遍腻子3遍乳胶漆</t>
  </si>
  <si>
    <t>2.1.4.24</t>
  </si>
  <si>
    <t>石膏板天花灯槽（不含灯具）</t>
  </si>
  <si>
    <t>1.直行灯槽
2.含龙骨、立面封板、石膏板、乳胶漆</t>
  </si>
  <si>
    <t>按设计图示尺寸以延长米计算（不论宽度）</t>
  </si>
  <si>
    <t>2.1.4.25</t>
  </si>
  <si>
    <t>顶面铝合金收边条</t>
  </si>
  <si>
    <t>1.铝合金收边条10mm*10mm</t>
  </si>
  <si>
    <t>按设计图示尺寸以延长米计算</t>
  </si>
  <si>
    <t>2.1.4.26</t>
  </si>
  <si>
    <t>交付大厅石膏板天花暗藏灯槽</t>
  </si>
  <si>
    <t>1.暗藏灯槽
2.含龙骨、立面封板、石膏板、乳胶漆</t>
  </si>
  <si>
    <t>2.1.4.27</t>
  </si>
  <si>
    <t>单层彩钢板天花/隔墙（不含龙骨）</t>
  </si>
  <si>
    <t>2.1.5</t>
  </si>
  <si>
    <t>墙面工程</t>
  </si>
  <si>
    <t>2.1.5.01</t>
  </si>
  <si>
    <t>白色乳胶漆</t>
  </si>
  <si>
    <t>1.墙面基层处理
2.墙面基层2遍腻子、砂纸打磨
3.刷两遍底漆、三遍白色面漆</t>
  </si>
  <si>
    <t>2.1.5.02</t>
  </si>
  <si>
    <t>灰色乳胶漆</t>
  </si>
  <si>
    <t>1.墙面基层处理
2.墙面基层2遍腻子、砂纸打磨
3.刷两遍底漆、三遍彩色面漆</t>
  </si>
  <si>
    <t>2.1.5.03</t>
  </si>
  <si>
    <t>原有墙面翻新处理</t>
  </si>
  <si>
    <t>1.原有墙面面层乳胶漆打磨处理至原有腻子层
2.墙面局部修补
3.粉刷乳胶漆2遍</t>
  </si>
  <si>
    <t>2.1.5.04</t>
  </si>
  <si>
    <t>200*200灰色墙砖</t>
  </si>
  <si>
    <t>1.200*200地面瓷砖铺装（含切割、磨边、勾缝）
2.基层处理，表面拉毛
3.素水泥砂浆一道(内掺建筑胶）
4.水泥砂浆粘结层
5.整体做法2公分
*包含消耗量，品牌：以品牌清单要求为准</t>
  </si>
  <si>
    <t>2.1.5.05</t>
  </si>
  <si>
    <t>200*200灰色墙砖(减配砖）</t>
  </si>
  <si>
    <t>2.1.5.06</t>
  </si>
  <si>
    <t>300*600灰色墙砖</t>
  </si>
  <si>
    <t>1.300*600地面瓷砖铺装（含切割、磨边、勾缝）
2.基层处理，表面拉毛
3.素水泥砂浆一道(内掺建筑胶）
4.水泥砂浆粘结层
5.整体做法2公分
*包含消耗量，品牌：以品牌清单要求为准</t>
  </si>
  <si>
    <t>2.1.5.07</t>
  </si>
  <si>
    <t>8厘深灰色超白背漆玻璃</t>
  </si>
  <si>
    <t>1.墙面基层处理
2.阻燃板基层
3.8mm深灰色超白钢化背漆玻璃</t>
  </si>
  <si>
    <t>2.1.5.08</t>
  </si>
  <si>
    <t>明装成品金属踢脚线</t>
  </si>
  <si>
    <t>1.基层清理
2.50mmH成品金属踢脚线</t>
  </si>
  <si>
    <t>2.1.5.09</t>
  </si>
  <si>
    <t>暗装成品金属踢脚线</t>
  </si>
  <si>
    <t>2.1.5.10</t>
  </si>
  <si>
    <t>墙面防水</t>
  </si>
  <si>
    <t>1.防水找平层
2.1.5厚聚氨酯防水涂膜
3.聚合物水泥砂浆两道防水保护层</t>
  </si>
  <si>
    <t>卫生间、淋浴间、洗车房</t>
  </si>
  <si>
    <t>按设计图示尺寸面积计算
卫生间上返300mm，洗车区、淋浴室上返1800mm，洗手台上返1500mm，</t>
  </si>
  <si>
    <t>2.1.5.11</t>
  </si>
  <si>
    <t>柱面白色氟碳喷漆</t>
  </si>
  <si>
    <t>1.基层处理
2.基层防锈处理
3.面层氟碳喷漆</t>
  </si>
  <si>
    <t>2.1.5.12</t>
  </si>
  <si>
    <t>原有墙、柱面白色油漆</t>
  </si>
  <si>
    <t>1.基层处理
2.基层防锈处理
3.面层油漆</t>
  </si>
  <si>
    <t>2.1.5.13</t>
  </si>
  <si>
    <t>200*200墙砖金属烤漆收边条</t>
  </si>
  <si>
    <t>1.基层处理
2.金属烤漆收边条</t>
  </si>
  <si>
    <t>2.1.5.14</t>
  </si>
  <si>
    <t>墙体与玻璃幕墙交界处封铝塑板</t>
  </si>
  <si>
    <t>1.钢架龙骨
2.阻燃板基层
3.铝塑板面层</t>
  </si>
  <si>
    <t>2.1.5.15</t>
  </si>
  <si>
    <t>水泥板墙面挂网水泥砂浆粉刷</t>
  </si>
  <si>
    <t>1.墙面清理
2.抹灰面挂钢丝网
3.墙面抹灰</t>
  </si>
  <si>
    <t>2.1.5.16</t>
  </si>
  <si>
    <t>楼梯两侧包封不锈钢</t>
  </si>
  <si>
    <t>1.阻燃板基层、不锈钢板饰面（镜面）
2.不锈钢厚度：0.9mm</t>
  </si>
  <si>
    <t>2.1.5.17</t>
  </si>
  <si>
    <t>贴灰色防止透视磨砂膜</t>
  </si>
  <si>
    <t>1.玻璃面层清理
2.灰色防透视磨砂膜</t>
  </si>
  <si>
    <t>2.1.5.18</t>
  </si>
  <si>
    <t>墙面直纹橡木木饰面</t>
  </si>
  <si>
    <t>1.阻燃板基层
2.密度板找平
3.橡木实木皮木饰面面面层</t>
  </si>
  <si>
    <t>2.1.5.19</t>
  </si>
  <si>
    <t>新作不锈钢窗套</t>
  </si>
  <si>
    <t>2.1.5.20</t>
  </si>
  <si>
    <t>办公室墙面聚酯纤维吸音板</t>
  </si>
  <si>
    <t>1、墙面聚酯纤维吸音板1200高 距地1200 颜色：月光灰
2、密拼，四周倒角</t>
  </si>
  <si>
    <t>2.1.5.21</t>
  </si>
  <si>
    <t>墙面软包</t>
  </si>
  <si>
    <t>1、1200mm高护墙板墙面软包（布面需甲方确认）
2、填充厚度：30mm</t>
  </si>
  <si>
    <t>2.1.5.22</t>
  </si>
  <si>
    <t>乐高积木</t>
  </si>
  <si>
    <t>儿童积木墙兼容大颗粒儿童早教创意拼装墙壁墙面贴墙上积木滑道玩具男孩女孩幼儿园3-6岁-12岁 积木墙522颗无款【8块灰底+胶纸】送收纳袋+贴纸</t>
  </si>
  <si>
    <t>2.1.5.23</t>
  </si>
  <si>
    <t>鞋柜</t>
  </si>
  <si>
    <t>1.成品儿童鞋柜</t>
  </si>
  <si>
    <t>2.1.5.24</t>
  </si>
  <si>
    <t>橡胶阳角防撞条</t>
  </si>
  <si>
    <t>1.供应安装成品防撞条
2.规格尺寸1200*50*5</t>
  </si>
  <si>
    <t>根</t>
  </si>
  <si>
    <t>2.1.5.25</t>
  </si>
  <si>
    <t>PVC波音软片</t>
  </si>
  <si>
    <t>1.基层处理
2.面层波音软片铺贴</t>
  </si>
  <si>
    <t>2.1.5.26</t>
  </si>
  <si>
    <t>不锈钢饰面(厚度:1.5mm)</t>
  </si>
  <si>
    <t>1.基层龙骨
2.阻燃版基层
3.不锈钢饰面（拉丝&amp;镜面）</t>
  </si>
  <si>
    <t>2.1.5.27</t>
  </si>
  <si>
    <t>油漆饰面</t>
  </si>
  <si>
    <t>1.墙面基层处理
2.墙面基层2遍腻子、砂纸打磨
3.刷两遍底漆、三遍面漆</t>
  </si>
  <si>
    <t>2.1.5.28</t>
  </si>
  <si>
    <t>聚氨酯发泡保温装饰板</t>
  </si>
  <si>
    <t>1.墙面基层处理
2.装饰面安装</t>
  </si>
  <si>
    <t>2.1.5.29</t>
  </si>
  <si>
    <t>200*1200木纹墙地砖</t>
  </si>
  <si>
    <t>儿童区墙地砖</t>
  </si>
  <si>
    <t>2.1.5.30</t>
  </si>
  <si>
    <t>5*5mm凹槽（墙面分割条）</t>
  </si>
  <si>
    <t>2.1.5.31</t>
  </si>
  <si>
    <t>茶水柜墙面防燃木饰面板，含基层衬板</t>
  </si>
  <si>
    <t>2.1.5.32</t>
  </si>
  <si>
    <t>墙面磁性黑板贴
磁性黑板贴，木制边框，磨圆边</t>
  </si>
  <si>
    <t>2.1.6</t>
  </si>
  <si>
    <t>门及五金工程</t>
  </si>
  <si>
    <t>2.1.6.01</t>
  </si>
  <si>
    <t>明格提升门
(1)明格提升3m*3m
(2)铝合金框架
(3)含铝合金门套
(4)单侧自动开启</t>
  </si>
  <si>
    <t>1.设备供应安装
2.系统调试</t>
  </si>
  <si>
    <t>樘</t>
  </si>
  <si>
    <t>2.1.6.02</t>
  </si>
  <si>
    <t>9平方米以外</t>
  </si>
  <si>
    <r>
      <rPr>
        <sz val="10"/>
        <color rgb="FF000000"/>
        <rFont val="宋体"/>
        <charset val="134"/>
      </rPr>
      <t>超出部分</t>
    </r>
    <r>
      <rPr>
        <sz val="10"/>
        <color rgb="FF000000"/>
        <rFont val="Calibri"/>
        <charset val="134"/>
      </rPr>
      <t>552</t>
    </r>
    <r>
      <rPr>
        <sz val="10"/>
        <color rgb="FF000000"/>
        <rFont val="宋体"/>
        <charset val="134"/>
      </rPr>
      <t>元</t>
    </r>
    <r>
      <rPr>
        <sz val="10"/>
        <color rgb="FF000000"/>
        <rFont val="Calibri"/>
        <charset val="134"/>
      </rPr>
      <t>/</t>
    </r>
    <r>
      <rPr>
        <sz val="10"/>
        <color rgb="FF000000"/>
        <rFont val="宋体"/>
        <charset val="134"/>
      </rPr>
      <t>平米</t>
    </r>
  </si>
  <si>
    <t>2.1.6.03</t>
  </si>
  <si>
    <t>金属快速提升门
(1)金属快速提升门3m*3m
(2)铝合金框架
(3)含铝合金门套
(4)单侧自动开启</t>
  </si>
  <si>
    <t>2.1.6.04</t>
  </si>
  <si>
    <r>
      <rPr>
        <sz val="10"/>
        <color rgb="FF000000"/>
        <rFont val="宋体"/>
        <charset val="134"/>
      </rPr>
      <t>超出部分</t>
    </r>
    <r>
      <rPr>
        <sz val="10"/>
        <color rgb="FF000000"/>
        <rFont val="Calibri"/>
        <charset val="134"/>
      </rPr>
      <t>1081</t>
    </r>
    <r>
      <rPr>
        <sz val="10"/>
        <color rgb="FF000000"/>
        <rFont val="宋体"/>
        <charset val="134"/>
      </rPr>
      <t>元</t>
    </r>
    <r>
      <rPr>
        <sz val="10"/>
        <color rgb="FF000000"/>
        <rFont val="Calibri"/>
        <charset val="134"/>
      </rPr>
      <t>/</t>
    </r>
    <r>
      <rPr>
        <sz val="10"/>
        <color rgb="FF000000"/>
        <rFont val="宋体"/>
        <charset val="134"/>
      </rPr>
      <t>平米</t>
    </r>
  </si>
  <si>
    <t>2.1.6.05</t>
  </si>
  <si>
    <t>快速卷帘门3m*3m
(1)自动开启</t>
  </si>
  <si>
    <t>2.1.6.06</t>
  </si>
  <si>
    <t>超出部分661元/平米</t>
  </si>
  <si>
    <t>2.1.6.07</t>
  </si>
  <si>
    <t>铝合金卷帘门
(1)按钮</t>
  </si>
  <si>
    <t>2.1.6.08</t>
  </si>
  <si>
    <t>双扇木门</t>
  </si>
  <si>
    <t>1.1500×2400木质烤漆可开启门扇
2.门锁及配套五金、含门吸、限位闭门器、拉手
3.木质烤漆门框</t>
  </si>
  <si>
    <t>2.1.6.09</t>
  </si>
  <si>
    <t>单扇木门</t>
  </si>
  <si>
    <t>1.900×2400木质烤漆可开启门扇
2.门锁及配套五金、含门吸、限位闭门器、拉手
3.木质烤漆门框</t>
  </si>
  <si>
    <t>2.1.6.10</t>
  </si>
  <si>
    <t>1.1500×2400木质烤漆可开启门扇
2.含门吸、限位闭门器、拉手
3.木质烤漆门框</t>
  </si>
  <si>
    <t>2.1.6.11</t>
  </si>
  <si>
    <t>1.900×2400木质烤漆可开启门扇
2.含门吸、限位闭门器、拉手
3.木质烤漆门框</t>
  </si>
  <si>
    <t>2.1.6.12</t>
  </si>
  <si>
    <t>双扇玻璃门</t>
  </si>
  <si>
    <t>1.1500*2400无框12厚玻璃门，含门套
2.门锁及配套五金、含门吸、拉手
3.多玛地弹簧</t>
  </si>
  <si>
    <t>2.1.6.13</t>
  </si>
  <si>
    <t>1.1800*2400无框12厚玻璃门，含门套
2.门锁及配套五金、含门吸、拉手
3.多玛地弹簧</t>
  </si>
  <si>
    <t>2.1.6.14</t>
  </si>
  <si>
    <t>单扇玻璃门</t>
  </si>
  <si>
    <t>1.900×2400无框12厚玻璃门，含门套
2.门锁及配套五金、含门吸、拉手
3.多玛地弹簧</t>
  </si>
  <si>
    <t>2.1.6.15</t>
  </si>
  <si>
    <t>成品饰面单开甲级防火门规格：（1000*2200mm）</t>
  </si>
  <si>
    <t>1.甲级防火门
2.包含门锁五金、闭门器等相关配件</t>
  </si>
  <si>
    <t>2.1.6.16</t>
  </si>
  <si>
    <t>成品饰面双开甲级防火门规格：（1540*2200mm）</t>
  </si>
  <si>
    <t>1.甲级防火门
3.包含门锁五金、闭门器等相关配件</t>
  </si>
  <si>
    <t>2.1.6.17</t>
  </si>
  <si>
    <t>成品饰面双开甲级防火门规格：（1800*2200mm）</t>
  </si>
  <si>
    <t>1.甲级防火门
4.包含门锁五金、闭门器等相关配件</t>
  </si>
  <si>
    <t>2.1.6.18</t>
  </si>
  <si>
    <t>消火栓暗门（H1800mm)</t>
  </si>
  <si>
    <t>1.型钢龙骨
2.天地轴合页
3.阻燃板基层封双层石膏板
4.满刮腻子，白色无机涂料3遍</t>
  </si>
  <si>
    <t>2.1.6.19</t>
  </si>
  <si>
    <t>供应及安装断桥铝外窗60系列</t>
  </si>
  <si>
    <t>1.成品断桥铝外窗</t>
  </si>
  <si>
    <t>2.1.6.20</t>
  </si>
  <si>
    <t>双扇玻璃自动门： （客户区）</t>
  </si>
  <si>
    <t>1.门扇1500×3000无框15厚玻璃门
2.门锁及配套五金、含轨道
3.电机品牌：松下
4.带锁止、防夹</t>
  </si>
  <si>
    <t>2.1.6.21</t>
  </si>
  <si>
    <r>
      <rPr>
        <sz val="10"/>
        <color rgb="FF000000"/>
        <rFont val="Calibri"/>
        <charset val="134"/>
      </rPr>
      <t>1.</t>
    </r>
    <r>
      <rPr>
        <sz val="10"/>
        <color rgb="FF000000"/>
        <rFont val="宋体"/>
        <charset val="134"/>
      </rPr>
      <t>门扇</t>
    </r>
    <r>
      <rPr>
        <sz val="10"/>
        <color rgb="FF000000"/>
        <rFont val="Calibri"/>
        <charset val="134"/>
      </rPr>
      <t>1500×2400</t>
    </r>
    <r>
      <rPr>
        <sz val="10"/>
        <color rgb="FF000000"/>
        <rFont val="宋体"/>
        <charset val="134"/>
      </rPr>
      <t>无框</t>
    </r>
    <r>
      <rPr>
        <sz val="10"/>
        <color rgb="FF000000"/>
        <rFont val="Calibri"/>
        <charset val="134"/>
      </rPr>
      <t>12</t>
    </r>
    <r>
      <rPr>
        <sz val="10"/>
        <color rgb="FF000000"/>
        <rFont val="宋体"/>
        <charset val="134"/>
      </rPr>
      <t>厚玻璃门</t>
    </r>
    <r>
      <rPr>
        <sz val="10"/>
        <color rgb="FF000000"/>
        <rFont val="Calibri"/>
        <charset val="134"/>
      </rPr>
      <t xml:space="preserve">
2.</t>
    </r>
    <r>
      <rPr>
        <sz val="10"/>
        <color rgb="FF000000"/>
        <rFont val="宋体"/>
        <charset val="134"/>
      </rPr>
      <t>门锁及配套五金、含轨道</t>
    </r>
    <r>
      <rPr>
        <sz val="10"/>
        <color rgb="FF000000"/>
        <rFont val="Calibri"/>
        <charset val="134"/>
      </rPr>
      <t xml:space="preserve">
3.</t>
    </r>
    <r>
      <rPr>
        <sz val="10"/>
        <color rgb="FF000000"/>
        <rFont val="宋体"/>
        <charset val="134"/>
      </rPr>
      <t>电机品牌：松下</t>
    </r>
    <r>
      <rPr>
        <sz val="10"/>
        <color rgb="FF000000"/>
        <rFont val="Calibri"/>
        <charset val="134"/>
      </rPr>
      <t xml:space="preserve">
4.</t>
    </r>
    <r>
      <rPr>
        <sz val="10"/>
        <color rgb="FF000000"/>
        <rFont val="宋体"/>
        <charset val="134"/>
      </rPr>
      <t>带锁止、防夹</t>
    </r>
  </si>
  <si>
    <t>2.1.6.22</t>
  </si>
  <si>
    <r>
      <rPr>
        <sz val="10"/>
        <color rgb="FF000000"/>
        <rFont val="Calibri"/>
        <charset val="134"/>
      </rPr>
      <t>1.</t>
    </r>
    <r>
      <rPr>
        <sz val="10"/>
        <color rgb="FF000000"/>
        <rFont val="宋体"/>
        <charset val="134"/>
      </rPr>
      <t>门扇</t>
    </r>
    <r>
      <rPr>
        <sz val="10"/>
        <color rgb="FF000000"/>
        <rFont val="Calibri"/>
        <charset val="134"/>
      </rPr>
      <t>1800×3000</t>
    </r>
    <r>
      <rPr>
        <sz val="10"/>
        <color rgb="FF000000"/>
        <rFont val="宋体"/>
        <charset val="134"/>
      </rPr>
      <t>无框</t>
    </r>
    <r>
      <rPr>
        <sz val="10"/>
        <color rgb="FF000000"/>
        <rFont val="Calibri"/>
        <charset val="134"/>
      </rPr>
      <t>15</t>
    </r>
    <r>
      <rPr>
        <sz val="10"/>
        <color rgb="FF000000"/>
        <rFont val="宋体"/>
        <charset val="134"/>
      </rPr>
      <t>厚玻璃门</t>
    </r>
    <r>
      <rPr>
        <sz val="10"/>
        <color rgb="FF000000"/>
        <rFont val="Calibri"/>
        <charset val="134"/>
      </rPr>
      <t xml:space="preserve">
2.</t>
    </r>
    <r>
      <rPr>
        <sz val="10"/>
        <color rgb="FF000000"/>
        <rFont val="宋体"/>
        <charset val="134"/>
      </rPr>
      <t>门锁及配套五金、含轨道</t>
    </r>
    <r>
      <rPr>
        <sz val="10"/>
        <color rgb="FF000000"/>
        <rFont val="Calibri"/>
        <charset val="134"/>
      </rPr>
      <t xml:space="preserve">
3.</t>
    </r>
    <r>
      <rPr>
        <sz val="10"/>
        <color rgb="FF000000"/>
        <rFont val="宋体"/>
        <charset val="134"/>
      </rPr>
      <t>电机品牌：松下</t>
    </r>
    <r>
      <rPr>
        <sz val="10"/>
        <color rgb="FF000000"/>
        <rFont val="Calibri"/>
        <charset val="134"/>
      </rPr>
      <t xml:space="preserve">
4.</t>
    </r>
    <r>
      <rPr>
        <sz val="10"/>
        <color rgb="FF000000"/>
        <rFont val="宋体"/>
        <charset val="134"/>
      </rPr>
      <t>带锁止、防夹</t>
    </r>
  </si>
  <si>
    <t>2.1.6.23</t>
  </si>
  <si>
    <r>
      <rPr>
        <sz val="10"/>
        <color rgb="FF000000"/>
        <rFont val="Calibri"/>
        <charset val="134"/>
      </rPr>
      <t>1.</t>
    </r>
    <r>
      <rPr>
        <sz val="10"/>
        <color rgb="FF000000"/>
        <rFont val="宋体"/>
        <charset val="134"/>
      </rPr>
      <t>门扇</t>
    </r>
    <r>
      <rPr>
        <sz val="10"/>
        <color rgb="FF000000"/>
        <rFont val="Calibri"/>
        <charset val="134"/>
      </rPr>
      <t>1800×2400</t>
    </r>
    <r>
      <rPr>
        <sz val="10"/>
        <color rgb="FF000000"/>
        <rFont val="宋体"/>
        <charset val="134"/>
      </rPr>
      <t>无框</t>
    </r>
    <r>
      <rPr>
        <sz val="10"/>
        <color rgb="FF000000"/>
        <rFont val="Calibri"/>
        <charset val="134"/>
      </rPr>
      <t>12</t>
    </r>
    <r>
      <rPr>
        <sz val="10"/>
        <color rgb="FF000000"/>
        <rFont val="宋体"/>
        <charset val="134"/>
      </rPr>
      <t>厚玻璃门</t>
    </r>
    <r>
      <rPr>
        <sz val="10"/>
        <color rgb="FF000000"/>
        <rFont val="Calibri"/>
        <charset val="134"/>
      </rPr>
      <t xml:space="preserve">
2.</t>
    </r>
    <r>
      <rPr>
        <sz val="10"/>
        <color rgb="FF000000"/>
        <rFont val="宋体"/>
        <charset val="134"/>
      </rPr>
      <t>门锁及配套五金、含轨道</t>
    </r>
    <r>
      <rPr>
        <sz val="10"/>
        <color rgb="FF000000"/>
        <rFont val="Calibri"/>
        <charset val="134"/>
      </rPr>
      <t xml:space="preserve">
3.</t>
    </r>
    <r>
      <rPr>
        <sz val="10"/>
        <color rgb="FF000000"/>
        <rFont val="宋体"/>
        <charset val="134"/>
      </rPr>
      <t>电机品牌：松下</t>
    </r>
    <r>
      <rPr>
        <sz val="10"/>
        <color rgb="FF000000"/>
        <rFont val="Calibri"/>
        <charset val="134"/>
      </rPr>
      <t xml:space="preserve">
4.</t>
    </r>
    <r>
      <rPr>
        <sz val="10"/>
        <color rgb="FF000000"/>
        <rFont val="宋体"/>
        <charset val="134"/>
      </rPr>
      <t>带锁止、防夹</t>
    </r>
  </si>
  <si>
    <t>2.1.6.24</t>
  </si>
  <si>
    <t>双扇玻璃门： 
(1)2000*3000有框15厚玻璃门，含门套
(2)门锁及配套五金
(3)多玛地弹簧</t>
  </si>
  <si>
    <t>1.2000*3000有框15厚玻璃门，含门套
2.门锁及配套五金、含门吸
3.多玛地弹簧</t>
  </si>
  <si>
    <t>2.1.6.25</t>
  </si>
  <si>
    <t>双扇玻璃门： 
(1)2400*2400有框12厚玻璃门，含门套
(2)门锁及配套五金
(3)多玛地弹簧</t>
  </si>
  <si>
    <t>1.2400*2400有框12厚玻璃门，含门套
2.门锁及配套五金、含门吸
3.多玛地弹簧</t>
  </si>
  <si>
    <t>2.1.6.26</t>
  </si>
  <si>
    <t>双扇玻璃门： 
(1)2000*2400有框12厚玻璃门，含门套
(2)门锁及配套五金
(3)多玛地弹簧</t>
  </si>
  <si>
    <t>1.2000*2400有框12厚玻璃门，含门套
2.门锁及配套五金、含门吸
4.多玛地弹簧</t>
  </si>
  <si>
    <t>2.1.6.27</t>
  </si>
  <si>
    <t>拆除原门洞口修补加固</t>
  </si>
  <si>
    <t>处</t>
  </si>
  <si>
    <t>2.1.6.28</t>
  </si>
  <si>
    <t>原单开门饰面油漆翻新，含更换五金件</t>
  </si>
  <si>
    <t>1.原有饰面打磨
2.腻子修补
3.油漆翻新
4.更换五金件</t>
  </si>
  <si>
    <t>2.1.6.29</t>
  </si>
  <si>
    <t>原双开门饰面油漆翻新，含更换五金件</t>
  </si>
  <si>
    <t>1.原有饰面打磨
2.腻子修补
3.油漆翻新
5.更换五金件</t>
  </si>
  <si>
    <t>2.1.6.30</t>
  </si>
  <si>
    <t>原有卷帘门更换电机</t>
  </si>
  <si>
    <t>1.拆除原有电机
2.提供及安装卷帘门电机
3.设备调试</t>
  </si>
  <si>
    <t>2.1.6.31</t>
  </si>
  <si>
    <t>原有电动移门更换15mm厚钢化玻璃（普白）</t>
  </si>
  <si>
    <t>1.拆除原有移门玻璃
2.更换15mm厚钢化玻璃（普白）
3.设备调试</t>
  </si>
  <si>
    <t>2.1.6.32</t>
  </si>
  <si>
    <t>更换电机的卷帘门拆除、安装（不含主材）</t>
  </si>
  <si>
    <t>1.拆除原有电机
2.安装卷帘门电机（主材不含）
3.设备调试</t>
  </si>
  <si>
    <t>2.1.6.33</t>
  </si>
  <si>
    <t>原有卷帘门更换铝合金片</t>
  </si>
  <si>
    <t>1.拆除原有卷帘门铝合金片
2.提供及安装铝合金片
3.设备调试</t>
  </si>
  <si>
    <t>2.1.6.34</t>
  </si>
  <si>
    <t>防火卷帘</t>
  </si>
  <si>
    <t>1、双层布面防火卷帘
2、包含电机等相关一切工作</t>
  </si>
  <si>
    <t>2.1.6.35</t>
  </si>
  <si>
    <t>提升门钢结构框架（材质工字钢/方钢)150*100*3镀锌方钢管</t>
  </si>
  <si>
    <t>1.150*100*3镀锌方钢加固</t>
  </si>
  <si>
    <t>2.1.6.36</t>
  </si>
  <si>
    <t>铝合金饰面门</t>
  </si>
  <si>
    <t>1.1000*2450铝合金可开启门扇
2.门锁及配套五金</t>
  </si>
  <si>
    <t>2.1.6.37</t>
  </si>
  <si>
    <t>卫生间窗户贴深灰色膜</t>
  </si>
  <si>
    <t>2.1.6.38</t>
  </si>
  <si>
    <t>1.3000*2800有框15厚玻璃门，含门套
2.门锁及配套五金
3.多玛地弹簧</t>
  </si>
  <si>
    <t>2.1.6.39</t>
  </si>
  <si>
    <t>原双开玻璃门更换重型地弹簧及玻璃门夹</t>
  </si>
  <si>
    <t>1.拆除原有玻璃门夹及地弹簧
2.提供及安装玻璃门夹及重型地弹簧</t>
  </si>
  <si>
    <t>2.1.6.40</t>
  </si>
  <si>
    <t>展厅主入口原感应玻璃门更换感应控制芯片</t>
  </si>
  <si>
    <t>2.1.6.41</t>
  </si>
  <si>
    <t>灰色烤漆门套（展开50+770+50）</t>
  </si>
  <si>
    <t>1、基层清理
2、木工板基层制作安装
3、门套制作、运输、安装</t>
  </si>
  <si>
    <t>2.1.7</t>
  </si>
  <si>
    <t>固定家具及其他</t>
  </si>
  <si>
    <t>2.1.7.01</t>
  </si>
  <si>
    <t>提供及安装前厅接待台，含灯带、开关面板、柜体</t>
  </si>
  <si>
    <t>2.1.7.02</t>
  </si>
  <si>
    <t>提供及安装洗衣区吊、矮柜</t>
  </si>
  <si>
    <t>2.1.7.03</t>
  </si>
  <si>
    <t>提供及安装茶水间吊柜（外饰面：木色防火板饰面，含磁吸）</t>
  </si>
  <si>
    <t>2.1.7.04</t>
  </si>
  <si>
    <t>提供及安装茶水间矮柜（外饰面：木色防火板饰面，含磁吸，台面：石英石）</t>
  </si>
  <si>
    <t>2.1.7.05</t>
  </si>
  <si>
    <t>提供及安装卫生间洗手台（无下柜，含钢架、人造石，不含洁具、龙头、五金）</t>
  </si>
  <si>
    <t>2.1.7.06</t>
  </si>
  <si>
    <t>卫生间成品铝合金框银镜</t>
  </si>
  <si>
    <t>1.基层处理
2.阻燃板基层
3.成品银镜铝合金边框</t>
  </si>
  <si>
    <t>2.1.7.07</t>
  </si>
  <si>
    <t>新增楼梯栏杆</t>
  </si>
  <si>
    <t>1.50*50方钢灰色氟碳喷涂
2.5+5夹胶玻璃栏板</t>
  </si>
  <si>
    <t>2.1.7.08</t>
  </si>
  <si>
    <t>金属烤漆窗台板</t>
  </si>
  <si>
    <t>1.基层清理
2.阻燃板基层及龙骨
3.烤漆金属板窗台板</t>
  </si>
  <si>
    <t>2.1.7.09</t>
  </si>
  <si>
    <t>石材窗台板</t>
  </si>
  <si>
    <t>1.基层清理
2.硅胶粘合白色人造石材窗台板</t>
  </si>
  <si>
    <t>2.1.7.10</t>
  </si>
  <si>
    <t>白色铝塑板窗台板</t>
  </si>
  <si>
    <t>1.基层清理
2.阻燃板基层及龙骨
3.白色铝塑板窗台板（25丝铝塑板，吉祥818）</t>
  </si>
  <si>
    <t>2.1.7.11</t>
  </si>
  <si>
    <t>工位防水帘，含钢梁</t>
  </si>
  <si>
    <t>1.型钢吊架：40*40*4镀锌角钢
2.轨道支座安装：100*25*3镀锌方钢管骨架
3.防水卷帘</t>
  </si>
  <si>
    <t>2.1.7.12</t>
  </si>
  <si>
    <t>交付中心展示墙制作及安装：
1、轻钢龙骨木工板加固，封单面双层9.5厚石膏板造型墙；
2、墙面基层批刮腻子找平、面层肌理漆或壁纸、白色金属踢脚线；</t>
  </si>
  <si>
    <t>2.1.7.13</t>
  </si>
  <si>
    <t>新增车间楼梯金属栏杆扶手</t>
  </si>
  <si>
    <t>1.不锈钢栏杆扶手</t>
  </si>
  <si>
    <t>2.1.7.14</t>
  </si>
  <si>
    <t>1.镀锌方钢喷漆扶手</t>
  </si>
  <si>
    <t>2.1.7.15</t>
  </si>
  <si>
    <t>原走道、楼梯间栏杆刷深灰色漆翻新</t>
  </si>
  <si>
    <t>2.1.7.16</t>
  </si>
  <si>
    <t>墙面海报基层板：</t>
  </si>
  <si>
    <t>1.阻燃板+石膏板基层
2.面层2遍腻子3遍乳胶漆
3.灯带安装间距100mm
4.海报供应安装</t>
  </si>
  <si>
    <t>2.1.7.17</t>
  </si>
  <si>
    <t>拆除原有门店货架</t>
  </si>
  <si>
    <t>1.保护性拆除原有货架</t>
  </si>
  <si>
    <t>组</t>
  </si>
  <si>
    <t>2.1.7.18</t>
  </si>
  <si>
    <t>货架运输费</t>
  </si>
  <si>
    <t>1.打包、运输</t>
  </si>
  <si>
    <t>以实际发生金额为准</t>
  </si>
  <si>
    <t>2.1.7.19</t>
  </si>
  <si>
    <t>货架安装</t>
  </si>
  <si>
    <t>1.拼装货架满足正常使用</t>
  </si>
  <si>
    <t>2.1.7.20</t>
  </si>
  <si>
    <t>木作-配件墙 H:1800mm</t>
  </si>
  <si>
    <t>轻钢龙骨基础、阻燃板基础、石膏板基础表面外墙腻子找平，滚涂基膜
(1) 防燃木饰面背板饰面
(2) 含五金配件（轨道等）
(3) 含木作台面及抽屉，防燃木饰面
(4) 定制边框，防燃木饰面 ，含不锈钢嵌条</t>
  </si>
  <si>
    <t>2.1.7.21</t>
  </si>
  <si>
    <t>木作-销量政策海报墙 H:1800mm</t>
  </si>
  <si>
    <t>轻钢龙骨基础、阻燃板基础、石膏板基础表面外墙腻子找平，滚涂基膜
(1) 防燃木饰面背板饰面
(2) 定制边框，防燃木饰面 ，含不锈钢嵌条</t>
  </si>
  <si>
    <t>2.1.7.22</t>
  </si>
  <si>
    <t>木作-充电桩展示墙H:1800mm</t>
  </si>
  <si>
    <t>轻钢龙骨基础、阻燃板基础、石膏板基础表面外墙腻子找平，滚涂基膜
(1) 定制边框，防燃木饰面 ，含不锈钢嵌条</t>
  </si>
  <si>
    <t>2.1.7.23</t>
  </si>
  <si>
    <t>木作-灯箱墙H:1800mm</t>
  </si>
  <si>
    <t>2.1.7.24</t>
  </si>
  <si>
    <t>木作-电视柜</t>
  </si>
  <si>
    <t>背板轻钢龙骨基础、阻燃板基础、背板石膏板基础表面外墙腻子找平，滚涂基膜
(1) 雾面不锈钢背板
(2) 含五金配件（阻尼合页等）
(3) 含木作柜体及柜门，防燃饰面 。 (4) 定制边框，防燃饰面</t>
  </si>
  <si>
    <t>2.1.7.25</t>
  </si>
  <si>
    <t>电视框背板</t>
  </si>
  <si>
    <t>(1)12mm阻燃板制作基层；
(2) 雾面黑色金属板
(3) 含木作柜体及柜门，防燃饰面 。 (4) 定制边框，防燃饰面</t>
  </si>
  <si>
    <t>2.1.7.26</t>
  </si>
  <si>
    <t xml:space="preserve">办公区吊柜
</t>
  </si>
  <si>
    <t>(1) 柜体外部：白色防火板饰面
柜体内部：三聚氰胺板 
(2) 含五金配件（阻尼合页）
(3) 含单层隔板</t>
  </si>
  <si>
    <t>2.1.7.27</t>
  </si>
  <si>
    <t>逃生通道图（A3亚克力）</t>
  </si>
  <si>
    <t>按设计图示尺寸以数量计算</t>
  </si>
  <si>
    <t>2.1.7.28</t>
  </si>
  <si>
    <t xml:space="preserve">车务保险桌 H:730（1105）mm 
</t>
  </si>
  <si>
    <t>(1) 防燃木饰面台面/防燃木饰面背板，桌面∅50出线孔
(2) 3mm角钢黑色哑光油漆 固定10mm厚磨砂亚克力挡板
(3) 详见图纸</t>
  </si>
  <si>
    <t>2.1.7.29</t>
  </si>
  <si>
    <t xml:space="preserve">接待台
</t>
  </si>
  <si>
    <t xml:space="preserve">
(1) 防燃木饰面面板，白色烤漆台面
(2) 详见图纸</t>
  </si>
  <si>
    <t>2.1.7.30</t>
  </si>
  <si>
    <t>母婴室定制打孔窗帘</t>
  </si>
  <si>
    <t>(1) 铁质直杆/黑色
(2) 参考颜色：PANTONE 470U</t>
  </si>
  <si>
    <t>2.1.7.31</t>
  </si>
  <si>
    <t>母婴室背发光镜子700*900mm（暖白光-4000K）</t>
  </si>
  <si>
    <t>2.1.7.32</t>
  </si>
  <si>
    <t>母婴室婴儿尿布台</t>
  </si>
  <si>
    <t>2.1.7.33</t>
  </si>
  <si>
    <t>母婴室置物架</t>
  </si>
  <si>
    <t>2.1.7.34</t>
  </si>
  <si>
    <t>儿童活动区道具：双面积木桌</t>
  </si>
  <si>
    <t>650L*650W*500H</t>
  </si>
  <si>
    <t>2.1.7.35</t>
  </si>
  <si>
    <t>儿童活动区道具：积木椅</t>
  </si>
  <si>
    <t>积木椅</t>
  </si>
  <si>
    <t>2.1.7.36</t>
  </si>
  <si>
    <t>儿童活动区道具：摇摇车</t>
  </si>
  <si>
    <t>800L*310W*460H</t>
  </si>
  <si>
    <t>2.1.7.37</t>
  </si>
  <si>
    <t>儿童活动区道具：儿童区围挡/地垫</t>
  </si>
  <si>
    <t>高拐角：600H*600L
矮拐角：400H*600L*600W
高方体：600H*1000L*200W
矮方体：400H*1000L*200W
矮鞋柜：400H*1000L*200W
地   垫：3800*2800</t>
  </si>
  <si>
    <t>2.1.7.38</t>
  </si>
  <si>
    <t xml:space="preserve">儿童区转角卡座（L型方案中使用）450*650
</t>
  </si>
  <si>
    <t>1.基础：
2.基层：3cm高回弹海绵;
3.饰面：表面覆环保无味有机硅皮革，经防潮、防污处理；
4.含金属踢脚</t>
  </si>
  <si>
    <t>按结构延米计算</t>
  </si>
  <si>
    <t>2.1.7.39</t>
  </si>
  <si>
    <t xml:space="preserve">儿童区带柜卡座 450*650
</t>
  </si>
  <si>
    <t>1.基层：3cm高回弹海绵;
2.饰面：表面覆环保无味有机硅皮革，经防潮、防污处理；
3.侧龛：烤漆板
4.含金属踢脚</t>
  </si>
  <si>
    <t>2.1.7.40</t>
  </si>
  <si>
    <t xml:space="preserve">儿童区休息凳 450*300
</t>
  </si>
  <si>
    <t>1.海绵：3cm高回弹海绵;
2.饰面：表面覆环保无味有机硅皮革，皮革厚度≥1.3mm；</t>
  </si>
  <si>
    <t>2.1.7.41</t>
  </si>
  <si>
    <t xml:space="preserve">儿童区试鞋凳
</t>
  </si>
  <si>
    <t>1.木龙骨骨架，15厘阻燃板基层，面贴皮木纹木饰面；
2.坐垫填充30mm厚海绵，面贴有机硅皮革饰面，皮革转角针织拼缝；
3.下方坐垫及矮柜高300mm；</t>
  </si>
  <si>
    <t>2.1.7.42</t>
  </si>
  <si>
    <t xml:space="preserve">儿童区围栏门槛
</t>
  </si>
  <si>
    <t>1.木龙骨骨架，15厘阻燃夹板基层；
2.填充30mm厚海绵，面贴有机硅皮革饰面，皮革转角针织拼缝；
3.高度100mm，倒两个圆角，宽度200mm；</t>
  </si>
  <si>
    <t>2.1.7.43</t>
  </si>
  <si>
    <t xml:space="preserve">儿童区长墩A
</t>
  </si>
  <si>
    <t>1.木龙骨骨架，15厘阻燃夹板基层；
2.填充30mm厚海绵，面贴有机硅皮革饰面，皮革转角针织拼缝；
3.尺寸450*1850*300;</t>
  </si>
  <si>
    <t>按个计算</t>
  </si>
  <si>
    <t>2.1.7.44</t>
  </si>
  <si>
    <t xml:space="preserve">儿童区长墩B
</t>
  </si>
  <si>
    <t>1.木龙骨骨架，15厘阻燃夹板基层；
2.填充30mm厚海绵，面贴有机硅皮革饰面，皮革转角针织拼缝；
3.尺寸450*1550*300;</t>
  </si>
  <si>
    <t>2.1.7.45</t>
  </si>
  <si>
    <t xml:space="preserve">儿童区收纳柜
</t>
  </si>
  <si>
    <t>1.木作柜体，防燃木饰面20mm厚 ;
2.定制边框，防燃木饰面20mm厚;</t>
  </si>
  <si>
    <t>按正投影面积计算</t>
  </si>
  <si>
    <t>2.1.7.46</t>
  </si>
  <si>
    <t>儿童区墙面圆形发光凹龛</t>
  </si>
  <si>
    <t>1.基层：15厘阻燃夹板基层，面贴乳白色烤漆板;
2.面层：15厘阻燃夹板基层，填充30mm厚海绵，面贴有机硅皮革饰面，皮革转角针织拼缝;
3.隐藏LED硅胶灯灯槽制作;
4.背板：15厘阻燃夹板基层，面贴有机硅壁布内圈直径1100mm，外圈直径1220mm;</t>
  </si>
  <si>
    <t>2.1.7.47</t>
  </si>
  <si>
    <t>灯箱
包括海报画面安装（基层含在墙体中，海报画面甲供）</t>
  </si>
  <si>
    <t>2.1.7.48</t>
  </si>
  <si>
    <t>茶水区吧台</t>
  </si>
  <si>
    <t>(1) 防燃木饰面面板，人造石台面</t>
  </si>
  <si>
    <t>2.1.7.49</t>
  </si>
  <si>
    <t>量天尺</t>
  </si>
  <si>
    <t>规格：0.8-1m
含种植土等辅材</t>
  </si>
  <si>
    <t>盆</t>
  </si>
  <si>
    <t>2.1.7.50</t>
  </si>
  <si>
    <t>规格：1-1.2
含种植土等辅材</t>
  </si>
  <si>
    <t>2.1.7.51</t>
  </si>
  <si>
    <t>龙血树</t>
  </si>
  <si>
    <t>规格：1.5-1.6
含种植土等辅材</t>
  </si>
  <si>
    <t>2.1.7.52</t>
  </si>
  <si>
    <t>规格：1.2-1.4
含种植土等辅材</t>
  </si>
  <si>
    <t>2.1.7.53</t>
  </si>
  <si>
    <t>提根龟背竹</t>
  </si>
  <si>
    <t>规格：0.8-1
含种植土等辅材</t>
  </si>
  <si>
    <t>2.1.7.54</t>
  </si>
  <si>
    <t>规格：1.0-1.2
含种植土等辅材</t>
  </si>
  <si>
    <t>2.1.7.55</t>
  </si>
  <si>
    <t>虎皮兰</t>
  </si>
  <si>
    <t>规格：0.4-0.6
含种植土等辅材</t>
  </si>
  <si>
    <t>2.1.7.56</t>
  </si>
  <si>
    <t>海南黄花梨</t>
  </si>
  <si>
    <t>2.1.7.57</t>
  </si>
  <si>
    <t>狐尾天门冬</t>
  </si>
  <si>
    <t>2.1.7.58</t>
  </si>
  <si>
    <t>金边百合竹</t>
  </si>
  <si>
    <t>规格：1.6-1.8
含种植土等辅材</t>
  </si>
  <si>
    <t>2.1.7.59</t>
  </si>
  <si>
    <t>七彩铁千年木</t>
  </si>
  <si>
    <t>2.1.7.60</t>
  </si>
  <si>
    <t>橡皮树</t>
  </si>
  <si>
    <t>规格：1.1-1.3
含种植土等辅材</t>
  </si>
  <si>
    <t>2.1.7.61</t>
  </si>
  <si>
    <t>羽叶福禄桐</t>
  </si>
  <si>
    <t>2.1.7.62</t>
  </si>
  <si>
    <t>鸭脚木</t>
  </si>
  <si>
    <t>规格：1.5-1.7
含种植土等辅材</t>
  </si>
  <si>
    <t>2.1.7.63</t>
  </si>
  <si>
    <t>绿巨人</t>
  </si>
  <si>
    <t>规格：0.5
含种植土等辅材</t>
  </si>
  <si>
    <t>2.1.7.64</t>
  </si>
  <si>
    <t>万年青</t>
  </si>
  <si>
    <t>规格：0.4
含种植土等辅材</t>
  </si>
  <si>
    <t>2.1.7.65</t>
  </si>
  <si>
    <t>龙鳞春羽</t>
  </si>
  <si>
    <t>2.1.7.66</t>
  </si>
  <si>
    <t>孔雀竹芋</t>
  </si>
  <si>
    <t>规格：0.6
含种植土等辅材</t>
  </si>
  <si>
    <t>装饰部分合计</t>
  </si>
  <si>
    <t>理想汽车中心店电气工程量清单</t>
  </si>
  <si>
    <t>名 称</t>
  </si>
  <si>
    <t>2.2电气工程</t>
  </si>
  <si>
    <t>2.2.1</t>
  </si>
  <si>
    <t>配电部分</t>
  </si>
  <si>
    <t>新增配电箱（除空开外一切配套附件）</t>
  </si>
  <si>
    <t>2.2.1.01</t>
  </si>
  <si>
    <t>移位配电箱</t>
  </si>
  <si>
    <t>1.拆除原有配电箱
 2.安装利旧原有配电箱
 3.元配电箱元器件检测</t>
  </si>
  <si>
    <t>2.2.1.02</t>
  </si>
  <si>
    <t>总配电箱箱体</t>
  </si>
  <si>
    <t>1000*1200以上规格</t>
  </si>
  <si>
    <t>按设计图示数量计算
 包含配套铜排及落地安装基础、接地等</t>
  </si>
  <si>
    <t>2.2.1.03</t>
  </si>
  <si>
    <t>一级配电箱</t>
  </si>
  <si>
    <t>800*1000以上规格</t>
  </si>
  <si>
    <t>2.2.1.04</t>
  </si>
  <si>
    <t>二级配电箱</t>
  </si>
  <si>
    <t>2.2.1.05</t>
  </si>
  <si>
    <t>设备终端箱</t>
  </si>
  <si>
    <t>2.2.1.06</t>
  </si>
  <si>
    <t>供应及安装成套配电箱，包括开箱检查、本体安装固定、箱内辅材、连接线缆、接地、调试等，一切如图纸及规范所述。</t>
  </si>
  <si>
    <t>2.2.1.07</t>
  </si>
  <si>
    <t>NB3-63 C16/1P</t>
  </si>
  <si>
    <t>1.电气元器件及附件供应安装
 2.接线、调试</t>
  </si>
  <si>
    <t>配电箱内</t>
  </si>
  <si>
    <t>2.2.1.08</t>
  </si>
  <si>
    <t>NB3-63 C16/2P</t>
  </si>
  <si>
    <t>2.2.1.09</t>
  </si>
  <si>
    <t>NB3-63 C16/3P</t>
  </si>
  <si>
    <t>2.2.1.10</t>
  </si>
  <si>
    <t>NXB-63 D16/1P</t>
  </si>
  <si>
    <t>2.2.1.11</t>
  </si>
  <si>
    <t>NXB-63 D16/2P</t>
  </si>
  <si>
    <t>2.2.1.12</t>
  </si>
  <si>
    <t>NXB-63 D16/3P</t>
  </si>
  <si>
    <t>2.2.1.13</t>
  </si>
  <si>
    <t>NXBLE-32 D16/4P(30mA)</t>
  </si>
  <si>
    <t>2.2.1.14</t>
  </si>
  <si>
    <t>NB3-63 C20/1P</t>
  </si>
  <si>
    <t>2.2.1.15</t>
  </si>
  <si>
    <t>NB3-63 C20/2P</t>
  </si>
  <si>
    <t>2.2.1.16</t>
  </si>
  <si>
    <t>NB3-63 C20/3P</t>
  </si>
  <si>
    <t>2.2.1.17</t>
  </si>
  <si>
    <t>NXBLE-63 C20/2P（30mA）</t>
  </si>
  <si>
    <t>2.2.1.18</t>
  </si>
  <si>
    <t>NXB-63 D20/1P</t>
  </si>
  <si>
    <t>2.2.1.19</t>
  </si>
  <si>
    <t>NXB-63 D20/2P</t>
  </si>
  <si>
    <t>2.2.1.20</t>
  </si>
  <si>
    <t>NXB-63 D20/3P</t>
  </si>
  <si>
    <t>2.2.1.21</t>
  </si>
  <si>
    <t>NXB-63 D25/3P</t>
  </si>
  <si>
    <t>2.2.1.22</t>
  </si>
  <si>
    <t>NXB-63 D32/3P</t>
  </si>
  <si>
    <t>2.2.1.23</t>
  </si>
  <si>
    <t>NB3-63 C25/3P</t>
  </si>
  <si>
    <t>2.2.1.24</t>
  </si>
  <si>
    <t>NB3-63 C32/3P</t>
  </si>
  <si>
    <t>2.2.1.25</t>
  </si>
  <si>
    <t>NB6LE-32 C32/2P（30mA）</t>
  </si>
  <si>
    <t>2.2.1.26</t>
  </si>
  <si>
    <t>NB6LE-63 C40/2P（30mA）</t>
  </si>
  <si>
    <t>2.2.1.27</t>
  </si>
  <si>
    <t>NXBLE-63 D40/2P（30mA）</t>
  </si>
  <si>
    <t>2.2.1.28</t>
  </si>
  <si>
    <t>NXBLE-63 D40/3P</t>
  </si>
  <si>
    <t>2.2.1.29</t>
  </si>
  <si>
    <t>NZ1BR-63 32A/2P</t>
  </si>
  <si>
    <t>2.2.1.30</t>
  </si>
  <si>
    <t>NM1-63S/3300 50A/3P</t>
  </si>
  <si>
    <t>2.2.1.31</t>
  </si>
  <si>
    <t>NM1-63S/3300 63A/3P</t>
  </si>
  <si>
    <t>2.2.1.32</t>
  </si>
  <si>
    <t>NM1-125S/3300 80A/3P</t>
  </si>
  <si>
    <t>2.2.1.33</t>
  </si>
  <si>
    <t>NM1-125S/3300 100A/3P</t>
  </si>
  <si>
    <t>2.2.1.34</t>
  </si>
  <si>
    <t>NM1-125S/3300 125A/3P</t>
  </si>
  <si>
    <t>2.2.1.35</t>
  </si>
  <si>
    <t>NM1-250S/3300 160A/3P</t>
  </si>
  <si>
    <t>2.2.1.36</t>
  </si>
  <si>
    <t>NM1-250S/3300 200A/3P</t>
  </si>
  <si>
    <t>2.2.1.37</t>
  </si>
  <si>
    <t>NM1-250S/3300 250A/3P</t>
  </si>
  <si>
    <t>2.2.1.38</t>
  </si>
  <si>
    <t>NM1-250S/4300B 80A/4P</t>
  </si>
  <si>
    <t>2.2.1.39</t>
  </si>
  <si>
    <t>NM1-250S/4300B 100A/4P</t>
  </si>
  <si>
    <t>2.2.1.40</t>
  </si>
  <si>
    <t>NM1-250S/4300B 125A/4P</t>
  </si>
  <si>
    <t>2.2.1.41</t>
  </si>
  <si>
    <t>NM1-250S/4300B 160A/4P</t>
  </si>
  <si>
    <t>2.2.1.42</t>
  </si>
  <si>
    <t>NM1-250S/4300B 200A/4P</t>
  </si>
  <si>
    <t>2.2.1.43</t>
  </si>
  <si>
    <t>NM1-250S/4300B 250A/4P</t>
  </si>
  <si>
    <t>2.2.1.44</t>
  </si>
  <si>
    <t>NH40-300A/3P</t>
  </si>
  <si>
    <t>2.2.1.45</t>
  </si>
  <si>
    <t>NXM-630S/3300 400A/3P</t>
  </si>
  <si>
    <t>2.2.1.46</t>
  </si>
  <si>
    <t>NXU-Ⅱ 3P 40KA</t>
  </si>
  <si>
    <t>2.2.1.47</t>
  </si>
  <si>
    <t>NXU-Ⅱ 3P 65KA</t>
  </si>
  <si>
    <t>2.2.1.48</t>
  </si>
  <si>
    <t>NXU-Ⅱ 3P 100KA</t>
  </si>
  <si>
    <t>2.2.1.49</t>
  </si>
  <si>
    <t>NXBLE-63 4P D40</t>
  </si>
  <si>
    <t>2.2.1.50</t>
  </si>
  <si>
    <t>NXBLE-63 4P D50</t>
  </si>
  <si>
    <t>2.2.1.51</t>
  </si>
  <si>
    <t>NXBLE-63 4P D63</t>
  </si>
  <si>
    <t>2.2.1.52</t>
  </si>
  <si>
    <t>NXBLE-63 C16/ 2P（30mA）</t>
  </si>
  <si>
    <t>2.2.1.53</t>
  </si>
  <si>
    <t>NXBLE-63 C16/ 3P（30mA）</t>
  </si>
  <si>
    <t>2.2.1.54</t>
  </si>
  <si>
    <t>NXBLE-63 C20/ 3P（30mA）</t>
  </si>
  <si>
    <t>2.2.1.55</t>
  </si>
  <si>
    <t>NXBLE-63 C25/ 2P（30mA）</t>
  </si>
  <si>
    <t>2.2.1.56</t>
  </si>
  <si>
    <t>NB6LE-63 C40/3P（30mA）</t>
  </si>
  <si>
    <t>2.2.1.57</t>
  </si>
  <si>
    <t>NXB-63/C25/4P、NXM-63/25A/4P</t>
  </si>
  <si>
    <t>2.2.1.58</t>
  </si>
  <si>
    <t>NXB-63/D20/4P</t>
  </si>
  <si>
    <t>2.2.1.59</t>
  </si>
  <si>
    <t>NXMLE-125/D63/3P（30mA）</t>
  </si>
  <si>
    <t>2.2.1.60</t>
  </si>
  <si>
    <t>ESC227P</t>
  </si>
  <si>
    <t>2.2.1.61</t>
  </si>
  <si>
    <t>NXMLE-400/3P 250A（30mA）</t>
  </si>
  <si>
    <t>2.2.1.62</t>
  </si>
  <si>
    <t>NXBLE-63/C25 3P（30mA）</t>
  </si>
  <si>
    <t>2.2.1.63</t>
  </si>
  <si>
    <t>NM1-6300S/4300 630A 4极</t>
  </si>
  <si>
    <t>2.2.1.64</t>
  </si>
  <si>
    <t>NM1-1250S/3300 1250A</t>
  </si>
  <si>
    <t>2.2.1.65</t>
  </si>
  <si>
    <t>NM1-630S/3300 500A</t>
  </si>
  <si>
    <t>2.2.1.66</t>
  </si>
  <si>
    <t>NM1LE-400S/3300 315A 4极（30mA）</t>
  </si>
  <si>
    <t>2.2.1.67</t>
  </si>
  <si>
    <t>ARD-80/4P/Ⅰ级</t>
  </si>
  <si>
    <t>2.2.1.68</t>
  </si>
  <si>
    <t>NM1-100S/3300 100A（30mA）</t>
  </si>
  <si>
    <t>2.2.1.69</t>
  </si>
  <si>
    <t>NXB-63 3P C63（30mA）</t>
  </si>
  <si>
    <t>2.2.1.70</t>
  </si>
  <si>
    <t>NA1-2000S-2000A</t>
  </si>
  <si>
    <t>2.2.1.71</t>
  </si>
  <si>
    <t>NM1-63 3P D50（30mA）</t>
  </si>
  <si>
    <t>2.2.1.72</t>
  </si>
  <si>
    <t>NM1-1000S/3300 800A</t>
  </si>
  <si>
    <t>2.2.1.73</t>
  </si>
  <si>
    <t>NM1-1000S/3300 1000A</t>
  </si>
  <si>
    <t>2.2.1.74</t>
  </si>
  <si>
    <t>NM1-1000S/3300 1000A 4极</t>
  </si>
  <si>
    <t>2.2.1.75</t>
  </si>
  <si>
    <t>NXBLE-63 3P C16（30mA）</t>
  </si>
  <si>
    <t>2.2.1.76</t>
  </si>
  <si>
    <t>定式控制器 NKG1</t>
  </si>
  <si>
    <t>2.2.1.77</t>
  </si>
  <si>
    <t>交流接触器 CJX2-1210</t>
  </si>
  <si>
    <t>2.2.1.78</t>
  </si>
  <si>
    <t>电容互感器 LMZJ1-50I-200-5A</t>
  </si>
  <si>
    <t>2.2.1.79</t>
  </si>
  <si>
    <t>电容互感器 LMZJ1-50I-400-5A</t>
  </si>
  <si>
    <t>2.2.1.80</t>
  </si>
  <si>
    <t>电容互感器 LMZJ1-50I-600-5A</t>
  </si>
  <si>
    <t>2.2.1.81</t>
  </si>
  <si>
    <t>电容互感器 LMZJ1-100I-1000-5A</t>
  </si>
  <si>
    <t>2.2.1.82</t>
  </si>
  <si>
    <t>电容互感器 LMZJ1-100I-1200-5A</t>
  </si>
  <si>
    <t>2.2.1.83</t>
  </si>
  <si>
    <t>分励脱扣器 NM1-63 AC230</t>
  </si>
  <si>
    <t>2.2.1.84</t>
  </si>
  <si>
    <t>分励脱扣器 NM1-125 AC230</t>
  </si>
  <si>
    <t>2.2.1.85</t>
  </si>
  <si>
    <t>分励脱扣器 NM1-250 AC230</t>
  </si>
  <si>
    <t>2.2.1.86</t>
  </si>
  <si>
    <t>分励脱扣器 NM1-400S.H.R AC230</t>
  </si>
  <si>
    <t>2.2.1.87</t>
  </si>
  <si>
    <t>限流防火保护器ASCP-200</t>
  </si>
  <si>
    <t>2.2.1.88</t>
  </si>
  <si>
    <t>浪涌保护器 NXU-ⅡG-65kA/385V-3P</t>
  </si>
  <si>
    <t>2.2.1.89</t>
  </si>
  <si>
    <t>镀锌桥架 50*50*1.0</t>
  </si>
  <si>
    <t>1.桥架及弯头、三通、盖板等所有附件，防雷接地连接。
 2.预留洞口及防火封堵。
 3.支、吊架制作安装。</t>
  </si>
  <si>
    <t>按设计图示长度计算</t>
  </si>
  <si>
    <t>2.2.1.90</t>
  </si>
  <si>
    <t>镀锌桥架 100*50*1.0</t>
  </si>
  <si>
    <t>2.2.1.91</t>
  </si>
  <si>
    <t>镀锌桥架 100*100*1.5</t>
  </si>
  <si>
    <t>2.2.1.92</t>
  </si>
  <si>
    <t>镀锌桥架 150*100*1.5</t>
  </si>
  <si>
    <t>2.2.1.93</t>
  </si>
  <si>
    <t>镀锌桥架 200*100*1.5</t>
  </si>
  <si>
    <t>2.2.1.94</t>
  </si>
  <si>
    <t>镀锌桥架 200*150*1.5</t>
  </si>
  <si>
    <t>2.2.1.95</t>
  </si>
  <si>
    <t>镀锌桥架 300*100*1.5</t>
  </si>
  <si>
    <t>2.2.1.96</t>
  </si>
  <si>
    <t>镀锌桥架 300*150*1.5</t>
  </si>
  <si>
    <t>2.2.1.97</t>
  </si>
  <si>
    <t>镀锌桥架 400*150*2.0</t>
  </si>
  <si>
    <t>2.2.1.98</t>
  </si>
  <si>
    <t>镀锌桥架 500*200*1.5</t>
  </si>
  <si>
    <t>2.2.1.99</t>
  </si>
  <si>
    <t>镀锌桥架 500*200*2.0</t>
  </si>
  <si>
    <t>2.2.1.100</t>
  </si>
  <si>
    <t>镀锌桥架 100*100*1.2</t>
  </si>
  <si>
    <t>2.2.1.101</t>
  </si>
  <si>
    <t>镀锌桥架 150*100*1.2</t>
  </si>
  <si>
    <t>2.2.1.102</t>
  </si>
  <si>
    <t>桥架600*100*2.0</t>
  </si>
  <si>
    <t>1.桥架及弯头、三通、盖板等所有附件，防雷接地连接。
 2.预留洞口及防火封堵。
 10.支、吊架制作安装。</t>
  </si>
  <si>
    <t>2.2.1.103</t>
  </si>
  <si>
    <t>桥架400*200*2.0</t>
  </si>
  <si>
    <t>2.2.1.104</t>
  </si>
  <si>
    <r>
      <rPr>
        <sz val="9.75"/>
        <color rgb="FF000000"/>
        <rFont val="Calibri"/>
        <charset val="134"/>
      </rPr>
      <t>带铠电缆</t>
    </r>
    <r>
      <rPr>
        <sz val="9.75"/>
        <color rgb="FF000000"/>
        <rFont val="Calibri"/>
        <charset val="134"/>
      </rPr>
      <t>YJV-4x240+1x120mm2铜芯</t>
    </r>
  </si>
  <si>
    <r>
      <rPr>
        <sz val="10"/>
        <color rgb="FF000000"/>
        <rFont val="等线"/>
        <charset val="134"/>
      </rPr>
      <t>1.包括接驳费用</t>
    </r>
    <r>
      <rPr>
        <sz val="10"/>
        <color rgb="FF000000"/>
        <rFont val="等线"/>
        <charset val="134"/>
      </rPr>
      <t xml:space="preserve">
</t>
    </r>
    <r>
      <rPr>
        <sz val="10"/>
        <color rgb="FF000000"/>
        <rFont val="等线"/>
        <charset val="134"/>
      </rPr>
      <t>2.含电缆头制作安装</t>
    </r>
    <r>
      <rPr>
        <sz val="10"/>
        <color rgb="FF000000"/>
        <rFont val="等线"/>
        <charset val="134"/>
      </rPr>
      <t xml:space="preserve">
</t>
    </r>
    <r>
      <rPr>
        <sz val="10"/>
        <color rgb="FF000000"/>
        <rFont val="等线"/>
        <charset val="134"/>
      </rPr>
      <t>3.含安装和附件</t>
    </r>
  </si>
  <si>
    <r>
      <rPr>
        <sz val="10"/>
        <color rgb="FF000000"/>
        <rFont val="等线"/>
        <charset val="134"/>
      </rPr>
      <t>室内、室外装饰装修及安装工程项目</t>
    </r>
  </si>
  <si>
    <r>
      <rPr>
        <sz val="10"/>
        <color rgb="FF000000"/>
        <rFont val="等线"/>
        <charset val="134"/>
      </rPr>
      <t>按设计图示尺寸净长度计算加箱体半周长计量，设备端预留一米长度计量，含电缆套管，</t>
    </r>
  </si>
  <si>
    <t>2.2.1.105</t>
  </si>
  <si>
    <r>
      <rPr>
        <sz val="9.75"/>
        <color rgb="FF000000"/>
        <rFont val="Calibri"/>
        <charset val="134"/>
      </rPr>
      <t>带铠电缆</t>
    </r>
    <r>
      <rPr>
        <sz val="9.75"/>
        <color rgb="FF000000"/>
        <rFont val="Calibri"/>
        <charset val="134"/>
      </rPr>
      <t>YJLV-4x240+1x120mm2铝芯</t>
    </r>
  </si>
  <si>
    <t>2.2.1.106</t>
  </si>
  <si>
    <r>
      <rPr>
        <sz val="9.75"/>
        <color rgb="FF000000"/>
        <rFont val="Calibri"/>
        <charset val="134"/>
      </rPr>
      <t>带铠电缆</t>
    </r>
    <r>
      <rPr>
        <sz val="9.75"/>
        <color rgb="FF000000"/>
        <rFont val="Calibri"/>
        <charset val="134"/>
      </rPr>
      <t>YJV-4x185+1x95mm2铜芯</t>
    </r>
  </si>
  <si>
    <t>2.2.1.107</t>
  </si>
  <si>
    <r>
      <rPr>
        <sz val="9.75"/>
        <color rgb="FF000000"/>
        <rFont val="Calibri"/>
        <charset val="134"/>
      </rPr>
      <t>带铠电缆</t>
    </r>
    <r>
      <rPr>
        <sz val="9.75"/>
        <color rgb="FF000000"/>
        <rFont val="Calibri"/>
        <charset val="134"/>
      </rPr>
      <t>YJLV-4x185+1x95mm2铝芯</t>
    </r>
  </si>
  <si>
    <t>2.2.1.108</t>
  </si>
  <si>
    <r>
      <rPr>
        <sz val="9.75"/>
        <color rgb="FF000000"/>
        <rFont val="Calibri"/>
        <charset val="134"/>
      </rPr>
      <t>带铠电缆</t>
    </r>
    <r>
      <rPr>
        <sz val="9.75"/>
        <color rgb="FF000000"/>
        <rFont val="Calibri"/>
        <charset val="134"/>
      </rPr>
      <t>YJV-4x150+1x70mm2铜芯</t>
    </r>
  </si>
  <si>
    <t>2.2.1.109</t>
  </si>
  <si>
    <r>
      <rPr>
        <sz val="9.75"/>
        <color rgb="FF000000"/>
        <rFont val="Calibri"/>
        <charset val="134"/>
      </rPr>
      <t>带铠电缆</t>
    </r>
    <r>
      <rPr>
        <sz val="9.75"/>
        <color rgb="FF000000"/>
        <rFont val="Calibri"/>
        <charset val="134"/>
      </rPr>
      <t>YJLV-4x150+1x70mm2铝芯</t>
    </r>
  </si>
  <si>
    <t>2.2.1.110</t>
  </si>
  <si>
    <r>
      <rPr>
        <sz val="9.75"/>
        <color rgb="FF000000"/>
        <rFont val="Calibri"/>
        <charset val="134"/>
      </rPr>
      <t>电缆</t>
    </r>
    <r>
      <rPr>
        <sz val="9.75"/>
        <color rgb="FF000000"/>
        <rFont val="Calibri"/>
        <charset val="134"/>
      </rPr>
      <t>YJV-4x120+1x70mm2铜芯</t>
    </r>
  </si>
  <si>
    <r>
      <rPr>
        <sz val="10"/>
        <color rgb="FF000000"/>
        <rFont val="等线"/>
        <charset val="134"/>
      </rPr>
      <t>按设计图示尺寸长度计算加箱体半周长计量，设备端预留一米长度计量</t>
    </r>
  </si>
  <si>
    <t>2.2.1.111</t>
  </si>
  <si>
    <r>
      <rPr>
        <sz val="9.75"/>
        <color rgb="FF000000"/>
        <rFont val="Calibri"/>
        <charset val="134"/>
      </rPr>
      <t>电缆</t>
    </r>
    <r>
      <rPr>
        <sz val="9.75"/>
        <color rgb="FF000000"/>
        <rFont val="Calibri"/>
        <charset val="134"/>
      </rPr>
      <t>YJLV-4x120+1x70mm2铝芯</t>
    </r>
  </si>
  <si>
    <t>2.2.1.112</t>
  </si>
  <si>
    <r>
      <rPr>
        <sz val="9.75"/>
        <color rgb="FF000000"/>
        <rFont val="Calibri"/>
        <charset val="134"/>
      </rPr>
      <t>电缆</t>
    </r>
    <r>
      <rPr>
        <sz val="9.75"/>
        <color rgb="FF000000"/>
        <rFont val="Calibri"/>
        <charset val="134"/>
      </rPr>
      <t>-YJV-4*95+1*50mm2铜芯</t>
    </r>
  </si>
  <si>
    <t>2.2.1.113</t>
  </si>
  <si>
    <r>
      <rPr>
        <sz val="9.75"/>
        <color rgb="FF000000"/>
        <rFont val="Calibri"/>
        <charset val="134"/>
      </rPr>
      <t>电缆</t>
    </r>
    <r>
      <rPr>
        <sz val="9.75"/>
        <color rgb="FF000000"/>
        <rFont val="Calibri"/>
        <charset val="134"/>
      </rPr>
      <t>-YJLV-4*95+1*50mm2铝芯</t>
    </r>
  </si>
  <si>
    <t>2.2.1.114</t>
  </si>
  <si>
    <r>
      <rPr>
        <sz val="9.75"/>
        <color rgb="FF000000"/>
        <rFont val="Calibri"/>
        <charset val="134"/>
      </rPr>
      <t>电缆</t>
    </r>
    <r>
      <rPr>
        <sz val="9.75"/>
        <color rgb="FF000000"/>
        <rFont val="Calibri"/>
        <charset val="134"/>
      </rPr>
      <t>-YJV-4*70+1*35mm2铜芯</t>
    </r>
  </si>
  <si>
    <t>2.2.1.115</t>
  </si>
  <si>
    <r>
      <rPr>
        <sz val="9.75"/>
        <color rgb="FF000000"/>
        <rFont val="Calibri"/>
        <charset val="134"/>
      </rPr>
      <t>电缆</t>
    </r>
    <r>
      <rPr>
        <sz val="9.75"/>
        <color rgb="FF000000"/>
        <rFont val="Calibri"/>
        <charset val="134"/>
      </rPr>
      <t>-YJLV-4*70+1*35mm2铝芯</t>
    </r>
  </si>
  <si>
    <t>2.2.1.116</t>
  </si>
  <si>
    <r>
      <rPr>
        <sz val="9.75"/>
        <color rgb="FF000000"/>
        <rFont val="Calibri"/>
        <charset val="134"/>
      </rPr>
      <t>电缆</t>
    </r>
    <r>
      <rPr>
        <sz val="9.75"/>
        <color rgb="FF000000"/>
        <rFont val="Calibri"/>
        <charset val="134"/>
      </rPr>
      <t>-YJV-4*50+1*25mm2铜芯</t>
    </r>
  </si>
  <si>
    <t>2.2.1.117</t>
  </si>
  <si>
    <t>电缆-YJLV-4*50+1*25mm2铝芯</t>
  </si>
  <si>
    <t>2.2.1.118</t>
  </si>
  <si>
    <t>电缆YJV-4x25+1x16mm2</t>
  </si>
  <si>
    <t>2.2.1.119</t>
  </si>
  <si>
    <t>电缆YJV-4x35+1x16mm2</t>
  </si>
  <si>
    <t>2.2.1.120</t>
  </si>
  <si>
    <t>电缆YJV-5x16mm2</t>
  </si>
  <si>
    <t>2.2.1.121</t>
  </si>
  <si>
    <t>电缆YJV-5x10mm2</t>
  </si>
  <si>
    <t>2.2.1.122</t>
  </si>
  <si>
    <t>电缆YJV-5x6mm2</t>
  </si>
  <si>
    <t>2.2.1.123</t>
  </si>
  <si>
    <t>电缆YJV-5x4mm2</t>
  </si>
  <si>
    <t>2.2.1.124</t>
  </si>
  <si>
    <t>电缆YJV-3*16mm2</t>
  </si>
  <si>
    <t>2.2.1.125</t>
  </si>
  <si>
    <t>电缆YJV-5x2.5mm2</t>
  </si>
  <si>
    <t>2.2.1.126</t>
  </si>
  <si>
    <t>电缆YJV-3x2.5mm2</t>
  </si>
  <si>
    <t>2.2.1.127</t>
  </si>
  <si>
    <t>电缆YJV-3x10mm2</t>
  </si>
  <si>
    <t>2.2.1.128</t>
  </si>
  <si>
    <t>电缆YJV-3*6mm2</t>
  </si>
  <si>
    <t>2.2.1.129</t>
  </si>
  <si>
    <t>电缆YJV-3*25+2*16mm2</t>
  </si>
  <si>
    <t>2.2.1.130</t>
  </si>
  <si>
    <t>电缆-YJV-3*70+2*35mm2铜芯</t>
  </si>
  <si>
    <t>2.2.1.131</t>
  </si>
  <si>
    <t>消防电缆BTTZ4*70+1*35</t>
  </si>
  <si>
    <t>2.2.1.132</t>
  </si>
  <si>
    <t>智能三项电表正泰LCD DTS634</t>
  </si>
  <si>
    <t>1.本体及附件供应安装</t>
  </si>
  <si>
    <t>2.2.1.133</t>
  </si>
  <si>
    <t>焊接钢管SC100</t>
  </si>
  <si>
    <t>1.线管铺设
 2.包含支架、卡扣、吊筋等其他辅材</t>
  </si>
  <si>
    <t>2.2.1.134</t>
  </si>
  <si>
    <t>焊接钢管SC80</t>
  </si>
  <si>
    <t>1.线管铺设
 3.包含支架、卡扣、吊筋等其他辅材</t>
  </si>
  <si>
    <t>2.2.1.135</t>
  </si>
  <si>
    <t>焊接钢管SC70</t>
  </si>
  <si>
    <t>2.2.1.136</t>
  </si>
  <si>
    <t>焊接钢管SC50</t>
  </si>
  <si>
    <t>1.线管铺设
 4.包含支架、卡扣、吊筋等其他辅材</t>
  </si>
  <si>
    <t>2.2.1.137</t>
  </si>
  <si>
    <t>镀锌钢管JDG50</t>
  </si>
  <si>
    <t>1.线管铺设
 5.包含支架、卡扣、吊筋等其他辅材</t>
  </si>
  <si>
    <t>2.2.1.138</t>
  </si>
  <si>
    <t>镀锌钢管JDG40</t>
  </si>
  <si>
    <t>1.线管铺设
 6.包含支架、卡扣、吊筋等其他辅材</t>
  </si>
  <si>
    <t>2.2.1.139</t>
  </si>
  <si>
    <t>镀锌钢管JDG32</t>
  </si>
  <si>
    <t>2.2.1.140</t>
  </si>
  <si>
    <t>镀锌钢管JDG25</t>
  </si>
  <si>
    <t>1.线管铺设
 7.包含支架、卡扣、吊筋等其他辅材</t>
  </si>
  <si>
    <t>2.2.1.141</t>
  </si>
  <si>
    <t>镀锌钢管JDG20</t>
  </si>
  <si>
    <t>1.线管铺设
 8.包含支架、卡扣、吊筋等其他辅材</t>
  </si>
  <si>
    <t>2.2.1.142</t>
  </si>
  <si>
    <t>镀锌钢管JDG125</t>
  </si>
  <si>
    <t>2.2.1.143</t>
  </si>
  <si>
    <t>镀锌钢管JDG100</t>
  </si>
  <si>
    <t>2.2.1.144</t>
  </si>
  <si>
    <t>镀锌钢管JDG70</t>
  </si>
  <si>
    <t>2.2.1.145</t>
  </si>
  <si>
    <t>镀锌钢管JDG150</t>
  </si>
  <si>
    <t>2.2.1.146</t>
  </si>
  <si>
    <t>焊接钢管SC150</t>
  </si>
  <si>
    <t>2.2.1.147</t>
  </si>
  <si>
    <t>室外道闸、立招电、岗亭电源等</t>
  </si>
  <si>
    <t>1.含配管、配线
 2.底盒安装</t>
  </si>
  <si>
    <t>室外装饰装修及安装工程项目</t>
  </si>
  <si>
    <t>2.2.1.148</t>
  </si>
  <si>
    <t>入户电缆、室外充电桩电缆、室外道闸机等管沟挖沟回填（深挖800-1000mm，路面恢复）</t>
  </si>
  <si>
    <t>小计</t>
  </si>
  <si>
    <t>2.2.2</t>
  </si>
  <si>
    <t>照明部分(含管线)</t>
  </si>
  <si>
    <t>2.2.2.01</t>
  </si>
  <si>
    <t>安全出口灯、双面单向、双面双向疏散诱导灯</t>
  </si>
  <si>
    <t>1.含灯具、蓄电池本体、管线、安装
 2.底盒安装
 3.90min蓄电池</t>
  </si>
  <si>
    <t>2.2.2.02</t>
  </si>
  <si>
    <t>应急电池（36W）</t>
  </si>
  <si>
    <t>2.2.2.03</t>
  </si>
  <si>
    <t>应急电池（28W）</t>
  </si>
  <si>
    <t>2.2.2.04</t>
  </si>
  <si>
    <t>应急电池（13W）</t>
  </si>
  <si>
    <t>2.2.2.05</t>
  </si>
  <si>
    <t>防爆开关</t>
  </si>
  <si>
    <t>1.含本体、管线、安装
 2.底盒安装</t>
  </si>
  <si>
    <t>2.2.2.06</t>
  </si>
  <si>
    <t>单联单控开关</t>
  </si>
  <si>
    <t>客户区域</t>
  </si>
  <si>
    <t>2.2.2.07</t>
  </si>
  <si>
    <t>单联双控开关</t>
  </si>
  <si>
    <t>2.2.2.08</t>
  </si>
  <si>
    <t>双联单控开关</t>
  </si>
  <si>
    <t>2.2.2.09</t>
  </si>
  <si>
    <t>三联单控开关</t>
  </si>
  <si>
    <t>2.2.2.10</t>
  </si>
  <si>
    <t>四联单控开关</t>
  </si>
  <si>
    <t>2.2.2.11</t>
  </si>
  <si>
    <t>车间、办公室等非客户区域</t>
  </si>
  <si>
    <t>2.2.2.12</t>
  </si>
  <si>
    <t>2.2.2.13</t>
  </si>
  <si>
    <t>2.2.2.14</t>
  </si>
  <si>
    <t>2.2.2.15</t>
  </si>
  <si>
    <t>单联单控开关【防水】</t>
  </si>
  <si>
    <t>2.2.2.16</t>
  </si>
  <si>
    <t>单联双控开关【防水】</t>
  </si>
  <si>
    <t>2.2.2.17</t>
  </si>
  <si>
    <t>时控开关</t>
  </si>
  <si>
    <t>1.含本体、管线、安装
 2.配电箱内时控器
 3.底盒安装</t>
  </si>
  <si>
    <t>2.2.2.18</t>
  </si>
  <si>
    <t>光感开关</t>
  </si>
  <si>
    <t>2.2.2.19</t>
  </si>
  <si>
    <t>L1 -LED条形灯 75*1200(45W)</t>
  </si>
  <si>
    <t>1.含本体及辅料、管线、安装
 2.底盒、金属软管安装
 3.支、吊架制作安装</t>
  </si>
  <si>
    <t>2.2.2.20</t>
  </si>
  <si>
    <t>L1 -LED条形灯 75*1200(30W)</t>
  </si>
  <si>
    <t>2.2.2.21</t>
  </si>
  <si>
    <t>L2 -LED明装可调射灯</t>
  </si>
  <si>
    <t>2.2.2.22</t>
  </si>
  <si>
    <t>L3 -LED明装筒灯</t>
  </si>
  <si>
    <t>2.2.2.23</t>
  </si>
  <si>
    <t>L4 -深藏式防水筒灯</t>
  </si>
  <si>
    <t>2.2.2.24</t>
  </si>
  <si>
    <t>L5 -深藏式射灯</t>
  </si>
  <si>
    <t>2.2.2.25</t>
  </si>
  <si>
    <t>L6-深藏式筒灯</t>
  </si>
  <si>
    <t>2.2.2.26</t>
  </si>
  <si>
    <t>L8 -600*600 LED灯</t>
  </si>
  <si>
    <t>2.2.2.27</t>
  </si>
  <si>
    <t>300*1200 LED灯</t>
  </si>
  <si>
    <t>2.2.2.28</t>
  </si>
  <si>
    <t>300*300 LED灯</t>
  </si>
  <si>
    <t>2.2.2.29</t>
  </si>
  <si>
    <t>防爆灯</t>
  </si>
  <si>
    <t>2.2.2.30</t>
  </si>
  <si>
    <t>L5 -洽谈室圆形成品吊灯，直径800mm</t>
  </si>
  <si>
    <t>2.2.2.31</t>
  </si>
  <si>
    <t>LED灯带 5W/米</t>
  </si>
  <si>
    <t>2.2.2.32</t>
  </si>
  <si>
    <t>LED灯带 15W/米</t>
  </si>
  <si>
    <t>2.2.2.33</t>
  </si>
  <si>
    <t>PDI灯光房：条形灯(45w）</t>
  </si>
  <si>
    <t>2.2.2.34</t>
  </si>
  <si>
    <t>PDI灯光房：型钢骨架，含防锈处理及饰面喷涂</t>
  </si>
  <si>
    <t>1.型钢骨架
 2.防锈处理
 3.饰面喷漆
 4.灯具安装（包含管线）</t>
  </si>
  <si>
    <t>2.2.2.35</t>
  </si>
  <si>
    <t>T8 荧光灯管1200mm(36W)</t>
  </si>
  <si>
    <t>按设计图示数量计算
 供应及安装灯具及管线; 双管为一组，含灯架及灯罩；</t>
  </si>
  <si>
    <t>2.2.2.36</t>
  </si>
  <si>
    <t>T8LED灯管1200mm(16W)</t>
  </si>
  <si>
    <t>按设计图示数量计算
 供应及安装灯具及管线；双管为一组，含灯架及灯罩；</t>
  </si>
  <si>
    <t>2.2.2.37</t>
  </si>
  <si>
    <t>工矿灯150W</t>
  </si>
  <si>
    <t>2.2.2.38</t>
  </si>
  <si>
    <t>浴霸电源点</t>
  </si>
  <si>
    <t>2.2.2.39</t>
  </si>
  <si>
    <t>室内logo电源点位</t>
  </si>
  <si>
    <t>2.2.2.40</t>
  </si>
  <si>
    <t>排气扇提供及安装</t>
  </si>
  <si>
    <t>2.2.2.41</t>
  </si>
  <si>
    <t>排气扇管道</t>
  </si>
  <si>
    <t>1.支、吊架制作安装
 2.镀锌铁皮管道制作、安装</t>
  </si>
  <si>
    <t>2.2.2.42</t>
  </si>
  <si>
    <t>磁吸轨道灯</t>
  </si>
  <si>
    <t>1.含本体及辅料、管线、安装
 2.底盒、金属软管安装
 3.支、吊架制作安装
 4.18W</t>
  </si>
  <si>
    <t>2.2.2.43</t>
  </si>
  <si>
    <t>楼梯间声控吸顶灯</t>
  </si>
  <si>
    <t>2.2.2.44</t>
  </si>
  <si>
    <t>楼梯间、水吧、选配墙40宽条形灯</t>
  </si>
  <si>
    <t>1.含本体及辅料、管线、安装
 2.底盒、金属软管安装
 3.支、吊架制作安装
 4.20W</t>
  </si>
  <si>
    <t>2.2.2.45</t>
  </si>
  <si>
    <t>双头射灯2*35W</t>
  </si>
  <si>
    <t>2.2.2.46</t>
  </si>
  <si>
    <t>零售展厅区双头格栅灯2*28W</t>
  </si>
  <si>
    <t>2.2.2.47</t>
  </si>
  <si>
    <t>展厅深藏式筒灯 36w正白光</t>
  </si>
  <si>
    <t>2.2.2.48</t>
  </si>
  <si>
    <t>展厅洽谈室、办公区设计布局变化，控制开关、插座管线移位改造</t>
  </si>
  <si>
    <t>1.位移原有插座及管线
 2.原装饰面修补</t>
  </si>
  <si>
    <t>2.2.2.49</t>
  </si>
  <si>
    <t>展厅洽谈室、办公区设计布局变化，灯具管线点位移位改造</t>
  </si>
  <si>
    <t>2.2.2.50</t>
  </si>
  <si>
    <t>条形灯安装含管线（主材甲供）</t>
  </si>
  <si>
    <t>1.含辅料、管线、安装，不含灯具主材
2.底盒、金属软管安装
3.支、吊架制作安装</t>
  </si>
  <si>
    <t>2.2.2.51</t>
  </si>
  <si>
    <t>灯具安装含管线（主材甲供）</t>
  </si>
  <si>
    <t>2.2.2.52</t>
  </si>
  <si>
    <t>LED灯带 15W/米（主材甲供）</t>
  </si>
  <si>
    <t>2.2.2.53</t>
  </si>
  <si>
    <t>PDI灯光房：条形灯(45w）（主材甲供）</t>
  </si>
  <si>
    <t>2.2.3</t>
  </si>
  <si>
    <t>电源插座部分(含管线)</t>
  </si>
  <si>
    <t>2.2.3.01</t>
  </si>
  <si>
    <t>卫生间防水插座</t>
  </si>
  <si>
    <t>2.2.3.02</t>
  </si>
  <si>
    <t>三孔插座</t>
  </si>
  <si>
    <t>1.含本体、管线、安装
 2.底盒安装
 3.220V 16A</t>
  </si>
  <si>
    <t>2.2.3.03</t>
  </si>
  <si>
    <t>安全型二三孔插座</t>
  </si>
  <si>
    <t>1.含本体、管线、安装
 2.底盒安装
 3.250V 10A</t>
  </si>
  <si>
    <t>2.2.3.04</t>
  </si>
  <si>
    <t>非客户区域</t>
  </si>
  <si>
    <t>2.2.3.05</t>
  </si>
  <si>
    <t>1.含本体、管线、安装
 2.底盒安装
 3.250V 16A</t>
  </si>
  <si>
    <t>2.2.3.06</t>
  </si>
  <si>
    <t>2.2.3.07</t>
  </si>
  <si>
    <t>电视机电源插座</t>
  </si>
  <si>
    <t>2.2.3.08</t>
  </si>
  <si>
    <t>饮水机插座 250V 16A</t>
  </si>
  <si>
    <t>2.2.3.09</t>
  </si>
  <si>
    <t>热水器插座 250V 20A</t>
  </si>
  <si>
    <t>1.含本体、管线、安装
 2.底盒安装
 3.250V 20A</t>
  </si>
  <si>
    <t>2.2.3.10</t>
  </si>
  <si>
    <t>烘手器插座 250V 20A</t>
  </si>
  <si>
    <t>2.2.3.11</t>
  </si>
  <si>
    <t>设备三相电源点位（5*2.5平方线）</t>
  </si>
  <si>
    <t>1.含管线、辅材安装
 2.底盒安装
 3.380V</t>
  </si>
  <si>
    <t>2.2.3.12</t>
  </si>
  <si>
    <t>设备三相电源点位（5*4平方线）</t>
  </si>
  <si>
    <t>2.2.3.13</t>
  </si>
  <si>
    <t>设备三相电源点位（5*6平方线）</t>
  </si>
  <si>
    <t>2.2.3.14</t>
  </si>
  <si>
    <t>绕线器电源点位（3×2.5mm2）</t>
  </si>
  <si>
    <t>1.含管线、辅材安装
 2.底盒安装
 3.220V</t>
  </si>
  <si>
    <t>2.2.3.15</t>
  </si>
  <si>
    <t>设备三孔插座</t>
  </si>
  <si>
    <t>2.2.3.16</t>
  </si>
  <si>
    <t>设备三相四孔插座</t>
  </si>
  <si>
    <t>2.2.3.17</t>
  </si>
  <si>
    <t>不含管线
220V</t>
  </si>
  <si>
    <t>2.2.3.18</t>
  </si>
  <si>
    <t>不含管线
380V</t>
  </si>
  <si>
    <t>2.2.3.19</t>
  </si>
  <si>
    <t xml:space="preserve">五孔插座  带USB+type C </t>
  </si>
  <si>
    <t>2.2.3.20</t>
  </si>
  <si>
    <t>五孔插座 防爆型</t>
  </si>
  <si>
    <t>2.2.3.21</t>
  </si>
  <si>
    <t>弹起式地插</t>
  </si>
  <si>
    <t>2.2.3.22</t>
  </si>
  <si>
    <t>翻盖地插</t>
  </si>
  <si>
    <t>2.2.3.23</t>
  </si>
  <si>
    <t>卷帘门箱点</t>
  </si>
  <si>
    <t>1.含本体、管线、安装
 3.底盒安装</t>
  </si>
  <si>
    <t>2.2.3.24</t>
  </si>
  <si>
    <t>车间设备、工业连接器</t>
  </si>
  <si>
    <t>2.2.3.25</t>
  </si>
  <si>
    <t>绕线器 安全型二三孔插座</t>
  </si>
  <si>
    <t>2.2.3.26</t>
  </si>
  <si>
    <t>不锈钢全自动升降挡车器</t>
  </si>
  <si>
    <t>1.含本体、控制器、遥控器、基础、管线、安装
 2.底盒安装
 3.250V 10A</t>
  </si>
  <si>
    <t>2.2.4</t>
  </si>
  <si>
    <t>弱电点位布管、槽(装修单位只负责铺设管，穿线由弱电公司负责)</t>
  </si>
  <si>
    <t>2.2.4.01</t>
  </si>
  <si>
    <t>网络信息数据点位</t>
  </si>
  <si>
    <t>1.含JDG20线管、辅材安装
 2.底盒安装</t>
  </si>
  <si>
    <t>2.2.4.02</t>
  </si>
  <si>
    <t>监控点位</t>
  </si>
  <si>
    <t>2.2.4.03</t>
  </si>
  <si>
    <t>无线AP点位</t>
  </si>
  <si>
    <t>2.2.4.04</t>
  </si>
  <si>
    <t>门禁点位</t>
  </si>
  <si>
    <t>2.2.4.05</t>
  </si>
  <si>
    <t>背景音乐扬声器点位</t>
  </si>
  <si>
    <t>2.2.4.06</t>
  </si>
  <si>
    <t>弱电室外防雨配电箱</t>
  </si>
  <si>
    <t>1.安装本体、固定、焊铜接线端子,箱体及内部本体元器件安装调试等。
 2.箱体基础制作安装</t>
  </si>
  <si>
    <t>2.2.4.07</t>
  </si>
  <si>
    <t>接地装置</t>
  </si>
  <si>
    <t>镀锌圆钢φ30深度2m 4根/75平方裸铜线10m</t>
  </si>
  <si>
    <t>弱电机房</t>
  </si>
  <si>
    <t>2.2.5</t>
  </si>
  <si>
    <t>空调电</t>
  </si>
  <si>
    <t>2.2.5.01</t>
  </si>
  <si>
    <t>空调室内主机电源点位</t>
  </si>
  <si>
    <t>1.含管线、辅材安装
 2.底盒安装</t>
  </si>
  <si>
    <t>室内各类空调电源（分体、盘管、VRV等）</t>
  </si>
  <si>
    <t>2.2.5.02</t>
  </si>
  <si>
    <t>空调室外机配电箱，防雨</t>
  </si>
  <si>
    <t>2.2.5.03</t>
  </si>
  <si>
    <t>墙面灯箱LED灯带（含变压器）</t>
  </si>
  <si>
    <t>1.LED灯带 间距80mm 2.变压器</t>
  </si>
  <si>
    <t>理想汽车中心店给排水工程量清单</t>
  </si>
  <si>
    <r>
      <rPr>
        <sz val="9.75"/>
        <color rgb="FF000000"/>
        <rFont val="Calibri"/>
        <charset val="134"/>
      </rPr>
      <t>序号</t>
    </r>
  </si>
  <si>
    <r>
      <rPr>
        <sz val="9.75"/>
        <color rgb="FF000000"/>
        <rFont val="Calibri"/>
        <charset val="134"/>
      </rPr>
      <t>项目名称</t>
    </r>
  </si>
  <si>
    <r>
      <rPr>
        <sz val="9.75"/>
        <color rgb="FF000000"/>
        <rFont val="Calibri"/>
        <charset val="134"/>
      </rPr>
      <t>项目特征</t>
    </r>
  </si>
  <si>
    <r>
      <rPr>
        <sz val="9.75"/>
        <color rgb="FF000000"/>
        <rFont val="Calibri"/>
        <charset val="134"/>
      </rPr>
      <t>适用范围</t>
    </r>
  </si>
  <si>
    <r>
      <rPr>
        <sz val="9.75"/>
        <color rgb="FF000000"/>
        <rFont val="Calibri"/>
        <charset val="134"/>
      </rPr>
      <t>工程量计算规则</t>
    </r>
  </si>
  <si>
    <t>2.3给排水工程</t>
  </si>
  <si>
    <t>2.3.1</t>
  </si>
  <si>
    <t>卫生间工程</t>
  </si>
  <si>
    <t>2.3.1.01</t>
  </si>
  <si>
    <r>
      <rPr>
        <sz val="9.75"/>
        <color rgb="FF000000"/>
        <rFont val="Calibri"/>
        <charset val="134"/>
      </rPr>
      <t>坐便器采购及安装</t>
    </r>
  </si>
  <si>
    <r>
      <rPr>
        <sz val="9.75"/>
        <color rgb="FF000000"/>
        <rFont val="Calibri"/>
        <charset val="134"/>
      </rPr>
      <t>1.</t>
    </r>
    <r>
      <rPr>
        <sz val="9.75"/>
        <color rgb="FF000000"/>
        <rFont val="Calibri"/>
        <charset val="134"/>
      </rPr>
      <t>本体及辅料（软管、阀门等）安装</t>
    </r>
  </si>
  <si>
    <r>
      <rPr>
        <sz val="9.75"/>
        <color rgb="FF000000"/>
        <rFont val="Calibri"/>
        <charset val="134"/>
      </rPr>
      <t>卫生间、淋浴间、清扫间</t>
    </r>
  </si>
  <si>
    <r>
      <rPr>
        <sz val="9.75"/>
        <color rgb="FF000000"/>
        <rFont val="Calibri"/>
        <charset val="134"/>
      </rPr>
      <t>按设计图示数量计算</t>
    </r>
  </si>
  <si>
    <r>
      <rPr>
        <sz val="9.75"/>
        <color rgb="FF000000"/>
        <rFont val="Calibri"/>
        <charset val="134"/>
      </rPr>
      <t>套</t>
    </r>
  </si>
  <si>
    <t>2.3.1.02</t>
  </si>
  <si>
    <r>
      <rPr>
        <sz val="9.75"/>
        <color rgb="FF000000"/>
        <rFont val="Calibri"/>
        <charset val="134"/>
      </rPr>
      <t>小便斗及感应器采购及安装</t>
    </r>
  </si>
  <si>
    <t>2.3.1.03</t>
  </si>
  <si>
    <r>
      <rPr>
        <sz val="9.75"/>
        <color rgb="FF000000"/>
        <rFont val="Calibri"/>
        <charset val="134"/>
      </rPr>
      <t>洗手盆及龙头采购及安装</t>
    </r>
  </si>
  <si>
    <t>2.3.1.04</t>
  </si>
  <si>
    <r>
      <rPr>
        <sz val="9.75"/>
        <color rgb="FF000000"/>
        <rFont val="Calibri"/>
        <charset val="134"/>
      </rPr>
      <t>坐便器采购及安装（箭牌</t>
    </r>
    <r>
      <rPr>
        <sz val="9.75"/>
        <color rgb="FF000000"/>
        <rFont val="Calibri"/>
        <charset val="134"/>
      </rPr>
      <t>AB1287-400</t>
    </r>
    <r>
      <rPr>
        <sz val="9.75"/>
        <color rgb="FF000000"/>
        <rFont val="Calibri"/>
        <charset val="134"/>
      </rPr>
      <t>）</t>
    </r>
  </si>
  <si>
    <r>
      <rPr>
        <sz val="9.75"/>
        <color rgb="FF000000"/>
        <rFont val="Calibri"/>
        <charset val="134"/>
      </rPr>
      <t>员工区</t>
    </r>
  </si>
  <si>
    <t>2.3.1.05</t>
  </si>
  <si>
    <r>
      <rPr>
        <sz val="9.75"/>
        <color rgb="FF000000"/>
        <rFont val="Calibri"/>
        <charset val="134"/>
      </rPr>
      <t>小便斗及感应器采购及安装（箭牌</t>
    </r>
    <r>
      <rPr>
        <sz val="9.75"/>
        <color rgb="FF000000"/>
        <rFont val="Calibri"/>
        <charset val="134"/>
      </rPr>
      <t>AN633+</t>
    </r>
    <r>
      <rPr>
        <sz val="9.75"/>
        <color rgb="FF000000"/>
        <rFont val="Calibri"/>
        <charset val="134"/>
      </rPr>
      <t>感应器</t>
    </r>
    <r>
      <rPr>
        <sz val="9.75"/>
        <color rgb="FF000000"/>
        <rFont val="Calibri"/>
        <charset val="134"/>
      </rPr>
      <t>AGY108-3A</t>
    </r>
    <r>
      <rPr>
        <sz val="9.75"/>
        <color rgb="FF000000"/>
        <rFont val="Calibri"/>
        <charset val="134"/>
      </rPr>
      <t>（交流））</t>
    </r>
  </si>
  <si>
    <t>2.3.1.06</t>
  </si>
  <si>
    <r>
      <rPr>
        <sz val="9.75"/>
        <color rgb="FF000000"/>
        <rFont val="Calibri"/>
        <charset val="134"/>
      </rPr>
      <t>工位不锈钢洗手盆及龙头采购及安装</t>
    </r>
  </si>
  <si>
    <t>2.3.1.07</t>
  </si>
  <si>
    <r>
      <rPr>
        <sz val="9.75"/>
        <color rgb="FF000000"/>
        <rFont val="Calibri"/>
        <charset val="134"/>
      </rPr>
      <t>皂液器采购及安装</t>
    </r>
  </si>
  <si>
    <r>
      <rPr>
        <sz val="9.75"/>
        <color rgb="FF000000"/>
        <rFont val="Calibri"/>
        <charset val="134"/>
      </rPr>
      <t>1.</t>
    </r>
    <r>
      <rPr>
        <sz val="9.75"/>
        <color rgb="FF000000"/>
        <rFont val="Calibri"/>
        <charset val="134"/>
      </rPr>
      <t>本体及配件辅料安装</t>
    </r>
  </si>
  <si>
    <t>2.3.1.08</t>
  </si>
  <si>
    <r>
      <rPr>
        <sz val="9.75"/>
        <color rgb="FF000000"/>
        <rFont val="Calibri"/>
        <charset val="134"/>
      </rPr>
      <t>手纸盒（小）采购及安装，卫生间隔间内</t>
    </r>
  </si>
  <si>
    <t>2.3.1.09</t>
  </si>
  <si>
    <r>
      <rPr>
        <sz val="9.75"/>
        <color rgb="FF000000"/>
        <rFont val="Calibri"/>
        <charset val="134"/>
      </rPr>
      <t>洗手池：抽纸不锈钢纸盒采购及安装</t>
    </r>
  </si>
  <si>
    <t>2.3.1.10</t>
  </si>
  <si>
    <r>
      <rPr>
        <sz val="9.75"/>
        <color rgb="FF000000"/>
        <rFont val="Calibri"/>
        <charset val="134"/>
      </rPr>
      <t>厕板纸纸盒采购及安装，卫生间隔间内</t>
    </r>
  </si>
  <si>
    <t>2.3.1.11</t>
  </si>
  <si>
    <r>
      <rPr>
        <sz val="9.75"/>
        <color rgb="FF000000"/>
        <rFont val="Calibri"/>
        <charset val="134"/>
      </rPr>
      <t>墩布池及龙头采购及安装</t>
    </r>
  </si>
  <si>
    <t>2.3.1.12</t>
  </si>
  <si>
    <r>
      <rPr>
        <sz val="9.75"/>
        <color rgb="FF000000"/>
        <rFont val="Calibri"/>
        <charset val="134"/>
      </rPr>
      <t>花洒采购及安装</t>
    </r>
  </si>
  <si>
    <t>2.3.1.13</t>
  </si>
  <si>
    <r>
      <rPr>
        <sz val="9.75"/>
        <color rgb="FF000000"/>
        <rFont val="Calibri"/>
        <charset val="134"/>
      </rPr>
      <t>毛巾杆采购及安装</t>
    </r>
  </si>
  <si>
    <t>2.3.1.14</t>
  </si>
  <si>
    <r>
      <rPr>
        <sz val="9.75"/>
        <color rgb="FF000000"/>
        <rFont val="Calibri"/>
        <charset val="134"/>
      </rPr>
      <t>淋浴篮采购及安装</t>
    </r>
  </si>
  <si>
    <t>2.3.1.15</t>
  </si>
  <si>
    <r>
      <rPr>
        <sz val="9.75"/>
        <color rgb="FF000000"/>
        <rFont val="Calibri"/>
        <charset val="134"/>
      </rPr>
      <t>浴帘采购及安装</t>
    </r>
  </si>
  <si>
    <t>2.3.1.16</t>
  </si>
  <si>
    <r>
      <rPr>
        <sz val="9.75"/>
        <color rgb="FF000000"/>
        <rFont val="Calibri"/>
        <charset val="134"/>
      </rPr>
      <t>不锈钢防臭地漏</t>
    </r>
    <r>
      <rPr>
        <sz val="9.75"/>
        <color rgb="FF000000"/>
        <rFont val="Calibri"/>
        <charset val="134"/>
      </rPr>
      <t xml:space="preserve"> DN50</t>
    </r>
  </si>
  <si>
    <r>
      <rPr>
        <sz val="9.75"/>
        <color rgb="FF000000"/>
        <rFont val="Calibri"/>
        <charset val="134"/>
      </rPr>
      <t>卫生间、淋浴间、清扫间、车间</t>
    </r>
  </si>
  <si>
    <t>2.3.1.17</t>
  </si>
  <si>
    <r>
      <rPr>
        <sz val="9.75"/>
        <color rgb="FF000000"/>
        <rFont val="Calibri"/>
        <charset val="134"/>
      </rPr>
      <t>不锈钢防臭地漏</t>
    </r>
    <r>
      <rPr>
        <sz val="9.75"/>
        <color rgb="FF000000"/>
        <rFont val="Calibri"/>
        <charset val="134"/>
      </rPr>
      <t xml:space="preserve"> DN75</t>
    </r>
  </si>
  <si>
    <t>2.3.1.18</t>
  </si>
  <si>
    <r>
      <rPr>
        <sz val="9.75"/>
        <color rgb="FF000000"/>
        <rFont val="Calibri"/>
        <charset val="134"/>
      </rPr>
      <t>PVC</t>
    </r>
    <r>
      <rPr>
        <sz val="9.75"/>
        <color rgb="FF000000"/>
        <rFont val="Calibri"/>
        <charset val="134"/>
      </rPr>
      <t>地漏</t>
    </r>
    <r>
      <rPr>
        <sz val="9.75"/>
        <color rgb="FF000000"/>
        <rFont val="Calibri"/>
        <charset val="134"/>
      </rPr>
      <t xml:space="preserve"> DN100</t>
    </r>
  </si>
  <si>
    <t>2.3.1.19</t>
  </si>
  <si>
    <r>
      <rPr>
        <sz val="9.75"/>
        <color rgb="FF000000"/>
        <rFont val="Calibri"/>
        <charset val="134"/>
      </rPr>
      <t>清扫口</t>
    </r>
    <r>
      <rPr>
        <sz val="9.75"/>
        <color rgb="FF000000"/>
        <rFont val="Calibri"/>
        <charset val="134"/>
      </rPr>
      <t xml:space="preserve"> DN100</t>
    </r>
  </si>
  <si>
    <t>2.3.1.20</t>
  </si>
  <si>
    <r>
      <rPr>
        <sz val="9.75"/>
        <color rgb="FF000000"/>
        <rFont val="Calibri"/>
        <charset val="134"/>
      </rPr>
      <t>清扫口</t>
    </r>
    <r>
      <rPr>
        <sz val="9.75"/>
        <color rgb="FF000000"/>
        <rFont val="Calibri"/>
        <charset val="134"/>
      </rPr>
      <t xml:space="preserve"> DN75</t>
    </r>
  </si>
  <si>
    <t>2.3.1.21</t>
  </si>
  <si>
    <t>卫生间隔断</t>
  </si>
  <si>
    <r>
      <rPr>
        <sz val="9.75"/>
        <color rgb="FF000000"/>
        <rFont val="Calibri"/>
        <charset val="134"/>
      </rPr>
      <t>1.</t>
    </r>
    <r>
      <rPr>
        <sz val="9.75"/>
        <color rgb="FF000000"/>
        <rFont val="Calibri"/>
        <charset val="134"/>
      </rPr>
      <t>抗倍特板卫生间隔断</t>
    </r>
    <r>
      <rPr>
        <sz val="9.75"/>
        <color rgb="FF000000"/>
        <rFont val="Calibri"/>
        <charset val="134"/>
      </rPr>
      <t xml:space="preserve">
2.</t>
    </r>
    <r>
      <rPr>
        <sz val="9.75"/>
        <color rgb="FF000000"/>
        <rFont val="Calibri"/>
        <charset val="134"/>
      </rPr>
      <t>挂衣钩供应安装</t>
    </r>
  </si>
  <si>
    <t>2.3.1.22</t>
  </si>
  <si>
    <r>
      <rPr>
        <sz val="9.75"/>
        <color rgb="FF000000"/>
        <rFont val="Calibri"/>
        <charset val="134"/>
      </rPr>
      <t>小便斗隔断</t>
    </r>
  </si>
  <si>
    <r>
      <rPr>
        <sz val="9.75"/>
        <color rgb="FF000000"/>
        <rFont val="Calibri"/>
        <charset val="134"/>
      </rPr>
      <t>1.</t>
    </r>
    <r>
      <rPr>
        <sz val="9.75"/>
        <color rgb="FF000000"/>
        <rFont val="Calibri"/>
        <charset val="134"/>
      </rPr>
      <t>抗倍特板隔断</t>
    </r>
  </si>
  <si>
    <t>2.3.1.23</t>
  </si>
  <si>
    <r>
      <rPr>
        <sz val="9.75"/>
        <color rgb="FF000000"/>
        <rFont val="Calibri"/>
        <charset val="134"/>
      </rPr>
      <t>提供及安装排水管</t>
    </r>
    <r>
      <rPr>
        <sz val="9.75"/>
        <color rgb="FF000000"/>
        <rFont val="Calibri"/>
        <charset val="134"/>
      </rPr>
      <t>UPVC300</t>
    </r>
  </si>
  <si>
    <r>
      <rPr>
        <sz val="9.75"/>
        <color rgb="FF000000"/>
        <rFont val="等线"/>
        <charset val="134"/>
        <scheme val="minor"/>
      </rPr>
      <t>1.</t>
    </r>
    <r>
      <rPr>
        <sz val="9.75"/>
        <color rgb="FF000000"/>
        <rFont val="Calibri"/>
        <charset val="134"/>
      </rPr>
      <t>管道供应安装</t>
    </r>
    <r>
      <rPr>
        <sz val="9.75"/>
        <color rgb="FF000000"/>
        <rFont val="Calibri"/>
        <charset val="134"/>
      </rPr>
      <t xml:space="preserve">
2.</t>
    </r>
    <r>
      <rPr>
        <sz val="9.75"/>
        <color rgb="FF000000"/>
        <rFont val="Calibri"/>
        <charset val="134"/>
      </rPr>
      <t>管件、辅料、阀门供应安装</t>
    </r>
  </si>
  <si>
    <r>
      <rPr>
        <sz val="9.75"/>
        <color rgb="FF000000"/>
        <rFont val="Calibri"/>
        <charset val="134"/>
      </rPr>
      <t>室内、室外装饰装修及安装工程项目</t>
    </r>
  </si>
  <si>
    <r>
      <rPr>
        <sz val="9.75"/>
        <color rgb="FF000000"/>
        <rFont val="Calibri"/>
        <charset val="134"/>
      </rPr>
      <t>按设计图示长度计算</t>
    </r>
  </si>
  <si>
    <t>2.3.1.24</t>
  </si>
  <si>
    <r>
      <rPr>
        <sz val="9.75"/>
        <color rgb="FF000000"/>
        <rFont val="Calibri"/>
        <charset val="134"/>
      </rPr>
      <t>提供及安装排水管</t>
    </r>
    <r>
      <rPr>
        <sz val="9.75"/>
        <color rgb="FF000000"/>
        <rFont val="Calibri"/>
        <charset val="134"/>
      </rPr>
      <t>UPVC150</t>
    </r>
  </si>
  <si>
    <t>2.3.1.25</t>
  </si>
  <si>
    <r>
      <rPr>
        <sz val="9.75"/>
        <color rgb="FF000000"/>
        <rFont val="Calibri"/>
        <charset val="134"/>
      </rPr>
      <t>提供及安装排水管</t>
    </r>
    <r>
      <rPr>
        <sz val="9.75"/>
        <color rgb="FF000000"/>
        <rFont val="Calibri"/>
        <charset val="134"/>
      </rPr>
      <t>UPVC100</t>
    </r>
  </si>
  <si>
    <t>2.3.1.26</t>
  </si>
  <si>
    <r>
      <rPr>
        <sz val="9.75"/>
        <color rgb="FF000000"/>
        <rFont val="Calibri"/>
        <charset val="134"/>
      </rPr>
      <t>提供及安装排水管</t>
    </r>
    <r>
      <rPr>
        <sz val="9.75"/>
        <color rgb="FF000000"/>
        <rFont val="Calibri"/>
        <charset val="134"/>
      </rPr>
      <t>UPVC75</t>
    </r>
  </si>
  <si>
    <t>2.3.1.27</t>
  </si>
  <si>
    <r>
      <rPr>
        <sz val="9.75"/>
        <color rgb="FF000000"/>
        <rFont val="Calibri"/>
        <charset val="134"/>
      </rPr>
      <t>提供及安装排水管</t>
    </r>
    <r>
      <rPr>
        <sz val="9.75"/>
        <color rgb="FF000000"/>
        <rFont val="Calibri"/>
        <charset val="134"/>
      </rPr>
      <t>UPVC50</t>
    </r>
  </si>
  <si>
    <t>2.3.1.28</t>
  </si>
  <si>
    <r>
      <rPr>
        <sz val="9.75"/>
        <color rgb="FF000000"/>
        <rFont val="Calibri"/>
        <charset val="134"/>
      </rPr>
      <t>提供及安装给水管衬塑钢管</t>
    </r>
    <r>
      <rPr>
        <sz val="9.75"/>
        <color rgb="FF000000"/>
        <rFont val="Calibri"/>
        <charset val="134"/>
      </rPr>
      <t>DN65</t>
    </r>
  </si>
  <si>
    <r>
      <rPr>
        <sz val="9.75"/>
        <color rgb="FF000000"/>
        <rFont val="等线"/>
        <charset val="134"/>
        <scheme val="minor"/>
      </rPr>
      <t>1.</t>
    </r>
    <r>
      <rPr>
        <sz val="9.75"/>
        <color rgb="FF000000"/>
        <rFont val="Calibri"/>
        <charset val="134"/>
      </rPr>
      <t>管道供应安装</t>
    </r>
    <r>
      <rPr>
        <sz val="9.75"/>
        <color rgb="FF000000"/>
        <rFont val="Calibri"/>
        <charset val="134"/>
      </rPr>
      <t xml:space="preserve">
2.</t>
    </r>
    <r>
      <rPr>
        <sz val="9.75"/>
        <color rgb="FF000000"/>
        <rFont val="Calibri"/>
        <charset val="134"/>
      </rPr>
      <t>管件、辅料、阀门供应安装</t>
    </r>
    <r>
      <rPr>
        <sz val="9.75"/>
        <color rgb="FF000000"/>
        <rFont val="Calibri"/>
        <charset val="134"/>
      </rPr>
      <t xml:space="preserve">
3.</t>
    </r>
    <r>
      <rPr>
        <sz val="9.75"/>
        <color rgb="FF000000"/>
        <rFont val="Calibri"/>
        <charset val="134"/>
      </rPr>
      <t>管道清洗、打压测试</t>
    </r>
  </si>
  <si>
    <t>2.3.1.29</t>
  </si>
  <si>
    <r>
      <rPr>
        <sz val="9.75"/>
        <color rgb="FF000000"/>
        <rFont val="Calibri"/>
        <charset val="134"/>
      </rPr>
      <t>提供及安装给水管衬塑钢管</t>
    </r>
    <r>
      <rPr>
        <sz val="9.75"/>
        <color rgb="FF000000"/>
        <rFont val="Calibri"/>
        <charset val="134"/>
      </rPr>
      <t>DN50</t>
    </r>
  </si>
  <si>
    <t>2.3.1.30</t>
  </si>
  <si>
    <r>
      <rPr>
        <sz val="9.75"/>
        <color rgb="FF000000"/>
        <rFont val="Calibri"/>
        <charset val="134"/>
      </rPr>
      <t>提供及安装给水管</t>
    </r>
    <r>
      <rPr>
        <sz val="9.75"/>
        <color rgb="FF000000"/>
        <rFont val="Calibri"/>
        <charset val="134"/>
      </rPr>
      <t>PPR50</t>
    </r>
  </si>
  <si>
    <t>2.3.1.31</t>
  </si>
  <si>
    <r>
      <rPr>
        <sz val="9.75"/>
        <color rgb="FF000000"/>
        <rFont val="Calibri"/>
        <charset val="134"/>
      </rPr>
      <t>提供及安装给水管</t>
    </r>
    <r>
      <rPr>
        <sz val="9.75"/>
        <color rgb="FF000000"/>
        <rFont val="Calibri"/>
        <charset val="134"/>
      </rPr>
      <t>PPR40</t>
    </r>
  </si>
  <si>
    <t>2.3.1.32</t>
  </si>
  <si>
    <r>
      <rPr>
        <sz val="9.75"/>
        <color rgb="FF000000"/>
        <rFont val="Calibri"/>
        <charset val="134"/>
      </rPr>
      <t>提供及安装给水管</t>
    </r>
    <r>
      <rPr>
        <sz val="9.75"/>
        <color rgb="FF000000"/>
        <rFont val="Calibri"/>
        <charset val="134"/>
      </rPr>
      <t>PPR32</t>
    </r>
  </si>
  <si>
    <t>2.3.1.33</t>
  </si>
  <si>
    <r>
      <rPr>
        <sz val="9.75"/>
        <color rgb="FF000000"/>
        <rFont val="Calibri"/>
        <charset val="134"/>
      </rPr>
      <t>提供及安装给水管</t>
    </r>
    <r>
      <rPr>
        <sz val="9.75"/>
        <color rgb="FF000000"/>
        <rFont val="Calibri"/>
        <charset val="134"/>
      </rPr>
      <t>PPR25</t>
    </r>
  </si>
  <si>
    <t>2.3.1.34</t>
  </si>
  <si>
    <r>
      <rPr>
        <sz val="9.75"/>
        <color rgb="FF000000"/>
        <rFont val="Calibri"/>
        <charset val="134"/>
      </rPr>
      <t>提供及安装给水管</t>
    </r>
    <r>
      <rPr>
        <sz val="9.75"/>
        <color rgb="FF000000"/>
        <rFont val="Calibri"/>
        <charset val="134"/>
      </rPr>
      <t>PPR20</t>
    </r>
  </si>
  <si>
    <t>2.3.1.35</t>
  </si>
  <si>
    <r>
      <rPr>
        <sz val="9.75"/>
        <color rgb="FF000000"/>
        <rFont val="Calibri"/>
        <charset val="134"/>
      </rPr>
      <t>提供及安装给水管</t>
    </r>
    <r>
      <rPr>
        <sz val="9.75"/>
        <color rgb="FF000000"/>
        <rFont val="Calibri"/>
        <charset val="134"/>
      </rPr>
      <t>PPR15</t>
    </r>
  </si>
  <si>
    <t>2.3.1.36</t>
  </si>
  <si>
    <r>
      <rPr>
        <sz val="9.75"/>
        <color rgb="FF000000"/>
        <rFont val="Calibri"/>
        <charset val="134"/>
      </rPr>
      <t>提供及安装热水管衬塑钢管</t>
    </r>
    <r>
      <rPr>
        <sz val="9.75"/>
        <color rgb="FF000000"/>
        <rFont val="Calibri"/>
        <charset val="134"/>
      </rPr>
      <t>DN50</t>
    </r>
  </si>
  <si>
    <t>2.3.1.37</t>
  </si>
  <si>
    <r>
      <rPr>
        <sz val="9.75"/>
        <color rgb="FF000000"/>
        <rFont val="Calibri"/>
        <charset val="134"/>
      </rPr>
      <t>提供及安装热水管衬塑钢管</t>
    </r>
    <r>
      <rPr>
        <sz val="9.75"/>
        <color rgb="FF000000"/>
        <rFont val="Calibri"/>
        <charset val="134"/>
      </rPr>
      <t>DN20</t>
    </r>
  </si>
  <si>
    <t>2.3.1.38</t>
  </si>
  <si>
    <r>
      <rPr>
        <sz val="9.75"/>
        <color rgb="FF000000"/>
        <rFont val="Calibri"/>
        <charset val="134"/>
      </rPr>
      <t>浴霸提供及安装</t>
    </r>
  </si>
  <si>
    <r>
      <rPr>
        <sz val="9.75"/>
        <color rgb="FF000000"/>
        <rFont val="Calibri"/>
        <charset val="134"/>
      </rPr>
      <t>1.</t>
    </r>
    <r>
      <rPr>
        <sz val="9.75"/>
        <color rgb="FF000000"/>
        <rFont val="Calibri"/>
        <charset val="134"/>
      </rPr>
      <t>设备供应安装</t>
    </r>
    <r>
      <rPr>
        <sz val="9.75"/>
        <color rgb="FF000000"/>
        <rFont val="Calibri"/>
        <charset val="134"/>
      </rPr>
      <t xml:space="preserve">
2.</t>
    </r>
    <r>
      <rPr>
        <sz val="9.75"/>
        <color rgb="FF000000"/>
        <rFont val="Calibri"/>
        <charset val="134"/>
      </rPr>
      <t>包含墙面加固、安装支架等其他辅助工作</t>
    </r>
    <r>
      <rPr>
        <sz val="9.75"/>
        <color rgb="FF000000"/>
        <rFont val="Calibri"/>
        <charset val="134"/>
      </rPr>
      <t xml:space="preserve">
3.</t>
    </r>
    <r>
      <rPr>
        <sz val="9.75"/>
        <color rgb="FF000000"/>
        <rFont val="Calibri"/>
        <charset val="134"/>
      </rPr>
      <t>设备调试</t>
    </r>
  </si>
  <si>
    <t>2.3.1.39</t>
  </si>
  <si>
    <r>
      <rPr>
        <sz val="9.75"/>
        <color rgb="FF000000"/>
        <rFont val="Calibri"/>
        <charset val="134"/>
      </rPr>
      <t>小厨宝</t>
    </r>
    <r>
      <rPr>
        <sz val="9.75"/>
        <color rgb="FF000000"/>
        <rFont val="Calibri"/>
        <charset val="134"/>
      </rPr>
      <t>10L</t>
    </r>
    <r>
      <rPr>
        <sz val="9.75"/>
        <color rgb="FF000000"/>
        <rFont val="Calibri"/>
        <charset val="134"/>
      </rPr>
      <t>采购及安装，</t>
    </r>
    <r>
      <rPr>
        <sz val="9.75"/>
        <color rgb="FF000000"/>
        <rFont val="Calibri"/>
        <charset val="134"/>
      </rPr>
      <t>A.O A</t>
    </r>
    <r>
      <rPr>
        <sz val="9.75"/>
        <color rgb="FF000000"/>
        <rFont val="Calibri"/>
        <charset val="134"/>
      </rPr>
      <t>史密斯</t>
    </r>
  </si>
  <si>
    <t>2.3.1.40</t>
  </si>
  <si>
    <r>
      <rPr>
        <sz val="9.75"/>
        <color rgb="FF000000"/>
        <rFont val="Calibri"/>
        <charset val="134"/>
      </rPr>
      <t>电热水器</t>
    </r>
    <r>
      <rPr>
        <sz val="9.75"/>
        <color rgb="FF000000"/>
        <rFont val="Calibri"/>
        <charset val="134"/>
      </rPr>
      <t>80L</t>
    </r>
    <r>
      <rPr>
        <sz val="9.75"/>
        <color rgb="FF000000"/>
        <rFont val="Calibri"/>
        <charset val="134"/>
      </rPr>
      <t>采购及安装</t>
    </r>
  </si>
  <si>
    <t>2.3.1.41</t>
  </si>
  <si>
    <r>
      <rPr>
        <sz val="9.75"/>
        <color rgb="FF000000"/>
        <rFont val="Calibri"/>
        <charset val="134"/>
      </rPr>
      <t>电热水器</t>
    </r>
    <r>
      <rPr>
        <sz val="9.75"/>
        <color rgb="FF000000"/>
        <rFont val="Calibri"/>
        <charset val="134"/>
      </rPr>
      <t xml:space="preserve"> 60L </t>
    </r>
    <r>
      <rPr>
        <sz val="9.75"/>
        <color rgb="FF000000"/>
        <rFont val="Calibri"/>
        <charset val="134"/>
      </rPr>
      <t>采购及安装</t>
    </r>
  </si>
  <si>
    <t>2.3.1.42</t>
  </si>
  <si>
    <r>
      <rPr>
        <sz val="9.75"/>
        <color rgb="FF000000"/>
        <rFont val="Calibri"/>
        <charset val="134"/>
      </rPr>
      <t>工业太阳能热水器</t>
    </r>
  </si>
  <si>
    <r>
      <rPr>
        <sz val="9.75"/>
        <color rgb="FF000000"/>
        <rFont val="Calibri"/>
        <charset val="134"/>
      </rPr>
      <t>1.</t>
    </r>
    <r>
      <rPr>
        <sz val="9.75"/>
        <color rgb="FF000000"/>
        <rFont val="Calibri"/>
        <charset val="134"/>
      </rPr>
      <t>管件及接线供应安装，清华紫光，容积：</t>
    </r>
    <r>
      <rPr>
        <sz val="9.75"/>
        <color rgb="FF000000"/>
        <rFont val="Calibri"/>
        <charset val="134"/>
      </rPr>
      <t>4</t>
    </r>
    <r>
      <rPr>
        <sz val="9.75"/>
        <color rgb="FF000000"/>
        <rFont val="Calibri"/>
        <charset val="134"/>
      </rPr>
      <t>立方</t>
    </r>
    <r>
      <rPr>
        <sz val="9.75"/>
        <color rgb="FF000000"/>
        <rFont val="Calibri"/>
        <charset val="134"/>
      </rPr>
      <t xml:space="preserve"> 
2.</t>
    </r>
    <r>
      <rPr>
        <sz val="9.75"/>
        <color rgb="FF000000"/>
        <rFont val="Calibri"/>
        <charset val="134"/>
      </rPr>
      <t>本体及附件，配线及管道等安装工作</t>
    </r>
    <r>
      <rPr>
        <sz val="9.75"/>
        <color rgb="FF000000"/>
        <rFont val="Calibri"/>
        <charset val="134"/>
      </rPr>
      <t xml:space="preserve">
3.</t>
    </r>
    <r>
      <rPr>
        <sz val="9.75"/>
        <color rgb="FF000000"/>
        <rFont val="Calibri"/>
        <charset val="134"/>
      </rPr>
      <t>含控制柜及水泵等安装工作</t>
    </r>
  </si>
  <si>
    <r>
      <rPr>
        <sz val="9.75"/>
        <color rgb="FF000000"/>
        <rFont val="Calibri"/>
        <charset val="134"/>
      </rPr>
      <t>项</t>
    </r>
  </si>
  <si>
    <t>2.3.1.43</t>
  </si>
  <si>
    <r>
      <rPr>
        <sz val="9.75"/>
        <color rgb="FF000000"/>
        <rFont val="Calibri"/>
        <charset val="134"/>
      </rPr>
      <t>主给水管改造，增加控制阀门、水表</t>
    </r>
  </si>
  <si>
    <r>
      <rPr>
        <sz val="9.75"/>
        <color rgb="FF000000"/>
        <rFont val="Calibri"/>
        <charset val="134"/>
      </rPr>
      <t>1.</t>
    </r>
    <r>
      <rPr>
        <sz val="9.75"/>
        <color rgb="FF000000"/>
        <rFont val="Calibri"/>
        <charset val="134"/>
      </rPr>
      <t>原管道拆除调整</t>
    </r>
    <r>
      <rPr>
        <sz val="9.75"/>
        <color rgb="FF000000"/>
        <rFont val="Calibri"/>
        <charset val="134"/>
      </rPr>
      <t xml:space="preserve">
2.</t>
    </r>
    <r>
      <rPr>
        <sz val="9.75"/>
        <color rgb="FF000000"/>
        <rFont val="Calibri"/>
        <charset val="134"/>
      </rPr>
      <t>相关管件安装</t>
    </r>
    <r>
      <rPr>
        <sz val="9.75"/>
        <color rgb="FF000000"/>
        <rFont val="Calibri"/>
        <charset val="134"/>
      </rPr>
      <t xml:space="preserve">
3.</t>
    </r>
    <r>
      <rPr>
        <sz val="9.75"/>
        <color rgb="FF000000"/>
        <rFont val="Calibri"/>
        <charset val="134"/>
      </rPr>
      <t>阀门、水表提供及安装</t>
    </r>
  </si>
  <si>
    <r>
      <rPr>
        <sz val="9.75"/>
        <color rgb="FF000000"/>
        <rFont val="Calibri"/>
        <charset val="134"/>
      </rPr>
      <t>处</t>
    </r>
  </si>
  <si>
    <t>2.3.1.44</t>
  </si>
  <si>
    <r>
      <rPr>
        <sz val="9.75"/>
        <color rgb="FF000000"/>
        <rFont val="Calibri"/>
        <charset val="134"/>
      </rPr>
      <t>室外给水主管道增压泵</t>
    </r>
  </si>
  <si>
    <r>
      <rPr>
        <sz val="9.75"/>
        <color rgb="FF000000"/>
        <rFont val="Calibri"/>
        <charset val="134"/>
      </rPr>
      <t>1.1.5kw</t>
    </r>
    <r>
      <rPr>
        <sz val="9.75"/>
        <color rgb="FF000000"/>
        <rFont val="Calibri"/>
        <charset val="134"/>
      </rPr>
      <t>，扬程</t>
    </r>
    <r>
      <rPr>
        <sz val="9.75"/>
        <color rgb="FF000000"/>
        <rFont val="Calibri"/>
        <charset val="134"/>
      </rPr>
      <t>20m</t>
    </r>
    <r>
      <rPr>
        <sz val="9.75"/>
        <color rgb="FF000000"/>
        <rFont val="Calibri"/>
        <charset val="134"/>
      </rPr>
      <t>，口径</t>
    </r>
    <r>
      <rPr>
        <sz val="9.75"/>
        <color rgb="FF000000"/>
        <rFont val="Calibri"/>
        <charset val="134"/>
      </rPr>
      <t>50mm</t>
    </r>
    <r>
      <rPr>
        <sz val="9.75"/>
        <color rgb="FF000000"/>
        <rFont val="Calibri"/>
        <charset val="134"/>
      </rPr>
      <t>，不锈钢离心泵</t>
    </r>
    <r>
      <rPr>
        <sz val="9.75"/>
        <color rgb="FF000000"/>
        <rFont val="Calibri"/>
        <charset val="134"/>
      </rPr>
      <t xml:space="preserve">
2.</t>
    </r>
    <r>
      <rPr>
        <sz val="9.75"/>
        <color rgb="FF000000"/>
        <rFont val="Calibri"/>
        <charset val="134"/>
      </rPr>
      <t>品牌：利欧、人民</t>
    </r>
  </si>
  <si>
    <t>2.3.1.45</t>
  </si>
  <si>
    <t>不锈钢拖把池</t>
  </si>
  <si>
    <r>
      <rPr>
        <sz val="9.75"/>
        <color rgb="FF000000"/>
        <rFont val="Calibri"/>
        <charset val="134"/>
      </rPr>
      <t>1.</t>
    </r>
    <r>
      <rPr>
        <sz val="9.75"/>
        <color rgb="FF000000"/>
        <rFont val="Calibri"/>
        <charset val="134"/>
      </rPr>
      <t>成品不锈钢拖把池</t>
    </r>
    <r>
      <rPr>
        <sz val="9.75"/>
        <color rgb="FF000000"/>
        <rFont val="Calibri"/>
        <charset val="134"/>
      </rPr>
      <t xml:space="preserve">
2.</t>
    </r>
    <r>
      <rPr>
        <sz val="9.75"/>
        <color rgb="FF000000"/>
        <rFont val="Calibri"/>
        <charset val="134"/>
      </rPr>
      <t>规格</t>
    </r>
    <r>
      <rPr>
        <sz val="9.75"/>
        <color rgb="FF000000"/>
        <rFont val="Calibri"/>
        <charset val="134"/>
      </rPr>
      <t>1200*410*550</t>
    </r>
  </si>
  <si>
    <t>2.3.1.46</t>
  </si>
  <si>
    <t>混凝土地面开挖排水管槽及修补
1.测位、划线、刨沟、垃圾清理、填补</t>
  </si>
  <si>
    <t>2.3.1.47</t>
  </si>
  <si>
    <t>提供及安装排水管UPVC200</t>
  </si>
  <si>
    <r>
      <rPr>
        <b/>
        <sz val="9.75"/>
        <color rgb="FF000000"/>
        <rFont val="Calibri"/>
        <charset val="134"/>
      </rPr>
      <t>给排水工程合计：</t>
    </r>
  </si>
  <si>
    <t>理想汽车中心店外立面工程量清单</t>
  </si>
  <si>
    <r>
      <rPr>
        <sz val="9.75"/>
        <color rgb="FF000000"/>
        <rFont val="Calibri"/>
        <charset val="134"/>
      </rPr>
      <t>单位</t>
    </r>
  </si>
  <si>
    <t>2.4外立面工程</t>
  </si>
  <si>
    <t>2.4.1</t>
  </si>
  <si>
    <t>外幕墙准备工作</t>
  </si>
  <si>
    <t>2.4.1.01</t>
  </si>
  <si>
    <r>
      <rPr>
        <sz val="10"/>
        <color rgb="FF000000"/>
        <rFont val="宋体"/>
        <charset val="134"/>
      </rPr>
      <t>外幕墙拆除（玻璃、石材、外墙砖、铝板等）</t>
    </r>
    <r>
      <rPr>
        <sz val="10"/>
        <color rgb="FF000000"/>
        <rFont val="Calibri"/>
        <charset val="134"/>
      </rPr>
      <t xml:space="preserve">
*</t>
    </r>
    <r>
      <rPr>
        <sz val="10"/>
        <color rgb="FF000000"/>
        <rFont val="宋体"/>
        <charset val="134"/>
      </rPr>
      <t>包括原幕墙固定结构拆除</t>
    </r>
  </si>
  <si>
    <r>
      <rPr>
        <sz val="9.75"/>
        <color rgb="FF000000"/>
        <rFont val="Calibri"/>
        <charset val="134"/>
      </rPr>
      <t>1.</t>
    </r>
    <r>
      <rPr>
        <sz val="9.75"/>
        <color rgb="FF000000"/>
        <rFont val="Calibri"/>
        <charset val="134"/>
      </rPr>
      <t>拆除原有外幕墙</t>
    </r>
    <r>
      <rPr>
        <sz val="9.75"/>
        <color rgb="FF000000"/>
        <rFont val="Calibri"/>
        <charset val="134"/>
      </rPr>
      <t xml:space="preserve">
2.</t>
    </r>
    <r>
      <rPr>
        <sz val="9.75"/>
        <color rgb="FF000000"/>
        <rFont val="Calibri"/>
        <charset val="134"/>
      </rPr>
      <t>包括玻璃、石材、外墙砖、铝板等幕墙</t>
    </r>
    <r>
      <rPr>
        <sz val="9.75"/>
        <color rgb="FF000000"/>
        <rFont val="Calibri"/>
        <charset val="134"/>
      </rPr>
      <t xml:space="preserve">
3.</t>
    </r>
    <r>
      <rPr>
        <sz val="9.75"/>
        <color rgb="FF000000"/>
        <rFont val="Calibri"/>
        <charset val="134"/>
      </rPr>
      <t>幕墙固定结构拆除</t>
    </r>
  </si>
  <si>
    <r>
      <rPr>
        <sz val="9.75"/>
        <color rgb="FF000000"/>
        <rFont val="Calibri"/>
        <charset val="134"/>
      </rPr>
      <t>室外装饰装修及安装工程项目</t>
    </r>
  </si>
  <si>
    <t>按设计图示尺寸面积计算
垃圾清运折算系数0.05</t>
  </si>
  <si>
    <t>2.4.1.02</t>
  </si>
  <si>
    <r>
      <rPr>
        <sz val="9.75"/>
        <color rgb="FF000000"/>
        <rFont val="Calibri"/>
        <charset val="134"/>
      </rPr>
      <t>外墙涂料拆除</t>
    </r>
  </si>
  <si>
    <r>
      <rPr>
        <sz val="9.75"/>
        <color rgb="FF000000"/>
        <rFont val="Calibri"/>
        <charset val="134"/>
      </rPr>
      <t>1.</t>
    </r>
    <r>
      <rPr>
        <sz val="9.75"/>
        <color rgb="FF000000"/>
        <rFont val="Calibri"/>
        <charset val="134"/>
      </rPr>
      <t>外墙涂料拆除</t>
    </r>
    <r>
      <rPr>
        <sz val="9.75"/>
        <color rgb="FF000000"/>
        <rFont val="Calibri"/>
        <charset val="134"/>
      </rPr>
      <t xml:space="preserve">
2.</t>
    </r>
    <r>
      <rPr>
        <sz val="9.75"/>
        <color rgb="FF000000"/>
        <rFont val="Calibri"/>
        <charset val="134"/>
      </rPr>
      <t>垃圾清理</t>
    </r>
  </si>
  <si>
    <r>
      <rPr>
        <sz val="10"/>
        <color rgb="FF000000"/>
        <rFont val="宋体"/>
        <charset val="134"/>
      </rPr>
      <t>按设计图示尺寸面积计算</t>
    </r>
    <r>
      <rPr>
        <sz val="10"/>
        <color rgb="FF000000"/>
        <rFont val="Calibri"/>
        <charset val="134"/>
      </rPr>
      <t xml:space="preserve">
</t>
    </r>
    <r>
      <rPr>
        <sz val="10"/>
        <color rgb="FF000000"/>
        <rFont val="等线"/>
        <charset val="134"/>
        <scheme val="minor"/>
      </rPr>
      <t>垃圾清运</t>
    </r>
    <r>
      <rPr>
        <sz val="10"/>
        <color rgb="FF000000"/>
        <rFont val="宋体"/>
        <charset val="134"/>
      </rPr>
      <t>折算系数</t>
    </r>
    <r>
      <rPr>
        <sz val="10"/>
        <color rgb="FF000000"/>
        <rFont val="Calibri"/>
        <charset val="134"/>
      </rPr>
      <t>0.001</t>
    </r>
  </si>
  <si>
    <t>2.4.1.03</t>
  </si>
  <si>
    <r>
      <rPr>
        <sz val="9.75"/>
        <color rgb="FF000000"/>
        <rFont val="Calibri"/>
        <charset val="134"/>
      </rPr>
      <t>外墙开洞及修补</t>
    </r>
  </si>
  <si>
    <t>2.4.1.04</t>
  </si>
  <si>
    <r>
      <rPr>
        <sz val="9.75"/>
        <color rgb="FF000000"/>
        <rFont val="Calibri"/>
        <charset val="134"/>
      </rPr>
      <t>拆除垃圾清理、清运（</t>
    </r>
    <r>
      <rPr>
        <sz val="9.75"/>
        <color rgb="FF000000"/>
        <rFont val="Calibri"/>
        <charset val="134"/>
      </rPr>
      <t>7</t>
    </r>
    <r>
      <rPr>
        <sz val="9.75"/>
        <color rgb="FF000000"/>
        <rFont val="Calibri"/>
        <charset val="134"/>
      </rPr>
      <t>立方）</t>
    </r>
  </si>
  <si>
    <r>
      <rPr>
        <sz val="9.75"/>
        <color rgb="FF000000"/>
        <rFont val="Calibri"/>
        <charset val="134"/>
      </rPr>
      <t>分项工程垃圾清理折算系数</t>
    </r>
    <r>
      <rPr>
        <sz val="9.75"/>
        <color rgb="FF000000"/>
        <rFont val="Calibri"/>
        <charset val="134"/>
      </rPr>
      <t>*</t>
    </r>
    <r>
      <rPr>
        <sz val="9.75"/>
        <color rgb="FF000000"/>
        <rFont val="Calibri"/>
        <charset val="134"/>
      </rPr>
      <t>面积之和</t>
    </r>
    <r>
      <rPr>
        <sz val="9.75"/>
        <color rgb="FF000000"/>
        <rFont val="Calibri"/>
        <charset val="134"/>
      </rPr>
      <t>/7</t>
    </r>
  </si>
  <si>
    <r>
      <rPr>
        <sz val="9.75"/>
        <color rgb="FF000000"/>
        <rFont val="Calibri"/>
        <charset val="134"/>
      </rPr>
      <t>车</t>
    </r>
  </si>
  <si>
    <t>2.4.1.05</t>
  </si>
  <si>
    <t>室外搭建围挡2m高</t>
  </si>
  <si>
    <t>(材质：蓝色金属板含金属骨架)</t>
  </si>
  <si>
    <t>室内、室外各个功能区域</t>
  </si>
  <si>
    <t>正投影面积计算</t>
  </si>
  <si>
    <t>㎡</t>
  </si>
  <si>
    <t>2.4.1.06</t>
  </si>
  <si>
    <t>龙骨：方钢龙骨
饰面：彩条布或宝丽布</t>
  </si>
  <si>
    <t>2.4.1.07</t>
  </si>
  <si>
    <t>室外墙面脚手架</t>
  </si>
  <si>
    <t>租赁、搭拆脚手架费用及相关运输费用</t>
  </si>
  <si>
    <t>室外结构标高超过4.5m计取此部分费用</t>
  </si>
  <si>
    <t>墙面投影面积</t>
  </si>
  <si>
    <r>
      <rPr>
        <b/>
        <sz val="9.75"/>
        <color rgb="FF000000"/>
        <rFont val="Calibri"/>
        <charset val="134"/>
      </rPr>
      <t>小计</t>
    </r>
  </si>
  <si>
    <t>2.4.2</t>
  </si>
  <si>
    <t>外墙涂料</t>
  </si>
  <si>
    <t>2.4.2.01</t>
  </si>
  <si>
    <r>
      <rPr>
        <sz val="9.75"/>
        <color rgb="FF000000"/>
        <rFont val="Calibri"/>
        <charset val="134"/>
      </rPr>
      <t>外墙涂料，基层处理（平涂）</t>
    </r>
  </si>
  <si>
    <r>
      <rPr>
        <sz val="9.75"/>
        <color rgb="FF000000"/>
        <rFont val="Calibri"/>
        <charset val="134"/>
      </rPr>
      <t>1.</t>
    </r>
    <r>
      <rPr>
        <sz val="9.75"/>
        <color rgb="FF000000"/>
        <rFont val="Calibri"/>
        <charset val="134"/>
      </rPr>
      <t>基层清理</t>
    </r>
    <r>
      <rPr>
        <sz val="9.75"/>
        <color rgb="FF000000"/>
        <rFont val="Calibri"/>
        <charset val="134"/>
      </rPr>
      <t xml:space="preserve">
2.</t>
    </r>
    <r>
      <rPr>
        <sz val="9.75"/>
        <color rgb="FF000000"/>
        <rFont val="Calibri"/>
        <charset val="134"/>
      </rPr>
      <t>外墙防水腻子</t>
    </r>
    <r>
      <rPr>
        <sz val="9.75"/>
        <color rgb="FF000000"/>
        <rFont val="Calibri"/>
        <charset val="134"/>
      </rPr>
      <t>2</t>
    </r>
    <r>
      <rPr>
        <sz val="9.75"/>
        <color rgb="FF000000"/>
        <rFont val="Calibri"/>
        <charset val="134"/>
      </rPr>
      <t>遍，打磨</t>
    </r>
    <r>
      <rPr>
        <sz val="9.75"/>
        <color rgb="FF000000"/>
        <rFont val="Calibri"/>
        <charset val="134"/>
      </rPr>
      <t xml:space="preserve">
3.</t>
    </r>
    <r>
      <rPr>
        <sz val="9.75"/>
        <color rgb="FF000000"/>
        <rFont val="Calibri"/>
        <charset val="134"/>
      </rPr>
      <t>外墙涂料</t>
    </r>
    <r>
      <rPr>
        <sz val="9.75"/>
        <color rgb="FF000000"/>
        <rFont val="Calibri"/>
        <charset val="134"/>
      </rPr>
      <t>2</t>
    </r>
    <r>
      <rPr>
        <sz val="9.75"/>
        <color rgb="FF000000"/>
        <rFont val="Calibri"/>
        <charset val="134"/>
      </rPr>
      <t>遍底漆</t>
    </r>
    <r>
      <rPr>
        <sz val="9.75"/>
        <color rgb="FF000000"/>
        <rFont val="Calibri"/>
        <charset val="134"/>
      </rPr>
      <t>3</t>
    </r>
    <r>
      <rPr>
        <sz val="9.75"/>
        <color rgb="FF000000"/>
        <rFont val="Calibri"/>
        <charset val="134"/>
      </rPr>
      <t>遍面漆（平涂）</t>
    </r>
  </si>
  <si>
    <r>
      <rPr>
        <sz val="9.75"/>
        <color rgb="FF000000"/>
        <rFont val="Calibri"/>
        <charset val="134"/>
      </rPr>
      <t>按设计图示尺寸面积计算</t>
    </r>
  </si>
  <si>
    <t>2.4.2.02</t>
  </si>
  <si>
    <r>
      <rPr>
        <sz val="9.75"/>
        <color rgb="FF000000"/>
        <rFont val="Calibri"/>
        <charset val="134"/>
      </rPr>
      <t>外墙涂料，基层处理（弹涂）</t>
    </r>
  </si>
  <si>
    <r>
      <rPr>
        <sz val="9.75"/>
        <color rgb="FF000000"/>
        <rFont val="等线"/>
        <charset val="134"/>
        <scheme val="minor"/>
      </rPr>
      <t>1.</t>
    </r>
    <r>
      <rPr>
        <sz val="9.75"/>
        <color rgb="FF000000"/>
        <rFont val="Calibri"/>
        <charset val="134"/>
      </rPr>
      <t>基层清理</t>
    </r>
    <r>
      <rPr>
        <sz val="9.75"/>
        <color rgb="FF000000"/>
        <rFont val="Calibri"/>
        <charset val="134"/>
      </rPr>
      <t xml:space="preserve">
2.</t>
    </r>
    <r>
      <rPr>
        <sz val="9.75"/>
        <color rgb="FF000000"/>
        <rFont val="Calibri"/>
        <charset val="134"/>
      </rPr>
      <t>外墙防水腻子</t>
    </r>
    <r>
      <rPr>
        <sz val="9.75"/>
        <color rgb="FF000000"/>
        <rFont val="Calibri"/>
        <charset val="134"/>
      </rPr>
      <t>2</t>
    </r>
    <r>
      <rPr>
        <sz val="9.75"/>
        <color rgb="FF000000"/>
        <rFont val="Calibri"/>
        <charset val="134"/>
      </rPr>
      <t>遍，打磨</t>
    </r>
    <r>
      <rPr>
        <sz val="9.75"/>
        <color rgb="FF000000"/>
        <rFont val="Calibri"/>
        <charset val="134"/>
      </rPr>
      <t xml:space="preserve">
3.</t>
    </r>
    <r>
      <rPr>
        <sz val="9.75"/>
        <color rgb="FF000000"/>
        <rFont val="Calibri"/>
        <charset val="134"/>
      </rPr>
      <t>外墙涂料</t>
    </r>
    <r>
      <rPr>
        <sz val="9.75"/>
        <color rgb="FF000000"/>
        <rFont val="Calibri"/>
        <charset val="134"/>
      </rPr>
      <t>2</t>
    </r>
    <r>
      <rPr>
        <sz val="9.75"/>
        <color rgb="FF000000"/>
        <rFont val="Calibri"/>
        <charset val="134"/>
      </rPr>
      <t>遍底漆</t>
    </r>
    <r>
      <rPr>
        <sz val="9.75"/>
        <color rgb="FF000000"/>
        <rFont val="Calibri"/>
        <charset val="134"/>
      </rPr>
      <t>3</t>
    </r>
    <r>
      <rPr>
        <sz val="9.75"/>
        <color rgb="FF000000"/>
        <rFont val="Calibri"/>
        <charset val="134"/>
      </rPr>
      <t>遍面漆（弹涂）
4.弹涂：真石漆、肌理漆、水包水等</t>
    </r>
  </si>
  <si>
    <t>2.4.2.03</t>
  </si>
  <si>
    <r>
      <rPr>
        <sz val="9.75"/>
        <color rgb="FF000000"/>
        <rFont val="Calibri"/>
        <charset val="134"/>
      </rPr>
      <t>外墙氟碳漆，基层处理</t>
    </r>
  </si>
  <si>
    <r>
      <rPr>
        <sz val="9.75"/>
        <color rgb="FF000000"/>
        <rFont val="Calibri"/>
        <charset val="134"/>
      </rPr>
      <t>1.</t>
    </r>
    <r>
      <rPr>
        <sz val="9.75"/>
        <color rgb="FF000000"/>
        <rFont val="Calibri"/>
        <charset val="134"/>
      </rPr>
      <t>基层清理</t>
    </r>
    <r>
      <rPr>
        <sz val="9.75"/>
        <color rgb="FF000000"/>
        <rFont val="Calibri"/>
        <charset val="134"/>
      </rPr>
      <t xml:space="preserve">
2.</t>
    </r>
    <r>
      <rPr>
        <sz val="9.75"/>
        <color rgb="FF000000"/>
        <rFont val="Calibri"/>
        <charset val="134"/>
      </rPr>
      <t>外墙防水腻子</t>
    </r>
    <r>
      <rPr>
        <sz val="9.75"/>
        <color rgb="FF000000"/>
        <rFont val="Calibri"/>
        <charset val="134"/>
      </rPr>
      <t>2</t>
    </r>
    <r>
      <rPr>
        <sz val="9.75"/>
        <color rgb="FF000000"/>
        <rFont val="Calibri"/>
        <charset val="134"/>
      </rPr>
      <t>遍，打磨</t>
    </r>
    <r>
      <rPr>
        <sz val="9.75"/>
        <color rgb="FF000000"/>
        <rFont val="Calibri"/>
        <charset val="134"/>
      </rPr>
      <t xml:space="preserve">
3.</t>
    </r>
    <r>
      <rPr>
        <sz val="9.75"/>
        <color rgb="FF000000"/>
        <rFont val="Calibri"/>
        <charset val="134"/>
      </rPr>
      <t>氟碳喷涂</t>
    </r>
  </si>
  <si>
    <t>2.4.2.04</t>
  </si>
  <si>
    <r>
      <rPr>
        <sz val="9.75"/>
        <color rgb="FF000000"/>
        <rFont val="Calibri"/>
        <charset val="134"/>
      </rPr>
      <t>外墙面国产花岗岩石材</t>
    </r>
  </si>
  <si>
    <r>
      <rPr>
        <sz val="9.75"/>
        <color rgb="FF000000"/>
        <rFont val="Calibri"/>
        <charset val="134"/>
      </rPr>
      <t>1.</t>
    </r>
    <r>
      <rPr>
        <sz val="9.75"/>
        <color rgb="FF000000"/>
        <rFont val="Calibri"/>
        <charset val="134"/>
      </rPr>
      <t>基层清理</t>
    </r>
    <r>
      <rPr>
        <sz val="9.75"/>
        <color rgb="FF000000"/>
        <rFont val="Calibri"/>
        <charset val="134"/>
      </rPr>
      <t xml:space="preserve">
2.</t>
    </r>
    <r>
      <rPr>
        <sz val="9.75"/>
        <color rgb="FF000000"/>
        <rFont val="Calibri"/>
        <charset val="134"/>
      </rPr>
      <t>钢龙骨自作安装</t>
    </r>
    <r>
      <rPr>
        <sz val="9.75"/>
        <color rgb="FF000000"/>
        <rFont val="Calibri"/>
        <charset val="134"/>
      </rPr>
      <t xml:space="preserve">
3.</t>
    </r>
    <r>
      <rPr>
        <sz val="9.75"/>
        <color rgb="FF000000"/>
        <rFont val="Calibri"/>
        <charset val="134"/>
      </rPr>
      <t>石材六面防护</t>
    </r>
    <r>
      <rPr>
        <sz val="9.75"/>
        <color rgb="FF000000"/>
        <rFont val="Calibri"/>
        <charset val="134"/>
      </rPr>
      <t xml:space="preserve">
4.</t>
    </r>
    <r>
      <rPr>
        <sz val="9.75"/>
        <color rgb="FF000000"/>
        <rFont val="Calibri"/>
        <charset val="134"/>
      </rPr>
      <t>干挂石材供应安装</t>
    </r>
  </si>
  <si>
    <t>2.4.3</t>
  </si>
  <si>
    <t>外幕墙玻璃</t>
  </si>
  <si>
    <t>2.4.3.01</t>
  </si>
  <si>
    <r>
      <rPr>
        <sz val="9.75"/>
        <color rgb="FF000000"/>
        <rFont val="Calibri"/>
        <charset val="134"/>
      </rPr>
      <t>外玻璃幕墙</t>
    </r>
  </si>
  <si>
    <r>
      <rPr>
        <sz val="9.75"/>
        <color rgb="FF000000"/>
        <rFont val="等线"/>
        <charset val="134"/>
        <scheme val="minor"/>
      </rPr>
      <t>1.</t>
    </r>
    <r>
      <rPr>
        <sz val="9.75"/>
        <color rgb="FF000000"/>
        <rFont val="Calibri"/>
        <charset val="134"/>
      </rPr>
      <t>钢结构骨架自作安装及相关结构改造施工</t>
    </r>
    <r>
      <rPr>
        <sz val="9.75"/>
        <color rgb="FF000000"/>
        <rFont val="Calibri"/>
        <charset val="134"/>
      </rPr>
      <t xml:space="preserve">
2.8+6+8mm</t>
    </r>
    <r>
      <rPr>
        <sz val="9.75"/>
        <color rgb="FF000000"/>
        <rFont val="Calibri"/>
        <charset val="134"/>
      </rPr>
      <t>中空</t>
    </r>
    <r>
      <rPr>
        <sz val="9.75"/>
        <color rgb="FF000000"/>
        <rFont val="Calibri"/>
        <charset val="134"/>
      </rPr>
      <t>钢化玻璃（普白）</t>
    </r>
    <r>
      <rPr>
        <sz val="9.75"/>
        <color rgb="FF000000"/>
        <rFont val="Calibri"/>
        <charset val="134"/>
      </rPr>
      <t xml:space="preserve">
3.</t>
    </r>
    <r>
      <rPr>
        <sz val="9.75"/>
        <color rgb="FF000000"/>
        <rFont val="Calibri"/>
        <charset val="134"/>
      </rPr>
      <t>氟碳喷涂铝框</t>
    </r>
  </si>
  <si>
    <t>适用于外立面＞3米高外玻璃幕墙，≤3米高幕墙套用装饰内项目</t>
  </si>
  <si>
    <t>按图示尺寸以投影面积计算</t>
  </si>
  <si>
    <t>2.4.3.02</t>
  </si>
  <si>
    <r>
      <rPr>
        <sz val="9.75"/>
        <color rgb="FF000000"/>
        <rFont val="Calibri"/>
        <charset val="134"/>
      </rPr>
      <t>主入口玻璃门</t>
    </r>
  </si>
  <si>
    <r>
      <rPr>
        <sz val="9.75"/>
        <color rgb="FF000000"/>
        <rFont val="Calibri"/>
        <charset val="134"/>
      </rPr>
      <t>1.8+6+8mm</t>
    </r>
    <r>
      <rPr>
        <sz val="9.75"/>
        <color rgb="FF000000"/>
        <rFont val="Calibri"/>
        <charset val="134"/>
      </rPr>
      <t>钢化玻璃</t>
    </r>
    <r>
      <rPr>
        <sz val="9.75"/>
        <color rgb="FF000000"/>
        <rFont val="Calibri"/>
        <charset val="134"/>
      </rPr>
      <t xml:space="preserve">
2.</t>
    </r>
    <r>
      <rPr>
        <sz val="9.75"/>
        <color rgb="FF000000"/>
        <rFont val="Calibri"/>
        <charset val="134"/>
      </rPr>
      <t>氟碳喷涂门拉手，配套五金</t>
    </r>
    <r>
      <rPr>
        <sz val="9.75"/>
        <color rgb="FF000000"/>
        <rFont val="Calibri"/>
        <charset val="134"/>
      </rPr>
      <t xml:space="preserve">
3.</t>
    </r>
    <r>
      <rPr>
        <sz val="9.75"/>
        <color rgb="FF000000"/>
        <rFont val="Calibri"/>
        <charset val="134"/>
      </rPr>
      <t>金属边框氟碳喷涂</t>
    </r>
    <r>
      <rPr>
        <sz val="9.75"/>
        <color rgb="FF000000"/>
        <rFont val="Calibri"/>
        <charset val="134"/>
      </rPr>
      <t xml:space="preserve">
*</t>
    </r>
    <r>
      <rPr>
        <sz val="9.75"/>
        <color rgb="FF000000"/>
        <rFont val="Calibri"/>
        <charset val="134"/>
      </rPr>
      <t>多玛重力地弹簧、上夹、下夹、锁夹</t>
    </r>
  </si>
  <si>
    <t>2.4.3.03</t>
  </si>
  <si>
    <r>
      <rPr>
        <sz val="9.75"/>
        <color rgb="FF000000"/>
        <rFont val="Calibri"/>
        <charset val="134"/>
      </rPr>
      <t>外玻璃幕墙，</t>
    </r>
    <r>
      <rPr>
        <sz val="9.75"/>
        <color rgb="FF000000"/>
        <rFont val="Calibri"/>
        <charset val="134"/>
      </rPr>
      <t>15mm</t>
    </r>
    <r>
      <rPr>
        <sz val="9.75"/>
        <color rgb="FF000000"/>
        <rFont val="Calibri"/>
        <charset val="134"/>
      </rPr>
      <t>超白钢化玻璃</t>
    </r>
  </si>
  <si>
    <r>
      <rPr>
        <sz val="9.75"/>
        <color rgb="FF000000"/>
        <rFont val="Calibri"/>
        <charset val="134"/>
      </rPr>
      <t>1.</t>
    </r>
    <r>
      <rPr>
        <sz val="9.75"/>
        <color rgb="FF000000"/>
        <rFont val="Calibri"/>
        <charset val="134"/>
      </rPr>
      <t>钢结构骨架自作安装及相关结构改造施工</t>
    </r>
    <r>
      <rPr>
        <sz val="9.75"/>
        <color rgb="FF000000"/>
        <rFont val="Calibri"/>
        <charset val="134"/>
      </rPr>
      <t xml:space="preserve">
2.15mm</t>
    </r>
    <r>
      <rPr>
        <sz val="9.75"/>
        <color rgb="FF000000"/>
        <rFont val="Calibri"/>
        <charset val="134"/>
      </rPr>
      <t>钢化玻璃（超白）</t>
    </r>
    <r>
      <rPr>
        <sz val="9.75"/>
        <color rgb="FF000000"/>
        <rFont val="Calibri"/>
        <charset val="134"/>
      </rPr>
      <t xml:space="preserve">
3.</t>
    </r>
    <r>
      <rPr>
        <sz val="9.75"/>
        <color rgb="FF000000"/>
        <rFont val="Calibri"/>
        <charset val="134"/>
      </rPr>
      <t>氟碳喷涂铝框</t>
    </r>
  </si>
  <si>
    <t>2.4.3.04</t>
  </si>
  <si>
    <r>
      <rPr>
        <sz val="9.75"/>
        <color rgb="FF000000"/>
        <rFont val="Calibri"/>
        <charset val="134"/>
      </rPr>
      <t>外玻璃幕墙（明框或隐框）</t>
    </r>
  </si>
  <si>
    <r>
      <rPr>
        <sz val="9.75"/>
        <color rgb="FF000000"/>
        <rFont val="Calibri"/>
        <charset val="134"/>
      </rPr>
      <t>1.</t>
    </r>
    <r>
      <rPr>
        <sz val="9.75"/>
        <color rgb="FF000000"/>
        <rFont val="Calibri"/>
        <charset val="134"/>
      </rPr>
      <t>钢结构骨架自作安装及相关结构改造施工</t>
    </r>
    <r>
      <rPr>
        <sz val="9.75"/>
        <color rgb="FF000000"/>
        <rFont val="Calibri"/>
        <charset val="134"/>
      </rPr>
      <t xml:space="preserve">
2.8+8</t>
    </r>
    <r>
      <rPr>
        <sz val="9.75"/>
        <color rgb="FF000000"/>
        <rFont val="Calibri"/>
        <charset val="134"/>
      </rPr>
      <t>夹胶玻璃钢化玻璃（普白）</t>
    </r>
    <r>
      <rPr>
        <sz val="9.75"/>
        <color rgb="FF000000"/>
        <rFont val="Calibri"/>
        <charset val="134"/>
      </rPr>
      <t xml:space="preserve">
3.</t>
    </r>
    <r>
      <rPr>
        <sz val="9.75"/>
        <color rgb="FF000000"/>
        <rFont val="Calibri"/>
        <charset val="134"/>
      </rPr>
      <t>氟碳喷涂铝框</t>
    </r>
  </si>
  <si>
    <t>2.4.3.05</t>
  </si>
  <si>
    <r>
      <rPr>
        <sz val="9.75"/>
        <color rgb="FF000000"/>
        <rFont val="Calibri"/>
        <charset val="134"/>
      </rPr>
      <t>新做消防排烟平开窗（含电动装置）</t>
    </r>
  </si>
  <si>
    <r>
      <rPr>
        <sz val="9.75"/>
        <color rgb="FF000000"/>
        <rFont val="Calibri"/>
        <charset val="134"/>
      </rPr>
      <t>1.</t>
    </r>
    <r>
      <rPr>
        <sz val="9.75"/>
        <color rgb="FF000000"/>
        <rFont val="Calibri"/>
        <charset val="134"/>
      </rPr>
      <t>成品电动排烟窗</t>
    </r>
    <r>
      <rPr>
        <sz val="9.75"/>
        <color rgb="FF000000"/>
        <rFont val="Calibri"/>
        <charset val="134"/>
      </rPr>
      <t xml:space="preserve">
2.</t>
    </r>
    <r>
      <rPr>
        <sz val="9.75"/>
        <color rgb="FF000000"/>
        <rFont val="Calibri"/>
        <charset val="134"/>
      </rPr>
      <t>电机、控制器、控制主板</t>
    </r>
    <r>
      <rPr>
        <sz val="9.75"/>
        <color rgb="FF000000"/>
        <rFont val="Calibri"/>
        <charset val="134"/>
      </rPr>
      <t xml:space="preserve">
3.</t>
    </r>
    <r>
      <rPr>
        <sz val="9.75"/>
        <color rgb="FF000000"/>
        <rFont val="Calibri"/>
        <charset val="134"/>
      </rPr>
      <t>设备调试安装</t>
    </r>
  </si>
  <si>
    <t>2.4.3.06</t>
  </si>
  <si>
    <r>
      <rPr>
        <sz val="9.75"/>
        <color rgb="FF000000"/>
        <rFont val="Calibri"/>
        <charset val="134"/>
      </rPr>
      <t>双扇玻璃门：</t>
    </r>
    <r>
      <rPr>
        <sz val="9.75"/>
        <color rgb="FF000000"/>
        <rFont val="Calibri"/>
        <charset val="134"/>
      </rPr>
      <t xml:space="preserve"> 1500*2200</t>
    </r>
  </si>
  <si>
    <r>
      <rPr>
        <sz val="9.75"/>
        <color rgb="FF000000"/>
        <rFont val="Calibri"/>
        <charset val="134"/>
      </rPr>
      <t>1.15</t>
    </r>
    <r>
      <rPr>
        <sz val="9.75"/>
        <color rgb="FF000000"/>
        <rFont val="Calibri"/>
        <charset val="134"/>
      </rPr>
      <t>钢化玻璃</t>
    </r>
    <r>
      <rPr>
        <sz val="9.75"/>
        <color rgb="FF000000"/>
        <rFont val="Calibri"/>
        <charset val="134"/>
      </rPr>
      <t xml:space="preserve">
2.</t>
    </r>
    <r>
      <rPr>
        <sz val="9.75"/>
        <color rgb="FF000000"/>
        <rFont val="Calibri"/>
        <charset val="134"/>
      </rPr>
      <t>氟碳喷涂门拉手，配套五金</t>
    </r>
    <r>
      <rPr>
        <sz val="9.75"/>
        <color rgb="FF000000"/>
        <rFont val="Calibri"/>
        <charset val="134"/>
      </rPr>
      <t xml:space="preserve">
3.</t>
    </r>
    <r>
      <rPr>
        <sz val="9.75"/>
        <color rgb="FF000000"/>
        <rFont val="Calibri"/>
        <charset val="134"/>
      </rPr>
      <t>金属边框氟碳喷涂</t>
    </r>
    <r>
      <rPr>
        <sz val="9.75"/>
        <color rgb="FF000000"/>
        <rFont val="Calibri"/>
        <charset val="134"/>
      </rPr>
      <t xml:space="preserve">
*</t>
    </r>
    <r>
      <rPr>
        <sz val="9.75"/>
        <color rgb="FF000000"/>
        <rFont val="Calibri"/>
        <charset val="134"/>
      </rPr>
      <t>多玛重力地弹簧、上夹、下夹、锁夹</t>
    </r>
  </si>
  <si>
    <r>
      <rPr>
        <sz val="9.75"/>
        <color rgb="FF000000"/>
        <rFont val="Calibri"/>
        <charset val="134"/>
      </rPr>
      <t>樘</t>
    </r>
  </si>
  <si>
    <t>2.4.3.07</t>
  </si>
  <si>
    <r>
      <rPr>
        <sz val="9.75"/>
        <color rgb="FF000000"/>
        <rFont val="Calibri"/>
        <charset val="134"/>
      </rPr>
      <t>双扇玻璃门：</t>
    </r>
    <r>
      <rPr>
        <sz val="9.75"/>
        <color rgb="FF000000"/>
        <rFont val="Calibri"/>
        <charset val="134"/>
      </rPr>
      <t xml:space="preserve"> L2500*H2400</t>
    </r>
  </si>
  <si>
    <r>
      <rPr>
        <sz val="9.75"/>
        <color rgb="FF000000"/>
        <rFont val="Calibri"/>
        <charset val="134"/>
      </rPr>
      <t>1.15mm</t>
    </r>
    <r>
      <rPr>
        <sz val="9.75"/>
        <color rgb="FF000000"/>
        <rFont val="Calibri"/>
        <charset val="134"/>
      </rPr>
      <t>钢化玻璃</t>
    </r>
    <r>
      <rPr>
        <sz val="9.75"/>
        <color rgb="FF000000"/>
        <rFont val="Calibri"/>
        <charset val="134"/>
      </rPr>
      <t xml:space="preserve">
2.</t>
    </r>
    <r>
      <rPr>
        <sz val="9.75"/>
        <color rgb="FF000000"/>
        <rFont val="Calibri"/>
        <charset val="134"/>
      </rPr>
      <t>氟碳喷涂门拉手，配套五金</t>
    </r>
    <r>
      <rPr>
        <sz val="9.75"/>
        <color rgb="FF000000"/>
        <rFont val="Calibri"/>
        <charset val="134"/>
      </rPr>
      <t xml:space="preserve">
3.</t>
    </r>
    <r>
      <rPr>
        <sz val="9.75"/>
        <color rgb="FF000000"/>
        <rFont val="Calibri"/>
        <charset val="134"/>
      </rPr>
      <t>金属边框氟碳喷涂</t>
    </r>
    <r>
      <rPr>
        <sz val="9.75"/>
        <color rgb="FF000000"/>
        <rFont val="Calibri"/>
        <charset val="134"/>
      </rPr>
      <t xml:space="preserve">
*</t>
    </r>
    <r>
      <rPr>
        <sz val="9.75"/>
        <color rgb="FF000000"/>
        <rFont val="Calibri"/>
        <charset val="134"/>
      </rPr>
      <t>多玛重力地弹簧、上夹、下夹、锁夹</t>
    </r>
  </si>
  <si>
    <t>2.4.3.08</t>
  </si>
  <si>
    <r>
      <rPr>
        <sz val="9.75"/>
        <color rgb="FF000000"/>
        <rFont val="Calibri"/>
        <charset val="134"/>
      </rPr>
      <t>外窗、外墙彩钢板孔洞修补</t>
    </r>
  </si>
  <si>
    <r>
      <rPr>
        <sz val="9.75"/>
        <color rgb="FF000000"/>
        <rFont val="Calibri"/>
        <charset val="134"/>
      </rPr>
      <t>1.</t>
    </r>
    <r>
      <rPr>
        <sz val="9.75"/>
        <color rgb="FF000000"/>
        <rFont val="Calibri"/>
        <charset val="134"/>
      </rPr>
      <t>修补外窗玻璃</t>
    </r>
    <r>
      <rPr>
        <sz val="9.75"/>
        <color rgb="FF000000"/>
        <rFont val="Calibri"/>
        <charset val="134"/>
      </rPr>
      <t>&amp;</t>
    </r>
    <r>
      <rPr>
        <sz val="9.75"/>
        <color rgb="FF000000"/>
        <rFont val="Calibri"/>
        <charset val="134"/>
      </rPr>
      <t>彩钢板</t>
    </r>
    <r>
      <rPr>
        <sz val="9.75"/>
        <color rgb="FF000000"/>
        <rFont val="Calibri"/>
        <charset val="134"/>
      </rPr>
      <t xml:space="preserve">
2.</t>
    </r>
    <r>
      <rPr>
        <sz val="9.75"/>
        <color rgb="FF000000"/>
        <rFont val="Calibri"/>
        <charset val="134"/>
      </rPr>
      <t>龙骨加固</t>
    </r>
  </si>
  <si>
    <t>2.4.4</t>
  </si>
  <si>
    <t>雨棚</t>
  </si>
  <si>
    <t>2.4.4.01</t>
  </si>
  <si>
    <t>外幕墙铝塑板雨棚</t>
  </si>
  <si>
    <r>
      <rPr>
        <sz val="9.75"/>
        <color rgb="FF000000"/>
        <rFont val="Calibri"/>
        <charset val="134"/>
      </rPr>
      <t>1.</t>
    </r>
    <r>
      <rPr>
        <sz val="9.75"/>
        <color rgb="FF000000"/>
        <rFont val="Calibri"/>
        <charset val="134"/>
      </rPr>
      <t>铝塑板面层</t>
    </r>
    <r>
      <rPr>
        <sz val="9.75"/>
        <color rgb="FF000000"/>
        <rFont val="Calibri"/>
        <charset val="134"/>
      </rPr>
      <t xml:space="preserve">
2.</t>
    </r>
    <r>
      <rPr>
        <sz val="9.75"/>
        <color rgb="FF000000"/>
        <rFont val="Calibri"/>
        <charset val="134"/>
      </rPr>
      <t>铝方型材龙骨，用于固定铝板</t>
    </r>
    <r>
      <rPr>
        <sz val="9.75"/>
        <color rgb="FF000000"/>
        <rFont val="Calibri"/>
        <charset val="134"/>
      </rPr>
      <t xml:space="preserve">
3.</t>
    </r>
    <r>
      <rPr>
        <sz val="9.75"/>
        <color rgb="FF000000"/>
        <rFont val="Calibri"/>
        <charset val="134"/>
      </rPr>
      <t>方钢龙骨，固定于墙面</t>
    </r>
  </si>
  <si>
    <t>1、按展开面积计算
2、雨棚跨度＞3.5米，雨棚所用型钢骨架及饰面材料骨架套用钢结构项目以吨计量，饰面材料单独计算。</t>
  </si>
  <si>
    <t>2.4.4.02</t>
  </si>
  <si>
    <t>外幕墙钢化夹胶玻璃雨棚</t>
  </si>
  <si>
    <r>
      <rPr>
        <sz val="9.75"/>
        <color rgb="FF000000"/>
        <rFont val="Calibri"/>
        <charset val="134"/>
      </rPr>
      <t>1.6+1.2+6</t>
    </r>
    <r>
      <rPr>
        <sz val="9.75"/>
        <color rgb="FF000000"/>
        <rFont val="Calibri"/>
        <charset val="134"/>
      </rPr>
      <t>钢化夹胶玻璃</t>
    </r>
    <r>
      <rPr>
        <sz val="9.75"/>
        <color rgb="FF000000"/>
        <rFont val="Calibri"/>
        <charset val="134"/>
      </rPr>
      <t xml:space="preserve">
2.</t>
    </r>
    <r>
      <rPr>
        <sz val="9.75"/>
        <color rgb="FF000000"/>
        <rFont val="Calibri"/>
        <charset val="134"/>
      </rPr>
      <t>镀锌方管龙骨，含结构链接</t>
    </r>
    <r>
      <rPr>
        <sz val="9.75"/>
        <color rgb="FF000000"/>
        <rFont val="Calibri"/>
        <charset val="134"/>
      </rPr>
      <t xml:space="preserve">
3.</t>
    </r>
    <r>
      <rPr>
        <sz val="9.75"/>
        <color rgb="FF000000"/>
        <rFont val="Calibri"/>
        <charset val="134"/>
      </rPr>
      <t>氟碳漆</t>
    </r>
  </si>
  <si>
    <t>2.4.5</t>
  </si>
  <si>
    <t>门头</t>
  </si>
  <si>
    <t>2.4.5.01</t>
  </si>
  <si>
    <t>外墙铝塑板，含基层处理</t>
  </si>
  <si>
    <r>
      <rPr>
        <sz val="9.75"/>
        <color rgb="FF000000"/>
        <rFont val="Calibri"/>
        <charset val="134"/>
      </rPr>
      <t>1.</t>
    </r>
    <r>
      <rPr>
        <sz val="9.75"/>
        <color rgb="FF000000"/>
        <rFont val="Calibri"/>
        <charset val="134"/>
      </rPr>
      <t>铝塑板面层</t>
    </r>
    <r>
      <rPr>
        <sz val="9.75"/>
        <color rgb="FF000000"/>
        <rFont val="Calibri"/>
        <charset val="134"/>
      </rPr>
      <t xml:space="preserve">
2.</t>
    </r>
    <r>
      <rPr>
        <sz val="9.75"/>
        <color rgb="FF000000"/>
        <rFont val="Calibri"/>
        <charset val="134"/>
      </rPr>
      <t>镀锌方钢龙骨，用于固定铝塑板</t>
    </r>
    <r>
      <rPr>
        <sz val="9.75"/>
        <color rgb="FF000000"/>
        <rFont val="Calibri"/>
        <charset val="134"/>
      </rPr>
      <t xml:space="preserve">
3.</t>
    </r>
    <r>
      <rPr>
        <sz val="9.75"/>
        <color rgb="FF000000"/>
        <rFont val="Calibri"/>
        <charset val="134"/>
      </rPr>
      <t>含结构胶勾缝</t>
    </r>
  </si>
  <si>
    <t>2.4.5.02</t>
  </si>
  <si>
    <r>
      <rPr>
        <sz val="9.75"/>
        <color rgb="FF000000"/>
        <rFont val="Calibri"/>
        <charset val="134"/>
      </rPr>
      <t>外墙</t>
    </r>
    <r>
      <rPr>
        <sz val="9.75"/>
        <color rgb="FF000000"/>
        <rFont val="Calibri"/>
        <charset val="134"/>
      </rPr>
      <t>LOGO</t>
    </r>
    <r>
      <rPr>
        <sz val="9.75"/>
        <color rgb="FF000000"/>
        <rFont val="Calibri"/>
        <charset val="134"/>
      </rPr>
      <t>安装位置角钢加固</t>
    </r>
  </si>
  <si>
    <r>
      <rPr>
        <sz val="9.75"/>
        <color rgb="FF000000"/>
        <rFont val="Calibri"/>
        <charset val="134"/>
      </rPr>
      <t>1.</t>
    </r>
    <r>
      <rPr>
        <sz val="9.75"/>
        <color rgb="FF000000"/>
        <rFont val="Calibri"/>
        <charset val="134"/>
      </rPr>
      <t>外墙龙骨加密</t>
    </r>
  </si>
  <si>
    <t>2.4.5.03</t>
  </si>
  <si>
    <t>外墙铝板（蓝色），含基层处理</t>
  </si>
  <si>
    <r>
      <rPr>
        <sz val="9.75"/>
        <color rgb="FF000000"/>
        <rFont val="Calibri"/>
        <charset val="134"/>
      </rPr>
      <t>1.</t>
    </r>
    <r>
      <rPr>
        <sz val="9.75"/>
        <color rgb="FF000000"/>
        <rFont val="Calibri"/>
        <charset val="134"/>
      </rPr>
      <t>蓝色铝板面层</t>
    </r>
    <r>
      <rPr>
        <sz val="9.75"/>
        <color rgb="FF000000"/>
        <rFont val="Calibri"/>
        <charset val="134"/>
      </rPr>
      <t xml:space="preserve">
2.</t>
    </r>
    <r>
      <rPr>
        <sz val="9.75"/>
        <color rgb="FF000000"/>
        <rFont val="Calibri"/>
        <charset val="134"/>
      </rPr>
      <t>镀锌方钢龙骨，用于固定铝塑板</t>
    </r>
    <r>
      <rPr>
        <sz val="9.75"/>
        <color rgb="FF000000"/>
        <rFont val="Calibri"/>
        <charset val="134"/>
      </rPr>
      <t xml:space="preserve">
3.</t>
    </r>
    <r>
      <rPr>
        <sz val="9.75"/>
        <color rgb="FF000000"/>
        <rFont val="Calibri"/>
        <charset val="134"/>
      </rPr>
      <t>含结构胶勾缝</t>
    </r>
    <r>
      <rPr>
        <sz val="9.75"/>
        <color rgb="FF000000"/>
        <rFont val="Calibri"/>
        <charset val="134"/>
      </rPr>
      <t xml:space="preserve">
4</t>
    </r>
    <r>
      <rPr>
        <sz val="9.75"/>
        <color rgb="FF000000"/>
        <rFont val="Calibri"/>
        <charset val="134"/>
      </rPr>
      <t>、铝板厚度：</t>
    </r>
    <r>
      <rPr>
        <sz val="9.75"/>
        <color rgb="FF000000"/>
        <rFont val="Calibri"/>
        <charset val="134"/>
      </rPr>
      <t>2mm</t>
    </r>
  </si>
  <si>
    <t>2.4.5.04</t>
  </si>
  <si>
    <r>
      <rPr>
        <sz val="10"/>
        <color rgb="FF000000"/>
        <rFont val="Calibri"/>
        <charset val="134"/>
      </rPr>
      <t>1.</t>
    </r>
    <r>
      <rPr>
        <sz val="10"/>
        <color rgb="FF000000"/>
        <rFont val="宋体"/>
        <charset val="134"/>
      </rPr>
      <t>铝塑板面层</t>
    </r>
    <r>
      <rPr>
        <sz val="10"/>
        <color rgb="FF000000"/>
        <rFont val="Calibri"/>
        <charset val="134"/>
      </rPr>
      <t xml:space="preserve">
2.</t>
    </r>
    <r>
      <rPr>
        <sz val="10"/>
        <color rgb="FF000000"/>
        <rFont val="宋体"/>
        <charset val="134"/>
      </rPr>
      <t>含结构胶勾缝</t>
    </r>
    <r>
      <rPr>
        <sz val="10"/>
        <color rgb="FF000000"/>
        <rFont val="Calibri"/>
        <charset val="134"/>
      </rPr>
      <t xml:space="preserve">
3.</t>
    </r>
    <r>
      <rPr>
        <sz val="10"/>
        <color rgb="FF000000"/>
        <rFont val="宋体"/>
        <charset val="134"/>
      </rPr>
      <t>原基层打磨调平</t>
    </r>
  </si>
  <si>
    <t>2.4.5.05</t>
  </si>
  <si>
    <t xml:space="preserve">提供及安装外幕墙烤漆铝板
</t>
  </si>
  <si>
    <t>包括结构、折边、防水等费用
*2mm厚
*金属龙骨基础；干挂铝板；铝板密拼且无需打胶；包含刨槽折边</t>
  </si>
  <si>
    <t>按展开面积计算</t>
  </si>
  <si>
    <t>2.4.5.06</t>
  </si>
  <si>
    <t>包括结构、折边、防水等费用
*3mm厚
*金属龙骨基础；干挂铝板；铝板密拼且无需打胶；包含刨槽折边</t>
  </si>
  <si>
    <t>50㎡以内</t>
  </si>
  <si>
    <t>2.4.5.07</t>
  </si>
  <si>
    <t>50㎡以外</t>
  </si>
  <si>
    <t>2.4.5.08</t>
  </si>
  <si>
    <t xml:space="preserve">木纹贴皮门头： 大门门头内框
</t>
  </si>
  <si>
    <t>(1)基层：钢架+铝塑板基层
(2)面层：防燃饰面，密缝拼装</t>
  </si>
  <si>
    <t>2.4.5.09</t>
  </si>
  <si>
    <t>2.4.5.10</t>
  </si>
  <si>
    <t xml:space="preserve">木纹转印铝板
</t>
  </si>
  <si>
    <t>1.干挂3mm厚铝板；铝板密拼且无需打胶；包含刨槽折边
2.60x60x4铝方型材龙骨，横向间距同金属板材宽度，纵向间距同金属板材长度，用螺栓与角钢连接，角钢用膨胀螺栓固定于墙体上包括结构、折边、防水等费用</t>
  </si>
  <si>
    <t>2.4.5.11</t>
  </si>
  <si>
    <t>1.干挂3mm厚铝板；铝板密拼且无需打胶；包含刨槽折边
2..60x60x4铝方型材龙骨，横向间距同金属板材宽度，纵向间距同金属板材长度，用螺栓与角钢连接，角钢用膨胀螺栓固定于墙体上包括结构、折边、防水等费用</t>
  </si>
  <si>
    <t>2.4.5.12</t>
  </si>
  <si>
    <t xml:space="preserve">波纹铝板
</t>
  </si>
  <si>
    <t>1.干挂3mm厚铝板；铝板密拼且无需打胶；包含刨槽折边
2..60x60x4铝方型材龙骨，横向间距同金属板材宽度，纵向间距同金属板材长度，用螺栓与角钢连接，角钢用膨胀螺栓固定于墙体上</t>
  </si>
  <si>
    <t>2.4.5.13</t>
  </si>
  <si>
    <t>2.4.5.14</t>
  </si>
  <si>
    <t xml:space="preserve">穿孔铝板
</t>
  </si>
  <si>
    <t>3mm铝板冲孔，氟碳喷涂，20%哑光度
1.干挂3mm厚铝板；铝板密拼且无需打胶；包含刨槽折边
2.60x60x4铝方型材龙骨，横向间距同金属板材宽度，纵向间距同金属板材长度，用螺栓与角钢连接，角钢用膨胀螺栓固定于墙体上</t>
  </si>
  <si>
    <t>2.4.5.15</t>
  </si>
  <si>
    <t>2.4.5.16</t>
  </si>
  <si>
    <t xml:space="preserve">铝方管  40*60*3mm铝管
</t>
  </si>
  <si>
    <t>1.铝方管规格：40*60*3mm
2.表面处理：氟碳喷涂，潘通Black U，5%闪银，10%哑光度
3.固定方式：螺栓、L50*4铝角码（氟碳喷涂）固定在竖向方钢管</t>
  </si>
  <si>
    <t>按延长米计算</t>
  </si>
  <si>
    <t>2.4.5.17</t>
  </si>
  <si>
    <t xml:space="preserve">铝方管  50*100*2mm铝管
</t>
  </si>
  <si>
    <t>1.铝方管规格：50*100*2mm
2.表面处理：氟碳喷涂，潘通Black U，5%闪银，10%哑光度
3.固定方式：螺栓、L50*4铝角码（氟碳喷涂）固定在竖向方钢管</t>
  </si>
  <si>
    <t>2.4.5.18</t>
  </si>
  <si>
    <t xml:space="preserve">铝方管  50*150*2mm铝管
</t>
  </si>
  <si>
    <t>1.铝方管规格：50*150*2mm
2.表面处理：氟碳喷涂，潘通Black U，5%闪银，10%哑光度
3.固定方式：螺栓、L50*4铝角码（氟碳喷涂）固定在竖向方钢管</t>
  </si>
  <si>
    <t>2.4.5.19</t>
  </si>
  <si>
    <t xml:space="preserve">铝方管  50*200*2mm铝管
</t>
  </si>
  <si>
    <t>1.铝方管规格：50*200*2mm
2.表面处理：氟碳喷涂，20%哑光度
3.固定方式：螺栓、L50*4铝角码（氟碳喷涂）固定在竖向方钢管</t>
  </si>
  <si>
    <t>2.4.5.20</t>
  </si>
  <si>
    <t xml:space="preserve">铝方管  30*200*2mm铝管
</t>
  </si>
  <si>
    <t>1.铝方管规格：30*200*2mm
2.表面处理：氟碳喷涂，20%哑光度
3.固定方式：螺栓、L50*4铝角码（氟碳喷涂）固定在竖向方钢管</t>
  </si>
  <si>
    <t>2.4.5.21</t>
  </si>
  <si>
    <t>镀钛金属板（包边）</t>
  </si>
  <si>
    <t>2.4.5.22</t>
  </si>
  <si>
    <t>门头铝板弧形加工补差</t>
  </si>
  <si>
    <t>2.4.5.23</t>
  </si>
  <si>
    <t xml:space="preserve">大理石石材墙面
</t>
  </si>
  <si>
    <t>1.30厚石材板
2.L50x50x5横向角钢龙骨(根据石板大小调整角钢尺寸)中距为石板高度+缝宽
3.L60x60x6(或由设计人定)竖向角钢龙骨(根据石板大小调整角钢尺寸)中距为石板宽度+缝宽
4.角钢龙骨焊于墙内预埋伸出的角钢头上或在墙内预埋钢板，然后用角钢焊连竖向角钢龙骨</t>
  </si>
  <si>
    <t>2.4.5.24</t>
  </si>
  <si>
    <t>2.4.5.25</t>
  </si>
  <si>
    <t xml:space="preserve">花岗岩石材
</t>
  </si>
  <si>
    <t>1.基层清理
2.钢龙骨制作安装
3.石材六面防护
4.干挂石材供应安装
5.30厚石材板</t>
  </si>
  <si>
    <t>2.4.5.26</t>
  </si>
  <si>
    <t>外幕墙烤漆铝框</t>
  </si>
  <si>
    <t>2.4.5.27</t>
  </si>
  <si>
    <t>铝板漆面修复</t>
  </si>
  <si>
    <t>净长*高度计算</t>
  </si>
  <si>
    <t>2.4.5.28</t>
  </si>
  <si>
    <t xml:space="preserve">中文标识内嵌正发光
</t>
  </si>
  <si>
    <t>1.灯箱背板：白色铝塑板框体
2.内置5500K防水LED
3.镶嵌乳白色亚克力3mm+5mm
4.文字处面板镂空</t>
  </si>
  <si>
    <t>按图示面积计算</t>
  </si>
  <si>
    <r>
      <rPr>
        <b/>
        <sz val="9.75"/>
        <color rgb="FF000000"/>
        <rFont val="Calibri"/>
        <charset val="134"/>
      </rPr>
      <t>外立面工程合计：</t>
    </r>
  </si>
  <si>
    <t>理想汽车中心店室外工程量清单</t>
  </si>
  <si>
    <t>2.5室外工程</t>
  </si>
  <si>
    <t>2.5.1</t>
  </si>
  <si>
    <t>沥青地面，含场地平整</t>
  </si>
  <si>
    <t>2.5.1.1</t>
  </si>
  <si>
    <r>
      <rPr>
        <sz val="9.75"/>
        <color rgb="FF000000"/>
        <rFont val="Calibri"/>
        <charset val="134"/>
      </rPr>
      <t>30mm</t>
    </r>
    <r>
      <rPr>
        <sz val="9.75"/>
        <color rgb="FF000000"/>
        <rFont val="Calibri"/>
        <charset val="134"/>
      </rPr>
      <t>厚细沥青混凝土</t>
    </r>
  </si>
  <si>
    <r>
      <rPr>
        <sz val="9.75"/>
        <color rgb="FF000000"/>
        <rFont val="Calibri"/>
        <charset val="134"/>
      </rPr>
      <t>1.</t>
    </r>
    <r>
      <rPr>
        <sz val="9.75"/>
        <color rgb="FF000000"/>
        <rFont val="Calibri"/>
        <charset val="134"/>
      </rPr>
      <t>地面清理、平整</t>
    </r>
    <r>
      <rPr>
        <sz val="9.75"/>
        <color rgb="FF000000"/>
        <rFont val="Calibri"/>
        <charset val="134"/>
      </rPr>
      <t xml:space="preserve">
2.30mm</t>
    </r>
    <r>
      <rPr>
        <sz val="9.75"/>
        <color rgb="FF000000"/>
        <rFont val="Calibri"/>
        <charset val="134"/>
      </rPr>
      <t>后沥青混凝土</t>
    </r>
    <r>
      <rPr>
        <sz val="9.75"/>
        <color rgb="FF000000"/>
        <rFont val="Calibri"/>
        <charset val="134"/>
      </rPr>
      <t xml:space="preserve">
3.</t>
    </r>
    <r>
      <rPr>
        <sz val="9.75"/>
        <color rgb="FF000000"/>
        <rFont val="Calibri"/>
        <charset val="134"/>
      </rPr>
      <t>面层压平</t>
    </r>
  </si>
  <si>
    <t>2.5.1.2</t>
  </si>
  <si>
    <r>
      <rPr>
        <sz val="9.75"/>
        <color rgb="FF000000"/>
        <rFont val="Calibri"/>
        <charset val="134"/>
      </rPr>
      <t>50mm</t>
    </r>
    <r>
      <rPr>
        <sz val="9.75"/>
        <color rgb="FF000000"/>
        <rFont val="Calibri"/>
        <charset val="134"/>
      </rPr>
      <t>厚粗沥青混凝土</t>
    </r>
  </si>
  <si>
    <r>
      <rPr>
        <sz val="9.75"/>
        <color rgb="FF000000"/>
        <rFont val="Calibri"/>
        <charset val="134"/>
      </rPr>
      <t>1.</t>
    </r>
    <r>
      <rPr>
        <sz val="9.75"/>
        <color rgb="FF000000"/>
        <rFont val="Calibri"/>
        <charset val="134"/>
      </rPr>
      <t>地面清理、平整</t>
    </r>
    <r>
      <rPr>
        <sz val="9.75"/>
        <color rgb="FF000000"/>
        <rFont val="Calibri"/>
        <charset val="134"/>
      </rPr>
      <t xml:space="preserve">
2.50mm</t>
    </r>
    <r>
      <rPr>
        <sz val="9.75"/>
        <color rgb="FF000000"/>
        <rFont val="Calibri"/>
        <charset val="134"/>
      </rPr>
      <t>后沥青混凝土</t>
    </r>
    <r>
      <rPr>
        <sz val="9.75"/>
        <color rgb="FF000000"/>
        <rFont val="Calibri"/>
        <charset val="134"/>
      </rPr>
      <t xml:space="preserve">
3.</t>
    </r>
    <r>
      <rPr>
        <sz val="9.75"/>
        <color rgb="FF000000"/>
        <rFont val="Calibri"/>
        <charset val="134"/>
      </rPr>
      <t>面层压平</t>
    </r>
  </si>
  <si>
    <t>2.5.1.3</t>
  </si>
  <si>
    <t>拆除原有沥青路面</t>
  </si>
  <si>
    <r>
      <rPr>
        <sz val="9.75"/>
        <color rgb="FF000000"/>
        <rFont val="Calibri"/>
        <charset val="134"/>
      </rPr>
      <t>1.</t>
    </r>
    <r>
      <rPr>
        <sz val="9.75"/>
        <color rgb="FF000000"/>
        <rFont val="Calibri"/>
        <charset val="134"/>
      </rPr>
      <t>拆除原有沥青地面</t>
    </r>
    <r>
      <rPr>
        <sz val="9.75"/>
        <color rgb="FF000000"/>
        <rFont val="Calibri"/>
        <charset val="134"/>
      </rPr>
      <t xml:space="preserve">
2.</t>
    </r>
    <r>
      <rPr>
        <sz val="9.75"/>
        <color rgb="FF000000"/>
        <rFont val="Calibri"/>
        <charset val="134"/>
      </rPr>
      <t>垃圾清理及垃圾外运</t>
    </r>
  </si>
  <si>
    <t>2.5.1.4</t>
  </si>
  <si>
    <r>
      <rPr>
        <sz val="9.75"/>
        <color rgb="FF000000"/>
        <rFont val="Calibri"/>
        <charset val="134"/>
      </rPr>
      <t>150mm</t>
    </r>
    <r>
      <rPr>
        <sz val="9.75"/>
        <color rgb="FF000000"/>
        <rFont val="Calibri"/>
        <charset val="134"/>
      </rPr>
      <t>素混凝土基层</t>
    </r>
  </si>
  <si>
    <r>
      <rPr>
        <sz val="9.75"/>
        <color rgb="FF000000"/>
        <rFont val="Calibri"/>
        <charset val="134"/>
      </rPr>
      <t>1.</t>
    </r>
    <r>
      <rPr>
        <sz val="9.75"/>
        <color rgb="FF000000"/>
        <rFont val="Calibri"/>
        <charset val="134"/>
      </rPr>
      <t>地面清理、平整</t>
    </r>
    <r>
      <rPr>
        <sz val="9.75"/>
        <color rgb="FF000000"/>
        <rFont val="Calibri"/>
        <charset val="134"/>
      </rPr>
      <t xml:space="preserve">
2.150mm</t>
    </r>
    <r>
      <rPr>
        <sz val="9.75"/>
        <color rgb="FF000000"/>
        <rFont val="Calibri"/>
        <charset val="134"/>
      </rPr>
      <t>素混凝土基层</t>
    </r>
    <r>
      <rPr>
        <sz val="9.75"/>
        <color rgb="FF000000"/>
        <rFont val="Calibri"/>
        <charset val="134"/>
      </rPr>
      <t xml:space="preserve">
3.</t>
    </r>
    <r>
      <rPr>
        <sz val="9.75"/>
        <color rgb="FF000000"/>
        <rFont val="Calibri"/>
        <charset val="134"/>
      </rPr>
      <t>面层压光</t>
    </r>
    <r>
      <rPr>
        <sz val="9.75"/>
        <color rgb="FF000000"/>
        <rFont val="Calibri"/>
        <charset val="134"/>
      </rPr>
      <t xml:space="preserve">
4.</t>
    </r>
    <r>
      <rPr>
        <sz val="9.75"/>
        <color rgb="FF000000"/>
        <rFont val="Calibri"/>
        <charset val="134"/>
      </rPr>
      <t>防滑处理</t>
    </r>
  </si>
  <si>
    <t>2.5.1.5</t>
  </si>
  <si>
    <r>
      <rPr>
        <sz val="9.75"/>
        <color rgb="FF000000"/>
        <rFont val="Calibri"/>
        <charset val="134"/>
      </rPr>
      <t>150mm</t>
    </r>
    <r>
      <rPr>
        <sz val="9.75"/>
        <color rgb="FF000000"/>
        <rFont val="Calibri"/>
        <charset val="134"/>
      </rPr>
      <t>碎石垫层基层</t>
    </r>
  </si>
  <si>
    <r>
      <rPr>
        <sz val="9.75"/>
        <color rgb="FF000000"/>
        <rFont val="Calibri"/>
        <charset val="134"/>
      </rPr>
      <t>1.</t>
    </r>
    <r>
      <rPr>
        <sz val="9.75"/>
        <color rgb="FF000000"/>
        <rFont val="Calibri"/>
        <charset val="134"/>
      </rPr>
      <t>地面清理、平整</t>
    </r>
    <r>
      <rPr>
        <sz val="9.75"/>
        <color rgb="FF000000"/>
        <rFont val="Calibri"/>
        <charset val="134"/>
      </rPr>
      <t xml:space="preserve">
2.150mm</t>
    </r>
    <r>
      <rPr>
        <sz val="9.75"/>
        <color rgb="FF000000"/>
        <rFont val="Calibri"/>
        <charset val="134"/>
      </rPr>
      <t>碎石垫层基层</t>
    </r>
  </si>
  <si>
    <t>2.5.1.6</t>
  </si>
  <si>
    <r>
      <rPr>
        <sz val="9.75"/>
        <color rgb="FF000000"/>
        <rFont val="Calibri"/>
        <charset val="134"/>
      </rPr>
      <t>厚</t>
    </r>
    <r>
      <rPr>
        <sz val="9.75"/>
        <color rgb="FF000000"/>
        <rFont val="Calibri"/>
        <charset val="134"/>
      </rPr>
      <t>100mm</t>
    </r>
    <r>
      <rPr>
        <sz val="9.75"/>
        <color rgb="FF000000"/>
        <rFont val="Calibri"/>
        <charset val="134"/>
      </rPr>
      <t>混凝土地面</t>
    </r>
  </si>
  <si>
    <r>
      <rPr>
        <sz val="9.75"/>
        <color rgb="FF000000"/>
        <rFont val="Calibri"/>
        <charset val="134"/>
      </rPr>
      <t>1.</t>
    </r>
    <r>
      <rPr>
        <sz val="9.75"/>
        <color rgb="FF000000"/>
        <rFont val="Calibri"/>
        <charset val="134"/>
      </rPr>
      <t>地面清理、场地平整</t>
    </r>
    <r>
      <rPr>
        <sz val="9.75"/>
        <color rgb="FF000000"/>
        <rFont val="Calibri"/>
        <charset val="134"/>
      </rPr>
      <t xml:space="preserve">
2.100mm</t>
    </r>
    <r>
      <rPr>
        <sz val="9.75"/>
        <color rgb="FF000000"/>
        <rFont val="Calibri"/>
        <charset val="134"/>
      </rPr>
      <t>混凝土地面</t>
    </r>
    <r>
      <rPr>
        <sz val="9.75"/>
        <color rgb="FF000000"/>
        <rFont val="Calibri"/>
        <charset val="134"/>
      </rPr>
      <t xml:space="preserve">
3.</t>
    </r>
    <r>
      <rPr>
        <sz val="9.75"/>
        <color rgb="FF000000"/>
        <rFont val="Calibri"/>
        <charset val="134"/>
      </rPr>
      <t>满铺钢筋网片</t>
    </r>
    <r>
      <rPr>
        <sz val="9.75"/>
        <color rgb="FF000000"/>
        <rFont val="Calibri"/>
        <charset val="134"/>
      </rPr>
      <t xml:space="preserve">
4.</t>
    </r>
    <r>
      <rPr>
        <sz val="9.75"/>
        <color rgb="FF000000"/>
        <rFont val="Calibri"/>
        <charset val="134"/>
      </rPr>
      <t>面层压光，防滑处理</t>
    </r>
  </si>
  <si>
    <t>2.5.1.7</t>
  </si>
  <si>
    <r>
      <rPr>
        <sz val="9.75"/>
        <color rgb="FF000000"/>
        <rFont val="Calibri"/>
        <charset val="134"/>
      </rPr>
      <t>1.</t>
    </r>
    <r>
      <rPr>
        <sz val="9.75"/>
        <color rgb="FF000000"/>
        <rFont val="Calibri"/>
        <charset val="134"/>
      </rPr>
      <t>地面清理、场地平整</t>
    </r>
    <r>
      <rPr>
        <sz val="9.75"/>
        <color rgb="FF000000"/>
        <rFont val="Calibri"/>
        <charset val="134"/>
      </rPr>
      <t xml:space="preserve">
2.100mm</t>
    </r>
    <r>
      <rPr>
        <sz val="9.75"/>
        <color rgb="FF000000"/>
        <rFont val="Calibri"/>
        <charset val="134"/>
      </rPr>
      <t>混凝土地面</t>
    </r>
    <r>
      <rPr>
        <sz val="9.75"/>
        <color rgb="FF000000"/>
        <rFont val="Calibri"/>
        <charset val="134"/>
      </rPr>
      <t xml:space="preserve">
3.</t>
    </r>
    <r>
      <rPr>
        <sz val="9.75"/>
        <color rgb="FF000000"/>
        <rFont val="Calibri"/>
        <charset val="134"/>
      </rPr>
      <t>面层压光，防滑处理</t>
    </r>
  </si>
  <si>
    <t>2.5.1.8</t>
  </si>
  <si>
    <t>草坪砖地面供应及安装</t>
  </si>
  <si>
    <r>
      <rPr>
        <sz val="9.75"/>
        <color rgb="FF000000"/>
        <rFont val="Calibri"/>
        <charset val="134"/>
      </rPr>
      <t>1.</t>
    </r>
    <r>
      <rPr>
        <sz val="9.75"/>
        <color rgb="FF000000"/>
        <rFont val="Calibri"/>
        <charset val="134"/>
      </rPr>
      <t>地面清理、场地平整</t>
    </r>
    <r>
      <rPr>
        <sz val="9.75"/>
        <color rgb="FF000000"/>
        <rFont val="Calibri"/>
        <charset val="134"/>
      </rPr>
      <t xml:space="preserve">
2.</t>
    </r>
    <r>
      <rPr>
        <sz val="9.75"/>
        <color rgb="FF000000"/>
        <rFont val="Calibri"/>
        <charset val="134"/>
      </rPr>
      <t>草坪砖地面供应及安装</t>
    </r>
  </si>
  <si>
    <t>2.5.1.9</t>
  </si>
  <si>
    <t>广场砖地面供应及安装</t>
  </si>
  <si>
    <r>
      <rPr>
        <sz val="9.75"/>
        <color rgb="FF000000"/>
        <rFont val="Calibri"/>
        <charset val="134"/>
      </rPr>
      <t>1.</t>
    </r>
    <r>
      <rPr>
        <sz val="9.75"/>
        <color rgb="FF000000"/>
        <rFont val="Calibri"/>
        <charset val="134"/>
      </rPr>
      <t>地面清理、场地平整</t>
    </r>
    <r>
      <rPr>
        <sz val="9.75"/>
        <color rgb="FF000000"/>
        <rFont val="Calibri"/>
        <charset val="134"/>
      </rPr>
      <t xml:space="preserve">
2.</t>
    </r>
    <r>
      <rPr>
        <sz val="9.75"/>
        <color rgb="FF000000"/>
        <rFont val="Calibri"/>
        <charset val="134"/>
      </rPr>
      <t>广场砖地面供应及安装</t>
    </r>
  </si>
  <si>
    <t>2.5.1.10</t>
  </si>
  <si>
    <t>道牙新做</t>
  </si>
  <si>
    <r>
      <rPr>
        <sz val="9.75"/>
        <color rgb="FF000000"/>
        <rFont val="Calibri"/>
        <charset val="134"/>
      </rPr>
      <t>1.</t>
    </r>
    <r>
      <rPr>
        <sz val="9.75"/>
        <color rgb="FF000000"/>
        <rFont val="Calibri"/>
        <charset val="134"/>
      </rPr>
      <t>地面清理、场地平整</t>
    </r>
    <r>
      <rPr>
        <sz val="9.75"/>
        <color rgb="FF000000"/>
        <rFont val="Calibri"/>
        <charset val="134"/>
      </rPr>
      <t xml:space="preserve">
2.</t>
    </r>
    <r>
      <rPr>
        <sz val="9.75"/>
        <color rgb="FF000000"/>
        <rFont val="Calibri"/>
        <charset val="134"/>
      </rPr>
      <t>地面开挖、回填</t>
    </r>
    <r>
      <rPr>
        <sz val="9.75"/>
        <color rgb="FF000000"/>
        <rFont val="Calibri"/>
        <charset val="134"/>
      </rPr>
      <t xml:space="preserve">
3.</t>
    </r>
    <r>
      <rPr>
        <sz val="9.75"/>
        <color rgb="FF000000"/>
        <rFont val="Calibri"/>
        <charset val="134"/>
      </rPr>
      <t>道牙石供应及安装</t>
    </r>
  </si>
  <si>
    <t>2.5.1.11</t>
  </si>
  <si>
    <t>新做方钢栏杆</t>
  </si>
  <si>
    <r>
      <rPr>
        <sz val="9.75"/>
        <color rgb="FF000000"/>
        <rFont val="Calibri"/>
        <charset val="134"/>
      </rPr>
      <t>1.</t>
    </r>
    <r>
      <rPr>
        <sz val="9.75"/>
        <color rgb="FF000000"/>
        <rFont val="Calibri"/>
        <charset val="134"/>
      </rPr>
      <t>方钢栏杆（</t>
    </r>
    <r>
      <rPr>
        <sz val="9.75"/>
        <color rgb="FF000000"/>
        <rFont val="Calibri"/>
        <charset val="134"/>
      </rPr>
      <t>1800mm</t>
    </r>
    <r>
      <rPr>
        <sz val="9.75"/>
        <color rgb="FF000000"/>
        <rFont val="Calibri"/>
        <charset val="134"/>
      </rPr>
      <t>高）含地面基础</t>
    </r>
    <r>
      <rPr>
        <sz val="9.75"/>
        <color rgb="FF000000"/>
        <rFont val="Calibri"/>
        <charset val="134"/>
      </rPr>
      <t xml:space="preserve">
2.</t>
    </r>
    <r>
      <rPr>
        <sz val="9.75"/>
        <color rgb="FF000000"/>
        <rFont val="Calibri"/>
        <charset val="134"/>
      </rPr>
      <t>表面防锈处理</t>
    </r>
    <r>
      <rPr>
        <sz val="9.75"/>
        <color rgb="FF000000"/>
        <rFont val="Calibri"/>
        <charset val="134"/>
      </rPr>
      <t xml:space="preserve">
3.</t>
    </r>
    <r>
      <rPr>
        <sz val="9.75"/>
        <color rgb="FF000000"/>
        <rFont val="Calibri"/>
        <charset val="134"/>
      </rPr>
      <t>满刷油漆面层</t>
    </r>
  </si>
  <si>
    <t>2.5.1.12</t>
  </si>
  <si>
    <r>
      <rPr>
        <sz val="9.75"/>
        <color rgb="FF000000"/>
        <rFont val="Calibri"/>
        <charset val="134"/>
      </rPr>
      <t>钢塑围栏，高度</t>
    </r>
    <r>
      <rPr>
        <sz val="9.75"/>
        <color rgb="FF000000"/>
        <rFont val="Calibri"/>
        <charset val="134"/>
      </rPr>
      <t>:1500mm</t>
    </r>
    <r>
      <rPr>
        <sz val="9.75"/>
        <color rgb="FF000000"/>
        <rFont val="Calibri"/>
        <charset val="134"/>
      </rPr>
      <t>高</t>
    </r>
  </si>
  <si>
    <r>
      <rPr>
        <sz val="9.75"/>
        <color rgb="FF000000"/>
        <rFont val="Calibri"/>
        <charset val="134"/>
      </rPr>
      <t>1.</t>
    </r>
    <r>
      <rPr>
        <sz val="9.75"/>
        <color rgb="FF000000"/>
        <rFont val="Calibri"/>
        <charset val="134"/>
      </rPr>
      <t>成品钢塑围栏</t>
    </r>
    <r>
      <rPr>
        <sz val="9.75"/>
        <color rgb="FF000000"/>
        <rFont val="Calibri"/>
        <charset val="134"/>
      </rPr>
      <t xml:space="preserve">
2.</t>
    </r>
    <r>
      <rPr>
        <sz val="9.75"/>
        <color rgb="FF000000"/>
        <rFont val="Calibri"/>
        <charset val="134"/>
      </rPr>
      <t>高度</t>
    </r>
    <r>
      <rPr>
        <sz val="9.75"/>
        <color rgb="FF000000"/>
        <rFont val="Calibri"/>
        <charset val="134"/>
      </rPr>
      <t>1500mm</t>
    </r>
    <r>
      <rPr>
        <sz val="9.75"/>
        <color rgb="FF000000"/>
        <rFont val="Calibri"/>
        <charset val="134"/>
      </rPr>
      <t>高</t>
    </r>
    <r>
      <rPr>
        <sz val="9.75"/>
        <color rgb="FF000000"/>
        <rFont val="Calibri"/>
        <charset val="134"/>
      </rPr>
      <t xml:space="preserve">
3.</t>
    </r>
    <r>
      <rPr>
        <sz val="9.75"/>
        <color rgb="FF000000"/>
        <rFont val="Calibri"/>
        <charset val="134"/>
      </rPr>
      <t>含地面基础制作</t>
    </r>
  </si>
  <si>
    <t>2.5.1.13</t>
  </si>
  <si>
    <t>金属小围栏，含铁链</t>
  </si>
  <si>
    <r>
      <rPr>
        <sz val="9.75"/>
        <color rgb="FF000000"/>
        <rFont val="Calibri"/>
        <charset val="134"/>
      </rPr>
      <t>1.</t>
    </r>
    <r>
      <rPr>
        <sz val="9.75"/>
        <color rgb="FF000000"/>
        <rFont val="Calibri"/>
        <charset val="134"/>
      </rPr>
      <t>成品金属小围栏，含铁链（</t>
    </r>
    <r>
      <rPr>
        <sz val="9.75"/>
        <color rgb="FF000000"/>
        <rFont val="Calibri"/>
        <charset val="134"/>
      </rPr>
      <t>1800mm</t>
    </r>
    <r>
      <rPr>
        <sz val="9.75"/>
        <color rgb="FF000000"/>
        <rFont val="Calibri"/>
        <charset val="134"/>
      </rPr>
      <t>高）含地面基础</t>
    </r>
  </si>
  <si>
    <t>2.5.1.14</t>
  </si>
  <si>
    <t>外围墙围栏翻新处理</t>
  </si>
  <si>
    <r>
      <rPr>
        <sz val="9.75"/>
        <color rgb="FF000000"/>
        <rFont val="Calibri"/>
        <charset val="134"/>
      </rPr>
      <t>1.</t>
    </r>
    <r>
      <rPr>
        <sz val="9.75"/>
        <color rgb="FF000000"/>
        <rFont val="Calibri"/>
        <charset val="134"/>
      </rPr>
      <t>面层打磨</t>
    </r>
    <r>
      <rPr>
        <sz val="9.75"/>
        <color rgb="FF000000"/>
        <rFont val="Calibri"/>
        <charset val="134"/>
      </rPr>
      <t xml:space="preserve">
2.</t>
    </r>
    <r>
      <rPr>
        <sz val="9.75"/>
        <color rgb="FF000000"/>
        <rFont val="Calibri"/>
        <charset val="134"/>
      </rPr>
      <t>表面防锈处理</t>
    </r>
    <r>
      <rPr>
        <sz val="9.75"/>
        <color rgb="FF000000"/>
        <rFont val="Calibri"/>
        <charset val="134"/>
      </rPr>
      <t xml:space="preserve">
3.</t>
    </r>
    <r>
      <rPr>
        <sz val="9.75"/>
        <color rgb="FF000000"/>
        <rFont val="Calibri"/>
        <charset val="134"/>
      </rPr>
      <t>满刷油漆面层</t>
    </r>
  </si>
  <si>
    <t>2.5.1.15</t>
  </si>
  <si>
    <t>室外停车场划线、喷字</t>
  </si>
  <si>
    <r>
      <rPr>
        <sz val="9.75"/>
        <color rgb="FF000000"/>
        <rFont val="Calibri"/>
        <charset val="134"/>
      </rPr>
      <t>1.</t>
    </r>
    <r>
      <rPr>
        <sz val="9.75"/>
        <color rgb="FF000000"/>
        <rFont val="Calibri"/>
        <charset val="134"/>
      </rPr>
      <t>基层清理</t>
    </r>
    <r>
      <rPr>
        <sz val="9.75"/>
        <color rgb="FF000000"/>
        <rFont val="Calibri"/>
        <charset val="134"/>
      </rPr>
      <t xml:space="preserve">
2.150mm</t>
    </r>
    <r>
      <rPr>
        <sz val="9.75"/>
        <color rgb="FF000000"/>
        <rFont val="Calibri"/>
        <charset val="134"/>
      </rPr>
      <t>宽白色热融漆划线；</t>
    </r>
    <r>
      <rPr>
        <sz val="9.75"/>
        <color rgb="FF000000"/>
        <rFont val="Calibri"/>
        <charset val="134"/>
      </rPr>
      <t xml:space="preserve">
3.</t>
    </r>
    <r>
      <rPr>
        <sz val="9.75"/>
        <color rgb="FF000000"/>
        <rFont val="Calibri"/>
        <charset val="134"/>
      </rPr>
      <t>含白色数字编号、标识等，按公司规范字体；</t>
    </r>
  </si>
  <si>
    <t>2.5.1.16</t>
  </si>
  <si>
    <t>室外停车位车档供应及安装</t>
  </si>
  <si>
    <r>
      <rPr>
        <sz val="9.75"/>
        <color rgb="FF000000"/>
        <rFont val="Calibri"/>
        <charset val="134"/>
      </rPr>
      <t>1.</t>
    </r>
    <r>
      <rPr>
        <sz val="9.75"/>
        <color rgb="FF000000"/>
        <rFont val="Calibri"/>
        <charset val="134"/>
      </rPr>
      <t>成品车档制作安装</t>
    </r>
  </si>
  <si>
    <t>对</t>
  </si>
  <si>
    <t>2.5.1.17</t>
  </si>
  <si>
    <t>室外原围墙间结构柱刷外墙涂料，含基层处理</t>
  </si>
  <si>
    <t>2.5.1.18</t>
  </si>
  <si>
    <t>室外成品岗亭提供及安装，含地面基础</t>
  </si>
  <si>
    <r>
      <rPr>
        <sz val="9.75"/>
        <color rgb="FF000000"/>
        <rFont val="Calibri"/>
        <charset val="134"/>
      </rPr>
      <t>1.</t>
    </r>
    <r>
      <rPr>
        <sz val="9.75"/>
        <color rgb="FF000000"/>
        <rFont val="Calibri"/>
        <charset val="134"/>
      </rPr>
      <t>室外成品岗亭</t>
    </r>
  </si>
  <si>
    <t>2.5.1.19</t>
  </si>
  <si>
    <t>提供及安装立招基础、立招电源</t>
  </si>
  <si>
    <r>
      <rPr>
        <sz val="9.75"/>
        <color rgb="FF000000"/>
        <rFont val="Calibri"/>
        <charset val="134"/>
      </rPr>
      <t>1.</t>
    </r>
    <r>
      <rPr>
        <sz val="9.75"/>
        <color rgb="FF000000"/>
        <rFont val="Calibri"/>
        <charset val="134"/>
      </rPr>
      <t>室外地面开挖</t>
    </r>
    <r>
      <rPr>
        <sz val="9.75"/>
        <color rgb="FF000000"/>
        <rFont val="Calibri"/>
        <charset val="134"/>
      </rPr>
      <t xml:space="preserve">
2.</t>
    </r>
    <r>
      <rPr>
        <sz val="9.75"/>
        <color rgb="FF000000"/>
        <rFont val="Calibri"/>
        <charset val="134"/>
      </rPr>
      <t>混凝土基础（含模板、钢筋等）</t>
    </r>
    <r>
      <rPr>
        <sz val="9.75"/>
        <color rgb="FF000000"/>
        <rFont val="Calibri"/>
        <charset val="134"/>
      </rPr>
      <t xml:space="preserve">
3.</t>
    </r>
    <r>
      <rPr>
        <sz val="9.75"/>
        <color rgb="FF000000"/>
        <rFont val="Calibri"/>
        <charset val="134"/>
      </rPr>
      <t>预留室外电源</t>
    </r>
  </si>
  <si>
    <t>2.5.1.20</t>
  </si>
  <si>
    <r>
      <rPr>
        <sz val="9.75"/>
        <color rgb="FF000000"/>
        <rFont val="Calibri"/>
        <charset val="134"/>
      </rPr>
      <t>厂区大门新做</t>
    </r>
    <r>
      <rPr>
        <sz val="9.75"/>
        <color rgb="FF000000"/>
        <rFont val="Calibri"/>
        <charset val="134"/>
      </rPr>
      <t xml:space="preserve">
(1)</t>
    </r>
    <r>
      <rPr>
        <sz val="9.75"/>
        <color rgb="FF000000"/>
        <rFont val="Calibri"/>
        <charset val="134"/>
      </rPr>
      <t>铁艺大门新做，含轨道</t>
    </r>
  </si>
  <si>
    <r>
      <rPr>
        <sz val="9.75"/>
        <color rgb="FF000000"/>
        <rFont val="Calibri"/>
        <charset val="134"/>
      </rPr>
      <t>1.</t>
    </r>
    <r>
      <rPr>
        <sz val="9.75"/>
        <color rgb="FF000000"/>
        <rFont val="Calibri"/>
        <charset val="134"/>
      </rPr>
      <t>大门地面轨道制作</t>
    </r>
    <r>
      <rPr>
        <sz val="9.75"/>
        <color rgb="FF000000"/>
        <rFont val="Calibri"/>
        <charset val="134"/>
      </rPr>
      <t xml:space="preserve">
2.</t>
    </r>
    <r>
      <rPr>
        <sz val="9.75"/>
        <color rgb="FF000000"/>
        <rFont val="Calibri"/>
        <charset val="134"/>
      </rPr>
      <t>定制厂区大门提供及安装</t>
    </r>
  </si>
  <si>
    <t>2.5.1.21</t>
  </si>
  <si>
    <t>电动伸缩门，含轨道</t>
  </si>
  <si>
    <r>
      <rPr>
        <sz val="9.75"/>
        <color rgb="FF000000"/>
        <rFont val="Calibri"/>
        <charset val="134"/>
      </rPr>
      <t>1.</t>
    </r>
    <r>
      <rPr>
        <sz val="9.75"/>
        <color rgb="FF000000"/>
        <rFont val="Calibri"/>
        <charset val="134"/>
      </rPr>
      <t>本体、配管配线、安装</t>
    </r>
  </si>
  <si>
    <t>2.5.1.22</t>
  </si>
  <si>
    <t>遥控挡车杆</t>
  </si>
  <si>
    <r>
      <rPr>
        <sz val="9.75"/>
        <color rgb="FF000000"/>
        <rFont val="Calibri"/>
        <charset val="134"/>
      </rPr>
      <t>2.</t>
    </r>
    <r>
      <rPr>
        <sz val="9.75"/>
        <color rgb="FF000000"/>
        <rFont val="Calibri"/>
        <charset val="134"/>
      </rPr>
      <t>本体、配管配线、安装</t>
    </r>
  </si>
  <si>
    <t>2.5.1.23</t>
  </si>
  <si>
    <t>承重井盖（能承重车）</t>
  </si>
  <si>
    <r>
      <rPr>
        <sz val="9.75"/>
        <color rgb="FF000000"/>
        <rFont val="Calibri"/>
        <charset val="134"/>
      </rPr>
      <t>1.</t>
    </r>
    <r>
      <rPr>
        <sz val="9.75"/>
        <color rgb="FF000000"/>
        <rFont val="Calibri"/>
        <charset val="134"/>
      </rPr>
      <t>球墨铸铁承重井盖</t>
    </r>
  </si>
  <si>
    <t>2.5.1.24</t>
  </si>
  <si>
    <t>室外路灯，含相关电路</t>
  </si>
  <si>
    <r>
      <rPr>
        <sz val="9.75"/>
        <color rgb="FF000000"/>
        <rFont val="Calibri"/>
        <charset val="134"/>
      </rPr>
      <t>1.</t>
    </r>
    <r>
      <rPr>
        <sz val="9.75"/>
        <color rgb="FF000000"/>
        <rFont val="Calibri"/>
        <charset val="134"/>
      </rPr>
      <t>本体及配管配线等工作</t>
    </r>
    <r>
      <rPr>
        <sz val="9.75"/>
        <color rgb="FF000000"/>
        <rFont val="Calibri"/>
        <charset val="134"/>
      </rPr>
      <t xml:space="preserve">
2.</t>
    </r>
    <r>
      <rPr>
        <sz val="9.75"/>
        <color rgb="FF000000"/>
        <rFont val="Calibri"/>
        <charset val="134"/>
      </rPr>
      <t>挖土、回填、基础制作等工作</t>
    </r>
  </si>
  <si>
    <t>2.5.1.25</t>
  </si>
  <si>
    <t>室外高光灯，含相关电路</t>
  </si>
  <si>
    <r>
      <rPr>
        <sz val="9.75"/>
        <color rgb="FF000000"/>
        <rFont val="Calibri"/>
        <charset val="134"/>
      </rPr>
      <t>1.</t>
    </r>
    <r>
      <rPr>
        <sz val="9.75"/>
        <color rgb="FF000000"/>
        <rFont val="Calibri"/>
        <charset val="134"/>
      </rPr>
      <t>本体及配管配线等工作</t>
    </r>
    <r>
      <rPr>
        <sz val="9.75"/>
        <color rgb="FF000000"/>
        <rFont val="Calibri"/>
        <charset val="134"/>
      </rPr>
      <t xml:space="preserve">
3.</t>
    </r>
    <r>
      <rPr>
        <sz val="9.75"/>
        <color rgb="FF000000"/>
        <rFont val="Calibri"/>
        <charset val="134"/>
      </rPr>
      <t>挖土、回填、基础制作等工作</t>
    </r>
  </si>
  <si>
    <t>2.5.1.26</t>
  </si>
  <si>
    <t>室外金属篦子</t>
  </si>
  <si>
    <r>
      <rPr>
        <sz val="9.75"/>
        <color rgb="FF000000"/>
        <rFont val="Calibri"/>
        <charset val="134"/>
      </rPr>
      <t>1.</t>
    </r>
    <r>
      <rPr>
        <sz val="9.75"/>
        <color rgb="FF000000"/>
        <rFont val="Calibri"/>
        <charset val="134"/>
      </rPr>
      <t>球墨铸铁金属篦子</t>
    </r>
  </si>
  <si>
    <t>2.5.1.27</t>
  </si>
  <si>
    <r>
      <rPr>
        <sz val="9.75"/>
        <color rgb="FF000000"/>
        <rFont val="Calibri"/>
        <charset val="134"/>
      </rPr>
      <t>给排水接入市政管线</t>
    </r>
    <r>
      <rPr>
        <sz val="9.75"/>
        <color rgb="FF000000"/>
        <rFont val="Calibri"/>
        <charset val="134"/>
      </rPr>
      <t>DN100</t>
    </r>
  </si>
  <si>
    <r>
      <rPr>
        <sz val="9.75"/>
        <color rgb="FF000000"/>
        <rFont val="Calibri"/>
        <charset val="134"/>
      </rPr>
      <t>1.PE</t>
    </r>
    <r>
      <rPr>
        <sz val="9.75"/>
        <color rgb="FF000000"/>
        <rFont val="Calibri"/>
        <charset val="134"/>
      </rPr>
      <t>管道及管件供应安装</t>
    </r>
    <r>
      <rPr>
        <sz val="9.75"/>
        <color rgb="FF000000"/>
        <rFont val="Calibri"/>
        <charset val="134"/>
      </rPr>
      <t xml:space="preserve">
2.</t>
    </r>
    <r>
      <rPr>
        <sz val="9.75"/>
        <color rgb="FF000000"/>
        <rFont val="Calibri"/>
        <charset val="134"/>
      </rPr>
      <t>管沟开挖、回填</t>
    </r>
  </si>
  <si>
    <t>2.5.1.28</t>
  </si>
  <si>
    <r>
      <rPr>
        <sz val="9.75"/>
        <color rgb="FF000000"/>
        <rFont val="Calibri"/>
        <charset val="134"/>
      </rPr>
      <t>给排水接入市政管线</t>
    </r>
    <r>
      <rPr>
        <sz val="9.75"/>
        <color rgb="FF000000"/>
        <rFont val="Calibri"/>
        <charset val="134"/>
      </rPr>
      <t>DN150</t>
    </r>
  </si>
  <si>
    <t>2.5.1.29</t>
  </si>
  <si>
    <r>
      <rPr>
        <sz val="9.75"/>
        <color rgb="FF000000"/>
        <rFont val="Calibri"/>
        <charset val="134"/>
      </rPr>
      <t>给排水接入市政管线</t>
    </r>
    <r>
      <rPr>
        <sz val="9.75"/>
        <color rgb="FF000000"/>
        <rFont val="Calibri"/>
        <charset val="134"/>
      </rPr>
      <t>DN200</t>
    </r>
  </si>
  <si>
    <t>2.5.1.30</t>
  </si>
  <si>
    <t>空调室外机基座</t>
  </si>
  <si>
    <r>
      <rPr>
        <sz val="9.75"/>
        <color rgb="FF000000"/>
        <rFont val="Calibri"/>
        <charset val="134"/>
      </rPr>
      <t>1.</t>
    </r>
    <r>
      <rPr>
        <sz val="9.75"/>
        <color rgb="FF000000"/>
        <rFont val="Calibri"/>
        <charset val="134"/>
      </rPr>
      <t>挖土、回填等工作</t>
    </r>
    <r>
      <rPr>
        <sz val="9.75"/>
        <color rgb="FF000000"/>
        <rFont val="Calibri"/>
        <charset val="134"/>
      </rPr>
      <t xml:space="preserve">
2.</t>
    </r>
    <r>
      <rPr>
        <sz val="9.75"/>
        <color rgb="FF000000"/>
        <rFont val="Calibri"/>
        <charset val="134"/>
      </rPr>
      <t>混凝土基础</t>
    </r>
  </si>
  <si>
    <t>2.5.1.31</t>
  </si>
  <si>
    <t>化粪池</t>
  </si>
  <si>
    <r>
      <rPr>
        <sz val="9.75"/>
        <color rgb="FF000000"/>
        <rFont val="Calibri"/>
        <charset val="134"/>
      </rPr>
      <t>1.</t>
    </r>
    <r>
      <rPr>
        <sz val="9.75"/>
        <color rgb="FF000000"/>
        <rFont val="Calibri"/>
        <charset val="134"/>
      </rPr>
      <t>地面开挖及回填等工作</t>
    </r>
    <r>
      <rPr>
        <sz val="9.75"/>
        <color rgb="FF000000"/>
        <rFont val="Calibri"/>
        <charset val="134"/>
      </rPr>
      <t xml:space="preserve">
2.</t>
    </r>
    <r>
      <rPr>
        <sz val="9.75"/>
        <color rgb="FF000000"/>
        <rFont val="Calibri"/>
        <charset val="134"/>
      </rPr>
      <t>钢筋混凝土化粪池制作（含模板）</t>
    </r>
    <r>
      <rPr>
        <sz val="9.75"/>
        <color rgb="FF000000"/>
        <rFont val="Calibri"/>
        <charset val="134"/>
      </rPr>
      <t xml:space="preserve">
3.</t>
    </r>
    <r>
      <rPr>
        <sz val="9.75"/>
        <color rgb="FF000000"/>
        <rFont val="Calibri"/>
        <charset val="134"/>
      </rPr>
      <t>内外防水处理</t>
    </r>
  </si>
  <si>
    <t>按设计图示尺寸以混凝土体积计算</t>
  </si>
  <si>
    <t>2.5.1.32</t>
  </si>
  <si>
    <t>雨水井</t>
  </si>
  <si>
    <r>
      <rPr>
        <sz val="9.75"/>
        <color rgb="FF000000"/>
        <rFont val="Calibri"/>
        <charset val="134"/>
      </rPr>
      <t>1.</t>
    </r>
    <r>
      <rPr>
        <sz val="9.75"/>
        <color rgb="FF000000"/>
        <rFont val="Calibri"/>
        <charset val="134"/>
      </rPr>
      <t>地面开挖及回填等工作</t>
    </r>
    <r>
      <rPr>
        <sz val="9.75"/>
        <color rgb="FF000000"/>
        <rFont val="Calibri"/>
        <charset val="134"/>
      </rPr>
      <t xml:space="preserve">
2.</t>
    </r>
    <r>
      <rPr>
        <sz val="9.75"/>
        <color rgb="FF000000"/>
        <rFont val="Calibri"/>
        <charset val="134"/>
      </rPr>
      <t>预制混凝土井道及井圈</t>
    </r>
    <r>
      <rPr>
        <sz val="9.75"/>
        <color rgb="FF000000"/>
        <rFont val="Calibri"/>
        <charset val="134"/>
      </rPr>
      <t xml:space="preserve">
3.</t>
    </r>
    <r>
      <rPr>
        <sz val="9.75"/>
        <color rgb="FF000000"/>
        <rFont val="Calibri"/>
        <charset val="134"/>
      </rPr>
      <t>球磨铸铁承重井盖</t>
    </r>
  </si>
  <si>
    <t>2.5.1.33</t>
  </si>
  <si>
    <r>
      <rPr>
        <sz val="9.75"/>
        <color rgb="FF000000"/>
        <rFont val="Calibri"/>
        <charset val="134"/>
      </rPr>
      <t>200mm</t>
    </r>
    <r>
      <rPr>
        <sz val="9.75"/>
        <color rgb="FF000000"/>
        <rFont val="Calibri"/>
        <charset val="134"/>
      </rPr>
      <t>厚混凝土地面</t>
    </r>
  </si>
  <si>
    <r>
      <rPr>
        <sz val="9.75"/>
        <color rgb="FF000000"/>
        <rFont val="Calibri"/>
        <charset val="134"/>
      </rPr>
      <t>1.</t>
    </r>
    <r>
      <rPr>
        <sz val="9.75"/>
        <color rgb="FF000000"/>
        <rFont val="Calibri"/>
        <charset val="134"/>
      </rPr>
      <t>地面清理、场地平整</t>
    </r>
    <r>
      <rPr>
        <sz val="9.75"/>
        <color rgb="FF000000"/>
        <rFont val="Calibri"/>
        <charset val="134"/>
      </rPr>
      <t xml:space="preserve">
2.200mmC20</t>
    </r>
    <r>
      <rPr>
        <sz val="9.75"/>
        <color rgb="FF000000"/>
        <rFont val="Calibri"/>
        <charset val="134"/>
      </rPr>
      <t>混凝土地面</t>
    </r>
    <r>
      <rPr>
        <sz val="9.75"/>
        <color rgb="FF000000"/>
        <rFont val="Calibri"/>
        <charset val="134"/>
      </rPr>
      <t xml:space="preserve">
3.</t>
    </r>
    <r>
      <rPr>
        <sz val="9.75"/>
        <color rgb="FF000000"/>
        <rFont val="Calibri"/>
        <charset val="134"/>
      </rPr>
      <t>满铺钢筋网片</t>
    </r>
    <r>
      <rPr>
        <sz val="9.75"/>
        <color rgb="FF000000"/>
        <rFont val="Calibri"/>
        <charset val="134"/>
      </rPr>
      <t>φ6</t>
    </r>
    <r>
      <rPr>
        <sz val="9.75"/>
        <color rgb="FF000000"/>
        <rFont val="Calibri"/>
        <charset val="134"/>
      </rPr>
      <t>，横纵向间距</t>
    </r>
    <r>
      <rPr>
        <sz val="9.75"/>
        <color rgb="FF000000"/>
        <rFont val="Calibri"/>
        <charset val="134"/>
      </rPr>
      <t>200mm
4.</t>
    </r>
    <r>
      <rPr>
        <sz val="9.75"/>
        <color rgb="FF000000"/>
        <rFont val="Calibri"/>
        <charset val="134"/>
      </rPr>
      <t>面层压光，防滑处理</t>
    </r>
  </si>
  <si>
    <t>2.5.1.34</t>
  </si>
  <si>
    <t>排水管道土方开挖</t>
  </si>
  <si>
    <r>
      <rPr>
        <sz val="9.75"/>
        <color rgb="FF000000"/>
        <rFont val="Calibri"/>
        <charset val="134"/>
      </rPr>
      <t>1.</t>
    </r>
    <r>
      <rPr>
        <sz val="9.75"/>
        <color rgb="FF000000"/>
        <rFont val="Calibri"/>
        <charset val="134"/>
      </rPr>
      <t>土方开挖</t>
    </r>
  </si>
  <si>
    <t>2.5.1.35</t>
  </si>
  <si>
    <t>排水管道土方回填</t>
  </si>
  <si>
    <r>
      <rPr>
        <sz val="9.75"/>
        <color rgb="FF000000"/>
        <rFont val="Calibri"/>
        <charset val="134"/>
      </rPr>
      <t>1.</t>
    </r>
    <r>
      <rPr>
        <sz val="9.75"/>
        <color rgb="FF000000"/>
        <rFont val="Calibri"/>
        <charset val="134"/>
      </rPr>
      <t>土方回填</t>
    </r>
    <r>
      <rPr>
        <sz val="9.75"/>
        <color rgb="FF000000"/>
        <rFont val="Calibri"/>
        <charset val="134"/>
      </rPr>
      <t xml:space="preserve">
2.</t>
    </r>
    <r>
      <rPr>
        <sz val="9.75"/>
        <color rgb="FF000000"/>
        <rFont val="Calibri"/>
        <charset val="134"/>
      </rPr>
      <t>余土清理</t>
    </r>
  </si>
  <si>
    <t>2.5.1.36</t>
  </si>
  <si>
    <t>户外地面橡胶减速带</t>
  </si>
  <si>
    <r>
      <rPr>
        <sz val="9.75"/>
        <color rgb="FF000000"/>
        <rFont val="Calibri"/>
        <charset val="134"/>
      </rPr>
      <t>1.</t>
    </r>
    <r>
      <rPr>
        <sz val="9.75"/>
        <color rgb="FF000000"/>
        <rFont val="Calibri"/>
        <charset val="134"/>
      </rPr>
      <t>成品橡胶减速带提供及安装</t>
    </r>
  </si>
  <si>
    <t>2.5.1.37</t>
  </si>
  <si>
    <r>
      <rPr>
        <sz val="9.75"/>
        <color rgb="FF000000"/>
        <rFont val="Calibri"/>
        <charset val="134"/>
      </rPr>
      <t>室外金属围栏，</t>
    </r>
    <r>
      <rPr>
        <sz val="9.75"/>
        <color rgb="FF000000"/>
        <rFont val="Calibri"/>
        <charset val="134"/>
      </rPr>
      <t>H:1500</t>
    </r>
  </si>
  <si>
    <r>
      <rPr>
        <sz val="9.75"/>
        <color rgb="FF000000"/>
        <rFont val="Calibri"/>
        <charset val="134"/>
      </rPr>
      <t>1.</t>
    </r>
    <r>
      <rPr>
        <sz val="9.75"/>
        <color rgb="FF000000"/>
        <rFont val="Calibri"/>
        <charset val="134"/>
      </rPr>
      <t>成品金属围栏</t>
    </r>
    <r>
      <rPr>
        <sz val="9.75"/>
        <color rgb="FF000000"/>
        <rFont val="Calibri"/>
        <charset val="134"/>
      </rPr>
      <t xml:space="preserve">
2.</t>
    </r>
    <r>
      <rPr>
        <sz val="9.75"/>
        <color rgb="FF000000"/>
        <rFont val="Calibri"/>
        <charset val="134"/>
      </rPr>
      <t>高度</t>
    </r>
    <r>
      <rPr>
        <sz val="9.75"/>
        <color rgb="FF000000"/>
        <rFont val="Calibri"/>
        <charset val="134"/>
      </rPr>
      <t>1500mm</t>
    </r>
    <r>
      <rPr>
        <sz val="9.75"/>
        <color rgb="FF000000"/>
        <rFont val="Calibri"/>
        <charset val="134"/>
      </rPr>
      <t>高</t>
    </r>
    <r>
      <rPr>
        <sz val="9.75"/>
        <color rgb="FF000000"/>
        <rFont val="Calibri"/>
        <charset val="134"/>
      </rPr>
      <t xml:space="preserve">
3.</t>
    </r>
    <r>
      <rPr>
        <sz val="9.75"/>
        <color rgb="FF000000"/>
        <rFont val="Calibri"/>
        <charset val="134"/>
      </rPr>
      <t>含地面基础制作</t>
    </r>
  </si>
  <si>
    <t>2.5.1.38</t>
  </si>
  <si>
    <r>
      <rPr>
        <sz val="9.75"/>
        <color rgb="FF000000"/>
        <rFont val="Calibri"/>
        <charset val="134"/>
      </rPr>
      <t>室外金属围栏，</t>
    </r>
    <r>
      <rPr>
        <sz val="9.75"/>
        <color rgb="FF000000"/>
        <rFont val="Calibri"/>
        <charset val="134"/>
      </rPr>
      <t>H:400</t>
    </r>
  </si>
  <si>
    <r>
      <rPr>
        <sz val="9.75"/>
        <color rgb="FF000000"/>
        <rFont val="Calibri"/>
        <charset val="134"/>
      </rPr>
      <t>1.</t>
    </r>
    <r>
      <rPr>
        <sz val="9.75"/>
        <color rgb="FF000000"/>
        <rFont val="Calibri"/>
        <charset val="134"/>
      </rPr>
      <t>成品金属围栏</t>
    </r>
    <r>
      <rPr>
        <sz val="9.75"/>
        <color rgb="FF000000"/>
        <rFont val="Calibri"/>
        <charset val="134"/>
      </rPr>
      <t xml:space="preserve">
2.</t>
    </r>
    <r>
      <rPr>
        <sz val="9.75"/>
        <color rgb="FF000000"/>
        <rFont val="Calibri"/>
        <charset val="134"/>
      </rPr>
      <t>高度</t>
    </r>
    <r>
      <rPr>
        <sz val="9.75"/>
        <color rgb="FF000000"/>
        <rFont val="Calibri"/>
        <charset val="134"/>
      </rPr>
      <t>400mm</t>
    </r>
    <r>
      <rPr>
        <sz val="9.75"/>
        <color rgb="FF000000"/>
        <rFont val="Calibri"/>
        <charset val="134"/>
      </rPr>
      <t>高</t>
    </r>
    <r>
      <rPr>
        <sz val="9.75"/>
        <color rgb="FF000000"/>
        <rFont val="Calibri"/>
        <charset val="134"/>
      </rPr>
      <t xml:space="preserve">
3.</t>
    </r>
    <r>
      <rPr>
        <sz val="9.75"/>
        <color rgb="FF000000"/>
        <rFont val="Calibri"/>
        <charset val="134"/>
      </rPr>
      <t>含地面基础制作</t>
    </r>
  </si>
  <si>
    <t>2.5.1.39</t>
  </si>
  <si>
    <t>室外工程垃圾清运</t>
  </si>
  <si>
    <t>2.5.1.40</t>
  </si>
  <si>
    <t>室外杂草清理</t>
  </si>
  <si>
    <r>
      <rPr>
        <sz val="9.75"/>
        <color rgb="FF000000"/>
        <rFont val="Calibri"/>
        <charset val="134"/>
      </rPr>
      <t>1.</t>
    </r>
    <r>
      <rPr>
        <sz val="9.75"/>
        <color rgb="FF000000"/>
        <rFont val="Calibri"/>
        <charset val="134"/>
      </rPr>
      <t>室外杂草、低矮灌木清理</t>
    </r>
    <r>
      <rPr>
        <sz val="9.75"/>
        <color rgb="FF000000"/>
        <rFont val="Calibri"/>
        <charset val="134"/>
      </rPr>
      <t xml:space="preserve">
2.</t>
    </r>
    <r>
      <rPr>
        <sz val="9.75"/>
        <color rgb="FF000000"/>
        <rFont val="Calibri"/>
        <charset val="134"/>
      </rPr>
      <t>垃圾清运及垃圾外运</t>
    </r>
  </si>
  <si>
    <t>2.5.1.41</t>
  </si>
  <si>
    <t>室外独立立招 定制铝塑板及方钢龙骨</t>
  </si>
  <si>
    <t>计算方式需按双面来</t>
  </si>
  <si>
    <t>2.5.1.42</t>
  </si>
  <si>
    <t>成品化粪池（玻璃钢）</t>
  </si>
  <si>
    <t>1、土方开挖
2、设备供应及安装
3、土方回填</t>
  </si>
  <si>
    <t>室外工程合计：</t>
  </si>
  <si>
    <t>理想汽车中心店消防工程量清单</t>
  </si>
  <si>
    <r>
      <rPr>
        <sz val="10"/>
        <color rgb="FF000000"/>
        <rFont val="宋体"/>
        <charset val="134"/>
      </rPr>
      <t>名</t>
    </r>
    <r>
      <rPr>
        <sz val="10"/>
        <color rgb="FF000000"/>
        <rFont val="Calibri"/>
        <charset val="134"/>
      </rPr>
      <t xml:space="preserve">     </t>
    </r>
    <r>
      <rPr>
        <sz val="10"/>
        <color rgb="FF000000"/>
        <rFont val="宋体"/>
        <charset val="134"/>
      </rPr>
      <t>称</t>
    </r>
  </si>
  <si>
    <t>型号及规格</t>
  </si>
  <si>
    <t>2.6消防工程</t>
  </si>
  <si>
    <t>2.6.1</t>
  </si>
  <si>
    <t>消防电系统</t>
  </si>
  <si>
    <t>2.6.1.01</t>
  </si>
  <si>
    <r>
      <rPr>
        <sz val="10"/>
        <color rgb="FF000000"/>
        <rFont val="宋体"/>
        <charset val="134"/>
      </rPr>
      <t>新增烟感</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</si>
  <si>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含管、线及辅料</t>
  </si>
  <si>
    <t>2.6.1.02</t>
  </si>
  <si>
    <r>
      <rPr>
        <sz val="10"/>
        <color rgb="FF000000"/>
        <rFont val="宋体"/>
        <charset val="134"/>
      </rPr>
      <t>移位及安装烟感</t>
    </r>
    <r>
      <rPr>
        <sz val="10"/>
        <color rgb="FF000000"/>
        <rFont val="Calibri"/>
        <charset val="134"/>
      </rPr>
      <t xml:space="preserve">
1.</t>
    </r>
    <r>
      <rPr>
        <sz val="10"/>
        <color rgb="FF000000"/>
        <rFont val="宋体"/>
        <charset val="134"/>
      </rPr>
      <t>含拆除、移位、管线、重新安装</t>
    </r>
    <r>
      <rPr>
        <sz val="10"/>
        <color rgb="FF000000"/>
        <rFont val="Calibri"/>
        <charset val="134"/>
      </rPr>
      <t xml:space="preserve">
2.</t>
    </r>
    <r>
      <rPr>
        <sz val="10"/>
        <color rgb="FF000000"/>
        <rFont val="宋体"/>
        <charset val="134"/>
      </rPr>
      <t>底盒安装</t>
    </r>
  </si>
  <si>
    <t>2.6.1.03</t>
  </si>
  <si>
    <r>
      <rPr>
        <sz val="10"/>
        <color rgb="FF000000"/>
        <rFont val="宋体"/>
        <charset val="134"/>
      </rPr>
      <t>新增火灾声光警报器</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</si>
  <si>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2.6.1.04</t>
  </si>
  <si>
    <r>
      <rPr>
        <sz val="10"/>
        <color rgb="FF000000"/>
        <rFont val="宋体"/>
        <charset val="134"/>
      </rPr>
      <t>新增手动火灾警报装置</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</si>
  <si>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2.6.1.05</t>
  </si>
  <si>
    <r>
      <rPr>
        <sz val="10"/>
        <color rgb="FF000000"/>
        <rFont val="宋体"/>
        <charset val="134"/>
      </rPr>
      <t>新增消火栓起泵按钮</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</si>
  <si>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2.6.1.06</t>
  </si>
  <si>
    <r>
      <rPr>
        <sz val="10"/>
        <color rgb="FF000000"/>
        <rFont val="宋体"/>
        <charset val="134"/>
      </rPr>
      <t>移动及安装带电话插孔的手动报警按钮</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</si>
  <si>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2.6.1.07</t>
  </si>
  <si>
    <r>
      <rPr>
        <sz val="10"/>
        <color rgb="FF000000"/>
        <rFont val="宋体"/>
        <charset val="134"/>
      </rPr>
      <t>提供及安装短路隔离器</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</si>
  <si>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2.6.1.08</t>
  </si>
  <si>
    <r>
      <rPr>
        <sz val="10"/>
        <color rgb="FF000000"/>
        <rFont val="宋体"/>
        <charset val="134"/>
      </rPr>
      <t>新增消防广播</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</si>
  <si>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2.6.1.09</t>
  </si>
  <si>
    <r>
      <rPr>
        <sz val="10"/>
        <color rgb="FF000000"/>
        <rFont val="宋体"/>
        <charset val="134"/>
      </rPr>
      <t>移位消防广播</t>
    </r>
    <r>
      <rPr>
        <sz val="10"/>
        <color rgb="FF000000"/>
        <rFont val="Calibri"/>
        <charset val="134"/>
      </rPr>
      <t xml:space="preserve">
1.</t>
    </r>
    <r>
      <rPr>
        <sz val="10"/>
        <color rgb="FF000000"/>
        <rFont val="宋体"/>
        <charset val="134"/>
      </rPr>
      <t>含本体、管线、安装</t>
    </r>
    <r>
      <rPr>
        <sz val="10"/>
        <color rgb="FF000000"/>
        <rFont val="Calibri"/>
        <charset val="134"/>
      </rPr>
      <t xml:space="preserve">
2.</t>
    </r>
    <r>
      <rPr>
        <sz val="10"/>
        <color rgb="FF000000"/>
        <rFont val="宋体"/>
        <charset val="134"/>
      </rPr>
      <t>底盒安装</t>
    </r>
  </si>
  <si>
    <t>2.6.1.10</t>
  </si>
  <si>
    <t>系统的调试</t>
  </si>
  <si>
    <t>2.6.2</t>
  </si>
  <si>
    <t>消防水系统</t>
  </si>
  <si>
    <t>2.6.2.01</t>
  </si>
  <si>
    <r>
      <rPr>
        <sz val="10"/>
        <color rgb="FF000000"/>
        <rFont val="宋体"/>
        <charset val="134"/>
      </rPr>
      <t>提供及安装明装喷淋</t>
    </r>
    <r>
      <rPr>
        <sz val="10"/>
        <color rgb="FF000000"/>
        <rFont val="Calibri"/>
        <charset val="134"/>
      </rPr>
      <t xml:space="preserve">
1.</t>
    </r>
    <r>
      <rPr>
        <sz val="10"/>
        <color rgb="FF000000"/>
        <rFont val="宋体"/>
        <charset val="134"/>
      </rPr>
      <t>含本体、管道、构件、阀门等安装</t>
    </r>
    <r>
      <rPr>
        <sz val="10"/>
        <color rgb="FF000000"/>
        <rFont val="Calibri"/>
        <charset val="134"/>
      </rPr>
      <t xml:space="preserve"> 
2.</t>
    </r>
    <r>
      <rPr>
        <sz val="10"/>
        <color rgb="FF000000"/>
        <rFont val="宋体"/>
        <charset val="134"/>
      </rPr>
      <t>支、吊架制作安装</t>
    </r>
  </si>
  <si>
    <t>含管路及辅料</t>
  </si>
  <si>
    <t>2.6.2.02</t>
  </si>
  <si>
    <r>
      <rPr>
        <sz val="10"/>
        <color rgb="FF000000"/>
        <rFont val="宋体"/>
        <charset val="134"/>
      </rPr>
      <t>提供及安装暗装喷淋</t>
    </r>
    <r>
      <rPr>
        <sz val="10"/>
        <color rgb="FF000000"/>
        <rFont val="Calibri"/>
        <charset val="134"/>
      </rPr>
      <t xml:space="preserve">
1.</t>
    </r>
    <r>
      <rPr>
        <sz val="10"/>
        <color rgb="FF000000"/>
        <rFont val="宋体"/>
        <charset val="134"/>
      </rPr>
      <t>含本体、管道、构件、阀门等安装</t>
    </r>
    <r>
      <rPr>
        <sz val="10"/>
        <color rgb="FF000000"/>
        <rFont val="Calibri"/>
        <charset val="134"/>
      </rPr>
      <t xml:space="preserve"> 
2.</t>
    </r>
    <r>
      <rPr>
        <sz val="10"/>
        <color rgb="FF000000"/>
        <rFont val="宋体"/>
        <charset val="134"/>
      </rPr>
      <t>支、吊架制作安装</t>
    </r>
  </si>
  <si>
    <t>2.6.2.03</t>
  </si>
  <si>
    <r>
      <rPr>
        <sz val="10"/>
        <color rgb="FF000000"/>
        <rFont val="宋体"/>
        <charset val="134"/>
      </rPr>
      <t>移动原有喷淋</t>
    </r>
    <r>
      <rPr>
        <sz val="10"/>
        <color rgb="FF000000"/>
        <rFont val="Calibri"/>
        <charset val="134"/>
      </rPr>
      <t xml:space="preserve">
1.</t>
    </r>
    <r>
      <rPr>
        <sz val="10"/>
        <color rgb="FF000000"/>
        <rFont val="宋体"/>
        <charset val="134"/>
      </rPr>
      <t>含拆除本体、管道、构件、阀门等重新安装</t>
    </r>
    <r>
      <rPr>
        <sz val="10"/>
        <color rgb="FF000000"/>
        <rFont val="Calibri"/>
        <charset val="134"/>
      </rPr>
      <t xml:space="preserve"> 
2.</t>
    </r>
    <r>
      <rPr>
        <sz val="10"/>
        <color rgb="FF000000"/>
        <rFont val="宋体"/>
        <charset val="134"/>
      </rPr>
      <t>支、吊架制作安装</t>
    </r>
  </si>
  <si>
    <t>2.6.2.04</t>
  </si>
  <si>
    <r>
      <rPr>
        <sz val="10"/>
        <color rgb="FF000000"/>
        <rFont val="宋体"/>
        <charset val="134"/>
      </rPr>
      <t>新做及安装消防水系统</t>
    </r>
    <r>
      <rPr>
        <sz val="10"/>
        <color rgb="FF000000"/>
        <rFont val="Calibri"/>
        <charset val="134"/>
      </rPr>
      <t xml:space="preserve">
1.</t>
    </r>
    <r>
      <rPr>
        <sz val="10"/>
        <color rgb="FF000000"/>
        <rFont val="宋体"/>
        <charset val="134"/>
      </rPr>
      <t>管道、构件、阀门等安装</t>
    </r>
    <r>
      <rPr>
        <sz val="10"/>
        <color rgb="FF000000"/>
        <rFont val="Calibri"/>
        <charset val="134"/>
      </rPr>
      <t xml:space="preserve"> 
2.</t>
    </r>
    <r>
      <rPr>
        <sz val="10"/>
        <color rgb="FF000000"/>
        <rFont val="宋体"/>
        <charset val="134"/>
      </rPr>
      <t>支、吊架制作安装</t>
    </r>
  </si>
  <si>
    <t>m²</t>
  </si>
  <si>
    <t>2.6.3</t>
  </si>
  <si>
    <t>消火栓箱</t>
  </si>
  <si>
    <t>2.6.3.01</t>
  </si>
  <si>
    <t>新做及安装消火栓箱，含配套灭火器、消防水带等</t>
  </si>
  <si>
    <t>含管道及辅料</t>
  </si>
  <si>
    <t>2.6.3.02</t>
  </si>
  <si>
    <t>移位及安装消火栓箱，含配套灭火器、消防水带等</t>
  </si>
  <si>
    <t>2.6.3.03</t>
  </si>
  <si>
    <r>
      <rPr>
        <sz val="10"/>
        <color rgb="FF000000"/>
        <rFont val="Calibri"/>
        <charset val="134"/>
      </rPr>
      <t>5kgABC</t>
    </r>
    <r>
      <rPr>
        <sz val="10"/>
        <color rgb="FF000000"/>
        <rFont val="宋体"/>
        <charset val="134"/>
      </rPr>
      <t>干粉灭火器（一组两只，含金属箱体）</t>
    </r>
  </si>
  <si>
    <t>2.6.3.04</t>
  </si>
  <si>
    <r>
      <rPr>
        <sz val="10"/>
        <color rgb="FF000000"/>
        <rFont val="Calibri"/>
        <charset val="134"/>
      </rPr>
      <t>201</t>
    </r>
    <r>
      <rPr>
        <sz val="10"/>
        <color rgb="FF000000"/>
        <rFont val="宋体"/>
        <charset val="134"/>
      </rPr>
      <t>不锈钢灭火器箱（圆型）可放</t>
    </r>
    <r>
      <rPr>
        <sz val="10"/>
        <color rgb="FF000000"/>
        <rFont val="Calibri"/>
        <charset val="134"/>
      </rPr>
      <t>2-5KG</t>
    </r>
    <r>
      <rPr>
        <sz val="10"/>
        <color rgb="FF000000"/>
        <rFont val="宋体"/>
        <charset val="134"/>
      </rPr>
      <t>灭火器</t>
    </r>
  </si>
  <si>
    <t>成品灭火器箱</t>
  </si>
  <si>
    <t>2.6.4</t>
  </si>
  <si>
    <t>消防零星工程</t>
  </si>
  <si>
    <t>2.6.4.01</t>
  </si>
  <si>
    <t>消防管道挖沟回填</t>
  </si>
  <si>
    <t>2.6.4.02</t>
  </si>
  <si>
    <r>
      <rPr>
        <sz val="10"/>
        <color rgb="FF000000"/>
        <rFont val="宋体"/>
        <charset val="134"/>
      </rPr>
      <t>新做消防镀锌钢管</t>
    </r>
    <r>
      <rPr>
        <sz val="10"/>
        <color rgb="FF000000"/>
        <rFont val="Calibri"/>
        <charset val="134"/>
      </rPr>
      <t>DN100</t>
    </r>
  </si>
  <si>
    <t>含管道构件</t>
  </si>
  <si>
    <t>2.6.4.03</t>
  </si>
  <si>
    <r>
      <rPr>
        <sz val="10"/>
        <color rgb="FF000000"/>
        <rFont val="宋体"/>
        <charset val="134"/>
      </rPr>
      <t>新做消防镀锌钢管</t>
    </r>
    <r>
      <rPr>
        <sz val="10"/>
        <color rgb="FF000000"/>
        <rFont val="Calibri"/>
        <charset val="134"/>
      </rPr>
      <t>DN65</t>
    </r>
  </si>
  <si>
    <t>2.6.4.04</t>
  </si>
  <si>
    <t>管道支架、刷油</t>
  </si>
  <si>
    <t>kg</t>
  </si>
  <si>
    <t>2.6.4.05</t>
  </si>
  <si>
    <t>消火栓系统调试</t>
  </si>
  <si>
    <t>2.6.4.06</t>
  </si>
  <si>
    <t>原消防管道重新油漆</t>
  </si>
  <si>
    <t>2.6.4.07</t>
  </si>
  <si>
    <r>
      <rPr>
        <sz val="10"/>
        <color rgb="FF000000"/>
        <rFont val="宋体"/>
        <charset val="134"/>
      </rPr>
      <t>火灾报警控制器</t>
    </r>
    <r>
      <rPr>
        <sz val="10"/>
        <color rgb="FF000000"/>
        <rFont val="Calibri"/>
        <charset val="134"/>
      </rPr>
      <t xml:space="preserve">
1.</t>
    </r>
    <r>
      <rPr>
        <sz val="10"/>
        <color rgb="FF000000"/>
        <rFont val="宋体"/>
        <charset val="134"/>
      </rPr>
      <t>型号</t>
    </r>
    <r>
      <rPr>
        <sz val="10"/>
        <color rgb="FF000000"/>
        <rFont val="Calibri"/>
        <charset val="134"/>
      </rPr>
      <t>:JBF-11SF
2.</t>
    </r>
    <r>
      <rPr>
        <sz val="10"/>
        <color rgb="FF000000"/>
        <rFont val="宋体"/>
        <charset val="134"/>
      </rPr>
      <t>落地安装</t>
    </r>
  </si>
  <si>
    <t>台</t>
  </si>
  <si>
    <t>2.6.4.08</t>
  </si>
  <si>
    <r>
      <rPr>
        <sz val="10"/>
        <color rgb="FF000000"/>
        <rFont val="宋体"/>
        <charset val="134"/>
      </rPr>
      <t>广播控制盘</t>
    </r>
    <r>
      <rPr>
        <sz val="10"/>
        <color rgb="FF000000"/>
        <rFont val="Calibri"/>
        <charset val="134"/>
      </rPr>
      <t xml:space="preserve">
</t>
    </r>
    <r>
      <rPr>
        <sz val="10"/>
        <color rgb="FF000000"/>
        <rFont val="宋体"/>
        <charset val="134"/>
      </rPr>
      <t>型号</t>
    </r>
    <r>
      <rPr>
        <sz val="10"/>
        <color rgb="FF000000"/>
        <rFont val="Calibri"/>
        <charset val="134"/>
      </rPr>
      <t>:MP3/JBF-11SF-KZ</t>
    </r>
  </si>
  <si>
    <t>2.6.4.09</t>
  </si>
  <si>
    <r>
      <rPr>
        <sz val="10"/>
        <color rgb="FF000000"/>
        <rFont val="宋体"/>
        <charset val="134"/>
      </rPr>
      <t>功率放大器</t>
    </r>
    <r>
      <rPr>
        <sz val="10"/>
        <color rgb="FF000000"/>
        <rFont val="Calibri"/>
        <charset val="134"/>
      </rPr>
      <t xml:space="preserve">
</t>
    </r>
    <r>
      <rPr>
        <sz val="10"/>
        <color rgb="FF000000"/>
        <rFont val="宋体"/>
        <charset val="134"/>
      </rPr>
      <t>型号</t>
    </r>
    <r>
      <rPr>
        <sz val="10"/>
        <color rgb="FF000000"/>
        <rFont val="Calibri"/>
        <charset val="134"/>
      </rPr>
      <t>:JBF/11SF-P350W</t>
    </r>
  </si>
  <si>
    <t>2.6.4.10</t>
  </si>
  <si>
    <r>
      <rPr>
        <sz val="10"/>
        <color rgb="FF000000"/>
        <rFont val="宋体"/>
        <charset val="134"/>
      </rPr>
      <t>消防电话系统</t>
    </r>
    <r>
      <rPr>
        <sz val="10"/>
        <color rgb="FF000000"/>
        <rFont val="Calibri"/>
        <charset val="134"/>
      </rPr>
      <t xml:space="preserve">
</t>
    </r>
    <r>
      <rPr>
        <sz val="10"/>
        <color rgb="FF000000"/>
        <rFont val="宋体"/>
        <charset val="134"/>
      </rPr>
      <t>型号</t>
    </r>
    <r>
      <rPr>
        <sz val="10"/>
        <color rgb="FF000000"/>
        <rFont val="Calibri"/>
        <charset val="134"/>
      </rPr>
      <t>:HDM2101</t>
    </r>
  </si>
  <si>
    <t>2.6.4.11</t>
  </si>
  <si>
    <r>
      <rPr>
        <sz val="10"/>
        <color rgb="FF000000"/>
        <rFont val="宋体"/>
        <charset val="134"/>
      </rPr>
      <t>消防联动电源</t>
    </r>
    <r>
      <rPr>
        <sz val="10"/>
        <color rgb="FF000000"/>
        <rFont val="Calibri"/>
        <charset val="134"/>
      </rPr>
      <t xml:space="preserve">
</t>
    </r>
    <r>
      <rPr>
        <sz val="10"/>
        <color rgb="FF000000"/>
        <rFont val="宋体"/>
        <charset val="134"/>
      </rPr>
      <t>型号</t>
    </r>
    <r>
      <rPr>
        <sz val="10"/>
        <color rgb="FF000000"/>
        <rFont val="Calibri"/>
        <charset val="134"/>
      </rPr>
      <t>:BYF-PC20M</t>
    </r>
  </si>
  <si>
    <t>2.6.4.12</t>
  </si>
  <si>
    <r>
      <rPr>
        <sz val="10"/>
        <color rgb="FF000000"/>
        <rFont val="宋体"/>
        <charset val="134"/>
      </rPr>
      <t>模块</t>
    </r>
    <r>
      <rPr>
        <sz val="10"/>
        <color rgb="FF000000"/>
        <rFont val="Calibri"/>
        <charset val="134"/>
      </rPr>
      <t xml:space="preserve">
</t>
    </r>
    <r>
      <rPr>
        <sz val="10"/>
        <color rgb="FF000000"/>
        <rFont val="宋体"/>
        <charset val="134"/>
      </rPr>
      <t>输入</t>
    </r>
    <r>
      <rPr>
        <sz val="10"/>
        <color rgb="FF000000"/>
        <rFont val="Calibri"/>
        <charset val="134"/>
      </rPr>
      <t>/</t>
    </r>
    <r>
      <rPr>
        <sz val="10"/>
        <color rgb="FF000000"/>
        <rFont val="宋体"/>
        <charset val="134"/>
      </rPr>
      <t>输出模块</t>
    </r>
  </si>
  <si>
    <t>2.6.4.13</t>
  </si>
  <si>
    <r>
      <rPr>
        <sz val="10"/>
        <color rgb="FF000000"/>
        <rFont val="宋体"/>
        <charset val="134"/>
      </rPr>
      <t>消防区域报警主机（联动型）：火灾广播功放盘，分路控制盘；火灾报警控制器；消防联动台；消防电话主机；</t>
    </r>
    <r>
      <rPr>
        <sz val="10"/>
        <color rgb="FF000000"/>
        <rFont val="Calibri"/>
        <charset val="134"/>
      </rPr>
      <t>DC24V</t>
    </r>
    <r>
      <rPr>
        <sz val="10"/>
        <color rgb="FF000000"/>
        <rFont val="宋体"/>
        <charset val="134"/>
      </rPr>
      <t>电源</t>
    </r>
  </si>
  <si>
    <t>2.6.4.14</t>
  </si>
  <si>
    <t>控制模块</t>
  </si>
  <si>
    <t>2.6.4.15</t>
  </si>
  <si>
    <t>输入模块</t>
  </si>
  <si>
    <t>2.6.4.16</t>
  </si>
  <si>
    <t>信号报警阀</t>
  </si>
  <si>
    <t>2.6.4.17</t>
  </si>
  <si>
    <t>应急广播控制模块箱300*300*150</t>
  </si>
  <si>
    <t>2.6.4.18</t>
  </si>
  <si>
    <t>干粉灭火器</t>
  </si>
  <si>
    <t>2.6.4.19</t>
  </si>
  <si>
    <t>二氧化碳灭火器</t>
  </si>
  <si>
    <t>2.6.4.20</t>
  </si>
  <si>
    <t>水基灭火器</t>
  </si>
  <si>
    <t>2.6.4.21</t>
  </si>
  <si>
    <t>挂装6kg球形灭火弹</t>
  </si>
  <si>
    <t>2.6.4.22</t>
  </si>
  <si>
    <t>指定消防公司施工</t>
  </si>
  <si>
    <t>2.6.4.23</t>
  </si>
  <si>
    <t>基于图纸的原消防系统改造工程（含所有消防验收三证的费用）</t>
  </si>
  <si>
    <t>2.6.4.24</t>
  </si>
  <si>
    <t>基于图纸的原消防系统改造工程总包管理费用</t>
  </si>
  <si>
    <t>消防工程合计</t>
  </si>
  <si>
    <t>理想汽车中心店屋面工程量清单</t>
  </si>
  <si>
    <r>
      <rPr>
        <sz val="9.75"/>
        <color rgb="FF000000"/>
        <rFont val="Calibri"/>
        <charset val="134"/>
      </rPr>
      <t>名</t>
    </r>
    <r>
      <rPr>
        <sz val="9.75"/>
        <color rgb="FF000000"/>
        <rFont val="Calibri"/>
        <charset val="134"/>
      </rPr>
      <t xml:space="preserve">     </t>
    </r>
    <r>
      <rPr>
        <sz val="9.75"/>
        <color rgb="FF000000"/>
        <rFont val="Calibri"/>
        <charset val="134"/>
      </rPr>
      <t>称</t>
    </r>
  </si>
  <si>
    <t>2.7屋面工程</t>
  </si>
  <si>
    <t>2.7.1</t>
  </si>
  <si>
    <r>
      <rPr>
        <sz val="9.75"/>
        <color rgb="FF000000"/>
        <rFont val="Calibri"/>
        <charset val="134"/>
      </rPr>
      <t>屋面保温层</t>
    </r>
  </si>
  <si>
    <r>
      <rPr>
        <sz val="9.75"/>
        <color rgb="FF000000"/>
        <rFont val="Calibri"/>
        <charset val="134"/>
      </rPr>
      <t>1.</t>
    </r>
    <r>
      <rPr>
        <sz val="9.75"/>
        <color rgb="FF000000"/>
        <rFont val="Calibri"/>
        <charset val="134"/>
      </rPr>
      <t>屋面清理</t>
    </r>
    <r>
      <rPr>
        <sz val="9.75"/>
        <color rgb="FF000000"/>
        <rFont val="Calibri"/>
        <charset val="134"/>
      </rPr>
      <t xml:space="preserve">
2.</t>
    </r>
    <r>
      <rPr>
        <sz val="9.75"/>
        <color rgb="FF000000"/>
        <rFont val="Calibri"/>
        <charset val="134"/>
      </rPr>
      <t>复合岩棉板，容重：</t>
    </r>
    <r>
      <rPr>
        <sz val="9.75"/>
        <color rgb="FF000000"/>
        <rFont val="Calibri"/>
        <charset val="134"/>
      </rPr>
      <t>50kg/m3</t>
    </r>
    <r>
      <rPr>
        <sz val="9.75"/>
        <color rgb="FF000000"/>
        <rFont val="Calibri"/>
        <charset val="134"/>
      </rPr>
      <t>，厚度</t>
    </r>
    <r>
      <rPr>
        <sz val="9.75"/>
        <color rgb="FF000000"/>
        <rFont val="Calibri"/>
        <charset val="134"/>
      </rPr>
      <t>100mm</t>
    </r>
    <r>
      <rPr>
        <sz val="9.75"/>
        <color rgb="FF000000"/>
        <rFont val="Calibri"/>
        <charset val="134"/>
      </rPr>
      <t>制作安装</t>
    </r>
  </si>
  <si>
    <t>2.7.2</t>
  </si>
  <si>
    <r>
      <rPr>
        <sz val="9.75"/>
        <color rgb="FF000000"/>
        <rFont val="Calibri"/>
        <charset val="134"/>
      </rPr>
      <t>SBS 3+3</t>
    </r>
    <r>
      <rPr>
        <sz val="9.75"/>
        <color rgb="FF000000"/>
        <rFont val="Calibri"/>
        <charset val="134"/>
      </rPr>
      <t>屋面防水层</t>
    </r>
  </si>
  <si>
    <r>
      <rPr>
        <sz val="9.75"/>
        <color rgb="FF000000"/>
        <rFont val="Calibri"/>
        <charset val="134"/>
      </rPr>
      <t>1.</t>
    </r>
    <r>
      <rPr>
        <sz val="9.75"/>
        <color rgb="FF000000"/>
        <rFont val="Calibri"/>
        <charset val="134"/>
      </rPr>
      <t>基层清理</t>
    </r>
    <r>
      <rPr>
        <sz val="9.75"/>
        <color rgb="FF000000"/>
        <rFont val="Calibri"/>
        <charset val="134"/>
      </rPr>
      <t xml:space="preserve">
2.</t>
    </r>
    <r>
      <rPr>
        <sz val="9.75"/>
        <color rgb="FF000000"/>
        <rFont val="Calibri"/>
        <charset val="134"/>
      </rPr>
      <t>涂刷底油</t>
    </r>
    <r>
      <rPr>
        <sz val="9.75"/>
        <color rgb="FF000000"/>
        <rFont val="Calibri"/>
        <charset val="134"/>
      </rPr>
      <t xml:space="preserve">
3.3mm</t>
    </r>
    <r>
      <rPr>
        <sz val="9.75"/>
        <color rgb="FF000000"/>
        <rFont val="Calibri"/>
        <charset val="134"/>
      </rPr>
      <t>厚</t>
    </r>
    <r>
      <rPr>
        <sz val="9.75"/>
        <color rgb="FF000000"/>
        <rFont val="Calibri"/>
        <charset val="134"/>
      </rPr>
      <t>SBS</t>
    </r>
    <r>
      <rPr>
        <sz val="9.75"/>
        <color rgb="FF000000"/>
        <rFont val="Calibri"/>
        <charset val="134"/>
      </rPr>
      <t>防水卷材</t>
    </r>
    <r>
      <rPr>
        <sz val="9.75"/>
        <color rgb="FF000000"/>
        <rFont val="Calibri"/>
        <charset val="134"/>
      </rPr>
      <t>2</t>
    </r>
    <r>
      <rPr>
        <sz val="9.75"/>
        <color rgb="FF000000"/>
        <rFont val="Calibri"/>
        <charset val="134"/>
      </rPr>
      <t>层</t>
    </r>
  </si>
  <si>
    <t>2.7.3</t>
  </si>
  <si>
    <r>
      <rPr>
        <sz val="9.75"/>
        <color rgb="FF000000"/>
        <rFont val="Calibri"/>
        <charset val="134"/>
      </rPr>
      <t>屋面修补漏水铺设单层彩钢板</t>
    </r>
  </si>
  <si>
    <r>
      <rPr>
        <sz val="9.75"/>
        <color rgb="FF000000"/>
        <rFont val="Calibri"/>
        <charset val="134"/>
      </rPr>
      <t>1.</t>
    </r>
    <r>
      <rPr>
        <sz val="9.75"/>
        <color rgb="FF000000"/>
        <rFont val="Calibri"/>
        <charset val="134"/>
      </rPr>
      <t>拆除原有破损彩钢板</t>
    </r>
    <r>
      <rPr>
        <sz val="9.75"/>
        <color rgb="FF000000"/>
        <rFont val="Calibri"/>
        <charset val="134"/>
      </rPr>
      <t xml:space="preserve">
2.</t>
    </r>
    <r>
      <rPr>
        <sz val="9.75"/>
        <color rgb="FF000000"/>
        <rFont val="Calibri"/>
        <charset val="134"/>
      </rPr>
      <t>修补单层彩钢版</t>
    </r>
    <r>
      <rPr>
        <sz val="9.75"/>
        <color rgb="FF000000"/>
        <rFont val="Calibri"/>
        <charset val="134"/>
      </rPr>
      <t xml:space="preserve">
3.</t>
    </r>
    <r>
      <rPr>
        <sz val="9.75"/>
        <color rgb="FF000000"/>
        <rFont val="Calibri"/>
        <charset val="134"/>
      </rPr>
      <t>型钢龙骨修补</t>
    </r>
  </si>
  <si>
    <r>
      <rPr>
        <b/>
        <sz val="9.75"/>
        <color rgb="FF1A1FFC"/>
        <rFont val="Calibri"/>
        <charset val="134"/>
      </rPr>
      <t>补充项</t>
    </r>
  </si>
  <si>
    <t>屋面工程合计：</t>
  </si>
  <si>
    <t>理想汽车中心店结构工程量清单</t>
  </si>
  <si>
    <t>2.8钢结构工程</t>
  </si>
  <si>
    <t>2.8.01</t>
  </si>
  <si>
    <r>
      <rPr>
        <sz val="10"/>
        <color rgb="FF000000"/>
        <rFont val="宋体"/>
        <charset val="134"/>
      </rPr>
      <t>拆除原钢筋混凝土结构楼板，厚度：</t>
    </r>
    <r>
      <rPr>
        <sz val="10"/>
        <color rgb="FF000000"/>
        <rFont val="Calibri"/>
        <charset val="134"/>
      </rPr>
      <t>250mm</t>
    </r>
    <r>
      <rPr>
        <sz val="10"/>
        <color rgb="FF000000"/>
        <rFont val="宋体"/>
        <charset val="134"/>
      </rPr>
      <t>以内</t>
    </r>
  </si>
  <si>
    <r>
      <rPr>
        <sz val="10"/>
        <color rgb="FF000000"/>
        <rFont val="Calibri"/>
        <charset val="134"/>
      </rPr>
      <t>1.</t>
    </r>
    <r>
      <rPr>
        <sz val="10"/>
        <color rgb="FF000000"/>
        <rFont val="宋体"/>
        <charset val="134"/>
      </rPr>
      <t>拆除原有混凝土楼板，厚度</t>
    </r>
    <r>
      <rPr>
        <sz val="10"/>
        <color rgb="FF000000"/>
        <rFont val="Calibri"/>
        <charset val="134"/>
      </rPr>
      <t>≤250mm
2.</t>
    </r>
    <r>
      <rPr>
        <sz val="10"/>
        <color rgb="FF000000"/>
        <rFont val="宋体"/>
        <charset val="134"/>
      </rPr>
      <t>垃圾清理、外运</t>
    </r>
  </si>
  <si>
    <t>2.8.02</t>
  </si>
  <si>
    <r>
      <rPr>
        <sz val="10"/>
        <color rgb="FF000000"/>
        <rFont val="宋体"/>
        <charset val="134"/>
      </rPr>
      <t>结构楼板加固，需达到</t>
    </r>
    <r>
      <rPr>
        <sz val="10"/>
        <color rgb="FF000000"/>
        <rFont val="Calibri"/>
        <charset val="134"/>
      </rPr>
      <t>500kg/m2</t>
    </r>
  </si>
  <si>
    <r>
      <rPr>
        <sz val="10"/>
        <color rgb="FF000000"/>
        <rFont val="Calibri"/>
        <charset val="134"/>
      </rPr>
      <t>1.</t>
    </r>
    <r>
      <rPr>
        <sz val="10"/>
        <color rgb="FF000000"/>
        <rFont val="宋体"/>
        <charset val="134"/>
      </rPr>
      <t>原结构楼板加固</t>
    </r>
    <r>
      <rPr>
        <sz val="10"/>
        <color rgb="FF000000"/>
        <rFont val="Calibri"/>
        <charset val="134"/>
      </rPr>
      <t xml:space="preserve">
2.</t>
    </r>
    <r>
      <rPr>
        <sz val="10"/>
        <color rgb="FF000000"/>
        <rFont val="宋体"/>
        <charset val="134"/>
      </rPr>
      <t>包含混凝土结构、钢结构等加固方式</t>
    </r>
  </si>
  <si>
    <t>2.8.03</t>
  </si>
  <si>
    <t>新增钢结构</t>
  </si>
  <si>
    <r>
      <rPr>
        <sz val="10"/>
        <color rgb="FF000000"/>
        <rFont val="Calibri"/>
        <charset val="134"/>
      </rPr>
      <t>1.</t>
    </r>
    <r>
      <rPr>
        <sz val="10"/>
        <color rgb="FF000000"/>
        <rFont val="宋体"/>
        <charset val="134"/>
      </rPr>
      <t>新建钢结构夹层、楼梯、结构加固等全部钢结构工程</t>
    </r>
    <r>
      <rPr>
        <sz val="10"/>
        <color rgb="FF000000"/>
        <rFont val="Calibri"/>
        <charset val="134"/>
      </rPr>
      <t xml:space="preserve">
2.</t>
    </r>
    <r>
      <rPr>
        <sz val="10"/>
        <color rgb="FF000000"/>
        <rFont val="宋体"/>
        <charset val="134"/>
      </rPr>
      <t>包含钢结构内涉及到的型钢龙骨、钢板、化学螺栓等全部材料及工作内容</t>
    </r>
    <r>
      <rPr>
        <sz val="10"/>
        <color rgb="FF000000"/>
        <rFont val="Calibri"/>
        <charset val="134"/>
      </rPr>
      <t xml:space="preserve">
3.</t>
    </r>
    <r>
      <rPr>
        <sz val="10"/>
        <color rgb="FF000000"/>
        <rFont val="宋体"/>
        <charset val="134"/>
      </rPr>
      <t>钢结构表面灰色防锈漆处理</t>
    </r>
  </si>
  <si>
    <t>2.8.04</t>
  </si>
  <si>
    <t>新增钢结构楼梯</t>
  </si>
  <si>
    <r>
      <rPr>
        <sz val="10"/>
        <color rgb="FF000000"/>
        <rFont val="Calibri"/>
        <charset val="134"/>
      </rPr>
      <t>1.</t>
    </r>
    <r>
      <rPr>
        <sz val="10"/>
        <color rgb="FF000000"/>
        <rFont val="宋体"/>
        <charset val="134"/>
      </rPr>
      <t>新建钢结构楼梯</t>
    </r>
    <r>
      <rPr>
        <sz val="10"/>
        <color rgb="FF000000"/>
        <rFont val="Calibri"/>
        <charset val="134"/>
      </rPr>
      <t xml:space="preserve">
2.</t>
    </r>
    <r>
      <rPr>
        <sz val="10"/>
        <color rgb="FF000000"/>
        <rFont val="宋体"/>
        <charset val="134"/>
      </rPr>
      <t>包含钢结构内涉及到的型钢龙骨、钢板、化学螺栓等全部材料及工作内容</t>
    </r>
    <r>
      <rPr>
        <sz val="10"/>
        <color rgb="FF000000"/>
        <rFont val="Calibri"/>
        <charset val="134"/>
      </rPr>
      <t xml:space="preserve">
3.</t>
    </r>
    <r>
      <rPr>
        <sz val="10"/>
        <color rgb="FF000000"/>
        <rFont val="宋体"/>
        <charset val="134"/>
      </rPr>
      <t>钢结构表面灰色防锈漆处理</t>
    </r>
  </si>
  <si>
    <t>2.8.05</t>
  </si>
  <si>
    <t>新增混凝土基础</t>
  </si>
  <si>
    <r>
      <rPr>
        <sz val="10"/>
        <color rgb="FF000000"/>
        <rFont val="Calibri"/>
        <charset val="134"/>
      </rPr>
      <t>1.</t>
    </r>
    <r>
      <rPr>
        <sz val="10"/>
        <color rgb="FF000000"/>
        <rFont val="宋体"/>
        <charset val="134"/>
      </rPr>
      <t>土方开挖回填</t>
    </r>
    <r>
      <rPr>
        <sz val="10"/>
        <color rgb="FF000000"/>
        <rFont val="Calibri"/>
        <charset val="134"/>
      </rPr>
      <t xml:space="preserve">
2.C30</t>
    </r>
    <r>
      <rPr>
        <sz val="10"/>
        <color rgb="FF000000"/>
        <rFont val="宋体"/>
        <charset val="134"/>
      </rPr>
      <t>钢筋混凝土浇筑，预埋件敷设</t>
    </r>
    <r>
      <rPr>
        <sz val="10"/>
        <color rgb="FF000000"/>
        <rFont val="Calibri"/>
        <charset val="134"/>
      </rPr>
      <t xml:space="preserve">
3.</t>
    </r>
    <r>
      <rPr>
        <sz val="10"/>
        <color rgb="FF000000"/>
        <rFont val="宋体"/>
        <charset val="134"/>
      </rPr>
      <t>模板拆装及租赁</t>
    </r>
  </si>
  <si>
    <t>2.8.06</t>
  </si>
  <si>
    <t>新做混凝土工程</t>
  </si>
  <si>
    <r>
      <rPr>
        <sz val="10"/>
        <color rgb="FF000000"/>
        <rFont val="Calibri"/>
        <charset val="134"/>
      </rPr>
      <t>1.</t>
    </r>
    <r>
      <rPr>
        <sz val="10"/>
        <color rgb="FF000000"/>
        <rFont val="宋体"/>
        <charset val="134"/>
      </rPr>
      <t>新做钢筋混凝土梁、板、柱</t>
    </r>
    <r>
      <rPr>
        <sz val="10"/>
        <color rgb="FF000000"/>
        <rFont val="Calibri"/>
        <charset val="134"/>
      </rPr>
      <t xml:space="preserve">
2.C30</t>
    </r>
    <r>
      <rPr>
        <sz val="10"/>
        <color rgb="FF000000"/>
        <rFont val="宋体"/>
        <charset val="134"/>
      </rPr>
      <t>钢筋混凝土浇筑，预埋件敷设</t>
    </r>
    <r>
      <rPr>
        <sz val="10"/>
        <color rgb="FF000000"/>
        <rFont val="Calibri"/>
        <charset val="134"/>
      </rPr>
      <t xml:space="preserve">
3.</t>
    </r>
    <r>
      <rPr>
        <sz val="10"/>
        <color rgb="FF000000"/>
        <rFont val="宋体"/>
        <charset val="134"/>
      </rPr>
      <t>模板拆装及租赁</t>
    </r>
  </si>
  <si>
    <t>2.8.07</t>
  </si>
  <si>
    <t>新做混凝土小构配件工程</t>
  </si>
  <si>
    <r>
      <rPr>
        <sz val="10"/>
        <color rgb="FF000000"/>
        <rFont val="Calibri"/>
        <charset val="134"/>
      </rPr>
      <t>1.</t>
    </r>
    <r>
      <rPr>
        <sz val="10"/>
        <color rgb="FF000000"/>
        <rFont val="宋体"/>
        <charset val="134"/>
      </rPr>
      <t>新做钢筋混凝土小构配件</t>
    </r>
    <r>
      <rPr>
        <sz val="10"/>
        <color rgb="FF000000"/>
        <rFont val="Calibri"/>
        <charset val="134"/>
      </rPr>
      <t xml:space="preserve">
2.C30</t>
    </r>
    <r>
      <rPr>
        <sz val="10"/>
        <color rgb="FF000000"/>
        <rFont val="宋体"/>
        <charset val="134"/>
      </rPr>
      <t>钢筋混凝土浇筑，预埋件敷设</t>
    </r>
    <r>
      <rPr>
        <sz val="10"/>
        <color rgb="FF000000"/>
        <rFont val="Calibri"/>
        <charset val="134"/>
      </rPr>
      <t xml:space="preserve">
3.</t>
    </r>
    <r>
      <rPr>
        <sz val="10"/>
        <color rgb="FF000000"/>
        <rFont val="宋体"/>
        <charset val="134"/>
      </rPr>
      <t>模板拆装及租赁</t>
    </r>
  </si>
  <si>
    <r>
      <rPr>
        <sz val="10"/>
        <color rgb="FF000000"/>
        <rFont val="宋体"/>
        <charset val="134"/>
      </rPr>
      <t>结构增加牛腿、悬挑梁等单体浇筑物</t>
    </r>
    <r>
      <rPr>
        <sz val="10"/>
        <color rgb="FF000000"/>
        <rFont val="Calibri"/>
        <charset val="134"/>
      </rPr>
      <t>≤0.1</t>
    </r>
    <r>
      <rPr>
        <sz val="10"/>
        <color rgb="FF000000"/>
        <rFont val="宋体"/>
        <charset val="134"/>
      </rPr>
      <t>立方钢筋混凝土结构</t>
    </r>
  </si>
  <si>
    <t>2.8.08</t>
  </si>
  <si>
    <t>结构加固深化设计，含盖设计院章</t>
  </si>
  <si>
    <r>
      <rPr>
        <sz val="10"/>
        <color rgb="FF000000"/>
        <rFont val="Calibri"/>
        <charset val="134"/>
      </rPr>
      <t>1.</t>
    </r>
    <r>
      <rPr>
        <sz val="10"/>
        <color rgb="FF000000"/>
        <rFont val="宋体"/>
        <charset val="134"/>
      </rPr>
      <t>取得符合资质要求的设计院盖章计算书</t>
    </r>
    <r>
      <rPr>
        <sz val="10"/>
        <color rgb="FF000000"/>
        <rFont val="Calibri"/>
        <charset val="134"/>
      </rPr>
      <t xml:space="preserve">
2.</t>
    </r>
    <r>
      <rPr>
        <sz val="10"/>
        <color rgb="FF000000"/>
        <rFont val="宋体"/>
        <charset val="134"/>
      </rPr>
      <t>全套设计图纸及盖章蓝图</t>
    </r>
  </si>
  <si>
    <t>2.8.09</t>
  </si>
  <si>
    <t>土方开挖</t>
  </si>
  <si>
    <r>
      <rPr>
        <sz val="10"/>
        <color rgb="FF000000"/>
        <rFont val="Calibri"/>
        <charset val="134"/>
      </rPr>
      <t>1.</t>
    </r>
    <r>
      <rPr>
        <sz val="10"/>
        <color rgb="FF000000"/>
        <rFont val="宋体"/>
        <charset val="134"/>
      </rPr>
      <t>土方开挖</t>
    </r>
  </si>
  <si>
    <t>2.8.10</t>
  </si>
  <si>
    <t>储水池外防水（隔油池）</t>
  </si>
  <si>
    <r>
      <rPr>
        <sz val="10"/>
        <color rgb="FF000000"/>
        <rFont val="等线"/>
        <charset val="134"/>
        <scheme val="minor"/>
      </rPr>
      <t>1.2mm</t>
    </r>
    <r>
      <rPr>
        <sz val="10"/>
        <color rgb="FF000000"/>
        <rFont val="宋体"/>
        <charset val="134"/>
      </rPr>
      <t>厚</t>
    </r>
    <r>
      <rPr>
        <sz val="10"/>
        <color rgb="FF000000"/>
        <rFont val="Calibri"/>
        <charset val="134"/>
      </rPr>
      <t>JS</t>
    </r>
    <r>
      <rPr>
        <sz val="10"/>
        <color rgb="FF000000"/>
        <rFont val="宋体"/>
        <charset val="134"/>
      </rPr>
      <t>防水</t>
    </r>
  </si>
  <si>
    <t>2.8.11</t>
  </si>
  <si>
    <t>钢筋混凝土储水池（隔油池）</t>
  </si>
  <si>
    <r>
      <rPr>
        <sz val="10"/>
        <color rgb="FF000000"/>
        <rFont val="Calibri"/>
        <charset val="134"/>
      </rPr>
      <t>1.</t>
    </r>
    <r>
      <rPr>
        <sz val="10"/>
        <color rgb="FF000000"/>
        <rFont val="宋体"/>
        <charset val="134"/>
      </rPr>
      <t>按厂家规范要求尺寸做法完成</t>
    </r>
  </si>
  <si>
    <t>2.8.12</t>
  </si>
  <si>
    <t>钢筋混凝土盖板（隔油池）</t>
  </si>
  <si>
    <t>2.8.13</t>
  </si>
  <si>
    <t>混凝土地面开挖（隔油池）</t>
  </si>
  <si>
    <r>
      <rPr>
        <sz val="10"/>
        <color rgb="FF000000"/>
        <rFont val="Calibri"/>
        <charset val="134"/>
      </rPr>
      <t>1.</t>
    </r>
    <r>
      <rPr>
        <sz val="10"/>
        <color rgb="FF000000"/>
        <rFont val="宋体"/>
        <charset val="134"/>
      </rPr>
      <t>拆除原有混凝土地面</t>
    </r>
  </si>
  <si>
    <t>2.8.14</t>
  </si>
  <si>
    <r>
      <rPr>
        <sz val="10"/>
        <color rgb="FF000000"/>
        <rFont val="宋体"/>
        <charset val="134"/>
      </rPr>
      <t>双柱举升机基础：含现有地面拆除新做</t>
    </r>
    <r>
      <rPr>
        <sz val="10"/>
        <color rgb="FF000000"/>
        <rFont val="Calibri"/>
        <charset val="134"/>
      </rPr>
      <t>400</t>
    </r>
    <r>
      <rPr>
        <sz val="10"/>
        <color rgb="FF000000"/>
        <rFont val="宋体"/>
        <charset val="134"/>
      </rPr>
      <t>厚钢筋混凝土带型基础</t>
    </r>
  </si>
  <si>
    <r>
      <rPr>
        <sz val="10"/>
        <color rgb="FF000000"/>
        <rFont val="Calibri"/>
        <charset val="134"/>
      </rPr>
      <t>1.</t>
    </r>
    <r>
      <rPr>
        <sz val="10"/>
        <color rgb="FF000000"/>
        <rFont val="宋体"/>
        <charset val="134"/>
      </rPr>
      <t>土方开挖及回填（包含原地面拆除）</t>
    </r>
    <r>
      <rPr>
        <sz val="10"/>
        <color rgb="FF000000"/>
        <rFont val="Calibri"/>
        <charset val="134"/>
      </rPr>
      <t xml:space="preserve">
2.400mm</t>
    </r>
    <r>
      <rPr>
        <sz val="10"/>
        <color rgb="FF000000"/>
        <rFont val="宋体"/>
        <charset val="134"/>
      </rPr>
      <t>厚</t>
    </r>
    <r>
      <rPr>
        <sz val="10"/>
        <color rgb="FF000000"/>
        <rFont val="Calibri"/>
        <charset val="134"/>
      </rPr>
      <t>C30</t>
    </r>
    <r>
      <rPr>
        <sz val="10"/>
        <color rgb="FF000000"/>
        <rFont val="宋体"/>
        <charset val="134"/>
      </rPr>
      <t>钢筋混凝土带型基础</t>
    </r>
    <r>
      <rPr>
        <sz val="10"/>
        <color rgb="FF000000"/>
        <rFont val="Calibri"/>
        <charset val="134"/>
      </rPr>
      <t xml:space="preserve">
3.</t>
    </r>
    <r>
      <rPr>
        <sz val="10"/>
        <color rgb="FF000000"/>
        <rFont val="宋体"/>
        <charset val="134"/>
      </rPr>
      <t>模板拆装及租赁</t>
    </r>
  </si>
  <si>
    <t>2.8.15</t>
  </si>
  <si>
    <t>剪式举升机基础</t>
  </si>
  <si>
    <r>
      <rPr>
        <sz val="10"/>
        <color rgb="FF000000"/>
        <rFont val="Calibri"/>
        <charset val="134"/>
      </rPr>
      <t>1.</t>
    </r>
    <r>
      <rPr>
        <sz val="10"/>
        <color rgb="FF000000"/>
        <rFont val="宋体"/>
        <charset val="134"/>
      </rPr>
      <t>土方开挖及回填（包含原地面拆除）</t>
    </r>
    <r>
      <rPr>
        <sz val="10"/>
        <color rgb="FF000000"/>
        <rFont val="Calibri"/>
        <charset val="134"/>
      </rPr>
      <t xml:space="preserve">
2.C30</t>
    </r>
    <r>
      <rPr>
        <sz val="10"/>
        <color rgb="FF000000"/>
        <rFont val="宋体"/>
        <charset val="134"/>
      </rPr>
      <t>钢筋混凝土基础（按设备厂家要求尺寸）</t>
    </r>
    <r>
      <rPr>
        <sz val="10"/>
        <color rgb="FF000000"/>
        <rFont val="Calibri"/>
        <charset val="134"/>
      </rPr>
      <t xml:space="preserve">
3.</t>
    </r>
    <r>
      <rPr>
        <sz val="10"/>
        <color rgb="FF000000"/>
        <rFont val="宋体"/>
        <charset val="134"/>
      </rPr>
      <t>模板拆装及租赁</t>
    </r>
  </si>
  <si>
    <t>2.8.16</t>
  </si>
  <si>
    <t>排水沟</t>
  </si>
  <si>
    <r>
      <rPr>
        <sz val="10"/>
        <color rgb="FF000000"/>
        <rFont val="Calibri"/>
        <charset val="134"/>
      </rPr>
      <t>1.C20</t>
    </r>
    <r>
      <rPr>
        <sz val="10"/>
        <color rgb="FF000000"/>
        <rFont val="宋体"/>
        <charset val="134"/>
      </rPr>
      <t>混凝土基础</t>
    </r>
    <r>
      <rPr>
        <sz val="10"/>
        <color rgb="FF000000"/>
        <rFont val="Calibri"/>
        <charset val="134"/>
      </rPr>
      <t xml:space="preserve">
2.</t>
    </r>
    <r>
      <rPr>
        <sz val="10"/>
        <color rgb="FF000000"/>
        <rFont val="宋体"/>
        <charset val="134"/>
      </rPr>
      <t>地面开挖及回填</t>
    </r>
  </si>
  <si>
    <t>室外雨水排水沟项目</t>
  </si>
  <si>
    <t>2.8.17</t>
  </si>
  <si>
    <t>钢结构薄型防火涂料</t>
  </si>
  <si>
    <r>
      <rPr>
        <sz val="10"/>
        <color rgb="FF000000"/>
        <rFont val="Calibri"/>
        <charset val="134"/>
      </rPr>
      <t>1.</t>
    </r>
    <r>
      <rPr>
        <sz val="10"/>
        <color rgb="FF000000"/>
        <rFont val="宋体"/>
        <charset val="134"/>
      </rPr>
      <t>基层处理</t>
    </r>
    <r>
      <rPr>
        <sz val="10"/>
        <color rgb="FF000000"/>
        <rFont val="Calibri"/>
        <charset val="134"/>
      </rPr>
      <t xml:space="preserve">
2.</t>
    </r>
    <r>
      <rPr>
        <sz val="10"/>
        <color rgb="FF000000"/>
        <rFont val="宋体"/>
        <charset val="134"/>
      </rPr>
      <t>防火涂料喷涂</t>
    </r>
    <r>
      <rPr>
        <sz val="10"/>
        <color rgb="FF000000"/>
        <rFont val="Calibri"/>
        <charset val="134"/>
      </rPr>
      <t xml:space="preserve">
3.</t>
    </r>
    <r>
      <rPr>
        <sz val="10"/>
        <color rgb="FF000000"/>
        <rFont val="宋体"/>
        <charset val="134"/>
      </rPr>
      <t>耐火极限</t>
    </r>
    <r>
      <rPr>
        <sz val="10"/>
        <color rgb="FF000000"/>
        <rFont val="Calibri"/>
        <charset val="134"/>
      </rPr>
      <t>1.0h</t>
    </r>
  </si>
  <si>
    <t>2.8.18</t>
  </si>
  <si>
    <t>波纹板内填保温岩棉外墙板</t>
  </si>
  <si>
    <r>
      <rPr>
        <sz val="10"/>
        <color rgb="FF000000"/>
        <rFont val="Calibri"/>
        <charset val="134"/>
      </rPr>
      <t>1.</t>
    </r>
    <r>
      <rPr>
        <sz val="10"/>
        <color rgb="FF000000"/>
        <rFont val="宋体"/>
        <charset val="134"/>
      </rPr>
      <t>型钢龙骨</t>
    </r>
    <r>
      <rPr>
        <sz val="10"/>
        <color rgb="FF000000"/>
        <rFont val="Calibri"/>
        <charset val="134"/>
      </rPr>
      <t xml:space="preserve">
2.</t>
    </r>
    <r>
      <rPr>
        <sz val="10"/>
        <color rgb="FF000000"/>
        <rFont val="宋体"/>
        <charset val="134"/>
      </rPr>
      <t>双面封单层彩钢板</t>
    </r>
    <r>
      <rPr>
        <sz val="10"/>
        <color rgb="FF000000"/>
        <rFont val="Calibri"/>
        <charset val="134"/>
      </rPr>
      <t xml:space="preserve">
3.</t>
    </r>
    <r>
      <rPr>
        <sz val="10"/>
        <color rgb="FF000000"/>
        <rFont val="宋体"/>
        <charset val="134"/>
      </rPr>
      <t>内填</t>
    </r>
    <r>
      <rPr>
        <sz val="10"/>
        <color rgb="FF000000"/>
        <rFont val="Calibri"/>
        <charset val="134"/>
      </rPr>
      <t>50mm</t>
    </r>
    <r>
      <rPr>
        <sz val="10"/>
        <color rgb="FF000000"/>
        <rFont val="宋体"/>
        <charset val="134"/>
      </rPr>
      <t>隔音岩棉，容重</t>
    </r>
    <r>
      <rPr>
        <sz val="10"/>
        <color rgb="FF000000"/>
        <rFont val="Calibri"/>
        <charset val="134"/>
      </rPr>
      <t>65kg/m3</t>
    </r>
  </si>
  <si>
    <t>2.8.19</t>
  </si>
  <si>
    <t>钢结构屋顶保温</t>
  </si>
  <si>
    <r>
      <rPr>
        <sz val="10"/>
        <color rgb="FF000000"/>
        <rFont val="Calibri"/>
        <charset val="134"/>
      </rPr>
      <t>1.</t>
    </r>
    <r>
      <rPr>
        <sz val="10"/>
        <color rgb="FF000000"/>
        <rFont val="宋体"/>
        <charset val="134"/>
      </rPr>
      <t>屋面</t>
    </r>
    <r>
      <rPr>
        <sz val="10"/>
        <color rgb="FF000000"/>
        <rFont val="Calibri"/>
        <charset val="134"/>
      </rPr>
      <t>0.60mm</t>
    </r>
    <r>
      <rPr>
        <sz val="10"/>
        <color rgb="FF000000"/>
        <rFont val="宋体"/>
        <charset val="134"/>
      </rPr>
      <t>单层镀铝锌彩钢板</t>
    </r>
    <r>
      <rPr>
        <sz val="10"/>
        <color rgb="FF000000"/>
        <rFont val="Calibri"/>
        <charset val="134"/>
      </rPr>
      <t xml:space="preserve">
2.</t>
    </r>
    <r>
      <rPr>
        <sz val="10"/>
        <color rgb="FF000000"/>
        <rFont val="宋体"/>
        <charset val="134"/>
      </rPr>
      <t>防水透气层</t>
    </r>
    <r>
      <rPr>
        <sz val="10"/>
        <color rgb="FF000000"/>
        <rFont val="Calibri"/>
        <charset val="134"/>
      </rPr>
      <t xml:space="preserve">
3.100mm</t>
    </r>
    <r>
      <rPr>
        <sz val="10"/>
        <color rgb="FF000000"/>
        <rFont val="宋体"/>
        <charset val="134"/>
      </rPr>
      <t>厚玻璃保温棉</t>
    </r>
    <r>
      <rPr>
        <sz val="10"/>
        <color rgb="FF000000"/>
        <rFont val="Calibri"/>
        <charset val="134"/>
      </rPr>
      <t>+PVC</t>
    </r>
    <r>
      <rPr>
        <sz val="10"/>
        <color rgb="FF000000"/>
        <rFont val="宋体"/>
        <charset val="134"/>
      </rPr>
      <t>贴面</t>
    </r>
    <r>
      <rPr>
        <sz val="10"/>
        <color rgb="FF000000"/>
        <rFont val="Calibri"/>
        <charset val="134"/>
      </rPr>
      <t xml:space="preserve">
4.</t>
    </r>
    <r>
      <rPr>
        <sz val="10"/>
        <color rgb="FF000000"/>
        <rFont val="宋体"/>
        <charset val="134"/>
      </rPr>
      <t>直径</t>
    </r>
    <r>
      <rPr>
        <sz val="10"/>
        <color rgb="FF000000"/>
        <rFont val="Calibri"/>
        <charset val="134"/>
      </rPr>
      <t>1.2mm</t>
    </r>
    <r>
      <rPr>
        <sz val="10"/>
        <color rgb="FF000000"/>
        <rFont val="宋体"/>
        <charset val="134"/>
      </rPr>
      <t>套塑不锈钢丝网</t>
    </r>
  </si>
  <si>
    <t>2.8.20</t>
  </si>
  <si>
    <t>屋面不锈钢排水槽</t>
  </si>
  <si>
    <r>
      <rPr>
        <sz val="10"/>
        <color rgb="FF000000"/>
        <rFont val="Calibri"/>
        <charset val="134"/>
      </rPr>
      <t>1.</t>
    </r>
    <r>
      <rPr>
        <sz val="10"/>
        <color rgb="FF000000"/>
        <rFont val="宋体"/>
        <charset val="134"/>
      </rPr>
      <t>不锈钢屋面天沟</t>
    </r>
    <r>
      <rPr>
        <sz val="10"/>
        <color rgb="FF000000"/>
        <rFont val="Calibri"/>
        <charset val="134"/>
      </rPr>
      <t xml:space="preserve">
2.</t>
    </r>
    <r>
      <rPr>
        <sz val="10"/>
        <color rgb="FF000000"/>
        <rFont val="宋体"/>
        <charset val="134"/>
      </rPr>
      <t>型钢龙骨支撑</t>
    </r>
    <r>
      <rPr>
        <sz val="10"/>
        <color rgb="FF000000"/>
        <rFont val="Calibri"/>
        <charset val="134"/>
      </rPr>
      <t xml:space="preserve">               
3.</t>
    </r>
    <r>
      <rPr>
        <sz val="10"/>
        <color rgb="FF000000"/>
        <rFont val="宋体"/>
        <charset val="134"/>
      </rPr>
      <t>不锈钢排水槽按</t>
    </r>
    <r>
      <rPr>
        <sz val="10"/>
        <color rgb="FF000000"/>
        <rFont val="Calibri"/>
        <charset val="134"/>
      </rPr>
      <t>200*200</t>
    </r>
    <r>
      <rPr>
        <sz val="10"/>
        <color rgb="FF000000"/>
        <rFont val="宋体"/>
        <charset val="134"/>
      </rPr>
      <t>尺寸</t>
    </r>
    <r>
      <rPr>
        <sz val="10"/>
        <color rgb="FF000000"/>
        <rFont val="Calibri"/>
        <charset val="134"/>
      </rPr>
      <t>304</t>
    </r>
    <r>
      <rPr>
        <sz val="10"/>
        <color rgb="FF000000"/>
        <rFont val="宋体"/>
        <charset val="134"/>
      </rPr>
      <t>不锈钢</t>
    </r>
    <r>
      <rPr>
        <sz val="10"/>
        <color rgb="FF000000"/>
        <rFont val="Calibri"/>
        <charset val="134"/>
      </rPr>
      <t>U</t>
    </r>
    <r>
      <rPr>
        <sz val="10"/>
        <color rgb="FF000000"/>
        <rFont val="宋体"/>
        <charset val="134"/>
      </rPr>
      <t>型槽计算，厚度</t>
    </r>
    <r>
      <rPr>
        <sz val="10"/>
        <color rgb="FF000000"/>
        <rFont val="Calibri"/>
        <charset val="134"/>
      </rPr>
      <t>0.5</t>
    </r>
    <r>
      <rPr>
        <sz val="10"/>
        <color rgb="FF000000"/>
        <rFont val="宋体"/>
        <charset val="134"/>
      </rPr>
      <t>厚</t>
    </r>
  </si>
  <si>
    <t>2.8.21</t>
  </si>
  <si>
    <t>屋面镀锌铁皮排水槽</t>
  </si>
  <si>
    <r>
      <rPr>
        <sz val="10"/>
        <color rgb="FF000000"/>
        <rFont val="Calibri"/>
        <charset val="134"/>
      </rPr>
      <t>1.</t>
    </r>
    <r>
      <rPr>
        <sz val="10"/>
        <color rgb="FF000000"/>
        <rFont val="宋体"/>
        <charset val="134"/>
      </rPr>
      <t>不锈钢屋面天沟</t>
    </r>
    <r>
      <rPr>
        <sz val="10"/>
        <color rgb="FF000000"/>
        <rFont val="Calibri"/>
        <charset val="134"/>
      </rPr>
      <t xml:space="preserve">
2.</t>
    </r>
    <r>
      <rPr>
        <sz val="10"/>
        <color rgb="FF000000"/>
        <rFont val="宋体"/>
        <charset val="134"/>
      </rPr>
      <t>型钢龙骨支撑</t>
    </r>
    <r>
      <rPr>
        <sz val="10"/>
        <color rgb="FF000000"/>
        <rFont val="Calibri"/>
        <charset val="134"/>
      </rPr>
      <t xml:space="preserve">               
3.</t>
    </r>
    <r>
      <rPr>
        <sz val="10"/>
        <color rgb="FF000000"/>
        <rFont val="宋体"/>
        <charset val="134"/>
      </rPr>
      <t>镀锌铁皮排水槽按</t>
    </r>
    <r>
      <rPr>
        <sz val="10"/>
        <color rgb="FF000000"/>
        <rFont val="Calibri"/>
        <charset val="134"/>
      </rPr>
      <t>200*200</t>
    </r>
    <r>
      <rPr>
        <sz val="10"/>
        <color rgb="FF000000"/>
        <rFont val="宋体"/>
        <charset val="134"/>
      </rPr>
      <t>尺寸</t>
    </r>
    <r>
      <rPr>
        <sz val="10"/>
        <color rgb="FF000000"/>
        <rFont val="Calibri"/>
        <charset val="134"/>
      </rPr>
      <t>U</t>
    </r>
    <r>
      <rPr>
        <sz val="10"/>
        <color rgb="FF000000"/>
        <rFont val="宋体"/>
        <charset val="134"/>
      </rPr>
      <t>型槽计算，厚度</t>
    </r>
    <r>
      <rPr>
        <sz val="10"/>
        <color rgb="FF000000"/>
        <rFont val="Calibri"/>
        <charset val="134"/>
      </rPr>
      <t>1.0</t>
    </r>
    <r>
      <rPr>
        <sz val="10"/>
        <color rgb="FF000000"/>
        <rFont val="宋体"/>
        <charset val="134"/>
      </rPr>
      <t>厚</t>
    </r>
  </si>
  <si>
    <t>2.8.22</t>
  </si>
  <si>
    <t>新做结构楼板</t>
  </si>
  <si>
    <r>
      <rPr>
        <sz val="10"/>
        <color rgb="FF000000"/>
        <rFont val="Calibri"/>
        <charset val="134"/>
      </rPr>
      <t>1.</t>
    </r>
    <r>
      <rPr>
        <sz val="10"/>
        <color rgb="FF000000"/>
        <rFont val="宋体"/>
        <charset val="134"/>
      </rPr>
      <t>钢筋混凝土楼层板</t>
    </r>
    <r>
      <rPr>
        <sz val="10"/>
        <color rgb="FF000000"/>
        <rFont val="Calibri"/>
        <charset val="134"/>
      </rPr>
      <t xml:space="preserve">
2.</t>
    </r>
    <r>
      <rPr>
        <sz val="10"/>
        <color rgb="FF000000"/>
        <rFont val="宋体"/>
        <charset val="134"/>
      </rPr>
      <t>楼板荷载</t>
    </r>
    <r>
      <rPr>
        <sz val="10"/>
        <color rgb="FF000000"/>
        <rFont val="Calibri"/>
        <charset val="134"/>
      </rPr>
      <t>≥500kg/m2
3.</t>
    </r>
    <r>
      <rPr>
        <sz val="10"/>
        <color rgb="FF000000"/>
        <rFont val="宋体"/>
        <charset val="134"/>
      </rPr>
      <t>包含拆装及租赁模板</t>
    </r>
  </si>
  <si>
    <t>室内、室外装饰装修项目（钢结构楼板不适用此项，钢结构楼板以实际做法拆分计算）</t>
  </si>
  <si>
    <t>2.8.23</t>
  </si>
  <si>
    <r>
      <rPr>
        <sz val="10"/>
        <color rgb="FF000000"/>
        <rFont val="Calibri"/>
        <charset val="134"/>
      </rPr>
      <t>1.</t>
    </r>
    <r>
      <rPr>
        <sz val="10"/>
        <color rgb="FF000000"/>
        <rFont val="宋体"/>
        <charset val="134"/>
      </rPr>
      <t>钢筋混凝土楼层板</t>
    </r>
    <r>
      <rPr>
        <sz val="10"/>
        <color rgb="FF000000"/>
        <rFont val="Calibri"/>
        <charset val="134"/>
      </rPr>
      <t xml:space="preserve">
2.</t>
    </r>
    <r>
      <rPr>
        <sz val="10"/>
        <color rgb="FF000000"/>
        <rFont val="宋体"/>
        <charset val="134"/>
      </rPr>
      <t>楼板荷载</t>
    </r>
    <r>
      <rPr>
        <sz val="10"/>
        <color rgb="FF000000"/>
        <rFont val="Calibri"/>
        <charset val="134"/>
      </rPr>
      <t>≥200kg/m2
3.</t>
    </r>
    <r>
      <rPr>
        <sz val="10"/>
        <color rgb="FF000000"/>
        <rFont val="宋体"/>
        <charset val="134"/>
      </rPr>
      <t>包含拆装及租赁模板</t>
    </r>
  </si>
  <si>
    <t>2.8.24</t>
  </si>
  <si>
    <r>
      <rPr>
        <sz val="10"/>
        <color rgb="FF000000"/>
        <rFont val="宋体"/>
        <charset val="134"/>
      </rPr>
      <t>四轮定位基础：含现有地面拆除新做</t>
    </r>
    <r>
      <rPr>
        <sz val="10"/>
        <color rgb="FF000000"/>
        <rFont val="Calibri"/>
        <charset val="134"/>
      </rPr>
      <t>300</t>
    </r>
    <r>
      <rPr>
        <sz val="10"/>
        <color rgb="FF000000"/>
        <rFont val="宋体"/>
        <charset val="134"/>
      </rPr>
      <t>厚混凝土带型基础</t>
    </r>
  </si>
  <si>
    <r>
      <rPr>
        <sz val="10"/>
        <color rgb="FF000000"/>
        <rFont val="Calibri"/>
        <charset val="134"/>
      </rPr>
      <t>1.</t>
    </r>
    <r>
      <rPr>
        <sz val="10"/>
        <color rgb="FF000000"/>
        <rFont val="宋体"/>
        <charset val="134"/>
      </rPr>
      <t>土方开挖及回填（包含原地面拆除）</t>
    </r>
    <r>
      <rPr>
        <sz val="10"/>
        <color rgb="FF000000"/>
        <rFont val="Calibri"/>
        <charset val="134"/>
      </rPr>
      <t xml:space="preserve">
2.300mm</t>
    </r>
    <r>
      <rPr>
        <sz val="10"/>
        <color rgb="FF000000"/>
        <rFont val="宋体"/>
        <charset val="134"/>
      </rPr>
      <t>厚</t>
    </r>
    <r>
      <rPr>
        <sz val="10"/>
        <color rgb="FF000000"/>
        <rFont val="Calibri"/>
        <charset val="134"/>
      </rPr>
      <t>C30</t>
    </r>
    <r>
      <rPr>
        <sz val="10"/>
        <color rgb="FF000000"/>
        <rFont val="宋体"/>
        <charset val="134"/>
      </rPr>
      <t>钢筋混凝土带型基础</t>
    </r>
    <r>
      <rPr>
        <sz val="10"/>
        <color rgb="FF000000"/>
        <rFont val="Calibri"/>
        <charset val="134"/>
      </rPr>
      <t xml:space="preserve">
3.</t>
    </r>
    <r>
      <rPr>
        <sz val="10"/>
        <color rgb="FF000000"/>
        <rFont val="宋体"/>
        <charset val="134"/>
      </rPr>
      <t>模板拆装及租赁</t>
    </r>
  </si>
  <si>
    <t>2.8.25</t>
  </si>
  <si>
    <r>
      <rPr>
        <sz val="10"/>
        <color rgb="FF000000"/>
        <rFont val="宋体"/>
        <charset val="134"/>
      </rPr>
      <t>土方清运（</t>
    </r>
    <r>
      <rPr>
        <sz val="10"/>
        <color rgb="FF000000"/>
        <rFont val="Calibri"/>
        <charset val="134"/>
      </rPr>
      <t>7</t>
    </r>
    <r>
      <rPr>
        <sz val="10"/>
        <color rgb="FF000000"/>
        <rFont val="宋体"/>
        <charset val="134"/>
      </rPr>
      <t>立方）</t>
    </r>
  </si>
  <si>
    <t>2.8.26</t>
  </si>
  <si>
    <t>成品隔油池（玻璃钢）</t>
  </si>
  <si>
    <t>2.8.27</t>
  </si>
  <si>
    <t>结构检测/鉴定（有结构图纸）</t>
  </si>
  <si>
    <t>1、现场踏勘，复核图纸准确性
2、依据结构图纸计算承载力是否符合要求
3、包含不限于检测内容如下
1）构件截面尺寸检测；
2）材料强度检测；
3）钢结构防腐涂层厚度检测；
4）结构外观质量检查；
5）结构体系核查；
6）结构顶点侧向水平位移检测；
7）结构安全性鉴定；
8）结构抗震鉴定；
4、处理意见
5、出具专业机构盖章确认的结构检测报告</t>
  </si>
  <si>
    <t>按使用面积记取（以石膏板隔墙外边为边界、未利用空间不算建筑面积）</t>
  </si>
  <si>
    <t>2.8.28</t>
  </si>
  <si>
    <t xml:space="preserve">结构检测/鉴定（无结构图纸）
</t>
  </si>
  <si>
    <t>1、现场踏勘，复核现场结构情况
2、依据现场实际情况计算承载力是否符合要求
3、包含不限于检测内容如下
1）构件截面尺寸检测；
2）材料强度检测；
3）钢结构防腐涂层厚度检测；
4）结构外观质量检查；
5）结构体系核查；
6）结构顶点侧向水平位移检测；
7）结构安全性鉴定；
8）结构抗震鉴定；
4、处理意见
5、出具专业机构盖章确认的结构检测报告</t>
  </si>
  <si>
    <t>结构工程合计：</t>
  </si>
  <si>
    <t>理想汽车中心店空调工程量清单</t>
  </si>
  <si>
    <t>编号</t>
  </si>
  <si>
    <t>规格</t>
  </si>
  <si>
    <t>2.9.1</t>
  </si>
  <si>
    <t>通风设备（卫生间、淋浴间）</t>
  </si>
  <si>
    <t>2.9.1.01</t>
  </si>
  <si>
    <t>排风扇（风量V-250）</t>
  </si>
  <si>
    <r>
      <rPr>
        <sz val="10"/>
        <color rgb="FF000000"/>
        <rFont val="Calibri"/>
        <charset val="134"/>
      </rPr>
      <t>1</t>
    </r>
    <r>
      <rPr>
        <sz val="10"/>
        <color rgb="FF000000"/>
        <rFont val="宋体"/>
        <charset val="134"/>
      </rPr>
      <t>、包含线管、控制线、电源线等材料</t>
    </r>
    <r>
      <rPr>
        <sz val="10"/>
        <color rgb="FF000000"/>
        <rFont val="Calibri"/>
        <charset val="134"/>
      </rPr>
      <t xml:space="preserve">
2</t>
    </r>
    <r>
      <rPr>
        <sz val="10"/>
        <color rgb="FF000000"/>
        <rFont val="宋体"/>
        <charset val="134"/>
      </rPr>
      <t>、包含设备及辅材安装费</t>
    </r>
    <r>
      <rPr>
        <sz val="10"/>
        <color rgb="FF000000"/>
        <rFont val="Calibri"/>
        <charset val="134"/>
      </rPr>
      <t xml:space="preserve">
3</t>
    </r>
    <r>
      <rPr>
        <sz val="10"/>
        <color rgb="FF000000"/>
        <rFont val="宋体"/>
        <charset val="134"/>
      </rPr>
      <t>、品牌：以材料清单为准</t>
    </r>
  </si>
  <si>
    <t>松下、绿岛风或同等以上品牌</t>
  </si>
  <si>
    <t>按图示数量</t>
  </si>
  <si>
    <t>2.9.1.02</t>
  </si>
  <si>
    <t>排风扇（风量V-500）</t>
  </si>
  <si>
    <t>2.9.1.03</t>
  </si>
  <si>
    <t>轴流风机，φ300含电源</t>
  </si>
  <si>
    <t>2.9.1.04</t>
  </si>
  <si>
    <t>工业风扇，φ600，含开关及电源</t>
  </si>
  <si>
    <t>2.9.1.05</t>
  </si>
  <si>
    <t>风幕机 （绿岛风FM4512H）</t>
  </si>
  <si>
    <t>2.9.1.06</t>
  </si>
  <si>
    <t>风幕机（电加热）</t>
  </si>
  <si>
    <t>长度900</t>
  </si>
  <si>
    <t>2.9.1.07</t>
  </si>
  <si>
    <t>长度1500</t>
  </si>
  <si>
    <t>2.9.1.08</t>
  </si>
  <si>
    <t>壁挂机冷凝水提升泵</t>
  </si>
  <si>
    <t>2.9.1.09</t>
  </si>
  <si>
    <t>室内机冷凝水提升泵</t>
  </si>
  <si>
    <t>2.9.2</t>
  </si>
  <si>
    <t>原有空调移位安装</t>
  </si>
  <si>
    <t>2.9.2.01</t>
  </si>
  <si>
    <t>多联机空调室外机安装</t>
  </si>
  <si>
    <t>1、包含线管、控制线、电源线等材料
2、包含设备及辅材安装费
4、包含电源线接驳
3、品牌：以材料清单为准</t>
  </si>
  <si>
    <t>2.9.2.02</t>
  </si>
  <si>
    <t>多联机空调室内机安装</t>
  </si>
  <si>
    <t>2.9.2.03</t>
  </si>
  <si>
    <t>壁挂机（室内外）安装</t>
  </si>
  <si>
    <t>2.9.2.04</t>
  </si>
  <si>
    <t>柜机（室内外）安装</t>
  </si>
  <si>
    <t>2.9.2.05</t>
  </si>
  <si>
    <t>原有空调拆除</t>
  </si>
  <si>
    <t>2.9.2.06</t>
  </si>
  <si>
    <t>风盘移位</t>
  </si>
  <si>
    <t>室内机、风机盘管等拆除、移位安装</t>
  </si>
  <si>
    <t>2.9.2.07</t>
  </si>
  <si>
    <t>风盘清洗</t>
  </si>
  <si>
    <t>2.9.3</t>
  </si>
  <si>
    <t>紫铜管（含橡塑保温管）</t>
  </si>
  <si>
    <t>2.9.3.01</t>
  </si>
  <si>
    <t>冷媒铜管（含橡塑保温20mm）Φ6.35*0.75</t>
  </si>
  <si>
    <t>场内搬运、检查及清扫管件、切管、调直、管道及管件安装、水压试验、水冲洗</t>
  </si>
  <si>
    <t>Φ6.35</t>
  </si>
  <si>
    <t>2.9.3.02</t>
  </si>
  <si>
    <t>冷媒铜管（含橡塑保温20mm）Φ9.52*0.75</t>
  </si>
  <si>
    <t>Φ9.5</t>
  </si>
  <si>
    <t>2.9.3.03</t>
  </si>
  <si>
    <t>冷媒铜管（含橡塑保温20mm）Φ12.7*1.0</t>
  </si>
  <si>
    <t>Φ12.7</t>
  </si>
  <si>
    <t>2.9.3.04</t>
  </si>
  <si>
    <t>冷媒铜管（含橡塑保温20mm）Φ15.9*1.0</t>
  </si>
  <si>
    <t>Φ15.9</t>
  </si>
  <si>
    <t>2.9.3.05</t>
  </si>
  <si>
    <t>冷媒铜管（含橡塑保温20mm）Φ19.05*1.5</t>
  </si>
  <si>
    <t>Φ19.1</t>
  </si>
  <si>
    <t>2.9.3.06</t>
  </si>
  <si>
    <t>冷媒铜管（含橡塑保温20mm）Φ22.2*1.2</t>
  </si>
  <si>
    <t>Φ22.2</t>
  </si>
  <si>
    <t>2.9.3.07</t>
  </si>
  <si>
    <t>冷媒铜管（含橡塑保温20mm）Φ25.4*1.2</t>
  </si>
  <si>
    <t>Φ25.4</t>
  </si>
  <si>
    <t>2.9.3.08</t>
  </si>
  <si>
    <t>冷媒铜管（含橡塑保温20mm）Φ28.6*1.2</t>
  </si>
  <si>
    <t>Φ28.6</t>
  </si>
  <si>
    <t>2.9.3.09</t>
  </si>
  <si>
    <t>冷媒铜管（含橡塑保温20mm）Φ31.8*1.2</t>
  </si>
  <si>
    <t>Φ31.8</t>
  </si>
  <si>
    <t>2.9.3.10</t>
  </si>
  <si>
    <t>冷媒铜管（含橡塑保温20mm）Φ34.92*1.5</t>
  </si>
  <si>
    <t>Φ34.9</t>
  </si>
  <si>
    <t>2.9.3.11</t>
  </si>
  <si>
    <t>冷媒铜管（含橡塑保温20mm）Φ38*1.5</t>
  </si>
  <si>
    <t>Φ38</t>
  </si>
  <si>
    <t>2.9.3.12</t>
  </si>
  <si>
    <t>冷媒铜管（含橡塑保温20mm）Φ42*1.5</t>
  </si>
  <si>
    <t>φ41.3</t>
  </si>
  <si>
    <t>2.9.3.13</t>
  </si>
  <si>
    <t>冷媒铜管（含橡塑保温20mm）Φ54*1.8</t>
  </si>
  <si>
    <t>Φ54</t>
  </si>
  <si>
    <t>2.9.3.14</t>
  </si>
  <si>
    <t>R410冷媒分歧器 FQ01A</t>
  </si>
  <si>
    <t>2.9.3.15</t>
  </si>
  <si>
    <t>R410冷媒分歧器 FQ01B</t>
  </si>
  <si>
    <t>2.9.3.16</t>
  </si>
  <si>
    <t>R410冷媒分歧器 FQ02</t>
  </si>
  <si>
    <t>2.9.3.17</t>
  </si>
  <si>
    <t>R410冷媒分歧器 FQ03</t>
  </si>
  <si>
    <t>2.9.3.18</t>
  </si>
  <si>
    <t>R410冷媒分歧器 FQ04</t>
  </si>
  <si>
    <t>2.9.4</t>
  </si>
  <si>
    <t>冷凝水管及冷冻水管</t>
  </si>
  <si>
    <t>2.9.4.01</t>
  </si>
  <si>
    <t>冷冻水管（镀锌钢管含橡塑保温20mm）DN20*2.75</t>
  </si>
  <si>
    <t>水管的连接、保温与固定</t>
  </si>
  <si>
    <t>DN20</t>
  </si>
  <si>
    <t>2.9.4.02</t>
  </si>
  <si>
    <t>冷冻水管（镀锌钢管含橡塑保温20mm）DN25*3.25</t>
  </si>
  <si>
    <t>DN25</t>
  </si>
  <si>
    <t>2.9.4.03</t>
  </si>
  <si>
    <t>冷冻水管（镀锌钢管含橡塑保温20mm）DN32*3.25</t>
  </si>
  <si>
    <t>DN32</t>
  </si>
  <si>
    <t>2.9.4.04</t>
  </si>
  <si>
    <t>冷冻水管（镀锌钢管含橡塑保温30mm）DN40*3.5</t>
  </si>
  <si>
    <t>DN40</t>
  </si>
  <si>
    <t>2.9.4.05</t>
  </si>
  <si>
    <t>冷冻水管（镀锌钢管含橡塑保温30mm）DN50*3.5</t>
  </si>
  <si>
    <t>DN50</t>
  </si>
  <si>
    <t>2.9.4.06</t>
  </si>
  <si>
    <t>冷冻水管（镀锌铁管含橡塑保温30mm）DN65*3.75</t>
  </si>
  <si>
    <t>DN65</t>
  </si>
  <si>
    <t>2.9.4.07</t>
  </si>
  <si>
    <t>冷冻水管（镀锌钢管含橡塑保温30mm）DN80*4</t>
  </si>
  <si>
    <t>DN80</t>
  </si>
  <si>
    <t>2.9.4.08</t>
  </si>
  <si>
    <t>冷冻水管（镀锌钢管含橡塑保温30mm）DN100*4</t>
  </si>
  <si>
    <t>DN100</t>
  </si>
  <si>
    <t>2.9.4.09</t>
  </si>
  <si>
    <t>冷凝水管（PVC）DN63*3.7
（含橡塑保温10mm）</t>
  </si>
  <si>
    <t>DN63</t>
  </si>
  <si>
    <t>2.9.4.10</t>
  </si>
  <si>
    <t>冷凝水管（PVC）DN50*3.7
（含橡塑保温10mm）</t>
  </si>
  <si>
    <t>2.9.4.11</t>
  </si>
  <si>
    <t>冷凝水管（PVC）DN40*3
（含橡塑保温10mm）</t>
  </si>
  <si>
    <t>2.9.4.12</t>
  </si>
  <si>
    <t>冷凝水管（PVC）DN32*2.4
（含橡塑保温10mm）</t>
  </si>
  <si>
    <t>2.9.4.13</t>
  </si>
  <si>
    <t>冷凝水管（PVC）DN25*2
（含橡塑保温10mm）</t>
  </si>
  <si>
    <t>2.9.5</t>
  </si>
  <si>
    <t>风管（含橡塑保温20mm）</t>
  </si>
  <si>
    <t>2.9.5.01</t>
  </si>
  <si>
    <t>镀锌铁皮风管（0.5mm）
（含法兰、支架、预埋件等辅材）</t>
  </si>
  <si>
    <t>风管的制作与安装；法兰、支架的制作、防锈与安装固定；含橡塑保温20mm；</t>
  </si>
  <si>
    <t>钢板厚度0.5</t>
  </si>
  <si>
    <t>2.9.5.02</t>
  </si>
  <si>
    <t>镀锌铁皮风管（0.6mm）
（含法兰、支架、预埋件等辅材）</t>
  </si>
  <si>
    <t>钢板厚度0.6</t>
  </si>
  <si>
    <t>2.9.5.03</t>
  </si>
  <si>
    <t>镀锌铁皮风管（0.75mm）
（含法兰、支架、预埋件等辅材）</t>
  </si>
  <si>
    <t>钢板厚度0.75</t>
  </si>
  <si>
    <t>2.9.5.04</t>
  </si>
  <si>
    <t>镀锌铁皮风管（1mm）
（含法兰、支架、预埋件等辅材）</t>
  </si>
  <si>
    <t>钢板厚度1.0</t>
  </si>
  <si>
    <t>2.9.5.05</t>
  </si>
  <si>
    <t>镀锌铁皮风管（1.2mm）
（含法兰、支架、预埋件等辅材）</t>
  </si>
  <si>
    <t>钢板厚度1.2</t>
  </si>
  <si>
    <t>2.9.5.06</t>
  </si>
  <si>
    <t>镀锌铁皮风管（1.5mm）
（含法兰、支架、预埋件等辅材）</t>
  </si>
  <si>
    <t>钢板厚度1.5</t>
  </si>
  <si>
    <t>2.9.5.07</t>
  </si>
  <si>
    <t>排风管道（镀锌铁皮）</t>
  </si>
  <si>
    <t>直径300</t>
  </si>
  <si>
    <t>2.9.5.08</t>
  </si>
  <si>
    <t>排风管道（PVC）</t>
  </si>
  <si>
    <t>直径200</t>
  </si>
  <si>
    <t>2.9.5.09</t>
  </si>
  <si>
    <t>直径110</t>
  </si>
  <si>
    <t>2.9.5.10</t>
  </si>
  <si>
    <t>金属伸缩保温软管（300Φ）</t>
  </si>
  <si>
    <t>管道制作及安装</t>
  </si>
  <si>
    <t>2.9.5.11</t>
  </si>
  <si>
    <t>金属伸缩保温软管（250Φ）</t>
  </si>
  <si>
    <t>2.9.5.12</t>
  </si>
  <si>
    <t>金属伸缩保温软管（200Φ）</t>
  </si>
  <si>
    <t>2.9.5.13</t>
  </si>
  <si>
    <t>金属伸缩保温软管（150Φ）</t>
  </si>
  <si>
    <t>2.9.5.14</t>
  </si>
  <si>
    <t>金属伸缩保温软管（100Φ）</t>
  </si>
  <si>
    <t>2.9.5.15</t>
  </si>
  <si>
    <t>金属伸缩软管（250Φ）</t>
  </si>
  <si>
    <t>2.9.5.16</t>
  </si>
  <si>
    <t>金属伸缩软管（200Φ）</t>
  </si>
  <si>
    <t>2.9.5.17</t>
  </si>
  <si>
    <t>金属伸缩软管（150Φ）</t>
  </si>
  <si>
    <t>2.9.5.18</t>
  </si>
  <si>
    <t>金属伸缩软管（100Φ）</t>
  </si>
  <si>
    <t>2.9.5.19</t>
  </si>
  <si>
    <t>帆布软连接</t>
  </si>
  <si>
    <t>PVC涂塑帆布</t>
  </si>
  <si>
    <t>2.9.5.20</t>
  </si>
  <si>
    <t>JDG20</t>
  </si>
  <si>
    <t>壁厚1.2mm</t>
  </si>
  <si>
    <t>2.9.5.21</t>
  </si>
  <si>
    <t>JDG25</t>
  </si>
  <si>
    <t>2.9.5.22</t>
  </si>
  <si>
    <t>JDG32</t>
  </si>
  <si>
    <t>2.9.5.23</t>
  </si>
  <si>
    <t>桥架(厚度1.2mm）50*100</t>
  </si>
  <si>
    <t>镀锌铁皮（墙面、顶面、地面）</t>
  </si>
  <si>
    <t>2.9.5.24</t>
  </si>
  <si>
    <t>桥架(厚度1.5mm）100*100</t>
  </si>
  <si>
    <t>2.9.5.25</t>
  </si>
  <si>
    <t>桥架(厚度1.5mm）200*100</t>
  </si>
  <si>
    <t>2.9.5.26</t>
  </si>
  <si>
    <t>桥架(厚度1.5mm）200*300</t>
  </si>
  <si>
    <t>2.9.6</t>
  </si>
  <si>
    <t>风口</t>
  </si>
  <si>
    <t>2.9.6.01</t>
  </si>
  <si>
    <t>1、提供及安装风口主体及辅料</t>
  </si>
  <si>
    <t>200*200</t>
  </si>
  <si>
    <t>2.9.6.02</t>
  </si>
  <si>
    <t>240*240</t>
  </si>
  <si>
    <t>2.9.6.03</t>
  </si>
  <si>
    <t>320*320</t>
  </si>
  <si>
    <t>2.9.6.04</t>
  </si>
  <si>
    <t>360*360</t>
  </si>
  <si>
    <t>2.9.6.05</t>
  </si>
  <si>
    <t>420*420</t>
  </si>
  <si>
    <t>2.9.6.06</t>
  </si>
  <si>
    <t>480*480</t>
  </si>
  <si>
    <t>2.9.6.07</t>
  </si>
  <si>
    <t>1000*200</t>
  </si>
  <si>
    <t>2.9.6.08</t>
  </si>
  <si>
    <t>400*400</t>
  </si>
  <si>
    <t>2.9.6.09</t>
  </si>
  <si>
    <t>1200*200</t>
  </si>
  <si>
    <t>2.9.6.10</t>
  </si>
  <si>
    <t>300*300</t>
  </si>
  <si>
    <t>2.9.6.11</t>
  </si>
  <si>
    <t>2.9.6.12</t>
  </si>
  <si>
    <t>450*450</t>
  </si>
  <si>
    <t>2.9.6.13</t>
  </si>
  <si>
    <t>500*500</t>
  </si>
  <si>
    <t>2.9.6.14</t>
  </si>
  <si>
    <t>550*550</t>
  </si>
  <si>
    <t>2.9.6.15</t>
  </si>
  <si>
    <t>600*600</t>
  </si>
  <si>
    <t>2.9.6.16</t>
  </si>
  <si>
    <t>2.9.6.17</t>
  </si>
  <si>
    <t>600*400</t>
  </si>
  <si>
    <t>2.9.6.18</t>
  </si>
  <si>
    <t>2.9.6.19</t>
  </si>
  <si>
    <t>送回风口</t>
  </si>
  <si>
    <t>800*200</t>
  </si>
  <si>
    <t>2.9.6.20</t>
  </si>
  <si>
    <t>800*250</t>
  </si>
  <si>
    <t>2.9.6.21</t>
  </si>
  <si>
    <t>900*300</t>
  </si>
  <si>
    <t>2.9.6.22</t>
  </si>
  <si>
    <t>1200*250</t>
  </si>
  <si>
    <t>2.9.6.23</t>
  </si>
  <si>
    <t>1200*600</t>
  </si>
  <si>
    <t>2.9.6.24</t>
  </si>
  <si>
    <t>防雨百叶</t>
  </si>
  <si>
    <t>2.9.7</t>
  </si>
  <si>
    <t>空调安装费</t>
  </si>
  <si>
    <t>2.9.7.01</t>
  </si>
  <si>
    <t>分体空调安装费（室内外机全包含）</t>
  </si>
  <si>
    <t>2.9.7.02</t>
  </si>
  <si>
    <t>柜机安装费（室内外机全包含）</t>
  </si>
  <si>
    <t>2.9.7.03</t>
  </si>
  <si>
    <t>室内机安装费</t>
  </si>
  <si>
    <t>2.9.7.04</t>
  </si>
  <si>
    <t>室外主机安装费</t>
  </si>
  <si>
    <t>2.9.7.05</t>
  </si>
  <si>
    <t>制冷剂</t>
  </si>
  <si>
    <t>2.9.7.06</t>
  </si>
  <si>
    <t>室外主机基础制作安装</t>
  </si>
  <si>
    <t>200工字钢</t>
  </si>
  <si>
    <t>2.9.7.07</t>
  </si>
  <si>
    <t>钢筋混凝土结构</t>
  </si>
  <si>
    <t>2.9.7.08</t>
  </si>
  <si>
    <t>1.含管线、辅材安装
2.底盒安装</t>
  </si>
  <si>
    <t>2.9.7.09</t>
  </si>
  <si>
    <t>1.安装本体、固定、焊铜接线端子,箱体及内部本体元器件安装调试等。
2.箱体基础制作安装</t>
  </si>
  <si>
    <t>2.9.7.10</t>
  </si>
  <si>
    <t>通讯线</t>
  </si>
  <si>
    <t>1.包括接驳费用
2.含安装和附件</t>
  </si>
  <si>
    <t>RVVP2*1</t>
  </si>
  <si>
    <t>2.9.7.11</t>
  </si>
  <si>
    <t>RVVP3*1</t>
  </si>
  <si>
    <t>2.9.7.12</t>
  </si>
  <si>
    <t>控制线</t>
  </si>
  <si>
    <t>2.9.8</t>
  </si>
  <si>
    <t>阀门</t>
  </si>
  <si>
    <t>2.9.8.01</t>
  </si>
  <si>
    <t>风量调节阀（VD）200×200</t>
  </si>
  <si>
    <t>阀门制作及安装</t>
  </si>
  <si>
    <t>2.9.8.02</t>
  </si>
  <si>
    <t>风量调节阀（VD）300×200</t>
  </si>
  <si>
    <t>2.9.8.03</t>
  </si>
  <si>
    <t>风量调节阀（VD）300×250</t>
  </si>
  <si>
    <t>2.9.8.04</t>
  </si>
  <si>
    <t>风量调节阀（VD）300×300</t>
  </si>
  <si>
    <t>2.9.8.05</t>
  </si>
  <si>
    <t>风量调节阀（VD）350×300</t>
  </si>
  <si>
    <t>2.9.8.06</t>
  </si>
  <si>
    <t>风量调节阀（VD）400×300</t>
  </si>
  <si>
    <t>2.9.8.07</t>
  </si>
  <si>
    <t>风量调节阀（VD）400×400</t>
  </si>
  <si>
    <t>2.9.8.08</t>
  </si>
  <si>
    <t>风量调节阀（VD）600×400</t>
  </si>
  <si>
    <t>2.9.8.09</t>
  </si>
  <si>
    <t>风量调节阀（VD）800×600</t>
  </si>
  <si>
    <t>2.9.8.10</t>
  </si>
  <si>
    <t>防火阀 250*250</t>
  </si>
  <si>
    <t>2.9.8.11</t>
  </si>
  <si>
    <t>防火阀 320*250</t>
  </si>
  <si>
    <t>2.9.8.12</t>
  </si>
  <si>
    <t>防火阀 500*400</t>
  </si>
  <si>
    <t>2.9.8.13</t>
  </si>
  <si>
    <t>防火阀 630*630</t>
  </si>
  <si>
    <t>2.9.8.14</t>
  </si>
  <si>
    <t>金属软接头DN20</t>
  </si>
  <si>
    <t>2.9.8.15</t>
  </si>
  <si>
    <t>Y型过滤器DN20</t>
  </si>
  <si>
    <t>2.9.8.16</t>
  </si>
  <si>
    <t>铜球阀DN20</t>
  </si>
  <si>
    <t>阀门制作安装</t>
  </si>
  <si>
    <t>2.9.8.17</t>
  </si>
  <si>
    <t>电动平衡两通阀DN20</t>
  </si>
  <si>
    <t>2.9.8.18</t>
  </si>
  <si>
    <t>自动排气阀DN32</t>
  </si>
  <si>
    <t>2.9.8.19</t>
  </si>
  <si>
    <t>自动排气阀DN20</t>
  </si>
  <si>
    <t>2.9.8.20</t>
  </si>
  <si>
    <t>自动排气阀DN15</t>
  </si>
  <si>
    <t>2.9.8.21</t>
  </si>
  <si>
    <t>恒温阀DN15</t>
  </si>
  <si>
    <t>2.9.8.22</t>
  </si>
  <si>
    <t>泄水阀DN20</t>
  </si>
  <si>
    <t>2.9.8.23</t>
  </si>
  <si>
    <t>泄水阀DN25</t>
  </si>
  <si>
    <t>2.9.8.24</t>
  </si>
  <si>
    <t>闸阀DN15</t>
  </si>
  <si>
    <t>2.9.8.25</t>
  </si>
  <si>
    <t>闸阀DN20</t>
  </si>
  <si>
    <t>2.9.8.26</t>
  </si>
  <si>
    <t>闸阀DN25</t>
  </si>
  <si>
    <t>2.9.8.27</t>
  </si>
  <si>
    <t>闸阀DN32</t>
  </si>
  <si>
    <t>2.9.8.28</t>
  </si>
  <si>
    <t>闸阀DN40</t>
  </si>
  <si>
    <t>2.9.8.29</t>
  </si>
  <si>
    <t>闸阀DN50</t>
  </si>
  <si>
    <t>2.9.8.30</t>
  </si>
  <si>
    <t>风口静压箱200*200(H=200)</t>
  </si>
  <si>
    <t>放样、下料、折方、咬口、制作短管、箱体、法兰、组装</t>
  </si>
  <si>
    <t>2.9.8.31</t>
  </si>
  <si>
    <t>风口静压箱300*300(H=200)</t>
  </si>
  <si>
    <t>2.9.8.32</t>
  </si>
  <si>
    <t>风口静压箱350*350(H=200)</t>
  </si>
  <si>
    <t>2.9.8.33</t>
  </si>
  <si>
    <t>风口静压箱500*500（H=300）</t>
  </si>
  <si>
    <t>2.9.8.34</t>
  </si>
  <si>
    <t>风口静压箱400*400</t>
  </si>
  <si>
    <t>2.9.8.35</t>
  </si>
  <si>
    <t>风口静压箱600*600</t>
  </si>
  <si>
    <t>2.9.8.36</t>
  </si>
  <si>
    <t>管道消声静压箱800*400</t>
  </si>
  <si>
    <t>2.9.8.37</t>
  </si>
  <si>
    <t>管道消声静压箱600*400</t>
  </si>
  <si>
    <t>2.9.8.38</t>
  </si>
  <si>
    <t>管道消声静压箱400*400</t>
  </si>
  <si>
    <t>2.9.9</t>
  </si>
  <si>
    <t>其他</t>
  </si>
  <si>
    <t>2.9.9.01</t>
  </si>
  <si>
    <t>砌筑墙体开洞</t>
  </si>
  <si>
    <t>面积≤0.1㎡</t>
  </si>
  <si>
    <t>2.9.9.02</t>
  </si>
  <si>
    <t>0.1㎡＜面积≤0.3㎡</t>
  </si>
  <si>
    <t>2.9.9.03</t>
  </si>
  <si>
    <t>0.3㎡＜面积≤0.5㎡</t>
  </si>
  <si>
    <t>2.9.9.04</t>
  </si>
  <si>
    <t>外机吊车</t>
  </si>
  <si>
    <t>涵盖整个项目费用</t>
  </si>
  <si>
    <t>2.9.9.05</t>
  </si>
  <si>
    <t>温控器（风机盘管专用）</t>
  </si>
  <si>
    <t>2.9.9.06</t>
  </si>
  <si>
    <t>集中控制器CC52-24/F(C)</t>
  </si>
  <si>
    <t>含调试</t>
  </si>
  <si>
    <t>2.9.9.07</t>
  </si>
  <si>
    <t>空调设计费</t>
  </si>
  <si>
    <t>新项目记取，改造项目无</t>
  </si>
  <si>
    <t>2.9.9.08</t>
  </si>
  <si>
    <t>水钻开洞</t>
  </si>
  <si>
    <t>直径100-160</t>
  </si>
  <si>
    <t>2.9.9.09</t>
  </si>
  <si>
    <t>风管穿墙开孔</t>
  </si>
  <si>
    <t>500*300</t>
  </si>
  <si>
    <t>2.9.9.10</t>
  </si>
  <si>
    <t>室内机钢架</t>
  </si>
  <si>
    <t>50角钢</t>
  </si>
  <si>
    <t>2.9.9.11</t>
  </si>
  <si>
    <t>壁挂机外机接水盘</t>
  </si>
  <si>
    <t>1000*400*200</t>
  </si>
  <si>
    <t>2.9.9.12</t>
  </si>
  <si>
    <t>3mm防滑钢板</t>
  </si>
  <si>
    <t>2.9.9.13</t>
  </si>
  <si>
    <t>橡胶减震板</t>
  </si>
  <si>
    <t>厚度10mm</t>
  </si>
  <si>
    <t>2.9.9.14</t>
  </si>
  <si>
    <t>管道穿屋面做防水</t>
  </si>
  <si>
    <t>长0.6m，宽0.4m</t>
  </si>
  <si>
    <t>2.9.9.15</t>
  </si>
  <si>
    <t>调试费</t>
  </si>
  <si>
    <t>系统调试</t>
  </si>
  <si>
    <t>空调工程合计</t>
  </si>
  <si>
    <t>理想汽车中心店采暖工程量清单</t>
  </si>
  <si>
    <t>2.10.1</t>
  </si>
  <si>
    <t>暖气片系统</t>
  </si>
  <si>
    <t>2.10.1.01</t>
  </si>
  <si>
    <r>
      <rPr>
        <sz val="9.75"/>
        <color rgb="FF000000"/>
        <rFont val="Calibri"/>
        <charset val="134"/>
      </rPr>
      <t>暖气片</t>
    </r>
    <r>
      <rPr>
        <sz val="9.75"/>
        <color rgb="FF000000"/>
        <rFont val="Calibri"/>
        <charset val="134"/>
      </rPr>
      <t>H=600mm</t>
    </r>
  </si>
  <si>
    <r>
      <rPr>
        <sz val="9.75"/>
        <color rgb="FF000000"/>
        <rFont val="Calibri"/>
        <charset val="134"/>
      </rPr>
      <t>1.</t>
    </r>
    <r>
      <rPr>
        <sz val="9.75"/>
        <color rgb="FF000000"/>
        <rFont val="Calibri"/>
        <charset val="134"/>
      </rPr>
      <t>暖气片主材费及辅材支架等</t>
    </r>
  </si>
  <si>
    <r>
      <rPr>
        <sz val="9.75"/>
        <color rgb="FF000000"/>
        <rFont val="Calibri"/>
        <charset val="134"/>
      </rPr>
      <t>室内装饰装修及安装工程项目</t>
    </r>
  </si>
  <si>
    <r>
      <rPr>
        <sz val="9.75"/>
        <color rgb="FF000000"/>
        <rFont val="Calibri"/>
        <charset val="134"/>
      </rPr>
      <t>片</t>
    </r>
  </si>
  <si>
    <t>2.10.1.02</t>
  </si>
  <si>
    <r>
      <rPr>
        <sz val="9.75"/>
        <color rgb="FF000000"/>
        <rFont val="Calibri"/>
        <charset val="134"/>
      </rPr>
      <t>暖气片</t>
    </r>
    <r>
      <rPr>
        <sz val="9.75"/>
        <color rgb="FF000000"/>
        <rFont val="Calibri"/>
        <charset val="134"/>
      </rPr>
      <t>H=1200mm</t>
    </r>
  </si>
  <si>
    <t>2.10.1.03</t>
  </si>
  <si>
    <r>
      <rPr>
        <sz val="9.75"/>
        <color rgb="FF000000"/>
        <rFont val="Calibri"/>
        <charset val="134"/>
      </rPr>
      <t>暖气片</t>
    </r>
    <r>
      <rPr>
        <sz val="9.75"/>
        <color rgb="FF000000"/>
        <rFont val="Calibri"/>
        <charset val="134"/>
      </rPr>
      <t>H=1500mm</t>
    </r>
  </si>
  <si>
    <t>2.10.1.04</t>
  </si>
  <si>
    <r>
      <rPr>
        <sz val="9.75"/>
        <color rgb="FF000000"/>
        <rFont val="Calibri"/>
        <charset val="134"/>
      </rPr>
      <t>暖气片安装费（每组安装费</t>
    </r>
    <r>
      <rPr>
        <sz val="9.75"/>
        <color rgb="FF000000"/>
        <rFont val="Calibri"/>
        <charset val="134"/>
      </rPr>
      <t>15KG</t>
    </r>
    <r>
      <rPr>
        <sz val="9.75"/>
        <color rgb="FF000000"/>
        <rFont val="Calibri"/>
        <charset val="134"/>
      </rPr>
      <t>以内）</t>
    </r>
  </si>
  <si>
    <r>
      <rPr>
        <sz val="9.75"/>
        <color rgb="FF000000"/>
        <rFont val="Calibri"/>
        <charset val="134"/>
      </rPr>
      <t>1.</t>
    </r>
    <r>
      <rPr>
        <sz val="9.75"/>
        <color rgb="FF000000"/>
        <rFont val="Calibri"/>
        <charset val="134"/>
      </rPr>
      <t>暖气片安装费</t>
    </r>
  </si>
  <si>
    <r>
      <rPr>
        <sz val="9.75"/>
        <color rgb="FF000000"/>
        <rFont val="Calibri"/>
        <charset val="134"/>
      </rPr>
      <t>组</t>
    </r>
  </si>
  <si>
    <t>2.10.1.05</t>
  </si>
  <si>
    <r>
      <rPr>
        <sz val="9.75"/>
        <color rgb="FF000000"/>
        <rFont val="Calibri"/>
        <charset val="134"/>
      </rPr>
      <t>暖气片安装费（每组安装费</t>
    </r>
    <r>
      <rPr>
        <sz val="9.75"/>
        <color rgb="FF000000"/>
        <rFont val="Calibri"/>
        <charset val="134"/>
      </rPr>
      <t>15KG</t>
    </r>
    <r>
      <rPr>
        <sz val="9.75"/>
        <color rgb="FF000000"/>
        <rFont val="Calibri"/>
        <charset val="134"/>
      </rPr>
      <t>以外）</t>
    </r>
  </si>
  <si>
    <t>2.10.1.06</t>
  </si>
  <si>
    <r>
      <rPr>
        <sz val="9.75"/>
        <color rgb="FF000000"/>
        <rFont val="Calibri"/>
        <charset val="134"/>
      </rPr>
      <t>入口处风幕机</t>
    </r>
  </si>
  <si>
    <t>1.L=1200*220*330：                      2.品牌：绿岛风                               3.型号：RM3512-3D/Y-D ,电机功率：350W，风量2300m3/h</t>
  </si>
  <si>
    <t>2.10.1.07</t>
  </si>
  <si>
    <r>
      <rPr>
        <sz val="9.75"/>
        <color rgb="FF000000"/>
        <rFont val="Calibri"/>
        <charset val="134"/>
      </rPr>
      <t>热镀锌钢管</t>
    </r>
    <r>
      <rPr>
        <sz val="9.75"/>
        <color rgb="FF000000"/>
        <rFont val="Calibri"/>
        <charset val="134"/>
      </rPr>
      <t>DN70</t>
    </r>
  </si>
  <si>
    <r>
      <rPr>
        <sz val="9.75"/>
        <color rgb="FF000000"/>
        <rFont val="Calibri"/>
        <charset val="134"/>
      </rPr>
      <t>1.</t>
    </r>
    <r>
      <rPr>
        <sz val="9.75"/>
        <color rgb="FF000000"/>
        <rFont val="Calibri"/>
        <charset val="134"/>
      </rPr>
      <t>管道及配套管件供应安装</t>
    </r>
    <r>
      <rPr>
        <sz val="9.75"/>
        <color rgb="FF000000"/>
        <rFont val="Calibri"/>
        <charset val="134"/>
      </rPr>
      <t xml:space="preserve">
2.</t>
    </r>
    <r>
      <rPr>
        <sz val="9.75"/>
        <color rgb="FF000000"/>
        <rFont val="Calibri"/>
        <charset val="134"/>
      </rPr>
      <t>管道保温</t>
    </r>
    <r>
      <rPr>
        <sz val="9.75"/>
        <color rgb="FF000000"/>
        <rFont val="Calibri"/>
        <charset val="134"/>
      </rPr>
      <t xml:space="preserve">
3.</t>
    </r>
    <r>
      <rPr>
        <sz val="9.75"/>
        <color rgb="FF000000"/>
        <rFont val="Calibri"/>
        <charset val="134"/>
      </rPr>
      <t>管道清洗</t>
    </r>
    <r>
      <rPr>
        <sz val="9.75"/>
        <color rgb="FF000000"/>
        <rFont val="Calibri"/>
        <charset val="134"/>
      </rPr>
      <t xml:space="preserve">
4.</t>
    </r>
    <r>
      <rPr>
        <sz val="9.75"/>
        <color rgb="FF000000"/>
        <rFont val="Calibri"/>
        <charset val="134"/>
      </rPr>
      <t>管道打压测试</t>
    </r>
    <r>
      <rPr>
        <sz val="9.75"/>
        <color rgb="FF000000"/>
        <rFont val="Calibri"/>
        <charset val="134"/>
      </rPr>
      <t xml:space="preserve">
5.</t>
    </r>
    <r>
      <rPr>
        <sz val="9.75"/>
        <color rgb="FF000000"/>
        <rFont val="Calibri"/>
        <charset val="134"/>
      </rPr>
      <t>管道支架等</t>
    </r>
  </si>
  <si>
    <t>2.10.1.08</t>
  </si>
  <si>
    <r>
      <rPr>
        <sz val="9.75"/>
        <color rgb="FF000000"/>
        <rFont val="Calibri"/>
        <charset val="134"/>
      </rPr>
      <t>热镀锌钢管</t>
    </r>
    <r>
      <rPr>
        <sz val="9.75"/>
        <color rgb="FF000000"/>
        <rFont val="Calibri"/>
        <charset val="134"/>
      </rPr>
      <t>DN50</t>
    </r>
  </si>
  <si>
    <t>2.10.1.09</t>
  </si>
  <si>
    <r>
      <rPr>
        <sz val="9.75"/>
        <color rgb="FF000000"/>
        <rFont val="Calibri"/>
        <charset val="134"/>
      </rPr>
      <t>热镀锌钢管</t>
    </r>
    <r>
      <rPr>
        <sz val="9.75"/>
        <color rgb="FF000000"/>
        <rFont val="Calibri"/>
        <charset val="134"/>
      </rPr>
      <t>DN40</t>
    </r>
  </si>
  <si>
    <t>2.10.1.10</t>
  </si>
  <si>
    <r>
      <rPr>
        <sz val="9.75"/>
        <color rgb="FF000000"/>
        <rFont val="Calibri"/>
        <charset val="134"/>
      </rPr>
      <t>热镀锌钢管</t>
    </r>
    <r>
      <rPr>
        <sz val="9.75"/>
        <color rgb="FF000000"/>
        <rFont val="Calibri"/>
        <charset val="134"/>
      </rPr>
      <t>DN32</t>
    </r>
  </si>
  <si>
    <t>2.10.1.11</t>
  </si>
  <si>
    <r>
      <rPr>
        <sz val="9.75"/>
        <color rgb="FF000000"/>
        <rFont val="Calibri"/>
        <charset val="134"/>
      </rPr>
      <t>热镀锌钢管</t>
    </r>
    <r>
      <rPr>
        <sz val="9.75"/>
        <color rgb="FF000000"/>
        <rFont val="Calibri"/>
        <charset val="134"/>
      </rPr>
      <t>DN25</t>
    </r>
  </si>
  <si>
    <r>
      <rPr>
        <sz val="9.75"/>
        <color rgb="FF000000"/>
        <rFont val="等线"/>
        <charset val="134"/>
        <scheme val="minor"/>
      </rPr>
      <t>1.</t>
    </r>
    <r>
      <rPr>
        <sz val="9.75"/>
        <color rgb="FF000000"/>
        <rFont val="Calibri"/>
        <charset val="134"/>
      </rPr>
      <t>管道及配套管件供应安装</t>
    </r>
    <r>
      <rPr>
        <sz val="9.75"/>
        <color rgb="FF000000"/>
        <rFont val="Calibri"/>
        <charset val="134"/>
      </rPr>
      <t xml:space="preserve">
2.</t>
    </r>
    <r>
      <rPr>
        <sz val="9.75"/>
        <color rgb="FF000000"/>
        <rFont val="Calibri"/>
        <charset val="134"/>
      </rPr>
      <t>管道保温</t>
    </r>
    <r>
      <rPr>
        <sz val="9.75"/>
        <color rgb="FF000000"/>
        <rFont val="Calibri"/>
        <charset val="134"/>
      </rPr>
      <t xml:space="preserve">
3.</t>
    </r>
    <r>
      <rPr>
        <sz val="9.75"/>
        <color rgb="FF000000"/>
        <rFont val="Calibri"/>
        <charset val="134"/>
      </rPr>
      <t>管道清洗</t>
    </r>
    <r>
      <rPr>
        <sz val="9.75"/>
        <color rgb="FF000000"/>
        <rFont val="Calibri"/>
        <charset val="134"/>
      </rPr>
      <t xml:space="preserve">
4.</t>
    </r>
    <r>
      <rPr>
        <sz val="9.75"/>
        <color rgb="FF000000"/>
        <rFont val="Calibri"/>
        <charset val="134"/>
      </rPr>
      <t>管道打压测试</t>
    </r>
    <r>
      <rPr>
        <sz val="9.75"/>
        <color rgb="FF000000"/>
        <rFont val="Calibri"/>
        <charset val="134"/>
      </rPr>
      <t xml:space="preserve">
5.</t>
    </r>
    <r>
      <rPr>
        <sz val="9.75"/>
        <color rgb="FF000000"/>
        <rFont val="Calibri"/>
        <charset val="134"/>
      </rPr>
      <t>管道支架等</t>
    </r>
  </si>
  <si>
    <t>2.10.1.12</t>
  </si>
  <si>
    <r>
      <rPr>
        <sz val="9.75"/>
        <color rgb="FF000000"/>
        <rFont val="Calibri"/>
        <charset val="134"/>
      </rPr>
      <t>热镀锌钢管</t>
    </r>
    <r>
      <rPr>
        <sz val="9.75"/>
        <color rgb="FF000000"/>
        <rFont val="Calibri"/>
        <charset val="134"/>
      </rPr>
      <t>DN20</t>
    </r>
  </si>
  <si>
    <t>2.10.1.13</t>
  </si>
  <si>
    <r>
      <rPr>
        <sz val="9.75"/>
        <color rgb="FF000000"/>
        <rFont val="Calibri"/>
        <charset val="134"/>
      </rPr>
      <t>金属软接头</t>
    </r>
    <r>
      <rPr>
        <sz val="9.75"/>
        <color rgb="FF000000"/>
        <rFont val="Calibri"/>
        <charset val="134"/>
      </rPr>
      <t>DN20</t>
    </r>
  </si>
  <si>
    <r>
      <rPr>
        <sz val="9.75"/>
        <color rgb="FF000000"/>
        <rFont val="Calibri"/>
        <charset val="134"/>
      </rPr>
      <t>1.</t>
    </r>
    <r>
      <rPr>
        <sz val="9.75"/>
        <color rgb="FF000000"/>
        <rFont val="Calibri"/>
        <charset val="134"/>
      </rPr>
      <t>供应安装</t>
    </r>
    <r>
      <rPr>
        <sz val="9.75"/>
        <color rgb="FF000000"/>
        <rFont val="Calibri"/>
        <charset val="134"/>
      </rPr>
      <t xml:space="preserve">
2.</t>
    </r>
    <r>
      <rPr>
        <sz val="9.75"/>
        <color rgb="FF000000"/>
        <rFont val="Calibri"/>
        <charset val="134"/>
      </rPr>
      <t>管道清洗</t>
    </r>
    <r>
      <rPr>
        <sz val="9.75"/>
        <color rgb="FF000000"/>
        <rFont val="Calibri"/>
        <charset val="134"/>
      </rPr>
      <t xml:space="preserve">
3.</t>
    </r>
    <r>
      <rPr>
        <sz val="9.75"/>
        <color rgb="FF000000"/>
        <rFont val="Calibri"/>
        <charset val="134"/>
      </rPr>
      <t>管道打压测试</t>
    </r>
  </si>
  <si>
    <r>
      <rPr>
        <sz val="9.75"/>
        <color rgb="FF000000"/>
        <rFont val="Calibri"/>
        <charset val="134"/>
      </rPr>
      <t>主管道改造</t>
    </r>
  </si>
  <si>
    <r>
      <rPr>
        <sz val="9.75"/>
        <color rgb="FF000000"/>
        <rFont val="Calibri"/>
        <charset val="134"/>
      </rPr>
      <t>个</t>
    </r>
  </si>
  <si>
    <t>2.10.1.14</t>
  </si>
  <si>
    <r>
      <rPr>
        <sz val="9.75"/>
        <color rgb="FF000000"/>
        <rFont val="Calibri"/>
        <charset val="134"/>
      </rPr>
      <t>Y</t>
    </r>
    <r>
      <rPr>
        <sz val="9.75"/>
        <color rgb="FF000000"/>
        <rFont val="Calibri"/>
        <charset val="134"/>
      </rPr>
      <t>型过滤器</t>
    </r>
    <r>
      <rPr>
        <sz val="9.75"/>
        <color rgb="FF000000"/>
        <rFont val="Calibri"/>
        <charset val="134"/>
      </rPr>
      <t>DN20</t>
    </r>
  </si>
  <si>
    <t>2.10.1.15</t>
  </si>
  <si>
    <r>
      <rPr>
        <sz val="9.75"/>
        <color rgb="FF000000"/>
        <rFont val="Calibri"/>
        <charset val="134"/>
      </rPr>
      <t>铜球阀</t>
    </r>
    <r>
      <rPr>
        <sz val="9.75"/>
        <color rgb="FF000000"/>
        <rFont val="Calibri"/>
        <charset val="134"/>
      </rPr>
      <t>DN20</t>
    </r>
  </si>
  <si>
    <t>2.10.1.16</t>
  </si>
  <si>
    <r>
      <rPr>
        <sz val="9.75"/>
        <color rgb="FF000000"/>
        <rFont val="Calibri"/>
        <charset val="134"/>
      </rPr>
      <t>自动排气阀</t>
    </r>
    <r>
      <rPr>
        <sz val="9.75"/>
        <color rgb="FF000000"/>
        <rFont val="Calibri"/>
        <charset val="134"/>
      </rPr>
      <t>DN32</t>
    </r>
  </si>
  <si>
    <t>2.10.1.17</t>
  </si>
  <si>
    <r>
      <rPr>
        <sz val="9.75"/>
        <color rgb="FF000000"/>
        <rFont val="Calibri"/>
        <charset val="134"/>
      </rPr>
      <t>自动排气阀</t>
    </r>
    <r>
      <rPr>
        <sz val="9.75"/>
        <color rgb="FF000000"/>
        <rFont val="Calibri"/>
        <charset val="134"/>
      </rPr>
      <t>DN20</t>
    </r>
  </si>
  <si>
    <t>2.10.1.18</t>
  </si>
  <si>
    <r>
      <rPr>
        <sz val="9.75"/>
        <color rgb="FF000000"/>
        <rFont val="Calibri"/>
        <charset val="134"/>
      </rPr>
      <t>自动排气阀</t>
    </r>
    <r>
      <rPr>
        <sz val="9.75"/>
        <color rgb="FF000000"/>
        <rFont val="Calibri"/>
        <charset val="134"/>
      </rPr>
      <t>DN15</t>
    </r>
  </si>
  <si>
    <t>2.10.1.19</t>
  </si>
  <si>
    <r>
      <rPr>
        <sz val="9.75"/>
        <color rgb="FF000000"/>
        <rFont val="Calibri"/>
        <charset val="134"/>
      </rPr>
      <t>恒温阀</t>
    </r>
    <r>
      <rPr>
        <sz val="9.75"/>
        <color rgb="FF000000"/>
        <rFont val="Calibri"/>
        <charset val="134"/>
      </rPr>
      <t>DN15</t>
    </r>
  </si>
  <si>
    <t>2.10.1.20</t>
  </si>
  <si>
    <r>
      <rPr>
        <sz val="9.75"/>
        <color rgb="FF000000"/>
        <rFont val="Calibri"/>
        <charset val="134"/>
      </rPr>
      <t>泄水阀</t>
    </r>
    <r>
      <rPr>
        <sz val="9.75"/>
        <color rgb="FF000000"/>
        <rFont val="Calibri"/>
        <charset val="134"/>
      </rPr>
      <t>DN20</t>
    </r>
  </si>
  <si>
    <t>2.10.1.21</t>
  </si>
  <si>
    <r>
      <rPr>
        <sz val="9.75"/>
        <color rgb="FF000000"/>
        <rFont val="Calibri"/>
        <charset val="134"/>
      </rPr>
      <t>泄水阀</t>
    </r>
    <r>
      <rPr>
        <sz val="9.75"/>
        <color rgb="FF000000"/>
        <rFont val="Calibri"/>
        <charset val="134"/>
      </rPr>
      <t>DN25</t>
    </r>
  </si>
  <si>
    <t>2.10.1.22</t>
  </si>
  <si>
    <r>
      <rPr>
        <sz val="9.75"/>
        <color rgb="FF000000"/>
        <rFont val="Calibri"/>
        <charset val="134"/>
      </rPr>
      <t>闸阀</t>
    </r>
    <r>
      <rPr>
        <sz val="9.75"/>
        <color rgb="FF000000"/>
        <rFont val="Calibri"/>
        <charset val="134"/>
      </rPr>
      <t>DN15</t>
    </r>
  </si>
  <si>
    <t>2.10.1.23</t>
  </si>
  <si>
    <r>
      <rPr>
        <sz val="9.75"/>
        <color rgb="FF000000"/>
        <rFont val="Calibri"/>
        <charset val="134"/>
      </rPr>
      <t>闸阀</t>
    </r>
    <r>
      <rPr>
        <sz val="9.75"/>
        <color rgb="FF000000"/>
        <rFont val="Calibri"/>
        <charset val="134"/>
      </rPr>
      <t>DN20</t>
    </r>
  </si>
  <si>
    <t>2.10.1.24</t>
  </si>
  <si>
    <r>
      <rPr>
        <sz val="9.75"/>
        <color rgb="FF000000"/>
        <rFont val="Calibri"/>
        <charset val="134"/>
      </rPr>
      <t>闸阀</t>
    </r>
    <r>
      <rPr>
        <sz val="9.75"/>
        <color rgb="FF000000"/>
        <rFont val="Calibri"/>
        <charset val="134"/>
      </rPr>
      <t>DN25</t>
    </r>
  </si>
  <si>
    <t>2.10.1.25</t>
  </si>
  <si>
    <r>
      <rPr>
        <sz val="9.75"/>
        <color rgb="FF000000"/>
        <rFont val="Calibri"/>
        <charset val="134"/>
      </rPr>
      <t>闸阀</t>
    </r>
    <r>
      <rPr>
        <sz val="9.75"/>
        <color rgb="FF000000"/>
        <rFont val="Calibri"/>
        <charset val="134"/>
      </rPr>
      <t>DN32</t>
    </r>
  </si>
  <si>
    <t>2.10.1.26</t>
  </si>
  <si>
    <r>
      <rPr>
        <sz val="9.75"/>
        <color rgb="FF000000"/>
        <rFont val="Calibri"/>
        <charset val="134"/>
      </rPr>
      <t>闸阀</t>
    </r>
    <r>
      <rPr>
        <sz val="9.75"/>
        <color rgb="FF000000"/>
        <rFont val="Calibri"/>
        <charset val="134"/>
      </rPr>
      <t>DN40</t>
    </r>
  </si>
  <si>
    <t>2.10.1.27</t>
  </si>
  <si>
    <r>
      <rPr>
        <sz val="9.75"/>
        <color rgb="FF000000"/>
        <rFont val="Calibri"/>
        <charset val="134"/>
      </rPr>
      <t>闸阀</t>
    </r>
    <r>
      <rPr>
        <sz val="9.75"/>
        <color rgb="FF000000"/>
        <rFont val="Calibri"/>
        <charset val="134"/>
      </rPr>
      <t>DN50</t>
    </r>
  </si>
  <si>
    <t>2.10.1.28</t>
  </si>
  <si>
    <r>
      <rPr>
        <sz val="9.75"/>
        <color rgb="FF000000"/>
        <rFont val="Calibri"/>
        <charset val="134"/>
      </rPr>
      <t>水压试验、系统调试</t>
    </r>
  </si>
  <si>
    <r>
      <rPr>
        <sz val="9.75"/>
        <color rgb="FF000000"/>
        <rFont val="Calibri"/>
        <charset val="134"/>
      </rPr>
      <t>1.</t>
    </r>
    <r>
      <rPr>
        <sz val="9.75"/>
        <color rgb="FF000000"/>
        <rFont val="Calibri"/>
        <charset val="134"/>
      </rPr>
      <t>打压试验</t>
    </r>
  </si>
  <si>
    <r>
      <rPr>
        <sz val="9.75"/>
        <color rgb="FF000000"/>
        <rFont val="Calibri"/>
        <charset val="134"/>
      </rPr>
      <t>无暖气改造，测试原有采暖设备是否可以正常使用</t>
    </r>
  </si>
  <si>
    <r>
      <rPr>
        <sz val="9.75"/>
        <color rgb="FF000000"/>
        <rFont val="Calibri"/>
        <charset val="134"/>
      </rPr>
      <t>系统</t>
    </r>
  </si>
  <si>
    <t>2.10.1.29</t>
  </si>
  <si>
    <r>
      <rPr>
        <sz val="9.75"/>
        <color rgb="FF000000"/>
        <rFont val="Calibri"/>
        <charset val="134"/>
      </rPr>
      <t>暖气片移动位置（包含</t>
    </r>
    <r>
      <rPr>
        <sz val="9.75"/>
        <color rgb="FF000000"/>
        <rFont val="Calibri"/>
        <charset val="134"/>
      </rPr>
      <t>10</t>
    </r>
    <r>
      <rPr>
        <sz val="9.75"/>
        <color rgb="FF000000"/>
        <rFont val="Calibri"/>
        <charset val="134"/>
      </rPr>
      <t>米内管道）</t>
    </r>
  </si>
  <si>
    <r>
      <rPr>
        <sz val="9.75"/>
        <color rgb="FF000000"/>
        <rFont val="Calibri"/>
        <charset val="134"/>
      </rPr>
      <t>1.</t>
    </r>
    <r>
      <rPr>
        <sz val="9.75"/>
        <color rgb="FF000000"/>
        <rFont val="Calibri"/>
        <charset val="134"/>
      </rPr>
      <t>拆除原有暖气片</t>
    </r>
    <r>
      <rPr>
        <sz val="9.75"/>
        <color rgb="FF000000"/>
        <rFont val="Calibri"/>
        <charset val="134"/>
      </rPr>
      <t xml:space="preserve">
2.</t>
    </r>
    <r>
      <rPr>
        <sz val="9.75"/>
        <color rgb="FF000000"/>
        <rFont val="Calibri"/>
        <charset val="134"/>
      </rPr>
      <t>安装暖气片</t>
    </r>
    <r>
      <rPr>
        <sz val="9.75"/>
        <color rgb="FF000000"/>
        <rFont val="Calibri"/>
        <charset val="134"/>
      </rPr>
      <t xml:space="preserve">
3.</t>
    </r>
    <r>
      <rPr>
        <sz val="9.75"/>
        <color rgb="FF000000"/>
        <rFont val="Calibri"/>
        <charset val="134"/>
      </rPr>
      <t>包含</t>
    </r>
    <r>
      <rPr>
        <sz val="9.75"/>
        <color rgb="FF000000"/>
        <rFont val="Calibri"/>
        <charset val="134"/>
      </rPr>
      <t>10</t>
    </r>
    <r>
      <rPr>
        <sz val="9.75"/>
        <color rgb="FF000000"/>
        <rFont val="Calibri"/>
        <charset val="134"/>
      </rPr>
      <t>米管道，超出部分单独计算</t>
    </r>
  </si>
  <si>
    <t>2.10.2</t>
  </si>
  <si>
    <t>地暖系统</t>
  </si>
  <si>
    <t>2.10.2.01</t>
  </si>
  <si>
    <r>
      <rPr>
        <sz val="9.75"/>
        <color rgb="FF000000"/>
        <rFont val="Calibri"/>
        <charset val="134"/>
      </rPr>
      <t>分集水器</t>
    </r>
  </si>
  <si>
    <r>
      <rPr>
        <sz val="9.75"/>
        <color rgb="FF000000"/>
        <rFont val="Calibri"/>
        <charset val="134"/>
      </rPr>
      <t>1.</t>
    </r>
    <r>
      <rPr>
        <sz val="9.75"/>
        <color rgb="FF000000"/>
        <rFont val="Calibri"/>
        <charset val="134"/>
      </rPr>
      <t>分集水器供应安装</t>
    </r>
    <r>
      <rPr>
        <sz val="9.75"/>
        <color rgb="FF000000"/>
        <rFont val="Calibri"/>
        <charset val="134"/>
      </rPr>
      <t xml:space="preserve">
2.</t>
    </r>
    <r>
      <rPr>
        <sz val="9.75"/>
        <color rgb="FF000000"/>
        <rFont val="Calibri"/>
        <charset val="134"/>
      </rPr>
      <t>调试测试</t>
    </r>
  </si>
  <si>
    <r>
      <rPr>
        <sz val="9.75"/>
        <color rgb="FF000000"/>
        <rFont val="Calibri"/>
        <charset val="134"/>
      </rPr>
      <t>路</t>
    </r>
  </si>
  <si>
    <t>2.10.2.02</t>
  </si>
  <si>
    <r>
      <rPr>
        <sz val="9.75"/>
        <color rgb="FF000000"/>
        <rFont val="Calibri"/>
        <charset val="134"/>
      </rPr>
      <t>地暖采暖管铺设</t>
    </r>
  </si>
  <si>
    <r>
      <rPr>
        <sz val="9.75"/>
        <color rgb="FF000000"/>
        <rFont val="Calibri"/>
        <charset val="134"/>
      </rPr>
      <t>1.</t>
    </r>
    <r>
      <rPr>
        <sz val="9.75"/>
        <color rgb="FF000000"/>
        <rFont val="Calibri"/>
        <charset val="134"/>
      </rPr>
      <t>聚苯乙烯泡沫塑料板，地暖反射膜</t>
    </r>
    <r>
      <rPr>
        <sz val="9.75"/>
        <color rgb="FF000000"/>
        <rFont val="Calibri"/>
        <charset val="134"/>
      </rPr>
      <t xml:space="preserve">
2.</t>
    </r>
    <r>
      <rPr>
        <sz val="9.75"/>
        <color rgb="FF000000"/>
        <rFont val="Calibri"/>
        <charset val="134"/>
      </rPr>
      <t>地板辐射</t>
    </r>
    <r>
      <rPr>
        <sz val="9.75"/>
        <color rgb="FF000000"/>
        <rFont val="Calibri"/>
        <charset val="134"/>
      </rPr>
      <t>PERT</t>
    </r>
    <r>
      <rPr>
        <sz val="9.75"/>
        <color rgb="FF000000"/>
        <rFont val="Calibri"/>
        <charset val="134"/>
      </rPr>
      <t>塑料管</t>
    </r>
    <r>
      <rPr>
        <sz val="9.75"/>
        <color rgb="FF000000"/>
        <rFont val="Calibri"/>
        <charset val="134"/>
      </rPr>
      <t>DN25</t>
    </r>
    <r>
      <rPr>
        <sz val="9.75"/>
        <color rgb="FF000000"/>
        <rFont val="Calibri"/>
        <charset val="134"/>
      </rPr>
      <t>，地板采暖固定卡，铅丝网铺设</t>
    </r>
    <r>
      <rPr>
        <sz val="9.75"/>
        <color rgb="FF000000"/>
        <rFont val="Calibri"/>
        <charset val="134"/>
      </rPr>
      <t xml:space="preserve">
3.</t>
    </r>
    <r>
      <rPr>
        <sz val="9.75"/>
        <color rgb="FF000000"/>
        <rFont val="Calibri"/>
        <charset val="134"/>
      </rPr>
      <t>地暖保护层</t>
    </r>
  </si>
  <si>
    <t>2.10.2.03</t>
  </si>
  <si>
    <t>2.10.2.04</t>
  </si>
  <si>
    <t>2.10.2.05</t>
  </si>
  <si>
    <t>2.10.2.06</t>
  </si>
  <si>
    <t>2.10.2.07</t>
  </si>
  <si>
    <t>2.10.2.08</t>
  </si>
  <si>
    <t>2.10.2.09</t>
  </si>
  <si>
    <t>2.10.2.10</t>
  </si>
  <si>
    <t>2.10.2.11</t>
  </si>
  <si>
    <t>2.10.2.12</t>
  </si>
  <si>
    <r>
      <rPr>
        <sz val="9.75"/>
        <color rgb="FF000000"/>
        <rFont val="Calibri"/>
        <charset val="134"/>
      </rPr>
      <t>球阀</t>
    </r>
    <r>
      <rPr>
        <sz val="9.75"/>
        <color rgb="FF000000"/>
        <rFont val="Calibri"/>
        <charset val="134"/>
      </rPr>
      <t>DN32</t>
    </r>
  </si>
  <si>
    <t>2.10.2.13</t>
  </si>
  <si>
    <r>
      <rPr>
        <sz val="9.75"/>
        <color rgb="FF000000"/>
        <rFont val="Calibri"/>
        <charset val="134"/>
      </rPr>
      <t>过滤器</t>
    </r>
    <r>
      <rPr>
        <sz val="9.75"/>
        <color rgb="FF000000"/>
        <rFont val="Calibri"/>
        <charset val="134"/>
      </rPr>
      <t>DN32</t>
    </r>
  </si>
  <si>
    <t>2.10.2.14</t>
  </si>
  <si>
    <r>
      <rPr>
        <sz val="9.75"/>
        <color rgb="FF000000"/>
        <rFont val="Calibri"/>
        <charset val="134"/>
      </rPr>
      <t>泄水阀</t>
    </r>
    <r>
      <rPr>
        <sz val="9.75"/>
        <color rgb="FF000000"/>
        <rFont val="Calibri"/>
        <charset val="134"/>
      </rPr>
      <t>DN32</t>
    </r>
  </si>
  <si>
    <t>2.10.2.15</t>
  </si>
  <si>
    <r>
      <rPr>
        <b/>
        <sz val="9.75"/>
        <color rgb="FF000000"/>
        <rFont val="Calibri"/>
        <charset val="134"/>
      </rPr>
      <t>采暖工程合计：</t>
    </r>
  </si>
  <si>
    <t>理想汽车中心店施工图纸报价清单</t>
  </si>
  <si>
    <t>内容</t>
  </si>
  <si>
    <t>计算规则</t>
  </si>
  <si>
    <t>2.11施工图纸</t>
  </si>
  <si>
    <t>2.11.1</t>
  </si>
  <si>
    <t>装饰设计部分</t>
  </si>
  <si>
    <t>2.11.1.01</t>
  </si>
  <si>
    <t>室内装饰</t>
  </si>
  <si>
    <t>室内装饰工程</t>
  </si>
  <si>
    <t>装修改造区域面积</t>
  </si>
  <si>
    <t>含施工图及竣工图</t>
  </si>
  <si>
    <t>2.11.2</t>
  </si>
  <si>
    <t>建筑改造部分</t>
  </si>
  <si>
    <t>2.11.2.01</t>
  </si>
  <si>
    <t>建筑结构</t>
  </si>
  <si>
    <t>主体结构改造（搭建夹层、钢结构楼梯等主结构变化项目）不包含二次砌筑结构</t>
  </si>
  <si>
    <t>涉及结构工程位置水平投影面积</t>
  </si>
  <si>
    <t>2.11.2.02</t>
  </si>
  <si>
    <t>外墙场地</t>
  </si>
  <si>
    <t>室外场地实际改造及外立面改造部分（室外停车划线、雨水井、污水井、化粪池不包含）</t>
  </si>
  <si>
    <t>需要改造的室外场地及外立面投影面积</t>
  </si>
  <si>
    <t>2.11.3</t>
  </si>
  <si>
    <t>机电设计部分</t>
  </si>
  <si>
    <t>2.11.3.01</t>
  </si>
  <si>
    <t>强电</t>
  </si>
  <si>
    <t>机电改造工程</t>
  </si>
  <si>
    <t>机电改造区域面积</t>
  </si>
  <si>
    <t>2.11.3.02</t>
  </si>
  <si>
    <t>弱电</t>
  </si>
  <si>
    <t>弱电改造工程</t>
  </si>
  <si>
    <t>弱电改造区域面积</t>
  </si>
  <si>
    <t>2.11.3.03</t>
  </si>
  <si>
    <t>给排水</t>
  </si>
  <si>
    <t>给排水工程</t>
  </si>
  <si>
    <t>给排水改造区域面积</t>
  </si>
  <si>
    <t>2.11.3.04</t>
  </si>
  <si>
    <t>空调、暖通</t>
  </si>
  <si>
    <t>空调、暖通工程</t>
  </si>
  <si>
    <t>空调改造区域面积</t>
  </si>
  <si>
    <t>2.11.3.05</t>
  </si>
  <si>
    <t>消防</t>
  </si>
  <si>
    <t>消防改造工程</t>
  </si>
  <si>
    <t>消防改造区域面积</t>
  </si>
  <si>
    <t>2.11.4</t>
  </si>
  <si>
    <t>效果图</t>
  </si>
  <si>
    <r>
      <rPr>
        <b/>
        <sz val="10"/>
        <color rgb="FF000000"/>
        <rFont val="宋体"/>
        <charset val="134"/>
      </rPr>
      <t>单位：元</t>
    </r>
    <r>
      <rPr>
        <b/>
        <sz val="10"/>
        <color rgb="FF000000"/>
        <rFont val="Calibri"/>
        <charset val="134"/>
      </rPr>
      <t>/</t>
    </r>
    <r>
      <rPr>
        <b/>
        <sz val="10"/>
        <color rgb="FF000000"/>
        <rFont val="宋体"/>
        <charset val="134"/>
      </rPr>
      <t>张</t>
    </r>
  </si>
  <si>
    <t>2.11.5</t>
  </si>
  <si>
    <t>平面方案设计</t>
  </si>
  <si>
    <r>
      <rPr>
        <b/>
        <sz val="10"/>
        <color rgb="FF000000"/>
        <rFont val="宋体"/>
        <charset val="134"/>
      </rPr>
      <t>单位：元</t>
    </r>
    <r>
      <rPr>
        <b/>
        <sz val="10"/>
        <color rgb="FF000000"/>
        <rFont val="Calibri"/>
        <charset val="134"/>
      </rPr>
      <t>/</t>
    </r>
    <r>
      <rPr>
        <b/>
        <sz val="10"/>
        <color rgb="FF000000"/>
        <rFont val="宋体"/>
        <charset val="134"/>
      </rPr>
      <t>㎡</t>
    </r>
  </si>
  <si>
    <t>合计</t>
  </si>
  <si>
    <t>说明：1、含施工图敲章，不包含结构设计、消防设计图敲章，包含消防及施工图报审配合，结构计算书，原一次动力电改造设计</t>
  </si>
  <si>
    <t>理想汽车中心店其他措施工程量清单</t>
  </si>
  <si>
    <t>2.12其他措施费</t>
  </si>
  <si>
    <t>2.12.01</t>
  </si>
  <si>
    <t>室内脚手架</t>
  </si>
  <si>
    <t>室内结构标高超过4.5m计取此部分费用</t>
  </si>
  <si>
    <t>室内使用面积</t>
  </si>
  <si>
    <t>2.12.02</t>
  </si>
  <si>
    <t>工程保险费</t>
  </si>
  <si>
    <r>
      <rPr>
        <sz val="9.75"/>
        <color rgb="FF000000"/>
        <rFont val="Calibri"/>
        <charset val="134"/>
      </rPr>
      <t xml:space="preserve">建筑工程一切险以合同额提保；
</t>
    </r>
    <r>
      <rPr>
        <sz val="9.75"/>
        <color rgb="FF000000"/>
        <rFont val="Calibri"/>
        <charset val="134"/>
      </rPr>
      <t>第三者责任险500万；
*开工前务必提供保单</t>
    </r>
  </si>
  <si>
    <t>提供保险单据,以实际发生+5%管理费为准</t>
  </si>
  <si>
    <t>2.12.03</t>
  </si>
  <si>
    <t>装修用电费</t>
  </si>
  <si>
    <t>竣工验收合格前产生的全部电费</t>
  </si>
  <si>
    <r>
      <rPr>
        <sz val="9"/>
        <color rgb="FF000000"/>
        <rFont val="Calibri"/>
        <charset val="134"/>
      </rPr>
      <t>以实际缴纳凭证为准，注：业主指定购买不扣降幅</t>
    </r>
  </si>
  <si>
    <t>2.12.04</t>
  </si>
  <si>
    <t>装修用水费</t>
  </si>
  <si>
    <t>竣工验收合格前产生的全部水费</t>
  </si>
  <si>
    <t>以实际缴纳凭证为准，注：业主指定购买不扣降幅</t>
  </si>
  <si>
    <t>2.12.05</t>
  </si>
  <si>
    <t>支付政府管理部门各项费用：</t>
  </si>
  <si>
    <t>以理想汽车项目经理确认为准</t>
  </si>
  <si>
    <t>2.12.06</t>
  </si>
  <si>
    <t>装修材料复检费（材料见证取样费，若发生）</t>
  </si>
  <si>
    <t>以实际缴纳凭证为准</t>
  </si>
  <si>
    <t>2.12.07</t>
  </si>
  <si>
    <t>空气检测</t>
  </si>
  <si>
    <t>竣工验收前检测项目室内甲醛、苯、甲苯、二甲苯、TVOC相关内容并达到国家规范标准出具CMA认证检测报告</t>
  </si>
  <si>
    <t>客休区、办公室</t>
  </si>
  <si>
    <t>标准检测位置：办公室、客休区、领料室、卫生间</t>
  </si>
  <si>
    <t>点</t>
  </si>
  <si>
    <t>2.12.08</t>
  </si>
  <si>
    <t>冬季施工措施费（含施工保温及取暖费用）</t>
  </si>
  <si>
    <t>1.室内场地施工期间取暖费
2.局部功能区取暖装置
3.施工保温
4.提供冬季施工方案并严格按照方案执行</t>
  </si>
  <si>
    <t>室外日平均气温低于-5°C之下的施工项目</t>
  </si>
  <si>
    <t>注意：由于乙方原因发生的抢工费用，由乙方支付。</t>
  </si>
  <si>
    <t>其他措施费合计：</t>
  </si>
  <si>
    <t>材料品牌表</t>
  </si>
  <si>
    <t>材料名称</t>
  </si>
  <si>
    <t>使用区域</t>
  </si>
  <si>
    <t>品牌</t>
  </si>
  <si>
    <t>颜色</t>
  </si>
  <si>
    <t>涂料</t>
  </si>
  <si>
    <t>乳胶漆</t>
  </si>
  <si>
    <t>零售办公室/交付客休区天花
交付工位天花
车间区域的墙面（1200mm以上，标高线以下）功能房间</t>
  </si>
  <si>
    <t>立邦净味120
多乐士 静味五合一</t>
  </si>
  <si>
    <t>白色</t>
  </si>
  <si>
    <t>立邦 OW041-4多乐±83YY 88/033clinic white</t>
  </si>
  <si>
    <t>防水乳胶漆</t>
  </si>
  <si>
    <t>男、女卫生间天花</t>
  </si>
  <si>
    <t>立邦-美得丽户外防水</t>
  </si>
  <si>
    <t>-</t>
  </si>
  <si>
    <t>米色乳胶漆</t>
  </si>
  <si>
    <t>零售展厅佼付客休区/洽谈室佼车大厅</t>
  </si>
  <si>
    <t>米色</t>
  </si>
  <si>
    <t>立邦 云端漫步OW082-4 多乐士 Cielo Blanco43YY 81/051</t>
  </si>
  <si>
    <t>车间区域标高线以上的墻面及顶面（裸顶顶面）</t>
  </si>
  <si>
    <t>立邦
多乐士 静味五合一</t>
  </si>
  <si>
    <t>深灰色</t>
  </si>
  <si>
    <t>立邦NN6500-1魔力黑多乐士60RR 07/002</t>
  </si>
  <si>
    <t>外墙漆</t>
  </si>
  <si>
    <t>室外立面</t>
  </si>
  <si>
    <t>立邦室外漆多乐士室外漆</t>
  </si>
  <si>
    <t>浅灰色</t>
  </si>
  <si>
    <t>立邦NN1380-2山雨欲来 多乐士16BB 25/001</t>
  </si>
  <si>
    <t>深灰色环氧树脂漆</t>
  </si>
  <si>
    <t>交付工位</t>
  </si>
  <si>
    <t>耐石固MARKFRLFD/玛珂立</t>
  </si>
  <si>
    <t>灰色</t>
  </si>
  <si>
    <t>哑光漆 参照潘通色：401U</t>
  </si>
  <si>
    <t>白色地坪漆线</t>
  </si>
  <si>
    <t>车位线、车位编号</t>
  </si>
  <si>
    <t>环氧地坪漆地面采用以下品牌：耐石固MARKFRLFD/玛珂立普通地面无品牌要求</t>
  </si>
  <si>
    <t>宽度：100mm企业标准字体5个车位以下工艺：冷喷</t>
  </si>
  <si>
    <t>沥青路面</t>
  </si>
  <si>
    <t>热熔</t>
  </si>
  <si>
    <t>5个车位以上使用工艺：热熔</t>
  </si>
  <si>
    <t>金属</t>
  </si>
  <si>
    <t>米色铝板</t>
  </si>
  <si>
    <t>零售外立面</t>
  </si>
  <si>
    <t>总包定制</t>
  </si>
  <si>
    <t>劳尔色卡色号：RAL9001TS75</t>
  </si>
  <si>
    <t>米白色厚度3mm40%哑光</t>
  </si>
  <si>
    <t>灰色铝板</t>
  </si>
  <si>
    <t>零售中心商场店室内门头</t>
  </si>
  <si>
    <t>JX815珍珠灰</t>
  </si>
  <si>
    <t>1200*2400mm(常规尺寸)厚度:3mm(胶粘工艺)</t>
  </si>
  <si>
    <t>铝板木皮饰面</t>
  </si>
  <si>
    <t>总包定制甲指木皮</t>
  </si>
  <si>
    <t>直纹</t>
  </si>
  <si>
    <t>铝板贴木纹厚度3mm</t>
  </si>
  <si>
    <t>波浪板</t>
  </si>
  <si>
    <t>外立面</t>
  </si>
  <si>
    <t>劳尔色卡:闪银9022吉祥铝塑板色卡:鼠灰银JX816</t>
  </si>
  <si>
    <t>厚度3mm,哑光度40%</t>
  </si>
  <si>
    <t>深灰色铝板</t>
  </si>
  <si>
    <t>外立面-波浪板边框</t>
  </si>
  <si>
    <t>1200*2400mm厚度:宽度1m内2mm宽度大于1m用3mm</t>
  </si>
  <si>
    <t>白色穿孔铝板</t>
  </si>
  <si>
    <t>冲孔板外立面</t>
  </si>
  <si>
    <t>氟碳喷涂,参考多乐士色卡93YY89/01220%哑光</t>
  </si>
  <si>
    <t>1200*2400mm厚度:3mm</t>
  </si>
  <si>
    <t>理想绿色铝板</t>
  </si>
  <si>
    <t>冲孔板外立面入口pylon横格栅外立面入口塔牌</t>
  </si>
  <si>
    <t>氟碳喷涂,潘通330C+10%哑光</t>
  </si>
  <si>
    <t>深灰色金属铝型材</t>
  </si>
  <si>
    <t>格栅门头上下沿</t>
  </si>
  <si>
    <t>氟碳喷涂,潘通BlackU+5%闪银+10%哑光度(追横格栅颜色)</t>
  </si>
  <si>
    <t>大尺寸干挂形式建议3mm厚不变,小尺寸可用2mm厚</t>
  </si>
  <si>
    <t>灰色铝方管</t>
  </si>
  <si>
    <t>氟碳喷涂,潘通BlackU+5%闪银+10%哑光度</t>
  </si>
  <si>
    <t>50*100mm(横截面尺寸)厚度2mm</t>
  </si>
  <si>
    <t>白色金属铝型材</t>
  </si>
  <si>
    <t>冲孔板门头上下沿</t>
  </si>
  <si>
    <t>氟碳喷涂,参考多乐士色卡93YY89/012,20%哑光(追冲孔板颜色)</t>
  </si>
  <si>
    <t>宽度1m内2mm宽度大于1m用3mm</t>
  </si>
  <si>
    <t>木纹转印铝方管</t>
  </si>
  <si>
    <t>部分售后或交付外立面</t>
  </si>
  <si>
    <t>木纹纹样:追样兔宝宝科技木-双子木982颜色:追2.1木作色</t>
  </si>
  <si>
    <t>30*200mm(横截面尺寸),厚度:2mm</t>
  </si>
  <si>
    <t>铝塑板</t>
  </si>
  <si>
    <t>冲孔板背板绿色pylon凹槽横格栅背板</t>
  </si>
  <si>
    <t>吉祥系列</t>
  </si>
  <si>
    <t>铝塑板-JX814白银灰</t>
  </si>
  <si>
    <t>1200*2400mm(常规尺寸)厚度:4mm21丝以上</t>
  </si>
  <si>
    <t>铝板&amp;金属板</t>
  </si>
  <si>
    <t>新建幕墙边框</t>
  </si>
  <si>
    <t>1200*2400mm(常规尺寸)厚度:2mm</t>
  </si>
  <si>
    <t>灰色铝单板</t>
  </si>
  <si>
    <t>塔牌</t>
  </si>
  <si>
    <t>氟碳喷涂,潘通BlackU+10%哑光度</t>
  </si>
  <si>
    <t>厚度:3mm</t>
  </si>
  <si>
    <t>成品铝型材踢脚线(内嵌)</t>
  </si>
  <si>
    <t>零售展厅</t>
  </si>
  <si>
    <t>颜色:黑色,铝型材踢脚,哑光度40%</t>
  </si>
  <si>
    <t>15mm 高1mm厚</t>
  </si>
  <si>
    <t>米色金属踢脚线明装&amp;内嵌</t>
  </si>
  <si>
    <t>交付提车区明装交付客休区内嵌</t>
  </si>
  <si>
    <t>铝合金踢脚哑光度40%颜色同乳胶漆</t>
  </si>
  <si>
    <t>50mm 高</t>
  </si>
  <si>
    <t>白色金属踢脚线明装</t>
  </si>
  <si>
    <t>交付中心、零售展厅办公室</t>
  </si>
  <si>
    <t>白色铝板</t>
  </si>
  <si>
    <t>零售展厅一体展示墙充电桩区域</t>
  </si>
  <si>
    <t>白色哑光</t>
  </si>
  <si>
    <t>厚度2mm</t>
  </si>
  <si>
    <t>深灰色铝塑板</t>
  </si>
  <si>
    <t>外立面、窗台板</t>
  </si>
  <si>
    <t>jx816鼠灰银</t>
  </si>
  <si>
    <t>厚度：4mm；
窗台21丝，外立面30丝及以上</t>
  </si>
  <si>
    <t>40%雾面不锈钢</t>
  </si>
  <si>
    <t>电视后背板/木作嵌条</t>
  </si>
  <si>
    <t>黑色</t>
  </si>
  <si>
    <t>厚度：1.5mm</t>
  </si>
  <si>
    <t>墙砖金属折边</t>
  </si>
  <si>
    <t>维修车间/PDI/洗车墙砖收边</t>
  </si>
  <si>
    <t>成品</t>
  </si>
  <si>
    <t>深灰色哑光烤漆PT419u</t>
  </si>
  <si>
    <t>1cm*1.5cm</t>
  </si>
  <si>
    <t>金属门框</t>
  </si>
  <si>
    <t>玻璃门门框</t>
  </si>
  <si>
    <t>深灰色哑光氟碳漆PT419u</t>
  </si>
  <si>
    <t>厚度：1mm</t>
  </si>
  <si>
    <t>瓷砖</t>
  </si>
  <si>
    <t>深灰色地砖</t>
  </si>
  <si>
    <t>零售展厅-主展车</t>
  </si>
  <si>
    <t>一拓:LX101</t>
  </si>
  <si>
    <t>800*800*9mm</t>
  </si>
  <si>
    <t>浅灰色地砖</t>
  </si>
  <si>
    <t>一拓:LX10160-22</t>
  </si>
  <si>
    <t>木纹地砖</t>
  </si>
  <si>
    <t>家庭区、洽谈室、儿童区</t>
  </si>
  <si>
    <t>一拓:WLX301</t>
  </si>
  <si>
    <t>200*1200*10mm</t>
  </si>
  <si>
    <t>地砖</t>
  </si>
  <si>
    <t>车间的办公室及功能间客户卫生间、员工卫生间</t>
  </si>
  <si>
    <t>甲指</t>
  </si>
  <si>
    <t>600x600mm</t>
  </si>
  <si>
    <t>客户、员工卫生间墙面淋浴间墙面</t>
  </si>
  <si>
    <t>地面:600x600mm墙面:300x600mm</t>
  </si>
  <si>
    <t>车间区域</t>
  </si>
  <si>
    <t>马可波罗：车间地面产品STD-K923灰色或诺贝尔同款</t>
  </si>
  <si>
    <t>200x200mm厚度12mm</t>
  </si>
  <si>
    <t>马可波罗：工位线STD-K801白色
或诺贝尔同款</t>
  </si>
  <si>
    <t>200x200mm</t>
  </si>
  <si>
    <t>墙砖</t>
  </si>
  <si>
    <t>车间区域1200mm、洗车3000mm</t>
  </si>
  <si>
    <t>马可波罗墙砖： STD-K923-10 灰色
或诺贝尔同款</t>
  </si>
  <si>
    <t>200x200x10(mm)砖缝5mm</t>
  </si>
  <si>
    <t>石材</t>
  </si>
  <si>
    <t>人造石</t>
  </si>
  <si>
    <t>男、女卫生间洗手台面</t>
  </si>
  <si>
    <t>总包定制,设计师确认</t>
  </si>
  <si>
    <t>哑光白</t>
  </si>
  <si>
    <t>设计师确认</t>
  </si>
  <si>
    <t>花岗岩（芝麻灰）</t>
  </si>
  <si>
    <t>烧面灰麻石</t>
  </si>
  <si>
    <t>30mm厚</t>
  </si>
  <si>
    <t>室外台阶</t>
  </si>
  <si>
    <t>灰麻花岗岩，荔枝面或烧面灰麻石</t>
  </si>
  <si>
    <t>20mm厚</t>
  </si>
  <si>
    <t>过门石（芝麻灰）</t>
  </si>
  <si>
    <t>地面</t>
  </si>
  <si>
    <t>哑光面原板面</t>
  </si>
  <si>
    <t>15mm厚</t>
  </si>
  <si>
    <t>玻璃</t>
  </si>
  <si>
    <t>钢化玻璃</t>
  </si>
  <si>
    <t>洽谈室、财务室</t>
  </si>
  <si>
    <t>零售:超白交付:普白</t>
  </si>
  <si>
    <t>12mm以上钢化</t>
  </si>
  <si>
    <t>外立面主入口</t>
  </si>
  <si>
    <t>零售:超白交付:超白</t>
  </si>
  <si>
    <t>3米以下:15mm3米以上:19mm</t>
  </si>
  <si>
    <t>钢化夹胶玻璃</t>
  </si>
  <si>
    <t>楼梯扶手</t>
  </si>
  <si>
    <t>6+6夹胶</t>
  </si>
  <si>
    <t>中空玻璃</t>
  </si>
  <si>
    <t>玻璃幕墙</t>
  </si>
  <si>
    <t>8+12A+8中空</t>
  </si>
  <si>
    <t>带框银镜边框色PT419U</t>
  </si>
  <si>
    <t>客户卫生间、员工卫生间</t>
  </si>
  <si>
    <t>颜色：边框为深灰色金属烤漆；安装：底边距洗手池台面200mm</t>
  </si>
  <si>
    <t>定制</t>
  </si>
  <si>
    <t>石膏板</t>
  </si>
  <si>
    <t>矿棉吸音板</t>
  </si>
  <si>
    <t>零售、交付办公室、功能间</t>
  </si>
  <si>
    <t>阿姆斯壮长城</t>
  </si>
  <si>
    <t>雅丽、雅韵防潮RH99</t>
  </si>
  <si>
    <t>纸面石膏板</t>
  </si>
  <si>
    <t>交付大厅、交付工位、保洁间</t>
  </si>
  <si>
    <t>龙牌、泰山、拉法基</t>
  </si>
  <si>
    <t>天花9.5mm墙身12mm</t>
  </si>
  <si>
    <t>防火石膏板</t>
  </si>
  <si>
    <t>交付大厅</t>
  </si>
  <si>
    <t>铝扣板</t>
  </si>
  <si>
    <t>员工卫生间/更衣室/淋浴间</t>
  </si>
  <si>
    <t>300X300mm厚度0.6mm</t>
  </si>
  <si>
    <t>防水纸面石膏板</t>
  </si>
  <si>
    <t>客户/员工卫生间/更衣室/淋浴间</t>
  </si>
  <si>
    <t>水泥压力板</t>
  </si>
  <si>
    <t>防水部位</t>
  </si>
  <si>
    <t>厚度9.5mm、12mm</t>
  </si>
  <si>
    <t>辅材</t>
  </si>
  <si>
    <t>胶地板</t>
  </si>
  <si>
    <t>儿童区</t>
  </si>
  <si>
    <t>原木色</t>
  </si>
  <si>
    <t>防静电高架地板</t>
  </si>
  <si>
    <t>弱电室</t>
  </si>
  <si>
    <t>科华、红日</t>
  </si>
  <si>
    <t>600x600</t>
  </si>
  <si>
    <t>空调风口百叶</t>
  </si>
  <si>
    <t>功能房间</t>
  </si>
  <si>
    <t>哑光白色(同周边涂料颜色)</t>
  </si>
  <si>
    <t>送风600*600散流器回风单层百叶</t>
  </si>
  <si>
    <t>美缝剂</t>
  </si>
  <si>
    <t>交付中心、零售展厅、卫生间</t>
  </si>
  <si>
    <t>家美士、德高</t>
  </si>
  <si>
    <t>家美士:罗马灰</t>
  </si>
  <si>
    <t>水篦子</t>
  </si>
  <si>
    <t>维修车间</t>
  </si>
  <si>
    <t>小孔4#国标/3.8m高280x220mm
高分子树脂水篦子</t>
  </si>
  <si>
    <t>磨砂贴膜</t>
  </si>
  <si>
    <t>接待室、洽谈室、财务室</t>
  </si>
  <si>
    <t>聚酯纤维板</t>
  </si>
  <si>
    <t>办公室</t>
  </si>
  <si>
    <t>月光灰</t>
  </si>
  <si>
    <t>车务保险区</t>
  </si>
  <si>
    <t>米白色</t>
  </si>
  <si>
    <t>阻燃胶合板</t>
  </si>
  <si>
    <t>千年舟、金秋、莫干山</t>
  </si>
  <si>
    <t>环保:E0级防火:B1级厚度：18mm</t>
  </si>
  <si>
    <t>轻钢龙骨</t>
  </si>
  <si>
    <t>轻钢龙骨到顶的区域:卫生间，办公室，机房</t>
  </si>
  <si>
    <t>3m以上厚度不低于0.6mm</t>
  </si>
  <si>
    <t>岩棉</t>
  </si>
  <si>
    <t>厚度 50mm容重65kg/m3防火与隔音作用同时满足</t>
  </si>
  <si>
    <t>橡塑保温棉</t>
  </si>
  <si>
    <t>厚度20mm</t>
  </si>
  <si>
    <t>防火板-抗倍特</t>
  </si>
  <si>
    <t>男、女卫生间</t>
  </si>
  <si>
    <t>瑞权麦象</t>
  </si>
  <si>
    <t>白橡直纹</t>
  </si>
  <si>
    <t>厚度18mm</t>
  </si>
  <si>
    <t>排水管</t>
  </si>
  <si>
    <t>联塑、日新、日丰</t>
  </si>
  <si>
    <t>给水管</t>
  </si>
  <si>
    <t>其它建材</t>
  </si>
  <si>
    <t>墙布</t>
  </si>
  <si>
    <t>照片墙背板</t>
  </si>
  <si>
    <t>雅悦TM140-202
CLOTH HUAN PAGE26</t>
  </si>
  <si>
    <t>灰色墙布</t>
  </si>
  <si>
    <t>零售洽谈室</t>
  </si>
  <si>
    <t>繁华墙布炼色FH14-10
完美世家MSJ096-26</t>
  </si>
  <si>
    <t>科技木皮</t>
  </si>
  <si>
    <t>儿童区墙面</t>
  </si>
  <si>
    <t>木纹纹样:追样兔宝宝科技木-双子木982
颜色:追2.1木作色</t>
  </si>
  <si>
    <t>1200*2400mm(常规尺寸)</t>
  </si>
  <si>
    <t>木纹转印</t>
  </si>
  <si>
    <t>木饰面-科技木皮</t>
  </si>
  <si>
    <t>木作道具、家具道具</t>
  </si>
  <si>
    <t>开放清漆</t>
  </si>
  <si>
    <t>矿棉板</t>
  </si>
  <si>
    <t>阿姆斯壮
长城</t>
  </si>
  <si>
    <t>雅丽
防潮RH99</t>
  </si>
  <si>
    <t>600mm*600mm</t>
  </si>
  <si>
    <t>电气材料</t>
  </si>
  <si>
    <t>电线</t>
  </si>
  <si>
    <t>全店铺用电区域</t>
  </si>
  <si>
    <t>起帆、上上、珠江、江南、远东</t>
  </si>
  <si>
    <t>ZRBV 铜芯，商场店有特殊需求的可用WDZB 铜芯</t>
  </si>
  <si>
    <t>电缆</t>
  </si>
  <si>
    <t>起帆、上上、远东、珠江、江南、民兴、南牌、金龙羽、花城、宝胜、津猫、鲁能泰山、熊猫、津达、塔牌、川缆、三峡、鸽牌、瑞强</t>
  </si>
  <si>
    <t>50平方以上，150m以下的用铝芯，其余用铜芯ZRBV，商场店有特殊需求的可用WDZB 铜芯</t>
  </si>
  <si>
    <t>线管</t>
  </si>
  <si>
    <t>KBG或JDG金属管 壁厚不得小于1mm</t>
  </si>
  <si>
    <t>空调铜管</t>
  </si>
  <si>
    <t>直径9.52mm以下 壁厚0.8mm直径12-28.6mm  壁厚1mm直径31.8mm  壁厚1.25mm直径34.9mm  壁厚1.5mm（外径允许偏差±0.05）（壁厚允许偏差±0.06）</t>
  </si>
  <si>
    <t>空开</t>
  </si>
  <si>
    <t>正泰、德力西
（商场店业主有特殊需求采用施耐德）</t>
  </si>
  <si>
    <t>电表</t>
  </si>
  <si>
    <t>正泰</t>
  </si>
  <si>
    <t>电箱</t>
  </si>
  <si>
    <t>桥架</t>
  </si>
  <si>
    <t>尺寸：50*50/100厚度1.0mm尺寸：100*100及以上厚度1.5mm</t>
  </si>
  <si>
    <t>客休区、车间区域</t>
  </si>
  <si>
    <t>施耐德/绎尚
西门子/远景</t>
  </si>
  <si>
    <t>白色、灰色（灰色墙裙采用灰色面板）原则同墙面统一</t>
  </si>
  <si>
    <t>施耐德250V  10A100*100</t>
  </si>
  <si>
    <t>施耐德/绎尚西门子/远景</t>
  </si>
  <si>
    <t>客休区</t>
  </si>
  <si>
    <t>ABB
德力西</t>
  </si>
  <si>
    <t>100*100</t>
  </si>
  <si>
    <t>施耐德250V  16A100*100</t>
  </si>
  <si>
    <t>施耐德250V  10A100*100、定制松本五孔16A100*100</t>
  </si>
  <si>
    <t>白色、灰色（灰色墙裙采用灰色面板）、香槟金色（追木作色），原则同墙面统一</t>
  </si>
  <si>
    <t>施耐德250V  22A100*100</t>
  </si>
  <si>
    <t>五孔USB+type c接口</t>
  </si>
  <si>
    <t>家具插座</t>
  </si>
  <si>
    <t>西门子/德力西</t>
  </si>
  <si>
    <t>5UB25753NC01</t>
  </si>
  <si>
    <t>网线</t>
  </si>
  <si>
    <t>安普/泛达</t>
  </si>
  <si>
    <t>六类非屏蔽双绞线</t>
  </si>
  <si>
    <t>网络面板</t>
  </si>
  <si>
    <t>室内立面</t>
  </si>
  <si>
    <t>地插</t>
  </si>
  <si>
    <t>室内地面</t>
  </si>
  <si>
    <t>外壳定制
内径130*130</t>
  </si>
  <si>
    <t>电视面板</t>
  </si>
  <si>
    <t>疏散指示灯</t>
  </si>
  <si>
    <r>
      <rPr>
        <sz val="10"/>
        <color rgb="FF1F2329"/>
        <rFont val="宋体"/>
        <charset val="134"/>
      </rPr>
      <t>敏华</t>
    </r>
    <r>
      <rPr>
        <strike/>
        <sz val="10"/>
        <color rgb="FF1F2329"/>
        <rFont val="宋体"/>
        <charset val="134"/>
      </rPr>
      <t>雷士</t>
    </r>
  </si>
  <si>
    <t>层高5米以上使用吊链层高5米以下使用吊杆[选择金属圆杆，颜色追消防疏散指示灯边框颜色]商场店都是吸顶安装[条件允许情况下，尽量选择吸顶式安装]</t>
  </si>
  <si>
    <t>应急照明灯</t>
  </si>
  <si>
    <t>敏华、雷士</t>
  </si>
  <si>
    <t>应急照明蓄电池</t>
  </si>
  <si>
    <t>满足亮度90分钟</t>
  </si>
  <si>
    <t>厨宝</t>
  </si>
  <si>
    <t>AO史密斯
海尔</t>
  </si>
  <si>
    <t>10L</t>
  </si>
  <si>
    <t>冰箱</t>
  </si>
  <si>
    <r>
      <rPr>
        <sz val="10"/>
        <color rgb="FF1F2329"/>
        <rFont val="等线"/>
        <charset val="134"/>
        <scheme val="minor"/>
      </rPr>
      <t>售后店长采购，零售总包代采-冰箱品牌美菱SC-69L参考京东链接：</t>
    </r>
    <r>
      <rPr>
        <u/>
        <sz val="10"/>
        <color theme="10"/>
        <rFont val="Calibri"/>
        <charset val="134"/>
      </rPr>
      <t>https://item.m.jd.com/product/100012655091.html?&amp;utm_source=iosapp&amp;utm_medium=appshare&amp;utm_campaign=t_335139774&amp;utm_term=CopyURL&amp;ad_od=share&amp;gx=RnFnkWRfYWKMzdRA8cMoHjt-1vO58oRL</t>
    </r>
  </si>
  <si>
    <t>五金材料</t>
  </si>
  <si>
    <t>地弹簧</t>
  </si>
  <si>
    <t>客体区、接待室、洽谈室</t>
  </si>
  <si>
    <t>海福乐  多玛  GMT</t>
  </si>
  <si>
    <t>银色</t>
  </si>
  <si>
    <t>玻璃门夹</t>
  </si>
  <si>
    <t>海福乐  多玛 GMT</t>
  </si>
  <si>
    <t>方管拉手</t>
  </si>
  <si>
    <t>玻璃门把手</t>
  </si>
  <si>
    <t>多玛 
海福乐GMT</t>
  </si>
  <si>
    <t>金属本色（要求哑光材质）</t>
  </si>
  <si>
    <t>多玛 TG-F-8600，38*25 长度1200款</t>
  </si>
  <si>
    <t>闭门器</t>
  </si>
  <si>
    <t>可限位</t>
  </si>
  <si>
    <t>门锁</t>
  </si>
  <si>
    <t>室内木门金属门把手</t>
  </si>
  <si>
    <t>多玛  ST6120</t>
  </si>
  <si>
    <t>门吸-地吸</t>
  </si>
  <si>
    <t>地吸</t>
  </si>
  <si>
    <t>隔断五金锁具挂钩</t>
  </si>
  <si>
    <t>不锈钢大门拉手</t>
  </si>
  <si>
    <t>入户</t>
  </si>
  <si>
    <t>多玛</t>
  </si>
  <si>
    <r>
      <rPr>
        <sz val="10"/>
        <color rgb="FF1F2329"/>
        <rFont val="Calibri"/>
        <charset val="134"/>
      </rPr>
      <t>TG-F-8357</t>
    </r>
    <r>
      <rPr>
        <sz val="10"/>
        <color theme="10"/>
        <rFont val="Calibri"/>
        <charset val="134"/>
      </rPr>
      <t>www.dormakaba.com</t>
    </r>
  </si>
  <si>
    <t>管径32长度1200开孔距离:800</t>
  </si>
  <si>
    <t>海福乐</t>
  </si>
  <si>
    <t>PH 2139（优选1200mm不带锁的款型）</t>
  </si>
  <si>
    <r>
      <rPr>
        <sz val="10"/>
        <color rgb="FF1F2329"/>
        <rFont val="等线"/>
        <charset val="134"/>
        <scheme val="minor"/>
      </rPr>
      <t>管径35长度1500开孔距离：1125</t>
    </r>
    <r>
      <rPr>
        <sz val="10"/>
        <rFont val="宋体"/>
        <charset val="134"/>
      </rPr>
      <t xml:space="preserve">
</t>
    </r>
    <r>
      <rPr>
        <u/>
        <sz val="10"/>
        <color theme="10"/>
        <rFont val="宋体"/>
        <charset val="134"/>
      </rPr>
      <t>门执手</t>
    </r>
    <r>
      <rPr>
        <u/>
        <sz val="10"/>
        <color theme="10"/>
        <rFont val="Calibri"/>
        <charset val="134"/>
      </rPr>
      <t xml:space="preserve">, </t>
    </r>
    <r>
      <rPr>
        <u/>
        <sz val="10"/>
        <color theme="10"/>
        <rFont val="宋体"/>
        <charset val="134"/>
      </rPr>
      <t>不锈钢，</t>
    </r>
    <r>
      <rPr>
        <u/>
        <sz val="10"/>
        <color theme="10"/>
        <rFont val="Calibri"/>
        <charset val="134"/>
      </rPr>
      <t>Startec</t>
    </r>
    <r>
      <rPr>
        <u/>
        <sz val="10"/>
        <color theme="10"/>
        <rFont val="宋体"/>
        <charset val="134"/>
      </rPr>
      <t>，型号</t>
    </r>
    <r>
      <rPr>
        <u/>
        <sz val="10"/>
        <color theme="10"/>
        <rFont val="Calibri"/>
        <charset val="134"/>
      </rPr>
      <t xml:space="preserve"> PH 2139</t>
    </r>
    <r>
      <rPr>
        <u/>
        <sz val="10"/>
        <color theme="10"/>
        <rFont val="宋体"/>
        <charset val="134"/>
      </rPr>
      <t>，可锁住</t>
    </r>
    <r>
      <rPr>
        <u/>
        <sz val="10"/>
        <color theme="10"/>
        <rFont val="Calibri"/>
        <charset val="134"/>
      </rPr>
      <t xml:space="preserve"> - </t>
    </r>
    <r>
      <rPr>
        <u/>
        <sz val="10"/>
        <color theme="10"/>
        <rFont val="宋体"/>
        <charset val="134"/>
      </rPr>
      <t>在海福乐中国网上商城</t>
    </r>
  </si>
  <si>
    <t>木质拉手</t>
  </si>
  <si>
    <t>室内玻璃门</t>
  </si>
  <si>
    <t>集嘉拉手五金企业店</t>
  </si>
  <si>
    <t>白蜡木（可追木饰面，效果达90%）</t>
  </si>
  <si>
    <r>
      <rPr>
        <sz val="10"/>
        <color rgb="FF1F2329"/>
        <rFont val="等线"/>
        <charset val="134"/>
        <scheme val="minor"/>
      </rPr>
      <t>管径30*40长度1500开孔距离：1100门开孔直径：12</t>
    </r>
    <r>
      <rPr>
        <sz val="10"/>
        <rFont val="宋体"/>
        <charset val="134"/>
      </rPr>
      <t xml:space="preserve">
</t>
    </r>
    <r>
      <rPr>
        <u/>
        <sz val="10"/>
        <color theme="10"/>
        <rFont val="Calibri"/>
        <charset val="134"/>
      </rPr>
      <t>item.taobao.com</t>
    </r>
  </si>
  <si>
    <t>DESHCH FURNITURE/德盛昌</t>
  </si>
  <si>
    <t>榉木色</t>
  </si>
  <si>
    <r>
      <rPr>
        <sz val="10"/>
        <color rgb="FF1F2329"/>
        <rFont val="等线"/>
        <charset val="134"/>
        <scheme val="minor"/>
      </rPr>
      <t>管径30长度1500开孔距离：800门开孔直径：8</t>
    </r>
    <r>
      <rPr>
        <sz val="10"/>
        <rFont val="宋体"/>
        <charset val="134"/>
      </rPr>
      <t xml:space="preserve">
</t>
    </r>
    <r>
      <rPr>
        <u/>
        <sz val="10"/>
        <color theme="10"/>
        <rFont val="Calibri"/>
        <charset val="134"/>
      </rPr>
      <t>item.taobao.com</t>
    </r>
  </si>
  <si>
    <t>暗门拉手</t>
  </si>
  <si>
    <t>暗门</t>
  </si>
  <si>
    <t>索斯诺</t>
  </si>
  <si>
    <t>8259-69亚镍</t>
  </si>
  <si>
    <t>见图纸</t>
  </si>
  <si>
    <t>亚固</t>
  </si>
  <si>
    <t>217星空灰一字锁（备注不锈钢银色不带钥匙）</t>
  </si>
  <si>
    <t>洁具</t>
  </si>
  <si>
    <t>卫生间台盆</t>
  </si>
  <si>
    <t>科勒2215
TOTO 2156</t>
  </si>
  <si>
    <t>X mm；宽409mm；高203mm（台盆与墙砖颜色一致，可以不需要挡水条）</t>
  </si>
  <si>
    <t>卫生间水龙头</t>
  </si>
  <si>
    <t>科勒16027-B4
TOTO-DL363</t>
  </si>
  <si>
    <t>不锈钢色</t>
  </si>
  <si>
    <t>安装孔数：单孔</t>
  </si>
  <si>
    <t>花洒</t>
  </si>
  <si>
    <t>淋浴间</t>
  </si>
  <si>
    <t>科勒7686
toto TBG03302B</t>
  </si>
  <si>
    <t>壁挂式</t>
  </si>
  <si>
    <t>马桶</t>
  </si>
  <si>
    <t>客户卫生间</t>
  </si>
  <si>
    <t>科勒19111
TOTO  CW886</t>
  </si>
  <si>
    <t>坑距：305/300mm
冲水方式：喷射虹吸式</t>
  </si>
  <si>
    <t>员工卫生间</t>
  </si>
  <si>
    <t>箭牌卫浴AB1183</t>
  </si>
  <si>
    <t>冲水方式：喷射虹吸式</t>
  </si>
  <si>
    <t>小便斗</t>
  </si>
  <si>
    <t>TOTO  UW180SHB小便斗(后进水)
科勒</t>
  </si>
  <si>
    <t>置地式
壁挂式</t>
  </si>
  <si>
    <t>小便斗感应器</t>
  </si>
  <si>
    <t>TOTO
科勒
（和小便斗配套）</t>
  </si>
  <si>
    <t>DUE114UPE(交流电)</t>
  </si>
  <si>
    <t>箭牌AN633
九牧</t>
  </si>
  <si>
    <t>箭牌
九牧
（和小便斗配套）</t>
  </si>
  <si>
    <t>墩布池</t>
  </si>
  <si>
    <t>清洁间</t>
  </si>
  <si>
    <t>九牧
箭牌</t>
  </si>
  <si>
    <t>拖布池水龙头</t>
  </si>
  <si>
    <t>潜水艇中款龙头L201
波士顿</t>
  </si>
  <si>
    <t>地漏</t>
  </si>
  <si>
    <t>潜水艇
九牧</t>
  </si>
  <si>
    <t>方形
 4英寸
不锈钢亮光防臭式</t>
  </si>
  <si>
    <t>卷纸架</t>
  </si>
  <si>
    <t>Nomona双卷纸可放手机架  1001 0412
TOTO卷纸器GS715</t>
  </si>
  <si>
    <t>打孔式
下开口抽纸
不锈钢拉丝</t>
  </si>
  <si>
    <t>抽纸盒</t>
  </si>
  <si>
    <t>Svavo/瑞沃PL151060
 Pollock/波洛克 BLK-3825</t>
  </si>
  <si>
    <t>塑料
免打孔
下开口抽纸</t>
  </si>
  <si>
    <t>售后：不锈钢内嵌一体式
零售：圆盘套装、挂墙
交付：内嵌一体式或白塑料</t>
  </si>
  <si>
    <t>马桶垫纸盒</t>
  </si>
  <si>
    <t>Anmon  AM-7878
 泽派 89203A不锈钢马桶垫纸架</t>
  </si>
  <si>
    <t>下开口抽纸</t>
  </si>
  <si>
    <t>灯具</t>
  </si>
  <si>
    <t>嵌入式筒灯非调光</t>
  </si>
  <si>
    <t>汽车展示区域</t>
  </si>
  <si>
    <t>直签/雷士</t>
  </si>
  <si>
    <t>2100lm
LED COB 30W 4000K 60°配蜂窝网 银色反射器 ON/OFF
圆形无边 ip20</t>
  </si>
  <si>
    <t>无边嵌入式
 LED射灯
 KD0310068RL</t>
  </si>
  <si>
    <t>直签</t>
  </si>
  <si>
    <t>LED COB  20W 4000K 36° 配蜂窝网 银色反射器 ON/OFF 开孔尺寸 1600 lm</t>
  </si>
  <si>
    <t>无边嵌入式
 LED射灯
 PAK565486</t>
  </si>
  <si>
    <t>LED COB  20W 4000K 1400LM 24° 配蜂窝网 银色反射器 ON/OFF</t>
  </si>
  <si>
    <t>无边嵌入式
 LED洗墙灯
 PAK565565</t>
  </si>
  <si>
    <t>LED COB  28W 4000K 1500LM偏光 银色反射器 ON/OFF</t>
  </si>
  <si>
    <t>轨道式LED筒灯
 PAK565582</t>
  </si>
  <si>
    <t>LED COB  20W 5500K 1600LM  24° 配蜂窝网 白色  ON/OFF 配三节伸缩杆</t>
  </si>
  <si>
    <t>轨道</t>
  </si>
  <si>
    <t>轨道 白色 L1000MM</t>
  </si>
  <si>
    <t>嵌入式筒灯 非调光PAK565489</t>
  </si>
  <si>
    <t>户外雨棚区</t>
  </si>
  <si>
    <t>RLR963-G  20W 4000K 1500LM 36° IP65 灯具白色</t>
  </si>
  <si>
    <t>无边嵌入式LED洗墙灯 非调光PAK565682</t>
  </si>
  <si>
    <t>LED COB  2*35W 5500K 2*3000LM  60° 配蜂窝网 白色  ON/OFF</t>
  </si>
  <si>
    <t>无边嵌入式LED洗墙灯 非调光PAK565685</t>
  </si>
  <si>
    <t>LED COB  3*35W 3*3000LM 5500K 36°配蜂窝网 白色  ON/OFF</t>
  </si>
  <si>
    <t>无边嵌入式LED射灯
 （防水筒灯）</t>
  </si>
  <si>
    <t>LED COB 15W 4000K 1600LM  60° 配蜂窝网 哑银色反射器 ON/OFF IP44</t>
  </si>
  <si>
    <t>LED 面板灯
 PAK415131</t>
  </si>
  <si>
    <t>LED SMD 40W 5000K 4900LM  白色 
 595*595*H60</t>
  </si>
  <si>
    <t>拉膜灯箱</t>
  </si>
  <si>
    <t>LED SMD 10W/PCS 5500K Ra95 包含以下 1.光源板+EUP150A-24 0-10V调光变压器  2.A级防火拉膜及防尘膜 3.边框卡条 4.灯箱内部线路布线及材料 5.灯箱整体安装施工</t>
  </si>
  <si>
    <t>灯箱 调光</t>
  </si>
  <si>
    <t>汽车展示区域
（3M-4M天花）</t>
  </si>
  <si>
    <t>流明输出15000lm / m ²
色温5500K角度175°  IP20  显色指数 95
1.光源板+EUP150A-24 0-10V调光变压器  2.A级防火拉膜及防尘膜 3.边框卡条 4.灯箱内部线路布线及材料 5.灯箱整体安装施工</t>
  </si>
  <si>
    <t>光源180w / m ²
流明输出20700lm / m ²
色温5500K 角度175°  IP20 显色指数95
1.光源板+EUP150A-24 0-10V调光变压器  2.A级防火拉膜及防尘膜 3.边框卡条 4.灯箱内部线路布线及材料 5.灯箱整体安装施工</t>
  </si>
  <si>
    <t>嵌入式洗墙线型灯 非调光
暗藏LED洗墙灯
PAK566901</t>
  </si>
  <si>
    <t>展示墙区域</t>
  </si>
  <si>
    <t>LED SMD  18W/M 900LM 5500K  15°RA90</t>
  </si>
  <si>
    <t>LED线条灯
 YGAL7595</t>
  </si>
  <si>
    <t>LED SMD  45W/M 3200LM 5500K 黑色 RA90 吊装 同吊顶高度</t>
  </si>
  <si>
    <t>Suspended linear light (Up &amp; Down) 吊装条形灯(上下出光）</t>
  </si>
  <si>
    <t>W 75mm * H 95mm * L mm Lamp Type/光源 55W/M (整灯输出流明：下出光3060lm+上出光1200lm） Color Temperature/色温 5500K Beam Angle/角度 120° IP Rating/防护等级 IP20 CRI/显色指数 90</t>
  </si>
  <si>
    <t>三防灯</t>
  </si>
  <si>
    <t>车间</t>
  </si>
  <si>
    <t>白色边框</t>
  </si>
  <si>
    <t>规格：1200*750* 350mm；下吊1300-4100mm不等，白色边框
功率：45W；
色温6500K;</t>
  </si>
  <si>
    <t>空压机房
 防爆灯</t>
  </si>
  <si>
    <t>空压机房</t>
  </si>
  <si>
    <t>2*23 W；长度：1200mm；照度6000lm</t>
  </si>
  <si>
    <t>PDI灯柱</t>
  </si>
  <si>
    <t>PDI工位区域</t>
  </si>
  <si>
    <t>规格：75*35* 1500mm；
功率：60W；
光通量：6000lm
色温6500K;</t>
  </si>
  <si>
    <t>LED 面板灯</t>
  </si>
  <si>
    <t>维修车间员工洗手间</t>
  </si>
  <si>
    <t>LED SMD  14W 4000K 白色 300*300mm  1100lm</t>
  </si>
  <si>
    <t>低压消防应急灯</t>
  </si>
  <si>
    <t>LQ-LP100 嵌入式安装  100mm*128mm</t>
  </si>
  <si>
    <t>软装材料</t>
  </si>
  <si>
    <t>黄色有机硅</t>
  </si>
  <si>
    <t>儿童区地垫</t>
  </si>
  <si>
    <t>潘通7501C</t>
  </si>
  <si>
    <t>参考皮样:苌嵘皮革KY-08有机硅;科一皮革1-53-06A</t>
  </si>
  <si>
    <t>绿色有机硅</t>
  </si>
  <si>
    <t>潘通5625C</t>
  </si>
  <si>
    <t>参考皮样:苌嵘皮革有机硅1526;科一皮革1-53-05A</t>
  </si>
  <si>
    <t>白色有机硅</t>
  </si>
  <si>
    <t>儿童区卡座</t>
  </si>
  <si>
    <t>立邦乳胶漆色卡： ow086-4漫天风雪</t>
  </si>
  <si>
    <t>参考皮样:雅悦空间YSH有机硅-01;科一皮革:大白鲨-01</t>
  </si>
  <si>
    <t>窗帘(手动)</t>
  </si>
  <si>
    <t>暖白色</t>
  </si>
  <si>
    <t>平纹聚酯纤维,暖白色,5%开孔,65%透光率;下梁银色金属;拉绳</t>
  </si>
  <si>
    <t>防晒膜</t>
  </si>
  <si>
    <t>透明色</t>
  </si>
  <si>
    <t>太阳能总隔断率垂直入射50%,防紫外线率99.9%,红外线阻隔率97%,隔眩光率22%;可见光普通白玻透光率68%</t>
  </si>
  <si>
    <t>地毯</t>
  </si>
  <si>
    <t>华腾山花</t>
  </si>
  <si>
    <t>500x500mm</t>
  </si>
  <si>
    <t>除尘垫</t>
  </si>
  <si>
    <t>出入口</t>
  </si>
  <si>
    <t>福踏卡之蓝</t>
  </si>
  <si>
    <t>厚度&gt;1cm定制(铝材厚度)</t>
  </si>
  <si>
    <t>特殊材料</t>
  </si>
  <si>
    <t>内置灯源</t>
  </si>
  <si>
    <t>配件墙-海报灯箱区</t>
  </si>
  <si>
    <t>充电桩背景铝板</t>
  </si>
  <si>
    <t>配件墙-充电桩区域</t>
  </si>
  <si>
    <t>哑光白色铝板</t>
  </si>
  <si>
    <t>暖气片</t>
  </si>
  <si>
    <t>日上、太阳花</t>
  </si>
  <si>
    <t>600mm、1200mm、1500mm</t>
  </si>
  <si>
    <t>车漆面板</t>
  </si>
  <si>
    <t>配件墙-漆板展示区</t>
  </si>
  <si>
    <t>跟随车漆选定</t>
  </si>
  <si>
    <t>皮质面板</t>
  </si>
  <si>
    <t>跟随内饰选定</t>
  </si>
  <si>
    <t>皮质面板托盘</t>
  </si>
  <si>
    <t>坡面金属托板</t>
  </si>
  <si>
    <t>白色展台</t>
  </si>
  <si>
    <t>精品区</t>
  </si>
  <si>
    <t>待定</t>
  </si>
  <si>
    <t>发光LOGO</t>
  </si>
  <si>
    <t>不锈钢围边黑色喷漆，正面白色亚克力，内置LED模组，正发光</t>
  </si>
  <si>
    <t>不锈钢LOGO</t>
  </si>
  <si>
    <t>室内</t>
  </si>
  <si>
    <t>拉丝，定制</t>
  </si>
  <si>
    <t>平板支架</t>
  </si>
  <si>
    <t>透明</t>
  </si>
  <si>
    <t>销售海报</t>
  </si>
  <si>
    <t>配件墙-销售海报展示区</t>
  </si>
  <si>
    <t>设计文件制作</t>
  </si>
  <si>
    <t>海报画面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</si>
</sst>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Red]\(0\)"/>
    <numFmt numFmtId="178" formatCode="0.00_);[Red]\(0.00\)"/>
    <numFmt numFmtId="179" formatCode="0.00_ "/>
    <numFmt numFmtId="180" formatCode="0.000_);[Red]\(0.000\)"/>
    <numFmt numFmtId="181" formatCode="0.00_ ;[Red]\-0.00\ "/>
    <numFmt numFmtId="182" formatCode="0.0"/>
    <numFmt numFmtId="183" formatCode="#,##0.00_ ;[Red]\-#,##0.00"/>
    <numFmt numFmtId="184" formatCode="#,##0.0"/>
  </numFmts>
  <fonts count="67">
    <font>
      <sz val="10"/>
      <color theme="1"/>
      <name val="等线"/>
      <charset val="134"/>
      <scheme val="minor"/>
    </font>
    <font>
      <b/>
      <sz val="13.5"/>
      <color rgb="FF1F2329"/>
      <name val="等线"/>
      <charset val="134"/>
      <scheme val="minor"/>
    </font>
    <font>
      <sz val="10"/>
      <color rgb="FF1F2329"/>
      <name val="等线"/>
      <charset val="134"/>
      <scheme val="minor"/>
    </font>
    <font>
      <sz val="9.75"/>
      <color rgb="FF1F2329"/>
      <name val="等线"/>
      <charset val="134"/>
      <scheme val="minor"/>
    </font>
    <font>
      <b/>
      <sz val="10"/>
      <color rgb="FF1F2329"/>
      <name val="等线"/>
      <charset val="134"/>
      <scheme val="minor"/>
    </font>
    <font>
      <b/>
      <sz val="9.75"/>
      <color rgb="FF1F2329"/>
      <name val="等线"/>
      <charset val="134"/>
      <scheme val="minor"/>
    </font>
    <font>
      <sz val="10"/>
      <color rgb="FF1F2329"/>
      <name val="宋体"/>
      <charset val="134"/>
    </font>
    <font>
      <sz val="10"/>
      <color rgb="FF1F2329"/>
      <name val="Calibri"/>
      <charset val="134"/>
    </font>
    <font>
      <b/>
      <sz val="12"/>
      <color rgb="FF000000"/>
      <name val="等线"/>
      <charset val="134"/>
      <scheme val="minor"/>
    </font>
    <font>
      <sz val="9.75"/>
      <color rgb="FF000000"/>
      <name val="等线"/>
      <charset val="134"/>
      <scheme val="minor"/>
    </font>
    <font>
      <b/>
      <sz val="9.75"/>
      <color rgb="FF000000"/>
      <name val="等线"/>
      <charset val="134"/>
      <scheme val="minor"/>
    </font>
    <font>
      <sz val="9"/>
      <color rgb="FF1F2329"/>
      <name val="等线"/>
      <charset val="134"/>
      <scheme val="minor"/>
    </font>
    <font>
      <sz val="9"/>
      <color rgb="FF000000"/>
      <name val="等线"/>
      <charset val="134"/>
      <scheme val="minor"/>
    </font>
    <font>
      <b/>
      <sz val="9.75"/>
      <color rgb="FF1A1FFC"/>
      <name val="等线"/>
      <charset val="134"/>
      <scheme val="minor"/>
    </font>
    <font>
      <sz val="9.75"/>
      <color rgb="FF0000FF"/>
      <name val="等线"/>
      <charset val="134"/>
      <scheme val="minor"/>
    </font>
    <font>
      <sz val="10"/>
      <color rgb="FF000000"/>
      <name val="等线"/>
      <charset val="134"/>
      <scheme val="minor"/>
    </font>
    <font>
      <sz val="10"/>
      <color rgb="FF000000"/>
      <name val="宋体"/>
      <charset val="134"/>
    </font>
    <font>
      <b/>
      <sz val="10"/>
      <color rgb="FF000000"/>
      <name val="等线"/>
      <charset val="134"/>
      <scheme val="minor"/>
    </font>
    <font>
      <sz val="10"/>
      <color rgb="FF000000"/>
      <name val="Calibri"/>
      <charset val="134"/>
    </font>
    <font>
      <b/>
      <sz val="10"/>
      <color rgb="FF000000"/>
      <name val="宋体"/>
      <charset val="134"/>
    </font>
    <font>
      <sz val="9"/>
      <color theme="1"/>
      <name val="等线"/>
      <charset val="134"/>
      <scheme val="minor"/>
    </font>
    <font>
      <sz val="9"/>
      <color rgb="FF000000"/>
      <name val="宋体"/>
      <charset val="134"/>
    </font>
    <font>
      <b/>
      <sz val="10"/>
      <color rgb="FF1A1FFC"/>
      <name val="等线"/>
      <charset val="134"/>
      <scheme val="minor"/>
    </font>
    <font>
      <sz val="10"/>
      <color rgb="FFFF0000"/>
      <name val="等线"/>
      <charset val="134"/>
      <scheme val="minor"/>
    </font>
    <font>
      <sz val="10"/>
      <color rgb="FF0000FF"/>
      <name val="等线"/>
      <charset val="134"/>
      <scheme val="minor"/>
    </font>
    <font>
      <sz val="9.75"/>
      <color rgb="FFFF0000"/>
      <name val="等线"/>
      <charset val="134"/>
      <scheme val="minor"/>
    </font>
    <font>
      <b/>
      <sz val="10"/>
      <color rgb="FF1A1FFC"/>
      <name val="宋体"/>
      <charset val="134"/>
    </font>
    <font>
      <sz val="9.75"/>
      <color rgb="FF245BDB"/>
      <name val="等线"/>
      <charset val="134"/>
      <scheme val="minor"/>
    </font>
    <font>
      <sz val="10"/>
      <name val="等线"/>
      <charset val="134"/>
      <scheme val="minor"/>
    </font>
    <font>
      <sz val="10"/>
      <color rgb="FF245BDB"/>
      <name val="等线"/>
      <charset val="134"/>
      <scheme val="minor"/>
    </font>
    <font>
      <sz val="10"/>
      <color rgb="FF1A1FFC"/>
      <name val="等线"/>
      <charset val="134"/>
      <scheme val="minor"/>
    </font>
    <font>
      <sz val="9.75"/>
      <name val="等线"/>
      <charset val="134"/>
      <scheme val="minor"/>
    </font>
    <font>
      <sz val="10"/>
      <name val="宋体"/>
      <charset val="134"/>
    </font>
    <font>
      <b/>
      <sz val="12"/>
      <name val="等线"/>
      <charset val="134"/>
      <scheme val="minor"/>
    </font>
    <font>
      <b/>
      <sz val="9.75"/>
      <name val="等线"/>
      <charset val="134"/>
      <scheme val="minor"/>
    </font>
    <font>
      <sz val="9"/>
      <name val="等线"/>
      <charset val="134"/>
      <scheme val="minor"/>
    </font>
    <font>
      <sz val="9"/>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000000"/>
      <name val="Calibri"/>
      <charset val="134"/>
    </font>
    <font>
      <sz val="9"/>
      <color rgb="FF000000"/>
      <name val="Calibri"/>
      <charset val="134"/>
    </font>
    <font>
      <b/>
      <sz val="9.75"/>
      <color rgb="FF000000"/>
      <name val="Calibri"/>
      <charset val="134"/>
    </font>
    <font>
      <u/>
      <sz val="10"/>
      <color theme="10"/>
      <name val="Calibri"/>
      <charset val="134"/>
    </font>
    <font>
      <b/>
      <sz val="9.75"/>
      <color rgb="FF1A1FFC"/>
      <name val="Calibri"/>
      <charset val="134"/>
    </font>
    <font>
      <sz val="10"/>
      <color rgb="FF000000"/>
      <name val="等线"/>
      <charset val="134"/>
    </font>
    <font>
      <sz val="10"/>
      <color theme="10"/>
      <name val="Calibri"/>
      <charset val="134"/>
    </font>
    <font>
      <strike/>
      <sz val="10"/>
      <color rgb="FF1F2329"/>
      <name val="宋体"/>
      <charset val="134"/>
    </font>
    <font>
      <b/>
      <sz val="10"/>
      <color rgb="FF000000"/>
      <name val="Calibri"/>
      <charset val="134"/>
    </font>
    <font>
      <u/>
      <sz val="10"/>
      <color theme="10"/>
      <name val="宋体"/>
      <charset val="134"/>
    </font>
  </fonts>
  <fills count="34">
    <fill>
      <patternFill patternType="none"/>
    </fill>
    <fill>
      <patternFill patternType="gray125"/>
    </fill>
    <fill>
      <patternFill patternType="solid">
        <fgColor rgb="FFD9F5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3" borderId="12"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13" applyNumberFormat="0" applyFill="0" applyAlignment="0" applyProtection="0">
      <alignment vertical="center"/>
    </xf>
    <xf numFmtId="0" fontId="44" fillId="0" borderId="13" applyNumberFormat="0" applyFill="0" applyAlignment="0" applyProtection="0">
      <alignment vertical="center"/>
    </xf>
    <xf numFmtId="0" fontId="45" fillId="0" borderId="14" applyNumberFormat="0" applyFill="0" applyAlignment="0" applyProtection="0">
      <alignment vertical="center"/>
    </xf>
    <xf numFmtId="0" fontId="45" fillId="0" borderId="0" applyNumberFormat="0" applyFill="0" applyBorder="0" applyAlignment="0" applyProtection="0">
      <alignment vertical="center"/>
    </xf>
    <xf numFmtId="0" fontId="46" fillId="4" borderId="15" applyNumberFormat="0" applyAlignment="0" applyProtection="0">
      <alignment vertical="center"/>
    </xf>
    <xf numFmtId="0" fontId="47" fillId="5" borderId="16" applyNumberFormat="0" applyAlignment="0" applyProtection="0">
      <alignment vertical="center"/>
    </xf>
    <xf numFmtId="0" fontId="48" fillId="5" borderId="15" applyNumberFormat="0" applyAlignment="0" applyProtection="0">
      <alignment vertical="center"/>
    </xf>
    <xf numFmtId="0" fontId="49" fillId="6" borderId="17" applyNumberFormat="0" applyAlignment="0" applyProtection="0">
      <alignment vertical="center"/>
    </xf>
    <xf numFmtId="0" fontId="50" fillId="0" borderId="18" applyNumberFormat="0" applyFill="0" applyAlignment="0" applyProtection="0">
      <alignment vertical="center"/>
    </xf>
    <xf numFmtId="0" fontId="51" fillId="0" borderId="19" applyNumberFormat="0" applyFill="0" applyAlignment="0" applyProtection="0">
      <alignment vertical="center"/>
    </xf>
    <xf numFmtId="0" fontId="52" fillId="7" borderId="0" applyNumberFormat="0" applyBorder="0" applyAlignment="0" applyProtection="0">
      <alignment vertical="center"/>
    </xf>
    <xf numFmtId="0" fontId="53" fillId="8" borderId="0" applyNumberFormat="0" applyBorder="0" applyAlignment="0" applyProtection="0">
      <alignment vertical="center"/>
    </xf>
    <xf numFmtId="0" fontId="54" fillId="9" borderId="0" applyNumberFormat="0" applyBorder="0" applyAlignment="0" applyProtection="0">
      <alignment vertical="center"/>
    </xf>
    <xf numFmtId="0" fontId="55" fillId="10" borderId="0" applyNumberFormat="0" applyBorder="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5" fillId="13" borderId="0" applyNumberFormat="0" applyBorder="0" applyAlignment="0" applyProtection="0">
      <alignment vertical="center"/>
    </xf>
    <xf numFmtId="0" fontId="55" fillId="14"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5" fillId="17" borderId="0" applyNumberFormat="0" applyBorder="0" applyAlignment="0" applyProtection="0">
      <alignment vertical="center"/>
    </xf>
    <xf numFmtId="0" fontId="55" fillId="18"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5" fillId="21" borderId="0" applyNumberFormat="0" applyBorder="0" applyAlignment="0" applyProtection="0">
      <alignment vertical="center"/>
    </xf>
    <xf numFmtId="0" fontId="55"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5" fillId="25" borderId="0" applyNumberFormat="0" applyBorder="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5" fillId="29" borderId="0" applyNumberFormat="0" applyBorder="0" applyAlignment="0" applyProtection="0">
      <alignment vertical="center"/>
    </xf>
    <xf numFmtId="0" fontId="55"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33" borderId="0" applyNumberFormat="0" applyBorder="0" applyAlignment="0" applyProtection="0">
      <alignment vertical="center"/>
    </xf>
  </cellStyleXfs>
  <cellXfs count="363">
    <xf numFmtId="0" fontId="0" fillId="0" borderId="0" xfId="0" applyAlignment="1">
      <alignment vertical="center"/>
    </xf>
    <xf numFmtId="2" fontId="1" fillId="0" borderId="0" xfId="0" applyNumberFormat="1" applyFont="1" applyBorder="1" applyAlignment="1">
      <alignment horizontal="center" vertical="center" wrapText="1"/>
    </xf>
    <xf numFmtId="2" fontId="1" fillId="0" borderId="0" xfId="0" applyNumberFormat="1" applyFont="1" applyBorder="1" applyAlignment="1">
      <alignment horizontal="left" vertical="center" wrapText="1"/>
    </xf>
    <xf numFmtId="0" fontId="1" fillId="0" borderId="0" xfId="0" applyFont="1" applyAlignment="1">
      <alignment horizontal="center" vertical="center"/>
    </xf>
    <xf numFmtId="2"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xf>
    <xf numFmtId="1"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5" fillId="0" borderId="0" xfId="0" applyFont="1" applyAlignment="1">
      <alignment horizontal="center"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1" fontId="4" fillId="0" borderId="1" xfId="0" applyNumberFormat="1" applyFont="1" applyBorder="1" applyAlignment="1">
      <alignment horizontal="left" vertical="center" wrapText="1"/>
    </xf>
    <xf numFmtId="1" fontId="2" fillId="0" borderId="1" xfId="0" applyNumberFormat="1" applyFont="1" applyBorder="1" applyAlignment="1">
      <alignment horizontal="left" vertical="center" wrapText="1"/>
    </xf>
    <xf numFmtId="2" fontId="3" fillId="0" borderId="0" xfId="0" applyNumberFormat="1" applyFont="1" applyAlignment="1">
      <alignment horizontal="center" vertical="center"/>
    </xf>
    <xf numFmtId="0" fontId="3" fillId="0" borderId="0" xfId="0" applyFont="1" applyAlignment="1">
      <alignment horizontal="left" vertical="center"/>
    </xf>
    <xf numFmtId="0" fontId="0" fillId="0" borderId="0" xfId="0" applyFont="1" applyAlignment="1">
      <alignment vertical="center"/>
    </xf>
    <xf numFmtId="0" fontId="0" fillId="0" borderId="0" xfId="0" applyAlignment="1">
      <alignment vertical="center" wrapText="1"/>
    </xf>
    <xf numFmtId="0" fontId="8" fillId="0" borderId="0" xfId="0" applyFont="1" applyAlignment="1">
      <alignment horizontal="center" vertical="center" wrapText="1"/>
    </xf>
    <xf numFmtId="176" fontId="8" fillId="0" borderId="0" xfId="0" applyNumberFormat="1" applyFont="1" applyAlignment="1">
      <alignment horizontal="center" vertical="center" wrapText="1"/>
    </xf>
    <xf numFmtId="0" fontId="9" fillId="0" borderId="0" xfId="0" applyFont="1" applyAlignment="1">
      <alignment vertical="center"/>
    </xf>
    <xf numFmtId="0" fontId="9" fillId="0" borderId="0" xfId="0" applyFont="1" applyAlignment="1">
      <alignment vertical="center" wrapText="1"/>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176" fontId="9" fillId="0" borderId="1" xfId="0" applyNumberFormat="1" applyFont="1" applyBorder="1" applyAlignment="1">
      <alignment horizontal="center" vertical="center" wrapText="1"/>
    </xf>
    <xf numFmtId="0" fontId="10" fillId="0" borderId="2" xfId="0" applyFont="1" applyBorder="1" applyAlignment="1">
      <alignment horizontal="left" vertical="center" wrapText="1"/>
    </xf>
    <xf numFmtId="177" fontId="9" fillId="0" borderId="2" xfId="0" applyNumberFormat="1" applyFont="1" applyBorder="1" applyAlignment="1">
      <alignment horizontal="center" vertical="center" wrapText="1"/>
    </xf>
    <xf numFmtId="176" fontId="9" fillId="0" borderId="3" xfId="0" applyNumberFormat="1" applyFont="1" applyBorder="1" applyAlignment="1">
      <alignment vertical="center" wrapText="1"/>
    </xf>
    <xf numFmtId="0" fontId="9" fillId="0" borderId="4" xfId="0" applyFont="1" applyBorder="1" applyAlignment="1">
      <alignment vertical="center" wrapText="1"/>
    </xf>
    <xf numFmtId="0" fontId="9" fillId="0" borderId="2" xfId="0" applyFont="1" applyBorder="1" applyAlignment="1">
      <alignment horizontal="left" vertical="center" wrapText="1"/>
    </xf>
    <xf numFmtId="0" fontId="9" fillId="0" borderId="2" xfId="0" applyFont="1" applyBorder="1" applyAlignment="1">
      <alignment vertical="center" wrapText="1"/>
    </xf>
    <xf numFmtId="176" fontId="11" fillId="0" borderId="2" xfId="0" applyNumberFormat="1" applyFont="1" applyBorder="1" applyAlignment="1">
      <alignment horizontal="center" vertical="center" wrapText="1"/>
    </xf>
    <xf numFmtId="176" fontId="9" fillId="0" borderId="3" xfId="0" applyNumberFormat="1" applyFont="1" applyBorder="1" applyAlignment="1">
      <alignment horizontal="center" vertical="center" wrapText="1"/>
    </xf>
    <xf numFmtId="178" fontId="9" fillId="0" borderId="2" xfId="0" applyNumberFormat="1" applyFont="1" applyBorder="1" applyAlignment="1">
      <alignment vertical="center" wrapText="1"/>
    </xf>
    <xf numFmtId="0" fontId="12" fillId="0" borderId="2" xfId="0" applyFont="1" applyBorder="1" applyAlignment="1">
      <alignment horizontal="center" vertical="center" wrapText="1"/>
    </xf>
    <xf numFmtId="178" fontId="12" fillId="0" borderId="2" xfId="0" applyNumberFormat="1" applyFont="1" applyBorder="1" applyAlignment="1">
      <alignment horizontal="left" vertical="center" wrapText="1"/>
    </xf>
    <xf numFmtId="0" fontId="12" fillId="0" borderId="2" xfId="0" applyFont="1" applyBorder="1" applyAlignment="1">
      <alignment horizontal="left" vertical="center" wrapText="1"/>
    </xf>
    <xf numFmtId="0" fontId="9" fillId="0" borderId="0" xfId="0" applyFont="1" applyAlignment="1">
      <alignment horizontal="center" vertical="center" wrapText="1"/>
    </xf>
    <xf numFmtId="0" fontId="13" fillId="0" borderId="2" xfId="0" applyFont="1" applyBorder="1" applyAlignment="1">
      <alignment horizontal="left" vertical="center" wrapText="1"/>
    </xf>
    <xf numFmtId="178" fontId="10" fillId="0" borderId="2" xfId="0" applyNumberFormat="1" applyFont="1" applyBorder="1" applyAlignment="1">
      <alignment horizontal="left" vertical="center" wrapText="1"/>
    </xf>
    <xf numFmtId="0" fontId="10" fillId="0" borderId="2" xfId="0" applyFont="1" applyBorder="1" applyAlignment="1">
      <alignment horizontal="center" vertical="center" wrapText="1"/>
    </xf>
    <xf numFmtId="177" fontId="10" fillId="0" borderId="2" xfId="0" applyNumberFormat="1" applyFont="1" applyBorder="1" applyAlignment="1">
      <alignment horizontal="center" vertical="center" wrapText="1"/>
    </xf>
    <xf numFmtId="2" fontId="14" fillId="0" borderId="2" xfId="0" applyNumberFormat="1" applyFont="1" applyBorder="1" applyAlignment="1">
      <alignment horizontal="center" vertical="center" wrapText="1"/>
    </xf>
    <xf numFmtId="0" fontId="14" fillId="0" borderId="2" xfId="0" applyFont="1" applyBorder="1" applyAlignment="1">
      <alignment horizontal="left" vertical="center" wrapText="1"/>
    </xf>
    <xf numFmtId="178" fontId="14" fillId="0" borderId="2" xfId="0" applyNumberFormat="1" applyFont="1" applyBorder="1" applyAlignment="1">
      <alignment horizontal="left" vertical="center" wrapText="1"/>
    </xf>
    <xf numFmtId="0" fontId="14" fillId="0" borderId="2" xfId="0" applyFont="1" applyBorder="1" applyAlignment="1">
      <alignment horizontal="center" vertical="center" wrapText="1"/>
    </xf>
    <xf numFmtId="177" fontId="14" fillId="0" borderId="2" xfId="0" applyNumberFormat="1" applyFont="1" applyBorder="1" applyAlignment="1">
      <alignment horizontal="center" vertical="center" wrapText="1"/>
    </xf>
    <xf numFmtId="0" fontId="10" fillId="0" borderId="2" xfId="0" applyFont="1" applyBorder="1" applyAlignment="1">
      <alignment horizontal="right" vertical="center" wrapText="1"/>
    </xf>
    <xf numFmtId="0" fontId="0" fillId="0" borderId="0" xfId="0" applyAlignment="1">
      <alignment horizontal="center" vertical="center"/>
    </xf>
    <xf numFmtId="0" fontId="0" fillId="0" borderId="0" xfId="0" applyFill="1" applyAlignment="1">
      <alignment vertical="center"/>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15" fillId="0" borderId="0" xfId="0" applyFont="1" applyBorder="1" applyAlignment="1">
      <alignment horizontal="left" vertical="center"/>
    </xf>
    <xf numFmtId="0" fontId="15" fillId="0" borderId="0" xfId="0" applyFont="1" applyFill="1" applyBorder="1" applyAlignment="1">
      <alignment horizontal="left" vertical="center"/>
    </xf>
    <xf numFmtId="0" fontId="16"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Fill="1" applyBorder="1" applyAlignment="1">
      <alignment horizontal="center" vertical="center"/>
    </xf>
    <xf numFmtId="0" fontId="17" fillId="0" borderId="1" xfId="0" applyFont="1" applyBorder="1" applyAlignment="1">
      <alignment horizontal="center" vertical="center"/>
    </xf>
    <xf numFmtId="0" fontId="15" fillId="0" borderId="1" xfId="0" applyFont="1" applyFill="1" applyBorder="1" applyAlignment="1">
      <alignment vertical="center"/>
    </xf>
    <xf numFmtId="179" fontId="15" fillId="0" borderId="1" xfId="0" applyNumberFormat="1" applyFont="1" applyBorder="1" applyAlignment="1">
      <alignment horizontal="center" vertical="center" wrapText="1"/>
    </xf>
    <xf numFmtId="179" fontId="16" fillId="0" borderId="1" xfId="0" applyNumberFormat="1" applyFont="1" applyBorder="1" applyAlignment="1">
      <alignment horizontal="center" vertical="center" wrapText="1"/>
    </xf>
    <xf numFmtId="179" fontId="15" fillId="0" borderId="1" xfId="0" applyNumberFormat="1" applyFont="1" applyBorder="1" applyAlignment="1">
      <alignment horizontal="center" vertical="center"/>
    </xf>
    <xf numFmtId="176" fontId="2" fillId="0" borderId="1" xfId="0" applyNumberFormat="1" applyFont="1" applyBorder="1" applyAlignment="1">
      <alignment horizontal="center" vertical="center" wrapText="1"/>
    </xf>
    <xf numFmtId="178" fontId="15" fillId="0" borderId="1" xfId="0" applyNumberFormat="1" applyFont="1" applyBorder="1" applyAlignment="1">
      <alignment horizontal="center" vertical="center" wrapText="1"/>
    </xf>
    <xf numFmtId="0" fontId="15" fillId="0" borderId="1" xfId="0" applyFont="1" applyFill="1" applyBorder="1" applyAlignment="1">
      <alignment horizontal="center" vertical="center" wrapText="1"/>
    </xf>
    <xf numFmtId="179" fontId="17" fillId="0" borderId="1" xfId="0" applyNumberFormat="1" applyFont="1" applyBorder="1" applyAlignment="1">
      <alignment horizontal="center" vertical="center" wrapText="1"/>
    </xf>
    <xf numFmtId="0" fontId="15" fillId="0" borderId="1" xfId="0" applyFont="1" applyBorder="1" applyAlignment="1">
      <alignment horizontal="center" vertical="center"/>
    </xf>
    <xf numFmtId="0" fontId="18" fillId="0" borderId="1" xfId="0" applyFont="1" applyBorder="1" applyAlignment="1">
      <alignment horizontal="center" vertical="center" wrapText="1"/>
    </xf>
    <xf numFmtId="179" fontId="19" fillId="0" borderId="1" xfId="0" applyNumberFormat="1" applyFont="1" applyBorder="1" applyAlignment="1">
      <alignment horizontal="center" vertical="center" wrapText="1"/>
    </xf>
    <xf numFmtId="0" fontId="15" fillId="0" borderId="1" xfId="0" applyFont="1" applyBorder="1" applyAlignment="1">
      <alignment vertical="center"/>
    </xf>
    <xf numFmtId="0" fontId="15" fillId="0" borderId="1" xfId="0" applyFont="1" applyBorder="1" applyAlignment="1">
      <alignment horizontal="left" vertical="center" wrapText="1"/>
    </xf>
    <xf numFmtId="0" fontId="17"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Fill="1" applyBorder="1" applyAlignment="1">
      <alignment horizontal="left" vertical="center" wrapText="1"/>
    </xf>
    <xf numFmtId="0" fontId="20" fillId="0" borderId="0" xfId="0" applyFont="1" applyAlignment="1">
      <alignment vertical="center"/>
    </xf>
    <xf numFmtId="0" fontId="21" fillId="0" borderId="2" xfId="0" applyFont="1" applyBorder="1" applyAlignment="1">
      <alignment horizontal="center" vertical="center"/>
    </xf>
    <xf numFmtId="0" fontId="21" fillId="0" borderId="2" xfId="0" applyFont="1" applyBorder="1" applyAlignment="1">
      <alignment horizontal="center" vertical="center" wrapText="1"/>
    </xf>
    <xf numFmtId="3" fontId="11" fillId="0" borderId="2" xfId="0" applyNumberFormat="1" applyFont="1" applyBorder="1" applyAlignment="1">
      <alignment horizontal="center" vertical="center" wrapText="1"/>
    </xf>
    <xf numFmtId="4" fontId="12" fillId="0" borderId="3" xfId="0" applyNumberFormat="1" applyFont="1" applyBorder="1" applyAlignment="1">
      <alignment horizontal="center" vertical="center" wrapText="1"/>
    </xf>
    <xf numFmtId="4" fontId="12" fillId="0" borderId="5" xfId="0" applyNumberFormat="1" applyFont="1" applyBorder="1" applyAlignment="1">
      <alignment horizontal="center" vertical="center" wrapText="1"/>
    </xf>
    <xf numFmtId="4" fontId="11"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0" fontId="19" fillId="0" borderId="2" xfId="0" applyFont="1" applyBorder="1" applyAlignment="1">
      <alignment horizontal="left" vertical="center" wrapText="1"/>
    </xf>
    <xf numFmtId="180" fontId="9" fillId="0" borderId="2" xfId="0" applyNumberFormat="1" applyFont="1" applyBorder="1" applyAlignment="1">
      <alignment horizontal="center" vertical="center" wrapText="1"/>
    </xf>
    <xf numFmtId="176" fontId="9" fillId="0" borderId="2" xfId="0" applyNumberFormat="1" applyFont="1" applyBorder="1" applyAlignment="1">
      <alignment horizontal="center" vertical="center" wrapText="1"/>
    </xf>
    <xf numFmtId="179" fontId="9" fillId="0" borderId="2" xfId="0" applyNumberFormat="1" applyFont="1" applyBorder="1" applyAlignment="1">
      <alignment horizontal="center" vertical="center" wrapText="1"/>
    </xf>
    <xf numFmtId="181" fontId="9" fillId="0" borderId="2" xfId="0" applyNumberFormat="1" applyFont="1" applyBorder="1" applyAlignment="1">
      <alignment horizontal="center" vertical="center" wrapText="1"/>
    </xf>
    <xf numFmtId="0" fontId="9" fillId="0" borderId="4" xfId="0" applyFont="1" applyBorder="1" applyAlignment="1">
      <alignment horizontal="left" vertical="center" wrapText="1"/>
    </xf>
    <xf numFmtId="0" fontId="9" fillId="0" borderId="4" xfId="0" applyFont="1" applyBorder="1" applyAlignment="1">
      <alignment horizontal="center" vertical="center" wrapText="1"/>
    </xf>
    <xf numFmtId="176" fontId="9" fillId="0" borderId="6" xfId="0" applyNumberFormat="1" applyFont="1" applyBorder="1" applyAlignment="1">
      <alignment horizontal="center" vertical="center" wrapText="1"/>
    </xf>
    <xf numFmtId="176" fontId="9" fillId="0" borderId="4" xfId="0" applyNumberFormat="1" applyFont="1" applyBorder="1" applyAlignment="1">
      <alignment horizontal="center" vertical="center" wrapText="1"/>
    </xf>
    <xf numFmtId="181" fontId="9" fillId="0" borderId="4" xfId="0" applyNumberFormat="1" applyFont="1" applyBorder="1" applyAlignment="1">
      <alignment horizontal="center" vertical="center" wrapText="1"/>
    </xf>
    <xf numFmtId="178" fontId="9" fillId="0" borderId="2" xfId="0" applyNumberFormat="1" applyFont="1" applyBorder="1" applyAlignment="1">
      <alignment horizontal="left" vertical="center" wrapText="1"/>
    </xf>
    <xf numFmtId="176" fontId="12" fillId="0" borderId="2" xfId="0" applyNumberFormat="1" applyFont="1" applyBorder="1" applyAlignment="1">
      <alignment horizontal="center" vertical="center" wrapText="1"/>
    </xf>
    <xf numFmtId="0" fontId="17"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3" xfId="0" applyFont="1" applyBorder="1" applyAlignment="1">
      <alignment horizontal="center" vertical="center" wrapText="1"/>
    </xf>
    <xf numFmtId="3" fontId="2" fillId="0" borderId="2"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4" fontId="15" fillId="0" borderId="5"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0" fontId="17" fillId="0" borderId="2" xfId="0" applyFont="1" applyBorder="1" applyAlignment="1">
      <alignment horizontal="center" vertical="center"/>
    </xf>
    <xf numFmtId="0" fontId="17" fillId="0" borderId="2" xfId="0" applyFont="1" applyBorder="1" applyAlignment="1">
      <alignment horizontal="left" vertical="center" wrapText="1"/>
    </xf>
    <xf numFmtId="0" fontId="17" fillId="0" borderId="3" xfId="0" applyFont="1" applyBorder="1" applyAlignment="1">
      <alignment vertical="center" wrapText="1"/>
    </xf>
    <xf numFmtId="176" fontId="17" fillId="0" borderId="3" xfId="0" applyNumberFormat="1" applyFont="1" applyBorder="1" applyAlignment="1">
      <alignment horizontal="center" vertical="center" wrapText="1"/>
    </xf>
    <xf numFmtId="176" fontId="17" fillId="0" borderId="5" xfId="0" applyNumberFormat="1" applyFont="1" applyBorder="1" applyAlignment="1">
      <alignment horizontal="center" vertical="center" wrapText="1"/>
    </xf>
    <xf numFmtId="176" fontId="17" fillId="0" borderId="2" xfId="0" applyNumberFormat="1" applyFont="1" applyBorder="1" applyAlignment="1">
      <alignment horizontal="center" vertical="center" wrapText="1"/>
    </xf>
    <xf numFmtId="0" fontId="9" fillId="0" borderId="2" xfId="0" applyFont="1" applyBorder="1" applyAlignment="1">
      <alignment vertical="center"/>
    </xf>
    <xf numFmtId="0" fontId="15" fillId="0" borderId="2" xfId="0" applyFont="1" applyBorder="1" applyAlignment="1">
      <alignment horizontal="center" vertical="center"/>
    </xf>
    <xf numFmtId="0" fontId="15" fillId="0" borderId="2" xfId="0" applyFont="1" applyBorder="1" applyAlignment="1">
      <alignment horizontal="left" vertical="center" wrapText="1"/>
    </xf>
    <xf numFmtId="0" fontId="18" fillId="0" borderId="2" xfId="0" applyFont="1" applyBorder="1" applyAlignment="1">
      <alignment horizontal="left" vertical="center" wrapText="1"/>
    </xf>
    <xf numFmtId="0" fontId="15"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15" fillId="0" borderId="3" xfId="0" applyFont="1" applyBorder="1" applyAlignment="1">
      <alignment horizontal="center" vertical="center" wrapText="1"/>
    </xf>
    <xf numFmtId="176" fontId="15" fillId="0" borderId="7" xfId="0" applyNumberFormat="1" applyFont="1" applyBorder="1" applyAlignment="1">
      <alignment horizontal="center" vertical="center" wrapText="1"/>
    </xf>
    <xf numFmtId="176" fontId="15" fillId="0" borderId="2" xfId="0" applyNumberFormat="1" applyFont="1" applyBorder="1" applyAlignment="1">
      <alignment horizontal="center" vertical="center" wrapText="1"/>
    </xf>
    <xf numFmtId="179" fontId="15" fillId="0" borderId="2" xfId="0" applyNumberFormat="1" applyFont="1" applyBorder="1" applyAlignment="1">
      <alignment horizontal="center" vertical="center" wrapText="1"/>
    </xf>
    <xf numFmtId="176" fontId="15" fillId="0" borderId="5" xfId="0" applyNumberFormat="1" applyFont="1" applyBorder="1" applyAlignment="1">
      <alignment horizontal="center" vertical="center" wrapText="1"/>
    </xf>
    <xf numFmtId="0" fontId="17" fillId="0" borderId="8" xfId="0" applyFont="1" applyBorder="1" applyAlignment="1">
      <alignment horizontal="left" vertical="center" wrapText="1"/>
    </xf>
    <xf numFmtId="0" fontId="15" fillId="0" borderId="8" xfId="0" applyFont="1" applyBorder="1" applyAlignment="1">
      <alignment horizontal="left" vertical="center" wrapText="1"/>
    </xf>
    <xf numFmtId="0" fontId="15" fillId="0" borderId="3" xfId="0" applyFont="1" applyBorder="1" applyAlignment="1">
      <alignment horizontal="left" vertical="center" wrapText="1"/>
    </xf>
    <xf numFmtId="0" fontId="15" fillId="0" borderId="9" xfId="0" applyFont="1" applyBorder="1" applyAlignment="1">
      <alignment horizontal="center" vertical="center" wrapText="1"/>
    </xf>
    <xf numFmtId="0" fontId="15" fillId="0" borderId="4" xfId="0" applyFont="1" applyBorder="1" applyAlignment="1">
      <alignment vertical="center" wrapText="1"/>
    </xf>
    <xf numFmtId="176" fontId="9" fillId="0" borderId="2" xfId="0" applyNumberFormat="1" applyFont="1" applyBorder="1" applyAlignment="1">
      <alignment horizontal="center" vertical="center"/>
    </xf>
    <xf numFmtId="176" fontId="15" fillId="0" borderId="4" xfId="0" applyNumberFormat="1" applyFont="1" applyBorder="1" applyAlignment="1">
      <alignment horizontal="center" vertical="center" wrapText="1"/>
    </xf>
    <xf numFmtId="176" fontId="9" fillId="0" borderId="10" xfId="0" applyNumberFormat="1" applyFont="1" applyBorder="1" applyAlignment="1">
      <alignment horizontal="center" vertical="center"/>
    </xf>
    <xf numFmtId="176" fontId="9" fillId="0" borderId="9" xfId="0" applyNumberFormat="1" applyFont="1" applyBorder="1" applyAlignment="1">
      <alignment horizontal="center" vertical="center" wrapText="1"/>
    </xf>
    <xf numFmtId="176" fontId="9" fillId="0" borderId="9" xfId="0" applyNumberFormat="1" applyFont="1" applyBorder="1" applyAlignment="1">
      <alignment horizontal="center" vertical="center"/>
    </xf>
    <xf numFmtId="176" fontId="15" fillId="0" borderId="8" xfId="0" applyNumberFormat="1" applyFont="1" applyBorder="1" applyAlignment="1">
      <alignment horizontal="center" vertical="center" wrapText="1"/>
    </xf>
    <xf numFmtId="176" fontId="9" fillId="0" borderId="11" xfId="0" applyNumberFormat="1" applyFont="1" applyBorder="1" applyAlignment="1">
      <alignment horizontal="center" vertical="center"/>
    </xf>
    <xf numFmtId="176" fontId="9" fillId="0" borderId="10" xfId="0" applyNumberFormat="1" applyFont="1" applyBorder="1" applyAlignment="1">
      <alignment horizontal="center" vertical="center" wrapText="1"/>
    </xf>
    <xf numFmtId="176" fontId="9" fillId="0" borderId="11" xfId="0" applyNumberFormat="1" applyFont="1" applyBorder="1" applyAlignment="1">
      <alignment horizontal="center" vertical="center" wrapText="1"/>
    </xf>
    <xf numFmtId="182" fontId="17" fillId="0" borderId="2" xfId="0" applyNumberFormat="1" applyFont="1" applyBorder="1" applyAlignment="1">
      <alignment horizontal="center" vertical="center"/>
    </xf>
    <xf numFmtId="2" fontId="17" fillId="0" borderId="2" xfId="0" applyNumberFormat="1" applyFont="1" applyBorder="1" applyAlignment="1">
      <alignment horizontal="center" vertical="center" wrapText="1"/>
    </xf>
    <xf numFmtId="0" fontId="22" fillId="0" borderId="2" xfId="0" applyFont="1" applyBorder="1" applyAlignment="1">
      <alignment horizontal="left" vertical="center" wrapText="1"/>
    </xf>
    <xf numFmtId="176" fontId="15" fillId="0" borderId="5" xfId="0" applyNumberFormat="1" applyFont="1" applyBorder="1" applyAlignment="1">
      <alignment vertical="center" wrapText="1"/>
    </xf>
    <xf numFmtId="0" fontId="23" fillId="0" borderId="2"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2" xfId="0" applyFont="1" applyBorder="1" applyAlignment="1">
      <alignment horizontal="left" vertical="center" wrapText="1"/>
    </xf>
    <xf numFmtId="176" fontId="23" fillId="0" borderId="3" xfId="0" applyNumberFormat="1" applyFont="1" applyBorder="1" applyAlignment="1">
      <alignment horizontal="center" vertical="center" wrapText="1"/>
    </xf>
    <xf numFmtId="176" fontId="23" fillId="0" borderId="2" xfId="0" applyNumberFormat="1" applyFont="1" applyBorder="1" applyAlignment="1">
      <alignment horizontal="center" vertical="center" wrapText="1"/>
    </xf>
    <xf numFmtId="0" fontId="17" fillId="0" borderId="9" xfId="0" applyFont="1" applyBorder="1" applyAlignment="1">
      <alignment horizontal="center" vertical="center" wrapText="1"/>
    </xf>
    <xf numFmtId="176" fontId="15"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xf>
    <xf numFmtId="180" fontId="15" fillId="0" borderId="2" xfId="0" applyNumberFormat="1" applyFont="1" applyBorder="1" applyAlignment="1">
      <alignment horizontal="center" vertical="center" wrapText="1"/>
    </xf>
    <xf numFmtId="176" fontId="15" fillId="0" borderId="2" xfId="0" applyNumberFormat="1" applyFont="1" applyBorder="1" applyAlignment="1">
      <alignment horizontal="center" vertical="center"/>
    </xf>
    <xf numFmtId="0" fontId="15" fillId="0" borderId="2" xfId="0" applyFont="1" applyBorder="1" applyAlignment="1">
      <alignment vertical="center"/>
    </xf>
    <xf numFmtId="0" fontId="16" fillId="0" borderId="2" xfId="0" applyFont="1" applyBorder="1" applyAlignment="1">
      <alignment horizontal="left" vertical="center" wrapText="1"/>
    </xf>
    <xf numFmtId="183" fontId="15" fillId="0" borderId="2" xfId="0" applyNumberFormat="1" applyFont="1" applyBorder="1" applyAlignment="1">
      <alignment horizontal="center" vertical="center" wrapText="1"/>
    </xf>
    <xf numFmtId="3" fontId="15" fillId="0" borderId="2" xfId="0" applyNumberFormat="1" applyFont="1" applyBorder="1" applyAlignment="1">
      <alignment horizontal="center" vertical="center" wrapText="1"/>
    </xf>
    <xf numFmtId="183" fontId="16" fillId="0" borderId="2" xfId="0" applyNumberFormat="1" applyFont="1" applyBorder="1" applyAlignment="1">
      <alignment horizontal="center" vertical="center" wrapText="1"/>
    </xf>
    <xf numFmtId="0" fontId="2" fillId="0" borderId="2" xfId="0" applyFont="1" applyBorder="1" applyAlignment="1">
      <alignment vertical="center" wrapText="1"/>
    </xf>
    <xf numFmtId="177" fontId="2" fillId="0" borderId="2" xfId="0" applyNumberFormat="1" applyFont="1" applyBorder="1" applyAlignment="1">
      <alignment vertical="center" wrapText="1"/>
    </xf>
    <xf numFmtId="178" fontId="2" fillId="0" borderId="2" xfId="0" applyNumberFormat="1" applyFont="1" applyBorder="1" applyAlignment="1">
      <alignment horizontal="center" vertical="center" wrapText="1"/>
    </xf>
    <xf numFmtId="176"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0" fontId="3" fillId="0" borderId="0" xfId="0" applyFont="1" applyAlignment="1">
      <alignment vertical="center"/>
    </xf>
    <xf numFmtId="183" fontId="17" fillId="0" borderId="2" xfId="0" applyNumberFormat="1" applyFont="1" applyBorder="1" applyAlignment="1">
      <alignment horizontal="center" vertical="center" wrapText="1"/>
    </xf>
    <xf numFmtId="177" fontId="15" fillId="0" borderId="2" xfId="0" applyNumberFormat="1" applyFont="1" applyBorder="1" applyAlignment="1">
      <alignment horizontal="center" vertical="center" wrapText="1"/>
    </xf>
    <xf numFmtId="0" fontId="17" fillId="0" borderId="2" xfId="0" applyFont="1" applyBorder="1" applyAlignment="1">
      <alignment horizontal="right" vertical="center" wrapText="1"/>
    </xf>
    <xf numFmtId="0" fontId="24" fillId="0" borderId="2" xfId="0" applyFont="1" applyBorder="1" applyAlignment="1">
      <alignment horizontal="center" vertical="center" wrapText="1"/>
    </xf>
    <xf numFmtId="183" fontId="24" fillId="0" borderId="2" xfId="0" applyNumberFormat="1" applyFont="1" applyBorder="1" applyAlignment="1">
      <alignment horizontal="center" vertical="center" wrapText="1"/>
    </xf>
    <xf numFmtId="178" fontId="15" fillId="0" borderId="2" xfId="0" applyNumberFormat="1" applyFont="1" applyBorder="1" applyAlignment="1">
      <alignment horizontal="center" vertical="center" wrapText="1"/>
    </xf>
    <xf numFmtId="179" fontId="8" fillId="0" borderId="0" xfId="0" applyNumberFormat="1" applyFont="1" applyAlignment="1">
      <alignment horizontal="center" vertical="center" wrapText="1"/>
    </xf>
    <xf numFmtId="0" fontId="9" fillId="0" borderId="1" xfId="0" applyFont="1" applyBorder="1" applyAlignment="1">
      <alignment horizontal="center" vertical="center" wrapText="1"/>
    </xf>
    <xf numFmtId="3" fontId="11" fillId="0" borderId="1" xfId="0" applyNumberFormat="1" applyFont="1" applyBorder="1" applyAlignment="1">
      <alignment horizontal="center" vertical="center" wrapText="1"/>
    </xf>
    <xf numFmtId="176" fontId="11"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0" fontId="9" fillId="0" borderId="9" xfId="0" applyFont="1" applyBorder="1" applyAlignment="1">
      <alignment horizontal="center" vertical="center" wrapText="1"/>
    </xf>
    <xf numFmtId="0" fontId="9" fillId="0" borderId="1" xfId="0" applyFont="1" applyBorder="1" applyAlignment="1">
      <alignment horizontal="center" vertical="center"/>
    </xf>
    <xf numFmtId="0" fontId="19" fillId="0" borderId="1" xfId="0" applyFont="1" applyBorder="1" applyAlignment="1">
      <alignment horizontal="left" vertical="center" wrapText="1"/>
    </xf>
    <xf numFmtId="180" fontId="9" fillId="0" borderId="1" xfId="0" applyNumberFormat="1" applyFont="1" applyBorder="1" applyAlignment="1">
      <alignment horizontal="center" vertical="center"/>
    </xf>
    <xf numFmtId="178" fontId="9"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0" fontId="9" fillId="0" borderId="9" xfId="0" applyFont="1" applyBorder="1" applyAlignment="1">
      <alignment vertical="center"/>
    </xf>
    <xf numFmtId="49" fontId="9" fillId="0" borderId="1" xfId="0" applyNumberFormat="1" applyFont="1" applyBorder="1" applyAlignment="1">
      <alignment vertical="center" wrapText="1"/>
    </xf>
    <xf numFmtId="176" fontId="9" fillId="0" borderId="1" xfId="0" applyNumberFormat="1" applyFont="1" applyBorder="1" applyAlignment="1">
      <alignment horizontal="center" vertical="center"/>
    </xf>
    <xf numFmtId="176" fontId="12" fillId="0" borderId="1" xfId="0" applyNumberFormat="1" applyFont="1" applyBorder="1" applyAlignment="1">
      <alignment horizontal="center" vertical="center"/>
    </xf>
    <xf numFmtId="179" fontId="9" fillId="0" borderId="1" xfId="0" applyNumberFormat="1" applyFont="1" applyBorder="1" applyAlignment="1">
      <alignment horizontal="center" vertical="center" wrapText="1"/>
    </xf>
    <xf numFmtId="0" fontId="9" fillId="0" borderId="10" xfId="0" applyFont="1" applyBorder="1" applyAlignment="1">
      <alignment vertical="center"/>
    </xf>
    <xf numFmtId="0" fontId="9" fillId="0" borderId="1" xfId="0" applyFont="1" applyBorder="1" applyAlignment="1">
      <alignment vertical="center" wrapText="1"/>
    </xf>
    <xf numFmtId="0" fontId="13" fillId="0" borderId="1" xfId="0" applyFont="1" applyBorder="1" applyAlignment="1">
      <alignment horizontal="left" vertical="center" wrapText="1"/>
    </xf>
    <xf numFmtId="177" fontId="9" fillId="0" borderId="1" xfId="0" applyNumberFormat="1" applyFont="1" applyBorder="1" applyAlignment="1">
      <alignment horizontal="center" vertical="center"/>
    </xf>
    <xf numFmtId="178"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83" fontId="9" fillId="0" borderId="1" xfId="0" applyNumberFormat="1" applyFont="1" applyBorder="1" applyAlignment="1">
      <alignment horizontal="center" vertical="center" wrapText="1"/>
    </xf>
    <xf numFmtId="177" fontId="10" fillId="0" borderId="1" xfId="0" applyNumberFormat="1" applyFont="1" applyBorder="1" applyAlignment="1">
      <alignment horizontal="center" vertical="center" wrapText="1"/>
    </xf>
    <xf numFmtId="179" fontId="10" fillId="0" borderId="1" xfId="0" applyNumberFormat="1" applyFont="1" applyBorder="1" applyAlignment="1">
      <alignment horizontal="center" vertical="center" wrapText="1"/>
    </xf>
    <xf numFmtId="183" fontId="9" fillId="0" borderId="0" xfId="0" applyNumberFormat="1" applyFont="1" applyAlignment="1">
      <alignment horizontal="center" vertical="center" wrapText="1"/>
    </xf>
    <xf numFmtId="178" fontId="25" fillId="0" borderId="0" xfId="0" applyNumberFormat="1" applyFont="1" applyAlignment="1">
      <alignment horizontal="center" vertical="center" wrapText="1"/>
    </xf>
    <xf numFmtId="179" fontId="25" fillId="0" borderId="0" xfId="0" applyNumberFormat="1" applyFont="1" applyAlignment="1">
      <alignment horizontal="center" vertical="center" wrapText="1"/>
    </xf>
    <xf numFmtId="0" fontId="9" fillId="0" borderId="0" xfId="0" applyFont="1" applyAlignment="1">
      <alignment horizontal="center" vertical="center"/>
    </xf>
    <xf numFmtId="178" fontId="9" fillId="0" borderId="0" xfId="0" applyNumberFormat="1" applyFont="1" applyAlignment="1">
      <alignment horizontal="center" vertical="center"/>
    </xf>
    <xf numFmtId="179" fontId="9" fillId="0" borderId="0" xfId="0" applyNumberFormat="1" applyFont="1" applyAlignment="1">
      <alignment horizontal="center" vertical="center"/>
    </xf>
    <xf numFmtId="178" fontId="9" fillId="0" borderId="0" xfId="0" applyNumberFormat="1" applyFont="1" applyAlignment="1">
      <alignment horizontal="center" vertical="center" wrapText="1"/>
    </xf>
    <xf numFmtId="179" fontId="9" fillId="0" borderId="0" xfId="0" applyNumberFormat="1" applyFont="1" applyAlignment="1">
      <alignment horizontal="center" vertical="center" wrapText="1"/>
    </xf>
    <xf numFmtId="180" fontId="15" fillId="0" borderId="2" xfId="0" applyNumberFormat="1" applyFont="1" applyBorder="1" applyAlignment="1">
      <alignment horizontal="center" vertical="center"/>
    </xf>
    <xf numFmtId="176" fontId="2" fillId="0" borderId="4" xfId="0" applyNumberFormat="1" applyFont="1" applyBorder="1" applyAlignment="1">
      <alignment horizontal="center" vertical="center" wrapText="1"/>
    </xf>
    <xf numFmtId="0" fontId="19" fillId="0" borderId="2" xfId="0" applyFont="1" applyBorder="1" applyAlignment="1">
      <alignment vertical="center"/>
    </xf>
    <xf numFmtId="176" fontId="17" fillId="0" borderId="2" xfId="0" applyNumberFormat="1" applyFont="1" applyBorder="1" applyAlignment="1">
      <alignment horizontal="center" vertical="center"/>
    </xf>
    <xf numFmtId="49" fontId="16" fillId="0" borderId="2" xfId="0" applyNumberFormat="1" applyFont="1" applyBorder="1" applyAlignment="1">
      <alignment vertical="center" wrapText="1"/>
    </xf>
    <xf numFmtId="0" fontId="16" fillId="0" borderId="2" xfId="0" applyFont="1" applyBorder="1" applyAlignment="1">
      <alignment horizontal="center" vertical="center"/>
    </xf>
    <xf numFmtId="176" fontId="15" fillId="0" borderId="3" xfId="0" applyNumberFormat="1" applyFont="1" applyBorder="1" applyAlignment="1">
      <alignment horizontal="center" vertical="center"/>
    </xf>
    <xf numFmtId="179" fontId="15" fillId="0" borderId="2" xfId="0" applyNumberFormat="1" applyFont="1" applyBorder="1" applyAlignment="1">
      <alignment horizontal="center" vertical="center"/>
    </xf>
    <xf numFmtId="0" fontId="26" fillId="0" borderId="2" xfId="0" applyFont="1" applyBorder="1" applyAlignment="1">
      <alignment horizontal="left" vertical="center" wrapText="1"/>
    </xf>
    <xf numFmtId="179" fontId="17" fillId="0" borderId="2" xfId="0" applyNumberFormat="1" applyFont="1" applyBorder="1" applyAlignment="1">
      <alignment horizontal="center" vertical="center" wrapText="1"/>
    </xf>
    <xf numFmtId="0" fontId="19" fillId="0" borderId="2" xfId="0" applyFont="1" applyBorder="1" applyAlignment="1">
      <alignment vertical="center" wrapText="1"/>
    </xf>
    <xf numFmtId="179" fontId="17" fillId="0" borderId="2" xfId="0" applyNumberFormat="1" applyFont="1" applyBorder="1" applyAlignment="1">
      <alignment horizontal="center" vertical="center"/>
    </xf>
    <xf numFmtId="49" fontId="18" fillId="0" borderId="2" xfId="0" applyNumberFormat="1" applyFont="1" applyBorder="1" applyAlignment="1">
      <alignment vertical="center" wrapText="1"/>
    </xf>
    <xf numFmtId="177" fontId="15" fillId="0" borderId="2" xfId="0" applyNumberFormat="1" applyFont="1" applyBorder="1" applyAlignment="1">
      <alignment horizontal="center" vertical="center"/>
    </xf>
    <xf numFmtId="0" fontId="16" fillId="0" borderId="2" xfId="0" applyFont="1" applyBorder="1" applyAlignment="1">
      <alignment vertical="center" wrapText="1"/>
    </xf>
    <xf numFmtId="183" fontId="16" fillId="0" borderId="2" xfId="0" applyNumberFormat="1" applyFont="1" applyBorder="1" applyAlignment="1">
      <alignment horizontal="center" vertical="center"/>
    </xf>
    <xf numFmtId="183" fontId="2" fillId="0" borderId="2" xfId="0" applyNumberFormat="1" applyFont="1" applyBorder="1" applyAlignment="1">
      <alignment horizontal="center" vertical="center"/>
    </xf>
    <xf numFmtId="179" fontId="2" fillId="0" borderId="2" xfId="0" applyNumberFormat="1" applyFont="1" applyBorder="1" applyAlignment="1">
      <alignment horizontal="center" vertical="center"/>
    </xf>
    <xf numFmtId="0" fontId="2" fillId="0" borderId="2" xfId="0" applyFont="1" applyBorder="1" applyAlignment="1">
      <alignment vertical="center"/>
    </xf>
    <xf numFmtId="176" fontId="15" fillId="2" borderId="3" xfId="0" applyNumberFormat="1" applyFont="1" applyFill="1" applyBorder="1" applyAlignment="1">
      <alignment horizontal="center" vertical="center"/>
    </xf>
    <xf numFmtId="2" fontId="2" fillId="0" borderId="2" xfId="0" applyNumberFormat="1" applyFont="1" applyBorder="1" applyAlignment="1">
      <alignment horizontal="center" vertical="center" wrapText="1"/>
    </xf>
    <xf numFmtId="183" fontId="15" fillId="0" borderId="2" xfId="0" applyNumberFormat="1" applyFont="1" applyBorder="1" applyAlignment="1">
      <alignment horizontal="center" vertical="center"/>
    </xf>
    <xf numFmtId="179" fontId="17" fillId="0" borderId="3" xfId="0" applyNumberFormat="1" applyFont="1" applyBorder="1" applyAlignment="1">
      <alignment horizontal="center" vertical="center" wrapText="1"/>
    </xf>
    <xf numFmtId="0" fontId="8" fillId="0" borderId="0" xfId="0" applyFont="1" applyAlignment="1">
      <alignment vertical="center" wrapText="1"/>
    </xf>
    <xf numFmtId="0" fontId="19" fillId="0" borderId="4" xfId="0" applyFont="1" applyBorder="1" applyAlignment="1">
      <alignment horizontal="left" vertical="center" wrapText="1"/>
    </xf>
    <xf numFmtId="0" fontId="10" fillId="0" borderId="4" xfId="0" applyFont="1" applyBorder="1" applyAlignment="1">
      <alignment horizontal="left" vertical="center" wrapText="1"/>
    </xf>
    <xf numFmtId="180" fontId="9" fillId="0" borderId="4" xfId="0" applyNumberFormat="1" applyFont="1" applyBorder="1" applyAlignment="1">
      <alignment horizontal="center" vertical="center" wrapText="1"/>
    </xf>
    <xf numFmtId="0" fontId="10" fillId="0" borderId="8" xfId="0" applyFont="1" applyBorder="1" applyAlignment="1">
      <alignment horizontal="center" vertical="center" wrapText="1"/>
    </xf>
    <xf numFmtId="0" fontId="19" fillId="0" borderId="8" xfId="0" applyFont="1" applyBorder="1" applyAlignment="1">
      <alignment horizontal="left" vertical="center" wrapText="1"/>
    </xf>
    <xf numFmtId="183" fontId="9" fillId="0" borderId="8" xfId="0" applyNumberFormat="1" applyFont="1" applyBorder="1" applyAlignment="1">
      <alignment horizontal="center" vertical="center" wrapText="1"/>
    </xf>
    <xf numFmtId="0" fontId="9" fillId="0" borderId="8" xfId="0" applyFont="1" applyBorder="1" applyAlignment="1">
      <alignment vertical="center" wrapText="1"/>
    </xf>
    <xf numFmtId="176" fontId="9" fillId="0" borderId="8" xfId="0" applyNumberFormat="1" applyFont="1" applyBorder="1" applyAlignment="1">
      <alignment horizontal="center" vertical="center" wrapText="1"/>
    </xf>
    <xf numFmtId="0" fontId="9" fillId="0" borderId="9" xfId="0" applyFont="1" applyBorder="1" applyAlignment="1">
      <alignment horizontal="left" vertical="center" wrapText="1"/>
    </xf>
    <xf numFmtId="0" fontId="9" fillId="0" borderId="3" xfId="0" applyFont="1" applyBorder="1" applyAlignment="1">
      <alignment horizontal="left" vertical="center" wrapText="1"/>
    </xf>
    <xf numFmtId="183" fontId="9" fillId="0" borderId="2" xfId="0" applyNumberFormat="1" applyFont="1" applyBorder="1" applyAlignment="1">
      <alignment horizontal="center" vertical="center" wrapText="1"/>
    </xf>
    <xf numFmtId="178" fontId="9" fillId="0" borderId="2" xfId="0" applyNumberFormat="1" applyFont="1" applyBorder="1" applyAlignment="1">
      <alignment horizontal="center" vertical="center" wrapText="1"/>
    </xf>
    <xf numFmtId="0" fontId="3" fillId="0" borderId="2" xfId="0" applyFont="1" applyBorder="1" applyAlignment="1">
      <alignment vertical="center" wrapText="1"/>
    </xf>
    <xf numFmtId="177" fontId="3" fillId="0" borderId="2" xfId="0" applyNumberFormat="1" applyFont="1" applyBorder="1" applyAlignment="1">
      <alignment vertical="center" wrapText="1"/>
    </xf>
    <xf numFmtId="178" fontId="3" fillId="0" borderId="2" xfId="0" applyNumberFormat="1" applyFont="1" applyBorder="1" applyAlignment="1">
      <alignment horizontal="center" vertical="center" wrapText="1"/>
    </xf>
    <xf numFmtId="176" fontId="9" fillId="2" borderId="3" xfId="0" applyNumberFormat="1" applyFont="1" applyFill="1" applyBorder="1" applyAlignment="1">
      <alignment horizontal="center" vertical="center" wrapText="1"/>
    </xf>
    <xf numFmtId="176"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3" fillId="0" borderId="4" xfId="0" applyFont="1" applyBorder="1" applyAlignment="1">
      <alignment horizontal="left" vertical="center" wrapText="1"/>
    </xf>
    <xf numFmtId="183" fontId="9" fillId="0" borderId="4" xfId="0" applyNumberFormat="1" applyFont="1" applyBorder="1" applyAlignment="1">
      <alignment horizontal="center" vertical="center" wrapText="1"/>
    </xf>
    <xf numFmtId="183" fontId="14" fillId="0" borderId="2" xfId="0" applyNumberFormat="1" applyFont="1" applyBorder="1" applyAlignment="1">
      <alignment horizontal="center" vertical="center" wrapText="1"/>
    </xf>
    <xf numFmtId="0" fontId="0" fillId="0" borderId="0" xfId="0" applyFill="1" applyAlignment="1">
      <alignment vertical="center" wrapText="1"/>
    </xf>
    <xf numFmtId="0" fontId="8" fillId="0" borderId="0" xfId="0" applyFont="1" applyFill="1" applyAlignment="1">
      <alignment horizontal="center" vertical="center" wrapText="1"/>
    </xf>
    <xf numFmtId="176" fontId="8" fillId="0" borderId="0" xfId="0" applyNumberFormat="1" applyFont="1" applyFill="1" applyAlignment="1">
      <alignment horizontal="center" vertical="center" wrapText="1"/>
    </xf>
    <xf numFmtId="0" fontId="9" fillId="0" borderId="0" xfId="0" applyFont="1" applyFill="1" applyAlignment="1">
      <alignment vertical="center" wrapText="1"/>
    </xf>
    <xf numFmtId="0" fontId="9" fillId="0" borderId="2" xfId="0" applyFont="1" applyFill="1" applyBorder="1" applyAlignment="1">
      <alignment horizontal="center" vertical="center" wrapText="1"/>
    </xf>
    <xf numFmtId="3" fontId="11"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4" fontId="12" fillId="0" borderId="3" xfId="0" applyNumberFormat="1" applyFont="1" applyFill="1" applyBorder="1" applyAlignment="1">
      <alignment horizontal="center" vertical="center" wrapText="1"/>
    </xf>
    <xf numFmtId="4" fontId="12" fillId="0" borderId="5" xfId="0" applyNumberFormat="1" applyFont="1" applyFill="1" applyBorder="1" applyAlignment="1">
      <alignment horizontal="center" vertical="center" wrapText="1"/>
    </xf>
    <xf numFmtId="4" fontId="11" fillId="0" borderId="2" xfId="0" applyNumberFormat="1" applyFont="1" applyFill="1" applyBorder="1" applyAlignment="1">
      <alignment horizontal="center" vertical="center" wrapText="1"/>
    </xf>
    <xf numFmtId="0" fontId="19"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180" fontId="9" fillId="0" borderId="2" xfId="0" applyNumberFormat="1" applyFont="1" applyFill="1" applyBorder="1" applyAlignment="1">
      <alignment horizontal="center" vertical="center" wrapText="1"/>
    </xf>
    <xf numFmtId="177" fontId="9" fillId="0" borderId="2" xfId="0" applyNumberFormat="1" applyFont="1" applyFill="1" applyBorder="1" applyAlignment="1">
      <alignment horizontal="center" vertical="center" wrapText="1"/>
    </xf>
    <xf numFmtId="176" fontId="9" fillId="0" borderId="3" xfId="0" applyNumberFormat="1" applyFont="1" applyFill="1" applyBorder="1" applyAlignment="1">
      <alignment horizontal="center" vertical="center" wrapText="1"/>
    </xf>
    <xf numFmtId="0" fontId="9" fillId="0" borderId="2" xfId="0" applyFont="1" applyFill="1" applyBorder="1" applyAlignment="1">
      <alignment vertical="center" wrapText="1"/>
    </xf>
    <xf numFmtId="0" fontId="10" fillId="0" borderId="2" xfId="0" applyFont="1" applyFill="1" applyBorder="1" applyAlignment="1">
      <alignment horizontal="center" vertical="center" wrapText="1"/>
    </xf>
    <xf numFmtId="183" fontId="9" fillId="0" borderId="2" xfId="0" applyNumberFormat="1" applyFont="1" applyFill="1" applyBorder="1" applyAlignment="1">
      <alignment horizontal="center" vertical="center" wrapText="1"/>
    </xf>
    <xf numFmtId="0" fontId="16" fillId="0" borderId="2" xfId="0" applyFont="1" applyFill="1" applyBorder="1" applyAlignment="1">
      <alignment horizontal="left" vertical="center" wrapText="1"/>
    </xf>
    <xf numFmtId="0" fontId="16" fillId="0" borderId="2" xfId="0" applyFont="1" applyFill="1" applyBorder="1" applyAlignment="1">
      <alignment vertical="center" wrapText="1"/>
    </xf>
    <xf numFmtId="176" fontId="9"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9" fontId="9" fillId="0" borderId="2" xfId="0" applyNumberFormat="1" applyFont="1" applyFill="1" applyBorder="1" applyAlignment="1">
      <alignment horizontal="center" vertical="center" wrapText="1"/>
    </xf>
    <xf numFmtId="0" fontId="9" fillId="0" borderId="2" xfId="0" applyFont="1" applyFill="1" applyBorder="1" applyAlignment="1">
      <alignment horizontal="left" vertical="center" wrapText="1"/>
    </xf>
    <xf numFmtId="0" fontId="27" fillId="0" borderId="2" xfId="0" applyFont="1" applyFill="1" applyBorder="1" applyAlignment="1">
      <alignment vertical="center" wrapText="1"/>
    </xf>
    <xf numFmtId="0" fontId="13" fillId="0" borderId="2" xfId="0" applyFont="1" applyFill="1" applyBorder="1" applyAlignment="1">
      <alignment horizontal="left" vertical="center" wrapText="1"/>
    </xf>
    <xf numFmtId="0" fontId="10" fillId="0" borderId="2" xfId="0" applyFont="1" applyFill="1" applyBorder="1" applyAlignment="1">
      <alignment vertical="center" wrapText="1"/>
    </xf>
    <xf numFmtId="183" fontId="10" fillId="0" borderId="2" xfId="0" applyNumberFormat="1" applyFont="1" applyFill="1" applyBorder="1" applyAlignment="1">
      <alignment horizontal="center" vertical="center" wrapText="1"/>
    </xf>
    <xf numFmtId="176" fontId="10" fillId="0" borderId="3" xfId="0" applyNumberFormat="1" applyFont="1" applyFill="1" applyBorder="1" applyAlignment="1">
      <alignment horizontal="center" vertical="center" wrapText="1"/>
    </xf>
    <xf numFmtId="0" fontId="18" fillId="0" borderId="2" xfId="0" applyFont="1" applyFill="1" applyBorder="1" applyAlignment="1">
      <alignment vertical="center" wrapText="1"/>
    </xf>
    <xf numFmtId="0" fontId="3" fillId="0" borderId="2" xfId="0" applyFont="1" applyFill="1" applyBorder="1" applyAlignment="1">
      <alignment vertical="center" wrapText="1"/>
    </xf>
    <xf numFmtId="0" fontId="3" fillId="0" borderId="8" xfId="0" applyFont="1" applyFill="1" applyBorder="1" applyAlignment="1">
      <alignment horizontal="center" vertical="center" wrapText="1"/>
    </xf>
    <xf numFmtId="0" fontId="11" fillId="0" borderId="2" xfId="0" applyFont="1" applyFill="1" applyBorder="1" applyAlignment="1">
      <alignment horizontal="left" vertical="center" wrapText="1"/>
    </xf>
    <xf numFmtId="0" fontId="11"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5" xfId="0" applyFont="1" applyFill="1" applyBorder="1" applyAlignment="1">
      <alignment vertical="center" wrapText="1"/>
    </xf>
    <xf numFmtId="177" fontId="10" fillId="0" borderId="2" xfId="0" applyNumberFormat="1" applyFont="1" applyFill="1" applyBorder="1" applyAlignment="1">
      <alignment horizontal="center" vertical="center" wrapText="1"/>
    </xf>
    <xf numFmtId="178" fontId="9" fillId="0" borderId="2" xfId="0" applyNumberFormat="1" applyFont="1" applyFill="1" applyBorder="1" applyAlignment="1">
      <alignment vertical="center" wrapText="1"/>
    </xf>
    <xf numFmtId="177" fontId="3" fillId="0" borderId="2" xfId="0" applyNumberFormat="1" applyFont="1" applyFill="1" applyBorder="1" applyAlignment="1">
      <alignment vertical="center" wrapText="1"/>
    </xf>
    <xf numFmtId="178" fontId="3" fillId="0" borderId="2" xfId="0" applyNumberFormat="1" applyFont="1" applyFill="1" applyBorder="1" applyAlignment="1">
      <alignment horizontal="center" vertical="center" wrapText="1"/>
    </xf>
    <xf numFmtId="176" fontId="3" fillId="0" borderId="2" xfId="0" applyNumberFormat="1" applyFont="1" applyFill="1" applyBorder="1" applyAlignment="1">
      <alignment horizontal="center" vertical="center" wrapText="1"/>
    </xf>
    <xf numFmtId="0" fontId="3" fillId="0" borderId="0" xfId="0" applyFont="1" applyFill="1" applyAlignment="1">
      <alignment vertical="center"/>
    </xf>
    <xf numFmtId="176" fontId="9" fillId="0" borderId="9" xfId="0" applyNumberFormat="1" applyFont="1" applyFill="1" applyBorder="1" applyAlignment="1">
      <alignment horizontal="center" vertical="center" wrapText="1"/>
    </xf>
    <xf numFmtId="0" fontId="13" fillId="0" borderId="2" xfId="0" applyFont="1" applyFill="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176" fontId="5" fillId="0" borderId="0" xfId="0" applyNumberFormat="1" applyFont="1" applyAlignment="1">
      <alignment horizontal="center" vertical="center" wrapText="1"/>
    </xf>
    <xf numFmtId="180" fontId="9" fillId="0" borderId="2" xfId="0" applyNumberFormat="1" applyFont="1" applyBorder="1" applyAlignment="1">
      <alignment horizontal="center" vertical="center"/>
    </xf>
    <xf numFmtId="177" fontId="9" fillId="0" borderId="2" xfId="0" applyNumberFormat="1" applyFont="1" applyBorder="1" applyAlignment="1">
      <alignment horizontal="center" vertical="center"/>
    </xf>
    <xf numFmtId="183" fontId="9" fillId="0" borderId="2" xfId="0" applyNumberFormat="1" applyFont="1" applyBorder="1" applyAlignment="1">
      <alignment horizontal="center" vertical="center"/>
    </xf>
    <xf numFmtId="176" fontId="9" fillId="0" borderId="3" xfId="0" applyNumberFormat="1" applyFont="1" applyBorder="1" applyAlignment="1">
      <alignment horizontal="center" vertical="center"/>
    </xf>
    <xf numFmtId="176" fontId="12" fillId="0" borderId="2" xfId="0" applyNumberFormat="1" applyFont="1" applyBorder="1" applyAlignment="1">
      <alignment horizontal="center" vertical="center"/>
    </xf>
    <xf numFmtId="0" fontId="3" fillId="0" borderId="2" xfId="0" applyFont="1" applyBorder="1" applyAlignment="1">
      <alignment horizontal="left" vertical="center" wrapText="1"/>
    </xf>
    <xf numFmtId="176" fontId="3" fillId="0" borderId="2" xfId="0" applyNumberFormat="1" applyFont="1" applyBorder="1" applyAlignment="1">
      <alignment horizontal="center" vertical="center"/>
    </xf>
    <xf numFmtId="176" fontId="11" fillId="0" borderId="2" xfId="0" applyNumberFormat="1" applyFont="1" applyBorder="1" applyAlignment="1">
      <alignment horizontal="center" vertical="center"/>
    </xf>
    <xf numFmtId="176" fontId="27" fillId="0" borderId="2" xfId="0" applyNumberFormat="1" applyFont="1" applyBorder="1" applyAlignment="1">
      <alignment horizontal="center" vertical="center" wrapText="1"/>
    </xf>
    <xf numFmtId="176" fontId="9" fillId="2" borderId="3" xfId="0" applyNumberFormat="1" applyFont="1" applyFill="1" applyBorder="1" applyAlignment="1">
      <alignment horizontal="center" vertical="center"/>
    </xf>
    <xf numFmtId="176" fontId="9" fillId="0" borderId="2" xfId="0" applyNumberFormat="1" applyFont="1" applyFill="1" applyBorder="1" applyAlignment="1">
      <alignment horizontal="center" vertical="center"/>
    </xf>
    <xf numFmtId="183" fontId="3" fillId="0" borderId="2" xfId="0" applyNumberFormat="1" applyFont="1" applyBorder="1" applyAlignment="1">
      <alignment vertical="center" wrapText="1"/>
    </xf>
    <xf numFmtId="177" fontId="3" fillId="0" borderId="2" xfId="0" applyNumberFormat="1" applyFont="1" applyBorder="1" applyAlignment="1">
      <alignment vertical="center"/>
    </xf>
    <xf numFmtId="0" fontId="3" fillId="0" borderId="2" xfId="0" applyFont="1" applyFill="1" applyBorder="1" applyAlignment="1">
      <alignment horizontal="left" vertical="center" wrapText="1"/>
    </xf>
    <xf numFmtId="176" fontId="3" fillId="0" borderId="2" xfId="0" applyNumberFormat="1" applyFont="1" applyFill="1" applyBorder="1" applyAlignment="1">
      <alignment horizontal="center" vertical="center"/>
    </xf>
    <xf numFmtId="0" fontId="10" fillId="0" borderId="2" xfId="0" applyFont="1" applyBorder="1" applyAlignment="1">
      <alignment horizontal="left" vertical="center"/>
    </xf>
    <xf numFmtId="0" fontId="28" fillId="0" borderId="0" xfId="0" applyFont="1" applyAlignment="1">
      <alignment vertical="center" wrapText="1"/>
    </xf>
    <xf numFmtId="4" fontId="8" fillId="0" borderId="0" xfId="0" applyNumberFormat="1" applyFont="1" applyAlignment="1">
      <alignment horizontal="center" vertical="center" wrapText="1"/>
    </xf>
    <xf numFmtId="4" fontId="9" fillId="0" borderId="0" xfId="0" applyNumberFormat="1" applyFont="1" applyAlignment="1">
      <alignment vertical="center" wrapText="1"/>
    </xf>
    <xf numFmtId="4" fontId="11" fillId="0" borderId="0" xfId="0" applyNumberFormat="1" applyFont="1" applyAlignment="1">
      <alignment vertical="center" wrapText="1"/>
    </xf>
    <xf numFmtId="4" fontId="15" fillId="0" borderId="2" xfId="0" applyNumberFormat="1" applyFont="1" applyFill="1" applyBorder="1" applyAlignment="1">
      <alignment horizontal="center" vertical="center" wrapText="1"/>
    </xf>
    <xf numFmtId="3" fontId="2" fillId="0" borderId="2" xfId="0" applyNumberFormat="1" applyFont="1" applyFill="1" applyBorder="1" applyAlignment="1">
      <alignment horizontal="center" vertical="center" wrapText="1"/>
    </xf>
    <xf numFmtId="176" fontId="2" fillId="0" borderId="2"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4" fontId="17" fillId="0" borderId="2" xfId="0" applyNumberFormat="1" applyFont="1" applyFill="1" applyBorder="1" applyAlignment="1">
      <alignment horizontal="left" vertical="center" wrapText="1"/>
    </xf>
    <xf numFmtId="4" fontId="15" fillId="0" borderId="2" xfId="0" applyNumberFormat="1" applyFont="1" applyFill="1" applyBorder="1" applyAlignment="1">
      <alignment horizontal="left" vertical="center" wrapText="1"/>
    </xf>
    <xf numFmtId="4" fontId="15" fillId="0" borderId="2" xfId="0" applyNumberFormat="1" applyFont="1" applyFill="1" applyBorder="1" applyAlignment="1">
      <alignment vertical="center" wrapText="1"/>
    </xf>
    <xf numFmtId="184" fontId="17" fillId="0" borderId="2"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2" fillId="0" borderId="2" xfId="0" applyNumberFormat="1" applyFont="1" applyFill="1" applyBorder="1" applyAlignment="1">
      <alignment horizontal="left" vertical="center" wrapText="1"/>
    </xf>
    <xf numFmtId="4" fontId="18" fillId="0" borderId="2" xfId="0" applyNumberFormat="1" applyFont="1" applyFill="1" applyBorder="1" applyAlignment="1">
      <alignment horizontal="left" vertical="center" wrapText="1"/>
    </xf>
    <xf numFmtId="4" fontId="2" fillId="0" borderId="2" xfId="0" applyNumberFormat="1" applyFont="1" applyFill="1" applyBorder="1" applyAlignment="1">
      <alignment horizontal="left" vertical="center" wrapText="1"/>
    </xf>
    <xf numFmtId="4" fontId="2" fillId="0" borderId="2" xfId="0" applyNumberFormat="1" applyFont="1" applyFill="1" applyBorder="1" applyAlignment="1">
      <alignment vertical="center" wrapText="1"/>
    </xf>
    <xf numFmtId="4" fontId="3" fillId="0" borderId="0" xfId="0" applyNumberFormat="1" applyFont="1" applyAlignment="1">
      <alignment vertical="center" wrapText="1"/>
    </xf>
    <xf numFmtId="4" fontId="29" fillId="0" borderId="3" xfId="0" applyNumberFormat="1" applyFont="1" applyFill="1" applyBorder="1" applyAlignment="1">
      <alignment horizontal="center" vertical="center" wrapText="1"/>
    </xf>
    <xf numFmtId="4" fontId="30" fillId="0" borderId="2" xfId="0" applyNumberFormat="1" applyFont="1" applyFill="1" applyBorder="1" applyAlignment="1">
      <alignment horizontal="left" vertical="center" wrapText="1"/>
    </xf>
    <xf numFmtId="4" fontId="30" fillId="0" borderId="2"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4" fontId="18" fillId="0" borderId="8" xfId="0" applyNumberFormat="1" applyFont="1" applyFill="1" applyBorder="1" applyAlignment="1">
      <alignment horizontal="left" vertical="center" wrapText="1"/>
    </xf>
    <xf numFmtId="4" fontId="15" fillId="0" borderId="3" xfId="0" applyNumberFormat="1" applyFont="1" applyFill="1" applyBorder="1" applyAlignment="1">
      <alignment horizontal="left" vertical="center" wrapText="1"/>
    </xf>
    <xf numFmtId="4" fontId="15" fillId="0" borderId="9" xfId="0" applyNumberFormat="1" applyFont="1" applyFill="1" applyBorder="1" applyAlignment="1">
      <alignment horizontal="left" vertical="center" wrapText="1"/>
    </xf>
    <xf numFmtId="4" fontId="17" fillId="0" borderId="2" xfId="0" applyNumberFormat="1" applyFont="1" applyFill="1" applyBorder="1" applyAlignment="1">
      <alignment horizontal="center" vertical="center" wrapText="1"/>
    </xf>
    <xf numFmtId="4" fontId="15" fillId="0" borderId="8" xfId="0" applyNumberFormat="1" applyFont="1" applyFill="1" applyBorder="1" applyAlignment="1">
      <alignment vertical="center" wrapText="1"/>
    </xf>
    <xf numFmtId="4" fontId="15" fillId="0" borderId="4" xfId="0" applyNumberFormat="1" applyFont="1" applyFill="1" applyBorder="1" applyAlignment="1">
      <alignment vertical="center" wrapText="1"/>
    </xf>
    <xf numFmtId="4" fontId="16" fillId="0" borderId="2" xfId="0" applyNumberFormat="1" applyFont="1" applyFill="1" applyBorder="1" applyAlignment="1">
      <alignment horizontal="left" vertical="center" wrapText="1"/>
    </xf>
    <xf numFmtId="4" fontId="28" fillId="0" borderId="2" xfId="0" applyNumberFormat="1" applyFont="1" applyFill="1" applyBorder="1" applyAlignment="1">
      <alignment horizontal="center" vertical="center" wrapText="1"/>
    </xf>
    <xf numFmtId="4" fontId="28" fillId="0" borderId="2" xfId="0" applyNumberFormat="1" applyFont="1" applyFill="1" applyBorder="1" applyAlignment="1">
      <alignment horizontal="left" vertical="center" wrapText="1"/>
    </xf>
    <xf numFmtId="4" fontId="28" fillId="0" borderId="3" xfId="0" applyNumberFormat="1" applyFont="1" applyFill="1" applyBorder="1" applyAlignment="1">
      <alignment horizontal="center" vertical="center" wrapText="1"/>
    </xf>
    <xf numFmtId="4" fontId="31" fillId="0" borderId="0" xfId="0" applyNumberFormat="1" applyFont="1" applyAlignment="1">
      <alignment vertical="center" wrapText="1"/>
    </xf>
    <xf numFmtId="0" fontId="28"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2" fillId="0" borderId="2" xfId="0" applyFont="1" applyFill="1" applyBorder="1" applyAlignment="1">
      <alignment horizontal="center" vertical="center" wrapText="1"/>
    </xf>
    <xf numFmtId="0" fontId="28" fillId="0" borderId="0" xfId="0" applyFont="1" applyFill="1" applyAlignment="1">
      <alignment vertical="center"/>
    </xf>
    <xf numFmtId="0" fontId="28" fillId="0" borderId="0" xfId="0" applyFont="1" applyFill="1" applyAlignment="1">
      <alignment vertical="center" wrapText="1"/>
    </xf>
    <xf numFmtId="179" fontId="28" fillId="0" borderId="0" xfId="0" applyNumberFormat="1" applyFont="1" applyFill="1" applyAlignment="1">
      <alignment horizontal="center" vertical="center"/>
    </xf>
    <xf numFmtId="0" fontId="33" fillId="0" borderId="0" xfId="0" applyFont="1" applyFill="1" applyAlignment="1">
      <alignment horizontal="center" vertical="center" wrapText="1"/>
    </xf>
    <xf numFmtId="0" fontId="34" fillId="0" borderId="0" xfId="0" applyFont="1" applyFill="1" applyAlignment="1">
      <alignment vertical="center"/>
    </xf>
    <xf numFmtId="0" fontId="34" fillId="0" borderId="0" xfId="0" applyFont="1" applyFill="1" applyAlignment="1">
      <alignment horizontal="right" vertical="center"/>
    </xf>
    <xf numFmtId="0" fontId="34" fillId="0" borderId="2" xfId="0" applyFont="1" applyFill="1" applyBorder="1" applyAlignment="1">
      <alignment horizontal="center" vertical="center" wrapText="1"/>
    </xf>
    <xf numFmtId="176" fontId="34" fillId="0" borderId="5" xfId="0" applyNumberFormat="1" applyFont="1" applyFill="1" applyBorder="1" applyAlignment="1">
      <alignment horizontal="center" vertical="center" wrapText="1"/>
    </xf>
    <xf numFmtId="0" fontId="34" fillId="0" borderId="2" xfId="0" applyFont="1" applyFill="1" applyBorder="1" applyAlignment="1">
      <alignment horizontal="center" vertical="center"/>
    </xf>
    <xf numFmtId="0" fontId="34" fillId="0" borderId="2" xfId="0" applyFont="1" applyFill="1" applyBorder="1" applyAlignment="1">
      <alignment vertical="center" wrapText="1"/>
    </xf>
    <xf numFmtId="4" fontId="31" fillId="0" borderId="2" xfId="0" applyNumberFormat="1" applyFont="1" applyFill="1" applyBorder="1" applyAlignment="1">
      <alignment vertical="center"/>
    </xf>
    <xf numFmtId="9" fontId="31" fillId="0" borderId="2" xfId="0" applyNumberFormat="1" applyFont="1" applyFill="1" applyBorder="1" applyAlignment="1">
      <alignment horizontal="center" vertical="center"/>
    </xf>
    <xf numFmtId="179" fontId="31" fillId="0" borderId="0" xfId="0" applyNumberFormat="1" applyFont="1" applyFill="1" applyAlignment="1">
      <alignment horizontal="center" vertical="center"/>
    </xf>
    <xf numFmtId="176" fontId="35" fillId="0" borderId="2" xfId="0" applyNumberFormat="1" applyFont="1" applyFill="1" applyBorder="1" applyAlignment="1">
      <alignment horizontal="center" vertical="center" wrapText="1"/>
    </xf>
    <xf numFmtId="176" fontId="36" fillId="0" borderId="2" xfId="0" applyNumberFormat="1" applyFont="1" applyFill="1" applyBorder="1" applyAlignment="1">
      <alignment horizontal="center" vertical="center" wrapText="1"/>
    </xf>
    <xf numFmtId="9" fontId="35" fillId="0" borderId="2"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6.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_rels/sheet12.xml.rels><?xml version="1.0" encoding="UTF-8" standalone="yes"?>
<Relationships xmlns="http://schemas.openxmlformats.org/package/2006/relationships"><Relationship Id="rId1" Type="http://schemas.openxmlformats.org/officeDocument/2006/relationships/image" Target="../media/image1.png"/></Relationships>
</file>

<file path=xl/worksheets/_rels/sheet13.xml.rels><?xml version="1.0" encoding="UTF-8" standalone="yes"?>
<Relationships xmlns="http://schemas.openxmlformats.org/package/2006/relationships"><Relationship Id="rId1" Type="http://schemas.openxmlformats.org/officeDocument/2006/relationships/image" Target="../media/image1.png"/></Relationships>
</file>

<file path=xl/worksheets/_rels/sheet14.xml.rels><?xml version="1.0" encoding="UTF-8" standalone="yes"?>
<Relationships xmlns="http://schemas.openxmlformats.org/package/2006/relationships"><Relationship Id="rId5" Type="http://schemas.openxmlformats.org/officeDocument/2006/relationships/image" Target="../media/image1.png"/><Relationship Id="rId4" Type="http://schemas.openxmlformats.org/officeDocument/2006/relationships/hyperlink" Target="https://www.dormakaba.com/tw-en/solutions/products/door-hardware/fittings/tg-pull-handles-394392" TargetMode="External"/><Relationship Id="rId3" Type="http://schemas.openxmlformats.org/officeDocument/2006/relationships/hyperlink" Target="http://item.taobao.com/" TargetMode="External"/><Relationship Id="rId2" Type="http://schemas.openxmlformats.org/officeDocument/2006/relationships/hyperlink" Target="https://item.m.jd.com/product/100012655091.html?&amp;utm_source=iosapp&amp;utm_medium=appshare&amp;utm_campaign=t_335139774&amp;utm_term=CopyURL&amp;ad_od=share&amp;gx=RnFnkWRfYWKMzdRA8cMoHjt-1vO58oRL" TargetMode="External"/><Relationship Id="rId1" Type="http://schemas.openxmlformats.org/officeDocument/2006/relationships/hyperlink" Target="https://www.hafele.com.cn/zh/product/-startec-ph-2139-/P-008975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2"/>
  <sheetViews>
    <sheetView view="pageBreakPreview" zoomScale="120" zoomScaleNormal="100" workbookViewId="0">
      <selection activeCell="K9" sqref="K9"/>
    </sheetView>
  </sheetViews>
  <sheetFormatPr defaultColWidth="14" defaultRowHeight="12.75"/>
  <cols>
    <col min="1" max="1" width="9" style="347" customWidth="1"/>
    <col min="2" max="2" width="18" style="348" customWidth="1"/>
    <col min="3" max="3" width="21" style="347" customWidth="1"/>
    <col min="4" max="4" width="14" style="347" customWidth="1"/>
    <col min="5" max="5" width="20.1428571428571" style="347" customWidth="1"/>
    <col min="6" max="6" width="13.8571428571429" style="347" customWidth="1"/>
    <col min="7" max="7" width="14" style="349" customWidth="1"/>
    <col min="8" max="10" width="10" style="347" customWidth="1"/>
    <col min="11" max="12" width="16" style="347" customWidth="1"/>
    <col min="13" max="13" width="5" style="347" customWidth="1"/>
    <col min="14" max="15" width="14" style="347"/>
    <col min="16" max="16" width="17.4285714285714" style="347" customWidth="1"/>
    <col min="17" max="16384" width="14" style="347"/>
  </cols>
  <sheetData>
    <row r="1" ht="29" customHeight="1" spans="1:10">
      <c r="A1" s="350"/>
      <c r="B1" s="350"/>
      <c r="C1" s="350"/>
      <c r="D1" s="350"/>
      <c r="E1" s="350"/>
      <c r="F1" s="350"/>
    </row>
    <row r="2" ht="26" customHeight="1" spans="1:10">
      <c r="A2" s="351"/>
      <c r="B2" s="351"/>
      <c r="C2" s="352"/>
      <c r="D2" s="352"/>
      <c r="E2" s="352"/>
      <c r="F2" s="352"/>
    </row>
    <row r="3" ht="26" customHeight="1" spans="1:10">
      <c r="A3" s="353"/>
      <c r="B3" s="353"/>
      <c r="C3" s="354"/>
      <c r="D3" s="354"/>
      <c r="E3" s="354"/>
      <c r="F3" s="354"/>
    </row>
    <row r="4" ht="28" customHeight="1" spans="1:10">
      <c r="A4" s="355"/>
      <c r="B4" s="356"/>
      <c r="C4" s="357"/>
      <c r="D4" s="358"/>
      <c r="E4" s="357"/>
      <c r="F4" s="357"/>
      <c r="G4" s="359"/>
      <c r="H4" s="360" t="s">
        <v>0</v>
      </c>
      <c r="I4" s="361" t="s">
        <v>1</v>
      </c>
      <c r="J4" s="361" t="s">
        <v>2</v>
      </c>
    </row>
    <row r="5" ht="28" customHeight="1" spans="1:10">
      <c r="A5" s="355"/>
      <c r="B5" s="356"/>
      <c r="C5" s="357"/>
      <c r="D5" s="358"/>
      <c r="E5" s="357"/>
      <c r="F5" s="357"/>
      <c r="G5" s="359"/>
      <c r="H5" s="362">
        <v>0.01</v>
      </c>
      <c r="I5" s="362">
        <v>0</v>
      </c>
      <c r="J5" s="362">
        <v>0</v>
      </c>
    </row>
    <row r="6" ht="28" customHeight="1" spans="1:10">
      <c r="A6" s="355"/>
      <c r="B6" s="356"/>
      <c r="C6" s="357"/>
      <c r="D6" s="358"/>
      <c r="E6" s="357"/>
      <c r="F6" s="357"/>
      <c r="G6" s="359"/>
    </row>
    <row r="7" ht="28" customHeight="1" spans="1:10">
      <c r="A7" s="355"/>
      <c r="B7" s="356"/>
      <c r="C7" s="357"/>
      <c r="D7" s="358"/>
      <c r="E7" s="357"/>
      <c r="F7" s="357"/>
      <c r="G7" s="359"/>
    </row>
    <row r="8" ht="28" customHeight="1" spans="1:10">
      <c r="A8" s="355"/>
      <c r="B8" s="356"/>
      <c r="C8" s="357"/>
      <c r="D8" s="358"/>
      <c r="E8" s="357"/>
      <c r="F8" s="357"/>
      <c r="G8" s="359"/>
    </row>
    <row r="9" ht="28" customHeight="1" spans="1:10">
      <c r="A9" s="355"/>
      <c r="B9" s="356"/>
      <c r="C9" s="357"/>
      <c r="D9" s="358"/>
      <c r="E9" s="357"/>
      <c r="F9" s="357"/>
      <c r="G9" s="359"/>
    </row>
    <row r="10" ht="28" customHeight="1" spans="1:10">
      <c r="A10" s="355"/>
      <c r="B10" s="356"/>
      <c r="C10" s="357"/>
      <c r="D10" s="358"/>
      <c r="E10" s="357"/>
      <c r="F10" s="357"/>
      <c r="G10" s="359"/>
    </row>
    <row r="11" ht="28" customHeight="1" spans="1:10">
      <c r="A11" s="355"/>
      <c r="B11" s="356"/>
      <c r="C11" s="357"/>
      <c r="D11" s="358"/>
      <c r="E11" s="357"/>
      <c r="F11" s="357"/>
      <c r="G11" s="359"/>
    </row>
    <row r="12" ht="28" customHeight="1" spans="1:10">
      <c r="A12" s="355"/>
      <c r="B12" s="356"/>
      <c r="C12" s="357"/>
      <c r="D12" s="358"/>
      <c r="E12" s="357"/>
      <c r="F12" s="357"/>
      <c r="G12" s="359"/>
    </row>
  </sheetData>
  <mergeCells count="2">
    <mergeCell ref="A1:F1"/>
    <mergeCell ref="D4:D12"/>
  </mergeCells>
  <printOptions horizontalCentered="1"/>
  <pageMargins left="0.751388888888889" right="0.751388888888889" top="1" bottom="1" header="0.5" footer="0.5"/>
  <pageSetup paperSize="9" scale="92" orientation="portrait" horizontalDpi="600"/>
  <headerFooter>
    <oddFooter>&amp;C第 &amp;P 页，共 &amp;N 页</oddFooter>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306"/>
  <sheetViews>
    <sheetView tabSelected="1" view="pageBreakPreview" zoomScaleNormal="100" workbookViewId="0">
      <pane xSplit="2" ySplit="3" topLeftCell="C49" activePane="bottomRight" state="frozen"/>
      <selection/>
      <selection pane="topRight"/>
      <selection pane="bottomLeft"/>
      <selection pane="bottomRight" activeCell="K15" sqref="K15"/>
    </sheetView>
  </sheetViews>
  <sheetFormatPr defaultColWidth="14" defaultRowHeight="12.75"/>
  <cols>
    <col min="1" max="1" width="8" style="18" customWidth="1"/>
    <col min="2" max="2" width="24.8571428571429" style="18" customWidth="1"/>
    <col min="3" max="3" width="29.1428571428571" style="18" customWidth="1"/>
    <col min="4" max="4" width="18.4285714285714" style="18" customWidth="1"/>
    <col min="5" max="5" width="21.7142857142857" style="18" customWidth="1"/>
    <col min="6" max="6" width="7.28571428571429" style="18" customWidth="1"/>
    <col min="7" max="8" width="13" style="18" customWidth="1"/>
    <col min="9" max="14" width="9.71428571428571" style="18" customWidth="1"/>
    <col min="15" max="15" width="16.2857142857143" style="18" customWidth="1"/>
    <col min="16" max="16" width="13" style="18" customWidth="1"/>
    <col min="17" max="20" width="15" style="18" customWidth="1"/>
    <col min="21" max="16384" width="14" style="18"/>
  </cols>
  <sheetData>
    <row r="1" ht="15.75" spans="1:20">
      <c r="A1" s="310" t="s">
        <v>3</v>
      </c>
      <c r="B1" s="310"/>
      <c r="C1" s="310"/>
      <c r="D1" s="310"/>
      <c r="E1" s="310"/>
      <c r="F1" s="310"/>
      <c r="G1" s="310"/>
      <c r="H1" s="310"/>
      <c r="I1" s="310"/>
      <c r="J1" s="310"/>
      <c r="K1" s="310"/>
      <c r="L1" s="310"/>
      <c r="M1" s="310"/>
      <c r="N1" s="310"/>
      <c r="O1" s="310"/>
      <c r="P1" s="310"/>
      <c r="Q1" s="311"/>
      <c r="R1" s="311"/>
      <c r="S1" s="311"/>
      <c r="T1" s="311"/>
    </row>
    <row r="2" spans="1:20">
      <c r="A2" s="312" t="s">
        <v>4</v>
      </c>
      <c r="B2" s="312"/>
      <c r="C2" s="312"/>
      <c r="D2" s="312"/>
      <c r="E2" s="312"/>
      <c r="F2" s="312"/>
      <c r="G2" s="312"/>
      <c r="H2" s="312"/>
      <c r="I2" s="312"/>
      <c r="J2" s="312"/>
      <c r="K2" s="312"/>
      <c r="L2" s="312"/>
      <c r="M2" s="312"/>
      <c r="N2" s="312"/>
      <c r="O2" s="312"/>
      <c r="P2" s="312"/>
      <c r="Q2" s="311"/>
      <c r="R2" s="311"/>
      <c r="S2" s="311"/>
      <c r="T2" s="311"/>
    </row>
    <row r="3" ht="25.5" spans="1:20">
      <c r="A3" s="313" t="s">
        <v>5</v>
      </c>
      <c r="B3" s="313" t="s">
        <v>6</v>
      </c>
      <c r="C3" s="313" t="s">
        <v>7</v>
      </c>
      <c r="D3" s="313" t="s">
        <v>8</v>
      </c>
      <c r="E3" s="313" t="s">
        <v>9</v>
      </c>
      <c r="F3" s="313" t="s">
        <v>10</v>
      </c>
      <c r="G3" s="314" t="s">
        <v>11</v>
      </c>
      <c r="H3" s="315" t="s">
        <v>12</v>
      </c>
      <c r="I3" s="316" t="s">
        <v>13</v>
      </c>
      <c r="J3" s="316" t="s">
        <v>14</v>
      </c>
      <c r="K3" s="316" t="s">
        <v>15</v>
      </c>
      <c r="L3" s="317" t="s">
        <v>16</v>
      </c>
      <c r="M3" s="316" t="s">
        <v>17</v>
      </c>
      <c r="N3" s="316" t="s">
        <v>2</v>
      </c>
      <c r="O3" s="318" t="s">
        <v>18</v>
      </c>
      <c r="P3" s="313" t="s">
        <v>19</v>
      </c>
      <c r="Q3" s="311"/>
      <c r="R3" s="311"/>
      <c r="S3" s="311"/>
      <c r="T3" s="311"/>
    </row>
    <row r="4" ht="18" customHeight="1" spans="1:20">
      <c r="A4" s="313"/>
      <c r="B4" s="319" t="s">
        <v>20</v>
      </c>
      <c r="C4" s="320"/>
      <c r="D4" s="320"/>
      <c r="E4" s="320"/>
      <c r="F4" s="313"/>
      <c r="G4" s="316"/>
      <c r="H4" s="316"/>
      <c r="I4" s="316"/>
      <c r="J4" s="316"/>
      <c r="K4" s="316"/>
      <c r="L4" s="316"/>
      <c r="M4" s="316"/>
      <c r="N4" s="316"/>
      <c r="O4" s="316"/>
      <c r="P4" s="321"/>
      <c r="Q4" s="311"/>
      <c r="R4" s="311"/>
      <c r="S4" s="311"/>
      <c r="T4" s="311"/>
    </row>
    <row r="5" ht="18" customHeight="1" spans="1:20">
      <c r="A5" s="322" t="s">
        <v>21</v>
      </c>
      <c r="B5" s="319" t="s">
        <v>22</v>
      </c>
      <c r="C5" s="320"/>
      <c r="D5" s="320"/>
      <c r="E5" s="320"/>
      <c r="F5" s="313"/>
      <c r="G5" s="316"/>
      <c r="H5" s="316"/>
      <c r="I5" s="316"/>
      <c r="J5" s="316"/>
      <c r="K5" s="316"/>
      <c r="L5" s="316"/>
      <c r="M5" s="316"/>
      <c r="N5" s="316"/>
      <c r="O5" s="316"/>
      <c r="P5" s="321"/>
      <c r="Q5" s="311"/>
      <c r="R5" s="311"/>
      <c r="S5" s="311"/>
      <c r="T5" s="311"/>
    </row>
    <row r="6" ht="25.5" spans="1:20">
      <c r="A6" s="313" t="s">
        <v>23</v>
      </c>
      <c r="B6" s="320" t="s">
        <v>24</v>
      </c>
      <c r="C6" s="320" t="s">
        <v>25</v>
      </c>
      <c r="D6" s="320" t="s">
        <v>26</v>
      </c>
      <c r="E6" s="320" t="s">
        <v>27</v>
      </c>
      <c r="F6" s="313" t="s">
        <v>28</v>
      </c>
      <c r="G6" s="318">
        <v>1123021.82408492</v>
      </c>
      <c r="H6" s="316">
        <f t="shared" ref="H6:H40" si="0">SUM(I6:N6)</f>
        <v>10.4935064935065</v>
      </c>
      <c r="I6" s="316">
        <v>10.1496103896104</v>
      </c>
      <c r="J6" s="316">
        <v>0</v>
      </c>
      <c r="K6" s="316">
        <v>0.24</v>
      </c>
      <c r="L6" s="313">
        <f>(I6+J6+K6)*'2-报价汇总'!$H$5</f>
        <v>0.103896103896104</v>
      </c>
      <c r="M6" s="313">
        <f>(I6+J6+K6+L6)*'2-报价汇总'!$I$5</f>
        <v>0</v>
      </c>
      <c r="N6" s="313">
        <f>(M6+L6+K6+J6+I6)*'2-报价汇总'!$J$5</f>
        <v>0</v>
      </c>
      <c r="O6" s="313">
        <f t="shared" ref="O6:O40" si="1">G6*H6</f>
        <v>11784436.8033846</v>
      </c>
      <c r="P6" s="321"/>
      <c r="Q6" s="311"/>
      <c r="R6" s="311"/>
      <c r="S6" s="311"/>
      <c r="T6" s="311"/>
    </row>
    <row r="7" ht="25.5" spans="1:20">
      <c r="A7" s="313" t="s">
        <v>29</v>
      </c>
      <c r="B7" s="320" t="s">
        <v>30</v>
      </c>
      <c r="C7" s="320" t="s">
        <v>25</v>
      </c>
      <c r="D7" s="320" t="s">
        <v>26</v>
      </c>
      <c r="E7" s="320" t="s">
        <v>27</v>
      </c>
      <c r="F7" s="313" t="s">
        <v>28</v>
      </c>
      <c r="G7" s="318">
        <v>355016.509240443</v>
      </c>
      <c r="H7" s="316">
        <f t="shared" si="0"/>
        <v>8.74458874458875</v>
      </c>
      <c r="I7" s="316">
        <v>8.45800865800866</v>
      </c>
      <c r="J7" s="316">
        <v>0</v>
      </c>
      <c r="K7" s="316">
        <v>0.2</v>
      </c>
      <c r="L7" s="313">
        <f>(I7+J7+K7)*'2-报价汇总'!$H$5</f>
        <v>0.0865800865800866</v>
      </c>
      <c r="M7" s="313">
        <f>(I7+J7+K7+L7)*'2-报价汇总'!$I$5</f>
        <v>0</v>
      </c>
      <c r="N7" s="313">
        <f>(M7+L7+K7+J7+I7)*'2-报价汇总'!$J$5</f>
        <v>0</v>
      </c>
      <c r="O7" s="313">
        <f t="shared" si="1"/>
        <v>3104473.37084716</v>
      </c>
      <c r="P7" s="321"/>
      <c r="Q7" s="311"/>
      <c r="R7" s="311"/>
      <c r="S7" s="311"/>
      <c r="T7" s="311"/>
    </row>
    <row r="8" ht="38.25" spans="1:20">
      <c r="A8" s="313" t="s">
        <v>31</v>
      </c>
      <c r="B8" s="320" t="s">
        <v>32</v>
      </c>
      <c r="C8" s="320" t="s">
        <v>33</v>
      </c>
      <c r="D8" s="320" t="s">
        <v>26</v>
      </c>
      <c r="E8" s="320" t="s">
        <v>27</v>
      </c>
      <c r="F8" s="313" t="s">
        <v>28</v>
      </c>
      <c r="G8" s="318">
        <v>1080551.63076482</v>
      </c>
      <c r="H8" s="316">
        <f t="shared" si="0"/>
        <v>27.982683982684</v>
      </c>
      <c r="I8" s="316">
        <v>27.0056277056277</v>
      </c>
      <c r="J8" s="316">
        <v>0</v>
      </c>
      <c r="K8" s="316">
        <v>0.7</v>
      </c>
      <c r="L8" s="313">
        <f>(I8+J8+K8)*'2-报价汇总'!$H$5</f>
        <v>0.277056277056277</v>
      </c>
      <c r="M8" s="313">
        <f>(I8+J8+K8+L8)*'2-报价汇总'!$I$5</f>
        <v>0</v>
      </c>
      <c r="N8" s="313">
        <f>(M8+L8+K8+J8+I8)*'2-报价汇总'!$J$5</f>
        <v>0</v>
      </c>
      <c r="O8" s="313">
        <f t="shared" si="1"/>
        <v>30236734.8106658</v>
      </c>
      <c r="P8" s="321"/>
      <c r="Q8" s="311"/>
      <c r="R8" s="311"/>
      <c r="S8" s="311"/>
      <c r="T8" s="311"/>
    </row>
    <row r="9" ht="38.25" spans="1:20">
      <c r="A9" s="313" t="s">
        <v>34</v>
      </c>
      <c r="B9" s="320" t="s">
        <v>35</v>
      </c>
      <c r="C9" s="320" t="s">
        <v>36</v>
      </c>
      <c r="D9" s="320" t="s">
        <v>26</v>
      </c>
      <c r="E9" s="320" t="s">
        <v>27</v>
      </c>
      <c r="F9" s="313" t="s">
        <v>28</v>
      </c>
      <c r="G9" s="318">
        <v>350000</v>
      </c>
      <c r="H9" s="316">
        <f t="shared" si="0"/>
        <v>52.4675324675324</v>
      </c>
      <c r="I9" s="316">
        <v>50.9780519480519</v>
      </c>
      <c r="J9" s="316">
        <v>0</v>
      </c>
      <c r="K9" s="316">
        <v>0.97</v>
      </c>
      <c r="L9" s="313">
        <f>(I9+J9+K9)*'2-报价汇总'!$H$5</f>
        <v>0.519480519480519</v>
      </c>
      <c r="M9" s="313">
        <f>(I9+J9+K9+L9)*'2-报价汇总'!$I$5</f>
        <v>0</v>
      </c>
      <c r="N9" s="313">
        <f>(M9+L9+K9+J9+I9)*'2-报价汇总'!$J$5</f>
        <v>0</v>
      </c>
      <c r="O9" s="313">
        <f t="shared" si="1"/>
        <v>18363636.3636363</v>
      </c>
      <c r="P9" s="321"/>
      <c r="Q9" s="311"/>
      <c r="R9" s="311"/>
      <c r="S9" s="311"/>
      <c r="T9" s="311"/>
    </row>
    <row r="10" ht="38.25" spans="1:20">
      <c r="A10" s="313" t="s">
        <v>37</v>
      </c>
      <c r="B10" s="320" t="s">
        <v>38</v>
      </c>
      <c r="C10" s="320" t="s">
        <v>39</v>
      </c>
      <c r="D10" s="320" t="s">
        <v>26</v>
      </c>
      <c r="E10" s="320" t="s">
        <v>40</v>
      </c>
      <c r="F10" s="313" t="s">
        <v>28</v>
      </c>
      <c r="G10" s="318">
        <v>300000</v>
      </c>
      <c r="H10" s="316">
        <f t="shared" si="0"/>
        <v>10.4935064935065</v>
      </c>
      <c r="I10" s="316">
        <v>9.8096103896104</v>
      </c>
      <c r="J10" s="316">
        <v>0</v>
      </c>
      <c r="K10" s="316">
        <v>0.58</v>
      </c>
      <c r="L10" s="313">
        <f>(I10+J10+K10)*'2-报价汇总'!$H$5</f>
        <v>0.103896103896104</v>
      </c>
      <c r="M10" s="313">
        <f>(I10+J10+K10+L10)*'2-报价汇总'!$I$5</f>
        <v>0</v>
      </c>
      <c r="N10" s="313">
        <f>(M10+L10+K10+J10+I10)*'2-报价汇总'!$J$5</f>
        <v>0</v>
      </c>
      <c r="O10" s="313">
        <f t="shared" si="1"/>
        <v>3148051.94805195</v>
      </c>
      <c r="P10" s="321"/>
      <c r="Q10" s="311"/>
      <c r="R10" s="311"/>
      <c r="S10" s="311"/>
      <c r="T10" s="311"/>
    </row>
    <row r="11" ht="25.5" spans="1:20">
      <c r="A11" s="313" t="s">
        <v>41</v>
      </c>
      <c r="B11" s="320" t="s">
        <v>42</v>
      </c>
      <c r="C11" s="320" t="s">
        <v>43</v>
      </c>
      <c r="D11" s="320" t="s">
        <v>26</v>
      </c>
      <c r="E11" s="320" t="s">
        <v>44</v>
      </c>
      <c r="F11" s="313" t="s">
        <v>28</v>
      </c>
      <c r="G11" s="318">
        <v>50000</v>
      </c>
      <c r="H11" s="316">
        <f t="shared" si="0"/>
        <v>5.24675324675324</v>
      </c>
      <c r="I11" s="323">
        <v>4.97480519480519</v>
      </c>
      <c r="J11" s="323">
        <v>0</v>
      </c>
      <c r="K11" s="323">
        <v>0.22</v>
      </c>
      <c r="L11" s="318">
        <f>(I11+J11+K11)*'2-报价汇总'!$H$5</f>
        <v>0.0519480519480519</v>
      </c>
      <c r="M11" s="318">
        <f>(I11+J11+K11+L11)*'2-报价汇总'!$I$5</f>
        <v>0</v>
      </c>
      <c r="N11" s="318">
        <f>(M11+L11+K11+J11+I11)*'2-报价汇总'!$J$5</f>
        <v>0</v>
      </c>
      <c r="O11" s="313">
        <f t="shared" si="1"/>
        <v>262337.662337662</v>
      </c>
      <c r="P11" s="321"/>
      <c r="Q11" s="311"/>
      <c r="R11" s="311"/>
      <c r="S11" s="311"/>
      <c r="T11" s="311"/>
    </row>
    <row r="12" ht="38.25" spans="1:20">
      <c r="A12" s="313" t="s">
        <v>45</v>
      </c>
      <c r="B12" s="320" t="s">
        <v>46</v>
      </c>
      <c r="C12" s="320" t="s">
        <v>47</v>
      </c>
      <c r="D12" s="320" t="s">
        <v>26</v>
      </c>
      <c r="E12" s="320" t="s">
        <v>48</v>
      </c>
      <c r="F12" s="313" t="s">
        <v>49</v>
      </c>
      <c r="G12" s="318">
        <v>283578.533666459</v>
      </c>
      <c r="H12" s="316">
        <f t="shared" si="0"/>
        <v>174.891774891775</v>
      </c>
      <c r="I12" s="323">
        <v>171.020173160173</v>
      </c>
      <c r="J12" s="323">
        <v>0</v>
      </c>
      <c r="K12" s="323">
        <v>2.14</v>
      </c>
      <c r="L12" s="318">
        <f>(I12+J12+K12)*'2-报价汇总'!$H$5</f>
        <v>1.73160173160173</v>
      </c>
      <c r="M12" s="318">
        <f>(I12+J12+K12+L12)*'2-报价汇总'!$I$5</f>
        <v>0</v>
      </c>
      <c r="N12" s="318">
        <f>(M12+L12+K12+J12+I12)*'2-报价汇总'!$J$5</f>
        <v>0</v>
      </c>
      <c r="O12" s="313">
        <f t="shared" si="1"/>
        <v>49595553.0741339</v>
      </c>
      <c r="P12" s="321"/>
      <c r="Q12" s="311"/>
      <c r="R12" s="311"/>
      <c r="S12" s="311"/>
      <c r="T12" s="311"/>
    </row>
    <row r="13" ht="25.5" spans="1:20">
      <c r="A13" s="313" t="s">
        <v>50</v>
      </c>
      <c r="B13" s="320" t="s">
        <v>51</v>
      </c>
      <c r="C13" s="320" t="s">
        <v>52</v>
      </c>
      <c r="D13" s="320" t="s">
        <v>26</v>
      </c>
      <c r="E13" s="320" t="s">
        <v>53</v>
      </c>
      <c r="F13" s="313" t="s">
        <v>28</v>
      </c>
      <c r="G13" s="318">
        <v>145436.631231023</v>
      </c>
      <c r="H13" s="316">
        <f t="shared" si="0"/>
        <v>17.4891774891775</v>
      </c>
      <c r="I13" s="323">
        <v>17.1160173160173</v>
      </c>
      <c r="J13" s="323">
        <v>0</v>
      </c>
      <c r="K13" s="323">
        <v>0.2</v>
      </c>
      <c r="L13" s="318">
        <f>(I13+J13+K13)*'2-报价汇总'!$H$5</f>
        <v>0.173160173160173</v>
      </c>
      <c r="M13" s="318">
        <f>(I13+J13+K13+L13)*'2-报价汇总'!$I$5</f>
        <v>0</v>
      </c>
      <c r="N13" s="318">
        <f>(M13+L13+K13+J13+I13)*'2-报价汇总'!$J$5</f>
        <v>0</v>
      </c>
      <c r="O13" s="313">
        <f t="shared" si="1"/>
        <v>2543567.05702741</v>
      </c>
      <c r="P13" s="321"/>
      <c r="Q13" s="311"/>
      <c r="R13" s="311"/>
      <c r="S13" s="311"/>
      <c r="T13" s="311"/>
    </row>
    <row r="14" ht="25.5" spans="1:20">
      <c r="A14" s="313" t="s">
        <v>54</v>
      </c>
      <c r="B14" s="320" t="s">
        <v>55</v>
      </c>
      <c r="C14" s="320" t="s">
        <v>56</v>
      </c>
      <c r="D14" s="320" t="s">
        <v>26</v>
      </c>
      <c r="E14" s="320" t="s">
        <v>57</v>
      </c>
      <c r="F14" s="313" t="s">
        <v>28</v>
      </c>
      <c r="G14" s="318">
        <v>494719.990275898</v>
      </c>
      <c r="H14" s="316">
        <f t="shared" si="0"/>
        <v>19.2338978354978</v>
      </c>
      <c r="I14" s="323">
        <v>18.0834632034632</v>
      </c>
      <c r="J14" s="323">
        <v>0</v>
      </c>
      <c r="K14" s="323">
        <v>0.96</v>
      </c>
      <c r="L14" s="318">
        <f>(I14+J14+K14)*'2-报价汇总'!$H$5</f>
        <v>0.190434632034632</v>
      </c>
      <c r="M14" s="318">
        <f>(I14+J14+K14+L14)*'2-报价汇总'!$I$5</f>
        <v>0</v>
      </c>
      <c r="N14" s="318">
        <f>(M14+L14+K14+J14+I14)*'2-报价汇总'!$J$5</f>
        <v>0</v>
      </c>
      <c r="O14" s="313">
        <f t="shared" si="1"/>
        <v>9515393.7501451</v>
      </c>
      <c r="P14" s="321"/>
      <c r="Q14" s="311"/>
      <c r="R14" s="311"/>
      <c r="S14" s="311"/>
      <c r="T14" s="311"/>
    </row>
    <row r="15" ht="38.25" spans="1:20">
      <c r="A15" s="313" t="s">
        <v>58</v>
      </c>
      <c r="B15" s="320" t="s">
        <v>59</v>
      </c>
      <c r="C15" s="320" t="s">
        <v>60</v>
      </c>
      <c r="D15" s="320" t="s">
        <v>26</v>
      </c>
      <c r="E15" s="320" t="s">
        <v>27</v>
      </c>
      <c r="F15" s="313" t="s">
        <v>28</v>
      </c>
      <c r="G15" s="318">
        <v>45876.5043393024</v>
      </c>
      <c r="H15" s="316">
        <f t="shared" si="0"/>
        <v>27.982683982684</v>
      </c>
      <c r="I15" s="323">
        <v>26.9256277056277</v>
      </c>
      <c r="J15" s="323">
        <v>0</v>
      </c>
      <c r="K15" s="323">
        <v>0.78</v>
      </c>
      <c r="L15" s="318">
        <f>(I15+J15+K15)*'2-报价汇总'!$H$5</f>
        <v>0.277056277056277</v>
      </c>
      <c r="M15" s="318">
        <f>(I15+J15+K15+L15)*'2-报价汇总'!$I$5</f>
        <v>0</v>
      </c>
      <c r="N15" s="318">
        <f>(M15+L15+K15+J15+I15)*'2-报价汇总'!$J$5</f>
        <v>0</v>
      </c>
      <c r="O15" s="313">
        <f t="shared" si="1"/>
        <v>1283747.72315693</v>
      </c>
      <c r="P15" s="321"/>
      <c r="Q15" s="311"/>
      <c r="R15" s="311"/>
      <c r="S15" s="311"/>
      <c r="T15" s="311"/>
    </row>
    <row r="16" ht="38.25" spans="1:20">
      <c r="A16" s="313" t="s">
        <v>61</v>
      </c>
      <c r="B16" s="320" t="s">
        <v>62</v>
      </c>
      <c r="C16" s="320" t="s">
        <v>63</v>
      </c>
      <c r="D16" s="320" t="s">
        <v>26</v>
      </c>
      <c r="E16" s="320" t="s">
        <v>64</v>
      </c>
      <c r="F16" s="313" t="s">
        <v>28</v>
      </c>
      <c r="G16" s="318">
        <v>2000</v>
      </c>
      <c r="H16" s="316">
        <f t="shared" si="0"/>
        <v>4.37229437229437</v>
      </c>
      <c r="I16" s="323">
        <v>4.26900432900433</v>
      </c>
      <c r="J16" s="318">
        <v>0</v>
      </c>
      <c r="K16" s="318">
        <v>0.06</v>
      </c>
      <c r="L16" s="318">
        <f>(I16+J16+K16)*'2-报价汇总'!$H$5</f>
        <v>0.0432900432900433</v>
      </c>
      <c r="M16" s="318">
        <f>(I16+J16+K16+L16)*'2-报价汇总'!$I$5</f>
        <v>0</v>
      </c>
      <c r="N16" s="318">
        <f>(M16+L16+K16+J16+I16)*'2-报价汇总'!$J$5</f>
        <v>0</v>
      </c>
      <c r="O16" s="313">
        <f t="shared" si="1"/>
        <v>8744.58874458875</v>
      </c>
      <c r="P16" s="321"/>
      <c r="Q16" s="311"/>
      <c r="R16" s="311"/>
      <c r="S16" s="311"/>
      <c r="T16" s="311"/>
    </row>
    <row r="17" ht="25.5" spans="1:20">
      <c r="A17" s="313" t="s">
        <v>65</v>
      </c>
      <c r="B17" s="320" t="s">
        <v>66</v>
      </c>
      <c r="C17" s="320" t="s">
        <v>67</v>
      </c>
      <c r="D17" s="320" t="s">
        <v>26</v>
      </c>
      <c r="E17" s="320" t="s">
        <v>68</v>
      </c>
      <c r="F17" s="313" t="s">
        <v>28</v>
      </c>
      <c r="G17" s="318">
        <v>64681.0400937194</v>
      </c>
      <c r="H17" s="316">
        <f t="shared" si="0"/>
        <v>11.3679653679654</v>
      </c>
      <c r="I17" s="323">
        <v>10.5354112554113</v>
      </c>
      <c r="J17" s="318">
        <v>0</v>
      </c>
      <c r="K17" s="318">
        <v>0.72</v>
      </c>
      <c r="L17" s="318">
        <f>(I17+J17+K17)*'2-报价汇总'!$H$5</f>
        <v>0.112554112554113</v>
      </c>
      <c r="M17" s="318">
        <f>(I17+J17+K17+L17)*'2-报价汇总'!$I$5</f>
        <v>0</v>
      </c>
      <c r="N17" s="318">
        <f>(M17+L17+K17+J17+I17)*'2-报价汇总'!$J$5</f>
        <v>0</v>
      </c>
      <c r="O17" s="313">
        <f t="shared" si="1"/>
        <v>735291.823749385</v>
      </c>
      <c r="P17" s="321"/>
      <c r="Q17" s="311"/>
      <c r="R17" s="311"/>
      <c r="S17" s="311"/>
      <c r="T17" s="311"/>
    </row>
    <row r="18" ht="38.25" spans="1:20">
      <c r="A18" s="313" t="s">
        <v>69</v>
      </c>
      <c r="B18" s="320" t="s">
        <v>70</v>
      </c>
      <c r="C18" s="320" t="s">
        <v>71</v>
      </c>
      <c r="D18" s="320" t="s">
        <v>26</v>
      </c>
      <c r="E18" s="320" t="s">
        <v>72</v>
      </c>
      <c r="F18" s="313" t="s">
        <v>73</v>
      </c>
      <c r="G18" s="318">
        <v>15495.7395940421</v>
      </c>
      <c r="H18" s="316">
        <f t="shared" si="0"/>
        <v>26.2337662337663</v>
      </c>
      <c r="I18" s="323">
        <v>25.474025974026</v>
      </c>
      <c r="J18" s="318">
        <v>0</v>
      </c>
      <c r="K18" s="318">
        <v>0.5</v>
      </c>
      <c r="L18" s="318">
        <f>(I18+J18+K18)*'2-报价汇总'!$H$5</f>
        <v>0.25974025974026</v>
      </c>
      <c r="M18" s="318">
        <f>(I18+J18+K18+L18)*'2-报价汇总'!$I$5</f>
        <v>0</v>
      </c>
      <c r="N18" s="318">
        <f>(M18+L18+K18+J18+I18)*'2-报价汇总'!$J$5</f>
        <v>0</v>
      </c>
      <c r="O18" s="313">
        <f t="shared" si="1"/>
        <v>406511.610129416</v>
      </c>
      <c r="P18" s="321"/>
      <c r="Q18" s="311"/>
      <c r="R18" s="311"/>
      <c r="S18" s="311"/>
      <c r="T18" s="311"/>
    </row>
    <row r="19" ht="25.5" spans="1:20">
      <c r="A19" s="313" t="s">
        <v>74</v>
      </c>
      <c r="B19" s="320" t="s">
        <v>75</v>
      </c>
      <c r="C19" s="320" t="s">
        <v>76</v>
      </c>
      <c r="D19" s="320" t="s">
        <v>26</v>
      </c>
      <c r="E19" s="320" t="s">
        <v>77</v>
      </c>
      <c r="F19" s="313" t="s">
        <v>78</v>
      </c>
      <c r="G19" s="318">
        <v>6380.59865637029</v>
      </c>
      <c r="H19" s="316">
        <f t="shared" si="0"/>
        <v>17.4891774891775</v>
      </c>
      <c r="I19" s="323">
        <v>15.2460173160173</v>
      </c>
      <c r="J19" s="318">
        <v>0</v>
      </c>
      <c r="K19" s="318">
        <v>2.07</v>
      </c>
      <c r="L19" s="318">
        <f>(I19+J19+K19)*'2-报价汇总'!$H$5</f>
        <v>0.173160173160173</v>
      </c>
      <c r="M19" s="318">
        <f>(I19+J19+K19+L19)*'2-报价汇总'!$I$5</f>
        <v>0</v>
      </c>
      <c r="N19" s="318">
        <f>(M19+L19+K19+J19+I19)*'2-报价汇总'!$J$5</f>
        <v>0</v>
      </c>
      <c r="O19" s="313">
        <f t="shared" si="1"/>
        <v>111591.422388467</v>
      </c>
      <c r="P19" s="321"/>
      <c r="Q19" s="311"/>
      <c r="R19" s="311"/>
      <c r="S19" s="311"/>
      <c r="T19" s="311"/>
    </row>
    <row r="20" ht="25.5" spans="1:20">
      <c r="A20" s="313" t="s">
        <v>79</v>
      </c>
      <c r="B20" s="320" t="s">
        <v>80</v>
      </c>
      <c r="C20" s="320" t="s">
        <v>81</v>
      </c>
      <c r="D20" s="320" t="s">
        <v>26</v>
      </c>
      <c r="E20" s="320" t="s">
        <v>77</v>
      </c>
      <c r="F20" s="313" t="s">
        <v>78</v>
      </c>
      <c r="G20" s="318">
        <v>9115.14093767184</v>
      </c>
      <c r="H20" s="316">
        <f t="shared" si="0"/>
        <v>15.7358874458875</v>
      </c>
      <c r="I20" s="323">
        <v>14.5100865800866</v>
      </c>
      <c r="J20" s="318">
        <v>0</v>
      </c>
      <c r="K20" s="318">
        <v>1.07</v>
      </c>
      <c r="L20" s="318">
        <f>(I20+J20+K20)*'2-报价汇总'!$H$5</f>
        <v>0.155800865800866</v>
      </c>
      <c r="M20" s="318">
        <f>(I20+J20+K20+L20)*'2-报价汇总'!$I$5</f>
        <v>0</v>
      </c>
      <c r="N20" s="318">
        <f>(M20+L20+K20+J20+I20)*'2-报价汇总'!$J$5</f>
        <v>0</v>
      </c>
      <c r="O20" s="313">
        <f t="shared" si="1"/>
        <v>143434.831848605</v>
      </c>
      <c r="P20" s="321"/>
      <c r="Q20" s="311"/>
      <c r="R20" s="311"/>
      <c r="S20" s="311"/>
      <c r="T20" s="311"/>
    </row>
    <row r="21" ht="25.5" spans="1:20">
      <c r="A21" s="313" t="s">
        <v>82</v>
      </c>
      <c r="B21" s="320" t="s">
        <v>83</v>
      </c>
      <c r="C21" s="320" t="s">
        <v>84</v>
      </c>
      <c r="D21" s="320" t="s">
        <v>26</v>
      </c>
      <c r="E21" s="320" t="s">
        <v>77</v>
      </c>
      <c r="F21" s="313" t="s">
        <v>78</v>
      </c>
      <c r="G21" s="318">
        <v>15495.7395940421</v>
      </c>
      <c r="H21" s="316">
        <f t="shared" si="0"/>
        <v>15.7358874458875</v>
      </c>
      <c r="I21" s="323">
        <v>14.0800865800866</v>
      </c>
      <c r="J21" s="318">
        <v>0</v>
      </c>
      <c r="K21" s="318">
        <v>1.5</v>
      </c>
      <c r="L21" s="318">
        <f>(I21+J21+K21)*'2-报价汇总'!$H$5</f>
        <v>0.155800865800866</v>
      </c>
      <c r="M21" s="318">
        <f>(I21+J21+K21+L21)*'2-报价汇总'!$I$5</f>
        <v>0</v>
      </c>
      <c r="N21" s="318">
        <f>(M21+L21+K21+J21+I21)*'2-报价汇总'!$J$5</f>
        <v>0</v>
      </c>
      <c r="O21" s="313">
        <f t="shared" si="1"/>
        <v>243839.214142628</v>
      </c>
      <c r="P21" s="321"/>
      <c r="Q21" s="311"/>
      <c r="R21" s="311"/>
      <c r="S21" s="311"/>
      <c r="T21" s="311"/>
    </row>
    <row r="22" ht="25.5" spans="1:20">
      <c r="A22" s="313" t="s">
        <v>85</v>
      </c>
      <c r="B22" s="320" t="s">
        <v>86</v>
      </c>
      <c r="C22" s="320" t="s">
        <v>87</v>
      </c>
      <c r="D22" s="320" t="s">
        <v>26</v>
      </c>
      <c r="E22" s="320" t="s">
        <v>88</v>
      </c>
      <c r="F22" s="313" t="s">
        <v>89</v>
      </c>
      <c r="G22" s="318">
        <v>7155.38563607239</v>
      </c>
      <c r="H22" s="316">
        <f t="shared" si="0"/>
        <v>21.8614718614718</v>
      </c>
      <c r="I22" s="323">
        <v>20.4150216450216</v>
      </c>
      <c r="J22" s="318">
        <v>0</v>
      </c>
      <c r="K22" s="318">
        <v>1.23</v>
      </c>
      <c r="L22" s="318">
        <f>(I22+J22+K22)*'2-报价汇总'!$H$5</f>
        <v>0.216450216450216</v>
      </c>
      <c r="M22" s="318">
        <f>(I22+J22+K22+L22)*'2-报价汇总'!$I$5</f>
        <v>0</v>
      </c>
      <c r="N22" s="318">
        <f>(M22+L22+K22+J22+I22)*'2-报价汇总'!$J$5</f>
        <v>0</v>
      </c>
      <c r="O22" s="313">
        <f t="shared" si="1"/>
        <v>156427.261740976</v>
      </c>
      <c r="P22" s="321"/>
      <c r="Q22" s="311"/>
      <c r="R22" s="311"/>
      <c r="S22" s="311"/>
      <c r="T22" s="311"/>
    </row>
    <row r="23" ht="38.25" spans="1:20">
      <c r="A23" s="313" t="s">
        <v>90</v>
      </c>
      <c r="B23" s="320" t="s">
        <v>91</v>
      </c>
      <c r="C23" s="320" t="s">
        <v>92</v>
      </c>
      <c r="D23" s="320" t="s">
        <v>93</v>
      </c>
      <c r="E23" s="320" t="s">
        <v>94</v>
      </c>
      <c r="F23" s="313" t="s">
        <v>28</v>
      </c>
      <c r="G23" s="318">
        <v>2432605.17873622</v>
      </c>
      <c r="H23" s="316">
        <f t="shared" si="0"/>
        <v>1.57402597402598</v>
      </c>
      <c r="I23" s="323">
        <v>1.05844155844156</v>
      </c>
      <c r="J23" s="318">
        <v>0</v>
      </c>
      <c r="K23" s="318">
        <v>0.5</v>
      </c>
      <c r="L23" s="318">
        <f>(I23+J23+K23)*'2-报价汇总'!$H$5</f>
        <v>0.0155844155844156</v>
      </c>
      <c r="M23" s="318">
        <f>(I23+J23+K23+L23)*'2-报价汇总'!$I$5</f>
        <v>0</v>
      </c>
      <c r="N23" s="318">
        <f>(M23+L23+K23+J23+I23)*'2-报价汇总'!$J$5</f>
        <v>0</v>
      </c>
      <c r="O23" s="313">
        <f t="shared" si="1"/>
        <v>3828983.73588091</v>
      </c>
      <c r="P23" s="321"/>
      <c r="Q23" s="311"/>
      <c r="R23" s="311"/>
      <c r="S23" s="311"/>
      <c r="T23" s="311"/>
    </row>
    <row r="24" ht="38.25" spans="1:20">
      <c r="A24" s="313" t="s">
        <v>95</v>
      </c>
      <c r="B24" s="320" t="s">
        <v>91</v>
      </c>
      <c r="C24" s="320" t="s">
        <v>92</v>
      </c>
      <c r="D24" s="320" t="s">
        <v>96</v>
      </c>
      <c r="E24" s="320" t="s">
        <v>94</v>
      </c>
      <c r="F24" s="313" t="s">
        <v>28</v>
      </c>
      <c r="G24" s="318">
        <v>500000</v>
      </c>
      <c r="H24" s="316">
        <f t="shared" si="0"/>
        <v>1.48658008658008</v>
      </c>
      <c r="I24" s="323">
        <v>0.97186147186147</v>
      </c>
      <c r="J24" s="318">
        <v>0</v>
      </c>
      <c r="K24" s="318">
        <v>0.5</v>
      </c>
      <c r="L24" s="318">
        <f>(I24+J24+K24)*'2-报价汇总'!$H$5</f>
        <v>0.0147186147186147</v>
      </c>
      <c r="M24" s="318">
        <f>(I24+J24+K24+L24)*'2-报价汇总'!$I$5</f>
        <v>0</v>
      </c>
      <c r="N24" s="318">
        <f>(M24+L24+K24+J24+I24)*'2-报价汇总'!$J$5</f>
        <v>0</v>
      </c>
      <c r="O24" s="313">
        <f t="shared" si="1"/>
        <v>743290.043290042</v>
      </c>
      <c r="P24" s="321"/>
      <c r="Q24" s="311"/>
      <c r="R24" s="311"/>
      <c r="S24" s="311"/>
      <c r="T24" s="311"/>
    </row>
    <row r="25" ht="38.25" spans="1:20">
      <c r="A25" s="313" t="s">
        <v>97</v>
      </c>
      <c r="B25" s="320" t="s">
        <v>98</v>
      </c>
      <c r="C25" s="320" t="s">
        <v>99</v>
      </c>
      <c r="D25" s="320" t="s">
        <v>26</v>
      </c>
      <c r="E25" s="320" t="s">
        <v>100</v>
      </c>
      <c r="F25" s="313" t="s">
        <v>101</v>
      </c>
      <c r="G25" s="318">
        <v>411.514093767184</v>
      </c>
      <c r="H25" s="316">
        <f t="shared" si="0"/>
        <v>1574.02597402598</v>
      </c>
      <c r="I25" s="323">
        <v>1458.44155844156</v>
      </c>
      <c r="J25" s="318">
        <v>0</v>
      </c>
      <c r="K25" s="318">
        <v>100</v>
      </c>
      <c r="L25" s="318">
        <f>(I25+J25+K25)*'2-报价汇总'!$H$5</f>
        <v>15.5844155844156</v>
      </c>
      <c r="M25" s="318">
        <f>(I25+J25+K25+L25)*'2-报价汇总'!$I$5</f>
        <v>0</v>
      </c>
      <c r="N25" s="318">
        <f>(M25+L25+K25+J25+I25)*'2-报价汇总'!$J$5</f>
        <v>0</v>
      </c>
      <c r="O25" s="313">
        <f t="shared" si="1"/>
        <v>647733.872267308</v>
      </c>
      <c r="P25" s="321"/>
      <c r="Q25" s="311"/>
      <c r="R25" s="311"/>
      <c r="S25" s="311"/>
      <c r="T25" s="311"/>
    </row>
    <row r="26" ht="25.5" spans="1:20">
      <c r="A26" s="313" t="s">
        <v>102</v>
      </c>
      <c r="B26" s="320" t="s">
        <v>103</v>
      </c>
      <c r="C26" s="320" t="s">
        <v>104</v>
      </c>
      <c r="D26" s="320" t="s">
        <v>26</v>
      </c>
      <c r="E26" s="320" t="s">
        <v>105</v>
      </c>
      <c r="F26" s="313" t="s">
        <v>106</v>
      </c>
      <c r="G26" s="318">
        <v>200</v>
      </c>
      <c r="H26" s="316">
        <f t="shared" si="0"/>
        <v>874.458874458875</v>
      </c>
      <c r="I26" s="323">
        <v>825.800865800866</v>
      </c>
      <c r="J26" s="318">
        <v>0</v>
      </c>
      <c r="K26" s="318">
        <v>40</v>
      </c>
      <c r="L26" s="318">
        <f>(I26+J26+K26)*'2-报价汇总'!$H$5</f>
        <v>8.65800865800866</v>
      </c>
      <c r="M26" s="318">
        <f>(I26+J26+K26+L26)*'2-报价汇总'!$I$5</f>
        <v>0</v>
      </c>
      <c r="N26" s="318">
        <f>(M26+L26+K26+J26+I26)*'2-报价汇总'!$J$5</f>
        <v>0</v>
      </c>
      <c r="O26" s="313">
        <f t="shared" si="1"/>
        <v>174891.774891775</v>
      </c>
      <c r="P26" s="321"/>
      <c r="Q26" s="311"/>
      <c r="R26" s="311"/>
      <c r="S26" s="311"/>
      <c r="T26" s="311"/>
    </row>
    <row r="27" ht="25.5" spans="1:20">
      <c r="A27" s="313" t="s">
        <v>107</v>
      </c>
      <c r="B27" s="320" t="s">
        <v>108</v>
      </c>
      <c r="C27" s="320" t="s">
        <v>109</v>
      </c>
      <c r="D27" s="320" t="s">
        <v>26</v>
      </c>
      <c r="E27" s="320" t="s">
        <v>105</v>
      </c>
      <c r="F27" s="313" t="s">
        <v>106</v>
      </c>
      <c r="G27" s="318">
        <v>50</v>
      </c>
      <c r="H27" s="316">
        <f t="shared" si="0"/>
        <v>1311.68831168831</v>
      </c>
      <c r="I27" s="323">
        <v>1058.7012987013</v>
      </c>
      <c r="J27" s="318">
        <v>0</v>
      </c>
      <c r="K27" s="318">
        <v>240</v>
      </c>
      <c r="L27" s="318">
        <f>(I27+J27+K27)*'2-报价汇总'!$H$5</f>
        <v>12.987012987013</v>
      </c>
      <c r="M27" s="318">
        <f>(I27+J27+K27+L27)*'2-报价汇总'!$I$5</f>
        <v>0</v>
      </c>
      <c r="N27" s="318">
        <f>(M27+L27+K27+J27+I27)*'2-报价汇总'!$J$5</f>
        <v>0</v>
      </c>
      <c r="O27" s="313">
        <f t="shared" si="1"/>
        <v>65584.4155844156</v>
      </c>
      <c r="P27" s="321"/>
      <c r="Q27" s="311"/>
      <c r="R27" s="311"/>
      <c r="S27" s="311"/>
      <c r="T27" s="311"/>
    </row>
    <row r="28" ht="25.5" spans="1:20">
      <c r="A28" s="313" t="s">
        <v>110</v>
      </c>
      <c r="B28" s="320" t="s">
        <v>111</v>
      </c>
      <c r="C28" s="320" t="s">
        <v>112</v>
      </c>
      <c r="D28" s="320" t="s">
        <v>26</v>
      </c>
      <c r="E28" s="320" t="s">
        <v>100</v>
      </c>
      <c r="F28" s="313" t="s">
        <v>113</v>
      </c>
      <c r="G28" s="318">
        <v>15495.7395940421</v>
      </c>
      <c r="H28" s="316">
        <f t="shared" si="0"/>
        <v>104.935064935065</v>
      </c>
      <c r="I28" s="323">
        <v>79.956103896104</v>
      </c>
      <c r="J28" s="318">
        <v>0</v>
      </c>
      <c r="K28" s="318">
        <v>23.94</v>
      </c>
      <c r="L28" s="318">
        <f>(I28+J28+K28)*'2-报价汇总'!$H$5</f>
        <v>1.03896103896104</v>
      </c>
      <c r="M28" s="318">
        <f>(I28+J28+K28+L28)*'2-报价汇总'!$I$5</f>
        <v>0</v>
      </c>
      <c r="N28" s="318">
        <f>(M28+L28+K28+J28+I28)*'2-报价汇总'!$J$5</f>
        <v>0</v>
      </c>
      <c r="O28" s="313">
        <f t="shared" si="1"/>
        <v>1626046.44051767</v>
      </c>
      <c r="P28" s="321"/>
      <c r="Q28" s="311"/>
      <c r="R28" s="311"/>
      <c r="S28" s="311"/>
      <c r="T28" s="311"/>
    </row>
    <row r="29" ht="25.5" spans="1:20">
      <c r="A29" s="313" t="s">
        <v>114</v>
      </c>
      <c r="B29" s="320" t="s">
        <v>115</v>
      </c>
      <c r="C29" s="320" t="s">
        <v>116</v>
      </c>
      <c r="D29" s="320" t="s">
        <v>26</v>
      </c>
      <c r="E29" s="320" t="s">
        <v>117</v>
      </c>
      <c r="F29" s="313" t="s">
        <v>89</v>
      </c>
      <c r="G29" s="318">
        <v>40646.6010749038</v>
      </c>
      <c r="H29" s="316">
        <f t="shared" si="0"/>
        <v>13.1149593073593</v>
      </c>
      <c r="I29" s="323">
        <v>12.1351082251082</v>
      </c>
      <c r="J29" s="318">
        <v>0</v>
      </c>
      <c r="K29" s="318">
        <v>0.85</v>
      </c>
      <c r="L29" s="318">
        <f>(I29+J29+K29)*'2-报价汇总'!$H$5</f>
        <v>0.129851082251082</v>
      </c>
      <c r="M29" s="318">
        <f>(I29+J29+K29+L29)*'2-报价汇总'!$I$5</f>
        <v>0</v>
      </c>
      <c r="N29" s="318">
        <f>(M29+L29+K29+J29+I29)*'2-报价汇总'!$J$5</f>
        <v>0</v>
      </c>
      <c r="O29" s="313">
        <f t="shared" si="1"/>
        <v>533078.519079829</v>
      </c>
      <c r="P29" s="321"/>
      <c r="Q29" s="311"/>
      <c r="R29" s="311"/>
      <c r="S29" s="311"/>
      <c r="T29" s="311"/>
    </row>
    <row r="30" ht="38.25" spans="1:20">
      <c r="A30" s="313" t="s">
        <v>118</v>
      </c>
      <c r="B30" s="320" t="s">
        <v>119</v>
      </c>
      <c r="C30" s="320" t="s">
        <v>120</v>
      </c>
      <c r="D30" s="320" t="s">
        <v>26</v>
      </c>
      <c r="E30" s="320" t="s">
        <v>121</v>
      </c>
      <c r="F30" s="313" t="s">
        <v>28</v>
      </c>
      <c r="G30" s="318">
        <v>200</v>
      </c>
      <c r="H30" s="316">
        <f t="shared" si="0"/>
        <v>13.1149593073593</v>
      </c>
      <c r="I30" s="323">
        <v>12.9051082251082</v>
      </c>
      <c r="J30" s="318">
        <v>0</v>
      </c>
      <c r="K30" s="318">
        <v>0.08</v>
      </c>
      <c r="L30" s="318">
        <f>(I30+J30+K30)*'2-报价汇总'!$H$5</f>
        <v>0.129851082251082</v>
      </c>
      <c r="M30" s="318">
        <f>(I30+J30+K30+L30)*'2-报价汇总'!$I$5</f>
        <v>0</v>
      </c>
      <c r="N30" s="318">
        <f>(M30+L30+K30+J30+I30)*'2-报价汇总'!$J$5</f>
        <v>0</v>
      </c>
      <c r="O30" s="313">
        <f t="shared" si="1"/>
        <v>2622.99186147186</v>
      </c>
      <c r="P30" s="321"/>
      <c r="Q30" s="311"/>
      <c r="R30" s="311"/>
      <c r="S30" s="311"/>
      <c r="T30" s="311"/>
    </row>
    <row r="31" ht="51" spans="1:20">
      <c r="A31" s="313" t="s">
        <v>122</v>
      </c>
      <c r="B31" s="320" t="s">
        <v>123</v>
      </c>
      <c r="C31" s="320" t="s">
        <v>124</v>
      </c>
      <c r="D31" s="320" t="s">
        <v>26</v>
      </c>
      <c r="E31" s="320" t="s">
        <v>125</v>
      </c>
      <c r="F31" s="313" t="s">
        <v>126</v>
      </c>
      <c r="G31" s="318">
        <v>200</v>
      </c>
      <c r="H31" s="316">
        <f t="shared" si="0"/>
        <v>262.337662337663</v>
      </c>
      <c r="I31" s="323">
        <v>209.74025974026</v>
      </c>
      <c r="J31" s="318">
        <v>0</v>
      </c>
      <c r="K31" s="318">
        <v>50</v>
      </c>
      <c r="L31" s="318">
        <f>(I31+J31+K31)*'2-报价汇总'!$H$5</f>
        <v>2.5974025974026</v>
      </c>
      <c r="M31" s="318">
        <f>(I31+J31+K31+L31)*'2-报价汇总'!$I$5</f>
        <v>0</v>
      </c>
      <c r="N31" s="318">
        <f>(M31+L31+K31+J31+I31)*'2-报价汇总'!$J$5</f>
        <v>0</v>
      </c>
      <c r="O31" s="313">
        <f t="shared" si="1"/>
        <v>52467.5324675325</v>
      </c>
      <c r="P31" s="321"/>
      <c r="Q31" s="311"/>
      <c r="R31" s="311"/>
      <c r="S31" s="311"/>
      <c r="T31" s="311"/>
    </row>
    <row r="32" ht="51" spans="1:20">
      <c r="A32" s="313" t="s">
        <v>127</v>
      </c>
      <c r="B32" s="320" t="s">
        <v>123</v>
      </c>
      <c r="C32" s="320" t="s">
        <v>128</v>
      </c>
      <c r="D32" s="320" t="s">
        <v>26</v>
      </c>
      <c r="E32" s="320" t="s">
        <v>125</v>
      </c>
      <c r="F32" s="313" t="s">
        <v>126</v>
      </c>
      <c r="G32" s="318">
        <v>200</v>
      </c>
      <c r="H32" s="316">
        <f t="shared" si="0"/>
        <v>699.5670995671</v>
      </c>
      <c r="I32" s="323">
        <v>652.440692640693</v>
      </c>
      <c r="J32" s="318">
        <v>0</v>
      </c>
      <c r="K32" s="318">
        <v>40.2</v>
      </c>
      <c r="L32" s="318">
        <f>(I32+J32+K32)*'2-报价汇总'!$H$5</f>
        <v>6.92640692640693</v>
      </c>
      <c r="M32" s="318">
        <f>(I32+J32+K32+L32)*'2-报价汇总'!$I$5</f>
        <v>0</v>
      </c>
      <c r="N32" s="318">
        <f>(M32+L32+K32+J32+I32)*'2-报价汇总'!$J$5</f>
        <v>0</v>
      </c>
      <c r="O32" s="313">
        <f t="shared" si="1"/>
        <v>139913.41991342</v>
      </c>
      <c r="P32" s="321"/>
      <c r="Q32" s="311"/>
      <c r="R32" s="311"/>
      <c r="S32" s="311"/>
      <c r="T32" s="311"/>
    </row>
    <row r="33" ht="25.5" spans="1:20">
      <c r="A33" s="313" t="s">
        <v>129</v>
      </c>
      <c r="B33" s="320" t="s">
        <v>130</v>
      </c>
      <c r="C33" s="320" t="s">
        <v>131</v>
      </c>
      <c r="D33" s="320" t="s">
        <v>26</v>
      </c>
      <c r="E33" s="320" t="s">
        <v>132</v>
      </c>
      <c r="F33" s="313" t="s">
        <v>28</v>
      </c>
      <c r="G33" s="318">
        <v>20000</v>
      </c>
      <c r="H33" s="316">
        <f t="shared" si="0"/>
        <v>11.3679653679654</v>
      </c>
      <c r="I33" s="323">
        <v>10.4154112554113</v>
      </c>
      <c r="J33" s="318">
        <v>0</v>
      </c>
      <c r="K33" s="318">
        <v>0.84</v>
      </c>
      <c r="L33" s="318">
        <f>(I33+J33+K33)*'2-报价汇总'!$H$5</f>
        <v>0.112554112554113</v>
      </c>
      <c r="M33" s="318">
        <f>(I33+J33+K33+L33)*'2-报价汇总'!$I$5</f>
        <v>0</v>
      </c>
      <c r="N33" s="318">
        <f>(M33+L33+K33+J33+I33)*'2-报价汇总'!$J$5</f>
        <v>0</v>
      </c>
      <c r="O33" s="313">
        <f t="shared" si="1"/>
        <v>227359.307359308</v>
      </c>
      <c r="P33" s="321"/>
      <c r="Q33" s="311"/>
      <c r="R33" s="311"/>
      <c r="S33" s="311"/>
      <c r="T33" s="311"/>
    </row>
    <row r="34" ht="38.25" spans="1:20">
      <c r="A34" s="313" t="s">
        <v>133</v>
      </c>
      <c r="B34" s="320" t="s">
        <v>134</v>
      </c>
      <c r="C34" s="320" t="s">
        <v>135</v>
      </c>
      <c r="D34" s="320" t="s">
        <v>26</v>
      </c>
      <c r="E34" s="320" t="s">
        <v>44</v>
      </c>
      <c r="F34" s="313" t="s">
        <v>28</v>
      </c>
      <c r="G34" s="318">
        <v>20000</v>
      </c>
      <c r="H34" s="316">
        <f t="shared" si="0"/>
        <v>6.995670995671</v>
      </c>
      <c r="I34" s="323">
        <v>6.84640692640693</v>
      </c>
      <c r="J34" s="318">
        <v>0</v>
      </c>
      <c r="K34" s="318">
        <v>0.08</v>
      </c>
      <c r="L34" s="318">
        <f>(I34+J34+K34)*'2-报价汇总'!$H$5</f>
        <v>0.0692640692640693</v>
      </c>
      <c r="M34" s="318">
        <f>(I34+J34+K34+L34)*'2-报价汇总'!$I$5</f>
        <v>0</v>
      </c>
      <c r="N34" s="318">
        <f>(M34+L34+K34+J34+I34)*'2-报价汇总'!$J$5</f>
        <v>0</v>
      </c>
      <c r="O34" s="313">
        <f t="shared" si="1"/>
        <v>139913.41991342</v>
      </c>
      <c r="P34" s="321"/>
      <c r="Q34" s="311"/>
      <c r="R34" s="311"/>
      <c r="S34" s="311"/>
      <c r="T34" s="311"/>
    </row>
    <row r="35" ht="38.25" spans="1:20">
      <c r="A35" s="313" t="s">
        <v>136</v>
      </c>
      <c r="B35" s="320" t="s">
        <v>137</v>
      </c>
      <c r="C35" s="320" t="s">
        <v>138</v>
      </c>
      <c r="D35" s="320" t="s">
        <v>26</v>
      </c>
      <c r="E35" s="320" t="s">
        <v>139</v>
      </c>
      <c r="F35" s="313" t="s">
        <v>28</v>
      </c>
      <c r="G35" s="318">
        <v>79520.4895402491</v>
      </c>
      <c r="H35" s="316">
        <f t="shared" si="0"/>
        <v>13.1149593073593</v>
      </c>
      <c r="I35" s="323">
        <v>12.4351082251082</v>
      </c>
      <c r="J35" s="318">
        <v>0</v>
      </c>
      <c r="K35" s="318">
        <v>0.55</v>
      </c>
      <c r="L35" s="318">
        <f>(I35+J35+K35)*'2-报价汇总'!$H$5</f>
        <v>0.129851082251082</v>
      </c>
      <c r="M35" s="318">
        <f>(I35+J35+K35+L35)*'2-报价汇总'!$I$5</f>
        <v>0</v>
      </c>
      <c r="N35" s="318">
        <f>(M35+L35+K35+J35+I35)*'2-报价汇总'!$J$5</f>
        <v>0</v>
      </c>
      <c r="O35" s="313">
        <f t="shared" si="1"/>
        <v>1042907.98442166</v>
      </c>
      <c r="P35" s="321"/>
      <c r="Q35" s="311"/>
      <c r="R35" s="311"/>
      <c r="S35" s="311"/>
      <c r="T35" s="311"/>
    </row>
    <row r="36" ht="25.5" spans="1:20">
      <c r="A36" s="313" t="s">
        <v>140</v>
      </c>
      <c r="B36" s="320" t="s">
        <v>141</v>
      </c>
      <c r="C36" s="320" t="s">
        <v>142</v>
      </c>
      <c r="D36" s="320" t="s">
        <v>143</v>
      </c>
      <c r="E36" s="320" t="s">
        <v>144</v>
      </c>
      <c r="F36" s="313" t="s">
        <v>89</v>
      </c>
      <c r="G36" s="318">
        <v>5000</v>
      </c>
      <c r="H36" s="316">
        <f t="shared" si="0"/>
        <v>1.31046406926407</v>
      </c>
      <c r="I36" s="323">
        <v>1.26748917748918</v>
      </c>
      <c r="J36" s="318">
        <v>0</v>
      </c>
      <c r="K36" s="318">
        <v>0.03</v>
      </c>
      <c r="L36" s="318">
        <f>(I36+J36+K36)*'2-报价汇总'!$H$5</f>
        <v>0.0129748917748918</v>
      </c>
      <c r="M36" s="318">
        <f>(I36+J36+K36+L36)*'2-报价汇总'!$I$5</f>
        <v>0</v>
      </c>
      <c r="N36" s="318">
        <f>(M36+L36+K36+J36+I36)*'2-报价汇总'!$J$5</f>
        <v>0</v>
      </c>
      <c r="O36" s="313">
        <f t="shared" si="1"/>
        <v>6552.32034632036</v>
      </c>
      <c r="P36" s="321"/>
      <c r="Q36" s="311"/>
      <c r="R36" s="311"/>
      <c r="S36" s="311"/>
      <c r="T36" s="311"/>
    </row>
    <row r="37" ht="38.25" spans="1:20">
      <c r="A37" s="313" t="s">
        <v>145</v>
      </c>
      <c r="B37" s="320" t="s">
        <v>146</v>
      </c>
      <c r="C37" s="320" t="s">
        <v>147</v>
      </c>
      <c r="D37" s="320" t="s">
        <v>26</v>
      </c>
      <c r="E37" s="320" t="s">
        <v>144</v>
      </c>
      <c r="F37" s="313" t="s">
        <v>89</v>
      </c>
      <c r="G37" s="318">
        <v>9587.30523824324</v>
      </c>
      <c r="H37" s="316">
        <f t="shared" si="0"/>
        <v>13.1149593073593</v>
      </c>
      <c r="I37" s="323">
        <v>12.5851082251082</v>
      </c>
      <c r="J37" s="318">
        <v>0</v>
      </c>
      <c r="K37" s="318">
        <v>0.4</v>
      </c>
      <c r="L37" s="318">
        <f>(I37+J37+K37)*'2-报价汇总'!$H$5</f>
        <v>0.129851082251082</v>
      </c>
      <c r="M37" s="318">
        <f>(I37+J37+K37+L37)*'2-报价汇总'!$I$5</f>
        <v>0</v>
      </c>
      <c r="N37" s="318">
        <f>(M37+L37+K37+J37+I37)*'2-报价汇总'!$J$5</f>
        <v>0</v>
      </c>
      <c r="O37" s="313">
        <f t="shared" si="1"/>
        <v>125737.118066793</v>
      </c>
      <c r="P37" s="321"/>
      <c r="Q37" s="311"/>
      <c r="R37" s="311"/>
      <c r="S37" s="311"/>
      <c r="T37" s="311"/>
    </row>
    <row r="38" ht="38.25" spans="1:20">
      <c r="A38" s="313" t="s">
        <v>148</v>
      </c>
      <c r="B38" s="320" t="s">
        <v>149</v>
      </c>
      <c r="C38" s="320" t="s">
        <v>150</v>
      </c>
      <c r="D38" s="320" t="s">
        <v>26</v>
      </c>
      <c r="E38" s="320" t="s">
        <v>121</v>
      </c>
      <c r="F38" s="313" t="s">
        <v>28</v>
      </c>
      <c r="G38" s="318">
        <v>5000</v>
      </c>
      <c r="H38" s="316">
        <f t="shared" si="0"/>
        <v>43.7199705627706</v>
      </c>
      <c r="I38" s="323">
        <v>42.2870995670996</v>
      </c>
      <c r="J38" s="318">
        <v>0</v>
      </c>
      <c r="K38" s="318">
        <v>1</v>
      </c>
      <c r="L38" s="318">
        <f>(I38+J38+K38)*'2-报价汇总'!$H$5</f>
        <v>0.432870995670996</v>
      </c>
      <c r="M38" s="318">
        <f>(I38+J38+K38+L38)*'2-报价汇总'!$I$5</f>
        <v>0</v>
      </c>
      <c r="N38" s="318">
        <f>(M38+L38+K38+J38+I38)*'2-报价汇总'!$J$5</f>
        <v>0</v>
      </c>
      <c r="O38" s="313">
        <f t="shared" si="1"/>
        <v>218599.852813853</v>
      </c>
      <c r="P38" s="321"/>
      <c r="Q38" s="311"/>
      <c r="R38" s="311"/>
      <c r="S38" s="311"/>
      <c r="T38" s="311"/>
    </row>
    <row r="39" ht="25.5" spans="1:20">
      <c r="A39" s="313" t="s">
        <v>151</v>
      </c>
      <c r="B39" s="320" t="s">
        <v>152</v>
      </c>
      <c r="C39" s="320"/>
      <c r="D39" s="320" t="s">
        <v>26</v>
      </c>
      <c r="E39" s="320" t="s">
        <v>153</v>
      </c>
      <c r="F39" s="313" t="s">
        <v>154</v>
      </c>
      <c r="G39" s="318">
        <v>30000</v>
      </c>
      <c r="H39" s="316">
        <f t="shared" si="0"/>
        <v>546.536796536796</v>
      </c>
      <c r="I39" s="323">
        <v>181.125541125541</v>
      </c>
      <c r="J39" s="318">
        <v>0</v>
      </c>
      <c r="K39" s="318">
        <v>360</v>
      </c>
      <c r="L39" s="318">
        <f>(I39+J39+K39)*'2-报价汇总'!$H$5</f>
        <v>5.41125541125541</v>
      </c>
      <c r="M39" s="318">
        <f>(I39+J39+K39+L39)*'2-报价汇总'!$I$5</f>
        <v>0</v>
      </c>
      <c r="N39" s="318">
        <f>(M39+L39+K39+J39+I39)*'2-报价汇总'!$J$5</f>
        <v>0</v>
      </c>
      <c r="O39" s="313">
        <f t="shared" si="1"/>
        <v>16396103.8961039</v>
      </c>
      <c r="P39" s="321"/>
      <c r="Q39" s="311"/>
      <c r="R39" s="311"/>
      <c r="S39" s="311"/>
      <c r="T39" s="311"/>
    </row>
    <row r="40" ht="25.5" spans="1:20">
      <c r="A40" s="313" t="s">
        <v>155</v>
      </c>
      <c r="B40" s="320" t="s">
        <v>156</v>
      </c>
      <c r="C40" s="320"/>
      <c r="D40" s="320" t="s">
        <v>26</v>
      </c>
      <c r="E40" s="320" t="s">
        <v>157</v>
      </c>
      <c r="F40" s="313" t="s">
        <v>154</v>
      </c>
      <c r="G40" s="318">
        <v>35655.6697826763</v>
      </c>
      <c r="H40" s="316">
        <f t="shared" si="0"/>
        <v>765.151515151516</v>
      </c>
      <c r="I40" s="323">
        <v>257.575757575758</v>
      </c>
      <c r="J40" s="318">
        <v>0</v>
      </c>
      <c r="K40" s="318">
        <v>500</v>
      </c>
      <c r="L40" s="318">
        <f>(I40+J40+K40)*'2-报价汇总'!$H$5</f>
        <v>7.57575757575758</v>
      </c>
      <c r="M40" s="318">
        <f>(I40+J40+K40+L40)*'2-报价汇总'!$I$5</f>
        <v>0</v>
      </c>
      <c r="N40" s="318">
        <f>(M40+L40+K40+J40+I40)*'2-报价汇总'!$J$5</f>
        <v>0</v>
      </c>
      <c r="O40" s="313">
        <f t="shared" si="1"/>
        <v>27281989.7579569</v>
      </c>
      <c r="P40" s="321"/>
      <c r="Q40" s="311"/>
      <c r="R40" s="311"/>
      <c r="S40" s="311"/>
      <c r="T40" s="311"/>
    </row>
    <row r="41" spans="1:20">
      <c r="A41" s="313"/>
      <c r="B41" s="324" t="s">
        <v>158</v>
      </c>
      <c r="C41" s="320"/>
      <c r="D41" s="320"/>
      <c r="E41" s="320"/>
      <c r="F41" s="313"/>
      <c r="G41" s="318"/>
      <c r="H41" s="313"/>
      <c r="I41" s="318"/>
      <c r="J41" s="318"/>
      <c r="K41" s="318"/>
      <c r="L41" s="323"/>
      <c r="M41" s="323"/>
      <c r="N41" s="323"/>
      <c r="O41" s="313"/>
      <c r="P41" s="321"/>
      <c r="Q41" s="311"/>
      <c r="R41" s="311"/>
      <c r="S41" s="311"/>
      <c r="T41" s="311"/>
    </row>
    <row r="42" spans="1:20">
      <c r="A42" s="313"/>
      <c r="B42" s="319" t="s">
        <v>159</v>
      </c>
      <c r="C42" s="320"/>
      <c r="D42" s="320"/>
      <c r="E42" s="320"/>
      <c r="F42" s="313"/>
      <c r="G42" s="318"/>
      <c r="H42" s="313"/>
      <c r="I42" s="318"/>
      <c r="J42" s="318"/>
      <c r="K42" s="318"/>
      <c r="L42" s="323"/>
      <c r="M42" s="323"/>
      <c r="N42" s="323"/>
      <c r="O42" s="313"/>
      <c r="P42" s="321"/>
      <c r="Q42" s="311"/>
      <c r="R42" s="311"/>
      <c r="S42" s="311"/>
      <c r="T42" s="311"/>
    </row>
    <row r="43" spans="1:20">
      <c r="A43" s="313" t="s">
        <v>160</v>
      </c>
      <c r="B43" s="319" t="s">
        <v>161</v>
      </c>
      <c r="C43" s="320"/>
      <c r="D43" s="320"/>
      <c r="E43" s="320"/>
      <c r="F43" s="313"/>
      <c r="G43" s="318"/>
      <c r="H43" s="313"/>
      <c r="I43" s="318"/>
      <c r="J43" s="318"/>
      <c r="K43" s="318"/>
      <c r="L43" s="323"/>
      <c r="M43" s="323"/>
      <c r="N43" s="323"/>
      <c r="O43" s="313"/>
      <c r="P43" s="321"/>
      <c r="Q43" s="311"/>
      <c r="R43" s="311"/>
      <c r="S43" s="311"/>
      <c r="T43" s="311"/>
    </row>
    <row r="44" ht="63.75" spans="1:20">
      <c r="A44" s="313" t="s">
        <v>162</v>
      </c>
      <c r="B44" s="320" t="s">
        <v>163</v>
      </c>
      <c r="C44" s="325" t="s">
        <v>164</v>
      </c>
      <c r="D44" s="320" t="s">
        <v>165</v>
      </c>
      <c r="E44" s="320" t="s">
        <v>166</v>
      </c>
      <c r="F44" s="313" t="s">
        <v>28</v>
      </c>
      <c r="G44" s="318">
        <v>139029.871410811</v>
      </c>
      <c r="H44" s="316">
        <f t="shared" ref="H44:H77" si="2">SUM(I44:N44)</f>
        <v>197.455</v>
      </c>
      <c r="I44" s="323">
        <v>94.3</v>
      </c>
      <c r="J44" s="318">
        <v>100</v>
      </c>
      <c r="K44" s="318">
        <v>1.2</v>
      </c>
      <c r="L44" s="318">
        <f>(I44+J44+K44)*'2-报价汇总'!$H$5</f>
        <v>1.955</v>
      </c>
      <c r="M44" s="318">
        <f>(I44+J44+K44+L44)*'2-报价汇总'!$I$5</f>
        <v>0</v>
      </c>
      <c r="N44" s="318">
        <f>(M44+L44+K44+J44+I44)*'2-报价汇总'!$J$5</f>
        <v>0</v>
      </c>
      <c r="O44" s="313">
        <f t="shared" ref="O44:O107" si="3">G44*H44</f>
        <v>27452143.2594217</v>
      </c>
      <c r="P44" s="313"/>
      <c r="Q44" s="311"/>
      <c r="R44" s="311"/>
      <c r="S44" s="311"/>
      <c r="T44" s="311"/>
    </row>
    <row r="45" ht="63.75" spans="1:20">
      <c r="A45" s="313" t="s">
        <v>167</v>
      </c>
      <c r="B45" s="320" t="s">
        <v>168</v>
      </c>
      <c r="C45" s="325" t="s">
        <v>169</v>
      </c>
      <c r="D45" s="320" t="s">
        <v>165</v>
      </c>
      <c r="E45" s="320" t="s">
        <v>170</v>
      </c>
      <c r="F45" s="313" t="s">
        <v>28</v>
      </c>
      <c r="G45" s="318">
        <v>80000</v>
      </c>
      <c r="H45" s="316">
        <f t="shared" si="2"/>
        <v>217.655</v>
      </c>
      <c r="I45" s="323">
        <v>94.3</v>
      </c>
      <c r="J45" s="318">
        <v>120</v>
      </c>
      <c r="K45" s="318">
        <v>1.2</v>
      </c>
      <c r="L45" s="318">
        <f>(I45+J45+K45)*'2-报价汇总'!$H$5</f>
        <v>2.155</v>
      </c>
      <c r="M45" s="318">
        <f>(I45+J45+K45+L45)*'2-报价汇总'!$I$5</f>
        <v>0</v>
      </c>
      <c r="N45" s="318">
        <f>(M45+L45+K45+J45+I45)*'2-报价汇总'!$J$5</f>
        <v>0</v>
      </c>
      <c r="O45" s="313">
        <f t="shared" si="3"/>
        <v>17412400</v>
      </c>
      <c r="P45" s="313"/>
      <c r="Q45" s="311"/>
      <c r="R45" s="311"/>
      <c r="S45" s="311"/>
      <c r="T45" s="311"/>
    </row>
    <row r="46" ht="51" spans="1:20">
      <c r="A46" s="313" t="s">
        <v>171</v>
      </c>
      <c r="B46" s="320" t="s">
        <v>172</v>
      </c>
      <c r="C46" s="325" t="s">
        <v>173</v>
      </c>
      <c r="D46" s="320" t="s">
        <v>165</v>
      </c>
      <c r="E46" s="320" t="s">
        <v>170</v>
      </c>
      <c r="F46" s="313" t="s">
        <v>28</v>
      </c>
      <c r="G46" s="318">
        <v>499161.278361824</v>
      </c>
      <c r="H46" s="316">
        <f t="shared" si="2"/>
        <v>144.632</v>
      </c>
      <c r="I46" s="323">
        <v>62</v>
      </c>
      <c r="J46" s="318">
        <v>80</v>
      </c>
      <c r="K46" s="318">
        <v>1.2</v>
      </c>
      <c r="L46" s="318">
        <f>(I46+J46+K46)*'2-报价汇总'!$H$5</f>
        <v>1.432</v>
      </c>
      <c r="M46" s="318">
        <f>(I46+J46+K46+L46)*'2-报价汇总'!$I$5</f>
        <v>0</v>
      </c>
      <c r="N46" s="318">
        <f>(M46+L46+K46+J46+I46)*'2-报价汇总'!$J$5</f>
        <v>0</v>
      </c>
      <c r="O46" s="313">
        <f t="shared" si="3"/>
        <v>72194694.0120273</v>
      </c>
      <c r="P46" s="313"/>
      <c r="Q46" s="311"/>
      <c r="R46" s="311"/>
      <c r="S46" s="311"/>
      <c r="T46" s="311"/>
    </row>
    <row r="47" ht="63.75" spans="1:20">
      <c r="A47" s="313" t="s">
        <v>174</v>
      </c>
      <c r="B47" s="320" t="s">
        <v>175</v>
      </c>
      <c r="C47" s="325" t="s">
        <v>176</v>
      </c>
      <c r="D47" s="320" t="s">
        <v>165</v>
      </c>
      <c r="E47" s="320" t="s">
        <v>170</v>
      </c>
      <c r="F47" s="313" t="s">
        <v>28</v>
      </c>
      <c r="G47" s="318">
        <v>499161.278361824</v>
      </c>
      <c r="H47" s="316">
        <f t="shared" si="2"/>
        <v>154.732</v>
      </c>
      <c r="I47" s="323">
        <v>62</v>
      </c>
      <c r="J47" s="318">
        <v>90</v>
      </c>
      <c r="K47" s="318">
        <v>1.2</v>
      </c>
      <c r="L47" s="318">
        <f>(I47+J47+K47)*'2-报价汇总'!$H$5</f>
        <v>1.532</v>
      </c>
      <c r="M47" s="318">
        <f>(I47+J47+K47+L47)*'2-报价汇总'!$I$5</f>
        <v>0</v>
      </c>
      <c r="N47" s="318">
        <f>(M47+L47+K47+J47+I47)*'2-报价汇总'!$J$5</f>
        <v>0</v>
      </c>
      <c r="O47" s="313">
        <f t="shared" si="3"/>
        <v>77236222.9234817</v>
      </c>
      <c r="P47" s="313"/>
      <c r="Q47" s="311"/>
      <c r="R47" s="311"/>
      <c r="S47" s="311"/>
      <c r="T47" s="311"/>
    </row>
    <row r="48" ht="63.75" spans="1:20">
      <c r="A48" s="313" t="s">
        <v>177</v>
      </c>
      <c r="B48" s="320" t="s">
        <v>178</v>
      </c>
      <c r="C48" s="325" t="s">
        <v>179</v>
      </c>
      <c r="D48" s="320" t="s">
        <v>165</v>
      </c>
      <c r="E48" s="320" t="s">
        <v>170</v>
      </c>
      <c r="F48" s="313" t="s">
        <v>28</v>
      </c>
      <c r="G48" s="318">
        <v>69708.45554307</v>
      </c>
      <c r="H48" s="316">
        <f t="shared" si="2"/>
        <v>156.752</v>
      </c>
      <c r="I48" s="323">
        <v>62</v>
      </c>
      <c r="J48" s="318">
        <v>92</v>
      </c>
      <c r="K48" s="318">
        <v>1.2</v>
      </c>
      <c r="L48" s="318">
        <f>(I48+J48+K48)*'2-报价汇总'!$H$5</f>
        <v>1.552</v>
      </c>
      <c r="M48" s="318">
        <f>(I48+J48+K48+L48)*'2-报价汇总'!$I$5</f>
        <v>0</v>
      </c>
      <c r="N48" s="318">
        <f>(M48+L48+K48+J48+I48)*'2-报价汇总'!$J$5</f>
        <v>0</v>
      </c>
      <c r="O48" s="313">
        <f t="shared" si="3"/>
        <v>10926939.8232873</v>
      </c>
      <c r="P48" s="313"/>
      <c r="Q48" s="311"/>
      <c r="R48" s="311"/>
      <c r="S48" s="311"/>
      <c r="T48" s="311"/>
    </row>
    <row r="49" ht="63.75" spans="1:20">
      <c r="A49" s="313" t="s">
        <v>180</v>
      </c>
      <c r="B49" s="320" t="s">
        <v>181</v>
      </c>
      <c r="C49" s="325" t="s">
        <v>182</v>
      </c>
      <c r="D49" s="320" t="s">
        <v>165</v>
      </c>
      <c r="E49" s="320" t="s">
        <v>170</v>
      </c>
      <c r="F49" s="313" t="s">
        <v>28</v>
      </c>
      <c r="G49" s="318">
        <v>69708.45554307</v>
      </c>
      <c r="H49" s="316">
        <f t="shared" si="2"/>
        <v>133.32</v>
      </c>
      <c r="I49" s="323">
        <v>56</v>
      </c>
      <c r="J49" s="318">
        <v>75</v>
      </c>
      <c r="K49" s="318">
        <v>1</v>
      </c>
      <c r="L49" s="318">
        <f>(I49+J49+K49)*'2-报价汇总'!$H$5</f>
        <v>1.32</v>
      </c>
      <c r="M49" s="318">
        <f>(I49+J49+K49+L49)*'2-报价汇总'!$I$5</f>
        <v>0</v>
      </c>
      <c r="N49" s="318">
        <f>(M49+L49+K49+J49+I49)*'2-报价汇总'!$J$5</f>
        <v>0</v>
      </c>
      <c r="O49" s="313">
        <f t="shared" si="3"/>
        <v>9293531.29300209</v>
      </c>
      <c r="P49" s="313"/>
      <c r="Q49" s="311"/>
      <c r="R49" s="311"/>
      <c r="S49" s="311"/>
      <c r="T49" s="311"/>
    </row>
    <row r="50" ht="63.75" spans="1:20">
      <c r="A50" s="313" t="s">
        <v>183</v>
      </c>
      <c r="B50" s="320" t="s">
        <v>184</v>
      </c>
      <c r="C50" s="325" t="s">
        <v>185</v>
      </c>
      <c r="D50" s="320" t="s">
        <v>186</v>
      </c>
      <c r="E50" s="320" t="s">
        <v>170</v>
      </c>
      <c r="F50" s="313" t="s">
        <v>28</v>
      </c>
      <c r="G50" s="318">
        <v>10000</v>
      </c>
      <c r="H50" s="316">
        <f t="shared" si="2"/>
        <v>248.2681</v>
      </c>
      <c r="I50" s="323">
        <v>120</v>
      </c>
      <c r="J50" s="318">
        <v>120</v>
      </c>
      <c r="K50" s="318">
        <v>5.81</v>
      </c>
      <c r="L50" s="318">
        <f>(I50+J50+K50)*'2-报价汇总'!$H$5</f>
        <v>2.4581</v>
      </c>
      <c r="M50" s="318">
        <f>(I50+J50+K50+L50)*'2-报价汇总'!$I$5</f>
        <v>0</v>
      </c>
      <c r="N50" s="318">
        <f>(M50+L50+K50+J50+I50)*'2-报价汇总'!$J$5</f>
        <v>0</v>
      </c>
      <c r="O50" s="313">
        <f t="shared" si="3"/>
        <v>2482681</v>
      </c>
      <c r="P50" s="313"/>
      <c r="Q50" s="311"/>
      <c r="R50" s="311"/>
      <c r="S50" s="311"/>
      <c r="T50" s="311"/>
    </row>
    <row r="51" ht="63.75" spans="1:20">
      <c r="A51" s="313" t="s">
        <v>187</v>
      </c>
      <c r="B51" s="320" t="s">
        <v>188</v>
      </c>
      <c r="C51" s="325" t="s">
        <v>189</v>
      </c>
      <c r="D51" s="320" t="s">
        <v>186</v>
      </c>
      <c r="E51" s="320" t="s">
        <v>170</v>
      </c>
      <c r="F51" s="313" t="s">
        <v>28</v>
      </c>
      <c r="G51" s="318">
        <v>10000</v>
      </c>
      <c r="H51" s="316">
        <f t="shared" si="2"/>
        <v>183.636363636364</v>
      </c>
      <c r="I51" s="323">
        <v>45.838181818182</v>
      </c>
      <c r="J51" s="318">
        <v>130</v>
      </c>
      <c r="K51" s="318">
        <v>5.98</v>
      </c>
      <c r="L51" s="318">
        <f>(I51+J51+K51)*'2-报价汇总'!$H$5</f>
        <v>1.81818181818182</v>
      </c>
      <c r="M51" s="318">
        <f>(I51+J51+K51+L51)*'2-报价汇总'!$I$5</f>
        <v>0</v>
      </c>
      <c r="N51" s="318">
        <f>(M51+L51+K51+J51+I51)*'2-报价汇总'!$J$5</f>
        <v>0</v>
      </c>
      <c r="O51" s="313">
        <f t="shared" si="3"/>
        <v>1836363.63636364</v>
      </c>
      <c r="P51" s="313"/>
      <c r="Q51" s="311"/>
      <c r="R51" s="311"/>
      <c r="S51" s="311"/>
      <c r="T51" s="311"/>
    </row>
    <row r="52" ht="63.75" spans="1:20">
      <c r="A52" s="313" t="s">
        <v>190</v>
      </c>
      <c r="B52" s="320" t="s">
        <v>191</v>
      </c>
      <c r="C52" s="320" t="s">
        <v>192</v>
      </c>
      <c r="D52" s="320" t="s">
        <v>186</v>
      </c>
      <c r="E52" s="320" t="s">
        <v>170</v>
      </c>
      <c r="F52" s="313" t="s">
        <v>28</v>
      </c>
      <c r="G52" s="318">
        <v>10000</v>
      </c>
      <c r="H52" s="316">
        <f t="shared" si="2"/>
        <v>139.913419913419</v>
      </c>
      <c r="I52" s="323">
        <v>64.958138528138</v>
      </c>
      <c r="J52" s="318">
        <v>70</v>
      </c>
      <c r="K52" s="318">
        <v>3.57</v>
      </c>
      <c r="L52" s="318">
        <f>(I52+J52+K52)*'2-报价汇总'!$H$5</f>
        <v>1.38528138528138</v>
      </c>
      <c r="M52" s="318">
        <f>(I52+J52+K52+L52)*'2-报价汇总'!$I$5</f>
        <v>0</v>
      </c>
      <c r="N52" s="318">
        <f>(M52+L52+K52+J52+I52)*'2-报价汇总'!$J$5</f>
        <v>0</v>
      </c>
      <c r="O52" s="313">
        <f t="shared" si="3"/>
        <v>1399134.19913419</v>
      </c>
      <c r="P52" s="321"/>
      <c r="Q52" s="311"/>
      <c r="R52" s="311"/>
      <c r="S52" s="311"/>
      <c r="T52" s="311"/>
    </row>
    <row r="53" ht="38.25" spans="1:20">
      <c r="A53" s="313" t="s">
        <v>193</v>
      </c>
      <c r="B53" s="320" t="s">
        <v>194</v>
      </c>
      <c r="C53" s="320" t="s">
        <v>195</v>
      </c>
      <c r="D53" s="320" t="s">
        <v>165</v>
      </c>
      <c r="E53" s="320" t="s">
        <v>170</v>
      </c>
      <c r="F53" s="313" t="s">
        <v>28</v>
      </c>
      <c r="G53" s="318">
        <v>10000</v>
      </c>
      <c r="H53" s="316">
        <f t="shared" si="2"/>
        <v>56.8398268398269</v>
      </c>
      <c r="I53" s="323">
        <v>25.6470562770563</v>
      </c>
      <c r="J53" s="318">
        <v>30</v>
      </c>
      <c r="K53" s="318">
        <v>0.63</v>
      </c>
      <c r="L53" s="318">
        <f>(I53+J53+K53)*'2-报价汇总'!$H$5</f>
        <v>0.562770562770563</v>
      </c>
      <c r="M53" s="318">
        <f>(I53+J53+K53+L53)*'2-报价汇总'!$I$5</f>
        <v>0</v>
      </c>
      <c r="N53" s="318">
        <f>(M53+L53+K53+J53+I53)*'2-报价汇总'!$J$5</f>
        <v>0</v>
      </c>
      <c r="O53" s="313">
        <f t="shared" si="3"/>
        <v>568398.268398269</v>
      </c>
      <c r="P53" s="321"/>
      <c r="Q53" s="311"/>
      <c r="R53" s="311"/>
      <c r="S53" s="311"/>
      <c r="T53" s="311"/>
    </row>
    <row r="54" ht="63.75" spans="1:20">
      <c r="A54" s="313" t="s">
        <v>196</v>
      </c>
      <c r="B54" s="320" t="s">
        <v>197</v>
      </c>
      <c r="C54" s="320" t="s">
        <v>198</v>
      </c>
      <c r="D54" s="320" t="s">
        <v>165</v>
      </c>
      <c r="E54" s="320" t="s">
        <v>170</v>
      </c>
      <c r="F54" s="313" t="s">
        <v>28</v>
      </c>
      <c r="G54" s="318">
        <v>10000</v>
      </c>
      <c r="H54" s="316">
        <f t="shared" si="2"/>
        <v>214.242424242424</v>
      </c>
      <c r="I54" s="323">
        <v>65.931212121212</v>
      </c>
      <c r="J54" s="318">
        <v>140</v>
      </c>
      <c r="K54" s="318">
        <v>6.19</v>
      </c>
      <c r="L54" s="318">
        <f>(I54+J54+K54)*'2-报价汇总'!$H$5</f>
        <v>2.12121212121212</v>
      </c>
      <c r="M54" s="318">
        <f>(I54+J54+K54+L54)*'2-报价汇总'!$I$5</f>
        <v>0</v>
      </c>
      <c r="N54" s="318">
        <f>(M54+L54+K54+J54+I54)*'2-报价汇总'!$J$5</f>
        <v>0</v>
      </c>
      <c r="O54" s="313">
        <f t="shared" si="3"/>
        <v>2142424.24242424</v>
      </c>
      <c r="P54" s="321"/>
      <c r="Q54" s="311"/>
      <c r="R54" s="311"/>
      <c r="S54" s="311"/>
      <c r="T54" s="311"/>
    </row>
    <row r="55" ht="38.25" spans="1:20">
      <c r="A55" s="313" t="s">
        <v>199</v>
      </c>
      <c r="B55" s="320" t="s">
        <v>200</v>
      </c>
      <c r="C55" s="320" t="s">
        <v>201</v>
      </c>
      <c r="D55" s="320" t="s">
        <v>165</v>
      </c>
      <c r="E55" s="320" t="s">
        <v>170</v>
      </c>
      <c r="F55" s="313" t="s">
        <v>28</v>
      </c>
      <c r="G55" s="318">
        <v>35540.8460300763</v>
      </c>
      <c r="H55" s="316">
        <f t="shared" si="2"/>
        <v>65.5844155844156</v>
      </c>
      <c r="I55" s="323">
        <v>24.1350649350649</v>
      </c>
      <c r="J55" s="318">
        <v>40</v>
      </c>
      <c r="K55" s="318">
        <v>0.8</v>
      </c>
      <c r="L55" s="318">
        <f>(I55+J55+K55)*'2-报价汇总'!$H$5</f>
        <v>0.649350649350649</v>
      </c>
      <c r="M55" s="318">
        <f>(I55+J55+K55+L55)*'2-报价汇总'!$I$5</f>
        <v>0</v>
      </c>
      <c r="N55" s="318">
        <f>(M55+L55+K55+J55+I55)*'2-报价汇总'!$J$5</f>
        <v>0</v>
      </c>
      <c r="O55" s="313">
        <f t="shared" si="3"/>
        <v>2330925.61625825</v>
      </c>
      <c r="P55" s="321"/>
      <c r="Q55" s="311"/>
      <c r="R55" s="311"/>
      <c r="S55" s="311"/>
      <c r="T55" s="311"/>
    </row>
    <row r="56" ht="89.25" spans="1:20">
      <c r="A56" s="313" t="s">
        <v>202</v>
      </c>
      <c r="B56" s="320" t="s">
        <v>203</v>
      </c>
      <c r="C56" s="320" t="s">
        <v>204</v>
      </c>
      <c r="D56" s="320" t="s">
        <v>165</v>
      </c>
      <c r="E56" s="320" t="s">
        <v>170</v>
      </c>
      <c r="F56" s="313" t="s">
        <v>28</v>
      </c>
      <c r="G56" s="318">
        <v>1228493.11987472</v>
      </c>
      <c r="H56" s="316">
        <f t="shared" si="2"/>
        <v>188.297229437229</v>
      </c>
      <c r="I56" s="323">
        <v>62.2729004329</v>
      </c>
      <c r="J56" s="318">
        <v>120</v>
      </c>
      <c r="K56" s="318">
        <v>4.16</v>
      </c>
      <c r="L56" s="318">
        <f>(I56+J56+K56)*'2-报价汇总'!$H$5</f>
        <v>1.864329004329</v>
      </c>
      <c r="M56" s="318">
        <f>(I56+J56+K56+L56)*'2-报价汇总'!$I$5</f>
        <v>0</v>
      </c>
      <c r="N56" s="318">
        <f>(M56+L56+K56+J56+I56)*'2-报价汇总'!$J$5</f>
        <v>0</v>
      </c>
      <c r="O56" s="313">
        <f t="shared" si="3"/>
        <v>231321850.855107</v>
      </c>
      <c r="P56" s="321"/>
      <c r="Q56" s="311"/>
      <c r="R56" s="311"/>
      <c r="S56" s="311"/>
      <c r="T56" s="311"/>
    </row>
    <row r="57" ht="89.25" spans="1:20">
      <c r="A57" s="313" t="s">
        <v>205</v>
      </c>
      <c r="B57" s="320" t="s">
        <v>206</v>
      </c>
      <c r="C57" s="320" t="s">
        <v>207</v>
      </c>
      <c r="D57" s="320" t="s">
        <v>165</v>
      </c>
      <c r="E57" s="320" t="s">
        <v>170</v>
      </c>
      <c r="F57" s="313" t="s">
        <v>28</v>
      </c>
      <c r="G57" s="318">
        <v>47252.8906208908</v>
      </c>
      <c r="H57" s="316">
        <f t="shared" si="2"/>
        <v>167.266493506494</v>
      </c>
      <c r="I57" s="323">
        <v>51.78038961039</v>
      </c>
      <c r="J57" s="318">
        <v>110</v>
      </c>
      <c r="K57" s="318">
        <v>3.83</v>
      </c>
      <c r="L57" s="318">
        <f>(I57+J57+K57)*'2-报价汇总'!$H$5</f>
        <v>1.6561038961039</v>
      </c>
      <c r="M57" s="318">
        <f>(I57+J57+K57+L57)*'2-报价汇总'!$I$5</f>
        <v>0</v>
      </c>
      <c r="N57" s="318">
        <f>(M57+L57+K57+J57+I57)*'2-报价汇总'!$J$5</f>
        <v>0</v>
      </c>
      <c r="O57" s="313">
        <f t="shared" si="3"/>
        <v>7903825.3222023</v>
      </c>
      <c r="P57" s="321"/>
      <c r="Q57" s="311"/>
      <c r="R57" s="311"/>
      <c r="S57" s="311"/>
      <c r="T57" s="311"/>
    </row>
    <row r="58" ht="89.25" spans="1:20">
      <c r="A58" s="313" t="s">
        <v>208</v>
      </c>
      <c r="B58" s="320" t="s">
        <v>209</v>
      </c>
      <c r="C58" s="320" t="s">
        <v>210</v>
      </c>
      <c r="D58" s="320" t="s">
        <v>165</v>
      </c>
      <c r="E58" s="320" t="s">
        <v>170</v>
      </c>
      <c r="F58" s="313" t="s">
        <v>28</v>
      </c>
      <c r="G58" s="318">
        <v>1458.42255002749</v>
      </c>
      <c r="H58" s="316">
        <f t="shared" si="2"/>
        <v>147.328831168831</v>
      </c>
      <c r="I58" s="323">
        <v>42.52012987013</v>
      </c>
      <c r="J58" s="318">
        <v>100</v>
      </c>
      <c r="K58" s="318">
        <v>3.35</v>
      </c>
      <c r="L58" s="318">
        <f>(I58+J58+K58)*'2-报价汇总'!$H$5</f>
        <v>1.4587012987013</v>
      </c>
      <c r="M58" s="318">
        <f>(I58+J58+K58+L58)*'2-报价汇总'!$I$5</f>
        <v>0</v>
      </c>
      <c r="N58" s="318">
        <f>(M58+L58+K58+J58+I58)*'2-报价汇总'!$J$5</f>
        <v>0</v>
      </c>
      <c r="O58" s="313">
        <f t="shared" si="3"/>
        <v>214867.689645816</v>
      </c>
      <c r="P58" s="321"/>
      <c r="Q58" s="311"/>
      <c r="R58" s="311"/>
      <c r="S58" s="311"/>
      <c r="T58" s="311"/>
    </row>
    <row r="59" ht="89.25" spans="1:20">
      <c r="A59" s="313" t="s">
        <v>211</v>
      </c>
      <c r="B59" s="320" t="s">
        <v>212</v>
      </c>
      <c r="C59" s="320" t="s">
        <v>213</v>
      </c>
      <c r="D59" s="320" t="s">
        <v>186</v>
      </c>
      <c r="E59" s="320" t="s">
        <v>170</v>
      </c>
      <c r="F59" s="313" t="s">
        <v>28</v>
      </c>
      <c r="G59" s="318">
        <v>2000</v>
      </c>
      <c r="H59" s="316">
        <f t="shared" si="2"/>
        <v>168.377056277057</v>
      </c>
      <c r="I59" s="323">
        <v>43.259956709957</v>
      </c>
      <c r="J59" s="318">
        <v>120</v>
      </c>
      <c r="K59" s="318">
        <v>3.45</v>
      </c>
      <c r="L59" s="318">
        <f>(I59+J59+K59)*'2-报价汇总'!$H$5</f>
        <v>1.66709956709957</v>
      </c>
      <c r="M59" s="318">
        <f>(I59+J59+K59+L59)*'2-报价汇总'!$I$5</f>
        <v>0</v>
      </c>
      <c r="N59" s="318">
        <f>(M59+L59+K59+J59+I59)*'2-报价汇总'!$J$5</f>
        <v>0</v>
      </c>
      <c r="O59" s="313">
        <f t="shared" si="3"/>
        <v>336754.112554113</v>
      </c>
      <c r="P59" s="321"/>
      <c r="Q59" s="311"/>
      <c r="R59" s="311"/>
      <c r="S59" s="311"/>
      <c r="T59" s="311"/>
    </row>
    <row r="60" ht="89.25" spans="1:20">
      <c r="A60" s="313" t="s">
        <v>214</v>
      </c>
      <c r="B60" s="320" t="s">
        <v>215</v>
      </c>
      <c r="C60" s="320" t="s">
        <v>216</v>
      </c>
      <c r="D60" s="320" t="s">
        <v>186</v>
      </c>
      <c r="E60" s="320" t="s">
        <v>170</v>
      </c>
      <c r="F60" s="313" t="s">
        <v>28</v>
      </c>
      <c r="G60" s="318">
        <v>14947.0081095943</v>
      </c>
      <c r="H60" s="316">
        <f t="shared" si="2"/>
        <v>266.911082251082</v>
      </c>
      <c r="I60" s="323">
        <v>59.768398268398</v>
      </c>
      <c r="J60" s="318">
        <v>200</v>
      </c>
      <c r="K60" s="318">
        <v>4.5</v>
      </c>
      <c r="L60" s="318">
        <f>(I60+J60+K60)*'2-报价汇总'!$H$5</f>
        <v>2.64268398268398</v>
      </c>
      <c r="M60" s="318">
        <f>(I60+J60+K60+L60)*'2-报价汇总'!$I$5</f>
        <v>0</v>
      </c>
      <c r="N60" s="318">
        <f>(M60+L60+K60+J60+I60)*'2-报价汇总'!$J$5</f>
        <v>0</v>
      </c>
      <c r="O60" s="313">
        <f t="shared" si="3"/>
        <v>3989522.11094751</v>
      </c>
      <c r="P60" s="321"/>
      <c r="Q60" s="311"/>
      <c r="R60" s="311"/>
      <c r="S60" s="311"/>
      <c r="T60" s="311"/>
    </row>
    <row r="61" ht="51" spans="1:20">
      <c r="A61" s="313" t="s">
        <v>217</v>
      </c>
      <c r="B61" s="320" t="s">
        <v>218</v>
      </c>
      <c r="C61" s="320" t="s">
        <v>219</v>
      </c>
      <c r="D61" s="320" t="s">
        <v>165</v>
      </c>
      <c r="E61" s="320" t="s">
        <v>220</v>
      </c>
      <c r="F61" s="313" t="s">
        <v>89</v>
      </c>
      <c r="G61" s="318">
        <v>5000</v>
      </c>
      <c r="H61" s="316">
        <f t="shared" si="2"/>
        <v>31.739027012987</v>
      </c>
      <c r="I61" s="323">
        <v>8.9047792207792</v>
      </c>
      <c r="J61" s="318">
        <v>22.21</v>
      </c>
      <c r="K61" s="318">
        <v>0.31</v>
      </c>
      <c r="L61" s="318">
        <f>(I61+J61+K61)*'2-报价汇总'!$H$5</f>
        <v>0.314247792207792</v>
      </c>
      <c r="M61" s="318">
        <f>(I61+J61+K61+L61)*'2-报价汇总'!$I$5</f>
        <v>0</v>
      </c>
      <c r="N61" s="318">
        <f>(M61+L61+K61+J61+I61)*'2-报价汇总'!$J$5</f>
        <v>0</v>
      </c>
      <c r="O61" s="313">
        <f t="shared" si="3"/>
        <v>158695.135064935</v>
      </c>
      <c r="P61" s="321"/>
      <c r="Q61" s="311"/>
      <c r="R61" s="311"/>
      <c r="S61" s="311"/>
      <c r="T61" s="311"/>
    </row>
    <row r="62" ht="25.5" spans="1:20">
      <c r="A62" s="313" t="s">
        <v>221</v>
      </c>
      <c r="B62" s="320" t="s">
        <v>222</v>
      </c>
      <c r="C62" s="320" t="s">
        <v>223</v>
      </c>
      <c r="D62" s="320" t="s">
        <v>165</v>
      </c>
      <c r="E62" s="320" t="s">
        <v>170</v>
      </c>
      <c r="F62" s="313" t="s">
        <v>28</v>
      </c>
      <c r="G62" s="318">
        <v>8039.55430702656</v>
      </c>
      <c r="H62" s="316">
        <f t="shared" si="2"/>
        <v>39.3500372294372</v>
      </c>
      <c r="I62" s="323">
        <v>13.0904329004329</v>
      </c>
      <c r="J62" s="318">
        <v>25.09</v>
      </c>
      <c r="K62" s="318">
        <v>0.78</v>
      </c>
      <c r="L62" s="318">
        <f>(I62+J62+K62)*'2-报价汇总'!$H$5</f>
        <v>0.389604329004329</v>
      </c>
      <c r="M62" s="318">
        <f>(I62+J62+K62+L62)*'2-报价汇总'!$I$5</f>
        <v>0</v>
      </c>
      <c r="N62" s="318">
        <f>(M62+L62+K62+J62+I62)*'2-报价汇总'!$J$5</f>
        <v>0</v>
      </c>
      <c r="O62" s="313">
        <f t="shared" si="3"/>
        <v>316356.761289578</v>
      </c>
      <c r="P62" s="321"/>
      <c r="Q62" s="311"/>
      <c r="R62" s="311"/>
      <c r="S62" s="311"/>
      <c r="T62" s="311"/>
    </row>
    <row r="63" ht="38.25" spans="1:20">
      <c r="A63" s="313" t="s">
        <v>224</v>
      </c>
      <c r="B63" s="320" t="s">
        <v>225</v>
      </c>
      <c r="C63" s="320" t="s">
        <v>226</v>
      </c>
      <c r="D63" s="320" t="s">
        <v>227</v>
      </c>
      <c r="E63" s="320" t="s">
        <v>228</v>
      </c>
      <c r="F63" s="313" t="s">
        <v>89</v>
      </c>
      <c r="G63" s="318">
        <v>159761.075214574</v>
      </c>
      <c r="H63" s="316">
        <f t="shared" si="2"/>
        <v>41.974025974026</v>
      </c>
      <c r="I63" s="323">
        <v>21.1984415584416</v>
      </c>
      <c r="J63" s="318">
        <v>20</v>
      </c>
      <c r="K63" s="318">
        <v>0.36</v>
      </c>
      <c r="L63" s="318">
        <f>(I63+J63+K63)*'2-报价汇总'!$H$5</f>
        <v>0.415584415584416</v>
      </c>
      <c r="M63" s="318">
        <f>(I63+J63+K63+L63)*'2-报价汇总'!$I$5</f>
        <v>0</v>
      </c>
      <c r="N63" s="318">
        <f>(M63+L63+K63+J63+I63)*'2-报价汇总'!$J$5</f>
        <v>0</v>
      </c>
      <c r="O63" s="313">
        <f t="shared" si="3"/>
        <v>6705815.52069485</v>
      </c>
      <c r="P63" s="321"/>
      <c r="Q63" s="311"/>
      <c r="R63" s="311"/>
      <c r="S63" s="311"/>
      <c r="T63" s="311"/>
    </row>
    <row r="64" ht="25.5" spans="1:20">
      <c r="A64" s="313" t="s">
        <v>229</v>
      </c>
      <c r="B64" s="320" t="s">
        <v>230</v>
      </c>
      <c r="C64" s="320" t="s">
        <v>231</v>
      </c>
      <c r="D64" s="320" t="s">
        <v>165</v>
      </c>
      <c r="E64" s="320" t="s">
        <v>170</v>
      </c>
      <c r="F64" s="313" t="s">
        <v>28</v>
      </c>
      <c r="G64" s="318">
        <v>1736362.79477012</v>
      </c>
      <c r="H64" s="316">
        <f t="shared" si="2"/>
        <v>536.7039</v>
      </c>
      <c r="I64" s="323">
        <v>45</v>
      </c>
      <c r="J64" s="318">
        <v>485</v>
      </c>
      <c r="K64" s="318">
        <v>1.39</v>
      </c>
      <c r="L64" s="318">
        <f>(I64+J64+K64)*'2-报价汇总'!$H$5</f>
        <v>5.3139</v>
      </c>
      <c r="M64" s="318">
        <f>(I64+J64+K64+L64)*'2-报价汇总'!$I$5</f>
        <v>0</v>
      </c>
      <c r="N64" s="318">
        <f>(M64+L64+K64+J64+I64)*'2-报价汇总'!$J$5</f>
        <v>0</v>
      </c>
      <c r="O64" s="313">
        <f t="shared" si="3"/>
        <v>931912683.768023</v>
      </c>
      <c r="P64" s="321"/>
      <c r="Q64" s="311"/>
      <c r="R64" s="311"/>
      <c r="S64" s="311"/>
      <c r="T64" s="311"/>
    </row>
    <row r="65" ht="51" spans="1:20">
      <c r="A65" s="313" t="s">
        <v>232</v>
      </c>
      <c r="B65" s="320" t="s">
        <v>233</v>
      </c>
      <c r="C65" s="320" t="s">
        <v>234</v>
      </c>
      <c r="D65" s="320" t="s">
        <v>165</v>
      </c>
      <c r="E65" s="320" t="s">
        <v>170</v>
      </c>
      <c r="F65" s="313" t="s">
        <v>28</v>
      </c>
      <c r="G65" s="318">
        <v>5000</v>
      </c>
      <c r="H65" s="316">
        <f t="shared" si="2"/>
        <v>214.242424242424</v>
      </c>
      <c r="I65" s="323">
        <v>84.991212121212</v>
      </c>
      <c r="J65" s="318">
        <v>120</v>
      </c>
      <c r="K65" s="318">
        <v>7.13</v>
      </c>
      <c r="L65" s="318">
        <f>(I65+J65+K65)*'2-报价汇总'!$H$5</f>
        <v>2.12121212121212</v>
      </c>
      <c r="M65" s="318">
        <f>(I65+J65+K65+L65)*'2-报价汇总'!$I$5</f>
        <v>0</v>
      </c>
      <c r="N65" s="318">
        <f>(M65+L65+K65+J65+I65)*'2-报价汇总'!$J$5</f>
        <v>0</v>
      </c>
      <c r="O65" s="313">
        <f t="shared" si="3"/>
        <v>1071212.12121212</v>
      </c>
      <c r="P65" s="321"/>
      <c r="Q65" s="311"/>
      <c r="R65" s="311"/>
      <c r="S65" s="311"/>
      <c r="T65" s="311"/>
    </row>
    <row r="66" ht="25.5" spans="1:20">
      <c r="A66" s="313" t="s">
        <v>235</v>
      </c>
      <c r="B66" s="326" t="s">
        <v>236</v>
      </c>
      <c r="C66" s="326" t="s">
        <v>237</v>
      </c>
      <c r="D66" s="326" t="s">
        <v>165</v>
      </c>
      <c r="E66" s="326" t="s">
        <v>170</v>
      </c>
      <c r="F66" s="318" t="s">
        <v>28</v>
      </c>
      <c r="G66" s="318">
        <v>44567.5701006527</v>
      </c>
      <c r="H66" s="316">
        <f t="shared" si="2"/>
        <v>157.402597402598</v>
      </c>
      <c r="I66" s="323">
        <v>89.814155844156</v>
      </c>
      <c r="J66" s="318">
        <v>60</v>
      </c>
      <c r="K66" s="318">
        <v>6.03</v>
      </c>
      <c r="L66" s="318">
        <f>(I66+J66+K66)*'2-报价汇总'!$H$5</f>
        <v>1.55844155844156</v>
      </c>
      <c r="M66" s="318">
        <f>(I66+J66+K66+L66)*'2-报价汇总'!$I$5</f>
        <v>0</v>
      </c>
      <c r="N66" s="318">
        <f>(M66+L66+K66+J66+I66)*'2-报价汇总'!$J$5</f>
        <v>0</v>
      </c>
      <c r="O66" s="313">
        <f t="shared" si="3"/>
        <v>7015051.29376508</v>
      </c>
      <c r="P66" s="327"/>
      <c r="Q66" s="328"/>
      <c r="R66" s="328"/>
      <c r="S66" s="328"/>
      <c r="T66" s="328"/>
    </row>
    <row r="67" ht="25.5" spans="1:20">
      <c r="A67" s="313" t="s">
        <v>238</v>
      </c>
      <c r="B67" s="326" t="s">
        <v>239</v>
      </c>
      <c r="C67" s="326" t="s">
        <v>240</v>
      </c>
      <c r="D67" s="326" t="s">
        <v>165</v>
      </c>
      <c r="E67" s="326" t="s">
        <v>170</v>
      </c>
      <c r="F67" s="318" t="s">
        <v>28</v>
      </c>
      <c r="G67" s="318">
        <v>5000</v>
      </c>
      <c r="H67" s="316">
        <f t="shared" si="2"/>
        <v>118.051948051948</v>
      </c>
      <c r="I67" s="323">
        <v>25.713116883117</v>
      </c>
      <c r="J67" s="318">
        <v>90</v>
      </c>
      <c r="K67" s="318">
        <v>1.17</v>
      </c>
      <c r="L67" s="318">
        <f>(I67+J67+K67)*'2-报价汇总'!$H$5</f>
        <v>1.16883116883117</v>
      </c>
      <c r="M67" s="318">
        <f>(I67+J67+K67+L67)*'2-报价汇总'!$I$5</f>
        <v>0</v>
      </c>
      <c r="N67" s="318">
        <f>(M67+L67+K67+J67+I67)*'2-报价汇总'!$J$5</f>
        <v>0</v>
      </c>
      <c r="O67" s="313">
        <f t="shared" si="3"/>
        <v>590259.740259741</v>
      </c>
      <c r="P67" s="327"/>
      <c r="Q67" s="328"/>
      <c r="R67" s="328"/>
      <c r="S67" s="328"/>
      <c r="T67" s="328"/>
    </row>
    <row r="68" ht="38.25" spans="1:20">
      <c r="A68" s="313" t="s">
        <v>241</v>
      </c>
      <c r="B68" s="326" t="s">
        <v>242</v>
      </c>
      <c r="C68" s="326" t="s">
        <v>243</v>
      </c>
      <c r="D68" s="326" t="s">
        <v>244</v>
      </c>
      <c r="E68" s="326" t="s">
        <v>170</v>
      </c>
      <c r="F68" s="318" t="s">
        <v>28</v>
      </c>
      <c r="G68" s="318">
        <v>5000</v>
      </c>
      <c r="H68" s="316">
        <f t="shared" si="2"/>
        <v>232.602212987013</v>
      </c>
      <c r="I68" s="323">
        <v>22.389220779221</v>
      </c>
      <c r="J68" s="318">
        <v>200</v>
      </c>
      <c r="K68" s="318">
        <v>7.91</v>
      </c>
      <c r="L68" s="318">
        <f>(I68+J68+K68)*'2-报价汇总'!$H$5</f>
        <v>2.30299220779221</v>
      </c>
      <c r="M68" s="318">
        <f>(I68+J68+K68+L68)*'2-报价汇总'!$I$5</f>
        <v>0</v>
      </c>
      <c r="N68" s="318">
        <f>(M68+L68+K68+J68+I68)*'2-报价汇总'!$J$5</f>
        <v>0</v>
      </c>
      <c r="O68" s="313">
        <f t="shared" si="3"/>
        <v>1163011.06493507</v>
      </c>
      <c r="P68" s="327"/>
      <c r="Q68" s="328"/>
      <c r="R68" s="328"/>
      <c r="S68" s="328"/>
      <c r="T68" s="328"/>
    </row>
    <row r="69" ht="51" spans="1:20">
      <c r="A69" s="313" t="s">
        <v>245</v>
      </c>
      <c r="B69" s="326" t="s">
        <v>246</v>
      </c>
      <c r="C69" s="326" t="s">
        <v>247</v>
      </c>
      <c r="D69" s="326" t="s">
        <v>244</v>
      </c>
      <c r="E69" s="326" t="s">
        <v>170</v>
      </c>
      <c r="F69" s="318" t="s">
        <v>28</v>
      </c>
      <c r="G69" s="318">
        <v>12598.94780405</v>
      </c>
      <c r="H69" s="316">
        <f t="shared" si="2"/>
        <v>393.506493506494</v>
      </c>
      <c r="I69" s="323">
        <v>73.99038961039</v>
      </c>
      <c r="J69" s="318">
        <v>300</v>
      </c>
      <c r="K69" s="318">
        <v>15.62</v>
      </c>
      <c r="L69" s="318">
        <f>(I69+J69+K69)*'2-报价汇总'!$H$5</f>
        <v>3.8961038961039</v>
      </c>
      <c r="M69" s="318">
        <f>(I69+J69+K69+L69)*'2-报价汇总'!$I$5</f>
        <v>0</v>
      </c>
      <c r="N69" s="318">
        <f>(M69+L69+K69+J69+I69)*'2-报价汇总'!$J$5</f>
        <v>0</v>
      </c>
      <c r="O69" s="313">
        <f t="shared" si="3"/>
        <v>4957767.77224306</v>
      </c>
      <c r="P69" s="327"/>
      <c r="Q69" s="328"/>
      <c r="R69" s="328"/>
      <c r="S69" s="328"/>
      <c r="T69" s="328"/>
    </row>
    <row r="70" ht="51" spans="1:20">
      <c r="A70" s="313" t="s">
        <v>248</v>
      </c>
      <c r="B70" s="326" t="s">
        <v>246</v>
      </c>
      <c r="C70" s="326" t="s">
        <v>249</v>
      </c>
      <c r="D70" s="326" t="s">
        <v>250</v>
      </c>
      <c r="E70" s="326" t="s">
        <v>170</v>
      </c>
      <c r="F70" s="318" t="s">
        <v>28</v>
      </c>
      <c r="G70" s="318">
        <v>39377.4088507423</v>
      </c>
      <c r="H70" s="316">
        <f t="shared" si="2"/>
        <v>445.970528138528</v>
      </c>
      <c r="I70" s="323">
        <v>75.934978354978</v>
      </c>
      <c r="J70" s="318">
        <v>350</v>
      </c>
      <c r="K70" s="318">
        <v>15.62</v>
      </c>
      <c r="L70" s="318">
        <f>(I70+J70+K70)*'2-报价汇总'!$H$5</f>
        <v>4.41554978354978</v>
      </c>
      <c r="M70" s="318">
        <f>(I70+J70+K70+L70)*'2-报价汇总'!$I$5</f>
        <v>0</v>
      </c>
      <c r="N70" s="318">
        <f>(M70+L70+K70+J70+I70)*'2-报价汇总'!$J$5</f>
        <v>0</v>
      </c>
      <c r="O70" s="313">
        <f t="shared" si="3"/>
        <v>17561163.8218923</v>
      </c>
      <c r="P70" s="327"/>
      <c r="Q70" s="328"/>
      <c r="R70" s="328"/>
      <c r="S70" s="328"/>
      <c r="T70" s="328"/>
    </row>
    <row r="71" ht="38.25" spans="1:20">
      <c r="A71" s="313" t="s">
        <v>251</v>
      </c>
      <c r="B71" s="326" t="s">
        <v>242</v>
      </c>
      <c r="C71" s="326" t="s">
        <v>252</v>
      </c>
      <c r="D71" s="326" t="s">
        <v>244</v>
      </c>
      <c r="E71" s="326" t="s">
        <v>170</v>
      </c>
      <c r="F71" s="318" t="s">
        <v>28</v>
      </c>
      <c r="G71" s="318">
        <v>5000</v>
      </c>
      <c r="H71" s="329">
        <f t="shared" si="2"/>
        <v>268.962212987013</v>
      </c>
      <c r="I71" s="323">
        <v>22.389220779221</v>
      </c>
      <c r="J71" s="318">
        <v>236</v>
      </c>
      <c r="K71" s="318">
        <v>7.91</v>
      </c>
      <c r="L71" s="318">
        <f>(I71+J71+K71)*'2-报价汇总'!$H$5</f>
        <v>2.66299220779221</v>
      </c>
      <c r="M71" s="318">
        <f>(I71+J71+K71+L71)*'2-报价汇总'!$I$5</f>
        <v>0</v>
      </c>
      <c r="N71" s="318">
        <f>(M71+L71+K71+J71+I71)*'2-报价汇总'!$J$5</f>
        <v>0</v>
      </c>
      <c r="O71" s="313">
        <f t="shared" si="3"/>
        <v>1344811.06493507</v>
      </c>
      <c r="P71" s="318"/>
      <c r="Q71" s="328"/>
      <c r="R71" s="328"/>
      <c r="S71" s="328"/>
      <c r="T71" s="328"/>
    </row>
    <row r="72" ht="51" spans="1:20">
      <c r="A72" s="313" t="s">
        <v>253</v>
      </c>
      <c r="B72" s="326" t="s">
        <v>246</v>
      </c>
      <c r="C72" s="326" t="s">
        <v>254</v>
      </c>
      <c r="D72" s="326" t="s">
        <v>244</v>
      </c>
      <c r="E72" s="326" t="s">
        <v>166</v>
      </c>
      <c r="F72" s="318" t="s">
        <v>28</v>
      </c>
      <c r="G72" s="318">
        <v>5000</v>
      </c>
      <c r="H72" s="329">
        <f t="shared" si="2"/>
        <v>452.086493506494</v>
      </c>
      <c r="I72" s="323">
        <v>73.99038961039</v>
      </c>
      <c r="J72" s="318">
        <v>358</v>
      </c>
      <c r="K72" s="318">
        <v>15.62</v>
      </c>
      <c r="L72" s="318">
        <f>(I72+J72+K72)*'2-报价汇总'!$H$5</f>
        <v>4.4761038961039</v>
      </c>
      <c r="M72" s="318">
        <f>(I72+J72+K72+L72)*'2-报价汇总'!$I$5</f>
        <v>0</v>
      </c>
      <c r="N72" s="318">
        <f>(M72+L72+K72+J72+I72)*'2-报价汇总'!$J$5</f>
        <v>0</v>
      </c>
      <c r="O72" s="313">
        <f t="shared" si="3"/>
        <v>2260432.46753247</v>
      </c>
      <c r="P72" s="318"/>
      <c r="Q72" s="328"/>
      <c r="R72" s="328"/>
      <c r="S72" s="328"/>
      <c r="T72" s="328"/>
    </row>
    <row r="73" ht="51" spans="1:20">
      <c r="A73" s="313" t="s">
        <v>255</v>
      </c>
      <c r="B73" s="326" t="s">
        <v>246</v>
      </c>
      <c r="C73" s="326" t="s">
        <v>256</v>
      </c>
      <c r="D73" s="326" t="s">
        <v>250</v>
      </c>
      <c r="E73" s="326" t="s">
        <v>166</v>
      </c>
      <c r="F73" s="318" t="s">
        <v>28</v>
      </c>
      <c r="G73" s="318">
        <v>5000</v>
      </c>
      <c r="H73" s="329">
        <f t="shared" si="2"/>
        <v>502.530528138528</v>
      </c>
      <c r="I73" s="323">
        <v>75.934978354978</v>
      </c>
      <c r="J73" s="318">
        <v>406</v>
      </c>
      <c r="K73" s="318">
        <v>15.62</v>
      </c>
      <c r="L73" s="318">
        <f>(I73+J73+K73)*'2-报价汇总'!$H$5</f>
        <v>4.97554978354978</v>
      </c>
      <c r="M73" s="318">
        <f>(I73+J73+K73+L73)*'2-报价汇总'!$I$5</f>
        <v>0</v>
      </c>
      <c r="N73" s="318">
        <f>(M73+L73+K73+J73+I73)*'2-报价汇总'!$J$5</f>
        <v>0</v>
      </c>
      <c r="O73" s="313">
        <f t="shared" si="3"/>
        <v>2512652.64069264</v>
      </c>
      <c r="P73" s="318"/>
      <c r="Q73" s="328"/>
      <c r="R73" s="328"/>
      <c r="S73" s="328"/>
      <c r="T73" s="328"/>
    </row>
    <row r="74" ht="51" spans="1:20">
      <c r="A74" s="313" t="s">
        <v>257</v>
      </c>
      <c r="B74" s="326" t="s">
        <v>258</v>
      </c>
      <c r="C74" s="326" t="s">
        <v>259</v>
      </c>
      <c r="D74" s="326" t="s">
        <v>244</v>
      </c>
      <c r="E74" s="326" t="s">
        <v>260</v>
      </c>
      <c r="F74" s="318" t="s">
        <v>28</v>
      </c>
      <c r="G74" s="318">
        <v>5000</v>
      </c>
      <c r="H74" s="329">
        <f t="shared" si="2"/>
        <v>149.682</v>
      </c>
      <c r="I74" s="323">
        <v>45</v>
      </c>
      <c r="J74" s="318">
        <v>102</v>
      </c>
      <c r="K74" s="318">
        <v>1.2</v>
      </c>
      <c r="L74" s="318">
        <f>(I74+J74+K74)*'2-报价汇总'!$H$5</f>
        <v>1.482</v>
      </c>
      <c r="M74" s="318">
        <f>(I74+J74+K74+L74)*'2-报价汇总'!$I$5</f>
        <v>0</v>
      </c>
      <c r="N74" s="318">
        <f>(M74+L74+K74+J74+I74)*'2-报价汇总'!$J$5</f>
        <v>0</v>
      </c>
      <c r="O74" s="313">
        <f t="shared" si="3"/>
        <v>748410</v>
      </c>
      <c r="P74" s="318"/>
      <c r="Q74" s="328"/>
      <c r="R74" s="328"/>
      <c r="S74" s="328"/>
      <c r="T74" s="328"/>
    </row>
    <row r="75" ht="63.75" spans="1:20">
      <c r="A75" s="313" t="s">
        <v>261</v>
      </c>
      <c r="B75" s="326" t="s">
        <v>262</v>
      </c>
      <c r="C75" s="326" t="s">
        <v>263</v>
      </c>
      <c r="D75" s="326" t="s">
        <v>165</v>
      </c>
      <c r="E75" s="326" t="s">
        <v>166</v>
      </c>
      <c r="F75" s="318" t="s">
        <v>28</v>
      </c>
      <c r="G75" s="318">
        <v>5000</v>
      </c>
      <c r="H75" s="329">
        <f t="shared" si="2"/>
        <v>118.877</v>
      </c>
      <c r="I75" s="323">
        <v>45</v>
      </c>
      <c r="J75" s="318">
        <f>100-9.5*3</f>
        <v>71.5</v>
      </c>
      <c r="K75" s="318">
        <v>1.2</v>
      </c>
      <c r="L75" s="318">
        <f>(I75+J75+K75)*'2-报价汇总'!$H$5</f>
        <v>1.177</v>
      </c>
      <c r="M75" s="318">
        <f>(I75+J75+K75+L75)*'2-报价汇总'!$I$5</f>
        <v>0</v>
      </c>
      <c r="N75" s="318">
        <f>(M75+L75+K75+J75+I75)*'2-报价汇总'!$J$5</f>
        <v>0</v>
      </c>
      <c r="O75" s="313">
        <f t="shared" si="3"/>
        <v>594385</v>
      </c>
      <c r="P75" s="318"/>
      <c r="Q75" s="328"/>
      <c r="R75" s="328"/>
      <c r="S75" s="328"/>
      <c r="T75" s="328"/>
    </row>
    <row r="76" ht="63.75" spans="1:20">
      <c r="A76" s="313" t="s">
        <v>264</v>
      </c>
      <c r="B76" s="326" t="s">
        <v>265</v>
      </c>
      <c r="C76" s="325" t="s">
        <v>164</v>
      </c>
      <c r="D76" s="326"/>
      <c r="E76" s="326" t="s">
        <v>266</v>
      </c>
      <c r="F76" s="318" t="s">
        <v>89</v>
      </c>
      <c r="G76" s="318">
        <v>14401.9226815215</v>
      </c>
      <c r="H76" s="329">
        <f t="shared" si="2"/>
        <v>44.036</v>
      </c>
      <c r="I76" s="318">
        <v>12</v>
      </c>
      <c r="J76" s="318">
        <f>7.6*4</f>
        <v>30.4</v>
      </c>
      <c r="K76" s="318">
        <v>1.2</v>
      </c>
      <c r="L76" s="318">
        <f>(I76+J76+K76)*'2-报价汇总'!$H$5</f>
        <v>0.436</v>
      </c>
      <c r="M76" s="318">
        <f>(I76+J76+K76+L76)*'2-报价汇总'!$I$5</f>
        <v>0</v>
      </c>
      <c r="N76" s="318">
        <f>(M76+L76+K76+J76+I76)*'2-报价汇总'!$J$5</f>
        <v>0</v>
      </c>
      <c r="O76" s="313">
        <f t="shared" si="3"/>
        <v>634203.067203481</v>
      </c>
      <c r="P76" s="318"/>
      <c r="Q76" s="328"/>
      <c r="R76" s="328"/>
      <c r="S76" s="328"/>
      <c r="T76" s="328"/>
    </row>
    <row r="77" ht="63.75" spans="1:20">
      <c r="A77" s="313" t="s">
        <v>267</v>
      </c>
      <c r="B77" s="326" t="s">
        <v>268</v>
      </c>
      <c r="C77" s="325" t="s">
        <v>164</v>
      </c>
      <c r="D77" s="326"/>
      <c r="E77" s="326" t="s">
        <v>266</v>
      </c>
      <c r="F77" s="318" t="s">
        <v>89</v>
      </c>
      <c r="G77" s="318">
        <v>5469.0845626031</v>
      </c>
      <c r="H77" s="329">
        <f t="shared" si="2"/>
        <v>22.018</v>
      </c>
      <c r="I77" s="318">
        <v>6</v>
      </c>
      <c r="J77" s="318">
        <f>J76/2</f>
        <v>15.2</v>
      </c>
      <c r="K77" s="318">
        <v>0.6</v>
      </c>
      <c r="L77" s="318">
        <f>(I77+J77+K77)*'2-报价汇总'!$H$5</f>
        <v>0.218</v>
      </c>
      <c r="M77" s="318">
        <f>(I77+J77+K77+L77)*'2-报价汇总'!$I$5</f>
        <v>0</v>
      </c>
      <c r="N77" s="318">
        <f>(M77+L77+K77+J77+I77)*'2-报价汇总'!$J$5</f>
        <v>0</v>
      </c>
      <c r="O77" s="313">
        <f t="shared" si="3"/>
        <v>120418.303899395</v>
      </c>
      <c r="P77" s="318" t="e">
        <f>SUM(#REF!)</f>
        <v>#REF!</v>
      </c>
      <c r="Q77" s="328"/>
      <c r="R77" s="328"/>
      <c r="S77" s="328"/>
      <c r="T77" s="328"/>
    </row>
    <row r="78" spans="1:20">
      <c r="A78" s="330"/>
      <c r="B78" s="324" t="s">
        <v>158</v>
      </c>
      <c r="C78" s="330"/>
      <c r="D78" s="330"/>
      <c r="E78" s="330"/>
      <c r="F78" s="331"/>
      <c r="G78" s="318"/>
      <c r="H78" s="331"/>
      <c r="I78" s="318"/>
      <c r="J78" s="318"/>
      <c r="K78" s="318"/>
      <c r="L78" s="318"/>
      <c r="M78" s="318"/>
      <c r="N78" s="318"/>
      <c r="O78" s="313"/>
      <c r="P78" s="331"/>
      <c r="Q78" s="311"/>
      <c r="R78" s="311"/>
      <c r="S78" s="311"/>
      <c r="T78" s="311"/>
    </row>
    <row r="79" spans="1:20">
      <c r="A79" s="313"/>
      <c r="B79" s="319" t="s">
        <v>159</v>
      </c>
      <c r="C79" s="320"/>
      <c r="D79" s="320"/>
      <c r="E79" s="320"/>
      <c r="F79" s="313"/>
      <c r="G79" s="318"/>
      <c r="H79" s="313"/>
      <c r="I79" s="318"/>
      <c r="J79" s="318"/>
      <c r="K79" s="318"/>
      <c r="L79" s="323"/>
      <c r="M79" s="323"/>
      <c r="N79" s="323"/>
      <c r="O79" s="313"/>
      <c r="P79" s="321"/>
      <c r="Q79" s="311"/>
      <c r="R79" s="311"/>
      <c r="S79" s="311"/>
      <c r="T79" s="311"/>
    </row>
    <row r="80" spans="1:20">
      <c r="A80" s="313" t="s">
        <v>269</v>
      </c>
      <c r="B80" s="319" t="s">
        <v>270</v>
      </c>
      <c r="C80" s="320"/>
      <c r="D80" s="320"/>
      <c r="E80" s="320"/>
      <c r="F80" s="313"/>
      <c r="G80" s="318"/>
      <c r="H80" s="313"/>
      <c r="I80" s="318"/>
      <c r="J80" s="318"/>
      <c r="K80" s="318"/>
      <c r="L80" s="323"/>
      <c r="M80" s="323"/>
      <c r="N80" s="323"/>
      <c r="O80" s="313"/>
      <c r="P80" s="321"/>
      <c r="Q80" s="311"/>
      <c r="R80" s="311"/>
      <c r="S80" s="311"/>
      <c r="T80" s="311"/>
    </row>
    <row r="81" ht="51" spans="1:20">
      <c r="A81" s="313" t="s">
        <v>271</v>
      </c>
      <c r="B81" s="320" t="s">
        <v>272</v>
      </c>
      <c r="C81" s="325" t="s">
        <v>273</v>
      </c>
      <c r="D81" s="320" t="s">
        <v>274</v>
      </c>
      <c r="E81" s="320" t="s">
        <v>228</v>
      </c>
      <c r="F81" s="313" t="s">
        <v>89</v>
      </c>
      <c r="G81" s="318">
        <v>88972.8906926148</v>
      </c>
      <c r="H81" s="316">
        <f t="shared" ref="H81:H125" si="4">SUM(I81:N81)</f>
        <v>314.805194805195</v>
      </c>
      <c r="I81" s="323">
        <v>106.548311688312</v>
      </c>
      <c r="J81" s="318">
        <v>200</v>
      </c>
      <c r="K81" s="318">
        <v>5.14</v>
      </c>
      <c r="L81" s="318">
        <f>(I81+J81+K81)*'2-报价汇总'!$H$5</f>
        <v>3.11688311688312</v>
      </c>
      <c r="M81" s="318">
        <f>(I81+J81+K81+L81)*'2-报价汇总'!$I$5</f>
        <v>0</v>
      </c>
      <c r="N81" s="318">
        <f>(M81+L81+K81+J81+I81)*'2-报价汇总'!$J$5</f>
        <v>0</v>
      </c>
      <c r="O81" s="313">
        <f t="shared" si="3"/>
        <v>28009128.1868699</v>
      </c>
      <c r="P81" s="313" t="s">
        <v>275</v>
      </c>
      <c r="Q81" s="311"/>
      <c r="R81" s="311"/>
      <c r="S81" s="311"/>
      <c r="T81" s="311"/>
    </row>
    <row r="82" ht="38.25" spans="1:20">
      <c r="A82" s="313" t="s">
        <v>276</v>
      </c>
      <c r="B82" s="320" t="s">
        <v>277</v>
      </c>
      <c r="C82" s="320" t="s">
        <v>278</v>
      </c>
      <c r="D82" s="320" t="s">
        <v>165</v>
      </c>
      <c r="E82" s="320" t="s">
        <v>170</v>
      </c>
      <c r="F82" s="313" t="s">
        <v>28</v>
      </c>
      <c r="G82" s="318">
        <v>5000</v>
      </c>
      <c r="H82" s="316">
        <f t="shared" si="4"/>
        <v>393.506493506494</v>
      </c>
      <c r="I82" s="323">
        <v>39.46038961039</v>
      </c>
      <c r="J82" s="318">
        <v>350</v>
      </c>
      <c r="K82" s="318">
        <v>0.15</v>
      </c>
      <c r="L82" s="318">
        <f>(I82+J82+K82)*'2-报价汇总'!$H$5</f>
        <v>3.8961038961039</v>
      </c>
      <c r="M82" s="318">
        <f>(I82+J82+K82+L82)*'2-报价汇总'!$I$5</f>
        <v>0</v>
      </c>
      <c r="N82" s="318">
        <f>(M82+L82+K82+J82+I82)*'2-报价汇总'!$J$5</f>
        <v>0</v>
      </c>
      <c r="O82" s="313">
        <f t="shared" si="3"/>
        <v>1967532.46753247</v>
      </c>
      <c r="P82" s="321"/>
      <c r="Q82" s="311"/>
      <c r="R82" s="311"/>
      <c r="S82" s="311"/>
      <c r="T82" s="311"/>
    </row>
    <row r="83" ht="38.25" spans="1:20">
      <c r="A83" s="313" t="s">
        <v>279</v>
      </c>
      <c r="B83" s="320" t="s">
        <v>280</v>
      </c>
      <c r="C83" s="320" t="s">
        <v>281</v>
      </c>
      <c r="D83" s="320" t="s">
        <v>282</v>
      </c>
      <c r="E83" s="320" t="s">
        <v>170</v>
      </c>
      <c r="F83" s="313" t="s">
        <v>49</v>
      </c>
      <c r="G83" s="318">
        <v>22017.4406321276</v>
      </c>
      <c r="H83" s="316">
        <f t="shared" si="4"/>
        <v>524.675324675324</v>
      </c>
      <c r="I83" s="323">
        <v>106.280519480519</v>
      </c>
      <c r="J83" s="318">
        <v>403</v>
      </c>
      <c r="K83" s="318">
        <v>10.2</v>
      </c>
      <c r="L83" s="318">
        <f>(I83+J83+K83)*'2-报价汇总'!$H$5</f>
        <v>5.19480519480519</v>
      </c>
      <c r="M83" s="318">
        <f>(I83+J83+K83+L83)*'2-报价汇总'!$I$5</f>
        <v>0</v>
      </c>
      <c r="N83" s="318">
        <f>(M83+L83+K83+J83+I83)*'2-报价汇总'!$J$5</f>
        <v>0</v>
      </c>
      <c r="O83" s="313">
        <f t="shared" si="3"/>
        <v>11552007.8121812</v>
      </c>
      <c r="P83" s="321"/>
      <c r="Q83" s="311"/>
      <c r="R83" s="311"/>
      <c r="S83" s="311"/>
      <c r="T83" s="311"/>
    </row>
    <row r="84" ht="76.5" spans="1:20">
      <c r="A84" s="313" t="s">
        <v>283</v>
      </c>
      <c r="B84" s="320" t="s">
        <v>284</v>
      </c>
      <c r="C84" s="320" t="s">
        <v>285</v>
      </c>
      <c r="D84" s="320" t="s">
        <v>282</v>
      </c>
      <c r="E84" s="320" t="s">
        <v>170</v>
      </c>
      <c r="F84" s="313" t="s">
        <v>49</v>
      </c>
      <c r="G84" s="318">
        <v>5000</v>
      </c>
      <c r="H84" s="316">
        <f t="shared" si="4"/>
        <v>524.675324675324</v>
      </c>
      <c r="I84" s="323">
        <v>117.940519480519</v>
      </c>
      <c r="J84" s="318">
        <v>400</v>
      </c>
      <c r="K84" s="318">
        <v>1.54</v>
      </c>
      <c r="L84" s="318">
        <f>(I84+J84+K84)*'2-报价汇总'!$H$5</f>
        <v>5.19480519480519</v>
      </c>
      <c r="M84" s="318">
        <f>(I84+J84+K84+L84)*'2-报价汇总'!$I$5</f>
        <v>0</v>
      </c>
      <c r="N84" s="318">
        <f>(M84+L84+K84+J84+I84)*'2-报价汇总'!$J$5</f>
        <v>0</v>
      </c>
      <c r="O84" s="313">
        <f t="shared" si="3"/>
        <v>2623376.62337662</v>
      </c>
      <c r="P84" s="321"/>
      <c r="Q84" s="311"/>
      <c r="R84" s="311"/>
      <c r="S84" s="311"/>
      <c r="T84" s="311"/>
    </row>
    <row r="85" ht="114.75" spans="1:20">
      <c r="A85" s="313" t="s">
        <v>286</v>
      </c>
      <c r="B85" s="320" t="s">
        <v>287</v>
      </c>
      <c r="C85" s="320" t="s">
        <v>288</v>
      </c>
      <c r="D85" s="320" t="s">
        <v>165</v>
      </c>
      <c r="E85" s="320" t="s">
        <v>170</v>
      </c>
      <c r="F85" s="313" t="s">
        <v>28</v>
      </c>
      <c r="G85" s="318">
        <v>563142.522270304</v>
      </c>
      <c r="H85" s="316">
        <f t="shared" si="4"/>
        <v>170.185</v>
      </c>
      <c r="I85" s="323">
        <v>65</v>
      </c>
      <c r="J85" s="318">
        <v>102</v>
      </c>
      <c r="K85" s="318">
        <v>1.5</v>
      </c>
      <c r="L85" s="318">
        <f>(I85+J85+K85)*'2-报价汇总'!$H$5</f>
        <v>1.685</v>
      </c>
      <c r="M85" s="318">
        <f>(I85+J85+K85+L85)*'2-报价汇总'!$I$5</f>
        <v>0</v>
      </c>
      <c r="N85" s="318">
        <f>(M85+L85+K85+J85+I85)*'2-报价汇总'!$J$5</f>
        <v>0</v>
      </c>
      <c r="O85" s="313">
        <f t="shared" si="3"/>
        <v>95838410.1525717</v>
      </c>
      <c r="P85" s="313" t="s">
        <v>289</v>
      </c>
      <c r="Q85" s="311"/>
      <c r="R85" s="311"/>
      <c r="S85" s="311"/>
      <c r="T85" s="311"/>
    </row>
    <row r="86" ht="114.75" spans="1:20">
      <c r="A86" s="313" t="s">
        <v>290</v>
      </c>
      <c r="B86" s="320" t="s">
        <v>291</v>
      </c>
      <c r="C86" s="320" t="s">
        <v>292</v>
      </c>
      <c r="D86" s="320" t="s">
        <v>165</v>
      </c>
      <c r="E86" s="320" t="s">
        <v>170</v>
      </c>
      <c r="F86" s="313" t="s">
        <v>28</v>
      </c>
      <c r="G86" s="318">
        <v>1057101.12482368</v>
      </c>
      <c r="H86" s="316">
        <f t="shared" si="4"/>
        <v>173.922</v>
      </c>
      <c r="I86" s="323">
        <v>78</v>
      </c>
      <c r="J86" s="318">
        <v>92.7</v>
      </c>
      <c r="K86" s="318">
        <v>1.5</v>
      </c>
      <c r="L86" s="318">
        <f>(I86+J86+K86)*'2-报价汇总'!$H$5</f>
        <v>1.722</v>
      </c>
      <c r="M86" s="318">
        <f>(I86+J86+K86+L86)*'2-报价汇总'!$I$5</f>
        <v>0</v>
      </c>
      <c r="N86" s="318">
        <f>(M86+L86+K86+J86+I86)*'2-报价汇总'!$J$5</f>
        <v>0</v>
      </c>
      <c r="O86" s="313">
        <f t="shared" si="3"/>
        <v>183853141.831584</v>
      </c>
      <c r="P86" s="313" t="s">
        <v>293</v>
      </c>
      <c r="Q86" s="311"/>
      <c r="R86" s="311"/>
      <c r="S86" s="311"/>
      <c r="T86" s="311"/>
    </row>
    <row r="87" ht="127.5" spans="1:20">
      <c r="A87" s="313" t="s">
        <v>294</v>
      </c>
      <c r="B87" s="320" t="s">
        <v>295</v>
      </c>
      <c r="C87" s="325" t="s">
        <v>296</v>
      </c>
      <c r="D87" s="320" t="s">
        <v>165</v>
      </c>
      <c r="E87" s="320" t="s">
        <v>170</v>
      </c>
      <c r="F87" s="313" t="s">
        <v>28</v>
      </c>
      <c r="G87" s="318">
        <v>1042617.16587372</v>
      </c>
      <c r="H87" s="316">
        <f t="shared" si="4"/>
        <v>141.4</v>
      </c>
      <c r="I87" s="323">
        <v>65.5</v>
      </c>
      <c r="J87" s="318">
        <v>72</v>
      </c>
      <c r="K87" s="318">
        <v>2.5</v>
      </c>
      <c r="L87" s="318">
        <f>(I87+J87+K87)*'2-报价汇总'!$H$5</f>
        <v>1.4</v>
      </c>
      <c r="M87" s="318">
        <f>(I87+J87+K87+L87)*'2-报价汇总'!$I$5</f>
        <v>0</v>
      </c>
      <c r="N87" s="318">
        <f>(M87+L87+K87+J87+I87)*'2-报价汇总'!$J$5</f>
        <v>0</v>
      </c>
      <c r="O87" s="313">
        <f t="shared" si="3"/>
        <v>147426067.254544</v>
      </c>
      <c r="P87" s="332" t="s">
        <v>297</v>
      </c>
      <c r="Q87" s="311"/>
      <c r="R87" s="311"/>
      <c r="S87" s="311"/>
      <c r="T87" s="311"/>
    </row>
    <row r="88" ht="114.75" spans="1:20">
      <c r="A88" s="313" t="s">
        <v>298</v>
      </c>
      <c r="B88" s="320" t="s">
        <v>299</v>
      </c>
      <c r="C88" s="320" t="s">
        <v>300</v>
      </c>
      <c r="D88" s="320" t="s">
        <v>165</v>
      </c>
      <c r="E88" s="320" t="s">
        <v>170</v>
      </c>
      <c r="F88" s="313" t="s">
        <v>28</v>
      </c>
      <c r="G88" s="318">
        <v>47900.0656274655</v>
      </c>
      <c r="H88" s="316">
        <f t="shared" si="4"/>
        <v>159.151515151516</v>
      </c>
      <c r="I88" s="323">
        <v>76.075757575758</v>
      </c>
      <c r="J88" s="318">
        <v>80</v>
      </c>
      <c r="K88" s="318">
        <v>1.5</v>
      </c>
      <c r="L88" s="318">
        <f>(I88+J88+K88)*'2-报价汇总'!$H$5</f>
        <v>1.57575757575758</v>
      </c>
      <c r="M88" s="318">
        <f>(I88+J88+K88+L88)*'2-报价汇总'!$I$5</f>
        <v>0</v>
      </c>
      <c r="N88" s="318">
        <f>(M88+L88+K88+J88+I88)*'2-报价汇总'!$J$5</f>
        <v>0</v>
      </c>
      <c r="O88" s="313">
        <f t="shared" si="3"/>
        <v>7623368.02046817</v>
      </c>
      <c r="P88" s="321"/>
      <c r="Q88" s="311"/>
      <c r="R88" s="311"/>
      <c r="S88" s="311"/>
      <c r="T88" s="311"/>
    </row>
    <row r="89" ht="114.75" spans="1:20">
      <c r="A89" s="313" t="s">
        <v>301</v>
      </c>
      <c r="B89" s="320" t="s">
        <v>302</v>
      </c>
      <c r="C89" s="320" t="s">
        <v>303</v>
      </c>
      <c r="D89" s="320" t="s">
        <v>165</v>
      </c>
      <c r="E89" s="320" t="s">
        <v>170</v>
      </c>
      <c r="F89" s="313" t="s">
        <v>28</v>
      </c>
      <c r="G89" s="318">
        <v>5000</v>
      </c>
      <c r="H89" s="316">
        <f t="shared" si="4"/>
        <v>222.503</v>
      </c>
      <c r="I89" s="323">
        <v>67.8</v>
      </c>
      <c r="J89" s="323">
        <v>150</v>
      </c>
      <c r="K89" s="318">
        <v>2.5</v>
      </c>
      <c r="L89" s="318">
        <f>(I89+J89+K89)*'2-报价汇总'!$H$5</f>
        <v>2.203</v>
      </c>
      <c r="M89" s="318">
        <f>(I89+J89+K89+L89)*'2-报价汇总'!$I$5</f>
        <v>0</v>
      </c>
      <c r="N89" s="318">
        <f>(M89+L89+K89+J89+I89)*'2-报价汇总'!$J$5</f>
        <v>0</v>
      </c>
      <c r="O89" s="313">
        <f t="shared" si="3"/>
        <v>1112515</v>
      </c>
      <c r="P89" s="321"/>
      <c r="Q89" s="311"/>
      <c r="R89" s="311"/>
      <c r="S89" s="311"/>
      <c r="T89" s="311"/>
    </row>
    <row r="90" ht="38.25" spans="1:20">
      <c r="A90" s="313" t="s">
        <v>304</v>
      </c>
      <c r="B90" s="320" t="s">
        <v>305</v>
      </c>
      <c r="C90" s="320" t="s">
        <v>306</v>
      </c>
      <c r="D90" s="320" t="s">
        <v>165</v>
      </c>
      <c r="E90" s="320" t="s">
        <v>170</v>
      </c>
      <c r="F90" s="313" t="s">
        <v>28</v>
      </c>
      <c r="G90" s="318">
        <v>1462442.32718101</v>
      </c>
      <c r="H90" s="316">
        <f t="shared" si="4"/>
        <v>17.4891774891775</v>
      </c>
      <c r="I90" s="323">
        <v>2.1160173160173</v>
      </c>
      <c r="J90" s="318">
        <v>15</v>
      </c>
      <c r="K90" s="318">
        <v>0.2</v>
      </c>
      <c r="L90" s="318">
        <f>(I90+J90+K90)*'2-报价汇总'!$H$5</f>
        <v>0.173160173160173</v>
      </c>
      <c r="M90" s="318">
        <f>(I90+J90+K90+L90)*'2-报价汇总'!$I$5</f>
        <v>0</v>
      </c>
      <c r="N90" s="318">
        <f>(M90+L90+K90+J90+I90)*'2-报价汇总'!$J$5</f>
        <v>0</v>
      </c>
      <c r="O90" s="313">
        <f t="shared" si="3"/>
        <v>25576913.4277544</v>
      </c>
      <c r="P90" s="321"/>
      <c r="Q90" s="311"/>
      <c r="R90" s="311"/>
      <c r="S90" s="311"/>
      <c r="T90" s="311"/>
    </row>
    <row r="91" ht="127.5" spans="1:20">
      <c r="A91" s="313" t="s">
        <v>307</v>
      </c>
      <c r="B91" s="320" t="s">
        <v>308</v>
      </c>
      <c r="C91" s="320" t="s">
        <v>309</v>
      </c>
      <c r="D91" s="320" t="s">
        <v>310</v>
      </c>
      <c r="E91" s="320" t="s">
        <v>170</v>
      </c>
      <c r="F91" s="313" t="s">
        <v>28</v>
      </c>
      <c r="G91" s="318">
        <v>31583.9633490329</v>
      </c>
      <c r="H91" s="316">
        <f t="shared" si="4"/>
        <v>284.199134199134</v>
      </c>
      <c r="I91" s="323">
        <v>96.935281385281</v>
      </c>
      <c r="J91" s="318">
        <v>180</v>
      </c>
      <c r="K91" s="318">
        <v>4.45</v>
      </c>
      <c r="L91" s="318">
        <f>(I91+J91+K91)*'2-报价汇总'!$H$5</f>
        <v>2.81385281385281</v>
      </c>
      <c r="M91" s="318">
        <f>(I91+J91+K91+L91)*'2-报价汇总'!$I$5</f>
        <v>0</v>
      </c>
      <c r="N91" s="318">
        <f>(M91+L91+K91+J91+I91)*'2-报价汇总'!$J$5</f>
        <v>0</v>
      </c>
      <c r="O91" s="313">
        <f t="shared" si="3"/>
        <v>8976135.03837232</v>
      </c>
      <c r="P91" s="321"/>
      <c r="Q91" s="311"/>
      <c r="R91" s="311"/>
      <c r="S91" s="311"/>
      <c r="T91" s="311"/>
    </row>
    <row r="92" ht="150.75" spans="1:20">
      <c r="A92" s="313" t="s">
        <v>311</v>
      </c>
      <c r="B92" s="320" t="s">
        <v>312</v>
      </c>
      <c r="C92" s="325" t="s">
        <v>313</v>
      </c>
      <c r="D92" s="320" t="s">
        <v>282</v>
      </c>
      <c r="E92" s="320" t="s">
        <v>170</v>
      </c>
      <c r="F92" s="313" t="s">
        <v>28</v>
      </c>
      <c r="G92" s="318">
        <v>5000</v>
      </c>
      <c r="H92" s="316">
        <f t="shared" si="4"/>
        <v>227.359307359307</v>
      </c>
      <c r="I92" s="323">
        <v>43.498225108225</v>
      </c>
      <c r="J92" s="318">
        <v>180</v>
      </c>
      <c r="K92" s="318">
        <v>1.61</v>
      </c>
      <c r="L92" s="318">
        <f>(I92+J92+K92)*'2-报价汇总'!$H$5</f>
        <v>2.25108225108225</v>
      </c>
      <c r="M92" s="318">
        <f>(I92+J92+K92+L92)*'2-报价汇总'!$I$5</f>
        <v>0</v>
      </c>
      <c r="N92" s="318">
        <f>(M92+L92+K92+J92+I92)*'2-报价汇总'!$J$5</f>
        <v>0</v>
      </c>
      <c r="O92" s="313">
        <f t="shared" si="3"/>
        <v>1136796.53679654</v>
      </c>
      <c r="P92" s="321"/>
      <c r="Q92" s="311"/>
      <c r="R92" s="311"/>
      <c r="S92" s="311"/>
      <c r="T92" s="311"/>
    </row>
    <row r="93" ht="102" spans="1:20">
      <c r="A93" s="313" t="s">
        <v>314</v>
      </c>
      <c r="B93" s="320" t="s">
        <v>315</v>
      </c>
      <c r="C93" s="325" t="s">
        <v>316</v>
      </c>
      <c r="D93" s="320" t="s">
        <v>282</v>
      </c>
      <c r="E93" s="320" t="s">
        <v>170</v>
      </c>
      <c r="F93" s="313" t="s">
        <v>28</v>
      </c>
      <c r="G93" s="318">
        <v>11637.3004351256</v>
      </c>
      <c r="H93" s="316">
        <f t="shared" si="4"/>
        <v>131.168831168831</v>
      </c>
      <c r="I93" s="323">
        <v>29.16012987013</v>
      </c>
      <c r="J93" s="318">
        <v>100</v>
      </c>
      <c r="K93" s="318">
        <v>0.71</v>
      </c>
      <c r="L93" s="318">
        <f>(I93+J93+K93)*'2-报价汇总'!$H$5</f>
        <v>1.2987012987013</v>
      </c>
      <c r="M93" s="318">
        <f>(I93+J93+K93+L93)*'2-报价汇总'!$I$5</f>
        <v>0</v>
      </c>
      <c r="N93" s="318">
        <f>(M93+L93+K93+J93+I93)*'2-报价汇总'!$J$5</f>
        <v>0</v>
      </c>
      <c r="O93" s="313">
        <f t="shared" si="3"/>
        <v>1526451.09603596</v>
      </c>
      <c r="P93" s="321"/>
      <c r="Q93" s="311"/>
      <c r="R93" s="311"/>
      <c r="S93" s="311"/>
      <c r="T93" s="311"/>
    </row>
    <row r="94" ht="114.75" spans="1:20">
      <c r="A94" s="313" t="s">
        <v>317</v>
      </c>
      <c r="B94" s="320" t="s">
        <v>315</v>
      </c>
      <c r="C94" s="320" t="s">
        <v>318</v>
      </c>
      <c r="D94" s="320" t="s">
        <v>165</v>
      </c>
      <c r="E94" s="320" t="s">
        <v>170</v>
      </c>
      <c r="F94" s="313" t="s">
        <v>28</v>
      </c>
      <c r="G94" s="318">
        <v>5000</v>
      </c>
      <c r="H94" s="316">
        <f t="shared" si="4"/>
        <v>118.051948051948</v>
      </c>
      <c r="I94" s="323">
        <v>15.683116883117</v>
      </c>
      <c r="J94" s="318">
        <v>100</v>
      </c>
      <c r="K94" s="318">
        <v>1.2</v>
      </c>
      <c r="L94" s="318">
        <f>(I94+J94+K94)*'2-报价汇总'!$H$5</f>
        <v>1.16883116883117</v>
      </c>
      <c r="M94" s="318">
        <f>(I94+J94+K94+L94)*'2-报价汇总'!$I$5</f>
        <v>0</v>
      </c>
      <c r="N94" s="318">
        <f>(M94+L94+K94+J94+I94)*'2-报价汇总'!$J$5</f>
        <v>0</v>
      </c>
      <c r="O94" s="313">
        <f t="shared" si="3"/>
        <v>590259.740259741</v>
      </c>
      <c r="P94" s="321"/>
      <c r="Q94" s="311"/>
      <c r="R94" s="311"/>
      <c r="S94" s="311"/>
      <c r="T94" s="311"/>
    </row>
    <row r="95" ht="38.25" spans="1:20">
      <c r="A95" s="313" t="s">
        <v>319</v>
      </c>
      <c r="B95" s="320" t="s">
        <v>320</v>
      </c>
      <c r="C95" s="320" t="s">
        <v>321</v>
      </c>
      <c r="D95" s="320" t="s">
        <v>322</v>
      </c>
      <c r="E95" s="320" t="s">
        <v>170</v>
      </c>
      <c r="F95" s="313" t="s">
        <v>28</v>
      </c>
      <c r="G95" s="318">
        <v>6836.35570325388</v>
      </c>
      <c r="H95" s="316">
        <f t="shared" si="4"/>
        <v>257.965367965368</v>
      </c>
      <c r="I95" s="323">
        <v>52.861255411255</v>
      </c>
      <c r="J95" s="318">
        <v>200</v>
      </c>
      <c r="K95" s="318">
        <v>2.55</v>
      </c>
      <c r="L95" s="318">
        <f>(I95+J95+K95)*'2-报价汇总'!$H$5</f>
        <v>2.55411255411255</v>
      </c>
      <c r="M95" s="318">
        <f>(I95+J95+K95+L95)*'2-报价汇总'!$I$5</f>
        <v>0</v>
      </c>
      <c r="N95" s="318">
        <f>(M95+L95+K95+J95+I95)*'2-报价汇总'!$J$5</f>
        <v>0</v>
      </c>
      <c r="O95" s="313">
        <f t="shared" si="3"/>
        <v>1763543.01453203</v>
      </c>
      <c r="P95" s="321"/>
      <c r="Q95" s="311"/>
      <c r="R95" s="311"/>
      <c r="S95" s="311"/>
      <c r="T95" s="311"/>
    </row>
    <row r="96" ht="51" spans="1:20">
      <c r="A96" s="313" t="s">
        <v>323</v>
      </c>
      <c r="B96" s="320" t="s">
        <v>324</v>
      </c>
      <c r="C96" s="320" t="s">
        <v>325</v>
      </c>
      <c r="D96" s="320" t="s">
        <v>244</v>
      </c>
      <c r="E96" s="320" t="s">
        <v>170</v>
      </c>
      <c r="F96" s="313" t="s">
        <v>28</v>
      </c>
      <c r="G96" s="318">
        <v>5000</v>
      </c>
      <c r="H96" s="316">
        <f t="shared" si="4"/>
        <v>122.424242424242</v>
      </c>
      <c r="I96" s="323">
        <v>39.692121212121</v>
      </c>
      <c r="J96" s="318">
        <v>80</v>
      </c>
      <c r="K96" s="318">
        <v>1.52</v>
      </c>
      <c r="L96" s="318">
        <f>(I96+J96+K96)*'2-报价汇总'!$H$5</f>
        <v>1.21212121212121</v>
      </c>
      <c r="M96" s="318">
        <f>(I96+J96+K96+L96)*'2-报价汇总'!$I$5</f>
        <v>0</v>
      </c>
      <c r="N96" s="318">
        <f>(M96+L96+K96+J96+I96)*'2-报价汇总'!$J$5</f>
        <v>0</v>
      </c>
      <c r="O96" s="313">
        <f t="shared" si="3"/>
        <v>612121.212121211</v>
      </c>
      <c r="P96" s="321"/>
      <c r="Q96" s="311"/>
      <c r="R96" s="311"/>
      <c r="S96" s="311"/>
      <c r="T96" s="311"/>
    </row>
    <row r="97" ht="51" spans="1:20">
      <c r="A97" s="313" t="s">
        <v>326</v>
      </c>
      <c r="B97" s="320" t="s">
        <v>327</v>
      </c>
      <c r="C97" s="320" t="s">
        <v>328</v>
      </c>
      <c r="D97" s="320" t="s">
        <v>310</v>
      </c>
      <c r="E97" s="320" t="s">
        <v>170</v>
      </c>
      <c r="F97" s="313" t="s">
        <v>28</v>
      </c>
      <c r="G97" s="318">
        <v>5000</v>
      </c>
      <c r="H97" s="316">
        <f t="shared" si="4"/>
        <v>122.424242424242</v>
      </c>
      <c r="I97" s="323">
        <v>56.992121212121</v>
      </c>
      <c r="J97" s="318">
        <v>60</v>
      </c>
      <c r="K97" s="318">
        <v>4.22</v>
      </c>
      <c r="L97" s="318">
        <f>(I97+J97+K97)*'2-报价汇总'!$H$5</f>
        <v>1.21212121212121</v>
      </c>
      <c r="M97" s="318">
        <f>(I97+J97+K97+L97)*'2-报价汇总'!$I$5</f>
        <v>0</v>
      </c>
      <c r="N97" s="318">
        <f>(M97+L97+K97+J97+I97)*'2-报价汇总'!$J$5</f>
        <v>0</v>
      </c>
      <c r="O97" s="313">
        <f t="shared" si="3"/>
        <v>612121.212121211</v>
      </c>
      <c r="P97" s="321"/>
      <c r="Q97" s="311"/>
      <c r="R97" s="311"/>
      <c r="S97" s="311"/>
      <c r="T97" s="311"/>
    </row>
    <row r="98" ht="25.5" spans="1:20">
      <c r="A98" s="313" t="s">
        <v>329</v>
      </c>
      <c r="B98" s="320" t="s">
        <v>330</v>
      </c>
      <c r="C98" s="320" t="s">
        <v>331</v>
      </c>
      <c r="D98" s="320" t="s">
        <v>310</v>
      </c>
      <c r="E98" s="320" t="s">
        <v>228</v>
      </c>
      <c r="F98" s="313" t="s">
        <v>89</v>
      </c>
      <c r="G98" s="318">
        <v>5000</v>
      </c>
      <c r="H98" s="316">
        <f t="shared" si="4"/>
        <v>27.982683982684</v>
      </c>
      <c r="I98" s="323">
        <v>7.3956277056277</v>
      </c>
      <c r="J98" s="318">
        <v>20</v>
      </c>
      <c r="K98" s="318">
        <v>0.31</v>
      </c>
      <c r="L98" s="318">
        <f>(I98+J98+K98)*'2-报价汇总'!$H$5</f>
        <v>0.277056277056277</v>
      </c>
      <c r="M98" s="318">
        <f>(I98+J98+K98+L98)*'2-报价汇总'!$I$5</f>
        <v>0</v>
      </c>
      <c r="N98" s="318">
        <f>(M98+L98+K98+J98+I98)*'2-报价汇总'!$J$5</f>
        <v>0</v>
      </c>
      <c r="O98" s="313">
        <f t="shared" si="3"/>
        <v>139913.41991342</v>
      </c>
      <c r="P98" s="321"/>
      <c r="Q98" s="311"/>
      <c r="R98" s="311"/>
      <c r="S98" s="311"/>
      <c r="T98" s="311"/>
    </row>
    <row r="99" ht="63.75" spans="1:20">
      <c r="A99" s="313" t="s">
        <v>332</v>
      </c>
      <c r="B99" s="320" t="s">
        <v>333</v>
      </c>
      <c r="C99" s="320" t="s">
        <v>334</v>
      </c>
      <c r="D99" s="320" t="s">
        <v>335</v>
      </c>
      <c r="E99" s="320" t="s">
        <v>336</v>
      </c>
      <c r="F99" s="313" t="s">
        <v>28</v>
      </c>
      <c r="G99" s="318">
        <v>152467.139436249</v>
      </c>
      <c r="H99" s="316">
        <f t="shared" si="4"/>
        <v>56.8398268398269</v>
      </c>
      <c r="I99" s="323">
        <v>15.7270562770563</v>
      </c>
      <c r="J99" s="318">
        <v>40</v>
      </c>
      <c r="K99" s="318">
        <v>0.55</v>
      </c>
      <c r="L99" s="318">
        <f>(I99+J99+K99)*'2-报价汇总'!$H$5</f>
        <v>0.562770562770563</v>
      </c>
      <c r="M99" s="318">
        <f>(I99+J99+K99+L99)*'2-报价汇总'!$I$5</f>
        <v>0</v>
      </c>
      <c r="N99" s="318">
        <f>(M99+L99+K99+J99+I99)*'2-报价汇总'!$J$5</f>
        <v>0</v>
      </c>
      <c r="O99" s="313">
        <f t="shared" si="3"/>
        <v>8666205.80432013</v>
      </c>
      <c r="P99" s="321"/>
      <c r="Q99" s="311"/>
      <c r="R99" s="311"/>
      <c r="S99" s="311"/>
      <c r="T99" s="311"/>
    </row>
    <row r="100" ht="63.75" spans="1:20">
      <c r="A100" s="313" t="s">
        <v>337</v>
      </c>
      <c r="B100" s="320" t="s">
        <v>338</v>
      </c>
      <c r="C100" s="320" t="s">
        <v>339</v>
      </c>
      <c r="D100" s="320" t="s">
        <v>165</v>
      </c>
      <c r="E100" s="320" t="s">
        <v>340</v>
      </c>
      <c r="F100" s="313" t="s">
        <v>341</v>
      </c>
      <c r="G100" s="318">
        <v>5000</v>
      </c>
      <c r="H100" s="316">
        <f t="shared" si="4"/>
        <v>332.294372294372</v>
      </c>
      <c r="I100" s="323">
        <v>88.204329004329</v>
      </c>
      <c r="J100" s="318">
        <v>240</v>
      </c>
      <c r="K100" s="318">
        <v>0.8</v>
      </c>
      <c r="L100" s="318">
        <f>(I100+J100+K100)*'2-报价汇总'!$H$5</f>
        <v>3.29004329004329</v>
      </c>
      <c r="M100" s="318">
        <f>(I100+J100+K100+L100)*'2-报价汇总'!$I$5</f>
        <v>0</v>
      </c>
      <c r="N100" s="318">
        <f>(M100+L100+K100+J100+I100)*'2-报价汇总'!$J$5</f>
        <v>0</v>
      </c>
      <c r="O100" s="313">
        <f t="shared" si="3"/>
        <v>1661471.86147186</v>
      </c>
      <c r="P100" s="321"/>
      <c r="Q100" s="311"/>
      <c r="R100" s="311"/>
      <c r="S100" s="311"/>
      <c r="T100" s="311"/>
    </row>
    <row r="101" ht="38.25" spans="1:20">
      <c r="A101" s="313" t="s">
        <v>342</v>
      </c>
      <c r="B101" s="320" t="s">
        <v>343</v>
      </c>
      <c r="C101" s="320" t="s">
        <v>344</v>
      </c>
      <c r="D101" s="320" t="s">
        <v>345</v>
      </c>
      <c r="E101" s="320" t="s">
        <v>346</v>
      </c>
      <c r="F101" s="313" t="s">
        <v>28</v>
      </c>
      <c r="G101" s="318">
        <v>7030.50820522629</v>
      </c>
      <c r="H101" s="316">
        <f t="shared" si="4"/>
        <v>327.922077922078</v>
      </c>
      <c r="I101" s="323">
        <v>88.355324675325</v>
      </c>
      <c r="J101" s="318">
        <v>231.26</v>
      </c>
      <c r="K101" s="318">
        <v>5.06</v>
      </c>
      <c r="L101" s="318">
        <f>(I101+J101+K101)*'2-报价汇总'!$H$5</f>
        <v>3.24675324675325</v>
      </c>
      <c r="M101" s="318">
        <f>(I101+J101+K101+L101)*'2-报价汇总'!$I$5</f>
        <v>0</v>
      </c>
      <c r="N101" s="318">
        <f>(M101+L101+K101+J101+I101)*'2-报价汇总'!$J$5</f>
        <v>0</v>
      </c>
      <c r="O101" s="313">
        <f t="shared" si="3"/>
        <v>2305458.85950603</v>
      </c>
      <c r="P101" s="321"/>
      <c r="Q101" s="311"/>
      <c r="R101" s="311"/>
      <c r="S101" s="311"/>
      <c r="T101" s="311"/>
    </row>
    <row r="102" ht="38.25" spans="1:20">
      <c r="A102" s="313" t="s">
        <v>347</v>
      </c>
      <c r="B102" s="320" t="s">
        <v>348</v>
      </c>
      <c r="C102" s="320" t="s">
        <v>349</v>
      </c>
      <c r="D102" s="320" t="s">
        <v>345</v>
      </c>
      <c r="E102" s="320" t="s">
        <v>170</v>
      </c>
      <c r="F102" s="313" t="s">
        <v>28</v>
      </c>
      <c r="G102" s="318">
        <v>5000</v>
      </c>
      <c r="H102" s="316">
        <f t="shared" si="4"/>
        <v>191.550216450217</v>
      </c>
      <c r="I102" s="323">
        <v>68.51367965368</v>
      </c>
      <c r="J102" s="318">
        <v>120</v>
      </c>
      <c r="K102" s="318">
        <v>1.14</v>
      </c>
      <c r="L102" s="318">
        <f>(I102+J102+K102)*'2-报价汇总'!$H$5</f>
        <v>1.8965367965368</v>
      </c>
      <c r="M102" s="318">
        <f>(I102+J102+K102+L102)*'2-报价汇总'!$I$5</f>
        <v>0</v>
      </c>
      <c r="N102" s="318">
        <f>(M102+L102+K102+J102+I102)*'2-报价汇总'!$J$5</f>
        <v>0</v>
      </c>
      <c r="O102" s="313">
        <f t="shared" si="3"/>
        <v>957751.082251084</v>
      </c>
      <c r="P102" s="321"/>
      <c r="Q102" s="311"/>
      <c r="R102" s="311"/>
      <c r="S102" s="311"/>
      <c r="T102" s="311"/>
    </row>
    <row r="103" ht="38.25" spans="1:20">
      <c r="A103" s="313" t="s">
        <v>350</v>
      </c>
      <c r="B103" s="320" t="s">
        <v>348</v>
      </c>
      <c r="C103" s="320" t="s">
        <v>344</v>
      </c>
      <c r="D103" s="320"/>
      <c r="E103" s="320" t="s">
        <v>170</v>
      </c>
      <c r="F103" s="313" t="s">
        <v>28</v>
      </c>
      <c r="G103" s="318">
        <v>16261.4114328066</v>
      </c>
      <c r="H103" s="316">
        <f t="shared" si="4"/>
        <v>327.922077922078</v>
      </c>
      <c r="I103" s="323">
        <v>89.385324675325</v>
      </c>
      <c r="J103" s="318">
        <v>231.26</v>
      </c>
      <c r="K103" s="318">
        <v>4.03</v>
      </c>
      <c r="L103" s="318">
        <f>(I103+J103+K103)*'2-报价汇总'!$H$5</f>
        <v>3.24675324675325</v>
      </c>
      <c r="M103" s="318">
        <f>(I103+J103+K103+L103)*'2-报价汇总'!$I$5</f>
        <v>0</v>
      </c>
      <c r="N103" s="318">
        <f>(M103+L103+K103+J103+I103)*'2-报价汇总'!$J$5</f>
        <v>0</v>
      </c>
      <c r="O103" s="313">
        <f t="shared" si="3"/>
        <v>5332475.82699178</v>
      </c>
      <c r="P103" s="321"/>
      <c r="Q103" s="311"/>
      <c r="R103" s="311"/>
      <c r="S103" s="311"/>
      <c r="T103" s="311"/>
    </row>
    <row r="104" ht="63.75" spans="1:20">
      <c r="A104" s="313" t="s">
        <v>351</v>
      </c>
      <c r="B104" s="320" t="s">
        <v>352</v>
      </c>
      <c r="C104" s="320" t="s">
        <v>353</v>
      </c>
      <c r="D104" s="320" t="s">
        <v>165</v>
      </c>
      <c r="E104" s="320" t="s">
        <v>170</v>
      </c>
      <c r="F104" s="313" t="s">
        <v>28</v>
      </c>
      <c r="G104" s="318">
        <v>4812.79441509073</v>
      </c>
      <c r="H104" s="316">
        <f t="shared" si="4"/>
        <v>743.290043290043</v>
      </c>
      <c r="I104" s="323">
        <v>233.270735930736</v>
      </c>
      <c r="J104" s="318">
        <v>500</v>
      </c>
      <c r="K104" s="318">
        <v>2.66</v>
      </c>
      <c r="L104" s="318">
        <f>(I104+J104+K104)*'2-报价汇总'!$H$5</f>
        <v>7.35930735930736</v>
      </c>
      <c r="M104" s="318">
        <f>(I104+J104+K104+L104)*'2-报价汇总'!$I$5</f>
        <v>0</v>
      </c>
      <c r="N104" s="318">
        <f>(M104+L104+K104+J104+I104)*'2-报价汇总'!$J$5</f>
        <v>0</v>
      </c>
      <c r="O104" s="313">
        <f t="shared" si="3"/>
        <v>3577302.16913887</v>
      </c>
      <c r="P104" s="321"/>
      <c r="Q104" s="311"/>
      <c r="R104" s="311"/>
      <c r="S104" s="311"/>
      <c r="T104" s="311"/>
    </row>
    <row r="105" ht="38.25" spans="1:20">
      <c r="A105" s="313" t="s">
        <v>354</v>
      </c>
      <c r="B105" s="320" t="s">
        <v>355</v>
      </c>
      <c r="C105" s="320" t="s">
        <v>356</v>
      </c>
      <c r="D105" s="320" t="s">
        <v>345</v>
      </c>
      <c r="E105" s="320" t="s">
        <v>170</v>
      </c>
      <c r="F105" s="313" t="s">
        <v>28</v>
      </c>
      <c r="G105" s="318">
        <v>5000</v>
      </c>
      <c r="H105" s="316">
        <f t="shared" si="4"/>
        <v>129.419913419913</v>
      </c>
      <c r="I105" s="323">
        <v>37.088528138528</v>
      </c>
      <c r="J105" s="318">
        <v>90</v>
      </c>
      <c r="K105" s="318">
        <v>1.05</v>
      </c>
      <c r="L105" s="318">
        <f>(I105+J105+K105)*'2-报价汇总'!$H$5</f>
        <v>1.28138528138528</v>
      </c>
      <c r="M105" s="318">
        <f>(I105+J105+K105+L105)*'2-报价汇总'!$I$5</f>
        <v>0</v>
      </c>
      <c r="N105" s="318">
        <f>(M105+L105+K105+J105+I105)*'2-报价汇总'!$J$5</f>
        <v>0</v>
      </c>
      <c r="O105" s="313">
        <f t="shared" si="3"/>
        <v>647099.567099566</v>
      </c>
      <c r="P105" s="321"/>
      <c r="Q105" s="311"/>
      <c r="R105" s="311"/>
      <c r="S105" s="311"/>
      <c r="T105" s="311"/>
    </row>
    <row r="106" ht="25.5" spans="1:20">
      <c r="A106" s="313" t="s">
        <v>357</v>
      </c>
      <c r="B106" s="320" t="s">
        <v>358</v>
      </c>
      <c r="C106" s="320"/>
      <c r="D106" s="320"/>
      <c r="E106" s="320" t="s">
        <v>170</v>
      </c>
      <c r="F106" s="313" t="s">
        <v>28</v>
      </c>
      <c r="G106" s="318">
        <v>5000</v>
      </c>
      <c r="H106" s="316">
        <f t="shared" si="4"/>
        <v>62.4188744588745</v>
      </c>
      <c r="I106" s="323">
        <v>58.9008658008658</v>
      </c>
      <c r="J106" s="318">
        <v>0</v>
      </c>
      <c r="K106" s="318">
        <v>2.9</v>
      </c>
      <c r="L106" s="318">
        <f>(I106+J106+K106)*'2-报价汇总'!$H$5</f>
        <v>0.618008658008658</v>
      </c>
      <c r="M106" s="318">
        <f>(I106+J106+K106+L106)*'2-报价汇总'!$I$5</f>
        <v>0</v>
      </c>
      <c r="N106" s="318">
        <f>(M106+L106+K106+J106+I106)*'2-报价汇总'!$J$5</f>
        <v>0</v>
      </c>
      <c r="O106" s="313">
        <f t="shared" si="3"/>
        <v>312094.372294372</v>
      </c>
      <c r="P106" s="321"/>
      <c r="Q106" s="311"/>
      <c r="R106" s="311"/>
      <c r="S106" s="311"/>
      <c r="T106" s="311"/>
    </row>
    <row r="107" ht="51" spans="1:20">
      <c r="A107" s="313" t="s">
        <v>359</v>
      </c>
      <c r="B107" s="320" t="s">
        <v>360</v>
      </c>
      <c r="C107" s="320" t="s">
        <v>361</v>
      </c>
      <c r="D107" s="320" t="s">
        <v>362</v>
      </c>
      <c r="E107" s="320" t="s">
        <v>228</v>
      </c>
      <c r="F107" s="313" t="s">
        <v>89</v>
      </c>
      <c r="G107" s="318">
        <v>5000</v>
      </c>
      <c r="H107" s="316">
        <f t="shared" si="4"/>
        <v>48.0952380952381</v>
      </c>
      <c r="I107" s="323">
        <v>12.0790476190476</v>
      </c>
      <c r="J107" s="318">
        <v>35</v>
      </c>
      <c r="K107" s="318">
        <v>0.54</v>
      </c>
      <c r="L107" s="318">
        <f>(I107+J107+K107)*'2-报价汇总'!$H$5</f>
        <v>0.476190476190476</v>
      </c>
      <c r="M107" s="318">
        <f>(I107+J107+K107+L107)*'2-报价汇总'!$I$5</f>
        <v>0</v>
      </c>
      <c r="N107" s="318">
        <f>(M107+L107+K107+J107+I107)*'2-报价汇总'!$J$5</f>
        <v>0</v>
      </c>
      <c r="O107" s="313">
        <f t="shared" si="3"/>
        <v>240476.19047619</v>
      </c>
      <c r="P107" s="321"/>
      <c r="Q107" s="311"/>
      <c r="R107" s="311"/>
      <c r="S107" s="311"/>
      <c r="T107" s="311"/>
    </row>
    <row r="108" ht="114.75" spans="1:20">
      <c r="A108" s="313" t="s">
        <v>363</v>
      </c>
      <c r="B108" s="320" t="s">
        <v>364</v>
      </c>
      <c r="C108" s="320" t="s">
        <v>365</v>
      </c>
      <c r="D108" s="320" t="s">
        <v>165</v>
      </c>
      <c r="E108" s="320" t="s">
        <v>170</v>
      </c>
      <c r="F108" s="313" t="s">
        <v>28</v>
      </c>
      <c r="G108" s="318">
        <v>5000</v>
      </c>
      <c r="H108" s="316">
        <f t="shared" si="4"/>
        <v>163.593766233766</v>
      </c>
      <c r="I108" s="323">
        <v>50.314025974026</v>
      </c>
      <c r="J108" s="318">
        <v>110</v>
      </c>
      <c r="K108" s="318">
        <v>1.66</v>
      </c>
      <c r="L108" s="318">
        <f>(I108+J108+K108)*'2-报价汇总'!$H$5</f>
        <v>1.61974025974026</v>
      </c>
      <c r="M108" s="318">
        <f>(I108+J108+K108+L108)*'2-报价汇总'!$I$5</f>
        <v>0</v>
      </c>
      <c r="N108" s="318">
        <f>(M108+L108+K108+J108+I108)*'2-报价汇总'!$J$5</f>
        <v>0</v>
      </c>
      <c r="O108" s="313">
        <f t="shared" ref="O108:O131" si="5">G108*H108</f>
        <v>817968.831168831</v>
      </c>
      <c r="P108" s="321"/>
      <c r="Q108" s="311"/>
      <c r="R108" s="311"/>
      <c r="S108" s="311"/>
      <c r="T108" s="311"/>
    </row>
    <row r="109" spans="1:20">
      <c r="A109" s="313" t="s">
        <v>366</v>
      </c>
      <c r="B109" s="320" t="s">
        <v>367</v>
      </c>
      <c r="C109" s="320"/>
      <c r="D109" s="320"/>
      <c r="E109" s="320" t="s">
        <v>170</v>
      </c>
      <c r="F109" s="313" t="s">
        <v>28</v>
      </c>
      <c r="G109" s="318">
        <v>5000</v>
      </c>
      <c r="H109" s="316">
        <f t="shared" si="4"/>
        <v>34.978354978355</v>
      </c>
      <c r="I109" s="323">
        <v>4.1320346320346</v>
      </c>
      <c r="J109" s="318">
        <v>30</v>
      </c>
      <c r="K109" s="318">
        <v>0.5</v>
      </c>
      <c r="L109" s="318">
        <f>(I109+J109+K109)*'2-报价汇总'!$H$5</f>
        <v>0.346320346320346</v>
      </c>
      <c r="M109" s="318">
        <f>(I109+J109+K109+L109)*'2-报价汇总'!$I$5</f>
        <v>0</v>
      </c>
      <c r="N109" s="318">
        <f>(M109+L109+K109+J109+I109)*'2-报价汇总'!$J$5</f>
        <v>0</v>
      </c>
      <c r="O109" s="313">
        <f t="shared" si="5"/>
        <v>174891.774891775</v>
      </c>
      <c r="P109" s="321"/>
      <c r="Q109" s="311"/>
      <c r="R109" s="311"/>
      <c r="S109" s="311"/>
      <c r="T109" s="311"/>
    </row>
    <row r="110" ht="51" spans="1:20">
      <c r="A110" s="313" t="s">
        <v>368</v>
      </c>
      <c r="B110" s="320" t="s">
        <v>369</v>
      </c>
      <c r="C110" s="320"/>
      <c r="D110" s="320"/>
      <c r="E110" s="320" t="s">
        <v>228</v>
      </c>
      <c r="F110" s="313" t="s">
        <v>89</v>
      </c>
      <c r="G110" s="318">
        <v>5000</v>
      </c>
      <c r="H110" s="316">
        <f t="shared" si="4"/>
        <v>13.1168831168831</v>
      </c>
      <c r="I110" s="323">
        <v>2.487012987013</v>
      </c>
      <c r="J110" s="318">
        <v>10</v>
      </c>
      <c r="K110" s="318">
        <v>0.5</v>
      </c>
      <c r="L110" s="318">
        <f>(I110+J110+K110)*'2-报价汇总'!$H$5</f>
        <v>0.12987012987013</v>
      </c>
      <c r="M110" s="318">
        <f>(I110+J110+K110+L110)*'2-报价汇总'!$I$5</f>
        <v>0</v>
      </c>
      <c r="N110" s="318">
        <f>(M110+L110+K110+J110+I110)*'2-报价汇总'!$J$5</f>
        <v>0</v>
      </c>
      <c r="O110" s="313">
        <f t="shared" si="5"/>
        <v>65584.4155844156</v>
      </c>
      <c r="P110" s="321"/>
      <c r="Q110" s="311"/>
      <c r="R110" s="311"/>
      <c r="S110" s="311"/>
      <c r="T110" s="311"/>
    </row>
    <row r="111" ht="25.5" spans="1:20">
      <c r="A111" s="313" t="s">
        <v>370</v>
      </c>
      <c r="B111" s="320" t="s">
        <v>371</v>
      </c>
      <c r="C111" s="320" t="s">
        <v>372</v>
      </c>
      <c r="D111" s="320"/>
      <c r="E111" s="320" t="s">
        <v>170</v>
      </c>
      <c r="F111" s="313" t="s">
        <v>28</v>
      </c>
      <c r="G111" s="318">
        <v>5000</v>
      </c>
      <c r="H111" s="316">
        <f t="shared" si="4"/>
        <v>94.4415584415584</v>
      </c>
      <c r="I111" s="323">
        <v>7.4064935064935</v>
      </c>
      <c r="J111" s="318">
        <v>85</v>
      </c>
      <c r="K111" s="318">
        <v>1.1</v>
      </c>
      <c r="L111" s="318">
        <f>(I111+J111+K111)*'2-报价汇总'!$H$5</f>
        <v>0.935064935064935</v>
      </c>
      <c r="M111" s="318">
        <f>(I111+J111+K111+L111)*'2-报价汇总'!$I$5</f>
        <v>0</v>
      </c>
      <c r="N111" s="318">
        <f>(M111+L111+K111+J111+I111)*'2-报价汇总'!$J$5</f>
        <v>0</v>
      </c>
      <c r="O111" s="313">
        <f t="shared" si="5"/>
        <v>472207.792207792</v>
      </c>
      <c r="P111" s="321"/>
      <c r="Q111" s="311"/>
      <c r="R111" s="311"/>
      <c r="S111" s="311"/>
      <c r="T111" s="311"/>
    </row>
    <row r="112" ht="25.5" spans="1:20">
      <c r="A112" s="313" t="s">
        <v>373</v>
      </c>
      <c r="B112" s="320" t="s">
        <v>374</v>
      </c>
      <c r="C112" s="320"/>
      <c r="D112" s="320" t="s">
        <v>165</v>
      </c>
      <c r="E112" s="320" t="s">
        <v>228</v>
      </c>
      <c r="F112" s="313" t="s">
        <v>89</v>
      </c>
      <c r="G112" s="318">
        <v>55237.7540822914</v>
      </c>
      <c r="H112" s="316">
        <f t="shared" si="4"/>
        <v>43.7199705627706</v>
      </c>
      <c r="I112" s="323">
        <v>5.0570995670996</v>
      </c>
      <c r="J112" s="318">
        <v>38</v>
      </c>
      <c r="K112" s="318">
        <v>0.23</v>
      </c>
      <c r="L112" s="318">
        <f>(I112+J112+K112)*'2-报价汇总'!$H$5</f>
        <v>0.432870995670996</v>
      </c>
      <c r="M112" s="318">
        <f>(I112+J112+K112+L112)*'2-报价汇总'!$I$5</f>
        <v>0</v>
      </c>
      <c r="N112" s="318">
        <f>(M112+L112+K112+J112+I112)*'2-报价汇总'!$J$5</f>
        <v>0</v>
      </c>
      <c r="O112" s="313">
        <f t="shared" si="5"/>
        <v>2414992.98243134</v>
      </c>
      <c r="P112" s="321"/>
      <c r="Q112" s="311"/>
      <c r="R112" s="311"/>
      <c r="S112" s="311"/>
      <c r="T112" s="311"/>
    </row>
    <row r="113" ht="38.25" spans="1:20">
      <c r="A113" s="313" t="s">
        <v>375</v>
      </c>
      <c r="B113" s="320" t="s">
        <v>376</v>
      </c>
      <c r="C113" s="320" t="s">
        <v>377</v>
      </c>
      <c r="D113" s="320" t="s">
        <v>165</v>
      </c>
      <c r="E113" s="320" t="s">
        <v>228</v>
      </c>
      <c r="F113" s="313" t="s">
        <v>89</v>
      </c>
      <c r="G113" s="318">
        <v>117890.675317379</v>
      </c>
      <c r="H113" s="316">
        <f t="shared" si="4"/>
        <v>78.7000744588745</v>
      </c>
      <c r="I113" s="323">
        <v>10.4408658008658</v>
      </c>
      <c r="J113" s="318">
        <v>65</v>
      </c>
      <c r="K113" s="318">
        <v>2.48</v>
      </c>
      <c r="L113" s="318">
        <f>(I113+J113+K113)*'2-报价汇总'!$H$5</f>
        <v>0.779208658008658</v>
      </c>
      <c r="M113" s="318">
        <f>(I113+J113+K113+L113)*'2-报价汇总'!$I$5</f>
        <v>0</v>
      </c>
      <c r="N113" s="318">
        <f>(M113+L113+K113+J113+I113)*'2-报价汇总'!$J$5</f>
        <v>0</v>
      </c>
      <c r="O113" s="313">
        <f t="shared" si="5"/>
        <v>9278004.92548472</v>
      </c>
      <c r="P113" s="321"/>
      <c r="Q113" s="311"/>
      <c r="R113" s="311"/>
      <c r="S113" s="311"/>
      <c r="T113" s="311"/>
    </row>
    <row r="114" ht="25.5" spans="1:20">
      <c r="A114" s="313" t="s">
        <v>378</v>
      </c>
      <c r="B114" s="320" t="s">
        <v>379</v>
      </c>
      <c r="C114" s="320" t="s">
        <v>380</v>
      </c>
      <c r="D114" s="320" t="s">
        <v>165</v>
      </c>
      <c r="E114" s="320" t="s">
        <v>381</v>
      </c>
      <c r="F114" s="313" t="s">
        <v>49</v>
      </c>
      <c r="G114" s="318">
        <v>5000</v>
      </c>
      <c r="H114" s="316">
        <f t="shared" si="4"/>
        <v>147.7832</v>
      </c>
      <c r="I114" s="323">
        <v>72.67</v>
      </c>
      <c r="J114" s="318">
        <v>72</v>
      </c>
      <c r="K114" s="318">
        <v>1.65</v>
      </c>
      <c r="L114" s="318">
        <f>(I114+J114+K114)*'2-报价汇总'!$H$5</f>
        <v>1.4632</v>
      </c>
      <c r="M114" s="318">
        <f>(I114+J114+K114+L114)*'2-报价汇总'!$I$5</f>
        <v>0</v>
      </c>
      <c r="N114" s="318">
        <f>(M114+L114+K114+J114+I114)*'2-报价汇总'!$J$5</f>
        <v>0</v>
      </c>
      <c r="O114" s="313">
        <f t="shared" si="5"/>
        <v>738916</v>
      </c>
      <c r="P114" s="321"/>
      <c r="Q114" s="311"/>
      <c r="R114" s="311"/>
      <c r="S114" s="311"/>
      <c r="T114" s="311"/>
    </row>
    <row r="115" ht="25.5" spans="1:20">
      <c r="A115" s="313" t="s">
        <v>382</v>
      </c>
      <c r="B115" s="320" t="s">
        <v>383</v>
      </c>
      <c r="C115" s="320" t="s">
        <v>384</v>
      </c>
      <c r="D115" s="320" t="s">
        <v>165</v>
      </c>
      <c r="E115" s="320" t="s">
        <v>381</v>
      </c>
      <c r="F115" s="313" t="s">
        <v>49</v>
      </c>
      <c r="G115" s="318">
        <v>5000</v>
      </c>
      <c r="H115" s="316">
        <f t="shared" si="4"/>
        <v>100.56277056277</v>
      </c>
      <c r="I115" s="323">
        <v>77.5670995670995</v>
      </c>
      <c r="J115" s="318">
        <v>20</v>
      </c>
      <c r="K115" s="318">
        <v>2</v>
      </c>
      <c r="L115" s="318">
        <f>(I115+J115+K115)*'2-报价汇总'!$H$5</f>
        <v>0.995670995670995</v>
      </c>
      <c r="M115" s="318">
        <f>(I115+J115+K115+L115)*'2-报价汇总'!$I$5</f>
        <v>0</v>
      </c>
      <c r="N115" s="318">
        <f>(M115+L115+K115+J115+I115)*'2-报价汇总'!$J$5</f>
        <v>0</v>
      </c>
      <c r="O115" s="313">
        <f t="shared" si="5"/>
        <v>502813.852813852</v>
      </c>
      <c r="P115" s="321"/>
      <c r="Q115" s="311"/>
      <c r="R115" s="311"/>
      <c r="S115" s="311"/>
      <c r="T115" s="311"/>
    </row>
    <row r="116" ht="51" spans="1:20">
      <c r="A116" s="313" t="s">
        <v>385</v>
      </c>
      <c r="B116" s="320" t="s">
        <v>386</v>
      </c>
      <c r="C116" s="320" t="s">
        <v>387</v>
      </c>
      <c r="D116" s="320" t="s">
        <v>165</v>
      </c>
      <c r="E116" s="320" t="s">
        <v>170</v>
      </c>
      <c r="F116" s="313" t="s">
        <v>28</v>
      </c>
      <c r="G116" s="318">
        <v>5000</v>
      </c>
      <c r="H116" s="316">
        <f t="shared" si="4"/>
        <v>87.4458874458875</v>
      </c>
      <c r="I116" s="323">
        <v>25.7400865800866</v>
      </c>
      <c r="J116" s="318">
        <v>60</v>
      </c>
      <c r="K116" s="318">
        <v>0.84</v>
      </c>
      <c r="L116" s="318">
        <f>(I116+J116+K116)*'2-报价汇总'!$H$5</f>
        <v>0.865800865800866</v>
      </c>
      <c r="M116" s="318">
        <f>(I116+J116+K116+L116)*'2-报价汇总'!$I$5</f>
        <v>0</v>
      </c>
      <c r="N116" s="318">
        <f>(M116+L116+K116+J116+I116)*'2-报价汇总'!$J$5</f>
        <v>0</v>
      </c>
      <c r="O116" s="313">
        <f t="shared" si="5"/>
        <v>437229.437229437</v>
      </c>
      <c r="P116" s="321"/>
      <c r="Q116" s="311"/>
      <c r="R116" s="311"/>
      <c r="S116" s="311"/>
      <c r="T116" s="311"/>
    </row>
    <row r="117" ht="38.25" spans="1:20">
      <c r="A117" s="313" t="s">
        <v>388</v>
      </c>
      <c r="B117" s="320" t="s">
        <v>389</v>
      </c>
      <c r="C117" s="320" t="s">
        <v>390</v>
      </c>
      <c r="D117" s="320" t="s">
        <v>165</v>
      </c>
      <c r="E117" s="320" t="s">
        <v>170</v>
      </c>
      <c r="F117" s="313" t="s">
        <v>28</v>
      </c>
      <c r="G117" s="318">
        <v>5000</v>
      </c>
      <c r="H117" s="316">
        <f t="shared" si="4"/>
        <v>113.679653679654</v>
      </c>
      <c r="I117" s="323">
        <v>10.074112554113</v>
      </c>
      <c r="J117" s="318">
        <v>100</v>
      </c>
      <c r="K117" s="318">
        <v>2.48</v>
      </c>
      <c r="L117" s="318">
        <f>(I117+J117+K117)*'2-报价汇总'!$H$5</f>
        <v>1.12554112554113</v>
      </c>
      <c r="M117" s="318">
        <f>(I117+J117+K117+L117)*'2-报价汇总'!$I$5</f>
        <v>0</v>
      </c>
      <c r="N117" s="318">
        <f>(M117+L117+K117+J117+I117)*'2-报价汇总'!$J$5</f>
        <v>0</v>
      </c>
      <c r="O117" s="313">
        <f t="shared" si="5"/>
        <v>568398.268398271</v>
      </c>
      <c r="P117" s="321"/>
      <c r="Q117" s="311"/>
      <c r="R117" s="311"/>
      <c r="S117" s="311"/>
      <c r="T117" s="311"/>
    </row>
    <row r="118" ht="25.5" spans="1:20">
      <c r="A118" s="313" t="s">
        <v>391</v>
      </c>
      <c r="B118" s="320" t="s">
        <v>392</v>
      </c>
      <c r="C118" s="320" t="s">
        <v>393</v>
      </c>
      <c r="D118" s="320" t="s">
        <v>165</v>
      </c>
      <c r="E118" s="320" t="s">
        <v>228</v>
      </c>
      <c r="F118" s="313" t="s">
        <v>89</v>
      </c>
      <c r="G118" s="318">
        <v>7232.86433404261</v>
      </c>
      <c r="H118" s="316">
        <f t="shared" si="4"/>
        <v>52.4675324675324</v>
      </c>
      <c r="I118" s="323">
        <v>20.3480519480519</v>
      </c>
      <c r="J118" s="318">
        <v>30</v>
      </c>
      <c r="K118" s="318">
        <v>1.6</v>
      </c>
      <c r="L118" s="318">
        <f>(I118+J118+K118)*'2-报价汇总'!$H$5</f>
        <v>0.519480519480519</v>
      </c>
      <c r="M118" s="318">
        <f>(I118+J118+K118+L118)*'2-报价汇总'!$I$5</f>
        <v>0</v>
      </c>
      <c r="N118" s="318">
        <f>(M118+L118+K118+J118+I118)*'2-报价汇总'!$J$5</f>
        <v>0</v>
      </c>
      <c r="O118" s="313">
        <f t="shared" si="5"/>
        <v>379490.544279638</v>
      </c>
      <c r="P118" s="321"/>
      <c r="Q118" s="311"/>
      <c r="R118" s="311"/>
      <c r="S118" s="311"/>
      <c r="T118" s="311"/>
    </row>
    <row r="119" ht="25.5" spans="1:20">
      <c r="A119" s="313" t="s">
        <v>394</v>
      </c>
      <c r="B119" s="320" t="s">
        <v>395</v>
      </c>
      <c r="C119" s="320" t="s">
        <v>396</v>
      </c>
      <c r="D119" s="320" t="s">
        <v>165</v>
      </c>
      <c r="E119" s="320" t="s">
        <v>228</v>
      </c>
      <c r="F119" s="313" t="s">
        <v>89</v>
      </c>
      <c r="G119" s="318">
        <v>5000</v>
      </c>
      <c r="H119" s="316">
        <f t="shared" si="4"/>
        <v>4.37229437229437</v>
      </c>
      <c r="I119" s="323">
        <v>4.32900432900433</v>
      </c>
      <c r="J119" s="318">
        <v>0</v>
      </c>
      <c r="K119" s="318">
        <v>0</v>
      </c>
      <c r="L119" s="318">
        <f>(I119+J119+K119)*'2-报价汇总'!$H$5</f>
        <v>0.0432900432900433</v>
      </c>
      <c r="M119" s="318">
        <f>(I119+J119+K119+L119)*'2-报价汇总'!$I$5</f>
        <v>0</v>
      </c>
      <c r="N119" s="318">
        <f>(M119+L119+K119+J119+I119)*'2-报价汇总'!$J$5</f>
        <v>0</v>
      </c>
      <c r="O119" s="313">
        <f t="shared" si="5"/>
        <v>21861.4718614719</v>
      </c>
      <c r="P119" s="321"/>
      <c r="Q119" s="311"/>
      <c r="R119" s="311"/>
      <c r="S119" s="311"/>
      <c r="T119" s="311"/>
    </row>
    <row r="120" ht="63.75" spans="1:20">
      <c r="A120" s="313" t="s">
        <v>397</v>
      </c>
      <c r="B120" s="326" t="s">
        <v>398</v>
      </c>
      <c r="C120" s="326" t="s">
        <v>399</v>
      </c>
      <c r="D120" s="326" t="s">
        <v>165</v>
      </c>
      <c r="E120" s="326" t="s">
        <v>170</v>
      </c>
      <c r="F120" s="318" t="s">
        <v>28</v>
      </c>
      <c r="G120" s="318">
        <v>5000</v>
      </c>
      <c r="H120" s="316">
        <f t="shared" si="4"/>
        <v>218.614718614718</v>
      </c>
      <c r="I120" s="323">
        <v>93.290216450216</v>
      </c>
      <c r="J120" s="318">
        <v>120</v>
      </c>
      <c r="K120" s="318">
        <v>3.16</v>
      </c>
      <c r="L120" s="318">
        <f>(I120+J120+K120)*'2-报价汇总'!$H$5</f>
        <v>2.16450216450216</v>
      </c>
      <c r="M120" s="318">
        <f>(I120+J120+K120+L120)*'2-报价汇总'!$I$5</f>
        <v>0</v>
      </c>
      <c r="N120" s="318">
        <f>(M120+L120+K120+J120+I120)*'2-报价汇总'!$J$5</f>
        <v>0</v>
      </c>
      <c r="O120" s="313">
        <f t="shared" si="5"/>
        <v>1093073.59307359</v>
      </c>
      <c r="P120" s="327"/>
      <c r="Q120" s="328"/>
      <c r="R120" s="328"/>
      <c r="S120" s="328"/>
      <c r="T120" s="328"/>
    </row>
    <row r="121" ht="114.75" spans="1:20">
      <c r="A121" s="313" t="s">
        <v>400</v>
      </c>
      <c r="B121" s="326" t="s">
        <v>401</v>
      </c>
      <c r="C121" s="320" t="s">
        <v>288</v>
      </c>
      <c r="D121" s="326"/>
      <c r="E121" s="326" t="s">
        <v>166</v>
      </c>
      <c r="F121" s="318" t="s">
        <v>28</v>
      </c>
      <c r="G121" s="318">
        <v>5000</v>
      </c>
      <c r="H121" s="316">
        <f t="shared" si="4"/>
        <v>144.001515151516</v>
      </c>
      <c r="I121" s="323">
        <v>56.075757575758</v>
      </c>
      <c r="J121" s="318">
        <v>85</v>
      </c>
      <c r="K121" s="318">
        <v>1.5</v>
      </c>
      <c r="L121" s="318">
        <f>(I121+J121+K121)*'2-报价汇总'!$H$5</f>
        <v>1.42575757575758</v>
      </c>
      <c r="M121" s="318">
        <f>(I121+J121+K121+L121)*'2-报价汇总'!$I$5</f>
        <v>0</v>
      </c>
      <c r="N121" s="318">
        <f>(M121+L121+K121+J121+I121)*'2-报价汇总'!$J$5</f>
        <v>0</v>
      </c>
      <c r="O121" s="313">
        <f t="shared" si="5"/>
        <v>720007.575757578</v>
      </c>
      <c r="P121" s="326"/>
      <c r="Q121" s="328"/>
      <c r="R121" s="328"/>
      <c r="S121" s="328"/>
      <c r="T121" s="328"/>
    </row>
    <row r="122" ht="63.75" spans="1:20">
      <c r="A122" s="313" t="s">
        <v>402</v>
      </c>
      <c r="B122" s="326" t="s">
        <v>403</v>
      </c>
      <c r="C122" s="326" t="s">
        <v>404</v>
      </c>
      <c r="D122" s="326"/>
      <c r="E122" s="326" t="s">
        <v>166</v>
      </c>
      <c r="F122" s="318" t="s">
        <v>28</v>
      </c>
      <c r="G122" s="318">
        <v>5000</v>
      </c>
      <c r="H122" s="316">
        <f t="shared" si="4"/>
        <v>121.678766233766</v>
      </c>
      <c r="I122" s="323">
        <v>50.314025974026</v>
      </c>
      <c r="J122" s="318">
        <v>68.5</v>
      </c>
      <c r="K122" s="318">
        <v>1.66</v>
      </c>
      <c r="L122" s="318">
        <f>(I122+J122+K122)*'2-报价汇总'!$H$5</f>
        <v>1.20474025974026</v>
      </c>
      <c r="M122" s="318">
        <f>(I122+J122+K122+L122)*'2-报价汇总'!$I$5</f>
        <v>0</v>
      </c>
      <c r="N122" s="318">
        <f>(M122+L122+K122+J122+I122)*'2-报价汇总'!$J$5</f>
        <v>0</v>
      </c>
      <c r="O122" s="313">
        <f t="shared" si="5"/>
        <v>608393.831168831</v>
      </c>
      <c r="P122" s="318"/>
      <c r="Q122" s="328"/>
      <c r="R122" s="328"/>
      <c r="S122" s="328"/>
      <c r="T122" s="328"/>
    </row>
    <row r="123" ht="25.5" spans="1:20">
      <c r="A123" s="313" t="s">
        <v>405</v>
      </c>
      <c r="B123" s="326" t="s">
        <v>406</v>
      </c>
      <c r="C123" s="326"/>
      <c r="D123" s="326"/>
      <c r="E123" s="326" t="s">
        <v>166</v>
      </c>
      <c r="F123" s="318" t="s">
        <v>28</v>
      </c>
      <c r="G123" s="318">
        <v>5000</v>
      </c>
      <c r="H123" s="316">
        <f t="shared" si="4"/>
        <v>10.15555</v>
      </c>
      <c r="I123" s="323">
        <v>4</v>
      </c>
      <c r="J123" s="318">
        <v>5</v>
      </c>
      <c r="K123" s="318">
        <v>1.055</v>
      </c>
      <c r="L123" s="318">
        <f>(I123+J123+K123)*'2-报价汇总'!$H$5</f>
        <v>0.10055</v>
      </c>
      <c r="M123" s="318">
        <f>(I123+J123+K123+L123)*'2-报价汇总'!$I$5</f>
        <v>0</v>
      </c>
      <c r="N123" s="318">
        <f>(M123+L123+K123+J123+I123)*'2-报价汇总'!$J$5</f>
        <v>0</v>
      </c>
      <c r="O123" s="313">
        <f t="shared" si="5"/>
        <v>50777.75</v>
      </c>
      <c r="P123" s="318"/>
      <c r="Q123" s="328"/>
      <c r="R123" s="328"/>
      <c r="S123" s="328"/>
      <c r="T123" s="328"/>
    </row>
    <row r="124" ht="51" spans="1:20">
      <c r="A124" s="313" t="s">
        <v>407</v>
      </c>
      <c r="B124" s="326" t="s">
        <v>272</v>
      </c>
      <c r="C124" s="326" t="s">
        <v>408</v>
      </c>
      <c r="D124" s="326"/>
      <c r="E124" s="326" t="s">
        <v>228</v>
      </c>
      <c r="F124" s="318" t="s">
        <v>89</v>
      </c>
      <c r="G124" s="318">
        <v>5000</v>
      </c>
      <c r="H124" s="316">
        <f t="shared" si="4"/>
        <v>255.417194805195</v>
      </c>
      <c r="I124" s="323">
        <f>106.548311688312-13.8</f>
        <v>92.748311688312</v>
      </c>
      <c r="J124" s="318">
        <v>155</v>
      </c>
      <c r="K124" s="318">
        <v>5.14</v>
      </c>
      <c r="L124" s="318">
        <f>(I124+J124+K124)*'2-报价汇总'!$H$5</f>
        <v>2.52888311688312</v>
      </c>
      <c r="M124" s="318">
        <f>(I124+J124+K124+L124)*'2-报价汇总'!$I$5</f>
        <v>0</v>
      </c>
      <c r="N124" s="318">
        <f>(M124+L124+K124+J124+I124)*'2-报价汇总'!$J$5</f>
        <v>0</v>
      </c>
      <c r="O124" s="313">
        <f t="shared" si="5"/>
        <v>1277085.97402598</v>
      </c>
      <c r="P124" s="318" t="s">
        <v>275</v>
      </c>
      <c r="Q124" s="328"/>
      <c r="R124" s="328"/>
      <c r="S124" s="328"/>
      <c r="T124" s="328"/>
    </row>
    <row r="125" ht="51" spans="1:20">
      <c r="A125" s="313" t="s">
        <v>409</v>
      </c>
      <c r="B125" s="326" t="s">
        <v>272</v>
      </c>
      <c r="C125" s="326" t="s">
        <v>410</v>
      </c>
      <c r="D125" s="326"/>
      <c r="E125" s="326" t="s">
        <v>228</v>
      </c>
      <c r="F125" s="318" t="s">
        <v>89</v>
      </c>
      <c r="G125" s="318">
        <v>5000</v>
      </c>
      <c r="H125" s="316">
        <f t="shared" si="4"/>
        <v>270.567194805195</v>
      </c>
      <c r="I125" s="323">
        <f>106.548311688312-13.8</f>
        <v>92.748311688312</v>
      </c>
      <c r="J125" s="318">
        <v>170</v>
      </c>
      <c r="K125" s="318">
        <v>5.14</v>
      </c>
      <c r="L125" s="318">
        <f>(I125+J125+K125)*'2-报价汇总'!$H$5</f>
        <v>2.67888311688312</v>
      </c>
      <c r="M125" s="318">
        <f>(I125+J125+K125+L125)*'2-报价汇总'!$I$5</f>
        <v>0</v>
      </c>
      <c r="N125" s="318">
        <f>(M125+L125+K125+J125+I125)*'2-报价汇总'!$J$5</f>
        <v>0</v>
      </c>
      <c r="O125" s="313">
        <f t="shared" si="5"/>
        <v>1352835.97402598</v>
      </c>
      <c r="P125" s="318" t="s">
        <v>411</v>
      </c>
      <c r="Q125" s="328"/>
      <c r="R125" s="328"/>
      <c r="S125" s="328"/>
      <c r="T125" s="328"/>
    </row>
    <row r="126" spans="1:20">
      <c r="A126" s="330"/>
      <c r="B126" s="324" t="s">
        <v>158</v>
      </c>
      <c r="C126" s="330"/>
      <c r="D126" s="330"/>
      <c r="E126" s="330"/>
      <c r="F126" s="331"/>
      <c r="G126" s="318"/>
      <c r="H126" s="331"/>
      <c r="I126" s="318"/>
      <c r="J126" s="318"/>
      <c r="K126" s="318"/>
      <c r="L126" s="318"/>
      <c r="M126" s="318"/>
      <c r="N126" s="318"/>
      <c r="O126" s="313"/>
      <c r="P126" s="331"/>
      <c r="Q126" s="311"/>
      <c r="R126" s="311"/>
      <c r="S126" s="311"/>
      <c r="T126" s="311"/>
    </row>
    <row r="127" spans="1:20">
      <c r="A127" s="313"/>
      <c r="B127" s="319" t="s">
        <v>159</v>
      </c>
      <c r="C127" s="320"/>
      <c r="D127" s="320"/>
      <c r="E127" s="320"/>
      <c r="F127" s="313"/>
      <c r="G127" s="318"/>
      <c r="H127" s="313"/>
      <c r="I127" s="318"/>
      <c r="J127" s="318"/>
      <c r="K127" s="318"/>
      <c r="L127" s="323"/>
      <c r="M127" s="323"/>
      <c r="N127" s="323"/>
      <c r="O127" s="313"/>
      <c r="P127" s="321"/>
      <c r="Q127" s="311"/>
      <c r="R127" s="311"/>
      <c r="S127" s="311"/>
      <c r="T127" s="311"/>
    </row>
    <row r="128" spans="1:20">
      <c r="A128" s="313" t="s">
        <v>412</v>
      </c>
      <c r="B128" s="319" t="s">
        <v>413</v>
      </c>
      <c r="C128" s="320"/>
      <c r="D128" s="320"/>
      <c r="E128" s="320"/>
      <c r="F128" s="313"/>
      <c r="G128" s="318"/>
      <c r="H128" s="313"/>
      <c r="I128" s="318"/>
      <c r="J128" s="318"/>
      <c r="K128" s="318"/>
      <c r="L128" s="323"/>
      <c r="M128" s="323"/>
      <c r="N128" s="323"/>
      <c r="O128" s="313"/>
      <c r="P128" s="321"/>
      <c r="Q128" s="311"/>
      <c r="R128" s="311"/>
      <c r="S128" s="311"/>
      <c r="T128" s="311"/>
    </row>
    <row r="129" ht="38.25" spans="1:20">
      <c r="A129" s="313" t="s">
        <v>414</v>
      </c>
      <c r="B129" s="320" t="s">
        <v>415</v>
      </c>
      <c r="C129" s="325" t="s">
        <v>416</v>
      </c>
      <c r="D129" s="320" t="s">
        <v>244</v>
      </c>
      <c r="E129" s="320" t="s">
        <v>417</v>
      </c>
      <c r="F129" s="313" t="s">
        <v>28</v>
      </c>
      <c r="G129" s="318">
        <v>671890.30587898</v>
      </c>
      <c r="H129" s="316">
        <f>SUM(I129:N129)</f>
        <v>24.4848484848484</v>
      </c>
      <c r="I129" s="323">
        <v>23.4624242424242</v>
      </c>
      <c r="J129" s="318">
        <v>0.23</v>
      </c>
      <c r="K129" s="318">
        <v>0.55</v>
      </c>
      <c r="L129" s="318">
        <f>(I129+J129+K129)*'2-报价汇总'!$H$5</f>
        <v>0.242424242424242</v>
      </c>
      <c r="M129" s="318">
        <f>(I129+J129+K129+L129)*'2-报价汇总'!$I$5</f>
        <v>0</v>
      </c>
      <c r="N129" s="318">
        <f>(M129+L129+K129+J129+I129)*'2-报价汇总'!$J$5</f>
        <v>0</v>
      </c>
      <c r="O129" s="313">
        <f t="shared" si="5"/>
        <v>16451132.3378853</v>
      </c>
      <c r="P129" s="321"/>
      <c r="Q129" s="311"/>
      <c r="R129" s="311"/>
      <c r="S129" s="311"/>
      <c r="T129" s="311"/>
    </row>
    <row r="130" ht="38.25" spans="1:20">
      <c r="A130" s="313" t="s">
        <v>418</v>
      </c>
      <c r="B130" s="320" t="s">
        <v>415</v>
      </c>
      <c r="C130" s="333" t="s">
        <v>419</v>
      </c>
      <c r="D130" s="320" t="s">
        <v>244</v>
      </c>
      <c r="E130" s="320" t="s">
        <v>417</v>
      </c>
      <c r="F130" s="313" t="s">
        <v>28</v>
      </c>
      <c r="G130" s="318">
        <v>671890.30587898</v>
      </c>
      <c r="H130" s="316">
        <f>SUM(I130:N130)</f>
        <v>24.4848484848484</v>
      </c>
      <c r="I130" s="323">
        <v>23.4624242424242</v>
      </c>
      <c r="J130" s="318">
        <v>0.23</v>
      </c>
      <c r="K130" s="318">
        <v>0.55</v>
      </c>
      <c r="L130" s="318">
        <f>(I130+J130+K130)*'2-报价汇总'!$H$5</f>
        <v>0.242424242424242</v>
      </c>
      <c r="M130" s="318">
        <f>(I130+J130+K130+L130)*'2-报价汇总'!$I$5</f>
        <v>0</v>
      </c>
      <c r="N130" s="318">
        <f>(M130+L130+K130+J130+I130)*'2-报价汇总'!$J$5</f>
        <v>0</v>
      </c>
      <c r="O130" s="313">
        <f t="shared" si="5"/>
        <v>16451132.3378853</v>
      </c>
      <c r="P130" s="321"/>
      <c r="Q130" s="311"/>
      <c r="R130" s="311"/>
      <c r="S130" s="311"/>
      <c r="T130" s="311"/>
    </row>
    <row r="131" ht="76.5" spans="1:20">
      <c r="A131" s="313" t="s">
        <v>420</v>
      </c>
      <c r="B131" s="334" t="s">
        <v>421</v>
      </c>
      <c r="C131" s="321" t="s">
        <v>422</v>
      </c>
      <c r="D131" s="335" t="s">
        <v>244</v>
      </c>
      <c r="E131" s="320" t="s">
        <v>170</v>
      </c>
      <c r="F131" s="313" t="s">
        <v>28</v>
      </c>
      <c r="G131" s="318">
        <v>1014773.60060846</v>
      </c>
      <c r="H131" s="316">
        <f>SUM(I131:N131)</f>
        <v>148.658008658008</v>
      </c>
      <c r="I131" s="323">
        <v>57.076147186147</v>
      </c>
      <c r="J131" s="318">
        <v>85</v>
      </c>
      <c r="K131" s="318">
        <v>5.11</v>
      </c>
      <c r="L131" s="318">
        <f>(I131+J131+K131)*'2-报价汇总'!$H$5</f>
        <v>1.47186147186147</v>
      </c>
      <c r="M131" s="318">
        <f>(I131+J131+K131+L131)*'2-报价汇总'!$I$5</f>
        <v>0</v>
      </c>
      <c r="N131" s="318">
        <f>(M131+L131+K131+J131+I131)*'2-报价汇总'!$J$5</f>
        <v>0</v>
      </c>
      <c r="O131" s="313">
        <f t="shared" si="5"/>
        <v>150854222.705171</v>
      </c>
      <c r="P131" s="321"/>
      <c r="Q131" s="311"/>
      <c r="R131" s="311"/>
      <c r="S131" s="311"/>
      <c r="T131" s="311"/>
    </row>
    <row r="132" ht="76.5" spans="1:20">
      <c r="A132" s="313" t="s">
        <v>423</v>
      </c>
      <c r="B132" s="320" t="s">
        <v>424</v>
      </c>
      <c r="C132" s="321" t="s">
        <v>425</v>
      </c>
      <c r="D132" s="320" t="s">
        <v>426</v>
      </c>
      <c r="E132" s="320" t="s">
        <v>170</v>
      </c>
      <c r="F132" s="313" t="s">
        <v>28</v>
      </c>
      <c r="G132" s="318">
        <v>59476.2946183088</v>
      </c>
      <c r="H132" s="316">
        <f t="shared" ref="H132:H137" si="6">SUM(I132:N132)</f>
        <v>157.402597402598</v>
      </c>
      <c r="I132" s="323">
        <v>55.734155844156</v>
      </c>
      <c r="J132" s="318">
        <v>95</v>
      </c>
      <c r="K132" s="318">
        <v>5.11</v>
      </c>
      <c r="L132" s="318">
        <f>(I132+J132+K132)*'2-报价汇总'!$H$5</f>
        <v>1.55844155844156</v>
      </c>
      <c r="M132" s="318">
        <f>(I132+J132+K132+L132)*'2-报价汇总'!$I$5</f>
        <v>0</v>
      </c>
      <c r="N132" s="318">
        <f>(M132+L132+K132+J132+I132)*'2-报价汇总'!$J$5</f>
        <v>0</v>
      </c>
      <c r="O132" s="313">
        <f t="shared" ref="O132:O137" si="7">G132*H132</f>
        <v>9361723.25680394</v>
      </c>
      <c r="P132" s="321"/>
      <c r="Q132" s="311"/>
      <c r="R132" s="311"/>
      <c r="S132" s="311"/>
      <c r="T132" s="311"/>
    </row>
    <row r="133" ht="63.75" spans="1:20">
      <c r="A133" s="313" t="s">
        <v>427</v>
      </c>
      <c r="B133" s="320" t="s">
        <v>428</v>
      </c>
      <c r="C133" s="321" t="s">
        <v>429</v>
      </c>
      <c r="D133" s="320" t="s">
        <v>430</v>
      </c>
      <c r="E133" s="320" t="s">
        <v>170</v>
      </c>
      <c r="F133" s="313" t="s">
        <v>28</v>
      </c>
      <c r="G133" s="318">
        <v>399962.357690009</v>
      </c>
      <c r="H133" s="316">
        <f t="shared" si="6"/>
        <v>100.56277056277</v>
      </c>
      <c r="I133" s="323">
        <v>24.7670995670995</v>
      </c>
      <c r="J133" s="318">
        <v>70</v>
      </c>
      <c r="K133" s="318">
        <v>4.8</v>
      </c>
      <c r="L133" s="318">
        <f>(I133+J133+K133)*'2-报价汇总'!$H$5</f>
        <v>0.995670995670995</v>
      </c>
      <c r="M133" s="318">
        <f>(I133+J133+K133+L133)*'2-报价汇总'!$I$5</f>
        <v>0</v>
      </c>
      <c r="N133" s="318">
        <f>(M133+L133+K133+J133+I133)*'2-报价汇总'!$J$5</f>
        <v>0</v>
      </c>
      <c r="O133" s="313">
        <f t="shared" si="7"/>
        <v>40221322.8101251</v>
      </c>
      <c r="P133" s="321"/>
      <c r="Q133" s="311"/>
      <c r="R133" s="311"/>
      <c r="S133" s="311"/>
      <c r="T133" s="311"/>
    </row>
    <row r="134" ht="102" spans="1:20">
      <c r="A134" s="313" t="s">
        <v>431</v>
      </c>
      <c r="B134" s="320" t="s">
        <v>432</v>
      </c>
      <c r="C134" s="320" t="s">
        <v>433</v>
      </c>
      <c r="D134" s="320" t="s">
        <v>434</v>
      </c>
      <c r="E134" s="320" t="s">
        <v>170</v>
      </c>
      <c r="F134" s="313" t="s">
        <v>28</v>
      </c>
      <c r="G134" s="318">
        <v>58236.6354507854</v>
      </c>
      <c r="H134" s="316">
        <f t="shared" si="6"/>
        <v>110.601558441558</v>
      </c>
      <c r="I134" s="323">
        <v>25.496493506493</v>
      </c>
      <c r="J134" s="318">
        <v>80</v>
      </c>
      <c r="K134" s="318">
        <v>4.01</v>
      </c>
      <c r="L134" s="318">
        <f>(I134+J134+K134)*'2-报价汇总'!$H$5</f>
        <v>1.09506493506493</v>
      </c>
      <c r="M134" s="318">
        <f>(I134+J134+K134+L134)*'2-报价汇总'!$I$5</f>
        <v>0</v>
      </c>
      <c r="N134" s="318">
        <f>(M134+L134+K134+J134+I134)*'2-报价汇总'!$J$5</f>
        <v>0</v>
      </c>
      <c r="O134" s="313">
        <f t="shared" si="7"/>
        <v>6441062.63924975</v>
      </c>
      <c r="P134" s="321"/>
      <c r="Q134" s="311"/>
      <c r="R134" s="311"/>
      <c r="S134" s="311"/>
      <c r="T134" s="311"/>
    </row>
    <row r="135" spans="1:20">
      <c r="A135" s="313" t="s">
        <v>435</v>
      </c>
      <c r="B135" s="320" t="s">
        <v>436</v>
      </c>
      <c r="C135" s="320" t="s">
        <v>437</v>
      </c>
      <c r="D135" s="320" t="s">
        <v>244</v>
      </c>
      <c r="E135" s="320" t="s">
        <v>340</v>
      </c>
      <c r="F135" s="313" t="s">
        <v>78</v>
      </c>
      <c r="G135" s="318">
        <v>10938.1691252062</v>
      </c>
      <c r="H135" s="316">
        <f t="shared" si="6"/>
        <v>131.168831168831</v>
      </c>
      <c r="I135" s="323">
        <v>67.87012987013</v>
      </c>
      <c r="J135" s="318">
        <v>60</v>
      </c>
      <c r="K135" s="318">
        <v>2</v>
      </c>
      <c r="L135" s="318">
        <f>(I135+J135+K135)*'2-报价汇总'!$H$5</f>
        <v>1.2987012987013</v>
      </c>
      <c r="M135" s="318">
        <f>(I135+J135+K135+L135)*'2-报价汇总'!$I$5</f>
        <v>0</v>
      </c>
      <c r="N135" s="318">
        <f>(M135+L135+K135+J135+I135)*'2-报价汇总'!$J$5</f>
        <v>0</v>
      </c>
      <c r="O135" s="313">
        <f t="shared" si="7"/>
        <v>1434746.8592803</v>
      </c>
      <c r="P135" s="321"/>
      <c r="Q135" s="311"/>
      <c r="R135" s="311"/>
      <c r="S135" s="311"/>
      <c r="T135" s="311"/>
    </row>
    <row r="136" ht="51" spans="1:20">
      <c r="A136" s="313" t="s">
        <v>438</v>
      </c>
      <c r="B136" s="320" t="s">
        <v>439</v>
      </c>
      <c r="C136" s="320" t="s">
        <v>440</v>
      </c>
      <c r="D136" s="320" t="s">
        <v>244</v>
      </c>
      <c r="E136" s="320" t="s">
        <v>228</v>
      </c>
      <c r="F136" s="313" t="s">
        <v>89</v>
      </c>
      <c r="G136" s="318">
        <v>673499.533602697</v>
      </c>
      <c r="H136" s="316">
        <f t="shared" si="6"/>
        <v>48.0952380952381</v>
      </c>
      <c r="I136" s="323">
        <v>17.4190476190476</v>
      </c>
      <c r="J136" s="318">
        <v>30</v>
      </c>
      <c r="K136" s="318">
        <v>0.2</v>
      </c>
      <c r="L136" s="318">
        <f>(I136+J136+K136)*'2-报价汇总'!$H$5</f>
        <v>0.476190476190476</v>
      </c>
      <c r="M136" s="318">
        <f>(I136+J136+K136+L136)*'2-报价汇总'!$I$5</f>
        <v>0</v>
      </c>
      <c r="N136" s="318">
        <f>(M136+L136+K136+J136+I136)*'2-报价汇总'!$J$5</f>
        <v>0</v>
      </c>
      <c r="O136" s="313">
        <f t="shared" si="7"/>
        <v>32392120.4256535</v>
      </c>
      <c r="P136" s="321"/>
      <c r="Q136" s="311"/>
      <c r="R136" s="311"/>
      <c r="S136" s="311"/>
      <c r="T136" s="311"/>
    </row>
    <row r="137" ht="38.25" spans="1:20">
      <c r="A137" s="313" t="s">
        <v>441</v>
      </c>
      <c r="B137" s="320" t="s">
        <v>442</v>
      </c>
      <c r="C137" s="320"/>
      <c r="D137" s="320" t="s">
        <v>244</v>
      </c>
      <c r="E137" s="320" t="s">
        <v>443</v>
      </c>
      <c r="F137" s="313" t="s">
        <v>28</v>
      </c>
      <c r="G137" s="318">
        <v>673499.533602697</v>
      </c>
      <c r="H137" s="316">
        <f t="shared" si="6"/>
        <v>34.978354978355</v>
      </c>
      <c r="I137" s="315">
        <v>6.20203463203462</v>
      </c>
      <c r="J137" s="315">
        <v>28.03</v>
      </c>
      <c r="K137" s="315">
        <v>0.4</v>
      </c>
      <c r="L137" s="318">
        <f>(I137+J137+K137)*'2-报价汇总'!$H$5</f>
        <v>0.346320346320346</v>
      </c>
      <c r="M137" s="318">
        <f>(I137+J137+K137+L137)*'2-报价汇总'!$I$5</f>
        <v>0</v>
      </c>
      <c r="N137" s="318">
        <f>(M137+L137+K137+J137+I137)*'2-报价汇总'!$J$5</f>
        <v>0</v>
      </c>
      <c r="O137" s="313">
        <f t="shared" si="7"/>
        <v>23557905.7641116</v>
      </c>
      <c r="P137" s="321"/>
      <c r="Q137" s="311"/>
      <c r="R137" s="311"/>
      <c r="S137" s="311"/>
      <c r="T137" s="311"/>
    </row>
    <row r="138" ht="25.5" spans="1:20">
      <c r="A138" s="313" t="s">
        <v>444</v>
      </c>
      <c r="B138" s="320" t="s">
        <v>445</v>
      </c>
      <c r="C138" s="320" t="s">
        <v>446</v>
      </c>
      <c r="D138" s="320" t="s">
        <v>244</v>
      </c>
      <c r="E138" s="320" t="s">
        <v>447</v>
      </c>
      <c r="F138" s="313" t="s">
        <v>28</v>
      </c>
      <c r="G138" s="318">
        <v>677036.208286514</v>
      </c>
      <c r="H138" s="316">
        <f t="shared" ref="H138:H155" si="8">SUM(I138:N138)</f>
        <v>90.799</v>
      </c>
      <c r="I138" s="323">
        <v>51</v>
      </c>
      <c r="J138" s="323">
        <v>38</v>
      </c>
      <c r="K138" s="318">
        <v>0.9</v>
      </c>
      <c r="L138" s="318">
        <f>(I138+J138+K138)*'2-报价汇总'!$H$5</f>
        <v>0.899</v>
      </c>
      <c r="M138" s="318">
        <f>(I138+J138+K138+L138)*'2-报价汇总'!$I$5</f>
        <v>0</v>
      </c>
      <c r="N138" s="318">
        <f>(M138+L138+K138+J138+I138)*'2-报价汇总'!$J$5</f>
        <v>0</v>
      </c>
      <c r="O138" s="313">
        <f t="shared" ref="O138:O172" si="9">G138*H138</f>
        <v>61474210.6762072</v>
      </c>
      <c r="P138" s="321"/>
      <c r="Q138" s="311"/>
      <c r="R138" s="311"/>
      <c r="S138" s="311"/>
      <c r="T138" s="311"/>
    </row>
    <row r="139" ht="63.75" spans="1:20">
      <c r="A139" s="313" t="s">
        <v>448</v>
      </c>
      <c r="B139" s="320" t="s">
        <v>449</v>
      </c>
      <c r="C139" s="320" t="s">
        <v>450</v>
      </c>
      <c r="D139" s="320" t="s">
        <v>244</v>
      </c>
      <c r="E139" s="320" t="s">
        <v>228</v>
      </c>
      <c r="F139" s="313" t="s">
        <v>89</v>
      </c>
      <c r="G139" s="318">
        <v>5000</v>
      </c>
      <c r="H139" s="316">
        <f t="shared" si="8"/>
        <v>73.8830303030303</v>
      </c>
      <c r="I139" s="323">
        <v>22.0515151515151</v>
      </c>
      <c r="J139" s="318">
        <v>50</v>
      </c>
      <c r="K139" s="318">
        <v>1.1</v>
      </c>
      <c r="L139" s="318">
        <f>(I139+J139+K139)*'2-报价汇总'!$H$5</f>
        <v>0.731515151515151</v>
      </c>
      <c r="M139" s="318">
        <f>(I139+J139+K139+L139)*'2-报价汇总'!$I$5</f>
        <v>0</v>
      </c>
      <c r="N139" s="318">
        <f>(M139+L139+K139+J139+I139)*'2-报价汇总'!$J$5</f>
        <v>0</v>
      </c>
      <c r="O139" s="313">
        <f t="shared" si="9"/>
        <v>369415.151515151</v>
      </c>
      <c r="P139" s="321"/>
      <c r="Q139" s="311"/>
      <c r="R139" s="311"/>
      <c r="S139" s="311"/>
      <c r="T139" s="311"/>
    </row>
    <row r="140" spans="1:20">
      <c r="A140" s="313" t="s">
        <v>451</v>
      </c>
      <c r="B140" s="320" t="s">
        <v>452</v>
      </c>
      <c r="C140" s="320" t="s">
        <v>453</v>
      </c>
      <c r="D140" s="320"/>
      <c r="E140" s="320" t="s">
        <v>170</v>
      </c>
      <c r="F140" s="313" t="s">
        <v>28</v>
      </c>
      <c r="G140" s="318">
        <v>5000</v>
      </c>
      <c r="H140" s="316">
        <f t="shared" si="8"/>
        <v>43.7229437229437</v>
      </c>
      <c r="I140" s="323">
        <v>8.0900432900433</v>
      </c>
      <c r="J140" s="318">
        <v>35</v>
      </c>
      <c r="K140" s="318">
        <v>0.2</v>
      </c>
      <c r="L140" s="318">
        <f>(I140+J140+K140)*'2-报价汇总'!$H$5</f>
        <v>0.432900432900433</v>
      </c>
      <c r="M140" s="318">
        <f>(I140+J140+K140+L140)*'2-报价汇总'!$I$5</f>
        <v>0</v>
      </c>
      <c r="N140" s="318">
        <f>(M140+L140+K140+J140+I140)*'2-报价汇总'!$J$5</f>
        <v>0</v>
      </c>
      <c r="O140" s="313">
        <f t="shared" si="9"/>
        <v>218614.718614719</v>
      </c>
      <c r="P140" s="321"/>
      <c r="Q140" s="311"/>
      <c r="R140" s="311"/>
      <c r="S140" s="311"/>
      <c r="T140" s="311"/>
    </row>
    <row r="141" spans="1:20">
      <c r="A141" s="313" t="s">
        <v>454</v>
      </c>
      <c r="B141" s="320" t="s">
        <v>455</v>
      </c>
      <c r="C141" s="320" t="s">
        <v>456</v>
      </c>
      <c r="D141" s="320"/>
      <c r="E141" s="320" t="s">
        <v>170</v>
      </c>
      <c r="F141" s="313" t="s">
        <v>28</v>
      </c>
      <c r="G141" s="318">
        <v>95708.9798455543</v>
      </c>
      <c r="H141" s="316">
        <f t="shared" si="8"/>
        <v>209.87012987013</v>
      </c>
      <c r="I141" s="323">
        <v>27.592207792208</v>
      </c>
      <c r="J141" s="318">
        <v>180</v>
      </c>
      <c r="K141" s="318">
        <v>0.2</v>
      </c>
      <c r="L141" s="318">
        <f>(I141+J141+K141)*'2-报价汇总'!$H$5</f>
        <v>2.07792207792208</v>
      </c>
      <c r="M141" s="318">
        <f>(I141+J141+K141+L141)*'2-报价汇总'!$I$5</f>
        <v>0</v>
      </c>
      <c r="N141" s="318">
        <f>(M141+L141+K141+J141+I141)*'2-报价汇总'!$J$5</f>
        <v>0</v>
      </c>
      <c r="O141" s="313">
        <f t="shared" si="9"/>
        <v>20086456.0299241</v>
      </c>
      <c r="P141" s="321"/>
      <c r="Q141" s="311"/>
      <c r="R141" s="311"/>
      <c r="S141" s="311"/>
      <c r="T141" s="311"/>
    </row>
    <row r="142" ht="25.5" spans="1:20">
      <c r="A142" s="313" t="s">
        <v>457</v>
      </c>
      <c r="B142" s="320" t="s">
        <v>458</v>
      </c>
      <c r="C142" s="320" t="s">
        <v>459</v>
      </c>
      <c r="D142" s="320" t="s">
        <v>460</v>
      </c>
      <c r="E142" s="320" t="s">
        <v>170</v>
      </c>
      <c r="F142" s="313" t="s">
        <v>28</v>
      </c>
      <c r="G142" s="318">
        <v>5000</v>
      </c>
      <c r="H142" s="316">
        <f t="shared" si="8"/>
        <v>30.6060606060606</v>
      </c>
      <c r="I142" s="323">
        <v>9.9030303030303</v>
      </c>
      <c r="J142" s="318">
        <v>20</v>
      </c>
      <c r="K142" s="318">
        <v>0.4</v>
      </c>
      <c r="L142" s="318">
        <f>(I142+J142+K142)*'2-报价汇总'!$H$5</f>
        <v>0.303030303030303</v>
      </c>
      <c r="M142" s="318">
        <f>(I142+J142+K142+L142)*'2-报价汇总'!$I$5</f>
        <v>0</v>
      </c>
      <c r="N142" s="318">
        <f>(M142+L142+K142+J142+I142)*'2-报价汇总'!$J$5</f>
        <v>0</v>
      </c>
      <c r="O142" s="313">
        <f t="shared" si="9"/>
        <v>153030.303030303</v>
      </c>
      <c r="P142" s="321"/>
      <c r="Q142" s="311"/>
      <c r="R142" s="311"/>
      <c r="S142" s="311"/>
      <c r="T142" s="311"/>
    </row>
    <row r="143" ht="25.5" spans="1:20">
      <c r="A143" s="313" t="s">
        <v>461</v>
      </c>
      <c r="B143" s="320" t="s">
        <v>462</v>
      </c>
      <c r="C143" s="320"/>
      <c r="D143" s="320" t="s">
        <v>463</v>
      </c>
      <c r="E143" s="320" t="s">
        <v>228</v>
      </c>
      <c r="F143" s="313" t="s">
        <v>89</v>
      </c>
      <c r="G143" s="318">
        <v>5000</v>
      </c>
      <c r="H143" s="316">
        <f t="shared" si="8"/>
        <v>26.2299186147186</v>
      </c>
      <c r="I143" s="323">
        <v>5.6302164502164</v>
      </c>
      <c r="J143" s="318">
        <v>20</v>
      </c>
      <c r="K143" s="318">
        <v>0.34</v>
      </c>
      <c r="L143" s="318">
        <f>(I143+J143+K143)*'2-报价汇总'!$H$5</f>
        <v>0.259702164502164</v>
      </c>
      <c r="M143" s="318">
        <f>(I143+J143+K143+L143)*'2-报价汇总'!$I$5</f>
        <v>0</v>
      </c>
      <c r="N143" s="318">
        <f>(M143+L143+K143+J143+I143)*'2-报价汇总'!$J$5</f>
        <v>0</v>
      </c>
      <c r="O143" s="313">
        <f t="shared" si="9"/>
        <v>131149.593073593</v>
      </c>
      <c r="P143" s="321"/>
      <c r="Q143" s="311"/>
      <c r="R143" s="311"/>
      <c r="S143" s="311"/>
      <c r="T143" s="311"/>
    </row>
    <row r="144" ht="25.5" spans="1:20">
      <c r="A144" s="313" t="s">
        <v>464</v>
      </c>
      <c r="B144" s="320" t="s">
        <v>465</v>
      </c>
      <c r="C144" s="320" t="s">
        <v>237</v>
      </c>
      <c r="D144" s="320" t="s">
        <v>165</v>
      </c>
      <c r="E144" s="320" t="s">
        <v>170</v>
      </c>
      <c r="F144" s="313" t="s">
        <v>28</v>
      </c>
      <c r="G144" s="318">
        <v>5000</v>
      </c>
      <c r="H144" s="316">
        <f t="shared" si="8"/>
        <v>180.138528138528</v>
      </c>
      <c r="I144" s="323">
        <v>26.744978354978</v>
      </c>
      <c r="J144" s="318">
        <v>150</v>
      </c>
      <c r="K144" s="318">
        <v>1.61</v>
      </c>
      <c r="L144" s="318">
        <f>(I144+J144+K144)*'2-报价汇总'!$H$5</f>
        <v>1.78354978354978</v>
      </c>
      <c r="M144" s="318">
        <f>(I144+J144+K144+L144)*'2-报价汇总'!$I$5</f>
        <v>0</v>
      </c>
      <c r="N144" s="318">
        <f>(M144+L144+K144+J144+I144)*'2-报价汇总'!$J$5</f>
        <v>0</v>
      </c>
      <c r="O144" s="313">
        <f t="shared" si="9"/>
        <v>900692.640692639</v>
      </c>
      <c r="P144" s="321"/>
      <c r="Q144" s="311"/>
      <c r="R144" s="311"/>
      <c r="S144" s="311"/>
      <c r="T144" s="311"/>
    </row>
    <row r="145" ht="102" spans="1:20">
      <c r="A145" s="313" t="s">
        <v>466</v>
      </c>
      <c r="B145" s="320" t="s">
        <v>467</v>
      </c>
      <c r="C145" s="320" t="s">
        <v>433</v>
      </c>
      <c r="D145" s="320" t="s">
        <v>468</v>
      </c>
      <c r="E145" s="320" t="s">
        <v>170</v>
      </c>
      <c r="F145" s="313" t="s">
        <v>28</v>
      </c>
      <c r="G145" s="318">
        <v>5000</v>
      </c>
      <c r="H145" s="316">
        <f t="shared" si="8"/>
        <v>109.307359307359</v>
      </c>
      <c r="I145" s="323">
        <v>24.215108225108</v>
      </c>
      <c r="J145" s="318">
        <v>80</v>
      </c>
      <c r="K145" s="318">
        <v>4.01</v>
      </c>
      <c r="L145" s="318">
        <f>(I145+J145+K145)*'2-报价汇总'!$H$5</f>
        <v>1.08225108225108</v>
      </c>
      <c r="M145" s="318">
        <f>(I145+J145+K145+L145)*'2-报价汇总'!$I$5</f>
        <v>0</v>
      </c>
      <c r="N145" s="318">
        <f>(M145+L145+K145+J145+I145)*'2-报价汇总'!$J$5</f>
        <v>0</v>
      </c>
      <c r="O145" s="313">
        <f t="shared" si="9"/>
        <v>546536.796536795</v>
      </c>
      <c r="P145" s="321"/>
      <c r="Q145" s="311"/>
      <c r="R145" s="311"/>
      <c r="S145" s="311"/>
      <c r="T145" s="311"/>
    </row>
    <row r="146" ht="63.75" spans="1:20">
      <c r="A146" s="313" t="s">
        <v>469</v>
      </c>
      <c r="B146" s="320" t="s">
        <v>470</v>
      </c>
      <c r="C146" s="320" t="s">
        <v>471</v>
      </c>
      <c r="D146" s="320" t="s">
        <v>165</v>
      </c>
      <c r="E146" s="320" t="s">
        <v>228</v>
      </c>
      <c r="F146" s="313" t="s">
        <v>89</v>
      </c>
      <c r="G146" s="318">
        <v>5000</v>
      </c>
      <c r="H146" s="316">
        <f t="shared" si="8"/>
        <v>113.679653679654</v>
      </c>
      <c r="I146" s="323">
        <v>32.404112554113</v>
      </c>
      <c r="J146" s="318">
        <v>80</v>
      </c>
      <c r="K146" s="318">
        <v>0.15</v>
      </c>
      <c r="L146" s="318">
        <f>(I146+J146+K146)*'2-报价汇总'!$H$5</f>
        <v>1.12554112554113</v>
      </c>
      <c r="M146" s="318">
        <f>(I146+J146+K146+L146)*'2-报价汇总'!$I$5</f>
        <v>0</v>
      </c>
      <c r="N146" s="318">
        <f>(M146+L146+K146+J146+I146)*'2-报价汇总'!$J$5</f>
        <v>0</v>
      </c>
      <c r="O146" s="313">
        <f t="shared" si="9"/>
        <v>568398.268398271</v>
      </c>
      <c r="P146" s="321"/>
      <c r="Q146" s="311"/>
      <c r="R146" s="311"/>
      <c r="S146" s="311"/>
      <c r="T146" s="311"/>
    </row>
    <row r="147" ht="76.5" spans="1:20">
      <c r="A147" s="313" t="s">
        <v>472</v>
      </c>
      <c r="B147" s="320" t="s">
        <v>473</v>
      </c>
      <c r="C147" s="320" t="s">
        <v>474</v>
      </c>
      <c r="D147" s="320" t="s">
        <v>165</v>
      </c>
      <c r="E147" s="320" t="s">
        <v>170</v>
      </c>
      <c r="F147" s="313" t="s">
        <v>28</v>
      </c>
      <c r="G147" s="318">
        <v>77478.6979702106</v>
      </c>
      <c r="H147" s="316">
        <f t="shared" si="8"/>
        <v>192.380252813853</v>
      </c>
      <c r="I147" s="323">
        <v>36.065497835498</v>
      </c>
      <c r="J147" s="318">
        <v>150</v>
      </c>
      <c r="K147" s="318">
        <v>4.41</v>
      </c>
      <c r="L147" s="318">
        <f>(I147+J147+K147)*'2-报价汇总'!$H$5</f>
        <v>1.90475497835498</v>
      </c>
      <c r="M147" s="318">
        <f>(I147+J147+K147+L147)*'2-报价汇总'!$I$5</f>
        <v>0</v>
      </c>
      <c r="N147" s="318">
        <f>(M147+L147+K147+J147+I147)*'2-报价汇总'!$J$5</f>
        <v>0</v>
      </c>
      <c r="O147" s="313">
        <f t="shared" si="9"/>
        <v>14905371.5031973</v>
      </c>
      <c r="P147" s="321"/>
      <c r="Q147" s="311"/>
      <c r="R147" s="311"/>
      <c r="S147" s="311"/>
      <c r="T147" s="311"/>
    </row>
    <row r="148" ht="38.25" spans="1:20">
      <c r="A148" s="313" t="s">
        <v>475</v>
      </c>
      <c r="B148" s="320" t="s">
        <v>476</v>
      </c>
      <c r="C148" s="320" t="s">
        <v>477</v>
      </c>
      <c r="D148" s="320" t="s">
        <v>165</v>
      </c>
      <c r="E148" s="320" t="s">
        <v>170</v>
      </c>
      <c r="F148" s="313" t="s">
        <v>28</v>
      </c>
      <c r="G148" s="318">
        <v>5000</v>
      </c>
      <c r="H148" s="316">
        <f t="shared" si="8"/>
        <v>69.0822510822511</v>
      </c>
      <c r="I148" s="323">
        <v>36.9082683982684</v>
      </c>
      <c r="J148" s="318">
        <v>30</v>
      </c>
      <c r="K148" s="318">
        <v>1.49</v>
      </c>
      <c r="L148" s="318">
        <f>(I148+J148+K148)*'2-报价汇总'!$H$5</f>
        <v>0.683982683982684</v>
      </c>
      <c r="M148" s="318">
        <f>(I148+J148+K148+L148)*'2-报价汇总'!$I$5</f>
        <v>0</v>
      </c>
      <c r="N148" s="318">
        <f>(M148+L148+K148+J148+I148)*'2-报价汇总'!$J$5</f>
        <v>0</v>
      </c>
      <c r="O148" s="313">
        <f t="shared" si="9"/>
        <v>345411.255411255</v>
      </c>
      <c r="P148" s="321"/>
      <c r="Q148" s="311"/>
      <c r="R148" s="311"/>
      <c r="S148" s="311"/>
      <c r="T148" s="311"/>
    </row>
    <row r="149" ht="38.25" spans="1:20">
      <c r="A149" s="313" t="s">
        <v>478</v>
      </c>
      <c r="B149" s="320" t="s">
        <v>479</v>
      </c>
      <c r="C149" s="320" t="s">
        <v>480</v>
      </c>
      <c r="D149" s="320" t="s">
        <v>165</v>
      </c>
      <c r="E149" s="320" t="s">
        <v>340</v>
      </c>
      <c r="F149" s="313" t="s">
        <v>481</v>
      </c>
      <c r="G149" s="318">
        <v>5000</v>
      </c>
      <c r="H149" s="316">
        <f t="shared" si="8"/>
        <v>262.337662337663</v>
      </c>
      <c r="I149" s="323">
        <v>77.17025974026</v>
      </c>
      <c r="J149" s="318">
        <v>180</v>
      </c>
      <c r="K149" s="318">
        <v>2.57</v>
      </c>
      <c r="L149" s="318">
        <f>(I149+J149+K149)*'2-报价汇总'!$H$5</f>
        <v>2.5974025974026</v>
      </c>
      <c r="M149" s="318">
        <f>(I149+J149+K149+L149)*'2-报价汇总'!$I$5</f>
        <v>0</v>
      </c>
      <c r="N149" s="318">
        <f>(M149+L149+K149+J149+I149)*'2-报价汇总'!$J$5</f>
        <v>0</v>
      </c>
      <c r="O149" s="313">
        <f t="shared" si="9"/>
        <v>1311688.31168831</v>
      </c>
      <c r="P149" s="321"/>
      <c r="Q149" s="311"/>
      <c r="R149" s="311"/>
      <c r="S149" s="311"/>
      <c r="T149" s="311"/>
    </row>
    <row r="150" ht="38.25" spans="1:20">
      <c r="A150" s="313" t="s">
        <v>482</v>
      </c>
      <c r="B150" s="320" t="s">
        <v>483</v>
      </c>
      <c r="C150" s="320" t="s">
        <v>484</v>
      </c>
      <c r="D150" s="320" t="s">
        <v>165</v>
      </c>
      <c r="E150" s="320" t="s">
        <v>340</v>
      </c>
      <c r="F150" s="313" t="s">
        <v>481</v>
      </c>
      <c r="G150" s="318">
        <v>5000</v>
      </c>
      <c r="H150" s="316">
        <f t="shared" si="8"/>
        <v>174.891774891775</v>
      </c>
      <c r="I150" s="323">
        <v>71.440173160173</v>
      </c>
      <c r="J150" s="318">
        <v>100</v>
      </c>
      <c r="K150" s="318">
        <v>1.72</v>
      </c>
      <c r="L150" s="318">
        <f>(I150+J150+K150)*'2-报价汇总'!$H$5</f>
        <v>1.73160173160173</v>
      </c>
      <c r="M150" s="318">
        <f>(I150+J150+K150+L150)*'2-报价汇总'!$I$5</f>
        <v>0</v>
      </c>
      <c r="N150" s="318">
        <f>(M150+L150+K150+J150+I150)*'2-报价汇总'!$J$5</f>
        <v>0</v>
      </c>
      <c r="O150" s="313">
        <f t="shared" si="9"/>
        <v>874458.874458874</v>
      </c>
      <c r="P150" s="321"/>
      <c r="Q150" s="311"/>
      <c r="R150" s="311"/>
      <c r="S150" s="311"/>
      <c r="T150" s="311"/>
    </row>
    <row r="151" ht="38.25" spans="1:20">
      <c r="A151" s="313" t="s">
        <v>485</v>
      </c>
      <c r="B151" s="326" t="s">
        <v>486</v>
      </c>
      <c r="C151" s="326" t="s">
        <v>487</v>
      </c>
      <c r="D151" s="326" t="s">
        <v>165</v>
      </c>
      <c r="E151" s="326" t="s">
        <v>340</v>
      </c>
      <c r="F151" s="318" t="s">
        <v>78</v>
      </c>
      <c r="G151" s="318">
        <v>287163.400100414</v>
      </c>
      <c r="H151" s="316">
        <f t="shared" si="8"/>
        <v>13.1168831168831</v>
      </c>
      <c r="I151" s="323">
        <v>11.487012987013</v>
      </c>
      <c r="J151" s="318">
        <v>1</v>
      </c>
      <c r="K151" s="318">
        <v>0.5</v>
      </c>
      <c r="L151" s="318">
        <f>(I151+J151+K151)*'2-报价汇总'!$H$5</f>
        <v>0.12987012987013</v>
      </c>
      <c r="M151" s="318">
        <f>(I151+J151+K151+L151)*'2-报价汇总'!$I$5</f>
        <v>0</v>
      </c>
      <c r="N151" s="318">
        <f>(M151+L151+K151+J151+I151)*'2-报价汇总'!$J$5</f>
        <v>0</v>
      </c>
      <c r="O151" s="313">
        <f t="shared" si="9"/>
        <v>3766688.75456388</v>
      </c>
      <c r="P151" s="327"/>
      <c r="Q151" s="328"/>
      <c r="R151" s="328"/>
      <c r="S151" s="328"/>
      <c r="T151" s="328"/>
    </row>
    <row r="152" ht="38.25" spans="1:20">
      <c r="A152" s="313" t="s">
        <v>488</v>
      </c>
      <c r="B152" s="326" t="s">
        <v>489</v>
      </c>
      <c r="C152" s="326" t="s">
        <v>490</v>
      </c>
      <c r="D152" s="326"/>
      <c r="E152" s="326" t="s">
        <v>491</v>
      </c>
      <c r="F152" s="318" t="s">
        <v>89</v>
      </c>
      <c r="G152" s="318">
        <v>87368.6258875846</v>
      </c>
      <c r="H152" s="316">
        <f t="shared" si="8"/>
        <v>117.261</v>
      </c>
      <c r="I152" s="323">
        <v>45</v>
      </c>
      <c r="J152" s="318">
        <v>70</v>
      </c>
      <c r="K152" s="318">
        <v>1.1</v>
      </c>
      <c r="L152" s="318">
        <f>(I152+J152+K152)*'2-报价汇总'!$H$5</f>
        <v>1.161</v>
      </c>
      <c r="M152" s="318">
        <f>(I152+J152+K152+L152)*'2-报价汇总'!$I$5</f>
        <v>0</v>
      </c>
      <c r="N152" s="318">
        <f>(M152+L152+K152+J152+I152)*'2-报价汇总'!$J$5</f>
        <v>0</v>
      </c>
      <c r="O152" s="313">
        <f t="shared" si="9"/>
        <v>10244932.4402041</v>
      </c>
      <c r="P152" s="318"/>
      <c r="Q152" s="328"/>
      <c r="R152" s="328"/>
      <c r="S152" s="328"/>
      <c r="T152" s="328"/>
    </row>
    <row r="153" ht="25.5" spans="1:20">
      <c r="A153" s="313" t="s">
        <v>492</v>
      </c>
      <c r="B153" s="326" t="s">
        <v>493</v>
      </c>
      <c r="C153" s="326" t="s">
        <v>494</v>
      </c>
      <c r="D153" s="326"/>
      <c r="E153" s="326" t="s">
        <v>495</v>
      </c>
      <c r="F153" s="318" t="s">
        <v>89</v>
      </c>
      <c r="G153" s="318">
        <v>16407.2536878093</v>
      </c>
      <c r="H153" s="316">
        <f t="shared" si="8"/>
        <v>21.715</v>
      </c>
      <c r="I153" s="323">
        <v>5.5</v>
      </c>
      <c r="J153" s="318">
        <v>15</v>
      </c>
      <c r="K153" s="318">
        <v>1</v>
      </c>
      <c r="L153" s="318">
        <f>(I153+J153+K153)*'2-报价汇总'!$H$5</f>
        <v>0.215</v>
      </c>
      <c r="M153" s="318">
        <f>(I153+J153+K153+L153)*'2-报价汇总'!$I$5</f>
        <v>0</v>
      </c>
      <c r="N153" s="318">
        <f>(M153+L153+K153+J153+I153)*'2-报价汇总'!$J$5</f>
        <v>0</v>
      </c>
      <c r="O153" s="313">
        <f t="shared" si="9"/>
        <v>356283.513830779</v>
      </c>
      <c r="P153" s="318"/>
      <c r="Q153" s="328"/>
      <c r="R153" s="328"/>
      <c r="S153" s="328"/>
      <c r="T153" s="328"/>
    </row>
    <row r="154" ht="38.25" spans="1:20">
      <c r="A154" s="313" t="s">
        <v>496</v>
      </c>
      <c r="B154" s="326" t="s">
        <v>497</v>
      </c>
      <c r="C154" s="326" t="s">
        <v>498</v>
      </c>
      <c r="D154" s="326"/>
      <c r="E154" s="326" t="s">
        <v>495</v>
      </c>
      <c r="F154" s="318" t="s">
        <v>89</v>
      </c>
      <c r="G154" s="318">
        <v>5000</v>
      </c>
      <c r="H154" s="316">
        <f t="shared" si="8"/>
        <v>77.9316</v>
      </c>
      <c r="I154" s="323">
        <v>26.06</v>
      </c>
      <c r="J154" s="318">
        <v>50</v>
      </c>
      <c r="K154" s="318">
        <v>1.1</v>
      </c>
      <c r="L154" s="318">
        <f>(I154+J154+K154)*'2-报价汇总'!$H$5</f>
        <v>0.7716</v>
      </c>
      <c r="M154" s="318">
        <f>(I154+J154+K154+L154)*'2-报价汇总'!$I$5</f>
        <v>0</v>
      </c>
      <c r="N154" s="318">
        <f>(M154+L154+K154+J154+I154)*'2-报价汇总'!$J$5</f>
        <v>0</v>
      </c>
      <c r="O154" s="313">
        <f t="shared" si="9"/>
        <v>389658</v>
      </c>
      <c r="P154" s="318"/>
      <c r="Q154" s="328"/>
      <c r="R154" s="328"/>
      <c r="S154" s="328"/>
      <c r="T154" s="328"/>
    </row>
    <row r="155" ht="25.5" spans="1:20">
      <c r="A155" s="313" t="s">
        <v>499</v>
      </c>
      <c r="B155" s="326" t="s">
        <v>500</v>
      </c>
      <c r="C155" s="326"/>
      <c r="D155" s="326"/>
      <c r="E155" s="326" t="s">
        <v>166</v>
      </c>
      <c r="F155" s="318" t="s">
        <v>28</v>
      </c>
      <c r="G155" s="318">
        <v>5000</v>
      </c>
      <c r="H155" s="316">
        <f t="shared" si="8"/>
        <v>73.8411</v>
      </c>
      <c r="I155" s="323">
        <v>16.5</v>
      </c>
      <c r="J155" s="318">
        <v>55</v>
      </c>
      <c r="K155" s="318">
        <v>1.61</v>
      </c>
      <c r="L155" s="318">
        <f>(I155+J155+K155)*'2-报价汇总'!$H$5</f>
        <v>0.7311</v>
      </c>
      <c r="M155" s="318">
        <f>(I155+J155+K155+L155)*'2-报价汇总'!$I$5</f>
        <v>0</v>
      </c>
      <c r="N155" s="318">
        <f>(M155+L155+K155+J155+I155)*'2-报价汇总'!$J$5</f>
        <v>0</v>
      </c>
      <c r="O155" s="313">
        <f t="shared" si="9"/>
        <v>369205.5</v>
      </c>
      <c r="P155" s="318"/>
      <c r="Q155" s="328"/>
      <c r="R155" s="328"/>
      <c r="S155" s="328"/>
      <c r="T155" s="328"/>
    </row>
    <row r="156" spans="1:20">
      <c r="A156" s="330"/>
      <c r="B156" s="324" t="s">
        <v>158</v>
      </c>
      <c r="C156" s="330"/>
      <c r="D156" s="330"/>
      <c r="E156" s="330"/>
      <c r="F156" s="331"/>
      <c r="G156" s="318"/>
      <c r="H156" s="331"/>
      <c r="I156" s="318"/>
      <c r="J156" s="318"/>
      <c r="K156" s="318"/>
      <c r="L156" s="318"/>
      <c r="M156" s="318"/>
      <c r="N156" s="318"/>
      <c r="O156" s="313"/>
      <c r="P156" s="331"/>
      <c r="Q156" s="311"/>
      <c r="R156" s="311"/>
      <c r="S156" s="311"/>
      <c r="T156" s="311"/>
    </row>
    <row r="157" spans="1:20">
      <c r="A157" s="313"/>
      <c r="B157" s="319" t="s">
        <v>159</v>
      </c>
      <c r="C157" s="320"/>
      <c r="D157" s="320"/>
      <c r="E157" s="320"/>
      <c r="F157" s="313"/>
      <c r="G157" s="318"/>
      <c r="H157" s="313"/>
      <c r="I157" s="318"/>
      <c r="J157" s="318"/>
      <c r="K157" s="318"/>
      <c r="L157" s="323"/>
      <c r="M157" s="323"/>
      <c r="N157" s="323"/>
      <c r="O157" s="313"/>
      <c r="P157" s="321"/>
      <c r="Q157" s="311"/>
      <c r="R157" s="311"/>
      <c r="S157" s="311"/>
      <c r="T157" s="311"/>
    </row>
    <row r="158" spans="1:20">
      <c r="A158" s="336" t="s">
        <v>501</v>
      </c>
      <c r="B158" s="319" t="s">
        <v>502</v>
      </c>
      <c r="C158" s="320"/>
      <c r="D158" s="320"/>
      <c r="E158" s="320"/>
      <c r="F158" s="313"/>
      <c r="G158" s="318"/>
      <c r="H158" s="313"/>
      <c r="I158" s="318"/>
      <c r="J158" s="318"/>
      <c r="K158" s="318"/>
      <c r="L158" s="323"/>
      <c r="M158" s="323"/>
      <c r="N158" s="323"/>
      <c r="O158" s="313"/>
      <c r="P158" s="321"/>
      <c r="Q158" s="311"/>
      <c r="R158" s="311"/>
      <c r="S158" s="311"/>
      <c r="T158" s="311"/>
    </row>
    <row r="159" ht="38.25" spans="1:20">
      <c r="A159" s="313" t="s">
        <v>503</v>
      </c>
      <c r="B159" s="320" t="s">
        <v>504</v>
      </c>
      <c r="C159" s="320" t="s">
        <v>505</v>
      </c>
      <c r="D159" s="320" t="s">
        <v>244</v>
      </c>
      <c r="E159" s="320" t="s">
        <v>170</v>
      </c>
      <c r="F159" s="313" t="s">
        <v>28</v>
      </c>
      <c r="G159" s="318">
        <v>2119956.63812131</v>
      </c>
      <c r="H159" s="316">
        <f t="shared" ref="H159:H190" si="10">SUM(I159:N159)</f>
        <v>38.4761904761905</v>
      </c>
      <c r="I159" s="323">
        <v>17.3652380952381</v>
      </c>
      <c r="J159" s="318">
        <v>20</v>
      </c>
      <c r="K159" s="318">
        <v>0.73</v>
      </c>
      <c r="L159" s="318">
        <f>(I159+J159+K159)*'2-报价汇总'!$H$5</f>
        <v>0.380952380952381</v>
      </c>
      <c r="M159" s="318">
        <f>(I159+J159+K159+L159)*'2-报价汇总'!$I$5</f>
        <v>0</v>
      </c>
      <c r="N159" s="318">
        <f>(M159+L159+K159+J159+I159)*'2-报价汇总'!$J$5</f>
        <v>0</v>
      </c>
      <c r="O159" s="313">
        <f t="shared" si="9"/>
        <v>81567855.4096199</v>
      </c>
      <c r="P159" s="321"/>
      <c r="Q159" s="311"/>
      <c r="R159" s="311"/>
      <c r="S159" s="311"/>
      <c r="T159" s="311"/>
    </row>
    <row r="160" ht="38.25" spans="1:20">
      <c r="A160" s="313" t="s">
        <v>506</v>
      </c>
      <c r="B160" s="320" t="s">
        <v>507</v>
      </c>
      <c r="C160" s="320" t="s">
        <v>508</v>
      </c>
      <c r="D160" s="320" t="s">
        <v>244</v>
      </c>
      <c r="E160" s="320" t="s">
        <v>170</v>
      </c>
      <c r="F160" s="313" t="s">
        <v>28</v>
      </c>
      <c r="G160" s="318">
        <v>1054394.11026801</v>
      </c>
      <c r="H160" s="316">
        <f t="shared" si="10"/>
        <v>38.4761904761905</v>
      </c>
      <c r="I160" s="323">
        <v>17.3652380952381</v>
      </c>
      <c r="J160" s="318">
        <v>20</v>
      </c>
      <c r="K160" s="318">
        <v>0.73</v>
      </c>
      <c r="L160" s="318">
        <f>(I160+J160+K160)*'2-报价汇总'!$H$5</f>
        <v>0.380952380952381</v>
      </c>
      <c r="M160" s="318">
        <f>(I160+J160+K160+L160)*'2-报价汇总'!$I$5</f>
        <v>0</v>
      </c>
      <c r="N160" s="318">
        <f>(M160+L160+K160+J160+I160)*'2-报价汇总'!$J$5</f>
        <v>0</v>
      </c>
      <c r="O160" s="313">
        <f t="shared" si="9"/>
        <v>40569068.6236453</v>
      </c>
      <c r="P160" s="321"/>
      <c r="Q160" s="311"/>
      <c r="R160" s="311"/>
      <c r="S160" s="311"/>
      <c r="T160" s="311"/>
    </row>
    <row r="161" ht="51" spans="1:20">
      <c r="A161" s="313" t="s">
        <v>509</v>
      </c>
      <c r="B161" s="320" t="s">
        <v>510</v>
      </c>
      <c r="C161" s="320" t="s">
        <v>511</v>
      </c>
      <c r="D161" s="320" t="s">
        <v>244</v>
      </c>
      <c r="E161" s="320" t="s">
        <v>170</v>
      </c>
      <c r="F161" s="313" t="s">
        <v>28</v>
      </c>
      <c r="G161" s="318">
        <v>362129.053714108</v>
      </c>
      <c r="H161" s="316">
        <f t="shared" si="10"/>
        <v>24.4848484848484</v>
      </c>
      <c r="I161" s="323">
        <v>13.9424242424242</v>
      </c>
      <c r="J161" s="318">
        <v>10</v>
      </c>
      <c r="K161" s="318">
        <v>0.3</v>
      </c>
      <c r="L161" s="318">
        <f>(I161+J161+K161)*'2-报价汇总'!$H$5</f>
        <v>0.242424242424242</v>
      </c>
      <c r="M161" s="318">
        <f>(I161+J161+K161+L161)*'2-报价汇总'!$I$5</f>
        <v>0</v>
      </c>
      <c r="N161" s="318">
        <f>(M161+L161+K161+J161+I161)*'2-报价汇总'!$J$5</f>
        <v>0</v>
      </c>
      <c r="O161" s="313">
        <f t="shared" si="9"/>
        <v>8866675.01215148</v>
      </c>
      <c r="P161" s="337"/>
      <c r="Q161" s="311"/>
      <c r="R161" s="311"/>
      <c r="S161" s="311"/>
      <c r="T161" s="311"/>
    </row>
    <row r="162" ht="102" spans="1:20">
      <c r="A162" s="313" t="s">
        <v>512</v>
      </c>
      <c r="B162" s="320" t="s">
        <v>513</v>
      </c>
      <c r="C162" s="320" t="s">
        <v>514</v>
      </c>
      <c r="D162" s="320" t="s">
        <v>244</v>
      </c>
      <c r="E162" s="320" t="s">
        <v>170</v>
      </c>
      <c r="F162" s="313" t="s">
        <v>28</v>
      </c>
      <c r="G162" s="318">
        <v>50000</v>
      </c>
      <c r="H162" s="316">
        <f t="shared" si="10"/>
        <v>173.142857142857</v>
      </c>
      <c r="I162" s="323">
        <v>92.6719342604298</v>
      </c>
      <c r="J162" s="318">
        <f>76/1.13+10</f>
        <v>77.2566371681416</v>
      </c>
      <c r="K162" s="323">
        <v>1.5</v>
      </c>
      <c r="L162" s="318">
        <f>(I162+J162+K162)*'2-报价汇总'!$H$5</f>
        <v>1.71428571428571</v>
      </c>
      <c r="M162" s="318">
        <f>(I162+J162+K162+L162)*'2-报价汇总'!$I$5</f>
        <v>0</v>
      </c>
      <c r="N162" s="318">
        <f>(M162+L162+K162+J162+I162)*'2-报价汇总'!$J$5</f>
        <v>0</v>
      </c>
      <c r="O162" s="313">
        <f t="shared" si="9"/>
        <v>8657142.85714286</v>
      </c>
      <c r="P162" s="321"/>
      <c r="Q162" s="311"/>
      <c r="R162" s="311"/>
      <c r="S162" s="311"/>
      <c r="T162" s="311"/>
    </row>
    <row r="163" ht="102" spans="1:20">
      <c r="A163" s="313" t="s">
        <v>515</v>
      </c>
      <c r="B163" s="320" t="s">
        <v>516</v>
      </c>
      <c r="C163" s="320" t="s">
        <v>514</v>
      </c>
      <c r="D163" s="320" t="s">
        <v>244</v>
      </c>
      <c r="E163" s="320" t="s">
        <v>170</v>
      </c>
      <c r="F163" s="313" t="s">
        <v>28</v>
      </c>
      <c r="G163" s="318">
        <v>278987.312778827</v>
      </c>
      <c r="H163" s="316">
        <f t="shared" si="10"/>
        <v>152.155844155844</v>
      </c>
      <c r="I163" s="323">
        <v>79.1493506493507</v>
      </c>
      <c r="J163" s="318">
        <v>70</v>
      </c>
      <c r="K163" s="318">
        <v>1.5</v>
      </c>
      <c r="L163" s="318">
        <f>(I163+J163+K163)*'2-报价汇总'!$H$5</f>
        <v>1.50649350649351</v>
      </c>
      <c r="M163" s="318">
        <f>(I163+J163+K163+L163)*'2-报价汇总'!$I$5</f>
        <v>0</v>
      </c>
      <c r="N163" s="318">
        <f>(M163+L163+K163+J163+I163)*'2-报价汇总'!$J$5</f>
        <v>0</v>
      </c>
      <c r="O163" s="313">
        <f t="shared" si="9"/>
        <v>42449550.084633</v>
      </c>
      <c r="P163" s="338"/>
      <c r="Q163" s="311"/>
      <c r="R163" s="311"/>
      <c r="S163" s="311"/>
      <c r="T163" s="311"/>
    </row>
    <row r="164" ht="102" spans="1:20">
      <c r="A164" s="313" t="s">
        <v>517</v>
      </c>
      <c r="B164" s="320" t="s">
        <v>518</v>
      </c>
      <c r="C164" s="320" t="s">
        <v>519</v>
      </c>
      <c r="D164" s="320" t="s">
        <v>244</v>
      </c>
      <c r="E164" s="320" t="s">
        <v>170</v>
      </c>
      <c r="F164" s="313" t="s">
        <v>28</v>
      </c>
      <c r="G164" s="318">
        <v>429097.994183183</v>
      </c>
      <c r="H164" s="316">
        <f t="shared" si="10"/>
        <v>165.272727272727</v>
      </c>
      <c r="I164" s="323">
        <v>62.1363636363636</v>
      </c>
      <c r="J164" s="318">
        <v>100</v>
      </c>
      <c r="K164" s="318">
        <v>1.5</v>
      </c>
      <c r="L164" s="318">
        <f>(I164+J164+K164)*'2-报价汇总'!$H$5</f>
        <v>1.63636363636364</v>
      </c>
      <c r="M164" s="318">
        <f>(I164+J164+K164+L164)*'2-报价汇总'!$I$5</f>
        <v>0</v>
      </c>
      <c r="N164" s="318">
        <f>(M164+L164+K164+J164+I164)*'2-报价汇总'!$J$5</f>
        <v>0</v>
      </c>
      <c r="O164" s="313">
        <f t="shared" si="9"/>
        <v>70918195.7659115</v>
      </c>
      <c r="P164" s="313" t="s">
        <v>289</v>
      </c>
      <c r="Q164" s="311"/>
      <c r="R164" s="311"/>
      <c r="S164" s="311"/>
      <c r="T164" s="311"/>
    </row>
    <row r="165" ht="38.25" spans="1:20">
      <c r="A165" s="313" t="s">
        <v>520</v>
      </c>
      <c r="B165" s="320" t="s">
        <v>521</v>
      </c>
      <c r="C165" s="320" t="s">
        <v>522</v>
      </c>
      <c r="D165" s="320" t="s">
        <v>244</v>
      </c>
      <c r="E165" s="320" t="s">
        <v>170</v>
      </c>
      <c r="F165" s="313" t="s">
        <v>28</v>
      </c>
      <c r="G165" s="318">
        <v>5000</v>
      </c>
      <c r="H165" s="316">
        <f t="shared" si="10"/>
        <v>244.848484848484</v>
      </c>
      <c r="I165" s="323">
        <v>42.074242424242</v>
      </c>
      <c r="J165" s="318">
        <v>200</v>
      </c>
      <c r="K165" s="318">
        <v>0.35</v>
      </c>
      <c r="L165" s="318">
        <f>(I165+J165+K165)*'2-报价汇总'!$H$5</f>
        <v>2.42424242424242</v>
      </c>
      <c r="M165" s="318">
        <f>(I165+J165+K165+L165)*'2-报价汇总'!$I$5</f>
        <v>0</v>
      </c>
      <c r="N165" s="318">
        <f>(M165+L165+K165+J165+I165)*'2-报价汇总'!$J$5</f>
        <v>0</v>
      </c>
      <c r="O165" s="313">
        <f t="shared" si="9"/>
        <v>1224242.42424242</v>
      </c>
      <c r="P165" s="321"/>
      <c r="Q165" s="311"/>
      <c r="R165" s="311"/>
      <c r="S165" s="311"/>
      <c r="T165" s="311"/>
    </row>
    <row r="166" ht="25.5" spans="1:20">
      <c r="A166" s="313" t="s">
        <v>523</v>
      </c>
      <c r="B166" s="320" t="s">
        <v>524</v>
      </c>
      <c r="C166" s="320" t="s">
        <v>525</v>
      </c>
      <c r="D166" s="320" t="s">
        <v>244</v>
      </c>
      <c r="E166" s="320" t="s">
        <v>228</v>
      </c>
      <c r="F166" s="313" t="s">
        <v>89</v>
      </c>
      <c r="G166" s="318">
        <v>360977.81141368</v>
      </c>
      <c r="H166" s="316">
        <f t="shared" si="10"/>
        <v>48.0950632034632</v>
      </c>
      <c r="I166" s="323">
        <v>12.4188744588745</v>
      </c>
      <c r="J166" s="318">
        <v>35</v>
      </c>
      <c r="K166" s="318">
        <v>0.2</v>
      </c>
      <c r="L166" s="318">
        <f>(I166+J166+K166)*'2-报价汇总'!$H$5</f>
        <v>0.476188744588745</v>
      </c>
      <c r="M166" s="318">
        <f>(I166+J166+K166+L166)*'2-报价汇总'!$I$5</f>
        <v>0</v>
      </c>
      <c r="N166" s="318">
        <f>(M166+L166+K166+J166+I166)*'2-报价汇总'!$J$5</f>
        <v>0</v>
      </c>
      <c r="O166" s="313">
        <f t="shared" si="9"/>
        <v>17361250.6549888</v>
      </c>
      <c r="P166" s="321"/>
      <c r="Q166" s="311"/>
      <c r="R166" s="311"/>
      <c r="S166" s="311"/>
      <c r="T166" s="311"/>
    </row>
    <row r="167" ht="25.5" spans="1:20">
      <c r="A167" s="313" t="s">
        <v>526</v>
      </c>
      <c r="B167" s="320" t="s">
        <v>527</v>
      </c>
      <c r="C167" s="320" t="s">
        <v>525</v>
      </c>
      <c r="D167" s="320" t="s">
        <v>244</v>
      </c>
      <c r="E167" s="320" t="s">
        <v>228</v>
      </c>
      <c r="F167" s="313" t="s">
        <v>89</v>
      </c>
      <c r="G167" s="318">
        <v>279980.669041528</v>
      </c>
      <c r="H167" s="316">
        <f t="shared" si="10"/>
        <v>54.2140017316017</v>
      </c>
      <c r="I167" s="323">
        <v>18.4772294372294</v>
      </c>
      <c r="J167" s="318">
        <v>35</v>
      </c>
      <c r="K167" s="318">
        <v>0.2</v>
      </c>
      <c r="L167" s="318">
        <f>(I167+J167+K167)*'2-报价汇总'!$H$5</f>
        <v>0.536772294372294</v>
      </c>
      <c r="M167" s="318">
        <f>(I167+J167+K167+L167)*'2-报价汇总'!$I$5</f>
        <v>0</v>
      </c>
      <c r="N167" s="318">
        <f>(M167+L167+K167+J167+I167)*'2-报价汇总'!$J$5</f>
        <v>0</v>
      </c>
      <c r="O167" s="313">
        <f t="shared" si="9"/>
        <v>15178872.4762324</v>
      </c>
      <c r="P167" s="321"/>
      <c r="Q167" s="311"/>
      <c r="R167" s="311"/>
      <c r="S167" s="311"/>
      <c r="T167" s="311"/>
    </row>
    <row r="168" ht="63.75" spans="1:20">
      <c r="A168" s="313" t="s">
        <v>528</v>
      </c>
      <c r="B168" s="320" t="s">
        <v>529</v>
      </c>
      <c r="C168" s="320" t="s">
        <v>530</v>
      </c>
      <c r="D168" s="320" t="s">
        <v>531</v>
      </c>
      <c r="E168" s="320" t="s">
        <v>532</v>
      </c>
      <c r="F168" s="313" t="s">
        <v>28</v>
      </c>
      <c r="G168" s="318">
        <v>188143.801066297</v>
      </c>
      <c r="H168" s="316">
        <f t="shared" si="10"/>
        <v>55.965367965368</v>
      </c>
      <c r="I168" s="323">
        <v>19.8512554112554</v>
      </c>
      <c r="J168" s="318">
        <v>35</v>
      </c>
      <c r="K168" s="318">
        <v>0.56</v>
      </c>
      <c r="L168" s="318">
        <f>(I168+J168+K168)*'2-报价汇总'!$H$5</f>
        <v>0.554112554112554</v>
      </c>
      <c r="M168" s="318">
        <f>(I168+J168+K168+L168)*'2-报价汇总'!$I$5</f>
        <v>0</v>
      </c>
      <c r="N168" s="318">
        <f>(M168+L168+K168+J168+I168)*'2-报价汇总'!$J$5</f>
        <v>0</v>
      </c>
      <c r="O168" s="313">
        <f t="shared" si="9"/>
        <v>10529537.0570783</v>
      </c>
      <c r="P168" s="321"/>
      <c r="Q168" s="311"/>
      <c r="R168" s="311"/>
      <c r="S168" s="311"/>
      <c r="T168" s="311"/>
    </row>
    <row r="169" ht="38.25" spans="1:20">
      <c r="A169" s="313" t="s">
        <v>533</v>
      </c>
      <c r="B169" s="320" t="s">
        <v>534</v>
      </c>
      <c r="C169" s="320" t="s">
        <v>535</v>
      </c>
      <c r="D169" s="320" t="s">
        <v>244</v>
      </c>
      <c r="E169" s="320" t="s">
        <v>170</v>
      </c>
      <c r="F169" s="313" t="s">
        <v>28</v>
      </c>
      <c r="G169" s="318">
        <v>5000</v>
      </c>
      <c r="H169" s="316">
        <f t="shared" si="10"/>
        <v>87.4458874458875</v>
      </c>
      <c r="I169" s="323">
        <v>15.6500865800866</v>
      </c>
      <c r="J169" s="318">
        <v>70</v>
      </c>
      <c r="K169" s="318">
        <v>0.93</v>
      </c>
      <c r="L169" s="318">
        <f>(I169+J169+K169)*'2-报价汇总'!$H$5</f>
        <v>0.865800865800866</v>
      </c>
      <c r="M169" s="318">
        <f>(I169+J169+K169+L169)*'2-报价汇总'!$I$5</f>
        <v>0</v>
      </c>
      <c r="N169" s="318">
        <f>(M169+L169+K169+J169+I169)*'2-报价汇总'!$J$5</f>
        <v>0</v>
      </c>
      <c r="O169" s="313">
        <f t="shared" si="9"/>
        <v>437229.437229437</v>
      </c>
      <c r="P169" s="321"/>
      <c r="Q169" s="311"/>
      <c r="R169" s="311"/>
      <c r="S169" s="311"/>
      <c r="T169" s="311"/>
    </row>
    <row r="170" ht="38.25" spans="1:20">
      <c r="A170" s="313" t="s">
        <v>536</v>
      </c>
      <c r="B170" s="320" t="s">
        <v>537</v>
      </c>
      <c r="C170" s="320" t="s">
        <v>538</v>
      </c>
      <c r="D170" s="320" t="s">
        <v>244</v>
      </c>
      <c r="E170" s="320" t="s">
        <v>170</v>
      </c>
      <c r="F170" s="313" t="s">
        <v>28</v>
      </c>
      <c r="G170" s="318">
        <v>5000</v>
      </c>
      <c r="H170" s="316">
        <f t="shared" si="10"/>
        <v>87.4458874458875</v>
      </c>
      <c r="I170" s="323">
        <v>45.8000865800866</v>
      </c>
      <c r="J170" s="318">
        <v>40</v>
      </c>
      <c r="K170" s="318">
        <v>0.78</v>
      </c>
      <c r="L170" s="318">
        <f>(I170+J170+K170)*'2-报价汇总'!$H$5</f>
        <v>0.865800865800866</v>
      </c>
      <c r="M170" s="318">
        <f>(I170+J170+K170+L170)*'2-报价汇总'!$I$5</f>
        <v>0</v>
      </c>
      <c r="N170" s="318">
        <f>(M170+L170+K170+J170+I170)*'2-报价汇总'!$J$5</f>
        <v>0</v>
      </c>
      <c r="O170" s="313">
        <f t="shared" si="9"/>
        <v>437229.437229437</v>
      </c>
      <c r="P170" s="321"/>
      <c r="Q170" s="311"/>
      <c r="R170" s="311"/>
      <c r="S170" s="311"/>
      <c r="T170" s="311"/>
    </row>
    <row r="171" ht="25.5" spans="1:20">
      <c r="A171" s="313" t="s">
        <v>539</v>
      </c>
      <c r="B171" s="320" t="s">
        <v>540</v>
      </c>
      <c r="C171" s="320" t="s">
        <v>541</v>
      </c>
      <c r="D171" s="320" t="s">
        <v>244</v>
      </c>
      <c r="E171" s="320" t="s">
        <v>228</v>
      </c>
      <c r="F171" s="313" t="s">
        <v>89</v>
      </c>
      <c r="G171" s="318">
        <v>217286.729672221</v>
      </c>
      <c r="H171" s="316">
        <f t="shared" si="10"/>
        <v>41.974025974026</v>
      </c>
      <c r="I171" s="323">
        <v>11.3284415584416</v>
      </c>
      <c r="J171" s="318">
        <v>30</v>
      </c>
      <c r="K171" s="318">
        <v>0.23</v>
      </c>
      <c r="L171" s="318">
        <f>(I171+J171+K171)*'2-报价汇总'!$H$5</f>
        <v>0.415584415584416</v>
      </c>
      <c r="M171" s="318">
        <f>(I171+J171+K171+L171)*'2-报价汇总'!$I$5</f>
        <v>0</v>
      </c>
      <c r="N171" s="318">
        <f>(M171+L171+K171+J171+I171)*'2-报价汇总'!$J$5</f>
        <v>0</v>
      </c>
      <c r="O171" s="313">
        <f t="shared" si="9"/>
        <v>9120398.83507297</v>
      </c>
      <c r="P171" s="321"/>
      <c r="Q171" s="311"/>
      <c r="R171" s="311"/>
      <c r="S171" s="311"/>
      <c r="T171" s="311"/>
    </row>
    <row r="172" ht="38.25" spans="1:20">
      <c r="A172" s="313" t="s">
        <v>542</v>
      </c>
      <c r="B172" s="320" t="s">
        <v>543</v>
      </c>
      <c r="C172" s="320" t="s">
        <v>544</v>
      </c>
      <c r="D172" s="320" t="s">
        <v>244</v>
      </c>
      <c r="E172" s="320" t="s">
        <v>170</v>
      </c>
      <c r="F172" s="313" t="s">
        <v>28</v>
      </c>
      <c r="G172" s="318">
        <v>21328.1536744208</v>
      </c>
      <c r="H172" s="316">
        <f t="shared" si="10"/>
        <v>332.294372294372</v>
      </c>
      <c r="I172" s="323">
        <v>118.854329004329</v>
      </c>
      <c r="J172" s="318">
        <v>210</v>
      </c>
      <c r="K172" s="318">
        <v>0.15</v>
      </c>
      <c r="L172" s="318">
        <f>(I172+J172+K172)*'2-报价汇总'!$H$5</f>
        <v>3.29004329004329</v>
      </c>
      <c r="M172" s="318">
        <f>(I172+J172+K172+L172)*'2-报价汇总'!$I$5</f>
        <v>0</v>
      </c>
      <c r="N172" s="318">
        <f>(M172+L172+K172+J172+I172)*'2-报价汇总'!$J$5</f>
        <v>0</v>
      </c>
      <c r="O172" s="313">
        <f t="shared" si="9"/>
        <v>7087225.43743957</v>
      </c>
      <c r="P172" s="321"/>
      <c r="Q172" s="311"/>
      <c r="R172" s="311"/>
      <c r="S172" s="311"/>
      <c r="T172" s="311"/>
    </row>
    <row r="173" ht="38.25" spans="1:20">
      <c r="A173" s="313" t="s">
        <v>545</v>
      </c>
      <c r="B173" s="320" t="s">
        <v>546</v>
      </c>
      <c r="C173" s="320" t="s">
        <v>547</v>
      </c>
      <c r="D173" s="320" t="s">
        <v>244</v>
      </c>
      <c r="E173" s="320" t="s">
        <v>170</v>
      </c>
      <c r="F173" s="313" t="s">
        <v>28</v>
      </c>
      <c r="G173" s="318">
        <v>5000</v>
      </c>
      <c r="H173" s="316">
        <f t="shared" si="10"/>
        <v>33.2294372294372</v>
      </c>
      <c r="I173" s="323">
        <v>17.4804329004329</v>
      </c>
      <c r="J173" s="318">
        <v>15</v>
      </c>
      <c r="K173" s="318">
        <v>0.42</v>
      </c>
      <c r="L173" s="318">
        <f>(I173+J173+K173)*'2-报价汇总'!$H$5</f>
        <v>0.329004329004329</v>
      </c>
      <c r="M173" s="318">
        <f>(I173+J173+K173+L173)*'2-报价汇总'!$I$5</f>
        <v>0</v>
      </c>
      <c r="N173" s="318">
        <f>(M173+L173+K173+J173+I173)*'2-报价汇总'!$J$5</f>
        <v>0</v>
      </c>
      <c r="O173" s="313">
        <f t="shared" ref="O173:O234" si="11">G173*H173</f>
        <v>166147.186147186</v>
      </c>
      <c r="P173" s="321"/>
      <c r="Q173" s="311"/>
      <c r="R173" s="311"/>
      <c r="S173" s="311"/>
      <c r="T173" s="311"/>
    </row>
    <row r="174" ht="38.25" spans="1:20">
      <c r="A174" s="313" t="s">
        <v>548</v>
      </c>
      <c r="B174" s="320" t="s">
        <v>549</v>
      </c>
      <c r="C174" s="320" t="s">
        <v>550</v>
      </c>
      <c r="D174" s="320" t="s">
        <v>165</v>
      </c>
      <c r="E174" s="320" t="s">
        <v>170</v>
      </c>
      <c r="F174" s="313" t="s">
        <v>28</v>
      </c>
      <c r="G174" s="318">
        <v>5000</v>
      </c>
      <c r="H174" s="316">
        <f t="shared" si="10"/>
        <v>419.74025974026</v>
      </c>
      <c r="I174" s="323">
        <v>63.484415584416</v>
      </c>
      <c r="J174" s="318">
        <v>350</v>
      </c>
      <c r="K174" s="318">
        <v>2.1</v>
      </c>
      <c r="L174" s="318">
        <f>(I174+J174+K174)*'2-报价汇总'!$H$5</f>
        <v>4.15584415584416</v>
      </c>
      <c r="M174" s="318">
        <f>(I174+J174+K174+L174)*'2-报价汇总'!$I$5</f>
        <v>0</v>
      </c>
      <c r="N174" s="318">
        <f>(M174+L174+K174+J174+I174)*'2-报价汇总'!$J$5</f>
        <v>0</v>
      </c>
      <c r="O174" s="313">
        <f t="shared" si="11"/>
        <v>2098701.2987013</v>
      </c>
      <c r="P174" s="321"/>
      <c r="Q174" s="311"/>
      <c r="R174" s="311"/>
      <c r="S174" s="311"/>
      <c r="T174" s="311"/>
    </row>
    <row r="175" ht="25.5" spans="1:20">
      <c r="A175" s="313" t="s">
        <v>551</v>
      </c>
      <c r="B175" s="320" t="s">
        <v>552</v>
      </c>
      <c r="C175" s="320" t="s">
        <v>553</v>
      </c>
      <c r="D175" s="320" t="s">
        <v>165</v>
      </c>
      <c r="E175" s="320" t="s">
        <v>170</v>
      </c>
      <c r="F175" s="313" t="s">
        <v>28</v>
      </c>
      <c r="G175" s="318">
        <v>5000</v>
      </c>
      <c r="H175" s="316">
        <f t="shared" si="10"/>
        <v>56.8398268398269</v>
      </c>
      <c r="I175" s="323">
        <v>6.2070562770563</v>
      </c>
      <c r="J175" s="318">
        <v>50</v>
      </c>
      <c r="K175" s="318">
        <v>0.07</v>
      </c>
      <c r="L175" s="318">
        <f>(I175+J175+K175)*'2-报价汇总'!$H$5</f>
        <v>0.562770562770563</v>
      </c>
      <c r="M175" s="318">
        <f>(I175+J175+K175+L175)*'2-报价汇总'!$I$5</f>
        <v>0</v>
      </c>
      <c r="N175" s="318">
        <f>(M175+L175+K175+J175+I175)*'2-报价汇总'!$J$5</f>
        <v>0</v>
      </c>
      <c r="O175" s="313">
        <f t="shared" si="11"/>
        <v>284199.134199134</v>
      </c>
      <c r="P175" s="321"/>
      <c r="Q175" s="311"/>
      <c r="R175" s="311"/>
      <c r="S175" s="311"/>
      <c r="T175" s="311"/>
    </row>
    <row r="176" ht="38.25" spans="1:20">
      <c r="A176" s="313" t="s">
        <v>554</v>
      </c>
      <c r="B176" s="320" t="s">
        <v>555</v>
      </c>
      <c r="C176" s="320" t="s">
        <v>556</v>
      </c>
      <c r="D176" s="320" t="s">
        <v>165</v>
      </c>
      <c r="E176" s="320" t="s">
        <v>170</v>
      </c>
      <c r="F176" s="313" t="s">
        <v>28</v>
      </c>
      <c r="G176" s="318">
        <v>37457.9424720874</v>
      </c>
      <c r="H176" s="316">
        <f t="shared" si="10"/>
        <v>419.74025974026</v>
      </c>
      <c r="I176" s="323">
        <v>113.784415584416</v>
      </c>
      <c r="J176" s="318">
        <v>300</v>
      </c>
      <c r="K176" s="318">
        <v>1.8</v>
      </c>
      <c r="L176" s="318">
        <f>(I176+J176+K176)*'2-报价汇总'!$H$5</f>
        <v>4.15584415584416</v>
      </c>
      <c r="M176" s="318">
        <f>(I176+J176+K176+L176)*'2-报价汇总'!$I$5</f>
        <v>0</v>
      </c>
      <c r="N176" s="318">
        <f>(M176+L176+K176+J176+I176)*'2-报价汇总'!$J$5</f>
        <v>0</v>
      </c>
      <c r="O176" s="313">
        <f t="shared" si="11"/>
        <v>15722606.5025697</v>
      </c>
      <c r="P176" s="321"/>
      <c r="Q176" s="311"/>
      <c r="R176" s="311"/>
      <c r="S176" s="311"/>
      <c r="T176" s="311"/>
    </row>
    <row r="177" ht="38.25" spans="1:20">
      <c r="A177" s="313" t="s">
        <v>557</v>
      </c>
      <c r="B177" s="320" t="s">
        <v>558</v>
      </c>
      <c r="C177" s="320" t="s">
        <v>550</v>
      </c>
      <c r="D177" s="320" t="s">
        <v>165</v>
      </c>
      <c r="E177" s="320" t="s">
        <v>170</v>
      </c>
      <c r="F177" s="313" t="s">
        <v>89</v>
      </c>
      <c r="G177" s="318">
        <v>130255.363999331</v>
      </c>
      <c r="H177" s="316">
        <f t="shared" si="10"/>
        <v>113.679653679654</v>
      </c>
      <c r="I177" s="323">
        <v>31.564112554113</v>
      </c>
      <c r="J177" s="318">
        <v>80</v>
      </c>
      <c r="K177" s="318">
        <v>0.99</v>
      </c>
      <c r="L177" s="318">
        <f>(I177+J177+K177)*'2-报价汇总'!$H$5</f>
        <v>1.12554112554113</v>
      </c>
      <c r="M177" s="318">
        <f>(I177+J177+K177+L177)*'2-报价汇总'!$I$5</f>
        <v>0</v>
      </c>
      <c r="N177" s="318">
        <f>(M177+L177+K177+J177+I177)*'2-报价汇总'!$J$5</f>
        <v>0</v>
      </c>
      <c r="O177" s="313">
        <f t="shared" si="11"/>
        <v>14807384.6693612</v>
      </c>
      <c r="P177" s="321"/>
      <c r="Q177" s="311"/>
      <c r="R177" s="311"/>
      <c r="S177" s="311"/>
      <c r="T177" s="311"/>
    </row>
    <row r="178" ht="38.25" spans="1:20">
      <c r="A178" s="313" t="s">
        <v>559</v>
      </c>
      <c r="B178" s="320" t="s">
        <v>560</v>
      </c>
      <c r="C178" s="320" t="s">
        <v>561</v>
      </c>
      <c r="D178" s="320" t="s">
        <v>165</v>
      </c>
      <c r="E178" s="320" t="s">
        <v>170</v>
      </c>
      <c r="F178" s="313" t="s">
        <v>28</v>
      </c>
      <c r="G178" s="318">
        <v>10500.642360198</v>
      </c>
      <c r="H178" s="316">
        <f t="shared" si="10"/>
        <v>126.796536796537</v>
      </c>
      <c r="I178" s="323">
        <v>40.041125541126</v>
      </c>
      <c r="J178" s="318">
        <v>85</v>
      </c>
      <c r="K178" s="318">
        <v>0.5</v>
      </c>
      <c r="L178" s="318">
        <f>(I178+J178+K178)*'2-报价汇总'!$H$5</f>
        <v>1.25541125541126</v>
      </c>
      <c r="M178" s="318">
        <f>(I178+J178+K178+L178)*'2-报价汇总'!$I$5</f>
        <v>0</v>
      </c>
      <c r="N178" s="318">
        <f>(M178+L178+K178+J178+I178)*'2-报价汇总'!$J$5</f>
        <v>0</v>
      </c>
      <c r="O178" s="313">
        <f t="shared" si="11"/>
        <v>1331445.08541212</v>
      </c>
      <c r="P178" s="321"/>
      <c r="Q178" s="311"/>
      <c r="R178" s="311"/>
      <c r="S178" s="311"/>
      <c r="T178" s="311"/>
    </row>
    <row r="179" ht="38.25" spans="1:20">
      <c r="A179" s="313" t="s">
        <v>562</v>
      </c>
      <c r="B179" s="320" t="s">
        <v>563</v>
      </c>
      <c r="C179" s="320" t="s">
        <v>564</v>
      </c>
      <c r="D179" s="320" t="s">
        <v>165</v>
      </c>
      <c r="E179" s="320" t="s">
        <v>170</v>
      </c>
      <c r="F179" s="313" t="s">
        <v>28</v>
      </c>
      <c r="G179" s="318">
        <v>500</v>
      </c>
      <c r="H179" s="316">
        <f t="shared" si="10"/>
        <v>306.060606060606</v>
      </c>
      <c r="I179" s="323">
        <v>122.880303030303</v>
      </c>
      <c r="J179" s="318">
        <v>180</v>
      </c>
      <c r="K179" s="318">
        <v>0.15</v>
      </c>
      <c r="L179" s="318">
        <f>(I179+J179+K179)*'2-报价汇总'!$H$5</f>
        <v>3.03030303030303</v>
      </c>
      <c r="M179" s="318">
        <f>(I179+J179+K179+L179)*'2-报价汇总'!$I$5</f>
        <v>0</v>
      </c>
      <c r="N179" s="318">
        <f>(M179+L179+K179+J179+I179)*'2-报价汇总'!$J$5</f>
        <v>0</v>
      </c>
      <c r="O179" s="313">
        <f t="shared" si="11"/>
        <v>153030.303030303</v>
      </c>
      <c r="P179" s="321"/>
      <c r="Q179" s="311"/>
      <c r="R179" s="311"/>
      <c r="S179" s="311"/>
      <c r="T179" s="311"/>
    </row>
    <row r="180" ht="63.75" spans="1:20">
      <c r="A180" s="313" t="s">
        <v>565</v>
      </c>
      <c r="B180" s="320" t="s">
        <v>566</v>
      </c>
      <c r="C180" s="320" t="s">
        <v>567</v>
      </c>
      <c r="D180" s="320" t="s">
        <v>165</v>
      </c>
      <c r="E180" s="320" t="s">
        <v>340</v>
      </c>
      <c r="F180" s="313" t="s">
        <v>28</v>
      </c>
      <c r="G180" s="318">
        <v>500</v>
      </c>
      <c r="H180" s="316">
        <f t="shared" si="10"/>
        <v>319.177489177489</v>
      </c>
      <c r="I180" s="323">
        <v>96.017316017316</v>
      </c>
      <c r="J180" s="318">
        <v>220</v>
      </c>
      <c r="K180" s="318">
        <v>0</v>
      </c>
      <c r="L180" s="318">
        <f>(I180+J180+K180)*'2-报价汇总'!$H$5</f>
        <v>3.16017316017316</v>
      </c>
      <c r="M180" s="318">
        <f>(I180+J180+K180+L180)*'2-报价汇总'!$I$5</f>
        <v>0</v>
      </c>
      <c r="N180" s="318">
        <f>(M180+L180+K180+J180+I180)*'2-报价汇总'!$J$5</f>
        <v>0</v>
      </c>
      <c r="O180" s="313">
        <f t="shared" si="11"/>
        <v>159588.744588745</v>
      </c>
      <c r="P180" s="321"/>
      <c r="Q180" s="311"/>
      <c r="R180" s="311"/>
      <c r="S180" s="311"/>
      <c r="T180" s="311"/>
    </row>
    <row r="181" ht="25.5" spans="1:20">
      <c r="A181" s="313" t="s">
        <v>568</v>
      </c>
      <c r="B181" s="320" t="s">
        <v>569</v>
      </c>
      <c r="C181" s="320" t="s">
        <v>570</v>
      </c>
      <c r="D181" s="320" t="s">
        <v>165</v>
      </c>
      <c r="E181" s="320" t="s">
        <v>228</v>
      </c>
      <c r="F181" s="313" t="s">
        <v>89</v>
      </c>
      <c r="G181" s="318">
        <v>500</v>
      </c>
      <c r="H181" s="316">
        <f t="shared" si="10"/>
        <v>384.761904761905</v>
      </c>
      <c r="I181" s="323">
        <v>98.352380952381</v>
      </c>
      <c r="J181" s="318">
        <v>280</v>
      </c>
      <c r="K181" s="318">
        <v>2.6</v>
      </c>
      <c r="L181" s="318">
        <f>(I181+J181+K181)*'2-报价汇总'!$H$5</f>
        <v>3.80952380952381</v>
      </c>
      <c r="M181" s="318">
        <f>(I181+J181+K181+L181)*'2-报价汇总'!$I$5</f>
        <v>0</v>
      </c>
      <c r="N181" s="318">
        <f>(M181+L181+K181+J181+I181)*'2-报价汇总'!$J$5</f>
        <v>0</v>
      </c>
      <c r="O181" s="313">
        <f t="shared" si="11"/>
        <v>192380.952380952</v>
      </c>
      <c r="P181" s="321"/>
      <c r="Q181" s="311"/>
      <c r="R181" s="311"/>
      <c r="S181" s="311"/>
      <c r="T181" s="311"/>
    </row>
    <row r="182" ht="25.5" spans="1:20">
      <c r="A182" s="313" t="s">
        <v>571</v>
      </c>
      <c r="B182" s="320" t="s">
        <v>572</v>
      </c>
      <c r="C182" s="320" t="s">
        <v>573</v>
      </c>
      <c r="D182" s="320" t="s">
        <v>165</v>
      </c>
      <c r="E182" s="320" t="s">
        <v>340</v>
      </c>
      <c r="F182" s="313" t="s">
        <v>574</v>
      </c>
      <c r="G182" s="318">
        <v>67452.0429387716</v>
      </c>
      <c r="H182" s="316">
        <f t="shared" si="10"/>
        <v>17.4891774891775</v>
      </c>
      <c r="I182" s="323">
        <v>2.0360173160173</v>
      </c>
      <c r="J182" s="318">
        <v>15</v>
      </c>
      <c r="K182" s="318">
        <v>0.28</v>
      </c>
      <c r="L182" s="318">
        <f>(I182+J182+K182)*'2-报价汇总'!$H$5</f>
        <v>0.173160173160173</v>
      </c>
      <c r="M182" s="318">
        <f>(I182+J182+K182+L182)*'2-报价汇总'!$I$5</f>
        <v>0</v>
      </c>
      <c r="N182" s="318">
        <f>(M182+L182+K182+J182+I182)*'2-报价汇总'!$J$5</f>
        <v>0</v>
      </c>
      <c r="O182" s="313">
        <f t="shared" si="11"/>
        <v>1179680.7509638</v>
      </c>
      <c r="P182" s="321"/>
      <c r="Q182" s="311"/>
      <c r="R182" s="311"/>
      <c r="S182" s="311"/>
      <c r="T182" s="311"/>
    </row>
    <row r="183" ht="25.5" spans="1:20">
      <c r="A183" s="313" t="s">
        <v>575</v>
      </c>
      <c r="B183" s="320" t="s">
        <v>576</v>
      </c>
      <c r="C183" s="320" t="s">
        <v>577</v>
      </c>
      <c r="D183" s="320" t="s">
        <v>165</v>
      </c>
      <c r="E183" s="320" t="s">
        <v>170</v>
      </c>
      <c r="F183" s="313" t="s">
        <v>28</v>
      </c>
      <c r="G183" s="318">
        <v>500</v>
      </c>
      <c r="H183" s="316">
        <f t="shared" si="10"/>
        <v>74.3249818181818</v>
      </c>
      <c r="I183" s="323">
        <v>13.1390909090909</v>
      </c>
      <c r="J183" s="318">
        <v>60</v>
      </c>
      <c r="K183" s="318">
        <v>0.45</v>
      </c>
      <c r="L183" s="318">
        <f>(I183+J183+K183)*'2-报价汇总'!$H$5</f>
        <v>0.735890909090909</v>
      </c>
      <c r="M183" s="318">
        <f>(I183+J183+K183+L183)*'2-报价汇总'!$I$5</f>
        <v>0</v>
      </c>
      <c r="N183" s="318">
        <f>(M183+L183+K183+J183+I183)*'2-报价汇总'!$J$5</f>
        <v>0</v>
      </c>
      <c r="O183" s="313">
        <f t="shared" si="11"/>
        <v>37162.4909090909</v>
      </c>
      <c r="P183" s="321"/>
      <c r="Q183" s="311"/>
      <c r="R183" s="311"/>
      <c r="S183" s="311"/>
      <c r="T183" s="311"/>
    </row>
    <row r="184" ht="38.25" spans="1:20">
      <c r="A184" s="313" t="s">
        <v>578</v>
      </c>
      <c r="B184" s="320" t="s">
        <v>579</v>
      </c>
      <c r="C184" s="320" t="s">
        <v>580</v>
      </c>
      <c r="D184" s="320" t="s">
        <v>165</v>
      </c>
      <c r="E184" s="320" t="s">
        <v>170</v>
      </c>
      <c r="F184" s="313" t="s">
        <v>28</v>
      </c>
      <c r="G184" s="318">
        <v>1116.6047648648</v>
      </c>
      <c r="H184" s="316">
        <f t="shared" si="10"/>
        <v>419.74025974026</v>
      </c>
      <c r="I184" s="323">
        <v>58.334415584416</v>
      </c>
      <c r="J184" s="318">
        <v>350</v>
      </c>
      <c r="K184" s="318">
        <v>7.25</v>
      </c>
      <c r="L184" s="318">
        <f>(I184+J184+K184)*'2-报价汇总'!$H$5</f>
        <v>4.15584415584416</v>
      </c>
      <c r="M184" s="318">
        <f>(I184+J184+K184+L184)*'2-报价汇总'!$I$5</f>
        <v>0</v>
      </c>
      <c r="N184" s="318">
        <f>(M184+L184+K184+J184+I184)*'2-报价汇总'!$J$5</f>
        <v>0</v>
      </c>
      <c r="O184" s="313">
        <f t="shared" si="11"/>
        <v>468683.974031563</v>
      </c>
      <c r="P184" s="321"/>
      <c r="Q184" s="311"/>
      <c r="R184" s="311"/>
      <c r="S184" s="311"/>
      <c r="T184" s="311"/>
    </row>
    <row r="185" ht="38.25" spans="1:20">
      <c r="A185" s="313" t="s">
        <v>581</v>
      </c>
      <c r="B185" s="320" t="s">
        <v>582</v>
      </c>
      <c r="C185" s="320" t="s">
        <v>583</v>
      </c>
      <c r="D185" s="320" t="s">
        <v>165</v>
      </c>
      <c r="E185" s="320" t="s">
        <v>170</v>
      </c>
      <c r="F185" s="313" t="s">
        <v>28</v>
      </c>
      <c r="G185" s="318">
        <v>500</v>
      </c>
      <c r="H185" s="316">
        <f t="shared" si="10"/>
        <v>87.4458874458875</v>
      </c>
      <c r="I185" s="323">
        <v>57.8500865800866</v>
      </c>
      <c r="J185" s="318">
        <v>28</v>
      </c>
      <c r="K185" s="318">
        <v>0.73</v>
      </c>
      <c r="L185" s="318">
        <f>(I185+J185+K185)*'2-报价汇总'!$H$5</f>
        <v>0.865800865800866</v>
      </c>
      <c r="M185" s="318">
        <f>(I185+J185+K185+L185)*'2-报价汇总'!$I$5</f>
        <v>0</v>
      </c>
      <c r="N185" s="318">
        <f>(M185+L185+K185+J185+I185)*'2-报价汇总'!$J$5</f>
        <v>0</v>
      </c>
      <c r="O185" s="313">
        <f t="shared" si="11"/>
        <v>43722.9437229437</v>
      </c>
      <c r="P185" s="321"/>
      <c r="Q185" s="311"/>
      <c r="R185" s="311"/>
      <c r="S185" s="311"/>
      <c r="T185" s="311"/>
    </row>
    <row r="186" ht="25.5" spans="1:20">
      <c r="A186" s="313" t="s">
        <v>584</v>
      </c>
      <c r="B186" s="326" t="s">
        <v>585</v>
      </c>
      <c r="C186" s="326" t="s">
        <v>586</v>
      </c>
      <c r="D186" s="326" t="s">
        <v>165</v>
      </c>
      <c r="E186" s="326" t="s">
        <v>170</v>
      </c>
      <c r="F186" s="318" t="s">
        <v>28</v>
      </c>
      <c r="G186" s="318">
        <v>19579.3227341191</v>
      </c>
      <c r="H186" s="316">
        <f t="shared" si="10"/>
        <v>104.935064935065</v>
      </c>
      <c r="I186" s="323">
        <v>18.526103896104</v>
      </c>
      <c r="J186" s="318">
        <v>85</v>
      </c>
      <c r="K186" s="318">
        <v>0.37</v>
      </c>
      <c r="L186" s="318">
        <f>(I186+J186+K186)*'2-报价汇总'!$H$5</f>
        <v>1.03896103896104</v>
      </c>
      <c r="M186" s="318">
        <f>(I186+J186+K186+L186)*'2-报价汇总'!$I$5</f>
        <v>0</v>
      </c>
      <c r="N186" s="318">
        <f>(M186+L186+K186+J186+I186)*'2-报价汇总'!$J$5</f>
        <v>0</v>
      </c>
      <c r="O186" s="313">
        <f t="shared" si="11"/>
        <v>2054557.50248938</v>
      </c>
      <c r="P186" s="327"/>
      <c r="Q186" s="328"/>
      <c r="R186" s="328"/>
      <c r="S186" s="328"/>
      <c r="T186" s="328"/>
    </row>
    <row r="187" ht="25.5" spans="1:20">
      <c r="A187" s="313" t="s">
        <v>587</v>
      </c>
      <c r="B187" s="326" t="s">
        <v>588</v>
      </c>
      <c r="C187" s="326"/>
      <c r="D187" s="326"/>
      <c r="E187" s="326" t="s">
        <v>166</v>
      </c>
      <c r="F187" s="318" t="s">
        <v>28</v>
      </c>
      <c r="G187" s="318">
        <v>14179.1486370048</v>
      </c>
      <c r="H187" s="316">
        <f t="shared" si="10"/>
        <v>161.232727272727</v>
      </c>
      <c r="I187" s="323">
        <v>62.1363636363636</v>
      </c>
      <c r="J187" s="318">
        <f>82+14</f>
        <v>96</v>
      </c>
      <c r="K187" s="318">
        <v>1.5</v>
      </c>
      <c r="L187" s="318">
        <f>(I187+J187+K187)*'2-报价汇总'!$H$5</f>
        <v>1.59636363636364</v>
      </c>
      <c r="M187" s="318">
        <f>(I187+J187+K187+L187)*'2-报价汇总'!$I$5</f>
        <v>0</v>
      </c>
      <c r="N187" s="318">
        <f>(M187+L187+K187+J187+I187)*'2-报价汇总'!$J$5</f>
        <v>0</v>
      </c>
      <c r="O187" s="313">
        <f t="shared" si="11"/>
        <v>2286142.80514966</v>
      </c>
      <c r="P187" s="318" t="s">
        <v>589</v>
      </c>
      <c r="Q187" s="328"/>
      <c r="R187" s="328"/>
      <c r="S187" s="328"/>
      <c r="T187" s="328"/>
    </row>
    <row r="188" ht="25.5" spans="1:20">
      <c r="A188" s="313" t="s">
        <v>590</v>
      </c>
      <c r="B188" s="326" t="s">
        <v>591</v>
      </c>
      <c r="C188" s="326"/>
      <c r="D188" s="326"/>
      <c r="E188" s="326" t="s">
        <v>495</v>
      </c>
      <c r="F188" s="318" t="s">
        <v>89</v>
      </c>
      <c r="G188" s="318">
        <v>5000</v>
      </c>
      <c r="H188" s="316">
        <f t="shared" si="10"/>
        <v>17.675</v>
      </c>
      <c r="I188" s="323">
        <v>5</v>
      </c>
      <c r="J188" s="318">
        <v>11.5</v>
      </c>
      <c r="K188" s="318">
        <v>1</v>
      </c>
      <c r="L188" s="318">
        <f>(I188+J188+K188)*'2-报价汇总'!$H$5</f>
        <v>0.175</v>
      </c>
      <c r="M188" s="318">
        <f>(I188+J188+K188+L188)*'2-报价汇总'!$I$5</f>
        <v>0</v>
      </c>
      <c r="N188" s="318">
        <f>(M188+L188+K188+J188+I188)*'2-报价汇总'!$J$5</f>
        <v>0</v>
      </c>
      <c r="O188" s="313">
        <f t="shared" si="11"/>
        <v>88375</v>
      </c>
      <c r="P188" s="318"/>
      <c r="Q188" s="328"/>
      <c r="R188" s="328"/>
      <c r="S188" s="328"/>
      <c r="T188" s="328"/>
    </row>
    <row r="189" ht="25.5" spans="1:20">
      <c r="A189" s="313" t="s">
        <v>592</v>
      </c>
      <c r="B189" s="326" t="s">
        <v>593</v>
      </c>
      <c r="C189" s="326"/>
      <c r="D189" s="326"/>
      <c r="E189" s="326" t="s">
        <v>166</v>
      </c>
      <c r="F189" s="318" t="s">
        <v>28</v>
      </c>
      <c r="G189" s="318">
        <v>5000</v>
      </c>
      <c r="H189" s="316">
        <f t="shared" si="10"/>
        <v>415.8574</v>
      </c>
      <c r="I189" s="323">
        <v>170</v>
      </c>
      <c r="J189" s="318">
        <v>240</v>
      </c>
      <c r="K189" s="318">
        <v>1.74</v>
      </c>
      <c r="L189" s="318">
        <f>(I189+J189+K189)*'2-报价汇总'!$H$5</f>
        <v>4.1174</v>
      </c>
      <c r="M189" s="318">
        <f>(I189+J189+K189+L189)*'2-报价汇总'!$I$5</f>
        <v>0</v>
      </c>
      <c r="N189" s="318">
        <f>(M189+L189+K189+J189+I189)*'2-报价汇总'!$J$5</f>
        <v>0</v>
      </c>
      <c r="O189" s="313">
        <f t="shared" si="11"/>
        <v>2079287</v>
      </c>
      <c r="P189" s="318"/>
      <c r="Q189" s="328"/>
      <c r="R189" s="328"/>
      <c r="S189" s="328"/>
      <c r="T189" s="328"/>
    </row>
    <row r="190" ht="38.25" spans="1:20">
      <c r="A190" s="313" t="s">
        <v>594</v>
      </c>
      <c r="B190" s="326" t="s">
        <v>595</v>
      </c>
      <c r="C190" s="326"/>
      <c r="D190" s="326"/>
      <c r="E190" s="326" t="s">
        <v>166</v>
      </c>
      <c r="F190" s="318" t="s">
        <v>28</v>
      </c>
      <c r="G190" s="318">
        <v>5000</v>
      </c>
      <c r="H190" s="316">
        <f t="shared" si="10"/>
        <v>303.3636</v>
      </c>
      <c r="I190" s="323">
        <v>20</v>
      </c>
      <c r="J190" s="318">
        <v>280</v>
      </c>
      <c r="K190" s="318">
        <v>0.36</v>
      </c>
      <c r="L190" s="318">
        <f>(I190+J190+K190)*'2-报价汇总'!$H$5</f>
        <v>3.0036</v>
      </c>
      <c r="M190" s="318">
        <f>(I190+J190+K190+L190)*'2-报价汇总'!$I$5</f>
        <v>0</v>
      </c>
      <c r="N190" s="318">
        <f>(M190+L190+K190+J190+I190)*'2-报价汇总'!$J$5</f>
        <v>0</v>
      </c>
      <c r="O190" s="313">
        <f t="shared" si="11"/>
        <v>1516818</v>
      </c>
      <c r="P190" s="318"/>
      <c r="Q190" s="328"/>
      <c r="R190" s="328"/>
      <c r="S190" s="328"/>
      <c r="T190" s="328"/>
    </row>
    <row r="191" spans="1:20">
      <c r="A191" s="330"/>
      <c r="B191" s="324" t="s">
        <v>158</v>
      </c>
      <c r="C191" s="330"/>
      <c r="D191" s="330"/>
      <c r="E191" s="330"/>
      <c r="F191" s="331"/>
      <c r="G191" s="318"/>
      <c r="H191" s="331"/>
      <c r="I191" s="318"/>
      <c r="J191" s="318"/>
      <c r="K191" s="318"/>
      <c r="L191" s="318"/>
      <c r="M191" s="318"/>
      <c r="N191" s="318"/>
      <c r="O191" s="313"/>
      <c r="P191" s="331"/>
      <c r="Q191" s="311"/>
      <c r="R191" s="311"/>
      <c r="S191" s="311"/>
      <c r="T191" s="311"/>
    </row>
    <row r="192" spans="1:20">
      <c r="A192" s="313"/>
      <c r="B192" s="319" t="s">
        <v>159</v>
      </c>
      <c r="C192" s="320"/>
      <c r="D192" s="320"/>
      <c r="E192" s="320"/>
      <c r="F192" s="313"/>
      <c r="G192" s="318"/>
      <c r="H192" s="313"/>
      <c r="I192" s="318"/>
      <c r="J192" s="318"/>
      <c r="K192" s="318"/>
      <c r="L192" s="323"/>
      <c r="M192" s="323"/>
      <c r="N192" s="323"/>
      <c r="O192" s="313"/>
      <c r="P192" s="321"/>
      <c r="Q192" s="311"/>
      <c r="R192" s="311"/>
      <c r="S192" s="311"/>
      <c r="T192" s="311"/>
    </row>
    <row r="193" spans="1:20">
      <c r="A193" s="313" t="s">
        <v>596</v>
      </c>
      <c r="B193" s="319" t="s">
        <v>597</v>
      </c>
      <c r="C193" s="320"/>
      <c r="D193" s="320"/>
      <c r="E193" s="320"/>
      <c r="F193" s="313"/>
      <c r="G193" s="318"/>
      <c r="H193" s="313"/>
      <c r="I193" s="318"/>
      <c r="J193" s="318"/>
      <c r="K193" s="318"/>
      <c r="L193" s="323"/>
      <c r="M193" s="323"/>
      <c r="N193" s="323"/>
      <c r="O193" s="313"/>
      <c r="P193" s="321"/>
      <c r="Q193" s="311"/>
      <c r="R193" s="311"/>
      <c r="S193" s="311"/>
      <c r="T193" s="311"/>
    </row>
    <row r="194" ht="63.75" spans="1:20">
      <c r="A194" s="313" t="s">
        <v>598</v>
      </c>
      <c r="B194" s="320" t="s">
        <v>599</v>
      </c>
      <c r="C194" s="320" t="s">
        <v>600</v>
      </c>
      <c r="D194" s="320" t="s">
        <v>165</v>
      </c>
      <c r="E194" s="320" t="s">
        <v>340</v>
      </c>
      <c r="F194" s="313" t="s">
        <v>601</v>
      </c>
      <c r="G194" s="318">
        <v>1000</v>
      </c>
      <c r="H194" s="316">
        <f>SUM(I194:N194)</f>
        <v>16343.6363636364</v>
      </c>
      <c r="I194" s="323">
        <v>1162.5581818182</v>
      </c>
      <c r="J194" s="318">
        <v>15000</v>
      </c>
      <c r="K194" s="318">
        <v>19.26</v>
      </c>
      <c r="L194" s="318">
        <f>(I194+J194+K194)*'2-报价汇总'!$H$5</f>
        <v>161.818181818182</v>
      </c>
      <c r="M194" s="318">
        <f>(I194+J194+K194+L194)*'2-报价汇总'!$I$5</f>
        <v>0</v>
      </c>
      <c r="N194" s="318">
        <f>(M194+L194+K194+J194+I194)*'2-报价汇总'!$J$5</f>
        <v>0</v>
      </c>
      <c r="O194" s="313">
        <f t="shared" si="11"/>
        <v>16343636.3636364</v>
      </c>
      <c r="P194" s="321"/>
      <c r="Q194" s="311"/>
      <c r="R194" s="311"/>
      <c r="S194" s="311"/>
      <c r="T194" s="311"/>
    </row>
    <row r="195" spans="1:20">
      <c r="A195" s="313" t="s">
        <v>602</v>
      </c>
      <c r="B195" s="320" t="s">
        <v>603</v>
      </c>
      <c r="C195" s="320"/>
      <c r="D195" s="320"/>
      <c r="E195" s="339" t="s">
        <v>604</v>
      </c>
      <c r="F195" s="313"/>
      <c r="G195" s="318">
        <v>5000</v>
      </c>
      <c r="H195" s="313"/>
      <c r="I195" s="318"/>
      <c r="J195" s="318"/>
      <c r="K195" s="318"/>
      <c r="L195" s="323"/>
      <c r="M195" s="323"/>
      <c r="N195" s="323"/>
      <c r="O195" s="313">
        <f t="shared" si="11"/>
        <v>0</v>
      </c>
      <c r="P195" s="321"/>
      <c r="Q195" s="311"/>
      <c r="R195" s="311"/>
      <c r="S195" s="311"/>
      <c r="T195" s="311"/>
    </row>
    <row r="196" ht="63.75" spans="1:20">
      <c r="A196" s="313" t="s">
        <v>605</v>
      </c>
      <c r="B196" s="320" t="s">
        <v>606</v>
      </c>
      <c r="C196" s="320" t="s">
        <v>600</v>
      </c>
      <c r="D196" s="320" t="s">
        <v>165</v>
      </c>
      <c r="E196" s="320" t="s">
        <v>340</v>
      </c>
      <c r="F196" s="313" t="s">
        <v>601</v>
      </c>
      <c r="G196" s="318">
        <v>2600</v>
      </c>
      <c r="H196" s="316">
        <f>SUM(I196:N196)</f>
        <v>27487.7402597402</v>
      </c>
      <c r="I196" s="323">
        <v>1196.3244155844</v>
      </c>
      <c r="J196" s="318">
        <v>26000</v>
      </c>
      <c r="K196" s="318">
        <v>19.26</v>
      </c>
      <c r="L196" s="318">
        <f>(I196+J196+K196)*'2-报价汇总'!$H$5</f>
        <v>272.155844155844</v>
      </c>
      <c r="M196" s="318">
        <f>(I196+J196+K196+L196)*'2-报价汇总'!$I$5</f>
        <v>0</v>
      </c>
      <c r="N196" s="318">
        <f>(M196+L196+K196+J196+I196)*'2-报价汇总'!$J$5</f>
        <v>0</v>
      </c>
      <c r="O196" s="313">
        <f t="shared" si="11"/>
        <v>71468124.6753246</v>
      </c>
      <c r="P196" s="321"/>
      <c r="Q196" s="311"/>
      <c r="R196" s="311"/>
      <c r="S196" s="311"/>
      <c r="T196" s="311"/>
    </row>
    <row r="197" spans="1:20">
      <c r="A197" s="313" t="s">
        <v>607</v>
      </c>
      <c r="B197" s="320" t="s">
        <v>603</v>
      </c>
      <c r="C197" s="320"/>
      <c r="D197" s="320"/>
      <c r="E197" s="339" t="s">
        <v>608</v>
      </c>
      <c r="F197" s="313"/>
      <c r="G197" s="318">
        <v>35000</v>
      </c>
      <c r="H197" s="313">
        <v>1081</v>
      </c>
      <c r="I197" s="318"/>
      <c r="J197" s="318"/>
      <c r="K197" s="318"/>
      <c r="L197" s="323"/>
      <c r="M197" s="323"/>
      <c r="N197" s="323"/>
      <c r="O197" s="313">
        <f t="shared" si="11"/>
        <v>37835000</v>
      </c>
      <c r="P197" s="321"/>
      <c r="Q197" s="311"/>
      <c r="R197" s="311"/>
      <c r="S197" s="311"/>
      <c r="T197" s="311"/>
    </row>
    <row r="198" ht="25.5" spans="1:20">
      <c r="A198" s="313" t="s">
        <v>609</v>
      </c>
      <c r="B198" s="320" t="s">
        <v>610</v>
      </c>
      <c r="C198" s="320" t="s">
        <v>600</v>
      </c>
      <c r="D198" s="320" t="s">
        <v>165</v>
      </c>
      <c r="E198" s="320" t="s">
        <v>340</v>
      </c>
      <c r="F198" s="313" t="s">
        <v>601</v>
      </c>
      <c r="G198" s="318">
        <v>500</v>
      </c>
      <c r="H198" s="316">
        <f>SUM(I198:N198)</f>
        <v>21717.1861471861</v>
      </c>
      <c r="I198" s="323">
        <v>1478.4145021645</v>
      </c>
      <c r="J198" s="318">
        <v>20000</v>
      </c>
      <c r="K198" s="318">
        <v>23.75</v>
      </c>
      <c r="L198" s="318">
        <f>(I198+J198+K198)*'2-报价汇总'!$H$5</f>
        <v>215.021645021645</v>
      </c>
      <c r="M198" s="318">
        <f>(I198+J198+K198+L198)*'2-报价汇总'!$I$5</f>
        <v>0</v>
      </c>
      <c r="N198" s="318">
        <f>(M198+L198+K198+J198+I198)*'2-报价汇总'!$J$5</f>
        <v>0</v>
      </c>
      <c r="O198" s="313">
        <f t="shared" si="11"/>
        <v>10858593.0735931</v>
      </c>
      <c r="P198" s="321"/>
      <c r="Q198" s="311"/>
      <c r="R198" s="311"/>
      <c r="S198" s="311"/>
      <c r="T198" s="311"/>
    </row>
    <row r="199" spans="1:20">
      <c r="A199" s="313" t="s">
        <v>611</v>
      </c>
      <c r="B199" s="320" t="s">
        <v>603</v>
      </c>
      <c r="C199" s="320"/>
      <c r="D199" s="320"/>
      <c r="E199" s="320" t="s">
        <v>612</v>
      </c>
      <c r="F199" s="313"/>
      <c r="G199" s="318">
        <v>35000</v>
      </c>
      <c r="H199" s="313"/>
      <c r="I199" s="318"/>
      <c r="J199" s="318"/>
      <c r="K199" s="318"/>
      <c r="L199" s="323"/>
      <c r="M199" s="323"/>
      <c r="N199" s="323"/>
      <c r="O199" s="313">
        <f t="shared" si="11"/>
        <v>0</v>
      </c>
      <c r="P199" s="321"/>
      <c r="Q199" s="311"/>
      <c r="R199" s="311"/>
      <c r="S199" s="311"/>
      <c r="T199" s="311"/>
    </row>
    <row r="200" ht="25.5" spans="1:20">
      <c r="A200" s="313" t="s">
        <v>613</v>
      </c>
      <c r="B200" s="320" t="s">
        <v>614</v>
      </c>
      <c r="C200" s="320" t="s">
        <v>600</v>
      </c>
      <c r="D200" s="320" t="s">
        <v>165</v>
      </c>
      <c r="E200" s="320" t="s">
        <v>170</v>
      </c>
      <c r="F200" s="313" t="s">
        <v>28</v>
      </c>
      <c r="G200" s="318">
        <v>5000</v>
      </c>
      <c r="H200" s="316">
        <f t="shared" ref="H200:H234" si="12">SUM(I200:N200)</f>
        <v>961.904761904761</v>
      </c>
      <c r="I200" s="323">
        <v>345.750952380952</v>
      </c>
      <c r="J200" s="318">
        <v>600</v>
      </c>
      <c r="K200" s="318">
        <v>6.63</v>
      </c>
      <c r="L200" s="318">
        <f>(I200+J200+K200)*'2-报价汇总'!$H$5</f>
        <v>9.52380952380952</v>
      </c>
      <c r="M200" s="318">
        <f>(I200+J200+K200+L200)*'2-报价汇总'!$I$5</f>
        <v>0</v>
      </c>
      <c r="N200" s="318">
        <f>(M200+L200+K200+J200+I200)*'2-报价汇总'!$J$5</f>
        <v>0</v>
      </c>
      <c r="O200" s="313">
        <f t="shared" si="11"/>
        <v>4809523.80952381</v>
      </c>
      <c r="P200" s="321"/>
      <c r="Q200" s="311"/>
      <c r="R200" s="311"/>
      <c r="S200" s="311"/>
      <c r="T200" s="311"/>
    </row>
    <row r="201" ht="51" spans="1:20">
      <c r="A201" s="313" t="s">
        <v>615</v>
      </c>
      <c r="B201" s="320" t="s">
        <v>616</v>
      </c>
      <c r="C201" s="320" t="s">
        <v>617</v>
      </c>
      <c r="D201" s="320" t="s">
        <v>244</v>
      </c>
      <c r="E201" s="320" t="s">
        <v>340</v>
      </c>
      <c r="F201" s="313" t="s">
        <v>481</v>
      </c>
      <c r="G201" s="318">
        <v>1000</v>
      </c>
      <c r="H201" s="316">
        <f t="shared" si="12"/>
        <v>2850.73593073593</v>
      </c>
      <c r="I201" s="323">
        <v>417.69082251082</v>
      </c>
      <c r="J201" s="318">
        <v>2400</v>
      </c>
      <c r="K201" s="318">
        <v>4.82</v>
      </c>
      <c r="L201" s="318">
        <f>(I201+J201+K201)*'2-报价汇总'!$H$5</f>
        <v>28.2251082251082</v>
      </c>
      <c r="M201" s="318">
        <f>(I201+J201+K201+L201)*'2-报价汇总'!$I$5</f>
        <v>0</v>
      </c>
      <c r="N201" s="318">
        <f>(M201+L201+K201+J201+I201)*'2-报价汇总'!$J$5</f>
        <v>0</v>
      </c>
      <c r="O201" s="313">
        <f t="shared" si="11"/>
        <v>2850735.93073593</v>
      </c>
      <c r="P201" s="321"/>
      <c r="Q201" s="311"/>
      <c r="R201" s="311"/>
      <c r="S201" s="311"/>
      <c r="T201" s="311"/>
    </row>
    <row r="202" ht="51" spans="1:20">
      <c r="A202" s="313" t="s">
        <v>618</v>
      </c>
      <c r="B202" s="320" t="s">
        <v>619</v>
      </c>
      <c r="C202" s="320" t="s">
        <v>620</v>
      </c>
      <c r="D202" s="320" t="s">
        <v>244</v>
      </c>
      <c r="E202" s="320" t="s">
        <v>340</v>
      </c>
      <c r="F202" s="313" t="s">
        <v>481</v>
      </c>
      <c r="G202" s="318">
        <v>4557.57046883592</v>
      </c>
      <c r="H202" s="316">
        <f t="shared" si="12"/>
        <v>1605.50649350649</v>
      </c>
      <c r="I202" s="323">
        <v>386.72038961039</v>
      </c>
      <c r="J202" s="318">
        <v>1200</v>
      </c>
      <c r="K202" s="318">
        <v>2.89</v>
      </c>
      <c r="L202" s="318">
        <f>(I202+J202+K202)*'2-报价汇总'!$H$5</f>
        <v>15.8961038961039</v>
      </c>
      <c r="M202" s="318">
        <f>(I202+J202+K202+L202)*'2-报价汇总'!$I$5</f>
        <v>0</v>
      </c>
      <c r="N202" s="318">
        <f>(M202+L202+K202+J202+I202)*'2-报价汇总'!$J$5</f>
        <v>0</v>
      </c>
      <c r="O202" s="313">
        <f t="shared" si="11"/>
        <v>7317208.98232951</v>
      </c>
      <c r="P202" s="321"/>
      <c r="Q202" s="311"/>
      <c r="R202" s="311"/>
      <c r="S202" s="311"/>
      <c r="T202" s="311"/>
    </row>
    <row r="203" ht="38.25" spans="1:20">
      <c r="A203" s="313" t="s">
        <v>621</v>
      </c>
      <c r="B203" s="320" t="s">
        <v>616</v>
      </c>
      <c r="C203" s="320" t="s">
        <v>622</v>
      </c>
      <c r="D203" s="320" t="s">
        <v>244</v>
      </c>
      <c r="E203" s="320" t="s">
        <v>340</v>
      </c>
      <c r="F203" s="313" t="s">
        <v>481</v>
      </c>
      <c r="G203" s="318">
        <v>1000</v>
      </c>
      <c r="H203" s="316">
        <f t="shared" si="12"/>
        <v>2763.29004329005</v>
      </c>
      <c r="I203" s="323">
        <v>431.11073593074</v>
      </c>
      <c r="J203" s="318">
        <v>2300</v>
      </c>
      <c r="K203" s="318">
        <v>4.82</v>
      </c>
      <c r="L203" s="318">
        <f>(I203+J203+K203)*'2-报价汇总'!$H$5</f>
        <v>27.3593073593074</v>
      </c>
      <c r="M203" s="318">
        <f>(I203+J203+K203+L203)*'2-报价汇总'!$I$5</f>
        <v>0</v>
      </c>
      <c r="N203" s="318">
        <f>(M203+L203+K203+J203+I203)*'2-报价汇总'!$J$5</f>
        <v>0</v>
      </c>
      <c r="O203" s="313">
        <f t="shared" si="11"/>
        <v>2763290.04329005</v>
      </c>
      <c r="P203" s="321"/>
      <c r="Q203" s="311"/>
      <c r="R203" s="311"/>
      <c r="S203" s="311"/>
      <c r="T203" s="311"/>
    </row>
    <row r="204" ht="38.25" spans="1:20">
      <c r="A204" s="313" t="s">
        <v>623</v>
      </c>
      <c r="B204" s="320" t="s">
        <v>619</v>
      </c>
      <c r="C204" s="320" t="s">
        <v>624</v>
      </c>
      <c r="D204" s="320" t="s">
        <v>244</v>
      </c>
      <c r="E204" s="320" t="s">
        <v>340</v>
      </c>
      <c r="F204" s="313" t="s">
        <v>481</v>
      </c>
      <c r="G204" s="318">
        <v>10026.655031439</v>
      </c>
      <c r="H204" s="316">
        <f t="shared" si="12"/>
        <v>1518.0606060606</v>
      </c>
      <c r="I204" s="323">
        <v>350.1403030303</v>
      </c>
      <c r="J204" s="318">
        <v>1150</v>
      </c>
      <c r="K204" s="318">
        <v>2.89</v>
      </c>
      <c r="L204" s="318">
        <f>(I204+J204+K204)*'2-报价汇总'!$H$5</f>
        <v>15.030303030303</v>
      </c>
      <c r="M204" s="318">
        <f>(I204+J204+K204+L204)*'2-报价汇总'!$I$5</f>
        <v>0</v>
      </c>
      <c r="N204" s="318">
        <f>(M204+L204+K204+J204+I204)*'2-报价汇总'!$J$5</f>
        <v>0</v>
      </c>
      <c r="O204" s="313">
        <f t="shared" si="11"/>
        <v>15221070.0137869</v>
      </c>
      <c r="P204" s="321"/>
      <c r="Q204" s="311"/>
      <c r="R204" s="311"/>
      <c r="S204" s="311"/>
      <c r="T204" s="311"/>
    </row>
    <row r="205" ht="51" spans="1:20">
      <c r="A205" s="313" t="s">
        <v>625</v>
      </c>
      <c r="B205" s="320" t="s">
        <v>626</v>
      </c>
      <c r="C205" s="320" t="s">
        <v>627</v>
      </c>
      <c r="D205" s="320" t="s">
        <v>165</v>
      </c>
      <c r="E205" s="320" t="s">
        <v>340</v>
      </c>
      <c r="F205" s="313" t="s">
        <v>481</v>
      </c>
      <c r="G205" s="318">
        <v>1000</v>
      </c>
      <c r="H205" s="316">
        <f t="shared" si="12"/>
        <v>2448.48484848484</v>
      </c>
      <c r="I205" s="323">
        <v>406.66242424242</v>
      </c>
      <c r="J205" s="318">
        <v>2000</v>
      </c>
      <c r="K205" s="318">
        <v>17.58</v>
      </c>
      <c r="L205" s="318">
        <f>(I205+J205+K205)*'2-报价汇总'!$H$5</f>
        <v>24.2424242424242</v>
      </c>
      <c r="M205" s="318">
        <f>(I205+J205+K205+L205)*'2-报价汇总'!$I$5</f>
        <v>0</v>
      </c>
      <c r="N205" s="318">
        <f>(M205+L205+K205+J205+I205)*'2-报价汇总'!$J$5</f>
        <v>0</v>
      </c>
      <c r="O205" s="313">
        <f t="shared" si="11"/>
        <v>2448484.84848484</v>
      </c>
      <c r="P205" s="321"/>
      <c r="Q205" s="311"/>
      <c r="R205" s="311"/>
      <c r="S205" s="311"/>
      <c r="T205" s="311"/>
    </row>
    <row r="206" ht="51" spans="1:20">
      <c r="A206" s="313" t="s">
        <v>628</v>
      </c>
      <c r="B206" s="320" t="s">
        <v>626</v>
      </c>
      <c r="C206" s="320" t="s">
        <v>629</v>
      </c>
      <c r="D206" s="320" t="s">
        <v>165</v>
      </c>
      <c r="E206" s="320" t="s">
        <v>340</v>
      </c>
      <c r="F206" s="313" t="s">
        <v>481</v>
      </c>
      <c r="G206" s="318">
        <v>1000</v>
      </c>
      <c r="H206" s="316">
        <f t="shared" si="12"/>
        <v>2826.25108225108</v>
      </c>
      <c r="I206" s="323">
        <v>480.6883982684</v>
      </c>
      <c r="J206" s="318">
        <v>2300</v>
      </c>
      <c r="K206" s="318">
        <v>17.58</v>
      </c>
      <c r="L206" s="318">
        <f>(I206+J206+K206)*'2-报价汇总'!$H$5</f>
        <v>27.982683982684</v>
      </c>
      <c r="M206" s="318">
        <f>(I206+J206+K206+L206)*'2-报价汇总'!$I$5</f>
        <v>0</v>
      </c>
      <c r="N206" s="318">
        <f>(M206+L206+K206+J206+I206)*'2-报价汇总'!$J$5</f>
        <v>0</v>
      </c>
      <c r="O206" s="313">
        <f t="shared" si="11"/>
        <v>2826251.08225108</v>
      </c>
      <c r="P206" s="321"/>
      <c r="Q206" s="311"/>
      <c r="R206" s="311"/>
      <c r="S206" s="311"/>
      <c r="T206" s="311"/>
    </row>
    <row r="207" ht="51" spans="1:20">
      <c r="A207" s="313" t="s">
        <v>630</v>
      </c>
      <c r="B207" s="320" t="s">
        <v>631</v>
      </c>
      <c r="C207" s="320" t="s">
        <v>632</v>
      </c>
      <c r="D207" s="320" t="s">
        <v>165</v>
      </c>
      <c r="E207" s="320" t="s">
        <v>340</v>
      </c>
      <c r="F207" s="313" t="s">
        <v>481</v>
      </c>
      <c r="G207" s="318">
        <v>1000</v>
      </c>
      <c r="H207" s="316">
        <f t="shared" si="12"/>
        <v>1413.12554112554</v>
      </c>
      <c r="I207" s="323">
        <v>388.8141991342</v>
      </c>
      <c r="J207" s="318">
        <v>1000</v>
      </c>
      <c r="K207" s="318">
        <v>10.32</v>
      </c>
      <c r="L207" s="318">
        <f>(I207+J207+K207)*'2-报价汇总'!$H$5</f>
        <v>13.991341991342</v>
      </c>
      <c r="M207" s="318">
        <f>(I207+J207+K207+L207)*'2-报价汇总'!$I$5</f>
        <v>0</v>
      </c>
      <c r="N207" s="318">
        <f>(M207+L207+K207+J207+I207)*'2-报价汇总'!$J$5</f>
        <v>0</v>
      </c>
      <c r="O207" s="313">
        <f t="shared" si="11"/>
        <v>1413125.54112554</v>
      </c>
      <c r="P207" s="321"/>
      <c r="Q207" s="311"/>
      <c r="R207" s="311"/>
      <c r="S207" s="311"/>
      <c r="T207" s="311"/>
    </row>
    <row r="208" ht="38.25" spans="1:20">
      <c r="A208" s="313" t="s">
        <v>633</v>
      </c>
      <c r="B208" s="320" t="s">
        <v>634</v>
      </c>
      <c r="C208" s="320" t="s">
        <v>635</v>
      </c>
      <c r="D208" s="320" t="s">
        <v>165</v>
      </c>
      <c r="E208" s="320" t="s">
        <v>340</v>
      </c>
      <c r="F208" s="313" t="s">
        <v>481</v>
      </c>
      <c r="G208" s="318">
        <v>1000</v>
      </c>
      <c r="H208" s="316">
        <f t="shared" si="12"/>
        <v>1462.09523809524</v>
      </c>
      <c r="I208" s="323">
        <v>345.30904761905</v>
      </c>
      <c r="J208" s="318">
        <v>1100</v>
      </c>
      <c r="K208" s="318">
        <v>2.31</v>
      </c>
      <c r="L208" s="318">
        <f>(I208+J208+K208)*'2-报价汇总'!$H$5</f>
        <v>14.4761904761905</v>
      </c>
      <c r="M208" s="318">
        <f>(I208+J208+K208+L208)*'2-报价汇总'!$I$5</f>
        <v>0</v>
      </c>
      <c r="N208" s="318">
        <f>(M208+L208+K208+J208+I208)*'2-报价汇总'!$J$5</f>
        <v>0</v>
      </c>
      <c r="O208" s="313">
        <f t="shared" si="11"/>
        <v>1462095.23809524</v>
      </c>
      <c r="P208" s="321"/>
      <c r="Q208" s="311"/>
      <c r="R208" s="311"/>
      <c r="S208" s="311"/>
      <c r="T208" s="311"/>
    </row>
    <row r="209" ht="38.25" spans="1:20">
      <c r="A209" s="313" t="s">
        <v>636</v>
      </c>
      <c r="B209" s="320" t="s">
        <v>637</v>
      </c>
      <c r="C209" s="320" t="s">
        <v>638</v>
      </c>
      <c r="D209" s="320" t="s">
        <v>165</v>
      </c>
      <c r="E209" s="320" t="s">
        <v>340</v>
      </c>
      <c r="F209" s="313" t="s">
        <v>481</v>
      </c>
      <c r="G209" s="318">
        <v>1000</v>
      </c>
      <c r="H209" s="316">
        <f t="shared" si="12"/>
        <v>2502.7012987013</v>
      </c>
      <c r="I209" s="323">
        <v>374.36207792208</v>
      </c>
      <c r="J209" s="318">
        <v>2100</v>
      </c>
      <c r="K209" s="318">
        <v>3.56</v>
      </c>
      <c r="L209" s="318">
        <f>(I209+J209+K209)*'2-报价汇总'!$H$5</f>
        <v>24.7792207792208</v>
      </c>
      <c r="M209" s="318">
        <f>(I209+J209+K209+L209)*'2-报价汇总'!$I$5</f>
        <v>0</v>
      </c>
      <c r="N209" s="318">
        <f>(M209+L209+K209+J209+I209)*'2-报价汇总'!$J$5</f>
        <v>0</v>
      </c>
      <c r="O209" s="313">
        <f t="shared" si="11"/>
        <v>2502701.2987013</v>
      </c>
      <c r="P209" s="321"/>
      <c r="Q209" s="311"/>
      <c r="R209" s="311"/>
      <c r="S209" s="311"/>
      <c r="T209" s="311"/>
    </row>
    <row r="210" ht="38.25" spans="1:20">
      <c r="A210" s="313" t="s">
        <v>639</v>
      </c>
      <c r="B210" s="320" t="s">
        <v>640</v>
      </c>
      <c r="C210" s="320" t="s">
        <v>641</v>
      </c>
      <c r="D210" s="320" t="s">
        <v>165</v>
      </c>
      <c r="E210" s="320" t="s">
        <v>340</v>
      </c>
      <c r="F210" s="313" t="s">
        <v>481</v>
      </c>
      <c r="G210" s="318">
        <v>1000</v>
      </c>
      <c r="H210" s="316">
        <f t="shared" si="12"/>
        <v>2845.48917748918</v>
      </c>
      <c r="I210" s="323">
        <v>413.75601731602</v>
      </c>
      <c r="J210" s="318">
        <v>2400</v>
      </c>
      <c r="K210" s="318">
        <v>3.56</v>
      </c>
      <c r="L210" s="318">
        <f>(I210+J210+K210)*'2-报价汇总'!$H$5</f>
        <v>28.1731601731602</v>
      </c>
      <c r="M210" s="318">
        <f>(I210+J210+K210+L210)*'2-报价汇总'!$I$5</f>
        <v>0</v>
      </c>
      <c r="N210" s="318">
        <f>(M210+L210+K210+J210+I210)*'2-报价汇总'!$J$5</f>
        <v>0</v>
      </c>
      <c r="O210" s="313">
        <f t="shared" si="11"/>
        <v>2845489.17748918</v>
      </c>
      <c r="P210" s="321"/>
      <c r="Q210" s="311"/>
      <c r="R210" s="311"/>
      <c r="S210" s="311"/>
      <c r="T210" s="311"/>
    </row>
    <row r="211" ht="51" spans="1:20">
      <c r="A211" s="313" t="s">
        <v>642</v>
      </c>
      <c r="B211" s="320" t="s">
        <v>643</v>
      </c>
      <c r="C211" s="320" t="s">
        <v>644</v>
      </c>
      <c r="D211" s="320" t="s">
        <v>165</v>
      </c>
      <c r="E211" s="320" t="s">
        <v>340</v>
      </c>
      <c r="F211" s="313" t="s">
        <v>601</v>
      </c>
      <c r="G211" s="318">
        <v>1000</v>
      </c>
      <c r="H211" s="316">
        <f t="shared" si="12"/>
        <v>594.632034632035</v>
      </c>
      <c r="I211" s="323">
        <v>231.804588744589</v>
      </c>
      <c r="J211" s="318">
        <v>350</v>
      </c>
      <c r="K211" s="318">
        <v>6.94</v>
      </c>
      <c r="L211" s="318">
        <f>(I211+J211+K211)*'2-报价汇总'!$H$5</f>
        <v>5.88744588744589</v>
      </c>
      <c r="M211" s="318">
        <f>(I211+J211+K211+L211)*'2-报价汇总'!$I$5</f>
        <v>0</v>
      </c>
      <c r="N211" s="318">
        <f>(M211+L211+K211+J211+I211)*'2-报价汇总'!$J$5</f>
        <v>0</v>
      </c>
      <c r="O211" s="313">
        <f t="shared" si="11"/>
        <v>594632.034632035</v>
      </c>
      <c r="P211" s="321"/>
      <c r="Q211" s="311"/>
      <c r="R211" s="311"/>
      <c r="S211" s="311"/>
      <c r="T211" s="311"/>
    </row>
    <row r="212" ht="25.5" spans="1:20">
      <c r="A212" s="313" t="s">
        <v>645</v>
      </c>
      <c r="B212" s="320" t="s">
        <v>646</v>
      </c>
      <c r="C212" s="320" t="s">
        <v>647</v>
      </c>
      <c r="D212" s="320" t="s">
        <v>165</v>
      </c>
      <c r="E212" s="320" t="s">
        <v>170</v>
      </c>
      <c r="F212" s="313" t="s">
        <v>28</v>
      </c>
      <c r="G212" s="318">
        <v>11649.1501183446</v>
      </c>
      <c r="H212" s="316">
        <f t="shared" si="12"/>
        <v>568.398268398268</v>
      </c>
      <c r="I212" s="323">
        <v>60.9805627705629</v>
      </c>
      <c r="J212" s="318">
        <v>500</v>
      </c>
      <c r="K212" s="318">
        <v>1.79</v>
      </c>
      <c r="L212" s="318">
        <f>(I212+J212+K212)*'2-报价汇总'!$H$5</f>
        <v>5.62770562770563</v>
      </c>
      <c r="M212" s="318">
        <f>(I212+J212+K212+L212)*'2-报价汇总'!$I$5</f>
        <v>0</v>
      </c>
      <c r="N212" s="318">
        <f>(M212+L212+K212+J212+I212)*'2-报价汇总'!$J$5</f>
        <v>0</v>
      </c>
      <c r="O212" s="313">
        <f t="shared" si="11"/>
        <v>6621356.75557855</v>
      </c>
      <c r="P212" s="321"/>
      <c r="Q212" s="311"/>
      <c r="R212" s="311"/>
      <c r="S212" s="311"/>
      <c r="T212" s="311"/>
    </row>
    <row r="213" ht="51" spans="1:20">
      <c r="A213" s="313" t="s">
        <v>648</v>
      </c>
      <c r="B213" s="320" t="s">
        <v>649</v>
      </c>
      <c r="C213" s="320" t="s">
        <v>650</v>
      </c>
      <c r="D213" s="320" t="s">
        <v>165</v>
      </c>
      <c r="E213" s="320" t="s">
        <v>340</v>
      </c>
      <c r="F213" s="313" t="s">
        <v>481</v>
      </c>
      <c r="G213" s="318">
        <v>1000</v>
      </c>
      <c r="H213" s="316">
        <f t="shared" si="12"/>
        <v>13076.658008658</v>
      </c>
      <c r="I213" s="323">
        <v>923.626147186099</v>
      </c>
      <c r="J213" s="318">
        <v>12000</v>
      </c>
      <c r="K213" s="318">
        <v>23.56</v>
      </c>
      <c r="L213" s="318">
        <f>(I213+J213+K213)*'2-报价汇总'!$H$5</f>
        <v>129.471861471861</v>
      </c>
      <c r="M213" s="318">
        <f>(I213+J213+K213+L213)*'2-报价汇总'!$I$5</f>
        <v>0</v>
      </c>
      <c r="N213" s="318">
        <f>(M213+L213+K213+J213+I213)*'2-报价汇总'!$J$5</f>
        <v>0</v>
      </c>
      <c r="O213" s="313">
        <f t="shared" si="11"/>
        <v>13076658.008658</v>
      </c>
      <c r="P213" s="321"/>
      <c r="Q213" s="311"/>
      <c r="R213" s="311"/>
      <c r="S213" s="311"/>
      <c r="T213" s="311"/>
    </row>
    <row r="214" ht="51" spans="1:20">
      <c r="A214" s="313" t="s">
        <v>651</v>
      </c>
      <c r="B214" s="320" t="s">
        <v>649</v>
      </c>
      <c r="C214" s="325" t="s">
        <v>652</v>
      </c>
      <c r="D214" s="320" t="s">
        <v>165</v>
      </c>
      <c r="E214" s="320" t="s">
        <v>340</v>
      </c>
      <c r="F214" s="313" t="s">
        <v>481</v>
      </c>
      <c r="G214" s="318">
        <v>1000</v>
      </c>
      <c r="H214" s="316">
        <f t="shared" si="12"/>
        <v>13847.9307359307</v>
      </c>
      <c r="I214" s="323">
        <v>1190.3925108225</v>
      </c>
      <c r="J214" s="318">
        <v>12500</v>
      </c>
      <c r="K214" s="318">
        <v>20.43</v>
      </c>
      <c r="L214" s="318">
        <f>(I214+J214+K214)*'2-报价汇总'!$H$5</f>
        <v>137.108225108225</v>
      </c>
      <c r="M214" s="318">
        <f>(I214+J214+K214+L214)*'2-报价汇总'!$I$5</f>
        <v>0</v>
      </c>
      <c r="N214" s="318">
        <f>(M214+L214+K214+J214+I214)*'2-报价汇总'!$J$5</f>
        <v>0</v>
      </c>
      <c r="O214" s="313">
        <f t="shared" si="11"/>
        <v>13847930.7359307</v>
      </c>
      <c r="P214" s="321"/>
      <c r="Q214" s="311"/>
      <c r="R214" s="311"/>
      <c r="S214" s="311"/>
      <c r="T214" s="311"/>
    </row>
    <row r="215" ht="51" spans="1:20">
      <c r="A215" s="313" t="s">
        <v>653</v>
      </c>
      <c r="B215" s="320" t="s">
        <v>649</v>
      </c>
      <c r="C215" s="325" t="s">
        <v>654</v>
      </c>
      <c r="D215" s="320" t="s">
        <v>165</v>
      </c>
      <c r="E215" s="320" t="s">
        <v>340</v>
      </c>
      <c r="F215" s="313" t="s">
        <v>481</v>
      </c>
      <c r="G215" s="318">
        <v>1000</v>
      </c>
      <c r="H215" s="316">
        <f t="shared" si="12"/>
        <v>15261.9307359307</v>
      </c>
      <c r="I215" s="323">
        <v>1084.1325108225</v>
      </c>
      <c r="J215" s="318">
        <v>14000</v>
      </c>
      <c r="K215" s="318">
        <v>26.69</v>
      </c>
      <c r="L215" s="318">
        <f>(I215+J215+K215)*'2-报价汇总'!$H$5</f>
        <v>151.108225108225</v>
      </c>
      <c r="M215" s="318">
        <f>(I215+J215+K215+L215)*'2-报价汇总'!$I$5</f>
        <v>0</v>
      </c>
      <c r="N215" s="318">
        <f>(M215+L215+K215+J215+I215)*'2-报价汇总'!$J$5</f>
        <v>0</v>
      </c>
      <c r="O215" s="313">
        <f t="shared" si="11"/>
        <v>15261930.7359307</v>
      </c>
      <c r="P215" s="321"/>
      <c r="Q215" s="311"/>
      <c r="R215" s="311"/>
      <c r="S215" s="311"/>
      <c r="T215" s="311"/>
    </row>
    <row r="216" ht="51" spans="1:20">
      <c r="A216" s="313" t="s">
        <v>655</v>
      </c>
      <c r="B216" s="320" t="s">
        <v>649</v>
      </c>
      <c r="C216" s="325" t="s">
        <v>656</v>
      </c>
      <c r="D216" s="320" t="s">
        <v>165</v>
      </c>
      <c r="E216" s="320" t="s">
        <v>340</v>
      </c>
      <c r="F216" s="313" t="s">
        <v>481</v>
      </c>
      <c r="G216" s="318">
        <v>1000</v>
      </c>
      <c r="H216" s="316">
        <f t="shared" si="12"/>
        <v>16472.1818181818</v>
      </c>
      <c r="I216" s="323">
        <v>1286.1609090909</v>
      </c>
      <c r="J216" s="318">
        <v>15000</v>
      </c>
      <c r="K216" s="318">
        <v>22.93</v>
      </c>
      <c r="L216" s="318">
        <f>(I216+J216+K216)*'2-报价汇总'!$H$5</f>
        <v>163.090909090909</v>
      </c>
      <c r="M216" s="318">
        <f>(I216+J216+K216+L216)*'2-报价汇总'!$I$5</f>
        <v>0</v>
      </c>
      <c r="N216" s="318">
        <f>(M216+L216+K216+J216+I216)*'2-报价汇总'!$J$5</f>
        <v>0</v>
      </c>
      <c r="O216" s="313">
        <f t="shared" si="11"/>
        <v>16472181.8181818</v>
      </c>
      <c r="P216" s="321"/>
      <c r="Q216" s="311"/>
      <c r="R216" s="311"/>
      <c r="S216" s="311"/>
      <c r="T216" s="311"/>
    </row>
    <row r="217" ht="63.75" spans="1:20">
      <c r="A217" s="313" t="s">
        <v>657</v>
      </c>
      <c r="B217" s="320" t="s">
        <v>658</v>
      </c>
      <c r="C217" s="320" t="s">
        <v>659</v>
      </c>
      <c r="D217" s="320" t="s">
        <v>165</v>
      </c>
      <c r="E217" s="320" t="s">
        <v>340</v>
      </c>
      <c r="F217" s="313" t="s">
        <v>481</v>
      </c>
      <c r="G217" s="318">
        <v>1000</v>
      </c>
      <c r="H217" s="316">
        <f t="shared" si="12"/>
        <v>4040</v>
      </c>
      <c r="I217" s="323">
        <v>972.22</v>
      </c>
      <c r="J217" s="318">
        <v>3000</v>
      </c>
      <c r="K217" s="318">
        <v>27.78</v>
      </c>
      <c r="L217" s="318">
        <f>(I217+J217+K217)*'2-报价汇总'!$H$5</f>
        <v>40</v>
      </c>
      <c r="M217" s="318">
        <f>(I217+J217+K217+L217)*'2-报价汇总'!$I$5</f>
        <v>0</v>
      </c>
      <c r="N217" s="318">
        <f>(M217+L217+K217+J217+I217)*'2-报价汇总'!$J$5</f>
        <v>0</v>
      </c>
      <c r="O217" s="313">
        <f t="shared" si="11"/>
        <v>4040000</v>
      </c>
      <c r="P217" s="321"/>
      <c r="Q217" s="311"/>
      <c r="R217" s="311"/>
      <c r="S217" s="311"/>
      <c r="T217" s="311"/>
    </row>
    <row r="218" ht="63.75" spans="1:20">
      <c r="A218" s="313" t="s">
        <v>660</v>
      </c>
      <c r="B218" s="320" t="s">
        <v>661</v>
      </c>
      <c r="C218" s="320" t="s">
        <v>662</v>
      </c>
      <c r="D218" s="320" t="s">
        <v>165</v>
      </c>
      <c r="E218" s="320" t="s">
        <v>340</v>
      </c>
      <c r="F218" s="313" t="s">
        <v>481</v>
      </c>
      <c r="G218" s="318">
        <v>1000</v>
      </c>
      <c r="H218" s="316">
        <f t="shared" si="12"/>
        <v>3725.19480519481</v>
      </c>
      <c r="I218" s="323">
        <v>861.55168831169</v>
      </c>
      <c r="J218" s="318">
        <v>2800</v>
      </c>
      <c r="K218" s="318">
        <v>26.76</v>
      </c>
      <c r="L218" s="318">
        <f>(I218+J218+K218)*'2-报价汇总'!$H$5</f>
        <v>36.8831168831169</v>
      </c>
      <c r="M218" s="318">
        <f>(I218+J218+K218+L218)*'2-报价汇总'!$I$5</f>
        <v>0</v>
      </c>
      <c r="N218" s="318">
        <f>(M218+L218+K218+J218+I218)*'2-报价汇总'!$J$5</f>
        <v>0</v>
      </c>
      <c r="O218" s="313">
        <f t="shared" si="11"/>
        <v>3725194.80519481</v>
      </c>
      <c r="P218" s="321"/>
      <c r="Q218" s="311"/>
      <c r="R218" s="311"/>
      <c r="S218" s="311"/>
      <c r="T218" s="311"/>
    </row>
    <row r="219" ht="63.75" spans="1:20">
      <c r="A219" s="313" t="s">
        <v>663</v>
      </c>
      <c r="B219" s="320" t="s">
        <v>664</v>
      </c>
      <c r="C219" s="320" t="s">
        <v>665</v>
      </c>
      <c r="D219" s="320" t="s">
        <v>165</v>
      </c>
      <c r="E219" s="320" t="s">
        <v>340</v>
      </c>
      <c r="F219" s="313" t="s">
        <v>481</v>
      </c>
      <c r="G219" s="318">
        <v>1000</v>
      </c>
      <c r="H219" s="316">
        <f t="shared" si="12"/>
        <v>3462.85714285714</v>
      </c>
      <c r="I219" s="323">
        <v>805.89142857143</v>
      </c>
      <c r="J219" s="318">
        <v>2600</v>
      </c>
      <c r="K219" s="318">
        <v>22.68</v>
      </c>
      <c r="L219" s="318">
        <f>(I219+J219+K219)*'2-报价汇总'!$H$5</f>
        <v>34.2857142857143</v>
      </c>
      <c r="M219" s="318">
        <f>(I219+J219+K219+L219)*'2-报价汇总'!$I$5</f>
        <v>0</v>
      </c>
      <c r="N219" s="318">
        <f>(M219+L219+K219+J219+I219)*'2-报价汇总'!$J$5</f>
        <v>0</v>
      </c>
      <c r="O219" s="313">
        <f t="shared" si="11"/>
        <v>3462857.14285714</v>
      </c>
      <c r="P219" s="321"/>
      <c r="Q219" s="311"/>
      <c r="R219" s="311"/>
      <c r="S219" s="311"/>
      <c r="T219" s="311"/>
    </row>
    <row r="220" spans="1:20">
      <c r="A220" s="313" t="s">
        <v>666</v>
      </c>
      <c r="B220" s="320" t="s">
        <v>667</v>
      </c>
      <c r="C220" s="320"/>
      <c r="D220" s="320"/>
      <c r="E220" s="320" t="s">
        <v>340</v>
      </c>
      <c r="F220" s="313" t="s">
        <v>668</v>
      </c>
      <c r="G220" s="318">
        <v>500</v>
      </c>
      <c r="H220" s="316">
        <f t="shared" si="12"/>
        <v>262.337662337663</v>
      </c>
      <c r="I220" s="323">
        <v>187.74025974026</v>
      </c>
      <c r="J220" s="318">
        <v>50</v>
      </c>
      <c r="K220" s="318">
        <v>22</v>
      </c>
      <c r="L220" s="318">
        <f>(I220+J220+K220)*'2-报价汇总'!$H$5</f>
        <v>2.5974025974026</v>
      </c>
      <c r="M220" s="318">
        <f>(I220+J220+K220+L220)*'2-报价汇总'!$I$5</f>
        <v>0</v>
      </c>
      <c r="N220" s="318">
        <f>(M220+L220+K220+J220+I220)*'2-报价汇总'!$J$5</f>
        <v>0</v>
      </c>
      <c r="O220" s="313">
        <f t="shared" si="11"/>
        <v>131168.831168831</v>
      </c>
      <c r="P220" s="321"/>
      <c r="Q220" s="311"/>
      <c r="R220" s="311"/>
      <c r="S220" s="311"/>
      <c r="T220" s="311"/>
    </row>
    <row r="221" ht="51" spans="1:20">
      <c r="A221" s="313" t="s">
        <v>669</v>
      </c>
      <c r="B221" s="320" t="s">
        <v>670</v>
      </c>
      <c r="C221" s="320" t="s">
        <v>671</v>
      </c>
      <c r="D221" s="320" t="s">
        <v>165</v>
      </c>
      <c r="E221" s="320" t="s">
        <v>340</v>
      </c>
      <c r="F221" s="313" t="s">
        <v>601</v>
      </c>
      <c r="G221" s="318">
        <v>1000</v>
      </c>
      <c r="H221" s="316">
        <f t="shared" si="12"/>
        <v>568.398268398269</v>
      </c>
      <c r="I221" s="323">
        <v>159.790562770563</v>
      </c>
      <c r="J221" s="318">
        <v>400</v>
      </c>
      <c r="K221" s="318">
        <v>2.98</v>
      </c>
      <c r="L221" s="318">
        <f>(I221+J221+K221)*'2-报价汇总'!$H$5</f>
        <v>5.62770562770563</v>
      </c>
      <c r="M221" s="318">
        <f>(I221+J221+K221+L221)*'2-报价汇总'!$I$5</f>
        <v>0</v>
      </c>
      <c r="N221" s="318">
        <f>(M221+L221+K221+J221+I221)*'2-报价汇总'!$J$5</f>
        <v>0</v>
      </c>
      <c r="O221" s="313">
        <f t="shared" si="11"/>
        <v>568398.268398269</v>
      </c>
      <c r="P221" s="321"/>
      <c r="Q221" s="311"/>
      <c r="R221" s="311"/>
      <c r="S221" s="311"/>
      <c r="T221" s="311"/>
    </row>
    <row r="222" ht="51" spans="1:20">
      <c r="A222" s="313" t="s">
        <v>672</v>
      </c>
      <c r="B222" s="320" t="s">
        <v>673</v>
      </c>
      <c r="C222" s="320" t="s">
        <v>674</v>
      </c>
      <c r="D222" s="320" t="s">
        <v>165</v>
      </c>
      <c r="E222" s="320" t="s">
        <v>340</v>
      </c>
      <c r="F222" s="313" t="s">
        <v>601</v>
      </c>
      <c r="G222" s="318">
        <v>1000</v>
      </c>
      <c r="H222" s="316">
        <f t="shared" si="12"/>
        <v>743.290043290043</v>
      </c>
      <c r="I222" s="323">
        <v>230.050735930736</v>
      </c>
      <c r="J222" s="318">
        <v>500</v>
      </c>
      <c r="K222" s="318">
        <v>5.88</v>
      </c>
      <c r="L222" s="318">
        <f>(I222+J222+K222)*'2-报价汇总'!$H$5</f>
        <v>7.35930735930736</v>
      </c>
      <c r="M222" s="318">
        <f>(I222+J222+K222+L222)*'2-报价汇总'!$I$5</f>
        <v>0</v>
      </c>
      <c r="N222" s="318">
        <f>(M222+L222+K222+J222+I222)*'2-报价汇总'!$J$5</f>
        <v>0</v>
      </c>
      <c r="O222" s="313">
        <f t="shared" si="11"/>
        <v>743290.043290043</v>
      </c>
      <c r="P222" s="321"/>
      <c r="Q222" s="311"/>
      <c r="R222" s="311"/>
      <c r="S222" s="311"/>
      <c r="T222" s="311"/>
    </row>
    <row r="223" ht="38.25" spans="1:20">
      <c r="A223" s="313" t="s">
        <v>675</v>
      </c>
      <c r="B223" s="320" t="s">
        <v>676</v>
      </c>
      <c r="C223" s="320" t="s">
        <v>677</v>
      </c>
      <c r="D223" s="320" t="s">
        <v>165</v>
      </c>
      <c r="E223" s="320" t="s">
        <v>340</v>
      </c>
      <c r="F223" s="313" t="s">
        <v>481</v>
      </c>
      <c r="G223" s="318">
        <v>1000</v>
      </c>
      <c r="H223" s="316">
        <f t="shared" si="12"/>
        <v>1923.80952380952</v>
      </c>
      <c r="I223" s="323">
        <v>854.7619047619</v>
      </c>
      <c r="J223" s="318">
        <v>1000</v>
      </c>
      <c r="K223" s="318">
        <v>50</v>
      </c>
      <c r="L223" s="318">
        <f>(I223+J223+K223)*'2-报价汇总'!$H$5</f>
        <v>19.047619047619</v>
      </c>
      <c r="M223" s="318">
        <f>(I223+J223+K223+L223)*'2-报价汇总'!$I$5</f>
        <v>0</v>
      </c>
      <c r="N223" s="318">
        <f>(M223+L223+K223+J223+I223)*'2-报价汇总'!$J$5</f>
        <v>0</v>
      </c>
      <c r="O223" s="313">
        <f t="shared" si="11"/>
        <v>1923809.52380952</v>
      </c>
      <c r="P223" s="321"/>
      <c r="Q223" s="311"/>
      <c r="R223" s="311"/>
      <c r="S223" s="311"/>
      <c r="T223" s="311"/>
    </row>
    <row r="224" ht="38.25" spans="1:20">
      <c r="A224" s="313" t="s">
        <v>678</v>
      </c>
      <c r="B224" s="320" t="s">
        <v>679</v>
      </c>
      <c r="C224" s="320" t="s">
        <v>680</v>
      </c>
      <c r="D224" s="320" t="s">
        <v>165</v>
      </c>
      <c r="E224" s="320" t="s">
        <v>170</v>
      </c>
      <c r="F224" s="313" t="s">
        <v>28</v>
      </c>
      <c r="G224" s="318">
        <v>1000</v>
      </c>
      <c r="H224" s="316">
        <f t="shared" si="12"/>
        <v>306.060606060606</v>
      </c>
      <c r="I224" s="323">
        <v>103.030303030303</v>
      </c>
      <c r="J224" s="318">
        <v>180</v>
      </c>
      <c r="K224" s="318">
        <v>20</v>
      </c>
      <c r="L224" s="318">
        <f>(I224+J224+K224)*'2-报价汇总'!$H$5</f>
        <v>3.03030303030303</v>
      </c>
      <c r="M224" s="318">
        <f>(I224+J224+K224+L224)*'2-报价汇总'!$I$5</f>
        <v>0</v>
      </c>
      <c r="N224" s="318">
        <f>(M224+L224+K224+J224+I224)*'2-报价汇总'!$J$5</f>
        <v>0</v>
      </c>
      <c r="O224" s="313">
        <f t="shared" si="11"/>
        <v>306060.606060606</v>
      </c>
      <c r="P224" s="321"/>
      <c r="Q224" s="311"/>
      <c r="R224" s="311"/>
      <c r="S224" s="311"/>
      <c r="T224" s="311"/>
    </row>
    <row r="225" ht="38.25" spans="1:20">
      <c r="A225" s="313" t="s">
        <v>681</v>
      </c>
      <c r="B225" s="320" t="s">
        <v>682</v>
      </c>
      <c r="C225" s="320" t="s">
        <v>683</v>
      </c>
      <c r="D225" s="320" t="s">
        <v>165</v>
      </c>
      <c r="E225" s="320" t="s">
        <v>340</v>
      </c>
      <c r="F225" s="313" t="s">
        <v>481</v>
      </c>
      <c r="G225" s="318">
        <v>1000</v>
      </c>
      <c r="H225" s="316">
        <f t="shared" si="12"/>
        <v>262.337662337663</v>
      </c>
      <c r="I225" s="323">
        <v>239.74025974026</v>
      </c>
      <c r="J225" s="318">
        <v>0</v>
      </c>
      <c r="K225" s="318">
        <v>20</v>
      </c>
      <c r="L225" s="318">
        <f>(I225+J225+K225)*'2-报价汇总'!$H$5</f>
        <v>2.5974025974026</v>
      </c>
      <c r="M225" s="318">
        <f>(I225+J225+K225+L225)*'2-报价汇总'!$I$5</f>
        <v>0</v>
      </c>
      <c r="N225" s="318">
        <f>(M225+L225+K225+J225+I225)*'2-报价汇总'!$J$5</f>
        <v>0</v>
      </c>
      <c r="O225" s="313">
        <f t="shared" si="11"/>
        <v>262337.662337663</v>
      </c>
      <c r="P225" s="321"/>
      <c r="Q225" s="311"/>
      <c r="R225" s="311"/>
      <c r="S225" s="311"/>
      <c r="T225" s="311"/>
    </row>
    <row r="226" ht="38.25" spans="1:20">
      <c r="A226" s="313" t="s">
        <v>684</v>
      </c>
      <c r="B226" s="320" t="s">
        <v>685</v>
      </c>
      <c r="C226" s="320" t="s">
        <v>686</v>
      </c>
      <c r="D226" s="320" t="s">
        <v>165</v>
      </c>
      <c r="E226" s="320" t="s">
        <v>170</v>
      </c>
      <c r="F226" s="313" t="s">
        <v>28</v>
      </c>
      <c r="G226" s="318">
        <v>1000</v>
      </c>
      <c r="H226" s="316">
        <f t="shared" si="12"/>
        <v>251.406926406926</v>
      </c>
      <c r="I226" s="323">
        <v>89.937748917749</v>
      </c>
      <c r="J226" s="318">
        <v>150</v>
      </c>
      <c r="K226" s="318">
        <v>8.98</v>
      </c>
      <c r="L226" s="318">
        <f>(I226+J226+K226)*'2-报价汇总'!$H$5</f>
        <v>2.48917748917749</v>
      </c>
      <c r="M226" s="318">
        <f>(I226+J226+K226+L226)*'2-报价汇总'!$I$5</f>
        <v>0</v>
      </c>
      <c r="N226" s="318">
        <f>(M226+L226+K226+J226+I226)*'2-报价汇总'!$J$5</f>
        <v>0</v>
      </c>
      <c r="O226" s="313">
        <f t="shared" si="11"/>
        <v>251406.926406926</v>
      </c>
      <c r="P226" s="321"/>
      <c r="Q226" s="311"/>
      <c r="R226" s="311"/>
      <c r="S226" s="311"/>
      <c r="T226" s="311"/>
    </row>
    <row r="227" ht="25.5" spans="1:20">
      <c r="A227" s="313" t="s">
        <v>687</v>
      </c>
      <c r="B227" s="320" t="s">
        <v>688</v>
      </c>
      <c r="C227" s="320" t="s">
        <v>689</v>
      </c>
      <c r="D227" s="320" t="s">
        <v>165</v>
      </c>
      <c r="E227" s="320" t="s">
        <v>170</v>
      </c>
      <c r="F227" s="313" t="s">
        <v>28</v>
      </c>
      <c r="G227" s="318">
        <v>1000</v>
      </c>
      <c r="H227" s="316">
        <f t="shared" si="12"/>
        <v>553.095238095238</v>
      </c>
      <c r="I227" s="323">
        <v>132.619047619048</v>
      </c>
      <c r="J227" s="318">
        <v>400</v>
      </c>
      <c r="K227" s="318">
        <v>15</v>
      </c>
      <c r="L227" s="318">
        <f>(I227+J227+K227)*'2-报价汇总'!$H$5</f>
        <v>5.47619047619048</v>
      </c>
      <c r="M227" s="318">
        <f>(I227+J227+K227+L227)*'2-报价汇总'!$I$5</f>
        <v>0</v>
      </c>
      <c r="N227" s="318">
        <f>(M227+L227+K227+J227+I227)*'2-报价汇总'!$J$5</f>
        <v>0</v>
      </c>
      <c r="O227" s="313">
        <f t="shared" si="11"/>
        <v>553095.238095238</v>
      </c>
      <c r="P227" s="321"/>
      <c r="Q227" s="311"/>
      <c r="R227" s="311"/>
      <c r="S227" s="311"/>
      <c r="T227" s="311"/>
    </row>
    <row r="228" ht="38.25" spans="1:20">
      <c r="A228" s="313" t="s">
        <v>690</v>
      </c>
      <c r="B228" s="320" t="s">
        <v>691</v>
      </c>
      <c r="C228" s="320" t="s">
        <v>692</v>
      </c>
      <c r="D228" s="320" t="s">
        <v>165</v>
      </c>
      <c r="E228" s="320" t="s">
        <v>228</v>
      </c>
      <c r="F228" s="313" t="s">
        <v>89</v>
      </c>
      <c r="G228" s="318">
        <v>66996.285891888</v>
      </c>
      <c r="H228" s="316">
        <f t="shared" si="12"/>
        <v>99.6883116883117</v>
      </c>
      <c r="I228" s="323">
        <v>33.7012987012987</v>
      </c>
      <c r="J228" s="318">
        <v>40</v>
      </c>
      <c r="K228" s="318">
        <v>25</v>
      </c>
      <c r="L228" s="318">
        <f>(I228+J228+K228)*'2-报价汇总'!$H$5</f>
        <v>0.987012987012987</v>
      </c>
      <c r="M228" s="318">
        <f>(I228+J228+K228+L228)*'2-报价汇总'!$I$5</f>
        <v>0</v>
      </c>
      <c r="N228" s="318">
        <f>(M228+L228+K228+J228+I228)*'2-报价汇总'!$J$5</f>
        <v>0</v>
      </c>
      <c r="O228" s="313">
        <f t="shared" si="11"/>
        <v>6678746.62994977</v>
      </c>
      <c r="P228" s="321"/>
      <c r="Q228" s="311"/>
      <c r="R228" s="311"/>
      <c r="S228" s="311"/>
      <c r="T228" s="311"/>
    </row>
    <row r="229" ht="25.5" spans="1:20">
      <c r="A229" s="313" t="s">
        <v>693</v>
      </c>
      <c r="B229" s="320" t="s">
        <v>694</v>
      </c>
      <c r="C229" s="320" t="s">
        <v>695</v>
      </c>
      <c r="D229" s="320" t="s">
        <v>165</v>
      </c>
      <c r="E229" s="320" t="s">
        <v>340</v>
      </c>
      <c r="F229" s="313" t="s">
        <v>601</v>
      </c>
      <c r="G229" s="318">
        <v>1000</v>
      </c>
      <c r="H229" s="316">
        <f t="shared" si="12"/>
        <v>1049.35064935065</v>
      </c>
      <c r="I229" s="323">
        <v>237.91103896104</v>
      </c>
      <c r="J229" s="318">
        <v>800</v>
      </c>
      <c r="K229" s="318">
        <v>1.05</v>
      </c>
      <c r="L229" s="318">
        <f>(I229+J229+K229)*'2-报价汇总'!$H$5</f>
        <v>10.3896103896104</v>
      </c>
      <c r="M229" s="318">
        <f>(I229+J229+K229+L229)*'2-报价汇总'!$I$5</f>
        <v>0</v>
      </c>
      <c r="N229" s="318">
        <f>(M229+L229+K229+J229+I229)*'2-报价汇总'!$J$5</f>
        <v>0</v>
      </c>
      <c r="O229" s="313">
        <f t="shared" si="11"/>
        <v>1049350.64935065</v>
      </c>
      <c r="P229" s="321"/>
      <c r="Q229" s="311"/>
      <c r="R229" s="311"/>
      <c r="S229" s="311"/>
      <c r="T229" s="311"/>
    </row>
    <row r="230" ht="25.5" spans="1:20">
      <c r="A230" s="313" t="s">
        <v>696</v>
      </c>
      <c r="B230" s="320" t="s">
        <v>697</v>
      </c>
      <c r="C230" s="320"/>
      <c r="D230" s="320" t="s">
        <v>165</v>
      </c>
      <c r="E230" s="320" t="s">
        <v>170</v>
      </c>
      <c r="F230" s="313" t="s">
        <v>28</v>
      </c>
      <c r="G230" s="318">
        <v>1000</v>
      </c>
      <c r="H230" s="316">
        <f t="shared" si="12"/>
        <v>56.8398268398269</v>
      </c>
      <c r="I230" s="323">
        <v>6.2270562770563</v>
      </c>
      <c r="J230" s="318">
        <v>50</v>
      </c>
      <c r="K230" s="318">
        <v>0.05</v>
      </c>
      <c r="L230" s="318">
        <f>(I230+J230+K230)*'2-报价汇总'!$H$5</f>
        <v>0.562770562770563</v>
      </c>
      <c r="M230" s="318">
        <f>(I230+J230+K230+L230)*'2-报价汇总'!$I$5</f>
        <v>0</v>
      </c>
      <c r="N230" s="318">
        <f>(M230+L230+K230+J230+I230)*'2-报价汇总'!$J$5</f>
        <v>0</v>
      </c>
      <c r="O230" s="313">
        <f t="shared" si="11"/>
        <v>56839.8268398269</v>
      </c>
      <c r="P230" s="321"/>
      <c r="Q230" s="311"/>
      <c r="R230" s="311"/>
      <c r="S230" s="311"/>
      <c r="T230" s="311"/>
    </row>
    <row r="231" ht="51" spans="1:20">
      <c r="A231" s="313" t="s">
        <v>698</v>
      </c>
      <c r="B231" s="320" t="s">
        <v>626</v>
      </c>
      <c r="C231" s="320" t="s">
        <v>699</v>
      </c>
      <c r="D231" s="320" t="s">
        <v>165</v>
      </c>
      <c r="E231" s="320" t="s">
        <v>340</v>
      </c>
      <c r="F231" s="313" t="s">
        <v>481</v>
      </c>
      <c r="G231" s="318">
        <v>1000</v>
      </c>
      <c r="H231" s="316">
        <f t="shared" si="12"/>
        <v>4634.63203463204</v>
      </c>
      <c r="I231" s="323">
        <v>1550.76458874459</v>
      </c>
      <c r="J231" s="318">
        <v>3000</v>
      </c>
      <c r="K231" s="318">
        <v>37.98</v>
      </c>
      <c r="L231" s="318">
        <f>(I231+J231+K231)*'2-报价汇总'!$H$5</f>
        <v>45.8874458874459</v>
      </c>
      <c r="M231" s="318">
        <f>(I231+J231+K231+L231)*'2-报价汇总'!$I$5</f>
        <v>0</v>
      </c>
      <c r="N231" s="318">
        <f>(M231+L231+K231+J231+I231)*'2-报价汇总'!$J$5</f>
        <v>0</v>
      </c>
      <c r="O231" s="313">
        <f t="shared" si="11"/>
        <v>4634632.03463204</v>
      </c>
      <c r="P231" s="321"/>
      <c r="Q231" s="311"/>
      <c r="R231" s="311"/>
      <c r="S231" s="311"/>
      <c r="T231" s="311"/>
    </row>
    <row r="232" ht="38.25" spans="1:20">
      <c r="A232" s="313" t="s">
        <v>700</v>
      </c>
      <c r="B232" s="320" t="s">
        <v>701</v>
      </c>
      <c r="C232" s="320" t="s">
        <v>702</v>
      </c>
      <c r="D232" s="320" t="s">
        <v>165</v>
      </c>
      <c r="E232" s="320" t="s">
        <v>340</v>
      </c>
      <c r="F232" s="313" t="s">
        <v>78</v>
      </c>
      <c r="G232" s="318">
        <v>1000</v>
      </c>
      <c r="H232" s="316">
        <f t="shared" si="12"/>
        <v>918.181818181818</v>
      </c>
      <c r="I232" s="323">
        <v>198.850909090909</v>
      </c>
      <c r="J232" s="318">
        <v>650</v>
      </c>
      <c r="K232" s="318">
        <v>60.24</v>
      </c>
      <c r="L232" s="318">
        <f>(I232+J232+K232)*'2-报价汇总'!$H$5</f>
        <v>9.09090909090909</v>
      </c>
      <c r="M232" s="318">
        <f>(I232+J232+K232+L232)*'2-报价汇总'!$I$5</f>
        <v>0</v>
      </c>
      <c r="N232" s="318">
        <f>(M232+L232+K232+J232+I232)*'2-报价汇总'!$J$5</f>
        <v>0</v>
      </c>
      <c r="O232" s="313">
        <f t="shared" si="11"/>
        <v>918181.818181818</v>
      </c>
      <c r="P232" s="321"/>
      <c r="Q232" s="311"/>
      <c r="R232" s="311"/>
      <c r="S232" s="311"/>
      <c r="T232" s="311"/>
    </row>
    <row r="233" ht="25.5" spans="1:20">
      <c r="A233" s="313" t="s">
        <v>703</v>
      </c>
      <c r="B233" s="320" t="s">
        <v>704</v>
      </c>
      <c r="C233" s="320"/>
      <c r="D233" s="320" t="s">
        <v>165</v>
      </c>
      <c r="E233" s="320" t="s">
        <v>340</v>
      </c>
      <c r="F233" s="313" t="s">
        <v>481</v>
      </c>
      <c r="G233" s="318">
        <v>1000</v>
      </c>
      <c r="H233" s="316">
        <f t="shared" si="12"/>
        <v>262.337662337663</v>
      </c>
      <c r="I233" s="323">
        <v>59.59025974026</v>
      </c>
      <c r="J233" s="318">
        <v>200</v>
      </c>
      <c r="K233" s="318">
        <v>0.15</v>
      </c>
      <c r="L233" s="318">
        <f>(I233+J233+K233)*'2-报价汇总'!$H$5</f>
        <v>2.5974025974026</v>
      </c>
      <c r="M233" s="318">
        <f>(I233+J233+K233+L233)*'2-报价汇总'!$I$5</f>
        <v>0</v>
      </c>
      <c r="N233" s="318">
        <f>(M233+L233+K233+J233+I233)*'2-报价汇总'!$J$5</f>
        <v>0</v>
      </c>
      <c r="O233" s="313">
        <f t="shared" si="11"/>
        <v>262337.662337663</v>
      </c>
      <c r="P233" s="321"/>
      <c r="Q233" s="311"/>
      <c r="R233" s="311"/>
      <c r="S233" s="311"/>
      <c r="T233" s="311"/>
    </row>
    <row r="234" ht="38.25" spans="1:20">
      <c r="A234" s="313" t="s">
        <v>705</v>
      </c>
      <c r="B234" s="320" t="s">
        <v>706</v>
      </c>
      <c r="C234" s="320" t="s">
        <v>707</v>
      </c>
      <c r="D234" s="320" t="s">
        <v>165</v>
      </c>
      <c r="E234" s="320" t="s">
        <v>228</v>
      </c>
      <c r="F234" s="313" t="s">
        <v>89</v>
      </c>
      <c r="G234" s="318">
        <v>1000</v>
      </c>
      <c r="H234" s="316">
        <f t="shared" si="12"/>
        <v>253.593073593074</v>
      </c>
      <c r="I234" s="323">
        <v>49.482251082251</v>
      </c>
      <c r="J234" s="318">
        <v>200</v>
      </c>
      <c r="K234" s="318">
        <v>1.6</v>
      </c>
      <c r="L234" s="318">
        <f>(I234+J234+K234)*'2-报价汇总'!$H$5</f>
        <v>2.51082251082251</v>
      </c>
      <c r="M234" s="318">
        <f>(I234+J234+K234+L234)*'2-报价汇总'!$I$5</f>
        <v>0</v>
      </c>
      <c r="N234" s="318">
        <f>(M234+L234+K234+J234+I234)*'2-报价汇总'!$J$5</f>
        <v>0</v>
      </c>
      <c r="O234" s="313">
        <f t="shared" si="11"/>
        <v>253593.073593074</v>
      </c>
      <c r="P234" s="321"/>
      <c r="Q234" s="311"/>
      <c r="R234" s="311"/>
      <c r="S234" s="311"/>
      <c r="T234" s="311"/>
    </row>
    <row r="235" spans="1:20">
      <c r="A235" s="313"/>
      <c r="B235" s="324" t="s">
        <v>158</v>
      </c>
      <c r="C235" s="320"/>
      <c r="D235" s="320"/>
      <c r="E235" s="320"/>
      <c r="F235" s="313"/>
      <c r="G235" s="318"/>
      <c r="H235" s="313"/>
      <c r="I235" s="318"/>
      <c r="J235" s="318"/>
      <c r="K235" s="318"/>
      <c r="L235" s="323"/>
      <c r="M235" s="323"/>
      <c r="N235" s="323"/>
      <c r="O235" s="313"/>
      <c r="P235" s="321"/>
      <c r="Q235" s="311"/>
      <c r="R235" s="311"/>
      <c r="S235" s="311"/>
      <c r="T235" s="311"/>
    </row>
    <row r="236" spans="1:20">
      <c r="A236" s="313"/>
      <c r="B236" s="319" t="s">
        <v>159</v>
      </c>
      <c r="C236" s="320"/>
      <c r="D236" s="320"/>
      <c r="E236" s="320"/>
      <c r="F236" s="313"/>
      <c r="G236" s="318"/>
      <c r="H236" s="313"/>
      <c r="I236" s="318"/>
      <c r="J236" s="318"/>
      <c r="K236" s="318"/>
      <c r="L236" s="323"/>
      <c r="M236" s="323"/>
      <c r="N236" s="323"/>
      <c r="O236" s="313"/>
      <c r="P236" s="321"/>
      <c r="Q236" s="311"/>
      <c r="R236" s="311"/>
      <c r="S236" s="311"/>
      <c r="T236" s="311"/>
    </row>
    <row r="237" spans="1:20">
      <c r="A237" s="336" t="s">
        <v>708</v>
      </c>
      <c r="B237" s="319" t="s">
        <v>709</v>
      </c>
      <c r="C237" s="320"/>
      <c r="D237" s="320"/>
      <c r="E237" s="320"/>
      <c r="F237" s="313"/>
      <c r="G237" s="318"/>
      <c r="H237" s="313"/>
      <c r="I237" s="318"/>
      <c r="J237" s="318"/>
      <c r="K237" s="318"/>
      <c r="L237" s="323"/>
      <c r="M237" s="323"/>
      <c r="N237" s="323"/>
      <c r="O237" s="313"/>
      <c r="P237" s="321"/>
      <c r="Q237" s="311"/>
      <c r="R237" s="311"/>
      <c r="S237" s="311"/>
      <c r="T237" s="311"/>
    </row>
    <row r="238" ht="25.5" spans="1:20">
      <c r="A238" s="313" t="s">
        <v>710</v>
      </c>
      <c r="B238" s="320" t="s">
        <v>711</v>
      </c>
      <c r="C238" s="320"/>
      <c r="D238" s="320" t="s">
        <v>244</v>
      </c>
      <c r="E238" s="320" t="s">
        <v>228</v>
      </c>
      <c r="F238" s="313" t="s">
        <v>89</v>
      </c>
      <c r="G238" s="318">
        <v>1000</v>
      </c>
      <c r="H238" s="316">
        <f t="shared" ref="H238:H254" si="13">SUM(I238:N238)</f>
        <v>2448.48484848484</v>
      </c>
      <c r="I238" s="323">
        <v>396.87242424242</v>
      </c>
      <c r="J238" s="318">
        <v>2000</v>
      </c>
      <c r="K238" s="318">
        <v>27.37</v>
      </c>
      <c r="L238" s="318">
        <f>(I238+J238+K238)*'2-报价汇总'!$H$5</f>
        <v>24.2424242424242</v>
      </c>
      <c r="M238" s="318">
        <f>(I238+J238+K238+L238)*'2-报价汇总'!$I$5</f>
        <v>0</v>
      </c>
      <c r="N238" s="318">
        <f>(M238+L238+K238+J238+I238)*'2-报价汇总'!$J$5</f>
        <v>0</v>
      </c>
      <c r="O238" s="313">
        <f t="shared" ref="O238:O301" si="14">G238*H238</f>
        <v>2448484.84848484</v>
      </c>
      <c r="P238" s="321"/>
      <c r="Q238" s="311"/>
      <c r="R238" s="311"/>
      <c r="S238" s="311"/>
      <c r="T238" s="311"/>
    </row>
    <row r="239" ht="25.5" spans="1:20">
      <c r="A239" s="313" t="s">
        <v>712</v>
      </c>
      <c r="B239" s="320" t="s">
        <v>713</v>
      </c>
      <c r="C239" s="320"/>
      <c r="D239" s="320" t="s">
        <v>244</v>
      </c>
      <c r="E239" s="320" t="s">
        <v>228</v>
      </c>
      <c r="F239" s="313" t="s">
        <v>89</v>
      </c>
      <c r="G239" s="318">
        <v>1640.72536878093</v>
      </c>
      <c r="H239" s="316">
        <f t="shared" si="13"/>
        <v>655.844155844155</v>
      </c>
      <c r="I239" s="323">
        <v>142.710649350649</v>
      </c>
      <c r="J239" s="318">
        <v>500</v>
      </c>
      <c r="K239" s="318">
        <v>6.64</v>
      </c>
      <c r="L239" s="318">
        <f>(I239+J239+K239)*'2-报价汇总'!$H$5</f>
        <v>6.49350649350649</v>
      </c>
      <c r="M239" s="318">
        <f>(I239+J239+K239+L239)*'2-报价汇总'!$I$5</f>
        <v>0</v>
      </c>
      <c r="N239" s="318">
        <f>(M239+L239+K239+J239+I239)*'2-报价汇总'!$J$5</f>
        <v>0</v>
      </c>
      <c r="O239" s="313">
        <f t="shared" si="14"/>
        <v>1076060.14446022</v>
      </c>
      <c r="P239" s="321"/>
      <c r="Q239" s="311"/>
      <c r="R239" s="311"/>
      <c r="S239" s="311"/>
      <c r="T239" s="311"/>
    </row>
    <row r="240" ht="38.25" spans="1:20">
      <c r="A240" s="313" t="s">
        <v>714</v>
      </c>
      <c r="B240" s="320" t="s">
        <v>715</v>
      </c>
      <c r="C240" s="320"/>
      <c r="D240" s="320" t="s">
        <v>244</v>
      </c>
      <c r="E240" s="320" t="s">
        <v>228</v>
      </c>
      <c r="F240" s="313" t="s">
        <v>89</v>
      </c>
      <c r="G240" s="318">
        <v>5154.61220025343</v>
      </c>
      <c r="H240" s="316">
        <f t="shared" si="13"/>
        <v>874.458874458875</v>
      </c>
      <c r="I240" s="323">
        <v>154.600865800866</v>
      </c>
      <c r="J240" s="318">
        <v>700</v>
      </c>
      <c r="K240" s="318">
        <v>11.2</v>
      </c>
      <c r="L240" s="318">
        <f>(I240+J240+K240)*'2-报价汇总'!$H$5</f>
        <v>8.65800865800866</v>
      </c>
      <c r="M240" s="318">
        <f>(I240+J240+K240+L240)*'2-报价汇总'!$I$5</f>
        <v>0</v>
      </c>
      <c r="N240" s="318">
        <f>(M240+L240+K240+J240+I240)*'2-报价汇总'!$J$5</f>
        <v>0</v>
      </c>
      <c r="O240" s="313">
        <f t="shared" si="14"/>
        <v>4507496.3829056</v>
      </c>
      <c r="P240" s="321"/>
      <c r="Q240" s="311"/>
      <c r="R240" s="311"/>
      <c r="S240" s="311"/>
      <c r="T240" s="311"/>
    </row>
    <row r="241" ht="38.25" spans="1:20">
      <c r="A241" s="313" t="s">
        <v>716</v>
      </c>
      <c r="B241" s="320" t="s">
        <v>717</v>
      </c>
      <c r="C241" s="320"/>
      <c r="D241" s="320" t="s">
        <v>244</v>
      </c>
      <c r="E241" s="320" t="s">
        <v>228</v>
      </c>
      <c r="F241" s="313" t="s">
        <v>89</v>
      </c>
      <c r="G241" s="318">
        <v>4293.23138164344</v>
      </c>
      <c r="H241" s="316">
        <f t="shared" si="13"/>
        <v>2098.7012987013</v>
      </c>
      <c r="I241" s="323">
        <v>719.712077922078</v>
      </c>
      <c r="J241" s="318">
        <v>1350</v>
      </c>
      <c r="K241" s="318">
        <v>8.21</v>
      </c>
      <c r="L241" s="318">
        <f>(I241+J241+K241)*'2-报价汇总'!$H$5</f>
        <v>20.7792207792208</v>
      </c>
      <c r="M241" s="318">
        <f>(I241+J241+K241+L241)*'2-报价汇总'!$I$5</f>
        <v>0</v>
      </c>
      <c r="N241" s="318">
        <f>(M241+L241+K241+J241+I241)*'2-报价汇总'!$J$5</f>
        <v>0</v>
      </c>
      <c r="O241" s="313">
        <f t="shared" si="14"/>
        <v>9010210.27628026</v>
      </c>
      <c r="P241" s="321"/>
      <c r="Q241" s="311"/>
      <c r="R241" s="311"/>
      <c r="S241" s="311"/>
      <c r="T241" s="311"/>
    </row>
    <row r="242" ht="38.25" spans="1:20">
      <c r="A242" s="313" t="s">
        <v>718</v>
      </c>
      <c r="B242" s="320" t="s">
        <v>719</v>
      </c>
      <c r="C242" s="320"/>
      <c r="D242" s="320" t="s">
        <v>244</v>
      </c>
      <c r="E242" s="320" t="s">
        <v>228</v>
      </c>
      <c r="F242" s="313" t="s">
        <v>89</v>
      </c>
      <c r="G242" s="318">
        <v>9406.82544767734</v>
      </c>
      <c r="H242" s="316">
        <f t="shared" si="13"/>
        <v>1136.79653679654</v>
      </c>
      <c r="I242" s="323">
        <v>119.59112554113</v>
      </c>
      <c r="J242" s="318">
        <v>1000</v>
      </c>
      <c r="K242" s="318">
        <v>5.95</v>
      </c>
      <c r="L242" s="318">
        <f>(I242+J242+K242)*'2-报价汇总'!$H$5</f>
        <v>11.2554112554113</v>
      </c>
      <c r="M242" s="318">
        <f>(I242+J242+K242+L242)*'2-报价汇总'!$I$5</f>
        <v>0</v>
      </c>
      <c r="N242" s="318">
        <f>(M242+L242+K242+J242+I242)*'2-报价汇总'!$J$5</f>
        <v>0</v>
      </c>
      <c r="O242" s="313">
        <f t="shared" si="14"/>
        <v>10693646.5911692</v>
      </c>
      <c r="P242" s="321"/>
      <c r="Q242" s="311"/>
      <c r="R242" s="311"/>
      <c r="S242" s="311"/>
      <c r="T242" s="311"/>
    </row>
    <row r="243" ht="38.25" spans="1:20">
      <c r="A243" s="313" t="s">
        <v>720</v>
      </c>
      <c r="B243" s="320" t="s">
        <v>721</v>
      </c>
      <c r="C243" s="320" t="s">
        <v>722</v>
      </c>
      <c r="D243" s="320" t="s">
        <v>244</v>
      </c>
      <c r="E243" s="320" t="s">
        <v>170</v>
      </c>
      <c r="F243" s="313" t="s">
        <v>28</v>
      </c>
      <c r="G243" s="318">
        <v>12018.3133263203</v>
      </c>
      <c r="H243" s="316">
        <f t="shared" si="13"/>
        <v>174.891774891775</v>
      </c>
      <c r="I243" s="323">
        <v>62.810173160173</v>
      </c>
      <c r="J243" s="318">
        <v>110</v>
      </c>
      <c r="K243" s="318">
        <v>0.35</v>
      </c>
      <c r="L243" s="318">
        <f>(I243+J243+K243)*'2-报价汇总'!$H$5</f>
        <v>1.73160173160173</v>
      </c>
      <c r="M243" s="318">
        <f>(I243+J243+K243+L243)*'2-报价汇总'!$I$5</f>
        <v>0</v>
      </c>
      <c r="N243" s="318">
        <f>(M243+L243+K243+J243+I243)*'2-报价汇总'!$J$5</f>
        <v>0</v>
      </c>
      <c r="O243" s="313">
        <f t="shared" si="14"/>
        <v>2101904.14884563</v>
      </c>
      <c r="P243" s="321"/>
      <c r="Q243" s="311"/>
      <c r="R243" s="311"/>
      <c r="S243" s="311"/>
      <c r="T243" s="311"/>
    </row>
    <row r="244" ht="25.5" spans="1:20">
      <c r="A244" s="313" t="s">
        <v>723</v>
      </c>
      <c r="B244" s="320" t="s">
        <v>724</v>
      </c>
      <c r="C244" s="320" t="s">
        <v>725</v>
      </c>
      <c r="D244" s="320" t="s">
        <v>244</v>
      </c>
      <c r="E244" s="320" t="s">
        <v>228</v>
      </c>
      <c r="F244" s="313" t="s">
        <v>89</v>
      </c>
      <c r="G244" s="318">
        <v>6708.74373012647</v>
      </c>
      <c r="H244" s="316">
        <f t="shared" si="13"/>
        <v>610.7874</v>
      </c>
      <c r="I244" s="323">
        <v>160</v>
      </c>
      <c r="J244" s="318">
        <v>442.79</v>
      </c>
      <c r="K244" s="318">
        <v>1.95</v>
      </c>
      <c r="L244" s="318">
        <f>(I244+J244+K244)*'2-报价汇总'!$H$5</f>
        <v>6.0474</v>
      </c>
      <c r="M244" s="318">
        <f>(I244+J244+K244+L244)*'2-报价汇总'!$I$5</f>
        <v>0</v>
      </c>
      <c r="N244" s="318">
        <f>(M244+L244+K244+J244+I244)*'2-报价汇总'!$J$5</f>
        <v>0</v>
      </c>
      <c r="O244" s="313">
        <f t="shared" si="14"/>
        <v>4097616.14019025</v>
      </c>
      <c r="P244" s="321"/>
      <c r="Q244" s="311"/>
      <c r="R244" s="311"/>
      <c r="S244" s="311"/>
      <c r="T244" s="311"/>
    </row>
    <row r="245" ht="38.25" spans="1:20">
      <c r="A245" s="313" t="s">
        <v>726</v>
      </c>
      <c r="B245" s="320" t="s">
        <v>727</v>
      </c>
      <c r="C245" s="320" t="s">
        <v>728</v>
      </c>
      <c r="D245" s="320" t="s">
        <v>244</v>
      </c>
      <c r="E245" s="320" t="s">
        <v>170</v>
      </c>
      <c r="F245" s="313" t="s">
        <v>28</v>
      </c>
      <c r="G245" s="318">
        <v>500</v>
      </c>
      <c r="H245" s="316">
        <f t="shared" si="13"/>
        <v>306.060606060606</v>
      </c>
      <c r="I245" s="323">
        <v>52.170303030303</v>
      </c>
      <c r="J245" s="318">
        <v>250</v>
      </c>
      <c r="K245" s="318">
        <v>0.86</v>
      </c>
      <c r="L245" s="318">
        <f>(I245+J245+K245)*'2-报价汇总'!$H$5</f>
        <v>3.03030303030303</v>
      </c>
      <c r="M245" s="318">
        <f>(I245+J245+K245+L245)*'2-报价汇总'!$I$5</f>
        <v>0</v>
      </c>
      <c r="N245" s="318">
        <f>(M245+L245+K245+J245+I245)*'2-报价汇总'!$J$5</f>
        <v>0</v>
      </c>
      <c r="O245" s="313">
        <f t="shared" si="14"/>
        <v>153030.303030303</v>
      </c>
      <c r="P245" s="321"/>
      <c r="Q245" s="311"/>
      <c r="R245" s="311"/>
      <c r="S245" s="311"/>
      <c r="T245" s="311"/>
    </row>
    <row r="246" ht="25.5" spans="1:20">
      <c r="A246" s="313" t="s">
        <v>729</v>
      </c>
      <c r="B246" s="320" t="s">
        <v>730</v>
      </c>
      <c r="C246" s="320" t="s">
        <v>731</v>
      </c>
      <c r="D246" s="320" t="s">
        <v>244</v>
      </c>
      <c r="E246" s="320" t="s">
        <v>170</v>
      </c>
      <c r="F246" s="313" t="s">
        <v>28</v>
      </c>
      <c r="G246" s="318">
        <v>500</v>
      </c>
      <c r="H246" s="316">
        <f t="shared" si="13"/>
        <v>594.632034632035</v>
      </c>
      <c r="I246" s="323">
        <v>57.884588744589</v>
      </c>
      <c r="J246" s="318">
        <v>530</v>
      </c>
      <c r="K246" s="318">
        <v>0.86</v>
      </c>
      <c r="L246" s="318">
        <f>(I246+J246+K246)*'2-报价汇总'!$H$5</f>
        <v>5.88744588744589</v>
      </c>
      <c r="M246" s="318">
        <f>(I246+J246+K246+L246)*'2-报价汇总'!$I$5</f>
        <v>0</v>
      </c>
      <c r="N246" s="318">
        <f>(M246+L246+K246+J246+I246)*'2-报价汇总'!$J$5</f>
        <v>0</v>
      </c>
      <c r="O246" s="313">
        <f t="shared" si="14"/>
        <v>297316.017316017</v>
      </c>
      <c r="P246" s="321"/>
      <c r="Q246" s="311"/>
      <c r="R246" s="311"/>
      <c r="S246" s="311"/>
      <c r="T246" s="311"/>
    </row>
    <row r="247" ht="51" spans="1:20">
      <c r="A247" s="313" t="s">
        <v>732</v>
      </c>
      <c r="B247" s="320" t="s">
        <v>733</v>
      </c>
      <c r="C247" s="320" t="s">
        <v>734</v>
      </c>
      <c r="D247" s="320" t="s">
        <v>244</v>
      </c>
      <c r="E247" s="320" t="s">
        <v>170</v>
      </c>
      <c r="F247" s="313" t="s">
        <v>28</v>
      </c>
      <c r="G247" s="318">
        <v>500</v>
      </c>
      <c r="H247" s="316">
        <f t="shared" si="13"/>
        <v>402.251082251082</v>
      </c>
      <c r="I247" s="323">
        <v>222.408398268398</v>
      </c>
      <c r="J247" s="318">
        <v>175</v>
      </c>
      <c r="K247" s="318">
        <v>0.86</v>
      </c>
      <c r="L247" s="318">
        <f>(I247+J247+K247)*'2-报价汇总'!$H$5</f>
        <v>3.98268398268398</v>
      </c>
      <c r="M247" s="318">
        <f>(I247+J247+K247+L247)*'2-报价汇总'!$I$5</f>
        <v>0</v>
      </c>
      <c r="N247" s="318">
        <f>(M247+L247+K247+J247+I247)*'2-报价汇总'!$J$5</f>
        <v>0</v>
      </c>
      <c r="O247" s="313">
        <f t="shared" si="14"/>
        <v>201125.541125541</v>
      </c>
      <c r="P247" s="321"/>
      <c r="Q247" s="311"/>
      <c r="R247" s="311"/>
      <c r="S247" s="311"/>
      <c r="T247" s="311"/>
    </row>
    <row r="248" ht="51" spans="1:20">
      <c r="A248" s="313" t="s">
        <v>735</v>
      </c>
      <c r="B248" s="320" t="s">
        <v>736</v>
      </c>
      <c r="C248" s="320" t="s">
        <v>737</v>
      </c>
      <c r="D248" s="320" t="s">
        <v>244</v>
      </c>
      <c r="E248" s="320" t="s">
        <v>170</v>
      </c>
      <c r="F248" s="313" t="s">
        <v>28</v>
      </c>
      <c r="G248" s="318">
        <v>21466.1569082172</v>
      </c>
      <c r="H248" s="316">
        <f t="shared" si="13"/>
        <v>104.935064935065</v>
      </c>
      <c r="I248" s="323">
        <v>43.686103896104</v>
      </c>
      <c r="J248" s="318">
        <v>60</v>
      </c>
      <c r="K248" s="318">
        <v>0.21</v>
      </c>
      <c r="L248" s="318">
        <f>(I248+J248+K248)*'2-报价汇总'!$H$5</f>
        <v>1.03896103896104</v>
      </c>
      <c r="M248" s="318">
        <f>(I248+J248+K248+L248)*'2-报价汇总'!$I$5</f>
        <v>0</v>
      </c>
      <c r="N248" s="318">
        <f>(M248+L248+K248+J248+I248)*'2-报价汇总'!$J$5</f>
        <v>0</v>
      </c>
      <c r="O248" s="313">
        <f t="shared" si="14"/>
        <v>2252552.56907007</v>
      </c>
      <c r="P248" s="321"/>
      <c r="Q248" s="311"/>
      <c r="R248" s="311"/>
      <c r="S248" s="311"/>
      <c r="T248" s="311"/>
    </row>
    <row r="249" ht="89.25" spans="1:20">
      <c r="A249" s="313" t="s">
        <v>738</v>
      </c>
      <c r="B249" s="320" t="s">
        <v>739</v>
      </c>
      <c r="C249" s="320"/>
      <c r="D249" s="320" t="s">
        <v>244</v>
      </c>
      <c r="E249" s="320" t="s">
        <v>170</v>
      </c>
      <c r="F249" s="313" t="s">
        <v>28</v>
      </c>
      <c r="G249" s="318">
        <v>500</v>
      </c>
      <c r="H249" s="316">
        <f t="shared" si="13"/>
        <v>489.69696969697</v>
      </c>
      <c r="I249" s="323">
        <v>180.108484848485</v>
      </c>
      <c r="J249" s="318">
        <v>300</v>
      </c>
      <c r="K249" s="318">
        <v>4.74</v>
      </c>
      <c r="L249" s="318">
        <f>(I249+J249+K249)*'2-报价汇总'!$H$5</f>
        <v>4.84848484848485</v>
      </c>
      <c r="M249" s="318">
        <f>(I249+J249+K249+L249)*'2-报价汇总'!$I$5</f>
        <v>0</v>
      </c>
      <c r="N249" s="318">
        <f>(M249+L249+K249+J249+I249)*'2-报价汇总'!$J$5</f>
        <v>0</v>
      </c>
      <c r="O249" s="313">
        <f t="shared" si="14"/>
        <v>244848.484848485</v>
      </c>
      <c r="P249" s="321"/>
      <c r="Q249" s="311"/>
      <c r="R249" s="311"/>
      <c r="S249" s="311"/>
      <c r="T249" s="311"/>
    </row>
    <row r="250" ht="25.5" spans="1:20">
      <c r="A250" s="313" t="s">
        <v>740</v>
      </c>
      <c r="B250" s="320" t="s">
        <v>741</v>
      </c>
      <c r="C250" s="320" t="s">
        <v>742</v>
      </c>
      <c r="D250" s="320" t="s">
        <v>244</v>
      </c>
      <c r="E250" s="320" t="s">
        <v>228</v>
      </c>
      <c r="F250" s="313" t="s">
        <v>89</v>
      </c>
      <c r="G250" s="318">
        <v>500</v>
      </c>
      <c r="H250" s="316">
        <f t="shared" si="13"/>
        <v>253.593073593074</v>
      </c>
      <c r="I250" s="323">
        <v>49.132251082251</v>
      </c>
      <c r="J250" s="318">
        <v>200</v>
      </c>
      <c r="K250" s="318">
        <v>1.95</v>
      </c>
      <c r="L250" s="318">
        <f>(I250+J250+K250)*'2-报价汇总'!$H$5</f>
        <v>2.51082251082251</v>
      </c>
      <c r="M250" s="318">
        <f>(I250+J250+K250+L250)*'2-报价汇总'!$I$5</f>
        <v>0</v>
      </c>
      <c r="N250" s="318">
        <f>(M250+L250+K250+J250+I250)*'2-报价汇总'!$J$5</f>
        <v>0</v>
      </c>
      <c r="O250" s="313">
        <f t="shared" si="14"/>
        <v>126796.536796537</v>
      </c>
      <c r="P250" s="321"/>
      <c r="Q250" s="311"/>
      <c r="R250" s="311"/>
      <c r="S250" s="311"/>
      <c r="T250" s="311"/>
    </row>
    <row r="251" ht="25.5" spans="1:20">
      <c r="A251" s="313" t="s">
        <v>743</v>
      </c>
      <c r="B251" s="320" t="s">
        <v>741</v>
      </c>
      <c r="C251" s="320" t="s">
        <v>744</v>
      </c>
      <c r="D251" s="320" t="s">
        <v>244</v>
      </c>
      <c r="E251" s="320" t="s">
        <v>228</v>
      </c>
      <c r="F251" s="313" t="s">
        <v>89</v>
      </c>
      <c r="G251" s="318">
        <v>6562.90147512373</v>
      </c>
      <c r="H251" s="316">
        <f t="shared" si="13"/>
        <v>244.848484848485</v>
      </c>
      <c r="I251" s="323">
        <v>90.4742424242424</v>
      </c>
      <c r="J251" s="318">
        <v>150</v>
      </c>
      <c r="K251" s="318">
        <v>1.95</v>
      </c>
      <c r="L251" s="318">
        <f>(I251+J251+K251)*'2-报价汇总'!$H$5</f>
        <v>2.42424242424242</v>
      </c>
      <c r="M251" s="318">
        <f>(I251+J251+K251+L251)*'2-报价汇总'!$I$5</f>
        <v>0</v>
      </c>
      <c r="N251" s="318">
        <f>(M251+L251+K251+J251+I251)*'2-报价汇总'!$J$5</f>
        <v>0</v>
      </c>
      <c r="O251" s="313">
        <f t="shared" si="14"/>
        <v>1606916.48239393</v>
      </c>
      <c r="P251" s="321"/>
      <c r="Q251" s="311"/>
      <c r="R251" s="311"/>
      <c r="S251" s="311"/>
      <c r="T251" s="311"/>
    </row>
    <row r="252" ht="38.25" spans="1:20">
      <c r="A252" s="313" t="s">
        <v>745</v>
      </c>
      <c r="B252" s="320" t="s">
        <v>746</v>
      </c>
      <c r="C252" s="320" t="s">
        <v>535</v>
      </c>
      <c r="D252" s="320" t="s">
        <v>244</v>
      </c>
      <c r="E252" s="320" t="s">
        <v>228</v>
      </c>
      <c r="F252" s="313" t="s">
        <v>89</v>
      </c>
      <c r="G252" s="318">
        <v>500</v>
      </c>
      <c r="H252" s="316">
        <f t="shared" si="13"/>
        <v>83.073593073593</v>
      </c>
      <c r="I252" s="323">
        <v>31.3210822510822</v>
      </c>
      <c r="J252" s="318">
        <v>50</v>
      </c>
      <c r="K252" s="318">
        <v>0.93</v>
      </c>
      <c r="L252" s="318">
        <f>(I252+J252+K252)*'2-报价汇总'!$H$5</f>
        <v>0.822510822510822</v>
      </c>
      <c r="M252" s="318">
        <f>(I252+J252+K252+L252)*'2-报价汇总'!$I$5</f>
        <v>0</v>
      </c>
      <c r="N252" s="318">
        <f>(M252+L252+K252+J252+I252)*'2-报价汇总'!$J$5</f>
        <v>0</v>
      </c>
      <c r="O252" s="313">
        <f t="shared" si="14"/>
        <v>41536.7965367965</v>
      </c>
      <c r="P252" s="321"/>
      <c r="Q252" s="311"/>
      <c r="R252" s="311"/>
      <c r="S252" s="311"/>
      <c r="T252" s="311"/>
    </row>
    <row r="253" ht="51" spans="1:20">
      <c r="A253" s="313" t="s">
        <v>747</v>
      </c>
      <c r="B253" s="320" t="s">
        <v>748</v>
      </c>
      <c r="C253" s="320" t="s">
        <v>749</v>
      </c>
      <c r="D253" s="320" t="s">
        <v>244</v>
      </c>
      <c r="E253" s="320" t="s">
        <v>170</v>
      </c>
      <c r="F253" s="313" t="s">
        <v>28</v>
      </c>
      <c r="G253" s="318">
        <v>500</v>
      </c>
      <c r="H253" s="316">
        <f t="shared" si="13"/>
        <v>227.359307359307</v>
      </c>
      <c r="I253" s="323">
        <v>103.368225108225</v>
      </c>
      <c r="J253" s="318">
        <v>120</v>
      </c>
      <c r="K253" s="318">
        <v>1.74</v>
      </c>
      <c r="L253" s="318">
        <f>(I253+J253+K253)*'2-报价汇总'!$H$5</f>
        <v>2.25108225108225</v>
      </c>
      <c r="M253" s="318">
        <f>(I253+J253+K253+L253)*'2-报价汇总'!$I$5</f>
        <v>0</v>
      </c>
      <c r="N253" s="318">
        <f>(M253+L253+K253+J253+I253)*'2-报价汇总'!$J$5</f>
        <v>0</v>
      </c>
      <c r="O253" s="313">
        <f t="shared" si="14"/>
        <v>113679.653679654</v>
      </c>
      <c r="P253" s="321"/>
      <c r="Q253" s="311"/>
      <c r="R253" s="311"/>
      <c r="S253" s="311"/>
      <c r="T253" s="311"/>
    </row>
    <row r="254" spans="1:20">
      <c r="A254" s="313" t="s">
        <v>750</v>
      </c>
      <c r="B254" s="320" t="s">
        <v>751</v>
      </c>
      <c r="C254" s="320" t="s">
        <v>752</v>
      </c>
      <c r="D254" s="320"/>
      <c r="E254" s="320"/>
      <c r="F254" s="313" t="s">
        <v>753</v>
      </c>
      <c r="G254" s="318">
        <v>500</v>
      </c>
      <c r="H254" s="316">
        <f t="shared" si="13"/>
        <v>131.168831168831</v>
      </c>
      <c r="I254" s="323">
        <v>127.95012987013</v>
      </c>
      <c r="J254" s="318">
        <v>0</v>
      </c>
      <c r="K254" s="318">
        <v>1.92</v>
      </c>
      <c r="L254" s="318">
        <f>(I254+J254+K254)*'2-报价汇总'!$H$5</f>
        <v>1.2987012987013</v>
      </c>
      <c r="M254" s="318">
        <f>(I254+J254+K254+L254)*'2-报价汇总'!$I$5</f>
        <v>0</v>
      </c>
      <c r="N254" s="318">
        <f>(M254+L254+K254+J254+I254)*'2-报价汇总'!$J$5</f>
        <v>0</v>
      </c>
      <c r="O254" s="313">
        <f t="shared" si="14"/>
        <v>65584.4155844156</v>
      </c>
      <c r="P254" s="321"/>
      <c r="Q254" s="311"/>
      <c r="R254" s="311"/>
      <c r="S254" s="311"/>
      <c r="T254" s="311"/>
    </row>
    <row r="255" spans="1:20">
      <c r="A255" s="313" t="s">
        <v>754</v>
      </c>
      <c r="B255" s="320" t="s">
        <v>755</v>
      </c>
      <c r="C255" s="320" t="s">
        <v>756</v>
      </c>
      <c r="D255" s="320"/>
      <c r="E255" s="320" t="s">
        <v>757</v>
      </c>
      <c r="F255" s="313" t="s">
        <v>101</v>
      </c>
      <c r="G255" s="318">
        <v>500</v>
      </c>
      <c r="H255" s="313"/>
      <c r="I255" s="323"/>
      <c r="J255" s="318"/>
      <c r="K255" s="318"/>
      <c r="L255" s="323"/>
      <c r="M255" s="323"/>
      <c r="N255" s="323"/>
      <c r="O255" s="313">
        <f t="shared" si="14"/>
        <v>0</v>
      </c>
      <c r="P255" s="321"/>
      <c r="Q255" s="311"/>
      <c r="R255" s="311"/>
      <c r="S255" s="311"/>
      <c r="T255" s="311"/>
    </row>
    <row r="256" spans="1:20">
      <c r="A256" s="313" t="s">
        <v>758</v>
      </c>
      <c r="B256" s="326" t="s">
        <v>759</v>
      </c>
      <c r="C256" s="326" t="s">
        <v>760</v>
      </c>
      <c r="D256" s="326"/>
      <c r="E256" s="326"/>
      <c r="F256" s="318" t="s">
        <v>753</v>
      </c>
      <c r="G256" s="318">
        <v>500</v>
      </c>
      <c r="H256" s="316">
        <f t="shared" ref="H256:H303" si="15">SUM(I256:N256)</f>
        <v>131.168831168831</v>
      </c>
      <c r="I256" s="323">
        <v>26.67012987013</v>
      </c>
      <c r="J256" s="318">
        <v>100</v>
      </c>
      <c r="K256" s="318">
        <v>3.2</v>
      </c>
      <c r="L256" s="318">
        <f>(I256+J256+K256)*'2-报价汇总'!$H$5</f>
        <v>1.2987012987013</v>
      </c>
      <c r="M256" s="318">
        <f>(I256+J256+K256+L256)*'2-报价汇总'!$I$5</f>
        <v>0</v>
      </c>
      <c r="N256" s="318">
        <f>(M256+L256+K256+J256+I256)*'2-报价汇总'!$J$5</f>
        <v>0</v>
      </c>
      <c r="O256" s="313">
        <f t="shared" si="14"/>
        <v>65584.4155844156</v>
      </c>
      <c r="P256" s="327"/>
      <c r="Q256" s="328"/>
      <c r="R256" s="328"/>
      <c r="S256" s="328"/>
      <c r="T256" s="328"/>
    </row>
    <row r="257" ht="114.75" spans="1:20">
      <c r="A257" s="313" t="s">
        <v>761</v>
      </c>
      <c r="B257" s="326" t="s">
        <v>762</v>
      </c>
      <c r="C257" s="326" t="s">
        <v>763</v>
      </c>
      <c r="D257" s="326"/>
      <c r="E257" s="326" t="s">
        <v>495</v>
      </c>
      <c r="F257" s="318" t="s">
        <v>89</v>
      </c>
      <c r="G257" s="318">
        <v>8203.62684390466</v>
      </c>
      <c r="H257" s="316">
        <f t="shared" si="15"/>
        <v>1038.987</v>
      </c>
      <c r="I257" s="318">
        <v>217.45</v>
      </c>
      <c r="J257" s="318">
        <v>800</v>
      </c>
      <c r="K257" s="318">
        <v>11.25</v>
      </c>
      <c r="L257" s="318">
        <f>(I257+J257+K257)*'2-报价汇总'!$H$5</f>
        <v>10.287</v>
      </c>
      <c r="M257" s="318">
        <f>(I257+J257+K257+L257)*'2-报价汇总'!$I$5</f>
        <v>0</v>
      </c>
      <c r="N257" s="318">
        <f>(M257+L257+K257+J257+I257)*'2-报价汇总'!$J$5</f>
        <v>0</v>
      </c>
      <c r="O257" s="313">
        <f t="shared" si="14"/>
        <v>8523461.64366797</v>
      </c>
      <c r="P257" s="318"/>
      <c r="Q257" s="328"/>
      <c r="R257" s="328"/>
      <c r="S257" s="328"/>
      <c r="T257" s="328"/>
    </row>
    <row r="258" ht="76.5" spans="1:20">
      <c r="A258" s="313" t="s">
        <v>764</v>
      </c>
      <c r="B258" s="326" t="s">
        <v>765</v>
      </c>
      <c r="C258" s="326" t="s">
        <v>766</v>
      </c>
      <c r="D258" s="326"/>
      <c r="E258" s="326" t="s">
        <v>495</v>
      </c>
      <c r="F258" s="318" t="s">
        <v>89</v>
      </c>
      <c r="G258" s="318">
        <v>8203.62684390466</v>
      </c>
      <c r="H258" s="316">
        <f t="shared" si="15"/>
        <v>779.922</v>
      </c>
      <c r="I258" s="318">
        <v>147</v>
      </c>
      <c r="J258" s="318">
        <v>620</v>
      </c>
      <c r="K258" s="318">
        <v>5.2</v>
      </c>
      <c r="L258" s="318">
        <f>(I258+J258+K258)*'2-报价汇总'!$H$5</f>
        <v>7.722</v>
      </c>
      <c r="M258" s="318">
        <f>(I258+J258+K258+L258)*'2-报价汇总'!$I$5</f>
        <v>0</v>
      </c>
      <c r="N258" s="318">
        <f>(M258+L258+K258+J258+I258)*'2-报价汇总'!$J$5</f>
        <v>0</v>
      </c>
      <c r="O258" s="313">
        <f t="shared" si="14"/>
        <v>6398189.05535181</v>
      </c>
      <c r="P258" s="318"/>
      <c r="Q258" s="328"/>
      <c r="R258" s="328"/>
      <c r="S258" s="328"/>
      <c r="T258" s="328"/>
    </row>
    <row r="259" ht="63.75" spans="1:20">
      <c r="A259" s="313" t="s">
        <v>767</v>
      </c>
      <c r="B259" s="326" t="s">
        <v>768</v>
      </c>
      <c r="C259" s="326" t="s">
        <v>769</v>
      </c>
      <c r="D259" s="326"/>
      <c r="E259" s="326" t="s">
        <v>495</v>
      </c>
      <c r="F259" s="318" t="s">
        <v>89</v>
      </c>
      <c r="G259" s="318">
        <v>1367.27114065078</v>
      </c>
      <c r="H259" s="316">
        <f t="shared" si="15"/>
        <v>1498.2441</v>
      </c>
      <c r="I259" s="318">
        <v>218.08</v>
      </c>
      <c r="J259" s="318">
        <v>1250</v>
      </c>
      <c r="K259" s="318">
        <v>15.33</v>
      </c>
      <c r="L259" s="318">
        <f>(I259+J259+K259)*'2-报价汇总'!$H$5</f>
        <v>14.8341</v>
      </c>
      <c r="M259" s="318">
        <f>(I259+J259+K259+L259)*'2-报价汇总'!$I$5</f>
        <v>0</v>
      </c>
      <c r="N259" s="318">
        <f>(M259+L259+K259+J259+I259)*'2-报价汇总'!$J$5</f>
        <v>0</v>
      </c>
      <c r="O259" s="313">
        <f t="shared" si="14"/>
        <v>2048505.9195803</v>
      </c>
      <c r="P259" s="318"/>
      <c r="Q259" s="328"/>
      <c r="R259" s="328"/>
      <c r="S259" s="328"/>
      <c r="T259" s="328"/>
    </row>
    <row r="260" ht="63.75" spans="1:20">
      <c r="A260" s="313" t="s">
        <v>770</v>
      </c>
      <c r="B260" s="326" t="s">
        <v>771</v>
      </c>
      <c r="C260" s="326" t="s">
        <v>769</v>
      </c>
      <c r="D260" s="326"/>
      <c r="E260" s="326" t="s">
        <v>495</v>
      </c>
      <c r="F260" s="318" t="s">
        <v>89</v>
      </c>
      <c r="G260" s="318">
        <v>4101.81342195233</v>
      </c>
      <c r="H260" s="316">
        <f t="shared" si="15"/>
        <v>536.7948</v>
      </c>
      <c r="I260" s="318">
        <v>85</v>
      </c>
      <c r="J260" s="318">
        <v>439.8</v>
      </c>
      <c r="K260" s="318">
        <v>6.68</v>
      </c>
      <c r="L260" s="318">
        <f>(I260+J260+K260)*'2-报价汇总'!$H$5</f>
        <v>5.3148</v>
      </c>
      <c r="M260" s="318">
        <f>(I260+J260+K260+L260)*'2-报价汇总'!$I$5</f>
        <v>0</v>
      </c>
      <c r="N260" s="318">
        <f>(M260+L260+K260+J260+I260)*'2-报价汇总'!$J$5</f>
        <v>0</v>
      </c>
      <c r="O260" s="313">
        <f t="shared" si="14"/>
        <v>2201832.11547422</v>
      </c>
      <c r="P260" s="318"/>
      <c r="Q260" s="328"/>
      <c r="R260" s="328"/>
      <c r="S260" s="328"/>
      <c r="T260" s="328"/>
    </row>
    <row r="261" ht="89.25" spans="1:20">
      <c r="A261" s="313" t="s">
        <v>772</v>
      </c>
      <c r="B261" s="326" t="s">
        <v>773</v>
      </c>
      <c r="C261" s="326" t="s">
        <v>774</v>
      </c>
      <c r="D261" s="326"/>
      <c r="E261" s="326" t="s">
        <v>495</v>
      </c>
      <c r="F261" s="318" t="s">
        <v>89</v>
      </c>
      <c r="G261" s="318">
        <v>16407.2536878093</v>
      </c>
      <c r="H261" s="316">
        <f t="shared" si="15"/>
        <v>1039.0375</v>
      </c>
      <c r="I261" s="323">
        <v>137.8</v>
      </c>
      <c r="J261" s="318">
        <v>885</v>
      </c>
      <c r="K261" s="318">
        <v>5.95</v>
      </c>
      <c r="L261" s="318">
        <f>(I261+J261+K261)*'2-报价汇总'!$H$5</f>
        <v>10.2875</v>
      </c>
      <c r="M261" s="318">
        <f>(I261+J261+K261+L261)*'2-报价汇总'!$I$5</f>
        <v>0</v>
      </c>
      <c r="N261" s="318">
        <f>(M261+L261+K261+J261+I261)*'2-报价汇总'!$J$5</f>
        <v>0</v>
      </c>
      <c r="O261" s="313">
        <f t="shared" si="14"/>
        <v>17047751.8536472</v>
      </c>
      <c r="P261" s="318"/>
      <c r="Q261" s="328"/>
      <c r="R261" s="328"/>
      <c r="S261" s="328"/>
      <c r="T261" s="328"/>
    </row>
    <row r="262" ht="51" spans="1:20">
      <c r="A262" s="313" t="s">
        <v>775</v>
      </c>
      <c r="B262" s="326" t="s">
        <v>776</v>
      </c>
      <c r="C262" s="326" t="s">
        <v>777</v>
      </c>
      <c r="D262" s="326"/>
      <c r="E262" s="326" t="s">
        <v>166</v>
      </c>
      <c r="F262" s="318" t="s">
        <v>28</v>
      </c>
      <c r="G262" s="318">
        <v>10009.8831721137</v>
      </c>
      <c r="H262" s="316">
        <f t="shared" si="15"/>
        <v>541.105707359307</v>
      </c>
      <c r="I262" s="323">
        <v>156.368225108225</v>
      </c>
      <c r="J262" s="318">
        <v>377.64</v>
      </c>
      <c r="K262" s="318">
        <v>1.74</v>
      </c>
      <c r="L262" s="318">
        <f>(I262+J262+K262)*'2-报价汇总'!$H$5</f>
        <v>5.35748225108225</v>
      </c>
      <c r="M262" s="318">
        <f>(I262+J262+K262+L262)*'2-报价汇总'!$I$5</f>
        <v>0</v>
      </c>
      <c r="N262" s="318">
        <f>(M262+L262+K262+J262+I262)*'2-报价汇总'!$J$5</f>
        <v>0</v>
      </c>
      <c r="O262" s="313">
        <f t="shared" si="14"/>
        <v>5416404.91443061</v>
      </c>
      <c r="P262" s="318"/>
      <c r="Q262" s="328"/>
      <c r="R262" s="328"/>
      <c r="S262" s="328"/>
      <c r="T262" s="328"/>
    </row>
    <row r="263" ht="51" spans="1:20">
      <c r="A263" s="313" t="s">
        <v>778</v>
      </c>
      <c r="B263" s="326" t="s">
        <v>779</v>
      </c>
      <c r="C263" s="326" t="s">
        <v>780</v>
      </c>
      <c r="D263" s="326"/>
      <c r="E263" s="326" t="s">
        <v>495</v>
      </c>
      <c r="F263" s="318" t="s">
        <v>89</v>
      </c>
      <c r="G263" s="318">
        <v>500</v>
      </c>
      <c r="H263" s="316">
        <f t="shared" si="15"/>
        <v>692.6984</v>
      </c>
      <c r="I263" s="323">
        <v>129.2</v>
      </c>
      <c r="J263" s="318">
        <v>550</v>
      </c>
      <c r="K263" s="318">
        <v>6.64</v>
      </c>
      <c r="L263" s="318">
        <f>(I263+J263+K263)*'2-报价汇总'!$H$5</f>
        <v>6.8584</v>
      </c>
      <c r="M263" s="318">
        <f>(I263+J263+K263+L263)*'2-报价汇总'!$I$5</f>
        <v>0</v>
      </c>
      <c r="N263" s="318">
        <f>(M263+L263+K263+J263+I263)*'2-报价汇总'!$J$5</f>
        <v>0</v>
      </c>
      <c r="O263" s="313">
        <f t="shared" si="14"/>
        <v>346349.2</v>
      </c>
      <c r="P263" s="318"/>
      <c r="Q263" s="328"/>
      <c r="R263" s="328"/>
      <c r="S263" s="328"/>
      <c r="T263" s="328"/>
    </row>
    <row r="264" ht="25.5" spans="1:20">
      <c r="A264" s="313" t="s">
        <v>781</v>
      </c>
      <c r="B264" s="326" t="s">
        <v>782</v>
      </c>
      <c r="C264" s="326"/>
      <c r="D264" s="326"/>
      <c r="E264" s="326" t="s">
        <v>783</v>
      </c>
      <c r="F264" s="318" t="s">
        <v>78</v>
      </c>
      <c r="G264" s="318">
        <v>500</v>
      </c>
      <c r="H264" s="316">
        <f t="shared" si="15"/>
        <v>17.3215</v>
      </c>
      <c r="I264" s="323">
        <v>3</v>
      </c>
      <c r="J264" s="318">
        <v>14.15</v>
      </c>
      <c r="K264" s="318">
        <v>0</v>
      </c>
      <c r="L264" s="318">
        <f>(I264+J264+K264)*'2-报价汇总'!$H$5</f>
        <v>0.1715</v>
      </c>
      <c r="M264" s="318">
        <f>(I264+J264+K264+L264)*'2-报价汇总'!$I$5</f>
        <v>0</v>
      </c>
      <c r="N264" s="318">
        <f>(M264+L264+K264+J264+I264)*'2-报价汇总'!$J$5</f>
        <v>0</v>
      </c>
      <c r="O264" s="313">
        <f t="shared" si="14"/>
        <v>8660.75</v>
      </c>
      <c r="P264" s="318"/>
      <c r="Q264" s="328"/>
      <c r="R264" s="328"/>
      <c r="S264" s="328"/>
      <c r="T264" s="328"/>
    </row>
    <row r="265" ht="63.75" spans="1:20">
      <c r="A265" s="313" t="s">
        <v>784</v>
      </c>
      <c r="B265" s="326" t="s">
        <v>785</v>
      </c>
      <c r="C265" s="326" t="s">
        <v>786</v>
      </c>
      <c r="D265" s="326"/>
      <c r="E265" s="326" t="s">
        <v>495</v>
      </c>
      <c r="F265" s="318" t="s">
        <v>89</v>
      </c>
      <c r="G265" s="318">
        <v>500</v>
      </c>
      <c r="H265" s="316">
        <f t="shared" si="15"/>
        <v>1880.0746</v>
      </c>
      <c r="I265" s="318">
        <v>295.08</v>
      </c>
      <c r="J265" s="318">
        <v>1551.05</v>
      </c>
      <c r="K265" s="318">
        <v>15.33</v>
      </c>
      <c r="L265" s="318">
        <f>(I265+J265+K265)*'2-报价汇总'!$H$5</f>
        <v>18.6146</v>
      </c>
      <c r="M265" s="318">
        <f>(I265+J265+K265+L265)*'2-报价汇总'!$I$5</f>
        <v>0</v>
      </c>
      <c r="N265" s="318">
        <f>(M265+L265+K265+J265+I265)*'2-报价汇总'!$J$5</f>
        <v>0</v>
      </c>
      <c r="O265" s="313">
        <f t="shared" si="14"/>
        <v>940037.3</v>
      </c>
      <c r="P265" s="318"/>
      <c r="Q265" s="328"/>
      <c r="R265" s="328"/>
      <c r="S265" s="328"/>
      <c r="T265" s="328"/>
    </row>
    <row r="266" ht="51" spans="1:20">
      <c r="A266" s="313" t="s">
        <v>787</v>
      </c>
      <c r="B266" s="326" t="s">
        <v>788</v>
      </c>
      <c r="C266" s="326" t="s">
        <v>789</v>
      </c>
      <c r="D266" s="326"/>
      <c r="E266" s="326" t="s">
        <v>495</v>
      </c>
      <c r="F266" s="318" t="s">
        <v>89</v>
      </c>
      <c r="G266" s="318">
        <v>500</v>
      </c>
      <c r="H266" s="316">
        <f t="shared" si="15"/>
        <v>2216.6066</v>
      </c>
      <c r="I266" s="318">
        <v>395.08</v>
      </c>
      <c r="J266" s="318">
        <v>1779.05</v>
      </c>
      <c r="K266" s="318">
        <v>20.53</v>
      </c>
      <c r="L266" s="318">
        <f>(I266+J266+K266)*'2-报价汇总'!$H$5</f>
        <v>21.9466</v>
      </c>
      <c r="M266" s="318">
        <f>(I266+J266+K266+L266)*'2-报价汇总'!$I$5</f>
        <v>0</v>
      </c>
      <c r="N266" s="318">
        <f>(M266+L266+K266+J266+I266)*'2-报价汇总'!$J$5</f>
        <v>0</v>
      </c>
      <c r="O266" s="313">
        <f t="shared" si="14"/>
        <v>1108303.3</v>
      </c>
      <c r="P266" s="318"/>
      <c r="Q266" s="328"/>
      <c r="R266" s="328"/>
      <c r="S266" s="328"/>
      <c r="T266" s="328"/>
    </row>
    <row r="267" ht="25.5" spans="1:20">
      <c r="A267" s="313" t="s">
        <v>790</v>
      </c>
      <c r="B267" s="326" t="s">
        <v>791</v>
      </c>
      <c r="C267" s="326" t="s">
        <v>792</v>
      </c>
      <c r="D267" s="326"/>
      <c r="E267" s="326" t="s">
        <v>166</v>
      </c>
      <c r="F267" s="318" t="s">
        <v>28</v>
      </c>
      <c r="G267" s="318">
        <v>500</v>
      </c>
      <c r="H267" s="316">
        <f t="shared" si="15"/>
        <v>103.2018</v>
      </c>
      <c r="I267" s="318">
        <v>15.56</v>
      </c>
      <c r="J267" s="318">
        <v>66.09</v>
      </c>
      <c r="K267" s="318">
        <v>20.53</v>
      </c>
      <c r="L267" s="318">
        <f>(I267+J267+K267)*'2-报价汇总'!$H$5</f>
        <v>1.0218</v>
      </c>
      <c r="M267" s="318">
        <f>(I267+J267+K267+L267)*'2-报价汇总'!$I$5</f>
        <v>0</v>
      </c>
      <c r="N267" s="318">
        <f>(M267+L267+K267+J267+I267)*'2-报价汇总'!$J$5</f>
        <v>0</v>
      </c>
      <c r="O267" s="313">
        <f t="shared" si="14"/>
        <v>51600.9</v>
      </c>
      <c r="P267" s="318"/>
      <c r="Q267" s="328"/>
      <c r="R267" s="328"/>
      <c r="S267" s="328"/>
      <c r="T267" s="328"/>
    </row>
    <row r="268" ht="38.25" spans="1:20">
      <c r="A268" s="313" t="s">
        <v>793</v>
      </c>
      <c r="B268" s="326" t="s">
        <v>794</v>
      </c>
      <c r="C268" s="326"/>
      <c r="D268" s="326"/>
      <c r="E268" s="326" t="s">
        <v>783</v>
      </c>
      <c r="F268" s="318" t="s">
        <v>78</v>
      </c>
      <c r="G268" s="318">
        <v>180</v>
      </c>
      <c r="H268" s="316">
        <f t="shared" si="15"/>
        <v>429.654</v>
      </c>
      <c r="I268" s="323">
        <v>116</v>
      </c>
      <c r="J268" s="318">
        <v>308</v>
      </c>
      <c r="K268" s="318">
        <v>1.4</v>
      </c>
      <c r="L268" s="318">
        <f>(I268+J268+K268)*'2-报价汇总'!$H$5</f>
        <v>4.254</v>
      </c>
      <c r="M268" s="318">
        <f>(I268+J268+K268+L268)*'2-报价汇总'!$I$5</f>
        <v>0</v>
      </c>
      <c r="N268" s="318">
        <f>(M268+L268+K268+J268+I268)*'2-报价汇总'!$J$5</f>
        <v>0</v>
      </c>
      <c r="O268" s="313">
        <f t="shared" si="14"/>
        <v>77337.72</v>
      </c>
      <c r="P268" s="318"/>
      <c r="Q268" s="328"/>
      <c r="R268" s="328"/>
      <c r="S268" s="328"/>
      <c r="T268" s="328"/>
    </row>
    <row r="269" ht="25.5" spans="1:20">
      <c r="A269" s="313" t="s">
        <v>795</v>
      </c>
      <c r="B269" s="326" t="s">
        <v>796</v>
      </c>
      <c r="C269" s="326"/>
      <c r="D269" s="326"/>
      <c r="E269" s="326" t="s">
        <v>783</v>
      </c>
      <c r="F269" s="318" t="s">
        <v>78</v>
      </c>
      <c r="G269" s="318">
        <v>180</v>
      </c>
      <c r="H269" s="316">
        <f t="shared" si="15"/>
        <v>346.834</v>
      </c>
      <c r="I269" s="323">
        <v>50</v>
      </c>
      <c r="J269" s="318">
        <v>292</v>
      </c>
      <c r="K269" s="318">
        <v>1.4</v>
      </c>
      <c r="L269" s="318">
        <f>(I269+J269+K269)*'2-报价汇总'!$H$5</f>
        <v>3.434</v>
      </c>
      <c r="M269" s="318">
        <f>(I269+J269+K269+L269)*'2-报价汇总'!$I$5</f>
        <v>0</v>
      </c>
      <c r="N269" s="318">
        <f>(M269+L269+K269+J269+I269)*'2-报价汇总'!$J$5</f>
        <v>0</v>
      </c>
      <c r="O269" s="313">
        <f t="shared" si="14"/>
        <v>62430.12</v>
      </c>
      <c r="P269" s="318"/>
      <c r="Q269" s="328"/>
      <c r="R269" s="328"/>
      <c r="S269" s="328"/>
      <c r="T269" s="328"/>
    </row>
    <row r="270" ht="25.5" spans="1:20">
      <c r="A270" s="313" t="s">
        <v>797</v>
      </c>
      <c r="B270" s="326" t="s">
        <v>798</v>
      </c>
      <c r="C270" s="326"/>
      <c r="D270" s="326"/>
      <c r="E270" s="326" t="s">
        <v>783</v>
      </c>
      <c r="F270" s="318" t="s">
        <v>78</v>
      </c>
      <c r="G270" s="318">
        <v>180</v>
      </c>
      <c r="H270" s="316">
        <f t="shared" si="15"/>
        <v>259.974</v>
      </c>
      <c r="I270" s="323">
        <v>50</v>
      </c>
      <c r="J270" s="318">
        <v>206</v>
      </c>
      <c r="K270" s="318">
        <v>1.4</v>
      </c>
      <c r="L270" s="318">
        <f>(I270+J270+K270)*'2-报价汇总'!$H$5</f>
        <v>2.574</v>
      </c>
      <c r="M270" s="318">
        <f>(I270+J270+K270+L270)*'2-报价汇总'!$I$5</f>
        <v>0</v>
      </c>
      <c r="N270" s="318">
        <f>(M270+L270+K270+J270+I270)*'2-报价汇总'!$J$5</f>
        <v>0</v>
      </c>
      <c r="O270" s="313">
        <f t="shared" si="14"/>
        <v>46795.32</v>
      </c>
      <c r="P270" s="318"/>
      <c r="Q270" s="328"/>
      <c r="R270" s="328"/>
      <c r="S270" s="328"/>
      <c r="T270" s="328"/>
    </row>
    <row r="271" ht="25.5" spans="1:20">
      <c r="A271" s="313" t="s">
        <v>799</v>
      </c>
      <c r="B271" s="326" t="s">
        <v>800</v>
      </c>
      <c r="C271" s="326" t="s">
        <v>801</v>
      </c>
      <c r="D271" s="326"/>
      <c r="E271" s="326" t="s">
        <v>783</v>
      </c>
      <c r="F271" s="318" t="s">
        <v>78</v>
      </c>
      <c r="G271" s="318">
        <v>180</v>
      </c>
      <c r="H271" s="316">
        <f t="shared" si="15"/>
        <v>233.853846153846</v>
      </c>
      <c r="I271" s="323">
        <v>3.21987746766507</v>
      </c>
      <c r="J271" s="318">
        <f>258/1.13</f>
        <v>228.318584070796</v>
      </c>
      <c r="K271" s="318">
        <v>0</v>
      </c>
      <c r="L271" s="318">
        <f>(I271+J271+K271)*'2-报价汇总'!$H$5</f>
        <v>2.31538461538461</v>
      </c>
      <c r="M271" s="318">
        <f>(I271+J271+K271+L271)*'2-报价汇总'!$I$5</f>
        <v>0</v>
      </c>
      <c r="N271" s="318">
        <f>(M271+L271+K271+J271+I271)*'2-报价汇总'!$J$5</f>
        <v>0</v>
      </c>
      <c r="O271" s="313">
        <f t="shared" si="14"/>
        <v>42093.6923076922</v>
      </c>
      <c r="P271" s="318"/>
      <c r="Q271" s="328"/>
      <c r="R271" s="328"/>
      <c r="S271" s="328"/>
      <c r="T271" s="328"/>
    </row>
    <row r="272" ht="25.5" spans="1:20">
      <c r="A272" s="313" t="s">
        <v>802</v>
      </c>
      <c r="B272" s="326" t="s">
        <v>803</v>
      </c>
      <c r="C272" s="326" t="s">
        <v>804</v>
      </c>
      <c r="D272" s="326"/>
      <c r="E272" s="326" t="s">
        <v>783</v>
      </c>
      <c r="F272" s="318" t="s">
        <v>78</v>
      </c>
      <c r="G272" s="318">
        <v>180</v>
      </c>
      <c r="H272" s="316">
        <f t="shared" si="15"/>
        <v>35.35</v>
      </c>
      <c r="I272" s="323">
        <v>4.02654867256637</v>
      </c>
      <c r="J272" s="318">
        <f>35/1.13</f>
        <v>30.9734513274336</v>
      </c>
      <c r="K272" s="318">
        <v>0</v>
      </c>
      <c r="L272" s="318">
        <f>(I272+J272+K272)*'2-报价汇总'!$H$5</f>
        <v>0.35</v>
      </c>
      <c r="M272" s="318">
        <f>(I272+J272+K272+L272)*'2-报价汇总'!$I$5</f>
        <v>0</v>
      </c>
      <c r="N272" s="318">
        <f>(M272+L272+K272+J272+I272)*'2-报价汇总'!$J$5</f>
        <v>0</v>
      </c>
      <c r="O272" s="313">
        <f t="shared" si="14"/>
        <v>6363</v>
      </c>
      <c r="P272" s="318"/>
      <c r="Q272" s="328"/>
      <c r="R272" s="328"/>
      <c r="S272" s="328"/>
      <c r="T272" s="328"/>
    </row>
    <row r="273" ht="25.5" spans="1:20">
      <c r="A273" s="313" t="s">
        <v>805</v>
      </c>
      <c r="B273" s="326" t="s">
        <v>806</v>
      </c>
      <c r="C273" s="326" t="s">
        <v>807</v>
      </c>
      <c r="D273" s="326"/>
      <c r="E273" s="326" t="s">
        <v>783</v>
      </c>
      <c r="F273" s="318" t="s">
        <v>78</v>
      </c>
      <c r="G273" s="318">
        <v>180</v>
      </c>
      <c r="H273" s="316">
        <f t="shared" si="15"/>
        <v>225.112943589744</v>
      </c>
      <c r="I273" s="323">
        <v>29.9637485818017</v>
      </c>
      <c r="J273" s="318">
        <f>218/1.13</f>
        <v>192.920353982301</v>
      </c>
      <c r="K273" s="318">
        <v>0</v>
      </c>
      <c r="L273" s="318">
        <f>(I273+J273+K273)*'2-报价汇总'!$H$5</f>
        <v>2.22884102564103</v>
      </c>
      <c r="M273" s="318">
        <f>(I273+J273+K273+L273)*'2-报价汇总'!$I$5</f>
        <v>0</v>
      </c>
      <c r="N273" s="318">
        <f>(M273+L273+K273+J273+I273)*'2-报价汇总'!$J$5</f>
        <v>0</v>
      </c>
      <c r="O273" s="313">
        <f t="shared" si="14"/>
        <v>40520.3298461539</v>
      </c>
      <c r="P273" s="318"/>
      <c r="Q273" s="328"/>
      <c r="R273" s="328"/>
      <c r="S273" s="328"/>
      <c r="T273" s="328"/>
    </row>
    <row r="274" ht="76.5" spans="1:20">
      <c r="A274" s="313" t="s">
        <v>808</v>
      </c>
      <c r="B274" s="326" t="s">
        <v>809</v>
      </c>
      <c r="C274" s="326" t="s">
        <v>810</v>
      </c>
      <c r="D274" s="326"/>
      <c r="E274" s="326" t="s">
        <v>783</v>
      </c>
      <c r="F274" s="318" t="s">
        <v>78</v>
      </c>
      <c r="G274" s="318">
        <v>180</v>
      </c>
      <c r="H274" s="316">
        <f t="shared" si="15"/>
        <v>4672.7246</v>
      </c>
      <c r="I274" s="323">
        <v>471.46</v>
      </c>
      <c r="J274" s="318">
        <f>805+725+720+650+850+370</f>
        <v>4120</v>
      </c>
      <c r="K274" s="318">
        <v>35</v>
      </c>
      <c r="L274" s="318">
        <f>(I274+J274+K274)*'2-报价汇总'!$H$5</f>
        <v>46.2646</v>
      </c>
      <c r="M274" s="318">
        <f>(I274+J274+K274+L274)*'2-报价汇总'!$I$5</f>
        <v>0</v>
      </c>
      <c r="N274" s="318">
        <f>(M274+L274+K274+J274+I274)*'2-报价汇总'!$J$5</f>
        <v>0</v>
      </c>
      <c r="O274" s="313">
        <f t="shared" si="14"/>
        <v>841090.428</v>
      </c>
      <c r="P274" s="318"/>
      <c r="Q274" s="328"/>
      <c r="R274" s="328"/>
      <c r="S274" s="328"/>
      <c r="T274" s="328"/>
    </row>
    <row r="275" ht="63.75" spans="1:20">
      <c r="A275" s="313" t="s">
        <v>811</v>
      </c>
      <c r="B275" s="326" t="s">
        <v>812</v>
      </c>
      <c r="C275" s="326" t="s">
        <v>813</v>
      </c>
      <c r="D275" s="326"/>
      <c r="E275" s="326" t="s">
        <v>814</v>
      </c>
      <c r="F275" s="318" t="s">
        <v>89</v>
      </c>
      <c r="G275" s="318">
        <v>500</v>
      </c>
      <c r="H275" s="316">
        <f t="shared" si="15"/>
        <v>1381.19658119658</v>
      </c>
      <c r="I275" s="318">
        <v>214.916325504561</v>
      </c>
      <c r="J275" s="318">
        <v>1132.60504201681</v>
      </c>
      <c r="K275" s="318">
        <v>20</v>
      </c>
      <c r="L275" s="318">
        <f>(I275+J275+K275)*'2-报价汇总'!$H$5</f>
        <v>13.6752136752137</v>
      </c>
      <c r="M275" s="318">
        <f>(I275+J275+K275+L275)*'2-报价汇总'!$I$5</f>
        <v>0</v>
      </c>
      <c r="N275" s="318">
        <f>(M275+L275+K275+J275+I275)*'2-报价汇总'!$J$5</f>
        <v>0</v>
      </c>
      <c r="O275" s="313">
        <f t="shared" si="14"/>
        <v>690598.290598292</v>
      </c>
      <c r="P275" s="318"/>
      <c r="Q275" s="328"/>
      <c r="R275" s="328"/>
      <c r="S275" s="328"/>
      <c r="T275" s="328"/>
    </row>
    <row r="276" ht="63.75" spans="1:20">
      <c r="A276" s="313" t="s">
        <v>815</v>
      </c>
      <c r="B276" s="326" t="s">
        <v>816</v>
      </c>
      <c r="C276" s="326" t="s">
        <v>817</v>
      </c>
      <c r="D276" s="326"/>
      <c r="E276" s="326" t="s">
        <v>814</v>
      </c>
      <c r="F276" s="318" t="s">
        <v>89</v>
      </c>
      <c r="G276" s="318">
        <v>500</v>
      </c>
      <c r="H276" s="316">
        <f t="shared" si="15"/>
        <v>1035.89743589744</v>
      </c>
      <c r="I276" s="318">
        <v>72.9939668174961</v>
      </c>
      <c r="J276" s="318">
        <v>932.64705882353</v>
      </c>
      <c r="K276" s="318">
        <v>20</v>
      </c>
      <c r="L276" s="318">
        <f>(I276+J276+K276)*'2-报价汇总'!$H$5</f>
        <v>10.2564102564103</v>
      </c>
      <c r="M276" s="318">
        <f>(I276+J276+K276+L276)*'2-报价汇总'!$I$5</f>
        <v>0</v>
      </c>
      <c r="N276" s="318">
        <f>(M276+L276+K276+J276+I276)*'2-报价汇总'!$J$5</f>
        <v>0</v>
      </c>
      <c r="O276" s="313">
        <f t="shared" si="14"/>
        <v>517948.717948718</v>
      </c>
      <c r="P276" s="318"/>
      <c r="Q276" s="328"/>
      <c r="R276" s="328"/>
      <c r="S276" s="328"/>
      <c r="T276" s="328"/>
    </row>
    <row r="277" ht="38.25" spans="1:20">
      <c r="A277" s="313" t="s">
        <v>818</v>
      </c>
      <c r="B277" s="326" t="s">
        <v>819</v>
      </c>
      <c r="C277" s="326" t="s">
        <v>820</v>
      </c>
      <c r="D277" s="326"/>
      <c r="E277" s="326" t="s">
        <v>814</v>
      </c>
      <c r="F277" s="318" t="s">
        <v>89</v>
      </c>
      <c r="G277" s="318">
        <v>500</v>
      </c>
      <c r="H277" s="316">
        <f t="shared" si="15"/>
        <v>906.410256410256</v>
      </c>
      <c r="I277" s="318">
        <v>201.553544494721</v>
      </c>
      <c r="J277" s="318">
        <v>675.882352941176</v>
      </c>
      <c r="K277" s="318">
        <v>20</v>
      </c>
      <c r="L277" s="318">
        <f>(I277+J277+K277)*'2-报价汇总'!$H$5</f>
        <v>8.97435897435897</v>
      </c>
      <c r="M277" s="318">
        <f>(I277+J277+K277+L277)*'2-报价汇总'!$I$5</f>
        <v>0</v>
      </c>
      <c r="N277" s="318">
        <f>(M277+L277+K277+J277+I277)*'2-报价汇总'!$J$5</f>
        <v>0</v>
      </c>
      <c r="O277" s="313">
        <f t="shared" si="14"/>
        <v>453205.128205128</v>
      </c>
      <c r="P277" s="318"/>
      <c r="Q277" s="328"/>
      <c r="R277" s="328"/>
      <c r="S277" s="328"/>
      <c r="T277" s="328"/>
    </row>
    <row r="278" ht="76.5" spans="1:20">
      <c r="A278" s="313" t="s">
        <v>821</v>
      </c>
      <c r="B278" s="326" t="s">
        <v>822</v>
      </c>
      <c r="C278" s="326" t="s">
        <v>823</v>
      </c>
      <c r="D278" s="326"/>
      <c r="E278" s="326" t="s">
        <v>814</v>
      </c>
      <c r="F278" s="318" t="s">
        <v>89</v>
      </c>
      <c r="G278" s="318">
        <v>500</v>
      </c>
      <c r="H278" s="316">
        <f t="shared" si="15"/>
        <v>1122.22222222223</v>
      </c>
      <c r="I278" s="318">
        <v>47.5816993464052</v>
      </c>
      <c r="J278" s="318">
        <v>1043.52941176471</v>
      </c>
      <c r="K278" s="318">
        <v>20</v>
      </c>
      <c r="L278" s="318">
        <f>(I278+J278+K278)*'2-报价汇总'!$H$5</f>
        <v>11.1111111111112</v>
      </c>
      <c r="M278" s="318">
        <f>(I278+J278+K278+L278)*'2-报价汇总'!$I$5</f>
        <v>0</v>
      </c>
      <c r="N278" s="318">
        <f>(M278+L278+K278+J278+I278)*'2-报价汇总'!$J$5</f>
        <v>0</v>
      </c>
      <c r="O278" s="313">
        <f t="shared" si="14"/>
        <v>561111.111111113</v>
      </c>
      <c r="P278" s="318"/>
      <c r="Q278" s="328"/>
      <c r="R278" s="328"/>
      <c r="S278" s="328"/>
      <c r="T278" s="328"/>
    </row>
    <row r="279" ht="76.5" spans="1:20">
      <c r="A279" s="313" t="s">
        <v>824</v>
      </c>
      <c r="B279" s="326" t="s">
        <v>825</v>
      </c>
      <c r="C279" s="326" t="s">
        <v>826</v>
      </c>
      <c r="D279" s="326"/>
      <c r="E279" s="326" t="s">
        <v>814</v>
      </c>
      <c r="F279" s="318" t="s">
        <v>89</v>
      </c>
      <c r="G279" s="318">
        <v>500</v>
      </c>
      <c r="H279" s="316">
        <f t="shared" si="15"/>
        <v>561.111111111111</v>
      </c>
      <c r="I279" s="318">
        <v>29.1655555555556</v>
      </c>
      <c r="J279" s="318">
        <v>526.39</v>
      </c>
      <c r="K279" s="318">
        <v>0</v>
      </c>
      <c r="L279" s="318">
        <f>(I279+J279+K279)*'2-报价汇总'!$H$5</f>
        <v>5.55555555555556</v>
      </c>
      <c r="M279" s="318">
        <f>(I279+J279+K279+L279)*'2-报价汇总'!$I$5</f>
        <v>0</v>
      </c>
      <c r="N279" s="318">
        <f>(M279+L279+K279+J279+I279)*'2-报价汇总'!$J$5</f>
        <v>0</v>
      </c>
      <c r="O279" s="313">
        <f t="shared" si="14"/>
        <v>280555.555555556</v>
      </c>
      <c r="P279" s="318"/>
      <c r="Q279" s="328"/>
      <c r="R279" s="328"/>
      <c r="S279" s="328"/>
      <c r="T279" s="328"/>
    </row>
    <row r="280" ht="63.75" spans="1:20">
      <c r="A280" s="313" t="s">
        <v>827</v>
      </c>
      <c r="B280" s="326" t="s">
        <v>828</v>
      </c>
      <c r="C280" s="326" t="s">
        <v>829</v>
      </c>
      <c r="D280" s="326"/>
      <c r="E280" s="326" t="s">
        <v>830</v>
      </c>
      <c r="F280" s="318" t="s">
        <v>78</v>
      </c>
      <c r="G280" s="318">
        <v>500</v>
      </c>
      <c r="H280" s="316">
        <f t="shared" si="15"/>
        <v>672.76358974359</v>
      </c>
      <c r="I280" s="318">
        <v>161.195001077354</v>
      </c>
      <c r="J280" s="318">
        <v>488.40756302521</v>
      </c>
      <c r="K280" s="318">
        <v>16.5</v>
      </c>
      <c r="L280" s="318">
        <f>(I280+J280+K280)*'2-报价汇总'!$H$5</f>
        <v>6.66102564102564</v>
      </c>
      <c r="M280" s="318">
        <f>(I280+J280+K280+L280)*'2-报价汇总'!$I$5</f>
        <v>0</v>
      </c>
      <c r="N280" s="318">
        <f>(M280+L280+K280+J280+I280)*'2-报价汇总'!$J$5</f>
        <v>0</v>
      </c>
      <c r="O280" s="313">
        <f t="shared" si="14"/>
        <v>336381.794871795</v>
      </c>
      <c r="P280" s="318"/>
      <c r="Q280" s="328"/>
      <c r="R280" s="328"/>
      <c r="S280" s="328"/>
      <c r="T280" s="328"/>
    </row>
    <row r="281" ht="63.75" spans="1:20">
      <c r="A281" s="313" t="s">
        <v>831</v>
      </c>
      <c r="B281" s="326" t="s">
        <v>832</v>
      </c>
      <c r="C281" s="326" t="s">
        <v>833</v>
      </c>
      <c r="D281" s="326"/>
      <c r="E281" s="326" t="s">
        <v>830</v>
      </c>
      <c r="F281" s="318" t="s">
        <v>78</v>
      </c>
      <c r="G281" s="318">
        <v>500</v>
      </c>
      <c r="H281" s="316">
        <f t="shared" si="15"/>
        <v>578.393333333334</v>
      </c>
      <c r="I281" s="318">
        <v>139.624649859944</v>
      </c>
      <c r="J281" s="318">
        <v>416.542016806723</v>
      </c>
      <c r="K281" s="318">
        <v>16.5</v>
      </c>
      <c r="L281" s="318">
        <f>(I281+J281+K281)*'2-报价汇总'!$H$5</f>
        <v>5.72666666666667</v>
      </c>
      <c r="M281" s="318">
        <f>(I281+J281+K281+L281)*'2-报价汇总'!$I$5</f>
        <v>0</v>
      </c>
      <c r="N281" s="318">
        <f>(M281+L281+K281+J281+I281)*'2-报价汇总'!$J$5</f>
        <v>0</v>
      </c>
      <c r="O281" s="313">
        <f t="shared" si="14"/>
        <v>289196.666666667</v>
      </c>
      <c r="P281" s="318"/>
      <c r="Q281" s="328"/>
      <c r="R281" s="328"/>
      <c r="S281" s="328"/>
      <c r="T281" s="328"/>
    </row>
    <row r="282" ht="25.5" spans="1:20">
      <c r="A282" s="313" t="s">
        <v>834</v>
      </c>
      <c r="B282" s="326" t="s">
        <v>835</v>
      </c>
      <c r="C282" s="326" t="s">
        <v>836</v>
      </c>
      <c r="D282" s="326"/>
      <c r="E282" s="326" t="s">
        <v>837</v>
      </c>
      <c r="F282" s="318" t="s">
        <v>28</v>
      </c>
      <c r="G282" s="318">
        <v>500</v>
      </c>
      <c r="H282" s="316">
        <f t="shared" si="15"/>
        <v>1000.14170940171</v>
      </c>
      <c r="I282" s="318">
        <v>276.642677583854</v>
      </c>
      <c r="J282" s="318">
        <v>703.596638655462</v>
      </c>
      <c r="K282" s="318">
        <v>10</v>
      </c>
      <c r="L282" s="318">
        <f>(I282+J282+K282)*'2-报价汇总'!$H$5</f>
        <v>9.90239316239316</v>
      </c>
      <c r="M282" s="318">
        <f>(I282+J282+K282+L282)*'2-报价汇总'!$I$5</f>
        <v>0</v>
      </c>
      <c r="N282" s="318">
        <f>(M282+L282+K282+J282+I282)*'2-报价汇总'!$J$5</f>
        <v>0</v>
      </c>
      <c r="O282" s="313">
        <f t="shared" si="14"/>
        <v>500070.854700855</v>
      </c>
      <c r="P282" s="318"/>
      <c r="Q282" s="328"/>
      <c r="R282" s="328"/>
      <c r="S282" s="328"/>
      <c r="T282" s="328"/>
    </row>
    <row r="283" ht="114.75" spans="1:20">
      <c r="A283" s="313" t="s">
        <v>838</v>
      </c>
      <c r="B283" s="326" t="s">
        <v>839</v>
      </c>
      <c r="C283" s="326" t="s">
        <v>840</v>
      </c>
      <c r="D283" s="326"/>
      <c r="E283" s="326" t="s">
        <v>830</v>
      </c>
      <c r="F283" s="318" t="s">
        <v>78</v>
      </c>
      <c r="G283" s="318">
        <v>200</v>
      </c>
      <c r="H283" s="316">
        <f t="shared" si="15"/>
        <v>1064.53136752137</v>
      </c>
      <c r="I283" s="318">
        <v>227.714142067083</v>
      </c>
      <c r="J283" s="318">
        <v>806.27731092437</v>
      </c>
      <c r="K283" s="318">
        <v>20</v>
      </c>
      <c r="L283" s="318">
        <f>(I283+J283+K283)*'2-报价汇总'!$H$5</f>
        <v>10.5399145299145</v>
      </c>
      <c r="M283" s="318">
        <f>(I283+J283+K283+L283)*'2-报价汇总'!$I$5</f>
        <v>0</v>
      </c>
      <c r="N283" s="318">
        <f>(M283+L283+K283+J283+I283)*'2-报价汇总'!$J$5</f>
        <v>0</v>
      </c>
      <c r="O283" s="313">
        <f t="shared" si="14"/>
        <v>212906.273504274</v>
      </c>
      <c r="P283" s="318"/>
      <c r="Q283" s="328"/>
      <c r="R283" s="328"/>
      <c r="S283" s="328"/>
      <c r="T283" s="328"/>
    </row>
    <row r="284" ht="38.25" spans="1:20">
      <c r="A284" s="313" t="s">
        <v>841</v>
      </c>
      <c r="B284" s="326" t="s">
        <v>842</v>
      </c>
      <c r="C284" s="326"/>
      <c r="D284" s="326"/>
      <c r="E284" s="326" t="s">
        <v>837</v>
      </c>
      <c r="F284" s="318" t="s">
        <v>28</v>
      </c>
      <c r="G284" s="318">
        <v>2000</v>
      </c>
      <c r="H284" s="316">
        <f t="shared" si="15"/>
        <v>51.7948717948718</v>
      </c>
      <c r="I284" s="318">
        <v>45.7920512820513</v>
      </c>
      <c r="J284" s="318">
        <v>4.99</v>
      </c>
      <c r="K284" s="318">
        <v>0.5</v>
      </c>
      <c r="L284" s="318">
        <f>(I284+J284+K284)*'2-报价汇总'!$H$5</f>
        <v>0.512820512820513</v>
      </c>
      <c r="M284" s="318">
        <f>(I284+J284+K284+L284)*'2-报价汇总'!$I$5</f>
        <v>0</v>
      </c>
      <c r="N284" s="318">
        <f>(M284+L284+K284+J284+I284)*'2-报价汇总'!$J$5</f>
        <v>0</v>
      </c>
      <c r="O284" s="313">
        <f t="shared" si="14"/>
        <v>103589.743589744</v>
      </c>
      <c r="P284" s="318"/>
      <c r="Q284" s="328"/>
      <c r="R284" s="328"/>
      <c r="S284" s="328"/>
      <c r="T284" s="328"/>
    </row>
    <row r="285" s="309" customFormat="1" ht="25.5" spans="1:20">
      <c r="A285" s="340" t="s">
        <v>843</v>
      </c>
      <c r="B285" s="341" t="s">
        <v>844</v>
      </c>
      <c r="C285" s="341" t="s">
        <v>845</v>
      </c>
      <c r="D285" s="341"/>
      <c r="E285" s="341" t="s">
        <v>495</v>
      </c>
      <c r="F285" s="340" t="s">
        <v>89</v>
      </c>
      <c r="G285" s="340">
        <v>500</v>
      </c>
      <c r="H285" s="342">
        <f t="shared" si="15"/>
        <v>1385.73024647158</v>
      </c>
      <c r="I285" s="340">
        <v>161.060145021368</v>
      </c>
      <c r="J285" s="340">
        <v>1200</v>
      </c>
      <c r="K285" s="340">
        <v>10.95</v>
      </c>
      <c r="L285" s="340">
        <f>(I285+J285+K285)*'2-报价汇总'!$H$5</f>
        <v>13.7201014502137</v>
      </c>
      <c r="M285" s="340">
        <f>(I285+J285+K285+L285)*'2-报价汇总'!$I$5</f>
        <v>0</v>
      </c>
      <c r="N285" s="340">
        <f>(M285+L285+K285+J285+I285)*'2-报价汇总'!$J$5</f>
        <v>0</v>
      </c>
      <c r="O285" s="340">
        <f t="shared" si="14"/>
        <v>692865.123235791</v>
      </c>
      <c r="P285" s="340"/>
      <c r="Q285" s="343"/>
      <c r="R285" s="343"/>
      <c r="S285" s="343"/>
      <c r="T285" s="343"/>
    </row>
    <row r="286" s="309" customFormat="1" ht="25.5" spans="1:20">
      <c r="A286" s="340" t="s">
        <v>846</v>
      </c>
      <c r="B286" s="344" t="s">
        <v>847</v>
      </c>
      <c r="C286" s="341" t="s">
        <v>848</v>
      </c>
      <c r="D286" s="345"/>
      <c r="E286" s="345" t="s">
        <v>830</v>
      </c>
      <c r="F286" s="346" t="s">
        <v>849</v>
      </c>
      <c r="G286" s="340">
        <v>50</v>
      </c>
      <c r="H286" s="342">
        <f t="shared" si="15"/>
        <v>372.706258143151</v>
      </c>
      <c r="I286" s="315">
        <v>20</v>
      </c>
      <c r="J286" s="315">
        <v>349.016097171437</v>
      </c>
      <c r="K286" s="315">
        <v>0</v>
      </c>
      <c r="L286" s="340">
        <f>(I286+J286+K286)*'2-报价汇总'!$H$5</f>
        <v>3.69016097171437</v>
      </c>
      <c r="M286" s="340">
        <f>(I286+J286+K286+L286)*'2-报价汇总'!$I$5</f>
        <v>0</v>
      </c>
      <c r="N286" s="340">
        <f>(M286+L286+K286+J286+I286)*'2-报价汇总'!$J$5</f>
        <v>0</v>
      </c>
      <c r="O286" s="340">
        <f t="shared" si="14"/>
        <v>18635.3129071576</v>
      </c>
      <c r="P286" s="340"/>
      <c r="Q286" s="343"/>
      <c r="R286" s="343"/>
      <c r="S286" s="343"/>
      <c r="T286" s="343"/>
    </row>
    <row r="287" s="309" customFormat="1" ht="25.5" spans="1:20">
      <c r="A287" s="340" t="s">
        <v>850</v>
      </c>
      <c r="B287" s="344" t="s">
        <v>847</v>
      </c>
      <c r="C287" s="341" t="s">
        <v>851</v>
      </c>
      <c r="D287" s="341"/>
      <c r="E287" s="345" t="s">
        <v>830</v>
      </c>
      <c r="F287" s="346" t="s">
        <v>849</v>
      </c>
      <c r="G287" s="340">
        <v>50</v>
      </c>
      <c r="H287" s="342">
        <f t="shared" si="15"/>
        <v>389.686042113226</v>
      </c>
      <c r="I287" s="315">
        <v>20</v>
      </c>
      <c r="J287" s="315">
        <v>365.827764468541</v>
      </c>
      <c r="K287" s="315">
        <v>0</v>
      </c>
      <c r="L287" s="340">
        <f>(I287+J287+K287)*'2-报价汇总'!$H$5</f>
        <v>3.85827764468541</v>
      </c>
      <c r="M287" s="340">
        <f>(I287+J287+K287+L287)*'2-报价汇总'!$I$5</f>
        <v>0</v>
      </c>
      <c r="N287" s="340">
        <f>(M287+L287+K287+J287+I287)*'2-报价汇总'!$J$5</f>
        <v>0</v>
      </c>
      <c r="O287" s="340">
        <f t="shared" si="14"/>
        <v>19484.3021056613</v>
      </c>
      <c r="P287" s="340"/>
      <c r="Q287" s="343"/>
      <c r="R287" s="343"/>
      <c r="S287" s="343"/>
      <c r="T287" s="343"/>
    </row>
    <row r="288" s="309" customFormat="1" ht="25.5" spans="1:20">
      <c r="A288" s="340" t="s">
        <v>852</v>
      </c>
      <c r="B288" s="344" t="s">
        <v>853</v>
      </c>
      <c r="C288" s="341" t="s">
        <v>854</v>
      </c>
      <c r="D288" s="341"/>
      <c r="E288" s="345" t="s">
        <v>830</v>
      </c>
      <c r="F288" s="346" t="s">
        <v>849</v>
      </c>
      <c r="G288" s="340">
        <v>50</v>
      </c>
      <c r="H288" s="342">
        <f t="shared" si="15"/>
        <v>573.067708990039</v>
      </c>
      <c r="I288" s="315">
        <v>20</v>
      </c>
      <c r="J288" s="315">
        <v>547.393771277266</v>
      </c>
      <c r="K288" s="315">
        <v>0</v>
      </c>
      <c r="L288" s="340">
        <f>(I288+J288+K288)*'2-报价汇总'!$H$5</f>
        <v>5.67393771277266</v>
      </c>
      <c r="M288" s="340">
        <f>(I288+J288+K288+L288)*'2-报价汇总'!$I$5</f>
        <v>0</v>
      </c>
      <c r="N288" s="340">
        <f>(M288+L288+K288+J288+I288)*'2-报价汇总'!$J$5</f>
        <v>0</v>
      </c>
      <c r="O288" s="340">
        <f t="shared" si="14"/>
        <v>28653.3854495019</v>
      </c>
      <c r="P288" s="340"/>
      <c r="Q288" s="343"/>
      <c r="R288" s="343"/>
      <c r="S288" s="343"/>
      <c r="T288" s="343"/>
    </row>
    <row r="289" s="309" customFormat="1" ht="25.5" spans="1:20">
      <c r="A289" s="340" t="s">
        <v>855</v>
      </c>
      <c r="B289" s="344" t="s">
        <v>853</v>
      </c>
      <c r="C289" s="341" t="s">
        <v>856</v>
      </c>
      <c r="D289" s="341"/>
      <c r="E289" s="345" t="s">
        <v>830</v>
      </c>
      <c r="F289" s="346" t="s">
        <v>849</v>
      </c>
      <c r="G289" s="340">
        <v>50</v>
      </c>
      <c r="H289" s="342">
        <f t="shared" si="15"/>
        <v>309.881057453872</v>
      </c>
      <c r="I289" s="315">
        <v>20</v>
      </c>
      <c r="J289" s="315">
        <v>286.812928172151</v>
      </c>
      <c r="K289" s="315">
        <v>0</v>
      </c>
      <c r="L289" s="340">
        <f>(I289+J289+K289)*'2-报价汇总'!$H$5</f>
        <v>3.06812928172151</v>
      </c>
      <c r="M289" s="340">
        <f>(I289+J289+K289+L289)*'2-报价汇总'!$I$5</f>
        <v>0</v>
      </c>
      <c r="N289" s="340">
        <f>(M289+L289+K289+J289+I289)*'2-报价汇总'!$J$5</f>
        <v>0</v>
      </c>
      <c r="O289" s="340">
        <f t="shared" si="14"/>
        <v>15494.0528726936</v>
      </c>
      <c r="P289" s="340"/>
      <c r="Q289" s="343"/>
      <c r="R289" s="343"/>
      <c r="S289" s="343"/>
      <c r="T289" s="343"/>
    </row>
    <row r="290" s="309" customFormat="1" ht="25.5" spans="1:20">
      <c r="A290" s="340" t="s">
        <v>857</v>
      </c>
      <c r="B290" s="344" t="s">
        <v>858</v>
      </c>
      <c r="C290" s="341" t="s">
        <v>859</v>
      </c>
      <c r="D290" s="341"/>
      <c r="E290" s="345" t="s">
        <v>830</v>
      </c>
      <c r="F290" s="346" t="s">
        <v>849</v>
      </c>
      <c r="G290" s="340">
        <v>50</v>
      </c>
      <c r="H290" s="342">
        <f t="shared" si="15"/>
        <v>84.8989198503761</v>
      </c>
      <c r="I290" s="315">
        <v>20</v>
      </c>
      <c r="J290" s="315">
        <v>64.0583364855209</v>
      </c>
      <c r="K290" s="315">
        <v>0</v>
      </c>
      <c r="L290" s="340">
        <f>(I290+J290+K290)*'2-报价汇总'!$H$5</f>
        <v>0.840583364855209</v>
      </c>
      <c r="M290" s="340">
        <f>(I290+J290+K290+L290)*'2-报价汇总'!$I$5</f>
        <v>0</v>
      </c>
      <c r="N290" s="340">
        <f>(M290+L290+K290+J290+I290)*'2-报价汇总'!$J$5</f>
        <v>0</v>
      </c>
      <c r="O290" s="340">
        <f t="shared" si="14"/>
        <v>4244.9459925188</v>
      </c>
      <c r="P290" s="340"/>
      <c r="Q290" s="343"/>
      <c r="R290" s="343"/>
      <c r="S290" s="343"/>
      <c r="T290" s="343"/>
    </row>
    <row r="291" s="309" customFormat="1" ht="25.5" spans="1:20">
      <c r="A291" s="340" t="s">
        <v>860</v>
      </c>
      <c r="B291" s="344" t="s">
        <v>858</v>
      </c>
      <c r="C291" s="341" t="s">
        <v>861</v>
      </c>
      <c r="D291" s="341"/>
      <c r="E291" s="345" t="s">
        <v>830</v>
      </c>
      <c r="F291" s="346" t="s">
        <v>849</v>
      </c>
      <c r="G291" s="340">
        <v>50</v>
      </c>
      <c r="H291" s="342">
        <f t="shared" si="15"/>
        <v>101.878703820451</v>
      </c>
      <c r="I291" s="315">
        <v>20</v>
      </c>
      <c r="J291" s="315">
        <v>80.8700037826251</v>
      </c>
      <c r="K291" s="315">
        <v>0</v>
      </c>
      <c r="L291" s="340">
        <f>(I291+J291+K291)*'2-报价汇总'!$H$5</f>
        <v>1.00870003782625</v>
      </c>
      <c r="M291" s="340">
        <f>(I291+J291+K291+L291)*'2-报价汇总'!$I$5</f>
        <v>0</v>
      </c>
      <c r="N291" s="340">
        <f>(M291+L291+K291+J291+I291)*'2-报价汇总'!$J$5</f>
        <v>0</v>
      </c>
      <c r="O291" s="340">
        <f t="shared" si="14"/>
        <v>5093.93519102257</v>
      </c>
      <c r="P291" s="340"/>
      <c r="Q291" s="343"/>
      <c r="R291" s="343"/>
      <c r="S291" s="343"/>
      <c r="T291" s="343"/>
    </row>
    <row r="292" s="309" customFormat="1" ht="25.5" spans="1:20">
      <c r="A292" s="340" t="s">
        <v>862</v>
      </c>
      <c r="B292" s="344" t="s">
        <v>863</v>
      </c>
      <c r="C292" s="341" t="s">
        <v>864</v>
      </c>
      <c r="D292" s="341"/>
      <c r="E292" s="345" t="s">
        <v>830</v>
      </c>
      <c r="F292" s="346" t="s">
        <v>849</v>
      </c>
      <c r="G292" s="340">
        <v>50</v>
      </c>
      <c r="H292" s="342">
        <f t="shared" si="15"/>
        <v>42.4494599251881</v>
      </c>
      <c r="I292" s="315">
        <v>20</v>
      </c>
      <c r="J292" s="315">
        <v>22.0291682427605</v>
      </c>
      <c r="K292" s="315">
        <v>0</v>
      </c>
      <c r="L292" s="340">
        <f>(I292+J292+K292)*'2-报价汇总'!$H$5</f>
        <v>0.420291682427605</v>
      </c>
      <c r="M292" s="340">
        <f>(I292+J292+K292+L292)*'2-报价汇总'!$I$5</f>
        <v>0</v>
      </c>
      <c r="N292" s="340">
        <f>(M292+L292+K292+J292+I292)*'2-报价汇总'!$J$5</f>
        <v>0</v>
      </c>
      <c r="O292" s="340">
        <f t="shared" si="14"/>
        <v>2122.47299625941</v>
      </c>
      <c r="P292" s="340"/>
      <c r="Q292" s="343"/>
      <c r="R292" s="343"/>
      <c r="S292" s="343"/>
      <c r="T292" s="343"/>
    </row>
    <row r="293" s="309" customFormat="1" ht="25.5" spans="1:20">
      <c r="A293" s="340" t="s">
        <v>865</v>
      </c>
      <c r="B293" s="344" t="s">
        <v>866</v>
      </c>
      <c r="C293" s="341" t="s">
        <v>859</v>
      </c>
      <c r="D293" s="341"/>
      <c r="E293" s="345" t="s">
        <v>830</v>
      </c>
      <c r="F293" s="346" t="s">
        <v>849</v>
      </c>
      <c r="G293" s="340">
        <v>50</v>
      </c>
      <c r="H293" s="342">
        <f t="shared" si="15"/>
        <v>50.9393519102257</v>
      </c>
      <c r="I293" s="315">
        <v>20</v>
      </c>
      <c r="J293" s="315">
        <v>30.4350018913126</v>
      </c>
      <c r="K293" s="315">
        <v>0</v>
      </c>
      <c r="L293" s="340">
        <f>(I293+J293+K293)*'2-报价汇总'!$H$5</f>
        <v>0.504350018913126</v>
      </c>
      <c r="M293" s="340">
        <f>(I293+J293+K293+L293)*'2-报价汇总'!$I$5</f>
        <v>0</v>
      </c>
      <c r="N293" s="340">
        <f>(M293+L293+K293+J293+I293)*'2-报价汇总'!$J$5</f>
        <v>0</v>
      </c>
      <c r="O293" s="340">
        <f t="shared" si="14"/>
        <v>2546.96759551129</v>
      </c>
      <c r="P293" s="340"/>
      <c r="Q293" s="343"/>
      <c r="R293" s="343"/>
      <c r="S293" s="343"/>
      <c r="T293" s="343"/>
    </row>
    <row r="294" s="309" customFormat="1" ht="25.5" spans="1:20">
      <c r="A294" s="340" t="s">
        <v>867</v>
      </c>
      <c r="B294" s="344" t="s">
        <v>868</v>
      </c>
      <c r="C294" s="341" t="s">
        <v>864</v>
      </c>
      <c r="D294" s="341"/>
      <c r="E294" s="345" t="s">
        <v>830</v>
      </c>
      <c r="F294" s="346" t="s">
        <v>849</v>
      </c>
      <c r="G294" s="340">
        <v>50</v>
      </c>
      <c r="H294" s="342">
        <f t="shared" si="15"/>
        <v>93.3888118354137</v>
      </c>
      <c r="I294" s="315">
        <v>20</v>
      </c>
      <c r="J294" s="315">
        <v>72.464170134073</v>
      </c>
      <c r="K294" s="315">
        <v>0</v>
      </c>
      <c r="L294" s="340">
        <f>(I294+J294+K294)*'2-报价汇总'!$H$5</f>
        <v>0.92464170134073</v>
      </c>
      <c r="M294" s="340">
        <f>(I294+J294+K294+L294)*'2-报价汇总'!$I$5</f>
        <v>0</v>
      </c>
      <c r="N294" s="340">
        <f>(M294+L294+K294+J294+I294)*'2-报价汇总'!$J$5</f>
        <v>0</v>
      </c>
      <c r="O294" s="340">
        <f t="shared" si="14"/>
        <v>4669.44059177069</v>
      </c>
      <c r="P294" s="340"/>
      <c r="Q294" s="343"/>
      <c r="R294" s="343"/>
      <c r="S294" s="343"/>
      <c r="T294" s="343"/>
    </row>
    <row r="295" s="309" customFormat="1" ht="25.5" spans="1:20">
      <c r="A295" s="340" t="s">
        <v>869</v>
      </c>
      <c r="B295" s="344" t="s">
        <v>870</v>
      </c>
      <c r="C295" s="341" t="s">
        <v>871</v>
      </c>
      <c r="D295" s="341"/>
      <c r="E295" s="345" t="s">
        <v>830</v>
      </c>
      <c r="F295" s="346" t="s">
        <v>849</v>
      </c>
      <c r="G295" s="340">
        <v>50</v>
      </c>
      <c r="H295" s="342">
        <f t="shared" si="15"/>
        <v>466.944059177069</v>
      </c>
      <c r="I295" s="315">
        <v>20</v>
      </c>
      <c r="J295" s="315">
        <v>442.320850670365</v>
      </c>
      <c r="K295" s="315">
        <v>0</v>
      </c>
      <c r="L295" s="340">
        <f>(I295+J295+K295)*'2-报价汇总'!$H$5</f>
        <v>4.62320850670365</v>
      </c>
      <c r="M295" s="340">
        <f>(I295+J295+K295+L295)*'2-报价汇总'!$I$5</f>
        <v>0</v>
      </c>
      <c r="N295" s="340">
        <f>(M295+L295+K295+J295+I295)*'2-报价汇总'!$J$5</f>
        <v>0</v>
      </c>
      <c r="O295" s="340">
        <f t="shared" si="14"/>
        <v>23347.2029588534</v>
      </c>
      <c r="P295" s="340"/>
      <c r="Q295" s="343"/>
      <c r="R295" s="343"/>
      <c r="S295" s="343"/>
      <c r="T295" s="343"/>
    </row>
    <row r="296" s="309" customFormat="1" ht="25.5" spans="1:20">
      <c r="A296" s="340" t="s">
        <v>872</v>
      </c>
      <c r="B296" s="344" t="s">
        <v>873</v>
      </c>
      <c r="C296" s="341" t="s">
        <v>861</v>
      </c>
      <c r="D296" s="341"/>
      <c r="E296" s="345" t="s">
        <v>830</v>
      </c>
      <c r="F296" s="346" t="s">
        <v>849</v>
      </c>
      <c r="G296" s="340">
        <v>50</v>
      </c>
      <c r="H296" s="342">
        <f t="shared" si="15"/>
        <v>135.838271760601</v>
      </c>
      <c r="I296" s="315">
        <v>20</v>
      </c>
      <c r="J296" s="315">
        <v>114.493338376833</v>
      </c>
      <c r="K296" s="315">
        <v>0</v>
      </c>
      <c r="L296" s="340">
        <f>(I296+J296+K296)*'2-报价汇总'!$H$5</f>
        <v>1.34493338376833</v>
      </c>
      <c r="M296" s="340">
        <f>(I296+J296+K296+L296)*'2-报价汇总'!$I$5</f>
        <v>0</v>
      </c>
      <c r="N296" s="340">
        <f>(M296+L296+K296+J296+I296)*'2-报价汇总'!$J$5</f>
        <v>0</v>
      </c>
      <c r="O296" s="340">
        <f t="shared" si="14"/>
        <v>6791.91358803007</v>
      </c>
      <c r="P296" s="340"/>
      <c r="Q296" s="343"/>
      <c r="R296" s="343"/>
      <c r="S296" s="343"/>
      <c r="T296" s="343"/>
    </row>
    <row r="297" s="309" customFormat="1" ht="25.5" spans="1:20">
      <c r="A297" s="340" t="s">
        <v>874</v>
      </c>
      <c r="B297" s="344" t="s">
        <v>875</v>
      </c>
      <c r="C297" s="341" t="s">
        <v>876</v>
      </c>
      <c r="D297" s="341"/>
      <c r="E297" s="345" t="s">
        <v>830</v>
      </c>
      <c r="F297" s="346" t="s">
        <v>849</v>
      </c>
      <c r="G297" s="340">
        <v>50</v>
      </c>
      <c r="H297" s="342">
        <f t="shared" si="15"/>
        <v>211.398310427436</v>
      </c>
      <c r="I297" s="315">
        <v>20</v>
      </c>
      <c r="J297" s="315">
        <v>189.305257848947</v>
      </c>
      <c r="K297" s="315">
        <v>0</v>
      </c>
      <c r="L297" s="340">
        <f>(I297+J297+K297)*'2-报价汇总'!$H$5</f>
        <v>2.09305257848947</v>
      </c>
      <c r="M297" s="340">
        <f>(I297+J297+K297+L297)*'2-报价汇总'!$I$5</f>
        <v>0</v>
      </c>
      <c r="N297" s="340">
        <f>(M297+L297+K297+J297+I297)*'2-报价汇总'!$J$5</f>
        <v>0</v>
      </c>
      <c r="O297" s="340">
        <f t="shared" si="14"/>
        <v>10569.9155213718</v>
      </c>
      <c r="P297" s="340"/>
      <c r="Q297" s="343"/>
      <c r="R297" s="343"/>
      <c r="S297" s="343"/>
      <c r="T297" s="343"/>
    </row>
    <row r="298" s="309" customFormat="1" ht="25.5" spans="1:20">
      <c r="A298" s="340" t="s">
        <v>877</v>
      </c>
      <c r="B298" s="344" t="s">
        <v>878</v>
      </c>
      <c r="C298" s="341" t="s">
        <v>871</v>
      </c>
      <c r="D298" s="341"/>
      <c r="E298" s="345" t="s">
        <v>830</v>
      </c>
      <c r="F298" s="346" t="s">
        <v>849</v>
      </c>
      <c r="G298" s="340">
        <v>50</v>
      </c>
      <c r="H298" s="342">
        <f t="shared" si="15"/>
        <v>492.413735132181</v>
      </c>
      <c r="I298" s="315">
        <v>20</v>
      </c>
      <c r="J298" s="315">
        <v>467.538351616021</v>
      </c>
      <c r="K298" s="315">
        <v>0</v>
      </c>
      <c r="L298" s="340">
        <f>(I298+J298+K298)*'2-报价汇总'!$H$5</f>
        <v>4.87538351616021</v>
      </c>
      <c r="M298" s="340">
        <f>(I298+J298+K298+L298)*'2-报价汇总'!$I$5</f>
        <v>0</v>
      </c>
      <c r="N298" s="340">
        <f>(M298+L298+K298+J298+I298)*'2-报价汇总'!$J$5</f>
        <v>0</v>
      </c>
      <c r="O298" s="340">
        <f t="shared" si="14"/>
        <v>24620.6867566091</v>
      </c>
      <c r="P298" s="340"/>
      <c r="Q298" s="343"/>
      <c r="R298" s="343"/>
      <c r="S298" s="343"/>
      <c r="T298" s="343"/>
    </row>
    <row r="299" s="309" customFormat="1" ht="25.5" spans="1:20">
      <c r="A299" s="340" t="s">
        <v>879</v>
      </c>
      <c r="B299" s="344" t="s">
        <v>880</v>
      </c>
      <c r="C299" s="341" t="s">
        <v>881</v>
      </c>
      <c r="D299" s="341"/>
      <c r="E299" s="345" t="s">
        <v>830</v>
      </c>
      <c r="F299" s="346" t="s">
        <v>849</v>
      </c>
      <c r="G299" s="340">
        <v>50</v>
      </c>
      <c r="H299" s="342">
        <f t="shared" si="15"/>
        <v>193.569537258858</v>
      </c>
      <c r="I299" s="315">
        <v>20</v>
      </c>
      <c r="J299" s="315">
        <v>171.653007186988</v>
      </c>
      <c r="K299" s="315">
        <v>0</v>
      </c>
      <c r="L299" s="340">
        <f>(I299+J299+K299)*'2-报价汇总'!$H$5</f>
        <v>1.91653007186988</v>
      </c>
      <c r="M299" s="340">
        <f>(I299+J299+K299+L299)*'2-报价汇总'!$I$5</f>
        <v>0</v>
      </c>
      <c r="N299" s="340">
        <f>(M299+L299+K299+J299+I299)*'2-报价汇总'!$J$5</f>
        <v>0</v>
      </c>
      <c r="O299" s="340">
        <f t="shared" si="14"/>
        <v>9678.47686294289</v>
      </c>
      <c r="P299" s="340"/>
      <c r="Q299" s="343"/>
      <c r="R299" s="343"/>
      <c r="S299" s="343"/>
      <c r="T299" s="343"/>
    </row>
    <row r="300" s="309" customFormat="1" ht="25.5" spans="1:20">
      <c r="A300" s="340" t="s">
        <v>882</v>
      </c>
      <c r="B300" s="344" t="s">
        <v>883</v>
      </c>
      <c r="C300" s="341" t="s">
        <v>884</v>
      </c>
      <c r="D300" s="341"/>
      <c r="E300" s="345" t="s">
        <v>830</v>
      </c>
      <c r="F300" s="346" t="s">
        <v>849</v>
      </c>
      <c r="G300" s="340">
        <v>50</v>
      </c>
      <c r="H300" s="342">
        <f t="shared" si="15"/>
        <v>42.4494599251881</v>
      </c>
      <c r="I300" s="315">
        <v>20</v>
      </c>
      <c r="J300" s="315">
        <v>22.0291682427605</v>
      </c>
      <c r="K300" s="315">
        <v>0</v>
      </c>
      <c r="L300" s="340">
        <f>(I300+J300+K300)*'2-报价汇总'!$H$5</f>
        <v>0.420291682427605</v>
      </c>
      <c r="M300" s="340">
        <f>(I300+J300+K300+L300)*'2-报价汇总'!$I$5</f>
        <v>0</v>
      </c>
      <c r="N300" s="340">
        <f>(M300+L300+K300+J300+I300)*'2-报价汇总'!$J$5</f>
        <v>0</v>
      </c>
      <c r="O300" s="340">
        <f t="shared" si="14"/>
        <v>2122.47299625941</v>
      </c>
      <c r="P300" s="340"/>
      <c r="Q300" s="343"/>
      <c r="R300" s="343"/>
      <c r="S300" s="343"/>
      <c r="T300" s="343"/>
    </row>
    <row r="301" s="309" customFormat="1" ht="25.5" spans="1:20">
      <c r="A301" s="340" t="s">
        <v>885</v>
      </c>
      <c r="B301" s="344" t="s">
        <v>886</v>
      </c>
      <c r="C301" s="341" t="s">
        <v>887</v>
      </c>
      <c r="D301" s="341"/>
      <c r="E301" s="345" t="s">
        <v>830</v>
      </c>
      <c r="F301" s="346" t="s">
        <v>849</v>
      </c>
      <c r="G301" s="340">
        <v>50</v>
      </c>
      <c r="H301" s="342">
        <f t="shared" si="15"/>
        <v>16.9797839700752</v>
      </c>
      <c r="I301" s="315">
        <v>20</v>
      </c>
      <c r="J301" s="315">
        <v>-3.18833270289581</v>
      </c>
      <c r="K301" s="315">
        <v>0</v>
      </c>
      <c r="L301" s="340">
        <f>(I301+J301+K301)*'2-报价汇总'!$H$5</f>
        <v>0.168116672971042</v>
      </c>
      <c r="M301" s="340">
        <f>(I301+J301+K301+L301)*'2-报价汇总'!$I$5</f>
        <v>0</v>
      </c>
      <c r="N301" s="340">
        <f>(M301+L301+K301+J301+I301)*'2-报价汇总'!$J$5</f>
        <v>0</v>
      </c>
      <c r="O301" s="340">
        <f t="shared" si="14"/>
        <v>848.989198503762</v>
      </c>
      <c r="P301" s="340"/>
      <c r="Q301" s="343"/>
      <c r="R301" s="343"/>
      <c r="S301" s="343"/>
      <c r="T301" s="343"/>
    </row>
    <row r="302" s="309" customFormat="1" ht="25.5" spans="1:20">
      <c r="A302" s="340" t="s">
        <v>888</v>
      </c>
      <c r="B302" s="344" t="s">
        <v>889</v>
      </c>
      <c r="C302" s="341" t="s">
        <v>851</v>
      </c>
      <c r="D302" s="341"/>
      <c r="E302" s="345" t="s">
        <v>830</v>
      </c>
      <c r="F302" s="346" t="s">
        <v>849</v>
      </c>
      <c r="G302" s="340">
        <v>50</v>
      </c>
      <c r="H302" s="342">
        <f t="shared" si="15"/>
        <v>270.8275543227</v>
      </c>
      <c r="I302" s="315">
        <v>20</v>
      </c>
      <c r="J302" s="315">
        <v>248.146093388812</v>
      </c>
      <c r="K302" s="315">
        <v>0</v>
      </c>
      <c r="L302" s="340">
        <f>(I302+J302+K302)*'2-报价汇总'!$H$5</f>
        <v>2.68146093388812</v>
      </c>
      <c r="M302" s="340">
        <f>(I302+J302+K302+L302)*'2-报价汇总'!$I$5</f>
        <v>0</v>
      </c>
      <c r="N302" s="340">
        <f>(M302+L302+K302+J302+I302)*'2-报价汇总'!$J$5</f>
        <v>0</v>
      </c>
      <c r="O302" s="340">
        <f>G302*H302</f>
        <v>13541.377716135</v>
      </c>
      <c r="P302" s="340"/>
      <c r="Q302" s="343"/>
      <c r="R302" s="343"/>
      <c r="S302" s="343"/>
      <c r="T302" s="343"/>
    </row>
    <row r="303" s="309" customFormat="1" ht="25.5" spans="1:20">
      <c r="A303" s="340" t="s">
        <v>890</v>
      </c>
      <c r="B303" s="344" t="s">
        <v>891</v>
      </c>
      <c r="C303" s="341" t="s">
        <v>892</v>
      </c>
      <c r="D303" s="341"/>
      <c r="E303" s="345" t="s">
        <v>830</v>
      </c>
      <c r="F303" s="346" t="s">
        <v>849</v>
      </c>
      <c r="G303" s="340">
        <v>50</v>
      </c>
      <c r="H303" s="342">
        <f t="shared" si="15"/>
        <v>67.9191358803009</v>
      </c>
      <c r="I303" s="315">
        <v>20</v>
      </c>
      <c r="J303" s="315">
        <v>47.2466691884167</v>
      </c>
      <c r="K303" s="315">
        <v>0</v>
      </c>
      <c r="L303" s="340">
        <f>(I303+J303+K303)*'2-报价汇总'!$H$5</f>
        <v>0.672466691884167</v>
      </c>
      <c r="M303" s="340">
        <f>(I303+J303+K303+L303)*'2-报价汇总'!$I$5</f>
        <v>0</v>
      </c>
      <c r="N303" s="340">
        <f>(M303+L303+K303+J303+I303)*'2-报价汇总'!$J$5</f>
        <v>0</v>
      </c>
      <c r="O303" s="340">
        <f>G303*H303</f>
        <v>3395.95679401504</v>
      </c>
      <c r="P303" s="340"/>
      <c r="Q303" s="343"/>
      <c r="R303" s="343"/>
      <c r="S303" s="343"/>
      <c r="T303" s="343"/>
    </row>
    <row r="304" spans="1:20">
      <c r="A304" s="330"/>
      <c r="B304" s="324" t="s">
        <v>158</v>
      </c>
      <c r="C304" s="330"/>
      <c r="D304" s="330"/>
      <c r="E304" s="330"/>
      <c r="F304" s="331"/>
      <c r="G304" s="331"/>
      <c r="H304" s="331"/>
      <c r="I304" s="331"/>
      <c r="J304" s="331"/>
      <c r="K304" s="331"/>
      <c r="L304" s="331"/>
      <c r="M304" s="331"/>
      <c r="N304" s="331"/>
      <c r="O304" s="331"/>
      <c r="P304" s="331"/>
      <c r="Q304" s="311"/>
      <c r="R304" s="311"/>
      <c r="S304" s="311"/>
      <c r="T304" s="311"/>
    </row>
    <row r="305" spans="1:20">
      <c r="A305" s="313"/>
      <c r="B305" s="319" t="s">
        <v>159</v>
      </c>
      <c r="C305" s="320"/>
      <c r="D305" s="320"/>
      <c r="E305" s="320"/>
      <c r="F305" s="313"/>
      <c r="G305" s="313"/>
      <c r="H305" s="313"/>
      <c r="I305" s="313"/>
      <c r="J305" s="313"/>
      <c r="K305" s="313"/>
      <c r="L305" s="313"/>
      <c r="M305" s="313"/>
      <c r="N305" s="313"/>
      <c r="O305" s="313"/>
      <c r="P305" s="321"/>
      <c r="Q305" s="311"/>
      <c r="R305" s="311"/>
      <c r="S305" s="311"/>
      <c r="T305" s="311"/>
    </row>
    <row r="306" spans="1:20">
      <c r="A306" s="313"/>
      <c r="B306" s="319" t="s">
        <v>893</v>
      </c>
      <c r="C306" s="320"/>
      <c r="D306" s="320"/>
      <c r="E306" s="320"/>
      <c r="F306" s="313"/>
      <c r="G306" s="313"/>
      <c r="H306" s="313"/>
      <c r="I306" s="313"/>
      <c r="J306" s="313"/>
      <c r="K306" s="313"/>
      <c r="L306" s="313"/>
      <c r="M306" s="313"/>
      <c r="N306" s="313"/>
      <c r="O306" s="313">
        <f>SUM(O6:O305)</f>
        <v>3340281919.01402</v>
      </c>
      <c r="P306" s="321"/>
      <c r="Q306" s="311"/>
      <c r="R306" s="311"/>
      <c r="S306" s="311"/>
      <c r="T306" s="311"/>
    </row>
  </sheetData>
  <autoFilter xmlns:etc="http://www.wps.cn/officeDocument/2017/etCustomData" ref="A3:T306" etc:filterBottomFollowUsedRange="0">
    <extLst/>
  </autoFilter>
  <mergeCells count="2">
    <mergeCell ref="A1:P1"/>
    <mergeCell ref="A2:P2"/>
  </mergeCells>
  <printOptions horizontalCentered="1"/>
  <pageMargins left="0.590277777777778" right="0.590277777777778" top="0.590277777777778" bottom="0.590277777777778" header="0.196527777777778" footer="0.196527777777778"/>
  <pageSetup paperSize="9" scale="55" orientation="landscape" horizontalDpi="600"/>
  <headerFooter>
    <oddFooter>&amp;C第 &amp;P 页，共 &amp;N 页</oddFooter>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57"/>
  <sheetViews>
    <sheetView view="pageBreakPreview" zoomScale="110" zoomScaleNormal="85" workbookViewId="0">
      <pane xSplit="2" ySplit="3" topLeftCell="C58" activePane="bottomRight" state="frozen"/>
      <selection/>
      <selection pane="topRight"/>
      <selection pane="bottomLeft"/>
      <selection pane="bottomRight" activeCell="P63" sqref="P63"/>
    </sheetView>
  </sheetViews>
  <sheetFormatPr defaultColWidth="14" defaultRowHeight="12.75"/>
  <cols>
    <col min="1" max="1" width="10.3619047619048" customWidth="1"/>
    <col min="2" max="2" width="27.2857142857143" customWidth="1"/>
    <col min="3" max="3" width="24.4285714285714" customWidth="1"/>
    <col min="4" max="5" width="19.2857142857143" customWidth="1"/>
    <col min="6" max="6" width="8" customWidth="1"/>
    <col min="7" max="7" width="13.1428571428571" customWidth="1"/>
    <col min="8" max="8" width="13" customWidth="1"/>
    <col min="9" max="14" width="11.1428571428571" customWidth="1"/>
    <col min="15" max="15" width="16.8190476190476" customWidth="1"/>
    <col min="16" max="16" width="12.8571428571429" customWidth="1"/>
    <col min="17" max="17" width="15" customWidth="1"/>
  </cols>
  <sheetData>
    <row r="1" ht="25" customHeight="1" spans="1:17">
      <c r="A1" s="19" t="s">
        <v>894</v>
      </c>
      <c r="B1" s="19"/>
      <c r="C1" s="19"/>
      <c r="D1" s="19"/>
      <c r="E1" s="19"/>
      <c r="F1" s="19"/>
      <c r="G1" s="19"/>
      <c r="H1" s="20"/>
      <c r="I1" s="20"/>
      <c r="J1" s="20"/>
      <c r="K1" s="20"/>
      <c r="L1" s="20"/>
      <c r="M1" s="20"/>
      <c r="N1" s="20"/>
      <c r="O1" s="20"/>
      <c r="P1" s="20"/>
      <c r="Q1" s="21"/>
    </row>
    <row r="2" ht="18" customHeight="1" spans="1:17">
      <c r="A2" s="290" t="str">
        <f>'2.1-装饰工程'!A2</f>
        <v>注意：此报价清单每项不得随意更改、删减，如有任何增加项请务必在每大项最后“补充项“中列举，补充项及说明字体颜色均采用蓝色；且所有项目都需要填写。</v>
      </c>
      <c r="B2" s="290"/>
      <c r="C2" s="290"/>
      <c r="D2" s="290"/>
      <c r="E2" s="290"/>
      <c r="F2" s="290"/>
      <c r="G2" s="291"/>
      <c r="H2" s="292"/>
      <c r="I2" s="292"/>
      <c r="J2" s="292"/>
      <c r="K2" s="292"/>
      <c r="L2" s="292"/>
      <c r="M2" s="292"/>
      <c r="N2" s="292"/>
      <c r="O2" s="292"/>
      <c r="P2" s="292"/>
      <c r="Q2" s="21"/>
    </row>
    <row r="3" s="18" customFormat="1" ht="24" spans="1:17">
      <c r="A3" s="24" t="s">
        <v>5</v>
      </c>
      <c r="B3" s="24" t="s">
        <v>895</v>
      </c>
      <c r="C3" s="24" t="s">
        <v>7</v>
      </c>
      <c r="D3" s="24" t="s">
        <v>8</v>
      </c>
      <c r="E3" s="24" t="s">
        <v>9</v>
      </c>
      <c r="F3" s="24" t="s">
        <v>10</v>
      </c>
      <c r="G3" s="78" t="s">
        <v>11</v>
      </c>
      <c r="H3" s="32" t="s">
        <v>12</v>
      </c>
      <c r="I3" s="79" t="s">
        <v>13</v>
      </c>
      <c r="J3" s="79" t="s">
        <v>14</v>
      </c>
      <c r="K3" s="79" t="s">
        <v>15</v>
      </c>
      <c r="L3" s="80" t="s">
        <v>16</v>
      </c>
      <c r="M3" s="79" t="s">
        <v>17</v>
      </c>
      <c r="N3" s="79" t="s">
        <v>2</v>
      </c>
      <c r="O3" s="81" t="s">
        <v>18</v>
      </c>
      <c r="P3" s="24" t="s">
        <v>19</v>
      </c>
      <c r="Q3" s="22"/>
    </row>
    <row r="4" spans="1:17">
      <c r="A4" s="23"/>
      <c r="B4" s="83" t="s">
        <v>896</v>
      </c>
      <c r="C4" s="26"/>
      <c r="D4" s="26"/>
      <c r="E4" s="26"/>
      <c r="F4" s="293"/>
      <c r="G4" s="294"/>
      <c r="H4" s="125"/>
      <c r="I4" s="125"/>
      <c r="J4" s="125"/>
      <c r="K4" s="125"/>
      <c r="L4" s="125"/>
      <c r="M4" s="125"/>
      <c r="N4" s="125"/>
      <c r="O4" s="125"/>
    </row>
    <row r="5" spans="1:17">
      <c r="A5" s="41" t="s">
        <v>897</v>
      </c>
      <c r="B5" s="26" t="s">
        <v>898</v>
      </c>
      <c r="C5" s="31"/>
      <c r="D5" s="31"/>
      <c r="E5" s="31"/>
      <c r="F5" s="24"/>
      <c r="G5" s="234"/>
      <c r="H5" s="33"/>
      <c r="I5" s="85"/>
      <c r="J5" s="85"/>
      <c r="K5" s="85"/>
      <c r="L5" s="85"/>
      <c r="M5" s="85"/>
      <c r="N5" s="85"/>
      <c r="O5" s="85"/>
      <c r="P5" s="85"/>
      <c r="Q5" s="21"/>
    </row>
    <row r="6" ht="25.5" spans="1:17">
      <c r="A6" s="24"/>
      <c r="B6" s="30" t="s">
        <v>899</v>
      </c>
      <c r="C6" s="31"/>
      <c r="D6" s="31"/>
      <c r="E6" s="31"/>
      <c r="F6" s="24"/>
      <c r="G6" s="295"/>
      <c r="H6" s="296"/>
      <c r="I6" s="85"/>
      <c r="J6" s="85"/>
      <c r="K6" s="85"/>
      <c r="L6" s="85"/>
      <c r="M6" s="85"/>
      <c r="N6" s="85"/>
      <c r="O6" s="85"/>
      <c r="P6" s="85"/>
      <c r="Q6" s="21"/>
    </row>
    <row r="7" ht="38.25" spans="1:17">
      <c r="A7" s="24" t="s">
        <v>900</v>
      </c>
      <c r="B7" s="30" t="s">
        <v>901</v>
      </c>
      <c r="C7" s="31" t="s">
        <v>902</v>
      </c>
      <c r="D7" s="31" t="s">
        <v>165</v>
      </c>
      <c r="E7" s="31" t="s">
        <v>340</v>
      </c>
      <c r="F7" s="24" t="s">
        <v>78</v>
      </c>
      <c r="G7" s="32">
        <v>100</v>
      </c>
      <c r="H7" s="296">
        <f t="shared" ref="H7:H58" si="0">SUM(I7:N7)</f>
        <v>507.186147186147</v>
      </c>
      <c r="I7" s="85">
        <v>408.264502164502</v>
      </c>
      <c r="J7" s="85">
        <v>88.89</v>
      </c>
      <c r="K7" s="85">
        <v>5.01</v>
      </c>
      <c r="L7" s="125">
        <f>(I7+J7+K7)*'2-报价汇总'!$H$5</f>
        <v>5.02164502164502</v>
      </c>
      <c r="M7" s="297">
        <f>(I7+J7+K7+L7)*'2-报价汇总'!$I$5</f>
        <v>0</v>
      </c>
      <c r="N7" s="297">
        <f>(M7+L7+K7+J7+I7)*'2-报价汇总'!$J$5</f>
        <v>0</v>
      </c>
      <c r="O7" s="86">
        <f t="shared" ref="O7:O70" si="1">G7*H7</f>
        <v>50718.6147186147</v>
      </c>
      <c r="P7" s="297"/>
      <c r="Q7" s="21"/>
    </row>
    <row r="8" ht="38.25" spans="1:17">
      <c r="A8" s="24" t="s">
        <v>903</v>
      </c>
      <c r="B8" s="30" t="s">
        <v>904</v>
      </c>
      <c r="C8" s="31" t="s">
        <v>905</v>
      </c>
      <c r="D8" s="31" t="s">
        <v>165</v>
      </c>
      <c r="E8" s="31" t="s">
        <v>906</v>
      </c>
      <c r="F8" s="24" t="s">
        <v>78</v>
      </c>
      <c r="G8" s="32">
        <v>800</v>
      </c>
      <c r="H8" s="296">
        <f t="shared" si="0"/>
        <v>2273.59307359307</v>
      </c>
      <c r="I8" s="85">
        <v>598.354978354978</v>
      </c>
      <c r="J8" s="85">
        <v>1600</v>
      </c>
      <c r="K8" s="85">
        <v>52.7272727272727</v>
      </c>
      <c r="L8" s="125">
        <f>(I8+J8+K8)*'2-报价汇总'!$H$5</f>
        <v>22.5108225108225</v>
      </c>
      <c r="M8" s="297">
        <f>(I8+J8+K8+L8)*'2-报价汇总'!$I$5</f>
        <v>0</v>
      </c>
      <c r="N8" s="297">
        <f>(M8+L8+K8+J8+I8)*'2-报价汇总'!$J$5</f>
        <v>0</v>
      </c>
      <c r="O8" s="86">
        <f t="shared" si="1"/>
        <v>1818874.45887446</v>
      </c>
      <c r="P8" s="297"/>
      <c r="Q8" s="21"/>
    </row>
    <row r="9" ht="25.5" spans="1:17">
      <c r="A9" s="24" t="s">
        <v>907</v>
      </c>
      <c r="B9" s="30" t="s">
        <v>908</v>
      </c>
      <c r="C9" s="31" t="s">
        <v>909</v>
      </c>
      <c r="D9" s="31" t="s">
        <v>165</v>
      </c>
      <c r="E9" s="31"/>
      <c r="F9" s="24" t="s">
        <v>78</v>
      </c>
      <c r="G9" s="32">
        <v>1823.02818753437</v>
      </c>
      <c r="H9" s="296">
        <f t="shared" si="0"/>
        <v>1748.91774891775</v>
      </c>
      <c r="I9" s="85">
        <v>525.101731601732</v>
      </c>
      <c r="J9" s="85">
        <v>1200</v>
      </c>
      <c r="K9" s="85">
        <v>6.5</v>
      </c>
      <c r="L9" s="125">
        <f>(I9+J9+K9)*'2-报价汇总'!$H$5</f>
        <v>17.3160173160173</v>
      </c>
      <c r="M9" s="297">
        <f>(I9+J9+K9+L9)*'2-报价汇总'!$I$5</f>
        <v>0</v>
      </c>
      <c r="N9" s="297">
        <f>(M9+L9+K9+J9+I9)*'2-报价汇总'!$J$5</f>
        <v>0</v>
      </c>
      <c r="O9" s="86">
        <f t="shared" si="1"/>
        <v>3188326.35395621</v>
      </c>
      <c r="P9" s="297"/>
      <c r="Q9" s="21"/>
    </row>
    <row r="10" ht="25.5" spans="1:17">
      <c r="A10" s="24" t="s">
        <v>910</v>
      </c>
      <c r="B10" s="30" t="s">
        <v>911</v>
      </c>
      <c r="C10" s="31"/>
      <c r="D10" s="31" t="s">
        <v>165</v>
      </c>
      <c r="E10" s="31" t="s">
        <v>340</v>
      </c>
      <c r="F10" s="24" t="s">
        <v>78</v>
      </c>
      <c r="G10" s="32">
        <v>4557.57046883592</v>
      </c>
      <c r="H10" s="296">
        <f t="shared" si="0"/>
        <v>664.588744588744</v>
      </c>
      <c r="I10" s="85">
        <v>193.148658008658</v>
      </c>
      <c r="J10" s="85">
        <v>461.08</v>
      </c>
      <c r="K10" s="85">
        <v>3.78</v>
      </c>
      <c r="L10" s="125">
        <f>(I10+J10+K10)*'2-报价汇总'!$H$5</f>
        <v>6.58008658008658</v>
      </c>
      <c r="M10" s="297">
        <f>(I10+J10+K10+L10)*'2-报价汇总'!$I$5</f>
        <v>0</v>
      </c>
      <c r="N10" s="297">
        <f>(M10+L10+K10+J10+I10)*'2-报价汇总'!$J$5</f>
        <v>0</v>
      </c>
      <c r="O10" s="86">
        <f t="shared" si="1"/>
        <v>3028910.0362584</v>
      </c>
      <c r="P10" s="297"/>
      <c r="Q10" s="21"/>
    </row>
    <row r="11" ht="25.5" spans="1:17">
      <c r="A11" s="24" t="s">
        <v>912</v>
      </c>
      <c r="B11" s="30" t="s">
        <v>913</v>
      </c>
      <c r="C11" s="31"/>
      <c r="D11" s="31" t="s">
        <v>165</v>
      </c>
      <c r="E11" s="31" t="s">
        <v>340</v>
      </c>
      <c r="F11" s="24" t="s">
        <v>78</v>
      </c>
      <c r="G11" s="32">
        <v>20053.310062878</v>
      </c>
      <c r="H11" s="296">
        <f t="shared" si="0"/>
        <v>524.675324675325</v>
      </c>
      <c r="I11" s="85">
        <v>56.9505194805194</v>
      </c>
      <c r="J11" s="85">
        <v>459.19</v>
      </c>
      <c r="K11" s="85">
        <v>3.34</v>
      </c>
      <c r="L11" s="125">
        <f>(I11+J11+K11)*'2-报价汇总'!$H$5</f>
        <v>5.19480519480519</v>
      </c>
      <c r="M11" s="297">
        <f>(I11+J11+K11+L11)*'2-报价汇总'!$I$5</f>
        <v>0</v>
      </c>
      <c r="N11" s="297">
        <f>(M11+L11+K11+J11+I11)*'2-报价汇总'!$J$5</f>
        <v>0</v>
      </c>
      <c r="O11" s="86">
        <f t="shared" si="1"/>
        <v>10521476.9680555</v>
      </c>
      <c r="P11" s="297"/>
      <c r="Q11" s="21"/>
    </row>
    <row r="12" ht="51" spans="1:17">
      <c r="A12" s="24" t="s">
        <v>914</v>
      </c>
      <c r="B12" s="30" t="s">
        <v>915</v>
      </c>
      <c r="C12" s="31"/>
      <c r="D12" s="31" t="s">
        <v>165</v>
      </c>
      <c r="E12" s="31" t="s">
        <v>340</v>
      </c>
      <c r="F12" s="24" t="s">
        <v>78</v>
      </c>
      <c r="G12" s="32">
        <v>27345.4228130155</v>
      </c>
      <c r="H12" s="296">
        <f t="shared" si="0"/>
        <v>206.984415584416</v>
      </c>
      <c r="I12" s="85">
        <v>204.935064935065</v>
      </c>
      <c r="J12" s="85"/>
      <c r="K12" s="85"/>
      <c r="L12" s="125">
        <f>(I12+J12+K12)*'2-报价汇总'!$H$5</f>
        <v>2.04935064935065</v>
      </c>
      <c r="M12" s="297">
        <f>(I12+J12+K12+L12)*'2-报价汇总'!$I$5</f>
        <v>0</v>
      </c>
      <c r="N12" s="297">
        <f>(M12+L12+K12+J12+I12)*'2-报价汇总'!$J$5</f>
        <v>0</v>
      </c>
      <c r="O12" s="86">
        <f t="shared" si="1"/>
        <v>5660076.35986076</v>
      </c>
      <c r="P12" s="297"/>
      <c r="Q12" s="21"/>
    </row>
    <row r="13" ht="25.5" spans="1:17">
      <c r="A13" s="24" t="s">
        <v>916</v>
      </c>
      <c r="B13" s="30" t="s">
        <v>917</v>
      </c>
      <c r="C13" s="31" t="s">
        <v>918</v>
      </c>
      <c r="D13" s="31" t="s">
        <v>919</v>
      </c>
      <c r="E13" s="31" t="s">
        <v>340</v>
      </c>
      <c r="F13" s="24" t="s">
        <v>78</v>
      </c>
      <c r="G13" s="32">
        <v>41929.6483132905</v>
      </c>
      <c r="H13" s="296">
        <f t="shared" si="0"/>
        <v>14.6034632034632</v>
      </c>
      <c r="I13" s="85">
        <v>2.75887445887446</v>
      </c>
      <c r="J13" s="85">
        <v>11.37</v>
      </c>
      <c r="K13" s="85">
        <v>0.33</v>
      </c>
      <c r="L13" s="125">
        <f>(I13+J13+K13)*'2-报价汇总'!$H$5</f>
        <v>0.144588744588745</v>
      </c>
      <c r="M13" s="297">
        <f>(I13+J13+K13+L13)*'2-报价汇总'!$I$5</f>
        <v>0</v>
      </c>
      <c r="N13" s="297">
        <f>(M13+L13+K13+J13+I13)*'2-报价汇总'!$J$5</f>
        <v>0</v>
      </c>
      <c r="O13" s="86">
        <f t="shared" si="1"/>
        <v>612318.076277291</v>
      </c>
      <c r="P13" s="297"/>
      <c r="Q13" s="21"/>
    </row>
    <row r="14" ht="25.5" spans="1:17">
      <c r="A14" s="24" t="s">
        <v>920</v>
      </c>
      <c r="B14" s="30" t="s">
        <v>921</v>
      </c>
      <c r="C14" s="31" t="s">
        <v>918</v>
      </c>
      <c r="D14" s="31" t="s">
        <v>919</v>
      </c>
      <c r="E14" s="31" t="s">
        <v>340</v>
      </c>
      <c r="F14" s="24" t="s">
        <v>78</v>
      </c>
      <c r="G14" s="32">
        <v>76567.1838764435</v>
      </c>
      <c r="H14" s="296">
        <f t="shared" si="0"/>
        <v>25.709090909091</v>
      </c>
      <c r="I14" s="85">
        <v>11.4645454545455</v>
      </c>
      <c r="J14" s="85">
        <v>13.55</v>
      </c>
      <c r="K14" s="85">
        <v>0.44</v>
      </c>
      <c r="L14" s="125">
        <f>(I14+J14+K14)*'2-报价汇总'!$H$5</f>
        <v>0.254545454545455</v>
      </c>
      <c r="M14" s="297">
        <f>(I14+J14+K14+L14)*'2-报价汇总'!$I$5</f>
        <v>0</v>
      </c>
      <c r="N14" s="297">
        <f>(M14+L14+K14+J14+I14)*'2-报价汇总'!$J$5</f>
        <v>0</v>
      </c>
      <c r="O14" s="86">
        <f t="shared" si="1"/>
        <v>1968472.69093257</v>
      </c>
      <c r="P14" s="297"/>
      <c r="Q14" s="21"/>
    </row>
    <row r="15" ht="25.5" spans="1:17">
      <c r="A15" s="24" t="s">
        <v>922</v>
      </c>
      <c r="B15" s="30" t="s">
        <v>923</v>
      </c>
      <c r="C15" s="31" t="s">
        <v>918</v>
      </c>
      <c r="D15" s="31" t="s">
        <v>919</v>
      </c>
      <c r="E15" s="31" t="s">
        <v>340</v>
      </c>
      <c r="F15" s="24" t="s">
        <v>78</v>
      </c>
      <c r="G15" s="32">
        <v>15000</v>
      </c>
      <c r="H15" s="296">
        <f t="shared" si="0"/>
        <v>33.404329004329</v>
      </c>
      <c r="I15" s="85">
        <v>12.5735930735931</v>
      </c>
      <c r="J15" s="125">
        <v>20.06</v>
      </c>
      <c r="K15" s="85">
        <v>0.44</v>
      </c>
      <c r="L15" s="125">
        <f>(I15+J15+K15)*'2-报价汇总'!$H$5</f>
        <v>0.330735930735931</v>
      </c>
      <c r="M15" s="297">
        <f>(I15+J15+K15+L15)*'2-报价汇总'!$I$5</f>
        <v>0</v>
      </c>
      <c r="N15" s="297">
        <f>(M15+L15+K15+J15+I15)*'2-报价汇总'!$J$5</f>
        <v>0</v>
      </c>
      <c r="O15" s="86">
        <f t="shared" si="1"/>
        <v>501064.935064935</v>
      </c>
      <c r="P15" s="297"/>
      <c r="Q15" s="21"/>
    </row>
    <row r="16" ht="25.5" spans="1:17">
      <c r="A16" s="24" t="s">
        <v>924</v>
      </c>
      <c r="B16" s="30" t="s">
        <v>925</v>
      </c>
      <c r="C16" s="31" t="s">
        <v>918</v>
      </c>
      <c r="D16" s="31" t="s">
        <v>919</v>
      </c>
      <c r="E16" s="31" t="s">
        <v>340</v>
      </c>
      <c r="F16" s="24" t="s">
        <v>78</v>
      </c>
      <c r="G16" s="32">
        <v>500</v>
      </c>
      <c r="H16" s="296">
        <f t="shared" si="0"/>
        <v>10.7470995670996</v>
      </c>
      <c r="I16" s="85">
        <v>3.94069264069264</v>
      </c>
      <c r="J16" s="85">
        <v>6.37</v>
      </c>
      <c r="K16" s="85">
        <v>0.33</v>
      </c>
      <c r="L16" s="125">
        <f>(I16+J16+K16)*'2-报价汇总'!$H$5</f>
        <v>0.106406926406926</v>
      </c>
      <c r="M16" s="297">
        <f>(I16+J16+K16+L16)*'2-报价汇总'!$I$5</f>
        <v>0</v>
      </c>
      <c r="N16" s="297">
        <f>(M16+L16+K16+J16+I16)*'2-报价汇总'!$J$5</f>
        <v>0</v>
      </c>
      <c r="O16" s="86">
        <f t="shared" si="1"/>
        <v>5373.54978354978</v>
      </c>
      <c r="P16" s="297"/>
      <c r="Q16" s="21"/>
    </row>
    <row r="17" ht="25.5" spans="1:17">
      <c r="A17" s="24" t="s">
        <v>926</v>
      </c>
      <c r="B17" s="30" t="s">
        <v>927</v>
      </c>
      <c r="C17" s="31" t="s">
        <v>918</v>
      </c>
      <c r="D17" s="31" t="s">
        <v>919</v>
      </c>
      <c r="E17" s="31" t="s">
        <v>340</v>
      </c>
      <c r="F17" s="24" t="s">
        <v>78</v>
      </c>
      <c r="G17" s="32">
        <v>2000</v>
      </c>
      <c r="H17" s="296">
        <f t="shared" si="0"/>
        <v>24.0476190476191</v>
      </c>
      <c r="I17" s="85">
        <v>9.81952380952381</v>
      </c>
      <c r="J17" s="85">
        <v>13.55</v>
      </c>
      <c r="K17" s="85">
        <v>0.44</v>
      </c>
      <c r="L17" s="125">
        <f>(I17+J17+K17)*'2-报价汇总'!$H$5</f>
        <v>0.238095238095238</v>
      </c>
      <c r="M17" s="297">
        <f>(I17+J17+K17+L17)*'2-报价汇总'!$I$5</f>
        <v>0</v>
      </c>
      <c r="N17" s="297">
        <f>(M17+L17+K17+J17+I17)*'2-报价汇总'!$J$5</f>
        <v>0</v>
      </c>
      <c r="O17" s="86">
        <f t="shared" si="1"/>
        <v>48095.2380952381</v>
      </c>
      <c r="P17" s="297"/>
      <c r="Q17" s="21"/>
    </row>
    <row r="18" ht="25.5" spans="1:17">
      <c r="A18" s="24" t="s">
        <v>928</v>
      </c>
      <c r="B18" s="30" t="s">
        <v>929</v>
      </c>
      <c r="C18" s="31" t="s">
        <v>918</v>
      </c>
      <c r="D18" s="31" t="s">
        <v>919</v>
      </c>
      <c r="E18" s="31" t="s">
        <v>340</v>
      </c>
      <c r="F18" s="24" t="s">
        <v>78</v>
      </c>
      <c r="G18" s="32">
        <v>2000</v>
      </c>
      <c r="H18" s="296">
        <f t="shared" si="0"/>
        <v>33.404329004329</v>
      </c>
      <c r="I18" s="85">
        <v>12.5735930735931</v>
      </c>
      <c r="J18" s="125">
        <v>20.06</v>
      </c>
      <c r="K18" s="85">
        <v>0.44</v>
      </c>
      <c r="L18" s="125">
        <f>(I18+J18+K18)*'2-报价汇总'!$H$5</f>
        <v>0.330735930735931</v>
      </c>
      <c r="M18" s="297">
        <f>(I18+J18+K18+L18)*'2-报价汇总'!$I$5</f>
        <v>0</v>
      </c>
      <c r="N18" s="297">
        <f>(M18+L18+K18+J18+I18)*'2-报价汇总'!$J$5</f>
        <v>0</v>
      </c>
      <c r="O18" s="86">
        <f t="shared" si="1"/>
        <v>66808.6580086581</v>
      </c>
      <c r="P18" s="297"/>
      <c r="Q18" s="21"/>
    </row>
    <row r="19" ht="25.5" spans="1:17">
      <c r="A19" s="24" t="s">
        <v>930</v>
      </c>
      <c r="B19" s="30" t="s">
        <v>931</v>
      </c>
      <c r="C19" s="31" t="s">
        <v>918</v>
      </c>
      <c r="D19" s="31" t="s">
        <v>919</v>
      </c>
      <c r="E19" s="31" t="s">
        <v>340</v>
      </c>
      <c r="F19" s="24" t="s">
        <v>78</v>
      </c>
      <c r="G19" s="32">
        <v>2000</v>
      </c>
      <c r="H19" s="296">
        <f t="shared" si="0"/>
        <v>84.9974025974026</v>
      </c>
      <c r="I19" s="85">
        <v>35.2158441558442</v>
      </c>
      <c r="J19" s="85">
        <v>48.5</v>
      </c>
      <c r="K19" s="85">
        <v>0.44</v>
      </c>
      <c r="L19" s="125">
        <f>(I19+J19+K19)*'2-报价汇总'!$H$5</f>
        <v>0.841558441558442</v>
      </c>
      <c r="M19" s="297">
        <f>(I19+J19+K19+L19)*'2-报价汇总'!$I$5</f>
        <v>0</v>
      </c>
      <c r="N19" s="297">
        <f>(M19+L19+K19+J19+I19)*'2-报价汇总'!$J$5</f>
        <v>0</v>
      </c>
      <c r="O19" s="86">
        <f t="shared" si="1"/>
        <v>169994.805194805</v>
      </c>
      <c r="P19" s="297"/>
      <c r="Q19" s="21"/>
    </row>
    <row r="20" ht="25.5" spans="1:17">
      <c r="A20" s="24" t="s">
        <v>932</v>
      </c>
      <c r="B20" s="30" t="s">
        <v>933</v>
      </c>
      <c r="C20" s="31" t="s">
        <v>918</v>
      </c>
      <c r="D20" s="31" t="s">
        <v>919</v>
      </c>
      <c r="E20" s="31" t="s">
        <v>340</v>
      </c>
      <c r="F20" s="24" t="s">
        <v>78</v>
      </c>
      <c r="G20" s="32">
        <v>2000</v>
      </c>
      <c r="H20" s="296">
        <f t="shared" si="0"/>
        <v>14.6034632034632</v>
      </c>
      <c r="I20" s="85">
        <v>6.21887445887446</v>
      </c>
      <c r="J20" s="125">
        <v>7.8</v>
      </c>
      <c r="K20" s="85">
        <v>0.44</v>
      </c>
      <c r="L20" s="125">
        <f>(I20+J20+K20)*'2-报价汇总'!$H$5</f>
        <v>0.144588744588745</v>
      </c>
      <c r="M20" s="297">
        <f>(I20+J20+K20+L20)*'2-报价汇总'!$I$5</f>
        <v>0</v>
      </c>
      <c r="N20" s="297">
        <f>(M20+L20+K20+J20+I20)*'2-报价汇总'!$J$5</f>
        <v>0</v>
      </c>
      <c r="O20" s="86">
        <f t="shared" si="1"/>
        <v>29206.9264069264</v>
      </c>
      <c r="P20" s="297"/>
      <c r="Q20" s="21"/>
    </row>
    <row r="21" ht="25.5" spans="1:17">
      <c r="A21" s="24" t="s">
        <v>934</v>
      </c>
      <c r="B21" s="30" t="s">
        <v>935</v>
      </c>
      <c r="C21" s="31" t="s">
        <v>918</v>
      </c>
      <c r="D21" s="31" t="s">
        <v>919</v>
      </c>
      <c r="E21" s="31" t="s">
        <v>340</v>
      </c>
      <c r="F21" s="24" t="s">
        <v>78</v>
      </c>
      <c r="G21" s="32">
        <v>4500</v>
      </c>
      <c r="H21" s="296">
        <f t="shared" si="0"/>
        <v>25.709090909091</v>
      </c>
      <c r="I21" s="85">
        <v>11.4645454545455</v>
      </c>
      <c r="J21" s="85">
        <v>13.55</v>
      </c>
      <c r="K21" s="85">
        <v>0.44</v>
      </c>
      <c r="L21" s="125">
        <f>(I21+J21+K21)*'2-报价汇总'!$H$5</f>
        <v>0.254545454545455</v>
      </c>
      <c r="M21" s="297">
        <f>(I21+J21+K21+L21)*'2-报价汇总'!$I$5</f>
        <v>0</v>
      </c>
      <c r="N21" s="297">
        <f>(M21+L21+K21+J21+I21)*'2-报价汇总'!$J$5</f>
        <v>0</v>
      </c>
      <c r="O21" s="86">
        <f t="shared" si="1"/>
        <v>115690.909090909</v>
      </c>
      <c r="P21" s="297"/>
      <c r="Q21" s="21"/>
    </row>
    <row r="22" ht="25.5" spans="1:17">
      <c r="A22" s="24" t="s">
        <v>936</v>
      </c>
      <c r="B22" s="30" t="s">
        <v>937</v>
      </c>
      <c r="C22" s="31" t="s">
        <v>918</v>
      </c>
      <c r="D22" s="31" t="s">
        <v>919</v>
      </c>
      <c r="E22" s="31" t="s">
        <v>340</v>
      </c>
      <c r="F22" s="24" t="s">
        <v>78</v>
      </c>
      <c r="G22" s="32">
        <v>4500</v>
      </c>
      <c r="H22" s="296">
        <f t="shared" si="0"/>
        <v>33.7803463203464</v>
      </c>
      <c r="I22" s="85">
        <v>16.5058874458875</v>
      </c>
      <c r="J22" s="125">
        <v>16.5</v>
      </c>
      <c r="K22" s="85">
        <v>0.44</v>
      </c>
      <c r="L22" s="125">
        <f>(I22+J22+K22)*'2-报价汇总'!$H$5</f>
        <v>0.334458874458875</v>
      </c>
      <c r="M22" s="297">
        <f>(I22+J22+K22+L22)*'2-报价汇总'!$I$5</f>
        <v>0</v>
      </c>
      <c r="N22" s="297">
        <f>(M22+L22+K22+J22+I22)*'2-报价汇总'!$J$5</f>
        <v>0</v>
      </c>
      <c r="O22" s="86">
        <f t="shared" si="1"/>
        <v>152011.558441559</v>
      </c>
      <c r="P22" s="297"/>
      <c r="Q22" s="21"/>
    </row>
    <row r="23" ht="25.5" spans="1:17">
      <c r="A23" s="24" t="s">
        <v>938</v>
      </c>
      <c r="B23" s="30" t="s">
        <v>939</v>
      </c>
      <c r="C23" s="31" t="s">
        <v>918</v>
      </c>
      <c r="D23" s="31" t="s">
        <v>919</v>
      </c>
      <c r="E23" s="31" t="s">
        <v>340</v>
      </c>
      <c r="F23" s="24" t="s">
        <v>78</v>
      </c>
      <c r="G23" s="32">
        <v>4500</v>
      </c>
      <c r="H23" s="296">
        <f t="shared" si="0"/>
        <v>54.7411255411255</v>
      </c>
      <c r="I23" s="85">
        <v>11.9291341991342</v>
      </c>
      <c r="J23" s="85">
        <v>41.83</v>
      </c>
      <c r="K23" s="85">
        <v>0.44</v>
      </c>
      <c r="L23" s="125">
        <f>(I23+J23+K23)*'2-报价汇总'!$H$5</f>
        <v>0.541991341991342</v>
      </c>
      <c r="M23" s="297">
        <f>(I23+J23+K23+L23)*'2-报价汇总'!$I$5</f>
        <v>0</v>
      </c>
      <c r="N23" s="297">
        <f>(M23+L23+K23+J23+I23)*'2-报价汇总'!$J$5</f>
        <v>0</v>
      </c>
      <c r="O23" s="86">
        <f t="shared" si="1"/>
        <v>246335.064935065</v>
      </c>
      <c r="P23" s="297"/>
      <c r="Q23" s="21"/>
    </row>
    <row r="24" ht="25.5" spans="1:17">
      <c r="A24" s="24" t="s">
        <v>940</v>
      </c>
      <c r="B24" s="30" t="s">
        <v>941</v>
      </c>
      <c r="C24" s="31" t="s">
        <v>918</v>
      </c>
      <c r="D24" s="31" t="s">
        <v>919</v>
      </c>
      <c r="E24" s="31" t="s">
        <v>340</v>
      </c>
      <c r="F24" s="24" t="s">
        <v>78</v>
      </c>
      <c r="G24" s="32">
        <v>4500</v>
      </c>
      <c r="H24" s="296">
        <f t="shared" si="0"/>
        <v>12.4785281385281</v>
      </c>
      <c r="I24" s="85">
        <v>4.31497835497836</v>
      </c>
      <c r="J24" s="125">
        <v>7.6</v>
      </c>
      <c r="K24" s="85">
        <v>0.44</v>
      </c>
      <c r="L24" s="125">
        <f>(I24+J24+K24)*'2-报价汇总'!$H$5</f>
        <v>0.123549783549784</v>
      </c>
      <c r="M24" s="297">
        <f>(I24+J24+K24+L24)*'2-报价汇总'!$I$5</f>
        <v>0</v>
      </c>
      <c r="N24" s="297">
        <f>(M24+L24+K24+J24+I24)*'2-报价汇总'!$J$5</f>
        <v>0</v>
      </c>
      <c r="O24" s="86">
        <f t="shared" si="1"/>
        <v>56153.3766233766</v>
      </c>
      <c r="P24" s="297"/>
      <c r="Q24" s="21"/>
    </row>
    <row r="25" ht="25.5" spans="1:17">
      <c r="A25" s="24" t="s">
        <v>942</v>
      </c>
      <c r="B25" s="30" t="s">
        <v>943</v>
      </c>
      <c r="C25" s="31" t="s">
        <v>918</v>
      </c>
      <c r="D25" s="31" t="s">
        <v>919</v>
      </c>
      <c r="E25" s="31" t="s">
        <v>340</v>
      </c>
      <c r="F25" s="24" t="s">
        <v>78</v>
      </c>
      <c r="G25" s="32">
        <v>4500</v>
      </c>
      <c r="H25" s="296">
        <f t="shared" si="0"/>
        <v>26.4961038961039</v>
      </c>
      <c r="I25" s="85">
        <v>10.2437662337662</v>
      </c>
      <c r="J25" s="85">
        <v>15.55</v>
      </c>
      <c r="K25" s="85">
        <v>0.44</v>
      </c>
      <c r="L25" s="125">
        <f>(I25+J25+K25)*'2-报价汇总'!$H$5</f>
        <v>0.262337662337662</v>
      </c>
      <c r="M25" s="297">
        <f>(I25+J25+K25+L25)*'2-报价汇总'!$I$5</f>
        <v>0</v>
      </c>
      <c r="N25" s="297">
        <f>(M25+L25+K25+J25+I25)*'2-报价汇总'!$J$5</f>
        <v>0</v>
      </c>
      <c r="O25" s="86">
        <f t="shared" si="1"/>
        <v>119232.467532467</v>
      </c>
      <c r="P25" s="297"/>
      <c r="Q25" s="21"/>
    </row>
    <row r="26" ht="25.5" spans="1:17">
      <c r="A26" s="24" t="s">
        <v>944</v>
      </c>
      <c r="B26" s="30" t="s">
        <v>945</v>
      </c>
      <c r="C26" s="31" t="s">
        <v>918</v>
      </c>
      <c r="D26" s="31" t="s">
        <v>919</v>
      </c>
      <c r="E26" s="31" t="s">
        <v>340</v>
      </c>
      <c r="F26" s="24" t="s">
        <v>78</v>
      </c>
      <c r="G26" s="32">
        <v>4500</v>
      </c>
      <c r="H26" s="296">
        <f t="shared" si="0"/>
        <v>32.2675324675324</v>
      </c>
      <c r="I26" s="85">
        <v>12.0080519480519</v>
      </c>
      <c r="J26" s="125">
        <v>19.5</v>
      </c>
      <c r="K26" s="85">
        <v>0.44</v>
      </c>
      <c r="L26" s="125">
        <f>(I26+J26+K26)*'2-报价汇总'!$H$5</f>
        <v>0.319480519480519</v>
      </c>
      <c r="M26" s="297">
        <f>(I26+J26+K26+L26)*'2-报价汇总'!$I$5</f>
        <v>0</v>
      </c>
      <c r="N26" s="297">
        <f>(M26+L26+K26+J26+I26)*'2-报价汇总'!$J$5</f>
        <v>0</v>
      </c>
      <c r="O26" s="86">
        <f t="shared" si="1"/>
        <v>145203.896103896</v>
      </c>
      <c r="P26" s="297"/>
      <c r="Q26" s="21"/>
    </row>
    <row r="27" ht="25.5" spans="1:17">
      <c r="A27" s="24" t="s">
        <v>946</v>
      </c>
      <c r="B27" s="30" t="s">
        <v>947</v>
      </c>
      <c r="C27" s="31" t="s">
        <v>918</v>
      </c>
      <c r="D27" s="31" t="s">
        <v>919</v>
      </c>
      <c r="E27" s="31" t="s">
        <v>340</v>
      </c>
      <c r="F27" s="24" t="s">
        <v>78</v>
      </c>
      <c r="G27" s="32">
        <v>17318.7677815765</v>
      </c>
      <c r="H27" s="296">
        <f t="shared" si="0"/>
        <v>32.2675324675325</v>
      </c>
      <c r="I27" s="85">
        <v>8.35805194805195</v>
      </c>
      <c r="J27" s="85">
        <v>23.15</v>
      </c>
      <c r="K27" s="85">
        <v>0.44</v>
      </c>
      <c r="L27" s="125">
        <f>(I27+J27+K27)*'2-报价汇总'!$H$5</f>
        <v>0.31948051948052</v>
      </c>
      <c r="M27" s="297">
        <f>(I27+J27+K27+L27)*'2-报价汇总'!$I$5</f>
        <v>0</v>
      </c>
      <c r="N27" s="297">
        <f>(M27+L27+K27+J27+I27)*'2-报价汇总'!$J$5</f>
        <v>0</v>
      </c>
      <c r="O27" s="86">
        <f t="shared" si="1"/>
        <v>558833.901689675</v>
      </c>
      <c r="P27" s="297"/>
      <c r="Q27" s="21"/>
    </row>
    <row r="28" ht="25.5" spans="1:17">
      <c r="A28" s="24" t="s">
        <v>948</v>
      </c>
      <c r="B28" s="30" t="s">
        <v>949</v>
      </c>
      <c r="C28" s="31" t="s">
        <v>918</v>
      </c>
      <c r="D28" s="31" t="s">
        <v>919</v>
      </c>
      <c r="E28" s="31" t="s">
        <v>340</v>
      </c>
      <c r="F28" s="24" t="s">
        <v>78</v>
      </c>
      <c r="G28" s="32">
        <v>6000</v>
      </c>
      <c r="H28" s="296">
        <f t="shared" si="0"/>
        <v>34.0164502164502</v>
      </c>
      <c r="I28" s="85">
        <v>9.97965367965368</v>
      </c>
      <c r="J28" s="85">
        <v>23.26</v>
      </c>
      <c r="K28" s="85">
        <v>0.44</v>
      </c>
      <c r="L28" s="125">
        <f>(I28+J28+K28)*'2-报价汇总'!$H$5</f>
        <v>0.336796536796537</v>
      </c>
      <c r="M28" s="297">
        <f>(I28+J28+K28+L28)*'2-报价汇总'!$I$5</f>
        <v>0</v>
      </c>
      <c r="N28" s="297">
        <f>(M28+L28+K28+J28+I28)*'2-报价汇总'!$J$5</f>
        <v>0</v>
      </c>
      <c r="O28" s="86">
        <f t="shared" si="1"/>
        <v>204098.701298701</v>
      </c>
      <c r="P28" s="297"/>
      <c r="Q28" s="21"/>
    </row>
    <row r="29" ht="25.5" spans="1:17">
      <c r="A29" s="24" t="s">
        <v>950</v>
      </c>
      <c r="B29" s="30" t="s">
        <v>951</v>
      </c>
      <c r="C29" s="31" t="s">
        <v>918</v>
      </c>
      <c r="D29" s="31" t="s">
        <v>919</v>
      </c>
      <c r="E29" s="31" t="s">
        <v>340</v>
      </c>
      <c r="F29" s="24" t="s">
        <v>78</v>
      </c>
      <c r="G29" s="32">
        <v>6000</v>
      </c>
      <c r="H29" s="296">
        <f t="shared" si="0"/>
        <v>34.0164502164502</v>
      </c>
      <c r="I29" s="85">
        <v>10.0896536796537</v>
      </c>
      <c r="J29" s="85">
        <v>23.15</v>
      </c>
      <c r="K29" s="85">
        <v>0.44</v>
      </c>
      <c r="L29" s="125">
        <f>(I29+J29+K29)*'2-报价汇总'!$H$5</f>
        <v>0.336796536796537</v>
      </c>
      <c r="M29" s="297">
        <f>(I29+J29+K29+L29)*'2-报价汇总'!$I$5</f>
        <v>0</v>
      </c>
      <c r="N29" s="297">
        <f>(M29+L29+K29+J29+I29)*'2-报价汇总'!$J$5</f>
        <v>0</v>
      </c>
      <c r="O29" s="86">
        <f t="shared" si="1"/>
        <v>204098.701298701</v>
      </c>
      <c r="P29" s="297"/>
      <c r="Q29" s="21"/>
    </row>
    <row r="30" ht="25.5" spans="1:17">
      <c r="A30" s="24" t="s">
        <v>952</v>
      </c>
      <c r="B30" s="30" t="s">
        <v>953</v>
      </c>
      <c r="C30" s="31" t="s">
        <v>918</v>
      </c>
      <c r="D30" s="31" t="s">
        <v>919</v>
      </c>
      <c r="E30" s="31" t="s">
        <v>340</v>
      </c>
      <c r="F30" s="24" t="s">
        <v>78</v>
      </c>
      <c r="G30" s="32">
        <v>6000</v>
      </c>
      <c r="H30" s="296">
        <f t="shared" si="0"/>
        <v>34.0164502164502</v>
      </c>
      <c r="I30" s="85">
        <v>9.97965367965368</v>
      </c>
      <c r="J30" s="85">
        <v>23.26</v>
      </c>
      <c r="K30" s="85">
        <v>0.44</v>
      </c>
      <c r="L30" s="125">
        <f>(I30+J30+K30)*'2-报价汇总'!$H$5</f>
        <v>0.336796536796537</v>
      </c>
      <c r="M30" s="297">
        <f>(I30+J30+K30+L30)*'2-报价汇总'!$I$5</f>
        <v>0</v>
      </c>
      <c r="N30" s="297">
        <f>(M30+L30+K30+J30+I30)*'2-报价汇总'!$J$5</f>
        <v>0</v>
      </c>
      <c r="O30" s="86">
        <f t="shared" si="1"/>
        <v>204098.701298701</v>
      </c>
      <c r="P30" s="297"/>
      <c r="Q30" s="21"/>
    </row>
    <row r="31" ht="25.5" spans="1:17">
      <c r="A31" s="24" t="s">
        <v>954</v>
      </c>
      <c r="B31" s="30" t="s">
        <v>955</v>
      </c>
      <c r="C31" s="31" t="s">
        <v>918</v>
      </c>
      <c r="D31" s="31" t="s">
        <v>919</v>
      </c>
      <c r="E31" s="31" t="s">
        <v>340</v>
      </c>
      <c r="F31" s="24" t="s">
        <v>78</v>
      </c>
      <c r="G31" s="32">
        <v>6000</v>
      </c>
      <c r="H31" s="296">
        <f t="shared" si="0"/>
        <v>56.6649350649351</v>
      </c>
      <c r="I31" s="85">
        <v>14.7538961038961</v>
      </c>
      <c r="J31" s="85">
        <v>40.91</v>
      </c>
      <c r="K31" s="85">
        <v>0.44</v>
      </c>
      <c r="L31" s="125">
        <f>(I31+J31+K31)*'2-报价汇总'!$H$5</f>
        <v>0.561038961038961</v>
      </c>
      <c r="M31" s="297">
        <f>(I31+J31+K31+L31)*'2-报价汇总'!$I$5</f>
        <v>0</v>
      </c>
      <c r="N31" s="297">
        <f>(M31+L31+K31+J31+I31)*'2-报价汇总'!$J$5</f>
        <v>0</v>
      </c>
      <c r="O31" s="86">
        <f t="shared" si="1"/>
        <v>339989.61038961</v>
      </c>
      <c r="P31" s="297"/>
      <c r="Q31" s="21"/>
    </row>
    <row r="32" ht="25.5" spans="1:17">
      <c r="A32" s="24" t="s">
        <v>956</v>
      </c>
      <c r="B32" s="30" t="s">
        <v>957</v>
      </c>
      <c r="C32" s="31" t="s">
        <v>918</v>
      </c>
      <c r="D32" s="31" t="s">
        <v>919</v>
      </c>
      <c r="E32" s="31" t="s">
        <v>340</v>
      </c>
      <c r="F32" s="24" t="s">
        <v>78</v>
      </c>
      <c r="G32" s="32">
        <v>6000</v>
      </c>
      <c r="H32" s="296">
        <f t="shared" si="0"/>
        <v>73.061038961039</v>
      </c>
      <c r="I32" s="85">
        <v>9.03766233766234</v>
      </c>
      <c r="J32" s="85">
        <v>62.86</v>
      </c>
      <c r="K32" s="85">
        <v>0.44</v>
      </c>
      <c r="L32" s="125">
        <f>(I32+J32+K32)*'2-报价汇总'!$H$5</f>
        <v>0.723376623376623</v>
      </c>
      <c r="M32" s="297">
        <f>(I32+J32+K32+L32)*'2-报价汇总'!$I$5</f>
        <v>0</v>
      </c>
      <c r="N32" s="297">
        <f>(M32+L32+K32+J32+I32)*'2-报价汇总'!$J$5</f>
        <v>0</v>
      </c>
      <c r="O32" s="86">
        <f t="shared" si="1"/>
        <v>438366.233766234</v>
      </c>
      <c r="P32" s="297"/>
      <c r="Q32" s="21"/>
    </row>
    <row r="33" ht="25.5" spans="1:17">
      <c r="A33" s="24" t="s">
        <v>958</v>
      </c>
      <c r="B33" s="30" t="s">
        <v>959</v>
      </c>
      <c r="C33" s="31" t="s">
        <v>918</v>
      </c>
      <c r="D33" s="31" t="s">
        <v>919</v>
      </c>
      <c r="E33" s="31" t="s">
        <v>340</v>
      </c>
      <c r="F33" s="24" t="s">
        <v>78</v>
      </c>
      <c r="G33" s="32">
        <v>400</v>
      </c>
      <c r="H33" s="296">
        <f t="shared" si="0"/>
        <v>74.3027705627706</v>
      </c>
      <c r="I33" s="85">
        <v>10.1970995670996</v>
      </c>
      <c r="J33" s="85">
        <v>62.93</v>
      </c>
      <c r="K33" s="85">
        <v>0.44</v>
      </c>
      <c r="L33" s="125">
        <f>(I33+J33+K33)*'2-报价汇总'!$H$5</f>
        <v>0.735670995670996</v>
      </c>
      <c r="M33" s="297">
        <f>(I33+J33+K33+L33)*'2-报价汇总'!$I$5</f>
        <v>0</v>
      </c>
      <c r="N33" s="297">
        <f>(M33+L33+K33+J33+I33)*'2-报价汇总'!$J$5</f>
        <v>0</v>
      </c>
      <c r="O33" s="86">
        <f t="shared" si="1"/>
        <v>29721.1082251082</v>
      </c>
      <c r="P33" s="297"/>
      <c r="Q33" s="21"/>
    </row>
    <row r="34" ht="25.5" spans="1:17">
      <c r="A34" s="24" t="s">
        <v>960</v>
      </c>
      <c r="B34" s="30" t="s">
        <v>961</v>
      </c>
      <c r="C34" s="31" t="s">
        <v>918</v>
      </c>
      <c r="D34" s="31" t="s">
        <v>919</v>
      </c>
      <c r="E34" s="31" t="s">
        <v>340</v>
      </c>
      <c r="F34" s="24" t="s">
        <v>78</v>
      </c>
      <c r="G34" s="32">
        <v>400</v>
      </c>
      <c r="H34" s="296">
        <f t="shared" si="0"/>
        <v>62.4101298701299</v>
      </c>
      <c r="I34" s="85">
        <v>13.0222077922078</v>
      </c>
      <c r="J34" s="125">
        <v>48.33</v>
      </c>
      <c r="K34" s="125">
        <v>0.44</v>
      </c>
      <c r="L34" s="125">
        <f>(I34+J34+K34)*'2-报价汇总'!$H$5</f>
        <v>0.617922077922078</v>
      </c>
      <c r="M34" s="297">
        <f>(I34+J34+K34+L34)*'2-报价汇总'!$I$5</f>
        <v>0</v>
      </c>
      <c r="N34" s="297">
        <f>(M34+L34+K34+J34+I34)*'2-报价汇总'!$J$5</f>
        <v>0</v>
      </c>
      <c r="O34" s="86">
        <f t="shared" si="1"/>
        <v>24964.051948052</v>
      </c>
      <c r="P34" s="297"/>
      <c r="Q34" s="21"/>
    </row>
    <row r="35" ht="25.5" spans="1:17">
      <c r="A35" s="24" t="s">
        <v>962</v>
      </c>
      <c r="B35" s="30" t="s">
        <v>963</v>
      </c>
      <c r="C35" s="31" t="s">
        <v>918</v>
      </c>
      <c r="D35" s="31" t="s">
        <v>919</v>
      </c>
      <c r="E35" s="31" t="s">
        <v>340</v>
      </c>
      <c r="F35" s="24" t="s">
        <v>78</v>
      </c>
      <c r="G35" s="32">
        <v>400</v>
      </c>
      <c r="H35" s="296">
        <f t="shared" si="0"/>
        <v>286.472727272727</v>
      </c>
      <c r="I35" s="85">
        <v>52.9363636363636</v>
      </c>
      <c r="J35" s="85">
        <v>230.26</v>
      </c>
      <c r="K35" s="85">
        <v>0.44</v>
      </c>
      <c r="L35" s="125">
        <f>(I35+J35+K35)*'2-报价汇总'!$H$5</f>
        <v>2.83636363636364</v>
      </c>
      <c r="M35" s="297">
        <f>(I35+J35+K35+L35)*'2-报价汇总'!$I$5</f>
        <v>0</v>
      </c>
      <c r="N35" s="297">
        <f>(M35+L35+K35+J35+I35)*'2-报价汇总'!$J$5</f>
        <v>0</v>
      </c>
      <c r="O35" s="86">
        <f t="shared" si="1"/>
        <v>114589.090909091</v>
      </c>
      <c r="P35" s="297"/>
      <c r="Q35" s="21"/>
    </row>
    <row r="36" ht="25.5" spans="1:17">
      <c r="A36" s="24" t="s">
        <v>964</v>
      </c>
      <c r="B36" s="30" t="s">
        <v>965</v>
      </c>
      <c r="C36" s="31" t="s">
        <v>918</v>
      </c>
      <c r="D36" s="31" t="s">
        <v>919</v>
      </c>
      <c r="E36" s="31" t="s">
        <v>340</v>
      </c>
      <c r="F36" s="24" t="s">
        <v>78</v>
      </c>
      <c r="G36" s="32">
        <v>400</v>
      </c>
      <c r="H36" s="296">
        <f t="shared" si="0"/>
        <v>138.120779220779</v>
      </c>
      <c r="I36" s="85">
        <v>32.6632467532468</v>
      </c>
      <c r="J36" s="125">
        <v>103.08</v>
      </c>
      <c r="K36" s="125">
        <v>1.01</v>
      </c>
      <c r="L36" s="125">
        <f>(I36+J36+K36)*'2-报价汇总'!$H$5</f>
        <v>1.36753246753247</v>
      </c>
      <c r="M36" s="297">
        <f>(I36+J36+K36+L36)*'2-报价汇总'!$I$5</f>
        <v>0</v>
      </c>
      <c r="N36" s="297">
        <f>(M36+L36+K36+J36+I36)*'2-报价汇总'!$J$5</f>
        <v>0</v>
      </c>
      <c r="O36" s="86">
        <f t="shared" si="1"/>
        <v>55248.3116883117</v>
      </c>
      <c r="P36" s="297"/>
      <c r="Q36" s="21"/>
    </row>
    <row r="37" ht="25.5" spans="1:17">
      <c r="A37" s="24" t="s">
        <v>966</v>
      </c>
      <c r="B37" s="30" t="s">
        <v>967</v>
      </c>
      <c r="C37" s="31" t="s">
        <v>918</v>
      </c>
      <c r="D37" s="31" t="s">
        <v>919</v>
      </c>
      <c r="E37" s="31" t="s">
        <v>340</v>
      </c>
      <c r="F37" s="24" t="s">
        <v>78</v>
      </c>
      <c r="G37" s="32">
        <v>2734.54228130155</v>
      </c>
      <c r="H37" s="296">
        <f t="shared" si="0"/>
        <v>138.120779220779</v>
      </c>
      <c r="I37" s="85">
        <v>30.7132467532468</v>
      </c>
      <c r="J37" s="125">
        <v>105.03</v>
      </c>
      <c r="K37" s="125">
        <v>1.01</v>
      </c>
      <c r="L37" s="125">
        <f>(I37+J37+K37)*'2-报价汇总'!$H$5</f>
        <v>1.36753246753247</v>
      </c>
      <c r="M37" s="297">
        <f>(I37+J37+K37+L37)*'2-报价汇总'!$I$5</f>
        <v>0</v>
      </c>
      <c r="N37" s="297">
        <f>(M37+L37+K37+J37+I37)*'2-报价汇总'!$J$5</f>
        <v>0</v>
      </c>
      <c r="O37" s="86">
        <f t="shared" si="1"/>
        <v>377697.110705537</v>
      </c>
      <c r="P37" s="297"/>
      <c r="Q37" s="21"/>
    </row>
    <row r="38" ht="25.5" spans="1:17">
      <c r="A38" s="24" t="s">
        <v>968</v>
      </c>
      <c r="B38" s="30" t="s">
        <v>969</v>
      </c>
      <c r="C38" s="31" t="s">
        <v>918</v>
      </c>
      <c r="D38" s="31" t="s">
        <v>919</v>
      </c>
      <c r="E38" s="31" t="s">
        <v>340</v>
      </c>
      <c r="F38" s="24" t="s">
        <v>78</v>
      </c>
      <c r="G38" s="32">
        <v>911.514093767184</v>
      </c>
      <c r="H38" s="296">
        <f t="shared" si="0"/>
        <v>166.357056277056</v>
      </c>
      <c r="I38" s="85">
        <v>46.0399567099567</v>
      </c>
      <c r="J38" s="125">
        <v>117.66</v>
      </c>
      <c r="K38" s="125">
        <v>1.01</v>
      </c>
      <c r="L38" s="125">
        <f>(I38+J38+K38)*'2-报价汇总'!$H$5</f>
        <v>1.64709956709957</v>
      </c>
      <c r="M38" s="297">
        <f>(I38+J38+K38+L38)*'2-报价汇总'!$I$5</f>
        <v>0</v>
      </c>
      <c r="N38" s="297">
        <f>(M38+L38+K38+J38+I38)*'2-报价汇总'!$J$5</f>
        <v>0</v>
      </c>
      <c r="O38" s="86">
        <f t="shared" si="1"/>
        <v>151636.801394157</v>
      </c>
      <c r="P38" s="297"/>
      <c r="Q38" s="21"/>
    </row>
    <row r="39" ht="25.5" spans="1:17">
      <c r="A39" s="24" t="s">
        <v>970</v>
      </c>
      <c r="B39" s="30" t="s">
        <v>971</v>
      </c>
      <c r="C39" s="31" t="s">
        <v>918</v>
      </c>
      <c r="D39" s="31" t="s">
        <v>919</v>
      </c>
      <c r="E39" s="31" t="s">
        <v>340</v>
      </c>
      <c r="F39" s="24" t="s">
        <v>78</v>
      </c>
      <c r="G39" s="32">
        <v>1823.02818753437</v>
      </c>
      <c r="H39" s="296">
        <f t="shared" si="0"/>
        <v>168.814285714286</v>
      </c>
      <c r="I39" s="85">
        <v>44.0428571428571</v>
      </c>
      <c r="J39" s="125">
        <v>122.09</v>
      </c>
      <c r="K39" s="125">
        <v>1.01</v>
      </c>
      <c r="L39" s="125">
        <f>(I39+J39+K39)*'2-报价汇总'!$H$5</f>
        <v>1.67142857142857</v>
      </c>
      <c r="M39" s="297">
        <f>(I39+J39+K39+L39)*'2-报价汇总'!$I$5</f>
        <v>0</v>
      </c>
      <c r="N39" s="297">
        <f>(M39+L39+K39+J39+I39)*'2-报价汇总'!$J$5</f>
        <v>0</v>
      </c>
      <c r="O39" s="86">
        <f t="shared" si="1"/>
        <v>307753.201315624</v>
      </c>
      <c r="P39" s="297"/>
      <c r="Q39" s="21"/>
    </row>
    <row r="40" ht="25.5" spans="1:17">
      <c r="A40" s="24" t="s">
        <v>972</v>
      </c>
      <c r="B40" s="30" t="s">
        <v>973</v>
      </c>
      <c r="C40" s="31" t="s">
        <v>918</v>
      </c>
      <c r="D40" s="31" t="s">
        <v>919</v>
      </c>
      <c r="E40" s="31" t="s">
        <v>340</v>
      </c>
      <c r="F40" s="24" t="s">
        <v>78</v>
      </c>
      <c r="G40" s="32">
        <v>350</v>
      </c>
      <c r="H40" s="296">
        <f t="shared" si="0"/>
        <v>199.787619047619</v>
      </c>
      <c r="I40" s="85">
        <v>51.3895238095238</v>
      </c>
      <c r="J40" s="125">
        <v>145.32</v>
      </c>
      <c r="K40" s="125">
        <v>1.1</v>
      </c>
      <c r="L40" s="125">
        <f>(I40+J40+K40)*'2-报价汇总'!$H$5</f>
        <v>1.97809523809524</v>
      </c>
      <c r="M40" s="297">
        <f>(I40+J40+K40+L40)*'2-报价汇总'!$I$5</f>
        <v>0</v>
      </c>
      <c r="N40" s="297">
        <f>(M40+L40+K40+J40+I40)*'2-报价汇总'!$J$5</f>
        <v>0</v>
      </c>
      <c r="O40" s="86">
        <f t="shared" si="1"/>
        <v>69925.6666666667</v>
      </c>
      <c r="P40" s="297"/>
      <c r="Q40" s="21"/>
    </row>
    <row r="41" ht="25.5" spans="1:17">
      <c r="A41" s="24" t="s">
        <v>974</v>
      </c>
      <c r="B41" s="30" t="s">
        <v>975</v>
      </c>
      <c r="C41" s="31" t="s">
        <v>918</v>
      </c>
      <c r="D41" s="31" t="s">
        <v>919</v>
      </c>
      <c r="E41" s="31" t="s">
        <v>340</v>
      </c>
      <c r="F41" s="24" t="s">
        <v>78</v>
      </c>
      <c r="G41" s="32">
        <v>200</v>
      </c>
      <c r="H41" s="296">
        <f t="shared" si="0"/>
        <v>266.290216450216</v>
      </c>
      <c r="I41" s="85">
        <v>32.5536796536796</v>
      </c>
      <c r="J41" s="125">
        <v>230</v>
      </c>
      <c r="K41" s="125">
        <v>1.1</v>
      </c>
      <c r="L41" s="125">
        <f>(I41+J41+K41)*'2-报价汇总'!$H$5</f>
        <v>2.6365367965368</v>
      </c>
      <c r="M41" s="297">
        <f>(I41+J41+K41+L41)*'2-报价汇总'!$I$5</f>
        <v>0</v>
      </c>
      <c r="N41" s="297">
        <f>(M41+L41+K41+J41+I41)*'2-报价汇总'!$J$5</f>
        <v>0</v>
      </c>
      <c r="O41" s="86">
        <f t="shared" si="1"/>
        <v>53258.0432900433</v>
      </c>
      <c r="P41" s="297"/>
      <c r="Q41" s="21"/>
    </row>
    <row r="42" ht="25.5" spans="1:17">
      <c r="A42" s="24" t="s">
        <v>976</v>
      </c>
      <c r="B42" s="30" t="s">
        <v>977</v>
      </c>
      <c r="C42" s="31" t="s">
        <v>918</v>
      </c>
      <c r="D42" s="31" t="s">
        <v>919</v>
      </c>
      <c r="E42" s="31" t="s">
        <v>340</v>
      </c>
      <c r="F42" s="24" t="s">
        <v>78</v>
      </c>
      <c r="G42" s="32">
        <v>200</v>
      </c>
      <c r="H42" s="296">
        <f t="shared" si="0"/>
        <v>270.513852813853</v>
      </c>
      <c r="I42" s="85">
        <v>23.1554978354978</v>
      </c>
      <c r="J42" s="125">
        <v>243.58</v>
      </c>
      <c r="K42" s="125">
        <v>1.1</v>
      </c>
      <c r="L42" s="125">
        <f>(I42+J42+K42)*'2-报价汇总'!$H$5</f>
        <v>2.67835497835498</v>
      </c>
      <c r="M42" s="297">
        <f>(I42+J42+K42+L42)*'2-报价汇总'!$I$5</f>
        <v>0</v>
      </c>
      <c r="N42" s="297">
        <f>(M42+L42+K42+J42+I42)*'2-报价汇总'!$J$5</f>
        <v>0</v>
      </c>
      <c r="O42" s="86">
        <f t="shared" si="1"/>
        <v>54102.7705627706</v>
      </c>
      <c r="P42" s="297"/>
      <c r="Q42" s="21"/>
    </row>
    <row r="43" ht="25.5" spans="1:17">
      <c r="A43" s="24" t="s">
        <v>978</v>
      </c>
      <c r="B43" s="30" t="s">
        <v>979</v>
      </c>
      <c r="C43" s="31" t="s">
        <v>918</v>
      </c>
      <c r="D43" s="31" t="s">
        <v>919</v>
      </c>
      <c r="E43" s="31" t="s">
        <v>340</v>
      </c>
      <c r="F43" s="24" t="s">
        <v>78</v>
      </c>
      <c r="G43" s="32">
        <v>911.514093767184</v>
      </c>
      <c r="H43" s="296">
        <f t="shared" si="0"/>
        <v>272.227792207792</v>
      </c>
      <c r="I43" s="85">
        <v>13.4024675324675</v>
      </c>
      <c r="J43" s="125">
        <v>255.03</v>
      </c>
      <c r="K43" s="125">
        <v>1.1</v>
      </c>
      <c r="L43" s="125">
        <f>(I43+J43+K43)*'2-报价汇总'!$H$5</f>
        <v>2.69532467532468</v>
      </c>
      <c r="M43" s="297">
        <f>(I43+J43+K43+L43)*'2-报价汇总'!$I$5</f>
        <v>0</v>
      </c>
      <c r="N43" s="297">
        <f>(M43+L43+K43+J43+I43)*'2-报价汇总'!$J$5</f>
        <v>0</v>
      </c>
      <c r="O43" s="86">
        <f t="shared" si="1"/>
        <v>248139.469312527</v>
      </c>
      <c r="P43" s="297"/>
      <c r="Q43" s="21"/>
    </row>
    <row r="44" ht="25.5" spans="1:17">
      <c r="A44" s="24" t="s">
        <v>980</v>
      </c>
      <c r="B44" s="30" t="s">
        <v>981</v>
      </c>
      <c r="C44" s="31" t="s">
        <v>918</v>
      </c>
      <c r="D44" s="31" t="s">
        <v>919</v>
      </c>
      <c r="E44" s="31" t="s">
        <v>340</v>
      </c>
      <c r="F44" s="24" t="s">
        <v>78</v>
      </c>
      <c r="G44" s="32">
        <v>900</v>
      </c>
      <c r="H44" s="296">
        <f t="shared" si="0"/>
        <v>337.628571428571</v>
      </c>
      <c r="I44" s="85">
        <v>103.145714285714</v>
      </c>
      <c r="J44" s="125">
        <v>230.13</v>
      </c>
      <c r="K44" s="125">
        <v>1.01</v>
      </c>
      <c r="L44" s="125">
        <f>(I44+J44+K44)*'2-报价汇总'!$H$5</f>
        <v>3.34285714285714</v>
      </c>
      <c r="M44" s="297">
        <f>(I44+J44+K44+L44)*'2-报价汇总'!$I$5</f>
        <v>0</v>
      </c>
      <c r="N44" s="297">
        <f>(M44+L44+K44+J44+I44)*'2-报价汇总'!$J$5</f>
        <v>0</v>
      </c>
      <c r="O44" s="86">
        <f t="shared" si="1"/>
        <v>303865.714285714</v>
      </c>
      <c r="P44" s="297"/>
      <c r="Q44" s="21"/>
    </row>
    <row r="45" ht="25.5" spans="1:17">
      <c r="A45" s="24" t="s">
        <v>982</v>
      </c>
      <c r="B45" s="30" t="s">
        <v>983</v>
      </c>
      <c r="C45" s="31" t="s">
        <v>918</v>
      </c>
      <c r="D45" s="31" t="s">
        <v>919</v>
      </c>
      <c r="E45" s="31" t="s">
        <v>340</v>
      </c>
      <c r="F45" s="24" t="s">
        <v>78</v>
      </c>
      <c r="G45" s="32">
        <v>900</v>
      </c>
      <c r="H45" s="296">
        <f t="shared" si="0"/>
        <v>356.368225108225</v>
      </c>
      <c r="I45" s="85">
        <v>111.479826839827</v>
      </c>
      <c r="J45" s="125">
        <v>240.35</v>
      </c>
      <c r="K45" s="125">
        <v>1.01</v>
      </c>
      <c r="L45" s="125">
        <f>(I45+J45+K45)*'2-报价汇总'!$H$5</f>
        <v>3.52839826839827</v>
      </c>
      <c r="M45" s="297">
        <f>(I45+J45+K45+L45)*'2-报价汇总'!$I$5</f>
        <v>0</v>
      </c>
      <c r="N45" s="297">
        <f>(M45+L45+K45+J45+I45)*'2-报价汇总'!$J$5</f>
        <v>0</v>
      </c>
      <c r="O45" s="86">
        <f t="shared" si="1"/>
        <v>320731.402597403</v>
      </c>
      <c r="P45" s="297"/>
      <c r="Q45" s="21"/>
    </row>
    <row r="46" ht="25.5" spans="1:17">
      <c r="A46" s="24" t="s">
        <v>984</v>
      </c>
      <c r="B46" s="30" t="s">
        <v>985</v>
      </c>
      <c r="C46" s="31" t="s">
        <v>918</v>
      </c>
      <c r="D46" s="31" t="s">
        <v>919</v>
      </c>
      <c r="E46" s="31" t="s">
        <v>340</v>
      </c>
      <c r="F46" s="24" t="s">
        <v>78</v>
      </c>
      <c r="G46" s="32">
        <v>450</v>
      </c>
      <c r="H46" s="296">
        <f t="shared" si="0"/>
        <v>364.124675324676</v>
      </c>
      <c r="I46" s="85">
        <v>114.389480519481</v>
      </c>
      <c r="J46" s="125">
        <v>245.12</v>
      </c>
      <c r="K46" s="125">
        <v>1.01</v>
      </c>
      <c r="L46" s="125">
        <f>(I46+J46+K46)*'2-报价汇总'!$H$5</f>
        <v>3.60519480519481</v>
      </c>
      <c r="M46" s="297">
        <f>(I46+J46+K46+L46)*'2-报价汇总'!$I$5</f>
        <v>0</v>
      </c>
      <c r="N46" s="297">
        <f>(M46+L46+K46+J46+I46)*'2-报价汇总'!$J$5</f>
        <v>0</v>
      </c>
      <c r="O46" s="86">
        <f t="shared" si="1"/>
        <v>163856.103896104</v>
      </c>
      <c r="P46" s="297"/>
      <c r="Q46" s="21"/>
    </row>
    <row r="47" ht="25.5" spans="1:17">
      <c r="A47" s="24" t="s">
        <v>986</v>
      </c>
      <c r="B47" s="30" t="s">
        <v>987</v>
      </c>
      <c r="C47" s="31" t="s">
        <v>918</v>
      </c>
      <c r="D47" s="31" t="s">
        <v>919</v>
      </c>
      <c r="E47" s="31" t="s">
        <v>340</v>
      </c>
      <c r="F47" s="24" t="s">
        <v>78</v>
      </c>
      <c r="G47" s="32">
        <v>450</v>
      </c>
      <c r="H47" s="296">
        <f t="shared" si="0"/>
        <v>364.124675324676</v>
      </c>
      <c r="I47" s="85">
        <v>111.179480519481</v>
      </c>
      <c r="J47" s="125">
        <v>248.33</v>
      </c>
      <c r="K47" s="125">
        <v>1.01</v>
      </c>
      <c r="L47" s="125">
        <f>(I47+J47+K47)*'2-报价汇总'!$H$5</f>
        <v>3.60519480519481</v>
      </c>
      <c r="M47" s="297">
        <f>(I47+J47+K47+L47)*'2-报价汇总'!$I$5</f>
        <v>0</v>
      </c>
      <c r="N47" s="297">
        <f>(M47+L47+K47+J47+I47)*'2-报价汇总'!$J$5</f>
        <v>0</v>
      </c>
      <c r="O47" s="86">
        <f t="shared" si="1"/>
        <v>163856.103896104</v>
      </c>
      <c r="P47" s="297"/>
      <c r="Q47" s="21"/>
    </row>
    <row r="48" ht="25.5" spans="1:17">
      <c r="A48" s="24" t="s">
        <v>988</v>
      </c>
      <c r="B48" s="30" t="s">
        <v>989</v>
      </c>
      <c r="C48" s="31" t="s">
        <v>918</v>
      </c>
      <c r="D48" s="31" t="s">
        <v>919</v>
      </c>
      <c r="E48" s="31" t="s">
        <v>340</v>
      </c>
      <c r="F48" s="24" t="s">
        <v>78</v>
      </c>
      <c r="G48" s="32">
        <v>300</v>
      </c>
      <c r="H48" s="296">
        <f t="shared" si="0"/>
        <v>470.633766233766</v>
      </c>
      <c r="I48" s="85">
        <v>169.644025974026</v>
      </c>
      <c r="J48" s="125">
        <v>295.32</v>
      </c>
      <c r="K48" s="125">
        <v>1.01</v>
      </c>
      <c r="L48" s="125">
        <f>(I48+J48+K48)*'2-报价汇总'!$H$5</f>
        <v>4.65974025974026</v>
      </c>
      <c r="M48" s="297">
        <f>(I48+J48+K48+L48)*'2-报价汇总'!$I$5</f>
        <v>0</v>
      </c>
      <c r="N48" s="297">
        <f>(M48+L48+K48+J48+I48)*'2-报价汇总'!$J$5</f>
        <v>0</v>
      </c>
      <c r="O48" s="86">
        <f t="shared" si="1"/>
        <v>141190.12987013</v>
      </c>
      <c r="P48" s="297"/>
      <c r="Q48" s="21"/>
    </row>
    <row r="49" ht="25.5" spans="1:17">
      <c r="A49" s="24" t="s">
        <v>990</v>
      </c>
      <c r="B49" s="30" t="s">
        <v>991</v>
      </c>
      <c r="C49" s="31" t="s">
        <v>918</v>
      </c>
      <c r="D49" s="31" t="s">
        <v>919</v>
      </c>
      <c r="E49" s="31" t="s">
        <v>340</v>
      </c>
      <c r="F49" s="24" t="s">
        <v>78</v>
      </c>
      <c r="G49" s="32">
        <v>300</v>
      </c>
      <c r="H49" s="296">
        <f t="shared" si="0"/>
        <v>470.633766233766</v>
      </c>
      <c r="I49" s="85">
        <v>162.634025974026</v>
      </c>
      <c r="J49" s="125">
        <v>302.33</v>
      </c>
      <c r="K49" s="125">
        <v>1.01</v>
      </c>
      <c r="L49" s="125">
        <f>(I49+J49+K49)*'2-报价汇总'!$H$5</f>
        <v>4.65974025974026</v>
      </c>
      <c r="M49" s="297">
        <f>(I49+J49+K49+L49)*'2-报价汇总'!$I$5</f>
        <v>0</v>
      </c>
      <c r="N49" s="297">
        <f>(M49+L49+K49+J49+I49)*'2-报价汇总'!$J$5</f>
        <v>0</v>
      </c>
      <c r="O49" s="86">
        <f t="shared" si="1"/>
        <v>141190.12987013</v>
      </c>
      <c r="P49" s="297"/>
      <c r="Q49" s="21"/>
    </row>
    <row r="50" ht="25.5" spans="1:17">
      <c r="A50" s="24" t="s">
        <v>992</v>
      </c>
      <c r="B50" s="30" t="s">
        <v>993</v>
      </c>
      <c r="C50" s="31" t="s">
        <v>918</v>
      </c>
      <c r="D50" s="31" t="s">
        <v>919</v>
      </c>
      <c r="E50" s="31" t="s">
        <v>340</v>
      </c>
      <c r="F50" s="24" t="s">
        <v>78</v>
      </c>
      <c r="G50" s="32">
        <v>300</v>
      </c>
      <c r="H50" s="296">
        <f t="shared" si="0"/>
        <v>389.842510822511</v>
      </c>
      <c r="I50" s="85">
        <v>80.3226839826839</v>
      </c>
      <c r="J50" s="125">
        <v>304.56</v>
      </c>
      <c r="K50" s="125">
        <v>1.1</v>
      </c>
      <c r="L50" s="125">
        <f>(I50+J50+K50)*'2-报价汇总'!$H$5</f>
        <v>3.85982683982684</v>
      </c>
      <c r="M50" s="297">
        <f>(I50+J50+K50+L50)*'2-报价汇总'!$I$5</f>
        <v>0</v>
      </c>
      <c r="N50" s="297">
        <f>(M50+L50+K50+J50+I50)*'2-报价汇总'!$J$5</f>
        <v>0</v>
      </c>
      <c r="O50" s="86">
        <f t="shared" si="1"/>
        <v>116952.753246753</v>
      </c>
      <c r="P50" s="297"/>
      <c r="Q50" s="21"/>
    </row>
    <row r="51" ht="25.5" spans="1:17">
      <c r="A51" s="24" t="s">
        <v>994</v>
      </c>
      <c r="B51" s="30" t="s">
        <v>995</v>
      </c>
      <c r="C51" s="31" t="s">
        <v>918</v>
      </c>
      <c r="D51" s="31" t="s">
        <v>919</v>
      </c>
      <c r="E51" s="31" t="s">
        <v>340</v>
      </c>
      <c r="F51" s="24" t="s">
        <v>78</v>
      </c>
      <c r="G51" s="32">
        <v>900</v>
      </c>
      <c r="H51" s="296">
        <f t="shared" si="0"/>
        <v>706.510303030303</v>
      </c>
      <c r="I51" s="85">
        <v>125.875151515152</v>
      </c>
      <c r="J51" s="125">
        <v>572.54</v>
      </c>
      <c r="K51" s="125">
        <v>1.1</v>
      </c>
      <c r="L51" s="125">
        <f>(I51+J51+K51)*'2-报价汇总'!$H$5</f>
        <v>6.99515151515152</v>
      </c>
      <c r="M51" s="297">
        <f>(I51+J51+K51+L51)*'2-报价汇总'!$I$5</f>
        <v>0</v>
      </c>
      <c r="N51" s="297">
        <f>(M51+L51+K51+J51+I51)*'2-报价汇总'!$J$5</f>
        <v>0</v>
      </c>
      <c r="O51" s="86">
        <f t="shared" si="1"/>
        <v>635859.272727273</v>
      </c>
      <c r="P51" s="297"/>
      <c r="Q51" s="21"/>
    </row>
    <row r="52" ht="25.5" spans="1:17">
      <c r="A52" s="24" t="s">
        <v>996</v>
      </c>
      <c r="B52" s="30" t="s">
        <v>997</v>
      </c>
      <c r="C52" s="31" t="s">
        <v>918</v>
      </c>
      <c r="D52" s="31" t="s">
        <v>919</v>
      </c>
      <c r="E52" s="31" t="s">
        <v>340</v>
      </c>
      <c r="F52" s="24" t="s">
        <v>78</v>
      </c>
      <c r="G52" s="32">
        <v>900</v>
      </c>
      <c r="H52" s="296">
        <f t="shared" si="0"/>
        <v>135.051428571429</v>
      </c>
      <c r="I52" s="85">
        <v>60.6242857142857</v>
      </c>
      <c r="J52" s="125">
        <v>68.45</v>
      </c>
      <c r="K52" s="125">
        <v>4.64</v>
      </c>
      <c r="L52" s="125">
        <f>(I52+J52+K52)*'2-报价汇总'!$H$5</f>
        <v>1.33714285714286</v>
      </c>
      <c r="M52" s="297">
        <f>(I52+J52+K52+L52)*'2-报价汇总'!$I$5</f>
        <v>0</v>
      </c>
      <c r="N52" s="297">
        <f>(M52+L52+K52+J52+I52)*'2-报价汇总'!$J$5</f>
        <v>0</v>
      </c>
      <c r="O52" s="86">
        <f t="shared" si="1"/>
        <v>121546.285714286</v>
      </c>
      <c r="P52" s="297"/>
      <c r="Q52" s="21"/>
    </row>
    <row r="53" ht="25.5" spans="1:17">
      <c r="A53" s="24" t="s">
        <v>998</v>
      </c>
      <c r="B53" s="30" t="s">
        <v>999</v>
      </c>
      <c r="C53" s="31" t="s">
        <v>918</v>
      </c>
      <c r="D53" s="31" t="s">
        <v>919</v>
      </c>
      <c r="E53" s="31" t="s">
        <v>340</v>
      </c>
      <c r="F53" s="24" t="s">
        <v>78</v>
      </c>
      <c r="G53" s="32">
        <v>300</v>
      </c>
      <c r="H53" s="296">
        <f t="shared" si="0"/>
        <v>168.814285714286</v>
      </c>
      <c r="I53" s="85">
        <v>52.6828571428571</v>
      </c>
      <c r="J53" s="85">
        <v>105.81</v>
      </c>
      <c r="K53" s="85">
        <v>8.65</v>
      </c>
      <c r="L53" s="125">
        <f>(I53+J53+K53)*'2-报价汇总'!$H$5</f>
        <v>1.67142857142857</v>
      </c>
      <c r="M53" s="297">
        <f>(I53+J53+K53+L53)*'2-报价汇总'!$I$5</f>
        <v>0</v>
      </c>
      <c r="N53" s="297">
        <f>(M53+L53+K53+J53+I53)*'2-报价汇总'!$J$5</f>
        <v>0</v>
      </c>
      <c r="O53" s="86">
        <f t="shared" si="1"/>
        <v>50644.2857142857</v>
      </c>
      <c r="P53" s="297"/>
      <c r="Q53" s="21"/>
    </row>
    <row r="54" ht="25.5" spans="1:17">
      <c r="A54" s="24" t="s">
        <v>1000</v>
      </c>
      <c r="B54" s="30" t="s">
        <v>1001</v>
      </c>
      <c r="C54" s="31" t="s">
        <v>918</v>
      </c>
      <c r="D54" s="31" t="s">
        <v>919</v>
      </c>
      <c r="E54" s="31" t="s">
        <v>340</v>
      </c>
      <c r="F54" s="24" t="s">
        <v>78</v>
      </c>
      <c r="G54" s="32">
        <v>300</v>
      </c>
      <c r="H54" s="296">
        <f t="shared" si="0"/>
        <v>427.662857142857</v>
      </c>
      <c r="I54" s="85">
        <v>221.668571428571</v>
      </c>
      <c r="J54" s="85">
        <v>189.63</v>
      </c>
      <c r="K54" s="85">
        <v>12.13</v>
      </c>
      <c r="L54" s="125">
        <f>(I54+J54+K54)*'2-报价汇总'!$H$5</f>
        <v>4.23428571428571</v>
      </c>
      <c r="M54" s="297">
        <f>(I54+J54+K54+L54)*'2-报价汇总'!$I$5</f>
        <v>0</v>
      </c>
      <c r="N54" s="297">
        <f>(M54+L54+K54+J54+I54)*'2-报价汇总'!$J$5</f>
        <v>0</v>
      </c>
      <c r="O54" s="86">
        <f t="shared" si="1"/>
        <v>128298.857142857</v>
      </c>
      <c r="P54" s="297"/>
      <c r="Q54" s="21"/>
    </row>
    <row r="55" ht="25.5" spans="1:17">
      <c r="A55" s="24" t="s">
        <v>1002</v>
      </c>
      <c r="B55" s="30" t="s">
        <v>1003</v>
      </c>
      <c r="C55" s="31" t="s">
        <v>918</v>
      </c>
      <c r="D55" s="31" t="s">
        <v>919</v>
      </c>
      <c r="E55" s="31" t="s">
        <v>340</v>
      </c>
      <c r="F55" s="24" t="s">
        <v>78</v>
      </c>
      <c r="G55" s="32">
        <v>300</v>
      </c>
      <c r="H55" s="296">
        <f t="shared" si="0"/>
        <v>107.322337662338</v>
      </c>
      <c r="I55" s="85">
        <v>36.4897402597402</v>
      </c>
      <c r="J55" s="125">
        <v>68.76</v>
      </c>
      <c r="K55" s="125">
        <v>1.01</v>
      </c>
      <c r="L55" s="125">
        <f>(I55+J55+K55)*'2-报价汇总'!$H$5</f>
        <v>1.0625974025974</v>
      </c>
      <c r="M55" s="297">
        <f>(I55+J55+K55+L55)*'2-报价汇总'!$I$5</f>
        <v>0</v>
      </c>
      <c r="N55" s="297">
        <f>(M55+L55+K55+J55+I55)*'2-报价汇总'!$J$5</f>
        <v>0</v>
      </c>
      <c r="O55" s="86">
        <f t="shared" si="1"/>
        <v>32196.7012987013</v>
      </c>
      <c r="P55" s="297"/>
      <c r="Q55" s="21"/>
    </row>
    <row r="56" ht="25.5" spans="1:17">
      <c r="A56" s="24" t="s">
        <v>1004</v>
      </c>
      <c r="B56" s="30" t="s">
        <v>1005</v>
      </c>
      <c r="C56" s="31" t="s">
        <v>918</v>
      </c>
      <c r="D56" s="31" t="s">
        <v>919</v>
      </c>
      <c r="E56" s="31" t="s">
        <v>340</v>
      </c>
      <c r="F56" s="24" t="s">
        <v>78</v>
      </c>
      <c r="G56" s="32">
        <v>300</v>
      </c>
      <c r="H56" s="296">
        <f t="shared" si="0"/>
        <v>112.289264069264</v>
      </c>
      <c r="I56" s="85">
        <v>38.8474891774892</v>
      </c>
      <c r="J56" s="125">
        <v>71.32</v>
      </c>
      <c r="K56" s="125">
        <v>1.01</v>
      </c>
      <c r="L56" s="125">
        <f>(I56+J56+K56)*'2-报价汇总'!$H$5</f>
        <v>1.11177489177489</v>
      </c>
      <c r="M56" s="297">
        <f>(I56+J56+K56+L56)*'2-报价汇总'!$I$5</f>
        <v>0</v>
      </c>
      <c r="N56" s="297">
        <f>(M56+L56+K56+J56+I56)*'2-报价汇总'!$J$5</f>
        <v>0</v>
      </c>
      <c r="O56" s="86">
        <f t="shared" si="1"/>
        <v>33686.7792207792</v>
      </c>
      <c r="P56" s="297"/>
      <c r="Q56" s="21"/>
    </row>
    <row r="57" ht="25.5" spans="1:17">
      <c r="A57" s="24" t="s">
        <v>1006</v>
      </c>
      <c r="B57" s="30" t="s">
        <v>1007</v>
      </c>
      <c r="C57" s="31" t="s">
        <v>918</v>
      </c>
      <c r="D57" s="31" t="s">
        <v>919</v>
      </c>
      <c r="E57" s="31" t="s">
        <v>340</v>
      </c>
      <c r="F57" s="24" t="s">
        <v>78</v>
      </c>
      <c r="G57" s="32">
        <v>300</v>
      </c>
      <c r="H57" s="296">
        <f t="shared" si="0"/>
        <v>112.289264069264</v>
      </c>
      <c r="I57" s="85">
        <v>34.8374891774892</v>
      </c>
      <c r="J57" s="125">
        <v>75.33</v>
      </c>
      <c r="K57" s="125">
        <v>1.01</v>
      </c>
      <c r="L57" s="125">
        <f>(I57+J57+K57)*'2-报价汇总'!$H$5</f>
        <v>1.11177489177489</v>
      </c>
      <c r="M57" s="297">
        <f>(I57+J57+K57+L57)*'2-报价汇总'!$I$5</f>
        <v>0</v>
      </c>
      <c r="N57" s="297">
        <f>(M57+L57+K57+J57+I57)*'2-报价汇总'!$J$5</f>
        <v>0</v>
      </c>
      <c r="O57" s="86">
        <f t="shared" si="1"/>
        <v>33686.7792207792</v>
      </c>
      <c r="P57" s="297"/>
      <c r="Q57" s="21"/>
    </row>
    <row r="58" ht="25.5" spans="1:17">
      <c r="A58" s="24" t="s">
        <v>1008</v>
      </c>
      <c r="B58" s="269" t="s">
        <v>1009</v>
      </c>
      <c r="C58" s="31" t="s">
        <v>918</v>
      </c>
      <c r="D58" s="31" t="s">
        <v>919</v>
      </c>
      <c r="E58" s="31" t="s">
        <v>340</v>
      </c>
      <c r="F58" s="24" t="s">
        <v>78</v>
      </c>
      <c r="G58" s="32">
        <v>300</v>
      </c>
      <c r="H58" s="296">
        <f t="shared" si="0"/>
        <v>52.2161255411255</v>
      </c>
      <c r="I58" s="85">
        <v>11.9291341991342</v>
      </c>
      <c r="J58" s="125">
        <v>39.33</v>
      </c>
      <c r="K58" s="125">
        <v>0.44</v>
      </c>
      <c r="L58" s="125">
        <f>(I58+J58+K58)*'2-报价汇总'!$H$5</f>
        <v>0.516991341991342</v>
      </c>
      <c r="M58" s="297">
        <f>(I58+J58+K58+L58)*'2-报价汇总'!$I$5</f>
        <v>0</v>
      </c>
      <c r="N58" s="297">
        <f>(M58+L58+K58+J58+I58)*'2-报价汇总'!$J$5</f>
        <v>0</v>
      </c>
      <c r="O58" s="86">
        <f t="shared" si="1"/>
        <v>15664.8376623377</v>
      </c>
      <c r="P58" s="297"/>
      <c r="Q58" s="21"/>
    </row>
    <row r="59" ht="25.5" spans="1:17">
      <c r="A59" s="24" t="s">
        <v>1010</v>
      </c>
      <c r="B59" s="269" t="s">
        <v>1011</v>
      </c>
      <c r="C59" s="31" t="s">
        <v>918</v>
      </c>
      <c r="D59" s="31" t="s">
        <v>919</v>
      </c>
      <c r="E59" s="31" t="s">
        <v>340</v>
      </c>
      <c r="F59" s="24" t="s">
        <v>78</v>
      </c>
      <c r="G59" s="32">
        <v>300</v>
      </c>
      <c r="H59" s="296">
        <f t="shared" ref="H59:H75" si="2">SUM(I59:N59)</f>
        <v>76.0429</v>
      </c>
      <c r="I59" s="85">
        <v>14.69</v>
      </c>
      <c r="J59" s="125">
        <v>59.5</v>
      </c>
      <c r="K59" s="125">
        <v>1.1</v>
      </c>
      <c r="L59" s="125">
        <f>(I59+J59+K59)*'2-报价汇总'!$H$5</f>
        <v>0.7529</v>
      </c>
      <c r="M59" s="297">
        <f>(I59+J59+K59+L59)*'2-报价汇总'!$I$5</f>
        <v>0</v>
      </c>
      <c r="N59" s="297">
        <f>(M59+L59+K59+J59+I59)*'2-报价汇总'!$J$5</f>
        <v>0</v>
      </c>
      <c r="O59" s="86">
        <f t="shared" si="1"/>
        <v>22812.87</v>
      </c>
      <c r="P59" s="297"/>
      <c r="Q59" s="21"/>
    </row>
    <row r="60" ht="25.5" spans="1:17">
      <c r="A60" s="24" t="s">
        <v>1012</v>
      </c>
      <c r="B60" s="269" t="s">
        <v>1013</v>
      </c>
      <c r="C60" s="31" t="s">
        <v>918</v>
      </c>
      <c r="D60" s="31" t="s">
        <v>919</v>
      </c>
      <c r="E60" s="31" t="s">
        <v>340</v>
      </c>
      <c r="F60" s="24" t="s">
        <v>78</v>
      </c>
      <c r="G60" s="32">
        <v>300</v>
      </c>
      <c r="H60" s="296">
        <f t="shared" si="2"/>
        <v>81.3959</v>
      </c>
      <c r="I60" s="85">
        <v>14.69</v>
      </c>
      <c r="J60" s="125">
        <v>64.8</v>
      </c>
      <c r="K60" s="125">
        <v>1.1</v>
      </c>
      <c r="L60" s="125">
        <f>(I60+J60+K60)*'2-报价汇总'!$H$5</f>
        <v>0.8059</v>
      </c>
      <c r="M60" s="297">
        <f>(I60+J60+K60+L60)*'2-报价汇总'!$I$5</f>
        <v>0</v>
      </c>
      <c r="N60" s="297">
        <f>(M60+L60+K60+J60+I60)*'2-报价汇总'!$J$5</f>
        <v>0</v>
      </c>
      <c r="O60" s="86">
        <f t="shared" si="1"/>
        <v>24418.77</v>
      </c>
      <c r="P60" s="297"/>
      <c r="Q60" s="21"/>
    </row>
    <row r="61" ht="25.5" spans="1:17">
      <c r="A61" s="24" t="s">
        <v>1014</v>
      </c>
      <c r="B61" s="269" t="s">
        <v>1015</v>
      </c>
      <c r="C61" s="31" t="s">
        <v>918</v>
      </c>
      <c r="D61" s="31" t="s">
        <v>919</v>
      </c>
      <c r="E61" s="31" t="s">
        <v>340</v>
      </c>
      <c r="F61" s="24" t="s">
        <v>78</v>
      </c>
      <c r="G61" s="32">
        <v>300</v>
      </c>
      <c r="H61" s="296">
        <f t="shared" si="2"/>
        <v>57.2661255411255</v>
      </c>
      <c r="I61" s="85">
        <v>11.9291341991342</v>
      </c>
      <c r="J61" s="125">
        <v>44.33</v>
      </c>
      <c r="K61" s="125">
        <v>0.44</v>
      </c>
      <c r="L61" s="125">
        <f>(I61+J61+K61)*'2-报价汇总'!$H$5</f>
        <v>0.566991341991342</v>
      </c>
      <c r="M61" s="297">
        <f>(I61+J61+K61+L61)*'2-报价汇总'!$I$5</f>
        <v>0</v>
      </c>
      <c r="N61" s="297">
        <f>(M61+L61+K61+J61+I61)*'2-报价汇总'!$J$5</f>
        <v>0</v>
      </c>
      <c r="O61" s="86">
        <f t="shared" si="1"/>
        <v>17179.8376623377</v>
      </c>
      <c r="P61" s="297"/>
      <c r="Q61" s="21"/>
    </row>
    <row r="62" ht="25.5" spans="1:17">
      <c r="A62" s="24" t="s">
        <v>1016</v>
      </c>
      <c r="B62" s="269" t="s">
        <v>1017</v>
      </c>
      <c r="C62" s="31" t="s">
        <v>918</v>
      </c>
      <c r="D62" s="31" t="s">
        <v>919</v>
      </c>
      <c r="E62" s="31" t="s">
        <v>340</v>
      </c>
      <c r="F62" s="24" t="s">
        <v>78</v>
      </c>
      <c r="G62" s="32">
        <v>300</v>
      </c>
      <c r="H62" s="296">
        <f t="shared" si="2"/>
        <v>89.3042</v>
      </c>
      <c r="I62" s="85">
        <v>15.49</v>
      </c>
      <c r="J62" s="125">
        <v>71.92</v>
      </c>
      <c r="K62" s="125">
        <v>1.01</v>
      </c>
      <c r="L62" s="125">
        <f>(I62+J62+K62)*'2-报价汇总'!$H$5</f>
        <v>0.8842</v>
      </c>
      <c r="M62" s="297">
        <f>(I62+J62+K62+L62)*'2-报价汇总'!$I$5</f>
        <v>0</v>
      </c>
      <c r="N62" s="297">
        <f>(M62+L62+K62+J62+I62)*'2-报价汇总'!$J$5</f>
        <v>0</v>
      </c>
      <c r="O62" s="86">
        <f t="shared" si="1"/>
        <v>26791.26</v>
      </c>
      <c r="P62" s="297"/>
      <c r="Q62" s="21"/>
    </row>
    <row r="63" ht="25.5" spans="1:17">
      <c r="A63" s="24" t="s">
        <v>1018</v>
      </c>
      <c r="B63" s="298" t="s">
        <v>1019</v>
      </c>
      <c r="C63" s="31" t="s">
        <v>918</v>
      </c>
      <c r="D63" s="31" t="s">
        <v>919</v>
      </c>
      <c r="E63" s="31" t="s">
        <v>340</v>
      </c>
      <c r="F63" s="241" t="s">
        <v>78</v>
      </c>
      <c r="G63" s="32">
        <v>6000</v>
      </c>
      <c r="H63" s="296">
        <f t="shared" si="2"/>
        <v>36.0873</v>
      </c>
      <c r="I63" s="85">
        <v>11.89</v>
      </c>
      <c r="J63" s="128">
        <v>23.4</v>
      </c>
      <c r="K63" s="128">
        <v>0.44</v>
      </c>
      <c r="L63" s="299">
        <f>(I63+J63+K63)*'2-报价汇总'!$H$5</f>
        <v>0.3573</v>
      </c>
      <c r="M63" s="300">
        <f>(I63+J63+K63+L63)*'2-报价汇总'!$I$5</f>
        <v>0</v>
      </c>
      <c r="N63" s="300">
        <f>(M63+L63+K63+J63+I63)*'2-报价汇总'!$J$5</f>
        <v>0</v>
      </c>
      <c r="O63" s="86">
        <f t="shared" si="1"/>
        <v>216523.8</v>
      </c>
      <c r="P63" s="301">
        <v>41.68</v>
      </c>
      <c r="Q63" s="158"/>
    </row>
    <row r="64" ht="25.5" spans="1:17">
      <c r="A64" s="24" t="s">
        <v>1020</v>
      </c>
      <c r="B64" s="298" t="s">
        <v>1021</v>
      </c>
      <c r="C64" s="31" t="s">
        <v>918</v>
      </c>
      <c r="D64" s="31" t="s">
        <v>919</v>
      </c>
      <c r="E64" s="31" t="s">
        <v>340</v>
      </c>
      <c r="F64" s="241" t="s">
        <v>78</v>
      </c>
      <c r="G64" s="32">
        <v>6000</v>
      </c>
      <c r="H64" s="296">
        <f t="shared" si="2"/>
        <v>42.9452</v>
      </c>
      <c r="I64" s="85">
        <v>12.08</v>
      </c>
      <c r="J64" s="129">
        <v>30</v>
      </c>
      <c r="K64" s="128">
        <v>0.44</v>
      </c>
      <c r="L64" s="299">
        <f>(I64+J64+K64)*'2-报价汇总'!$H$5</f>
        <v>0.4252</v>
      </c>
      <c r="M64" s="300">
        <f>(I64+J64+K64+L64)*'2-报价汇总'!$I$5</f>
        <v>0</v>
      </c>
      <c r="N64" s="300">
        <f>(M64+L64+K64+J64+I64)*'2-报价汇总'!$J$5</f>
        <v>0</v>
      </c>
      <c r="O64" s="86">
        <f t="shared" si="1"/>
        <v>257671.2</v>
      </c>
      <c r="P64" s="301">
        <v>49.6</v>
      </c>
      <c r="Q64" s="158"/>
    </row>
    <row r="65" ht="25.5" spans="1:17">
      <c r="A65" s="24" t="s">
        <v>1022</v>
      </c>
      <c r="B65" s="298" t="s">
        <v>1023</v>
      </c>
      <c r="C65" s="31" t="s">
        <v>918</v>
      </c>
      <c r="D65" s="31" t="s">
        <v>919</v>
      </c>
      <c r="E65" s="31" t="s">
        <v>340</v>
      </c>
      <c r="F65" s="241" t="s">
        <v>78</v>
      </c>
      <c r="G65" s="32">
        <v>6000</v>
      </c>
      <c r="H65" s="296">
        <f t="shared" si="2"/>
        <v>135.5117</v>
      </c>
      <c r="I65" s="85">
        <v>26.71</v>
      </c>
      <c r="J65" s="129">
        <v>106.45</v>
      </c>
      <c r="K65" s="129">
        <v>1.01</v>
      </c>
      <c r="L65" s="299">
        <f>(I65+J65+K65)*'2-报价汇总'!$H$5</f>
        <v>1.3417</v>
      </c>
      <c r="M65" s="300">
        <f>(I65+J65+K65+L65)*'2-报价汇总'!$I$5</f>
        <v>0</v>
      </c>
      <c r="N65" s="300">
        <f>(M65+L65+K65+J65+I65)*'2-报价汇总'!$J$5</f>
        <v>0</v>
      </c>
      <c r="O65" s="86">
        <f t="shared" si="1"/>
        <v>813070.2</v>
      </c>
      <c r="P65" s="301">
        <v>156.52</v>
      </c>
      <c r="Q65" s="158"/>
    </row>
    <row r="66" ht="25.5" spans="1:17">
      <c r="A66" s="24" t="s">
        <v>1024</v>
      </c>
      <c r="B66" s="298" t="s">
        <v>1025</v>
      </c>
      <c r="C66" s="31" t="s">
        <v>918</v>
      </c>
      <c r="D66" s="31" t="s">
        <v>919</v>
      </c>
      <c r="E66" s="31" t="s">
        <v>340</v>
      </c>
      <c r="F66" s="241" t="s">
        <v>78</v>
      </c>
      <c r="G66" s="32">
        <v>6000</v>
      </c>
      <c r="H66" s="296">
        <f t="shared" si="2"/>
        <v>301.1921</v>
      </c>
      <c r="I66" s="85">
        <v>128.58</v>
      </c>
      <c r="J66" s="128">
        <v>169.19</v>
      </c>
      <c r="K66" s="128">
        <v>0.44</v>
      </c>
      <c r="L66" s="299">
        <f>(I66+J66+K66)*'2-报价汇总'!$H$5</f>
        <v>2.9821</v>
      </c>
      <c r="M66" s="300">
        <f>(I66+J66+K66+L66)*'2-报价汇总'!$I$5</f>
        <v>0</v>
      </c>
      <c r="N66" s="300">
        <f>(M66+L66+K66+J66+I66)*'2-报价汇总'!$J$5</f>
        <v>0</v>
      </c>
      <c r="O66" s="86">
        <f t="shared" si="1"/>
        <v>1807152.6</v>
      </c>
      <c r="P66" s="301">
        <v>347.88</v>
      </c>
      <c r="Q66" s="158"/>
    </row>
    <row r="67" ht="25.5" spans="1:17">
      <c r="A67" s="24" t="s">
        <v>1026</v>
      </c>
      <c r="B67" s="298" t="s">
        <v>1027</v>
      </c>
      <c r="C67" s="31" t="s">
        <v>918</v>
      </c>
      <c r="D67" s="31" t="s">
        <v>919</v>
      </c>
      <c r="E67" s="31" t="s">
        <v>340</v>
      </c>
      <c r="F67" s="241" t="s">
        <v>78</v>
      </c>
      <c r="G67" s="32">
        <v>6000</v>
      </c>
      <c r="H67" s="296">
        <f t="shared" si="2"/>
        <v>378.073805</v>
      </c>
      <c r="I67" s="85">
        <v>100.32</v>
      </c>
      <c r="J67" s="129">
        <v>272.9105</v>
      </c>
      <c r="K67" s="129">
        <v>1.1</v>
      </c>
      <c r="L67" s="299">
        <f>(I67+J67+K67)*'2-报价汇总'!$H$5</f>
        <v>3.743305</v>
      </c>
      <c r="M67" s="300">
        <f>(I67+J67+K67+L67)*'2-报价汇总'!$I$5</f>
        <v>0</v>
      </c>
      <c r="N67" s="300">
        <f>(M67+L67+K67+J67+I67)*'2-报价汇总'!$J$5</f>
        <v>0</v>
      </c>
      <c r="O67" s="86">
        <f t="shared" si="1"/>
        <v>2268442.83</v>
      </c>
      <c r="P67" s="301">
        <v>436.68</v>
      </c>
      <c r="Q67" s="158"/>
    </row>
    <row r="68" ht="25.5" spans="1:17">
      <c r="A68" s="24" t="s">
        <v>1028</v>
      </c>
      <c r="B68" s="298" t="s">
        <v>1029</v>
      </c>
      <c r="C68" s="31" t="s">
        <v>918</v>
      </c>
      <c r="D68" s="31" t="s">
        <v>919</v>
      </c>
      <c r="E68" s="31" t="s">
        <v>340</v>
      </c>
      <c r="F68" s="241" t="s">
        <v>78</v>
      </c>
      <c r="G68" s="32">
        <v>6000</v>
      </c>
      <c r="H68" s="296">
        <f t="shared" si="2"/>
        <v>120.5839</v>
      </c>
      <c r="I68" s="85">
        <v>14.69</v>
      </c>
      <c r="J68" s="128">
        <v>103.6</v>
      </c>
      <c r="K68" s="128">
        <v>1.1</v>
      </c>
      <c r="L68" s="299">
        <f>(I68+J68+K68)*'2-报价汇总'!$H$5</f>
        <v>1.1939</v>
      </c>
      <c r="M68" s="300">
        <f>(I68+J68+K68+L68)*'2-报价汇总'!$I$5</f>
        <v>0</v>
      </c>
      <c r="N68" s="300">
        <f>(M68+L68+K68+J68+I68)*'2-报价汇总'!$J$5</f>
        <v>0</v>
      </c>
      <c r="O68" s="86">
        <f t="shared" si="1"/>
        <v>723503.4</v>
      </c>
      <c r="P68" s="301">
        <v>139.27</v>
      </c>
      <c r="Q68" s="158"/>
    </row>
    <row r="69" ht="25.5" spans="1:17">
      <c r="A69" s="24" t="s">
        <v>1030</v>
      </c>
      <c r="B69" s="298" t="s">
        <v>1031</v>
      </c>
      <c r="C69" s="31" t="s">
        <v>918</v>
      </c>
      <c r="D69" s="31" t="s">
        <v>919</v>
      </c>
      <c r="E69" s="31" t="s">
        <v>340</v>
      </c>
      <c r="F69" s="241" t="s">
        <v>78</v>
      </c>
      <c r="G69" s="32">
        <v>6000</v>
      </c>
      <c r="H69" s="296">
        <f t="shared" si="2"/>
        <v>904.3237</v>
      </c>
      <c r="I69" s="85">
        <v>162.63</v>
      </c>
      <c r="J69" s="129">
        <v>731.73</v>
      </c>
      <c r="K69" s="129">
        <v>1.01</v>
      </c>
      <c r="L69" s="299">
        <f>(I69+J69+K69)*'2-报价汇总'!$H$5</f>
        <v>8.9537</v>
      </c>
      <c r="M69" s="300">
        <f>(I69+J69+K69+L69)*'2-报价汇总'!$I$5</f>
        <v>0</v>
      </c>
      <c r="N69" s="300">
        <f>(M69+L69+K69+J69+I69)*'2-报价汇总'!$J$5</f>
        <v>0</v>
      </c>
      <c r="O69" s="86">
        <f t="shared" si="1"/>
        <v>5425942.2</v>
      </c>
      <c r="P69" s="301">
        <v>1044.49</v>
      </c>
      <c r="Q69" s="158"/>
    </row>
    <row r="70" ht="25.5" spans="1:17">
      <c r="A70" s="24" t="s">
        <v>1032</v>
      </c>
      <c r="B70" s="298" t="s">
        <v>1033</v>
      </c>
      <c r="C70" s="31" t="s">
        <v>918</v>
      </c>
      <c r="D70" s="31" t="s">
        <v>919</v>
      </c>
      <c r="E70" s="31" t="s">
        <v>340</v>
      </c>
      <c r="F70" s="241" t="s">
        <v>78</v>
      </c>
      <c r="G70" s="32">
        <v>6000</v>
      </c>
      <c r="H70" s="296">
        <f t="shared" si="2"/>
        <v>2205.4158</v>
      </c>
      <c r="I70" s="240">
        <v>300.17</v>
      </c>
      <c r="J70" s="299">
        <v>1882.4</v>
      </c>
      <c r="K70" s="129">
        <v>1.01</v>
      </c>
      <c r="L70" s="299">
        <f>(I70+J70+K70)*'2-报价汇总'!$H$5</f>
        <v>21.8358</v>
      </c>
      <c r="M70" s="300">
        <f>(I70+J70+K70+L70)*'2-报价汇总'!$I$5</f>
        <v>0</v>
      </c>
      <c r="N70" s="300">
        <f>(M70+L70+K70+J70+I70)*'2-报价汇总'!$J$5</f>
        <v>0</v>
      </c>
      <c r="O70" s="86">
        <f t="shared" si="1"/>
        <v>13232494.8</v>
      </c>
      <c r="P70" s="301">
        <v>2547.26</v>
      </c>
      <c r="Q70" s="158"/>
    </row>
    <row r="71" ht="25.5" spans="1:17">
      <c r="A71" s="24" t="s">
        <v>1034</v>
      </c>
      <c r="B71" s="298" t="s">
        <v>1035</v>
      </c>
      <c r="C71" s="31" t="s">
        <v>918</v>
      </c>
      <c r="D71" s="31" t="s">
        <v>919</v>
      </c>
      <c r="E71" s="31" t="s">
        <v>340</v>
      </c>
      <c r="F71" s="241" t="s">
        <v>78</v>
      </c>
      <c r="G71" s="32">
        <v>6000</v>
      </c>
      <c r="H71" s="296">
        <f t="shared" si="2"/>
        <v>791.9309</v>
      </c>
      <c r="I71" s="240">
        <v>297.02</v>
      </c>
      <c r="J71" s="299">
        <v>486.06</v>
      </c>
      <c r="K71" s="129">
        <v>1.01</v>
      </c>
      <c r="L71" s="299">
        <f>(I71+J71+K71)*'2-报价汇总'!$H$5</f>
        <v>7.8409</v>
      </c>
      <c r="M71" s="300">
        <f>(I71+J71+K71+L71)*'2-报价汇总'!$I$5</f>
        <v>0</v>
      </c>
      <c r="N71" s="300">
        <f>(M71+L71+K71+J71+I71)*'2-报价汇总'!$J$5</f>
        <v>0</v>
      </c>
      <c r="O71" s="86">
        <f>G71*H71</f>
        <v>4751585.4</v>
      </c>
      <c r="P71" s="301">
        <v>914.68</v>
      </c>
      <c r="Q71" s="158"/>
    </row>
    <row r="72" ht="25.5" spans="1:17">
      <c r="A72" s="24" t="s">
        <v>1036</v>
      </c>
      <c r="B72" s="298" t="s">
        <v>1037</v>
      </c>
      <c r="C72" s="31" t="s">
        <v>918</v>
      </c>
      <c r="D72" s="31" t="s">
        <v>919</v>
      </c>
      <c r="E72" s="31" t="s">
        <v>340</v>
      </c>
      <c r="F72" s="241" t="s">
        <v>78</v>
      </c>
      <c r="G72" s="32">
        <v>6000</v>
      </c>
      <c r="H72" s="296">
        <f t="shared" si="2"/>
        <v>588.74415</v>
      </c>
      <c r="I72" s="85">
        <v>168.63</v>
      </c>
      <c r="J72" s="129">
        <v>413.275</v>
      </c>
      <c r="K72" s="129">
        <v>1.01</v>
      </c>
      <c r="L72" s="299">
        <f>(I72+J72+K72)*'2-报价汇总'!$H$5</f>
        <v>5.82915</v>
      </c>
      <c r="M72" s="300">
        <f>(I72+J72+K72+L72)*'2-报价汇总'!$I$5</f>
        <v>0</v>
      </c>
      <c r="N72" s="300">
        <f>(M72+L72+K72+J72+I72)*'2-报价汇总'!$J$5</f>
        <v>0</v>
      </c>
      <c r="O72" s="86">
        <f>G72*H72</f>
        <v>3532464.9</v>
      </c>
      <c r="P72" s="301">
        <v>680</v>
      </c>
      <c r="Q72" s="158"/>
    </row>
    <row r="73" ht="25.5" spans="1:17">
      <c r="A73" s="24" t="s">
        <v>1038</v>
      </c>
      <c r="B73" s="298" t="s">
        <v>1039</v>
      </c>
      <c r="C73" s="31" t="s">
        <v>918</v>
      </c>
      <c r="D73" s="31" t="s">
        <v>919</v>
      </c>
      <c r="E73" s="31" t="s">
        <v>340</v>
      </c>
      <c r="F73" s="241" t="s">
        <v>78</v>
      </c>
      <c r="G73" s="32">
        <v>5000</v>
      </c>
      <c r="H73" s="296">
        <f t="shared" si="2"/>
        <v>744.5922</v>
      </c>
      <c r="I73" s="85">
        <v>145.67</v>
      </c>
      <c r="J73" s="129">
        <v>590.54</v>
      </c>
      <c r="K73" s="129">
        <v>1.01</v>
      </c>
      <c r="L73" s="299">
        <f>(I73+J73+K73)*'2-报价汇总'!$H$5</f>
        <v>7.3722</v>
      </c>
      <c r="M73" s="300">
        <f>(I73+J73+K73+L73)*'2-报价汇总'!$I$5</f>
        <v>0</v>
      </c>
      <c r="N73" s="300">
        <f>(M73+L73+K73+J73+I73)*'2-报价汇总'!$J$5</f>
        <v>0</v>
      </c>
      <c r="O73" s="86">
        <f>G73*H73</f>
        <v>3722961</v>
      </c>
      <c r="P73" s="301">
        <v>860</v>
      </c>
      <c r="Q73" s="158"/>
    </row>
    <row r="74" ht="25.5" spans="1:17">
      <c r="A74" s="24" t="s">
        <v>1040</v>
      </c>
      <c r="B74" s="298" t="s">
        <v>1041</v>
      </c>
      <c r="C74" s="31" t="s">
        <v>918</v>
      </c>
      <c r="D74" s="31" t="s">
        <v>919</v>
      </c>
      <c r="E74" s="31" t="s">
        <v>340</v>
      </c>
      <c r="F74" s="241" t="s">
        <v>78</v>
      </c>
      <c r="G74" s="32">
        <v>5000</v>
      </c>
      <c r="H74" s="296">
        <f t="shared" si="2"/>
        <v>242.4202</v>
      </c>
      <c r="I74" s="85">
        <v>69</v>
      </c>
      <c r="J74" s="129">
        <v>170.01</v>
      </c>
      <c r="K74" s="129">
        <v>1.01</v>
      </c>
      <c r="L74" s="299">
        <f>(I74+J74+K74)*'2-报价汇总'!$H$5</f>
        <v>2.4002</v>
      </c>
      <c r="M74" s="300">
        <f>(I74+J74+K74+L74)*'2-报价汇总'!$I$5</f>
        <v>0</v>
      </c>
      <c r="N74" s="300">
        <f>(M74+L74+K74+J74+I74)*'2-报价汇总'!$J$5</f>
        <v>0</v>
      </c>
      <c r="O74" s="86">
        <f>G74*H74</f>
        <v>1212101</v>
      </c>
      <c r="P74" s="301">
        <v>280</v>
      </c>
      <c r="Q74" s="158"/>
    </row>
    <row r="75" ht="25.5" spans="1:17">
      <c r="A75" s="24" t="s">
        <v>1042</v>
      </c>
      <c r="B75" s="298" t="s">
        <v>1043</v>
      </c>
      <c r="C75" s="31" t="s">
        <v>918</v>
      </c>
      <c r="D75" s="31" t="s">
        <v>919</v>
      </c>
      <c r="E75" s="31" t="s">
        <v>340</v>
      </c>
      <c r="F75" s="241" t="s">
        <v>78</v>
      </c>
      <c r="G75" s="32">
        <v>5000</v>
      </c>
      <c r="H75" s="296">
        <f t="shared" si="2"/>
        <v>99.5658</v>
      </c>
      <c r="I75" s="85">
        <v>15.14</v>
      </c>
      <c r="J75" s="128">
        <v>83</v>
      </c>
      <c r="K75" s="128">
        <v>0.44</v>
      </c>
      <c r="L75" s="299">
        <f>(I75+J75+K75)*'2-报价汇总'!$H$5</f>
        <v>0.9858</v>
      </c>
      <c r="M75" s="300">
        <f>(I75+J75+K75+L75)*'2-报价汇总'!$I$5</f>
        <v>0</v>
      </c>
      <c r="N75" s="300">
        <f>(M75+L75+K75+J75+I75)*'2-报价汇总'!$J$5</f>
        <v>0</v>
      </c>
      <c r="O75" s="86">
        <f>G75*H75</f>
        <v>497829</v>
      </c>
      <c r="P75" s="301">
        <v>115</v>
      </c>
      <c r="Q75" s="158"/>
    </row>
    <row r="76" ht="25.5" spans="1:17">
      <c r="A76" s="24" t="s">
        <v>1044</v>
      </c>
      <c r="B76" s="298" t="s">
        <v>1045</v>
      </c>
      <c r="C76" s="31" t="s">
        <v>918</v>
      </c>
      <c r="D76" s="31" t="s">
        <v>919</v>
      </c>
      <c r="E76" s="31" t="s">
        <v>340</v>
      </c>
      <c r="F76" s="241" t="s">
        <v>78</v>
      </c>
      <c r="G76" s="32">
        <v>5000</v>
      </c>
      <c r="H76" s="302">
        <f t="shared" ref="H76:H100" si="3">SUM(I76:N76)</f>
        <v>10828.5736</v>
      </c>
      <c r="I76" s="240">
        <v>500.16</v>
      </c>
      <c r="J76" s="299">
        <v>10220.19</v>
      </c>
      <c r="K76" s="129">
        <v>1.01</v>
      </c>
      <c r="L76" s="299">
        <f>(I76+J76+K76)*'2-报价汇总'!$H$5</f>
        <v>107.2136</v>
      </c>
      <c r="M76" s="300">
        <f>(I76+J76+K76+L76)*'2-报价汇总'!$I$5</f>
        <v>0</v>
      </c>
      <c r="N76" s="300">
        <f>(M76+L76+K76+J76+I76)*'2-报价汇总'!$J$5</f>
        <v>0</v>
      </c>
      <c r="O76" s="86">
        <f t="shared" ref="O76:O100" si="4">G76*H76</f>
        <v>54142868</v>
      </c>
      <c r="P76" s="301">
        <v>12507</v>
      </c>
      <c r="Q76" s="158"/>
    </row>
    <row r="77" ht="25.5" spans="1:17">
      <c r="A77" s="24" t="s">
        <v>1046</v>
      </c>
      <c r="B77" s="298" t="s">
        <v>1047</v>
      </c>
      <c r="C77" s="31" t="s">
        <v>918</v>
      </c>
      <c r="D77" s="31" t="s">
        <v>919</v>
      </c>
      <c r="E77" s="31" t="s">
        <v>340</v>
      </c>
      <c r="F77" s="241" t="s">
        <v>78</v>
      </c>
      <c r="G77" s="32">
        <v>5000</v>
      </c>
      <c r="H77" s="302">
        <f t="shared" si="3"/>
        <v>84.1532</v>
      </c>
      <c r="I77" s="240">
        <v>10.39</v>
      </c>
      <c r="J77" s="299">
        <v>71.92</v>
      </c>
      <c r="K77" s="299">
        <v>1.01</v>
      </c>
      <c r="L77" s="299">
        <f>(I77+J77+K77)*'2-报价汇总'!$H$5</f>
        <v>0.8332</v>
      </c>
      <c r="M77" s="300">
        <f>(I77+J77+K77+L77)*'2-报价汇总'!$I$5</f>
        <v>0</v>
      </c>
      <c r="N77" s="300">
        <f>(M77+L77+K77+J77+I77)*'2-报价汇总'!$J$5</f>
        <v>0</v>
      </c>
      <c r="O77" s="86">
        <f t="shared" si="4"/>
        <v>420766</v>
      </c>
      <c r="P77" s="301">
        <v>97.2</v>
      </c>
      <c r="Q77" s="158"/>
    </row>
    <row r="78" ht="25.5" spans="1:17">
      <c r="A78" s="24" t="s">
        <v>1048</v>
      </c>
      <c r="B78" s="298" t="s">
        <v>1049</v>
      </c>
      <c r="C78" s="31" t="s">
        <v>918</v>
      </c>
      <c r="D78" s="31" t="s">
        <v>919</v>
      </c>
      <c r="E78" s="31" t="s">
        <v>340</v>
      </c>
      <c r="F78" s="241" t="s">
        <v>78</v>
      </c>
      <c r="G78" s="32">
        <v>5000</v>
      </c>
      <c r="H78" s="302">
        <f t="shared" si="3"/>
        <v>1262.72725</v>
      </c>
      <c r="I78" s="240">
        <v>143.575</v>
      </c>
      <c r="J78" s="299">
        <v>1105.64</v>
      </c>
      <c r="K78" s="129">
        <v>1.01</v>
      </c>
      <c r="L78" s="299">
        <f>(I78+J78+K78)*'2-报价汇总'!$H$5</f>
        <v>12.50225</v>
      </c>
      <c r="M78" s="300">
        <f>(I78+J78+K78+L78)*'2-报价汇总'!$I$5</f>
        <v>0</v>
      </c>
      <c r="N78" s="300">
        <f>(M78+L78+K78+J78+I78)*'2-报价汇总'!$J$5</f>
        <v>0</v>
      </c>
      <c r="O78" s="86">
        <f t="shared" si="4"/>
        <v>6313636.25</v>
      </c>
      <c r="P78" s="301">
        <v>1458.45</v>
      </c>
      <c r="Q78" s="158"/>
    </row>
    <row r="79" ht="25.5" spans="1:17">
      <c r="A79" s="24" t="s">
        <v>1050</v>
      </c>
      <c r="B79" s="298" t="s">
        <v>1051</v>
      </c>
      <c r="C79" s="31" t="s">
        <v>918</v>
      </c>
      <c r="D79" s="31" t="s">
        <v>919</v>
      </c>
      <c r="E79" s="31" t="s">
        <v>340</v>
      </c>
      <c r="F79" s="241" t="s">
        <v>78</v>
      </c>
      <c r="G79" s="32">
        <v>5000</v>
      </c>
      <c r="H79" s="302">
        <f t="shared" si="3"/>
        <v>2932.27745</v>
      </c>
      <c r="I79" s="240">
        <v>215.865</v>
      </c>
      <c r="J79" s="299">
        <v>2686.37</v>
      </c>
      <c r="K79" s="129">
        <v>1.01</v>
      </c>
      <c r="L79" s="299">
        <f>(I79+J79+K79)*'2-报价汇总'!$H$5</f>
        <v>29.03245</v>
      </c>
      <c r="M79" s="300">
        <f>(I79+J79+K79+L79)*'2-报价汇总'!$I$5</f>
        <v>0</v>
      </c>
      <c r="N79" s="300">
        <f>(M79+L79+K79+J79+I79)*'2-报价汇总'!$J$5</f>
        <v>0</v>
      </c>
      <c r="O79" s="86">
        <f t="shared" si="4"/>
        <v>14661387.25</v>
      </c>
      <c r="P79" s="301">
        <v>3386.78</v>
      </c>
      <c r="Q79" s="158"/>
    </row>
    <row r="80" ht="25.5" spans="1:17">
      <c r="A80" s="24" t="s">
        <v>1052</v>
      </c>
      <c r="B80" s="298" t="s">
        <v>1053</v>
      </c>
      <c r="C80" s="31" t="s">
        <v>918</v>
      </c>
      <c r="D80" s="31" t="s">
        <v>919</v>
      </c>
      <c r="E80" s="31" t="s">
        <v>340</v>
      </c>
      <c r="F80" s="241" t="s">
        <v>78</v>
      </c>
      <c r="G80" s="32">
        <v>5000</v>
      </c>
      <c r="H80" s="302">
        <f t="shared" si="3"/>
        <v>3989.78785</v>
      </c>
      <c r="I80" s="240">
        <v>255.865</v>
      </c>
      <c r="J80" s="299">
        <v>3693.41</v>
      </c>
      <c r="K80" s="129">
        <v>1.01</v>
      </c>
      <c r="L80" s="299">
        <f>(I80+J80+K80)*'2-报价汇总'!$H$5</f>
        <v>39.50285</v>
      </c>
      <c r="M80" s="300">
        <f>(I80+J80+K80+L80)*'2-报价汇总'!$I$5</f>
        <v>0</v>
      </c>
      <c r="N80" s="300">
        <f>(M80+L80+K80+J80+I80)*'2-报价汇总'!$J$5</f>
        <v>0</v>
      </c>
      <c r="O80" s="86">
        <f t="shared" si="4"/>
        <v>19948939.25</v>
      </c>
      <c r="P80" s="301">
        <v>4608.2</v>
      </c>
      <c r="Q80" s="158"/>
    </row>
    <row r="81" ht="25.5" spans="1:17">
      <c r="A81" s="24" t="s">
        <v>1054</v>
      </c>
      <c r="B81" s="298" t="s">
        <v>1055</v>
      </c>
      <c r="C81" s="31" t="s">
        <v>918</v>
      </c>
      <c r="D81" s="31" t="s">
        <v>919</v>
      </c>
      <c r="E81" s="31" t="s">
        <v>340</v>
      </c>
      <c r="F81" s="241" t="s">
        <v>78</v>
      </c>
      <c r="G81" s="32">
        <v>5000</v>
      </c>
      <c r="H81" s="302">
        <f t="shared" si="3"/>
        <v>135.14305</v>
      </c>
      <c r="I81" s="85">
        <v>16.025</v>
      </c>
      <c r="J81" s="129">
        <v>117.34</v>
      </c>
      <c r="K81" s="129">
        <v>0.44</v>
      </c>
      <c r="L81" s="299">
        <f>(I81+J81+K81)*'2-报价汇总'!$H$5</f>
        <v>1.33805</v>
      </c>
      <c r="M81" s="300">
        <f>(I81+J81+K81+L81)*'2-报价汇总'!$I$5</f>
        <v>0</v>
      </c>
      <c r="N81" s="300">
        <f>(M81+L81+K81+J81+I81)*'2-报价汇总'!$J$5</f>
        <v>0</v>
      </c>
      <c r="O81" s="86">
        <f t="shared" si="4"/>
        <v>675715.25</v>
      </c>
      <c r="P81" s="301">
        <v>156.09</v>
      </c>
      <c r="Q81" s="158"/>
    </row>
    <row r="82" ht="25.5" spans="1:17">
      <c r="A82" s="24" t="s">
        <v>1056</v>
      </c>
      <c r="B82" s="30" t="s">
        <v>1057</v>
      </c>
      <c r="C82" s="31" t="s">
        <v>918</v>
      </c>
      <c r="D82" s="31" t="s">
        <v>919</v>
      </c>
      <c r="E82" s="31" t="s">
        <v>340</v>
      </c>
      <c r="F82" s="24" t="s">
        <v>78</v>
      </c>
      <c r="G82" s="32">
        <v>300</v>
      </c>
      <c r="H82" s="296">
        <f t="shared" si="3"/>
        <v>68.3477056277057</v>
      </c>
      <c r="I82" s="85">
        <v>28.8109956709957</v>
      </c>
      <c r="J82" s="85">
        <v>37.87</v>
      </c>
      <c r="K82" s="85">
        <v>0.99</v>
      </c>
      <c r="L82" s="125">
        <f>(I82+J82+K82)*'2-报价汇总'!$H$5</f>
        <v>0.676709956709957</v>
      </c>
      <c r="M82" s="297">
        <f>(I82+J82+K82+L82)*'2-报价汇总'!$I$5</f>
        <v>0</v>
      </c>
      <c r="N82" s="297">
        <f>(M82+L82+K82+J82+I82)*'2-报价汇总'!$J$5</f>
        <v>0</v>
      </c>
      <c r="O82" s="86">
        <f t="shared" si="4"/>
        <v>20504.3116883117</v>
      </c>
      <c r="P82" s="297"/>
      <c r="Q82" s="21"/>
    </row>
    <row r="83" ht="25.5" spans="1:17">
      <c r="A83" s="24" t="s">
        <v>1058</v>
      </c>
      <c r="B83" s="30" t="s">
        <v>1059</v>
      </c>
      <c r="C83" s="31" t="s">
        <v>918</v>
      </c>
      <c r="D83" s="31" t="s">
        <v>919</v>
      </c>
      <c r="E83" s="31" t="s">
        <v>340</v>
      </c>
      <c r="F83" s="24" t="s">
        <v>78</v>
      </c>
      <c r="G83" s="32">
        <v>3646.05637506874</v>
      </c>
      <c r="H83" s="296">
        <f t="shared" si="3"/>
        <v>51.3569696969696</v>
      </c>
      <c r="I83" s="85">
        <v>14.5484848484848</v>
      </c>
      <c r="J83" s="85">
        <v>35.86</v>
      </c>
      <c r="K83" s="85">
        <v>0.44</v>
      </c>
      <c r="L83" s="125">
        <f>(I83+J83+K83)*'2-报价汇总'!$H$5</f>
        <v>0.508484848484848</v>
      </c>
      <c r="M83" s="297">
        <f>(I83+J83+K83+L83)*'2-报价汇总'!$I$5</f>
        <v>0</v>
      </c>
      <c r="N83" s="297">
        <f>(M83+L83+K83+J83+I83)*'2-报价汇总'!$J$5</f>
        <v>0</v>
      </c>
      <c r="O83" s="86">
        <f t="shared" si="4"/>
        <v>187250.406767848</v>
      </c>
      <c r="P83" s="297"/>
      <c r="Q83" s="21"/>
    </row>
    <row r="84" ht="25.5" spans="1:17">
      <c r="A84" s="24" t="s">
        <v>1060</v>
      </c>
      <c r="B84" s="30" t="s">
        <v>1061</v>
      </c>
      <c r="C84" s="31" t="s">
        <v>918</v>
      </c>
      <c r="D84" s="31" t="s">
        <v>919</v>
      </c>
      <c r="E84" s="31" t="s">
        <v>340</v>
      </c>
      <c r="F84" s="24" t="s">
        <v>78</v>
      </c>
      <c r="G84" s="32">
        <v>911.514093767184</v>
      </c>
      <c r="H84" s="296">
        <f t="shared" si="3"/>
        <v>26.601038961039</v>
      </c>
      <c r="I84" s="85">
        <v>7.71766233766234</v>
      </c>
      <c r="J84" s="125">
        <v>18.18</v>
      </c>
      <c r="K84" s="125">
        <v>0.44</v>
      </c>
      <c r="L84" s="125">
        <f>(I84+J84+K84)*'2-报价汇总'!$H$5</f>
        <v>0.263376623376623</v>
      </c>
      <c r="M84" s="297">
        <f>(I84+J84+K84+L84)*'2-报价汇总'!$I$5</f>
        <v>0</v>
      </c>
      <c r="N84" s="297">
        <f>(M84+L84+K84+J84+I84)*'2-报价汇总'!$J$5</f>
        <v>0</v>
      </c>
      <c r="O84" s="86">
        <f t="shared" si="4"/>
        <v>24247.221921837</v>
      </c>
      <c r="P84" s="297"/>
      <c r="Q84" s="21"/>
    </row>
    <row r="85" ht="25.5" spans="1:17">
      <c r="A85" s="24" t="s">
        <v>1062</v>
      </c>
      <c r="B85" s="30" t="s">
        <v>1063</v>
      </c>
      <c r="C85" s="31" t="s">
        <v>918</v>
      </c>
      <c r="D85" s="31" t="s">
        <v>919</v>
      </c>
      <c r="E85" s="31" t="s">
        <v>340</v>
      </c>
      <c r="F85" s="24" t="s">
        <v>78</v>
      </c>
      <c r="G85" s="32">
        <v>5469.0845626031</v>
      </c>
      <c r="H85" s="296">
        <f t="shared" si="3"/>
        <v>30.1863203463204</v>
      </c>
      <c r="I85" s="85">
        <v>6.52744588744589</v>
      </c>
      <c r="J85" s="125">
        <v>22.35</v>
      </c>
      <c r="K85" s="125">
        <v>1.01</v>
      </c>
      <c r="L85" s="125">
        <f>(I85+J85+K85)*'2-报价汇总'!$H$5</f>
        <v>0.298874458874459</v>
      </c>
      <c r="M85" s="297">
        <f>(I85+J85+K85+L85)*'2-报价汇总'!$I$5</f>
        <v>0</v>
      </c>
      <c r="N85" s="297">
        <f>(M85+L85+K85+J85+I85)*'2-报价汇总'!$J$5</f>
        <v>0</v>
      </c>
      <c r="O85" s="86">
        <f t="shared" si="4"/>
        <v>165091.538607852</v>
      </c>
      <c r="P85" s="297"/>
      <c r="Q85" s="21"/>
    </row>
    <row r="86" ht="25.5" spans="1:17">
      <c r="A86" s="24" t="s">
        <v>1064</v>
      </c>
      <c r="B86" s="30" t="s">
        <v>1065</v>
      </c>
      <c r="C86" s="31" t="s">
        <v>918</v>
      </c>
      <c r="D86" s="31" t="s">
        <v>919</v>
      </c>
      <c r="E86" s="31" t="s">
        <v>340</v>
      </c>
      <c r="F86" s="24" t="s">
        <v>78</v>
      </c>
      <c r="G86" s="32">
        <v>2734.54228130155</v>
      </c>
      <c r="H86" s="296">
        <f t="shared" si="3"/>
        <v>30.9995670995671</v>
      </c>
      <c r="I86" s="85">
        <v>6.33264069264069</v>
      </c>
      <c r="J86" s="125">
        <v>23.21</v>
      </c>
      <c r="K86" s="125">
        <v>1.15</v>
      </c>
      <c r="L86" s="125">
        <f>(I86+J86+K86)*'2-报价汇总'!$H$5</f>
        <v>0.306926406926407</v>
      </c>
      <c r="M86" s="297">
        <f>(I86+J86+K86+L86)*'2-报价汇总'!$I$5</f>
        <v>0</v>
      </c>
      <c r="N86" s="297">
        <f>(M86+L86+K86+J86+I86)*'2-报价汇总'!$J$5</f>
        <v>0</v>
      </c>
      <c r="O86" s="86">
        <f t="shared" si="4"/>
        <v>84769.6269358107</v>
      </c>
      <c r="P86" s="297"/>
      <c r="Q86" s="21"/>
    </row>
    <row r="87" ht="25.5" spans="1:17">
      <c r="A87" s="24" t="s">
        <v>1066</v>
      </c>
      <c r="B87" s="30" t="s">
        <v>1067</v>
      </c>
      <c r="C87" s="31" t="s">
        <v>918</v>
      </c>
      <c r="D87" s="31" t="s">
        <v>919</v>
      </c>
      <c r="E87" s="31" t="s">
        <v>340</v>
      </c>
      <c r="F87" s="24" t="s">
        <v>78</v>
      </c>
      <c r="G87" s="32">
        <v>2734.54228130155</v>
      </c>
      <c r="H87" s="296">
        <f t="shared" si="3"/>
        <v>61.387012987013</v>
      </c>
      <c r="I87" s="85">
        <v>23.1692207792208</v>
      </c>
      <c r="J87" s="125">
        <v>36.53</v>
      </c>
      <c r="K87" s="125">
        <v>1.08</v>
      </c>
      <c r="L87" s="125">
        <f>(I87+J87+K87)*'2-报价汇总'!$H$5</f>
        <v>0.607792207792208</v>
      </c>
      <c r="M87" s="297">
        <f>(I87+J87+K87+L87)*'2-报价汇总'!$I$5</f>
        <v>0</v>
      </c>
      <c r="N87" s="297">
        <f>(M87+L87+K87+J87+I87)*'2-报价汇总'!$J$5</f>
        <v>0</v>
      </c>
      <c r="O87" s="86">
        <f t="shared" si="4"/>
        <v>167865.382535794</v>
      </c>
      <c r="P87" s="297"/>
      <c r="Q87" s="21"/>
    </row>
    <row r="88" ht="25.5" spans="1:17">
      <c r="A88" s="24" t="s">
        <v>1068</v>
      </c>
      <c r="B88" s="30" t="s">
        <v>1069</v>
      </c>
      <c r="C88" s="31" t="s">
        <v>918</v>
      </c>
      <c r="D88" s="31" t="s">
        <v>919</v>
      </c>
      <c r="E88" s="31" t="s">
        <v>340</v>
      </c>
      <c r="F88" s="24" t="s">
        <v>78</v>
      </c>
      <c r="G88" s="32">
        <v>2734.54228130155</v>
      </c>
      <c r="H88" s="296">
        <f t="shared" si="3"/>
        <v>58.2127272727272</v>
      </c>
      <c r="I88" s="85">
        <v>18.1463636363636</v>
      </c>
      <c r="J88" s="125">
        <v>38.41</v>
      </c>
      <c r="K88" s="125">
        <v>1.08</v>
      </c>
      <c r="L88" s="125">
        <f>(I88+J88+K88)*'2-报价汇总'!$H$5</f>
        <v>0.576363636363636</v>
      </c>
      <c r="M88" s="297">
        <f>(I88+J88+K88+L88)*'2-报价汇总'!$I$5</f>
        <v>0</v>
      </c>
      <c r="N88" s="297">
        <f>(M88+L88+K88+J88+I88)*'2-报价汇总'!$J$5</f>
        <v>0</v>
      </c>
      <c r="O88" s="86">
        <f t="shared" si="4"/>
        <v>159185.164037148</v>
      </c>
      <c r="P88" s="297"/>
      <c r="Q88" s="21"/>
    </row>
    <row r="89" ht="25.5" spans="1:17">
      <c r="A89" s="24" t="s">
        <v>1070</v>
      </c>
      <c r="B89" s="30" t="s">
        <v>1071</v>
      </c>
      <c r="C89" s="31" t="s">
        <v>918</v>
      </c>
      <c r="D89" s="31" t="s">
        <v>919</v>
      </c>
      <c r="E89" s="31" t="s">
        <v>340</v>
      </c>
      <c r="F89" s="24" t="s">
        <v>78</v>
      </c>
      <c r="G89" s="32">
        <v>450</v>
      </c>
      <c r="H89" s="296">
        <f t="shared" si="3"/>
        <v>30.6935064935065</v>
      </c>
      <c r="I89" s="85">
        <v>10.1496103896104</v>
      </c>
      <c r="J89" s="85">
        <v>19.16</v>
      </c>
      <c r="K89" s="85">
        <v>1.08</v>
      </c>
      <c r="L89" s="125">
        <f>(I89+J89+K89)*'2-报价汇总'!$H$5</f>
        <v>0.303896103896104</v>
      </c>
      <c r="M89" s="297">
        <f>(I89+J89+K89+L89)*'2-报价汇总'!$I$5</f>
        <v>0</v>
      </c>
      <c r="N89" s="297">
        <f>(M89+L89+K89+J89+I89)*'2-报价汇总'!$J$5</f>
        <v>0</v>
      </c>
      <c r="O89" s="86">
        <f t="shared" si="4"/>
        <v>13812.0779220779</v>
      </c>
      <c r="P89" s="297"/>
      <c r="Q89" s="21"/>
    </row>
    <row r="90" ht="25.5" spans="1:17">
      <c r="A90" s="24" t="s">
        <v>1072</v>
      </c>
      <c r="B90" s="30" t="s">
        <v>1073</v>
      </c>
      <c r="C90" s="31" t="s">
        <v>918</v>
      </c>
      <c r="D90" s="31" t="s">
        <v>919</v>
      </c>
      <c r="E90" s="31" t="s">
        <v>340</v>
      </c>
      <c r="F90" s="24" t="s">
        <v>78</v>
      </c>
      <c r="G90" s="32">
        <v>450</v>
      </c>
      <c r="H90" s="296">
        <f t="shared" si="3"/>
        <v>30.6935064935065</v>
      </c>
      <c r="I90" s="85">
        <v>9.15961038961039</v>
      </c>
      <c r="J90" s="85">
        <v>20.15</v>
      </c>
      <c r="K90" s="85">
        <v>1.08</v>
      </c>
      <c r="L90" s="125">
        <f>(I90+J90+K90)*'2-报价汇总'!$H$5</f>
        <v>0.303896103896104</v>
      </c>
      <c r="M90" s="297">
        <f>(I90+J90+K90+L90)*'2-报价汇总'!$I$5</f>
        <v>0</v>
      </c>
      <c r="N90" s="297">
        <f>(M90+L90+K90+J90+I90)*'2-报价汇总'!$J$5</f>
        <v>0</v>
      </c>
      <c r="O90" s="86">
        <f t="shared" si="4"/>
        <v>13812.0779220779</v>
      </c>
      <c r="P90" s="297"/>
      <c r="Q90" s="21"/>
    </row>
    <row r="91" ht="25.5" spans="1:17">
      <c r="A91" s="24" t="s">
        <v>1074</v>
      </c>
      <c r="B91" s="30" t="s">
        <v>1075</v>
      </c>
      <c r="C91" s="31" t="s">
        <v>918</v>
      </c>
      <c r="D91" s="31" t="s">
        <v>919</v>
      </c>
      <c r="E91" s="31" t="s">
        <v>340</v>
      </c>
      <c r="F91" s="24" t="s">
        <v>78</v>
      </c>
      <c r="G91" s="32">
        <v>600</v>
      </c>
      <c r="H91" s="296">
        <f t="shared" si="3"/>
        <v>30.6935064935065</v>
      </c>
      <c r="I91" s="85">
        <v>8.15961038961039</v>
      </c>
      <c r="J91" s="125">
        <v>21.15</v>
      </c>
      <c r="K91" s="125">
        <v>1.08</v>
      </c>
      <c r="L91" s="125">
        <f>(I91+J91+K91)*'2-报价汇总'!$H$5</f>
        <v>0.303896103896104</v>
      </c>
      <c r="M91" s="297">
        <f>(I91+J91+K91+L91)*'2-报价汇总'!$I$5</f>
        <v>0</v>
      </c>
      <c r="N91" s="297">
        <f>(M91+L91+K91+J91+I91)*'2-报价汇总'!$J$5</f>
        <v>0</v>
      </c>
      <c r="O91" s="86">
        <f t="shared" si="4"/>
        <v>18416.1038961039</v>
      </c>
      <c r="P91" s="297"/>
      <c r="Q91" s="21"/>
    </row>
    <row r="92" ht="25.5" spans="1:17">
      <c r="A92" s="24" t="s">
        <v>1076</v>
      </c>
      <c r="B92" s="30" t="s">
        <v>1077</v>
      </c>
      <c r="C92" s="31" t="s">
        <v>918</v>
      </c>
      <c r="D92" s="31" t="s">
        <v>919</v>
      </c>
      <c r="E92" s="31" t="s">
        <v>340</v>
      </c>
      <c r="F92" s="24" t="s">
        <v>78</v>
      </c>
      <c r="G92" s="32">
        <v>600</v>
      </c>
      <c r="H92" s="296">
        <f t="shared" si="3"/>
        <v>69.5719480519481</v>
      </c>
      <c r="I92" s="85">
        <v>14.2431168831169</v>
      </c>
      <c r="J92" s="125">
        <v>53.56</v>
      </c>
      <c r="K92" s="125">
        <v>1.08</v>
      </c>
      <c r="L92" s="125">
        <f>(I92+J92+K92)*'2-报价汇总'!$H$5</f>
        <v>0.688831168831169</v>
      </c>
      <c r="M92" s="297">
        <f>(I92+J92+K92+L92)*'2-报价汇总'!$I$5</f>
        <v>0</v>
      </c>
      <c r="N92" s="297">
        <f>(M92+L92+K92+J92+I92)*'2-报价汇总'!$J$5</f>
        <v>0</v>
      </c>
      <c r="O92" s="86">
        <f t="shared" si="4"/>
        <v>41743.1688311688</v>
      </c>
      <c r="P92" s="297"/>
      <c r="Q92" s="21"/>
    </row>
    <row r="93" ht="25.5" spans="1:17">
      <c r="A93" s="24" t="s">
        <v>1078</v>
      </c>
      <c r="B93" s="298" t="s">
        <v>1079</v>
      </c>
      <c r="C93" s="31" t="s">
        <v>918</v>
      </c>
      <c r="D93" s="31" t="s">
        <v>919</v>
      </c>
      <c r="E93" s="31" t="s">
        <v>340</v>
      </c>
      <c r="F93" s="241" t="s">
        <v>78</v>
      </c>
      <c r="G93" s="32">
        <v>5000</v>
      </c>
      <c r="H93" s="302">
        <f t="shared" si="3"/>
        <v>1369.69635</v>
      </c>
      <c r="I93" s="296">
        <v>154.055</v>
      </c>
      <c r="J93" s="299">
        <v>1201</v>
      </c>
      <c r="K93" s="125">
        <v>1.08</v>
      </c>
      <c r="L93" s="299">
        <f>(I93+J93+K93)*'2-报价汇总'!$H$5</f>
        <v>13.56135</v>
      </c>
      <c r="M93" s="300">
        <f>(I93+J93+K93+L93)*'2-报价汇总'!$I$5</f>
        <v>0</v>
      </c>
      <c r="N93" s="300">
        <f>(M93+L93+K93+J93+I93)*'2-报价汇总'!$J$5</f>
        <v>0</v>
      </c>
      <c r="O93" s="86">
        <f t="shared" si="4"/>
        <v>6848481.75</v>
      </c>
      <c r="P93" s="301">
        <v>1582</v>
      </c>
      <c r="Q93" s="158"/>
    </row>
    <row r="94" ht="25.5" spans="1:17">
      <c r="A94" s="24" t="s">
        <v>1080</v>
      </c>
      <c r="B94" s="269" t="s">
        <v>1081</v>
      </c>
      <c r="C94" s="31" t="s">
        <v>918</v>
      </c>
      <c r="D94" s="31" t="s">
        <v>919</v>
      </c>
      <c r="E94" s="31" t="s">
        <v>340</v>
      </c>
      <c r="F94" s="250" t="s">
        <v>78</v>
      </c>
      <c r="G94" s="32">
        <v>600</v>
      </c>
      <c r="H94" s="296">
        <f t="shared" si="3"/>
        <v>181.0223</v>
      </c>
      <c r="I94" s="266">
        <v>18.15</v>
      </c>
      <c r="J94" s="303">
        <f>160</f>
        <v>160</v>
      </c>
      <c r="K94" s="303">
        <v>1.08</v>
      </c>
      <c r="L94" s="125">
        <f>(I94+J94+K94)*'2-报价汇总'!$H$5</f>
        <v>1.7923</v>
      </c>
      <c r="M94" s="297">
        <f>(I94+J94+K94+L94)*'2-报价汇总'!$I$5</f>
        <v>0</v>
      </c>
      <c r="N94" s="297">
        <f>(M94+L94+K94+J94+I94)*'2-报价汇总'!$J$5</f>
        <v>0</v>
      </c>
      <c r="O94" s="86">
        <f t="shared" si="4"/>
        <v>108613.38</v>
      </c>
      <c r="P94" s="297"/>
      <c r="Q94" s="21"/>
    </row>
    <row r="95" ht="51" spans="1:17">
      <c r="A95" s="24" t="s">
        <v>1082</v>
      </c>
      <c r="B95" s="30" t="s">
        <v>1083</v>
      </c>
      <c r="C95" s="31" t="s">
        <v>1084</v>
      </c>
      <c r="D95" s="31" t="s">
        <v>26</v>
      </c>
      <c r="E95" s="31" t="s">
        <v>1085</v>
      </c>
      <c r="F95" s="24" t="s">
        <v>89</v>
      </c>
      <c r="G95" s="32">
        <v>50000</v>
      </c>
      <c r="H95" s="296">
        <f t="shared" si="3"/>
        <v>42.8484848484848</v>
      </c>
      <c r="I95" s="85">
        <v>25.2542424242424</v>
      </c>
      <c r="J95" s="125">
        <v>16.61</v>
      </c>
      <c r="K95" s="125">
        <v>0.56</v>
      </c>
      <c r="L95" s="125">
        <f>(I95+J95+K95)*'2-报价汇总'!$H$5</f>
        <v>0.424242424242424</v>
      </c>
      <c r="M95" s="297">
        <f>(I95+J95+K95+L95)*'2-报价汇总'!$I$5</f>
        <v>0</v>
      </c>
      <c r="N95" s="297">
        <f>(M95+L95+K95+J95+I95)*'2-报价汇总'!$J$5</f>
        <v>0</v>
      </c>
      <c r="O95" s="86">
        <f t="shared" si="4"/>
        <v>2142424.24242424</v>
      </c>
      <c r="P95" s="297"/>
      <c r="Q95" s="21"/>
    </row>
    <row r="96" ht="51" spans="1:17">
      <c r="A96" s="24" t="s">
        <v>1086</v>
      </c>
      <c r="B96" s="30" t="s">
        <v>1087</v>
      </c>
      <c r="C96" s="31" t="s">
        <v>1084</v>
      </c>
      <c r="D96" s="31" t="s">
        <v>26</v>
      </c>
      <c r="E96" s="31" t="s">
        <v>1085</v>
      </c>
      <c r="F96" s="24" t="s">
        <v>89</v>
      </c>
      <c r="G96" s="32">
        <v>50000</v>
      </c>
      <c r="H96" s="296">
        <f t="shared" si="3"/>
        <v>48.969696969697</v>
      </c>
      <c r="I96" s="85">
        <v>23.3348484848485</v>
      </c>
      <c r="J96" s="85">
        <v>24.59</v>
      </c>
      <c r="K96" s="85">
        <v>0.56</v>
      </c>
      <c r="L96" s="125">
        <f>(I96+J96+K96)*'2-报价汇总'!$H$5</f>
        <v>0.484848484848485</v>
      </c>
      <c r="M96" s="297">
        <f>(I96+J96+K96+L96)*'2-报价汇总'!$I$5</f>
        <v>0</v>
      </c>
      <c r="N96" s="297">
        <f>(M96+L96+K96+J96+I96)*'2-报价汇总'!$J$5</f>
        <v>0</v>
      </c>
      <c r="O96" s="86">
        <f t="shared" si="4"/>
        <v>2448484.84848485</v>
      </c>
      <c r="P96" s="297"/>
      <c r="Q96" s="21"/>
    </row>
    <row r="97" ht="51" spans="1:17">
      <c r="A97" s="24" t="s">
        <v>1088</v>
      </c>
      <c r="B97" s="30" t="s">
        <v>1089</v>
      </c>
      <c r="C97" s="31" t="s">
        <v>1084</v>
      </c>
      <c r="D97" s="31" t="s">
        <v>26</v>
      </c>
      <c r="E97" s="31" t="s">
        <v>1085</v>
      </c>
      <c r="F97" s="24" t="s">
        <v>89</v>
      </c>
      <c r="G97" s="32">
        <v>50000</v>
      </c>
      <c r="H97" s="296">
        <f t="shared" si="3"/>
        <v>59.4632034632035</v>
      </c>
      <c r="I97" s="85">
        <v>24.9744588744589</v>
      </c>
      <c r="J97" s="85">
        <v>32.78</v>
      </c>
      <c r="K97" s="85">
        <v>1.12</v>
      </c>
      <c r="L97" s="125">
        <f>(I97+J97+K97)*'2-报价汇总'!$H$5</f>
        <v>0.588744588744589</v>
      </c>
      <c r="M97" s="297">
        <f>(I97+J97+K97+L97)*'2-报价汇总'!$I$5</f>
        <v>0</v>
      </c>
      <c r="N97" s="297">
        <f>(M97+L97+K97+J97+I97)*'2-报价汇总'!$J$5</f>
        <v>0</v>
      </c>
      <c r="O97" s="86">
        <f t="shared" si="4"/>
        <v>2973160.17316017</v>
      </c>
      <c r="P97" s="297"/>
      <c r="Q97" s="21"/>
    </row>
    <row r="98" ht="51" spans="1:17">
      <c r="A98" s="24" t="s">
        <v>1090</v>
      </c>
      <c r="B98" s="30" t="s">
        <v>1091</v>
      </c>
      <c r="C98" s="31" t="s">
        <v>1084</v>
      </c>
      <c r="D98" s="31" t="s">
        <v>26</v>
      </c>
      <c r="E98" s="31" t="s">
        <v>1085</v>
      </c>
      <c r="F98" s="24" t="s">
        <v>89</v>
      </c>
      <c r="G98" s="32">
        <v>50000</v>
      </c>
      <c r="H98" s="296">
        <f t="shared" si="3"/>
        <v>78.7012987012987</v>
      </c>
      <c r="I98" s="85">
        <v>38.3920779220779</v>
      </c>
      <c r="J98" s="85">
        <v>37.9</v>
      </c>
      <c r="K98" s="85">
        <v>1.63</v>
      </c>
      <c r="L98" s="125">
        <f>(I98+J98+K98)*'2-报价汇总'!$H$5</f>
        <v>0.779220779220779</v>
      </c>
      <c r="M98" s="297">
        <f>(I98+J98+K98+L98)*'2-报价汇总'!$I$5</f>
        <v>0</v>
      </c>
      <c r="N98" s="297">
        <f>(M98+L98+K98+J98+I98)*'2-报价汇总'!$J$5</f>
        <v>0</v>
      </c>
      <c r="O98" s="86">
        <f t="shared" si="4"/>
        <v>3935064.93506493</v>
      </c>
      <c r="P98" s="297"/>
      <c r="Q98" s="21"/>
    </row>
    <row r="99" ht="51" spans="1:17">
      <c r="A99" s="24" t="s">
        <v>1092</v>
      </c>
      <c r="B99" s="30" t="s">
        <v>1093</v>
      </c>
      <c r="C99" s="31" t="s">
        <v>1084</v>
      </c>
      <c r="D99" s="31" t="s">
        <v>26</v>
      </c>
      <c r="E99" s="31" t="s">
        <v>1085</v>
      </c>
      <c r="F99" s="24" t="s">
        <v>89</v>
      </c>
      <c r="G99" s="32">
        <v>100000</v>
      </c>
      <c r="H99" s="296">
        <f t="shared" si="3"/>
        <v>83.9480519480519</v>
      </c>
      <c r="I99" s="85">
        <v>34.5868831168831</v>
      </c>
      <c r="J99" s="85">
        <v>46.9</v>
      </c>
      <c r="K99" s="85">
        <v>1.63</v>
      </c>
      <c r="L99" s="125">
        <f>(I99+J99+K99)*'2-报价汇总'!$H$5</f>
        <v>0.831168831168831</v>
      </c>
      <c r="M99" s="297">
        <f>(I99+J99+K99+L99)*'2-报价汇总'!$I$5</f>
        <v>0</v>
      </c>
      <c r="N99" s="297">
        <f>(M99+L99+K99+J99+I99)*'2-报价汇总'!$J$5</f>
        <v>0</v>
      </c>
      <c r="O99" s="86">
        <f t="shared" si="4"/>
        <v>8394805.19480519</v>
      </c>
      <c r="P99" s="297"/>
      <c r="Q99" s="21"/>
    </row>
    <row r="100" ht="51" spans="1:17">
      <c r="A100" s="24" t="s">
        <v>1094</v>
      </c>
      <c r="B100" s="30" t="s">
        <v>1095</v>
      </c>
      <c r="C100" s="31" t="s">
        <v>1084</v>
      </c>
      <c r="D100" s="31" t="s">
        <v>26</v>
      </c>
      <c r="E100" s="31" t="s">
        <v>1085</v>
      </c>
      <c r="F100" s="24" t="s">
        <v>89</v>
      </c>
      <c r="G100" s="32">
        <v>100000</v>
      </c>
      <c r="H100" s="296">
        <f t="shared" si="3"/>
        <v>101.437229437229</v>
      </c>
      <c r="I100" s="85">
        <v>44.7629004329004</v>
      </c>
      <c r="J100" s="85">
        <v>54.21</v>
      </c>
      <c r="K100" s="85">
        <v>1.46</v>
      </c>
      <c r="L100" s="125">
        <f>(I100+J100+K100)*'2-报价汇总'!$H$5</f>
        <v>1.004329004329</v>
      </c>
      <c r="M100" s="297">
        <f>(I100+J100+K100+L100)*'2-报价汇总'!$I$5</f>
        <v>0</v>
      </c>
      <c r="N100" s="297">
        <f>(M100+L100+K100+J100+I100)*'2-报价汇总'!$J$5</f>
        <v>0</v>
      </c>
      <c r="O100" s="86">
        <f t="shared" si="4"/>
        <v>10143722.9437229</v>
      </c>
      <c r="P100" s="297"/>
      <c r="Q100" s="21"/>
    </row>
    <row r="101" ht="51" spans="1:17">
      <c r="A101" s="24" t="s">
        <v>1096</v>
      </c>
      <c r="B101" s="30" t="s">
        <v>1097</v>
      </c>
      <c r="C101" s="31" t="s">
        <v>1084</v>
      </c>
      <c r="D101" s="31" t="s">
        <v>26</v>
      </c>
      <c r="E101" s="31" t="s">
        <v>1085</v>
      </c>
      <c r="F101" s="24" t="s">
        <v>89</v>
      </c>
      <c r="G101" s="32">
        <v>2000</v>
      </c>
      <c r="H101" s="296">
        <f t="shared" ref="H101:H137" si="5">SUM(I101:N101)</f>
        <v>99.6883116883117</v>
      </c>
      <c r="I101" s="85">
        <v>32.8112987012987</v>
      </c>
      <c r="J101" s="85">
        <v>64.43</v>
      </c>
      <c r="K101" s="85">
        <v>1.46</v>
      </c>
      <c r="L101" s="125">
        <f>(I101+J101+K101)*'2-报价汇总'!$H$5</f>
        <v>0.987012987012987</v>
      </c>
      <c r="M101" s="297">
        <f>(I101+J101+K101+L101)*'2-报价汇总'!$I$5</f>
        <v>0</v>
      </c>
      <c r="N101" s="297">
        <f>(M101+L101+K101+J101+I101)*'2-报价汇总'!$J$5</f>
        <v>0</v>
      </c>
      <c r="O101" s="86">
        <f t="shared" ref="O101:O137" si="6">G101*H101</f>
        <v>199376.623376623</v>
      </c>
      <c r="P101" s="297"/>
      <c r="Q101" s="21"/>
    </row>
    <row r="102" ht="51" spans="1:17">
      <c r="A102" s="24" t="s">
        <v>1098</v>
      </c>
      <c r="B102" s="30" t="s">
        <v>1099</v>
      </c>
      <c r="C102" s="31" t="s">
        <v>1084</v>
      </c>
      <c r="D102" s="31" t="s">
        <v>26</v>
      </c>
      <c r="E102" s="31" t="s">
        <v>1085</v>
      </c>
      <c r="F102" s="24" t="s">
        <v>89</v>
      </c>
      <c r="G102" s="32">
        <v>2000</v>
      </c>
      <c r="H102" s="296">
        <f t="shared" si="5"/>
        <v>121.549783549784</v>
      </c>
      <c r="I102" s="85">
        <v>51.4463203463203</v>
      </c>
      <c r="J102" s="85">
        <v>66.93</v>
      </c>
      <c r="K102" s="85">
        <v>1.97</v>
      </c>
      <c r="L102" s="125">
        <f>(I102+J102+K102)*'2-报价汇总'!$H$5</f>
        <v>1.2034632034632</v>
      </c>
      <c r="M102" s="297">
        <f>(I102+J102+K102+L102)*'2-报价汇总'!$I$5</f>
        <v>0</v>
      </c>
      <c r="N102" s="297">
        <f>(M102+L102+K102+J102+I102)*'2-报价汇总'!$J$5</f>
        <v>0</v>
      </c>
      <c r="O102" s="86">
        <f t="shared" si="6"/>
        <v>243099.567099567</v>
      </c>
      <c r="P102" s="297"/>
      <c r="Q102" s="21"/>
    </row>
    <row r="103" ht="51" spans="1:17">
      <c r="A103" s="24" t="s">
        <v>1100</v>
      </c>
      <c r="B103" s="30" t="s">
        <v>1101</v>
      </c>
      <c r="C103" s="31" t="s">
        <v>1084</v>
      </c>
      <c r="D103" s="31" t="s">
        <v>26</v>
      </c>
      <c r="E103" s="31" t="s">
        <v>1085</v>
      </c>
      <c r="F103" s="24" t="s">
        <v>89</v>
      </c>
      <c r="G103" s="32">
        <v>2000</v>
      </c>
      <c r="H103" s="296">
        <f t="shared" si="5"/>
        <v>136.415584415584</v>
      </c>
      <c r="I103" s="85">
        <v>58.354935064935</v>
      </c>
      <c r="J103" s="85">
        <v>74.35</v>
      </c>
      <c r="K103" s="85">
        <v>2.36</v>
      </c>
      <c r="L103" s="125">
        <f>(I103+J103+K103)*'2-报价汇总'!$H$5</f>
        <v>1.35064935064935</v>
      </c>
      <c r="M103" s="297">
        <f>(I103+J103+K103+L103)*'2-报价汇总'!$I$5</f>
        <v>0</v>
      </c>
      <c r="N103" s="297">
        <f>(M103+L103+K103+J103+I103)*'2-报价汇总'!$J$5</f>
        <v>0</v>
      </c>
      <c r="O103" s="86">
        <f t="shared" si="6"/>
        <v>272831.168831169</v>
      </c>
      <c r="P103" s="297"/>
      <c r="Q103" s="21"/>
    </row>
    <row r="104" ht="51" spans="1:17">
      <c r="A104" s="24" t="s">
        <v>1102</v>
      </c>
      <c r="B104" s="30" t="s">
        <v>1103</v>
      </c>
      <c r="C104" s="31" t="s">
        <v>1084</v>
      </c>
      <c r="D104" s="31" t="s">
        <v>26</v>
      </c>
      <c r="E104" s="31" t="s">
        <v>1085</v>
      </c>
      <c r="F104" s="24" t="s">
        <v>89</v>
      </c>
      <c r="G104" s="32">
        <v>2000</v>
      </c>
      <c r="H104" s="296">
        <f t="shared" si="5"/>
        <v>181.887445887446</v>
      </c>
      <c r="I104" s="85">
        <v>89.7865800865801</v>
      </c>
      <c r="J104" s="85">
        <v>86.52</v>
      </c>
      <c r="K104" s="85">
        <v>3.78</v>
      </c>
      <c r="L104" s="125">
        <f>(I104+J104+K104)*'2-报价汇总'!$H$5</f>
        <v>1.8008658008658</v>
      </c>
      <c r="M104" s="297">
        <f>(I104+J104+K104+L104)*'2-报价汇总'!$I$5</f>
        <v>0</v>
      </c>
      <c r="N104" s="297">
        <f>(M104+L104+K104+J104+I104)*'2-报价汇总'!$J$5</f>
        <v>0</v>
      </c>
      <c r="O104" s="86">
        <f t="shared" si="6"/>
        <v>363774.891774892</v>
      </c>
      <c r="P104" s="297"/>
      <c r="Q104" s="21"/>
    </row>
    <row r="105" ht="51" spans="1:17">
      <c r="A105" s="24" t="s">
        <v>1104</v>
      </c>
      <c r="B105" s="30" t="s">
        <v>1105</v>
      </c>
      <c r="C105" s="31" t="s">
        <v>1084</v>
      </c>
      <c r="D105" s="31" t="s">
        <v>26</v>
      </c>
      <c r="E105" s="31" t="s">
        <v>1085</v>
      </c>
      <c r="F105" s="24" t="s">
        <v>89</v>
      </c>
      <c r="G105" s="32">
        <v>2000</v>
      </c>
      <c r="H105" s="296">
        <f t="shared" si="5"/>
        <v>197.627705627706</v>
      </c>
      <c r="I105" s="85">
        <v>100.280995670996</v>
      </c>
      <c r="J105" s="85">
        <v>91.61</v>
      </c>
      <c r="K105" s="85">
        <v>3.78</v>
      </c>
      <c r="L105" s="125">
        <f>(I105+J105+K105)*'2-报价汇总'!$H$5</f>
        <v>1.95670995670996</v>
      </c>
      <c r="M105" s="297">
        <f>(I105+J105+K105+L105)*'2-报价汇总'!$I$5</f>
        <v>0</v>
      </c>
      <c r="N105" s="297">
        <f>(M105+L105+K105+J105+I105)*'2-报价汇总'!$J$5</f>
        <v>0</v>
      </c>
      <c r="O105" s="86">
        <f t="shared" si="6"/>
        <v>395255.411255412</v>
      </c>
      <c r="P105" s="297"/>
      <c r="Q105" s="21"/>
    </row>
    <row r="106" ht="51" spans="1:17">
      <c r="A106" s="24" t="s">
        <v>1106</v>
      </c>
      <c r="B106" s="269" t="s">
        <v>1107</v>
      </c>
      <c r="C106" s="31" t="s">
        <v>1084</v>
      </c>
      <c r="D106" s="261" t="s">
        <v>26</v>
      </c>
      <c r="E106" s="261" t="s">
        <v>1085</v>
      </c>
      <c r="F106" s="250" t="s">
        <v>89</v>
      </c>
      <c r="G106" s="32">
        <v>2000</v>
      </c>
      <c r="H106" s="296">
        <f t="shared" si="5"/>
        <v>55.4939034632035</v>
      </c>
      <c r="I106" s="266">
        <v>24.9744588744589</v>
      </c>
      <c r="J106" s="266">
        <v>28.85</v>
      </c>
      <c r="K106" s="266">
        <v>1.12</v>
      </c>
      <c r="L106" s="125">
        <f>(I106+J106+K106)*'2-报价汇总'!$H$5</f>
        <v>0.549444588744589</v>
      </c>
      <c r="M106" s="297">
        <f>(I106+J106+K106+L106)*'2-报价汇总'!$I$5</f>
        <v>0</v>
      </c>
      <c r="N106" s="297">
        <f>(M106+L106+K106+J106+I106)*'2-报价汇总'!$J$5</f>
        <v>0</v>
      </c>
      <c r="O106" s="86">
        <f t="shared" si="6"/>
        <v>110987.806926407</v>
      </c>
      <c r="P106" s="297"/>
      <c r="Q106" s="21"/>
    </row>
    <row r="107" ht="51" spans="1:17">
      <c r="A107" s="24" t="s">
        <v>1108</v>
      </c>
      <c r="B107" s="269" t="s">
        <v>1109</v>
      </c>
      <c r="C107" s="31" t="s">
        <v>1084</v>
      </c>
      <c r="D107" s="261" t="s">
        <v>26</v>
      </c>
      <c r="E107" s="261" t="s">
        <v>1085</v>
      </c>
      <c r="F107" s="250" t="s">
        <v>89</v>
      </c>
      <c r="G107" s="32">
        <v>2000</v>
      </c>
      <c r="H107" s="296">
        <f t="shared" si="5"/>
        <v>74.1057987012987</v>
      </c>
      <c r="I107" s="266">
        <v>38.3920779220779</v>
      </c>
      <c r="J107" s="266">
        <v>33.35</v>
      </c>
      <c r="K107" s="266">
        <v>1.63</v>
      </c>
      <c r="L107" s="125">
        <f>(I107+J107+K107)*'2-报价汇总'!$H$5</f>
        <v>0.733720779220779</v>
      </c>
      <c r="M107" s="297">
        <f>(I107+J107+K107+L107)*'2-报价汇总'!$I$5</f>
        <v>0</v>
      </c>
      <c r="N107" s="297">
        <f>(M107+L107+K107+J107+I107)*'2-报价汇总'!$J$5</f>
        <v>0</v>
      </c>
      <c r="O107" s="86">
        <f t="shared" si="6"/>
        <v>148211.597402597</v>
      </c>
      <c r="P107" s="297"/>
      <c r="Q107" s="21"/>
    </row>
    <row r="108" ht="51" spans="1:17">
      <c r="A108" s="24" t="s">
        <v>1110</v>
      </c>
      <c r="B108" s="298" t="s">
        <v>1111</v>
      </c>
      <c r="C108" s="261" t="s">
        <v>1112</v>
      </c>
      <c r="D108" s="261" t="s">
        <v>26</v>
      </c>
      <c r="E108" s="261" t="s">
        <v>1085</v>
      </c>
      <c r="F108" s="241" t="s">
        <v>89</v>
      </c>
      <c r="G108" s="32">
        <v>2000</v>
      </c>
      <c r="H108" s="302">
        <f t="shared" si="5"/>
        <v>242.9151</v>
      </c>
      <c r="I108" s="85">
        <v>100.28</v>
      </c>
      <c r="J108" s="128">
        <v>136.45</v>
      </c>
      <c r="K108" s="128">
        <v>3.78</v>
      </c>
      <c r="L108" s="299">
        <f>(I108+J108+K108)*'2-报价汇总'!$H$5</f>
        <v>2.4051</v>
      </c>
      <c r="M108" s="300">
        <f>(I108+J108+K108+L108)*'2-报价汇总'!$I$5</f>
        <v>0</v>
      </c>
      <c r="N108" s="300">
        <f>(M108+L108+K108+J108+I108)*'2-报价汇总'!$J$5</f>
        <v>0</v>
      </c>
      <c r="O108" s="86">
        <f t="shared" si="6"/>
        <v>485830.2</v>
      </c>
      <c r="P108" s="301">
        <v>280.57</v>
      </c>
      <c r="Q108" s="158"/>
    </row>
    <row r="109" ht="51" spans="1:17">
      <c r="A109" s="24" t="s">
        <v>1113</v>
      </c>
      <c r="B109" s="298" t="s">
        <v>1114</v>
      </c>
      <c r="C109" s="261" t="s">
        <v>1112</v>
      </c>
      <c r="D109" s="261" t="s">
        <v>26</v>
      </c>
      <c r="E109" s="261" t="s">
        <v>1085</v>
      </c>
      <c r="F109" s="241" t="s">
        <v>89</v>
      </c>
      <c r="G109" s="32">
        <v>2000</v>
      </c>
      <c r="H109" s="302">
        <f t="shared" si="5"/>
        <v>232.8656</v>
      </c>
      <c r="I109" s="85">
        <v>100.33</v>
      </c>
      <c r="J109" s="128">
        <v>126.45</v>
      </c>
      <c r="K109" s="128">
        <v>3.78</v>
      </c>
      <c r="L109" s="299">
        <f>(I109+J109+K109)*'2-报价汇总'!$H$5</f>
        <v>2.3056</v>
      </c>
      <c r="M109" s="300">
        <f>(I109+J109+K109+L109)*'2-报价汇总'!$I$5</f>
        <v>0</v>
      </c>
      <c r="N109" s="300">
        <f>(M109+L109+K109+J109+I109)*'2-报价汇总'!$J$5</f>
        <v>0</v>
      </c>
      <c r="O109" s="86">
        <f t="shared" si="6"/>
        <v>465731.2</v>
      </c>
      <c r="P109" s="301">
        <v>268.96</v>
      </c>
      <c r="Q109" s="158"/>
    </row>
    <row r="110" ht="51" spans="1:17">
      <c r="A110" s="24" t="s">
        <v>1115</v>
      </c>
      <c r="B110" s="30" t="s">
        <v>1116</v>
      </c>
      <c r="C110" s="261" t="s">
        <v>1117</v>
      </c>
      <c r="D110" s="261" t="s">
        <v>1118</v>
      </c>
      <c r="E110" s="261" t="s">
        <v>1119</v>
      </c>
      <c r="F110" s="24" t="s">
        <v>89</v>
      </c>
      <c r="G110" s="32">
        <v>2000</v>
      </c>
      <c r="H110" s="296">
        <f t="shared" si="5"/>
        <v>865.714285714286</v>
      </c>
      <c r="I110" s="85">
        <v>49.322857142857</v>
      </c>
      <c r="J110" s="85">
        <v>803.66</v>
      </c>
      <c r="K110" s="85">
        <v>4.16</v>
      </c>
      <c r="L110" s="125">
        <f>(I110+J110+K110)*'2-报价汇总'!$H$5</f>
        <v>8.57142857142857</v>
      </c>
      <c r="M110" s="297">
        <f>(I110+J110+K110+L110)*'2-报价汇总'!$I$5</f>
        <v>0</v>
      </c>
      <c r="N110" s="297">
        <f>(M110+L110+K110+J110+I110)*'2-报价汇总'!$J$5</f>
        <v>0</v>
      </c>
      <c r="O110" s="86">
        <f t="shared" si="6"/>
        <v>1731428.57142857</v>
      </c>
      <c r="P110" s="297"/>
      <c r="Q110" s="21"/>
    </row>
    <row r="111" ht="51" spans="1:17">
      <c r="A111" s="24" t="s">
        <v>1120</v>
      </c>
      <c r="B111" s="30" t="s">
        <v>1121</v>
      </c>
      <c r="C111" s="261" t="s">
        <v>1117</v>
      </c>
      <c r="D111" s="261" t="s">
        <v>1118</v>
      </c>
      <c r="E111" s="261" t="s">
        <v>1119</v>
      </c>
      <c r="F111" s="24" t="s">
        <v>89</v>
      </c>
      <c r="G111" s="32">
        <v>365972.908647524</v>
      </c>
      <c r="H111" s="296">
        <f t="shared" si="5"/>
        <v>168.973</v>
      </c>
      <c r="I111" s="85">
        <v>49.32</v>
      </c>
      <c r="J111" s="85">
        <v>113.82</v>
      </c>
      <c r="K111" s="85">
        <v>4.16</v>
      </c>
      <c r="L111" s="125">
        <f>(I111+J111+K111)*'2-报价汇总'!$H$5</f>
        <v>1.673</v>
      </c>
      <c r="M111" s="297">
        <f>(I111+J111+K111+L111)*'2-报价汇总'!$I$5</f>
        <v>0</v>
      </c>
      <c r="N111" s="297">
        <f>(M111+L111+K111+J111+I111)*'2-报价汇总'!$J$5</f>
        <v>0</v>
      </c>
      <c r="O111" s="86">
        <f t="shared" si="6"/>
        <v>61839540.2928981</v>
      </c>
      <c r="P111" s="297"/>
      <c r="Q111" s="21"/>
    </row>
    <row r="112" ht="51" spans="1:17">
      <c r="A112" s="24" t="s">
        <v>1122</v>
      </c>
      <c r="B112" s="30" t="s">
        <v>1123</v>
      </c>
      <c r="C112" s="261" t="s">
        <v>1117</v>
      </c>
      <c r="D112" s="261" t="s">
        <v>1118</v>
      </c>
      <c r="E112" s="261" t="s">
        <v>1119</v>
      </c>
      <c r="F112" s="24" t="s">
        <v>89</v>
      </c>
      <c r="G112" s="32">
        <v>10000</v>
      </c>
      <c r="H112" s="296">
        <f t="shared" si="5"/>
        <v>579.162857142857</v>
      </c>
      <c r="I112" s="85">
        <v>38.8585714285714</v>
      </c>
      <c r="J112" s="85">
        <v>531.02</v>
      </c>
      <c r="K112" s="85">
        <v>3.55</v>
      </c>
      <c r="L112" s="125">
        <f>(I112+J112+K112)*'2-报价汇总'!$H$5</f>
        <v>5.73428571428571</v>
      </c>
      <c r="M112" s="297">
        <f>(I112+J112+K112+L112)*'2-报价汇总'!$I$5</f>
        <v>0</v>
      </c>
      <c r="N112" s="297">
        <f>(M112+L112+K112+J112+I112)*'2-报价汇总'!$J$5</f>
        <v>0</v>
      </c>
      <c r="O112" s="86">
        <f t="shared" si="6"/>
        <v>5791628.57142857</v>
      </c>
      <c r="P112" s="297"/>
      <c r="Q112" s="21"/>
    </row>
    <row r="113" ht="51" spans="1:17">
      <c r="A113" s="24" t="s">
        <v>1124</v>
      </c>
      <c r="B113" s="30" t="s">
        <v>1125</v>
      </c>
      <c r="C113" s="261" t="s">
        <v>1117</v>
      </c>
      <c r="D113" s="261" t="s">
        <v>1118</v>
      </c>
      <c r="E113" s="261" t="s">
        <v>1119</v>
      </c>
      <c r="F113" s="24" t="s">
        <v>89</v>
      </c>
      <c r="G113" s="32">
        <v>10000</v>
      </c>
      <c r="H113" s="296">
        <f t="shared" si="5"/>
        <v>136.3904</v>
      </c>
      <c r="I113" s="85">
        <v>38.86</v>
      </c>
      <c r="J113" s="85">
        <v>92.63</v>
      </c>
      <c r="K113" s="85">
        <v>3.55</v>
      </c>
      <c r="L113" s="125">
        <f>(I113+J113+K113)*'2-报价汇总'!$H$5</f>
        <v>1.3504</v>
      </c>
      <c r="M113" s="297">
        <f>(I113+J113+K113+L113)*'2-报价汇总'!$I$5</f>
        <v>0</v>
      </c>
      <c r="N113" s="297">
        <f>(M113+L113+K113+J113+I113)*'2-报价汇总'!$J$5</f>
        <v>0</v>
      </c>
      <c r="O113" s="86">
        <f t="shared" si="6"/>
        <v>1363904</v>
      </c>
      <c r="P113" s="297"/>
      <c r="Q113" s="21"/>
    </row>
    <row r="114" ht="51" spans="1:17">
      <c r="A114" s="24" t="s">
        <v>1126</v>
      </c>
      <c r="B114" s="30" t="s">
        <v>1127</v>
      </c>
      <c r="C114" s="261" t="s">
        <v>1117</v>
      </c>
      <c r="D114" s="261" t="s">
        <v>1118</v>
      </c>
      <c r="E114" s="261" t="s">
        <v>1119</v>
      </c>
      <c r="F114" s="24" t="s">
        <v>89</v>
      </c>
      <c r="G114" s="32">
        <v>10000</v>
      </c>
      <c r="H114" s="296">
        <f t="shared" si="5"/>
        <v>505</v>
      </c>
      <c r="I114" s="85">
        <v>36.52</v>
      </c>
      <c r="J114" s="85">
        <v>459.93</v>
      </c>
      <c r="K114" s="85">
        <v>3.55</v>
      </c>
      <c r="L114" s="125">
        <f>(I114+J114+K114)*'2-报价汇总'!$H$5</f>
        <v>5</v>
      </c>
      <c r="M114" s="297">
        <f>(I114+J114+K114+L114)*'2-报价汇总'!$I$5</f>
        <v>0</v>
      </c>
      <c r="N114" s="297">
        <f>(M114+L114+K114+J114+I114)*'2-报价汇总'!$J$5</f>
        <v>0</v>
      </c>
      <c r="O114" s="86">
        <f t="shared" si="6"/>
        <v>5050000</v>
      </c>
      <c r="P114" s="297"/>
      <c r="Q114" s="21"/>
    </row>
    <row r="115" ht="51" spans="1:17">
      <c r="A115" s="24" t="s">
        <v>1128</v>
      </c>
      <c r="B115" s="30" t="s">
        <v>1129</v>
      </c>
      <c r="C115" s="261" t="s">
        <v>1117</v>
      </c>
      <c r="D115" s="261" t="s">
        <v>1118</v>
      </c>
      <c r="E115" s="261" t="s">
        <v>1119</v>
      </c>
      <c r="F115" s="24" t="s">
        <v>89</v>
      </c>
      <c r="G115" s="32">
        <v>10000</v>
      </c>
      <c r="H115" s="296">
        <f t="shared" si="5"/>
        <v>122.8059</v>
      </c>
      <c r="I115" s="85">
        <v>36.52</v>
      </c>
      <c r="J115" s="85">
        <v>81.52</v>
      </c>
      <c r="K115" s="85">
        <v>3.55</v>
      </c>
      <c r="L115" s="125">
        <f>(I115+J115+K115)*'2-报价汇总'!$H$5</f>
        <v>1.2159</v>
      </c>
      <c r="M115" s="297">
        <f>(I115+J115+K115+L115)*'2-报价汇总'!$I$5</f>
        <v>0</v>
      </c>
      <c r="N115" s="297">
        <f>(M115+L115+K115+J115+I115)*'2-报价汇总'!$J$5</f>
        <v>0</v>
      </c>
      <c r="O115" s="86">
        <f t="shared" si="6"/>
        <v>1228059</v>
      </c>
      <c r="P115" s="297"/>
      <c r="Q115" s="21"/>
    </row>
    <row r="116" ht="51" spans="1:17">
      <c r="A116" s="24" t="s">
        <v>1130</v>
      </c>
      <c r="B116" s="30" t="s">
        <v>1131</v>
      </c>
      <c r="C116" s="261" t="s">
        <v>1117</v>
      </c>
      <c r="D116" s="261" t="s">
        <v>1118</v>
      </c>
      <c r="E116" s="261" t="s">
        <v>1132</v>
      </c>
      <c r="F116" s="24" t="s">
        <v>89</v>
      </c>
      <c r="G116" s="32">
        <v>10000</v>
      </c>
      <c r="H116" s="296">
        <f t="shared" si="5"/>
        <v>416.504761904762</v>
      </c>
      <c r="I116" s="85">
        <v>31.9909523809524</v>
      </c>
      <c r="J116" s="85">
        <v>378.65</v>
      </c>
      <c r="K116" s="85">
        <v>1.74</v>
      </c>
      <c r="L116" s="125">
        <f>(I116+J116+K116)*'2-报价汇总'!$H$5</f>
        <v>4.12380952380952</v>
      </c>
      <c r="M116" s="297">
        <f>(I116+J116+K116+L116)*'2-报价汇总'!$I$5</f>
        <v>0</v>
      </c>
      <c r="N116" s="297">
        <f>(M116+L116+K116+J116+I116)*'2-报价汇总'!$J$5</f>
        <v>0</v>
      </c>
      <c r="O116" s="86">
        <f t="shared" si="6"/>
        <v>4165047.61904762</v>
      </c>
      <c r="P116" s="297"/>
      <c r="Q116" s="21"/>
    </row>
    <row r="117" ht="51" spans="1:17">
      <c r="A117" s="24" t="s">
        <v>1133</v>
      </c>
      <c r="B117" s="30" t="s">
        <v>1134</v>
      </c>
      <c r="C117" s="261" t="s">
        <v>1117</v>
      </c>
      <c r="D117" s="261" t="s">
        <v>1118</v>
      </c>
      <c r="E117" s="261" t="s">
        <v>1132</v>
      </c>
      <c r="F117" s="24" t="s">
        <v>89</v>
      </c>
      <c r="G117" s="32">
        <v>7292.11275013747</v>
      </c>
      <c r="H117" s="296">
        <f t="shared" si="5"/>
        <v>100.6061</v>
      </c>
      <c r="I117" s="85">
        <v>31.99</v>
      </c>
      <c r="J117" s="85">
        <v>65.88</v>
      </c>
      <c r="K117" s="85">
        <v>1.74</v>
      </c>
      <c r="L117" s="125">
        <f>(I117+J117+K117)*'2-报价汇总'!$H$5</f>
        <v>0.9961</v>
      </c>
      <c r="M117" s="297">
        <f>(I117+J117+K117+L117)*'2-报价汇总'!$I$5</f>
        <v>0</v>
      </c>
      <c r="N117" s="297">
        <f>(M117+L117+K117+J117+I117)*'2-报价汇总'!$J$5</f>
        <v>0</v>
      </c>
      <c r="O117" s="86">
        <f t="shared" si="6"/>
        <v>733631.024551605</v>
      </c>
      <c r="P117" s="297"/>
      <c r="Q117" s="21"/>
    </row>
    <row r="118" ht="51" spans="1:17">
      <c r="A118" s="24" t="s">
        <v>1135</v>
      </c>
      <c r="B118" s="30" t="s">
        <v>1136</v>
      </c>
      <c r="C118" s="261" t="s">
        <v>1117</v>
      </c>
      <c r="D118" s="261" t="s">
        <v>1118</v>
      </c>
      <c r="E118" s="261" t="s">
        <v>1132</v>
      </c>
      <c r="F118" s="24" t="s">
        <v>89</v>
      </c>
      <c r="G118" s="32">
        <v>20782.5213378918</v>
      </c>
      <c r="H118" s="296">
        <f t="shared" si="5"/>
        <v>286.166666666667</v>
      </c>
      <c r="I118" s="85">
        <v>30.9033333333333</v>
      </c>
      <c r="J118" s="85">
        <v>250.69</v>
      </c>
      <c r="K118" s="85">
        <v>1.74</v>
      </c>
      <c r="L118" s="125">
        <f>(I118+J118+K118)*'2-报价汇总'!$H$5</f>
        <v>2.83333333333333</v>
      </c>
      <c r="M118" s="297">
        <f>(I118+J118+K118+L118)*'2-报价汇总'!$I$5</f>
        <v>0</v>
      </c>
      <c r="N118" s="297">
        <f>(M118+L118+K118+J118+I118)*'2-报价汇总'!$J$5</f>
        <v>0</v>
      </c>
      <c r="O118" s="86">
        <f t="shared" si="6"/>
        <v>5947264.85619337</v>
      </c>
      <c r="P118" s="297"/>
      <c r="Q118" s="21"/>
    </row>
    <row r="119" ht="51" spans="1:17">
      <c r="A119" s="24" t="s">
        <v>1137</v>
      </c>
      <c r="B119" s="30" t="s">
        <v>1138</v>
      </c>
      <c r="C119" s="261" t="s">
        <v>1117</v>
      </c>
      <c r="D119" s="261" t="s">
        <v>1118</v>
      </c>
      <c r="E119" s="261" t="s">
        <v>1132</v>
      </c>
      <c r="F119" s="24" t="s">
        <v>89</v>
      </c>
      <c r="G119" s="32">
        <v>184672.755397231</v>
      </c>
      <c r="H119" s="296">
        <f t="shared" si="5"/>
        <v>90.3243</v>
      </c>
      <c r="I119" s="85">
        <v>30.9</v>
      </c>
      <c r="J119" s="85">
        <v>56.79</v>
      </c>
      <c r="K119" s="85">
        <v>1.74</v>
      </c>
      <c r="L119" s="125">
        <f>(I119+J119+K119)*'2-报价汇总'!$H$5</f>
        <v>0.8943</v>
      </c>
      <c r="M119" s="297">
        <f>(I119+J119+K119+L119)*'2-报价汇总'!$I$5</f>
        <v>0</v>
      </c>
      <c r="N119" s="297">
        <f>(M119+L119+K119+J119+I119)*'2-报价汇总'!$J$5</f>
        <v>0</v>
      </c>
      <c r="O119" s="86">
        <f t="shared" si="6"/>
        <v>16680437.3603261</v>
      </c>
      <c r="P119" s="297"/>
      <c r="Q119" s="21"/>
    </row>
    <row r="120" ht="51" spans="1:17">
      <c r="A120" s="24" t="s">
        <v>1139</v>
      </c>
      <c r="B120" s="30" t="s">
        <v>1140</v>
      </c>
      <c r="C120" s="261" t="s">
        <v>1117</v>
      </c>
      <c r="D120" s="261" t="s">
        <v>1118</v>
      </c>
      <c r="E120" s="261" t="s">
        <v>1132</v>
      </c>
      <c r="F120" s="24" t="s">
        <v>89</v>
      </c>
      <c r="G120" s="32">
        <v>12000</v>
      </c>
      <c r="H120" s="296">
        <f t="shared" si="5"/>
        <v>204.981904761905</v>
      </c>
      <c r="I120" s="85">
        <v>26.0923809523809</v>
      </c>
      <c r="J120" s="85">
        <v>175.35</v>
      </c>
      <c r="K120" s="85">
        <v>1.51</v>
      </c>
      <c r="L120" s="125">
        <f>(I120+J120+K120)*'2-报价汇总'!$H$5</f>
        <v>2.02952380952381</v>
      </c>
      <c r="M120" s="297">
        <f>(I120+J120+K120+L120)*'2-报价汇总'!$I$5</f>
        <v>0</v>
      </c>
      <c r="N120" s="297">
        <f>(M120+L120+K120+J120+I120)*'2-报价汇总'!$J$5</f>
        <v>0</v>
      </c>
      <c r="O120" s="86">
        <f t="shared" si="6"/>
        <v>2459782.85714286</v>
      </c>
      <c r="P120" s="297"/>
      <c r="Q120" s="21"/>
    </row>
    <row r="121" ht="51" spans="1:17">
      <c r="A121" s="24" t="s">
        <v>1141</v>
      </c>
      <c r="B121" s="30" t="s">
        <v>1142</v>
      </c>
      <c r="C121" s="261" t="s">
        <v>1117</v>
      </c>
      <c r="D121" s="261" t="s">
        <v>1118</v>
      </c>
      <c r="E121" s="261" t="s">
        <v>1132</v>
      </c>
      <c r="F121" s="24" t="s">
        <v>89</v>
      </c>
      <c r="G121" s="32">
        <v>12000</v>
      </c>
      <c r="H121" s="296">
        <f t="shared" si="5"/>
        <v>85.2339</v>
      </c>
      <c r="I121" s="85">
        <v>26.09</v>
      </c>
      <c r="J121" s="85">
        <v>56.79</v>
      </c>
      <c r="K121" s="85">
        <v>1.51</v>
      </c>
      <c r="L121" s="125">
        <f>(I121+J121+K121)*'2-报价汇总'!$H$5</f>
        <v>0.8439</v>
      </c>
      <c r="M121" s="297">
        <f>(I121+J121+K121+L121)*'2-报价汇总'!$I$5</f>
        <v>0</v>
      </c>
      <c r="N121" s="297">
        <f>(M121+L121+K121+J121+I121)*'2-报价汇总'!$J$5</f>
        <v>0</v>
      </c>
      <c r="O121" s="86">
        <f t="shared" si="6"/>
        <v>1022806.8</v>
      </c>
      <c r="P121" s="297"/>
      <c r="Q121" s="21"/>
    </row>
    <row r="122" ht="51" spans="1:17">
      <c r="A122" s="24" t="s">
        <v>1143</v>
      </c>
      <c r="B122" s="30" t="s">
        <v>1144</v>
      </c>
      <c r="C122" s="261" t="s">
        <v>1117</v>
      </c>
      <c r="D122" s="261" t="s">
        <v>1118</v>
      </c>
      <c r="E122" s="261" t="s">
        <v>1132</v>
      </c>
      <c r="F122" s="24" t="s">
        <v>89</v>
      </c>
      <c r="G122" s="32">
        <v>12000</v>
      </c>
      <c r="H122" s="296">
        <f t="shared" si="5"/>
        <v>165.928571428571</v>
      </c>
      <c r="I122" s="85">
        <v>24.5457142857143</v>
      </c>
      <c r="J122" s="85">
        <v>138.23</v>
      </c>
      <c r="K122" s="85">
        <v>1.51</v>
      </c>
      <c r="L122" s="125">
        <f>(I122+J122+K122)*'2-报价汇总'!$H$5</f>
        <v>1.64285714285714</v>
      </c>
      <c r="M122" s="297">
        <f>(I122+J122+K122+L122)*'2-报价汇总'!$I$5</f>
        <v>0</v>
      </c>
      <c r="N122" s="297">
        <f>(M122+L122+K122+J122+I122)*'2-报价汇总'!$J$5</f>
        <v>0</v>
      </c>
      <c r="O122" s="86">
        <f t="shared" si="6"/>
        <v>1991142.85714286</v>
      </c>
      <c r="P122" s="297"/>
      <c r="Q122" s="21"/>
    </row>
    <row r="123" ht="51" spans="1:17">
      <c r="A123" s="24" t="s">
        <v>1145</v>
      </c>
      <c r="B123" s="30" t="s">
        <v>1146</v>
      </c>
      <c r="C123" s="261" t="s">
        <v>1117</v>
      </c>
      <c r="D123" s="261" t="s">
        <v>1118</v>
      </c>
      <c r="E123" s="261" t="s">
        <v>1132</v>
      </c>
      <c r="F123" s="24" t="s">
        <v>89</v>
      </c>
      <c r="G123" s="32">
        <v>7292.11275013747</v>
      </c>
      <c r="H123" s="296">
        <f t="shared" si="5"/>
        <v>70.5384</v>
      </c>
      <c r="I123" s="85">
        <v>24.55</v>
      </c>
      <c r="J123" s="85">
        <v>43.78</v>
      </c>
      <c r="K123" s="85">
        <v>1.51</v>
      </c>
      <c r="L123" s="125">
        <f>(I123+J123+K123)*'2-报价汇总'!$H$5</f>
        <v>0.6984</v>
      </c>
      <c r="M123" s="297">
        <f>(I123+J123+K123+L123)*'2-报价汇总'!$I$5</f>
        <v>0</v>
      </c>
      <c r="N123" s="297">
        <f>(M123+L123+K123+J123+I123)*'2-报价汇总'!$J$5</f>
        <v>0</v>
      </c>
      <c r="O123" s="86">
        <f t="shared" si="6"/>
        <v>514373.966014297</v>
      </c>
      <c r="P123" s="297"/>
      <c r="Q123" s="21"/>
    </row>
    <row r="124" ht="51" spans="1:17">
      <c r="A124" s="24" t="s">
        <v>1147</v>
      </c>
      <c r="B124" s="30" t="s">
        <v>1148</v>
      </c>
      <c r="C124" s="261" t="s">
        <v>1117</v>
      </c>
      <c r="D124" s="261" t="s">
        <v>1118</v>
      </c>
      <c r="E124" s="261" t="s">
        <v>1132</v>
      </c>
      <c r="F124" s="24" t="s">
        <v>89</v>
      </c>
      <c r="G124" s="32">
        <v>147665.283190284</v>
      </c>
      <c r="H124" s="296">
        <f t="shared" si="5"/>
        <v>98.7202857142857</v>
      </c>
      <c r="I124" s="85">
        <v>23.3728571428571</v>
      </c>
      <c r="J124" s="85">
        <v>73.54</v>
      </c>
      <c r="K124" s="85">
        <v>0.83</v>
      </c>
      <c r="L124" s="125">
        <f>(I124+J124+K124)*'2-报价汇总'!$H$5</f>
        <v>0.977428571428571</v>
      </c>
      <c r="M124" s="297">
        <f>(I124+J124+K124+L124)*'2-报价汇总'!$I$5</f>
        <v>0</v>
      </c>
      <c r="N124" s="297">
        <f>(M124+L124+K124+J124+I124)*'2-报价汇总'!$J$5</f>
        <v>0</v>
      </c>
      <c r="O124" s="86">
        <f t="shared" si="6"/>
        <v>14577558.9466257</v>
      </c>
      <c r="P124" s="297"/>
      <c r="Q124" s="21"/>
    </row>
    <row r="125" ht="51" spans="1:17">
      <c r="A125" s="24" t="s">
        <v>1149</v>
      </c>
      <c r="B125" s="30" t="s">
        <v>1150</v>
      </c>
      <c r="C125" s="261" t="s">
        <v>1117</v>
      </c>
      <c r="D125" s="261" t="s">
        <v>1118</v>
      </c>
      <c r="E125" s="261" t="s">
        <v>1132</v>
      </c>
      <c r="F125" s="24" t="s">
        <v>89</v>
      </c>
      <c r="G125" s="32">
        <v>30289.6133358835</v>
      </c>
      <c r="H125" s="296">
        <f t="shared" si="5"/>
        <v>89.7457142857142</v>
      </c>
      <c r="I125" s="85">
        <v>22.3971428571428</v>
      </c>
      <c r="J125" s="85">
        <v>65.63</v>
      </c>
      <c r="K125" s="85">
        <v>0.83</v>
      </c>
      <c r="L125" s="125">
        <f>(I125+J125+K125)*'2-报价汇总'!$H$5</f>
        <v>0.888571428571428</v>
      </c>
      <c r="M125" s="297">
        <f>(I125+J125+K125+L125)*'2-报价汇总'!$I$5</f>
        <v>0</v>
      </c>
      <c r="N125" s="297">
        <f>(M125+L125+K125+J125+I125)*'2-报价汇总'!$J$5</f>
        <v>0</v>
      </c>
      <c r="O125" s="86">
        <f t="shared" si="6"/>
        <v>2718362.98426696</v>
      </c>
      <c r="P125" s="297"/>
      <c r="Q125" s="21"/>
    </row>
    <row r="126" ht="51" spans="1:17">
      <c r="A126" s="24" t="s">
        <v>1151</v>
      </c>
      <c r="B126" s="30" t="s">
        <v>1152</v>
      </c>
      <c r="C126" s="261" t="s">
        <v>1117</v>
      </c>
      <c r="D126" s="261" t="s">
        <v>1118</v>
      </c>
      <c r="E126" s="261" t="s">
        <v>1132</v>
      </c>
      <c r="F126" s="24" t="s">
        <v>89</v>
      </c>
      <c r="G126" s="32">
        <v>150000</v>
      </c>
      <c r="H126" s="296">
        <f t="shared" si="5"/>
        <v>69.2571428571429</v>
      </c>
      <c r="I126" s="85">
        <v>12.2314285714286</v>
      </c>
      <c r="J126" s="85">
        <v>56.17</v>
      </c>
      <c r="K126" s="85">
        <v>0.17</v>
      </c>
      <c r="L126" s="125">
        <f>(I126+J126+K126)*'2-报价汇总'!$H$5</f>
        <v>0.685714285714286</v>
      </c>
      <c r="M126" s="297">
        <f>(I126+J126+K126+L126)*'2-报价汇总'!$I$5</f>
        <v>0</v>
      </c>
      <c r="N126" s="297">
        <f>(M126+L126+K126+J126+I126)*'2-报价汇总'!$J$5</f>
        <v>0</v>
      </c>
      <c r="O126" s="86">
        <f t="shared" si="6"/>
        <v>10388571.4285714</v>
      </c>
      <c r="P126" s="297"/>
      <c r="Q126" s="21"/>
    </row>
    <row r="127" ht="51" spans="1:17">
      <c r="A127" s="24" t="s">
        <v>1153</v>
      </c>
      <c r="B127" s="30" t="s">
        <v>1154</v>
      </c>
      <c r="C127" s="261" t="s">
        <v>1117</v>
      </c>
      <c r="D127" s="261" t="s">
        <v>1118</v>
      </c>
      <c r="E127" s="261" t="s">
        <v>1132</v>
      </c>
      <c r="F127" s="24" t="s">
        <v>89</v>
      </c>
      <c r="G127" s="32">
        <v>150000</v>
      </c>
      <c r="H127" s="296">
        <f t="shared" si="5"/>
        <v>53.2020779220779</v>
      </c>
      <c r="I127" s="85">
        <v>8.42532467532467</v>
      </c>
      <c r="J127" s="85">
        <v>44.08</v>
      </c>
      <c r="K127" s="85">
        <v>0.17</v>
      </c>
      <c r="L127" s="125">
        <f>(I127+J127+K127)*'2-报价汇总'!$H$5</f>
        <v>0.526753246753247</v>
      </c>
      <c r="M127" s="297">
        <f>(I127+J127+K127+L127)*'2-报价汇总'!$I$5</f>
        <v>0</v>
      </c>
      <c r="N127" s="297">
        <f>(M127+L127+K127+J127+I127)*'2-报价汇总'!$J$5</f>
        <v>0</v>
      </c>
      <c r="O127" s="86">
        <f t="shared" si="6"/>
        <v>7980311.68831169</v>
      </c>
      <c r="P127" s="297"/>
      <c r="Q127" s="21"/>
    </row>
    <row r="128" ht="51" spans="1:17">
      <c r="A128" s="24" t="s">
        <v>1155</v>
      </c>
      <c r="B128" s="30" t="s">
        <v>1156</v>
      </c>
      <c r="C128" s="261" t="s">
        <v>1117</v>
      </c>
      <c r="D128" s="261" t="s">
        <v>1118</v>
      </c>
      <c r="E128" s="261" t="s">
        <v>1132</v>
      </c>
      <c r="F128" s="24" t="s">
        <v>89</v>
      </c>
      <c r="G128" s="32">
        <v>110000</v>
      </c>
      <c r="H128" s="296">
        <f t="shared" si="5"/>
        <v>34.2744155844156</v>
      </c>
      <c r="I128" s="85">
        <v>7.86506493506494</v>
      </c>
      <c r="J128" s="85">
        <v>25.94</v>
      </c>
      <c r="K128" s="85">
        <v>0.13</v>
      </c>
      <c r="L128" s="125">
        <f>(I128+J128+K128)*'2-报价汇总'!$H$5</f>
        <v>0.339350649350649</v>
      </c>
      <c r="M128" s="297">
        <f>(I128+J128+K128+L128)*'2-报价汇总'!$I$5</f>
        <v>0</v>
      </c>
      <c r="N128" s="297">
        <f>(M128+L128+K128+J128+I128)*'2-报价汇总'!$J$5</f>
        <v>0</v>
      </c>
      <c r="O128" s="86">
        <f t="shared" si="6"/>
        <v>3770185.71428572</v>
      </c>
      <c r="P128" s="297"/>
      <c r="Q128" s="21"/>
    </row>
    <row r="129" ht="51" spans="1:17">
      <c r="A129" s="24" t="s">
        <v>1157</v>
      </c>
      <c r="B129" s="30" t="s">
        <v>1158</v>
      </c>
      <c r="C129" s="261" t="s">
        <v>1117</v>
      </c>
      <c r="D129" s="261" t="s">
        <v>1118</v>
      </c>
      <c r="E129" s="261" t="s">
        <v>1132</v>
      </c>
      <c r="F129" s="24" t="s">
        <v>89</v>
      </c>
      <c r="G129" s="32">
        <v>110000</v>
      </c>
      <c r="H129" s="296">
        <f t="shared" si="5"/>
        <v>28.3761904761905</v>
      </c>
      <c r="I129" s="85">
        <v>9.30523809523809</v>
      </c>
      <c r="J129" s="85">
        <v>18.66</v>
      </c>
      <c r="K129" s="85">
        <v>0.13</v>
      </c>
      <c r="L129" s="125">
        <f>(I129+J129+K129)*'2-报价汇总'!$H$5</f>
        <v>0.280952380952381</v>
      </c>
      <c r="M129" s="297">
        <f>(I129+J129+K129+L129)*'2-报价汇总'!$I$5</f>
        <v>0</v>
      </c>
      <c r="N129" s="297">
        <f>(M129+L129+K129+J129+I129)*'2-报价汇总'!$J$5</f>
        <v>0</v>
      </c>
      <c r="O129" s="86">
        <f t="shared" si="6"/>
        <v>3121380.95238095</v>
      </c>
      <c r="P129" s="297"/>
      <c r="Q129" s="21"/>
    </row>
    <row r="130" ht="51" spans="1:17">
      <c r="A130" s="24" t="s">
        <v>1159</v>
      </c>
      <c r="B130" s="30" t="s">
        <v>1160</v>
      </c>
      <c r="C130" s="261" t="s">
        <v>1117</v>
      </c>
      <c r="D130" s="261" t="s">
        <v>1118</v>
      </c>
      <c r="E130" s="261" t="s">
        <v>1132</v>
      </c>
      <c r="F130" s="24" t="s">
        <v>89</v>
      </c>
      <c r="G130" s="32">
        <v>110000</v>
      </c>
      <c r="H130" s="296">
        <f t="shared" si="5"/>
        <v>48.8462439521263</v>
      </c>
      <c r="I130" s="85">
        <v>6.72261777438251</v>
      </c>
      <c r="J130" s="85">
        <v>41.51</v>
      </c>
      <c r="K130" s="85">
        <v>0.13</v>
      </c>
      <c r="L130" s="125">
        <f>(I130+J130+K130)*'2-报价汇总'!$H$5</f>
        <v>0.483626177743825</v>
      </c>
      <c r="M130" s="297">
        <f>(I130+J130+K130+L130)*'2-报价汇总'!$I$5</f>
        <v>0</v>
      </c>
      <c r="N130" s="297">
        <f>(M130+L130+K130+J130+I130)*'2-报价汇总'!$J$5</f>
        <v>0</v>
      </c>
      <c r="O130" s="86">
        <f t="shared" si="6"/>
        <v>5373086.8347339</v>
      </c>
      <c r="P130" s="297"/>
      <c r="Q130" s="21"/>
    </row>
    <row r="131" ht="51" spans="1:17">
      <c r="A131" s="24" t="s">
        <v>1161</v>
      </c>
      <c r="B131" s="30" t="s">
        <v>1162</v>
      </c>
      <c r="C131" s="261" t="s">
        <v>1117</v>
      </c>
      <c r="D131" s="261" t="s">
        <v>1118</v>
      </c>
      <c r="E131" s="261" t="s">
        <v>1132</v>
      </c>
      <c r="F131" s="24" t="s">
        <v>89</v>
      </c>
      <c r="G131" s="32">
        <v>110000</v>
      </c>
      <c r="H131" s="296">
        <f t="shared" si="5"/>
        <v>19.7524828113063</v>
      </c>
      <c r="I131" s="85">
        <v>0.556913674560691</v>
      </c>
      <c r="J131" s="85">
        <v>18.88</v>
      </c>
      <c r="K131" s="85">
        <v>0.12</v>
      </c>
      <c r="L131" s="125">
        <f>(I131+J131+K131)*'2-报价汇总'!$H$5</f>
        <v>0.195569136745607</v>
      </c>
      <c r="M131" s="297">
        <f>(I131+J131+K131+L131)*'2-报价汇总'!$I$5</f>
        <v>0</v>
      </c>
      <c r="N131" s="297">
        <f>(M131+L131+K131+J131+I131)*'2-报价汇总'!$J$5</f>
        <v>0</v>
      </c>
      <c r="O131" s="86">
        <f t="shared" si="6"/>
        <v>2172773.10924369</v>
      </c>
      <c r="P131" s="297"/>
      <c r="Q131" s="21"/>
    </row>
    <row r="132" ht="51" spans="1:17">
      <c r="A132" s="24" t="s">
        <v>1163</v>
      </c>
      <c r="B132" s="30" t="s">
        <v>1164</v>
      </c>
      <c r="C132" s="261" t="s">
        <v>1117</v>
      </c>
      <c r="D132" s="261" t="s">
        <v>1118</v>
      </c>
      <c r="E132" s="261" t="s">
        <v>1132</v>
      </c>
      <c r="F132" s="24" t="s">
        <v>89</v>
      </c>
      <c r="G132" s="32">
        <v>110000</v>
      </c>
      <c r="H132" s="296">
        <f t="shared" si="5"/>
        <v>15.7402597402597</v>
      </c>
      <c r="I132" s="85">
        <v>5.59441558441558</v>
      </c>
      <c r="J132" s="85">
        <v>9.9</v>
      </c>
      <c r="K132" s="85">
        <v>0.09</v>
      </c>
      <c r="L132" s="125">
        <f>(I132+J132+K132)*'2-报价汇总'!$H$5</f>
        <v>0.155844155844156</v>
      </c>
      <c r="M132" s="297">
        <f>(I132+J132+K132+L132)*'2-报价汇总'!$I$5</f>
        <v>0</v>
      </c>
      <c r="N132" s="297">
        <f>(M132+L132+K132+J132+I132)*'2-报价汇总'!$J$5</f>
        <v>0</v>
      </c>
      <c r="O132" s="86">
        <f t="shared" si="6"/>
        <v>1731428.57142857</v>
      </c>
      <c r="P132" s="297"/>
      <c r="Q132" s="21"/>
    </row>
    <row r="133" ht="51" spans="1:17">
      <c r="A133" s="24" t="s">
        <v>1165</v>
      </c>
      <c r="B133" s="30" t="s">
        <v>1166</v>
      </c>
      <c r="C133" s="261" t="s">
        <v>1117</v>
      </c>
      <c r="D133" s="261" t="s">
        <v>1118</v>
      </c>
      <c r="E133" s="261" t="s">
        <v>1132</v>
      </c>
      <c r="F133" s="24" t="s">
        <v>89</v>
      </c>
      <c r="G133" s="32">
        <v>110000</v>
      </c>
      <c r="H133" s="296">
        <f t="shared" si="5"/>
        <v>32.1800865800866</v>
      </c>
      <c r="I133" s="85">
        <v>4.56147186147185</v>
      </c>
      <c r="J133" s="85">
        <v>27.17</v>
      </c>
      <c r="K133" s="85">
        <v>0.13</v>
      </c>
      <c r="L133" s="125">
        <f>(I133+J133+K133)*'2-报价汇总'!$H$5</f>
        <v>0.318614718614719</v>
      </c>
      <c r="M133" s="297">
        <f>(I133+J133+K133+L133)*'2-报价汇总'!$I$5</f>
        <v>0</v>
      </c>
      <c r="N133" s="297">
        <f>(M133+L133+K133+J133+I133)*'2-报价汇总'!$J$5</f>
        <v>0</v>
      </c>
      <c r="O133" s="86">
        <f t="shared" si="6"/>
        <v>3539809.52380952</v>
      </c>
      <c r="P133" s="297"/>
      <c r="Q133" s="21"/>
    </row>
    <row r="134" ht="51" spans="1:17">
      <c r="A134" s="24" t="s">
        <v>1167</v>
      </c>
      <c r="B134" s="30" t="s">
        <v>1168</v>
      </c>
      <c r="C134" s="261" t="s">
        <v>1117</v>
      </c>
      <c r="D134" s="261" t="s">
        <v>1118</v>
      </c>
      <c r="E134" s="261" t="s">
        <v>1132</v>
      </c>
      <c r="F134" s="24" t="s">
        <v>89</v>
      </c>
      <c r="G134" s="32">
        <v>150000</v>
      </c>
      <c r="H134" s="296">
        <f t="shared" si="5"/>
        <v>26.0588744588745</v>
      </c>
      <c r="I134" s="85">
        <v>5.0808658008658</v>
      </c>
      <c r="J134" s="85">
        <v>20.62</v>
      </c>
      <c r="K134" s="85">
        <v>0.1</v>
      </c>
      <c r="L134" s="125">
        <f>(I134+J134+K134)*'2-报价汇总'!$H$5</f>
        <v>0.258008658008658</v>
      </c>
      <c r="M134" s="297">
        <f>(I134+J134+K134+L134)*'2-报价汇总'!$I$5</f>
        <v>0</v>
      </c>
      <c r="N134" s="297">
        <f>(M134+L134+K134+J134+I134)*'2-报价汇总'!$J$5</f>
        <v>0</v>
      </c>
      <c r="O134" s="86">
        <f t="shared" si="6"/>
        <v>3908831.16883117</v>
      </c>
      <c r="P134" s="297"/>
      <c r="Q134" s="21"/>
    </row>
    <row r="135" ht="51" spans="1:17">
      <c r="A135" s="24" t="s">
        <v>1169</v>
      </c>
      <c r="B135" s="30" t="s">
        <v>1170</v>
      </c>
      <c r="C135" s="261" t="s">
        <v>1117</v>
      </c>
      <c r="D135" s="261" t="s">
        <v>1118</v>
      </c>
      <c r="E135" s="261" t="s">
        <v>1132</v>
      </c>
      <c r="F135" s="24" t="s">
        <v>89</v>
      </c>
      <c r="G135" s="32">
        <v>150000</v>
      </c>
      <c r="H135" s="296">
        <f t="shared" si="5"/>
        <v>85.0323809523809</v>
      </c>
      <c r="I135" s="85">
        <v>11.5904761904762</v>
      </c>
      <c r="J135" s="85">
        <v>72.46</v>
      </c>
      <c r="K135" s="85">
        <v>0.14</v>
      </c>
      <c r="L135" s="125">
        <f>(I135+J135+K135)*'2-报价汇总'!$H$5</f>
        <v>0.841904761904762</v>
      </c>
      <c r="M135" s="297">
        <f>(I135+J135+K135+L135)*'2-报价汇总'!$I$5</f>
        <v>0</v>
      </c>
      <c r="N135" s="297">
        <f>(M135+L135+K135+J135+I135)*'2-报价汇总'!$J$5</f>
        <v>0</v>
      </c>
      <c r="O135" s="86">
        <f t="shared" si="6"/>
        <v>12754857.1428571</v>
      </c>
      <c r="P135" s="297"/>
      <c r="Q135" s="21"/>
    </row>
    <row r="136" ht="51" spans="1:17">
      <c r="A136" s="24" t="s">
        <v>1171</v>
      </c>
      <c r="B136" s="298" t="s">
        <v>1172</v>
      </c>
      <c r="C136" s="261" t="s">
        <v>1117</v>
      </c>
      <c r="D136" s="261" t="s">
        <v>1118</v>
      </c>
      <c r="E136" s="261" t="s">
        <v>1132</v>
      </c>
      <c r="F136" s="241" t="s">
        <v>89</v>
      </c>
      <c r="G136" s="32">
        <v>5000</v>
      </c>
      <c r="H136" s="302">
        <f t="shared" si="5"/>
        <v>190.4759</v>
      </c>
      <c r="I136" s="85">
        <v>22.07</v>
      </c>
      <c r="J136" s="128">
        <v>165.01</v>
      </c>
      <c r="K136" s="128">
        <v>1.51</v>
      </c>
      <c r="L136" s="299">
        <f>(I136+J136+K136)*'2-报价汇总'!$H$5</f>
        <v>1.8859</v>
      </c>
      <c r="M136" s="300">
        <f>(I136+J136+K136+L136)*'2-报价汇总'!$I$5</f>
        <v>0</v>
      </c>
      <c r="N136" s="300">
        <f>(M136+L136+K136+J136+I136)*'2-报价汇总'!$J$5</f>
        <v>0</v>
      </c>
      <c r="O136" s="86">
        <f t="shared" si="6"/>
        <v>952379.5</v>
      </c>
      <c r="P136" s="301">
        <v>220</v>
      </c>
      <c r="Q136" s="158"/>
    </row>
    <row r="137" ht="51" spans="1:17">
      <c r="A137" s="24" t="s">
        <v>1173</v>
      </c>
      <c r="B137" s="298" t="s">
        <v>1174</v>
      </c>
      <c r="C137" s="261" t="s">
        <v>1117</v>
      </c>
      <c r="D137" s="261" t="s">
        <v>1118</v>
      </c>
      <c r="E137" s="261" t="s">
        <v>1132</v>
      </c>
      <c r="F137" s="241" t="s">
        <v>89</v>
      </c>
      <c r="G137" s="32">
        <v>2000</v>
      </c>
      <c r="H137" s="302">
        <f t="shared" si="5"/>
        <v>285.44427259823</v>
      </c>
      <c r="I137" s="240">
        <v>27.08</v>
      </c>
      <c r="J137" s="299">
        <v>254.028091681416</v>
      </c>
      <c r="K137" s="128">
        <v>1.51</v>
      </c>
      <c r="L137" s="299">
        <f>(I137+J137+K137)*'2-报价汇总'!$H$5</f>
        <v>2.82618091681416</v>
      </c>
      <c r="M137" s="300">
        <f>(I137+J137+K137+L137)*'2-报价汇总'!$I$5</f>
        <v>0</v>
      </c>
      <c r="N137" s="300">
        <f>(M137+L137+K137+J137+I137)*'2-报价汇总'!$J$5</f>
        <v>0</v>
      </c>
      <c r="O137" s="86">
        <f t="shared" si="6"/>
        <v>570888.54519646</v>
      </c>
      <c r="P137" s="301">
        <v>329.69</v>
      </c>
      <c r="Q137" s="158"/>
    </row>
    <row r="138" spans="1:17">
      <c r="A138" s="24" t="s">
        <v>1175</v>
      </c>
      <c r="B138" s="30" t="s">
        <v>1176</v>
      </c>
      <c r="C138" s="31" t="s">
        <v>1177</v>
      </c>
      <c r="D138" s="31" t="s">
        <v>919</v>
      </c>
      <c r="E138" s="31" t="s">
        <v>340</v>
      </c>
      <c r="F138" s="24" t="s">
        <v>78</v>
      </c>
      <c r="G138" s="32">
        <v>1200</v>
      </c>
      <c r="H138" s="296">
        <f t="shared" ref="H138:H154" si="7">SUM(I138:N138)</f>
        <v>419.74025974026</v>
      </c>
      <c r="I138" s="85">
        <v>28.9944155844155</v>
      </c>
      <c r="J138" s="85">
        <v>384.67</v>
      </c>
      <c r="K138" s="85">
        <v>1.92</v>
      </c>
      <c r="L138" s="125">
        <f>(I138+J138+K138)*'2-报价汇总'!$H$5</f>
        <v>4.15584415584416</v>
      </c>
      <c r="M138" s="297">
        <f>(I138+J138+K138+L138)*'2-报价汇总'!$I$5</f>
        <v>0</v>
      </c>
      <c r="N138" s="297">
        <f>(M138+L138+K138+J138+I138)*'2-报价汇总'!$J$5</f>
        <v>0</v>
      </c>
      <c r="O138" s="86">
        <f t="shared" ref="O138:O154" si="8">G138*H138</f>
        <v>503688.311688312</v>
      </c>
      <c r="P138" s="297"/>
      <c r="Q138" s="21"/>
    </row>
    <row r="139" ht="38.25" spans="1:17">
      <c r="A139" s="24" t="s">
        <v>1178</v>
      </c>
      <c r="B139" s="30" t="s">
        <v>1179</v>
      </c>
      <c r="C139" s="31" t="s">
        <v>1180</v>
      </c>
      <c r="D139" s="31" t="s">
        <v>26</v>
      </c>
      <c r="E139" s="31" t="s">
        <v>1085</v>
      </c>
      <c r="F139" s="24" t="s">
        <v>89</v>
      </c>
      <c r="G139" s="32">
        <v>1200</v>
      </c>
      <c r="H139" s="296">
        <f t="shared" si="7"/>
        <v>112.455411255411</v>
      </c>
      <c r="I139" s="85">
        <v>60.6219913419913</v>
      </c>
      <c r="J139" s="85">
        <v>48.85</v>
      </c>
      <c r="K139" s="85">
        <v>1.87</v>
      </c>
      <c r="L139" s="125">
        <f>(I139+J139+K139)*'2-报价汇总'!$H$5</f>
        <v>1.11341991341991</v>
      </c>
      <c r="M139" s="297">
        <f>(I139+J139+K139+L139)*'2-报价汇总'!$I$5</f>
        <v>0</v>
      </c>
      <c r="N139" s="297">
        <f>(M139+L139+K139+J139+I139)*'2-报价汇总'!$J$5</f>
        <v>0</v>
      </c>
      <c r="O139" s="86">
        <f t="shared" si="8"/>
        <v>134946.493506493</v>
      </c>
      <c r="P139" s="297"/>
      <c r="Q139" s="21"/>
    </row>
    <row r="140" ht="38.25" spans="1:17">
      <c r="A140" s="24" t="s">
        <v>1181</v>
      </c>
      <c r="B140" s="30" t="s">
        <v>1182</v>
      </c>
      <c r="C140" s="31" t="s">
        <v>1183</v>
      </c>
      <c r="D140" s="31" t="s">
        <v>26</v>
      </c>
      <c r="E140" s="31" t="s">
        <v>1085</v>
      </c>
      <c r="F140" s="24" t="s">
        <v>89</v>
      </c>
      <c r="G140" s="32">
        <v>1200</v>
      </c>
      <c r="H140" s="296">
        <f t="shared" si="7"/>
        <v>104.357922077922</v>
      </c>
      <c r="I140" s="85">
        <v>64.5846753246753</v>
      </c>
      <c r="J140" s="125">
        <v>37.24</v>
      </c>
      <c r="K140" s="125">
        <v>1.5</v>
      </c>
      <c r="L140" s="125">
        <f>(I140+J140+K140)*'2-报价汇总'!$H$5</f>
        <v>1.03324675324675</v>
      </c>
      <c r="M140" s="297">
        <f>(I140+J140+K140+L140)*'2-报价汇总'!$I$5</f>
        <v>0</v>
      </c>
      <c r="N140" s="297">
        <f>(M140+L140+K140+J140+I140)*'2-报价汇总'!$J$5</f>
        <v>0</v>
      </c>
      <c r="O140" s="86">
        <f t="shared" si="8"/>
        <v>125229.506493506</v>
      </c>
      <c r="P140" s="297"/>
      <c r="Q140" s="21"/>
    </row>
    <row r="141" ht="38.25" spans="1:17">
      <c r="A141" s="24" t="s">
        <v>1184</v>
      </c>
      <c r="B141" s="30" t="s">
        <v>1185</v>
      </c>
      <c r="C141" s="31" t="s">
        <v>1183</v>
      </c>
      <c r="D141" s="31" t="s">
        <v>26</v>
      </c>
      <c r="E141" s="31" t="s">
        <v>1085</v>
      </c>
      <c r="F141" s="24" t="s">
        <v>89</v>
      </c>
      <c r="G141" s="32">
        <v>1200</v>
      </c>
      <c r="H141" s="296">
        <f t="shared" si="7"/>
        <v>98.2017316017316</v>
      </c>
      <c r="I141" s="85">
        <v>66.4194372294372</v>
      </c>
      <c r="J141" s="85">
        <v>29.69</v>
      </c>
      <c r="K141" s="85">
        <v>1.12</v>
      </c>
      <c r="L141" s="125">
        <f>(I141+J141+K141)*'2-报价汇总'!$H$5</f>
        <v>0.972294372294372</v>
      </c>
      <c r="M141" s="297">
        <f>(I141+J141+K141+L141)*'2-报价汇总'!$I$5</f>
        <v>0</v>
      </c>
      <c r="N141" s="297">
        <f>(M141+L141+K141+J141+I141)*'2-报价汇总'!$J$5</f>
        <v>0</v>
      </c>
      <c r="O141" s="86">
        <f t="shared" si="8"/>
        <v>117842.077922078</v>
      </c>
      <c r="P141" s="297"/>
      <c r="Q141" s="21"/>
    </row>
    <row r="142" ht="38.25" spans="1:17">
      <c r="A142" s="24" t="s">
        <v>1186</v>
      </c>
      <c r="B142" s="30" t="s">
        <v>1187</v>
      </c>
      <c r="C142" s="31" t="s">
        <v>1188</v>
      </c>
      <c r="D142" s="31" t="s">
        <v>26</v>
      </c>
      <c r="E142" s="31" t="s">
        <v>1085</v>
      </c>
      <c r="F142" s="24" t="s">
        <v>89</v>
      </c>
      <c r="G142" s="32">
        <v>7491.9554593923</v>
      </c>
      <c r="H142" s="296">
        <f t="shared" si="7"/>
        <v>48.0864935064935</v>
      </c>
      <c r="I142" s="85">
        <v>25.1303896103896</v>
      </c>
      <c r="J142" s="85">
        <v>21.72</v>
      </c>
      <c r="K142" s="85">
        <v>0.76</v>
      </c>
      <c r="L142" s="125">
        <f>(I142+J142+K142)*'2-报价汇总'!$H$5</f>
        <v>0.476103896103896</v>
      </c>
      <c r="M142" s="297">
        <f>(I142+J142+K142+L142)*'2-报价汇总'!$I$5</f>
        <v>0</v>
      </c>
      <c r="N142" s="297">
        <f>(M142+L142+K142+J142+I142)*'2-报价汇总'!$J$5</f>
        <v>0</v>
      </c>
      <c r="O142" s="86">
        <f t="shared" si="8"/>
        <v>360261.867549006</v>
      </c>
      <c r="P142" s="297"/>
      <c r="Q142" s="21"/>
    </row>
    <row r="143" ht="38.25" spans="1:17">
      <c r="A143" s="24" t="s">
        <v>1189</v>
      </c>
      <c r="B143" s="30" t="s">
        <v>1190</v>
      </c>
      <c r="C143" s="31" t="s">
        <v>1191</v>
      </c>
      <c r="D143" s="31" t="s">
        <v>26</v>
      </c>
      <c r="E143" s="31" t="s">
        <v>1085</v>
      </c>
      <c r="F143" s="24" t="s">
        <v>89</v>
      </c>
      <c r="G143" s="32">
        <v>10000</v>
      </c>
      <c r="H143" s="296">
        <f t="shared" si="7"/>
        <v>44.4889426237229</v>
      </c>
      <c r="I143" s="85">
        <v>30.02845804329</v>
      </c>
      <c r="J143" s="85">
        <v>13.73</v>
      </c>
      <c r="K143" s="85">
        <v>0.29</v>
      </c>
      <c r="L143" s="125">
        <f>(I143+J143+K143)*'2-报价汇总'!$H$5</f>
        <v>0.4404845804329</v>
      </c>
      <c r="M143" s="297">
        <f>(I143+J143+K143+L143)*'2-报价汇总'!$I$5</f>
        <v>0</v>
      </c>
      <c r="N143" s="297">
        <f>(M143+L143+K143+J143+I143)*'2-报价汇总'!$J$5</f>
        <v>0</v>
      </c>
      <c r="O143" s="86">
        <f t="shared" si="8"/>
        <v>444889.426237229</v>
      </c>
      <c r="P143" s="297"/>
      <c r="Q143" s="21"/>
    </row>
    <row r="144" ht="38.25" spans="1:17">
      <c r="A144" s="24" t="s">
        <v>1192</v>
      </c>
      <c r="B144" s="30" t="s">
        <v>1193</v>
      </c>
      <c r="C144" s="31" t="s">
        <v>1194</v>
      </c>
      <c r="D144" s="31" t="s">
        <v>26</v>
      </c>
      <c r="E144" s="31" t="s">
        <v>1085</v>
      </c>
      <c r="F144" s="24" t="s">
        <v>89</v>
      </c>
      <c r="G144" s="32">
        <v>32465.3704544911</v>
      </c>
      <c r="H144" s="296">
        <f t="shared" si="7"/>
        <v>36.3621874064069</v>
      </c>
      <c r="I144" s="85">
        <v>26.2221657489177</v>
      </c>
      <c r="J144" s="125">
        <v>9.5</v>
      </c>
      <c r="K144" s="125">
        <v>0.28</v>
      </c>
      <c r="L144" s="125">
        <f>(I144+J144+K144)*'2-报价汇总'!$H$5</f>
        <v>0.360021657489177</v>
      </c>
      <c r="M144" s="297">
        <f>(I144+J144+K144+L144)*'2-报价汇总'!$I$5</f>
        <v>0</v>
      </c>
      <c r="N144" s="297">
        <f>(M144+L144+K144+J144+I144)*'2-报价汇总'!$J$5</f>
        <v>0</v>
      </c>
      <c r="O144" s="86">
        <f t="shared" si="8"/>
        <v>1180511.88468463</v>
      </c>
      <c r="P144" s="297"/>
      <c r="Q144" s="21"/>
    </row>
    <row r="145" ht="38.25" spans="1:17">
      <c r="A145" s="24" t="s">
        <v>1195</v>
      </c>
      <c r="B145" s="30" t="s">
        <v>1196</v>
      </c>
      <c r="C145" s="31" t="s">
        <v>1194</v>
      </c>
      <c r="D145" s="31" t="s">
        <v>26</v>
      </c>
      <c r="E145" s="31" t="s">
        <v>1085</v>
      </c>
      <c r="F145" s="24" t="s">
        <v>89</v>
      </c>
      <c r="G145" s="32">
        <v>40000</v>
      </c>
      <c r="H145" s="296">
        <f t="shared" si="7"/>
        <v>26.2337662337663</v>
      </c>
      <c r="I145" s="85">
        <v>17.114025974026</v>
      </c>
      <c r="J145" s="85">
        <v>8.61</v>
      </c>
      <c r="K145" s="85">
        <v>0.25</v>
      </c>
      <c r="L145" s="125">
        <f>(I145+J145+K145)*'2-报价汇总'!$H$5</f>
        <v>0.25974025974026</v>
      </c>
      <c r="M145" s="297">
        <f>(I145+J145+K145+L145)*'2-报价汇总'!$I$5</f>
        <v>0</v>
      </c>
      <c r="N145" s="297">
        <f>(M145+L145+K145+J145+I145)*'2-报价汇总'!$J$5</f>
        <v>0</v>
      </c>
      <c r="O145" s="86">
        <f t="shared" si="8"/>
        <v>1049350.64935065</v>
      </c>
      <c r="P145" s="297"/>
      <c r="Q145" s="21"/>
    </row>
    <row r="146" ht="38.25" spans="1:17">
      <c r="A146" s="24" t="s">
        <v>1197</v>
      </c>
      <c r="B146" s="30" t="s">
        <v>1198</v>
      </c>
      <c r="C146" s="31" t="s">
        <v>1199</v>
      </c>
      <c r="D146" s="31" t="s">
        <v>26</v>
      </c>
      <c r="E146" s="31" t="s">
        <v>1085</v>
      </c>
      <c r="F146" s="24" t="s">
        <v>89</v>
      </c>
      <c r="G146" s="32">
        <v>32465.3704544911</v>
      </c>
      <c r="H146" s="296">
        <f t="shared" si="7"/>
        <v>21.8614718614718</v>
      </c>
      <c r="I146" s="85">
        <v>13.4950216450216</v>
      </c>
      <c r="J146" s="85">
        <v>7.93</v>
      </c>
      <c r="K146" s="85">
        <v>0.22</v>
      </c>
      <c r="L146" s="125">
        <f>(I146+J146+K146)*'2-报价汇总'!$H$5</f>
        <v>0.216450216450216</v>
      </c>
      <c r="M146" s="297">
        <f>(I146+J146+K146+L146)*'2-报价汇总'!$I$5</f>
        <v>0</v>
      </c>
      <c r="N146" s="297">
        <f>(M146+L146+K146+J146+I146)*'2-报价汇总'!$J$5</f>
        <v>0</v>
      </c>
      <c r="O146" s="86">
        <f t="shared" si="8"/>
        <v>709740.782663116</v>
      </c>
      <c r="P146" s="297"/>
      <c r="Q146" s="21"/>
    </row>
    <row r="147" ht="38.25" spans="1:17">
      <c r="A147" s="24" t="s">
        <v>1200</v>
      </c>
      <c r="B147" s="30" t="s">
        <v>1201</v>
      </c>
      <c r="C147" s="31" t="s">
        <v>1202</v>
      </c>
      <c r="D147" s="31" t="s">
        <v>26</v>
      </c>
      <c r="E147" s="31" t="s">
        <v>1085</v>
      </c>
      <c r="F147" s="24" t="s">
        <v>89</v>
      </c>
      <c r="G147" s="32">
        <v>40000</v>
      </c>
      <c r="H147" s="296">
        <f t="shared" si="7"/>
        <v>17.3142857142857</v>
      </c>
      <c r="I147" s="85">
        <v>10.0428571428571</v>
      </c>
      <c r="J147" s="85">
        <v>6.9</v>
      </c>
      <c r="K147" s="85">
        <v>0.2</v>
      </c>
      <c r="L147" s="125">
        <f>(I147+J147+K147)*'2-报价汇总'!$H$5</f>
        <v>0.171428571428571</v>
      </c>
      <c r="M147" s="297">
        <f>(I147+J147+K147+L147)*'2-报价汇总'!$I$5</f>
        <v>0</v>
      </c>
      <c r="N147" s="297">
        <f>(M147+L147+K147+J147+I147)*'2-报价汇总'!$J$5</f>
        <v>0</v>
      </c>
      <c r="O147" s="86">
        <f t="shared" si="8"/>
        <v>692571.428571427</v>
      </c>
      <c r="P147" s="297"/>
      <c r="Q147" s="21"/>
    </row>
    <row r="148" ht="38.25" spans="1:17">
      <c r="A148" s="24" t="s">
        <v>1203</v>
      </c>
      <c r="B148" s="269" t="s">
        <v>1204</v>
      </c>
      <c r="C148" s="261" t="s">
        <v>1191</v>
      </c>
      <c r="D148" s="261" t="s">
        <v>26</v>
      </c>
      <c r="E148" s="261" t="s">
        <v>1085</v>
      </c>
      <c r="F148" s="250" t="s">
        <v>89</v>
      </c>
      <c r="G148" s="32">
        <v>40000</v>
      </c>
      <c r="H148" s="296">
        <f t="shared" si="7"/>
        <v>123.119</v>
      </c>
      <c r="I148" s="266">
        <f>44.5+25</f>
        <v>69.5</v>
      </c>
      <c r="J148" s="288">
        <v>52.11</v>
      </c>
      <c r="K148" s="288">
        <v>0.29</v>
      </c>
      <c r="L148" s="125">
        <f>(I148+J148+K148)*'2-报价汇总'!$H$5</f>
        <v>1.219</v>
      </c>
      <c r="M148" s="297">
        <f>(I148+J148+K148+L148)*'2-报价汇总'!$I$5</f>
        <v>0</v>
      </c>
      <c r="N148" s="297">
        <f>(M148+L148+K148+J148+I148)*'2-报价汇总'!$J$5</f>
        <v>0</v>
      </c>
      <c r="O148" s="86">
        <f t="shared" si="8"/>
        <v>4924760</v>
      </c>
      <c r="P148" s="297"/>
      <c r="Q148" s="21"/>
    </row>
    <row r="149" ht="38.25" spans="1:17">
      <c r="A149" s="24" t="s">
        <v>1205</v>
      </c>
      <c r="B149" s="269" t="s">
        <v>1206</v>
      </c>
      <c r="C149" s="261" t="s">
        <v>1191</v>
      </c>
      <c r="D149" s="261" t="s">
        <v>26</v>
      </c>
      <c r="E149" s="261" t="s">
        <v>1085</v>
      </c>
      <c r="F149" s="250" t="s">
        <v>89</v>
      </c>
      <c r="G149" s="32">
        <v>40000</v>
      </c>
      <c r="H149" s="296">
        <f t="shared" si="7"/>
        <v>94.0613</v>
      </c>
      <c r="I149" s="266">
        <f>44.5+12</f>
        <v>56.5</v>
      </c>
      <c r="J149" s="266">
        <v>36.25</v>
      </c>
      <c r="K149" s="266">
        <v>0.38</v>
      </c>
      <c r="L149" s="125">
        <f>(I149+J149+K149)*'2-报价汇总'!$H$5</f>
        <v>0.9313</v>
      </c>
      <c r="M149" s="297">
        <f>(I149+J149+K149+L149)*'2-报价汇总'!$I$5</f>
        <v>0</v>
      </c>
      <c r="N149" s="297">
        <f>(M149+L149+K149+J149+I149)*'2-报价汇总'!$J$5</f>
        <v>0</v>
      </c>
      <c r="O149" s="86">
        <f t="shared" si="8"/>
        <v>3762452</v>
      </c>
      <c r="P149" s="297"/>
      <c r="Q149" s="21"/>
    </row>
    <row r="150" ht="38.25" spans="1:17">
      <c r="A150" s="24" t="s">
        <v>1207</v>
      </c>
      <c r="B150" s="269" t="s">
        <v>1208</v>
      </c>
      <c r="C150" s="261" t="s">
        <v>1191</v>
      </c>
      <c r="D150" s="261" t="s">
        <v>26</v>
      </c>
      <c r="E150" s="261" t="s">
        <v>1085</v>
      </c>
      <c r="F150" s="250" t="s">
        <v>89</v>
      </c>
      <c r="G150" s="32">
        <v>40000</v>
      </c>
      <c r="H150" s="296">
        <f t="shared" si="7"/>
        <v>66.2964</v>
      </c>
      <c r="I150" s="266">
        <f>38.25+4</f>
        <v>42.25</v>
      </c>
      <c r="J150" s="266">
        <v>23.07</v>
      </c>
      <c r="K150" s="266">
        <v>0.32</v>
      </c>
      <c r="L150" s="125">
        <f>(I150+J150+K150)*'2-报价汇总'!$H$5</f>
        <v>0.6564</v>
      </c>
      <c r="M150" s="297">
        <f>(I150+J150+K150+L150)*'2-报价汇总'!$I$5</f>
        <v>0</v>
      </c>
      <c r="N150" s="297">
        <f>(M150+L150+K150+J150+I150)*'2-报价汇总'!$J$5</f>
        <v>0</v>
      </c>
      <c r="O150" s="86">
        <f t="shared" si="8"/>
        <v>2651856</v>
      </c>
      <c r="P150" s="297"/>
      <c r="Q150" s="21"/>
    </row>
    <row r="151" spans="1:17">
      <c r="A151" s="24" t="s">
        <v>1209</v>
      </c>
      <c r="B151" s="298" t="s">
        <v>1210</v>
      </c>
      <c r="C151" s="236"/>
      <c r="D151" s="304"/>
      <c r="E151" s="305"/>
      <c r="F151" s="241" t="s">
        <v>89</v>
      </c>
      <c r="G151" s="32">
        <v>6000</v>
      </c>
      <c r="H151" s="302">
        <f t="shared" si="7"/>
        <v>177.4873</v>
      </c>
      <c r="I151" s="85">
        <v>92.03</v>
      </c>
      <c r="J151" s="128">
        <v>83.41</v>
      </c>
      <c r="K151" s="128">
        <v>0.29</v>
      </c>
      <c r="L151" s="299">
        <f>(I151+J151+K151)*'2-报价汇总'!$H$5</f>
        <v>1.7573</v>
      </c>
      <c r="M151" s="300">
        <f>(I151+J151+K151+L151)*'2-报价汇总'!$I$5</f>
        <v>0</v>
      </c>
      <c r="N151" s="300">
        <f>(M151+L151+K151+J151+I151)*'2-报价汇总'!$J$5</f>
        <v>0</v>
      </c>
      <c r="O151" s="86">
        <f t="shared" si="8"/>
        <v>1064923.8</v>
      </c>
      <c r="P151" s="301">
        <v>205</v>
      </c>
      <c r="Q151" s="158"/>
    </row>
    <row r="152" spans="1:17">
      <c r="A152" s="24" t="s">
        <v>1211</v>
      </c>
      <c r="B152" s="298" t="s">
        <v>1212</v>
      </c>
      <c r="C152" s="236"/>
      <c r="D152" s="304"/>
      <c r="E152" s="305"/>
      <c r="F152" s="241" t="s">
        <v>89</v>
      </c>
      <c r="G152" s="32">
        <v>6000</v>
      </c>
      <c r="H152" s="302">
        <f t="shared" si="7"/>
        <v>186.143</v>
      </c>
      <c r="I152" s="85">
        <v>95.62</v>
      </c>
      <c r="J152" s="128">
        <v>86.81</v>
      </c>
      <c r="K152" s="128">
        <v>1.87</v>
      </c>
      <c r="L152" s="299">
        <f>(I152+J152+K152)*'2-报价汇总'!$H$5</f>
        <v>1.843</v>
      </c>
      <c r="M152" s="300">
        <f>(I152+J152+K152+L152)*'2-报价汇总'!$I$5</f>
        <v>0</v>
      </c>
      <c r="N152" s="300">
        <f>(M152+L152+K152+J152+I152)*'2-报价汇总'!$J$5</f>
        <v>0</v>
      </c>
      <c r="O152" s="86">
        <f t="shared" si="8"/>
        <v>1116858</v>
      </c>
      <c r="P152" s="301">
        <v>215</v>
      </c>
      <c r="Q152" s="158"/>
    </row>
    <row r="153" ht="25.5" spans="1:17">
      <c r="A153" s="24" t="s">
        <v>1213</v>
      </c>
      <c r="B153" s="306" t="s">
        <v>1214</v>
      </c>
      <c r="C153" s="276" t="s">
        <v>1215</v>
      </c>
      <c r="D153" s="276" t="s">
        <v>1216</v>
      </c>
      <c r="E153" s="276" t="s">
        <v>1085</v>
      </c>
      <c r="F153" s="280" t="s">
        <v>89</v>
      </c>
      <c r="G153" s="32">
        <v>42932.3138164344</v>
      </c>
      <c r="H153" s="296">
        <f t="shared" si="7"/>
        <v>56.4812987012987</v>
      </c>
      <c r="I153" s="286">
        <v>32.9220779220779</v>
      </c>
      <c r="J153" s="307">
        <f>1.8*5+13.5</f>
        <v>22.5</v>
      </c>
      <c r="K153" s="307">
        <v>0.5</v>
      </c>
      <c r="L153" s="125">
        <f>(I153+J153+K153)*'2-报价汇总'!$H$5</f>
        <v>0.559220779220779</v>
      </c>
      <c r="M153" s="297">
        <f>(I153+J153+K153+L153)*'2-报价汇总'!$I$5</f>
        <v>0</v>
      </c>
      <c r="N153" s="297">
        <f>(M153+L153+K153+J153+I153)*'2-报价汇总'!$J$5</f>
        <v>0</v>
      </c>
      <c r="O153" s="86">
        <f t="shared" si="8"/>
        <v>2424872.84060392</v>
      </c>
      <c r="P153" s="297"/>
      <c r="Q153" s="21"/>
    </row>
    <row r="154" ht="38.25" spans="1:17">
      <c r="A154" s="24" t="s">
        <v>1217</v>
      </c>
      <c r="B154" s="298" t="s">
        <v>1218</v>
      </c>
      <c r="C154" s="236"/>
      <c r="D154" s="304"/>
      <c r="E154" s="305"/>
      <c r="F154" s="241" t="s">
        <v>89</v>
      </c>
      <c r="G154" s="32">
        <v>6000</v>
      </c>
      <c r="H154" s="296">
        <f t="shared" si="7"/>
        <v>213.367965367965</v>
      </c>
      <c r="I154" s="240">
        <v>209.255411255411</v>
      </c>
      <c r="J154" s="299"/>
      <c r="K154" s="299">
        <v>2</v>
      </c>
      <c r="L154" s="299">
        <f>(I154+J154+K154)*'2-报价汇总'!$H$5</f>
        <v>2.11255411255411</v>
      </c>
      <c r="M154" s="300">
        <f>(I154+J154+K154+L154)*'2-报价汇总'!$I$5</f>
        <v>0</v>
      </c>
      <c r="N154" s="300">
        <f>(M154+L154+K154+J154+I154)*'2-报价汇总'!$J$5</f>
        <v>0</v>
      </c>
      <c r="O154" s="86">
        <f t="shared" si="8"/>
        <v>1280207.79220779</v>
      </c>
      <c r="P154" s="300"/>
      <c r="Q154" s="158"/>
    </row>
    <row r="155" spans="1:17">
      <c r="A155" s="24"/>
      <c r="B155" s="39" t="s">
        <v>158</v>
      </c>
      <c r="C155" s="31"/>
      <c r="D155" s="31"/>
      <c r="E155" s="31"/>
      <c r="F155" s="24"/>
      <c r="G155" s="32">
        <v>0</v>
      </c>
      <c r="H155" s="296"/>
      <c r="I155" s="85"/>
      <c r="J155" s="125"/>
      <c r="K155" s="125"/>
      <c r="L155" s="85"/>
      <c r="M155" s="85"/>
      <c r="N155" s="85"/>
      <c r="O155" s="86"/>
      <c r="P155" s="85"/>
      <c r="Q155" s="21"/>
    </row>
    <row r="156" spans="1:17">
      <c r="A156" s="24"/>
      <c r="B156" s="26" t="s">
        <v>1219</v>
      </c>
      <c r="C156" s="31"/>
      <c r="D156" s="31"/>
      <c r="E156" s="31"/>
      <c r="F156" s="24"/>
      <c r="G156" s="32">
        <v>0</v>
      </c>
      <c r="H156" s="296"/>
      <c r="I156" s="85"/>
      <c r="J156" s="125"/>
      <c r="K156" s="125"/>
      <c r="L156" s="85"/>
      <c r="M156" s="85"/>
      <c r="N156" s="85"/>
      <c r="O156" s="86"/>
      <c r="P156" s="85"/>
      <c r="Q156" s="21"/>
    </row>
    <row r="157" spans="1:17">
      <c r="A157" s="41" t="s">
        <v>1220</v>
      </c>
      <c r="B157" s="26" t="s">
        <v>1221</v>
      </c>
      <c r="C157" s="31"/>
      <c r="D157" s="31"/>
      <c r="E157" s="31"/>
      <c r="F157" s="24"/>
      <c r="G157" s="32">
        <v>0</v>
      </c>
      <c r="H157" s="296"/>
      <c r="I157" s="85"/>
      <c r="J157" s="125"/>
      <c r="K157" s="125"/>
      <c r="L157" s="85"/>
      <c r="M157" s="85"/>
      <c r="N157" s="85"/>
      <c r="O157" s="86"/>
      <c r="P157" s="85"/>
      <c r="Q157" s="21"/>
    </row>
    <row r="158" ht="51" spans="1:17">
      <c r="A158" s="24" t="s">
        <v>1222</v>
      </c>
      <c r="B158" s="30" t="s">
        <v>1223</v>
      </c>
      <c r="C158" s="31" t="s">
        <v>1224</v>
      </c>
      <c r="D158" s="31" t="s">
        <v>26</v>
      </c>
      <c r="E158" s="31" t="s">
        <v>340</v>
      </c>
      <c r="F158" s="24" t="s">
        <v>78</v>
      </c>
      <c r="G158" s="32">
        <v>2000</v>
      </c>
      <c r="H158" s="296">
        <f t="shared" ref="H158:H167" si="9">SUM(I158:N158)</f>
        <v>244.848484848485</v>
      </c>
      <c r="I158" s="85">
        <v>59.9542424242424</v>
      </c>
      <c r="J158" s="85">
        <v>181.03</v>
      </c>
      <c r="K158" s="85">
        <v>1.44</v>
      </c>
      <c r="L158" s="125">
        <f>(I158+J158+K158)*'2-报价汇总'!$H$5</f>
        <v>2.42424242424242</v>
      </c>
      <c r="M158" s="297">
        <f>(I158+J158+K158+L158)*'2-报价汇总'!$I$5</f>
        <v>0</v>
      </c>
      <c r="N158" s="297">
        <f>(M158+L158+K158+J158+I158)*'2-报价汇总'!$J$5</f>
        <v>0</v>
      </c>
      <c r="O158" s="86">
        <f t="shared" ref="O158:O177" si="10">G158*H158</f>
        <v>489696.96969697</v>
      </c>
      <c r="P158" s="297"/>
      <c r="Q158" s="21"/>
    </row>
    <row r="159" ht="51" spans="1:17">
      <c r="A159" s="24" t="s">
        <v>1225</v>
      </c>
      <c r="B159" s="30" t="s">
        <v>1226</v>
      </c>
      <c r="C159" s="31" t="s">
        <v>1224</v>
      </c>
      <c r="D159" s="31" t="s">
        <v>26</v>
      </c>
      <c r="E159" s="31" t="s">
        <v>340</v>
      </c>
      <c r="F159" s="24" t="s">
        <v>78</v>
      </c>
      <c r="G159" s="32">
        <v>1000</v>
      </c>
      <c r="H159" s="296">
        <f t="shared" si="9"/>
        <v>262.337662337662</v>
      </c>
      <c r="I159" s="85">
        <v>63.4602597402597</v>
      </c>
      <c r="J159" s="85">
        <v>194.28</v>
      </c>
      <c r="K159" s="85">
        <v>2</v>
      </c>
      <c r="L159" s="125">
        <f>(I159+J159+K159)*'2-报价汇总'!$H$5</f>
        <v>2.5974025974026</v>
      </c>
      <c r="M159" s="297">
        <f>(I159+J159+K159+L159)*'2-报价汇总'!$I$5</f>
        <v>0</v>
      </c>
      <c r="N159" s="297">
        <f>(M159+L159+K159+J159+I159)*'2-报价汇总'!$J$5</f>
        <v>0</v>
      </c>
      <c r="O159" s="86">
        <f t="shared" si="10"/>
        <v>262337.662337662</v>
      </c>
      <c r="P159" s="297"/>
      <c r="Q159" s="21"/>
    </row>
    <row r="160" ht="51" spans="1:17">
      <c r="A160" s="24" t="s">
        <v>1227</v>
      </c>
      <c r="B160" s="30" t="s">
        <v>1228</v>
      </c>
      <c r="C160" s="31" t="s">
        <v>1224</v>
      </c>
      <c r="D160" s="31" t="s">
        <v>26</v>
      </c>
      <c r="E160" s="31" t="s">
        <v>340</v>
      </c>
      <c r="F160" s="24" t="s">
        <v>78</v>
      </c>
      <c r="G160" s="32">
        <v>1000</v>
      </c>
      <c r="H160" s="296">
        <f t="shared" si="9"/>
        <v>244.848484848485</v>
      </c>
      <c r="I160" s="85">
        <v>76.4442424242424</v>
      </c>
      <c r="J160" s="85">
        <v>163.98</v>
      </c>
      <c r="K160" s="85">
        <v>2</v>
      </c>
      <c r="L160" s="125">
        <f>(I160+J160+K160)*'2-报价汇总'!$H$5</f>
        <v>2.42424242424242</v>
      </c>
      <c r="M160" s="297">
        <f>(I160+J160+K160+L160)*'2-报价汇总'!$I$5</f>
        <v>0</v>
      </c>
      <c r="N160" s="297">
        <f>(M160+L160+K160+J160+I160)*'2-报价汇总'!$J$5</f>
        <v>0</v>
      </c>
      <c r="O160" s="86">
        <f t="shared" si="10"/>
        <v>244848.484848485</v>
      </c>
      <c r="P160" s="297"/>
      <c r="Q160" s="21"/>
    </row>
    <row r="161" ht="51" spans="1:17">
      <c r="A161" s="24" t="s">
        <v>1229</v>
      </c>
      <c r="B161" s="30" t="s">
        <v>1230</v>
      </c>
      <c r="C161" s="31" t="s">
        <v>1224</v>
      </c>
      <c r="D161" s="31" t="s">
        <v>26</v>
      </c>
      <c r="E161" s="31" t="s">
        <v>340</v>
      </c>
      <c r="F161" s="24" t="s">
        <v>78</v>
      </c>
      <c r="G161" s="32">
        <v>1000</v>
      </c>
      <c r="H161" s="296">
        <f t="shared" si="9"/>
        <v>201.125541125541</v>
      </c>
      <c r="I161" s="85">
        <v>88.7041991341991</v>
      </c>
      <c r="J161" s="85">
        <v>108.43</v>
      </c>
      <c r="K161" s="85">
        <v>2</v>
      </c>
      <c r="L161" s="125">
        <f>(I161+J161+K161)*'2-报价汇总'!$H$5</f>
        <v>1.99134199134199</v>
      </c>
      <c r="M161" s="297">
        <f>(I161+J161+K161+L161)*'2-报价汇总'!$I$5</f>
        <v>0</v>
      </c>
      <c r="N161" s="297">
        <f>(M161+L161+K161+J161+I161)*'2-报价汇总'!$J$5</f>
        <v>0</v>
      </c>
      <c r="O161" s="86">
        <f t="shared" si="10"/>
        <v>201125.541125541</v>
      </c>
      <c r="P161" s="297"/>
      <c r="Q161" s="21"/>
    </row>
    <row r="162" ht="25.5" spans="1:17">
      <c r="A162" s="24" t="s">
        <v>1231</v>
      </c>
      <c r="B162" s="30" t="s">
        <v>1232</v>
      </c>
      <c r="C162" s="31" t="s">
        <v>1233</v>
      </c>
      <c r="D162" s="31" t="s">
        <v>26</v>
      </c>
      <c r="E162" s="31" t="s">
        <v>340</v>
      </c>
      <c r="F162" s="24" t="s">
        <v>78</v>
      </c>
      <c r="G162" s="32">
        <v>3646.05637506874</v>
      </c>
      <c r="H162" s="296">
        <f t="shared" si="9"/>
        <v>166.147186147186</v>
      </c>
      <c r="I162" s="85">
        <v>56.9521645021645</v>
      </c>
      <c r="J162" s="85">
        <v>106.16</v>
      </c>
      <c r="K162" s="85">
        <v>1.39</v>
      </c>
      <c r="L162" s="125">
        <f>(I162+J162+K162)*'2-报价汇总'!$H$5</f>
        <v>1.64502164502164</v>
      </c>
      <c r="M162" s="297">
        <f>(I162+J162+K162+L162)*'2-报价汇总'!$I$5</f>
        <v>0</v>
      </c>
      <c r="N162" s="297">
        <f>(M162+L162+K162+J162+I162)*'2-报价汇总'!$J$5</f>
        <v>0</v>
      </c>
      <c r="O162" s="86">
        <f t="shared" si="10"/>
        <v>605782.007251681</v>
      </c>
      <c r="P162" s="297"/>
      <c r="Q162" s="21"/>
    </row>
    <row r="163" ht="25.5" spans="1:17">
      <c r="A163" s="24" t="s">
        <v>1234</v>
      </c>
      <c r="B163" s="30" t="s">
        <v>1235</v>
      </c>
      <c r="C163" s="31" t="s">
        <v>1233</v>
      </c>
      <c r="D163" s="31" t="s">
        <v>1236</v>
      </c>
      <c r="E163" s="31" t="s">
        <v>340</v>
      </c>
      <c r="F163" s="24" t="s">
        <v>78</v>
      </c>
      <c r="G163" s="32">
        <v>21876.3382504124</v>
      </c>
      <c r="H163" s="296">
        <f t="shared" si="9"/>
        <v>149.182683982684</v>
      </c>
      <c r="I163" s="85">
        <v>105.225627705628</v>
      </c>
      <c r="J163" s="85">
        <v>41.23</v>
      </c>
      <c r="K163" s="85">
        <v>1.25</v>
      </c>
      <c r="L163" s="125">
        <f>(I163+J163+K163)*'2-报价汇总'!$H$5</f>
        <v>1.47705627705628</v>
      </c>
      <c r="M163" s="297">
        <f>(I163+J163+K163+L163)*'2-报价汇总'!$I$5</f>
        <v>0</v>
      </c>
      <c r="N163" s="297">
        <f>(M163+L163+K163+J163+I163)*'2-报价汇总'!$J$5</f>
        <v>0</v>
      </c>
      <c r="O163" s="86">
        <f t="shared" si="10"/>
        <v>3263570.85590958</v>
      </c>
      <c r="P163" s="297"/>
      <c r="Q163" s="21"/>
    </row>
    <row r="164" ht="25.5" spans="1:17">
      <c r="A164" s="24" t="s">
        <v>1237</v>
      </c>
      <c r="B164" s="30" t="s">
        <v>1238</v>
      </c>
      <c r="C164" s="31" t="s">
        <v>1233</v>
      </c>
      <c r="D164" s="31" t="s">
        <v>1236</v>
      </c>
      <c r="E164" s="31" t="s">
        <v>340</v>
      </c>
      <c r="F164" s="24" t="s">
        <v>78</v>
      </c>
      <c r="G164" s="32">
        <v>3646.05637506874</v>
      </c>
      <c r="H164" s="296">
        <f t="shared" si="9"/>
        <v>164.721818181818</v>
      </c>
      <c r="I164" s="85">
        <v>117.230909090909</v>
      </c>
      <c r="J164" s="85">
        <v>44.59</v>
      </c>
      <c r="K164" s="85">
        <v>1.27</v>
      </c>
      <c r="L164" s="125">
        <f>(I164+J164+K164)*'2-报价汇总'!$H$5</f>
        <v>1.63090909090909</v>
      </c>
      <c r="M164" s="297">
        <f>(I164+J164+K164+L164)*'2-报价汇总'!$I$5</f>
        <v>0</v>
      </c>
      <c r="N164" s="297">
        <f>(M164+L164+K164+J164+I164)*'2-报价汇总'!$J$5</f>
        <v>0</v>
      </c>
      <c r="O164" s="86">
        <f t="shared" si="10"/>
        <v>600585.035294732</v>
      </c>
      <c r="P164" s="297"/>
      <c r="Q164" s="21"/>
    </row>
    <row r="165" ht="25.5" spans="1:17">
      <c r="A165" s="24" t="s">
        <v>1239</v>
      </c>
      <c r="B165" s="30" t="s">
        <v>1240</v>
      </c>
      <c r="C165" s="31" t="s">
        <v>1233</v>
      </c>
      <c r="D165" s="31" t="s">
        <v>1236</v>
      </c>
      <c r="E165" s="31" t="s">
        <v>340</v>
      </c>
      <c r="F165" s="24" t="s">
        <v>78</v>
      </c>
      <c r="G165" s="32">
        <v>7292.11275013747</v>
      </c>
      <c r="H165" s="296">
        <f t="shared" si="9"/>
        <v>161.337662337662</v>
      </c>
      <c r="I165" s="85">
        <v>85.4802597402597</v>
      </c>
      <c r="J165" s="85">
        <v>72.71</v>
      </c>
      <c r="K165" s="85">
        <v>1.55</v>
      </c>
      <c r="L165" s="125">
        <f>(I165+J165+K165)*'2-报价汇总'!$H$5</f>
        <v>1.5974025974026</v>
      </c>
      <c r="M165" s="297">
        <f>(I165+J165+K165+L165)*'2-报价汇总'!$I$5</f>
        <v>0</v>
      </c>
      <c r="N165" s="297">
        <f>(M165+L165+K165+J165+I165)*'2-报价汇总'!$J$5</f>
        <v>0</v>
      </c>
      <c r="O165" s="86">
        <f t="shared" si="10"/>
        <v>1176492.42460984</v>
      </c>
      <c r="P165" s="297"/>
      <c r="Q165" s="21"/>
    </row>
    <row r="166" ht="25.5" spans="1:17">
      <c r="A166" s="24" t="s">
        <v>1241</v>
      </c>
      <c r="B166" s="30" t="s">
        <v>1242</v>
      </c>
      <c r="C166" s="31" t="s">
        <v>1233</v>
      </c>
      <c r="D166" s="31" t="s">
        <v>1236</v>
      </c>
      <c r="E166" s="31" t="s">
        <v>340</v>
      </c>
      <c r="F166" s="24" t="s">
        <v>78</v>
      </c>
      <c r="G166" s="32">
        <v>6380.59865637029</v>
      </c>
      <c r="H166" s="296">
        <f t="shared" si="9"/>
        <v>170.860519480519</v>
      </c>
      <c r="I166" s="85">
        <v>80.2088311688311</v>
      </c>
      <c r="J166" s="85">
        <v>87.68</v>
      </c>
      <c r="K166" s="85">
        <v>1.28</v>
      </c>
      <c r="L166" s="125">
        <f>(I166+J166+K166)*'2-报价汇总'!$H$5</f>
        <v>1.69168831168831</v>
      </c>
      <c r="M166" s="297">
        <f>(I166+J166+K166+L166)*'2-报价汇总'!$I$5</f>
        <v>0</v>
      </c>
      <c r="N166" s="297">
        <f>(M166+L166+K166+J166+I166)*'2-报价汇总'!$J$5</f>
        <v>0</v>
      </c>
      <c r="O166" s="86">
        <f t="shared" si="10"/>
        <v>1090192.40102413</v>
      </c>
      <c r="P166" s="297"/>
      <c r="Q166" s="21"/>
    </row>
    <row r="167" ht="25.5" spans="1:17">
      <c r="A167" s="24" t="s">
        <v>1243</v>
      </c>
      <c r="B167" s="30" t="s">
        <v>1244</v>
      </c>
      <c r="C167" s="31" t="s">
        <v>1233</v>
      </c>
      <c r="D167" s="31" t="s">
        <v>1236</v>
      </c>
      <c r="E167" s="31" t="s">
        <v>340</v>
      </c>
      <c r="F167" s="24" t="s">
        <v>78</v>
      </c>
      <c r="G167" s="32">
        <v>3646.05637506874</v>
      </c>
      <c r="H167" s="296">
        <f t="shared" si="9"/>
        <v>171.656277056277</v>
      </c>
      <c r="I167" s="85">
        <v>75.5567099567099</v>
      </c>
      <c r="J167" s="85">
        <v>93.11</v>
      </c>
      <c r="K167" s="85">
        <v>1.29</v>
      </c>
      <c r="L167" s="125">
        <f>(I167+J167+K167)*'2-报价汇总'!$H$5</f>
        <v>1.6995670995671</v>
      </c>
      <c r="M167" s="297">
        <f>(I167+J167+K167+L167)*'2-报价汇总'!$I$5</f>
        <v>0</v>
      </c>
      <c r="N167" s="297">
        <f>(M167+L167+K167+J167+I167)*'2-报价汇总'!$J$5</f>
        <v>0</v>
      </c>
      <c r="O167" s="86">
        <f t="shared" si="10"/>
        <v>625868.463281605</v>
      </c>
      <c r="P167" s="297"/>
      <c r="Q167" s="21"/>
    </row>
    <row r="168" ht="25.5" spans="1:17">
      <c r="A168" s="24" t="s">
        <v>1245</v>
      </c>
      <c r="B168" s="30" t="s">
        <v>1238</v>
      </c>
      <c r="C168" s="31" t="s">
        <v>1233</v>
      </c>
      <c r="D168" s="31" t="s">
        <v>1246</v>
      </c>
      <c r="E168" s="31" t="s">
        <v>340</v>
      </c>
      <c r="F168" s="24" t="s">
        <v>78</v>
      </c>
      <c r="G168" s="32">
        <v>500</v>
      </c>
      <c r="H168" s="296">
        <v>170.6</v>
      </c>
      <c r="I168" s="85">
        <v>147.705627705628</v>
      </c>
      <c r="J168" s="85"/>
      <c r="K168" s="85"/>
      <c r="L168" s="125">
        <f>(I168+J168+K168)*'2-报价汇总'!$H$5</f>
        <v>1.47705627705628</v>
      </c>
      <c r="M168" s="297">
        <f>(I168+J168+K168+L168)*'2-报价汇总'!$I$5</f>
        <v>0</v>
      </c>
      <c r="N168" s="297">
        <f>(M168+L168+K168+J168+I168)*'2-报价汇总'!$J$5</f>
        <v>0</v>
      </c>
      <c r="O168" s="86">
        <f t="shared" si="10"/>
        <v>85300</v>
      </c>
      <c r="P168" s="297"/>
      <c r="Q168" s="21"/>
    </row>
    <row r="169" ht="25.5" spans="1:17">
      <c r="A169" s="24" t="s">
        <v>1247</v>
      </c>
      <c r="B169" s="30" t="s">
        <v>1240</v>
      </c>
      <c r="C169" s="31" t="s">
        <v>1233</v>
      </c>
      <c r="D169" s="31" t="s">
        <v>1246</v>
      </c>
      <c r="E169" s="31" t="s">
        <v>340</v>
      </c>
      <c r="F169" s="24" t="s">
        <v>78</v>
      </c>
      <c r="G169" s="32">
        <v>500</v>
      </c>
      <c r="H169" s="296">
        <v>184.5</v>
      </c>
      <c r="I169" s="85">
        <v>159.74025974026</v>
      </c>
      <c r="J169" s="85"/>
      <c r="K169" s="85"/>
      <c r="L169" s="125">
        <f>(I169+J169+K169)*'2-报价汇总'!$H$5</f>
        <v>1.5974025974026</v>
      </c>
      <c r="M169" s="297">
        <f>(I169+J169+K169+L169)*'2-报价汇总'!$I$5</f>
        <v>0</v>
      </c>
      <c r="N169" s="297">
        <f>(M169+L169+K169+J169+I169)*'2-报价汇总'!$J$5</f>
        <v>0</v>
      </c>
      <c r="O169" s="86">
        <f t="shared" si="10"/>
        <v>92250</v>
      </c>
      <c r="P169" s="297"/>
      <c r="Q169" s="21"/>
    </row>
    <row r="170" ht="25.5" spans="1:17">
      <c r="A170" s="24" t="s">
        <v>1248</v>
      </c>
      <c r="B170" s="30" t="s">
        <v>1242</v>
      </c>
      <c r="C170" s="31" t="s">
        <v>1233</v>
      </c>
      <c r="D170" s="31" t="s">
        <v>1246</v>
      </c>
      <c r="E170" s="31" t="s">
        <v>340</v>
      </c>
      <c r="F170" s="24" t="s">
        <v>78</v>
      </c>
      <c r="G170" s="32">
        <v>500</v>
      </c>
      <c r="H170" s="296">
        <v>184.5</v>
      </c>
      <c r="I170" s="85">
        <v>159.74025974026</v>
      </c>
      <c r="J170" s="85"/>
      <c r="K170" s="85"/>
      <c r="L170" s="125">
        <f>(I170+J170+K170)*'2-报价汇总'!$H$5</f>
        <v>1.5974025974026</v>
      </c>
      <c r="M170" s="297">
        <f>(I170+J170+K170+L170)*'2-报价汇总'!$I$5</f>
        <v>0</v>
      </c>
      <c r="N170" s="297">
        <f>(M170+L170+K170+J170+I170)*'2-报价汇总'!$J$5</f>
        <v>0</v>
      </c>
      <c r="O170" s="86">
        <f t="shared" si="10"/>
        <v>92250</v>
      </c>
      <c r="P170" s="297"/>
      <c r="Q170" s="21"/>
    </row>
    <row r="171" ht="25.5" spans="1:17">
      <c r="A171" s="24" t="s">
        <v>1249</v>
      </c>
      <c r="B171" s="30" t="s">
        <v>1244</v>
      </c>
      <c r="C171" s="31" t="s">
        <v>1233</v>
      </c>
      <c r="D171" s="31" t="s">
        <v>1246</v>
      </c>
      <c r="E171" s="31" t="s">
        <v>340</v>
      </c>
      <c r="F171" s="24" t="s">
        <v>78</v>
      </c>
      <c r="G171" s="32">
        <v>500</v>
      </c>
      <c r="H171" s="296">
        <v>195.8</v>
      </c>
      <c r="I171" s="85">
        <v>169.52380952381</v>
      </c>
      <c r="J171" s="85"/>
      <c r="K171" s="85"/>
      <c r="L171" s="125">
        <f>(I171+J171+K171)*'2-报价汇总'!$H$5</f>
        <v>1.6952380952381</v>
      </c>
      <c r="M171" s="297">
        <f>(I171+J171+K171+L171)*'2-报价汇总'!$I$5</f>
        <v>0</v>
      </c>
      <c r="N171" s="297">
        <f>(M171+L171+K171+J171+I171)*'2-报价汇总'!$J$5</f>
        <v>0</v>
      </c>
      <c r="O171" s="86">
        <f t="shared" si="10"/>
        <v>97900</v>
      </c>
      <c r="P171" s="297"/>
      <c r="Q171" s="21"/>
    </row>
    <row r="172" ht="25.5" spans="1:17">
      <c r="A172" s="24" t="s">
        <v>1250</v>
      </c>
      <c r="B172" s="30" t="s">
        <v>1251</v>
      </c>
      <c r="C172" s="31" t="s">
        <v>1233</v>
      </c>
      <c r="D172" s="31" t="s">
        <v>26</v>
      </c>
      <c r="E172" s="31" t="s">
        <v>340</v>
      </c>
      <c r="F172" s="24" t="s">
        <v>78</v>
      </c>
      <c r="G172" s="32">
        <v>500</v>
      </c>
      <c r="H172" s="296">
        <f t="shared" ref="H172:H210" si="11">SUM(I172:N172)</f>
        <v>149.182683982684</v>
      </c>
      <c r="I172" s="85">
        <v>97.7956277056277</v>
      </c>
      <c r="J172" s="85">
        <v>48.66</v>
      </c>
      <c r="K172" s="85">
        <v>1.25</v>
      </c>
      <c r="L172" s="125">
        <f>(I172+J172+K172)*'2-报价汇总'!$H$5</f>
        <v>1.47705627705628</v>
      </c>
      <c r="M172" s="297">
        <f>(I172+J172+K172+L172)*'2-报价汇总'!$I$5</f>
        <v>0</v>
      </c>
      <c r="N172" s="297">
        <f>(M172+L172+K172+J172+I172)*'2-报价汇总'!$J$5</f>
        <v>0</v>
      </c>
      <c r="O172" s="86">
        <f t="shared" si="10"/>
        <v>74591.341991342</v>
      </c>
      <c r="P172" s="297"/>
      <c r="Q172" s="21"/>
    </row>
    <row r="173" ht="25.5" spans="1:17">
      <c r="A173" s="24" t="s">
        <v>1252</v>
      </c>
      <c r="B173" s="30" t="s">
        <v>1253</v>
      </c>
      <c r="C173" s="31" t="s">
        <v>1233</v>
      </c>
      <c r="D173" s="31" t="s">
        <v>26</v>
      </c>
      <c r="E173" s="31" t="s">
        <v>340</v>
      </c>
      <c r="F173" s="24" t="s">
        <v>78</v>
      </c>
      <c r="G173" s="32">
        <v>500</v>
      </c>
      <c r="H173" s="296">
        <f t="shared" si="11"/>
        <v>165.185281385282</v>
      </c>
      <c r="I173" s="85">
        <v>103.169783549784</v>
      </c>
      <c r="J173" s="85">
        <v>59.13</v>
      </c>
      <c r="K173" s="85">
        <v>1.25</v>
      </c>
      <c r="L173" s="125">
        <f>(I173+J173+K173)*'2-报价汇总'!$H$5</f>
        <v>1.63549783549784</v>
      </c>
      <c r="M173" s="297">
        <f>(I173+J173+K173+L173)*'2-报价汇总'!$I$5</f>
        <v>0</v>
      </c>
      <c r="N173" s="297">
        <f>(M173+L173+K173+J173+I173)*'2-报价汇总'!$J$5</f>
        <v>0</v>
      </c>
      <c r="O173" s="86">
        <f t="shared" si="10"/>
        <v>82592.6406926409</v>
      </c>
      <c r="P173" s="297"/>
      <c r="Q173" s="21"/>
    </row>
    <row r="174" ht="38.25" spans="1:17">
      <c r="A174" s="24" t="s">
        <v>1254</v>
      </c>
      <c r="B174" s="30" t="s">
        <v>1255</v>
      </c>
      <c r="C174" s="31" t="s">
        <v>1256</v>
      </c>
      <c r="D174" s="31" t="s">
        <v>26</v>
      </c>
      <c r="E174" s="31" t="s">
        <v>340</v>
      </c>
      <c r="F174" s="24" t="s">
        <v>78</v>
      </c>
      <c r="G174" s="32">
        <v>3000</v>
      </c>
      <c r="H174" s="296">
        <f t="shared" si="11"/>
        <v>103.334805194805</v>
      </c>
      <c r="I174" s="85">
        <v>34.8816883116883</v>
      </c>
      <c r="J174" s="85">
        <v>65.98</v>
      </c>
      <c r="K174" s="85">
        <v>1.45</v>
      </c>
      <c r="L174" s="125">
        <f>(I174+J174+K174)*'2-报价汇总'!$H$5</f>
        <v>1.02311688311688</v>
      </c>
      <c r="M174" s="297">
        <f>(I174+J174+K174+L174)*'2-报价汇总'!$I$5</f>
        <v>0</v>
      </c>
      <c r="N174" s="297">
        <f>(M174+L174+K174+J174+I174)*'2-报价汇总'!$J$5</f>
        <v>0</v>
      </c>
      <c r="O174" s="86">
        <f t="shared" si="10"/>
        <v>310004.415584416</v>
      </c>
      <c r="P174" s="297"/>
      <c r="Q174" s="21"/>
    </row>
    <row r="175" ht="25.5" spans="1:17">
      <c r="A175" s="24" t="s">
        <v>1257</v>
      </c>
      <c r="B175" s="30" t="s">
        <v>1258</v>
      </c>
      <c r="C175" s="31" t="s">
        <v>1233</v>
      </c>
      <c r="D175" s="31" t="s">
        <v>26</v>
      </c>
      <c r="E175" s="31" t="s">
        <v>340</v>
      </c>
      <c r="F175" s="24" t="s">
        <v>78</v>
      </c>
      <c r="G175" s="32">
        <v>600</v>
      </c>
      <c r="H175" s="296">
        <f t="shared" si="11"/>
        <v>157.927272727273</v>
      </c>
      <c r="I175" s="85">
        <v>82.8636363636363</v>
      </c>
      <c r="J175" s="85">
        <v>71.81</v>
      </c>
      <c r="K175" s="85">
        <v>1.69</v>
      </c>
      <c r="L175" s="125">
        <f>(I175+J175+K175)*'2-报价汇总'!$H$5</f>
        <v>1.56363636363636</v>
      </c>
      <c r="M175" s="297">
        <f>(I175+J175+K175+L175)*'2-报价汇总'!$I$5</f>
        <v>0</v>
      </c>
      <c r="N175" s="297">
        <f>(M175+L175+K175+J175+I175)*'2-报价汇总'!$J$5</f>
        <v>0</v>
      </c>
      <c r="O175" s="86">
        <f t="shared" si="10"/>
        <v>94756.3636363636</v>
      </c>
      <c r="P175" s="297"/>
      <c r="Q175" s="21"/>
    </row>
    <row r="176" ht="38.25" spans="1:17">
      <c r="A176" s="24" t="s">
        <v>1259</v>
      </c>
      <c r="B176" s="30" t="s">
        <v>1260</v>
      </c>
      <c r="C176" s="31" t="s">
        <v>1261</v>
      </c>
      <c r="D176" s="31" t="s">
        <v>26</v>
      </c>
      <c r="E176" s="31" t="s">
        <v>340</v>
      </c>
      <c r="F176" s="24" t="s">
        <v>78</v>
      </c>
      <c r="G176" s="32">
        <v>150000</v>
      </c>
      <c r="H176" s="296">
        <f t="shared" si="11"/>
        <v>291.588311688312</v>
      </c>
      <c r="I176" s="85">
        <v>87.9812987012987</v>
      </c>
      <c r="J176" s="85">
        <v>195.95</v>
      </c>
      <c r="K176" s="85">
        <v>4.77</v>
      </c>
      <c r="L176" s="125">
        <f>(I176+J176+K176)*'2-报价汇总'!$H$5</f>
        <v>2.88701298701299</v>
      </c>
      <c r="M176" s="297">
        <f>(I176+J176+K176+L176)*'2-报价汇总'!$I$5</f>
        <v>0</v>
      </c>
      <c r="N176" s="297">
        <f>(M176+L176+K176+J176+I176)*'2-报价汇总'!$J$5</f>
        <v>0</v>
      </c>
      <c r="O176" s="86">
        <f t="shared" si="10"/>
        <v>43738246.7532468</v>
      </c>
      <c r="P176" s="297"/>
      <c r="Q176" s="21"/>
    </row>
    <row r="177" ht="38.25" spans="1:17">
      <c r="A177" s="24" t="s">
        <v>1262</v>
      </c>
      <c r="B177" s="30" t="s">
        <v>1263</v>
      </c>
      <c r="C177" s="31" t="s">
        <v>1261</v>
      </c>
      <c r="D177" s="31" t="s">
        <v>26</v>
      </c>
      <c r="E177" s="31" t="s">
        <v>340</v>
      </c>
      <c r="F177" s="24" t="s">
        <v>78</v>
      </c>
      <c r="G177" s="32">
        <v>150000</v>
      </c>
      <c r="H177" s="296">
        <f t="shared" si="11"/>
        <v>285.44961038961</v>
      </c>
      <c r="I177" s="85">
        <v>94.5033766233766</v>
      </c>
      <c r="J177" s="85">
        <v>183.35</v>
      </c>
      <c r="K177" s="85">
        <v>4.77</v>
      </c>
      <c r="L177" s="125">
        <f>(I177+J177+K177)*'2-报价汇总'!$H$5</f>
        <v>2.82623376623377</v>
      </c>
      <c r="M177" s="297">
        <f>(I177+J177+K177+L177)*'2-报价汇总'!$I$5</f>
        <v>0</v>
      </c>
      <c r="N177" s="297">
        <f>(M177+L177+K177+J177+I177)*'2-报价汇总'!$J$5</f>
        <v>0</v>
      </c>
      <c r="O177" s="86">
        <f t="shared" si="10"/>
        <v>42817441.5584415</v>
      </c>
      <c r="P177" s="297"/>
      <c r="Q177" s="21"/>
    </row>
    <row r="178" ht="38.25" spans="1:17">
      <c r="A178" s="24" t="s">
        <v>1264</v>
      </c>
      <c r="B178" s="30" t="s">
        <v>1265</v>
      </c>
      <c r="C178" s="31" t="s">
        <v>1261</v>
      </c>
      <c r="D178" s="31" t="s">
        <v>26</v>
      </c>
      <c r="E178" s="31" t="s">
        <v>340</v>
      </c>
      <c r="F178" s="24" t="s">
        <v>78</v>
      </c>
      <c r="G178" s="32">
        <v>5000</v>
      </c>
      <c r="H178" s="296">
        <f t="shared" si="11"/>
        <v>257.245706500433</v>
      </c>
      <c r="I178" s="85">
        <v>114.968719307359</v>
      </c>
      <c r="J178" s="85">
        <v>135.53</v>
      </c>
      <c r="K178" s="85">
        <v>4.2</v>
      </c>
      <c r="L178" s="125">
        <f>(I178+J178+K178)*'2-报价汇总'!$H$5</f>
        <v>2.54698719307359</v>
      </c>
      <c r="M178" s="297">
        <f>(I178+J178+K178+L178)*'2-报价汇总'!$I$5</f>
        <v>0</v>
      </c>
      <c r="N178" s="297">
        <f>(M178+L178+K178+J178+I178)*'2-报价汇总'!$J$5</f>
        <v>0</v>
      </c>
      <c r="O178" s="86">
        <f t="shared" ref="O178:O233" si="12">G178*H178</f>
        <v>1286228.53250216</v>
      </c>
      <c r="P178" s="297"/>
      <c r="Q178" s="21"/>
    </row>
    <row r="179" ht="38.25" spans="1:17">
      <c r="A179" s="24" t="s">
        <v>1266</v>
      </c>
      <c r="B179" s="30" t="s">
        <v>1267</v>
      </c>
      <c r="C179" s="31" t="s">
        <v>1261</v>
      </c>
      <c r="D179" s="31" t="s">
        <v>26</v>
      </c>
      <c r="E179" s="31" t="s">
        <v>340</v>
      </c>
      <c r="F179" s="24" t="s">
        <v>78</v>
      </c>
      <c r="G179" s="32">
        <v>5000</v>
      </c>
      <c r="H179" s="296">
        <f t="shared" si="11"/>
        <v>237.455540400346</v>
      </c>
      <c r="I179" s="85">
        <v>96.2844954458874</v>
      </c>
      <c r="J179" s="85">
        <v>135.45</v>
      </c>
      <c r="K179" s="85">
        <v>3.37</v>
      </c>
      <c r="L179" s="125">
        <f>(I179+J179+K179)*'2-报价汇总'!$H$5</f>
        <v>2.35104495445887</v>
      </c>
      <c r="M179" s="297">
        <f>(I179+J179+K179+L179)*'2-报价汇总'!$I$5</f>
        <v>0</v>
      </c>
      <c r="N179" s="297">
        <f>(M179+L179+K179+J179+I179)*'2-报价汇总'!$J$5</f>
        <v>0</v>
      </c>
      <c r="O179" s="86">
        <f t="shared" si="12"/>
        <v>1187277.70200173</v>
      </c>
      <c r="P179" s="297"/>
      <c r="Q179" s="21"/>
    </row>
    <row r="180" ht="38.25" spans="1:17">
      <c r="A180" s="24" t="s">
        <v>1268</v>
      </c>
      <c r="B180" s="30" t="s">
        <v>1269</v>
      </c>
      <c r="C180" s="31" t="s">
        <v>1261</v>
      </c>
      <c r="D180" s="31" t="s">
        <v>26</v>
      </c>
      <c r="E180" s="31" t="s">
        <v>340</v>
      </c>
      <c r="F180" s="24" t="s">
        <v>78</v>
      </c>
      <c r="G180" s="32">
        <v>5000</v>
      </c>
      <c r="H180" s="296">
        <f t="shared" si="11"/>
        <v>252.368831168831</v>
      </c>
      <c r="I180" s="85">
        <v>52.7001298701299</v>
      </c>
      <c r="J180" s="85">
        <v>193.8</v>
      </c>
      <c r="K180" s="85">
        <v>3.37</v>
      </c>
      <c r="L180" s="125">
        <f>(I180+J180+K180)*'2-报价汇总'!$H$5</f>
        <v>2.4987012987013</v>
      </c>
      <c r="M180" s="297">
        <f>(I180+J180+K180+L180)*'2-报价汇总'!$I$5</f>
        <v>0</v>
      </c>
      <c r="N180" s="297">
        <f>(M180+L180+K180+J180+I180)*'2-报价汇总'!$J$5</f>
        <v>0</v>
      </c>
      <c r="O180" s="86">
        <f t="shared" si="12"/>
        <v>1261844.15584416</v>
      </c>
      <c r="P180" s="297"/>
      <c r="Q180" s="21"/>
    </row>
    <row r="181" ht="38.25" spans="1:17">
      <c r="A181" s="24" t="s">
        <v>1270</v>
      </c>
      <c r="B181" s="30" t="s">
        <v>1271</v>
      </c>
      <c r="C181" s="31" t="s">
        <v>1261</v>
      </c>
      <c r="D181" s="31" t="s">
        <v>26</v>
      </c>
      <c r="E181" s="31" t="s">
        <v>340</v>
      </c>
      <c r="F181" s="24" t="s">
        <v>78</v>
      </c>
      <c r="G181" s="32">
        <v>5000</v>
      </c>
      <c r="H181" s="296">
        <f t="shared" si="11"/>
        <v>238.692837236364</v>
      </c>
      <c r="I181" s="85">
        <v>47.5095418181819</v>
      </c>
      <c r="J181" s="85">
        <v>185.45</v>
      </c>
      <c r="K181" s="85">
        <v>3.37</v>
      </c>
      <c r="L181" s="125">
        <f>(I181+J181+K181)*'2-报价汇总'!$H$5</f>
        <v>2.36329541818182</v>
      </c>
      <c r="M181" s="297">
        <f>(I181+J181+K181+L181)*'2-报价汇总'!$I$5</f>
        <v>0</v>
      </c>
      <c r="N181" s="297">
        <f>(M181+L181+K181+J181+I181)*'2-报价汇总'!$J$5</f>
        <v>0</v>
      </c>
      <c r="O181" s="86">
        <f t="shared" si="12"/>
        <v>1193464.18618182</v>
      </c>
      <c r="P181" s="297"/>
      <c r="Q181" s="21"/>
    </row>
    <row r="182" ht="38.25" spans="1:17">
      <c r="A182" s="24" t="s">
        <v>1272</v>
      </c>
      <c r="B182" s="30" t="s">
        <v>1273</v>
      </c>
      <c r="C182" s="31" t="s">
        <v>1261</v>
      </c>
      <c r="D182" s="31" t="s">
        <v>26</v>
      </c>
      <c r="E182" s="31" t="s">
        <v>340</v>
      </c>
      <c r="F182" s="24" t="s">
        <v>78</v>
      </c>
      <c r="G182" s="32">
        <v>17318.7677815765</v>
      </c>
      <c r="H182" s="296">
        <f t="shared" si="11"/>
        <v>232.708040699567</v>
      </c>
      <c r="I182" s="85">
        <v>41.5840006926407</v>
      </c>
      <c r="J182" s="85">
        <v>185.45</v>
      </c>
      <c r="K182" s="85">
        <v>3.37</v>
      </c>
      <c r="L182" s="125">
        <f>(I182+J182+K182)*'2-报价汇总'!$H$5</f>
        <v>2.30404000692641</v>
      </c>
      <c r="M182" s="297">
        <f>(I182+J182+K182+L182)*'2-报价汇总'!$I$5</f>
        <v>0</v>
      </c>
      <c r="N182" s="297">
        <f>(M182+L182+K182+J182+I182)*'2-报价汇总'!$J$5</f>
        <v>0</v>
      </c>
      <c r="O182" s="86">
        <f t="shared" si="12"/>
        <v>4030216.51778146</v>
      </c>
      <c r="P182" s="297"/>
      <c r="Q182" s="21"/>
    </row>
    <row r="183" ht="38.25" spans="1:17">
      <c r="A183" s="24" t="s">
        <v>1274</v>
      </c>
      <c r="B183" s="30" t="s">
        <v>1275</v>
      </c>
      <c r="C183" s="31" t="s">
        <v>1261</v>
      </c>
      <c r="D183" s="31" t="s">
        <v>26</v>
      </c>
      <c r="E183" s="31" t="s">
        <v>340</v>
      </c>
      <c r="F183" s="24" t="s">
        <v>78</v>
      </c>
      <c r="G183" s="32">
        <v>15522.3946254811</v>
      </c>
      <c r="H183" s="296">
        <f t="shared" si="11"/>
        <v>266.01038961039</v>
      </c>
      <c r="I183" s="85">
        <v>63.9266233766233</v>
      </c>
      <c r="J183" s="85">
        <v>194.34</v>
      </c>
      <c r="K183" s="85">
        <v>5.11</v>
      </c>
      <c r="L183" s="125">
        <f>(I183+J183+K183)*'2-报价汇总'!$H$5</f>
        <v>2.63376623376623</v>
      </c>
      <c r="M183" s="297">
        <f>(I183+J183+K183+L183)*'2-报价汇总'!$I$5</f>
        <v>0</v>
      </c>
      <c r="N183" s="297">
        <f>(M183+L183+K183+J183+I183)*'2-报价汇总'!$J$5</f>
        <v>0</v>
      </c>
      <c r="O183" s="86">
        <f t="shared" si="12"/>
        <v>4129118.24201044</v>
      </c>
      <c r="P183" s="297"/>
      <c r="Q183" s="21"/>
    </row>
    <row r="184" ht="38.25" spans="1:17">
      <c r="A184" s="24" t="s">
        <v>1276</v>
      </c>
      <c r="B184" s="30" t="s">
        <v>1277</v>
      </c>
      <c r="C184" s="31" t="s">
        <v>1261</v>
      </c>
      <c r="D184" s="31" t="s">
        <v>26</v>
      </c>
      <c r="E184" s="31" t="s">
        <v>340</v>
      </c>
      <c r="F184" s="24" t="s">
        <v>78</v>
      </c>
      <c r="G184" s="32">
        <v>10000</v>
      </c>
      <c r="H184" s="296">
        <f t="shared" si="11"/>
        <v>263.964155844156</v>
      </c>
      <c r="I184" s="85">
        <v>66.2206493506493</v>
      </c>
      <c r="J184" s="85">
        <v>190.02</v>
      </c>
      <c r="K184" s="85">
        <v>5.11</v>
      </c>
      <c r="L184" s="125">
        <f>(I184+J184+K184)*'2-报价汇总'!$H$5</f>
        <v>2.61350649350649</v>
      </c>
      <c r="M184" s="297">
        <f>(I184+J184+K184+L184)*'2-报价汇总'!$I$5</f>
        <v>0</v>
      </c>
      <c r="N184" s="297">
        <f>(M184+L184+K184+J184+I184)*'2-报价汇总'!$J$5</f>
        <v>0</v>
      </c>
      <c r="O184" s="86">
        <f t="shared" si="12"/>
        <v>2639641.55844156</v>
      </c>
      <c r="P184" s="297"/>
      <c r="Q184" s="21"/>
    </row>
    <row r="185" ht="38.25" spans="1:17">
      <c r="A185" s="24" t="s">
        <v>1278</v>
      </c>
      <c r="B185" s="30" t="s">
        <v>1279</v>
      </c>
      <c r="C185" s="31" t="s">
        <v>1261</v>
      </c>
      <c r="D185" s="31" t="s">
        <v>26</v>
      </c>
      <c r="E185" s="31" t="s">
        <v>340</v>
      </c>
      <c r="F185" s="24" t="s">
        <v>78</v>
      </c>
      <c r="G185" s="32">
        <v>50133.2751571951</v>
      </c>
      <c r="H185" s="296">
        <f t="shared" si="11"/>
        <v>252.70987012987</v>
      </c>
      <c r="I185" s="85">
        <v>94.1177922077922</v>
      </c>
      <c r="J185" s="85">
        <v>150.98</v>
      </c>
      <c r="K185" s="85">
        <v>5.11</v>
      </c>
      <c r="L185" s="125">
        <f>(I185+J185+K185)*'2-报价汇总'!$H$5</f>
        <v>2.50207792207792</v>
      </c>
      <c r="M185" s="297">
        <f>(I185+J185+K185+L185)*'2-报价汇总'!$I$5</f>
        <v>0</v>
      </c>
      <c r="N185" s="297">
        <f>(M185+L185+K185+J185+I185)*'2-报价汇总'!$J$5</f>
        <v>0</v>
      </c>
      <c r="O185" s="86">
        <f t="shared" si="12"/>
        <v>12669173.4541598</v>
      </c>
      <c r="P185" s="297"/>
      <c r="Q185" s="21"/>
    </row>
    <row r="186" ht="38.25" spans="1:17">
      <c r="A186" s="24" t="s">
        <v>1280</v>
      </c>
      <c r="B186" s="30" t="s">
        <v>1281</v>
      </c>
      <c r="C186" s="31" t="s">
        <v>1261</v>
      </c>
      <c r="D186" s="31" t="s">
        <v>26</v>
      </c>
      <c r="E186" s="31" t="s">
        <v>340</v>
      </c>
      <c r="F186" s="24" t="s">
        <v>78</v>
      </c>
      <c r="G186" s="32">
        <v>14584.2255002749</v>
      </c>
      <c r="H186" s="296">
        <f t="shared" si="11"/>
        <v>234.293766233766</v>
      </c>
      <c r="I186" s="85">
        <v>12.784025974026</v>
      </c>
      <c r="J186" s="85">
        <v>217.46</v>
      </c>
      <c r="K186" s="85">
        <v>1.73</v>
      </c>
      <c r="L186" s="125">
        <f>(I186+J186+K186)*'2-报价汇总'!$H$5</f>
        <v>2.31974025974026</v>
      </c>
      <c r="M186" s="297">
        <f>(I186+J186+K186+L186)*'2-报价汇总'!$I$5</f>
        <v>0</v>
      </c>
      <c r="N186" s="297">
        <f>(M186+L186+K186+J186+I186)*'2-报价汇总'!$J$5</f>
        <v>0</v>
      </c>
      <c r="O186" s="86">
        <f t="shared" si="12"/>
        <v>3416993.12006194</v>
      </c>
      <c r="P186" s="297"/>
      <c r="Q186" s="21"/>
    </row>
    <row r="187" ht="38.25" spans="1:17">
      <c r="A187" s="24" t="s">
        <v>1282</v>
      </c>
      <c r="B187" s="30" t="s">
        <v>1283</v>
      </c>
      <c r="C187" s="31" t="s">
        <v>1261</v>
      </c>
      <c r="D187" s="31" t="s">
        <v>26</v>
      </c>
      <c r="E187" s="31" t="s">
        <v>340</v>
      </c>
      <c r="F187" s="24" t="s">
        <v>78</v>
      </c>
      <c r="G187" s="32">
        <v>6380.59865637029</v>
      </c>
      <c r="H187" s="296">
        <f t="shared" si="11"/>
        <v>952.521818181818</v>
      </c>
      <c r="I187" s="85">
        <v>24.540909090909</v>
      </c>
      <c r="J187" s="85">
        <v>914.99</v>
      </c>
      <c r="K187" s="85">
        <v>3.56</v>
      </c>
      <c r="L187" s="125">
        <f>(I187+J187+K187)*'2-报价汇总'!$H$5</f>
        <v>9.43090909090909</v>
      </c>
      <c r="M187" s="297">
        <f>(I187+J187+K187+L187)*'2-报价汇总'!$I$5</f>
        <v>0</v>
      </c>
      <c r="N187" s="297">
        <f>(M187+L187+K187+J187+I187)*'2-报价汇总'!$J$5</f>
        <v>0</v>
      </c>
      <c r="O187" s="86">
        <f t="shared" si="12"/>
        <v>6077659.43325429</v>
      </c>
      <c r="P187" s="297"/>
      <c r="Q187" s="21"/>
    </row>
    <row r="188" ht="38.25" spans="1:17">
      <c r="A188" s="24" t="s">
        <v>1284</v>
      </c>
      <c r="B188" s="30" t="s">
        <v>1285</v>
      </c>
      <c r="C188" s="31" t="s">
        <v>1261</v>
      </c>
      <c r="D188" s="31" t="s">
        <v>26</v>
      </c>
      <c r="E188" s="31" t="s">
        <v>340</v>
      </c>
      <c r="F188" s="24" t="s">
        <v>89</v>
      </c>
      <c r="G188" s="32">
        <v>2000</v>
      </c>
      <c r="H188" s="296">
        <f t="shared" si="11"/>
        <v>49.2320346320346</v>
      </c>
      <c r="I188" s="85">
        <v>16.8745887445887</v>
      </c>
      <c r="J188" s="85">
        <v>30.91</v>
      </c>
      <c r="K188" s="85">
        <v>0.96</v>
      </c>
      <c r="L188" s="125">
        <f>(I188+J188+K188)*'2-报价汇总'!$H$5</f>
        <v>0.487445887445887</v>
      </c>
      <c r="M188" s="297">
        <f>(I188+J188+K188+L188)*'2-报价汇总'!$I$5</f>
        <v>0</v>
      </c>
      <c r="N188" s="297">
        <f>(M188+L188+K188+J188+I188)*'2-报价汇总'!$J$5</f>
        <v>0</v>
      </c>
      <c r="O188" s="86">
        <f t="shared" si="12"/>
        <v>98464.0692640692</v>
      </c>
      <c r="P188" s="297"/>
      <c r="Q188" s="21"/>
    </row>
    <row r="189" ht="38.25" spans="1:17">
      <c r="A189" s="24" t="s">
        <v>1286</v>
      </c>
      <c r="B189" s="30" t="s">
        <v>1287</v>
      </c>
      <c r="C189" s="31" t="s">
        <v>1261</v>
      </c>
      <c r="D189" s="31" t="s">
        <v>26</v>
      </c>
      <c r="E189" s="31" t="s">
        <v>340</v>
      </c>
      <c r="F189" s="24" t="s">
        <v>89</v>
      </c>
      <c r="G189" s="32">
        <v>2000</v>
      </c>
      <c r="H189" s="296">
        <f t="shared" si="11"/>
        <v>58.2389610389611</v>
      </c>
      <c r="I189" s="85">
        <v>22.1923376623377</v>
      </c>
      <c r="J189" s="85">
        <v>34.51</v>
      </c>
      <c r="K189" s="85">
        <v>0.96</v>
      </c>
      <c r="L189" s="125">
        <f>(I189+J189+K189)*'2-报价汇总'!$H$5</f>
        <v>0.576623376623377</v>
      </c>
      <c r="M189" s="297">
        <f>(I189+J189+K189+L189)*'2-报价汇总'!$I$5</f>
        <v>0</v>
      </c>
      <c r="N189" s="297">
        <f>(M189+L189+K189+J189+I189)*'2-报价汇总'!$J$5</f>
        <v>0</v>
      </c>
      <c r="O189" s="86">
        <f t="shared" si="12"/>
        <v>116477.922077922</v>
      </c>
      <c r="P189" s="297"/>
      <c r="Q189" s="21"/>
    </row>
    <row r="190" ht="38.25" spans="1:17">
      <c r="A190" s="24" t="s">
        <v>1288</v>
      </c>
      <c r="B190" s="30" t="s">
        <v>1289</v>
      </c>
      <c r="C190" s="31" t="s">
        <v>1261</v>
      </c>
      <c r="D190" s="31" t="s">
        <v>26</v>
      </c>
      <c r="E190" s="31" t="s">
        <v>1085</v>
      </c>
      <c r="F190" s="24" t="s">
        <v>89</v>
      </c>
      <c r="G190" s="32">
        <v>2000</v>
      </c>
      <c r="H190" s="296">
        <f t="shared" si="11"/>
        <v>262.337662337663</v>
      </c>
      <c r="I190" s="85">
        <v>117.41025974026</v>
      </c>
      <c r="J190" s="85">
        <v>137.57</v>
      </c>
      <c r="K190" s="85">
        <v>4.76</v>
      </c>
      <c r="L190" s="125">
        <f>(I190+J190+K190)*'2-报价汇总'!$H$5</f>
        <v>2.5974025974026</v>
      </c>
      <c r="M190" s="297">
        <f>(I190+J190+K190+L190)*'2-报价汇总'!$I$5</f>
        <v>0</v>
      </c>
      <c r="N190" s="297">
        <f>(M190+L190+K190+J190+I190)*'2-报价汇总'!$J$5</f>
        <v>0</v>
      </c>
      <c r="O190" s="86">
        <f t="shared" si="12"/>
        <v>524675.324675325</v>
      </c>
      <c r="P190" s="297"/>
      <c r="Q190" s="21"/>
    </row>
    <row r="191" ht="51" spans="1:17">
      <c r="A191" s="24" t="s">
        <v>1290</v>
      </c>
      <c r="B191" s="30" t="s">
        <v>1291</v>
      </c>
      <c r="C191" s="31" t="s">
        <v>1292</v>
      </c>
      <c r="D191" s="31" t="s">
        <v>26</v>
      </c>
      <c r="E191" s="31" t="s">
        <v>1085</v>
      </c>
      <c r="F191" s="24" t="s">
        <v>89</v>
      </c>
      <c r="G191" s="32">
        <v>2000</v>
      </c>
      <c r="H191" s="296">
        <f t="shared" si="11"/>
        <v>95.7567445887446</v>
      </c>
      <c r="I191" s="85">
        <v>94.808658008658</v>
      </c>
      <c r="J191" s="85"/>
      <c r="K191" s="85"/>
      <c r="L191" s="125">
        <f>(I191+J191+K191)*'2-报价汇总'!$H$5</f>
        <v>0.94808658008658</v>
      </c>
      <c r="M191" s="297">
        <f>(I191+J191+K191+L191)*'2-报价汇总'!$I$5</f>
        <v>0</v>
      </c>
      <c r="N191" s="297">
        <f>(M191+L191+K191+J191+I191)*'2-报价汇总'!$J$5</f>
        <v>0</v>
      </c>
      <c r="O191" s="86">
        <f t="shared" si="12"/>
        <v>191513.489177489</v>
      </c>
      <c r="P191" s="297"/>
      <c r="Q191" s="21"/>
    </row>
    <row r="192" ht="51" spans="1:17">
      <c r="A192" s="24" t="s">
        <v>1293</v>
      </c>
      <c r="B192" s="30" t="s">
        <v>1294</v>
      </c>
      <c r="C192" s="31" t="s">
        <v>1261</v>
      </c>
      <c r="D192" s="31" t="s">
        <v>26</v>
      </c>
      <c r="E192" s="31" t="s">
        <v>1295</v>
      </c>
      <c r="F192" s="24" t="s">
        <v>753</v>
      </c>
      <c r="G192" s="32">
        <v>2000</v>
      </c>
      <c r="H192" s="296">
        <f t="shared" si="11"/>
        <v>199.507792207792</v>
      </c>
      <c r="I192" s="85">
        <v>67.2824675324675</v>
      </c>
      <c r="J192" s="85">
        <v>128.99</v>
      </c>
      <c r="K192" s="85">
        <v>1.26</v>
      </c>
      <c r="L192" s="125">
        <f>(I192+J192+K192)*'2-报价汇总'!$H$5</f>
        <v>1.97532467532468</v>
      </c>
      <c r="M192" s="297">
        <f>(I192+J192+K192+L192)*'2-报价汇总'!$I$5</f>
        <v>0</v>
      </c>
      <c r="N192" s="297">
        <f>(M192+L192+K192+J192+I192)*'2-报价汇总'!$J$5</f>
        <v>0</v>
      </c>
      <c r="O192" s="86">
        <f t="shared" si="12"/>
        <v>399015.584415584</v>
      </c>
      <c r="P192" s="297"/>
      <c r="Q192" s="21"/>
    </row>
    <row r="193" ht="51" spans="1:17">
      <c r="A193" s="24" t="s">
        <v>1296</v>
      </c>
      <c r="B193" s="30" t="s">
        <v>1297</v>
      </c>
      <c r="C193" s="31" t="s">
        <v>1261</v>
      </c>
      <c r="D193" s="31" t="s">
        <v>26</v>
      </c>
      <c r="E193" s="31" t="s">
        <v>1298</v>
      </c>
      <c r="F193" s="24" t="s">
        <v>753</v>
      </c>
      <c r="G193" s="32">
        <v>2000</v>
      </c>
      <c r="H193" s="296">
        <f t="shared" si="11"/>
        <v>232.229256976623</v>
      </c>
      <c r="I193" s="85">
        <v>126.589957402597</v>
      </c>
      <c r="J193" s="85">
        <v>102.08</v>
      </c>
      <c r="K193" s="85">
        <v>1.26</v>
      </c>
      <c r="L193" s="125">
        <f>(I193+J193+K193)*'2-报价汇总'!$H$5</f>
        <v>2.29929957402597</v>
      </c>
      <c r="M193" s="297">
        <f>(I193+J193+K193+L193)*'2-报价汇总'!$I$5</f>
        <v>0</v>
      </c>
      <c r="N193" s="297">
        <f>(M193+L193+K193+J193+I193)*'2-报价汇总'!$J$5</f>
        <v>0</v>
      </c>
      <c r="O193" s="86">
        <f t="shared" si="12"/>
        <v>464458.513953246</v>
      </c>
      <c r="P193" s="297"/>
      <c r="Q193" s="21"/>
    </row>
    <row r="194" ht="38.25" spans="1:17">
      <c r="A194" s="24" t="s">
        <v>1299</v>
      </c>
      <c r="B194" s="30" t="s">
        <v>1300</v>
      </c>
      <c r="C194" s="31" t="s">
        <v>1261</v>
      </c>
      <c r="D194" s="31" t="s">
        <v>26</v>
      </c>
      <c r="E194" s="31" t="s">
        <v>340</v>
      </c>
      <c r="F194" s="24" t="s">
        <v>78</v>
      </c>
      <c r="G194" s="32">
        <v>2000</v>
      </c>
      <c r="H194" s="296">
        <f t="shared" si="11"/>
        <v>502.023884855411</v>
      </c>
      <c r="I194" s="85">
        <v>193.703351341991</v>
      </c>
      <c r="J194" s="85">
        <v>302.25</v>
      </c>
      <c r="K194" s="85">
        <v>1.1</v>
      </c>
      <c r="L194" s="125">
        <f>(I194+J194+K194)*'2-报价汇总'!$H$5</f>
        <v>4.97053351341991</v>
      </c>
      <c r="M194" s="297">
        <f>(I194+J194+K194+L194)*'2-报价汇总'!$I$5</f>
        <v>0</v>
      </c>
      <c r="N194" s="297">
        <f>(M194+L194+K194+J194+I194)*'2-报价汇总'!$J$5</f>
        <v>0</v>
      </c>
      <c r="O194" s="86">
        <f t="shared" si="12"/>
        <v>1004047.76971082</v>
      </c>
      <c r="P194" s="297"/>
      <c r="Q194" s="21"/>
    </row>
    <row r="195" ht="38.25" spans="1:17">
      <c r="A195" s="24" t="s">
        <v>1301</v>
      </c>
      <c r="B195" s="30" t="s">
        <v>1302</v>
      </c>
      <c r="C195" s="31" t="s">
        <v>1261</v>
      </c>
      <c r="D195" s="31" t="s">
        <v>26</v>
      </c>
      <c r="E195" s="31" t="s">
        <v>340</v>
      </c>
      <c r="F195" s="24" t="s">
        <v>78</v>
      </c>
      <c r="G195" s="32">
        <v>3292</v>
      </c>
      <c r="H195" s="296">
        <f t="shared" si="11"/>
        <v>166.875278794805</v>
      </c>
      <c r="I195" s="85">
        <v>47.5430483116883</v>
      </c>
      <c r="J195" s="85">
        <v>114.14</v>
      </c>
      <c r="K195" s="85">
        <v>3.54</v>
      </c>
      <c r="L195" s="125">
        <f>(I195+J195+K195)*'2-报价汇总'!$H$5</f>
        <v>1.65223048311688</v>
      </c>
      <c r="M195" s="297">
        <f>(I195+J195+K195+L195)*'2-报价汇总'!$I$5</f>
        <v>0</v>
      </c>
      <c r="N195" s="297">
        <f>(M195+L195+K195+J195+I195)*'2-报价汇总'!$J$5</f>
        <v>0</v>
      </c>
      <c r="O195" s="86">
        <f t="shared" si="12"/>
        <v>549353.417792499</v>
      </c>
      <c r="P195" s="297"/>
      <c r="Q195" s="21"/>
    </row>
    <row r="196" ht="38.25" spans="1:17">
      <c r="A196" s="24" t="s">
        <v>1303</v>
      </c>
      <c r="B196" s="30" t="s">
        <v>1304</v>
      </c>
      <c r="C196" s="31" t="s">
        <v>1261</v>
      </c>
      <c r="D196" s="31" t="s">
        <v>26</v>
      </c>
      <c r="E196" s="31" t="s">
        <v>340</v>
      </c>
      <c r="F196" s="24" t="s">
        <v>78</v>
      </c>
      <c r="G196" s="32">
        <v>911.514093767184</v>
      </c>
      <c r="H196" s="296">
        <f t="shared" si="11"/>
        <v>218.76490112</v>
      </c>
      <c r="I196" s="85">
        <v>49.668912</v>
      </c>
      <c r="J196" s="85">
        <v>166.43</v>
      </c>
      <c r="K196" s="85">
        <v>0.5</v>
      </c>
      <c r="L196" s="125">
        <f>(I196+J196+K196)*'2-报价汇总'!$H$5</f>
        <v>2.16598912</v>
      </c>
      <c r="M196" s="297">
        <f>(I196+J196+K196+L196)*'2-报价汇总'!$I$5</f>
        <v>0</v>
      </c>
      <c r="N196" s="297">
        <f>(M196+L196+K196+J196+I196)*'2-报价汇总'!$J$5</f>
        <v>0</v>
      </c>
      <c r="O196" s="86">
        <f t="shared" si="12"/>
        <v>199407.290592464</v>
      </c>
      <c r="P196" s="297"/>
      <c r="Q196" s="21"/>
    </row>
    <row r="197" ht="38.25" spans="1:17">
      <c r="A197" s="24" t="s">
        <v>1305</v>
      </c>
      <c r="B197" s="30" t="s">
        <v>1306</v>
      </c>
      <c r="C197" s="31" t="s">
        <v>1261</v>
      </c>
      <c r="D197" s="31" t="s">
        <v>26</v>
      </c>
      <c r="E197" s="31" t="s">
        <v>340</v>
      </c>
      <c r="F197" s="24" t="s">
        <v>78</v>
      </c>
      <c r="G197" s="32">
        <v>500</v>
      </c>
      <c r="H197" s="296">
        <f t="shared" si="11"/>
        <v>402.084935064935</v>
      </c>
      <c r="I197" s="85">
        <v>176.933896103896</v>
      </c>
      <c r="J197" s="85">
        <v>218.71</v>
      </c>
      <c r="K197" s="85">
        <v>2.46</v>
      </c>
      <c r="L197" s="125">
        <f>(I197+J197+K197)*'2-报价汇总'!$H$5</f>
        <v>3.98103896103896</v>
      </c>
      <c r="M197" s="297">
        <f>(I197+J197+K197+L197)*'2-报价汇总'!$I$5</f>
        <v>0</v>
      </c>
      <c r="N197" s="297">
        <f>(M197+L197+K197+J197+I197)*'2-报价汇总'!$J$5</f>
        <v>0</v>
      </c>
      <c r="O197" s="86">
        <f t="shared" si="12"/>
        <v>201042.467532467</v>
      </c>
      <c r="P197" s="297"/>
      <c r="Q197" s="21"/>
    </row>
    <row r="198" ht="25.5" spans="1:17">
      <c r="A198" s="24" t="s">
        <v>1307</v>
      </c>
      <c r="B198" s="30" t="s">
        <v>1308</v>
      </c>
      <c r="C198" s="31" t="s">
        <v>1309</v>
      </c>
      <c r="D198" s="31" t="s">
        <v>26</v>
      </c>
      <c r="E198" s="31" t="s">
        <v>1085</v>
      </c>
      <c r="F198" s="24" t="s">
        <v>89</v>
      </c>
      <c r="G198" s="32">
        <v>300</v>
      </c>
      <c r="H198" s="296">
        <f t="shared" si="11"/>
        <v>113.281553975849</v>
      </c>
      <c r="I198" s="85">
        <v>58.7599544315333</v>
      </c>
      <c r="J198" s="85">
        <v>44.89</v>
      </c>
      <c r="K198" s="85">
        <v>8.51</v>
      </c>
      <c r="L198" s="125">
        <f>(I198+J198+K198)*'2-报价汇总'!$H$5</f>
        <v>1.12159954431533</v>
      </c>
      <c r="M198" s="297">
        <f>(I198+J198+K198+L198)*'2-报价汇总'!$I$5</f>
        <v>0</v>
      </c>
      <c r="N198" s="297">
        <f>(M198+L198+K198+J198+I198)*'2-报价汇总'!$J$5</f>
        <v>0</v>
      </c>
      <c r="O198" s="86">
        <f t="shared" si="12"/>
        <v>33984.4661927546</v>
      </c>
      <c r="P198" s="297"/>
      <c r="Q198" s="21"/>
    </row>
    <row r="199" ht="51" spans="1:17">
      <c r="A199" s="24" t="s">
        <v>1310</v>
      </c>
      <c r="B199" s="30" t="s">
        <v>1311</v>
      </c>
      <c r="C199" s="31" t="s">
        <v>1312</v>
      </c>
      <c r="D199" s="31" t="s">
        <v>26</v>
      </c>
      <c r="E199" s="31" t="s">
        <v>340</v>
      </c>
      <c r="F199" s="24" t="s">
        <v>481</v>
      </c>
      <c r="G199" s="32">
        <v>300</v>
      </c>
      <c r="H199" s="296">
        <f t="shared" si="11"/>
        <v>288.571428571429</v>
      </c>
      <c r="I199" s="85">
        <v>36.0942857142857</v>
      </c>
      <c r="J199" s="85">
        <v>248.63</v>
      </c>
      <c r="K199" s="85">
        <v>0.99</v>
      </c>
      <c r="L199" s="125">
        <f>(I199+J199+K199)*'2-报价汇总'!$H$5</f>
        <v>2.85714285714286</v>
      </c>
      <c r="M199" s="297">
        <f>(I199+J199+K199+L199)*'2-报价汇总'!$I$5</f>
        <v>0</v>
      </c>
      <c r="N199" s="297">
        <f>(M199+L199+K199+J199+I199)*'2-报价汇总'!$J$5</f>
        <v>0</v>
      </c>
      <c r="O199" s="86">
        <f t="shared" si="12"/>
        <v>86571.4285714286</v>
      </c>
      <c r="P199" s="297"/>
      <c r="Q199" s="21"/>
    </row>
    <row r="200" ht="51" spans="1:17">
      <c r="A200" s="24" t="s">
        <v>1313</v>
      </c>
      <c r="B200" s="30" t="s">
        <v>1314</v>
      </c>
      <c r="C200" s="31" t="s">
        <v>1312</v>
      </c>
      <c r="D200" s="31" t="s">
        <v>26</v>
      </c>
      <c r="E200" s="31" t="s">
        <v>340</v>
      </c>
      <c r="F200" s="24" t="s">
        <v>481</v>
      </c>
      <c r="G200" s="32">
        <v>300</v>
      </c>
      <c r="H200" s="296">
        <f t="shared" si="11"/>
        <v>165.744935064935</v>
      </c>
      <c r="I200" s="85">
        <v>71.1138961038961</v>
      </c>
      <c r="J200" s="85">
        <v>90.8</v>
      </c>
      <c r="K200" s="85">
        <v>2.19</v>
      </c>
      <c r="L200" s="125">
        <f>(I200+J200+K200)*'2-报价汇总'!$H$5</f>
        <v>1.64103896103896</v>
      </c>
      <c r="M200" s="297">
        <f>(I200+J200+K200+L200)*'2-报价汇总'!$I$5</f>
        <v>0</v>
      </c>
      <c r="N200" s="297">
        <f>(M200+L200+K200+J200+I200)*'2-报价汇总'!$J$5</f>
        <v>0</v>
      </c>
      <c r="O200" s="86">
        <f t="shared" si="12"/>
        <v>49723.4805194805</v>
      </c>
      <c r="P200" s="297"/>
      <c r="Q200" s="21"/>
    </row>
    <row r="201" ht="51" spans="1:17">
      <c r="A201" s="24" t="s">
        <v>1315</v>
      </c>
      <c r="B201" s="30" t="s">
        <v>1316</v>
      </c>
      <c r="C201" s="31" t="s">
        <v>1317</v>
      </c>
      <c r="D201" s="31" t="s">
        <v>26</v>
      </c>
      <c r="E201" s="31" t="s">
        <v>1085</v>
      </c>
      <c r="F201" s="24" t="s">
        <v>89</v>
      </c>
      <c r="G201" s="32">
        <v>300</v>
      </c>
      <c r="H201" s="296">
        <f t="shared" si="11"/>
        <v>156.536883116883</v>
      </c>
      <c r="I201" s="85">
        <v>72.867012987013</v>
      </c>
      <c r="J201" s="85">
        <v>79.18</v>
      </c>
      <c r="K201" s="85">
        <v>2.94</v>
      </c>
      <c r="L201" s="125">
        <f>(I201+J201+K201)*'2-报价汇总'!$H$5</f>
        <v>1.54987012987013</v>
      </c>
      <c r="M201" s="297">
        <f>(I201+J201+K201+L201)*'2-报价汇总'!$I$5</f>
        <v>0</v>
      </c>
      <c r="N201" s="297">
        <f>(M201+L201+K201+J201+I201)*'2-报价汇总'!$J$5</f>
        <v>0</v>
      </c>
      <c r="O201" s="86">
        <f t="shared" si="12"/>
        <v>46961.0649350649</v>
      </c>
      <c r="P201" s="297"/>
      <c r="Q201" s="21"/>
    </row>
    <row r="202" ht="38.25" spans="1:17">
      <c r="A202" s="24" t="s">
        <v>1318</v>
      </c>
      <c r="B202" s="30" t="s">
        <v>1319</v>
      </c>
      <c r="C202" s="31" t="s">
        <v>1261</v>
      </c>
      <c r="D202" s="31" t="s">
        <v>26</v>
      </c>
      <c r="E202" s="31" t="s">
        <v>340</v>
      </c>
      <c r="F202" s="24" t="s">
        <v>481</v>
      </c>
      <c r="G202" s="32">
        <v>300</v>
      </c>
      <c r="H202" s="296">
        <f t="shared" si="11"/>
        <v>402.084935064935</v>
      </c>
      <c r="I202" s="85">
        <v>98.4938961038961</v>
      </c>
      <c r="J202" s="85">
        <v>293.61</v>
      </c>
      <c r="K202" s="85">
        <v>6</v>
      </c>
      <c r="L202" s="125">
        <f>(I202+J202+K202)*'2-报价汇总'!$H$5</f>
        <v>3.98103896103896</v>
      </c>
      <c r="M202" s="297">
        <f>(I202+J202+K202+L202)*'2-报价汇总'!$I$5</f>
        <v>0</v>
      </c>
      <c r="N202" s="297">
        <f>(M202+L202+K202+J202+I202)*'2-报价汇总'!$J$5</f>
        <v>0</v>
      </c>
      <c r="O202" s="86">
        <f t="shared" si="12"/>
        <v>120625.480519481</v>
      </c>
      <c r="P202" s="297"/>
      <c r="Q202" s="21"/>
    </row>
    <row r="203" ht="38.25" spans="1:17">
      <c r="A203" s="24" t="s">
        <v>1320</v>
      </c>
      <c r="B203" s="30" t="s">
        <v>1321</v>
      </c>
      <c r="C203" s="31" t="s">
        <v>1261</v>
      </c>
      <c r="D203" s="31" t="s">
        <v>26</v>
      </c>
      <c r="E203" s="31" t="s">
        <v>340</v>
      </c>
      <c r="F203" s="24" t="s">
        <v>78</v>
      </c>
      <c r="G203" s="32">
        <v>300</v>
      </c>
      <c r="H203" s="296">
        <f t="shared" si="11"/>
        <v>305.911948051948</v>
      </c>
      <c r="I203" s="85">
        <v>115.423116883117</v>
      </c>
      <c r="J203" s="85">
        <v>182.85</v>
      </c>
      <c r="K203" s="85">
        <v>4.61</v>
      </c>
      <c r="L203" s="125">
        <f>(I203+J203+K203)*'2-报价汇总'!$H$5</f>
        <v>3.02883116883117</v>
      </c>
      <c r="M203" s="297">
        <f>(I203+J203+K203+L203)*'2-报价汇总'!$I$5</f>
        <v>0</v>
      </c>
      <c r="N203" s="297">
        <f>(M203+L203+K203+J203+I203)*'2-报价汇总'!$J$5</f>
        <v>0</v>
      </c>
      <c r="O203" s="86">
        <f t="shared" si="12"/>
        <v>91773.5844155845</v>
      </c>
      <c r="P203" s="297"/>
      <c r="Q203" s="21"/>
    </row>
    <row r="204" ht="38.25" spans="1:17">
      <c r="A204" s="24" t="s">
        <v>1322</v>
      </c>
      <c r="B204" s="30" t="s">
        <v>1323</v>
      </c>
      <c r="C204" s="31" t="s">
        <v>1261</v>
      </c>
      <c r="D204" s="31" t="s">
        <v>26</v>
      </c>
      <c r="E204" s="31" t="s">
        <v>340</v>
      </c>
      <c r="F204" s="24" t="s">
        <v>78</v>
      </c>
      <c r="G204" s="32">
        <v>300</v>
      </c>
      <c r="H204" s="296">
        <f t="shared" si="11"/>
        <v>244.524935064935</v>
      </c>
      <c r="I204" s="85">
        <v>83.2838961038961</v>
      </c>
      <c r="J204" s="85">
        <v>155.45</v>
      </c>
      <c r="K204" s="85">
        <v>3.37</v>
      </c>
      <c r="L204" s="125">
        <f>(I204+J204+K204)*'2-报价汇总'!$H$5</f>
        <v>2.42103896103896</v>
      </c>
      <c r="M204" s="297">
        <f>(I204+J204+K204+L204)*'2-报价汇总'!$I$5</f>
        <v>0</v>
      </c>
      <c r="N204" s="297">
        <f>(M204+L204+K204+J204+I204)*'2-报价汇总'!$J$5</f>
        <v>0</v>
      </c>
      <c r="O204" s="86">
        <f t="shared" si="12"/>
        <v>73357.4805194805</v>
      </c>
      <c r="P204" s="297"/>
      <c r="Q204" s="21"/>
    </row>
    <row r="205" ht="38.25" spans="1:17">
      <c r="A205" s="24" t="s">
        <v>1324</v>
      </c>
      <c r="B205" s="30" t="s">
        <v>1325</v>
      </c>
      <c r="C205" s="31" t="s">
        <v>1326</v>
      </c>
      <c r="D205" s="31" t="s">
        <v>26</v>
      </c>
      <c r="E205" s="31" t="s">
        <v>340</v>
      </c>
      <c r="F205" s="24" t="s">
        <v>78</v>
      </c>
      <c r="G205" s="32">
        <v>300</v>
      </c>
      <c r="H205" s="296">
        <f t="shared" si="11"/>
        <v>130.958961038961</v>
      </c>
      <c r="I205" s="85">
        <v>29.5523376623376</v>
      </c>
      <c r="J205" s="85">
        <v>99.12</v>
      </c>
      <c r="K205" s="85">
        <v>0.99</v>
      </c>
      <c r="L205" s="125">
        <f>(I205+J205+K205)*'2-报价汇总'!$H$5</f>
        <v>1.29662337662338</v>
      </c>
      <c r="M205" s="297">
        <f>(I205+J205+K205+L205)*'2-报价汇总'!$I$5</f>
        <v>0</v>
      </c>
      <c r="N205" s="297">
        <f>(M205+L205+K205+J205+I205)*'2-报价汇总'!$J$5</f>
        <v>0</v>
      </c>
      <c r="O205" s="86">
        <f t="shared" si="12"/>
        <v>39287.6883116883</v>
      </c>
      <c r="P205" s="297"/>
      <c r="Q205" s="21"/>
    </row>
    <row r="206" ht="25.5" spans="1:17">
      <c r="A206" s="24" t="s">
        <v>1327</v>
      </c>
      <c r="B206" s="298" t="s">
        <v>1328</v>
      </c>
      <c r="C206" s="236" t="s">
        <v>1326</v>
      </c>
      <c r="D206" s="236" t="s">
        <v>26</v>
      </c>
      <c r="E206" s="236" t="s">
        <v>340</v>
      </c>
      <c r="F206" s="241" t="s">
        <v>78</v>
      </c>
      <c r="G206" s="32">
        <v>300</v>
      </c>
      <c r="H206" s="296">
        <f t="shared" si="11"/>
        <v>130.958961038961</v>
      </c>
      <c r="I206" s="240">
        <v>129.662337662338</v>
      </c>
      <c r="J206" s="240"/>
      <c r="K206" s="240"/>
      <c r="L206" s="299">
        <f>(I206+J206+K206)*'2-报价汇总'!$H$5</f>
        <v>1.29662337662338</v>
      </c>
      <c r="M206" s="300">
        <f>(I206+J206+K206+L206)*'2-报价汇总'!$I$5</f>
        <v>0</v>
      </c>
      <c r="N206" s="300">
        <f>(M206+L206+K206+J206+I206)*'2-报价汇总'!$J$5</f>
        <v>0</v>
      </c>
      <c r="O206" s="86">
        <f t="shared" si="12"/>
        <v>39287.6883116884</v>
      </c>
      <c r="P206" s="300"/>
      <c r="Q206" s="158"/>
    </row>
    <row r="207" ht="51" spans="1:17">
      <c r="A207" s="24" t="s">
        <v>1329</v>
      </c>
      <c r="B207" s="298" t="s">
        <v>1330</v>
      </c>
      <c r="C207" s="236" t="s">
        <v>1331</v>
      </c>
      <c r="D207" s="236" t="s">
        <v>26</v>
      </c>
      <c r="E207" s="236" t="s">
        <v>340</v>
      </c>
      <c r="F207" s="241" t="s">
        <v>89</v>
      </c>
      <c r="G207" s="32">
        <v>300</v>
      </c>
      <c r="H207" s="302">
        <f t="shared" si="11"/>
        <v>171.4273</v>
      </c>
      <c r="I207" s="85">
        <v>164.97</v>
      </c>
      <c r="J207" s="128">
        <v>0</v>
      </c>
      <c r="K207" s="128">
        <v>4.76</v>
      </c>
      <c r="L207" s="299">
        <f>(I207+J207+K207)*'2-报价汇总'!$H$5</f>
        <v>1.6973</v>
      </c>
      <c r="M207" s="300">
        <f>(I207+J207+K207+L207)*'2-报价汇总'!$I$5</f>
        <v>0</v>
      </c>
      <c r="N207" s="300">
        <f>(M207+L207+K207+J207+I207)*'2-报价汇总'!$J$5</f>
        <v>0</v>
      </c>
      <c r="O207" s="86">
        <f t="shared" si="12"/>
        <v>51428.19</v>
      </c>
      <c r="P207" s="240"/>
      <c r="Q207" s="158"/>
    </row>
    <row r="208" ht="51" spans="1:17">
      <c r="A208" s="24" t="s">
        <v>1332</v>
      </c>
      <c r="B208" s="298" t="s">
        <v>1333</v>
      </c>
      <c r="C208" s="236" t="s">
        <v>1331</v>
      </c>
      <c r="D208" s="236" t="s">
        <v>26</v>
      </c>
      <c r="E208" s="236" t="s">
        <v>340</v>
      </c>
      <c r="F208" s="241" t="s">
        <v>481</v>
      </c>
      <c r="G208" s="32">
        <v>727388.246826213</v>
      </c>
      <c r="H208" s="302">
        <f t="shared" si="11"/>
        <v>142.8544</v>
      </c>
      <c r="I208" s="85">
        <v>136.68</v>
      </c>
      <c r="J208" s="128">
        <v>0</v>
      </c>
      <c r="K208" s="128">
        <v>4.76</v>
      </c>
      <c r="L208" s="299">
        <f>(I208+J208+K208)*'2-报价汇总'!$H$5</f>
        <v>1.4144</v>
      </c>
      <c r="M208" s="300">
        <f>(I208+J208+K208+L208)*'2-报价汇总'!$I$5</f>
        <v>0</v>
      </c>
      <c r="N208" s="300">
        <f>(M208+L208+K208+J208+I208)*'2-报价汇总'!$J$5</f>
        <v>0</v>
      </c>
      <c r="O208" s="86">
        <f t="shared" si="12"/>
        <v>103910611.567411</v>
      </c>
      <c r="P208" s="240"/>
      <c r="Q208" s="158"/>
    </row>
    <row r="209" ht="51" spans="1:17">
      <c r="A209" s="24" t="s">
        <v>1334</v>
      </c>
      <c r="B209" s="298" t="s">
        <v>1335</v>
      </c>
      <c r="C209" s="236" t="s">
        <v>1331</v>
      </c>
      <c r="D209" s="236" t="s">
        <v>26</v>
      </c>
      <c r="E209" s="236" t="s">
        <v>340</v>
      </c>
      <c r="F209" s="241" t="s">
        <v>89</v>
      </c>
      <c r="G209" s="32">
        <v>5000</v>
      </c>
      <c r="H209" s="302">
        <f t="shared" si="11"/>
        <v>12.9886</v>
      </c>
      <c r="I209" s="85">
        <v>11.9</v>
      </c>
      <c r="J209" s="128">
        <v>0</v>
      </c>
      <c r="K209" s="128">
        <v>0.96</v>
      </c>
      <c r="L209" s="299">
        <f>(I209+J209+K209)*'2-报价汇总'!$H$5</f>
        <v>0.1286</v>
      </c>
      <c r="M209" s="300">
        <f>(I209+J209+K209+L209)*'2-报价汇总'!$I$5</f>
        <v>0</v>
      </c>
      <c r="N209" s="300">
        <f>(M209+L209+K209+J209+I209)*'2-报价汇总'!$J$5</f>
        <v>0</v>
      </c>
      <c r="O209" s="86">
        <f t="shared" si="12"/>
        <v>64943</v>
      </c>
      <c r="P209" s="240"/>
      <c r="Q209" s="158"/>
    </row>
    <row r="210" ht="51" spans="1:17">
      <c r="A210" s="24" t="s">
        <v>1336</v>
      </c>
      <c r="B210" s="298" t="s">
        <v>1337</v>
      </c>
      <c r="C210" s="236" t="s">
        <v>1331</v>
      </c>
      <c r="D210" s="236" t="s">
        <v>26</v>
      </c>
      <c r="E210" s="236" t="s">
        <v>340</v>
      </c>
      <c r="F210" s="241" t="s">
        <v>89</v>
      </c>
      <c r="G210" s="32">
        <v>50000</v>
      </c>
      <c r="H210" s="302">
        <f t="shared" si="11"/>
        <v>171.4273</v>
      </c>
      <c r="I210" s="85">
        <v>164.97</v>
      </c>
      <c r="J210" s="128">
        <v>0</v>
      </c>
      <c r="K210" s="128">
        <v>4.76</v>
      </c>
      <c r="L210" s="299">
        <f>(I210+J210+K210)*'2-报价汇总'!$H$5</f>
        <v>1.6973</v>
      </c>
      <c r="M210" s="300">
        <f>(I210+J210+K210+L210)*'2-报价汇总'!$I$5</f>
        <v>0</v>
      </c>
      <c r="N210" s="300">
        <f>(M210+L210+K210+J210+I210)*'2-报价汇总'!$J$5</f>
        <v>0</v>
      </c>
      <c r="O210" s="86">
        <f t="shared" si="12"/>
        <v>8571365</v>
      </c>
      <c r="P210" s="240"/>
      <c r="Q210" s="158"/>
    </row>
    <row r="211" spans="1:17">
      <c r="A211" s="24"/>
      <c r="B211" s="39" t="s">
        <v>158</v>
      </c>
      <c r="C211" s="31"/>
      <c r="D211" s="31"/>
      <c r="E211" s="31"/>
      <c r="F211" s="24"/>
      <c r="G211" s="32">
        <v>0</v>
      </c>
      <c r="H211" s="296"/>
      <c r="I211" s="85"/>
      <c r="J211" s="85"/>
      <c r="K211" s="85"/>
      <c r="L211" s="85"/>
      <c r="M211" s="85"/>
      <c r="N211" s="85"/>
      <c r="O211" s="86">
        <f t="shared" si="12"/>
        <v>0</v>
      </c>
      <c r="P211" s="85"/>
      <c r="Q211" s="21"/>
    </row>
    <row r="212" spans="1:17">
      <c r="A212" s="24"/>
      <c r="B212" s="26" t="s">
        <v>1219</v>
      </c>
      <c r="C212" s="31"/>
      <c r="D212" s="31"/>
      <c r="E212" s="31"/>
      <c r="F212" s="24"/>
      <c r="G212" s="32">
        <v>0</v>
      </c>
      <c r="H212" s="296"/>
      <c r="I212" s="85"/>
      <c r="J212" s="85"/>
      <c r="K212" s="85"/>
      <c r="L212" s="85"/>
      <c r="M212" s="85"/>
      <c r="N212" s="85"/>
      <c r="O212" s="86">
        <f t="shared" si="12"/>
        <v>0</v>
      </c>
      <c r="P212" s="85"/>
      <c r="Q212" s="21"/>
    </row>
    <row r="213" spans="1:17">
      <c r="A213" s="41" t="s">
        <v>1338</v>
      </c>
      <c r="B213" s="26" t="s">
        <v>1339</v>
      </c>
      <c r="C213" s="31"/>
      <c r="D213" s="31"/>
      <c r="E213" s="31"/>
      <c r="F213" s="24"/>
      <c r="G213" s="32">
        <v>0</v>
      </c>
      <c r="H213" s="296"/>
      <c r="I213" s="85"/>
      <c r="J213" s="85"/>
      <c r="K213" s="85"/>
      <c r="L213" s="85"/>
      <c r="M213" s="85"/>
      <c r="N213" s="85"/>
      <c r="O213" s="86">
        <f t="shared" si="12"/>
        <v>0</v>
      </c>
      <c r="P213" s="85"/>
      <c r="Q213" s="21"/>
    </row>
    <row r="214" ht="25.5" spans="1:17">
      <c r="A214" s="24" t="s">
        <v>1340</v>
      </c>
      <c r="B214" s="30" t="s">
        <v>1341</v>
      </c>
      <c r="C214" s="31" t="s">
        <v>1233</v>
      </c>
      <c r="D214" s="31" t="s">
        <v>26</v>
      </c>
      <c r="E214" s="31" t="s">
        <v>340</v>
      </c>
      <c r="F214" s="24" t="s">
        <v>78</v>
      </c>
      <c r="G214" s="32">
        <v>5000</v>
      </c>
      <c r="H214" s="296">
        <f t="shared" ref="H214:H233" si="13">SUM(I214:N214)</f>
        <v>201.554025974026</v>
      </c>
      <c r="I214" s="85">
        <v>61.1484415584415</v>
      </c>
      <c r="J214" s="85">
        <v>137.08</v>
      </c>
      <c r="K214" s="85">
        <v>1.33</v>
      </c>
      <c r="L214" s="125">
        <f>(I214+J214+K214)*'2-报价汇总'!$H$5</f>
        <v>1.99558441558442</v>
      </c>
      <c r="M214" s="297">
        <f>(I214+J214+K214+L214)*'2-报价汇总'!$I$5</f>
        <v>0</v>
      </c>
      <c r="N214" s="297">
        <f>(M214+L214+K214+J214+I214)*'2-报价汇总'!$J$5</f>
        <v>0</v>
      </c>
      <c r="O214" s="86">
        <f t="shared" si="12"/>
        <v>1007770.12987013</v>
      </c>
      <c r="P214" s="297"/>
      <c r="Q214" s="21"/>
    </row>
    <row r="215" ht="38.25" spans="1:17">
      <c r="A215" s="24" t="s">
        <v>1342</v>
      </c>
      <c r="B215" s="30" t="s">
        <v>1343</v>
      </c>
      <c r="C215" s="31" t="s">
        <v>1344</v>
      </c>
      <c r="D215" s="31" t="s">
        <v>26</v>
      </c>
      <c r="E215" s="31" t="s">
        <v>340</v>
      </c>
      <c r="F215" s="24" t="s">
        <v>78</v>
      </c>
      <c r="G215" s="32">
        <v>5000</v>
      </c>
      <c r="H215" s="296">
        <f t="shared" si="13"/>
        <v>204.623376623377</v>
      </c>
      <c r="I215" s="85">
        <v>103.797402597403</v>
      </c>
      <c r="J215" s="85">
        <v>97.28</v>
      </c>
      <c r="K215" s="85">
        <v>1.52</v>
      </c>
      <c r="L215" s="125">
        <f>(I215+J215+K215)*'2-报价汇总'!$H$5</f>
        <v>2.02597402597403</v>
      </c>
      <c r="M215" s="297">
        <f>(I215+J215+K215+L215)*'2-报价汇总'!$I$5</f>
        <v>0</v>
      </c>
      <c r="N215" s="297">
        <f>(M215+L215+K215+J215+I215)*'2-报价汇总'!$J$5</f>
        <v>0</v>
      </c>
      <c r="O215" s="86">
        <f t="shared" si="12"/>
        <v>1023116.88311689</v>
      </c>
      <c r="P215" s="297"/>
      <c r="Q215" s="21"/>
    </row>
    <row r="216" ht="38.25" spans="1:17">
      <c r="A216" s="24" t="s">
        <v>1345</v>
      </c>
      <c r="B216" s="30" t="s">
        <v>1346</v>
      </c>
      <c r="C216" s="31" t="s">
        <v>1347</v>
      </c>
      <c r="D216" s="31" t="s">
        <v>1236</v>
      </c>
      <c r="E216" s="31" t="s">
        <v>340</v>
      </c>
      <c r="F216" s="24" t="s">
        <v>78</v>
      </c>
      <c r="G216" s="32">
        <v>122169.543596242</v>
      </c>
      <c r="H216" s="296">
        <f t="shared" si="13"/>
        <v>216.865800865801</v>
      </c>
      <c r="I216" s="85">
        <v>101.008614718615</v>
      </c>
      <c r="J216" s="85">
        <v>112.19</v>
      </c>
      <c r="K216" s="85">
        <v>1.52</v>
      </c>
      <c r="L216" s="125">
        <f>(I216+J216+K216)*'2-报价汇总'!$H$5</f>
        <v>2.14718614718615</v>
      </c>
      <c r="M216" s="297">
        <f>(I216+J216+K216+L216)*'2-报价汇总'!$I$5</f>
        <v>0</v>
      </c>
      <c r="N216" s="297">
        <f>(M216+L216+K216+J216+I216)*'2-报价汇总'!$J$5</f>
        <v>0</v>
      </c>
      <c r="O216" s="86">
        <f t="shared" si="12"/>
        <v>26494395.9134084</v>
      </c>
      <c r="P216" s="297"/>
      <c r="Q216" s="21"/>
    </row>
    <row r="217" ht="38.25" spans="1:17">
      <c r="A217" s="24" t="s">
        <v>1348</v>
      </c>
      <c r="B217" s="30" t="s">
        <v>1346</v>
      </c>
      <c r="C217" s="31" t="s">
        <v>1347</v>
      </c>
      <c r="D217" s="31" t="s">
        <v>1349</v>
      </c>
      <c r="E217" s="31" t="s">
        <v>340</v>
      </c>
      <c r="F217" s="24" t="s">
        <v>78</v>
      </c>
      <c r="G217" s="32">
        <v>63805.9865637029</v>
      </c>
      <c r="H217" s="296">
        <f t="shared" si="13"/>
        <v>202.43693981645</v>
      </c>
      <c r="I217" s="85">
        <v>86.7226136796537</v>
      </c>
      <c r="J217" s="85">
        <v>112.19</v>
      </c>
      <c r="K217" s="85">
        <v>1.52</v>
      </c>
      <c r="L217" s="125">
        <f>(I217+J217+K217)*'2-报价汇总'!$H$5</f>
        <v>2.00432613679654</v>
      </c>
      <c r="M217" s="297">
        <f>(I217+J217+K217+L217)*'2-报价汇总'!$I$5</f>
        <v>0</v>
      </c>
      <c r="N217" s="297">
        <f>(M217+L217+K217+J217+I217)*'2-报价汇总'!$J$5</f>
        <v>0</v>
      </c>
      <c r="O217" s="86">
        <f t="shared" si="12"/>
        <v>12916688.6619256</v>
      </c>
      <c r="P217" s="297"/>
      <c r="Q217" s="21"/>
    </row>
    <row r="218" ht="38.25" spans="1:17">
      <c r="A218" s="24" t="s">
        <v>1350</v>
      </c>
      <c r="B218" s="30" t="s">
        <v>1346</v>
      </c>
      <c r="C218" s="31" t="s">
        <v>1351</v>
      </c>
      <c r="D218" s="31" t="s">
        <v>1349</v>
      </c>
      <c r="E218" s="31" t="s">
        <v>340</v>
      </c>
      <c r="F218" s="24" t="s">
        <v>78</v>
      </c>
      <c r="G218" s="32">
        <v>911.514093767184</v>
      </c>
      <c r="H218" s="296">
        <f t="shared" si="13"/>
        <v>202.437229437229</v>
      </c>
      <c r="I218" s="85">
        <v>80.6029004329004</v>
      </c>
      <c r="J218" s="85">
        <v>118.31</v>
      </c>
      <c r="K218" s="85">
        <v>1.52</v>
      </c>
      <c r="L218" s="125">
        <f>(I218+J218+K218)*'2-报价汇总'!$H$5</f>
        <v>2.004329004329</v>
      </c>
      <c r="M218" s="297">
        <f>(I218+J218+K218+L218)*'2-报价汇总'!$I$5</f>
        <v>0</v>
      </c>
      <c r="N218" s="297">
        <f>(M218+L218+K218+J218+I218)*'2-报价汇总'!$J$5</f>
        <v>0</v>
      </c>
      <c r="O218" s="86">
        <f t="shared" si="12"/>
        <v>184524.387735216</v>
      </c>
      <c r="P218" s="297"/>
      <c r="Q218" s="21"/>
    </row>
    <row r="219" ht="38.25" spans="1:17">
      <c r="A219" s="24" t="s">
        <v>1352</v>
      </c>
      <c r="B219" s="30" t="s">
        <v>1346</v>
      </c>
      <c r="C219" s="31" t="s">
        <v>1351</v>
      </c>
      <c r="D219" s="31" t="s">
        <v>1236</v>
      </c>
      <c r="E219" s="31" t="s">
        <v>340</v>
      </c>
      <c r="F219" s="24" t="s">
        <v>78</v>
      </c>
      <c r="G219" s="32">
        <v>911.514093767184</v>
      </c>
      <c r="H219" s="296">
        <f t="shared" si="13"/>
        <v>230.157575757576</v>
      </c>
      <c r="I219" s="85">
        <v>108.048787878788</v>
      </c>
      <c r="J219" s="85">
        <v>118.31</v>
      </c>
      <c r="K219" s="85">
        <v>1.52</v>
      </c>
      <c r="L219" s="125">
        <f>(I219+J219+K219)*'2-报价汇总'!$H$5</f>
        <v>2.27878787878788</v>
      </c>
      <c r="M219" s="297">
        <f>(I219+J219+K219+L219)*'2-报价汇总'!$I$5</f>
        <v>0</v>
      </c>
      <c r="N219" s="297">
        <f>(M219+L219+K219+J219+I219)*'2-报价汇总'!$J$5</f>
        <v>0</v>
      </c>
      <c r="O219" s="86">
        <f t="shared" si="12"/>
        <v>209791.874090319</v>
      </c>
      <c r="P219" s="297"/>
      <c r="Q219" s="21"/>
    </row>
    <row r="220" ht="38.25" spans="1:17">
      <c r="A220" s="24" t="s">
        <v>1353</v>
      </c>
      <c r="B220" s="30" t="s">
        <v>1354</v>
      </c>
      <c r="C220" s="31" t="s">
        <v>1351</v>
      </c>
      <c r="D220" s="31" t="s">
        <v>26</v>
      </c>
      <c r="E220" s="31" t="s">
        <v>340</v>
      </c>
      <c r="F220" s="24" t="s">
        <v>78</v>
      </c>
      <c r="G220" s="32">
        <v>1823.02818753437</v>
      </c>
      <c r="H220" s="296">
        <f t="shared" si="13"/>
        <v>210.919480519481</v>
      </c>
      <c r="I220" s="85">
        <v>111.071168831169</v>
      </c>
      <c r="J220" s="85">
        <v>96.52</v>
      </c>
      <c r="K220" s="85">
        <v>1.24</v>
      </c>
      <c r="L220" s="125">
        <f>(I220+J220+K220)*'2-报价汇总'!$H$5</f>
        <v>2.08831168831169</v>
      </c>
      <c r="M220" s="297">
        <f>(I220+J220+K220+L220)*'2-报价汇总'!$I$5</f>
        <v>0</v>
      </c>
      <c r="N220" s="297">
        <f>(M220+L220+K220+J220+I220)*'2-报价汇总'!$J$5</f>
        <v>0</v>
      </c>
      <c r="O220" s="86">
        <f t="shared" si="12"/>
        <v>384512.15828712</v>
      </c>
      <c r="P220" s="297"/>
      <c r="Q220" s="21"/>
    </row>
    <row r="221" ht="38.25" spans="1:17">
      <c r="A221" s="24" t="s">
        <v>1355</v>
      </c>
      <c r="B221" s="30" t="s">
        <v>1356</v>
      </c>
      <c r="C221" s="31" t="s">
        <v>1351</v>
      </c>
      <c r="D221" s="31" t="s">
        <v>26</v>
      </c>
      <c r="E221" s="31" t="s">
        <v>340</v>
      </c>
      <c r="F221" s="24" t="s">
        <v>78</v>
      </c>
      <c r="G221" s="32">
        <v>2734.54228130155</v>
      </c>
      <c r="H221" s="296">
        <f t="shared" si="13"/>
        <v>222.987012987013</v>
      </c>
      <c r="I221" s="85">
        <v>92.1992207792208</v>
      </c>
      <c r="J221" s="85">
        <v>127.34</v>
      </c>
      <c r="K221" s="85">
        <v>1.24</v>
      </c>
      <c r="L221" s="125">
        <f>(I221+J221+K221)*'2-报价汇总'!$H$5</f>
        <v>2.20779220779221</v>
      </c>
      <c r="M221" s="297">
        <f>(I221+J221+K221+L221)*'2-报价汇总'!$I$5</f>
        <v>0</v>
      </c>
      <c r="N221" s="297">
        <f>(M221+L221+K221+J221+I221)*'2-报价汇总'!$J$5</f>
        <v>0</v>
      </c>
      <c r="O221" s="86">
        <f t="shared" si="12"/>
        <v>609767.415194125</v>
      </c>
      <c r="P221" s="297"/>
      <c r="Q221" s="21"/>
    </row>
    <row r="222" ht="38.25" spans="1:17">
      <c r="A222" s="24" t="s">
        <v>1357</v>
      </c>
      <c r="B222" s="30" t="s">
        <v>1358</v>
      </c>
      <c r="C222" s="31" t="s">
        <v>1359</v>
      </c>
      <c r="D222" s="31" t="s">
        <v>26</v>
      </c>
      <c r="E222" s="31" t="s">
        <v>340</v>
      </c>
      <c r="F222" s="24" t="s">
        <v>78</v>
      </c>
      <c r="G222" s="32">
        <v>1823.02818753437</v>
      </c>
      <c r="H222" s="296">
        <f t="shared" si="13"/>
        <v>225.61038961039</v>
      </c>
      <c r="I222" s="85">
        <v>84.7966233766234</v>
      </c>
      <c r="J222" s="85">
        <v>137.34</v>
      </c>
      <c r="K222" s="85">
        <v>1.24</v>
      </c>
      <c r="L222" s="125">
        <f>(I222+J222+K222)*'2-报价汇总'!$H$5</f>
        <v>2.23376623376623</v>
      </c>
      <c r="M222" s="297">
        <f>(I222+J222+K222+L222)*'2-报价汇总'!$I$5</f>
        <v>0</v>
      </c>
      <c r="N222" s="297">
        <f>(M222+L222+K222+J222+I222)*'2-报价汇总'!$J$5</f>
        <v>0</v>
      </c>
      <c r="O222" s="86">
        <f t="shared" si="12"/>
        <v>411294.099660352</v>
      </c>
      <c r="P222" s="297"/>
      <c r="Q222" s="21"/>
    </row>
    <row r="223" ht="38.25" spans="1:17">
      <c r="A223" s="24" t="s">
        <v>1360</v>
      </c>
      <c r="B223" s="30" t="s">
        <v>1361</v>
      </c>
      <c r="C223" s="31" t="s">
        <v>1359</v>
      </c>
      <c r="D223" s="31" t="s">
        <v>26</v>
      </c>
      <c r="E223" s="31" t="s">
        <v>340</v>
      </c>
      <c r="F223" s="24" t="s">
        <v>78</v>
      </c>
      <c r="G223" s="32">
        <v>500</v>
      </c>
      <c r="H223" s="296">
        <f t="shared" si="13"/>
        <v>225.61038961039</v>
      </c>
      <c r="I223" s="85">
        <v>83.1366233766234</v>
      </c>
      <c r="J223" s="85">
        <v>137.96</v>
      </c>
      <c r="K223" s="85">
        <v>2.28</v>
      </c>
      <c r="L223" s="125">
        <f>(I223+J223+K223)*'2-报价汇总'!$H$5</f>
        <v>2.23376623376623</v>
      </c>
      <c r="M223" s="297">
        <f>(I223+J223+K223+L223)*'2-报价汇总'!$I$5</f>
        <v>0</v>
      </c>
      <c r="N223" s="297">
        <f>(M223+L223+K223+J223+I223)*'2-报价汇总'!$J$5</f>
        <v>0</v>
      </c>
      <c r="O223" s="86">
        <f t="shared" si="12"/>
        <v>112805.194805195</v>
      </c>
      <c r="P223" s="297"/>
      <c r="Q223" s="21"/>
    </row>
    <row r="224" ht="38.25" spans="1:17">
      <c r="A224" s="24" t="s">
        <v>1362</v>
      </c>
      <c r="B224" s="30" t="s">
        <v>1363</v>
      </c>
      <c r="C224" s="31" t="s">
        <v>1364</v>
      </c>
      <c r="D224" s="31" t="s">
        <v>26</v>
      </c>
      <c r="E224" s="31" t="s">
        <v>1085</v>
      </c>
      <c r="F224" s="24" t="s">
        <v>89</v>
      </c>
      <c r="G224" s="32">
        <v>500</v>
      </c>
      <c r="H224" s="296">
        <f t="shared" si="13"/>
        <v>34.785974025974</v>
      </c>
      <c r="I224" s="85">
        <v>16.3315584415584</v>
      </c>
      <c r="J224" s="85">
        <v>18.04</v>
      </c>
      <c r="K224" s="85">
        <v>0.07</v>
      </c>
      <c r="L224" s="125">
        <f>(I224+J224+K224)*'2-报价汇总'!$H$5</f>
        <v>0.344415584415584</v>
      </c>
      <c r="M224" s="297">
        <f>(I224+J224+K224+L224)*'2-报价汇总'!$I$5</f>
        <v>0</v>
      </c>
      <c r="N224" s="297">
        <f>(M224+L224+K224+J224+I224)*'2-报价汇总'!$J$5</f>
        <v>0</v>
      </c>
      <c r="O224" s="86">
        <f t="shared" si="12"/>
        <v>17392.987012987</v>
      </c>
      <c r="P224" s="297"/>
      <c r="Q224" s="21"/>
    </row>
    <row r="225" ht="38.25" spans="1:17">
      <c r="A225" s="24" t="s">
        <v>1365</v>
      </c>
      <c r="B225" s="30" t="s">
        <v>1366</v>
      </c>
      <c r="C225" s="31" t="s">
        <v>1364</v>
      </c>
      <c r="D225" s="31" t="s">
        <v>26</v>
      </c>
      <c r="E225" s="31" t="s">
        <v>1085</v>
      </c>
      <c r="F225" s="24" t="s">
        <v>89</v>
      </c>
      <c r="G225" s="32">
        <v>500</v>
      </c>
      <c r="H225" s="296">
        <f t="shared" si="13"/>
        <v>38.8784415584416</v>
      </c>
      <c r="I225" s="85">
        <v>13.1935064935065</v>
      </c>
      <c r="J225" s="85">
        <v>25.22</v>
      </c>
      <c r="K225" s="85">
        <v>0.08</v>
      </c>
      <c r="L225" s="125">
        <f>(I225+J225+K225)*'2-报价汇总'!$H$5</f>
        <v>0.384935064935065</v>
      </c>
      <c r="M225" s="297">
        <f>(I225+J225+K225+L225)*'2-报价汇总'!$I$5</f>
        <v>0</v>
      </c>
      <c r="N225" s="297">
        <f>(M225+L225+K225+J225+I225)*'2-报价汇总'!$J$5</f>
        <v>0</v>
      </c>
      <c r="O225" s="86">
        <f t="shared" si="12"/>
        <v>19439.2207792208</v>
      </c>
      <c r="P225" s="297"/>
      <c r="Q225" s="21"/>
    </row>
    <row r="226" ht="38.25" spans="1:17">
      <c r="A226" s="24" t="s">
        <v>1367</v>
      </c>
      <c r="B226" s="30" t="s">
        <v>1368</v>
      </c>
      <c r="C226" s="31" t="s">
        <v>1364</v>
      </c>
      <c r="D226" s="31" t="s">
        <v>26</v>
      </c>
      <c r="E226" s="31" t="s">
        <v>1085</v>
      </c>
      <c r="F226" s="24" t="s">
        <v>89</v>
      </c>
      <c r="G226" s="32">
        <v>500</v>
      </c>
      <c r="H226" s="296">
        <f t="shared" si="13"/>
        <v>51.1558441558442</v>
      </c>
      <c r="I226" s="85">
        <v>17.9193506493507</v>
      </c>
      <c r="J226" s="85">
        <v>32.65</v>
      </c>
      <c r="K226" s="85">
        <v>0.08</v>
      </c>
      <c r="L226" s="125">
        <f>(I226+J226+K226)*'2-报价汇总'!$H$5</f>
        <v>0.506493506493507</v>
      </c>
      <c r="M226" s="297">
        <f>(I226+J226+K226+L226)*'2-报价汇总'!$I$5</f>
        <v>0</v>
      </c>
      <c r="N226" s="297">
        <f>(M226+L226+K226+J226+I226)*'2-报价汇总'!$J$5</f>
        <v>0</v>
      </c>
      <c r="O226" s="86">
        <f t="shared" si="12"/>
        <v>25577.9220779221</v>
      </c>
      <c r="P226" s="297"/>
      <c r="Q226" s="21"/>
    </row>
    <row r="227" ht="38.25" spans="1:17">
      <c r="A227" s="24" t="s">
        <v>1369</v>
      </c>
      <c r="B227" s="30" t="s">
        <v>1370</v>
      </c>
      <c r="C227" s="31" t="s">
        <v>1371</v>
      </c>
      <c r="D227" s="31" t="s">
        <v>26</v>
      </c>
      <c r="E227" s="31" t="s">
        <v>1085</v>
      </c>
      <c r="F227" s="24" t="s">
        <v>89</v>
      </c>
      <c r="G227" s="32">
        <v>500</v>
      </c>
      <c r="H227" s="296">
        <f t="shared" si="13"/>
        <v>32.7397402597402</v>
      </c>
      <c r="I227" s="85">
        <v>14.3555844155844</v>
      </c>
      <c r="J227" s="85">
        <v>18.04</v>
      </c>
      <c r="K227" s="85">
        <v>0.02</v>
      </c>
      <c r="L227" s="125">
        <f>(I227+J227+K227)*'2-报价汇总'!$H$5</f>
        <v>0.324155844155844</v>
      </c>
      <c r="M227" s="297">
        <f>(I227+J227+K227+L227)*'2-报价汇总'!$I$5</f>
        <v>0</v>
      </c>
      <c r="N227" s="297">
        <f>(M227+L227+K227+J227+I227)*'2-报价汇总'!$J$5</f>
        <v>0</v>
      </c>
      <c r="O227" s="86">
        <f t="shared" si="12"/>
        <v>16369.8701298701</v>
      </c>
      <c r="P227" s="297"/>
      <c r="Q227" s="21"/>
    </row>
    <row r="228" ht="38.25" spans="1:17">
      <c r="A228" s="24" t="s">
        <v>1372</v>
      </c>
      <c r="B228" s="30" t="s">
        <v>1373</v>
      </c>
      <c r="C228" s="31" t="s">
        <v>1371</v>
      </c>
      <c r="D228" s="31" t="s">
        <v>26</v>
      </c>
      <c r="E228" s="31" t="s">
        <v>340</v>
      </c>
      <c r="F228" s="24" t="s">
        <v>78</v>
      </c>
      <c r="G228" s="32">
        <v>500</v>
      </c>
      <c r="H228" s="296">
        <f t="shared" si="13"/>
        <v>204.623376623377</v>
      </c>
      <c r="I228" s="85">
        <v>31.1274025974026</v>
      </c>
      <c r="J228" s="85">
        <v>170.61</v>
      </c>
      <c r="K228" s="85">
        <v>0.86</v>
      </c>
      <c r="L228" s="125">
        <f>(I228+J228+K228)*'2-报价汇总'!$H$5</f>
        <v>2.02597402597403</v>
      </c>
      <c r="M228" s="297">
        <f>(I228+J228+K228+L228)*'2-报价汇总'!$I$5</f>
        <v>0</v>
      </c>
      <c r="N228" s="297">
        <f>(M228+L228+K228+J228+I228)*'2-报价汇总'!$J$5</f>
        <v>0</v>
      </c>
      <c r="O228" s="86">
        <f t="shared" si="12"/>
        <v>102311.688311688</v>
      </c>
      <c r="P228" s="297"/>
      <c r="Q228" s="21"/>
    </row>
    <row r="229" ht="38.25" spans="1:17">
      <c r="A229" s="24" t="s">
        <v>1374</v>
      </c>
      <c r="B229" s="30" t="s">
        <v>1375</v>
      </c>
      <c r="C229" s="31" t="s">
        <v>1364</v>
      </c>
      <c r="D229" s="31" t="s">
        <v>26</v>
      </c>
      <c r="E229" s="31" t="s">
        <v>340</v>
      </c>
      <c r="F229" s="24" t="s">
        <v>78</v>
      </c>
      <c r="G229" s="32">
        <v>500</v>
      </c>
      <c r="H229" s="296">
        <f t="shared" si="13"/>
        <v>193.20838355671</v>
      </c>
      <c r="I229" s="85">
        <v>12.4854292640693</v>
      </c>
      <c r="J229" s="85">
        <v>177.95</v>
      </c>
      <c r="K229" s="85">
        <v>0.86</v>
      </c>
      <c r="L229" s="125">
        <f>(I229+J229+K229)*'2-报价汇总'!$H$5</f>
        <v>1.91295429264069</v>
      </c>
      <c r="M229" s="297">
        <f>(I229+J229+K229+L229)*'2-报价汇总'!$I$5</f>
        <v>0</v>
      </c>
      <c r="N229" s="297">
        <f>(M229+L229+K229+J229+I229)*'2-报价汇总'!$J$5</f>
        <v>0</v>
      </c>
      <c r="O229" s="86">
        <f t="shared" si="12"/>
        <v>96604.191778355</v>
      </c>
      <c r="P229" s="297"/>
      <c r="Q229" s="21"/>
    </row>
    <row r="230" ht="25.5" spans="1:17">
      <c r="A230" s="24" t="s">
        <v>1376</v>
      </c>
      <c r="B230" s="30" t="s">
        <v>1373</v>
      </c>
      <c r="C230" s="31" t="s">
        <v>1377</v>
      </c>
      <c r="D230" s="31"/>
      <c r="E230" s="31"/>
      <c r="F230" s="24" t="s">
        <v>78</v>
      </c>
      <c r="G230" s="32">
        <v>500</v>
      </c>
      <c r="H230" s="296">
        <f t="shared" si="13"/>
        <v>76.0779220779221</v>
      </c>
      <c r="I230" s="85">
        <v>25.5446753246753</v>
      </c>
      <c r="J230" s="85">
        <v>48.92</v>
      </c>
      <c r="K230" s="85">
        <v>0.86</v>
      </c>
      <c r="L230" s="125">
        <f>(I230+J230+K230)*'2-报价汇总'!$H$5</f>
        <v>0.753246753246753</v>
      </c>
      <c r="M230" s="297">
        <f>(I230+J230+K230+L230)*'2-报价汇总'!$I$5</f>
        <v>0</v>
      </c>
      <c r="N230" s="297">
        <f>(M230+L230+K230+J230+I230)*'2-报价汇总'!$J$5</f>
        <v>0</v>
      </c>
      <c r="O230" s="86">
        <f t="shared" si="12"/>
        <v>38038.961038961</v>
      </c>
      <c r="P230" s="297"/>
      <c r="Q230" s="21"/>
    </row>
    <row r="231" ht="25.5" spans="1:17">
      <c r="A231" s="24" t="s">
        <v>1378</v>
      </c>
      <c r="B231" s="30" t="s">
        <v>1375</v>
      </c>
      <c r="C231" s="31" t="s">
        <v>1379</v>
      </c>
      <c r="D231" s="31"/>
      <c r="E231" s="31"/>
      <c r="F231" s="24" t="s">
        <v>78</v>
      </c>
      <c r="G231" s="32">
        <v>500</v>
      </c>
      <c r="H231" s="296">
        <f t="shared" si="13"/>
        <v>81.3246753246753</v>
      </c>
      <c r="I231" s="85">
        <v>29.3294805194805</v>
      </c>
      <c r="J231" s="85">
        <v>50.33</v>
      </c>
      <c r="K231" s="85">
        <v>0.86</v>
      </c>
      <c r="L231" s="125">
        <f>(I231+J231+K231)*'2-报价汇总'!$H$5</f>
        <v>0.805194805194805</v>
      </c>
      <c r="M231" s="297">
        <f>(I231+J231+K231+L231)*'2-报价汇总'!$I$5</f>
        <v>0</v>
      </c>
      <c r="N231" s="297">
        <f>(M231+L231+K231+J231+I231)*'2-报价汇总'!$J$5</f>
        <v>0</v>
      </c>
      <c r="O231" s="86">
        <f t="shared" si="12"/>
        <v>40662.3376623376</v>
      </c>
      <c r="P231" s="297"/>
      <c r="Q231" s="21"/>
    </row>
    <row r="232" ht="38.25" spans="1:17">
      <c r="A232" s="24" t="s">
        <v>1380</v>
      </c>
      <c r="B232" s="269" t="s">
        <v>1381</v>
      </c>
      <c r="C232" s="261" t="s">
        <v>1347</v>
      </c>
      <c r="D232" s="261" t="s">
        <v>1236</v>
      </c>
      <c r="E232" s="261" t="s">
        <v>340</v>
      </c>
      <c r="F232" s="250" t="s">
        <v>78</v>
      </c>
      <c r="G232" s="32">
        <v>500</v>
      </c>
      <c r="H232" s="296">
        <f t="shared" si="13"/>
        <v>446.135800865801</v>
      </c>
      <c r="I232" s="266">
        <v>101.008614718615</v>
      </c>
      <c r="J232" s="266">
        <f>112.19+227</f>
        <v>339.19</v>
      </c>
      <c r="K232" s="266">
        <v>1.52</v>
      </c>
      <c r="L232" s="125">
        <f>(I232+J232+K232)*'2-报价汇总'!$H$5</f>
        <v>4.41718614718615</v>
      </c>
      <c r="M232" s="297">
        <f>(I232+J232+K232+L232)*'2-报价汇总'!$I$5</f>
        <v>0</v>
      </c>
      <c r="N232" s="297">
        <f>(M232+L232+K232+J232+I232)*'2-报价汇总'!$J$5</f>
        <v>0</v>
      </c>
      <c r="O232" s="86">
        <f t="shared" si="12"/>
        <v>223067.900432901</v>
      </c>
      <c r="P232" s="297"/>
      <c r="Q232" s="21"/>
    </row>
    <row r="233" ht="38.25" spans="1:17">
      <c r="A233" s="24" t="s">
        <v>1382</v>
      </c>
      <c r="B233" s="269" t="s">
        <v>1383</v>
      </c>
      <c r="C233" s="261" t="s">
        <v>1347</v>
      </c>
      <c r="D233" s="261" t="s">
        <v>1349</v>
      </c>
      <c r="E233" s="261" t="s">
        <v>340</v>
      </c>
      <c r="F233" s="250" t="s">
        <v>78</v>
      </c>
      <c r="G233" s="32">
        <v>500</v>
      </c>
      <c r="H233" s="296">
        <f t="shared" si="13"/>
        <v>302.715800865801</v>
      </c>
      <c r="I233" s="266">
        <v>101.008614718615</v>
      </c>
      <c r="J233" s="266">
        <f>112.19+85</f>
        <v>197.19</v>
      </c>
      <c r="K233" s="266">
        <v>1.52</v>
      </c>
      <c r="L233" s="125">
        <f>(I233+J233+K233)*'2-报价汇总'!$H$5</f>
        <v>2.99718614718615</v>
      </c>
      <c r="M233" s="297">
        <f>(I233+J233+K233+L233)*'2-报价汇总'!$I$5</f>
        <v>0</v>
      </c>
      <c r="N233" s="297">
        <f>(M233+L233+K233+J233+I233)*'2-报价汇总'!$J$5</f>
        <v>0</v>
      </c>
      <c r="O233" s="86">
        <f t="shared" si="12"/>
        <v>151357.900432901</v>
      </c>
      <c r="P233" s="297"/>
      <c r="Q233" s="21"/>
    </row>
    <row r="234" ht="25.5" spans="1:17">
      <c r="A234" s="24" t="s">
        <v>1384</v>
      </c>
      <c r="B234" s="30" t="s">
        <v>1385</v>
      </c>
      <c r="C234" s="31" t="s">
        <v>1233</v>
      </c>
      <c r="D234" s="31" t="s">
        <v>26</v>
      </c>
      <c r="E234" s="31" t="s">
        <v>340</v>
      </c>
      <c r="F234" s="24" t="s">
        <v>78</v>
      </c>
      <c r="G234" s="32">
        <v>15964.8241566452</v>
      </c>
      <c r="H234" s="296">
        <f t="shared" ref="H234:H239" si="14">SUM(I234:N234)</f>
        <v>289.883116883117</v>
      </c>
      <c r="I234" s="85">
        <v>73.462987012987</v>
      </c>
      <c r="J234" s="85">
        <v>211.56</v>
      </c>
      <c r="K234" s="85">
        <v>1.99</v>
      </c>
      <c r="L234" s="125">
        <f>(I234+J234+K234)*'2-报价汇总'!$H$5</f>
        <v>2.87012987012987</v>
      </c>
      <c r="M234" s="297">
        <f>(I234+J234+K234+L234)*'2-报价汇总'!$I$5</f>
        <v>0</v>
      </c>
      <c r="N234" s="297">
        <f>(M234+L234+K234+J234+I234)*'2-报价汇总'!$J$5</f>
        <v>0</v>
      </c>
      <c r="O234" s="86">
        <f t="shared" ref="O234:O244" si="15">G234*H234</f>
        <v>4627932.98701919</v>
      </c>
      <c r="P234" s="297"/>
      <c r="Q234" s="21"/>
    </row>
    <row r="235" ht="25.5" spans="1:17">
      <c r="A235" s="24" t="s">
        <v>1386</v>
      </c>
      <c r="B235" s="30" t="s">
        <v>1387</v>
      </c>
      <c r="C235" s="31" t="s">
        <v>1233</v>
      </c>
      <c r="D235" s="31" t="s">
        <v>26</v>
      </c>
      <c r="E235" s="31" t="s">
        <v>340</v>
      </c>
      <c r="F235" s="24" t="s">
        <v>78</v>
      </c>
      <c r="G235" s="32">
        <v>500</v>
      </c>
      <c r="H235" s="296">
        <f t="shared" si="14"/>
        <v>289.542077922078</v>
      </c>
      <c r="I235" s="85">
        <v>73.1253246753247</v>
      </c>
      <c r="J235" s="85">
        <v>211.56</v>
      </c>
      <c r="K235" s="85">
        <v>1.99</v>
      </c>
      <c r="L235" s="125">
        <f>(I235+J235+K235)*'2-报价汇总'!$H$5</f>
        <v>2.86675324675325</v>
      </c>
      <c r="M235" s="297">
        <f>(I235+J235+K235+L235)*'2-报价汇总'!$I$5</f>
        <v>0</v>
      </c>
      <c r="N235" s="297">
        <f>(M235+L235+K235+J235+I235)*'2-报价汇总'!$J$5</f>
        <v>0</v>
      </c>
      <c r="O235" s="86">
        <f t="shared" si="15"/>
        <v>144771.038961039</v>
      </c>
      <c r="P235" s="297"/>
      <c r="Q235" s="21"/>
    </row>
    <row r="236" ht="25.5" spans="1:17">
      <c r="A236" s="24" t="s">
        <v>1388</v>
      </c>
      <c r="B236" s="30" t="s">
        <v>1389</v>
      </c>
      <c r="C236" s="31" t="s">
        <v>1390</v>
      </c>
      <c r="D236" s="31" t="s">
        <v>26</v>
      </c>
      <c r="E236" s="31" t="s">
        <v>340</v>
      </c>
      <c r="F236" s="24" t="s">
        <v>78</v>
      </c>
      <c r="G236" s="32">
        <v>500</v>
      </c>
      <c r="H236" s="296">
        <f t="shared" si="14"/>
        <v>263.212121212121</v>
      </c>
      <c r="I236" s="85">
        <v>73.8560606060606</v>
      </c>
      <c r="J236" s="85">
        <v>185.23</v>
      </c>
      <c r="K236" s="85">
        <v>1.52</v>
      </c>
      <c r="L236" s="125">
        <f>(I236+J236+K236)*'2-报价汇总'!$H$5</f>
        <v>2.60606060606061</v>
      </c>
      <c r="M236" s="297">
        <f>(I236+J236+K236+L236)*'2-报价汇总'!$I$5</f>
        <v>0</v>
      </c>
      <c r="N236" s="297">
        <f>(M236+L236+K236+J236+I236)*'2-报价汇总'!$J$5</f>
        <v>0</v>
      </c>
      <c r="O236" s="86">
        <f t="shared" si="15"/>
        <v>131606.060606061</v>
      </c>
      <c r="P236" s="297"/>
      <c r="Q236" s="21"/>
    </row>
    <row r="237" spans="1:17">
      <c r="A237" s="24" t="s">
        <v>1391</v>
      </c>
      <c r="B237" s="30" t="s">
        <v>1392</v>
      </c>
      <c r="C237" s="31"/>
      <c r="D237" s="31"/>
      <c r="E237" s="31" t="s">
        <v>340</v>
      </c>
      <c r="F237" s="24" t="s">
        <v>78</v>
      </c>
      <c r="G237" s="32">
        <v>500</v>
      </c>
      <c r="H237" s="296">
        <f t="shared" si="14"/>
        <v>314.805194805195</v>
      </c>
      <c r="I237" s="85">
        <v>72.3883116883117</v>
      </c>
      <c r="J237" s="85">
        <v>237.8</v>
      </c>
      <c r="K237" s="85">
        <v>1.5</v>
      </c>
      <c r="L237" s="125">
        <f>(I237+J237+K237)*'2-报价汇总'!$H$5</f>
        <v>3.11688311688312</v>
      </c>
      <c r="M237" s="297">
        <f>(I237+J237+K237+L237)*'2-报价汇总'!$I$5</f>
        <v>0</v>
      </c>
      <c r="N237" s="297">
        <f>(M237+L237+K237+J237+I237)*'2-报价汇总'!$J$5</f>
        <v>0</v>
      </c>
      <c r="O237" s="86">
        <f t="shared" si="15"/>
        <v>157402.597402597</v>
      </c>
      <c r="P237" s="297"/>
      <c r="Q237" s="21"/>
    </row>
    <row r="238" ht="25.5" spans="1:17">
      <c r="A238" s="24" t="s">
        <v>1393</v>
      </c>
      <c r="B238" s="30" t="s">
        <v>1394</v>
      </c>
      <c r="C238" s="31" t="s">
        <v>1233</v>
      </c>
      <c r="D238" s="31" t="s">
        <v>26</v>
      </c>
      <c r="E238" s="31" t="s">
        <v>340</v>
      </c>
      <c r="F238" s="24" t="s">
        <v>78</v>
      </c>
      <c r="G238" s="32">
        <v>500</v>
      </c>
      <c r="H238" s="296">
        <f t="shared" si="14"/>
        <v>202.43693981645</v>
      </c>
      <c r="I238" s="85">
        <v>50.6026136796537</v>
      </c>
      <c r="J238" s="85">
        <v>148.31</v>
      </c>
      <c r="K238" s="85">
        <v>1.52</v>
      </c>
      <c r="L238" s="125">
        <f>(I238+J238+K238)*'2-报价汇总'!$H$5</f>
        <v>2.00432613679654</v>
      </c>
      <c r="M238" s="297">
        <f>(I238+J238+K238+L238)*'2-报价汇总'!$I$5</f>
        <v>0</v>
      </c>
      <c r="N238" s="297">
        <f>(M238+L238+K238+J238+I238)*'2-报价汇总'!$J$5</f>
        <v>0</v>
      </c>
      <c r="O238" s="86">
        <f t="shared" si="15"/>
        <v>101218.469908225</v>
      </c>
      <c r="P238" s="297"/>
      <c r="Q238" s="21"/>
    </row>
    <row r="239" ht="51" spans="1:17">
      <c r="A239" s="24" t="s">
        <v>1395</v>
      </c>
      <c r="B239" s="269" t="s">
        <v>1396</v>
      </c>
      <c r="C239" s="261" t="s">
        <v>1397</v>
      </c>
      <c r="D239" s="276" t="s">
        <v>1216</v>
      </c>
      <c r="E239" s="261" t="s">
        <v>340</v>
      </c>
      <c r="F239" s="250" t="s">
        <v>78</v>
      </c>
      <c r="G239" s="32">
        <v>500</v>
      </c>
      <c r="H239" s="296">
        <f t="shared" si="14"/>
        <v>3957.18</v>
      </c>
      <c r="I239" s="266">
        <v>365</v>
      </c>
      <c r="J239" s="266">
        <v>3498</v>
      </c>
      <c r="K239" s="266">
        <v>55</v>
      </c>
      <c r="L239" s="125">
        <f>(I239+J239+K239)*'2-报价汇总'!$H$5</f>
        <v>39.18</v>
      </c>
      <c r="M239" s="297">
        <f>(I239+J239+K239+L239)*'2-报价汇总'!$I$5</f>
        <v>0</v>
      </c>
      <c r="N239" s="297">
        <f>(M239+L239+K239+J239+I239)*'2-报价汇总'!$J$5</f>
        <v>0</v>
      </c>
      <c r="O239" s="86">
        <f t="shared" si="15"/>
        <v>1978590</v>
      </c>
      <c r="P239" s="297"/>
      <c r="Q239" s="21"/>
    </row>
    <row r="240" spans="1:17">
      <c r="A240" s="24"/>
      <c r="B240" s="39" t="s">
        <v>158</v>
      </c>
      <c r="C240" s="31"/>
      <c r="D240" s="31"/>
      <c r="E240" s="31"/>
      <c r="F240" s="24"/>
      <c r="G240" s="32">
        <v>0</v>
      </c>
      <c r="H240" s="296"/>
      <c r="I240" s="85"/>
      <c r="J240" s="85"/>
      <c r="K240" s="85"/>
      <c r="L240" s="85"/>
      <c r="M240" s="85"/>
      <c r="N240" s="85"/>
      <c r="O240" s="86">
        <f t="shared" si="15"/>
        <v>0</v>
      </c>
      <c r="P240" s="85"/>
      <c r="Q240" s="21"/>
    </row>
    <row r="241" spans="1:17">
      <c r="A241" s="24"/>
      <c r="B241" s="26" t="s">
        <v>1219</v>
      </c>
      <c r="C241" s="31"/>
      <c r="D241" s="31"/>
      <c r="E241" s="31"/>
      <c r="F241" s="24"/>
      <c r="G241" s="32">
        <v>0</v>
      </c>
      <c r="H241" s="296"/>
      <c r="I241" s="85"/>
      <c r="J241" s="85"/>
      <c r="K241" s="85"/>
      <c r="L241" s="85"/>
      <c r="M241" s="85"/>
      <c r="N241" s="85"/>
      <c r="O241" s="86">
        <f t="shared" si="15"/>
        <v>0</v>
      </c>
      <c r="P241" s="85"/>
      <c r="Q241" s="21"/>
    </row>
    <row r="242" ht="25.5" spans="1:17">
      <c r="A242" s="41" t="s">
        <v>1398</v>
      </c>
      <c r="B242" s="26" t="s">
        <v>1399</v>
      </c>
      <c r="C242" s="31"/>
      <c r="D242" s="31"/>
      <c r="E242" s="31"/>
      <c r="F242" s="24"/>
      <c r="G242" s="32">
        <v>0</v>
      </c>
      <c r="H242" s="296"/>
      <c r="I242" s="85"/>
      <c r="J242" s="85"/>
      <c r="K242" s="85"/>
      <c r="L242" s="85"/>
      <c r="M242" s="85"/>
      <c r="N242" s="85"/>
      <c r="O242" s="86">
        <f t="shared" si="15"/>
        <v>0</v>
      </c>
      <c r="P242" s="85"/>
      <c r="Q242" s="21"/>
    </row>
    <row r="243" ht="25.5" spans="1:17">
      <c r="A243" s="24" t="s">
        <v>1400</v>
      </c>
      <c r="B243" s="30" t="s">
        <v>1401</v>
      </c>
      <c r="C243" s="31" t="s">
        <v>1402</v>
      </c>
      <c r="D243" s="31" t="s">
        <v>26</v>
      </c>
      <c r="E243" s="31" t="s">
        <v>340</v>
      </c>
      <c r="F243" s="24" t="s">
        <v>78</v>
      </c>
      <c r="G243" s="32">
        <v>20964.8241566452</v>
      </c>
      <c r="H243" s="296">
        <f t="shared" ref="H243:H249" si="16">SUM(I243:N243)</f>
        <v>160.550649350649</v>
      </c>
      <c r="I243" s="85">
        <v>40.4610389610389</v>
      </c>
      <c r="J243" s="85">
        <v>118.48</v>
      </c>
      <c r="K243" s="85">
        <v>0.02</v>
      </c>
      <c r="L243" s="125">
        <f>(I243+J243+K243)*'2-报价汇总'!$H$5</f>
        <v>1.58961038961039</v>
      </c>
      <c r="M243" s="297">
        <f>(I243+J243+K243+L243)*'2-报价汇总'!$I$5</f>
        <v>0</v>
      </c>
      <c r="N243" s="297">
        <f>(M243+L243+K243+J243+I243)*'2-报价汇总'!$J$5</f>
        <v>0</v>
      </c>
      <c r="O243" s="86">
        <f t="shared" si="15"/>
        <v>3365916.13187157</v>
      </c>
      <c r="P243" s="297"/>
      <c r="Q243" s="21"/>
    </row>
    <row r="244" ht="25.5" spans="1:17">
      <c r="A244" s="24" t="s">
        <v>1403</v>
      </c>
      <c r="B244" s="30" t="s">
        <v>1404</v>
      </c>
      <c r="C244" s="31" t="s">
        <v>1402</v>
      </c>
      <c r="D244" s="31" t="s">
        <v>26</v>
      </c>
      <c r="E244" s="31" t="s">
        <v>340</v>
      </c>
      <c r="F244" s="24" t="s">
        <v>78</v>
      </c>
      <c r="G244" s="32">
        <v>73832.6415951419</v>
      </c>
      <c r="H244" s="296">
        <f t="shared" si="16"/>
        <v>349.78354978355</v>
      </c>
      <c r="I244" s="85">
        <v>94.8203463203463</v>
      </c>
      <c r="J244" s="85">
        <v>251.48</v>
      </c>
      <c r="K244" s="85">
        <v>0.02</v>
      </c>
      <c r="L244" s="125">
        <f>(I244+J244+K244)*'2-报价汇总'!$H$5</f>
        <v>3.46320346320346</v>
      </c>
      <c r="M244" s="297">
        <f>(I244+J244+K244+L244)*'2-报价汇总'!$I$5</f>
        <v>0</v>
      </c>
      <c r="N244" s="297">
        <f>(M244+L244+K244+J244+I244)*'2-报价汇总'!$J$5</f>
        <v>0</v>
      </c>
      <c r="O244" s="85">
        <f t="shared" si="15"/>
        <v>25825443.4670453</v>
      </c>
      <c r="P244" s="297"/>
      <c r="Q244" s="21"/>
    </row>
    <row r="245" ht="25.5" spans="1:17">
      <c r="A245" s="24" t="s">
        <v>1405</v>
      </c>
      <c r="B245" s="30" t="s">
        <v>1406</v>
      </c>
      <c r="C245" s="31" t="s">
        <v>1402</v>
      </c>
      <c r="D245" s="31" t="s">
        <v>26</v>
      </c>
      <c r="E245" s="31" t="s">
        <v>340</v>
      </c>
      <c r="F245" s="24" t="s">
        <v>78</v>
      </c>
      <c r="G245" s="32">
        <v>20053.310062878</v>
      </c>
      <c r="H245" s="296">
        <f t="shared" si="16"/>
        <v>349.78354978355</v>
      </c>
      <c r="I245" s="85">
        <v>94.8203463203463</v>
      </c>
      <c r="J245" s="85">
        <v>251.48</v>
      </c>
      <c r="K245" s="85">
        <v>0.02</v>
      </c>
      <c r="L245" s="125">
        <f>(I245+J245+K245)*'2-报价汇总'!$H$5</f>
        <v>3.46320346320346</v>
      </c>
      <c r="M245" s="297">
        <f>(I245+J245+K245+L245)*'2-报价汇总'!$I$5</f>
        <v>0</v>
      </c>
      <c r="N245" s="297">
        <f>(M245+L245+K245+J245+I245)*'2-报价汇总'!$J$5</f>
        <v>0</v>
      </c>
      <c r="O245" s="86">
        <f t="shared" ref="O245:O255" si="17">G245*H245</f>
        <v>7014317.97870365</v>
      </c>
      <c r="P245" s="297"/>
      <c r="Q245" s="21"/>
    </row>
    <row r="246" ht="25.5" spans="1:17">
      <c r="A246" s="24" t="s">
        <v>1407</v>
      </c>
      <c r="B246" s="30" t="s">
        <v>1408</v>
      </c>
      <c r="C246" s="31" t="s">
        <v>1402</v>
      </c>
      <c r="D246" s="31" t="s">
        <v>26</v>
      </c>
      <c r="E246" s="31" t="s">
        <v>340</v>
      </c>
      <c r="F246" s="24" t="s">
        <v>78</v>
      </c>
      <c r="G246" s="32">
        <v>21876.3382504124</v>
      </c>
      <c r="H246" s="296">
        <f t="shared" si="16"/>
        <v>349.78354978355</v>
      </c>
      <c r="I246" s="85">
        <v>94.8203463203463</v>
      </c>
      <c r="J246" s="85">
        <v>251.48</v>
      </c>
      <c r="K246" s="85">
        <v>0.02</v>
      </c>
      <c r="L246" s="125">
        <f>(I246+J246+K246)*'2-报价汇总'!$H$5</f>
        <v>3.46320346320346</v>
      </c>
      <c r="M246" s="297">
        <f>(I246+J246+K246+L246)*'2-报价汇总'!$I$5</f>
        <v>0</v>
      </c>
      <c r="N246" s="297">
        <f>(M246+L246+K246+J246+I246)*'2-报价汇总'!$J$5</f>
        <v>0</v>
      </c>
      <c r="O246" s="86">
        <f t="shared" si="17"/>
        <v>7651983.2494949</v>
      </c>
      <c r="P246" s="297"/>
      <c r="Q246" s="21"/>
    </row>
    <row r="247" ht="25.5" spans="1:17">
      <c r="A247" s="24" t="s">
        <v>1409</v>
      </c>
      <c r="B247" s="30" t="s">
        <v>1410</v>
      </c>
      <c r="C247" s="31" t="s">
        <v>1402</v>
      </c>
      <c r="D247" s="31" t="s">
        <v>26</v>
      </c>
      <c r="E247" s="31" t="s">
        <v>340</v>
      </c>
      <c r="F247" s="24" t="s">
        <v>78</v>
      </c>
      <c r="G247" s="32">
        <v>17318.7677815765</v>
      </c>
      <c r="H247" s="296">
        <f t="shared" si="16"/>
        <v>367.272727272727</v>
      </c>
      <c r="I247" s="85">
        <v>95.1363636363636</v>
      </c>
      <c r="J247" s="85">
        <v>268.48</v>
      </c>
      <c r="K247" s="85">
        <v>0.02</v>
      </c>
      <c r="L247" s="125">
        <f>(I247+J247+K247)*'2-报价汇总'!$H$5</f>
        <v>3.63636363636364</v>
      </c>
      <c r="M247" s="297">
        <f>(I247+J247+K247+L247)*'2-报价汇总'!$I$5</f>
        <v>0</v>
      </c>
      <c r="N247" s="297">
        <f>(M247+L247+K247+J247+I247)*'2-报价汇总'!$J$5</f>
        <v>0</v>
      </c>
      <c r="O247" s="86">
        <f t="shared" si="17"/>
        <v>6360711.07614264</v>
      </c>
      <c r="P247" s="297"/>
      <c r="Q247" s="21"/>
    </row>
    <row r="248" ht="51" spans="1:17">
      <c r="A248" s="24" t="s">
        <v>1411</v>
      </c>
      <c r="B248" s="30" t="s">
        <v>1412</v>
      </c>
      <c r="C248" s="31" t="s">
        <v>1413</v>
      </c>
      <c r="D248" s="31" t="s">
        <v>26</v>
      </c>
      <c r="E248" s="31" t="s">
        <v>340</v>
      </c>
      <c r="F248" s="24" t="s">
        <v>78</v>
      </c>
      <c r="G248" s="32">
        <v>500</v>
      </c>
      <c r="H248" s="296">
        <f t="shared" si="16"/>
        <v>1600.25974025974</v>
      </c>
      <c r="I248" s="85">
        <v>281.475584415584</v>
      </c>
      <c r="J248" s="85">
        <v>1297.49</v>
      </c>
      <c r="K248" s="85">
        <v>5.45</v>
      </c>
      <c r="L248" s="125">
        <f>(I248+J248+K248)*'2-报价汇总'!$H$5</f>
        <v>15.8441558441558</v>
      </c>
      <c r="M248" s="297">
        <f>(I248+J248+K248+L248)*'2-报价汇总'!$I$5</f>
        <v>0</v>
      </c>
      <c r="N248" s="297">
        <f>(M248+L248+K248+J248+I248)*'2-报价汇总'!$J$5</f>
        <v>0</v>
      </c>
      <c r="O248" s="86">
        <f t="shared" si="17"/>
        <v>800129.87012987</v>
      </c>
      <c r="P248" s="297"/>
      <c r="Q248" s="21"/>
    </row>
    <row r="249" ht="25.5" spans="1:17">
      <c r="A249" s="24" t="s">
        <v>1414</v>
      </c>
      <c r="B249" s="30" t="s">
        <v>1415</v>
      </c>
      <c r="C249" s="31" t="s">
        <v>1416</v>
      </c>
      <c r="D249" s="31" t="s">
        <v>1417</v>
      </c>
      <c r="E249" s="31" t="s">
        <v>340</v>
      </c>
      <c r="F249" s="24" t="s">
        <v>753</v>
      </c>
      <c r="G249" s="32">
        <v>500</v>
      </c>
      <c r="H249" s="296">
        <f t="shared" si="16"/>
        <v>1311.68831168831</v>
      </c>
      <c r="I249" s="85">
        <v>295.711298701299</v>
      </c>
      <c r="J249" s="125">
        <v>999.91</v>
      </c>
      <c r="K249" s="125">
        <v>3.08</v>
      </c>
      <c r="L249" s="125">
        <f>(I249+J249+K249)*'2-报价汇总'!$H$5</f>
        <v>12.987012987013</v>
      </c>
      <c r="M249" s="297">
        <f>(I249+J249+K249+L249)*'2-报价汇总'!$I$5</f>
        <v>0</v>
      </c>
      <c r="N249" s="297">
        <f>(M249+L249+K249+J249+I249)*'2-报价汇总'!$J$5</f>
        <v>0</v>
      </c>
      <c r="O249" s="86">
        <f t="shared" si="17"/>
        <v>655844.155844156</v>
      </c>
      <c r="P249" s="297"/>
      <c r="Q249" s="21"/>
    </row>
    <row r="250" spans="1:17">
      <c r="A250" s="24"/>
      <c r="B250" s="39" t="s">
        <v>158</v>
      </c>
      <c r="C250" s="31"/>
      <c r="D250" s="31"/>
      <c r="E250" s="31"/>
      <c r="F250" s="24"/>
      <c r="G250" s="32">
        <v>0</v>
      </c>
      <c r="H250" s="296"/>
      <c r="I250" s="85"/>
      <c r="J250" s="85"/>
      <c r="K250" s="85"/>
      <c r="L250" s="85"/>
      <c r="M250" s="85"/>
      <c r="N250" s="85"/>
      <c r="O250" s="86">
        <f t="shared" si="17"/>
        <v>0</v>
      </c>
      <c r="P250" s="85"/>
      <c r="Q250" s="21"/>
    </row>
    <row r="251" spans="1:17">
      <c r="A251" s="24"/>
      <c r="B251" s="26" t="s">
        <v>1219</v>
      </c>
      <c r="C251" s="31"/>
      <c r="D251" s="31"/>
      <c r="E251" s="31"/>
      <c r="F251" s="24"/>
      <c r="G251" s="32">
        <v>0</v>
      </c>
      <c r="H251" s="296"/>
      <c r="I251" s="85"/>
      <c r="J251" s="85"/>
      <c r="K251" s="85"/>
      <c r="L251" s="85"/>
      <c r="M251" s="85"/>
      <c r="N251" s="85"/>
      <c r="O251" s="86">
        <f t="shared" si="17"/>
        <v>0</v>
      </c>
      <c r="P251" s="85"/>
      <c r="Q251" s="21"/>
    </row>
    <row r="252" spans="1:17">
      <c r="A252" s="41" t="s">
        <v>1418</v>
      </c>
      <c r="B252" s="308" t="s">
        <v>1419</v>
      </c>
      <c r="C252" s="31"/>
      <c r="D252" s="31"/>
      <c r="E252" s="31"/>
      <c r="F252" s="24"/>
      <c r="G252" s="32">
        <v>0</v>
      </c>
      <c r="H252" s="296"/>
      <c r="I252" s="85"/>
      <c r="J252" s="85"/>
      <c r="K252" s="85"/>
      <c r="L252" s="85"/>
      <c r="M252" s="85"/>
      <c r="N252" s="85"/>
      <c r="O252" s="86">
        <f t="shared" si="17"/>
        <v>0</v>
      </c>
      <c r="P252" s="85"/>
      <c r="Q252" s="21"/>
    </row>
    <row r="253" ht="25.5" spans="1:17">
      <c r="A253" s="24" t="s">
        <v>1420</v>
      </c>
      <c r="B253" s="30" t="s">
        <v>1421</v>
      </c>
      <c r="C253" s="31" t="s">
        <v>1422</v>
      </c>
      <c r="D253" s="31" t="s">
        <v>1423</v>
      </c>
      <c r="E253" s="31" t="s">
        <v>340</v>
      </c>
      <c r="F253" s="24" t="s">
        <v>78</v>
      </c>
      <c r="G253" s="32">
        <v>450000</v>
      </c>
      <c r="H253" s="296">
        <f>SUM(I253:N253)</f>
        <v>227.359307359307</v>
      </c>
      <c r="I253" s="85">
        <v>36.5882251082251</v>
      </c>
      <c r="J253" s="85">
        <v>187.09</v>
      </c>
      <c r="K253" s="85">
        <v>1.43</v>
      </c>
      <c r="L253" s="125">
        <f>(I253+J253+K253)*'2-报价汇总'!$H$5</f>
        <v>2.25108225108225</v>
      </c>
      <c r="M253" s="297">
        <f>(I253+J253+K253+L253)*'2-报价汇总'!$I$5</f>
        <v>0</v>
      </c>
      <c r="N253" s="297">
        <f>(M253+L253+K253+J253+I253)*'2-报价汇总'!$J$5</f>
        <v>0</v>
      </c>
      <c r="O253" s="86">
        <f t="shared" si="17"/>
        <v>102311688.311688</v>
      </c>
      <c r="P253" s="297"/>
      <c r="Q253" s="21"/>
    </row>
    <row r="254" ht="51" spans="1:17">
      <c r="A254" s="24" t="s">
        <v>1424</v>
      </c>
      <c r="B254" s="30" t="s">
        <v>1425</v>
      </c>
      <c r="C254" s="31" t="s">
        <v>1413</v>
      </c>
      <c r="D254" s="31" t="s">
        <v>26</v>
      </c>
      <c r="E254" s="31" t="s">
        <v>340</v>
      </c>
      <c r="F254" s="24" t="s">
        <v>78</v>
      </c>
      <c r="G254" s="32">
        <v>5000</v>
      </c>
      <c r="H254" s="296">
        <f>SUM(I254:N254)</f>
        <v>1372.90043290043</v>
      </c>
      <c r="I254" s="85">
        <v>256.367359307359</v>
      </c>
      <c r="J254" s="85">
        <v>1097.49</v>
      </c>
      <c r="K254" s="85">
        <v>5.45</v>
      </c>
      <c r="L254" s="125">
        <f>(I254+J254+K254)*'2-报价汇总'!$H$5</f>
        <v>13.5930735930736</v>
      </c>
      <c r="M254" s="297">
        <f>(I254+J254+K254+L254)*'2-报价汇总'!$I$5</f>
        <v>0</v>
      </c>
      <c r="N254" s="297">
        <f>(M254+L254+K254+J254+I254)*'2-报价汇总'!$J$5</f>
        <v>0</v>
      </c>
      <c r="O254" s="86">
        <f t="shared" si="17"/>
        <v>6864502.16450216</v>
      </c>
      <c r="P254" s="297"/>
      <c r="Q254" s="21"/>
    </row>
    <row r="255" ht="25.5" spans="1:17">
      <c r="A255" s="24" t="s">
        <v>1426</v>
      </c>
      <c r="B255" s="30" t="s">
        <v>1427</v>
      </c>
      <c r="C255" s="31" t="s">
        <v>1428</v>
      </c>
      <c r="D255" s="31" t="s">
        <v>26</v>
      </c>
      <c r="E255" s="31" t="s">
        <v>1085</v>
      </c>
      <c r="F255" s="23" t="s">
        <v>89</v>
      </c>
      <c r="G255" s="32">
        <v>69730.8281731896</v>
      </c>
      <c r="H255" s="296">
        <f>SUM(I255:N255)</f>
        <v>43.7229437229437</v>
      </c>
      <c r="I255" s="85">
        <v>15.4200432900433</v>
      </c>
      <c r="J255" s="125">
        <v>27.55</v>
      </c>
      <c r="K255" s="125">
        <v>0.32</v>
      </c>
      <c r="L255" s="125">
        <f>(I255+J255+K255)*'2-报价汇总'!$H$5</f>
        <v>0.432900432900433</v>
      </c>
      <c r="M255" s="297">
        <f>(I255+J255+K255+L255)*'2-报价汇总'!$I$5</f>
        <v>0</v>
      </c>
      <c r="N255" s="297">
        <f>(M255+L255+K255+J255+I255)*'2-报价汇总'!$J$5</f>
        <v>0</v>
      </c>
      <c r="O255" s="86">
        <f t="shared" si="17"/>
        <v>3048837.07597063</v>
      </c>
      <c r="P255" s="297"/>
      <c r="Q255" s="21"/>
    </row>
    <row r="256" spans="1:17">
      <c r="A256" s="24"/>
      <c r="B256" s="39" t="s">
        <v>158</v>
      </c>
      <c r="C256" s="31"/>
      <c r="D256" s="31"/>
      <c r="E256" s="31"/>
      <c r="F256" s="24"/>
      <c r="G256" s="295"/>
      <c r="H256" s="296"/>
      <c r="I256" s="85"/>
      <c r="J256" s="85"/>
      <c r="K256" s="85"/>
      <c r="L256" s="85"/>
      <c r="M256" s="85"/>
      <c r="N256" s="85"/>
      <c r="O256" s="85"/>
      <c r="P256" s="85"/>
      <c r="Q256" s="21"/>
    </row>
    <row r="257" spans="1:17">
      <c r="A257" s="24"/>
      <c r="B257" s="26" t="s">
        <v>1219</v>
      </c>
      <c r="C257" s="31"/>
      <c r="D257" s="31"/>
      <c r="E257" s="31"/>
      <c r="F257" s="24"/>
      <c r="G257" s="234"/>
      <c r="H257" s="33"/>
      <c r="I257" s="85"/>
      <c r="J257" s="85"/>
      <c r="K257" s="85"/>
      <c r="L257" s="85"/>
      <c r="M257" s="85"/>
      <c r="N257" s="85"/>
      <c r="O257" s="85">
        <f>SUM(O7:O256)</f>
        <v>882253549.510743</v>
      </c>
      <c r="P257" s="85"/>
      <c r="Q257" s="21"/>
    </row>
  </sheetData>
  <autoFilter xmlns:etc="http://www.wps.cn/officeDocument/2017/etCustomData" ref="A3:Q257" etc:filterBottomFollowUsedRange="0">
    <extLst/>
  </autoFilter>
  <mergeCells count="2">
    <mergeCell ref="A1:P1"/>
    <mergeCell ref="A2:P2"/>
  </mergeCells>
  <printOptions horizontalCentered="1"/>
  <pageMargins left="0.590277777777778" right="0.590277777777778" top="0.590277777777778" bottom="0.590277777777778" header="0.196527777777778" footer="0.196527777777778"/>
  <pageSetup paperSize="9" scale="53" orientation="landscape" horizontalDpi="600"/>
  <headerFooter>
    <oddFooter>&amp;C第 &amp;P 页，共 &amp;N 页</oddFooter>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54"/>
  <sheetViews>
    <sheetView view="pageBreakPreview" zoomScaleNormal="85" workbookViewId="0">
      <pane xSplit="2" ySplit="3" topLeftCell="C23" activePane="bottomRight" state="frozen"/>
      <selection/>
      <selection pane="topRight"/>
      <selection pane="bottomLeft"/>
      <selection pane="bottomRight" activeCell="Q24" sqref="Q24"/>
    </sheetView>
  </sheetViews>
  <sheetFormatPr defaultColWidth="14" defaultRowHeight="12.75"/>
  <cols>
    <col min="1" max="1" width="9" style="246" customWidth="1"/>
    <col min="2" max="2" width="26.7142857142857" style="246" customWidth="1"/>
    <col min="3" max="3" width="26.2857142857143" style="246" customWidth="1"/>
    <col min="4" max="4" width="23" style="246" customWidth="1"/>
    <col min="5" max="5" width="17.4285714285714" style="246" customWidth="1"/>
    <col min="6" max="6" width="9" style="246" customWidth="1"/>
    <col min="7" max="7" width="12.2857142857143" style="246" customWidth="1"/>
    <col min="8" max="14" width="10.4285714285714" style="246" customWidth="1"/>
    <col min="15" max="15" width="15" style="246" customWidth="1"/>
    <col min="16" max="16" width="13" style="246" customWidth="1"/>
    <col min="17" max="22" width="15" style="50" customWidth="1"/>
    <col min="23" max="16384" width="14" style="50"/>
  </cols>
  <sheetData>
    <row r="1" ht="18" customHeight="1" spans="1:19">
      <c r="A1" s="247" t="s">
        <v>1429</v>
      </c>
      <c r="B1" s="247"/>
      <c r="C1" s="247"/>
      <c r="D1" s="247"/>
      <c r="E1" s="247"/>
      <c r="F1" s="247"/>
      <c r="G1" s="247"/>
      <c r="H1" s="248"/>
      <c r="I1" s="248"/>
      <c r="J1" s="248"/>
      <c r="K1" s="248"/>
      <c r="L1" s="248"/>
      <c r="M1" s="248"/>
      <c r="N1" s="248"/>
      <c r="O1" s="248"/>
      <c r="P1" s="247"/>
    </row>
    <row r="2" ht="18" customHeight="1" spans="1:19">
      <c r="A2" s="249" t="str">
        <f>'2.1-装饰工程'!A2</f>
        <v>注意：此报价清单每项不得随意更改、删减，如有任何增加项请务必在每大项最后“补充项“中列举，补充项及说明字体颜色均采用蓝色；且所有项目都需要填写。</v>
      </c>
      <c r="B2" s="249"/>
      <c r="C2" s="249"/>
      <c r="D2" s="249"/>
      <c r="E2" s="249"/>
      <c r="F2" s="249"/>
      <c r="G2" s="249"/>
      <c r="H2" s="249"/>
      <c r="I2" s="249"/>
      <c r="J2" s="249"/>
      <c r="K2" s="249"/>
      <c r="L2" s="249"/>
      <c r="M2" s="249"/>
      <c r="N2" s="249"/>
      <c r="O2" s="249"/>
      <c r="P2" s="249"/>
    </row>
    <row r="3" ht="33" customHeight="1" spans="1:19">
      <c r="A3" s="250" t="s">
        <v>1430</v>
      </c>
      <c r="B3" s="250" t="s">
        <v>1431</v>
      </c>
      <c r="C3" s="250" t="s">
        <v>1432</v>
      </c>
      <c r="D3" s="250" t="s">
        <v>1433</v>
      </c>
      <c r="E3" s="250" t="s">
        <v>1434</v>
      </c>
      <c r="F3" s="250" t="s">
        <v>10</v>
      </c>
      <c r="G3" s="251" t="s">
        <v>11</v>
      </c>
      <c r="H3" s="252" t="s">
        <v>12</v>
      </c>
      <c r="I3" s="253" t="s">
        <v>13</v>
      </c>
      <c r="J3" s="253" t="s">
        <v>14</v>
      </c>
      <c r="K3" s="253" t="s">
        <v>15</v>
      </c>
      <c r="L3" s="254" t="s">
        <v>16</v>
      </c>
      <c r="M3" s="253" t="s">
        <v>17</v>
      </c>
      <c r="N3" s="253" t="s">
        <v>2</v>
      </c>
      <c r="O3" s="255" t="s">
        <v>18</v>
      </c>
      <c r="P3" s="250" t="s">
        <v>19</v>
      </c>
    </row>
    <row r="4" ht="38" customHeight="1" spans="1:19">
      <c r="A4" s="250"/>
      <c r="B4" s="256" t="s">
        <v>1435</v>
      </c>
      <c r="C4" s="257"/>
      <c r="D4" s="257"/>
      <c r="E4" s="257"/>
      <c r="F4" s="258"/>
      <c r="G4" s="259"/>
      <c r="H4" s="266"/>
      <c r="I4" s="266"/>
      <c r="J4" s="266"/>
      <c r="K4" s="266"/>
      <c r="L4" s="266"/>
      <c r="M4" s="266"/>
      <c r="N4" s="266"/>
      <c r="O4" s="266"/>
      <c r="P4" s="261"/>
    </row>
    <row r="5" ht="38" customHeight="1" spans="1:19">
      <c r="A5" s="250" t="s">
        <v>1436</v>
      </c>
      <c r="B5" s="256" t="s">
        <v>1437</v>
      </c>
      <c r="C5" s="257"/>
      <c r="D5" s="257"/>
      <c r="E5" s="257"/>
      <c r="F5" s="263"/>
      <c r="G5" s="259"/>
      <c r="H5" s="266"/>
      <c r="I5" s="266"/>
      <c r="J5" s="266"/>
      <c r="K5" s="266"/>
      <c r="L5" s="266"/>
      <c r="M5" s="266"/>
      <c r="N5" s="266"/>
      <c r="O5" s="266"/>
      <c r="P5" s="261"/>
    </row>
    <row r="6" ht="50" customHeight="1" spans="1:19">
      <c r="A6" s="250" t="s">
        <v>1438</v>
      </c>
      <c r="B6" s="261" t="s">
        <v>1439</v>
      </c>
      <c r="C6" s="261" t="s">
        <v>1440</v>
      </c>
      <c r="D6" s="261" t="s">
        <v>1441</v>
      </c>
      <c r="E6" s="261" t="s">
        <v>1442</v>
      </c>
      <c r="F6" s="250" t="s">
        <v>1443</v>
      </c>
      <c r="G6" s="252">
        <v>15495.7395940421</v>
      </c>
      <c r="H6" s="260">
        <f t="shared" ref="H6:H52" si="0">SUM(I6:N6)</f>
        <v>2271.7728</v>
      </c>
      <c r="I6" s="266">
        <v>205</v>
      </c>
      <c r="J6" s="266">
        <v>2042.36</v>
      </c>
      <c r="K6" s="266">
        <v>1.92</v>
      </c>
      <c r="L6" s="266">
        <f>(I6+J6+K6)*'2-报价汇总'!$H$5</f>
        <v>22.4928</v>
      </c>
      <c r="M6" s="267">
        <f>(I6+J6+K6+L6)*'2-报价汇总'!$I$5</f>
        <v>0</v>
      </c>
      <c r="N6" s="267">
        <f>(M6+L6+K6+J6+I6)*'2-报价汇总'!$J$5</f>
        <v>0</v>
      </c>
      <c r="O6" s="268">
        <f t="shared" ref="O6:O51" si="1">G6*H6</f>
        <v>35202799.7256279</v>
      </c>
      <c r="P6" s="261"/>
      <c r="S6" s="50">
        <v>15495.7395940421</v>
      </c>
    </row>
    <row r="7" ht="50" customHeight="1" spans="1:19">
      <c r="A7" s="250" t="s">
        <v>1444</v>
      </c>
      <c r="B7" s="261" t="s">
        <v>1445</v>
      </c>
      <c r="C7" s="261" t="s">
        <v>1440</v>
      </c>
      <c r="D7" s="261" t="s">
        <v>1441</v>
      </c>
      <c r="E7" s="261" t="s">
        <v>1442</v>
      </c>
      <c r="F7" s="250" t="s">
        <v>1443</v>
      </c>
      <c r="G7" s="252">
        <v>7292.11275013747</v>
      </c>
      <c r="H7" s="260">
        <f t="shared" si="0"/>
        <v>2152.714</v>
      </c>
      <c r="I7" s="266">
        <v>150</v>
      </c>
      <c r="J7" s="266">
        <v>1980.64</v>
      </c>
      <c r="K7" s="266">
        <v>0.76</v>
      </c>
      <c r="L7" s="266">
        <f>(I7+J7+K7)*'2-报价汇总'!$H$5</f>
        <v>21.314</v>
      </c>
      <c r="M7" s="267">
        <f>(I7+J7+K7+L7)*'2-报价汇总'!$I$5</f>
        <v>0</v>
      </c>
      <c r="N7" s="267">
        <f>(M7+L7+K7+J7+I7)*'2-报价汇总'!$J$5</f>
        <v>0</v>
      </c>
      <c r="O7" s="268">
        <f t="shared" si="1"/>
        <v>15697833.2067994</v>
      </c>
      <c r="P7" s="261"/>
      <c r="S7" s="50">
        <v>7292.11275013747</v>
      </c>
    </row>
    <row r="8" ht="50" customHeight="1" spans="1:19">
      <c r="A8" s="250" t="s">
        <v>1446</v>
      </c>
      <c r="B8" s="261" t="s">
        <v>1447</v>
      </c>
      <c r="C8" s="261" t="s">
        <v>1440</v>
      </c>
      <c r="D8" s="261" t="s">
        <v>1441</v>
      </c>
      <c r="E8" s="261" t="s">
        <v>1442</v>
      </c>
      <c r="F8" s="250" t="s">
        <v>1443</v>
      </c>
      <c r="G8" s="252">
        <v>5000</v>
      </c>
      <c r="H8" s="260">
        <f t="shared" si="0"/>
        <v>1914.68826190476</v>
      </c>
      <c r="I8" s="266">
        <v>143.880952380952</v>
      </c>
      <c r="J8" s="266">
        <v>1750.77</v>
      </c>
      <c r="K8" s="266">
        <v>1.08</v>
      </c>
      <c r="L8" s="266">
        <f>(I8+J8+K8)*'2-报价汇总'!$H$5</f>
        <v>18.9573095238095</v>
      </c>
      <c r="M8" s="267">
        <f>(I8+J8+K8+L8)*'2-报价汇总'!$I$5</f>
        <v>0</v>
      </c>
      <c r="N8" s="267">
        <f>(M8+L8+K8+J8+I8)*'2-报价汇总'!$J$5</f>
        <v>0</v>
      </c>
      <c r="O8" s="268">
        <f t="shared" si="1"/>
        <v>9573441.30952381</v>
      </c>
      <c r="P8" s="261"/>
      <c r="S8" s="50">
        <v>10938.1691252062</v>
      </c>
    </row>
    <row r="9" ht="50" customHeight="1" spans="1:19">
      <c r="A9" s="250" t="s">
        <v>1448</v>
      </c>
      <c r="B9" s="261" t="s">
        <v>1449</v>
      </c>
      <c r="C9" s="261" t="s">
        <v>1440</v>
      </c>
      <c r="D9" s="283" t="s">
        <v>1450</v>
      </c>
      <c r="E9" s="261" t="s">
        <v>1442</v>
      </c>
      <c r="F9" s="250" t="s">
        <v>1443</v>
      </c>
      <c r="G9" s="252">
        <v>5000</v>
      </c>
      <c r="H9" s="260">
        <f t="shared" si="0"/>
        <v>1049.35064935065</v>
      </c>
      <c r="I9" s="266">
        <v>258.371038961039</v>
      </c>
      <c r="J9" s="266">
        <v>778.67</v>
      </c>
      <c r="K9" s="266">
        <v>1.92</v>
      </c>
      <c r="L9" s="266">
        <f>(I9+J9+K9)*'2-报价汇总'!$H$5</f>
        <v>10.3896103896104</v>
      </c>
      <c r="M9" s="267">
        <f>(I9+J9+K9+L9)*'2-报价汇总'!$I$5</f>
        <v>0</v>
      </c>
      <c r="N9" s="267">
        <f>(M9+L9+K9+J9+I9)*'2-报价汇总'!$J$5</f>
        <v>0</v>
      </c>
      <c r="O9" s="268">
        <f t="shared" si="1"/>
        <v>5246753.24675325</v>
      </c>
      <c r="P9" s="261"/>
      <c r="S9" s="50">
        <v>0</v>
      </c>
    </row>
    <row r="10" ht="55" customHeight="1" spans="1:19">
      <c r="A10" s="250" t="s">
        <v>1451</v>
      </c>
      <c r="B10" s="261" t="s">
        <v>1452</v>
      </c>
      <c r="C10" s="261" t="s">
        <v>1440</v>
      </c>
      <c r="D10" s="283" t="s">
        <v>1450</v>
      </c>
      <c r="E10" s="261" t="s">
        <v>1442</v>
      </c>
      <c r="F10" s="250" t="s">
        <v>1443</v>
      </c>
      <c r="G10" s="252">
        <v>5000</v>
      </c>
      <c r="H10" s="260">
        <f t="shared" si="0"/>
        <v>1281.08225108225</v>
      </c>
      <c r="I10" s="266">
        <v>223.398268398268</v>
      </c>
      <c r="J10" s="266">
        <v>1044.24</v>
      </c>
      <c r="K10" s="266">
        <v>0.76</v>
      </c>
      <c r="L10" s="266">
        <f>(I10+J10+K10)*'2-报价汇总'!$H$5</f>
        <v>12.6839826839827</v>
      </c>
      <c r="M10" s="267">
        <f>(I10+J10+K10+L10)*'2-报价汇总'!$I$5</f>
        <v>0</v>
      </c>
      <c r="N10" s="267">
        <f>(M10+L10+K10+J10+I10)*'2-报价汇总'!$J$5</f>
        <v>0</v>
      </c>
      <c r="O10" s="268">
        <f t="shared" si="1"/>
        <v>6405411.25541125</v>
      </c>
      <c r="P10" s="261"/>
      <c r="S10" s="50">
        <v>0</v>
      </c>
    </row>
    <row r="11" ht="50" customHeight="1" spans="1:19">
      <c r="A11" s="250" t="s">
        <v>1453</v>
      </c>
      <c r="B11" s="261" t="s">
        <v>1454</v>
      </c>
      <c r="C11" s="261" t="s">
        <v>1440</v>
      </c>
      <c r="D11" s="261" t="s">
        <v>1441</v>
      </c>
      <c r="E11" s="261" t="s">
        <v>1442</v>
      </c>
      <c r="F11" s="250" t="s">
        <v>1443</v>
      </c>
      <c r="G11" s="252">
        <v>500</v>
      </c>
      <c r="H11" s="260">
        <f t="shared" si="0"/>
        <v>699.5670995671</v>
      </c>
      <c r="I11" s="266">
        <v>135.820692640693</v>
      </c>
      <c r="J11" s="266">
        <v>555.39</v>
      </c>
      <c r="K11" s="266">
        <v>1.43</v>
      </c>
      <c r="L11" s="266">
        <f>(I11+J11+K11)*'2-报价汇总'!$H$5</f>
        <v>6.92640692640693</v>
      </c>
      <c r="M11" s="267">
        <f>(I11+J11+K11+L11)*'2-报价汇总'!$I$5</f>
        <v>0</v>
      </c>
      <c r="N11" s="267">
        <f>(M11+L11+K11+J11+I11)*'2-报价汇总'!$J$5</f>
        <v>0</v>
      </c>
      <c r="O11" s="268">
        <f t="shared" si="1"/>
        <v>349783.54978355</v>
      </c>
      <c r="P11" s="261"/>
      <c r="S11" s="50">
        <v>0</v>
      </c>
    </row>
    <row r="12" ht="50" customHeight="1" spans="1:19">
      <c r="A12" s="250" t="s">
        <v>1455</v>
      </c>
      <c r="B12" s="261" t="s">
        <v>1456</v>
      </c>
      <c r="C12" s="261" t="s">
        <v>1457</v>
      </c>
      <c r="D12" s="261" t="s">
        <v>1441</v>
      </c>
      <c r="E12" s="261" t="s">
        <v>1442</v>
      </c>
      <c r="F12" s="250" t="s">
        <v>1443</v>
      </c>
      <c r="G12" s="252">
        <v>500</v>
      </c>
      <c r="H12" s="260">
        <f t="shared" si="0"/>
        <v>131.168831168831</v>
      </c>
      <c r="I12" s="266">
        <v>31.6801298701299</v>
      </c>
      <c r="J12" s="266">
        <v>97.9</v>
      </c>
      <c r="K12" s="266">
        <v>0.29</v>
      </c>
      <c r="L12" s="266">
        <f>(I12+J12+K12)*'2-报价汇总'!$H$5</f>
        <v>1.2987012987013</v>
      </c>
      <c r="M12" s="267">
        <f>(I12+J12+K12+L12)*'2-报价汇总'!$I$5</f>
        <v>0</v>
      </c>
      <c r="N12" s="267">
        <f>(M12+L12+K12+J12+I12)*'2-报价汇总'!$J$5</f>
        <v>0</v>
      </c>
      <c r="O12" s="268">
        <f t="shared" si="1"/>
        <v>65584.4155844156</v>
      </c>
      <c r="P12" s="261"/>
      <c r="S12" s="50">
        <v>0</v>
      </c>
    </row>
    <row r="13" ht="50" customHeight="1" spans="1:19">
      <c r="A13" s="250" t="s">
        <v>1458</v>
      </c>
      <c r="B13" s="261" t="s">
        <v>1459</v>
      </c>
      <c r="C13" s="261" t="s">
        <v>1457</v>
      </c>
      <c r="D13" s="261" t="s">
        <v>1441</v>
      </c>
      <c r="E13" s="261" t="s">
        <v>1442</v>
      </c>
      <c r="F13" s="250" t="s">
        <v>1443</v>
      </c>
      <c r="G13" s="252">
        <v>500</v>
      </c>
      <c r="H13" s="260">
        <f t="shared" si="0"/>
        <v>306.060606060606</v>
      </c>
      <c r="I13" s="266">
        <v>136.030303030303</v>
      </c>
      <c r="J13" s="266">
        <v>166.67</v>
      </c>
      <c r="K13" s="266">
        <v>0.33</v>
      </c>
      <c r="L13" s="266">
        <f>(I13+J13+K13)*'2-报价汇总'!$H$5</f>
        <v>3.03030303030303</v>
      </c>
      <c r="M13" s="267">
        <f>(I13+J13+K13+L13)*'2-报价汇总'!$I$5</f>
        <v>0</v>
      </c>
      <c r="N13" s="267">
        <f>(M13+L13+K13+J13+I13)*'2-报价汇总'!$J$5</f>
        <v>0</v>
      </c>
      <c r="O13" s="268">
        <f t="shared" si="1"/>
        <v>153030.303030303</v>
      </c>
      <c r="P13" s="261"/>
      <c r="S13" s="50">
        <v>15495.7395940421</v>
      </c>
    </row>
    <row r="14" ht="50" customHeight="1" spans="1:19">
      <c r="A14" s="250" t="s">
        <v>1460</v>
      </c>
      <c r="B14" s="261" t="s">
        <v>1461</v>
      </c>
      <c r="C14" s="261" t="s">
        <v>1457</v>
      </c>
      <c r="D14" s="261" t="s">
        <v>1441</v>
      </c>
      <c r="E14" s="261" t="s">
        <v>1442</v>
      </c>
      <c r="F14" s="250" t="s">
        <v>1443</v>
      </c>
      <c r="G14" s="252">
        <v>500</v>
      </c>
      <c r="H14" s="260">
        <f t="shared" si="0"/>
        <v>104.935064935065</v>
      </c>
      <c r="I14" s="266">
        <v>36.8961038961039</v>
      </c>
      <c r="J14" s="266">
        <v>66.67</v>
      </c>
      <c r="K14" s="266">
        <v>0.33</v>
      </c>
      <c r="L14" s="266">
        <f>(I14+J14+K14)*'2-报价汇总'!$H$5</f>
        <v>1.03896103896104</v>
      </c>
      <c r="M14" s="267">
        <f>(I14+J14+K14+L14)*'2-报价汇总'!$I$5</f>
        <v>0</v>
      </c>
      <c r="N14" s="267">
        <f>(M14+L14+K14+J14+I14)*'2-报价汇总'!$J$5</f>
        <v>0</v>
      </c>
      <c r="O14" s="268">
        <f t="shared" si="1"/>
        <v>52467.5324675325</v>
      </c>
      <c r="P14" s="261"/>
      <c r="S14" s="50">
        <v>6380.59865637029</v>
      </c>
    </row>
    <row r="15" ht="50" customHeight="1" spans="1:19">
      <c r="A15" s="250" t="s">
        <v>1462</v>
      </c>
      <c r="B15" s="261" t="s">
        <v>1463</v>
      </c>
      <c r="C15" s="261" t="s">
        <v>1457</v>
      </c>
      <c r="D15" s="261" t="s">
        <v>1441</v>
      </c>
      <c r="E15" s="261" t="s">
        <v>1442</v>
      </c>
      <c r="F15" s="250" t="s">
        <v>1443</v>
      </c>
      <c r="G15" s="252">
        <v>500</v>
      </c>
      <c r="H15" s="260">
        <f t="shared" si="0"/>
        <v>113.679653679654</v>
      </c>
      <c r="I15" s="266">
        <v>45.5541125541125</v>
      </c>
      <c r="J15" s="266">
        <v>66.67</v>
      </c>
      <c r="K15" s="266">
        <v>0.33</v>
      </c>
      <c r="L15" s="266">
        <f>(I15+J15+K15)*'2-报价汇总'!$H$5</f>
        <v>1.12554112554113</v>
      </c>
      <c r="M15" s="267">
        <f>(I15+J15+K15+L15)*'2-报价汇总'!$I$5</f>
        <v>0</v>
      </c>
      <c r="N15" s="267">
        <f>(M15+L15+K15+J15+I15)*'2-报价汇总'!$J$5</f>
        <v>0</v>
      </c>
      <c r="O15" s="268">
        <f t="shared" si="1"/>
        <v>56839.8268398268</v>
      </c>
      <c r="P15" s="261"/>
      <c r="S15" s="50">
        <v>15495.7395940421</v>
      </c>
    </row>
    <row r="16" ht="50" customHeight="1" spans="1:19">
      <c r="A16" s="250" t="s">
        <v>1464</v>
      </c>
      <c r="B16" s="261" t="s">
        <v>1465</v>
      </c>
      <c r="C16" s="261" t="s">
        <v>1440</v>
      </c>
      <c r="D16" s="261" t="s">
        <v>1441</v>
      </c>
      <c r="E16" s="261" t="s">
        <v>1442</v>
      </c>
      <c r="F16" s="250" t="s">
        <v>1443</v>
      </c>
      <c r="G16" s="252">
        <v>500</v>
      </c>
      <c r="H16" s="260">
        <f t="shared" si="0"/>
        <v>1049.35064935065</v>
      </c>
      <c r="I16" s="266">
        <v>325.171038961039</v>
      </c>
      <c r="J16" s="266">
        <v>713.03</v>
      </c>
      <c r="K16" s="266">
        <v>0.76</v>
      </c>
      <c r="L16" s="266">
        <f>(I16+J16+K16)*'2-报价汇总'!$H$5</f>
        <v>10.3896103896104</v>
      </c>
      <c r="M16" s="267">
        <f>(I16+J16+K16+L16)*'2-报价汇总'!$I$5</f>
        <v>0</v>
      </c>
      <c r="N16" s="267">
        <f>(M16+L16+K16+J16+I16)*'2-报价汇总'!$J$5</f>
        <v>0</v>
      </c>
      <c r="O16" s="268">
        <f t="shared" si="1"/>
        <v>524675.324675325</v>
      </c>
      <c r="P16" s="261"/>
      <c r="S16" s="50">
        <v>1823.02818753437</v>
      </c>
    </row>
    <row r="17" ht="50" customHeight="1" spans="1:19">
      <c r="A17" s="250" t="s">
        <v>1466</v>
      </c>
      <c r="B17" s="261" t="s">
        <v>1467</v>
      </c>
      <c r="C17" s="261" t="s">
        <v>1440</v>
      </c>
      <c r="D17" s="261" t="s">
        <v>1441</v>
      </c>
      <c r="E17" s="261" t="s">
        <v>1442</v>
      </c>
      <c r="F17" s="250" t="s">
        <v>1443</v>
      </c>
      <c r="G17" s="252">
        <v>500</v>
      </c>
      <c r="H17" s="260">
        <f t="shared" si="0"/>
        <v>1168.4185</v>
      </c>
      <c r="I17" s="266">
        <v>50</v>
      </c>
      <c r="J17" s="266">
        <v>1104</v>
      </c>
      <c r="K17" s="266">
        <v>2.85</v>
      </c>
      <c r="L17" s="266">
        <f>(I17+J17+K17)*'2-报价汇总'!$H$5</f>
        <v>11.5685</v>
      </c>
      <c r="M17" s="267">
        <f>(I17+J17+K17+L17)*'2-报价汇总'!$I$5</f>
        <v>0</v>
      </c>
      <c r="N17" s="267">
        <f>(M17+L17+K17+J17+I17)*'2-报价汇总'!$J$5</f>
        <v>0</v>
      </c>
      <c r="O17" s="268">
        <f t="shared" si="1"/>
        <v>584209.25</v>
      </c>
      <c r="P17" s="261"/>
      <c r="S17" s="50">
        <v>0</v>
      </c>
    </row>
    <row r="18" ht="50" customHeight="1" spans="1:19">
      <c r="A18" s="250" t="s">
        <v>1468</v>
      </c>
      <c r="B18" s="261" t="s">
        <v>1469</v>
      </c>
      <c r="C18" s="261" t="s">
        <v>1457</v>
      </c>
      <c r="D18" s="261" t="s">
        <v>1441</v>
      </c>
      <c r="E18" s="261" t="s">
        <v>1442</v>
      </c>
      <c r="F18" s="250" t="s">
        <v>1443</v>
      </c>
      <c r="G18" s="252">
        <v>500</v>
      </c>
      <c r="H18" s="260">
        <f t="shared" si="0"/>
        <v>196.753246753247</v>
      </c>
      <c r="I18" s="266">
        <v>98.5551948051948</v>
      </c>
      <c r="J18" s="266">
        <v>95.92</v>
      </c>
      <c r="K18" s="266">
        <v>0.33</v>
      </c>
      <c r="L18" s="266">
        <f>(I18+J18+K18)*'2-报价汇总'!$H$5</f>
        <v>1.94805194805195</v>
      </c>
      <c r="M18" s="267">
        <f>(I18+J18+K18+L18)*'2-报价汇总'!$I$5</f>
        <v>0</v>
      </c>
      <c r="N18" s="267">
        <f>(M18+L18+K18+J18+I18)*'2-报价汇总'!$J$5</f>
        <v>0</v>
      </c>
      <c r="O18" s="268">
        <f t="shared" si="1"/>
        <v>98376.6233766234</v>
      </c>
      <c r="P18" s="261"/>
      <c r="S18" s="50">
        <v>0</v>
      </c>
    </row>
    <row r="19" ht="50" customHeight="1" spans="1:19">
      <c r="A19" s="250" t="s">
        <v>1470</v>
      </c>
      <c r="B19" s="261" t="s">
        <v>1471</v>
      </c>
      <c r="C19" s="261" t="s">
        <v>1457</v>
      </c>
      <c r="D19" s="261" t="s">
        <v>1441</v>
      </c>
      <c r="E19" s="261" t="s">
        <v>1442</v>
      </c>
      <c r="F19" s="250" t="s">
        <v>1443</v>
      </c>
      <c r="G19" s="252">
        <v>500</v>
      </c>
      <c r="H19" s="260">
        <f t="shared" si="0"/>
        <v>183.636363636364</v>
      </c>
      <c r="I19" s="266">
        <v>29.0181818181818</v>
      </c>
      <c r="J19" s="266">
        <v>152.17</v>
      </c>
      <c r="K19" s="266">
        <v>0.63</v>
      </c>
      <c r="L19" s="266">
        <f>(I19+J19+K19)*'2-报价汇总'!$H$5</f>
        <v>1.81818181818182</v>
      </c>
      <c r="M19" s="267">
        <f>(I19+J19+K19+L19)*'2-报价汇总'!$I$5</f>
        <v>0</v>
      </c>
      <c r="N19" s="267">
        <f>(M19+L19+K19+J19+I19)*'2-报价汇总'!$J$5</f>
        <v>0</v>
      </c>
      <c r="O19" s="268">
        <f t="shared" si="1"/>
        <v>91818.1818181818</v>
      </c>
      <c r="P19" s="261"/>
      <c r="S19" s="50">
        <v>0</v>
      </c>
    </row>
    <row r="20" ht="50" customHeight="1" spans="1:19">
      <c r="A20" s="250" t="s">
        <v>1472</v>
      </c>
      <c r="B20" s="261" t="s">
        <v>1473</v>
      </c>
      <c r="C20" s="261" t="s">
        <v>1457</v>
      </c>
      <c r="D20" s="261" t="s">
        <v>1441</v>
      </c>
      <c r="E20" s="261" t="s">
        <v>1442</v>
      </c>
      <c r="F20" s="250" t="s">
        <v>1443</v>
      </c>
      <c r="G20" s="252">
        <v>500</v>
      </c>
      <c r="H20" s="260">
        <f t="shared" si="0"/>
        <v>78.7012987012987</v>
      </c>
      <c r="I20" s="266">
        <v>7.98207792207791</v>
      </c>
      <c r="J20" s="266">
        <v>69.68</v>
      </c>
      <c r="K20" s="266">
        <v>0.26</v>
      </c>
      <c r="L20" s="266">
        <f>(I20+J20+K20)*'2-报价汇总'!$H$5</f>
        <v>0.779220779220779</v>
      </c>
      <c r="M20" s="267">
        <f>(I20+J20+K20+L20)*'2-报价汇总'!$I$5</f>
        <v>0</v>
      </c>
      <c r="N20" s="267">
        <f>(M20+L20+K20+J20+I20)*'2-报价汇总'!$J$5</f>
        <v>0</v>
      </c>
      <c r="O20" s="268">
        <f t="shared" si="1"/>
        <v>39350.6493506493</v>
      </c>
      <c r="P20" s="261"/>
      <c r="S20" s="50">
        <v>0</v>
      </c>
    </row>
    <row r="21" ht="50" customHeight="1" spans="1:19">
      <c r="A21" s="250" t="s">
        <v>1474</v>
      </c>
      <c r="B21" s="261" t="s">
        <v>1475</v>
      </c>
      <c r="C21" s="261" t="s">
        <v>1457</v>
      </c>
      <c r="D21" s="261" t="s">
        <v>1476</v>
      </c>
      <c r="E21" s="261" t="s">
        <v>1442</v>
      </c>
      <c r="F21" s="250" t="s">
        <v>1443</v>
      </c>
      <c r="G21" s="252">
        <v>500</v>
      </c>
      <c r="H21" s="260">
        <f t="shared" si="0"/>
        <v>104.935064935065</v>
      </c>
      <c r="I21" s="266">
        <v>32.5461038961039</v>
      </c>
      <c r="J21" s="266">
        <v>70.89</v>
      </c>
      <c r="K21" s="266">
        <v>0.46</v>
      </c>
      <c r="L21" s="266">
        <f>(I21+J21+K21)*'2-报价汇总'!$H$5</f>
        <v>1.03896103896104</v>
      </c>
      <c r="M21" s="267">
        <f>(I21+J21+K21+L21)*'2-报价汇总'!$I$5</f>
        <v>0</v>
      </c>
      <c r="N21" s="267">
        <f>(M21+L21+K21+J21+I21)*'2-报价汇总'!$J$5</f>
        <v>0</v>
      </c>
      <c r="O21" s="268">
        <f t="shared" si="1"/>
        <v>52467.5324675325</v>
      </c>
      <c r="P21" s="261"/>
      <c r="S21" s="50">
        <v>0</v>
      </c>
    </row>
    <row r="22" ht="50" customHeight="1" spans="1:19">
      <c r="A22" s="250" t="s">
        <v>1477</v>
      </c>
      <c r="B22" s="261" t="s">
        <v>1478</v>
      </c>
      <c r="C22" s="261" t="s">
        <v>1457</v>
      </c>
      <c r="D22" s="261" t="s">
        <v>1476</v>
      </c>
      <c r="E22" s="261" t="s">
        <v>1442</v>
      </c>
      <c r="F22" s="250" t="s">
        <v>1443</v>
      </c>
      <c r="G22" s="252">
        <v>500</v>
      </c>
      <c r="H22" s="260">
        <f t="shared" si="0"/>
        <v>113.679653679654</v>
      </c>
      <c r="I22" s="266">
        <v>35.4741125541125</v>
      </c>
      <c r="J22" s="266">
        <v>76.2</v>
      </c>
      <c r="K22" s="266">
        <v>0.88</v>
      </c>
      <c r="L22" s="266">
        <f>(I22+J22+K22)*'2-报价汇总'!$H$5</f>
        <v>1.12554112554112</v>
      </c>
      <c r="M22" s="267">
        <f>(I22+J22+K22+L22)*'2-报价汇总'!$I$5</f>
        <v>0</v>
      </c>
      <c r="N22" s="267">
        <f>(M22+L22+K22+J22+I22)*'2-报价汇总'!$J$5</f>
        <v>0</v>
      </c>
      <c r="O22" s="268">
        <f t="shared" si="1"/>
        <v>56839.8268398268</v>
      </c>
      <c r="P22" s="261"/>
      <c r="S22" s="50">
        <v>19141.7959691109</v>
      </c>
    </row>
    <row r="23" ht="50" customHeight="1" spans="1:19">
      <c r="A23" s="250" t="s">
        <v>1479</v>
      </c>
      <c r="B23" s="261" t="s">
        <v>1480</v>
      </c>
      <c r="C23" s="261" t="s">
        <v>1457</v>
      </c>
      <c r="D23" s="261" t="s">
        <v>1441</v>
      </c>
      <c r="E23" s="261" t="s">
        <v>1442</v>
      </c>
      <c r="F23" s="250" t="s">
        <v>1443</v>
      </c>
      <c r="G23" s="252">
        <v>500</v>
      </c>
      <c r="H23" s="260">
        <f t="shared" si="0"/>
        <v>61.2121212121212</v>
      </c>
      <c r="I23" s="266">
        <v>26.5760606060606</v>
      </c>
      <c r="J23" s="266">
        <v>33.19</v>
      </c>
      <c r="K23" s="266">
        <v>0.84</v>
      </c>
      <c r="L23" s="266">
        <f>(I23+J23+K23)*'2-报价汇总'!$H$5</f>
        <v>0.606060606060606</v>
      </c>
      <c r="M23" s="267">
        <f>(I23+J23+K23+L23)*'2-报价汇总'!$I$5</f>
        <v>0</v>
      </c>
      <c r="N23" s="267">
        <f>(M23+L23+K23+J23+I23)*'2-报价汇总'!$J$5</f>
        <v>0</v>
      </c>
      <c r="O23" s="268">
        <f t="shared" si="1"/>
        <v>30606.0606060606</v>
      </c>
      <c r="P23" s="261"/>
      <c r="S23" s="50">
        <v>0</v>
      </c>
    </row>
    <row r="24" ht="50" customHeight="1" spans="1:19">
      <c r="A24" s="250" t="s">
        <v>1481</v>
      </c>
      <c r="B24" s="261" t="s">
        <v>1482</v>
      </c>
      <c r="C24" s="261" t="s">
        <v>1457</v>
      </c>
      <c r="D24" s="261" t="s">
        <v>1441</v>
      </c>
      <c r="E24" s="261" t="s">
        <v>1442</v>
      </c>
      <c r="F24" s="250" t="s">
        <v>1443</v>
      </c>
      <c r="G24" s="252">
        <v>500</v>
      </c>
      <c r="H24" s="260">
        <f t="shared" si="0"/>
        <v>48.0952380952381</v>
      </c>
      <c r="I24" s="266">
        <v>23.2290476190476</v>
      </c>
      <c r="J24" s="266">
        <v>24.11</v>
      </c>
      <c r="K24" s="266">
        <v>0.28</v>
      </c>
      <c r="L24" s="266">
        <f>(I24+J24+K24)*'2-报价汇总'!$H$5</f>
        <v>0.476190476190476</v>
      </c>
      <c r="M24" s="267">
        <f>(I24+J24+K24+L24)*'2-报价汇总'!$I$5</f>
        <v>0</v>
      </c>
      <c r="N24" s="267">
        <f>(M24+L24+K24+J24+I24)*'2-报价汇总'!$J$5</f>
        <v>0</v>
      </c>
      <c r="O24" s="268">
        <f t="shared" si="1"/>
        <v>24047.619047619</v>
      </c>
      <c r="P24" s="261"/>
      <c r="S24" s="50">
        <v>0</v>
      </c>
    </row>
    <row r="25" ht="50" customHeight="1" spans="1:19">
      <c r="A25" s="250" t="s">
        <v>1483</v>
      </c>
      <c r="B25" s="261" t="s">
        <v>1484</v>
      </c>
      <c r="C25" s="261" t="s">
        <v>1457</v>
      </c>
      <c r="D25" s="261" t="s">
        <v>1441</v>
      </c>
      <c r="E25" s="261" t="s">
        <v>1442</v>
      </c>
      <c r="F25" s="250" t="s">
        <v>1443</v>
      </c>
      <c r="G25" s="252">
        <v>500</v>
      </c>
      <c r="H25" s="260">
        <f t="shared" si="0"/>
        <v>30.6060606060606</v>
      </c>
      <c r="I25" s="266">
        <v>9.6630303030303</v>
      </c>
      <c r="J25" s="266">
        <v>20.37</v>
      </c>
      <c r="K25" s="266">
        <v>0.27</v>
      </c>
      <c r="L25" s="266">
        <f>(I25+J25+K25)*'2-报价汇总'!$H$5</f>
        <v>0.303030303030303</v>
      </c>
      <c r="M25" s="267">
        <f>(I25+J25+K25+L25)*'2-报价汇总'!$I$5</f>
        <v>0</v>
      </c>
      <c r="N25" s="267">
        <f>(M25+L25+K25+J25+I25)*'2-报价汇总'!$J$5</f>
        <v>0</v>
      </c>
      <c r="O25" s="268">
        <f t="shared" si="1"/>
        <v>15303.0303030303</v>
      </c>
      <c r="P25" s="261"/>
      <c r="S25" s="50">
        <v>0</v>
      </c>
    </row>
    <row r="26" ht="50" customHeight="1" spans="1:19">
      <c r="A26" s="250" t="s">
        <v>1485</v>
      </c>
      <c r="B26" s="265" t="s">
        <v>1486</v>
      </c>
      <c r="C26" s="261" t="s">
        <v>1487</v>
      </c>
      <c r="D26" s="261" t="s">
        <v>1441</v>
      </c>
      <c r="E26" s="261" t="s">
        <v>1442</v>
      </c>
      <c r="F26" s="250" t="s">
        <v>1443</v>
      </c>
      <c r="G26" s="252">
        <v>15495.7395940421</v>
      </c>
      <c r="H26" s="260">
        <f t="shared" si="0"/>
        <v>1220.74458874459</v>
      </c>
      <c r="I26" s="266">
        <v>71.2780086580085</v>
      </c>
      <c r="J26" s="266">
        <v>1136.42</v>
      </c>
      <c r="K26" s="266">
        <v>0.96</v>
      </c>
      <c r="L26" s="266">
        <f>(I26+J26+K26)*'2-报价汇总'!$H$5</f>
        <v>12.0865800865801</v>
      </c>
      <c r="M26" s="267">
        <f>(I26+J26+K26+L26)*'2-报价汇总'!$I$5</f>
        <v>0</v>
      </c>
      <c r="N26" s="267">
        <f>(M26+L26+K26+J26+I26)*'2-报价汇总'!$J$5</f>
        <v>0</v>
      </c>
      <c r="O26" s="268">
        <f t="shared" si="1"/>
        <v>18916340.2580222</v>
      </c>
      <c r="P26" s="261"/>
      <c r="S26" s="50">
        <v>15495.7395940421</v>
      </c>
    </row>
    <row r="27" ht="50" customHeight="1" spans="1:19">
      <c r="A27" s="250" t="s">
        <v>1488</v>
      </c>
      <c r="B27" s="261" t="s">
        <v>1489</v>
      </c>
      <c r="C27" s="261" t="s">
        <v>1490</v>
      </c>
      <c r="D27" s="261" t="s">
        <v>1441</v>
      </c>
      <c r="E27" s="261" t="s">
        <v>1442</v>
      </c>
      <c r="F27" s="250" t="s">
        <v>1443</v>
      </c>
      <c r="G27" s="252">
        <v>6380.59865637029</v>
      </c>
      <c r="H27" s="260">
        <f t="shared" si="0"/>
        <v>164.398268398268</v>
      </c>
      <c r="I27" s="266">
        <v>-42.0194372294372</v>
      </c>
      <c r="J27" s="266">
        <v>204.35</v>
      </c>
      <c r="K27" s="266">
        <v>0.44</v>
      </c>
      <c r="L27" s="266">
        <f>(I27+J27+K27)*'2-报价汇总'!$H$5</f>
        <v>1.62770562770563</v>
      </c>
      <c r="M27" s="267">
        <f>(I27+J27+K27+L27)*'2-报价汇总'!$I$5</f>
        <v>0</v>
      </c>
      <c r="N27" s="267">
        <f>(M27+L27+K27+J27+I27)*'2-报价汇总'!$J$5</f>
        <v>0</v>
      </c>
      <c r="O27" s="268">
        <f t="shared" si="1"/>
        <v>1048959.37045159</v>
      </c>
      <c r="P27" s="261"/>
      <c r="S27" s="50">
        <v>6380.59865637029</v>
      </c>
    </row>
    <row r="28" ht="50" customHeight="1" spans="1:19">
      <c r="A28" s="250" t="s">
        <v>1491</v>
      </c>
      <c r="B28" s="261" t="s">
        <v>1492</v>
      </c>
      <c r="C28" s="261" t="s">
        <v>1493</v>
      </c>
      <c r="D28" s="261" t="s">
        <v>1494</v>
      </c>
      <c r="E28" s="261" t="s">
        <v>1495</v>
      </c>
      <c r="F28" s="250" t="s">
        <v>89</v>
      </c>
      <c r="G28" s="252">
        <v>0</v>
      </c>
      <c r="H28" s="260">
        <f t="shared" si="0"/>
        <v>86.1341991341991</v>
      </c>
      <c r="I28" s="266">
        <v>9.36138528138527</v>
      </c>
      <c r="J28" s="266">
        <v>72.88</v>
      </c>
      <c r="K28" s="266">
        <v>3.04</v>
      </c>
      <c r="L28" s="266">
        <f>(I28+J28+K28)*'2-报价汇总'!$H$5</f>
        <v>0.852813852813853</v>
      </c>
      <c r="M28" s="267">
        <f>(I28+J28+K28+L28)*'2-报价汇总'!$I$5</f>
        <v>0</v>
      </c>
      <c r="N28" s="267">
        <f>(M28+L28+K28+J28+I28)*'2-报价汇总'!$J$5</f>
        <v>0</v>
      </c>
      <c r="O28" s="268">
        <f t="shared" si="1"/>
        <v>0</v>
      </c>
      <c r="P28" s="261"/>
      <c r="S28" s="50">
        <v>0</v>
      </c>
    </row>
    <row r="29" ht="50" customHeight="1" spans="1:19">
      <c r="A29" s="250" t="s">
        <v>1496</v>
      </c>
      <c r="B29" s="261" t="s">
        <v>1497</v>
      </c>
      <c r="C29" s="261" t="s">
        <v>1493</v>
      </c>
      <c r="D29" s="261" t="s">
        <v>1494</v>
      </c>
      <c r="E29" s="261" t="s">
        <v>1495</v>
      </c>
      <c r="F29" s="250" t="s">
        <v>89</v>
      </c>
      <c r="G29" s="252">
        <v>72592.9824276185</v>
      </c>
      <c r="H29" s="260">
        <f t="shared" si="0"/>
        <v>49.5818181818182</v>
      </c>
      <c r="I29" s="266">
        <v>-8.0690909090909</v>
      </c>
      <c r="J29" s="266">
        <v>56.69</v>
      </c>
      <c r="K29" s="266">
        <v>0.47</v>
      </c>
      <c r="L29" s="266">
        <f>(I29+J29+K29)*'2-报价汇总'!$H$5</f>
        <v>0.490909090909091</v>
      </c>
      <c r="M29" s="267">
        <f>(I29+J29+K29+L29)*'2-报价汇总'!$I$5</f>
        <v>0</v>
      </c>
      <c r="N29" s="267">
        <f>(M29+L29+K29+J29+I29)*'2-报价汇总'!$J$5</f>
        <v>0</v>
      </c>
      <c r="O29" s="268">
        <f t="shared" si="1"/>
        <v>3599292.0560021</v>
      </c>
      <c r="P29" s="261"/>
      <c r="S29" s="50">
        <v>72592.9824276185</v>
      </c>
    </row>
    <row r="30" ht="50" customHeight="1" spans="1:19">
      <c r="A30" s="250" t="s">
        <v>1498</v>
      </c>
      <c r="B30" s="261" t="s">
        <v>1499</v>
      </c>
      <c r="C30" s="261" t="s">
        <v>1493</v>
      </c>
      <c r="D30" s="261" t="s">
        <v>1494</v>
      </c>
      <c r="E30" s="261" t="s">
        <v>1495</v>
      </c>
      <c r="F30" s="250" t="s">
        <v>89</v>
      </c>
      <c r="G30" s="252">
        <v>37287.9704018935</v>
      </c>
      <c r="H30" s="260">
        <f t="shared" si="0"/>
        <v>35.6779220779221</v>
      </c>
      <c r="I30" s="266">
        <v>5.18467532467532</v>
      </c>
      <c r="J30" s="266">
        <v>29.67</v>
      </c>
      <c r="K30" s="266">
        <v>0.47</v>
      </c>
      <c r="L30" s="266">
        <f>(I30+J30+K30)*'2-报价汇总'!$H$5</f>
        <v>0.353246753246753</v>
      </c>
      <c r="M30" s="267">
        <f>(I30+J30+K30+L30)*'2-报价汇总'!$I$5</f>
        <v>0</v>
      </c>
      <c r="N30" s="267">
        <f>(M30+L30+K30+J30+I30)*'2-报价汇总'!$J$5</f>
        <v>0</v>
      </c>
      <c r="O30" s="268">
        <f t="shared" si="1"/>
        <v>1330357.30244262</v>
      </c>
      <c r="P30" s="261"/>
      <c r="S30" s="50">
        <v>67287.9704018935</v>
      </c>
    </row>
    <row r="31" ht="50" customHeight="1" spans="1:19">
      <c r="A31" s="250" t="s">
        <v>1500</v>
      </c>
      <c r="B31" s="261" t="s">
        <v>1501</v>
      </c>
      <c r="C31" s="261" t="s">
        <v>1493</v>
      </c>
      <c r="D31" s="261" t="s">
        <v>1494</v>
      </c>
      <c r="E31" s="261" t="s">
        <v>1495</v>
      </c>
      <c r="F31" s="250" t="s">
        <v>89</v>
      </c>
      <c r="G31" s="252">
        <v>30000</v>
      </c>
      <c r="H31" s="260">
        <f t="shared" si="0"/>
        <v>23.8727272727273</v>
      </c>
      <c r="I31" s="266">
        <v>6.39636363636363</v>
      </c>
      <c r="J31" s="266">
        <v>16.82</v>
      </c>
      <c r="K31" s="266">
        <v>0.42</v>
      </c>
      <c r="L31" s="266">
        <f>(I31+J31+K31)*'2-报价汇总'!$H$5</f>
        <v>0.236363636363636</v>
      </c>
      <c r="M31" s="267">
        <f>(I31+J31+K31+L31)*'2-报价汇总'!$I$5</f>
        <v>0</v>
      </c>
      <c r="N31" s="267">
        <f>(M31+L31+K31+J31+I31)*'2-报价汇总'!$J$5</f>
        <v>0</v>
      </c>
      <c r="O31" s="268">
        <f t="shared" si="1"/>
        <v>716181.818181818</v>
      </c>
      <c r="P31" s="261"/>
      <c r="S31" s="50">
        <v>0</v>
      </c>
    </row>
    <row r="32" ht="50" customHeight="1" spans="1:19">
      <c r="A32" s="250" t="s">
        <v>1502</v>
      </c>
      <c r="B32" s="261" t="s">
        <v>1503</v>
      </c>
      <c r="C32" s="261" t="s">
        <v>1493</v>
      </c>
      <c r="D32" s="261" t="s">
        <v>1494</v>
      </c>
      <c r="E32" s="261" t="s">
        <v>1495</v>
      </c>
      <c r="F32" s="250" t="s">
        <v>89</v>
      </c>
      <c r="G32" s="252">
        <v>2000</v>
      </c>
      <c r="H32" s="260">
        <f t="shared" si="0"/>
        <v>19.3255411255411</v>
      </c>
      <c r="I32" s="266">
        <v>8.88419913419913</v>
      </c>
      <c r="J32" s="266">
        <v>9.87</v>
      </c>
      <c r="K32" s="266">
        <v>0.38</v>
      </c>
      <c r="L32" s="266">
        <f>(I32+J32+K32)*'2-报价汇总'!$H$5</f>
        <v>0.191341991341991</v>
      </c>
      <c r="M32" s="267">
        <f>(I32+J32+K32+L32)*'2-报价汇总'!$I$5</f>
        <v>0</v>
      </c>
      <c r="N32" s="267">
        <f>(M32+L32+K32+J32+I32)*'2-报价汇总'!$J$5</f>
        <v>0</v>
      </c>
      <c r="O32" s="268">
        <f t="shared" si="1"/>
        <v>38651.0822510822</v>
      </c>
      <c r="P32" s="261"/>
      <c r="S32" s="50">
        <v>11630.9198364693</v>
      </c>
    </row>
    <row r="33" ht="50" customHeight="1" spans="1:19">
      <c r="A33" s="250" t="s">
        <v>1504</v>
      </c>
      <c r="B33" s="261" t="s">
        <v>1505</v>
      </c>
      <c r="C33" s="261" t="s">
        <v>1506</v>
      </c>
      <c r="D33" s="261" t="s">
        <v>1494</v>
      </c>
      <c r="E33" s="261" t="s">
        <v>1495</v>
      </c>
      <c r="F33" s="250" t="s">
        <v>89</v>
      </c>
      <c r="G33" s="252">
        <v>2000</v>
      </c>
      <c r="H33" s="260">
        <f t="shared" si="0"/>
        <v>53.2545454545454</v>
      </c>
      <c r="I33" s="266">
        <v>9.80727272727272</v>
      </c>
      <c r="J33" s="266">
        <v>41.15</v>
      </c>
      <c r="K33" s="266">
        <v>1.77</v>
      </c>
      <c r="L33" s="266">
        <f>(I33+J33+K33)*'2-报价汇总'!$H$5</f>
        <v>0.527272727272727</v>
      </c>
      <c r="M33" s="267">
        <f>(I33+J33+K33+L33)*'2-报价汇总'!$I$5</f>
        <v>0</v>
      </c>
      <c r="N33" s="267">
        <f>(M33+L33+K33+J33+I33)*'2-报价汇总'!$J$5</f>
        <v>0</v>
      </c>
      <c r="O33" s="268">
        <f t="shared" si="1"/>
        <v>106509.090909091</v>
      </c>
      <c r="P33" s="261"/>
      <c r="S33" s="50">
        <v>0</v>
      </c>
    </row>
    <row r="34" ht="50" customHeight="1" spans="1:19">
      <c r="A34" s="250" t="s">
        <v>1507</v>
      </c>
      <c r="B34" s="261" t="s">
        <v>1508</v>
      </c>
      <c r="C34" s="261" t="s">
        <v>1506</v>
      </c>
      <c r="D34" s="261" t="s">
        <v>1494</v>
      </c>
      <c r="E34" s="261" t="s">
        <v>1495</v>
      </c>
      <c r="F34" s="250" t="s">
        <v>89</v>
      </c>
      <c r="G34" s="252">
        <v>2000</v>
      </c>
      <c r="H34" s="260">
        <f t="shared" si="0"/>
        <v>48.0952380952381</v>
      </c>
      <c r="I34" s="266">
        <v>10.1390476190476</v>
      </c>
      <c r="J34" s="266">
        <v>35.62</v>
      </c>
      <c r="K34" s="266">
        <v>1.86</v>
      </c>
      <c r="L34" s="266">
        <f>(I34+J34+K34)*'2-报价汇总'!$H$5</f>
        <v>0.476190476190476</v>
      </c>
      <c r="M34" s="267">
        <f>(I34+J34+K34+L34)*'2-报价汇总'!$I$5</f>
        <v>0</v>
      </c>
      <c r="N34" s="267">
        <f>(M34+L34+K34+J34+I34)*'2-报价汇总'!$J$5</f>
        <v>0</v>
      </c>
      <c r="O34" s="268">
        <f t="shared" si="1"/>
        <v>96190.4761904762</v>
      </c>
      <c r="P34" s="261"/>
      <c r="S34" s="50">
        <v>0</v>
      </c>
    </row>
    <row r="35" ht="50" customHeight="1" spans="1:19">
      <c r="A35" s="250" t="s">
        <v>1509</v>
      </c>
      <c r="B35" s="261" t="s">
        <v>1510</v>
      </c>
      <c r="C35" s="261" t="s">
        <v>1506</v>
      </c>
      <c r="D35" s="261" t="s">
        <v>1494</v>
      </c>
      <c r="E35" s="261" t="s">
        <v>1495</v>
      </c>
      <c r="F35" s="250" t="s">
        <v>89</v>
      </c>
      <c r="G35" s="252">
        <v>2000</v>
      </c>
      <c r="H35" s="260">
        <f t="shared" si="0"/>
        <v>31.9177489177489</v>
      </c>
      <c r="I35" s="266">
        <v>1.1417316017316</v>
      </c>
      <c r="J35" s="266">
        <v>28.95</v>
      </c>
      <c r="K35" s="266">
        <v>1.51</v>
      </c>
      <c r="L35" s="266">
        <f>(I35+J35+K35)*'2-报价汇总'!$H$5</f>
        <v>0.316017316017316</v>
      </c>
      <c r="M35" s="267">
        <f>(I35+J35+K35+L35)*'2-报价汇总'!$I$5</f>
        <v>0</v>
      </c>
      <c r="N35" s="267">
        <f>(M35+L35+K35+J35+I35)*'2-报价汇总'!$J$5</f>
        <v>0</v>
      </c>
      <c r="O35" s="268">
        <f t="shared" si="1"/>
        <v>63835.4978354978</v>
      </c>
      <c r="P35" s="261"/>
      <c r="S35" s="50">
        <v>0</v>
      </c>
    </row>
    <row r="36" ht="50" customHeight="1" spans="1:19">
      <c r="A36" s="250" t="s">
        <v>1511</v>
      </c>
      <c r="B36" s="261" t="s">
        <v>1512</v>
      </c>
      <c r="C36" s="261" t="s">
        <v>1506</v>
      </c>
      <c r="D36" s="261" t="s">
        <v>1494</v>
      </c>
      <c r="E36" s="261" t="s">
        <v>1495</v>
      </c>
      <c r="F36" s="250" t="s">
        <v>89</v>
      </c>
      <c r="G36" s="252">
        <v>2000</v>
      </c>
      <c r="H36" s="260">
        <f t="shared" si="0"/>
        <v>23.3480519480519</v>
      </c>
      <c r="I36" s="266">
        <v>4.07688311688311</v>
      </c>
      <c r="J36" s="266">
        <v>17.34</v>
      </c>
      <c r="K36" s="266">
        <v>1.7</v>
      </c>
      <c r="L36" s="266">
        <f>(I36+J36+K36)*'2-报价汇总'!$H$5</f>
        <v>0.231168831168831</v>
      </c>
      <c r="M36" s="267">
        <f>(I36+J36+K36+L36)*'2-报价汇总'!$I$5</f>
        <v>0</v>
      </c>
      <c r="N36" s="267">
        <f>(M36+L36+K36+J36+I36)*'2-报价汇总'!$J$5</f>
        <v>0</v>
      </c>
      <c r="O36" s="268">
        <f t="shared" si="1"/>
        <v>46696.1038961039</v>
      </c>
      <c r="P36" s="261"/>
      <c r="S36" s="50">
        <v>0</v>
      </c>
    </row>
    <row r="37" ht="50" customHeight="1" spans="1:19">
      <c r="A37" s="250" t="s">
        <v>1513</v>
      </c>
      <c r="B37" s="261" t="s">
        <v>1514</v>
      </c>
      <c r="C37" s="261" t="s">
        <v>1506</v>
      </c>
      <c r="D37" s="261" t="s">
        <v>1494</v>
      </c>
      <c r="E37" s="261" t="s">
        <v>1495</v>
      </c>
      <c r="F37" s="250" t="s">
        <v>89</v>
      </c>
      <c r="G37" s="252">
        <v>85041.530406197</v>
      </c>
      <c r="H37" s="260">
        <f t="shared" si="0"/>
        <v>18.7134199134199</v>
      </c>
      <c r="I37" s="266">
        <v>4.85813852813853</v>
      </c>
      <c r="J37" s="266">
        <v>11.98</v>
      </c>
      <c r="K37" s="266">
        <v>1.69</v>
      </c>
      <c r="L37" s="266">
        <f>(I37+J37+K37)*'2-报价汇总'!$H$5</f>
        <v>0.185281385281385</v>
      </c>
      <c r="M37" s="267">
        <f>(I37+J37+K37+L37)*'2-报价汇总'!$I$5</f>
        <v>0</v>
      </c>
      <c r="N37" s="267">
        <f>(M37+L37+K37+J37+I37)*'2-报价汇总'!$J$5</f>
        <v>0</v>
      </c>
      <c r="O37" s="268">
        <f t="shared" si="1"/>
        <v>1591417.86857103</v>
      </c>
      <c r="P37" s="261"/>
      <c r="S37" s="50">
        <v>85041.530406197</v>
      </c>
    </row>
    <row r="38" ht="50" customHeight="1" spans="1:19">
      <c r="A38" s="250" t="s">
        <v>1515</v>
      </c>
      <c r="B38" s="261" t="s">
        <v>1516</v>
      </c>
      <c r="C38" s="261" t="s">
        <v>1506</v>
      </c>
      <c r="D38" s="261" t="s">
        <v>1494</v>
      </c>
      <c r="E38" s="261" t="s">
        <v>1495</v>
      </c>
      <c r="F38" s="250" t="s">
        <v>89</v>
      </c>
      <c r="G38" s="252">
        <v>54535.8882300906</v>
      </c>
      <c r="H38" s="260">
        <f t="shared" si="0"/>
        <v>15.0406926406926</v>
      </c>
      <c r="I38" s="266">
        <v>3.82177489177489</v>
      </c>
      <c r="J38" s="266">
        <v>9.42</v>
      </c>
      <c r="K38" s="266">
        <v>1.65</v>
      </c>
      <c r="L38" s="266">
        <f>(I38+J38+K38)*'2-报价汇总'!$H$5</f>
        <v>0.148917748917749</v>
      </c>
      <c r="M38" s="267">
        <f>(I38+J38+K38+L38)*'2-报价汇总'!$I$5</f>
        <v>0</v>
      </c>
      <c r="N38" s="267">
        <f>(M38+L38+K38+J38+I38)*'2-报价汇总'!$J$5</f>
        <v>0</v>
      </c>
      <c r="O38" s="268">
        <f t="shared" si="1"/>
        <v>820257.53275596</v>
      </c>
      <c r="P38" s="261"/>
      <c r="S38" s="50">
        <v>54535.8882300906</v>
      </c>
    </row>
    <row r="39" ht="50" customHeight="1" spans="1:19">
      <c r="A39" s="250" t="s">
        <v>1517</v>
      </c>
      <c r="B39" s="261" t="s">
        <v>1518</v>
      </c>
      <c r="C39" s="261" t="s">
        <v>1506</v>
      </c>
      <c r="D39" s="261" t="s">
        <v>1494</v>
      </c>
      <c r="E39" s="261" t="s">
        <v>1495</v>
      </c>
      <c r="F39" s="250" t="s">
        <v>89</v>
      </c>
      <c r="G39" s="252">
        <v>50000</v>
      </c>
      <c r="H39" s="260">
        <f t="shared" si="0"/>
        <v>14.2536796536797</v>
      </c>
      <c r="I39" s="266">
        <v>7.04255411255411</v>
      </c>
      <c r="J39" s="266">
        <v>5.4</v>
      </c>
      <c r="K39" s="266">
        <v>1.67</v>
      </c>
      <c r="L39" s="266">
        <f>(I39+J39+K39)*'2-报价汇总'!$H$5</f>
        <v>0.141125541125541</v>
      </c>
      <c r="M39" s="267">
        <f>(I39+J39+K39+L39)*'2-报价汇总'!$I$5</f>
        <v>0</v>
      </c>
      <c r="N39" s="267">
        <f>(M39+L39+K39+J39+I39)*'2-报价汇总'!$J$5</f>
        <v>0</v>
      </c>
      <c r="O39" s="268">
        <f t="shared" si="1"/>
        <v>712683.982683983</v>
      </c>
      <c r="P39" s="261"/>
      <c r="S39" s="50">
        <v>92764.7893226863</v>
      </c>
    </row>
    <row r="40" ht="50" customHeight="1" spans="1:19">
      <c r="A40" s="250" t="s">
        <v>1519</v>
      </c>
      <c r="B40" s="261" t="s">
        <v>1520</v>
      </c>
      <c r="C40" s="261" t="s">
        <v>1506</v>
      </c>
      <c r="D40" s="261" t="s">
        <v>1494</v>
      </c>
      <c r="E40" s="261" t="s">
        <v>1495</v>
      </c>
      <c r="F40" s="250" t="s">
        <v>89</v>
      </c>
      <c r="G40" s="252">
        <v>10000</v>
      </c>
      <c r="H40" s="260">
        <f t="shared" si="0"/>
        <v>13.7290043290043</v>
      </c>
      <c r="I40" s="266">
        <v>7.21307359307359</v>
      </c>
      <c r="J40" s="266">
        <v>4.66</v>
      </c>
      <c r="K40" s="266">
        <v>1.72</v>
      </c>
      <c r="L40" s="266">
        <f>(I40+J40+K40)*'2-报价汇总'!$H$5</f>
        <v>0.135930735930736</v>
      </c>
      <c r="M40" s="267">
        <f>(I40+J40+K40+L40)*'2-报价汇总'!$I$5</f>
        <v>0</v>
      </c>
      <c r="N40" s="267">
        <f>(M40+L40+K40+J40+I40)*'2-报价汇总'!$J$5</f>
        <v>0</v>
      </c>
      <c r="O40" s="268">
        <f t="shared" si="1"/>
        <v>137290.043290043</v>
      </c>
      <c r="P40" s="261"/>
      <c r="S40" s="50">
        <v>0</v>
      </c>
    </row>
    <row r="41" ht="50" customHeight="1" spans="1:19">
      <c r="A41" s="250" t="s">
        <v>1521</v>
      </c>
      <c r="B41" s="261" t="s">
        <v>1522</v>
      </c>
      <c r="C41" s="261" t="s">
        <v>1506</v>
      </c>
      <c r="D41" s="261" t="s">
        <v>1494</v>
      </c>
      <c r="E41" s="261" t="s">
        <v>1495</v>
      </c>
      <c r="F41" s="250" t="s">
        <v>89</v>
      </c>
      <c r="G41" s="252">
        <v>10000</v>
      </c>
      <c r="H41" s="260">
        <f t="shared" si="0"/>
        <v>38.4761904761905</v>
      </c>
      <c r="I41" s="266">
        <v>0.615238095238098</v>
      </c>
      <c r="J41" s="266">
        <v>35.62</v>
      </c>
      <c r="K41" s="266">
        <v>1.86</v>
      </c>
      <c r="L41" s="266">
        <f>(I41+J41+K41)*'2-报价汇总'!$H$5</f>
        <v>0.380952380952381</v>
      </c>
      <c r="M41" s="267">
        <f>(I41+J41+K41+L41)*'2-报价汇总'!$I$5</f>
        <v>0</v>
      </c>
      <c r="N41" s="267">
        <f>(M41+L41+K41+J41+I41)*'2-报价汇总'!$J$5</f>
        <v>0</v>
      </c>
      <c r="O41" s="268">
        <f t="shared" si="1"/>
        <v>384761.904761905</v>
      </c>
      <c r="P41" s="261"/>
      <c r="S41" s="50">
        <v>0</v>
      </c>
    </row>
    <row r="42" ht="50" customHeight="1" spans="1:19">
      <c r="A42" s="250" t="s">
        <v>1523</v>
      </c>
      <c r="B42" s="261" t="s">
        <v>1524</v>
      </c>
      <c r="C42" s="261" t="s">
        <v>1506</v>
      </c>
      <c r="D42" s="261" t="s">
        <v>1494</v>
      </c>
      <c r="E42" s="261" t="s">
        <v>1495</v>
      </c>
      <c r="F42" s="250" t="s">
        <v>89</v>
      </c>
      <c r="G42" s="252">
        <v>10000</v>
      </c>
      <c r="H42" s="260">
        <f t="shared" si="0"/>
        <v>19.9376623376623</v>
      </c>
      <c r="I42" s="266">
        <v>12.6702597402597</v>
      </c>
      <c r="J42" s="266">
        <v>5.4</v>
      </c>
      <c r="K42" s="266">
        <v>1.67</v>
      </c>
      <c r="L42" s="266">
        <f>(I42+J42+K42)*'2-报价汇总'!$H$5</f>
        <v>0.197402597402597</v>
      </c>
      <c r="M42" s="267">
        <f>(I42+J42+K42+L42)*'2-报价汇总'!$I$5</f>
        <v>0</v>
      </c>
      <c r="N42" s="267">
        <f>(M42+L42+K42+J42+I42)*'2-报价汇总'!$J$5</f>
        <v>0</v>
      </c>
      <c r="O42" s="268">
        <f t="shared" si="1"/>
        <v>199376.623376623</v>
      </c>
      <c r="P42" s="261"/>
      <c r="S42" s="50">
        <v>0</v>
      </c>
    </row>
    <row r="43" ht="63" customHeight="1" spans="1:19">
      <c r="A43" s="250" t="s">
        <v>1525</v>
      </c>
      <c r="B43" s="261" t="s">
        <v>1526</v>
      </c>
      <c r="C43" s="261" t="s">
        <v>1527</v>
      </c>
      <c r="D43" s="261" t="s">
        <v>1441</v>
      </c>
      <c r="E43" s="261" t="s">
        <v>1442</v>
      </c>
      <c r="F43" s="250" t="s">
        <v>1443</v>
      </c>
      <c r="G43" s="252">
        <v>1000</v>
      </c>
      <c r="H43" s="260">
        <f t="shared" si="0"/>
        <v>419.74025974026</v>
      </c>
      <c r="I43" s="266">
        <v>153.594415584416</v>
      </c>
      <c r="J43" s="266">
        <v>257.78</v>
      </c>
      <c r="K43" s="266">
        <v>4.21</v>
      </c>
      <c r="L43" s="266">
        <f>(I43+J43+K43)*'2-报价汇总'!$H$5</f>
        <v>4.15584415584416</v>
      </c>
      <c r="M43" s="267">
        <f>(I43+J43+K43+L43)*'2-报价汇总'!$I$5</f>
        <v>0</v>
      </c>
      <c r="N43" s="267">
        <f>(M43+L43+K43+J43+I43)*'2-报价汇总'!$J$5</f>
        <v>0</v>
      </c>
      <c r="O43" s="268">
        <f t="shared" si="1"/>
        <v>419740.25974026</v>
      </c>
      <c r="P43" s="261"/>
      <c r="S43" s="50">
        <v>0</v>
      </c>
    </row>
    <row r="44" ht="72" customHeight="1" spans="1:19">
      <c r="A44" s="250" t="s">
        <v>1528</v>
      </c>
      <c r="B44" s="261" t="s">
        <v>1529</v>
      </c>
      <c r="C44" s="261" t="s">
        <v>1527</v>
      </c>
      <c r="D44" s="261" t="s">
        <v>1441</v>
      </c>
      <c r="E44" s="261" t="s">
        <v>1442</v>
      </c>
      <c r="F44" s="250" t="s">
        <v>1443</v>
      </c>
      <c r="G44" s="252">
        <v>6000</v>
      </c>
      <c r="H44" s="260">
        <f t="shared" si="0"/>
        <v>905.939393939394</v>
      </c>
      <c r="I44" s="266">
        <v>136.189696969697</v>
      </c>
      <c r="J44" s="266">
        <v>759.41</v>
      </c>
      <c r="K44" s="266">
        <v>1.37</v>
      </c>
      <c r="L44" s="266">
        <f>(I44+J44+K44)*'2-报价汇总'!$H$5</f>
        <v>8.96969696969697</v>
      </c>
      <c r="M44" s="267">
        <f>(I44+J44+K44+L44)*'2-报价汇总'!$I$5</f>
        <v>0</v>
      </c>
      <c r="N44" s="267">
        <f>(M44+L44+K44+J44+I44)*'2-报价汇总'!$J$5</f>
        <v>0</v>
      </c>
      <c r="O44" s="268">
        <f t="shared" si="1"/>
        <v>5435636.36363636</v>
      </c>
      <c r="P44" s="261"/>
      <c r="S44" s="50">
        <v>6380.59865637029</v>
      </c>
    </row>
    <row r="45" ht="72" customHeight="1" spans="1:19">
      <c r="A45" s="250" t="s">
        <v>1530</v>
      </c>
      <c r="B45" s="261" t="s">
        <v>1531</v>
      </c>
      <c r="C45" s="261" t="s">
        <v>1527</v>
      </c>
      <c r="D45" s="261" t="s">
        <v>1441</v>
      </c>
      <c r="E45" s="261" t="s">
        <v>1442</v>
      </c>
      <c r="F45" s="250" t="s">
        <v>1443</v>
      </c>
      <c r="G45" s="252">
        <v>1000</v>
      </c>
      <c r="H45" s="260">
        <f t="shared" si="0"/>
        <v>2046.23376623377</v>
      </c>
      <c r="I45" s="266">
        <v>207.244025974026</v>
      </c>
      <c r="J45" s="266">
        <v>1804.2</v>
      </c>
      <c r="K45" s="266">
        <v>14.53</v>
      </c>
      <c r="L45" s="266">
        <f>(I45+J45+K45)*'2-报价汇总'!$H$5</f>
        <v>20.2597402597403</v>
      </c>
      <c r="M45" s="267">
        <f>(I45+J45+K45+L45)*'2-报价汇总'!$I$5</f>
        <v>0</v>
      </c>
      <c r="N45" s="267">
        <f>(M45+L45+K45+J45+I45)*'2-报价汇总'!$J$5</f>
        <v>0</v>
      </c>
      <c r="O45" s="268">
        <f t="shared" si="1"/>
        <v>2046233.76623377</v>
      </c>
      <c r="P45" s="261"/>
      <c r="S45" s="50">
        <v>0</v>
      </c>
    </row>
    <row r="46" ht="72" customHeight="1" spans="1:19">
      <c r="A46" s="250" t="s">
        <v>1532</v>
      </c>
      <c r="B46" s="261" t="s">
        <v>1533</v>
      </c>
      <c r="C46" s="261" t="s">
        <v>1527</v>
      </c>
      <c r="D46" s="261" t="s">
        <v>1441</v>
      </c>
      <c r="E46" s="261" t="s">
        <v>1442</v>
      </c>
      <c r="F46" s="250" t="s">
        <v>1443</v>
      </c>
      <c r="G46" s="252">
        <v>1000</v>
      </c>
      <c r="H46" s="260">
        <f t="shared" si="0"/>
        <v>1661.47186147186</v>
      </c>
      <c r="I46" s="266">
        <v>126.291645021645</v>
      </c>
      <c r="J46" s="266">
        <v>1504.2</v>
      </c>
      <c r="K46" s="266">
        <v>14.53</v>
      </c>
      <c r="L46" s="266">
        <f>(I46+J46+K46)*'2-报价汇总'!$H$5</f>
        <v>16.4502164502165</v>
      </c>
      <c r="M46" s="267">
        <f>(I46+J46+K46+L46)*'2-报价汇总'!$I$5</f>
        <v>0</v>
      </c>
      <c r="N46" s="267">
        <f>(M46+L46+K46+J46+I46)*'2-报价汇总'!$J$5</f>
        <v>0</v>
      </c>
      <c r="O46" s="268">
        <f t="shared" si="1"/>
        <v>1661471.86147186</v>
      </c>
      <c r="P46" s="261"/>
      <c r="S46" s="50">
        <v>0</v>
      </c>
    </row>
    <row r="47" ht="88" customHeight="1" spans="1:19">
      <c r="A47" s="250" t="s">
        <v>1534</v>
      </c>
      <c r="B47" s="261" t="s">
        <v>1535</v>
      </c>
      <c r="C47" s="261" t="s">
        <v>1536</v>
      </c>
      <c r="D47" s="261" t="s">
        <v>1441</v>
      </c>
      <c r="E47" s="261" t="s">
        <v>1442</v>
      </c>
      <c r="F47" s="250" t="s">
        <v>1537</v>
      </c>
      <c r="G47" s="252">
        <v>1000</v>
      </c>
      <c r="H47" s="260">
        <f t="shared" si="0"/>
        <v>45471.8614718615</v>
      </c>
      <c r="I47" s="266">
        <v>32521.645021645</v>
      </c>
      <c r="J47" s="266">
        <v>12500</v>
      </c>
      <c r="K47" s="266"/>
      <c r="L47" s="266">
        <f>(I47+J47+K47)*'2-报价汇总'!$H$5</f>
        <v>450.21645021645</v>
      </c>
      <c r="M47" s="267">
        <f>(I47+J47+K47+L47)*'2-报价汇总'!$I$5</f>
        <v>0</v>
      </c>
      <c r="N47" s="267">
        <f>(M47+L47+K47+J47+I47)*'2-报价汇总'!$J$5</f>
        <v>0</v>
      </c>
      <c r="O47" s="268">
        <f t="shared" si="1"/>
        <v>45471861.4718615</v>
      </c>
      <c r="P47" s="261"/>
      <c r="S47" s="50">
        <v>0</v>
      </c>
    </row>
    <row r="48" ht="50" customHeight="1" spans="1:19">
      <c r="A48" s="250" t="s">
        <v>1538</v>
      </c>
      <c r="B48" s="261" t="s">
        <v>1539</v>
      </c>
      <c r="C48" s="261" t="s">
        <v>1540</v>
      </c>
      <c r="D48" s="261" t="s">
        <v>1494</v>
      </c>
      <c r="E48" s="261" t="s">
        <v>1442</v>
      </c>
      <c r="F48" s="250" t="s">
        <v>1541</v>
      </c>
      <c r="G48" s="252">
        <v>1823.02818753437</v>
      </c>
      <c r="H48" s="260">
        <f t="shared" si="0"/>
        <v>437.229437229437</v>
      </c>
      <c r="I48" s="266">
        <v>432.900432900433</v>
      </c>
      <c r="J48" s="266"/>
      <c r="K48" s="266"/>
      <c r="L48" s="266">
        <f>(I48+J48+K48)*'2-报价汇总'!$H$5</f>
        <v>4.32900432900433</v>
      </c>
      <c r="M48" s="267">
        <f>(I48+J48+K48+L48)*'2-报价汇总'!$I$5</f>
        <v>0</v>
      </c>
      <c r="N48" s="267">
        <f>(M48+L48+K48+J48+I48)*'2-报价汇总'!$J$5</f>
        <v>0</v>
      </c>
      <c r="O48" s="268">
        <f t="shared" si="1"/>
        <v>797081.588489054</v>
      </c>
      <c r="P48" s="261"/>
      <c r="S48" s="50">
        <v>1823.02818753437</v>
      </c>
    </row>
    <row r="49" ht="50" customHeight="1" spans="1:22">
      <c r="A49" s="250" t="s">
        <v>1542</v>
      </c>
      <c r="B49" s="261" t="s">
        <v>1543</v>
      </c>
      <c r="C49" s="261" t="s">
        <v>1544</v>
      </c>
      <c r="D49" s="261" t="s">
        <v>1494</v>
      </c>
      <c r="E49" s="261" t="s">
        <v>1442</v>
      </c>
      <c r="F49" s="250" t="s">
        <v>1443</v>
      </c>
      <c r="G49" s="252">
        <v>1000</v>
      </c>
      <c r="H49" s="260">
        <f t="shared" si="0"/>
        <v>1923.80952380952</v>
      </c>
      <c r="I49" s="266">
        <v>435.271904761904</v>
      </c>
      <c r="J49" s="266">
        <v>1433.67</v>
      </c>
      <c r="K49" s="266">
        <v>35.82</v>
      </c>
      <c r="L49" s="266">
        <f>(I49+J49+K49)*'2-报价汇总'!$H$5</f>
        <v>19.047619047619</v>
      </c>
      <c r="M49" s="267">
        <f>(I49+J49+K49+L49)*'2-报价汇总'!$I$5</f>
        <v>0</v>
      </c>
      <c r="N49" s="267">
        <f>(M49+L49+K49+J49+I49)*'2-报价汇总'!$J$5</f>
        <v>0</v>
      </c>
      <c r="O49" s="268">
        <f t="shared" si="1"/>
        <v>1923809.52380952</v>
      </c>
      <c r="P49" s="261"/>
      <c r="S49" s="50">
        <v>0</v>
      </c>
    </row>
    <row r="50" ht="50" customHeight="1" spans="1:22">
      <c r="A50" s="250" t="s">
        <v>1545</v>
      </c>
      <c r="B50" s="261" t="s">
        <v>1546</v>
      </c>
      <c r="C50" s="261" t="s">
        <v>1547</v>
      </c>
      <c r="D50" s="261"/>
      <c r="E50" s="261" t="s">
        <v>1442</v>
      </c>
      <c r="F50" s="250" t="s">
        <v>1443</v>
      </c>
      <c r="G50" s="252">
        <v>1000</v>
      </c>
      <c r="H50" s="260">
        <f t="shared" si="0"/>
        <v>743.290043290043</v>
      </c>
      <c r="I50" s="266">
        <v>22.3207359307359</v>
      </c>
      <c r="J50" s="266">
        <v>712.85</v>
      </c>
      <c r="K50" s="266">
        <v>0.76</v>
      </c>
      <c r="L50" s="266">
        <f>(I50+J50+K50)*'2-报价汇总'!$H$5</f>
        <v>7.35930735930736</v>
      </c>
      <c r="M50" s="267">
        <f>(I50+J50+K50+L50)*'2-报价汇总'!$I$5</f>
        <v>0</v>
      </c>
      <c r="N50" s="267">
        <f>(M50+L50+K50+J50+I50)*'2-报价汇总'!$J$5</f>
        <v>0</v>
      </c>
      <c r="O50" s="268">
        <f t="shared" si="1"/>
        <v>743290.043290043</v>
      </c>
      <c r="P50" s="261"/>
      <c r="S50" s="50">
        <v>0</v>
      </c>
    </row>
    <row r="51" ht="43" customHeight="1" spans="1:22">
      <c r="A51" s="250" t="s">
        <v>1548</v>
      </c>
      <c r="B51" s="276" t="s">
        <v>1549</v>
      </c>
      <c r="C51" s="276"/>
      <c r="D51" s="276"/>
      <c r="E51" s="284"/>
      <c r="F51" s="285" t="s">
        <v>89</v>
      </c>
      <c r="G51" s="252">
        <v>1000</v>
      </c>
      <c r="H51" s="260">
        <f t="shared" si="0"/>
        <v>157.402597402598</v>
      </c>
      <c r="I51" s="286">
        <v>153.844155844156</v>
      </c>
      <c r="J51" s="286"/>
      <c r="K51" s="286">
        <v>2</v>
      </c>
      <c r="L51" s="286">
        <f>(I51+J51+K51)*'2-报价汇总'!$H$5</f>
        <v>1.55844155844156</v>
      </c>
      <c r="M51" s="252">
        <f>(I51+J51+K51+L51)*'2-报价汇总'!$I$5</f>
        <v>0</v>
      </c>
      <c r="N51" s="252">
        <f>(M51+L51+K51+J51+I51)*'2-报价汇总'!$J$5</f>
        <v>0</v>
      </c>
      <c r="O51" s="268">
        <f t="shared" si="1"/>
        <v>157402.597402598</v>
      </c>
      <c r="P51" s="280"/>
      <c r="Q51" s="287"/>
      <c r="R51" s="287"/>
      <c r="S51" s="50">
        <v>0</v>
      </c>
      <c r="T51" s="287"/>
      <c r="U51" s="287"/>
      <c r="V51" s="287"/>
    </row>
    <row r="52" ht="43" customHeight="1" spans="1:22">
      <c r="A52" s="250" t="s">
        <v>1550</v>
      </c>
      <c r="B52" s="276" t="s">
        <v>1551</v>
      </c>
      <c r="C52" s="276"/>
      <c r="D52" s="276"/>
      <c r="E52" s="284"/>
      <c r="F52" s="285" t="s">
        <v>89</v>
      </c>
      <c r="G52" s="252">
        <v>1000</v>
      </c>
      <c r="H52" s="260">
        <f t="shared" si="0"/>
        <v>69.2658</v>
      </c>
      <c r="I52" s="266">
        <v>9.06</v>
      </c>
      <c r="J52" s="288">
        <v>57.76</v>
      </c>
      <c r="K52" s="288">
        <v>1.76</v>
      </c>
      <c r="L52" s="286">
        <f>(I52+J52+K52)*'2-报价汇总'!$H$5</f>
        <v>0.6858</v>
      </c>
      <c r="M52" s="252">
        <f>(I52+J52+K52+L52)*'2-报价汇总'!$I$5</f>
        <v>0</v>
      </c>
      <c r="N52" s="252">
        <f>(M52+L52+K52+J52+I52)*'2-报价汇总'!$J$5</f>
        <v>0</v>
      </c>
      <c r="O52" s="286"/>
      <c r="P52" s="280"/>
      <c r="Q52" s="287"/>
      <c r="R52" s="287"/>
      <c r="T52" s="287"/>
      <c r="U52" s="287"/>
      <c r="V52" s="287"/>
    </row>
    <row r="53" ht="43" customHeight="1" spans="1:22">
      <c r="A53" s="250"/>
      <c r="B53" s="289" t="s">
        <v>158</v>
      </c>
      <c r="C53" s="261"/>
      <c r="D53" s="261"/>
      <c r="E53" s="261"/>
      <c r="F53" s="250"/>
      <c r="G53" s="259"/>
      <c r="H53" s="266"/>
      <c r="I53" s="266"/>
      <c r="J53" s="266"/>
      <c r="K53" s="266"/>
      <c r="L53" s="266"/>
      <c r="M53" s="266"/>
      <c r="N53" s="266"/>
      <c r="O53" s="266"/>
      <c r="P53" s="261"/>
    </row>
    <row r="54" ht="50" customHeight="1" spans="1:22">
      <c r="A54" s="250"/>
      <c r="B54" s="272" t="s">
        <v>1552</v>
      </c>
      <c r="C54" s="272"/>
      <c r="D54" s="272"/>
      <c r="E54" s="272"/>
      <c r="F54" s="250"/>
      <c r="G54" s="259"/>
      <c r="H54" s="266"/>
      <c r="I54" s="266"/>
      <c r="J54" s="266"/>
      <c r="K54" s="266"/>
      <c r="L54" s="266"/>
      <c r="M54" s="266"/>
      <c r="N54" s="266"/>
      <c r="O54" s="266">
        <f>SUM(O6:O51)</f>
        <v>162786966.957863</v>
      </c>
      <c r="P54" s="261"/>
    </row>
  </sheetData>
  <autoFilter xmlns:etc="http://www.wps.cn/officeDocument/2017/etCustomData" ref="A3:V54" etc:filterBottomFollowUsedRange="0">
    <extLst/>
  </autoFilter>
  <mergeCells count="2">
    <mergeCell ref="A1:P1"/>
    <mergeCell ref="A2:P2"/>
  </mergeCells>
  <printOptions horizontalCentered="1"/>
  <pageMargins left="0.590277777777778" right="0.590277777777778" top="0.590277777777778" bottom="0.590277777777778" header="0.196527777777778" footer="0.196527777777778"/>
  <pageSetup paperSize="9" scale="53" orientation="landscape" horizontalDpi="600"/>
  <headerFooter>
    <oddFooter>&amp;C第 &amp;P 页，共 &amp;N 页</oddFooter>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69"/>
  <sheetViews>
    <sheetView view="pageBreakPreview" zoomScale="110" zoomScaleNormal="90" workbookViewId="0">
      <pane xSplit="2" ySplit="3" topLeftCell="C4" activePane="bottomRight" state="frozen"/>
      <selection/>
      <selection pane="topRight"/>
      <selection pane="bottomLeft"/>
      <selection pane="bottomRight" activeCell="O7" sqref="O7"/>
    </sheetView>
  </sheetViews>
  <sheetFormatPr defaultColWidth="14" defaultRowHeight="12.75"/>
  <cols>
    <col min="1" max="1" width="7" style="246" customWidth="1"/>
    <col min="2" max="2" width="25.4285714285714" style="246" customWidth="1"/>
    <col min="3" max="3" width="32.7142857142857" style="246" customWidth="1"/>
    <col min="4" max="4" width="16.5714285714286" style="246" customWidth="1"/>
    <col min="5" max="5" width="23" style="246" customWidth="1"/>
    <col min="6" max="6" width="7.28571428571429" style="246" customWidth="1"/>
    <col min="7" max="7" width="12.2857142857143" style="246" customWidth="1"/>
    <col min="8" max="8" width="10" style="246" customWidth="1"/>
    <col min="9" max="14" width="9.71428571428571" style="246" customWidth="1"/>
    <col min="15" max="15" width="15" style="246" customWidth="1"/>
    <col min="16" max="16" width="9.71428571428571" style="246" customWidth="1"/>
    <col min="17" max="18" width="15" style="50" customWidth="1"/>
    <col min="19" max="16384" width="14" style="50"/>
  </cols>
  <sheetData>
    <row r="1" ht="22" customHeight="1" spans="1:16">
      <c r="A1" s="247" t="s">
        <v>1553</v>
      </c>
      <c r="B1" s="247"/>
      <c r="C1" s="247"/>
      <c r="D1" s="247"/>
      <c r="E1" s="247"/>
      <c r="F1" s="247"/>
      <c r="G1" s="247"/>
      <c r="H1" s="248"/>
      <c r="I1" s="248"/>
      <c r="J1" s="248"/>
      <c r="K1" s="248"/>
      <c r="L1" s="248"/>
      <c r="M1" s="248"/>
      <c r="N1" s="248"/>
      <c r="O1" s="248"/>
      <c r="P1" s="247"/>
    </row>
    <row r="2" ht="22" customHeight="1" spans="1:16">
      <c r="A2" s="249" t="str">
        <f>'2.1-装饰工程'!A2</f>
        <v>注意：此报价清单每项不得随意更改、删减，如有任何增加项请务必在每大项最后“补充项“中列举，补充项及说明字体颜色均采用蓝色；且所有项目都需要填写。</v>
      </c>
      <c r="B2" s="249"/>
      <c r="C2" s="249"/>
      <c r="D2" s="249"/>
      <c r="E2" s="249"/>
      <c r="F2" s="249"/>
      <c r="G2" s="249"/>
      <c r="H2" s="249"/>
      <c r="I2" s="249"/>
      <c r="J2" s="249"/>
      <c r="K2" s="249"/>
      <c r="L2" s="249"/>
      <c r="M2" s="249"/>
      <c r="N2" s="249"/>
      <c r="O2" s="249"/>
      <c r="P2" s="249"/>
    </row>
    <row r="3" ht="24" spans="1:16">
      <c r="A3" s="250" t="s">
        <v>1430</v>
      </c>
      <c r="B3" s="250" t="s">
        <v>1431</v>
      </c>
      <c r="C3" s="250" t="s">
        <v>1432</v>
      </c>
      <c r="D3" s="250" t="s">
        <v>1433</v>
      </c>
      <c r="E3" s="250" t="s">
        <v>1434</v>
      </c>
      <c r="F3" s="250" t="s">
        <v>1554</v>
      </c>
      <c r="G3" s="251" t="s">
        <v>11</v>
      </c>
      <c r="H3" s="252" t="s">
        <v>12</v>
      </c>
      <c r="I3" s="253" t="s">
        <v>13</v>
      </c>
      <c r="J3" s="253" t="s">
        <v>14</v>
      </c>
      <c r="K3" s="253" t="s">
        <v>15</v>
      </c>
      <c r="L3" s="254" t="s">
        <v>16</v>
      </c>
      <c r="M3" s="253" t="s">
        <v>17</v>
      </c>
      <c r="N3" s="253" t="s">
        <v>2</v>
      </c>
      <c r="O3" s="255" t="s">
        <v>18</v>
      </c>
      <c r="P3" s="250" t="s">
        <v>19</v>
      </c>
    </row>
    <row r="4" spans="1:16">
      <c r="A4" s="250"/>
      <c r="B4" s="256" t="s">
        <v>1555</v>
      </c>
      <c r="C4" s="257"/>
      <c r="D4" s="257"/>
      <c r="E4" s="257"/>
      <c r="F4" s="258"/>
      <c r="G4" s="259"/>
      <c r="H4" s="260"/>
      <c r="I4" s="260"/>
      <c r="J4" s="260"/>
      <c r="K4" s="260"/>
      <c r="L4" s="260"/>
      <c r="M4" s="260"/>
      <c r="N4" s="260"/>
      <c r="O4" s="260"/>
      <c r="P4" s="261"/>
    </row>
    <row r="5" spans="1:16">
      <c r="A5" s="262" t="s">
        <v>1556</v>
      </c>
      <c r="B5" s="257" t="s">
        <v>1557</v>
      </c>
      <c r="C5" s="257"/>
      <c r="D5" s="257"/>
      <c r="E5" s="257"/>
      <c r="F5" s="263"/>
      <c r="G5" s="259"/>
      <c r="H5" s="260"/>
      <c r="I5" s="260"/>
      <c r="J5" s="260"/>
      <c r="K5" s="260"/>
      <c r="L5" s="260"/>
      <c r="M5" s="260"/>
      <c r="N5" s="260"/>
      <c r="O5" s="260"/>
      <c r="P5" s="261"/>
    </row>
    <row r="6" ht="51" spans="1:16">
      <c r="A6" s="250" t="s">
        <v>1558</v>
      </c>
      <c r="B6" s="264" t="s">
        <v>1559</v>
      </c>
      <c r="C6" s="261" t="s">
        <v>1560</v>
      </c>
      <c r="D6" s="261" t="s">
        <v>1561</v>
      </c>
      <c r="E6" s="265" t="s">
        <v>1562</v>
      </c>
      <c r="F6" s="250" t="s">
        <v>28</v>
      </c>
      <c r="G6" s="252">
        <v>50000</v>
      </c>
      <c r="H6" s="260">
        <f t="shared" ref="H6:H12" si="0">SUM(I6:N6)</f>
        <v>34.978354978355</v>
      </c>
      <c r="I6" s="260">
        <v>33.6720346320346</v>
      </c>
      <c r="J6" s="260">
        <v>0</v>
      </c>
      <c r="K6" s="260">
        <v>0.96</v>
      </c>
      <c r="L6" s="266">
        <f>(I6+J6+K6)*'2-报价汇总'!$H$5</f>
        <v>0.346320346320346</v>
      </c>
      <c r="M6" s="267">
        <f>(I6+J6+K6+L6)*'2-报价汇总'!$I$5</f>
        <v>0</v>
      </c>
      <c r="N6" s="267">
        <f>(M6+L6+K6+J6+I6)*'2-报价汇总'!$J$5</f>
        <v>0</v>
      </c>
      <c r="O6" s="268">
        <f t="shared" ref="O6:O30" si="1">G6*H6</f>
        <v>1748917.74891775</v>
      </c>
      <c r="P6" s="261"/>
    </row>
    <row r="7" ht="25.5" spans="1:16">
      <c r="A7" s="250" t="s">
        <v>1563</v>
      </c>
      <c r="B7" s="269" t="s">
        <v>1564</v>
      </c>
      <c r="C7" s="261" t="s">
        <v>1565</v>
      </c>
      <c r="D7" s="261" t="s">
        <v>1561</v>
      </c>
      <c r="E7" s="265" t="s">
        <v>1566</v>
      </c>
      <c r="F7" s="250" t="s">
        <v>28</v>
      </c>
      <c r="G7" s="252">
        <v>50000</v>
      </c>
      <c r="H7" s="260">
        <f t="shared" si="0"/>
        <v>4.37229437229437</v>
      </c>
      <c r="I7" s="260">
        <v>4.26900432900433</v>
      </c>
      <c r="J7" s="260">
        <v>0</v>
      </c>
      <c r="K7" s="260">
        <v>0.06</v>
      </c>
      <c r="L7" s="266">
        <f>(I7+J7+K7)*'2-报价汇总'!$H$5</f>
        <v>0.0432900432900433</v>
      </c>
      <c r="M7" s="267">
        <f>(I7+J7+K7+L7)*'2-报价汇总'!$I$5</f>
        <v>0</v>
      </c>
      <c r="N7" s="267">
        <f>(M7+L7+K7+J7+I7)*'2-报价汇总'!$J$5</f>
        <v>0</v>
      </c>
      <c r="O7" s="268">
        <f t="shared" si="1"/>
        <v>218614.718614719</v>
      </c>
      <c r="P7" s="261"/>
    </row>
    <row r="8" ht="25.5" spans="1:16">
      <c r="A8" s="250" t="s">
        <v>1567</v>
      </c>
      <c r="B8" s="269" t="s">
        <v>1568</v>
      </c>
      <c r="C8" s="261" t="s">
        <v>1565</v>
      </c>
      <c r="D8" s="261" t="s">
        <v>1561</v>
      </c>
      <c r="E8" s="261" t="s">
        <v>170</v>
      </c>
      <c r="F8" s="250" t="s">
        <v>28</v>
      </c>
      <c r="G8" s="252">
        <v>6316.79266980658</v>
      </c>
      <c r="H8" s="260">
        <f t="shared" si="0"/>
        <v>122.424242424242</v>
      </c>
      <c r="I8" s="260">
        <v>16.2121212121212</v>
      </c>
      <c r="J8" s="260">
        <v>5</v>
      </c>
      <c r="K8" s="260">
        <v>100</v>
      </c>
      <c r="L8" s="266">
        <f>(I8+J8+K8)*'2-报价汇总'!$H$5</f>
        <v>1.21212121212121</v>
      </c>
      <c r="M8" s="267">
        <f>(I8+J8+K8+L8)*'2-报价汇总'!$I$5</f>
        <v>0</v>
      </c>
      <c r="N8" s="267">
        <f>(M8+L8+K8+J8+I8)*'2-报价汇总'!$J$5</f>
        <v>0</v>
      </c>
      <c r="O8" s="268">
        <f t="shared" si="1"/>
        <v>773328.557152078</v>
      </c>
      <c r="P8" s="261"/>
    </row>
    <row r="9" ht="24.75" spans="1:16">
      <c r="A9" s="250" t="s">
        <v>1569</v>
      </c>
      <c r="B9" s="269" t="s">
        <v>1570</v>
      </c>
      <c r="C9" s="261"/>
      <c r="D9" s="261"/>
      <c r="E9" s="261" t="s">
        <v>1571</v>
      </c>
      <c r="F9" s="263" t="s">
        <v>1572</v>
      </c>
      <c r="G9" s="252">
        <v>911.514093767184</v>
      </c>
      <c r="H9" s="260">
        <f t="shared" si="0"/>
        <v>765.151515151516</v>
      </c>
      <c r="I9" s="260">
        <v>257.575757575758</v>
      </c>
      <c r="J9" s="260">
        <v>0</v>
      </c>
      <c r="K9" s="260">
        <v>500</v>
      </c>
      <c r="L9" s="266">
        <f>(I9+J9+K9)*'2-报价汇总'!$H$5</f>
        <v>7.57575757575758</v>
      </c>
      <c r="M9" s="267">
        <f>(I9+J9+K9+L9)*'2-报价汇总'!$I$5</f>
        <v>0</v>
      </c>
      <c r="N9" s="267">
        <f>(M9+L9+K9+J9+I9)*'2-报价汇总'!$J$5</f>
        <v>0</v>
      </c>
      <c r="O9" s="268">
        <f t="shared" si="1"/>
        <v>697446.389927921</v>
      </c>
      <c r="P9" s="261"/>
    </row>
    <row r="10" ht="25.5" spans="1:16">
      <c r="A10" s="250" t="s">
        <v>1573</v>
      </c>
      <c r="B10" s="269" t="s">
        <v>1574</v>
      </c>
      <c r="C10" s="261" t="s">
        <v>1575</v>
      </c>
      <c r="D10" s="261" t="s">
        <v>1576</v>
      </c>
      <c r="E10" s="261" t="s">
        <v>1577</v>
      </c>
      <c r="F10" s="263" t="s">
        <v>1578</v>
      </c>
      <c r="G10" s="252">
        <v>95565.348817749</v>
      </c>
      <c r="H10" s="260">
        <f t="shared" si="0"/>
        <v>112.5544</v>
      </c>
      <c r="I10" s="260">
        <v>49.9</v>
      </c>
      <c r="J10" s="260">
        <v>55.94</v>
      </c>
      <c r="K10" s="260">
        <v>5.6</v>
      </c>
      <c r="L10" s="266">
        <f>(I10+J10+K10)*'2-报价汇总'!$H$5</f>
        <v>1.1144</v>
      </c>
      <c r="M10" s="267">
        <f>(I10+J10+K10+L10)*'2-报价汇总'!$I$5</f>
        <v>0</v>
      </c>
      <c r="N10" s="267">
        <f>(M10+L10+K10+J10+I10)*'2-报价汇总'!$J$5</f>
        <v>0</v>
      </c>
      <c r="O10" s="268">
        <f t="shared" si="1"/>
        <v>10756300.4969724</v>
      </c>
      <c r="P10" s="270"/>
    </row>
    <row r="11" ht="25.5" spans="1:16">
      <c r="A11" s="250" t="s">
        <v>1579</v>
      </c>
      <c r="B11" s="269" t="s">
        <v>1574</v>
      </c>
      <c r="C11" s="261" t="s">
        <v>1580</v>
      </c>
      <c r="D11" s="261" t="s">
        <v>1576</v>
      </c>
      <c r="E11" s="261" t="s">
        <v>1577</v>
      </c>
      <c r="F11" s="263" t="s">
        <v>1578</v>
      </c>
      <c r="G11" s="252">
        <v>95565.348817749</v>
      </c>
      <c r="H11" s="260">
        <f t="shared" si="0"/>
        <v>51.9443</v>
      </c>
      <c r="I11" s="260">
        <v>23.03</v>
      </c>
      <c r="J11" s="260">
        <v>25</v>
      </c>
      <c r="K11" s="260">
        <v>3.4</v>
      </c>
      <c r="L11" s="266">
        <f>(I11+J11+K11)*'2-报价汇总'!$H$5</f>
        <v>0.5143</v>
      </c>
      <c r="M11" s="267">
        <f>(I11+J11+K11+L11)*'2-报价汇总'!$I$5</f>
        <v>0</v>
      </c>
      <c r="N11" s="267">
        <f>(M11+L11+K11+J11+I11)*'2-报价汇总'!$J$5</f>
        <v>0</v>
      </c>
      <c r="O11" s="268">
        <f t="shared" si="1"/>
        <v>4964075.1485938</v>
      </c>
      <c r="P11" s="270"/>
    </row>
    <row r="12" ht="38.25" spans="1:16">
      <c r="A12" s="250" t="s">
        <v>1581</v>
      </c>
      <c r="B12" s="269" t="s">
        <v>1582</v>
      </c>
      <c r="C12" s="261" t="s">
        <v>1583</v>
      </c>
      <c r="D12" s="261" t="s">
        <v>1584</v>
      </c>
      <c r="E12" s="261" t="s">
        <v>1585</v>
      </c>
      <c r="F12" s="263" t="s">
        <v>28</v>
      </c>
      <c r="G12" s="252">
        <v>2033697.32488584</v>
      </c>
      <c r="H12" s="260">
        <f t="shared" si="0"/>
        <v>21.6443</v>
      </c>
      <c r="I12" s="260">
        <v>10.39</v>
      </c>
      <c r="J12" s="260">
        <v>10</v>
      </c>
      <c r="K12" s="260">
        <v>1.04</v>
      </c>
      <c r="L12" s="266">
        <f>(I12+J12+K12)*'2-报价汇总'!$H$5</f>
        <v>0.2143</v>
      </c>
      <c r="M12" s="267">
        <f>(I12+J12+K12+L12)*'2-报价汇总'!$I$5</f>
        <v>0</v>
      </c>
      <c r="N12" s="267">
        <f>(M12+L12+K12+J12+I12)*'2-报价汇总'!$J$5</f>
        <v>0</v>
      </c>
      <c r="O12" s="268">
        <f t="shared" si="1"/>
        <v>44017955.0090266</v>
      </c>
      <c r="P12" s="270"/>
    </row>
    <row r="13" spans="1:16">
      <c r="A13" s="262"/>
      <c r="B13" s="271" t="s">
        <v>158</v>
      </c>
      <c r="C13" s="272"/>
      <c r="D13" s="272"/>
      <c r="E13" s="272"/>
      <c r="F13" s="273"/>
      <c r="G13" s="252"/>
      <c r="H13" s="260"/>
      <c r="I13" s="260"/>
      <c r="J13" s="274"/>
      <c r="K13" s="274"/>
      <c r="L13" s="274"/>
      <c r="M13" s="274"/>
      <c r="N13" s="274"/>
      <c r="O13" s="268"/>
      <c r="P13" s="261"/>
    </row>
    <row r="14" spans="1:16">
      <c r="A14" s="250"/>
      <c r="B14" s="257" t="s">
        <v>1586</v>
      </c>
      <c r="C14" s="272"/>
      <c r="D14" s="272"/>
      <c r="E14" s="272"/>
      <c r="F14" s="263"/>
      <c r="G14" s="252"/>
      <c r="H14" s="260"/>
      <c r="I14" s="260"/>
      <c r="J14" s="260"/>
      <c r="K14" s="260"/>
      <c r="L14" s="260"/>
      <c r="M14" s="260"/>
      <c r="N14" s="260"/>
      <c r="O14" s="268"/>
      <c r="P14" s="261"/>
    </row>
    <row r="15" spans="1:16">
      <c r="A15" s="262" t="s">
        <v>1587</v>
      </c>
      <c r="B15" s="256" t="s">
        <v>1588</v>
      </c>
      <c r="C15" s="272"/>
      <c r="D15" s="272"/>
      <c r="E15" s="272"/>
      <c r="F15" s="263"/>
      <c r="G15" s="252"/>
      <c r="H15" s="260"/>
      <c r="I15" s="260"/>
      <c r="J15" s="260"/>
      <c r="K15" s="260"/>
      <c r="L15" s="260"/>
      <c r="M15" s="260"/>
      <c r="N15" s="260"/>
      <c r="O15" s="268"/>
      <c r="P15" s="261"/>
    </row>
    <row r="16" ht="38.25" spans="1:16">
      <c r="A16" s="250" t="s">
        <v>1589</v>
      </c>
      <c r="B16" s="269" t="s">
        <v>1590</v>
      </c>
      <c r="C16" s="261" t="s">
        <v>1591</v>
      </c>
      <c r="D16" s="261" t="s">
        <v>1561</v>
      </c>
      <c r="E16" s="261" t="s">
        <v>1592</v>
      </c>
      <c r="F16" s="250" t="s">
        <v>28</v>
      </c>
      <c r="G16" s="252">
        <v>5000</v>
      </c>
      <c r="H16" s="260">
        <f>SUM(I16:N16)</f>
        <v>54.2164502164502</v>
      </c>
      <c r="I16" s="260">
        <v>23.4096536796537</v>
      </c>
      <c r="J16" s="260">
        <v>29.93</v>
      </c>
      <c r="K16" s="260">
        <v>0.34</v>
      </c>
      <c r="L16" s="266">
        <f>(I16+J16+K16)*'2-报价汇总'!$H$5</f>
        <v>0.536796536796537</v>
      </c>
      <c r="M16" s="267">
        <f>(I16+J16+K16+L16)*'2-报价汇总'!$I$5</f>
        <v>0</v>
      </c>
      <c r="N16" s="267">
        <f>(M16+L16+K16+J16+I16)*'2-报价汇总'!$J$5</f>
        <v>0</v>
      </c>
      <c r="O16" s="268">
        <f t="shared" si="1"/>
        <v>271082.251082251</v>
      </c>
      <c r="P16" s="261"/>
    </row>
    <row r="17" ht="51" spans="1:16">
      <c r="A17" s="250" t="s">
        <v>1593</v>
      </c>
      <c r="B17" s="269" t="s">
        <v>1594</v>
      </c>
      <c r="C17" s="261" t="s">
        <v>1595</v>
      </c>
      <c r="D17" s="261" t="s">
        <v>1561</v>
      </c>
      <c r="E17" s="261" t="s">
        <v>1592</v>
      </c>
      <c r="F17" s="250" t="s">
        <v>28</v>
      </c>
      <c r="G17" s="252">
        <v>5000</v>
      </c>
      <c r="H17" s="260">
        <f>SUM(I17:N17)</f>
        <v>74.3290043290043</v>
      </c>
      <c r="I17" s="260">
        <v>36.2030735930736</v>
      </c>
      <c r="J17" s="260">
        <v>37</v>
      </c>
      <c r="K17" s="260">
        <v>0.39</v>
      </c>
      <c r="L17" s="266">
        <f>(I17+J17+K17)*'2-报价汇总'!$H$5</f>
        <v>0.735930735930736</v>
      </c>
      <c r="M17" s="267">
        <f>(I17+J17+K17+L17)*'2-报价汇总'!$I$5</f>
        <v>0</v>
      </c>
      <c r="N17" s="267">
        <f>(M17+L17+K17+J17+I17)*'2-报价汇总'!$J$5</f>
        <v>0</v>
      </c>
      <c r="O17" s="268">
        <f t="shared" si="1"/>
        <v>371645.021645022</v>
      </c>
      <c r="P17" s="261"/>
    </row>
    <row r="18" ht="38.25" spans="1:16">
      <c r="A18" s="250" t="s">
        <v>1596</v>
      </c>
      <c r="B18" s="269" t="s">
        <v>1597</v>
      </c>
      <c r="C18" s="261" t="s">
        <v>1598</v>
      </c>
      <c r="D18" s="261" t="s">
        <v>1561</v>
      </c>
      <c r="E18" s="261" t="s">
        <v>1592</v>
      </c>
      <c r="F18" s="250" t="s">
        <v>28</v>
      </c>
      <c r="G18" s="252">
        <v>5000</v>
      </c>
      <c r="H18" s="260">
        <f>SUM(I18:N18)</f>
        <v>100.56277056277</v>
      </c>
      <c r="I18" s="260">
        <v>29.1570995670995</v>
      </c>
      <c r="J18" s="260">
        <v>70</v>
      </c>
      <c r="K18" s="260">
        <v>0.41</v>
      </c>
      <c r="L18" s="266">
        <f>(I18+J18+K18)*'2-报价汇总'!$H$5</f>
        <v>0.995670995670995</v>
      </c>
      <c r="M18" s="267">
        <f>(I18+J18+K18+L18)*'2-报价汇总'!$I$5</f>
        <v>0</v>
      </c>
      <c r="N18" s="267">
        <f>(M18+L18+K18+J18+I18)*'2-报价汇总'!$J$5</f>
        <v>0</v>
      </c>
      <c r="O18" s="268">
        <f t="shared" si="1"/>
        <v>502813.852813852</v>
      </c>
      <c r="P18" s="261"/>
    </row>
    <row r="19" ht="51" spans="1:16">
      <c r="A19" s="250" t="s">
        <v>1599</v>
      </c>
      <c r="B19" s="269" t="s">
        <v>1600</v>
      </c>
      <c r="C19" s="261" t="s">
        <v>1601</v>
      </c>
      <c r="D19" s="261" t="s">
        <v>1561</v>
      </c>
      <c r="E19" s="261" t="s">
        <v>1592</v>
      </c>
      <c r="F19" s="250" t="s">
        <v>28</v>
      </c>
      <c r="G19" s="252">
        <v>5000</v>
      </c>
      <c r="H19" s="260">
        <f>SUM(I19:N19)</f>
        <v>480.952380952381</v>
      </c>
      <c r="I19" s="260">
        <v>186.890476190476</v>
      </c>
      <c r="J19" s="260">
        <v>280</v>
      </c>
      <c r="K19" s="260">
        <v>9.3</v>
      </c>
      <c r="L19" s="266">
        <f>(I19+J19+K19)*'2-报价汇总'!$H$5</f>
        <v>4.76190476190476</v>
      </c>
      <c r="M19" s="267">
        <f>(I19+J19+K19+L19)*'2-报价汇总'!$I$5</f>
        <v>0</v>
      </c>
      <c r="N19" s="267">
        <f>(M19+L19+K19+J19+I19)*'2-报价汇总'!$J$5</f>
        <v>0</v>
      </c>
      <c r="O19" s="268">
        <f t="shared" si="1"/>
        <v>2404761.9047619</v>
      </c>
      <c r="P19" s="261"/>
    </row>
    <row r="20" spans="1:16">
      <c r="A20" s="262"/>
      <c r="B20" s="271" t="s">
        <v>158</v>
      </c>
      <c r="C20" s="272"/>
      <c r="D20" s="272"/>
      <c r="E20" s="272"/>
      <c r="F20" s="273"/>
      <c r="G20" s="252"/>
      <c r="H20" s="260"/>
      <c r="I20" s="274"/>
      <c r="J20" s="274"/>
      <c r="K20" s="274"/>
      <c r="L20" s="274"/>
      <c r="M20" s="274"/>
      <c r="N20" s="274"/>
      <c r="O20" s="268"/>
      <c r="P20" s="261"/>
    </row>
    <row r="21" spans="1:16">
      <c r="A21" s="250"/>
      <c r="B21" s="257" t="s">
        <v>1586</v>
      </c>
      <c r="C21" s="272"/>
      <c r="D21" s="272"/>
      <c r="E21" s="272"/>
      <c r="F21" s="263"/>
      <c r="G21" s="252"/>
      <c r="H21" s="260"/>
      <c r="I21" s="260"/>
      <c r="J21" s="260"/>
      <c r="K21" s="260"/>
      <c r="L21" s="260"/>
      <c r="M21" s="260"/>
      <c r="N21" s="260"/>
      <c r="O21" s="268"/>
      <c r="P21" s="261"/>
    </row>
    <row r="22" spans="1:16">
      <c r="A22" s="262" t="s">
        <v>1602</v>
      </c>
      <c r="B22" s="256" t="s">
        <v>1603</v>
      </c>
      <c r="C22" s="272"/>
      <c r="D22" s="272"/>
      <c r="E22" s="272"/>
      <c r="F22" s="263"/>
      <c r="G22" s="252"/>
      <c r="H22" s="260"/>
      <c r="I22" s="260"/>
      <c r="J22" s="260"/>
      <c r="K22" s="260"/>
      <c r="L22" s="260"/>
      <c r="M22" s="260"/>
      <c r="N22" s="260"/>
      <c r="O22" s="268"/>
      <c r="P22" s="261"/>
    </row>
    <row r="23" ht="51" spans="1:16">
      <c r="A23" s="250" t="s">
        <v>1604</v>
      </c>
      <c r="B23" s="269" t="s">
        <v>1605</v>
      </c>
      <c r="C23" s="261" t="s">
        <v>1606</v>
      </c>
      <c r="D23" s="261" t="s">
        <v>1607</v>
      </c>
      <c r="E23" s="261" t="s">
        <v>1608</v>
      </c>
      <c r="F23" s="250" t="s">
        <v>28</v>
      </c>
      <c r="G23" s="252">
        <v>5000</v>
      </c>
      <c r="H23" s="260">
        <f t="shared" ref="H23:H30" si="2">SUM(I23:N23)</f>
        <v>1202.38095238095</v>
      </c>
      <c r="I23" s="260">
        <v>262.33619047619</v>
      </c>
      <c r="J23" s="260">
        <v>900</v>
      </c>
      <c r="K23" s="260">
        <v>28.14</v>
      </c>
      <c r="L23" s="266">
        <f>(I23+J23+K23)*'2-报价汇总'!$H$5</f>
        <v>11.9047619047619</v>
      </c>
      <c r="M23" s="267">
        <f>(I23+J23+K23+L23)*'2-报价汇总'!$I$5</f>
        <v>0</v>
      </c>
      <c r="N23" s="267">
        <f>(M23+L23+K23+J23+I23)*'2-报价汇总'!$J$5</f>
        <v>0</v>
      </c>
      <c r="O23" s="268">
        <f t="shared" si="1"/>
        <v>6011904.76190476</v>
      </c>
      <c r="P23" s="261"/>
    </row>
    <row r="24" ht="51" spans="1:16">
      <c r="A24" s="250" t="s">
        <v>1609</v>
      </c>
      <c r="B24" s="269" t="s">
        <v>1610</v>
      </c>
      <c r="C24" s="261" t="s">
        <v>1611</v>
      </c>
      <c r="D24" s="261" t="s">
        <v>1216</v>
      </c>
      <c r="E24" s="261" t="s">
        <v>1608</v>
      </c>
      <c r="F24" s="250" t="s">
        <v>28</v>
      </c>
      <c r="G24" s="252">
        <v>5000</v>
      </c>
      <c r="H24" s="260">
        <f t="shared" si="2"/>
        <v>1049.35064935065</v>
      </c>
      <c r="I24" s="260">
        <v>233.961038961039</v>
      </c>
      <c r="J24" s="260">
        <v>800</v>
      </c>
      <c r="K24" s="260">
        <v>5</v>
      </c>
      <c r="L24" s="266">
        <f>(I24+J24+K24)*'2-报价汇总'!$H$5</f>
        <v>10.3896103896104</v>
      </c>
      <c r="M24" s="267">
        <f>(I24+J24+K24+L24)*'2-报价汇总'!$I$5</f>
        <v>0</v>
      </c>
      <c r="N24" s="267">
        <f>(M24+L24+K24+J24+I24)*'2-报价汇总'!$J$5</f>
        <v>0</v>
      </c>
      <c r="O24" s="268">
        <f t="shared" si="1"/>
        <v>5246753.24675325</v>
      </c>
      <c r="P24" s="261"/>
    </row>
    <row r="25" ht="51" spans="1:16">
      <c r="A25" s="250" t="s">
        <v>1612</v>
      </c>
      <c r="B25" s="269" t="s">
        <v>1613</v>
      </c>
      <c r="C25" s="261" t="s">
        <v>1614</v>
      </c>
      <c r="D25" s="261" t="s">
        <v>1607</v>
      </c>
      <c r="E25" s="261" t="s">
        <v>1608</v>
      </c>
      <c r="F25" s="250" t="s">
        <v>28</v>
      </c>
      <c r="G25" s="252">
        <v>5000</v>
      </c>
      <c r="H25" s="260">
        <f t="shared" si="2"/>
        <v>839.480519480519</v>
      </c>
      <c r="I25" s="260">
        <v>253.028831168831</v>
      </c>
      <c r="J25" s="260">
        <v>550</v>
      </c>
      <c r="K25" s="260">
        <v>28.14</v>
      </c>
      <c r="L25" s="266">
        <f>(I25+J25+K25)*'2-报价汇总'!$H$5</f>
        <v>8.31168831168831</v>
      </c>
      <c r="M25" s="267">
        <f>(I25+J25+K25+L25)*'2-报价汇总'!$I$5</f>
        <v>0</v>
      </c>
      <c r="N25" s="267">
        <f>(M25+L25+K25+J25+I25)*'2-报价汇总'!$J$5</f>
        <v>0</v>
      </c>
      <c r="O25" s="268">
        <f t="shared" si="1"/>
        <v>4197402.5974026</v>
      </c>
      <c r="P25" s="261"/>
    </row>
    <row r="26" ht="51" spans="1:16">
      <c r="A26" s="250" t="s">
        <v>1615</v>
      </c>
      <c r="B26" s="269" t="s">
        <v>1616</v>
      </c>
      <c r="C26" s="261" t="s">
        <v>1617</v>
      </c>
      <c r="D26" s="261" t="s">
        <v>1607</v>
      </c>
      <c r="E26" s="261" t="s">
        <v>1608</v>
      </c>
      <c r="F26" s="250" t="s">
        <v>28</v>
      </c>
      <c r="G26" s="252">
        <v>5000</v>
      </c>
      <c r="H26" s="260">
        <f t="shared" si="2"/>
        <v>1202.38095238095</v>
      </c>
      <c r="I26" s="260">
        <v>211.47619047619</v>
      </c>
      <c r="J26" s="260">
        <v>950</v>
      </c>
      <c r="K26" s="260">
        <v>29</v>
      </c>
      <c r="L26" s="266">
        <f>(I26+J26+K26)*'2-报价汇总'!$H$5</f>
        <v>11.9047619047619</v>
      </c>
      <c r="M26" s="267">
        <f>(I26+J26+K26+L26)*'2-报价汇总'!$I$5</f>
        <v>0</v>
      </c>
      <c r="N26" s="267">
        <f>(M26+L26+K26+J26+I26)*'2-报价汇总'!$J$5</f>
        <v>0</v>
      </c>
      <c r="O26" s="268">
        <f t="shared" si="1"/>
        <v>6011904.76190476</v>
      </c>
      <c r="P26" s="261"/>
    </row>
    <row r="27" ht="38.25" spans="1:16">
      <c r="A27" s="250" t="s">
        <v>1618</v>
      </c>
      <c r="B27" s="269" t="s">
        <v>1619</v>
      </c>
      <c r="C27" s="261" t="s">
        <v>1620</v>
      </c>
      <c r="D27" s="261" t="s">
        <v>1561</v>
      </c>
      <c r="E27" s="261" t="s">
        <v>1608</v>
      </c>
      <c r="F27" s="250" t="s">
        <v>28</v>
      </c>
      <c r="G27" s="252">
        <v>500</v>
      </c>
      <c r="H27" s="260">
        <f t="shared" si="2"/>
        <v>1311.68831168831</v>
      </c>
      <c r="I27" s="260">
        <v>263.701298701299</v>
      </c>
      <c r="J27" s="260">
        <v>1000</v>
      </c>
      <c r="K27" s="260">
        <v>35</v>
      </c>
      <c r="L27" s="266">
        <f>(I27+J27+K27)*'2-报价汇总'!$H$5</f>
        <v>12.987012987013</v>
      </c>
      <c r="M27" s="267">
        <f>(I27+J27+K27+L27)*'2-报价汇总'!$I$5</f>
        <v>0</v>
      </c>
      <c r="N27" s="267">
        <f>(M27+L27+K27+J27+I27)*'2-报价汇总'!$J$5</f>
        <v>0</v>
      </c>
      <c r="O27" s="268">
        <f t="shared" si="1"/>
        <v>655844.155844156</v>
      </c>
      <c r="P27" s="261"/>
    </row>
    <row r="28" ht="51" spans="1:16">
      <c r="A28" s="250" t="s">
        <v>1621</v>
      </c>
      <c r="B28" s="269" t="s">
        <v>1622</v>
      </c>
      <c r="C28" s="261" t="s">
        <v>1623</v>
      </c>
      <c r="D28" s="261" t="s">
        <v>1561</v>
      </c>
      <c r="E28" s="261" t="s">
        <v>1608</v>
      </c>
      <c r="F28" s="250" t="s">
        <v>1624</v>
      </c>
      <c r="G28" s="252">
        <v>400</v>
      </c>
      <c r="H28" s="260">
        <f t="shared" si="2"/>
        <v>5211.77489177489</v>
      </c>
      <c r="I28" s="260">
        <v>944.30316017316</v>
      </c>
      <c r="J28" s="260">
        <v>4200</v>
      </c>
      <c r="K28" s="260">
        <v>15.87</v>
      </c>
      <c r="L28" s="266">
        <f>(I28+J28+K28)*'2-报价汇总'!$H$5</f>
        <v>51.6017316017316</v>
      </c>
      <c r="M28" s="267">
        <f>(I28+J28+K28+L28)*'2-报价汇总'!$I$5</f>
        <v>0</v>
      </c>
      <c r="N28" s="267">
        <f>(M28+L28+K28+J28+I28)*'2-报价汇总'!$J$5</f>
        <v>0</v>
      </c>
      <c r="O28" s="268">
        <f t="shared" si="1"/>
        <v>2084709.95670996</v>
      </c>
      <c r="P28" s="261"/>
    </row>
    <row r="29" ht="51" spans="1:16">
      <c r="A29" s="250" t="s">
        <v>1625</v>
      </c>
      <c r="B29" s="269" t="s">
        <v>1626</v>
      </c>
      <c r="C29" s="261" t="s">
        <v>1627</v>
      </c>
      <c r="D29" s="261" t="s">
        <v>1561</v>
      </c>
      <c r="E29" s="261" t="s">
        <v>340</v>
      </c>
      <c r="F29" s="250" t="s">
        <v>1624</v>
      </c>
      <c r="G29" s="252">
        <v>400</v>
      </c>
      <c r="H29" s="260">
        <f t="shared" si="2"/>
        <v>6392.29437229437</v>
      </c>
      <c r="I29" s="260">
        <v>1100.14432900433</v>
      </c>
      <c r="J29" s="260">
        <v>5200</v>
      </c>
      <c r="K29" s="260">
        <v>28.86</v>
      </c>
      <c r="L29" s="266">
        <f>(I29+J29+K29)*'2-报价汇总'!$H$5</f>
        <v>63.2900432900433</v>
      </c>
      <c r="M29" s="267">
        <f>(I29+J29+K29+L29)*'2-报价汇总'!$I$5</f>
        <v>0</v>
      </c>
      <c r="N29" s="267">
        <f>(M29+L29+K29+J29+I29)*'2-报价汇总'!$J$5</f>
        <v>0</v>
      </c>
      <c r="O29" s="268">
        <f t="shared" si="1"/>
        <v>2556917.74891775</v>
      </c>
      <c r="P29" s="261"/>
    </row>
    <row r="30" ht="25.5" spans="1:16">
      <c r="A30" s="250" t="s">
        <v>1628</v>
      </c>
      <c r="B30" s="269" t="s">
        <v>1629</v>
      </c>
      <c r="C30" s="261" t="s">
        <v>1630</v>
      </c>
      <c r="D30" s="261" t="s">
        <v>1561</v>
      </c>
      <c r="E30" s="261" t="s">
        <v>1442</v>
      </c>
      <c r="F30" s="250" t="s">
        <v>28</v>
      </c>
      <c r="G30" s="252">
        <v>500</v>
      </c>
      <c r="H30" s="260">
        <f t="shared" si="2"/>
        <v>174.891774891775</v>
      </c>
      <c r="I30" s="260">
        <v>92.0601731601731</v>
      </c>
      <c r="J30" s="260">
        <v>80</v>
      </c>
      <c r="K30" s="260">
        <v>1.1</v>
      </c>
      <c r="L30" s="266">
        <f>(I30+J30+K30)*'2-报价汇总'!$H$5</f>
        <v>1.73160173160173</v>
      </c>
      <c r="M30" s="267">
        <f>(I30+J30+K30+L30)*'2-报价汇总'!$I$5</f>
        <v>0</v>
      </c>
      <c r="N30" s="267">
        <f>(M30+L30+K30+J30+I30)*'2-报价汇总'!$J$5</f>
        <v>0</v>
      </c>
      <c r="O30" s="268">
        <f t="shared" si="1"/>
        <v>87445.8874458874</v>
      </c>
      <c r="P30" s="261"/>
    </row>
    <row r="31" spans="1:16">
      <c r="A31" s="262"/>
      <c r="B31" s="271" t="s">
        <v>158</v>
      </c>
      <c r="C31" s="272"/>
      <c r="D31" s="272"/>
      <c r="E31" s="272"/>
      <c r="F31" s="273"/>
      <c r="G31" s="252"/>
      <c r="H31" s="260"/>
      <c r="I31" s="274"/>
      <c r="J31" s="274"/>
      <c r="K31" s="274"/>
      <c r="L31" s="274"/>
      <c r="M31" s="274"/>
      <c r="N31" s="274"/>
      <c r="O31" s="268"/>
      <c r="P31" s="261"/>
    </row>
    <row r="32" spans="1:16">
      <c r="A32" s="250"/>
      <c r="B32" s="257" t="s">
        <v>1219</v>
      </c>
      <c r="C32" s="272"/>
      <c r="D32" s="272"/>
      <c r="E32" s="272"/>
      <c r="F32" s="263"/>
      <c r="G32" s="252"/>
      <c r="H32" s="260"/>
      <c r="I32" s="260"/>
      <c r="J32" s="260"/>
      <c r="K32" s="260"/>
      <c r="L32" s="260"/>
      <c r="M32" s="260"/>
      <c r="N32" s="260"/>
      <c r="O32" s="268"/>
      <c r="P32" s="261"/>
    </row>
    <row r="33" spans="1:16">
      <c r="A33" s="262" t="s">
        <v>1631</v>
      </c>
      <c r="B33" s="256" t="s">
        <v>1632</v>
      </c>
      <c r="C33" s="272"/>
      <c r="D33" s="272"/>
      <c r="E33" s="272"/>
      <c r="F33" s="263"/>
      <c r="G33" s="252"/>
      <c r="H33" s="260"/>
      <c r="I33" s="260"/>
      <c r="J33" s="260"/>
      <c r="K33" s="260"/>
      <c r="L33" s="260"/>
      <c r="M33" s="260"/>
      <c r="N33" s="260"/>
      <c r="O33" s="268"/>
      <c r="P33" s="261"/>
    </row>
    <row r="34" ht="63.75" spans="1:16">
      <c r="A34" s="250" t="s">
        <v>1633</v>
      </c>
      <c r="B34" s="269" t="s">
        <v>1634</v>
      </c>
      <c r="C34" s="261" t="s">
        <v>1635</v>
      </c>
      <c r="D34" s="261" t="s">
        <v>1561</v>
      </c>
      <c r="E34" s="261" t="s">
        <v>1636</v>
      </c>
      <c r="F34" s="250" t="s">
        <v>28</v>
      </c>
      <c r="G34" s="252">
        <v>43548.2632031941</v>
      </c>
      <c r="H34" s="260">
        <f>SUM(I34:N34)</f>
        <v>345.586147186147</v>
      </c>
      <c r="I34" s="260">
        <v>116.794502164502</v>
      </c>
      <c r="J34" s="260">
        <v>220</v>
      </c>
      <c r="K34" s="260">
        <v>5.37</v>
      </c>
      <c r="L34" s="266">
        <f>(I34+J34+K34)*'2-报价汇总'!$H$5</f>
        <v>3.42164502164502</v>
      </c>
      <c r="M34" s="267">
        <f>(I34+J34+K34+L34)*'2-报价汇总'!$I$5</f>
        <v>0</v>
      </c>
      <c r="N34" s="267">
        <f>(M34+L34+K34+J34+I34)*'2-报价汇总'!$J$5</f>
        <v>0</v>
      </c>
      <c r="O34" s="268">
        <f t="shared" ref="O34:O66" si="3">G34*H34</f>
        <v>15049676.4970401</v>
      </c>
      <c r="P34" s="261"/>
    </row>
    <row r="35" ht="38.25" spans="1:16">
      <c r="A35" s="250" t="s">
        <v>1637</v>
      </c>
      <c r="B35" s="269" t="s">
        <v>1638</v>
      </c>
      <c r="C35" s="261" t="s">
        <v>1639</v>
      </c>
      <c r="D35" s="261" t="s">
        <v>1561</v>
      </c>
      <c r="E35" s="261" t="s">
        <v>346</v>
      </c>
      <c r="F35" s="250" t="s">
        <v>28</v>
      </c>
      <c r="G35" s="252">
        <v>43548.2632031941</v>
      </c>
      <c r="H35" s="260">
        <f>SUM(I35:N35)</f>
        <v>559.65367965368</v>
      </c>
      <c r="I35" s="260">
        <v>95.9725541125541</v>
      </c>
      <c r="J35" s="260">
        <v>450</v>
      </c>
      <c r="K35" s="260">
        <v>8.14</v>
      </c>
      <c r="L35" s="266">
        <f>(I35+J35+K35)*'2-报价汇总'!$H$5</f>
        <v>5.54112554112554</v>
      </c>
      <c r="M35" s="267">
        <f>(I35+J35+K35+L35)*'2-报价汇总'!$I$5</f>
        <v>0</v>
      </c>
      <c r="N35" s="267">
        <f>(M35+L35+K35+J35+I35)*'2-报价汇总'!$J$5</f>
        <v>0</v>
      </c>
      <c r="O35" s="268">
        <f t="shared" si="3"/>
        <v>24371945.7441945</v>
      </c>
      <c r="P35" s="261"/>
    </row>
    <row r="36" spans="1:16">
      <c r="A36" s="262"/>
      <c r="B36" s="271" t="s">
        <v>158</v>
      </c>
      <c r="C36" s="272"/>
      <c r="D36" s="272"/>
      <c r="E36" s="272"/>
      <c r="F36" s="273"/>
      <c r="G36" s="252"/>
      <c r="H36" s="260"/>
      <c r="I36" s="274"/>
      <c r="J36" s="274"/>
      <c r="K36" s="274"/>
      <c r="L36" s="274"/>
      <c r="M36" s="274"/>
      <c r="N36" s="274"/>
      <c r="O36" s="268"/>
      <c r="P36" s="261"/>
    </row>
    <row r="37" spans="1:16">
      <c r="A37" s="250"/>
      <c r="B37" s="257" t="s">
        <v>1586</v>
      </c>
      <c r="C37" s="272"/>
      <c r="D37" s="272"/>
      <c r="E37" s="272"/>
      <c r="F37" s="263"/>
      <c r="G37" s="252"/>
      <c r="H37" s="260"/>
      <c r="I37" s="260"/>
      <c r="J37" s="260"/>
      <c r="K37" s="260"/>
      <c r="L37" s="260"/>
      <c r="M37" s="260"/>
      <c r="N37" s="260"/>
      <c r="O37" s="268"/>
      <c r="P37" s="261"/>
    </row>
    <row r="38" spans="1:16">
      <c r="A38" s="262" t="s">
        <v>1640</v>
      </c>
      <c r="B38" s="256" t="s">
        <v>1641</v>
      </c>
      <c r="C38" s="272"/>
      <c r="D38" s="272"/>
      <c r="E38" s="272"/>
      <c r="F38" s="263"/>
      <c r="G38" s="252"/>
      <c r="H38" s="260"/>
      <c r="I38" s="260"/>
      <c r="J38" s="260"/>
      <c r="K38" s="260"/>
      <c r="L38" s="260"/>
      <c r="M38" s="260"/>
      <c r="N38" s="260"/>
      <c r="O38" s="268"/>
      <c r="P38" s="261"/>
    </row>
    <row r="39" ht="38.25" spans="1:16">
      <c r="A39" s="250" t="s">
        <v>1642</v>
      </c>
      <c r="B39" s="264" t="s">
        <v>1643</v>
      </c>
      <c r="C39" s="261" t="s">
        <v>1644</v>
      </c>
      <c r="D39" s="261" t="s">
        <v>1561</v>
      </c>
      <c r="E39" s="261" t="s">
        <v>1592</v>
      </c>
      <c r="F39" s="250" t="s">
        <v>28</v>
      </c>
      <c r="G39" s="252">
        <v>690830.510268487</v>
      </c>
      <c r="H39" s="260">
        <f t="shared" ref="H39:H66" si="4">SUM(I39:N39)</f>
        <v>402.251082251082</v>
      </c>
      <c r="I39" s="260">
        <v>138.268398268398</v>
      </c>
      <c r="J39" s="260">
        <v>240</v>
      </c>
      <c r="K39" s="260">
        <v>20</v>
      </c>
      <c r="L39" s="266">
        <f>(I39+J39+K39)*'2-报价汇总'!$H$5</f>
        <v>3.98268398268398</v>
      </c>
      <c r="M39" s="267">
        <f>(I39+J39+K39+L39)*'2-报价汇总'!$I$5</f>
        <v>0</v>
      </c>
      <c r="N39" s="267">
        <f>(M39+L39+K39+J39+I39)*'2-报价汇总'!$J$5</f>
        <v>0</v>
      </c>
      <c r="O39" s="268">
        <f t="shared" si="3"/>
        <v>277887320.407566</v>
      </c>
      <c r="P39" s="261"/>
    </row>
    <row r="40" ht="24" spans="1:16">
      <c r="A40" s="250" t="s">
        <v>1645</v>
      </c>
      <c r="B40" s="269" t="s">
        <v>1646</v>
      </c>
      <c r="C40" s="261" t="s">
        <v>1647</v>
      </c>
      <c r="D40" s="261" t="s">
        <v>1561</v>
      </c>
      <c r="E40" s="261" t="s">
        <v>1442</v>
      </c>
      <c r="F40" s="263" t="s">
        <v>1537</v>
      </c>
      <c r="G40" s="252">
        <v>911.514093767184</v>
      </c>
      <c r="H40" s="260">
        <f t="shared" si="4"/>
        <v>743.290043290043</v>
      </c>
      <c r="I40" s="260">
        <v>130.930735930736</v>
      </c>
      <c r="J40" s="260">
        <v>590</v>
      </c>
      <c r="K40" s="260">
        <v>15</v>
      </c>
      <c r="L40" s="266">
        <f>(I40+J40+K40)*'2-报价汇总'!$H$5</f>
        <v>7.35930735930736</v>
      </c>
      <c r="M40" s="267">
        <f>(I40+J40+K40+L40)*'2-报价汇总'!$I$5</f>
        <v>0</v>
      </c>
      <c r="N40" s="267">
        <f>(M40+L40+K40+J40+I40)*'2-报价汇总'!$J$5</f>
        <v>0</v>
      </c>
      <c r="O40" s="268">
        <f t="shared" si="3"/>
        <v>677519.350215695</v>
      </c>
      <c r="P40" s="261"/>
    </row>
    <row r="41" ht="51" spans="1:16">
      <c r="A41" s="250" t="s">
        <v>1648</v>
      </c>
      <c r="B41" s="264" t="s">
        <v>1649</v>
      </c>
      <c r="C41" s="261" t="s">
        <v>1650</v>
      </c>
      <c r="D41" s="261" t="s">
        <v>1561</v>
      </c>
      <c r="E41" s="261" t="s">
        <v>1592</v>
      </c>
      <c r="F41" s="250" t="s">
        <v>28</v>
      </c>
      <c r="G41" s="252">
        <v>29299.2127381835</v>
      </c>
      <c r="H41" s="260">
        <f t="shared" si="4"/>
        <v>629.610389610389</v>
      </c>
      <c r="I41" s="260">
        <v>103.376623376623</v>
      </c>
      <c r="J41" s="260">
        <v>500</v>
      </c>
      <c r="K41" s="260">
        <v>20</v>
      </c>
      <c r="L41" s="266">
        <f>(I41+J41+K41)*'2-报价汇总'!$H$5</f>
        <v>6.23376623376623</v>
      </c>
      <c r="M41" s="267">
        <f>(I41+J41+K41+L41)*'2-报价汇总'!$I$5</f>
        <v>0</v>
      </c>
      <c r="N41" s="267">
        <f>(M41+L41+K41+J41+I41)*'2-报价汇总'!$J$5</f>
        <v>0</v>
      </c>
      <c r="O41" s="268">
        <f t="shared" si="3"/>
        <v>18447088.7473654</v>
      </c>
      <c r="P41" s="261"/>
    </row>
    <row r="42" ht="38.25" spans="1:16">
      <c r="A42" s="250" t="s">
        <v>1651</v>
      </c>
      <c r="B42" s="264" t="s">
        <v>1643</v>
      </c>
      <c r="C42" s="275" t="s">
        <v>1652</v>
      </c>
      <c r="D42" s="261" t="s">
        <v>1561</v>
      </c>
      <c r="E42" s="261" t="s">
        <v>1592</v>
      </c>
      <c r="F42" s="250" t="s">
        <v>28</v>
      </c>
      <c r="G42" s="252">
        <v>8000</v>
      </c>
      <c r="H42" s="260">
        <f t="shared" si="4"/>
        <v>149.952207792208</v>
      </c>
      <c r="I42" s="260">
        <v>76.4675324675325</v>
      </c>
      <c r="J42" s="260">
        <v>60</v>
      </c>
      <c r="K42" s="260">
        <v>12</v>
      </c>
      <c r="L42" s="266">
        <f>(I42+J42+K42)*'2-报价汇总'!$H$5</f>
        <v>1.48467532467533</v>
      </c>
      <c r="M42" s="267">
        <f>(I42+J42+K42+L42)*'2-报价汇总'!$I$5</f>
        <v>0</v>
      </c>
      <c r="N42" s="267">
        <f>(M42+L42+K42+J42+I42)*'2-报价汇总'!$J$5</f>
        <v>0</v>
      </c>
      <c r="O42" s="268">
        <f t="shared" si="3"/>
        <v>1199617.66233766</v>
      </c>
      <c r="P42" s="261"/>
    </row>
    <row r="43" ht="51" spans="1:16">
      <c r="A43" s="250" t="s">
        <v>1653</v>
      </c>
      <c r="B43" s="269" t="s">
        <v>1654</v>
      </c>
      <c r="C43" s="261" t="s">
        <v>1655</v>
      </c>
      <c r="D43" s="261"/>
      <c r="E43" s="276" t="s">
        <v>1656</v>
      </c>
      <c r="F43" s="277" t="s">
        <v>28</v>
      </c>
      <c r="G43" s="252">
        <v>10000</v>
      </c>
      <c r="H43" s="267">
        <f t="shared" si="4"/>
        <v>679.191358803009</v>
      </c>
      <c r="I43" s="252">
        <v>104.116883116883</v>
      </c>
      <c r="J43" s="255">
        <v>542.349808767284</v>
      </c>
      <c r="K43" s="252">
        <v>26</v>
      </c>
      <c r="L43" s="266">
        <f>(I43+J43+K43)*'2-报价汇总'!$H$5</f>
        <v>6.72466691884167</v>
      </c>
      <c r="M43" s="267">
        <f>(I43+J43+K43+L43)*'2-报价汇总'!$I$5</f>
        <v>0</v>
      </c>
      <c r="N43" s="267">
        <f>(M43+L43+K43+J43+I43)*'2-报价汇总'!$J$5</f>
        <v>0</v>
      </c>
      <c r="O43" s="268">
        <f t="shared" si="3"/>
        <v>6791913.58803009</v>
      </c>
      <c r="P43" s="270"/>
    </row>
    <row r="44" ht="51" spans="1:16">
      <c r="A44" s="250" t="s">
        <v>1657</v>
      </c>
      <c r="B44" s="269" t="s">
        <v>1654</v>
      </c>
      <c r="C44" s="261" t="s">
        <v>1658</v>
      </c>
      <c r="D44" s="261" t="s">
        <v>1659</v>
      </c>
      <c r="E44" s="278" t="s">
        <v>1656</v>
      </c>
      <c r="F44" s="279" t="s">
        <v>1578</v>
      </c>
      <c r="G44" s="252">
        <v>10000</v>
      </c>
      <c r="H44" s="267">
        <f t="shared" si="4"/>
        <v>891.948051948052</v>
      </c>
      <c r="I44" s="252">
        <v>104.116883116883</v>
      </c>
      <c r="J44" s="252">
        <v>750</v>
      </c>
      <c r="K44" s="252">
        <v>29</v>
      </c>
      <c r="L44" s="266">
        <f>(I44+J44+K44)*'2-报价汇总'!$H$5</f>
        <v>8.83116883116883</v>
      </c>
      <c r="M44" s="267">
        <f>(I44+J44+K44+L44)*'2-报价汇总'!$I$5</f>
        <v>0</v>
      </c>
      <c r="N44" s="267">
        <f>(M44+L44+K44+J44+I44)*'2-报价汇总'!$J$5</f>
        <v>0</v>
      </c>
      <c r="O44" s="268">
        <f t="shared" si="3"/>
        <v>8919480.51948052</v>
      </c>
      <c r="P44" s="270"/>
    </row>
    <row r="45" ht="51" spans="1:16">
      <c r="A45" s="250" t="s">
        <v>1660</v>
      </c>
      <c r="B45" s="269" t="s">
        <v>1654</v>
      </c>
      <c r="C45" s="261" t="s">
        <v>1658</v>
      </c>
      <c r="D45" s="261" t="s">
        <v>1661</v>
      </c>
      <c r="E45" s="278" t="s">
        <v>1656</v>
      </c>
      <c r="F45" s="279" t="s">
        <v>1578</v>
      </c>
      <c r="G45" s="252">
        <v>10000</v>
      </c>
      <c r="H45" s="267">
        <f t="shared" si="4"/>
        <v>856.969696969696</v>
      </c>
      <c r="I45" s="252">
        <v>120.344848484848</v>
      </c>
      <c r="J45" s="252">
        <v>700</v>
      </c>
      <c r="K45" s="252">
        <v>28.14</v>
      </c>
      <c r="L45" s="266">
        <f>(I45+J45+K45)*'2-报价汇总'!$H$5</f>
        <v>8.48484848484848</v>
      </c>
      <c r="M45" s="267">
        <f>(I45+J45+K45+L45)*'2-报价汇总'!$I$5</f>
        <v>0</v>
      </c>
      <c r="N45" s="267">
        <f>(M45+L45+K45+J45+I45)*'2-报价汇总'!$J$5</f>
        <v>0</v>
      </c>
      <c r="O45" s="268">
        <f t="shared" si="3"/>
        <v>8569696.96969697</v>
      </c>
      <c r="P45" s="270"/>
    </row>
    <row r="46" ht="38.25" spans="1:16">
      <c r="A46" s="250" t="s">
        <v>1662</v>
      </c>
      <c r="B46" s="269" t="s">
        <v>1663</v>
      </c>
      <c r="C46" s="261" t="s">
        <v>1664</v>
      </c>
      <c r="D46" s="261" t="s">
        <v>1659</v>
      </c>
      <c r="E46" s="278" t="s">
        <v>1656</v>
      </c>
      <c r="F46" s="279" t="s">
        <v>1578</v>
      </c>
      <c r="G46" s="252">
        <v>1000</v>
      </c>
      <c r="H46" s="267">
        <f t="shared" si="4"/>
        <v>814.121212121212</v>
      </c>
      <c r="I46" s="252">
        <v>277.060606060606</v>
      </c>
      <c r="J46" s="252">
        <v>500</v>
      </c>
      <c r="K46" s="252">
        <v>29</v>
      </c>
      <c r="L46" s="266">
        <f>(I46+J46+K46)*'2-报价汇总'!$H$5</f>
        <v>8.06060606060606</v>
      </c>
      <c r="M46" s="267">
        <f>(I46+J46+K46+L46)*'2-报价汇总'!$I$5</f>
        <v>0</v>
      </c>
      <c r="N46" s="267">
        <f>(M46+L46+K46+J46+I46)*'2-报价汇总'!$J$5</f>
        <v>0</v>
      </c>
      <c r="O46" s="268">
        <f t="shared" si="3"/>
        <v>814121.212121212</v>
      </c>
      <c r="P46" s="270"/>
    </row>
    <row r="47" ht="38.25" spans="1:16">
      <c r="A47" s="250" t="s">
        <v>1665</v>
      </c>
      <c r="B47" s="269" t="s">
        <v>1663</v>
      </c>
      <c r="C47" s="261" t="s">
        <v>1664</v>
      </c>
      <c r="D47" s="261" t="s">
        <v>1661</v>
      </c>
      <c r="E47" s="278" t="s">
        <v>1656</v>
      </c>
      <c r="F47" s="279" t="s">
        <v>1578</v>
      </c>
      <c r="G47" s="252">
        <v>1000</v>
      </c>
      <c r="H47" s="267">
        <f t="shared" si="4"/>
        <v>773.021645021645</v>
      </c>
      <c r="I47" s="252">
        <v>236.367965367965</v>
      </c>
      <c r="J47" s="252">
        <v>500</v>
      </c>
      <c r="K47" s="252">
        <v>29</v>
      </c>
      <c r="L47" s="266">
        <f>(I47+J47+K47)*'2-报价汇总'!$H$5</f>
        <v>7.65367965367965</v>
      </c>
      <c r="M47" s="267">
        <f>(I47+J47+K47+L47)*'2-报价汇总'!$I$5</f>
        <v>0</v>
      </c>
      <c r="N47" s="267">
        <f>(M47+L47+K47+J47+I47)*'2-报价汇总'!$J$5</f>
        <v>0</v>
      </c>
      <c r="O47" s="268">
        <f t="shared" si="3"/>
        <v>773021.645021645</v>
      </c>
      <c r="P47" s="270"/>
    </row>
    <row r="48" ht="89.25" spans="1:16">
      <c r="A48" s="250" t="s">
        <v>1666</v>
      </c>
      <c r="B48" s="269" t="s">
        <v>1667</v>
      </c>
      <c r="C48" s="261" t="s">
        <v>1668</v>
      </c>
      <c r="D48" s="261" t="s">
        <v>1659</v>
      </c>
      <c r="E48" s="276" t="s">
        <v>1656</v>
      </c>
      <c r="F48" s="277" t="s">
        <v>28</v>
      </c>
      <c r="G48" s="252">
        <v>1000</v>
      </c>
      <c r="H48" s="267">
        <f t="shared" si="4"/>
        <v>800.724162568823</v>
      </c>
      <c r="I48" s="252">
        <v>120.344848484848</v>
      </c>
      <c r="J48" s="255">
        <v>644.311352078343</v>
      </c>
      <c r="K48" s="252">
        <v>28.14</v>
      </c>
      <c r="L48" s="266">
        <f>(I48+J48+K48)*'2-报价汇总'!$H$5</f>
        <v>7.92796200563191</v>
      </c>
      <c r="M48" s="267">
        <f>(I48+J48+K48+L48)*'2-报价汇总'!$I$5</f>
        <v>0</v>
      </c>
      <c r="N48" s="267">
        <f>(M48+L48+K48+J48+I48)*'2-报价汇总'!$J$5</f>
        <v>0</v>
      </c>
      <c r="O48" s="268">
        <f t="shared" si="3"/>
        <v>800724.162568823</v>
      </c>
      <c r="P48" s="270"/>
    </row>
    <row r="49" ht="89.25" spans="1:16">
      <c r="A49" s="250" t="s">
        <v>1669</v>
      </c>
      <c r="B49" s="269" t="s">
        <v>1667</v>
      </c>
      <c r="C49" s="261" t="s">
        <v>1670</v>
      </c>
      <c r="D49" s="261" t="s">
        <v>1661</v>
      </c>
      <c r="E49" s="276" t="s">
        <v>1656</v>
      </c>
      <c r="F49" s="277" t="s">
        <v>28</v>
      </c>
      <c r="G49" s="252">
        <v>1000</v>
      </c>
      <c r="H49" s="267">
        <f t="shared" si="4"/>
        <v>792.361618963561</v>
      </c>
      <c r="I49" s="252">
        <v>120.344848484848</v>
      </c>
      <c r="J49" s="255">
        <v>636.031605934519</v>
      </c>
      <c r="K49" s="252">
        <v>28.14</v>
      </c>
      <c r="L49" s="266">
        <f>(I49+J49+K49)*'2-报价汇总'!$H$5</f>
        <v>7.84516454419367</v>
      </c>
      <c r="M49" s="267">
        <f>(I49+J49+K49+L49)*'2-报价汇总'!$I$5</f>
        <v>0</v>
      </c>
      <c r="N49" s="267">
        <f>(M49+L49+K49+J49+I49)*'2-报价汇总'!$J$5</f>
        <v>0</v>
      </c>
      <c r="O49" s="268">
        <f t="shared" si="3"/>
        <v>792361.618963561</v>
      </c>
      <c r="P49" s="270"/>
    </row>
    <row r="50" ht="76.5" spans="1:16">
      <c r="A50" s="250" t="s">
        <v>1671</v>
      </c>
      <c r="B50" s="269" t="s">
        <v>1672</v>
      </c>
      <c r="C50" s="261" t="s">
        <v>1673</v>
      </c>
      <c r="D50" s="261" t="s">
        <v>1659</v>
      </c>
      <c r="E50" s="276" t="s">
        <v>1656</v>
      </c>
      <c r="F50" s="277" t="s">
        <v>28</v>
      </c>
      <c r="G50" s="252">
        <v>10000</v>
      </c>
      <c r="H50" s="267">
        <f t="shared" si="4"/>
        <v>1018.78703820451</v>
      </c>
      <c r="I50" s="255">
        <v>167.700037826251</v>
      </c>
      <c r="J50" s="255">
        <v>820</v>
      </c>
      <c r="K50" s="255">
        <v>21</v>
      </c>
      <c r="L50" s="266">
        <f>(I50+J50+K50)*'2-报价汇总'!$H$5</f>
        <v>10.0870003782625</v>
      </c>
      <c r="M50" s="267">
        <f>(I50+J50+K50+L50)*'2-报价汇总'!$I$5</f>
        <v>0</v>
      </c>
      <c r="N50" s="267">
        <f>(M50+L50+K50+J50+I50)*'2-报价汇总'!$J$5</f>
        <v>0</v>
      </c>
      <c r="O50" s="268">
        <f t="shared" si="3"/>
        <v>10187870.3820451</v>
      </c>
      <c r="P50" s="270"/>
    </row>
    <row r="51" ht="76.5" spans="1:16">
      <c r="A51" s="250" t="s">
        <v>1674</v>
      </c>
      <c r="B51" s="269" t="s">
        <v>1672</v>
      </c>
      <c r="C51" s="261" t="s">
        <v>1673</v>
      </c>
      <c r="D51" s="261" t="s">
        <v>1661</v>
      </c>
      <c r="E51" s="276" t="s">
        <v>1656</v>
      </c>
      <c r="F51" s="277" t="s">
        <v>28</v>
      </c>
      <c r="G51" s="252">
        <v>20000</v>
      </c>
      <c r="H51" s="267">
        <f t="shared" si="4"/>
        <v>933.888118354137</v>
      </c>
      <c r="I51" s="255">
        <v>167.700037826251</v>
      </c>
      <c r="J51" s="255">
        <v>735.941663514479</v>
      </c>
      <c r="K51" s="255">
        <v>21</v>
      </c>
      <c r="L51" s="266">
        <f>(I51+J51+K51)*'2-报价汇总'!$H$5</f>
        <v>9.2464170134073</v>
      </c>
      <c r="M51" s="267">
        <f>(I51+J51+K51+L51)*'2-报价汇总'!$I$5</f>
        <v>0</v>
      </c>
      <c r="N51" s="267">
        <f>(M51+L51+K51+J51+I51)*'2-报价汇总'!$J$5</f>
        <v>0</v>
      </c>
      <c r="O51" s="268">
        <f t="shared" si="3"/>
        <v>18677762.3670827</v>
      </c>
      <c r="P51" s="270"/>
    </row>
    <row r="52" ht="89.25" spans="1:16">
      <c r="A52" s="250" t="s">
        <v>1675</v>
      </c>
      <c r="B52" s="269" t="s">
        <v>1676</v>
      </c>
      <c r="C52" s="261" t="s">
        <v>1677</v>
      </c>
      <c r="D52" s="261" t="s">
        <v>1659</v>
      </c>
      <c r="E52" s="276" t="s">
        <v>1656</v>
      </c>
      <c r="F52" s="277" t="s">
        <v>28</v>
      </c>
      <c r="G52" s="252">
        <v>20000</v>
      </c>
      <c r="H52" s="267">
        <f t="shared" si="4"/>
        <v>925.3982263691</v>
      </c>
      <c r="I52" s="255">
        <v>165</v>
      </c>
      <c r="J52" s="255">
        <v>699.235867692178</v>
      </c>
      <c r="K52" s="255">
        <v>52</v>
      </c>
      <c r="L52" s="266">
        <f>(I52+J52+K52)*'2-报价汇总'!$H$5</f>
        <v>9.16235867692178</v>
      </c>
      <c r="M52" s="267">
        <f>(I52+J52+K52+L52)*'2-报价汇总'!$I$5</f>
        <v>0</v>
      </c>
      <c r="N52" s="267">
        <f>(M52+L52+K52+J52+I52)*'2-报价汇总'!$J$5</f>
        <v>0</v>
      </c>
      <c r="O52" s="268">
        <f t="shared" si="3"/>
        <v>18507964.527382</v>
      </c>
      <c r="P52" s="270"/>
    </row>
    <row r="53" ht="89.25" spans="1:16">
      <c r="A53" s="250" t="s">
        <v>1678</v>
      </c>
      <c r="B53" s="269" t="s">
        <v>1676</v>
      </c>
      <c r="C53" s="261" t="s">
        <v>1677</v>
      </c>
      <c r="D53" s="261" t="s">
        <v>1661</v>
      </c>
      <c r="E53" s="276" t="s">
        <v>1656</v>
      </c>
      <c r="F53" s="277" t="s">
        <v>28</v>
      </c>
      <c r="G53" s="252">
        <v>10000</v>
      </c>
      <c r="H53" s="267">
        <f t="shared" si="4"/>
        <v>865.968982473836</v>
      </c>
      <c r="I53" s="255">
        <v>165</v>
      </c>
      <c r="J53" s="255">
        <v>652.395032152313</v>
      </c>
      <c r="K53" s="255">
        <v>40</v>
      </c>
      <c r="L53" s="266">
        <f>(I53+J53+K53)*'2-报价汇总'!$H$5</f>
        <v>8.57395032152313</v>
      </c>
      <c r="M53" s="267">
        <f>(I53+J53+K53+L53)*'2-报价汇总'!$I$5</f>
        <v>0</v>
      </c>
      <c r="N53" s="267">
        <f>(M53+L53+K53+J53+I53)*'2-报价汇总'!$J$5</f>
        <v>0</v>
      </c>
      <c r="O53" s="268">
        <f t="shared" si="3"/>
        <v>8659689.82473836</v>
      </c>
      <c r="P53" s="270"/>
    </row>
    <row r="54" ht="63.75" spans="1:16">
      <c r="A54" s="250" t="s">
        <v>1679</v>
      </c>
      <c r="B54" s="269" t="s">
        <v>1680</v>
      </c>
      <c r="C54" s="261" t="s">
        <v>1681</v>
      </c>
      <c r="D54" s="261"/>
      <c r="E54" s="278" t="s">
        <v>1682</v>
      </c>
      <c r="F54" s="280" t="s">
        <v>89</v>
      </c>
      <c r="G54" s="252">
        <v>1000</v>
      </c>
      <c r="H54" s="267">
        <f t="shared" si="4"/>
        <v>101.237647058824</v>
      </c>
      <c r="I54" s="252">
        <v>30.3252941176471</v>
      </c>
      <c r="J54" s="252">
        <v>69.34</v>
      </c>
      <c r="K54" s="252">
        <v>0.57</v>
      </c>
      <c r="L54" s="266">
        <f>(I54+J54+K54)*'2-报价汇总'!$H$5</f>
        <v>1.00235294117647</v>
      </c>
      <c r="M54" s="267">
        <f>(I54+J54+K54+L54)*'2-报价汇总'!$I$5</f>
        <v>0</v>
      </c>
      <c r="N54" s="267">
        <f>(M54+L54+K54+J54+I54)*'2-报价汇总'!$J$5</f>
        <v>0</v>
      </c>
      <c r="O54" s="268">
        <f t="shared" si="3"/>
        <v>101237.647058824</v>
      </c>
      <c r="P54" s="270"/>
    </row>
    <row r="55" ht="63.75" spans="1:16">
      <c r="A55" s="250" t="s">
        <v>1683</v>
      </c>
      <c r="B55" s="269" t="s">
        <v>1684</v>
      </c>
      <c r="C55" s="261" t="s">
        <v>1685</v>
      </c>
      <c r="D55" s="261"/>
      <c r="E55" s="278" t="s">
        <v>1682</v>
      </c>
      <c r="F55" s="280" t="s">
        <v>89</v>
      </c>
      <c r="G55" s="252">
        <v>1000</v>
      </c>
      <c r="H55" s="267">
        <f t="shared" si="4"/>
        <v>103.291596638655</v>
      </c>
      <c r="I55" s="252">
        <v>30.2589075630252</v>
      </c>
      <c r="J55" s="252">
        <v>71.44</v>
      </c>
      <c r="K55" s="252">
        <v>0.57</v>
      </c>
      <c r="L55" s="266">
        <f>(I55+J55+K55)*'2-报价汇总'!$H$5</f>
        <v>1.02268907563025</v>
      </c>
      <c r="M55" s="267">
        <f>(I55+J55+K55+L55)*'2-报价汇总'!$I$5</f>
        <v>0</v>
      </c>
      <c r="N55" s="267">
        <f>(M55+L55+K55+J55+I55)*'2-报价汇总'!$J$5</f>
        <v>0</v>
      </c>
      <c r="O55" s="268">
        <f t="shared" si="3"/>
        <v>103291.596638655</v>
      </c>
      <c r="P55" s="270"/>
    </row>
    <row r="56" ht="63.75" spans="1:16">
      <c r="A56" s="250" t="s">
        <v>1686</v>
      </c>
      <c r="B56" s="269" t="s">
        <v>1687</v>
      </c>
      <c r="C56" s="261" t="s">
        <v>1688</v>
      </c>
      <c r="D56" s="261"/>
      <c r="E56" s="278" t="s">
        <v>1682</v>
      </c>
      <c r="F56" s="280" t="s">
        <v>89</v>
      </c>
      <c r="G56" s="252">
        <v>1000</v>
      </c>
      <c r="H56" s="267">
        <f t="shared" si="4"/>
        <v>115.589831932773</v>
      </c>
      <c r="I56" s="252">
        <v>29.8953781512605</v>
      </c>
      <c r="J56" s="252">
        <v>83.98</v>
      </c>
      <c r="K56" s="252">
        <v>0.57</v>
      </c>
      <c r="L56" s="266">
        <f>(I56+J56+K56)*'2-报价汇总'!$H$5</f>
        <v>1.14445378151261</v>
      </c>
      <c r="M56" s="267">
        <f>(I56+J56+K56+L56)*'2-报价汇总'!$I$5</f>
        <v>0</v>
      </c>
      <c r="N56" s="267">
        <f>(M56+L56+K56+J56+I56)*'2-报价汇总'!$J$5</f>
        <v>0</v>
      </c>
      <c r="O56" s="268">
        <f t="shared" si="3"/>
        <v>115589.831932773</v>
      </c>
      <c r="P56" s="270"/>
    </row>
    <row r="57" ht="51" spans="1:16">
      <c r="A57" s="250" t="s">
        <v>1689</v>
      </c>
      <c r="B57" s="269" t="s">
        <v>1690</v>
      </c>
      <c r="C57" s="261" t="s">
        <v>1691</v>
      </c>
      <c r="D57" s="261"/>
      <c r="E57" s="278" t="s">
        <v>1682</v>
      </c>
      <c r="F57" s="280" t="s">
        <v>89</v>
      </c>
      <c r="G57" s="252">
        <v>1000</v>
      </c>
      <c r="H57" s="267">
        <f t="shared" si="4"/>
        <v>144.650672268908</v>
      </c>
      <c r="I57" s="252">
        <v>35.558487394958</v>
      </c>
      <c r="J57" s="252">
        <v>106.98</v>
      </c>
      <c r="K57" s="252">
        <v>0.68</v>
      </c>
      <c r="L57" s="266">
        <f>(I57+J57+K57)*'2-报价汇总'!$H$5</f>
        <v>1.43218487394958</v>
      </c>
      <c r="M57" s="267">
        <f>(I57+J57+K57+L57)*'2-报价汇总'!$I$5</f>
        <v>0</v>
      </c>
      <c r="N57" s="267">
        <f>(M57+L57+K57+J57+I57)*'2-报价汇总'!$J$5</f>
        <v>0</v>
      </c>
      <c r="O57" s="268">
        <f t="shared" si="3"/>
        <v>144650.672268908</v>
      </c>
      <c r="P57" s="270"/>
    </row>
    <row r="58" ht="51" spans="1:16">
      <c r="A58" s="250" t="s">
        <v>1692</v>
      </c>
      <c r="B58" s="269" t="s">
        <v>1693</v>
      </c>
      <c r="C58" s="261" t="s">
        <v>1694</v>
      </c>
      <c r="D58" s="261"/>
      <c r="E58" s="278" t="s">
        <v>1682</v>
      </c>
      <c r="F58" s="280" t="s">
        <v>89</v>
      </c>
      <c r="G58" s="252">
        <v>1000</v>
      </c>
      <c r="H58" s="267">
        <f t="shared" si="4"/>
        <v>139.524285714286</v>
      </c>
      <c r="I58" s="252">
        <v>35.7128571428571</v>
      </c>
      <c r="J58" s="252">
        <v>101.75</v>
      </c>
      <c r="K58" s="252">
        <v>0.68</v>
      </c>
      <c r="L58" s="266">
        <f>(I58+J58+K58)*'2-报价汇总'!$H$5</f>
        <v>1.38142857142857</v>
      </c>
      <c r="M58" s="267">
        <f>(I58+J58+K58+L58)*'2-报价汇总'!$I$5</f>
        <v>0</v>
      </c>
      <c r="N58" s="267">
        <f>(M58+L58+K58+J58+I58)*'2-报价汇总'!$J$5</f>
        <v>0</v>
      </c>
      <c r="O58" s="268">
        <f t="shared" si="3"/>
        <v>139524.285714286</v>
      </c>
      <c r="P58" s="270"/>
    </row>
    <row r="59" spans="1:16">
      <c r="A59" s="250" t="s">
        <v>1695</v>
      </c>
      <c r="B59" s="269" t="s">
        <v>1696</v>
      </c>
      <c r="C59" s="261"/>
      <c r="D59" s="261"/>
      <c r="E59" s="281"/>
      <c r="F59" s="277" t="s">
        <v>28</v>
      </c>
      <c r="G59" s="252">
        <v>1000</v>
      </c>
      <c r="H59" s="267">
        <f t="shared" si="4"/>
        <v>193.00071449586</v>
      </c>
      <c r="I59" s="255">
        <v>87.0898163325348</v>
      </c>
      <c r="J59" s="255">
        <v>102</v>
      </c>
      <c r="K59" s="255">
        <v>2</v>
      </c>
      <c r="L59" s="266">
        <f>(I59+J59+K59)*'2-报价汇总'!$H$5</f>
        <v>1.91089816332535</v>
      </c>
      <c r="M59" s="267">
        <f>(I59+J59+K59+L59)*'2-报价汇总'!$I$5</f>
        <v>0</v>
      </c>
      <c r="N59" s="267">
        <f>(M59+L59+K59+J59+I59)*'2-报价汇总'!$J$5</f>
        <v>0</v>
      </c>
      <c r="O59" s="268">
        <f t="shared" si="3"/>
        <v>193000.71449586</v>
      </c>
      <c r="P59" s="270"/>
    </row>
    <row r="60" spans="1:16">
      <c r="A60" s="250" t="s">
        <v>1697</v>
      </c>
      <c r="B60" s="269" t="s">
        <v>1698</v>
      </c>
      <c r="C60" s="261"/>
      <c r="D60" s="261"/>
      <c r="E60" s="278" t="s">
        <v>1656</v>
      </c>
      <c r="F60" s="279" t="s">
        <v>1578</v>
      </c>
      <c r="G60" s="252">
        <v>1000</v>
      </c>
      <c r="H60" s="267">
        <f t="shared" si="4"/>
        <v>174.891774891775</v>
      </c>
      <c r="I60" s="252">
        <v>76.1601731601731</v>
      </c>
      <c r="J60" s="252">
        <v>95</v>
      </c>
      <c r="K60" s="252">
        <v>2</v>
      </c>
      <c r="L60" s="266">
        <f>(I60+J60+K60)*'2-报价汇总'!$H$5</f>
        <v>1.73160173160173</v>
      </c>
      <c r="M60" s="267">
        <f>(I60+J60+K60+L60)*'2-报价汇总'!$I$5</f>
        <v>0</v>
      </c>
      <c r="N60" s="267">
        <f>(M60+L60+K60+J60+I60)*'2-报价汇总'!$J$5</f>
        <v>0</v>
      </c>
      <c r="O60" s="268">
        <f t="shared" si="3"/>
        <v>174891.774891775</v>
      </c>
      <c r="P60" s="270"/>
    </row>
    <row r="61" ht="114.75" spans="1:16">
      <c r="A61" s="250" t="s">
        <v>1699</v>
      </c>
      <c r="B61" s="269" t="s">
        <v>1700</v>
      </c>
      <c r="C61" s="261" t="s">
        <v>1701</v>
      </c>
      <c r="D61" s="261" t="s">
        <v>1659</v>
      </c>
      <c r="E61" s="276" t="s">
        <v>1656</v>
      </c>
      <c r="F61" s="277" t="s">
        <v>28</v>
      </c>
      <c r="G61" s="252">
        <v>1000</v>
      </c>
      <c r="H61" s="267">
        <f t="shared" si="4"/>
        <v>509.393519102257</v>
      </c>
      <c r="I61" s="255">
        <v>56</v>
      </c>
      <c r="J61" s="255">
        <v>430.350018913126</v>
      </c>
      <c r="K61" s="255">
        <v>18</v>
      </c>
      <c r="L61" s="266">
        <f>(I61+J61+K61)*'2-报价汇总'!$H$5</f>
        <v>5.04350018913126</v>
      </c>
      <c r="M61" s="267">
        <f>(I61+J61+K61+L61)*'2-报价汇总'!$I$5</f>
        <v>0</v>
      </c>
      <c r="N61" s="267">
        <f>(M61+L61+K61+J61+I61)*'2-报价汇总'!$J$5</f>
        <v>0</v>
      </c>
      <c r="O61" s="268">
        <f t="shared" si="3"/>
        <v>509393.519102257</v>
      </c>
      <c r="P61" s="270"/>
    </row>
    <row r="62" ht="114.75" spans="1:16">
      <c r="A62" s="250" t="s">
        <v>1702</v>
      </c>
      <c r="B62" s="269" t="s">
        <v>1700</v>
      </c>
      <c r="C62" s="261" t="s">
        <v>1701</v>
      </c>
      <c r="D62" s="261" t="s">
        <v>1661</v>
      </c>
      <c r="E62" s="276" t="s">
        <v>1656</v>
      </c>
      <c r="F62" s="277" t="s">
        <v>28</v>
      </c>
      <c r="G62" s="252">
        <v>1000</v>
      </c>
      <c r="H62" s="267">
        <f t="shared" si="4"/>
        <v>475.433951162106</v>
      </c>
      <c r="I62" s="255">
        <v>52</v>
      </c>
      <c r="J62" s="255">
        <v>402.726684318917</v>
      </c>
      <c r="K62" s="255">
        <v>16</v>
      </c>
      <c r="L62" s="266">
        <f>(I62+J62+K62)*'2-报价汇总'!$H$5</f>
        <v>4.70726684318917</v>
      </c>
      <c r="M62" s="267">
        <f>(I62+J62+K62+L62)*'2-报价汇总'!$I$5</f>
        <v>0</v>
      </c>
      <c r="N62" s="267">
        <f>(M62+L62+K62+J62+I62)*'2-报价汇总'!$J$5</f>
        <v>0</v>
      </c>
      <c r="O62" s="268">
        <f t="shared" si="3"/>
        <v>475433.951162106</v>
      </c>
      <c r="P62" s="270"/>
    </row>
    <row r="63" ht="63.75" spans="1:16">
      <c r="A63" s="250" t="s">
        <v>1703</v>
      </c>
      <c r="B63" s="269" t="s">
        <v>1704</v>
      </c>
      <c r="C63" s="261" t="s">
        <v>1705</v>
      </c>
      <c r="D63" s="261"/>
      <c r="E63" s="276" t="s">
        <v>1656</v>
      </c>
      <c r="F63" s="277" t="s">
        <v>28</v>
      </c>
      <c r="G63" s="252">
        <v>1000</v>
      </c>
      <c r="H63" s="267">
        <f t="shared" si="4"/>
        <v>413.393</v>
      </c>
      <c r="I63" s="252">
        <v>120</v>
      </c>
      <c r="J63" s="252">
        <v>280</v>
      </c>
      <c r="K63" s="252">
        <v>9.3</v>
      </c>
      <c r="L63" s="266">
        <f>(I63+J63+K63)*'2-报价汇总'!$H$5</f>
        <v>4.093</v>
      </c>
      <c r="M63" s="267">
        <f>(I63+J63+K63+L63)*'2-报价汇总'!$I$5</f>
        <v>0</v>
      </c>
      <c r="N63" s="267">
        <f>(M63+L63+K63+J63+I63)*'2-报价汇总'!$J$5</f>
        <v>0</v>
      </c>
      <c r="O63" s="268">
        <f t="shared" si="3"/>
        <v>413393</v>
      </c>
      <c r="P63" s="270"/>
    </row>
    <row r="64" spans="1:16">
      <c r="A64" s="250" t="s">
        <v>1706</v>
      </c>
      <c r="B64" s="269" t="s">
        <v>1707</v>
      </c>
      <c r="C64" s="261"/>
      <c r="D64" s="261"/>
      <c r="E64" s="278" t="s">
        <v>1682</v>
      </c>
      <c r="F64" s="279" t="s">
        <v>89</v>
      </c>
      <c r="G64" s="252">
        <v>1000</v>
      </c>
      <c r="H64" s="267">
        <f t="shared" si="4"/>
        <v>348.90909090909</v>
      </c>
      <c r="I64" s="252">
        <v>145.454545454545</v>
      </c>
      <c r="J64" s="252">
        <v>180</v>
      </c>
      <c r="K64" s="252">
        <v>20</v>
      </c>
      <c r="L64" s="266">
        <f>(I64+J64+K64)*'2-报价汇总'!$H$5</f>
        <v>3.45454545454545</v>
      </c>
      <c r="M64" s="267">
        <f>(I64+J64+K64+L64)*'2-报价汇总'!$I$5</f>
        <v>0</v>
      </c>
      <c r="N64" s="267">
        <f>(M64+L64+K64+J64+I64)*'2-报价汇总'!$J$5</f>
        <v>0</v>
      </c>
      <c r="O64" s="268">
        <f t="shared" si="3"/>
        <v>348909.09090909</v>
      </c>
      <c r="P64" s="270"/>
    </row>
    <row r="65" spans="1:16">
      <c r="A65" s="250" t="s">
        <v>1708</v>
      </c>
      <c r="B65" s="269" t="s">
        <v>1709</v>
      </c>
      <c r="C65" s="261"/>
      <c r="D65" s="261"/>
      <c r="E65" s="278" t="s">
        <v>1710</v>
      </c>
      <c r="F65" s="279" t="s">
        <v>1578</v>
      </c>
      <c r="G65" s="252">
        <v>1000</v>
      </c>
      <c r="H65" s="267">
        <f t="shared" si="4"/>
        <v>96.1904761904761</v>
      </c>
      <c r="I65" s="252">
        <v>53.2380952380952</v>
      </c>
      <c r="J65" s="252">
        <v>40</v>
      </c>
      <c r="K65" s="252">
        <v>2</v>
      </c>
      <c r="L65" s="266">
        <f>(I65+J65+K65)*'2-报价汇总'!$H$5</f>
        <v>0.952380952380952</v>
      </c>
      <c r="M65" s="267">
        <f>(I65+J65+K65+L65)*'2-报价汇总'!$I$5</f>
        <v>0</v>
      </c>
      <c r="N65" s="267">
        <f>(M65+L65+K65+J65+I65)*'2-报价汇总'!$J$5</f>
        <v>0</v>
      </c>
      <c r="O65" s="268">
        <f t="shared" si="3"/>
        <v>96190.4761904762</v>
      </c>
      <c r="P65" s="270"/>
    </row>
    <row r="66" ht="51" spans="1:16">
      <c r="A66" s="250" t="s">
        <v>1711</v>
      </c>
      <c r="B66" s="269" t="s">
        <v>1712</v>
      </c>
      <c r="C66" s="261" t="s">
        <v>1713</v>
      </c>
      <c r="D66" s="261"/>
      <c r="E66" s="281" t="s">
        <v>1714</v>
      </c>
      <c r="F66" s="277" t="s">
        <v>28</v>
      </c>
      <c r="G66" s="252">
        <v>1000</v>
      </c>
      <c r="H66" s="267">
        <f t="shared" si="4"/>
        <v>1486.35934938848</v>
      </c>
      <c r="I66" s="255">
        <v>259.642920186609</v>
      </c>
      <c r="J66" s="255">
        <v>1180</v>
      </c>
      <c r="K66" s="255">
        <v>32</v>
      </c>
      <c r="L66" s="266">
        <f>(I66+J66+K66)*'2-报价汇总'!$H$5</f>
        <v>14.7164292018661</v>
      </c>
      <c r="M66" s="267">
        <f>(I66+J66+K66+L66)*'2-报价汇总'!$I$5</f>
        <v>0</v>
      </c>
      <c r="N66" s="267">
        <f>(M66+L66+K66+J66+I66)*'2-报价汇总'!$J$5</f>
        <v>0</v>
      </c>
      <c r="O66" s="268">
        <f t="shared" si="3"/>
        <v>1486359.34938848</v>
      </c>
      <c r="P66" s="270"/>
    </row>
    <row r="67" spans="1:16">
      <c r="A67" s="262"/>
      <c r="B67" s="271" t="s">
        <v>158</v>
      </c>
      <c r="C67" s="272"/>
      <c r="D67" s="272"/>
      <c r="E67" s="272"/>
      <c r="F67" s="273"/>
      <c r="G67" s="282"/>
      <c r="H67" s="260"/>
      <c r="I67" s="274"/>
      <c r="J67" s="274"/>
      <c r="K67" s="274"/>
      <c r="L67" s="274"/>
      <c r="M67" s="274"/>
      <c r="N67" s="274"/>
      <c r="O67" s="274"/>
      <c r="P67" s="261"/>
    </row>
    <row r="68" spans="1:16">
      <c r="A68" s="250"/>
      <c r="B68" s="257" t="s">
        <v>1586</v>
      </c>
      <c r="C68" s="272"/>
      <c r="D68" s="272"/>
      <c r="E68" s="272"/>
      <c r="F68" s="263"/>
      <c r="G68" s="259"/>
      <c r="H68" s="260"/>
      <c r="I68" s="260"/>
      <c r="J68" s="260"/>
      <c r="K68" s="260"/>
      <c r="L68" s="260"/>
      <c r="M68" s="260"/>
      <c r="N68" s="260"/>
      <c r="O68" s="260"/>
      <c r="P68" s="261"/>
    </row>
    <row r="69" spans="1:16">
      <c r="A69" s="250"/>
      <c r="B69" s="257" t="s">
        <v>1715</v>
      </c>
      <c r="C69" s="272"/>
      <c r="D69" s="272"/>
      <c r="E69" s="272"/>
      <c r="F69" s="263"/>
      <c r="G69" s="259"/>
      <c r="H69" s="260"/>
      <c r="I69" s="260"/>
      <c r="J69" s="260"/>
      <c r="K69" s="260"/>
      <c r="L69" s="260"/>
      <c r="M69" s="260"/>
      <c r="N69" s="260"/>
      <c r="O69" s="260">
        <f>SUM(O6:O66)</f>
        <v>519009465.351995</v>
      </c>
      <c r="P69" s="261"/>
    </row>
  </sheetData>
  <autoFilter xmlns:etc="http://www.wps.cn/officeDocument/2017/etCustomData" ref="A3:P69" etc:filterBottomFollowUsedRange="0">
    <extLst/>
  </autoFilter>
  <mergeCells count="2">
    <mergeCell ref="A1:P1"/>
    <mergeCell ref="A2:P2"/>
  </mergeCells>
  <printOptions horizontalCentered="1"/>
  <pageMargins left="0.590277777777778" right="0.590277777777778" top="0.590277777777778" bottom="0.590277777777778" header="0.196527777777778" footer="0.196527777777778"/>
  <pageSetup paperSize="9" scale="51" orientation="landscape" horizontalDpi="600"/>
  <headerFooter>
    <oddFooter>&amp;C第 &amp;P 页，共 &amp;N 页</oddFooter>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9"/>
  <sheetViews>
    <sheetView view="pageBreakPreview" zoomScale="110" zoomScaleNormal="100" workbookViewId="0">
      <pane ySplit="3" topLeftCell="A4" activePane="bottomLeft" state="frozen"/>
      <selection/>
      <selection pane="bottomLeft" activeCell="N6" sqref="N6"/>
    </sheetView>
  </sheetViews>
  <sheetFormatPr defaultColWidth="14" defaultRowHeight="12.75"/>
  <cols>
    <col min="1" max="1" width="9" style="18" customWidth="1"/>
    <col min="2" max="2" width="26.7142857142857" style="18" customWidth="1"/>
    <col min="3" max="3" width="28.1428571428571" style="18" customWidth="1"/>
    <col min="4" max="4" width="19.2857142857143" style="18" customWidth="1"/>
    <col min="5" max="5" width="15.5714285714286" style="18" customWidth="1"/>
    <col min="6" max="6" width="5.85714285714286" style="18" customWidth="1"/>
    <col min="7" max="7" width="14" style="18" customWidth="1"/>
    <col min="8" max="8" width="10" style="18" customWidth="1"/>
    <col min="9" max="9" width="9" style="18" customWidth="1"/>
    <col min="10" max="10" width="10" style="18" customWidth="1"/>
    <col min="11" max="12" width="7.57142857142857" style="18" customWidth="1"/>
    <col min="13" max="13" width="6.71428571428571" style="18" customWidth="1"/>
    <col min="14" max="14" width="8" style="18" customWidth="1"/>
    <col min="15" max="15" width="15" style="18" customWidth="1"/>
    <col min="16" max="16" width="13.7142857142857" style="18" customWidth="1"/>
    <col min="17" max="20" width="15" customWidth="1"/>
  </cols>
  <sheetData>
    <row r="1" ht="25" customHeight="1" spans="1:16">
      <c r="A1" s="19" t="s">
        <v>1716</v>
      </c>
      <c r="B1" s="19"/>
      <c r="C1" s="223"/>
      <c r="D1" s="223"/>
      <c r="E1" s="223"/>
      <c r="F1" s="19"/>
      <c r="G1" s="19"/>
      <c r="H1" s="20"/>
      <c r="I1" s="20"/>
      <c r="J1" s="20"/>
      <c r="K1" s="20"/>
      <c r="L1" s="20"/>
      <c r="M1" s="20"/>
      <c r="N1" s="20"/>
      <c r="O1" s="20"/>
      <c r="P1" s="19"/>
    </row>
    <row r="2" ht="25" customHeight="1" spans="1:16">
      <c r="A2" s="22" t="str">
        <f>'2.1-装饰工程'!A2</f>
        <v>注意：此报价清单每项不得随意更改、删减，如有任何增加项请务必在每大项最后“补充项“中列举，补充项及说明字体颜色均采用蓝色；且所有项目都需要填写。</v>
      </c>
      <c r="B2" s="22"/>
      <c r="C2" s="22"/>
      <c r="D2" s="22"/>
      <c r="E2" s="22"/>
      <c r="F2" s="22"/>
      <c r="G2" s="22"/>
      <c r="H2" s="22"/>
      <c r="I2" s="22"/>
      <c r="J2" s="22"/>
      <c r="K2" s="22"/>
      <c r="L2" s="22"/>
      <c r="M2" s="22"/>
      <c r="N2" s="22"/>
      <c r="O2" s="22"/>
      <c r="P2" s="22"/>
    </row>
    <row r="3" ht="27" customHeight="1" spans="1:16">
      <c r="A3" s="24" t="s">
        <v>1430</v>
      </c>
      <c r="B3" s="24" t="s">
        <v>1431</v>
      </c>
      <c r="C3" s="24" t="s">
        <v>1432</v>
      </c>
      <c r="D3" s="24" t="s">
        <v>1433</v>
      </c>
      <c r="E3" s="24" t="s">
        <v>1434</v>
      </c>
      <c r="F3" s="24" t="s">
        <v>1554</v>
      </c>
      <c r="G3" s="78" t="s">
        <v>11</v>
      </c>
      <c r="H3" s="32" t="s">
        <v>12</v>
      </c>
      <c r="I3" s="79" t="s">
        <v>13</v>
      </c>
      <c r="J3" s="79" t="s">
        <v>14</v>
      </c>
      <c r="K3" s="79" t="s">
        <v>15</v>
      </c>
      <c r="L3" s="80" t="s">
        <v>16</v>
      </c>
      <c r="M3" s="79" t="s">
        <v>17</v>
      </c>
      <c r="N3" s="79" t="s">
        <v>2</v>
      </c>
      <c r="O3" s="81" t="s">
        <v>18</v>
      </c>
      <c r="P3" s="24" t="s">
        <v>19</v>
      </c>
    </row>
    <row r="4" ht="38" customHeight="1" spans="1:16">
      <c r="A4" s="89"/>
      <c r="B4" s="224" t="s">
        <v>1717</v>
      </c>
      <c r="C4" s="225"/>
      <c r="D4" s="225"/>
      <c r="E4" s="225"/>
      <c r="F4" s="226"/>
      <c r="G4" s="29"/>
      <c r="H4" s="91"/>
      <c r="I4" s="91"/>
      <c r="J4" s="91"/>
      <c r="K4" s="91"/>
      <c r="L4" s="91"/>
      <c r="M4" s="91"/>
      <c r="N4" s="91"/>
      <c r="O4" s="91"/>
      <c r="P4" s="29"/>
    </row>
    <row r="5" ht="38" customHeight="1" spans="1:16">
      <c r="A5" s="227" t="s">
        <v>1718</v>
      </c>
      <c r="B5" s="228" t="s">
        <v>1719</v>
      </c>
      <c r="C5" s="26"/>
      <c r="D5" s="26"/>
      <c r="E5" s="26"/>
      <c r="F5" s="229"/>
      <c r="G5" s="230"/>
      <c r="H5" s="231"/>
      <c r="I5" s="231"/>
      <c r="J5" s="231"/>
      <c r="K5" s="231"/>
      <c r="L5" s="231"/>
      <c r="M5" s="231"/>
      <c r="N5" s="231"/>
      <c r="O5" s="231"/>
      <c r="P5" s="230"/>
    </row>
    <row r="6" ht="50" customHeight="1" spans="1:16">
      <c r="A6" s="24" t="s">
        <v>1720</v>
      </c>
      <c r="B6" s="30" t="s">
        <v>1721</v>
      </c>
      <c r="C6" s="232" t="s">
        <v>1722</v>
      </c>
      <c r="D6" s="30" t="s">
        <v>1216</v>
      </c>
      <c r="E6" s="233" t="s">
        <v>170</v>
      </c>
      <c r="F6" s="234" t="s">
        <v>28</v>
      </c>
      <c r="G6" s="32">
        <v>1025476.12619122</v>
      </c>
      <c r="H6" s="33">
        <f t="shared" ref="H6:H47" si="0">SUM(I6:N6)</f>
        <v>45.4718614718615</v>
      </c>
      <c r="I6" s="85">
        <v>2.511645021645</v>
      </c>
      <c r="J6" s="85">
        <v>34.54</v>
      </c>
      <c r="K6" s="85">
        <v>7.97</v>
      </c>
      <c r="L6" s="85">
        <f>(I6+J6+K6)*'2-报价汇总'!$H$5</f>
        <v>0.45021645021645</v>
      </c>
      <c r="M6" s="94">
        <f>(I6+J6+K6+L6)*'2-报价汇总'!$I$5</f>
        <v>0</v>
      </c>
      <c r="N6" s="94">
        <f>(M6+L6+K6+J6+I6)*'2-报价汇总'!$J$5</f>
        <v>0</v>
      </c>
      <c r="O6" s="86">
        <f t="shared" ref="O6:O46" si="1">G6*H6</f>
        <v>46630308.3528683</v>
      </c>
      <c r="P6" s="31"/>
    </row>
    <row r="7" ht="50" customHeight="1" spans="1:16">
      <c r="A7" s="24" t="s">
        <v>1723</v>
      </c>
      <c r="B7" s="30" t="s">
        <v>1724</v>
      </c>
      <c r="C7" s="232" t="s">
        <v>1725</v>
      </c>
      <c r="D7" s="30" t="s">
        <v>1216</v>
      </c>
      <c r="E7" s="233" t="s">
        <v>170</v>
      </c>
      <c r="F7" s="234" t="s">
        <v>28</v>
      </c>
      <c r="G7" s="32">
        <v>725476.12619122</v>
      </c>
      <c r="H7" s="33">
        <f t="shared" si="0"/>
        <v>64.7099567099567</v>
      </c>
      <c r="I7" s="85">
        <v>2.1992640692641</v>
      </c>
      <c r="J7" s="85">
        <v>53.8</v>
      </c>
      <c r="K7" s="85">
        <v>8.07</v>
      </c>
      <c r="L7" s="85">
        <f>(I7+J7+K7)*'2-报价汇总'!$H$5</f>
        <v>0.640692640692641</v>
      </c>
      <c r="M7" s="94">
        <f>(I7+J7+K7+L7)*'2-报价汇总'!$I$5</f>
        <v>0</v>
      </c>
      <c r="N7" s="94">
        <f>(M7+L7+K7+J7+I7)*'2-报价汇总'!$J$5</f>
        <v>0</v>
      </c>
      <c r="O7" s="86">
        <f t="shared" si="1"/>
        <v>46945528.719941</v>
      </c>
      <c r="P7" s="31"/>
    </row>
    <row r="8" ht="50" customHeight="1" spans="1:16">
      <c r="A8" s="24" t="s">
        <v>1726</v>
      </c>
      <c r="B8" s="30" t="s">
        <v>1727</v>
      </c>
      <c r="C8" s="232" t="s">
        <v>1728</v>
      </c>
      <c r="D8" s="30" t="s">
        <v>1216</v>
      </c>
      <c r="E8" s="233" t="s">
        <v>170</v>
      </c>
      <c r="F8" s="234" t="s">
        <v>28</v>
      </c>
      <c r="G8" s="32">
        <v>2000</v>
      </c>
      <c r="H8" s="33">
        <f t="shared" si="0"/>
        <v>27.982683982684</v>
      </c>
      <c r="I8" s="85">
        <v>27.2256277056277</v>
      </c>
      <c r="J8" s="85">
        <v>0</v>
      </c>
      <c r="K8" s="85">
        <v>0.48</v>
      </c>
      <c r="L8" s="85">
        <f>(I8+J8+K8)*'2-报价汇总'!$H$5</f>
        <v>0.277056277056277</v>
      </c>
      <c r="M8" s="94">
        <f>(I8+J8+K8+L8)*'2-报价汇总'!$I$5</f>
        <v>0</v>
      </c>
      <c r="N8" s="94">
        <f>(M8+L8+K8+J8+I8)*'2-报价汇总'!$J$5</f>
        <v>0</v>
      </c>
      <c r="O8" s="86">
        <f t="shared" si="1"/>
        <v>55965.367965368</v>
      </c>
      <c r="P8" s="31"/>
    </row>
    <row r="9" ht="76" customHeight="1" spans="1:16">
      <c r="A9" s="24" t="s">
        <v>1729</v>
      </c>
      <c r="B9" s="30" t="s">
        <v>1730</v>
      </c>
      <c r="C9" s="232" t="s">
        <v>1731</v>
      </c>
      <c r="D9" s="30" t="s">
        <v>1216</v>
      </c>
      <c r="E9" s="233" t="s">
        <v>170</v>
      </c>
      <c r="F9" s="234" t="s">
        <v>28</v>
      </c>
      <c r="G9" s="32">
        <v>73406.441198269</v>
      </c>
      <c r="H9" s="33">
        <f t="shared" si="0"/>
        <v>83.073593073593</v>
      </c>
      <c r="I9" s="85">
        <v>5.2810822510822</v>
      </c>
      <c r="J9" s="85">
        <v>76.83</v>
      </c>
      <c r="K9" s="85">
        <v>0.14</v>
      </c>
      <c r="L9" s="85">
        <f>(I9+J9+K9)*'2-报价汇总'!$H$5</f>
        <v>0.822510822510822</v>
      </c>
      <c r="M9" s="94">
        <f>(I9+J9+K9+L9)*'2-报价汇总'!$I$5</f>
        <v>0</v>
      </c>
      <c r="N9" s="94">
        <f>(M9+L9+K9+J9+I9)*'2-报价汇总'!$J$5</f>
        <v>0</v>
      </c>
      <c r="O9" s="86">
        <f t="shared" si="1"/>
        <v>6098136.82508563</v>
      </c>
      <c r="P9" s="235"/>
    </row>
    <row r="10" ht="46" customHeight="1" spans="1:16">
      <c r="A10" s="24" t="s">
        <v>1732</v>
      </c>
      <c r="B10" s="30" t="s">
        <v>1733</v>
      </c>
      <c r="C10" s="232" t="s">
        <v>1734</v>
      </c>
      <c r="D10" s="30" t="s">
        <v>1216</v>
      </c>
      <c r="E10" s="233" t="s">
        <v>170</v>
      </c>
      <c r="F10" s="234" t="s">
        <v>28</v>
      </c>
      <c r="G10" s="32">
        <v>73406.441198269</v>
      </c>
      <c r="H10" s="33">
        <f t="shared" si="0"/>
        <v>40.2251082251082</v>
      </c>
      <c r="I10" s="85">
        <v>10.2868398268398</v>
      </c>
      <c r="J10" s="85">
        <v>26</v>
      </c>
      <c r="K10" s="85">
        <v>3.54</v>
      </c>
      <c r="L10" s="85">
        <f>(I10+J10+K10)*'2-报价汇总'!$H$5</f>
        <v>0.398268398268398</v>
      </c>
      <c r="M10" s="94">
        <f>(I10+J10+K10+L10)*'2-报价汇总'!$I$5</f>
        <v>0</v>
      </c>
      <c r="N10" s="94">
        <f>(M10+L10+K10+J10+I10)*'2-报价汇总'!$J$5</f>
        <v>0</v>
      </c>
      <c r="O10" s="86">
        <f t="shared" si="1"/>
        <v>2952782.04162041</v>
      </c>
      <c r="P10" s="235"/>
    </row>
    <row r="11" ht="61" customHeight="1" spans="1:16">
      <c r="A11" s="24" t="s">
        <v>1735</v>
      </c>
      <c r="B11" s="30" t="s">
        <v>1736</v>
      </c>
      <c r="C11" s="232" t="s">
        <v>1737</v>
      </c>
      <c r="D11" s="30" t="s">
        <v>1216</v>
      </c>
      <c r="E11" s="233" t="s">
        <v>170</v>
      </c>
      <c r="F11" s="234" t="s">
        <v>28</v>
      </c>
      <c r="G11" s="32">
        <v>73406.441198269</v>
      </c>
      <c r="H11" s="33">
        <f t="shared" si="0"/>
        <v>94.4415584415584</v>
      </c>
      <c r="I11" s="85">
        <v>28.3964935064935</v>
      </c>
      <c r="J11" s="85">
        <v>63.2</v>
      </c>
      <c r="K11" s="85">
        <v>1.91</v>
      </c>
      <c r="L11" s="85">
        <f>(I11+J11+K11)*'2-报价汇总'!$H$5</f>
        <v>0.935064935064935</v>
      </c>
      <c r="M11" s="94">
        <f>(I11+J11+K11+L11)*'2-报价汇总'!$I$5</f>
        <v>0</v>
      </c>
      <c r="N11" s="94">
        <f>(M11+L11+K11+J11+I11)*'2-报价汇总'!$J$5</f>
        <v>0</v>
      </c>
      <c r="O11" s="86">
        <f t="shared" si="1"/>
        <v>6932618.70641314</v>
      </c>
      <c r="P11" s="235"/>
    </row>
    <row r="12" ht="50" customHeight="1" spans="1:16">
      <c r="A12" s="24" t="s">
        <v>1738</v>
      </c>
      <c r="B12" s="30" t="s">
        <v>1736</v>
      </c>
      <c r="C12" s="232" t="s">
        <v>1739</v>
      </c>
      <c r="D12" s="30" t="s">
        <v>1216</v>
      </c>
      <c r="E12" s="233" t="s">
        <v>170</v>
      </c>
      <c r="F12" s="234" t="s">
        <v>28</v>
      </c>
      <c r="G12" s="32">
        <v>73406.441198269</v>
      </c>
      <c r="H12" s="33">
        <f t="shared" si="0"/>
        <v>52.4675324675324</v>
      </c>
      <c r="I12" s="85">
        <v>4.8480519480519</v>
      </c>
      <c r="J12" s="85">
        <v>46.41</v>
      </c>
      <c r="K12" s="85">
        <v>0.69</v>
      </c>
      <c r="L12" s="85">
        <f>(I12+J12+K12)*'2-报价汇总'!$H$5</f>
        <v>0.519480519480519</v>
      </c>
      <c r="M12" s="94">
        <f>(I12+J12+K12+L12)*'2-报价汇总'!$I$5</f>
        <v>0</v>
      </c>
      <c r="N12" s="94">
        <f>(M12+L12+K12+J12+I12)*'2-报价汇总'!$J$5</f>
        <v>0</v>
      </c>
      <c r="O12" s="86">
        <f t="shared" si="1"/>
        <v>3851454.83689619</v>
      </c>
      <c r="P12" s="235"/>
    </row>
    <row r="13" ht="50" customHeight="1" spans="1:16">
      <c r="A13" s="24" t="s">
        <v>1740</v>
      </c>
      <c r="B13" s="30" t="s">
        <v>1741</v>
      </c>
      <c r="C13" s="232" t="s">
        <v>1742</v>
      </c>
      <c r="D13" s="30" t="s">
        <v>1216</v>
      </c>
      <c r="E13" s="233" t="s">
        <v>170</v>
      </c>
      <c r="F13" s="234" t="s">
        <v>28</v>
      </c>
      <c r="G13" s="32">
        <v>5000</v>
      </c>
      <c r="H13" s="33">
        <f t="shared" si="0"/>
        <v>78.7012987012987</v>
      </c>
      <c r="I13" s="85">
        <v>27.1620779220779</v>
      </c>
      <c r="J13" s="85">
        <v>50</v>
      </c>
      <c r="K13" s="85">
        <v>0.76</v>
      </c>
      <c r="L13" s="85">
        <f>(I13+J13+K13)*'2-报价汇总'!$H$5</f>
        <v>0.779220779220779</v>
      </c>
      <c r="M13" s="94">
        <f>(I13+J13+K13+L13)*'2-报价汇总'!$I$5</f>
        <v>0</v>
      </c>
      <c r="N13" s="94">
        <f>(M13+L13+K13+J13+I13)*'2-报价汇总'!$J$5</f>
        <v>0</v>
      </c>
      <c r="O13" s="86">
        <f t="shared" si="1"/>
        <v>393506.493506493</v>
      </c>
      <c r="P13" s="235"/>
    </row>
    <row r="14" ht="50" customHeight="1" spans="1:16">
      <c r="A14" s="24" t="s">
        <v>1743</v>
      </c>
      <c r="B14" s="30" t="s">
        <v>1744</v>
      </c>
      <c r="C14" s="232" t="s">
        <v>1745</v>
      </c>
      <c r="D14" s="30" t="s">
        <v>1216</v>
      </c>
      <c r="E14" s="233" t="s">
        <v>170</v>
      </c>
      <c r="F14" s="234" t="s">
        <v>28</v>
      </c>
      <c r="G14" s="32">
        <v>5000</v>
      </c>
      <c r="H14" s="33">
        <f t="shared" si="0"/>
        <v>78.7012987012987</v>
      </c>
      <c r="I14" s="85">
        <v>31.8620779220779</v>
      </c>
      <c r="J14" s="85">
        <v>45</v>
      </c>
      <c r="K14" s="85">
        <v>1.06</v>
      </c>
      <c r="L14" s="85">
        <f>(I14+J14+K14)*'2-报价汇总'!$H$5</f>
        <v>0.779220779220779</v>
      </c>
      <c r="M14" s="94">
        <f>(I14+J14+K14+L14)*'2-报价汇总'!$I$5</f>
        <v>0</v>
      </c>
      <c r="N14" s="94">
        <f>(M14+L14+K14+J14+I14)*'2-报价汇总'!$J$5</f>
        <v>0</v>
      </c>
      <c r="O14" s="86">
        <f t="shared" si="1"/>
        <v>393506.493506493</v>
      </c>
      <c r="P14" s="235"/>
    </row>
    <row r="15" ht="50" customHeight="1" spans="1:16">
      <c r="A15" s="24" t="s">
        <v>1746</v>
      </c>
      <c r="B15" s="30" t="s">
        <v>1747</v>
      </c>
      <c r="C15" s="232" t="s">
        <v>1748</v>
      </c>
      <c r="D15" s="30" t="s">
        <v>1216</v>
      </c>
      <c r="E15" s="233"/>
      <c r="F15" s="234" t="s">
        <v>89</v>
      </c>
      <c r="G15" s="32">
        <v>97349.7052143352</v>
      </c>
      <c r="H15" s="33">
        <f t="shared" si="0"/>
        <v>48.0952380952381</v>
      </c>
      <c r="I15" s="85">
        <v>12.1090476190476</v>
      </c>
      <c r="J15" s="85">
        <v>35</v>
      </c>
      <c r="K15" s="85">
        <v>0.51</v>
      </c>
      <c r="L15" s="85">
        <f>(I15+J15+K15)*'2-报价汇总'!$H$5</f>
        <v>0.476190476190476</v>
      </c>
      <c r="M15" s="94">
        <f>(I15+J15+K15+L15)*'2-报价汇总'!$I$5</f>
        <v>0</v>
      </c>
      <c r="N15" s="94">
        <f>(M15+L15+K15+J15+I15)*'2-报价汇总'!$J$5</f>
        <v>0</v>
      </c>
      <c r="O15" s="86">
        <f t="shared" si="1"/>
        <v>4682057.25078469</v>
      </c>
      <c r="P15" s="235"/>
    </row>
    <row r="16" ht="61" customHeight="1" spans="1:16">
      <c r="A16" s="24" t="s">
        <v>1749</v>
      </c>
      <c r="B16" s="30" t="s">
        <v>1750</v>
      </c>
      <c r="C16" s="232" t="s">
        <v>1751</v>
      </c>
      <c r="D16" s="30" t="s">
        <v>1216</v>
      </c>
      <c r="E16" s="233"/>
      <c r="F16" s="234" t="s">
        <v>89</v>
      </c>
      <c r="G16" s="32">
        <v>3000</v>
      </c>
      <c r="H16" s="33">
        <f t="shared" si="0"/>
        <v>218.614718614718</v>
      </c>
      <c r="I16" s="85">
        <v>92.540216450216</v>
      </c>
      <c r="J16" s="85">
        <v>120</v>
      </c>
      <c r="K16" s="85">
        <v>3.91</v>
      </c>
      <c r="L16" s="85">
        <f>(I16+J16+K16)*'2-报价汇总'!$H$5</f>
        <v>2.16450216450216</v>
      </c>
      <c r="M16" s="94">
        <f>(I16+J16+K16+L16)*'2-报价汇总'!$I$5</f>
        <v>0</v>
      </c>
      <c r="N16" s="94">
        <f>(M16+L16+K16+J16+I16)*'2-报价汇总'!$J$5</f>
        <v>0</v>
      </c>
      <c r="O16" s="86">
        <f t="shared" si="1"/>
        <v>655844.155844154</v>
      </c>
      <c r="P16" s="235"/>
    </row>
    <row r="17" ht="50" customHeight="1" spans="1:16">
      <c r="A17" s="24" t="s">
        <v>1752</v>
      </c>
      <c r="B17" s="30" t="s">
        <v>1753</v>
      </c>
      <c r="C17" s="232" t="s">
        <v>1754</v>
      </c>
      <c r="D17" s="30" t="s">
        <v>1216</v>
      </c>
      <c r="E17" s="233"/>
      <c r="F17" s="234" t="s">
        <v>89</v>
      </c>
      <c r="G17" s="32">
        <v>2000</v>
      </c>
      <c r="H17" s="33">
        <f t="shared" si="0"/>
        <v>262.337662337663</v>
      </c>
      <c r="I17" s="85">
        <v>27.10025974026</v>
      </c>
      <c r="J17" s="85">
        <v>230</v>
      </c>
      <c r="K17" s="85">
        <v>2.64</v>
      </c>
      <c r="L17" s="85">
        <f>(I17+J17+K17)*'2-报价汇总'!$H$5</f>
        <v>2.5974025974026</v>
      </c>
      <c r="M17" s="94">
        <f>(I17+J17+K17+L17)*'2-报价汇总'!$I$5</f>
        <v>0</v>
      </c>
      <c r="N17" s="94">
        <f>(M17+L17+K17+J17+I17)*'2-报价汇总'!$J$5</f>
        <v>0</v>
      </c>
      <c r="O17" s="86">
        <f t="shared" si="1"/>
        <v>524675.324675325</v>
      </c>
      <c r="P17" s="235"/>
    </row>
    <row r="18" ht="67" customHeight="1" spans="1:16">
      <c r="A18" s="24" t="s">
        <v>1755</v>
      </c>
      <c r="B18" s="30" t="s">
        <v>1756</v>
      </c>
      <c r="C18" s="232" t="s">
        <v>1757</v>
      </c>
      <c r="D18" s="30" t="s">
        <v>1216</v>
      </c>
      <c r="E18" s="233" t="s">
        <v>340</v>
      </c>
      <c r="F18" s="234" t="s">
        <v>574</v>
      </c>
      <c r="G18" s="32">
        <v>1000</v>
      </c>
      <c r="H18" s="33">
        <f t="shared" si="0"/>
        <v>87.4458874458875</v>
      </c>
      <c r="I18" s="85">
        <v>5.9800865800866</v>
      </c>
      <c r="J18" s="85">
        <v>80</v>
      </c>
      <c r="K18" s="85">
        <v>0.6</v>
      </c>
      <c r="L18" s="85">
        <f>(I18+J18+K18)*'2-报价汇总'!$H$5</f>
        <v>0.865800865800866</v>
      </c>
      <c r="M18" s="94">
        <f>(I18+J18+K18+L18)*'2-报价汇总'!$I$5</f>
        <v>0</v>
      </c>
      <c r="N18" s="94">
        <f>(M18+L18+K18+J18+I18)*'2-报价汇总'!$J$5</f>
        <v>0</v>
      </c>
      <c r="O18" s="86">
        <f t="shared" si="1"/>
        <v>87445.8874458875</v>
      </c>
      <c r="P18" s="235"/>
    </row>
    <row r="19" ht="50" customHeight="1" spans="1:16">
      <c r="A19" s="24" t="s">
        <v>1758</v>
      </c>
      <c r="B19" s="30" t="s">
        <v>1759</v>
      </c>
      <c r="C19" s="232" t="s">
        <v>1760</v>
      </c>
      <c r="D19" s="30" t="s">
        <v>1216</v>
      </c>
      <c r="E19" s="233"/>
      <c r="F19" s="234" t="s">
        <v>89</v>
      </c>
      <c r="G19" s="32">
        <v>1000</v>
      </c>
      <c r="H19" s="33">
        <f t="shared" si="0"/>
        <v>76.9523809523809</v>
      </c>
      <c r="I19" s="85">
        <v>57.8304761904762</v>
      </c>
      <c r="J19" s="85">
        <v>17</v>
      </c>
      <c r="K19" s="85">
        <v>1.36</v>
      </c>
      <c r="L19" s="85">
        <f>(I19+J19+K19)*'2-报价汇总'!$H$5</f>
        <v>0.761904761904762</v>
      </c>
      <c r="M19" s="94">
        <f>(I19+J19+K19+L19)*'2-报价汇总'!$I$5</f>
        <v>0</v>
      </c>
      <c r="N19" s="94">
        <f>(M19+L19+K19+J19+I19)*'2-报价汇总'!$J$5</f>
        <v>0</v>
      </c>
      <c r="O19" s="86">
        <f t="shared" si="1"/>
        <v>76952.3809523809</v>
      </c>
      <c r="P19" s="235"/>
    </row>
    <row r="20" ht="75" customHeight="1" spans="1:16">
      <c r="A20" s="24" t="s">
        <v>1761</v>
      </c>
      <c r="B20" s="30" t="s">
        <v>1762</v>
      </c>
      <c r="C20" s="232" t="s">
        <v>1763</v>
      </c>
      <c r="D20" s="30" t="s">
        <v>1216</v>
      </c>
      <c r="E20" s="233" t="s">
        <v>340</v>
      </c>
      <c r="F20" s="234" t="s">
        <v>341</v>
      </c>
      <c r="G20" s="32">
        <v>37372.0778444545</v>
      </c>
      <c r="H20" s="33">
        <f t="shared" si="0"/>
        <v>139.91341991342</v>
      </c>
      <c r="I20" s="85">
        <v>36.528138528139</v>
      </c>
      <c r="J20" s="85">
        <v>100</v>
      </c>
      <c r="K20" s="85">
        <v>2</v>
      </c>
      <c r="L20" s="85">
        <f>(I20+J20+K20)*'2-报价汇总'!$H$5</f>
        <v>1.38528138528139</v>
      </c>
      <c r="M20" s="94">
        <f>(I20+J20+K20+L20)*'2-报价汇总'!$I$5</f>
        <v>0</v>
      </c>
      <c r="N20" s="94">
        <f>(M20+L20+K20+J20+I20)*'2-报价汇总'!$J$5</f>
        <v>0</v>
      </c>
      <c r="O20" s="86">
        <f t="shared" si="1"/>
        <v>5228855.2204882</v>
      </c>
      <c r="P20" s="235"/>
    </row>
    <row r="21" ht="50" customHeight="1" spans="1:16">
      <c r="A21" s="24" t="s">
        <v>1764</v>
      </c>
      <c r="B21" s="30" t="s">
        <v>1765</v>
      </c>
      <c r="C21" s="232" t="s">
        <v>1766</v>
      </c>
      <c r="D21" s="30" t="s">
        <v>1216</v>
      </c>
      <c r="E21" s="233" t="s">
        <v>340</v>
      </c>
      <c r="F21" s="234" t="s">
        <v>1767</v>
      </c>
      <c r="G21" s="32">
        <v>51956.3033447295</v>
      </c>
      <c r="H21" s="33">
        <f t="shared" si="0"/>
        <v>139.91341991342</v>
      </c>
      <c r="I21" s="85">
        <v>27.028138528139</v>
      </c>
      <c r="J21" s="85">
        <v>110</v>
      </c>
      <c r="K21" s="85">
        <v>1.5</v>
      </c>
      <c r="L21" s="85">
        <f>(I21+J21+K21)*'2-报价汇总'!$H$5</f>
        <v>1.38528138528139</v>
      </c>
      <c r="M21" s="94">
        <f>(I21+J21+K21+L21)*'2-报价汇总'!$I$5</f>
        <v>0</v>
      </c>
      <c r="N21" s="94">
        <f>(M21+L21+K21+J21+I21)*'2-报价汇总'!$J$5</f>
        <v>0</v>
      </c>
      <c r="O21" s="86">
        <f t="shared" si="1"/>
        <v>7269384.08702019</v>
      </c>
      <c r="P21" s="31"/>
    </row>
    <row r="22" ht="64" customHeight="1" spans="1:16">
      <c r="A22" s="24" t="s">
        <v>1768</v>
      </c>
      <c r="B22" s="30" t="s">
        <v>1769</v>
      </c>
      <c r="C22" s="232" t="s">
        <v>1591</v>
      </c>
      <c r="D22" s="30" t="s">
        <v>1216</v>
      </c>
      <c r="E22" s="233" t="s">
        <v>170</v>
      </c>
      <c r="F22" s="234" t="s">
        <v>28</v>
      </c>
      <c r="G22" s="32">
        <v>1000</v>
      </c>
      <c r="H22" s="33">
        <f t="shared" si="0"/>
        <v>50.7186147186147</v>
      </c>
      <c r="I22" s="85">
        <v>13.7964502164502</v>
      </c>
      <c r="J22" s="85">
        <v>36</v>
      </c>
      <c r="K22" s="85">
        <v>0.42</v>
      </c>
      <c r="L22" s="85">
        <f>(I22+J22+K22)*'2-报价汇总'!$H$5</f>
        <v>0.502164502164502</v>
      </c>
      <c r="M22" s="94">
        <f>(I22+J22+K22+L22)*'2-报价汇总'!$I$5</f>
        <v>0</v>
      </c>
      <c r="N22" s="94">
        <f>(M22+L22+K22+J22+I22)*'2-报价汇总'!$J$5</f>
        <v>0</v>
      </c>
      <c r="O22" s="86">
        <f t="shared" si="1"/>
        <v>50718.6147186147</v>
      </c>
      <c r="P22" s="31"/>
    </row>
    <row r="23" ht="50" customHeight="1" spans="1:16">
      <c r="A23" s="24" t="s">
        <v>1770</v>
      </c>
      <c r="B23" s="30" t="s">
        <v>1771</v>
      </c>
      <c r="C23" s="232" t="s">
        <v>1772</v>
      </c>
      <c r="D23" s="30" t="s">
        <v>1216</v>
      </c>
      <c r="E23" s="233"/>
      <c r="F23" s="234" t="s">
        <v>101</v>
      </c>
      <c r="G23" s="32">
        <v>300</v>
      </c>
      <c r="H23" s="33">
        <f t="shared" si="0"/>
        <v>14865.8008658008</v>
      </c>
      <c r="I23" s="85">
        <v>2518.6147186147</v>
      </c>
      <c r="J23" s="85">
        <v>12000</v>
      </c>
      <c r="K23" s="85">
        <v>200</v>
      </c>
      <c r="L23" s="85">
        <f>(I23+J23+K23)*'2-报价汇总'!$H$5</f>
        <v>147.186147186147</v>
      </c>
      <c r="M23" s="94">
        <f>(I23+J23+K23+L23)*'2-报价汇总'!$I$5</f>
        <v>0</v>
      </c>
      <c r="N23" s="94">
        <f>(M23+L23+K23+J23+I23)*'2-报价汇总'!$J$5</f>
        <v>0</v>
      </c>
      <c r="O23" s="86">
        <f t="shared" si="1"/>
        <v>4459740.25974025</v>
      </c>
      <c r="P23" s="31"/>
    </row>
    <row r="24" ht="50" customHeight="1" spans="1:16">
      <c r="A24" s="24" t="s">
        <v>1773</v>
      </c>
      <c r="B24" s="30" t="s">
        <v>1774</v>
      </c>
      <c r="C24" s="232" t="s">
        <v>1775</v>
      </c>
      <c r="D24" s="30" t="s">
        <v>1216</v>
      </c>
      <c r="E24" s="233"/>
      <c r="F24" s="234" t="s">
        <v>101</v>
      </c>
      <c r="G24" s="32">
        <v>300</v>
      </c>
      <c r="H24" s="33">
        <f t="shared" si="0"/>
        <v>11805.1948051948</v>
      </c>
      <c r="I24" s="85">
        <v>1638.3116883117</v>
      </c>
      <c r="J24" s="85">
        <v>10000</v>
      </c>
      <c r="K24" s="85">
        <v>50</v>
      </c>
      <c r="L24" s="85">
        <f>(I24+J24+K24)*'2-报价汇总'!$H$5</f>
        <v>116.883116883117</v>
      </c>
      <c r="M24" s="94">
        <f>(I24+J24+K24+L24)*'2-报价汇总'!$I$5</f>
        <v>0</v>
      </c>
      <c r="N24" s="94">
        <f>(M24+L24+K24+J24+I24)*'2-报价汇总'!$J$5</f>
        <v>0</v>
      </c>
      <c r="O24" s="86">
        <f t="shared" si="1"/>
        <v>3541558.44155844</v>
      </c>
      <c r="P24" s="31"/>
    </row>
    <row r="25" ht="50" customHeight="1" spans="1:16">
      <c r="A25" s="24" t="s">
        <v>1776</v>
      </c>
      <c r="B25" s="30" t="s">
        <v>1777</v>
      </c>
      <c r="C25" s="232" t="s">
        <v>1778</v>
      </c>
      <c r="D25" s="30" t="s">
        <v>1216</v>
      </c>
      <c r="E25" s="233" t="s">
        <v>170</v>
      </c>
      <c r="F25" s="234" t="s">
        <v>28</v>
      </c>
      <c r="G25" s="32">
        <v>50</v>
      </c>
      <c r="H25" s="33">
        <f t="shared" si="0"/>
        <v>830.73593073593</v>
      </c>
      <c r="I25" s="85">
        <v>21.880822510822</v>
      </c>
      <c r="J25" s="85">
        <v>800</v>
      </c>
      <c r="K25" s="85">
        <v>0.63</v>
      </c>
      <c r="L25" s="85">
        <f>(I25+J25+K25)*'2-报价汇总'!$H$5</f>
        <v>8.22510822510822</v>
      </c>
      <c r="M25" s="94">
        <f>(I25+J25+K25+L25)*'2-报价汇总'!$I$5</f>
        <v>0</v>
      </c>
      <c r="N25" s="94">
        <f>(M25+L25+K25+J25+I25)*'2-报价汇总'!$J$5</f>
        <v>0</v>
      </c>
      <c r="O25" s="86">
        <f t="shared" si="1"/>
        <v>41536.7965367965</v>
      </c>
      <c r="P25" s="31"/>
    </row>
    <row r="26" ht="50" customHeight="1" spans="1:16">
      <c r="A26" s="24" t="s">
        <v>1779</v>
      </c>
      <c r="B26" s="30" t="s">
        <v>1780</v>
      </c>
      <c r="C26" s="232" t="s">
        <v>1781</v>
      </c>
      <c r="D26" s="30" t="s">
        <v>1216</v>
      </c>
      <c r="E26" s="233" t="s">
        <v>340</v>
      </c>
      <c r="F26" s="234" t="s">
        <v>481</v>
      </c>
      <c r="G26" s="32">
        <v>50</v>
      </c>
      <c r="H26" s="33">
        <f t="shared" si="0"/>
        <v>4022.51082251082</v>
      </c>
      <c r="I26" s="85">
        <v>469.68398268398</v>
      </c>
      <c r="J26" s="85">
        <v>3500</v>
      </c>
      <c r="K26" s="85">
        <v>13</v>
      </c>
      <c r="L26" s="85">
        <f>(I26+J26+K26)*'2-报价汇总'!$H$5</f>
        <v>39.8268398268398</v>
      </c>
      <c r="M26" s="94">
        <f>(I26+J26+K26+L26)*'2-报价汇总'!$I$5</f>
        <v>0</v>
      </c>
      <c r="N26" s="94">
        <f>(M26+L26+K26+J26+I26)*'2-报价汇总'!$J$5</f>
        <v>0</v>
      </c>
      <c r="O26" s="86">
        <f t="shared" si="1"/>
        <v>201125.541125541</v>
      </c>
      <c r="P26" s="31"/>
    </row>
    <row r="27" ht="50" customHeight="1" spans="1:16">
      <c r="A27" s="24" t="s">
        <v>1782</v>
      </c>
      <c r="B27" s="30" t="s">
        <v>1783</v>
      </c>
      <c r="C27" s="232" t="s">
        <v>1784</v>
      </c>
      <c r="D27" s="30" t="s">
        <v>1216</v>
      </c>
      <c r="E27" s="233" t="s">
        <v>340</v>
      </c>
      <c r="F27" s="234" t="s">
        <v>481</v>
      </c>
      <c r="G27" s="32">
        <v>1823.02818753437</v>
      </c>
      <c r="H27" s="33">
        <f t="shared" si="0"/>
        <v>2098.7012987013</v>
      </c>
      <c r="I27" s="85">
        <v>262.92207792208</v>
      </c>
      <c r="J27" s="85">
        <v>1800</v>
      </c>
      <c r="K27" s="85">
        <v>15</v>
      </c>
      <c r="L27" s="85">
        <f>(I27+J27+K27)*'2-报价汇总'!$H$5</f>
        <v>20.7792207792208</v>
      </c>
      <c r="M27" s="94">
        <f>(I27+J27+K27+L27)*'2-报价汇总'!$I$5</f>
        <v>0</v>
      </c>
      <c r="N27" s="94">
        <f>(M27+L27+K27+J27+I27)*'2-报价汇总'!$J$5</f>
        <v>0</v>
      </c>
      <c r="O27" s="86">
        <f t="shared" si="1"/>
        <v>3825991.62474746</v>
      </c>
      <c r="P27" s="31"/>
    </row>
    <row r="28" ht="50" customHeight="1" spans="1:16">
      <c r="A28" s="24" t="s">
        <v>1785</v>
      </c>
      <c r="B28" s="30" t="s">
        <v>1786</v>
      </c>
      <c r="C28" s="232" t="s">
        <v>1787</v>
      </c>
      <c r="D28" s="30" t="s">
        <v>1216</v>
      </c>
      <c r="E28" s="233" t="s">
        <v>340</v>
      </c>
      <c r="F28" s="234" t="s">
        <v>78</v>
      </c>
      <c r="G28" s="32">
        <v>5469.0845626031</v>
      </c>
      <c r="H28" s="33">
        <f t="shared" si="0"/>
        <v>466.08658008658</v>
      </c>
      <c r="I28" s="85">
        <v>106.471861471861</v>
      </c>
      <c r="J28" s="85">
        <v>350</v>
      </c>
      <c r="K28" s="85">
        <v>5</v>
      </c>
      <c r="L28" s="85">
        <f>(I28+J28+K28)*'2-报价汇总'!$H$5</f>
        <v>4.61471861471861</v>
      </c>
      <c r="M28" s="94">
        <f>(I28+J28+K28+L28)*'2-报价汇总'!$I$5</f>
        <v>0</v>
      </c>
      <c r="N28" s="94">
        <f>(M28+L28+K28+J28+I28)*'2-报价汇总'!$J$5</f>
        <v>0</v>
      </c>
      <c r="O28" s="86">
        <f t="shared" si="1"/>
        <v>2549066.91998799</v>
      </c>
      <c r="P28" s="31"/>
    </row>
    <row r="29" ht="50" customHeight="1" spans="1:16">
      <c r="A29" s="24" t="s">
        <v>1788</v>
      </c>
      <c r="B29" s="30" t="s">
        <v>1789</v>
      </c>
      <c r="C29" s="232" t="s">
        <v>1790</v>
      </c>
      <c r="D29" s="30" t="s">
        <v>1216</v>
      </c>
      <c r="E29" s="233" t="s">
        <v>340</v>
      </c>
      <c r="F29" s="234" t="s">
        <v>78</v>
      </c>
      <c r="G29" s="32">
        <v>500</v>
      </c>
      <c r="H29" s="33">
        <f t="shared" si="0"/>
        <v>1224.24242424242</v>
      </c>
      <c r="I29" s="85">
        <v>192.12121212121</v>
      </c>
      <c r="J29" s="85">
        <v>1000</v>
      </c>
      <c r="K29" s="85">
        <v>20</v>
      </c>
      <c r="L29" s="85">
        <f>(I29+J29+K29)*'2-报价汇总'!$H$5</f>
        <v>12.1212121212121</v>
      </c>
      <c r="M29" s="94">
        <f>(I29+J29+K29+L29)*'2-报价汇总'!$I$5</f>
        <v>0</v>
      </c>
      <c r="N29" s="94">
        <f>(M29+L29+K29+J29+I29)*'2-报价汇总'!$J$5</f>
        <v>0</v>
      </c>
      <c r="O29" s="86">
        <f t="shared" si="1"/>
        <v>612121.212121211</v>
      </c>
      <c r="P29" s="31"/>
    </row>
    <row r="30" ht="50" customHeight="1" spans="1:16">
      <c r="A30" s="24" t="s">
        <v>1791</v>
      </c>
      <c r="B30" s="30" t="s">
        <v>1792</v>
      </c>
      <c r="C30" s="232" t="s">
        <v>1793</v>
      </c>
      <c r="D30" s="30" t="s">
        <v>1216</v>
      </c>
      <c r="E30" s="233" t="s">
        <v>340</v>
      </c>
      <c r="F30" s="234" t="s">
        <v>78</v>
      </c>
      <c r="G30" s="32">
        <v>500</v>
      </c>
      <c r="H30" s="33">
        <f t="shared" si="0"/>
        <v>699.5670995671</v>
      </c>
      <c r="I30" s="85">
        <v>172.640692640693</v>
      </c>
      <c r="J30" s="85">
        <v>500</v>
      </c>
      <c r="K30" s="85">
        <v>20</v>
      </c>
      <c r="L30" s="85">
        <f>(I30+J30+K30)*'2-报价汇总'!$H$5</f>
        <v>6.92640692640693</v>
      </c>
      <c r="M30" s="94">
        <f>(I30+J30+K30+L30)*'2-报价汇总'!$I$5</f>
        <v>0</v>
      </c>
      <c r="N30" s="94">
        <f>(M30+L30+K30+J30+I30)*'2-报价汇总'!$J$5</f>
        <v>0</v>
      </c>
      <c r="O30" s="86">
        <f t="shared" si="1"/>
        <v>349783.54978355</v>
      </c>
      <c r="P30" s="31"/>
    </row>
    <row r="31" ht="50" customHeight="1" spans="1:16">
      <c r="A31" s="24" t="s">
        <v>1794</v>
      </c>
      <c r="B31" s="30" t="s">
        <v>1795</v>
      </c>
      <c r="C31" s="232" t="s">
        <v>1796</v>
      </c>
      <c r="D31" s="30" t="s">
        <v>1216</v>
      </c>
      <c r="E31" s="233" t="s">
        <v>340</v>
      </c>
      <c r="F31" s="234" t="s">
        <v>78</v>
      </c>
      <c r="G31" s="32">
        <v>500</v>
      </c>
      <c r="H31" s="33">
        <f t="shared" si="0"/>
        <v>87.4458874458875</v>
      </c>
      <c r="I31" s="85">
        <v>4.5800865800866</v>
      </c>
      <c r="J31" s="85">
        <v>80</v>
      </c>
      <c r="K31" s="85">
        <v>2</v>
      </c>
      <c r="L31" s="85">
        <f>(I31+J31+K31)*'2-报价汇总'!$H$5</f>
        <v>0.865800865800866</v>
      </c>
      <c r="M31" s="94">
        <f>(I31+J31+K31+L31)*'2-报价汇总'!$I$5</f>
        <v>0</v>
      </c>
      <c r="N31" s="94">
        <f>(M31+L31+K31+J31+I31)*'2-报价汇总'!$J$5</f>
        <v>0</v>
      </c>
      <c r="O31" s="86">
        <f t="shared" si="1"/>
        <v>43722.9437229437</v>
      </c>
      <c r="P31" s="31"/>
    </row>
    <row r="32" ht="50" customHeight="1" spans="1:16">
      <c r="A32" s="24" t="s">
        <v>1797</v>
      </c>
      <c r="B32" s="30" t="s">
        <v>1798</v>
      </c>
      <c r="C32" s="232" t="s">
        <v>1799</v>
      </c>
      <c r="D32" s="30" t="s">
        <v>1216</v>
      </c>
      <c r="E32" s="233"/>
      <c r="F32" s="234" t="s">
        <v>89</v>
      </c>
      <c r="G32" s="32">
        <v>500</v>
      </c>
      <c r="H32" s="33">
        <f t="shared" si="0"/>
        <v>121.2</v>
      </c>
      <c r="I32" s="85">
        <v>29.5</v>
      </c>
      <c r="J32" s="85">
        <v>90</v>
      </c>
      <c r="K32" s="85">
        <v>0.5</v>
      </c>
      <c r="L32" s="85">
        <f>(I32+J32+K32)*'2-报价汇总'!$H$5</f>
        <v>1.2</v>
      </c>
      <c r="M32" s="94">
        <f>(I32+J32+K32+L32)*'2-报价汇总'!$I$5</f>
        <v>0</v>
      </c>
      <c r="N32" s="94">
        <f>(M32+L32+K32+J32+I32)*'2-报价汇总'!$J$5</f>
        <v>0</v>
      </c>
      <c r="O32" s="86">
        <f t="shared" si="1"/>
        <v>60600</v>
      </c>
      <c r="P32" s="31"/>
    </row>
    <row r="33" ht="50" customHeight="1" spans="1:20">
      <c r="A33" s="24" t="s">
        <v>1800</v>
      </c>
      <c r="B33" s="30" t="s">
        <v>1801</v>
      </c>
      <c r="C33" s="232" t="s">
        <v>1799</v>
      </c>
      <c r="D33" s="30" t="s">
        <v>1216</v>
      </c>
      <c r="E33" s="233"/>
      <c r="F33" s="234" t="s">
        <v>89</v>
      </c>
      <c r="G33" s="32">
        <v>500</v>
      </c>
      <c r="H33" s="33">
        <f t="shared" si="0"/>
        <v>154.604329004329</v>
      </c>
      <c r="I33" s="85">
        <v>52.573593073593</v>
      </c>
      <c r="J33" s="85">
        <v>100</v>
      </c>
      <c r="K33" s="85">
        <v>0.5</v>
      </c>
      <c r="L33" s="85">
        <f>(I33+J33+K33)*'2-报价汇总'!$H$5</f>
        <v>1.53073593073593</v>
      </c>
      <c r="M33" s="94">
        <f>(I33+J33+K33+L33)*'2-报价汇总'!$I$5</f>
        <v>0</v>
      </c>
      <c r="N33" s="94">
        <f>(M33+L33+K33+J33+I33)*'2-报价汇总'!$J$5</f>
        <v>0</v>
      </c>
      <c r="O33" s="86">
        <f t="shared" si="1"/>
        <v>77302.1645021645</v>
      </c>
      <c r="P33" s="31"/>
    </row>
    <row r="34" ht="50" customHeight="1" spans="1:20">
      <c r="A34" s="24" t="s">
        <v>1802</v>
      </c>
      <c r="B34" s="30" t="s">
        <v>1803</v>
      </c>
      <c r="C34" s="232" t="s">
        <v>1799</v>
      </c>
      <c r="D34" s="30" t="s">
        <v>1216</v>
      </c>
      <c r="E34" s="233"/>
      <c r="F34" s="234" t="s">
        <v>89</v>
      </c>
      <c r="G34" s="32">
        <v>500</v>
      </c>
      <c r="H34" s="33">
        <f t="shared" si="0"/>
        <v>168.245887445888</v>
      </c>
      <c r="I34" s="85">
        <v>56.080086580087</v>
      </c>
      <c r="J34" s="85">
        <v>110</v>
      </c>
      <c r="K34" s="85">
        <v>0.5</v>
      </c>
      <c r="L34" s="85">
        <f>(I34+J34+K34)*'2-报价汇总'!$H$5</f>
        <v>1.66580086580087</v>
      </c>
      <c r="M34" s="94">
        <f>(I34+J34+K34+L34)*'2-报价汇总'!$I$5</f>
        <v>0</v>
      </c>
      <c r="N34" s="94">
        <f>(M34+L34+K34+J34+I34)*'2-报价汇总'!$J$5</f>
        <v>0</v>
      </c>
      <c r="O34" s="86">
        <f t="shared" si="1"/>
        <v>84122.9437229439</v>
      </c>
      <c r="P34" s="31"/>
    </row>
    <row r="35" ht="50" customHeight="1" spans="1:20">
      <c r="A35" s="24" t="s">
        <v>1804</v>
      </c>
      <c r="B35" s="30" t="s">
        <v>1805</v>
      </c>
      <c r="C35" s="232" t="s">
        <v>1806</v>
      </c>
      <c r="D35" s="30" t="s">
        <v>1216</v>
      </c>
      <c r="E35" s="233" t="s">
        <v>340</v>
      </c>
      <c r="F35" s="24" t="s">
        <v>78</v>
      </c>
      <c r="G35" s="32">
        <v>500</v>
      </c>
      <c r="H35" s="33">
        <f t="shared" si="0"/>
        <v>874.458874458875</v>
      </c>
      <c r="I35" s="85">
        <v>265.420865800866</v>
      </c>
      <c r="J35" s="85">
        <v>600</v>
      </c>
      <c r="K35" s="85">
        <v>0.38</v>
      </c>
      <c r="L35" s="85">
        <f>(I35+J35+K35)*'2-报价汇总'!$H$5</f>
        <v>8.65800865800866</v>
      </c>
      <c r="M35" s="94">
        <f>(I35+J35+K35+L35)*'2-报价汇总'!$I$5</f>
        <v>0</v>
      </c>
      <c r="N35" s="94">
        <f>(M35+L35+K35+J35+I35)*'2-报价汇总'!$J$5</f>
        <v>0</v>
      </c>
      <c r="O35" s="86">
        <f t="shared" si="1"/>
        <v>437229.437229437</v>
      </c>
      <c r="P35" s="31"/>
    </row>
    <row r="36" ht="76" customHeight="1" spans="1:20">
      <c r="A36" s="24" t="s">
        <v>1807</v>
      </c>
      <c r="B36" s="30" t="s">
        <v>1808</v>
      </c>
      <c r="C36" s="232" t="s">
        <v>1809</v>
      </c>
      <c r="D36" s="30" t="s">
        <v>1216</v>
      </c>
      <c r="E36" s="233" t="s">
        <v>1810</v>
      </c>
      <c r="F36" s="24" t="s">
        <v>49</v>
      </c>
      <c r="G36" s="32">
        <v>1000</v>
      </c>
      <c r="H36" s="33">
        <f t="shared" si="0"/>
        <v>3935.06493506493</v>
      </c>
      <c r="I36" s="85">
        <v>661.103896103896</v>
      </c>
      <c r="J36" s="85">
        <v>3200</v>
      </c>
      <c r="K36" s="85">
        <v>35</v>
      </c>
      <c r="L36" s="85">
        <f>(I36+J36+K36)*'2-报价汇总'!$H$5</f>
        <v>38.961038961039</v>
      </c>
      <c r="M36" s="94">
        <f>(I36+J36+K36+L36)*'2-报价汇总'!$I$5</f>
        <v>0</v>
      </c>
      <c r="N36" s="94">
        <f>(M36+L36+K36+J36+I36)*'2-报价汇总'!$J$5</f>
        <v>0</v>
      </c>
      <c r="O36" s="86">
        <f t="shared" si="1"/>
        <v>3935064.93506493</v>
      </c>
      <c r="P36" s="31"/>
    </row>
    <row r="37" ht="50" customHeight="1" spans="1:20">
      <c r="A37" s="24" t="s">
        <v>1811</v>
      </c>
      <c r="B37" s="30" t="s">
        <v>1812</v>
      </c>
      <c r="C37" s="232" t="s">
        <v>1813</v>
      </c>
      <c r="D37" s="30" t="s">
        <v>1216</v>
      </c>
      <c r="E37" s="233" t="s">
        <v>340</v>
      </c>
      <c r="F37" s="24" t="s">
        <v>78</v>
      </c>
      <c r="G37" s="32">
        <v>200</v>
      </c>
      <c r="H37" s="33">
        <f t="shared" si="0"/>
        <v>3397.27272727272</v>
      </c>
      <c r="I37" s="85">
        <v>513.63636363636</v>
      </c>
      <c r="J37" s="85">
        <v>2800</v>
      </c>
      <c r="K37" s="85">
        <v>50</v>
      </c>
      <c r="L37" s="85">
        <f>(I37+J37+K37)*'2-报价汇总'!$H$5</f>
        <v>33.6363636363636</v>
      </c>
      <c r="M37" s="94">
        <f>(I37+J37+K37+L37)*'2-报价汇总'!$I$5</f>
        <v>0</v>
      </c>
      <c r="N37" s="94">
        <f>(M37+L37+K37+J37+I37)*'2-报价汇总'!$J$5</f>
        <v>0</v>
      </c>
      <c r="O37" s="86">
        <f t="shared" si="1"/>
        <v>679454.545454545</v>
      </c>
      <c r="P37" s="31"/>
    </row>
    <row r="38" ht="78" customHeight="1" spans="1:20">
      <c r="A38" s="24" t="s">
        <v>1814</v>
      </c>
      <c r="B38" s="30" t="s">
        <v>1815</v>
      </c>
      <c r="C38" s="232" t="s">
        <v>1816</v>
      </c>
      <c r="D38" s="30" t="s">
        <v>1216</v>
      </c>
      <c r="E38" s="233" t="s">
        <v>170</v>
      </c>
      <c r="F38" s="234" t="s">
        <v>28</v>
      </c>
      <c r="G38" s="32">
        <v>500</v>
      </c>
      <c r="H38" s="33">
        <f t="shared" si="0"/>
        <v>166.147186147186</v>
      </c>
      <c r="I38" s="85">
        <v>114.502164502164</v>
      </c>
      <c r="J38" s="85">
        <v>40</v>
      </c>
      <c r="K38" s="85">
        <v>10</v>
      </c>
      <c r="L38" s="85">
        <f>(I38+J38+K38)*'2-报价汇总'!$H$5</f>
        <v>1.64502164502164</v>
      </c>
      <c r="M38" s="94">
        <f>(I38+J38+K38+L38)*'2-报价汇总'!$I$5</f>
        <v>0</v>
      </c>
      <c r="N38" s="94">
        <f>(M38+L38+K38+J38+I38)*'2-报价汇总'!$J$5</f>
        <v>0</v>
      </c>
      <c r="O38" s="86">
        <f t="shared" si="1"/>
        <v>83073.5930735928</v>
      </c>
      <c r="P38" s="31"/>
    </row>
    <row r="39" ht="50" customHeight="1" spans="1:20">
      <c r="A39" s="24" t="s">
        <v>1817</v>
      </c>
      <c r="B39" s="30" t="s">
        <v>1818</v>
      </c>
      <c r="C39" s="232" t="s">
        <v>1819</v>
      </c>
      <c r="D39" s="30" t="s">
        <v>1216</v>
      </c>
      <c r="E39" s="233" t="s">
        <v>381</v>
      </c>
      <c r="F39" s="234" t="s">
        <v>49</v>
      </c>
      <c r="G39" s="32">
        <v>500</v>
      </c>
      <c r="H39" s="33">
        <f t="shared" si="0"/>
        <v>69.95670995671</v>
      </c>
      <c r="I39" s="85">
        <v>62.7940692640693</v>
      </c>
      <c r="J39" s="85">
        <v>3.8</v>
      </c>
      <c r="K39" s="85">
        <v>2.67</v>
      </c>
      <c r="L39" s="85">
        <f>(I39+J39+K39)*'2-报价汇总'!$H$5</f>
        <v>0.692640692640693</v>
      </c>
      <c r="M39" s="94">
        <f>(I39+J39+K39+L39)*'2-报价汇总'!$I$5</f>
        <v>0</v>
      </c>
      <c r="N39" s="94">
        <f>(M39+L39+K39+J39+I39)*'2-报价汇总'!$J$5</f>
        <v>0</v>
      </c>
      <c r="O39" s="86">
        <f t="shared" si="1"/>
        <v>34978.354978355</v>
      </c>
      <c r="P39" s="31"/>
    </row>
    <row r="40" ht="50" customHeight="1" spans="1:20">
      <c r="A40" s="24" t="s">
        <v>1820</v>
      </c>
      <c r="B40" s="30" t="s">
        <v>1821</v>
      </c>
      <c r="C40" s="232" t="s">
        <v>1822</v>
      </c>
      <c r="D40" s="30" t="s">
        <v>26</v>
      </c>
      <c r="E40" s="233" t="s">
        <v>381</v>
      </c>
      <c r="F40" s="234" t="s">
        <v>49</v>
      </c>
      <c r="G40" s="32">
        <v>500</v>
      </c>
      <c r="H40" s="33">
        <f t="shared" si="0"/>
        <v>87.4458874458875</v>
      </c>
      <c r="I40" s="85">
        <v>77.2400865800866</v>
      </c>
      <c r="J40" s="85">
        <v>7</v>
      </c>
      <c r="K40" s="85">
        <v>2.34</v>
      </c>
      <c r="L40" s="85">
        <f>(I40+J40+K40)*'2-报价汇总'!$H$5</f>
        <v>0.865800865800866</v>
      </c>
      <c r="M40" s="94">
        <f>(I40+J40+K40+L40)*'2-报价汇总'!$I$5</f>
        <v>0</v>
      </c>
      <c r="N40" s="94">
        <f>(M40+L40+K40+J40+I40)*'2-报价汇总'!$J$5</f>
        <v>0</v>
      </c>
      <c r="O40" s="86">
        <f t="shared" si="1"/>
        <v>43722.9437229437</v>
      </c>
      <c r="P40" s="31"/>
    </row>
    <row r="41" ht="50" customHeight="1" spans="1:20">
      <c r="A41" s="24" t="s">
        <v>1823</v>
      </c>
      <c r="B41" s="30" t="s">
        <v>1824</v>
      </c>
      <c r="C41" s="232" t="s">
        <v>1825</v>
      </c>
      <c r="D41" s="30" t="s">
        <v>1216</v>
      </c>
      <c r="E41" s="233"/>
      <c r="F41" s="234" t="s">
        <v>89</v>
      </c>
      <c r="G41" s="32">
        <v>5683.5114973582</v>
      </c>
      <c r="H41" s="33">
        <f t="shared" si="0"/>
        <v>87.4458874458875</v>
      </c>
      <c r="I41" s="85">
        <v>6.5800865800866</v>
      </c>
      <c r="J41" s="85">
        <v>75</v>
      </c>
      <c r="K41" s="85">
        <v>5</v>
      </c>
      <c r="L41" s="85">
        <f>(I41+J41+K41)*'2-报价汇总'!$H$5</f>
        <v>0.865800865800866</v>
      </c>
      <c r="M41" s="94">
        <f>(I41+J41+K41+L41)*'2-报价汇总'!$I$5</f>
        <v>0</v>
      </c>
      <c r="N41" s="94">
        <f>(M41+L41+K41+J41+I41)*'2-报价汇总'!$J$5</f>
        <v>0</v>
      </c>
      <c r="O41" s="86">
        <f t="shared" si="1"/>
        <v>496999.706695392</v>
      </c>
      <c r="P41" s="31"/>
    </row>
    <row r="42" ht="50" customHeight="1" spans="1:20">
      <c r="A42" s="24" t="s">
        <v>1826</v>
      </c>
      <c r="B42" s="30" t="s">
        <v>1827</v>
      </c>
      <c r="C42" s="232" t="s">
        <v>1828</v>
      </c>
      <c r="D42" s="30" t="s">
        <v>1216</v>
      </c>
      <c r="E42" s="233"/>
      <c r="F42" s="234" t="s">
        <v>89</v>
      </c>
      <c r="G42" s="32">
        <v>25155.442644703</v>
      </c>
      <c r="H42" s="33">
        <f t="shared" si="0"/>
        <v>262.337662337663</v>
      </c>
      <c r="I42" s="85">
        <v>27.10025974026</v>
      </c>
      <c r="J42" s="85">
        <v>230</v>
      </c>
      <c r="K42" s="85">
        <v>2.64</v>
      </c>
      <c r="L42" s="85">
        <f>(I42+J42+K42)*'2-报价汇总'!$H$5</f>
        <v>2.5974025974026</v>
      </c>
      <c r="M42" s="94">
        <f>(I42+J42+K42+L42)*'2-报价汇总'!$I$5</f>
        <v>0</v>
      </c>
      <c r="N42" s="94">
        <f>(M42+L42+K42+J42+I42)*'2-报价汇总'!$J$5</f>
        <v>0</v>
      </c>
      <c r="O42" s="86">
        <f t="shared" si="1"/>
        <v>6599220.01848053</v>
      </c>
      <c r="P42" s="31"/>
    </row>
    <row r="43" ht="50" customHeight="1" spans="1:20">
      <c r="A43" s="24" t="s">
        <v>1829</v>
      </c>
      <c r="B43" s="30" t="s">
        <v>1830</v>
      </c>
      <c r="C43" s="232" t="s">
        <v>1831</v>
      </c>
      <c r="D43" s="30" t="s">
        <v>1216</v>
      </c>
      <c r="E43" s="233"/>
      <c r="F43" s="234" t="s">
        <v>89</v>
      </c>
      <c r="G43" s="32">
        <v>25155.442644703</v>
      </c>
      <c r="H43" s="33">
        <f t="shared" si="0"/>
        <v>133.354978354978</v>
      </c>
      <c r="I43" s="85">
        <v>20.854632034632</v>
      </c>
      <c r="J43" s="85">
        <v>110</v>
      </c>
      <c r="K43" s="85">
        <v>1.18</v>
      </c>
      <c r="L43" s="85">
        <f>(I43+J43+K43)*'2-报价汇总'!$H$5</f>
        <v>1.32034632034632</v>
      </c>
      <c r="M43" s="94">
        <f>(I43+J43+K43+L43)*'2-报价汇总'!$I$5</f>
        <v>0</v>
      </c>
      <c r="N43" s="94">
        <f>(M43+L43+K43+J43+I43)*'2-报价汇总'!$J$5</f>
        <v>0</v>
      </c>
      <c r="O43" s="86">
        <f t="shared" si="1"/>
        <v>3354603.50939427</v>
      </c>
      <c r="P43" s="31"/>
    </row>
    <row r="44" ht="50" customHeight="1" spans="1:20">
      <c r="A44" s="24" t="s">
        <v>1832</v>
      </c>
      <c r="B44" s="30" t="s">
        <v>1833</v>
      </c>
      <c r="C44" s="232"/>
      <c r="D44" s="30" t="s">
        <v>1216</v>
      </c>
      <c r="E44" s="233"/>
      <c r="F44" s="234" t="s">
        <v>154</v>
      </c>
      <c r="G44" s="32">
        <v>50</v>
      </c>
      <c r="H44" s="33">
        <f t="shared" si="0"/>
        <v>765.151515151515</v>
      </c>
      <c r="I44" s="85">
        <v>37.5757575757571</v>
      </c>
      <c r="J44" s="85">
        <v>450</v>
      </c>
      <c r="K44" s="85">
        <v>270</v>
      </c>
      <c r="L44" s="85">
        <f>(I44+J44+K44)*'2-报价汇总'!$H$5</f>
        <v>7.57575757575757</v>
      </c>
      <c r="M44" s="94">
        <f>(I44+J44+K44+L44)*'2-报价汇总'!$I$5</f>
        <v>0</v>
      </c>
      <c r="N44" s="94">
        <f>(M44+L44+K44+J44+I44)*'2-报价汇总'!$J$5</f>
        <v>0</v>
      </c>
      <c r="O44" s="86">
        <f t="shared" si="1"/>
        <v>38257.5757575757</v>
      </c>
      <c r="P44" s="31"/>
    </row>
    <row r="45" ht="50" customHeight="1" spans="1:20">
      <c r="A45" s="24" t="s">
        <v>1834</v>
      </c>
      <c r="B45" s="30" t="s">
        <v>1835</v>
      </c>
      <c r="C45" s="232" t="s">
        <v>1836</v>
      </c>
      <c r="D45" s="30" t="s">
        <v>1216</v>
      </c>
      <c r="E45" s="233" t="s">
        <v>170</v>
      </c>
      <c r="F45" s="234" t="s">
        <v>28</v>
      </c>
      <c r="G45" s="32">
        <v>656089.614411744</v>
      </c>
      <c r="H45" s="33">
        <f t="shared" si="0"/>
        <v>4.37229437229437</v>
      </c>
      <c r="I45" s="85">
        <v>4.20900432900433</v>
      </c>
      <c r="J45" s="85">
        <v>0</v>
      </c>
      <c r="K45" s="85">
        <v>0.12</v>
      </c>
      <c r="L45" s="85">
        <f>(I45+J45+K45)*'2-报价汇总'!$H$5</f>
        <v>0.0432900432900433</v>
      </c>
      <c r="M45" s="94">
        <f>(I45+J45+K45+L45)*'2-报价汇总'!$I$5</f>
        <v>0</v>
      </c>
      <c r="N45" s="94">
        <f>(M45+L45+K45+J45+I45)*'2-报价汇总'!$J$5</f>
        <v>0</v>
      </c>
      <c r="O45" s="86">
        <f t="shared" si="1"/>
        <v>2868616.92881325</v>
      </c>
      <c r="P45" s="31"/>
    </row>
    <row r="46" ht="65" customHeight="1" spans="1:20">
      <c r="A46" s="24" t="s">
        <v>1837</v>
      </c>
      <c r="B46" s="30" t="s">
        <v>1838</v>
      </c>
      <c r="C46" s="232" t="s">
        <v>1644</v>
      </c>
      <c r="D46" s="30" t="s">
        <v>1216</v>
      </c>
      <c r="E46" s="233" t="s">
        <v>170</v>
      </c>
      <c r="F46" s="234" t="s">
        <v>28</v>
      </c>
      <c r="G46" s="32">
        <v>35804.273603175</v>
      </c>
      <c r="H46" s="33">
        <f t="shared" si="0"/>
        <v>402.251082251082</v>
      </c>
      <c r="I46" s="85">
        <v>82.4683982683982</v>
      </c>
      <c r="J46" s="85">
        <v>310</v>
      </c>
      <c r="K46" s="85">
        <v>5.8</v>
      </c>
      <c r="L46" s="85">
        <f>(I46+J46+K46)*'2-报价汇总'!$H$5</f>
        <v>3.98268398268398</v>
      </c>
      <c r="M46" s="94">
        <f>(I46+J46+K46+L46)*'2-报价汇总'!$I$5</f>
        <v>0</v>
      </c>
      <c r="N46" s="94">
        <f>(M46+L46+K46+J46+I46)*'2-报价汇总'!$J$5</f>
        <v>0</v>
      </c>
      <c r="O46" s="86">
        <f t="shared" si="1"/>
        <v>14402307.806091</v>
      </c>
      <c r="P46" s="31" t="s">
        <v>1839</v>
      </c>
    </row>
    <row r="47" ht="43" customHeight="1" spans="1:20">
      <c r="A47" s="24" t="s">
        <v>1840</v>
      </c>
      <c r="B47" s="236" t="s">
        <v>1841</v>
      </c>
      <c r="C47" s="236" t="s">
        <v>1842</v>
      </c>
      <c r="D47" s="236"/>
      <c r="E47" s="237"/>
      <c r="F47" s="238" t="s">
        <v>49</v>
      </c>
      <c r="G47" s="32">
        <v>200</v>
      </c>
      <c r="H47" s="239">
        <f t="shared" si="0"/>
        <v>649.3492</v>
      </c>
      <c r="I47" s="85">
        <v>87.12</v>
      </c>
      <c r="J47" s="85">
        <v>550</v>
      </c>
      <c r="K47" s="85">
        <v>5.8</v>
      </c>
      <c r="L47" s="85">
        <f>(I47+J47+K47)*'2-报价汇总'!$H$5</f>
        <v>6.4292</v>
      </c>
      <c r="M47" s="94">
        <f>(I47+J47+K47+L47)*'2-报价汇总'!$I$5</f>
        <v>0</v>
      </c>
      <c r="N47" s="94">
        <f>(M47+L47+K47+J47+I47)*'2-报价汇总'!$J$5</f>
        <v>0</v>
      </c>
      <c r="O47" s="240"/>
      <c r="P47" s="241"/>
      <c r="Q47" s="158"/>
      <c r="R47" s="158"/>
      <c r="S47" s="158"/>
      <c r="T47" s="158"/>
    </row>
    <row r="48" ht="43" customHeight="1" spans="1:20">
      <c r="A48" s="242"/>
      <c r="B48" s="243" t="s">
        <v>158</v>
      </c>
      <c r="C48" s="26"/>
      <c r="D48" s="26"/>
      <c r="E48" s="26"/>
      <c r="F48" s="244"/>
      <c r="G48" s="29"/>
      <c r="H48" s="91"/>
      <c r="I48" s="91"/>
      <c r="J48" s="91"/>
      <c r="K48" s="91"/>
      <c r="L48" s="91"/>
      <c r="M48" s="91"/>
      <c r="N48" s="91"/>
      <c r="O48" s="91"/>
      <c r="P48" s="29"/>
    </row>
    <row r="49" ht="50" customHeight="1" spans="1:16">
      <c r="A49" s="46"/>
      <c r="B49" s="26" t="s">
        <v>1843</v>
      </c>
      <c r="C49" s="48"/>
      <c r="D49" s="48"/>
      <c r="E49" s="48"/>
      <c r="F49" s="245"/>
      <c r="G49" s="31"/>
      <c r="H49" s="85"/>
      <c r="I49" s="85"/>
      <c r="J49" s="85"/>
      <c r="K49" s="85"/>
      <c r="L49" s="85"/>
      <c r="M49" s="85"/>
      <c r="N49" s="85"/>
      <c r="O49" s="85">
        <f>SUM(O6:O46)</f>
        <v>181649942.512037</v>
      </c>
      <c r="P49" s="31"/>
    </row>
  </sheetData>
  <autoFilter xmlns:etc="http://www.wps.cn/officeDocument/2017/etCustomData" ref="A3:T49" etc:filterBottomFollowUsedRange="0">
    <extLst/>
  </autoFilter>
  <mergeCells count="2">
    <mergeCell ref="A1:P1"/>
    <mergeCell ref="A2:P2"/>
  </mergeCells>
  <printOptions horizontalCentered="1"/>
  <pageMargins left="0.590277777777778" right="0.590277777777778" top="0.590277777777778" bottom="0.590277777777778" header="0.196527777777778" footer="0.196527777777778"/>
  <pageSetup paperSize="9" scale="53" orientation="landscape" horizontalDpi="600"/>
  <headerFooter>
    <oddFooter>&amp;C第 &amp;P 页，共 &amp;N 页</oddFooter>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59"/>
  <sheetViews>
    <sheetView view="pageBreakPreview" zoomScaleNormal="100" workbookViewId="0">
      <pane ySplit="3" topLeftCell="A4" activePane="bottomLeft" state="frozen"/>
      <selection/>
      <selection pane="bottomLeft" activeCell="N3" sqref="N$1:N$1048576"/>
    </sheetView>
  </sheetViews>
  <sheetFormatPr defaultColWidth="14" defaultRowHeight="12.75"/>
  <cols>
    <col min="1" max="1" width="10" customWidth="1"/>
    <col min="2" max="2" width="29" customWidth="1"/>
    <col min="3" max="3" width="19.2857142857143" customWidth="1"/>
    <col min="4" max="4" width="8.14285714285714" customWidth="1"/>
    <col min="5" max="6" width="14" customWidth="1"/>
    <col min="7" max="12" width="10.1428571428571" customWidth="1"/>
    <col min="13" max="13" width="15" customWidth="1"/>
    <col min="14" max="14" width="12.2857142857143" customWidth="1"/>
    <col min="15" max="21" width="15" customWidth="1"/>
  </cols>
  <sheetData>
    <row r="1" s="18" customFormat="1" ht="28" customHeight="1" spans="1:14">
      <c r="A1" s="19" t="s">
        <v>1844</v>
      </c>
      <c r="B1" s="19"/>
      <c r="C1" s="19"/>
      <c r="D1" s="19"/>
      <c r="E1" s="19"/>
      <c r="F1" s="20"/>
      <c r="G1" s="20"/>
      <c r="H1" s="20"/>
      <c r="I1" s="20"/>
      <c r="J1" s="20"/>
      <c r="K1" s="20"/>
      <c r="L1" s="20"/>
      <c r="M1" s="19"/>
      <c r="N1" s="19"/>
    </row>
    <row r="2" s="18" customFormat="1" ht="28" customHeight="1" spans="1:14">
      <c r="A2" s="22" t="str">
        <f>'2.1-装饰工程'!A2</f>
        <v>注意：此报价清单每项不得随意更改、删减，如有任何增加项请务必在每大项最后“补充项“中列举，补充项及说明字体颜色均采用蓝色；且所有项目都需要填写。</v>
      </c>
      <c r="B2" s="22"/>
      <c r="C2" s="22"/>
      <c r="D2" s="22"/>
      <c r="E2" s="22"/>
      <c r="F2" s="22"/>
      <c r="G2" s="22"/>
      <c r="H2" s="22"/>
      <c r="I2" s="22"/>
      <c r="J2" s="22"/>
      <c r="K2" s="22"/>
      <c r="L2" s="22"/>
      <c r="M2" s="22"/>
      <c r="N2" s="22"/>
    </row>
    <row r="3" s="18" customFormat="1" ht="28" customHeight="1" spans="1:14">
      <c r="A3" s="96" t="s">
        <v>5</v>
      </c>
      <c r="B3" s="96" t="s">
        <v>1845</v>
      </c>
      <c r="C3" s="96" t="s">
        <v>1846</v>
      </c>
      <c r="D3" s="96" t="s">
        <v>10</v>
      </c>
      <c r="E3" s="98" t="s">
        <v>11</v>
      </c>
      <c r="F3" s="99" t="s">
        <v>12</v>
      </c>
      <c r="G3" s="100" t="s">
        <v>13</v>
      </c>
      <c r="H3" s="100" t="s">
        <v>14</v>
      </c>
      <c r="I3" s="100" t="s">
        <v>15</v>
      </c>
      <c r="J3" s="101" t="s">
        <v>16</v>
      </c>
      <c r="K3" s="100" t="s">
        <v>17</v>
      </c>
      <c r="L3" s="100" t="s">
        <v>2</v>
      </c>
      <c r="M3" s="102" t="s">
        <v>18</v>
      </c>
      <c r="N3" s="96" t="s">
        <v>19</v>
      </c>
    </row>
    <row r="4" ht="15" customHeight="1" spans="1:14">
      <c r="A4" s="110"/>
      <c r="B4" s="104" t="s">
        <v>1847</v>
      </c>
      <c r="C4" s="110"/>
      <c r="D4" s="200"/>
      <c r="E4" s="201"/>
      <c r="F4" s="147"/>
      <c r="G4" s="147"/>
      <c r="H4" s="147"/>
      <c r="I4" s="147"/>
      <c r="J4" s="147"/>
      <c r="K4" s="147"/>
      <c r="L4" s="147"/>
      <c r="M4" s="148"/>
      <c r="N4" s="148"/>
    </row>
    <row r="5" ht="15" customHeight="1" spans="1:14">
      <c r="A5" s="103" t="s">
        <v>1848</v>
      </c>
      <c r="B5" s="202" t="s">
        <v>1849</v>
      </c>
      <c r="C5" s="103"/>
      <c r="D5" s="103"/>
      <c r="E5" s="99"/>
      <c r="F5" s="203"/>
      <c r="G5" s="203"/>
      <c r="H5" s="203"/>
      <c r="I5" s="203"/>
      <c r="J5" s="203"/>
      <c r="K5" s="203"/>
      <c r="L5" s="203"/>
      <c r="M5" s="148"/>
      <c r="N5" s="148"/>
    </row>
    <row r="6" ht="55" customHeight="1" spans="1:14">
      <c r="A6" s="113" t="s">
        <v>1850</v>
      </c>
      <c r="B6" s="204" t="s">
        <v>1851</v>
      </c>
      <c r="C6" s="96" t="s">
        <v>1852</v>
      </c>
      <c r="D6" s="205" t="s">
        <v>78</v>
      </c>
      <c r="E6" s="99"/>
      <c r="F6" s="206">
        <f t="shared" ref="F6:F15" si="0">SUM(G6:L6)</f>
        <v>279.82683982684</v>
      </c>
      <c r="G6" s="207">
        <v>114.506277056277</v>
      </c>
      <c r="H6" s="207">
        <v>155.19</v>
      </c>
      <c r="I6" s="207">
        <v>7.36</v>
      </c>
      <c r="J6" s="147">
        <f>(G6+H6+I6)*'2-报价汇总'!$H$5</f>
        <v>2.77056277056277</v>
      </c>
      <c r="K6" s="147">
        <f>(G6+H6+I6+J6)*'2-报价汇总'!$I$5</f>
        <v>0</v>
      </c>
      <c r="L6" s="147">
        <f>(K6+J6+I6+H6+G6)*'2-报价汇总'!$J$5</f>
        <v>0</v>
      </c>
      <c r="M6" s="118">
        <f t="shared" ref="M6:M53" si="1">E6*F6</f>
        <v>0</v>
      </c>
      <c r="N6" s="148"/>
    </row>
    <row r="7" ht="55" customHeight="1" spans="1:14">
      <c r="A7" s="113" t="s">
        <v>1853</v>
      </c>
      <c r="B7" s="204" t="s">
        <v>1854</v>
      </c>
      <c r="C7" s="96" t="s">
        <v>1852</v>
      </c>
      <c r="D7" s="205" t="s">
        <v>78</v>
      </c>
      <c r="E7" s="99">
        <v>0</v>
      </c>
      <c r="F7" s="206">
        <f t="shared" si="0"/>
        <v>227.359307359307</v>
      </c>
      <c r="G7" s="207">
        <v>225.108225108225</v>
      </c>
      <c r="H7" s="207"/>
      <c r="I7" s="207"/>
      <c r="J7" s="147">
        <f>(G7+H7+I7)*'2-报价汇总'!$H$5</f>
        <v>2.25108225108225</v>
      </c>
      <c r="K7" s="147">
        <f>(G7+H7+I7+J7)*'2-报价汇总'!$I$5</f>
        <v>0</v>
      </c>
      <c r="L7" s="147">
        <f>(K7+J7+I7+H7+G7)*'2-报价汇总'!$J$5</f>
        <v>0</v>
      </c>
      <c r="M7" s="118">
        <f t="shared" si="1"/>
        <v>0</v>
      </c>
      <c r="N7" s="148"/>
    </row>
    <row r="8" ht="55" customHeight="1" spans="1:14">
      <c r="A8" s="113" t="s">
        <v>1855</v>
      </c>
      <c r="B8" s="204" t="s">
        <v>1856</v>
      </c>
      <c r="C8" s="96" t="s">
        <v>1852</v>
      </c>
      <c r="D8" s="205" t="s">
        <v>78</v>
      </c>
      <c r="E8" s="99">
        <v>0</v>
      </c>
      <c r="F8" s="206">
        <f t="shared" si="0"/>
        <v>507.186147186147</v>
      </c>
      <c r="G8" s="207">
        <v>146.244502164502</v>
      </c>
      <c r="H8" s="207">
        <v>355.17</v>
      </c>
      <c r="I8" s="207">
        <v>0.75</v>
      </c>
      <c r="J8" s="147">
        <f>(G8+H8+I8)*'2-报价汇总'!$H$5</f>
        <v>5.02164502164502</v>
      </c>
      <c r="K8" s="147">
        <f>(G8+H8+I8+J8)*'2-报价汇总'!$I$5</f>
        <v>0</v>
      </c>
      <c r="L8" s="147">
        <f>(K8+J8+I8+H8+G8)*'2-报价汇总'!$J$5</f>
        <v>0</v>
      </c>
      <c r="M8" s="118">
        <f t="shared" si="1"/>
        <v>0</v>
      </c>
      <c r="N8" s="148"/>
    </row>
    <row r="9" ht="55" customHeight="1" spans="1:14">
      <c r="A9" s="113" t="s">
        <v>1857</v>
      </c>
      <c r="B9" s="204" t="s">
        <v>1858</v>
      </c>
      <c r="C9" s="96" t="s">
        <v>1852</v>
      </c>
      <c r="D9" s="205" t="s">
        <v>78</v>
      </c>
      <c r="E9" s="99">
        <v>0</v>
      </c>
      <c r="F9" s="206">
        <f t="shared" si="0"/>
        <v>148.658008658009</v>
      </c>
      <c r="G9" s="207">
        <v>73.8561471861472</v>
      </c>
      <c r="H9" s="207">
        <v>71.61</v>
      </c>
      <c r="I9" s="207">
        <v>1.72</v>
      </c>
      <c r="J9" s="147">
        <f>(G9+H9+I9)*'2-报价汇总'!$H$5</f>
        <v>1.47186147186147</v>
      </c>
      <c r="K9" s="147">
        <f>(G9+H9+I9+J9)*'2-报价汇总'!$I$5</f>
        <v>0</v>
      </c>
      <c r="L9" s="147">
        <f>(K9+J9+I9+H9+G9)*'2-报价汇总'!$J$5</f>
        <v>0</v>
      </c>
      <c r="M9" s="118">
        <f t="shared" si="1"/>
        <v>0</v>
      </c>
      <c r="N9" s="148"/>
    </row>
    <row r="10" ht="55" customHeight="1" spans="1:14">
      <c r="A10" s="113" t="s">
        <v>1859</v>
      </c>
      <c r="B10" s="204" t="s">
        <v>1860</v>
      </c>
      <c r="C10" s="96" t="s">
        <v>1852</v>
      </c>
      <c r="D10" s="205" t="s">
        <v>78</v>
      </c>
      <c r="E10" s="99">
        <v>0</v>
      </c>
      <c r="F10" s="206">
        <f t="shared" si="0"/>
        <v>96.1904761904761</v>
      </c>
      <c r="G10" s="207">
        <v>89.4180952380952</v>
      </c>
      <c r="H10" s="207">
        <v>4.94</v>
      </c>
      <c r="I10" s="207">
        <v>0.88</v>
      </c>
      <c r="J10" s="147">
        <f>(G10+H10+I10)*'2-报价汇总'!$H$5</f>
        <v>0.952380952380952</v>
      </c>
      <c r="K10" s="147">
        <f>(G10+H10+I10+J10)*'2-报价汇总'!$I$5</f>
        <v>0</v>
      </c>
      <c r="L10" s="147">
        <f>(K10+J10+I10+H10+G10)*'2-报价汇总'!$J$5</f>
        <v>0</v>
      </c>
      <c r="M10" s="118">
        <f t="shared" si="1"/>
        <v>0</v>
      </c>
      <c r="N10" s="148"/>
    </row>
    <row r="11" ht="55" customHeight="1" spans="1:14">
      <c r="A11" s="113" t="s">
        <v>1861</v>
      </c>
      <c r="B11" s="204" t="s">
        <v>1862</v>
      </c>
      <c r="C11" s="96" t="s">
        <v>1852</v>
      </c>
      <c r="D11" s="205" t="s">
        <v>78</v>
      </c>
      <c r="E11" s="99">
        <v>0</v>
      </c>
      <c r="F11" s="206">
        <f t="shared" si="0"/>
        <v>183.636363636364</v>
      </c>
      <c r="G11" s="207">
        <v>45.8281818181818</v>
      </c>
      <c r="H11" s="207">
        <v>134.43</v>
      </c>
      <c r="I11" s="207">
        <v>1.56</v>
      </c>
      <c r="J11" s="147">
        <f>(G11+H11+I11)*'2-报价汇总'!$H$5</f>
        <v>1.81818181818182</v>
      </c>
      <c r="K11" s="147">
        <f>(G11+H11+I11+J11)*'2-报价汇总'!$I$5</f>
        <v>0</v>
      </c>
      <c r="L11" s="147">
        <f>(K11+J11+I11+H11+G11)*'2-报价汇总'!$J$5</f>
        <v>0</v>
      </c>
      <c r="M11" s="118">
        <f t="shared" si="1"/>
        <v>0</v>
      </c>
      <c r="N11" s="148"/>
    </row>
    <row r="12" ht="55" customHeight="1" spans="1:14">
      <c r="A12" s="113" t="s">
        <v>1863</v>
      </c>
      <c r="B12" s="204" t="s">
        <v>1864</v>
      </c>
      <c r="C12" s="96" t="s">
        <v>1852</v>
      </c>
      <c r="D12" s="205" t="s">
        <v>78</v>
      </c>
      <c r="E12" s="99">
        <v>0</v>
      </c>
      <c r="F12" s="206">
        <f t="shared" si="0"/>
        <v>253.593073593074</v>
      </c>
      <c r="G12" s="207">
        <v>27.6922510822511</v>
      </c>
      <c r="H12" s="207">
        <v>222.19</v>
      </c>
      <c r="I12" s="207">
        <v>1.2</v>
      </c>
      <c r="J12" s="147">
        <f>(G12+H12+I12)*'2-报价汇总'!$H$5</f>
        <v>2.51082251082251</v>
      </c>
      <c r="K12" s="147">
        <f>(G12+H12+I12+J12)*'2-报价汇总'!$I$5</f>
        <v>0</v>
      </c>
      <c r="L12" s="147">
        <f>(K12+J12+I12+H12+G12)*'2-报价汇总'!$J$5</f>
        <v>0</v>
      </c>
      <c r="M12" s="118">
        <f t="shared" si="1"/>
        <v>0</v>
      </c>
      <c r="N12" s="148"/>
    </row>
    <row r="13" ht="55" customHeight="1" spans="1:14">
      <c r="A13" s="113" t="s">
        <v>1865</v>
      </c>
      <c r="B13" s="204" t="s">
        <v>1866</v>
      </c>
      <c r="C13" s="96" t="s">
        <v>1852</v>
      </c>
      <c r="D13" s="205" t="s">
        <v>78</v>
      </c>
      <c r="E13" s="99">
        <v>0</v>
      </c>
      <c r="F13" s="206">
        <f t="shared" si="0"/>
        <v>338.415584415584</v>
      </c>
      <c r="G13" s="207">
        <v>86.6849350649351</v>
      </c>
      <c r="H13" s="207">
        <v>247.2</v>
      </c>
      <c r="I13" s="207">
        <v>1.18</v>
      </c>
      <c r="J13" s="147">
        <f>(G13+H13+I13)*'2-报价汇总'!$H$5</f>
        <v>3.35064935064935</v>
      </c>
      <c r="K13" s="147">
        <f>(G13+H13+I13+J13)*'2-报价汇总'!$I$5</f>
        <v>0</v>
      </c>
      <c r="L13" s="147">
        <f>(K13+J13+I13+H13+G13)*'2-报价汇总'!$J$5</f>
        <v>0</v>
      </c>
      <c r="M13" s="118">
        <f t="shared" si="1"/>
        <v>0</v>
      </c>
      <c r="N13" s="148"/>
    </row>
    <row r="14" ht="55" customHeight="1" spans="1:14">
      <c r="A14" s="113" t="s">
        <v>1867</v>
      </c>
      <c r="B14" s="204" t="s">
        <v>1868</v>
      </c>
      <c r="C14" s="96" t="s">
        <v>1852</v>
      </c>
      <c r="D14" s="205" t="s">
        <v>78</v>
      </c>
      <c r="E14" s="99">
        <v>0</v>
      </c>
      <c r="F14" s="206">
        <f t="shared" si="0"/>
        <v>244.848484848485</v>
      </c>
      <c r="G14" s="207">
        <v>173.36987012987</v>
      </c>
      <c r="H14" s="207">
        <v>67.8743722943723</v>
      </c>
      <c r="I14" s="207">
        <v>1.18</v>
      </c>
      <c r="J14" s="147">
        <f>(G14+H14+I14)*'2-报价汇总'!$H$5</f>
        <v>2.42424242424242</v>
      </c>
      <c r="K14" s="147">
        <f>(G14+H14+I14+J14)*'2-报价汇总'!$I$5</f>
        <v>0</v>
      </c>
      <c r="L14" s="147">
        <f>(K14+J14+I14+H14+G14)*'2-报价汇总'!$J$5</f>
        <v>0</v>
      </c>
      <c r="M14" s="118">
        <f t="shared" si="1"/>
        <v>0</v>
      </c>
      <c r="N14" s="148"/>
    </row>
    <row r="15" ht="50" customHeight="1" spans="1:14">
      <c r="A15" s="113" t="s">
        <v>1869</v>
      </c>
      <c r="B15" s="204" t="s">
        <v>1870</v>
      </c>
      <c r="C15" s="113"/>
      <c r="D15" s="110" t="s">
        <v>28</v>
      </c>
      <c r="E15" s="99">
        <v>0</v>
      </c>
      <c r="F15" s="206">
        <f t="shared" si="0"/>
        <v>2.62337662337663</v>
      </c>
      <c r="G15" s="207">
        <v>2.5974025974026</v>
      </c>
      <c r="H15" s="207"/>
      <c r="I15" s="207"/>
      <c r="J15" s="147">
        <f>(G15+H15+I15)*'2-报价汇总'!$H$5</f>
        <v>0.025974025974026</v>
      </c>
      <c r="K15" s="147">
        <f>(G15+H15+I15+J15)*'2-报价汇总'!$I$5</f>
        <v>0</v>
      </c>
      <c r="L15" s="147">
        <f>(K15+J15+I15+H15+G15)*'2-报价汇总'!$J$5</f>
        <v>0</v>
      </c>
      <c r="M15" s="118">
        <f t="shared" si="1"/>
        <v>0</v>
      </c>
      <c r="N15" s="148"/>
    </row>
    <row r="16" ht="50" customHeight="1" spans="1:14">
      <c r="A16" s="95"/>
      <c r="B16" s="208" t="s">
        <v>158</v>
      </c>
      <c r="C16" s="95"/>
      <c r="D16" s="103"/>
      <c r="E16" s="99">
        <v>0</v>
      </c>
      <c r="F16" s="147"/>
      <c r="G16" s="207">
        <v>0</v>
      </c>
      <c r="H16" s="209"/>
      <c r="I16" s="209"/>
      <c r="J16" s="147">
        <f>(G16+H16+I16)*'2-报价汇总'!$H$5</f>
        <v>0</v>
      </c>
      <c r="K16" s="147">
        <f>(G16+H16+I16+J16)*'2-报价汇总'!$I$5</f>
        <v>0</v>
      </c>
      <c r="L16" s="147">
        <f>(K16+J16+I16+H16+G16)*'2-报价汇总'!$J$5</f>
        <v>0</v>
      </c>
      <c r="M16" s="118">
        <f t="shared" si="1"/>
        <v>0</v>
      </c>
      <c r="N16" s="148"/>
    </row>
    <row r="17" ht="50" customHeight="1" spans="1:14">
      <c r="A17" s="95"/>
      <c r="B17" s="210" t="s">
        <v>1219</v>
      </c>
      <c r="C17" s="95"/>
      <c r="D17" s="159"/>
      <c r="E17" s="99">
        <v>0</v>
      </c>
      <c r="F17" s="147"/>
      <c r="G17" s="207">
        <v>0</v>
      </c>
      <c r="H17" s="209"/>
      <c r="I17" s="209"/>
      <c r="J17" s="147">
        <f>(G17+H17+I17)*'2-报价汇总'!$H$5</f>
        <v>0</v>
      </c>
      <c r="K17" s="147">
        <f>(G17+H17+I17+J17)*'2-报价汇总'!$I$5</f>
        <v>0</v>
      </c>
      <c r="L17" s="147">
        <f>(K17+J17+I17+H17+G17)*'2-报价汇总'!$J$5</f>
        <v>0</v>
      </c>
      <c r="M17" s="118">
        <f t="shared" si="1"/>
        <v>0</v>
      </c>
      <c r="N17" s="148"/>
    </row>
    <row r="18" ht="50" customHeight="1" spans="1:14">
      <c r="A18" s="103" t="s">
        <v>1871</v>
      </c>
      <c r="B18" s="202" t="s">
        <v>1872</v>
      </c>
      <c r="C18" s="103"/>
      <c r="D18" s="103"/>
      <c r="E18" s="99">
        <v>0</v>
      </c>
      <c r="F18" s="147"/>
      <c r="G18" s="207">
        <v>0</v>
      </c>
      <c r="H18" s="211"/>
      <c r="I18" s="211"/>
      <c r="J18" s="147">
        <f>(G18+H18+I18)*'2-报价汇总'!$H$5</f>
        <v>0</v>
      </c>
      <c r="K18" s="147">
        <f>(G18+H18+I18+J18)*'2-报价汇总'!$I$5</f>
        <v>0</v>
      </c>
      <c r="L18" s="147">
        <f>(K18+J18+I18+H18+G18)*'2-报价汇总'!$J$5</f>
        <v>0</v>
      </c>
      <c r="M18" s="118">
        <f t="shared" si="1"/>
        <v>0</v>
      </c>
      <c r="N18" s="148"/>
    </row>
    <row r="19" ht="55" customHeight="1" spans="1:14">
      <c r="A19" s="113" t="s">
        <v>1873</v>
      </c>
      <c r="B19" s="204" t="s">
        <v>1874</v>
      </c>
      <c r="C19" s="96" t="s">
        <v>1875</v>
      </c>
      <c r="D19" s="152" t="s">
        <v>78</v>
      </c>
      <c r="E19" s="99">
        <v>0</v>
      </c>
      <c r="F19" s="206">
        <f>SUM(G19:L19)</f>
        <v>104.935064935065</v>
      </c>
      <c r="G19" s="207">
        <v>15.0061038961039</v>
      </c>
      <c r="H19" s="207">
        <v>88.24</v>
      </c>
      <c r="I19" s="207">
        <v>0.65</v>
      </c>
      <c r="J19" s="147">
        <f>(G19+H19+I19)*'2-报价汇总'!$H$5</f>
        <v>1.03896103896104</v>
      </c>
      <c r="K19" s="147">
        <f>(G19+H19+I19+J19)*'2-报价汇总'!$I$5</f>
        <v>0</v>
      </c>
      <c r="L19" s="147">
        <f>(K19+J19+I19+H19+G19)*'2-报价汇总'!$J$5</f>
        <v>0</v>
      </c>
      <c r="M19" s="118">
        <f t="shared" si="1"/>
        <v>0</v>
      </c>
      <c r="N19" s="148"/>
    </row>
    <row r="20" ht="55" customHeight="1" spans="1:14">
      <c r="A20" s="113" t="s">
        <v>1876</v>
      </c>
      <c r="B20" s="204" t="s">
        <v>1877</v>
      </c>
      <c r="C20" s="96" t="s">
        <v>1875</v>
      </c>
      <c r="D20" s="152" t="s">
        <v>78</v>
      </c>
      <c r="E20" s="99">
        <v>0</v>
      </c>
      <c r="F20" s="206">
        <f>SUM(G20:L20)</f>
        <v>104.935064935065</v>
      </c>
      <c r="G20" s="207">
        <v>15.0061038961039</v>
      </c>
      <c r="H20" s="207">
        <v>88.24</v>
      </c>
      <c r="I20" s="207">
        <v>0.65</v>
      </c>
      <c r="J20" s="147">
        <f>(G20+H20+I20)*'2-报价汇总'!$H$5</f>
        <v>1.03896103896104</v>
      </c>
      <c r="K20" s="147">
        <f>(G20+H20+I20+J20)*'2-报价汇总'!$I$5</f>
        <v>0</v>
      </c>
      <c r="L20" s="147">
        <f>(K20+J20+I20+H20+G20)*'2-报价汇总'!$J$5</f>
        <v>0</v>
      </c>
      <c r="M20" s="118">
        <f t="shared" si="1"/>
        <v>0</v>
      </c>
      <c r="N20" s="148"/>
    </row>
    <row r="21" ht="55" customHeight="1" spans="1:14">
      <c r="A21" s="113" t="s">
        <v>1878</v>
      </c>
      <c r="B21" s="204" t="s">
        <v>1879</v>
      </c>
      <c r="C21" s="96" t="s">
        <v>1875</v>
      </c>
      <c r="D21" s="152" t="s">
        <v>78</v>
      </c>
      <c r="E21" s="99">
        <v>0</v>
      </c>
      <c r="F21" s="206">
        <f>SUM(G21:L21)</f>
        <v>69.9567099567099</v>
      </c>
      <c r="G21" s="207">
        <v>69.2640692640692</v>
      </c>
      <c r="H21" s="207"/>
      <c r="I21" s="207"/>
      <c r="J21" s="147">
        <f>(G21+H21+I21)*'2-报价汇总'!$H$5</f>
        <v>0.692640692640692</v>
      </c>
      <c r="K21" s="147">
        <f>(G21+H21+I21+J21)*'2-报价汇总'!$I$5</f>
        <v>0</v>
      </c>
      <c r="L21" s="147">
        <f>(K21+J21+I21+H21+G21)*'2-报价汇总'!$J$5</f>
        <v>0</v>
      </c>
      <c r="M21" s="118">
        <f t="shared" si="1"/>
        <v>0</v>
      </c>
      <c r="N21" s="148"/>
    </row>
    <row r="22" ht="55" customHeight="1" spans="1:14">
      <c r="A22" s="113" t="s">
        <v>1880</v>
      </c>
      <c r="B22" s="204" t="s">
        <v>1881</v>
      </c>
      <c r="C22" s="113"/>
      <c r="D22" s="150" t="s">
        <v>1882</v>
      </c>
      <c r="E22" s="99">
        <v>0</v>
      </c>
      <c r="F22" s="206">
        <f>SUM(G22:L22)</f>
        <v>34.978354978355</v>
      </c>
      <c r="G22" s="207">
        <v>34.6320346320346</v>
      </c>
      <c r="H22" s="207"/>
      <c r="I22" s="207"/>
      <c r="J22" s="147">
        <f>(G22+H22+I22)*'2-报价汇总'!$H$5</f>
        <v>0.346320346320346</v>
      </c>
      <c r="K22" s="147">
        <f>(G22+H22+I22+J22)*'2-报价汇总'!$I$5</f>
        <v>0</v>
      </c>
      <c r="L22" s="147">
        <f>(K22+J22+I22+H22+G22)*'2-报价汇总'!$J$5</f>
        <v>0</v>
      </c>
      <c r="M22" s="118">
        <f t="shared" si="1"/>
        <v>0</v>
      </c>
      <c r="N22" s="148"/>
    </row>
    <row r="23" ht="50" customHeight="1" spans="1:14">
      <c r="A23" s="95"/>
      <c r="B23" s="208" t="s">
        <v>158</v>
      </c>
      <c r="C23" s="113"/>
      <c r="D23" s="150"/>
      <c r="E23" s="99">
        <v>0</v>
      </c>
      <c r="F23" s="147"/>
      <c r="G23" s="207"/>
      <c r="H23" s="118"/>
      <c r="I23" s="118"/>
      <c r="J23" s="207"/>
      <c r="K23" s="207"/>
      <c r="L23" s="207"/>
      <c r="M23" s="118">
        <f t="shared" si="1"/>
        <v>0</v>
      </c>
      <c r="N23" s="148"/>
    </row>
    <row r="24" ht="50" customHeight="1" spans="1:14">
      <c r="A24" s="113"/>
      <c r="B24" s="210" t="s">
        <v>1219</v>
      </c>
      <c r="C24" s="95"/>
      <c r="D24" s="159"/>
      <c r="E24" s="99">
        <v>0</v>
      </c>
      <c r="F24" s="147"/>
      <c r="G24" s="207"/>
      <c r="H24" s="118"/>
      <c r="I24" s="118"/>
      <c r="J24" s="207"/>
      <c r="K24" s="207"/>
      <c r="L24" s="207"/>
      <c r="M24" s="118">
        <f t="shared" si="1"/>
        <v>0</v>
      </c>
      <c r="N24" s="148"/>
    </row>
    <row r="25" ht="50" customHeight="1" spans="1:14">
      <c r="A25" s="103" t="s">
        <v>1883</v>
      </c>
      <c r="B25" s="202" t="s">
        <v>1884</v>
      </c>
      <c r="C25" s="103"/>
      <c r="D25" s="103"/>
      <c r="E25" s="99">
        <v>0</v>
      </c>
      <c r="F25" s="147"/>
      <c r="G25" s="207"/>
      <c r="H25" s="211"/>
      <c r="I25" s="211"/>
      <c r="J25" s="207"/>
      <c r="K25" s="207"/>
      <c r="L25" s="207"/>
      <c r="M25" s="118">
        <f t="shared" si="1"/>
        <v>0</v>
      </c>
      <c r="N25" s="148"/>
    </row>
    <row r="26" ht="50" customHeight="1" spans="1:14">
      <c r="A26" s="113" t="s">
        <v>1885</v>
      </c>
      <c r="B26" s="204" t="s">
        <v>1886</v>
      </c>
      <c r="C26" s="96" t="s">
        <v>1887</v>
      </c>
      <c r="D26" s="152" t="s">
        <v>78</v>
      </c>
      <c r="E26" s="99">
        <v>0</v>
      </c>
      <c r="F26" s="206">
        <f>SUM(G26:L26)</f>
        <v>1923.80952380952</v>
      </c>
      <c r="G26" s="207">
        <v>293.961904761904</v>
      </c>
      <c r="H26" s="118">
        <v>1606.7</v>
      </c>
      <c r="I26" s="118">
        <v>4.1</v>
      </c>
      <c r="J26" s="147">
        <f>(G26+H26+I26)*'2-报价汇总'!$H$5</f>
        <v>19.047619047619</v>
      </c>
      <c r="K26" s="147">
        <f>(G26+H26+I26+J26)*'2-报价汇总'!$I$5</f>
        <v>0</v>
      </c>
      <c r="L26" s="147">
        <f>(K26+J26+I26+H26+G26)*'2-报价汇总'!$J$5</f>
        <v>0</v>
      </c>
      <c r="M26" s="118">
        <f t="shared" si="1"/>
        <v>0</v>
      </c>
      <c r="N26" s="148"/>
    </row>
    <row r="27" ht="50" customHeight="1" spans="1:14">
      <c r="A27" s="113" t="s">
        <v>1888</v>
      </c>
      <c r="B27" s="204" t="s">
        <v>1889</v>
      </c>
      <c r="C27" s="96" t="s">
        <v>1887</v>
      </c>
      <c r="D27" s="152" t="s">
        <v>78</v>
      </c>
      <c r="E27" s="99">
        <v>0</v>
      </c>
      <c r="F27" s="206">
        <f>SUM(G27:L27)</f>
        <v>480.952380952381</v>
      </c>
      <c r="G27" s="207">
        <v>459.990476190476</v>
      </c>
      <c r="H27" s="118">
        <v>10.05</v>
      </c>
      <c r="I27" s="118">
        <v>6.15</v>
      </c>
      <c r="J27" s="147">
        <f>(G27+H27+I27)*'2-报价汇总'!$H$5</f>
        <v>4.76190476190476</v>
      </c>
      <c r="K27" s="147">
        <f>(G27+H27+I27+J27)*'2-报价汇总'!$I$5</f>
        <v>0</v>
      </c>
      <c r="L27" s="147">
        <f>(K27+J27+I27+H27+G27)*'2-报价汇总'!$J$5</f>
        <v>0</v>
      </c>
      <c r="M27" s="118">
        <f t="shared" si="1"/>
        <v>0</v>
      </c>
      <c r="N27" s="148"/>
    </row>
    <row r="28" ht="50" customHeight="1" spans="1:14">
      <c r="A28" s="113" t="s">
        <v>1890</v>
      </c>
      <c r="B28" s="212" t="s">
        <v>1891</v>
      </c>
      <c r="C28" s="113"/>
      <c r="D28" s="152" t="s">
        <v>753</v>
      </c>
      <c r="E28" s="99">
        <v>0</v>
      </c>
      <c r="F28" s="206">
        <f>SUM(G28:L28)</f>
        <v>174.891774891775</v>
      </c>
      <c r="G28" s="207">
        <v>173.160173160173</v>
      </c>
      <c r="H28" s="118"/>
      <c r="I28" s="118"/>
      <c r="J28" s="147">
        <f>(G28+H28+I28)*'2-报价汇总'!$H$5</f>
        <v>1.73160173160173</v>
      </c>
      <c r="K28" s="147">
        <f>(G28+H28+I28+J28)*'2-报价汇总'!$I$5</f>
        <v>0</v>
      </c>
      <c r="L28" s="147">
        <f>(K28+J28+I28+H28+G28)*'2-报价汇总'!$J$5</f>
        <v>0</v>
      </c>
      <c r="M28" s="118">
        <f t="shared" si="1"/>
        <v>0</v>
      </c>
      <c r="N28" s="148"/>
    </row>
    <row r="29" ht="50" customHeight="1" spans="1:14">
      <c r="A29" s="113" t="s">
        <v>1892</v>
      </c>
      <c r="B29" s="212" t="s">
        <v>1893</v>
      </c>
      <c r="C29" s="96" t="s">
        <v>1894</v>
      </c>
      <c r="D29" s="152" t="s">
        <v>78</v>
      </c>
      <c r="E29" s="99">
        <v>7000</v>
      </c>
      <c r="F29" s="206">
        <f>SUM(G29:L29)</f>
        <v>262.337662337663</v>
      </c>
      <c r="G29" s="207">
        <v>259.74025974026</v>
      </c>
      <c r="H29" s="118"/>
      <c r="I29" s="118"/>
      <c r="J29" s="147">
        <f>(G29+H29+I29)*'2-报价汇总'!$H$5</f>
        <v>2.5974025974026</v>
      </c>
      <c r="K29" s="147">
        <f>(G29+H29+I29+J29)*'2-报价汇总'!$I$5</f>
        <v>0</v>
      </c>
      <c r="L29" s="147">
        <f>(K29+J29+I29+H29+G29)*'2-报价汇总'!$J$5</f>
        <v>0</v>
      </c>
      <c r="M29" s="118">
        <f t="shared" si="1"/>
        <v>1836363.63636364</v>
      </c>
      <c r="N29" s="148"/>
    </row>
    <row r="30" ht="50" customHeight="1" spans="1:14">
      <c r="A30" s="95"/>
      <c r="B30" s="208" t="s">
        <v>158</v>
      </c>
      <c r="C30" s="95"/>
      <c r="D30" s="159"/>
      <c r="E30" s="99"/>
      <c r="F30" s="147"/>
      <c r="G30" s="207"/>
      <c r="H30" s="209"/>
      <c r="I30" s="209"/>
      <c r="J30" s="207"/>
      <c r="K30" s="207">
        <f>(G30+H30+I30)*0.05</f>
        <v>0</v>
      </c>
      <c r="L30" s="207">
        <f>(H30+I30+K30+G30)*0.1</f>
        <v>0</v>
      </c>
      <c r="M30" s="118">
        <f t="shared" si="1"/>
        <v>0</v>
      </c>
      <c r="N30" s="148"/>
    </row>
    <row r="31" ht="50" customHeight="1" spans="1:14">
      <c r="A31" s="113"/>
      <c r="B31" s="210" t="s">
        <v>1219</v>
      </c>
      <c r="C31" s="95"/>
      <c r="D31" s="159"/>
      <c r="E31" s="99"/>
      <c r="F31" s="147"/>
      <c r="G31" s="207"/>
      <c r="H31" s="118"/>
      <c r="I31" s="118"/>
      <c r="J31" s="207"/>
      <c r="K31" s="207">
        <f>(G31+H31+I31)*0.05</f>
        <v>0</v>
      </c>
      <c r="L31" s="207">
        <f>(H31+I31+K31+G31)*0.1</f>
        <v>0</v>
      </c>
      <c r="M31" s="118">
        <f t="shared" si="1"/>
        <v>0</v>
      </c>
      <c r="N31" s="148"/>
    </row>
    <row r="32" ht="50" customHeight="1" spans="1:14">
      <c r="A32" s="103" t="s">
        <v>1895</v>
      </c>
      <c r="B32" s="202" t="s">
        <v>1896</v>
      </c>
      <c r="C32" s="103"/>
      <c r="D32" s="103"/>
      <c r="E32" s="99"/>
      <c r="F32" s="147"/>
      <c r="G32" s="207"/>
      <c r="H32" s="211"/>
      <c r="I32" s="211"/>
      <c r="J32" s="207"/>
      <c r="K32" s="207">
        <f>(G32+H32+I32)*0.05</f>
        <v>0</v>
      </c>
      <c r="L32" s="207">
        <f>(H32+I32+K32+G32)*0.1</f>
        <v>0</v>
      </c>
      <c r="M32" s="118">
        <f t="shared" si="1"/>
        <v>0</v>
      </c>
      <c r="N32" s="148"/>
    </row>
    <row r="33" ht="50" customHeight="1" spans="1:14">
      <c r="A33" s="113" t="s">
        <v>1897</v>
      </c>
      <c r="B33" s="149" t="s">
        <v>1898</v>
      </c>
      <c r="C33" s="113"/>
      <c r="D33" s="150" t="s">
        <v>89</v>
      </c>
      <c r="E33" s="99">
        <v>0</v>
      </c>
      <c r="F33" s="206">
        <f t="shared" ref="F33:F53" si="2">SUM(G33:L33)</f>
        <v>262.337662337663</v>
      </c>
      <c r="G33" s="207">
        <v>259.74025974026</v>
      </c>
      <c r="H33" s="213"/>
      <c r="I33" s="213"/>
      <c r="J33" s="147">
        <f>(G33+H33+I33)*'2-报价汇总'!$H$5</f>
        <v>2.5974025974026</v>
      </c>
      <c r="K33" s="147">
        <f>(G33+H33+I33+J33)*'2-报价汇总'!$I$5</f>
        <v>0</v>
      </c>
      <c r="L33" s="147">
        <f>(K33+J33+I33+H33+G33)*'2-报价汇总'!$J$5</f>
        <v>0</v>
      </c>
      <c r="M33" s="118">
        <f t="shared" si="1"/>
        <v>0</v>
      </c>
      <c r="N33" s="148"/>
    </row>
    <row r="34" ht="50" customHeight="1" spans="1:14">
      <c r="A34" s="113" t="s">
        <v>1899</v>
      </c>
      <c r="B34" s="149" t="s">
        <v>1900</v>
      </c>
      <c r="C34" s="96" t="s">
        <v>1901</v>
      </c>
      <c r="D34" s="150" t="s">
        <v>89</v>
      </c>
      <c r="E34" s="99">
        <v>0</v>
      </c>
      <c r="F34" s="206">
        <f t="shared" si="2"/>
        <v>139.91341991342</v>
      </c>
      <c r="G34" s="207">
        <v>73.2981385281385</v>
      </c>
      <c r="H34" s="160">
        <v>64.43</v>
      </c>
      <c r="I34" s="160">
        <v>0.8</v>
      </c>
      <c r="J34" s="147">
        <f>(G34+H34+I34)*'2-报价汇总'!$H$5</f>
        <v>1.38528138528139</v>
      </c>
      <c r="K34" s="147">
        <f>(G34+H34+I34+J34)*'2-报价汇总'!$I$5</f>
        <v>0</v>
      </c>
      <c r="L34" s="147">
        <f>(K34+J34+I34+H34+G34)*'2-报价汇总'!$J$5</f>
        <v>0</v>
      </c>
      <c r="M34" s="118">
        <f t="shared" si="1"/>
        <v>0</v>
      </c>
      <c r="N34" s="148"/>
    </row>
    <row r="35" ht="50" customHeight="1" spans="1:14">
      <c r="A35" s="113" t="s">
        <v>1902</v>
      </c>
      <c r="B35" s="149" t="s">
        <v>1903</v>
      </c>
      <c r="C35" s="96" t="s">
        <v>1901</v>
      </c>
      <c r="D35" s="150" t="s">
        <v>89</v>
      </c>
      <c r="E35" s="99">
        <v>0</v>
      </c>
      <c r="F35" s="206">
        <f t="shared" si="2"/>
        <v>104.935064935065</v>
      </c>
      <c r="G35" s="207">
        <v>69.2961038961039</v>
      </c>
      <c r="H35" s="160">
        <v>33.93</v>
      </c>
      <c r="I35" s="160">
        <v>0.67</v>
      </c>
      <c r="J35" s="147">
        <f>(G35+H35+I35)*'2-报价汇总'!$H$5</f>
        <v>1.03896103896104</v>
      </c>
      <c r="K35" s="147">
        <f>(G35+H35+I35+J35)*'2-报价汇总'!$I$5</f>
        <v>0</v>
      </c>
      <c r="L35" s="147">
        <f>(K35+J35+I35+H35+G35)*'2-报价汇总'!$J$5</f>
        <v>0</v>
      </c>
      <c r="M35" s="118">
        <f t="shared" si="1"/>
        <v>0</v>
      </c>
      <c r="N35" s="148"/>
    </row>
    <row r="36" ht="50" customHeight="1" spans="1:14">
      <c r="A36" s="113" t="s">
        <v>1904</v>
      </c>
      <c r="B36" s="149" t="s">
        <v>1905</v>
      </c>
      <c r="C36" s="113"/>
      <c r="D36" s="150" t="s">
        <v>1906</v>
      </c>
      <c r="E36" s="99">
        <v>0</v>
      </c>
      <c r="F36" s="206">
        <f t="shared" si="2"/>
        <v>13.991341991342</v>
      </c>
      <c r="G36" s="207">
        <v>5.77281385281385</v>
      </c>
      <c r="H36" s="160">
        <v>6.87</v>
      </c>
      <c r="I36" s="160">
        <v>1.21</v>
      </c>
      <c r="J36" s="147">
        <f>(G36+H36+I36)*'2-报价汇总'!$H$5</f>
        <v>0.138528138528139</v>
      </c>
      <c r="K36" s="147">
        <f>(G36+H36+I36+J36)*'2-报价汇总'!$I$5</f>
        <v>0</v>
      </c>
      <c r="L36" s="147">
        <f>(K36+J36+I36+H36+G36)*'2-报价汇总'!$J$5</f>
        <v>0</v>
      </c>
      <c r="M36" s="118">
        <f t="shared" si="1"/>
        <v>0</v>
      </c>
      <c r="N36" s="148"/>
    </row>
    <row r="37" ht="50" customHeight="1" spans="1:14">
      <c r="A37" s="113" t="s">
        <v>1907</v>
      </c>
      <c r="B37" s="149" t="s">
        <v>1908</v>
      </c>
      <c r="C37" s="113"/>
      <c r="D37" s="150" t="s">
        <v>89</v>
      </c>
      <c r="E37" s="99">
        <v>0</v>
      </c>
      <c r="F37" s="206">
        <f t="shared" si="2"/>
        <v>8.74458874458875</v>
      </c>
      <c r="G37" s="207">
        <v>8.65800865800866</v>
      </c>
      <c r="H37" s="147"/>
      <c r="I37" s="147"/>
      <c r="J37" s="147">
        <f>(G37+H37+I37)*'2-报价汇总'!$H$5</f>
        <v>0.0865800865800866</v>
      </c>
      <c r="K37" s="147">
        <f>(G37+H37+I37+J37)*'2-报价汇总'!$I$5</f>
        <v>0</v>
      </c>
      <c r="L37" s="147">
        <f>(K37+J37+I37+H37+G37)*'2-报价汇总'!$J$5</f>
        <v>0</v>
      </c>
      <c r="M37" s="118">
        <f t="shared" si="1"/>
        <v>0</v>
      </c>
      <c r="N37" s="148"/>
    </row>
    <row r="38" ht="50" customHeight="1" spans="1:14">
      <c r="A38" s="113" t="s">
        <v>1909</v>
      </c>
      <c r="B38" s="204" t="s">
        <v>1910</v>
      </c>
      <c r="C38" s="113"/>
      <c r="D38" s="150" t="s">
        <v>28</v>
      </c>
      <c r="E38" s="99">
        <v>0</v>
      </c>
      <c r="F38" s="206">
        <f t="shared" si="2"/>
        <v>18.1625108225108</v>
      </c>
      <c r="G38" s="207">
        <v>8.45268398268398</v>
      </c>
      <c r="H38" s="147">
        <v>9.44</v>
      </c>
      <c r="I38" s="147">
        <v>0.09</v>
      </c>
      <c r="J38" s="147">
        <f>(G38+H38+I38)*'2-报价汇总'!$H$5</f>
        <v>0.17982683982684</v>
      </c>
      <c r="K38" s="147">
        <f>(G38+H38+I38+J38)*'2-报价汇总'!$I$5</f>
        <v>0</v>
      </c>
      <c r="L38" s="147">
        <f>(K38+J38+I38+H38+G38)*'2-报价汇总'!$J$5</f>
        <v>0</v>
      </c>
      <c r="M38" s="118">
        <f t="shared" si="1"/>
        <v>0</v>
      </c>
      <c r="N38" s="148"/>
    </row>
    <row r="39" ht="50" customHeight="1" spans="1:14">
      <c r="A39" s="113" t="s">
        <v>1911</v>
      </c>
      <c r="B39" s="214" t="s">
        <v>1912</v>
      </c>
      <c r="C39" s="113"/>
      <c r="D39" s="215" t="s">
        <v>1913</v>
      </c>
      <c r="E39" s="99">
        <v>0</v>
      </c>
      <c r="F39" s="206">
        <f t="shared" si="2"/>
        <v>12839.6796536797</v>
      </c>
      <c r="G39" s="207">
        <v>355.354112554112</v>
      </c>
      <c r="H39" s="147">
        <v>12297.69</v>
      </c>
      <c r="I39" s="147">
        <v>59.51</v>
      </c>
      <c r="J39" s="147">
        <f>(G39+H39+I39)*'2-报价汇总'!$H$5</f>
        <v>127.125541125541</v>
      </c>
      <c r="K39" s="147">
        <f>(G39+H39+I39+J39)*'2-报价汇总'!$I$5</f>
        <v>0</v>
      </c>
      <c r="L39" s="147">
        <f>(K39+J39+I39+H39+G39)*'2-报价汇总'!$J$5</f>
        <v>0</v>
      </c>
      <c r="M39" s="118">
        <f t="shared" si="1"/>
        <v>0</v>
      </c>
      <c r="N39" s="148"/>
    </row>
    <row r="40" ht="50" customHeight="1" spans="1:14">
      <c r="A40" s="113" t="s">
        <v>1914</v>
      </c>
      <c r="B40" s="214" t="s">
        <v>1915</v>
      </c>
      <c r="C40" s="113"/>
      <c r="D40" s="215" t="s">
        <v>1913</v>
      </c>
      <c r="E40" s="99">
        <v>0</v>
      </c>
      <c r="F40" s="206">
        <f t="shared" si="2"/>
        <v>4736.94372294372</v>
      </c>
      <c r="G40" s="207">
        <v>348.093290043289</v>
      </c>
      <c r="H40" s="147">
        <v>4285.06</v>
      </c>
      <c r="I40" s="147">
        <v>56.89</v>
      </c>
      <c r="J40" s="147">
        <f>(G40+H40+I40)*'2-报价汇总'!$H$5</f>
        <v>46.9004329004329</v>
      </c>
      <c r="K40" s="147">
        <f>(G40+H40+I40+J40)*'2-报价汇总'!$I$5</f>
        <v>0</v>
      </c>
      <c r="L40" s="147">
        <f>(K40+J40+I40+H40+G40)*'2-报价汇总'!$J$5</f>
        <v>0</v>
      </c>
      <c r="M40" s="118">
        <f t="shared" si="1"/>
        <v>0</v>
      </c>
      <c r="N40" s="148"/>
    </row>
    <row r="41" ht="50" customHeight="1" spans="1:14">
      <c r="A41" s="113" t="s">
        <v>1916</v>
      </c>
      <c r="B41" s="214" t="s">
        <v>1917</v>
      </c>
      <c r="C41" s="113"/>
      <c r="D41" s="215" t="s">
        <v>1913</v>
      </c>
      <c r="E41" s="99">
        <v>0</v>
      </c>
      <c r="F41" s="206">
        <f t="shared" si="2"/>
        <v>3171.66233766234</v>
      </c>
      <c r="G41" s="207">
        <v>495.90974025974</v>
      </c>
      <c r="H41" s="147">
        <v>2642.56</v>
      </c>
      <c r="I41" s="147">
        <v>1.79</v>
      </c>
      <c r="J41" s="147">
        <f>(G41+H41+I41)*'2-报价汇总'!$H$5</f>
        <v>31.4025974025974</v>
      </c>
      <c r="K41" s="147">
        <f>(G41+H41+I41+J41)*'2-报价汇总'!$I$5</f>
        <v>0</v>
      </c>
      <c r="L41" s="147">
        <f>(K41+J41+I41+H41+G41)*'2-报价汇总'!$J$5</f>
        <v>0</v>
      </c>
      <c r="M41" s="118">
        <f t="shared" si="1"/>
        <v>0</v>
      </c>
      <c r="N41" s="148"/>
    </row>
    <row r="42" ht="50" customHeight="1" spans="1:14">
      <c r="A42" s="113" t="s">
        <v>1918</v>
      </c>
      <c r="B42" s="214" t="s">
        <v>1919</v>
      </c>
      <c r="C42" s="113"/>
      <c r="D42" s="215" t="s">
        <v>1913</v>
      </c>
      <c r="E42" s="99">
        <v>0</v>
      </c>
      <c r="F42" s="206">
        <f t="shared" si="2"/>
        <v>4910.96103896104</v>
      </c>
      <c r="G42" s="207">
        <v>437.567662337662</v>
      </c>
      <c r="H42" s="147">
        <v>4424</v>
      </c>
      <c r="I42" s="147">
        <v>0.77</v>
      </c>
      <c r="J42" s="147">
        <f>(G42+H42+I42)*'2-报价汇总'!$H$5</f>
        <v>48.6233766233766</v>
      </c>
      <c r="K42" s="147">
        <f>(G42+H42+I42+J42)*'2-报价汇总'!$I$5</f>
        <v>0</v>
      </c>
      <c r="L42" s="147">
        <f>(K42+J42+I42+H42+G42)*'2-报价汇总'!$J$5</f>
        <v>0</v>
      </c>
      <c r="M42" s="118">
        <f t="shared" si="1"/>
        <v>0</v>
      </c>
      <c r="N42" s="148"/>
    </row>
    <row r="43" ht="50" customHeight="1" spans="1:14">
      <c r="A43" s="113" t="s">
        <v>1920</v>
      </c>
      <c r="B43" s="214" t="s">
        <v>1921</v>
      </c>
      <c r="C43" s="113"/>
      <c r="D43" s="215" t="s">
        <v>1913</v>
      </c>
      <c r="E43" s="99">
        <v>0</v>
      </c>
      <c r="F43" s="206">
        <f t="shared" si="2"/>
        <v>3380.65800865801</v>
      </c>
      <c r="G43" s="207">
        <v>201.376147186147</v>
      </c>
      <c r="H43" s="147">
        <v>3085.4</v>
      </c>
      <c r="I43" s="147">
        <v>60.41</v>
      </c>
      <c r="J43" s="147">
        <f>(G43+H43+I43)*'2-报价汇总'!$H$5</f>
        <v>33.4718614718615</v>
      </c>
      <c r="K43" s="147">
        <f>(G43+H43+I43+J43)*'2-报价汇总'!$I$5</f>
        <v>0</v>
      </c>
      <c r="L43" s="147">
        <f>(K43+J43+I43+H43+G43)*'2-报价汇总'!$J$5</f>
        <v>0</v>
      </c>
      <c r="M43" s="118">
        <f t="shared" si="1"/>
        <v>0</v>
      </c>
      <c r="N43" s="148"/>
    </row>
    <row r="44" ht="50" customHeight="1" spans="1:14">
      <c r="A44" s="113" t="s">
        <v>1922</v>
      </c>
      <c r="B44" s="214" t="s">
        <v>1923</v>
      </c>
      <c r="C44" s="113"/>
      <c r="D44" s="215" t="s">
        <v>78</v>
      </c>
      <c r="E44" s="99">
        <v>0</v>
      </c>
      <c r="F44" s="206">
        <f t="shared" si="2"/>
        <v>501.939393939394</v>
      </c>
      <c r="G44" s="207">
        <v>99.5396969696969</v>
      </c>
      <c r="H44" s="147">
        <v>393.25</v>
      </c>
      <c r="I44" s="147">
        <v>4.18</v>
      </c>
      <c r="J44" s="147">
        <f>(G44+H44+I44)*'2-报价汇总'!$H$5</f>
        <v>4.96969696969697</v>
      </c>
      <c r="K44" s="147">
        <f>(G44+H44+I44+J44)*'2-报价汇总'!$I$5</f>
        <v>0</v>
      </c>
      <c r="L44" s="147">
        <f>(K44+J44+I44+H44+G44)*'2-报价汇总'!$J$5</f>
        <v>0</v>
      </c>
      <c r="M44" s="118">
        <f t="shared" si="1"/>
        <v>0</v>
      </c>
      <c r="N44" s="148"/>
    </row>
    <row r="45" ht="50" customHeight="1" spans="1:14">
      <c r="A45" s="113" t="s">
        <v>1924</v>
      </c>
      <c r="B45" s="214" t="s">
        <v>1925</v>
      </c>
      <c r="C45" s="113"/>
      <c r="D45" s="215" t="s">
        <v>1913</v>
      </c>
      <c r="E45" s="99">
        <v>0</v>
      </c>
      <c r="F45" s="206">
        <f t="shared" si="2"/>
        <v>19063.2034632035</v>
      </c>
      <c r="G45" s="207">
        <v>776.42887445887</v>
      </c>
      <c r="H45" s="147">
        <v>17975.33</v>
      </c>
      <c r="I45" s="147">
        <v>122.7</v>
      </c>
      <c r="J45" s="147">
        <f>(G45+H45+I45)*'2-报价汇总'!$H$5</f>
        <v>188.744588744589</v>
      </c>
      <c r="K45" s="147">
        <f>(G45+H45+I45+J45)*'2-报价汇总'!$I$5</f>
        <v>0</v>
      </c>
      <c r="L45" s="147">
        <f>(K45+J45+I45+H45+G45)*'2-报价汇总'!$J$5</f>
        <v>0</v>
      </c>
      <c r="M45" s="118">
        <f t="shared" si="1"/>
        <v>0</v>
      </c>
      <c r="N45" s="148"/>
    </row>
    <row r="46" ht="50" customHeight="1" spans="1:14">
      <c r="A46" s="113" t="s">
        <v>1926</v>
      </c>
      <c r="B46" s="214" t="s">
        <v>1927</v>
      </c>
      <c r="C46" s="113"/>
      <c r="D46" s="215" t="s">
        <v>78</v>
      </c>
      <c r="E46" s="99">
        <v>0</v>
      </c>
      <c r="F46" s="206">
        <f t="shared" si="2"/>
        <v>614.744588744589</v>
      </c>
      <c r="G46" s="207">
        <v>111.228008658009</v>
      </c>
      <c r="H46" s="147">
        <v>493.25</v>
      </c>
      <c r="I46" s="147">
        <v>4.18</v>
      </c>
      <c r="J46" s="147">
        <f>(G46+H46+I46)*'2-报价汇总'!$H$5</f>
        <v>6.08658008658009</v>
      </c>
      <c r="K46" s="147">
        <f>(G46+H46+I46+J46)*'2-报价汇总'!$I$5</f>
        <v>0</v>
      </c>
      <c r="L46" s="147">
        <f>(K46+J46+I46+H46+G46)*'2-报价汇总'!$J$5</f>
        <v>0</v>
      </c>
      <c r="M46" s="118">
        <f t="shared" si="1"/>
        <v>0</v>
      </c>
      <c r="N46" s="148"/>
    </row>
    <row r="47" ht="50" customHeight="1" spans="1:14">
      <c r="A47" s="113" t="s">
        <v>1928</v>
      </c>
      <c r="B47" s="214" t="s">
        <v>1929</v>
      </c>
      <c r="C47" s="113"/>
      <c r="D47" s="215" t="s">
        <v>78</v>
      </c>
      <c r="E47" s="99">
        <v>0</v>
      </c>
      <c r="F47" s="206">
        <f t="shared" si="2"/>
        <v>471.333333333334</v>
      </c>
      <c r="G47" s="207">
        <v>139.236666666667</v>
      </c>
      <c r="H47" s="147">
        <v>323.25</v>
      </c>
      <c r="I47" s="147">
        <v>4.18</v>
      </c>
      <c r="J47" s="147">
        <f>(G47+H47+I47)*'2-报价汇总'!$H$5</f>
        <v>4.66666666666667</v>
      </c>
      <c r="K47" s="147">
        <f>(G47+H47+I47+J47)*'2-报价汇总'!$I$5</f>
        <v>0</v>
      </c>
      <c r="L47" s="147">
        <f>(K47+J47+I47+H47+G47)*'2-报价汇总'!$J$5</f>
        <v>0</v>
      </c>
      <c r="M47" s="118">
        <f t="shared" si="1"/>
        <v>0</v>
      </c>
      <c r="N47" s="148"/>
    </row>
    <row r="48" ht="50" customHeight="1" spans="1:14">
      <c r="A48" s="113" t="s">
        <v>1930</v>
      </c>
      <c r="B48" s="214" t="s">
        <v>1931</v>
      </c>
      <c r="C48" s="113"/>
      <c r="D48" s="215" t="s">
        <v>78</v>
      </c>
      <c r="E48" s="99">
        <v>0</v>
      </c>
      <c r="F48" s="206">
        <f t="shared" si="2"/>
        <v>3786.40692640693</v>
      </c>
      <c r="G48" s="207">
        <v>301.877748917748</v>
      </c>
      <c r="H48" s="147">
        <v>3401.53</v>
      </c>
      <c r="I48" s="147">
        <v>45.51</v>
      </c>
      <c r="J48" s="147">
        <f>(G48+H48+I48)*'2-报价汇总'!$H$5</f>
        <v>37.4891774891775</v>
      </c>
      <c r="K48" s="147">
        <f>(G48+H48+I48+J48)*'2-报价汇总'!$I$5</f>
        <v>0</v>
      </c>
      <c r="L48" s="147">
        <f>(K48+J48+I48+H48+G48)*'2-报价汇总'!$J$5</f>
        <v>0</v>
      </c>
      <c r="M48" s="118">
        <f t="shared" si="1"/>
        <v>0</v>
      </c>
      <c r="N48" s="148"/>
    </row>
    <row r="49" ht="50" customHeight="1" spans="1:21">
      <c r="A49" s="113" t="s">
        <v>1932</v>
      </c>
      <c r="B49" s="153" t="s">
        <v>1933</v>
      </c>
      <c r="C49" s="157"/>
      <c r="D49" s="216" t="s">
        <v>78</v>
      </c>
      <c r="E49" s="99">
        <v>0</v>
      </c>
      <c r="F49" s="206">
        <f t="shared" si="2"/>
        <v>314.805194805195</v>
      </c>
      <c r="G49" s="217">
        <v>1.24831168831167</v>
      </c>
      <c r="H49" s="156">
        <v>307.56</v>
      </c>
      <c r="I49" s="156">
        <v>2.88</v>
      </c>
      <c r="J49" s="156">
        <f>(G49+H49+I49)*'2-报价汇总'!$H$5</f>
        <v>3.11688311688312</v>
      </c>
      <c r="K49" s="156">
        <f>(G49+H49+I49+J49)*'2-报价汇总'!$I$5</f>
        <v>0</v>
      </c>
      <c r="L49" s="156">
        <f>(K49+J49+I49+H49+G49)*'2-报价汇总'!$J$5</f>
        <v>0</v>
      </c>
      <c r="M49" s="118">
        <f t="shared" si="1"/>
        <v>0</v>
      </c>
      <c r="N49" s="218"/>
      <c r="O49" s="158"/>
      <c r="P49" s="158"/>
      <c r="Q49" s="158"/>
      <c r="R49" s="158"/>
      <c r="S49" s="158"/>
      <c r="T49" s="158"/>
      <c r="U49" s="158"/>
    </row>
    <row r="50" ht="50" customHeight="1" spans="1:21">
      <c r="A50" s="113" t="s">
        <v>1934</v>
      </c>
      <c r="B50" s="153" t="s">
        <v>1935</v>
      </c>
      <c r="C50" s="153"/>
      <c r="D50" s="157" t="s">
        <v>78</v>
      </c>
      <c r="E50" s="99">
        <v>6000</v>
      </c>
      <c r="F50" s="219">
        <f t="shared" si="2"/>
        <v>103.8987</v>
      </c>
      <c r="G50" s="217">
        <v>18.53</v>
      </c>
      <c r="H50" s="156">
        <v>81.2</v>
      </c>
      <c r="I50" s="156">
        <v>3.14</v>
      </c>
      <c r="J50" s="156">
        <f>(G50+H50+I50)*'2-报价汇总'!$H$5</f>
        <v>1.0287</v>
      </c>
      <c r="K50" s="156">
        <f>(G50+H50+I50+J50)*'2-报价汇总'!$I$5</f>
        <v>0</v>
      </c>
      <c r="L50" s="156">
        <f>(K50+J50+I50+H50+G50)*'2-报价汇总'!$J$5</f>
        <v>0</v>
      </c>
      <c r="M50" s="118">
        <f t="shared" si="1"/>
        <v>623392.2</v>
      </c>
      <c r="N50" s="218"/>
      <c r="O50" s="158"/>
      <c r="P50" s="158"/>
      <c r="Q50" s="158"/>
      <c r="R50" s="158"/>
      <c r="S50" s="158"/>
      <c r="T50" s="158"/>
      <c r="U50" s="158"/>
    </row>
    <row r="51" ht="50" customHeight="1" spans="1:21">
      <c r="A51" s="113" t="s">
        <v>1936</v>
      </c>
      <c r="B51" s="153" t="s">
        <v>1937</v>
      </c>
      <c r="C51" s="153"/>
      <c r="D51" s="157" t="s">
        <v>78</v>
      </c>
      <c r="E51" s="99">
        <v>6000</v>
      </c>
      <c r="F51" s="219">
        <f t="shared" si="2"/>
        <v>190.4759</v>
      </c>
      <c r="G51" s="217">
        <v>18.53</v>
      </c>
      <c r="H51" s="156">
        <v>166.92</v>
      </c>
      <c r="I51" s="156">
        <v>3.14</v>
      </c>
      <c r="J51" s="156">
        <f>(G51+H51+I51)*'2-报价汇总'!$H$5</f>
        <v>1.8859</v>
      </c>
      <c r="K51" s="156">
        <f>(G51+H51+I51+J51)*'2-报价汇总'!$I$5</f>
        <v>0</v>
      </c>
      <c r="L51" s="156">
        <f>(K51+J51+I51+H51+G51)*'2-报价汇总'!$J$5</f>
        <v>0</v>
      </c>
      <c r="M51" s="118">
        <f t="shared" si="1"/>
        <v>1142855.4</v>
      </c>
      <c r="N51" s="218"/>
      <c r="O51" s="158"/>
      <c r="P51" s="158"/>
      <c r="Q51" s="158"/>
      <c r="R51" s="158"/>
      <c r="S51" s="158"/>
      <c r="T51" s="158"/>
      <c r="U51" s="158"/>
    </row>
    <row r="52" ht="50" customHeight="1" spans="1:21">
      <c r="A52" s="113" t="s">
        <v>1938</v>
      </c>
      <c r="B52" s="153" t="s">
        <v>1939</v>
      </c>
      <c r="C52" s="153"/>
      <c r="D52" s="157" t="s">
        <v>78</v>
      </c>
      <c r="E52" s="99">
        <v>4000</v>
      </c>
      <c r="F52" s="219">
        <f t="shared" si="2"/>
        <v>155.843</v>
      </c>
      <c r="G52" s="217">
        <v>18.53</v>
      </c>
      <c r="H52" s="156">
        <v>132.63</v>
      </c>
      <c r="I52" s="156">
        <v>3.14</v>
      </c>
      <c r="J52" s="156">
        <f>(G52+H52+I52)*'2-报价汇总'!$H$5</f>
        <v>1.543</v>
      </c>
      <c r="K52" s="156">
        <f>(G52+H52+I52+J52)*'2-报价汇总'!$I$5</f>
        <v>0</v>
      </c>
      <c r="L52" s="156">
        <f>(K52+J52+I52+H52+G52)*'2-报价汇总'!$J$5</f>
        <v>0</v>
      </c>
      <c r="M52" s="118">
        <f t="shared" si="1"/>
        <v>623372</v>
      </c>
      <c r="N52" s="218"/>
      <c r="O52" s="158"/>
      <c r="P52" s="158"/>
      <c r="Q52" s="158"/>
      <c r="R52" s="158"/>
      <c r="S52" s="158"/>
      <c r="T52" s="158"/>
      <c r="U52" s="158"/>
    </row>
    <row r="53" ht="50" customHeight="1" spans="1:21">
      <c r="A53" s="113" t="s">
        <v>1940</v>
      </c>
      <c r="B53" s="153" t="s">
        <v>1941</v>
      </c>
      <c r="C53" s="153"/>
      <c r="D53" s="157" t="s">
        <v>78</v>
      </c>
      <c r="E53" s="99">
        <v>0</v>
      </c>
      <c r="F53" s="219">
        <f t="shared" si="2"/>
        <v>207.79437</v>
      </c>
      <c r="G53" s="217">
        <v>18.53</v>
      </c>
      <c r="H53" s="156">
        <v>184.067</v>
      </c>
      <c r="I53" s="156">
        <v>3.14</v>
      </c>
      <c r="J53" s="156">
        <f>(G53+H53+I53)*'2-报价汇总'!$H$5</f>
        <v>2.05737</v>
      </c>
      <c r="K53" s="156">
        <f>(G53+H53+I53+J53)*'2-报价汇总'!$I$5</f>
        <v>0</v>
      </c>
      <c r="L53" s="156">
        <f>(K53+J53+I53+H53+G53)*'2-报价汇总'!$J$5</f>
        <v>0</v>
      </c>
      <c r="M53" s="118">
        <f t="shared" si="1"/>
        <v>0</v>
      </c>
      <c r="N53" s="218"/>
      <c r="O53" s="158"/>
      <c r="P53" s="158"/>
      <c r="Q53" s="158"/>
      <c r="R53" s="158"/>
      <c r="S53" s="158"/>
      <c r="T53" s="158"/>
      <c r="U53" s="158"/>
    </row>
    <row r="54" ht="50" customHeight="1" spans="1:21">
      <c r="A54" s="113" t="s">
        <v>1942</v>
      </c>
      <c r="B54" s="153" t="s">
        <v>1943</v>
      </c>
      <c r="C54" s="153"/>
      <c r="D54" s="157"/>
      <c r="E54" s="99"/>
      <c r="F54" s="220"/>
      <c r="G54" s="217"/>
      <c r="H54" s="156"/>
      <c r="I54" s="156"/>
      <c r="J54" s="217"/>
      <c r="K54" s="217"/>
      <c r="L54" s="217"/>
      <c r="M54" s="118"/>
      <c r="N54" s="218"/>
      <c r="O54" s="158"/>
      <c r="P54" s="158"/>
      <c r="Q54" s="158"/>
      <c r="R54" s="158"/>
      <c r="S54" s="158"/>
      <c r="T54" s="158"/>
      <c r="U54" s="158"/>
    </row>
    <row r="55" ht="50" customHeight="1" spans="1:21">
      <c r="A55" s="113" t="s">
        <v>1944</v>
      </c>
      <c r="B55" s="153" t="s">
        <v>1945</v>
      </c>
      <c r="C55" s="153"/>
      <c r="D55" s="157" t="s">
        <v>101</v>
      </c>
      <c r="E55" s="99"/>
      <c r="F55" s="156">
        <v>811312.52</v>
      </c>
      <c r="G55" s="217"/>
      <c r="H55" s="156"/>
      <c r="I55" s="156"/>
      <c r="J55" s="217"/>
      <c r="K55" s="217"/>
      <c r="L55" s="217"/>
      <c r="M55" s="118">
        <f>E55*F55</f>
        <v>0</v>
      </c>
      <c r="N55" s="218"/>
      <c r="O55" s="158"/>
      <c r="P55" s="158"/>
      <c r="Q55" s="158"/>
      <c r="R55" s="158"/>
      <c r="S55" s="158"/>
      <c r="T55" s="158"/>
      <c r="U55" s="158"/>
    </row>
    <row r="56" ht="50" customHeight="1" spans="1:21">
      <c r="A56" s="113" t="s">
        <v>1946</v>
      </c>
      <c r="B56" s="153" t="s">
        <v>1947</v>
      </c>
      <c r="C56" s="153"/>
      <c r="D56" s="157" t="s">
        <v>101</v>
      </c>
      <c r="E56" s="99"/>
      <c r="F56" s="156">
        <f>F55*0.05</f>
        <v>40565.626</v>
      </c>
      <c r="G56" s="217"/>
      <c r="H56" s="156"/>
      <c r="I56" s="156"/>
      <c r="J56" s="217"/>
      <c r="K56" s="217"/>
      <c r="L56" s="217"/>
      <c r="M56" s="118">
        <f>E56*F56</f>
        <v>0</v>
      </c>
      <c r="N56" s="218"/>
      <c r="O56" s="158"/>
      <c r="P56" s="158"/>
      <c r="Q56" s="158"/>
      <c r="R56" s="158"/>
      <c r="S56" s="158"/>
      <c r="T56" s="158"/>
      <c r="U56" s="158"/>
    </row>
    <row r="57" ht="50" customHeight="1" spans="1:21">
      <c r="A57" s="95"/>
      <c r="B57" s="208" t="s">
        <v>158</v>
      </c>
      <c r="C57" s="113"/>
      <c r="D57" s="221"/>
      <c r="E57" s="99"/>
      <c r="F57" s="147"/>
      <c r="G57" s="147"/>
      <c r="H57" s="147"/>
      <c r="I57" s="147"/>
      <c r="J57" s="147"/>
      <c r="K57" s="147"/>
      <c r="L57" s="147"/>
      <c r="M57" s="148"/>
      <c r="N57" s="148"/>
    </row>
    <row r="58" ht="50" customHeight="1" spans="1:21">
      <c r="A58" s="95"/>
      <c r="B58" s="83" t="s">
        <v>1219</v>
      </c>
      <c r="C58" s="113"/>
      <c r="D58" s="221"/>
      <c r="E58" s="221"/>
      <c r="F58" s="147"/>
      <c r="G58" s="147"/>
      <c r="H58" s="147"/>
      <c r="I58" s="147"/>
      <c r="J58" s="147"/>
      <c r="K58" s="147"/>
      <c r="L58" s="147"/>
      <c r="M58" s="148"/>
      <c r="N58" s="148"/>
    </row>
    <row r="59" ht="50" customHeight="1" spans="1:21">
      <c r="A59" s="95"/>
      <c r="B59" s="83" t="s">
        <v>1948</v>
      </c>
      <c r="C59" s="95"/>
      <c r="D59" s="150"/>
      <c r="E59" s="213"/>
      <c r="F59" s="147"/>
      <c r="G59" s="147"/>
      <c r="H59" s="147"/>
      <c r="I59" s="147"/>
      <c r="J59" s="147"/>
      <c r="K59" s="147"/>
      <c r="L59" s="147"/>
      <c r="M59" s="222">
        <f>SUM(M4:M57)</f>
        <v>4225983.23636364</v>
      </c>
      <c r="N59" s="148"/>
    </row>
  </sheetData>
  <autoFilter xmlns:etc="http://www.wps.cn/officeDocument/2017/etCustomData" ref="A3:U59" etc:filterBottomFollowUsedRange="0">
    <extLst/>
  </autoFilter>
  <mergeCells count="2">
    <mergeCell ref="A1:N1"/>
    <mergeCell ref="A2:N2"/>
  </mergeCells>
  <printOptions horizontalCentered="1"/>
  <pageMargins left="0.590277777777778" right="0.590277777777778" top="0.590277777777778" bottom="0.590277777777778" header="0.196527777777778" footer="0.196527777777778"/>
  <pageSetup paperSize="9" scale="62" orientation="landscape" horizontalDpi="600"/>
  <headerFooter>
    <oddFooter>&amp;C第 &amp;P 页，共 &amp;N 页</oddFooter>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20"/>
  <sheetViews>
    <sheetView view="pageBreakPreview" zoomScaleNormal="90" workbookViewId="0">
      <selection activeCell="D13" sqref="D13"/>
    </sheetView>
  </sheetViews>
  <sheetFormatPr defaultColWidth="14" defaultRowHeight="12.75"/>
  <cols>
    <col min="1" max="1" width="9" customWidth="1"/>
    <col min="2" max="2" width="21.1428571428571" customWidth="1"/>
    <col min="3" max="3" width="26.4285714285714" customWidth="1"/>
    <col min="4" max="4" width="21.1428571428571" customWidth="1"/>
    <col min="5" max="5" width="9" customWidth="1"/>
    <col min="6" max="6" width="13.4285714285714" customWidth="1"/>
    <col min="7" max="7" width="7.57142857142857" customWidth="1"/>
    <col min="8" max="9" width="6.57142857142857" customWidth="1"/>
    <col min="10" max="13" width="5.85714285714286" customWidth="1"/>
    <col min="14" max="14" width="13.4285714285714" customWidth="1"/>
    <col min="15" max="15" width="14" customWidth="1"/>
    <col min="16" max="22" width="15" customWidth="1"/>
  </cols>
  <sheetData>
    <row r="1" ht="30" customHeight="1" spans="1:15">
      <c r="A1" s="19" t="s">
        <v>1949</v>
      </c>
      <c r="B1" s="19"/>
      <c r="C1" s="19"/>
      <c r="D1" s="19"/>
      <c r="E1" s="19"/>
      <c r="F1" s="19"/>
      <c r="G1" s="19"/>
      <c r="H1" s="165"/>
      <c r="I1" s="165"/>
      <c r="J1" s="165"/>
      <c r="K1" s="165"/>
      <c r="L1" s="165"/>
      <c r="M1" s="165"/>
      <c r="N1" s="165"/>
      <c r="O1" s="19"/>
    </row>
    <row r="2" ht="30" customHeight="1" spans="1:15">
      <c r="A2" s="21" t="str">
        <f>'2.1-装饰工程'!A2</f>
        <v>注意：此报价清单每项不得随意更改、删减，如有任何增加项请务必在每大项最后“补充项“中列举，补充项及说明字体颜色均采用蓝色；且所有项目都需要填写。</v>
      </c>
      <c r="B2" s="21"/>
      <c r="C2" s="21"/>
      <c r="D2" s="21"/>
      <c r="E2" s="21"/>
      <c r="F2" s="21"/>
      <c r="G2" s="21"/>
      <c r="H2" s="21"/>
      <c r="I2" s="21"/>
      <c r="J2" s="21"/>
      <c r="K2" s="21"/>
      <c r="L2" s="21"/>
      <c r="M2" s="21"/>
      <c r="N2" s="21"/>
      <c r="O2" s="21"/>
    </row>
    <row r="3" s="18" customFormat="1" ht="38" customHeight="1" spans="1:15">
      <c r="A3" s="166" t="s">
        <v>1430</v>
      </c>
      <c r="B3" s="166" t="s">
        <v>1950</v>
      </c>
      <c r="C3" s="166" t="s">
        <v>1432</v>
      </c>
      <c r="D3" s="166" t="s">
        <v>1433</v>
      </c>
      <c r="E3" s="166" t="s">
        <v>10</v>
      </c>
      <c r="F3" s="167" t="s">
        <v>11</v>
      </c>
      <c r="G3" s="168" t="s">
        <v>12</v>
      </c>
      <c r="H3" s="169" t="s">
        <v>13</v>
      </c>
      <c r="I3" s="169" t="s">
        <v>14</v>
      </c>
      <c r="J3" s="169" t="s">
        <v>15</v>
      </c>
      <c r="K3" s="169" t="s">
        <v>16</v>
      </c>
      <c r="L3" s="169" t="s">
        <v>17</v>
      </c>
      <c r="M3" s="169" t="s">
        <v>2</v>
      </c>
      <c r="N3" s="170" t="s">
        <v>18</v>
      </c>
      <c r="O3" s="171" t="s">
        <v>19</v>
      </c>
    </row>
    <row r="4" ht="22" customHeight="1" spans="1:15">
      <c r="A4" s="172"/>
      <c r="B4" s="173" t="s">
        <v>1951</v>
      </c>
      <c r="C4" s="172"/>
      <c r="D4" s="172"/>
      <c r="E4" s="174"/>
      <c r="F4" s="172"/>
      <c r="G4" s="175"/>
      <c r="H4" s="176"/>
      <c r="I4" s="176"/>
      <c r="J4" s="176"/>
      <c r="K4" s="176"/>
      <c r="L4" s="176"/>
      <c r="M4" s="176"/>
      <c r="N4" s="176"/>
      <c r="O4" s="177"/>
    </row>
    <row r="5" ht="75" customHeight="1" spans="1:15">
      <c r="A5" s="166" t="s">
        <v>1952</v>
      </c>
      <c r="B5" s="178" t="s">
        <v>1953</v>
      </c>
      <c r="C5" s="73" t="s">
        <v>1954</v>
      </c>
      <c r="D5" s="73" t="s">
        <v>1494</v>
      </c>
      <c r="E5" s="172" t="s">
        <v>28</v>
      </c>
      <c r="F5" s="168">
        <v>274258.505271714</v>
      </c>
      <c r="G5" s="179">
        <f>SUM(H5:M5)</f>
        <v>74.3290043290043</v>
      </c>
      <c r="H5" s="176">
        <v>8.41307359307358</v>
      </c>
      <c r="I5" s="176">
        <v>65</v>
      </c>
      <c r="J5" s="176">
        <v>0.18</v>
      </c>
      <c r="K5" s="179">
        <f>(H5+I5+J5)*'2-报价汇总'!$H$5</f>
        <v>0.735930735930736</v>
      </c>
      <c r="L5" s="180">
        <f>(H5+I5+J5+K5)*'2-报价汇总'!$I$5</f>
        <v>0</v>
      </c>
      <c r="M5" s="180">
        <f>(L5+K5+J5+I5+H5)*'2-报价汇总'!$J$5</f>
        <v>0</v>
      </c>
      <c r="N5" s="181">
        <f>F5*G5</f>
        <v>20385361.6256075</v>
      </c>
      <c r="O5" s="182"/>
    </row>
    <row r="6" ht="50" customHeight="1" spans="1:15">
      <c r="A6" s="166" t="s">
        <v>1955</v>
      </c>
      <c r="B6" s="183" t="s">
        <v>1956</v>
      </c>
      <c r="C6" s="73" t="s">
        <v>1957</v>
      </c>
      <c r="D6" s="73" t="s">
        <v>1494</v>
      </c>
      <c r="E6" s="172" t="s">
        <v>28</v>
      </c>
      <c r="F6" s="168">
        <v>274258.505271714</v>
      </c>
      <c r="G6" s="179">
        <f>SUM(H6:M6)</f>
        <v>100.125541125541</v>
      </c>
      <c r="H6" s="176">
        <v>23.7741991341991</v>
      </c>
      <c r="I6" s="176">
        <v>75</v>
      </c>
      <c r="J6" s="176">
        <v>0.36</v>
      </c>
      <c r="K6" s="179">
        <f>(H6+I6+J6)*'2-报价汇总'!$H$5</f>
        <v>0.991341991341991</v>
      </c>
      <c r="L6" s="180">
        <f>(H6+I6+J6+K6)*'2-报价汇总'!$I$5</f>
        <v>0</v>
      </c>
      <c r="M6" s="180">
        <f>(L6+K6+J6+I6+H6)*'2-报价汇总'!$J$5</f>
        <v>0</v>
      </c>
      <c r="N6" s="181">
        <f>F6*G6</f>
        <v>27460281.2486124</v>
      </c>
      <c r="O6" s="177"/>
    </row>
    <row r="7" ht="50" customHeight="1" spans="1:15">
      <c r="A7" s="166" t="s">
        <v>1958</v>
      </c>
      <c r="B7" s="178" t="s">
        <v>1959</v>
      </c>
      <c r="C7" s="73" t="s">
        <v>1960</v>
      </c>
      <c r="D7" s="73" t="s">
        <v>1494</v>
      </c>
      <c r="E7" s="172" t="s">
        <v>28</v>
      </c>
      <c r="F7" s="168">
        <v>274258.505271714</v>
      </c>
      <c r="G7" s="179">
        <f>SUM(H7:M7)</f>
        <v>83.9480519480519</v>
      </c>
      <c r="H7" s="176">
        <v>21.6168831168831</v>
      </c>
      <c r="I7" s="176">
        <v>60</v>
      </c>
      <c r="J7" s="176">
        <v>1.5</v>
      </c>
      <c r="K7" s="179">
        <f>(H7+I7+J7)*'2-报价汇总'!$H$5</f>
        <v>0.831168831168831</v>
      </c>
      <c r="L7" s="180">
        <f>(H7+I7+J7+K7)*'2-报价汇总'!$I$5</f>
        <v>0</v>
      </c>
      <c r="M7" s="180">
        <f>(L7+K7+J7+I7+H7)*'2-报价汇总'!$J$5</f>
        <v>0</v>
      </c>
      <c r="N7" s="181">
        <f>F7*G7</f>
        <v>23023467.2477449</v>
      </c>
      <c r="O7" s="177"/>
    </row>
    <row r="8" ht="50" customHeight="1" spans="1:15">
      <c r="A8" s="166"/>
      <c r="B8" s="184" t="s">
        <v>1961</v>
      </c>
      <c r="C8" s="73"/>
      <c r="D8" s="73"/>
      <c r="E8" s="172"/>
      <c r="F8" s="185"/>
      <c r="G8" s="186"/>
      <c r="H8" s="176"/>
      <c r="I8" s="176"/>
      <c r="J8" s="176"/>
      <c r="K8" s="176"/>
      <c r="L8" s="176"/>
      <c r="M8" s="176"/>
      <c r="N8" s="176"/>
      <c r="O8" s="177"/>
    </row>
    <row r="9" ht="50" customHeight="1" spans="1:15">
      <c r="A9" s="187"/>
      <c r="B9" s="188" t="s">
        <v>1962</v>
      </c>
      <c r="C9" s="187"/>
      <c r="D9" s="187"/>
      <c r="E9" s="189"/>
      <c r="F9" s="190"/>
      <c r="G9" s="186"/>
      <c r="H9" s="191"/>
      <c r="I9" s="191"/>
      <c r="J9" s="191"/>
      <c r="K9" s="191"/>
      <c r="L9" s="191"/>
      <c r="M9" s="191"/>
      <c r="N9" s="191">
        <f>SUM(N5:N7)</f>
        <v>70869110.1219648</v>
      </c>
      <c r="O9" s="177"/>
    </row>
    <row r="10" ht="26" customHeight="1" spans="1:15">
      <c r="A10" s="38"/>
      <c r="B10" s="38"/>
      <c r="C10" s="38"/>
      <c r="D10" s="38"/>
      <c r="E10" s="192"/>
      <c r="F10" s="193"/>
      <c r="G10" s="193"/>
      <c r="H10" s="194"/>
      <c r="I10" s="194"/>
      <c r="J10" s="194"/>
      <c r="K10" s="194"/>
      <c r="L10" s="194"/>
      <c r="M10" s="194"/>
      <c r="N10" s="194"/>
    </row>
    <row r="11" ht="26" customHeight="1" spans="1:15">
      <c r="A11" s="195"/>
      <c r="D11" s="38"/>
      <c r="E11" s="195"/>
      <c r="F11" s="195"/>
      <c r="G11" s="196"/>
      <c r="H11" s="197"/>
      <c r="I11" s="197"/>
      <c r="J11" s="197"/>
      <c r="K11" s="197"/>
      <c r="L11" s="197"/>
      <c r="M11" s="197"/>
      <c r="N11" s="197"/>
    </row>
    <row r="12" ht="26" customHeight="1" spans="1:15">
      <c r="A12" s="195"/>
      <c r="D12" s="38"/>
      <c r="E12" s="195"/>
      <c r="F12" s="195"/>
      <c r="G12" s="196"/>
      <c r="H12" s="197"/>
      <c r="I12" s="197"/>
      <c r="J12" s="197"/>
      <c r="K12" s="197"/>
      <c r="L12" s="197"/>
      <c r="M12" s="197"/>
      <c r="N12" s="197"/>
    </row>
    <row r="13" ht="26" customHeight="1" spans="1:15">
      <c r="E13" s="192"/>
      <c r="F13" s="198"/>
      <c r="G13" s="198"/>
      <c r="H13" s="199"/>
      <c r="I13" s="199"/>
      <c r="J13" s="199"/>
      <c r="K13" s="199"/>
      <c r="L13" s="199"/>
      <c r="M13" s="199"/>
      <c r="N13" s="199"/>
    </row>
    <row r="14" ht="26" customHeight="1" spans="1:15">
      <c r="E14" s="192"/>
      <c r="F14" s="198"/>
      <c r="G14" s="198"/>
      <c r="H14" s="199"/>
      <c r="I14" s="199"/>
      <c r="J14" s="199"/>
      <c r="K14" s="199"/>
      <c r="L14" s="199"/>
      <c r="M14" s="199"/>
      <c r="N14" s="199"/>
    </row>
    <row r="15" ht="26" customHeight="1" spans="1:15">
      <c r="E15" s="192"/>
      <c r="F15" s="198"/>
      <c r="G15" s="198"/>
      <c r="H15" s="199"/>
      <c r="I15" s="199"/>
      <c r="J15" s="199"/>
      <c r="K15" s="199"/>
      <c r="L15" s="199"/>
      <c r="M15" s="199"/>
      <c r="N15" s="199"/>
    </row>
    <row r="16" ht="26" customHeight="1" spans="1:15">
      <c r="E16" s="192"/>
      <c r="F16" s="198"/>
      <c r="G16" s="198"/>
      <c r="H16" s="199"/>
      <c r="I16" s="199"/>
      <c r="J16" s="199"/>
      <c r="K16" s="199"/>
      <c r="L16" s="199"/>
      <c r="M16" s="199"/>
      <c r="N16" s="199"/>
    </row>
    <row r="17" ht="26" customHeight="1" spans="5:14">
      <c r="E17" s="192"/>
      <c r="F17" s="198"/>
      <c r="G17" s="198"/>
      <c r="H17" s="199"/>
      <c r="I17" s="199"/>
      <c r="J17" s="199"/>
      <c r="K17" s="199"/>
      <c r="L17" s="199"/>
      <c r="M17" s="199"/>
      <c r="N17" s="199"/>
    </row>
    <row r="18" ht="26" customHeight="1" spans="5:14">
      <c r="E18" s="192"/>
      <c r="F18" s="198"/>
      <c r="G18" s="198"/>
      <c r="H18" s="199"/>
      <c r="I18" s="199"/>
      <c r="J18" s="199"/>
      <c r="K18" s="199"/>
      <c r="L18" s="199"/>
      <c r="M18" s="199"/>
      <c r="N18" s="199"/>
    </row>
    <row r="19" ht="26" customHeight="1" spans="5:14">
      <c r="E19" s="192"/>
      <c r="F19" s="198"/>
      <c r="G19" s="198"/>
      <c r="H19" s="199"/>
      <c r="I19" s="199"/>
      <c r="J19" s="199"/>
      <c r="K19" s="199"/>
      <c r="L19" s="199"/>
      <c r="M19" s="199"/>
      <c r="N19" s="199"/>
    </row>
    <row r="20" ht="15" customHeight="1"/>
  </sheetData>
  <mergeCells count="2">
    <mergeCell ref="A1:O1"/>
    <mergeCell ref="A2:O2"/>
  </mergeCells>
  <printOptions horizontalCentered="1"/>
  <pageMargins left="0.590277777777778" right="0.590277777777778" top="0.590277777777778" bottom="0.590277777777778" header="0.196527777777778" footer="0.196527777777778"/>
  <pageSetup paperSize="9" scale="74" orientation="landscape" horizontalDpi="600"/>
  <headerFooter>
    <oddFooter>&amp;C第 &amp;P 页，共 &amp;N 页</oddFooter>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35"/>
  <sheetViews>
    <sheetView view="pageBreakPreview" zoomScaleNormal="100" workbookViewId="0">
      <pane ySplit="3" topLeftCell="A4" activePane="bottomLeft" state="frozen"/>
      <selection/>
      <selection pane="bottomLeft" activeCell="O5" sqref="O5"/>
    </sheetView>
  </sheetViews>
  <sheetFormatPr defaultColWidth="14" defaultRowHeight="12.75"/>
  <cols>
    <col min="1" max="1" width="9.71428571428571" style="18" customWidth="1"/>
    <col min="2" max="2" width="23" style="18" customWidth="1"/>
    <col min="3" max="3" width="30.5714285714286" style="18" customWidth="1"/>
    <col min="4" max="4" width="20.7142857142857" style="18" customWidth="1"/>
    <col min="5" max="5" width="17.4285714285714" style="18" customWidth="1"/>
    <col min="6" max="6" width="8.57142857142857" style="18" customWidth="1"/>
    <col min="7" max="7" width="11.1428571428571" style="18" customWidth="1"/>
    <col min="8" max="13" width="10" style="18" customWidth="1"/>
    <col min="14" max="14" width="10" customWidth="1"/>
    <col min="15" max="15" width="15.4285714285714" customWidth="1"/>
    <col min="16" max="16" width="11.7142857142857" customWidth="1"/>
    <col min="17" max="22" width="15" customWidth="1"/>
  </cols>
  <sheetData>
    <row r="1" ht="24" customHeight="1" spans="1:16">
      <c r="A1" s="19" t="s">
        <v>1963</v>
      </c>
      <c r="B1" s="19"/>
      <c r="C1" s="19"/>
      <c r="D1" s="19"/>
      <c r="E1" s="19"/>
      <c r="F1" s="19"/>
      <c r="G1" s="19"/>
      <c r="H1" s="20"/>
      <c r="I1" s="20"/>
      <c r="J1" s="20"/>
      <c r="K1" s="20"/>
      <c r="L1" s="20"/>
      <c r="M1" s="20"/>
      <c r="N1" s="20"/>
      <c r="O1" s="20"/>
      <c r="P1" s="19"/>
    </row>
    <row r="2" ht="24" customHeight="1" spans="1:16">
      <c r="A2" s="22" t="str">
        <f>'2.1-装饰工程'!A2</f>
        <v>注意：此报价清单每项不得随意更改、删减，如有任何增加项请务必在每大项最后“补充项“中列举，补充项及说明字体颜色均采用蓝色；且所有项目都需要填写。</v>
      </c>
      <c r="B2" s="22"/>
      <c r="C2" s="22"/>
      <c r="D2" s="22"/>
      <c r="E2" s="22"/>
      <c r="F2" s="22"/>
      <c r="G2" s="22"/>
      <c r="H2" s="22"/>
      <c r="I2" s="22"/>
      <c r="J2" s="22"/>
      <c r="K2" s="22"/>
      <c r="L2" s="22"/>
      <c r="M2" s="22"/>
      <c r="N2" s="21"/>
      <c r="O2" s="21"/>
      <c r="P2" s="21"/>
    </row>
    <row r="3" ht="28" customHeight="1" spans="1:16">
      <c r="A3" s="96" t="s">
        <v>5</v>
      </c>
      <c r="B3" s="96" t="s">
        <v>6</v>
      </c>
      <c r="C3" s="96" t="s">
        <v>7</v>
      </c>
      <c r="D3" s="96" t="s">
        <v>8</v>
      </c>
      <c r="E3" s="96" t="s">
        <v>9</v>
      </c>
      <c r="F3" s="96" t="s">
        <v>10</v>
      </c>
      <c r="G3" s="98" t="s">
        <v>11</v>
      </c>
      <c r="H3" s="99" t="s">
        <v>12</v>
      </c>
      <c r="I3" s="100" t="s">
        <v>13</v>
      </c>
      <c r="J3" s="100" t="s">
        <v>14</v>
      </c>
      <c r="K3" s="100" t="s">
        <v>15</v>
      </c>
      <c r="L3" s="101" t="s">
        <v>16</v>
      </c>
      <c r="M3" s="100" t="s">
        <v>17</v>
      </c>
      <c r="N3" s="145" t="s">
        <v>2</v>
      </c>
      <c r="O3" s="102" t="s">
        <v>18</v>
      </c>
      <c r="P3" s="110" t="s">
        <v>19</v>
      </c>
    </row>
    <row r="4" ht="38" customHeight="1" spans="1:16">
      <c r="A4" s="113"/>
      <c r="B4" s="83" t="s">
        <v>1964</v>
      </c>
      <c r="C4" s="104"/>
      <c r="D4" s="104"/>
      <c r="E4" s="104"/>
      <c r="F4" s="146"/>
      <c r="G4" s="99"/>
      <c r="H4" s="117"/>
      <c r="I4" s="117"/>
      <c r="J4" s="117"/>
      <c r="K4" s="117"/>
      <c r="L4" s="117"/>
      <c r="M4" s="117"/>
      <c r="N4" s="147"/>
      <c r="O4" s="147"/>
      <c r="P4" s="148"/>
    </row>
    <row r="5" ht="50" customHeight="1" spans="1:16">
      <c r="A5" s="113" t="s">
        <v>1965</v>
      </c>
      <c r="B5" s="149" t="s">
        <v>1966</v>
      </c>
      <c r="C5" s="112" t="s">
        <v>1967</v>
      </c>
      <c r="D5" s="149" t="s">
        <v>165</v>
      </c>
      <c r="E5" s="149" t="s">
        <v>170</v>
      </c>
      <c r="F5" s="150" t="s">
        <v>28</v>
      </c>
      <c r="G5" s="99">
        <v>26809.24</v>
      </c>
      <c r="H5" s="144">
        <f t="shared" ref="H5:H29" si="0">SUM(I5:N5)</f>
        <v>174.891774891775</v>
      </c>
      <c r="I5" s="117">
        <v>163.160173160173</v>
      </c>
      <c r="J5" s="117">
        <v>0</v>
      </c>
      <c r="K5" s="117">
        <v>10</v>
      </c>
      <c r="L5" s="117">
        <f>(I5+J5+K5)*'2-报价汇总'!$H$5</f>
        <v>1.73160173160173</v>
      </c>
      <c r="M5" s="117">
        <f>(I5+J5+K5+L5)*'2-报价汇总'!$I$5</f>
        <v>0</v>
      </c>
      <c r="N5" s="147">
        <f>(M5+L5+K5+J5+I5)*'2-报价汇总'!$J$5</f>
        <v>0</v>
      </c>
      <c r="O5" s="151">
        <f t="shared" ref="O5:O32" si="1">G5*H5</f>
        <v>4688715.56709956</v>
      </c>
      <c r="P5" s="148"/>
    </row>
    <row r="6" ht="50" customHeight="1" spans="1:16">
      <c r="A6" s="113" t="s">
        <v>1968</v>
      </c>
      <c r="B6" s="149" t="s">
        <v>1969</v>
      </c>
      <c r="C6" s="112" t="s">
        <v>1970</v>
      </c>
      <c r="D6" s="149" t="s">
        <v>165</v>
      </c>
      <c r="E6" s="149" t="s">
        <v>170</v>
      </c>
      <c r="F6" s="150" t="s">
        <v>28</v>
      </c>
      <c r="G6" s="99">
        <v>6000</v>
      </c>
      <c r="H6" s="144">
        <f t="shared" si="0"/>
        <v>480.952380952381</v>
      </c>
      <c r="I6" s="117">
        <v>74.6904761904761</v>
      </c>
      <c r="J6" s="117">
        <v>400</v>
      </c>
      <c r="K6" s="117">
        <v>1.5</v>
      </c>
      <c r="L6" s="117">
        <f>(I6+J6+K6)*'2-报价汇总'!$H$5</f>
        <v>4.76190476190476</v>
      </c>
      <c r="M6" s="117">
        <f>(I6+J6+K6+L6)*'2-报价汇总'!$I$5</f>
        <v>0</v>
      </c>
      <c r="N6" s="147">
        <f>(M6+L6+K6+J6+I6)*'2-报价汇总'!$J$5</f>
        <v>0</v>
      </c>
      <c r="O6" s="151">
        <f t="shared" si="1"/>
        <v>2885714.28571428</v>
      </c>
      <c r="P6" s="148"/>
    </row>
    <row r="7" ht="94" customHeight="1" spans="1:16">
      <c r="A7" s="113" t="s">
        <v>1971</v>
      </c>
      <c r="B7" s="149" t="s">
        <v>1972</v>
      </c>
      <c r="C7" s="112" t="s">
        <v>1973</v>
      </c>
      <c r="D7" s="149" t="s">
        <v>165</v>
      </c>
      <c r="E7" s="111"/>
      <c r="F7" s="150" t="s">
        <v>126</v>
      </c>
      <c r="G7" s="99">
        <v>480.66</v>
      </c>
      <c r="H7" s="144">
        <f t="shared" si="0"/>
        <v>8744.58874458875</v>
      </c>
      <c r="I7" s="117">
        <v>2013.00865800866</v>
      </c>
      <c r="J7" s="117">
        <v>6500</v>
      </c>
      <c r="K7" s="117">
        <v>145</v>
      </c>
      <c r="L7" s="117">
        <f>(I7+J7+K7)*'2-报价汇总'!$H$5</f>
        <v>86.5800865800866</v>
      </c>
      <c r="M7" s="117">
        <f>(I7+J7+K7+L7)*'2-报价汇总'!$I$5</f>
        <v>0</v>
      </c>
      <c r="N7" s="147">
        <f>(M7+L7+K7+J7+I7)*'2-报价汇总'!$J$5</f>
        <v>0</v>
      </c>
      <c r="O7" s="151">
        <f t="shared" si="1"/>
        <v>4203174.02597403</v>
      </c>
      <c r="P7" s="148"/>
    </row>
    <row r="8" ht="78" customHeight="1" spans="1:16">
      <c r="A8" s="113" t="s">
        <v>1974</v>
      </c>
      <c r="B8" s="149" t="s">
        <v>1975</v>
      </c>
      <c r="C8" s="112" t="s">
        <v>1976</v>
      </c>
      <c r="D8" s="149" t="s">
        <v>165</v>
      </c>
      <c r="E8" s="111"/>
      <c r="F8" s="150" t="s">
        <v>126</v>
      </c>
      <c r="G8" s="99">
        <v>3000</v>
      </c>
      <c r="H8" s="144">
        <f t="shared" si="0"/>
        <v>8744.58874458875</v>
      </c>
      <c r="I8" s="117">
        <v>2013.00865800866</v>
      </c>
      <c r="J8" s="117">
        <v>6500</v>
      </c>
      <c r="K8" s="117">
        <v>145</v>
      </c>
      <c r="L8" s="117">
        <f>(I8+J8+K8)*'2-报价汇总'!$H$5</f>
        <v>86.5800865800866</v>
      </c>
      <c r="M8" s="117">
        <f>(I8+J8+K8+L8)*'2-报价汇总'!$I$5</f>
        <v>0</v>
      </c>
      <c r="N8" s="147">
        <f>(M8+L8+K8+J8+I8)*'2-报价汇总'!$J$5</f>
        <v>0</v>
      </c>
      <c r="O8" s="151">
        <f t="shared" si="1"/>
        <v>26233766.2337662</v>
      </c>
      <c r="P8" s="117"/>
    </row>
    <row r="9" ht="57" customHeight="1" spans="1:16">
      <c r="A9" s="113" t="s">
        <v>1977</v>
      </c>
      <c r="B9" s="149" t="s">
        <v>1978</v>
      </c>
      <c r="C9" s="112" t="s">
        <v>1979</v>
      </c>
      <c r="D9" s="149" t="s">
        <v>165</v>
      </c>
      <c r="E9" s="149" t="s">
        <v>381</v>
      </c>
      <c r="F9" s="150" t="s">
        <v>49</v>
      </c>
      <c r="G9" s="99">
        <v>2533.47</v>
      </c>
      <c r="H9" s="144">
        <f t="shared" si="0"/>
        <v>1049.35064935065</v>
      </c>
      <c r="I9" s="117">
        <v>207.781038961039</v>
      </c>
      <c r="J9" s="117">
        <v>830</v>
      </c>
      <c r="K9" s="117">
        <v>1.18</v>
      </c>
      <c r="L9" s="117">
        <f>(I9+J9+K9)*'2-报价汇总'!$H$5</f>
        <v>10.3896103896104</v>
      </c>
      <c r="M9" s="117">
        <f>(I9+J9+K9+L9)*'2-报价汇总'!$I$5</f>
        <v>0</v>
      </c>
      <c r="N9" s="147">
        <f>(M9+L9+K9+J9+I9)*'2-报价汇总'!$J$5</f>
        <v>0</v>
      </c>
      <c r="O9" s="151">
        <f t="shared" si="1"/>
        <v>2658498.38961039</v>
      </c>
      <c r="P9" s="117"/>
    </row>
    <row r="10" ht="57" customHeight="1" spans="1:16">
      <c r="A10" s="113" t="s">
        <v>1980</v>
      </c>
      <c r="B10" s="149" t="s">
        <v>1981</v>
      </c>
      <c r="C10" s="112" t="s">
        <v>1982</v>
      </c>
      <c r="D10" s="149" t="s">
        <v>165</v>
      </c>
      <c r="E10" s="149" t="s">
        <v>381</v>
      </c>
      <c r="F10" s="150" t="s">
        <v>49</v>
      </c>
      <c r="G10" s="99">
        <v>2533.47</v>
      </c>
      <c r="H10" s="144">
        <f t="shared" si="0"/>
        <v>1311.68831168831</v>
      </c>
      <c r="I10" s="117">
        <v>296.521298701299</v>
      </c>
      <c r="J10" s="117">
        <v>1000</v>
      </c>
      <c r="K10" s="117">
        <v>2.18</v>
      </c>
      <c r="L10" s="117">
        <f>(I10+J10+K10)*'2-报价汇总'!$H$5</f>
        <v>12.987012987013</v>
      </c>
      <c r="M10" s="117">
        <f>(I10+J10+K10+L10)*'2-报价汇总'!$I$5</f>
        <v>0</v>
      </c>
      <c r="N10" s="147">
        <f>(M10+L10+K10+J10+I10)*'2-报价汇总'!$J$5</f>
        <v>0</v>
      </c>
      <c r="O10" s="151">
        <f t="shared" si="1"/>
        <v>3323122.98701299</v>
      </c>
      <c r="P10" s="148"/>
    </row>
    <row r="11" ht="57" customHeight="1" spans="1:16">
      <c r="A11" s="113" t="s">
        <v>1983</v>
      </c>
      <c r="B11" s="149" t="s">
        <v>1984</v>
      </c>
      <c r="C11" s="112" t="s">
        <v>1985</v>
      </c>
      <c r="D11" s="149" t="s">
        <v>1986</v>
      </c>
      <c r="E11" s="149" t="s">
        <v>381</v>
      </c>
      <c r="F11" s="150" t="s">
        <v>49</v>
      </c>
      <c r="G11" s="99">
        <v>579.08</v>
      </c>
      <c r="H11" s="144">
        <f t="shared" si="0"/>
        <v>2885.71428571429</v>
      </c>
      <c r="I11" s="117">
        <v>307.142857142857</v>
      </c>
      <c r="J11" s="117">
        <v>2550</v>
      </c>
      <c r="K11" s="117">
        <v>0</v>
      </c>
      <c r="L11" s="117">
        <f>(I11+J11+K11)*'2-报价汇总'!$H$5</f>
        <v>28.5714285714286</v>
      </c>
      <c r="M11" s="117">
        <f>(I11+J11+K11+L11)*'2-报价汇总'!$I$5</f>
        <v>0</v>
      </c>
      <c r="N11" s="147">
        <f>(M11+L11+K11+J11+I11)*'2-报价汇总'!$J$5</f>
        <v>0</v>
      </c>
      <c r="O11" s="151">
        <f t="shared" si="1"/>
        <v>1671059.42857143</v>
      </c>
      <c r="P11" s="148"/>
    </row>
    <row r="12" ht="50" customHeight="1" spans="1:16">
      <c r="A12" s="113" t="s">
        <v>1987</v>
      </c>
      <c r="B12" s="149" t="s">
        <v>1988</v>
      </c>
      <c r="C12" s="112" t="s">
        <v>1989</v>
      </c>
      <c r="D12" s="149" t="s">
        <v>165</v>
      </c>
      <c r="E12" s="149" t="s">
        <v>170</v>
      </c>
      <c r="F12" s="150" t="s">
        <v>28</v>
      </c>
      <c r="G12" s="99">
        <v>0</v>
      </c>
      <c r="H12" s="144">
        <f t="shared" si="0"/>
        <v>43.7229437229437</v>
      </c>
      <c r="I12" s="117">
        <v>43.2900432900433</v>
      </c>
      <c r="J12" s="117">
        <v>0</v>
      </c>
      <c r="K12" s="117">
        <v>0</v>
      </c>
      <c r="L12" s="117">
        <f>(I12+J12+K12)*'2-报价汇总'!$H$5</f>
        <v>0.432900432900433</v>
      </c>
      <c r="M12" s="117">
        <f>(I12+J12+K12+L12)*'2-报价汇总'!$I$5</f>
        <v>0</v>
      </c>
      <c r="N12" s="147">
        <f>(M12+L12+K12+J12+I12)*'2-报价汇总'!$J$5</f>
        <v>0</v>
      </c>
      <c r="O12" s="151">
        <f t="shared" si="1"/>
        <v>0</v>
      </c>
      <c r="P12" s="148"/>
    </row>
    <row r="13" ht="50" customHeight="1" spans="1:16">
      <c r="A13" s="113" t="s">
        <v>1990</v>
      </c>
      <c r="B13" s="149" t="s">
        <v>1991</v>
      </c>
      <c r="C13" s="112" t="s">
        <v>1992</v>
      </c>
      <c r="D13" s="149" t="s">
        <v>244</v>
      </c>
      <c r="E13" s="149" t="s">
        <v>381</v>
      </c>
      <c r="F13" s="150" t="s">
        <v>49</v>
      </c>
      <c r="G13" s="99">
        <v>54225.71</v>
      </c>
      <c r="H13" s="144">
        <f t="shared" si="0"/>
        <v>34.978354978355</v>
      </c>
      <c r="I13" s="117">
        <v>26.6320346320346</v>
      </c>
      <c r="J13" s="117">
        <v>0</v>
      </c>
      <c r="K13" s="117">
        <v>8</v>
      </c>
      <c r="L13" s="117">
        <f>(I13+J13+K13)*'2-报价汇总'!$H$5</f>
        <v>0.346320346320346</v>
      </c>
      <c r="M13" s="117">
        <f>(I13+J13+K13+L13)*'2-报价汇总'!$I$5</f>
        <v>0</v>
      </c>
      <c r="N13" s="147">
        <f>(M13+L13+K13+J13+I13)*'2-报价汇总'!$J$5</f>
        <v>0</v>
      </c>
      <c r="O13" s="151">
        <f t="shared" si="1"/>
        <v>1896726.13333333</v>
      </c>
      <c r="P13" s="148"/>
    </row>
    <row r="14" ht="50" customHeight="1" spans="1:16">
      <c r="A14" s="113" t="s">
        <v>1993</v>
      </c>
      <c r="B14" s="149" t="s">
        <v>1994</v>
      </c>
      <c r="C14" s="111" t="s">
        <v>1995</v>
      </c>
      <c r="D14" s="149" t="s">
        <v>165</v>
      </c>
      <c r="E14" s="149" t="s">
        <v>170</v>
      </c>
      <c r="F14" s="150" t="s">
        <v>28</v>
      </c>
      <c r="G14" s="99">
        <v>32000.85</v>
      </c>
      <c r="H14" s="144">
        <f t="shared" si="0"/>
        <v>65.5844155844156</v>
      </c>
      <c r="I14" s="117">
        <v>24.7850649350649</v>
      </c>
      <c r="J14" s="117">
        <v>40</v>
      </c>
      <c r="K14" s="117">
        <v>0.15</v>
      </c>
      <c r="L14" s="117">
        <f>(I14+J14+K14)*'2-报价汇总'!$H$5</f>
        <v>0.649350649350649</v>
      </c>
      <c r="M14" s="117">
        <f>(I14+J14+K14+L14)*'2-报价汇总'!$I$5</f>
        <v>0</v>
      </c>
      <c r="N14" s="147">
        <f>(M14+L14+K14+J14+I14)*'2-报价汇总'!$J$5</f>
        <v>0</v>
      </c>
      <c r="O14" s="151">
        <f t="shared" si="1"/>
        <v>2098757.04545454</v>
      </c>
      <c r="P14" s="148"/>
    </row>
    <row r="15" ht="50" customHeight="1" spans="1:16">
      <c r="A15" s="113" t="s">
        <v>1996</v>
      </c>
      <c r="B15" s="149" t="s">
        <v>1997</v>
      </c>
      <c r="C15" s="112" t="s">
        <v>1998</v>
      </c>
      <c r="D15" s="149" t="s">
        <v>165</v>
      </c>
      <c r="E15" s="149" t="s">
        <v>381</v>
      </c>
      <c r="F15" s="150" t="s">
        <v>49</v>
      </c>
      <c r="G15" s="99">
        <v>3418.18</v>
      </c>
      <c r="H15" s="144">
        <f t="shared" si="0"/>
        <v>2186.14718614719</v>
      </c>
      <c r="I15" s="117">
        <v>142.002164502164</v>
      </c>
      <c r="J15" s="117">
        <v>2000</v>
      </c>
      <c r="K15" s="117">
        <v>22.5</v>
      </c>
      <c r="L15" s="117">
        <f>(I15+J15+K15)*'2-报价汇总'!$H$5</f>
        <v>21.6450216450216</v>
      </c>
      <c r="M15" s="117">
        <f>(I15+J15+K15+L15)*'2-报价汇总'!$I$5</f>
        <v>0</v>
      </c>
      <c r="N15" s="147">
        <f>(M15+L15+K15+J15+I15)*'2-报价汇总'!$J$5</f>
        <v>0</v>
      </c>
      <c r="O15" s="151">
        <f t="shared" si="1"/>
        <v>7472644.58874459</v>
      </c>
      <c r="P15" s="148"/>
    </row>
    <row r="16" ht="50" customHeight="1" spans="1:16">
      <c r="A16" s="113" t="s">
        <v>1999</v>
      </c>
      <c r="B16" s="149" t="s">
        <v>2000</v>
      </c>
      <c r="C16" s="112" t="s">
        <v>1998</v>
      </c>
      <c r="D16" s="149" t="s">
        <v>165</v>
      </c>
      <c r="E16" s="149" t="s">
        <v>170</v>
      </c>
      <c r="F16" s="150" t="s">
        <v>28</v>
      </c>
      <c r="G16" s="99">
        <v>24128.31</v>
      </c>
      <c r="H16" s="144">
        <f t="shared" si="0"/>
        <v>174.891774891775</v>
      </c>
      <c r="I16" s="117">
        <v>87.3601731601731</v>
      </c>
      <c r="J16" s="117">
        <v>80</v>
      </c>
      <c r="K16" s="117">
        <v>5.8</v>
      </c>
      <c r="L16" s="117">
        <f>(I16+J16+K16)*'2-报价汇总'!$H$5</f>
        <v>1.73160173160173</v>
      </c>
      <c r="M16" s="117">
        <f>(I16+J16+K16+L16)*'2-报价汇总'!$I$5</f>
        <v>0</v>
      </c>
      <c r="N16" s="147">
        <f>(M16+L16+K16+J16+I16)*'2-报价汇总'!$J$5</f>
        <v>0</v>
      </c>
      <c r="O16" s="151">
        <f t="shared" si="1"/>
        <v>4219842.96103896</v>
      </c>
      <c r="P16" s="148"/>
    </row>
    <row r="17" ht="50" customHeight="1" spans="1:22">
      <c r="A17" s="113" t="s">
        <v>2001</v>
      </c>
      <c r="B17" s="149" t="s">
        <v>2002</v>
      </c>
      <c r="C17" s="112" t="s">
        <v>2003</v>
      </c>
      <c r="D17" s="149" t="s">
        <v>165</v>
      </c>
      <c r="E17" s="149" t="s">
        <v>170</v>
      </c>
      <c r="F17" s="150" t="s">
        <v>28</v>
      </c>
      <c r="G17" s="99">
        <v>6615.18</v>
      </c>
      <c r="H17" s="144">
        <f t="shared" si="0"/>
        <v>52.4675324675325</v>
      </c>
      <c r="I17" s="117">
        <v>46.148051948052</v>
      </c>
      <c r="J17" s="117">
        <v>0</v>
      </c>
      <c r="K17" s="117">
        <v>5.8</v>
      </c>
      <c r="L17" s="117">
        <f>(I17+J17+K17)*'2-报价汇总'!$H$5</f>
        <v>0.51948051948052</v>
      </c>
      <c r="M17" s="117">
        <f>(I17+J17+K17+L17)*'2-报价汇总'!$I$5</f>
        <v>0</v>
      </c>
      <c r="N17" s="147">
        <f>(M17+L17+K17+J17+I17)*'2-报价汇总'!$J$5</f>
        <v>0</v>
      </c>
      <c r="O17" s="151">
        <f t="shared" si="1"/>
        <v>347082.171428572</v>
      </c>
      <c r="P17" s="148"/>
    </row>
    <row r="18" ht="67" customHeight="1" spans="1:22">
      <c r="A18" s="113" t="s">
        <v>2004</v>
      </c>
      <c r="B18" s="149" t="s">
        <v>2005</v>
      </c>
      <c r="C18" s="112" t="s">
        <v>2006</v>
      </c>
      <c r="D18" s="149" t="s">
        <v>165</v>
      </c>
      <c r="E18" s="149" t="s">
        <v>340</v>
      </c>
      <c r="F18" s="152" t="s">
        <v>78</v>
      </c>
      <c r="G18" s="99">
        <v>5000</v>
      </c>
      <c r="H18" s="144">
        <f t="shared" si="0"/>
        <v>1705.1948051948</v>
      </c>
      <c r="I18" s="117">
        <v>176.311688311688</v>
      </c>
      <c r="J18" s="117">
        <v>1500</v>
      </c>
      <c r="K18" s="117">
        <v>12</v>
      </c>
      <c r="L18" s="117">
        <f>(I18+J18+K18)*'2-报价汇总'!$H$5</f>
        <v>16.8831168831169</v>
      </c>
      <c r="M18" s="117">
        <f>(I18+J18+K18+L18)*'2-报价汇总'!$I$5</f>
        <v>0</v>
      </c>
      <c r="N18" s="147">
        <f>(M18+L18+K18+J18+I18)*'2-报价汇总'!$J$5</f>
        <v>0</v>
      </c>
      <c r="O18" s="151">
        <f t="shared" si="1"/>
        <v>8525974.02597402</v>
      </c>
      <c r="P18" s="148"/>
    </row>
    <row r="19" ht="85" customHeight="1" spans="1:22">
      <c r="A19" s="113" t="s">
        <v>2007</v>
      </c>
      <c r="B19" s="149" t="s">
        <v>2008</v>
      </c>
      <c r="C19" s="112" t="s">
        <v>2009</v>
      </c>
      <c r="D19" s="149" t="s">
        <v>165</v>
      </c>
      <c r="E19" s="149" t="s">
        <v>340</v>
      </c>
      <c r="F19" s="152" t="s">
        <v>78</v>
      </c>
      <c r="G19" s="99">
        <v>670.23</v>
      </c>
      <c r="H19" s="144">
        <f t="shared" si="0"/>
        <v>3497.8354978355</v>
      </c>
      <c r="I19" s="117">
        <v>453.003463203463</v>
      </c>
      <c r="J19" s="117">
        <v>3000</v>
      </c>
      <c r="K19" s="117">
        <v>10.2</v>
      </c>
      <c r="L19" s="117">
        <f>(I19+J19+K19)*'2-报价汇总'!$H$5</f>
        <v>34.6320346320346</v>
      </c>
      <c r="M19" s="117">
        <f>(I19+J19+K19+L19)*'2-报价汇总'!$I$5</f>
        <v>0</v>
      </c>
      <c r="N19" s="147">
        <f>(M19+L19+K19+J19+I19)*'2-报价汇总'!$J$5</f>
        <v>0</v>
      </c>
      <c r="O19" s="151">
        <f t="shared" si="1"/>
        <v>2344354.28571429</v>
      </c>
      <c r="P19" s="148"/>
    </row>
    <row r="20" ht="50" customHeight="1" spans="1:22">
      <c r="A20" s="113" t="s">
        <v>2010</v>
      </c>
      <c r="B20" s="149" t="s">
        <v>2011</v>
      </c>
      <c r="C20" s="112" t="s">
        <v>2012</v>
      </c>
      <c r="D20" s="149" t="s">
        <v>2013</v>
      </c>
      <c r="E20" s="149" t="s">
        <v>1085</v>
      </c>
      <c r="F20" s="150" t="s">
        <v>89</v>
      </c>
      <c r="G20" s="99">
        <v>16621.73</v>
      </c>
      <c r="H20" s="144">
        <f t="shared" si="0"/>
        <v>214.242424242424</v>
      </c>
      <c r="I20" s="117">
        <v>120.921212121212</v>
      </c>
      <c r="J20" s="117">
        <v>90</v>
      </c>
      <c r="K20" s="117">
        <v>1.2</v>
      </c>
      <c r="L20" s="117">
        <f>(I20+J20+K20)*'2-报价汇总'!$H$5</f>
        <v>2.12121212121212</v>
      </c>
      <c r="M20" s="117">
        <f>(I20+J20+K20+L20)*'2-报价汇总'!$I$5</f>
        <v>0</v>
      </c>
      <c r="N20" s="147">
        <f>(M20+L20+K20+J20+I20)*'2-报价汇总'!$J$5</f>
        <v>0</v>
      </c>
      <c r="O20" s="151">
        <f t="shared" si="1"/>
        <v>3561079.73030303</v>
      </c>
      <c r="P20" s="148"/>
    </row>
    <row r="21" ht="50" customHeight="1" spans="1:22">
      <c r="A21" s="113" t="s">
        <v>2014</v>
      </c>
      <c r="B21" s="149" t="s">
        <v>2015</v>
      </c>
      <c r="C21" s="112" t="s">
        <v>2016</v>
      </c>
      <c r="D21" s="149" t="s">
        <v>165</v>
      </c>
      <c r="E21" s="149" t="s">
        <v>170</v>
      </c>
      <c r="F21" s="150" t="s">
        <v>28</v>
      </c>
      <c r="G21" s="99">
        <v>24128.31</v>
      </c>
      <c r="H21" s="144">
        <f t="shared" si="0"/>
        <v>61.2121212121212</v>
      </c>
      <c r="I21" s="117">
        <v>28.7160606060606</v>
      </c>
      <c r="J21" s="117">
        <v>30</v>
      </c>
      <c r="K21" s="117">
        <v>1.89</v>
      </c>
      <c r="L21" s="117">
        <f>(I21+J21+K21)*'2-报价汇总'!$H$5</f>
        <v>0.606060606060606</v>
      </c>
      <c r="M21" s="117">
        <f>(I21+J21+K21+L21)*'2-报价汇总'!$I$5</f>
        <v>0</v>
      </c>
      <c r="N21" s="147">
        <f>(M21+L21+K21+J21+I21)*'2-报价汇总'!$J$5</f>
        <v>0</v>
      </c>
      <c r="O21" s="151">
        <f t="shared" si="1"/>
        <v>1476945.03636364</v>
      </c>
      <c r="P21" s="148"/>
    </row>
    <row r="22" ht="50" customHeight="1" spans="1:22">
      <c r="A22" s="113" t="s">
        <v>2017</v>
      </c>
      <c r="B22" s="149" t="s">
        <v>2018</v>
      </c>
      <c r="C22" s="112" t="s">
        <v>2019</v>
      </c>
      <c r="D22" s="149" t="s">
        <v>165</v>
      </c>
      <c r="E22" s="149" t="s">
        <v>170</v>
      </c>
      <c r="F22" s="150" t="s">
        <v>28</v>
      </c>
      <c r="G22" s="99">
        <v>24128.31</v>
      </c>
      <c r="H22" s="144">
        <f t="shared" si="0"/>
        <v>284.199134199134</v>
      </c>
      <c r="I22" s="117">
        <v>129.885281385281</v>
      </c>
      <c r="J22" s="117">
        <v>150</v>
      </c>
      <c r="K22" s="117">
        <v>1.5</v>
      </c>
      <c r="L22" s="117">
        <f>(I22+J22+K22)*'2-报价汇总'!$H$5</f>
        <v>2.81385281385281</v>
      </c>
      <c r="M22" s="117">
        <f>(I22+J22+K22+L22)*'2-报价汇总'!$I$5</f>
        <v>0</v>
      </c>
      <c r="N22" s="147">
        <f>(M22+L22+K22+J22+I22)*'2-报价汇总'!$J$5</f>
        <v>0</v>
      </c>
      <c r="O22" s="151">
        <f t="shared" si="1"/>
        <v>6857244.8116883</v>
      </c>
      <c r="P22" s="148"/>
    </row>
    <row r="23" ht="64" customHeight="1" spans="1:22">
      <c r="A23" s="113" t="s">
        <v>2020</v>
      </c>
      <c r="B23" s="149" t="s">
        <v>2021</v>
      </c>
      <c r="C23" s="112" t="s">
        <v>2022</v>
      </c>
      <c r="D23" s="149" t="s">
        <v>165</v>
      </c>
      <c r="E23" s="149" t="s">
        <v>170</v>
      </c>
      <c r="F23" s="150" t="s">
        <v>28</v>
      </c>
      <c r="G23" s="99">
        <v>24128.31</v>
      </c>
      <c r="H23" s="144">
        <f t="shared" si="0"/>
        <v>192.380952380952</v>
      </c>
      <c r="I23" s="117">
        <v>68.9761904761905</v>
      </c>
      <c r="J23" s="117">
        <v>120</v>
      </c>
      <c r="K23" s="117">
        <v>1.5</v>
      </c>
      <c r="L23" s="117">
        <f>(I23+J23+K23)*'2-报价汇总'!$H$5</f>
        <v>1.9047619047619</v>
      </c>
      <c r="M23" s="117">
        <f>(I23+J23+K23+L23)*'2-报价汇总'!$I$5</f>
        <v>0</v>
      </c>
      <c r="N23" s="147">
        <f>(M23+L23+K23+J23+I23)*'2-报价汇总'!$J$5</f>
        <v>0</v>
      </c>
      <c r="O23" s="151">
        <f t="shared" si="1"/>
        <v>4641827.25714286</v>
      </c>
      <c r="P23" s="148"/>
    </row>
    <row r="24" ht="69" customHeight="1" spans="1:22">
      <c r="A24" s="113" t="s">
        <v>2023</v>
      </c>
      <c r="B24" s="149" t="s">
        <v>2024</v>
      </c>
      <c r="C24" s="112" t="s">
        <v>2025</v>
      </c>
      <c r="D24" s="149" t="s">
        <v>165</v>
      </c>
      <c r="E24" s="149" t="s">
        <v>1085</v>
      </c>
      <c r="F24" s="150" t="s">
        <v>89</v>
      </c>
      <c r="G24" s="99">
        <v>3000</v>
      </c>
      <c r="H24" s="144">
        <f t="shared" si="0"/>
        <v>419.74025974026</v>
      </c>
      <c r="I24" s="117">
        <v>64.3844155844156</v>
      </c>
      <c r="J24" s="117">
        <v>350</v>
      </c>
      <c r="K24" s="117">
        <v>1.2</v>
      </c>
      <c r="L24" s="117">
        <f>(I24+J24+K24)*'2-报价汇总'!$H$5</f>
        <v>4.15584415584416</v>
      </c>
      <c r="M24" s="117">
        <f>(I24+J24+K24+L24)*'2-报价汇总'!$I$5</f>
        <v>0</v>
      </c>
      <c r="N24" s="147">
        <f>(M24+L24+K24+J24+I24)*'2-报价汇总'!$J$5</f>
        <v>0</v>
      </c>
      <c r="O24" s="151">
        <f t="shared" si="1"/>
        <v>1259220.77922078</v>
      </c>
      <c r="P24" s="148"/>
    </row>
    <row r="25" ht="69" customHeight="1" spans="1:22">
      <c r="A25" s="113" t="s">
        <v>2026</v>
      </c>
      <c r="B25" s="149" t="s">
        <v>2027</v>
      </c>
      <c r="C25" s="112" t="s">
        <v>2028</v>
      </c>
      <c r="D25" s="149" t="s">
        <v>165</v>
      </c>
      <c r="E25" s="149" t="s">
        <v>1085</v>
      </c>
      <c r="F25" s="150" t="s">
        <v>89</v>
      </c>
      <c r="G25" s="99">
        <v>3000</v>
      </c>
      <c r="H25" s="144">
        <f t="shared" si="0"/>
        <v>157.402597402597</v>
      </c>
      <c r="I25" s="117">
        <v>54.6441558441558</v>
      </c>
      <c r="J25" s="117">
        <v>100</v>
      </c>
      <c r="K25" s="117">
        <v>1.2</v>
      </c>
      <c r="L25" s="117">
        <f>(I25+J25+K25)*'2-报价汇总'!$H$5</f>
        <v>1.55844155844156</v>
      </c>
      <c r="M25" s="117">
        <f>(I25+J25+K25+L25)*'2-报价汇总'!$I$5</f>
        <v>0</v>
      </c>
      <c r="N25" s="147">
        <f>(M25+L25+K25+J25+I25)*'2-报价汇总'!$J$5</f>
        <v>0</v>
      </c>
      <c r="O25" s="151">
        <f t="shared" si="1"/>
        <v>472207.792207792</v>
      </c>
      <c r="P25" s="148"/>
    </row>
    <row r="26" ht="50" customHeight="1" spans="1:22">
      <c r="A26" s="113" t="s">
        <v>2029</v>
      </c>
      <c r="B26" s="149" t="s">
        <v>2030</v>
      </c>
      <c r="C26" s="112" t="s">
        <v>2031</v>
      </c>
      <c r="D26" s="149" t="s">
        <v>2032</v>
      </c>
      <c r="E26" s="149" t="s">
        <v>170</v>
      </c>
      <c r="F26" s="150" t="s">
        <v>28</v>
      </c>
      <c r="G26" s="99">
        <v>12000</v>
      </c>
      <c r="H26" s="144">
        <f t="shared" si="0"/>
        <v>472.207792207793</v>
      </c>
      <c r="I26" s="117">
        <v>132.532467532468</v>
      </c>
      <c r="J26" s="117">
        <v>320</v>
      </c>
      <c r="K26" s="117">
        <v>15</v>
      </c>
      <c r="L26" s="117">
        <f>(I26+J26+K26)*'2-报价汇总'!$H$5</f>
        <v>4.67532467532468</v>
      </c>
      <c r="M26" s="117">
        <f>(I26+J26+K26+L26)*'2-报价汇总'!$I$5</f>
        <v>0</v>
      </c>
      <c r="N26" s="147">
        <f>(M26+L26+K26+J26+I26)*'2-报价汇总'!$J$5</f>
        <v>0</v>
      </c>
      <c r="O26" s="151">
        <f t="shared" si="1"/>
        <v>5666493.50649351</v>
      </c>
      <c r="P26" s="148"/>
    </row>
    <row r="27" ht="50" customHeight="1" spans="1:22">
      <c r="A27" s="113" t="s">
        <v>2033</v>
      </c>
      <c r="B27" s="149" t="s">
        <v>2030</v>
      </c>
      <c r="C27" s="112" t="s">
        <v>2034</v>
      </c>
      <c r="D27" s="149" t="s">
        <v>2032</v>
      </c>
      <c r="E27" s="149" t="s">
        <v>170</v>
      </c>
      <c r="F27" s="150" t="s">
        <v>28</v>
      </c>
      <c r="G27" s="99">
        <v>26809.24</v>
      </c>
      <c r="H27" s="144">
        <f t="shared" si="0"/>
        <v>376.017316017316</v>
      </c>
      <c r="I27" s="117">
        <v>137.294372294372</v>
      </c>
      <c r="J27" s="117">
        <v>220</v>
      </c>
      <c r="K27" s="117">
        <v>15</v>
      </c>
      <c r="L27" s="117">
        <f>(I27+J27+K27)*'2-报价汇总'!$H$5</f>
        <v>3.72294372294372</v>
      </c>
      <c r="M27" s="117">
        <f>(I27+J27+K27+L27)*'2-报价汇总'!$I$5</f>
        <v>0</v>
      </c>
      <c r="N27" s="147">
        <f>(M27+L27+K27+J27+I27)*'2-报价汇总'!$J$5</f>
        <v>0</v>
      </c>
      <c r="O27" s="151">
        <f t="shared" si="1"/>
        <v>10080738.4692641</v>
      </c>
      <c r="P27" s="148"/>
    </row>
    <row r="28" ht="69" customHeight="1" spans="1:22">
      <c r="A28" s="113" t="s">
        <v>2035</v>
      </c>
      <c r="B28" s="149" t="s">
        <v>2036</v>
      </c>
      <c r="C28" s="112" t="s">
        <v>2037</v>
      </c>
      <c r="D28" s="149" t="s">
        <v>165</v>
      </c>
      <c r="E28" s="149" t="s">
        <v>340</v>
      </c>
      <c r="F28" s="152" t="s">
        <v>78</v>
      </c>
      <c r="G28" s="99">
        <v>670.23</v>
      </c>
      <c r="H28" s="144">
        <f t="shared" si="0"/>
        <v>1923.80952380952</v>
      </c>
      <c r="I28" s="117">
        <v>94.7619047619048</v>
      </c>
      <c r="J28" s="117">
        <v>1800</v>
      </c>
      <c r="K28" s="117">
        <v>10</v>
      </c>
      <c r="L28" s="117">
        <f>(I28+J28+K28)*'2-报价汇总'!$H$5</f>
        <v>19.047619047619</v>
      </c>
      <c r="M28" s="117">
        <f>(I28+J28+K28+L28)*'2-报价汇总'!$I$5</f>
        <v>0</v>
      </c>
      <c r="N28" s="147">
        <f>(M28+L28+K28+J28+I28)*'2-报价汇总'!$J$5</f>
        <v>0</v>
      </c>
      <c r="O28" s="151">
        <f t="shared" si="1"/>
        <v>1289394.85714286</v>
      </c>
      <c r="P28" s="148"/>
    </row>
    <row r="29" ht="50" customHeight="1" spans="1:22">
      <c r="A29" s="113" t="s">
        <v>2038</v>
      </c>
      <c r="B29" s="149" t="s">
        <v>2039</v>
      </c>
      <c r="C29" s="111"/>
      <c r="D29" s="111"/>
      <c r="E29" s="111"/>
      <c r="F29" s="152" t="s">
        <v>154</v>
      </c>
      <c r="G29" s="99">
        <v>12734.39</v>
      </c>
      <c r="H29" s="144">
        <f t="shared" si="0"/>
        <v>765.151515151515</v>
      </c>
      <c r="I29" s="117">
        <v>37.5757575757575</v>
      </c>
      <c r="J29" s="117">
        <v>450</v>
      </c>
      <c r="K29" s="117">
        <v>270</v>
      </c>
      <c r="L29" s="117">
        <f>(I29+J29+K29)*'2-报价汇总'!$H$5</f>
        <v>7.57575757575758</v>
      </c>
      <c r="M29" s="117">
        <f>(I29+J29+K29+L29)*'2-报价汇总'!$I$5</f>
        <v>0</v>
      </c>
      <c r="N29" s="147">
        <f>(M29+L29+K29+J29+I29)*'2-报价汇总'!$J$5</f>
        <v>0</v>
      </c>
      <c r="O29" s="151">
        <f t="shared" si="1"/>
        <v>9743737.8030303</v>
      </c>
      <c r="P29" s="148"/>
    </row>
    <row r="30" ht="50" customHeight="1" spans="1:22">
      <c r="A30" s="113" t="s">
        <v>2040</v>
      </c>
      <c r="B30" s="153" t="s">
        <v>2041</v>
      </c>
      <c r="C30" s="153" t="s">
        <v>1842</v>
      </c>
      <c r="D30" s="153"/>
      <c r="E30" s="154"/>
      <c r="F30" s="155" t="s">
        <v>49</v>
      </c>
      <c r="G30" s="99">
        <v>2010.69</v>
      </c>
      <c r="H30" s="99">
        <v>750</v>
      </c>
      <c r="I30" s="99"/>
      <c r="J30" s="99"/>
      <c r="K30" s="99"/>
      <c r="L30" s="99"/>
      <c r="M30" s="99"/>
      <c r="N30" s="156"/>
      <c r="O30" s="151">
        <f t="shared" si="1"/>
        <v>1508017.5</v>
      </c>
      <c r="P30" s="157"/>
      <c r="Q30" s="158"/>
      <c r="R30" s="158"/>
      <c r="S30" s="158"/>
      <c r="T30" s="158"/>
      <c r="U30" s="158"/>
      <c r="V30" s="158"/>
    </row>
    <row r="31" ht="191.25" spans="1:22">
      <c r="A31" s="113" t="s">
        <v>2042</v>
      </c>
      <c r="B31" s="111" t="s">
        <v>2043</v>
      </c>
      <c r="C31" s="153" t="s">
        <v>2044</v>
      </c>
      <c r="D31" s="153"/>
      <c r="E31" s="154" t="s">
        <v>2045</v>
      </c>
      <c r="F31" s="155" t="s">
        <v>1578</v>
      </c>
      <c r="G31" s="99">
        <v>448540</v>
      </c>
      <c r="H31" s="99">
        <v>12</v>
      </c>
      <c r="I31" s="99"/>
      <c r="J31" s="99"/>
      <c r="K31" s="99"/>
      <c r="L31" s="99"/>
      <c r="M31" s="99"/>
      <c r="N31" s="156"/>
      <c r="O31" s="151">
        <f t="shared" si="1"/>
        <v>5382480</v>
      </c>
      <c r="P31" s="157"/>
      <c r="Q31" s="158"/>
      <c r="R31" s="158"/>
      <c r="S31" s="158"/>
      <c r="T31" s="158"/>
      <c r="U31" s="158"/>
      <c r="V31" s="158"/>
    </row>
    <row r="32" ht="191.25" spans="1:22">
      <c r="A32" s="113" t="s">
        <v>2046</v>
      </c>
      <c r="B32" s="111" t="s">
        <v>2047</v>
      </c>
      <c r="C32" s="153" t="s">
        <v>2048</v>
      </c>
      <c r="D32" s="153"/>
      <c r="E32" s="154" t="s">
        <v>2045</v>
      </c>
      <c r="F32" s="155" t="s">
        <v>1578</v>
      </c>
      <c r="G32" s="99">
        <v>448540</v>
      </c>
      <c r="H32" s="99">
        <v>15</v>
      </c>
      <c r="I32" s="99"/>
      <c r="J32" s="99"/>
      <c r="K32" s="99"/>
      <c r="L32" s="99"/>
      <c r="M32" s="99"/>
      <c r="N32" s="156"/>
      <c r="O32" s="151">
        <f t="shared" si="1"/>
        <v>6728100</v>
      </c>
      <c r="P32" s="157"/>
      <c r="Q32" s="158"/>
      <c r="R32" s="158"/>
      <c r="S32" s="158"/>
      <c r="T32" s="158"/>
      <c r="U32" s="158"/>
      <c r="V32" s="158"/>
    </row>
    <row r="33" ht="50" customHeight="1" spans="1:16">
      <c r="A33" s="113"/>
      <c r="B33" s="136" t="s">
        <v>158</v>
      </c>
      <c r="C33" s="104"/>
      <c r="D33" s="104"/>
      <c r="E33" s="104"/>
      <c r="F33" s="159"/>
      <c r="G33" s="160"/>
      <c r="H33" s="117"/>
      <c r="I33" s="117"/>
      <c r="J33" s="117"/>
      <c r="K33" s="117"/>
      <c r="L33" s="117"/>
      <c r="M33" s="117"/>
      <c r="N33" s="147"/>
      <c r="O33" s="147"/>
      <c r="P33" s="148"/>
    </row>
    <row r="34" ht="50" customHeight="1" spans="1:16">
      <c r="A34" s="113"/>
      <c r="B34" s="83" t="s">
        <v>1219</v>
      </c>
      <c r="C34" s="161"/>
      <c r="D34" s="161"/>
      <c r="E34" s="161"/>
      <c r="F34" s="150"/>
      <c r="G34" s="160"/>
      <c r="H34" s="117"/>
      <c r="I34" s="117"/>
      <c r="J34" s="117"/>
      <c r="K34" s="117"/>
      <c r="L34" s="117"/>
      <c r="M34" s="117"/>
      <c r="N34" s="147"/>
      <c r="O34" s="147"/>
      <c r="P34" s="148"/>
    </row>
    <row r="35" ht="50" customHeight="1" spans="1:16">
      <c r="A35" s="162"/>
      <c r="B35" s="83" t="s">
        <v>2049</v>
      </c>
      <c r="C35" s="161"/>
      <c r="D35" s="161"/>
      <c r="E35" s="161"/>
      <c r="F35" s="163"/>
      <c r="G35" s="164"/>
      <c r="H35" s="117"/>
      <c r="I35" s="117"/>
      <c r="J35" s="117"/>
      <c r="K35" s="117"/>
      <c r="L35" s="117"/>
      <c r="M35" s="117"/>
      <c r="N35" s="147"/>
      <c r="O35" s="147">
        <f>SUM(O5:O34)</f>
        <v>131236919.672294</v>
      </c>
      <c r="P35" s="148"/>
    </row>
  </sheetData>
  <autoFilter xmlns:etc="http://www.wps.cn/officeDocument/2017/etCustomData" ref="A3:V35" etc:filterBottomFollowUsedRange="0">
    <extLst/>
  </autoFilter>
  <mergeCells count="2">
    <mergeCell ref="A1:P1"/>
    <mergeCell ref="A2:P2"/>
  </mergeCells>
  <printOptions horizontalCentered="1"/>
  <pageMargins left="0.590277777777778" right="0.590277777777778" top="0.590277777777778" bottom="0.590277777777778" header="0.196527777777778" footer="0.196527777777778"/>
  <pageSetup paperSize="9" scale="53" orientation="landscape" horizontalDpi="600"/>
  <headerFooter>
    <oddFooter>&amp;C第 &amp;P 页，共 &amp;N 页</oddFooter>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177"/>
  <sheetViews>
    <sheetView view="pageBreakPreview" zoomScaleNormal="90" workbookViewId="0">
      <pane ySplit="3" topLeftCell="A105" activePane="bottomLeft" state="frozen"/>
      <selection/>
      <selection pane="bottomLeft" activeCell="R108" sqref="R108"/>
    </sheetView>
  </sheetViews>
  <sheetFormatPr defaultColWidth="14" defaultRowHeight="12.75"/>
  <cols>
    <col min="1" max="1" width="10.4285714285714" customWidth="1"/>
    <col min="2" max="2" width="28.5714285714286" style="18" customWidth="1"/>
    <col min="3" max="3" width="34.1428571428571" style="18" customWidth="1"/>
    <col min="4" max="4" width="15.5714285714286" style="18" customWidth="1"/>
    <col min="5" max="5" width="13.7142857142857" style="18" customWidth="1"/>
    <col min="6" max="6" width="7.85714285714286" style="18" customWidth="1"/>
    <col min="7" max="7" width="12.5714285714286" style="18" customWidth="1"/>
    <col min="8" max="8" width="11.4285714285714" style="18" customWidth="1"/>
    <col min="9" max="14" width="8.57142857142857" style="18" customWidth="1"/>
    <col min="15" max="15" width="17.1428571428571" style="18" customWidth="1"/>
    <col min="16" max="16" width="9" customWidth="1"/>
    <col min="17" max="22" width="15" customWidth="1"/>
  </cols>
  <sheetData>
    <row r="1" ht="21" customHeight="1" spans="1:16">
      <c r="A1" s="19" t="s">
        <v>2050</v>
      </c>
      <c r="B1" s="19"/>
      <c r="C1" s="19"/>
      <c r="D1" s="19"/>
      <c r="E1" s="19"/>
      <c r="F1" s="19"/>
      <c r="G1" s="20"/>
      <c r="H1" s="20"/>
      <c r="I1" s="20"/>
      <c r="J1" s="20"/>
      <c r="K1" s="20"/>
      <c r="L1" s="20"/>
      <c r="M1" s="20"/>
      <c r="N1" s="20"/>
      <c r="O1" s="20"/>
      <c r="P1" s="19"/>
    </row>
    <row r="2" ht="21" customHeight="1" spans="1:16">
      <c r="A2" s="21" t="str">
        <f>'2.1-装饰工程'!A2</f>
        <v>注意：此报价清单每项不得随意更改、删减，如有任何增加项请务必在每大项最后“补充项“中列举，补充项及说明字体颜色均采用蓝色；且所有项目都需要填写。</v>
      </c>
      <c r="B2" s="22"/>
      <c r="C2" s="22"/>
      <c r="D2" s="22"/>
      <c r="E2" s="22"/>
      <c r="F2" s="22"/>
      <c r="G2" s="22"/>
      <c r="H2" s="22"/>
      <c r="I2" s="22"/>
      <c r="J2" s="22"/>
      <c r="K2" s="22"/>
      <c r="L2" s="22"/>
      <c r="M2" s="22"/>
      <c r="N2" s="22"/>
      <c r="O2" s="22"/>
      <c r="P2" s="21"/>
    </row>
    <row r="3" s="18" customFormat="1" ht="30" customHeight="1" spans="1:16">
      <c r="A3" s="95" t="s">
        <v>2051</v>
      </c>
      <c r="B3" s="95" t="s">
        <v>6</v>
      </c>
      <c r="C3" s="95" t="s">
        <v>7</v>
      </c>
      <c r="D3" s="95" t="s">
        <v>2052</v>
      </c>
      <c r="E3" s="96" t="s">
        <v>9</v>
      </c>
      <c r="F3" s="97" t="s">
        <v>10</v>
      </c>
      <c r="G3" s="98" t="s">
        <v>11</v>
      </c>
      <c r="H3" s="99" t="s">
        <v>12</v>
      </c>
      <c r="I3" s="100" t="s">
        <v>13</v>
      </c>
      <c r="J3" s="100" t="s">
        <v>14</v>
      </c>
      <c r="K3" s="100" t="s">
        <v>15</v>
      </c>
      <c r="L3" s="101" t="s">
        <v>16</v>
      </c>
      <c r="M3" s="100" t="s">
        <v>17</v>
      </c>
      <c r="N3" s="100" t="s">
        <v>2</v>
      </c>
      <c r="O3" s="102" t="s">
        <v>18</v>
      </c>
      <c r="P3" s="24" t="s">
        <v>19</v>
      </c>
    </row>
    <row r="4" ht="38" customHeight="1" spans="1:16">
      <c r="A4" s="103" t="s">
        <v>2053</v>
      </c>
      <c r="B4" s="104" t="s">
        <v>2054</v>
      </c>
      <c r="C4" s="104"/>
      <c r="D4" s="95"/>
      <c r="E4" s="95"/>
      <c r="F4" s="105"/>
      <c r="G4" s="106"/>
      <c r="H4" s="107"/>
      <c r="I4" s="108"/>
      <c r="J4" s="108"/>
      <c r="K4" s="108"/>
      <c r="L4" s="108"/>
      <c r="M4" s="108"/>
      <c r="N4" s="108"/>
      <c r="O4" s="108"/>
      <c r="P4" s="109"/>
    </row>
    <row r="5" ht="38" customHeight="1" spans="1:16">
      <c r="A5" s="110" t="s">
        <v>2055</v>
      </c>
      <c r="B5" s="111" t="s">
        <v>2056</v>
      </c>
      <c r="C5" s="112" t="s">
        <v>2057</v>
      </c>
      <c r="D5" s="113" t="s">
        <v>2058</v>
      </c>
      <c r="E5" s="114" t="s">
        <v>2059</v>
      </c>
      <c r="F5" s="115" t="s">
        <v>1913</v>
      </c>
      <c r="G5" s="99">
        <v>13404.619025988</v>
      </c>
      <c r="H5" s="116">
        <v>337.14</v>
      </c>
      <c r="I5" s="117"/>
      <c r="J5" s="117"/>
      <c r="K5" s="117"/>
      <c r="L5" s="117"/>
      <c r="M5" s="117"/>
      <c r="N5" s="117"/>
      <c r="O5" s="118">
        <f t="shared" ref="O5:O68" si="0">G5*H5</f>
        <v>4519233.25842159</v>
      </c>
      <c r="P5" s="109"/>
    </row>
    <row r="6" ht="26" customHeight="1" spans="1:16">
      <c r="A6" s="110" t="s">
        <v>2060</v>
      </c>
      <c r="B6" s="111" t="s">
        <v>2061</v>
      </c>
      <c r="C6" s="111"/>
      <c r="D6" s="113" t="s">
        <v>2058</v>
      </c>
      <c r="E6" s="114" t="s">
        <v>2059</v>
      </c>
      <c r="F6" s="115" t="s">
        <v>1913</v>
      </c>
      <c r="G6" s="99">
        <v>13404.619025988</v>
      </c>
      <c r="H6" s="119">
        <v>514.8</v>
      </c>
      <c r="I6" s="117"/>
      <c r="J6" s="117"/>
      <c r="K6" s="117"/>
      <c r="L6" s="117"/>
      <c r="M6" s="117"/>
      <c r="N6" s="117"/>
      <c r="O6" s="118">
        <f t="shared" si="0"/>
        <v>6900697.87457862</v>
      </c>
      <c r="P6" s="85"/>
    </row>
    <row r="7" ht="26" customHeight="1" spans="1:16">
      <c r="A7" s="110" t="s">
        <v>2062</v>
      </c>
      <c r="B7" s="111" t="s">
        <v>2063</v>
      </c>
      <c r="C7" s="111"/>
      <c r="D7" s="113"/>
      <c r="E7" s="114" t="s">
        <v>2059</v>
      </c>
      <c r="F7" s="115" t="s">
        <v>78</v>
      </c>
      <c r="G7" s="99">
        <v>13404.619025988</v>
      </c>
      <c r="H7" s="119">
        <v>822.69</v>
      </c>
      <c r="I7" s="117"/>
      <c r="J7" s="117"/>
      <c r="K7" s="117"/>
      <c r="L7" s="117"/>
      <c r="M7" s="117"/>
      <c r="N7" s="117"/>
      <c r="O7" s="118">
        <f t="shared" si="0"/>
        <v>11027846.0264901</v>
      </c>
      <c r="P7" s="85"/>
    </row>
    <row r="8" ht="26" customHeight="1" spans="1:16">
      <c r="A8" s="110" t="s">
        <v>2064</v>
      </c>
      <c r="B8" s="111" t="s">
        <v>2065</v>
      </c>
      <c r="C8" s="111"/>
      <c r="D8" s="113"/>
      <c r="E8" s="114" t="s">
        <v>2059</v>
      </c>
      <c r="F8" s="115" t="s">
        <v>78</v>
      </c>
      <c r="G8" s="99">
        <v>6702.31</v>
      </c>
      <c r="H8" s="119">
        <v>544.77</v>
      </c>
      <c r="I8" s="117"/>
      <c r="J8" s="117"/>
      <c r="K8" s="117"/>
      <c r="L8" s="117"/>
      <c r="M8" s="117"/>
      <c r="N8" s="117"/>
      <c r="O8" s="118">
        <f t="shared" si="0"/>
        <v>3651217.4187</v>
      </c>
      <c r="P8" s="85"/>
    </row>
    <row r="9" ht="26" customHeight="1" spans="1:16">
      <c r="A9" s="110" t="s">
        <v>2066</v>
      </c>
      <c r="B9" s="111" t="s">
        <v>2067</v>
      </c>
      <c r="C9" s="111"/>
      <c r="D9" s="113"/>
      <c r="E9" s="114" t="s">
        <v>2059</v>
      </c>
      <c r="F9" s="115" t="s">
        <v>1913</v>
      </c>
      <c r="G9" s="99">
        <v>100</v>
      </c>
      <c r="H9" s="119">
        <v>1590.93</v>
      </c>
      <c r="I9" s="117"/>
      <c r="J9" s="117"/>
      <c r="K9" s="117"/>
      <c r="L9" s="117"/>
      <c r="M9" s="117"/>
      <c r="N9" s="117"/>
      <c r="O9" s="118">
        <f t="shared" si="0"/>
        <v>159093</v>
      </c>
      <c r="P9" s="85"/>
    </row>
    <row r="10" ht="26" customHeight="1" spans="1:16">
      <c r="A10" s="110" t="s">
        <v>2068</v>
      </c>
      <c r="B10" s="111" t="s">
        <v>2069</v>
      </c>
      <c r="C10" s="111"/>
      <c r="D10" s="113" t="s">
        <v>2070</v>
      </c>
      <c r="E10" s="114" t="s">
        <v>2059</v>
      </c>
      <c r="F10" s="115" t="s">
        <v>1913</v>
      </c>
      <c r="G10" s="99">
        <v>100</v>
      </c>
      <c r="H10" s="119">
        <v>1826</v>
      </c>
      <c r="I10" s="117"/>
      <c r="J10" s="117"/>
      <c r="K10" s="117"/>
      <c r="L10" s="117"/>
      <c r="M10" s="117"/>
      <c r="N10" s="117"/>
      <c r="O10" s="118">
        <f t="shared" si="0"/>
        <v>182600</v>
      </c>
      <c r="P10" s="85"/>
    </row>
    <row r="11" ht="26" customHeight="1" spans="1:16">
      <c r="A11" s="110" t="s">
        <v>2071</v>
      </c>
      <c r="B11" s="111" t="s">
        <v>2069</v>
      </c>
      <c r="C11" s="111"/>
      <c r="D11" s="113" t="s">
        <v>2072</v>
      </c>
      <c r="E11" s="114" t="s">
        <v>2059</v>
      </c>
      <c r="F11" s="115" t="s">
        <v>1913</v>
      </c>
      <c r="G11" s="99">
        <v>100</v>
      </c>
      <c r="H11" s="119">
        <v>2321</v>
      </c>
      <c r="I11" s="117"/>
      <c r="J11" s="117"/>
      <c r="K11" s="117"/>
      <c r="L11" s="117"/>
      <c r="M11" s="117"/>
      <c r="N11" s="117"/>
      <c r="O11" s="118">
        <f t="shared" si="0"/>
        <v>232100</v>
      </c>
      <c r="P11" s="85"/>
    </row>
    <row r="12" ht="26" customHeight="1" spans="1:16">
      <c r="A12" s="110" t="s">
        <v>2073</v>
      </c>
      <c r="B12" s="111" t="s">
        <v>2074</v>
      </c>
      <c r="C12" s="120"/>
      <c r="D12" s="113"/>
      <c r="E12" s="114" t="s">
        <v>2059</v>
      </c>
      <c r="F12" s="115" t="s">
        <v>78</v>
      </c>
      <c r="G12" s="99">
        <v>50</v>
      </c>
      <c r="H12" s="119">
        <v>192.5</v>
      </c>
      <c r="I12" s="117"/>
      <c r="J12" s="117"/>
      <c r="K12" s="117"/>
      <c r="L12" s="117"/>
      <c r="M12" s="117"/>
      <c r="N12" s="117"/>
      <c r="O12" s="118">
        <f t="shared" si="0"/>
        <v>9625</v>
      </c>
      <c r="P12" s="85"/>
    </row>
    <row r="13" ht="26" customHeight="1" spans="1:16">
      <c r="A13" s="110" t="s">
        <v>2075</v>
      </c>
      <c r="B13" s="111" t="s">
        <v>2076</v>
      </c>
      <c r="C13" s="120"/>
      <c r="D13" s="113"/>
      <c r="E13" s="114" t="s">
        <v>2059</v>
      </c>
      <c r="F13" s="115" t="s">
        <v>78</v>
      </c>
      <c r="G13" s="99">
        <v>50</v>
      </c>
      <c r="H13" s="119">
        <v>192.5</v>
      </c>
      <c r="I13" s="117"/>
      <c r="J13" s="117"/>
      <c r="K13" s="117"/>
      <c r="L13" s="117"/>
      <c r="M13" s="117"/>
      <c r="N13" s="117"/>
      <c r="O13" s="118">
        <f t="shared" si="0"/>
        <v>9625</v>
      </c>
      <c r="P13" s="85"/>
    </row>
    <row r="14" ht="26" customHeight="1" spans="1:16">
      <c r="A14" s="103" t="s">
        <v>2077</v>
      </c>
      <c r="B14" s="104" t="s">
        <v>2078</v>
      </c>
      <c r="C14" s="121"/>
      <c r="D14" s="95"/>
      <c r="E14" s="114"/>
      <c r="F14" s="97"/>
      <c r="G14" s="99"/>
      <c r="H14" s="107"/>
      <c r="I14" s="117"/>
      <c r="J14" s="117"/>
      <c r="K14" s="117"/>
      <c r="L14" s="117"/>
      <c r="M14" s="117"/>
      <c r="N14" s="117"/>
      <c r="O14" s="118">
        <f t="shared" si="0"/>
        <v>0</v>
      </c>
      <c r="P14" s="85"/>
    </row>
    <row r="15" ht="26" customHeight="1" spans="1:16">
      <c r="A15" s="110" t="s">
        <v>2079</v>
      </c>
      <c r="B15" s="122" t="s">
        <v>2080</v>
      </c>
      <c r="C15" s="111" t="s">
        <v>2081</v>
      </c>
      <c r="D15" s="123"/>
      <c r="E15" s="114" t="s">
        <v>2059</v>
      </c>
      <c r="F15" s="115" t="s">
        <v>1913</v>
      </c>
      <c r="G15" s="99">
        <v>600</v>
      </c>
      <c r="H15" s="119">
        <v>1538.46</v>
      </c>
      <c r="I15" s="117"/>
      <c r="J15" s="117"/>
      <c r="K15" s="117"/>
      <c r="L15" s="117"/>
      <c r="M15" s="117"/>
      <c r="N15" s="117"/>
      <c r="O15" s="118">
        <f t="shared" si="0"/>
        <v>923076</v>
      </c>
      <c r="P15" s="85"/>
    </row>
    <row r="16" ht="26" customHeight="1" spans="1:16">
      <c r="A16" s="110" t="s">
        <v>2082</v>
      </c>
      <c r="B16" s="122" t="s">
        <v>2083</v>
      </c>
      <c r="C16" s="111"/>
      <c r="D16" s="123"/>
      <c r="E16" s="114" t="s">
        <v>2059</v>
      </c>
      <c r="F16" s="115" t="s">
        <v>1913</v>
      </c>
      <c r="G16" s="99">
        <v>600</v>
      </c>
      <c r="H16" s="119">
        <v>834.57</v>
      </c>
      <c r="I16" s="117"/>
      <c r="J16" s="117"/>
      <c r="K16" s="117"/>
      <c r="L16" s="117"/>
      <c r="M16" s="117"/>
      <c r="N16" s="117"/>
      <c r="O16" s="118">
        <f t="shared" si="0"/>
        <v>500742</v>
      </c>
      <c r="P16" s="85"/>
    </row>
    <row r="17" ht="26" customHeight="1" spans="1:16">
      <c r="A17" s="110" t="s">
        <v>2084</v>
      </c>
      <c r="B17" s="122" t="s">
        <v>2085</v>
      </c>
      <c r="C17" s="111"/>
      <c r="D17" s="123"/>
      <c r="E17" s="114" t="s">
        <v>2059</v>
      </c>
      <c r="F17" s="115" t="s">
        <v>481</v>
      </c>
      <c r="G17" s="99">
        <v>600</v>
      </c>
      <c r="H17" s="119">
        <v>297</v>
      </c>
      <c r="I17" s="117"/>
      <c r="J17" s="117"/>
      <c r="K17" s="117"/>
      <c r="L17" s="117"/>
      <c r="M17" s="117"/>
      <c r="N17" s="117"/>
      <c r="O17" s="118">
        <f t="shared" si="0"/>
        <v>178200</v>
      </c>
      <c r="P17" s="85"/>
    </row>
    <row r="18" ht="26" customHeight="1" spans="1:16">
      <c r="A18" s="110" t="s">
        <v>2086</v>
      </c>
      <c r="B18" s="122" t="s">
        <v>2087</v>
      </c>
      <c r="C18" s="111"/>
      <c r="D18" s="123"/>
      <c r="E18" s="114" t="s">
        <v>2059</v>
      </c>
      <c r="F18" s="115" t="s">
        <v>481</v>
      </c>
      <c r="G18" s="99">
        <v>600</v>
      </c>
      <c r="H18" s="119">
        <v>445.5</v>
      </c>
      <c r="I18" s="117"/>
      <c r="J18" s="117"/>
      <c r="K18" s="117"/>
      <c r="L18" s="117"/>
      <c r="M18" s="117"/>
      <c r="N18" s="117"/>
      <c r="O18" s="118">
        <f t="shared" si="0"/>
        <v>267300</v>
      </c>
      <c r="P18" s="85"/>
    </row>
    <row r="19" ht="26" customHeight="1" spans="1:16">
      <c r="A19" s="110" t="s">
        <v>2088</v>
      </c>
      <c r="B19" s="111" t="s">
        <v>2089</v>
      </c>
      <c r="C19" s="124"/>
      <c r="D19" s="113"/>
      <c r="E19" s="114" t="s">
        <v>2059</v>
      </c>
      <c r="F19" s="115" t="s">
        <v>481</v>
      </c>
      <c r="G19" s="99">
        <v>1200</v>
      </c>
      <c r="H19" s="119">
        <v>293.04</v>
      </c>
      <c r="I19" s="117"/>
      <c r="J19" s="117"/>
      <c r="K19" s="117"/>
      <c r="L19" s="117"/>
      <c r="M19" s="117"/>
      <c r="N19" s="117"/>
      <c r="O19" s="118">
        <f t="shared" si="0"/>
        <v>351648</v>
      </c>
      <c r="P19" s="85"/>
    </row>
    <row r="20" ht="26" customHeight="1" spans="1:16">
      <c r="A20" s="110" t="s">
        <v>2090</v>
      </c>
      <c r="B20" s="111" t="s">
        <v>2091</v>
      </c>
      <c r="C20" s="111" t="s">
        <v>2092</v>
      </c>
      <c r="D20" s="113"/>
      <c r="E20" s="114" t="s">
        <v>2059</v>
      </c>
      <c r="F20" s="115" t="s">
        <v>78</v>
      </c>
      <c r="G20" s="99">
        <v>1200</v>
      </c>
      <c r="H20" s="119">
        <v>550</v>
      </c>
      <c r="I20" s="117"/>
      <c r="J20" s="117"/>
      <c r="K20" s="117"/>
      <c r="L20" s="117"/>
      <c r="M20" s="117"/>
      <c r="N20" s="117"/>
      <c r="O20" s="118">
        <f t="shared" si="0"/>
        <v>660000</v>
      </c>
      <c r="P20" s="85"/>
    </row>
    <row r="21" ht="26" customHeight="1" spans="1:16">
      <c r="A21" s="110" t="s">
        <v>2093</v>
      </c>
      <c r="B21" s="111" t="s">
        <v>2094</v>
      </c>
      <c r="C21" s="111"/>
      <c r="D21" s="113"/>
      <c r="E21" s="114" t="s">
        <v>2059</v>
      </c>
      <c r="F21" s="115" t="s">
        <v>78</v>
      </c>
      <c r="G21" s="99">
        <v>1200</v>
      </c>
      <c r="H21" s="119">
        <v>165</v>
      </c>
      <c r="I21" s="117"/>
      <c r="J21" s="117"/>
      <c r="K21" s="117"/>
      <c r="L21" s="117"/>
      <c r="M21" s="117"/>
      <c r="N21" s="117"/>
      <c r="O21" s="118">
        <f t="shared" si="0"/>
        <v>198000</v>
      </c>
      <c r="P21" s="85"/>
    </row>
    <row r="22" ht="26" customHeight="1" spans="1:16">
      <c r="A22" s="103" t="s">
        <v>2095</v>
      </c>
      <c r="B22" s="104" t="s">
        <v>2096</v>
      </c>
      <c r="C22" s="104"/>
      <c r="D22" s="95"/>
      <c r="E22" s="113"/>
      <c r="F22" s="97"/>
      <c r="G22" s="99"/>
      <c r="H22" s="107"/>
      <c r="I22" s="117"/>
      <c r="J22" s="117"/>
      <c r="K22" s="117"/>
      <c r="L22" s="117"/>
      <c r="M22" s="117"/>
      <c r="N22" s="117"/>
      <c r="O22" s="118">
        <f t="shared" si="0"/>
        <v>0</v>
      </c>
      <c r="P22" s="85"/>
    </row>
    <row r="23" ht="26" customHeight="1" spans="1:16">
      <c r="A23" s="110" t="s">
        <v>2097</v>
      </c>
      <c r="B23" s="111" t="s">
        <v>2098</v>
      </c>
      <c r="C23" s="111" t="s">
        <v>2099</v>
      </c>
      <c r="D23" s="113" t="s">
        <v>2100</v>
      </c>
      <c r="E23" s="113"/>
      <c r="F23" s="115" t="s">
        <v>89</v>
      </c>
      <c r="G23" s="99">
        <v>20000</v>
      </c>
      <c r="H23" s="119">
        <v>29.7</v>
      </c>
      <c r="I23" s="117"/>
      <c r="J23" s="117"/>
      <c r="K23" s="117"/>
      <c r="L23" s="117"/>
      <c r="M23" s="117"/>
      <c r="N23" s="117"/>
      <c r="O23" s="118">
        <f t="shared" si="0"/>
        <v>594000</v>
      </c>
      <c r="P23" s="85"/>
    </row>
    <row r="24" ht="26" customHeight="1" spans="1:16">
      <c r="A24" s="110" t="s">
        <v>2101</v>
      </c>
      <c r="B24" s="111" t="s">
        <v>2102</v>
      </c>
      <c r="C24" s="111"/>
      <c r="D24" s="113" t="s">
        <v>2103</v>
      </c>
      <c r="E24" s="113"/>
      <c r="F24" s="115" t="s">
        <v>89</v>
      </c>
      <c r="G24" s="99">
        <v>20000</v>
      </c>
      <c r="H24" s="119">
        <v>38.5</v>
      </c>
      <c r="I24" s="117"/>
      <c r="J24" s="117"/>
      <c r="K24" s="117"/>
      <c r="L24" s="117"/>
      <c r="M24" s="117"/>
      <c r="N24" s="117"/>
      <c r="O24" s="118">
        <f t="shared" si="0"/>
        <v>770000</v>
      </c>
      <c r="P24" s="85"/>
    </row>
    <row r="25" ht="26" customHeight="1" spans="1:16">
      <c r="A25" s="110" t="s">
        <v>2104</v>
      </c>
      <c r="B25" s="111" t="s">
        <v>2105</v>
      </c>
      <c r="C25" s="111"/>
      <c r="D25" s="113" t="s">
        <v>2106</v>
      </c>
      <c r="E25" s="113"/>
      <c r="F25" s="115" t="s">
        <v>89</v>
      </c>
      <c r="G25" s="99">
        <v>20000</v>
      </c>
      <c r="H25" s="119">
        <v>49.5</v>
      </c>
      <c r="I25" s="117"/>
      <c r="J25" s="117"/>
      <c r="K25" s="117"/>
      <c r="L25" s="117"/>
      <c r="M25" s="117"/>
      <c r="N25" s="117"/>
      <c r="O25" s="118">
        <f t="shared" si="0"/>
        <v>990000</v>
      </c>
      <c r="P25" s="85"/>
    </row>
    <row r="26" ht="26" customHeight="1" spans="1:16">
      <c r="A26" s="110" t="s">
        <v>2107</v>
      </c>
      <c r="B26" s="111" t="s">
        <v>2108</v>
      </c>
      <c r="C26" s="111"/>
      <c r="D26" s="113" t="s">
        <v>2109</v>
      </c>
      <c r="E26" s="113"/>
      <c r="F26" s="115" t="s">
        <v>89</v>
      </c>
      <c r="G26" s="99">
        <v>20000</v>
      </c>
      <c r="H26" s="119">
        <v>60.5</v>
      </c>
      <c r="I26" s="117"/>
      <c r="J26" s="117"/>
      <c r="K26" s="117"/>
      <c r="L26" s="117"/>
      <c r="M26" s="117"/>
      <c r="N26" s="117"/>
      <c r="O26" s="118">
        <f t="shared" si="0"/>
        <v>1210000</v>
      </c>
      <c r="P26" s="85"/>
    </row>
    <row r="27" ht="26" customHeight="1" spans="1:16">
      <c r="A27" s="110" t="s">
        <v>2110</v>
      </c>
      <c r="B27" s="111" t="s">
        <v>2111</v>
      </c>
      <c r="C27" s="111"/>
      <c r="D27" s="113" t="s">
        <v>2112</v>
      </c>
      <c r="E27" s="113"/>
      <c r="F27" s="115" t="s">
        <v>89</v>
      </c>
      <c r="G27" s="99">
        <v>20000</v>
      </c>
      <c r="H27" s="119">
        <v>71.5</v>
      </c>
      <c r="I27" s="117"/>
      <c r="J27" s="117"/>
      <c r="K27" s="117"/>
      <c r="L27" s="117"/>
      <c r="M27" s="117"/>
      <c r="N27" s="117"/>
      <c r="O27" s="118">
        <f t="shared" si="0"/>
        <v>1430000</v>
      </c>
      <c r="P27" s="85"/>
    </row>
    <row r="28" ht="26" customHeight="1" spans="1:16">
      <c r="A28" s="110" t="s">
        <v>2113</v>
      </c>
      <c r="B28" s="111" t="s">
        <v>2114</v>
      </c>
      <c r="C28" s="111"/>
      <c r="D28" s="113" t="s">
        <v>2115</v>
      </c>
      <c r="E28" s="113"/>
      <c r="F28" s="115" t="s">
        <v>89</v>
      </c>
      <c r="G28" s="99">
        <v>20000</v>
      </c>
      <c r="H28" s="119">
        <v>93.5</v>
      </c>
      <c r="I28" s="117"/>
      <c r="J28" s="117"/>
      <c r="K28" s="117"/>
      <c r="L28" s="117"/>
      <c r="M28" s="117"/>
      <c r="N28" s="117"/>
      <c r="O28" s="118">
        <f t="shared" si="0"/>
        <v>1870000</v>
      </c>
      <c r="P28" s="85"/>
    </row>
    <row r="29" ht="26" customHeight="1" spans="1:16">
      <c r="A29" s="110" t="s">
        <v>2116</v>
      </c>
      <c r="B29" s="111" t="s">
        <v>2117</v>
      </c>
      <c r="C29" s="111"/>
      <c r="D29" s="113" t="s">
        <v>2118</v>
      </c>
      <c r="E29" s="113"/>
      <c r="F29" s="115" t="s">
        <v>89</v>
      </c>
      <c r="G29" s="99">
        <v>20000</v>
      </c>
      <c r="H29" s="119">
        <v>104.5</v>
      </c>
      <c r="I29" s="117"/>
      <c r="J29" s="117"/>
      <c r="K29" s="117"/>
      <c r="L29" s="117"/>
      <c r="M29" s="117"/>
      <c r="N29" s="117"/>
      <c r="O29" s="118">
        <f t="shared" si="0"/>
        <v>2090000</v>
      </c>
      <c r="P29" s="85"/>
    </row>
    <row r="30" ht="26" customHeight="1" spans="1:16">
      <c r="A30" s="110" t="s">
        <v>2119</v>
      </c>
      <c r="B30" s="111" t="s">
        <v>2120</v>
      </c>
      <c r="C30" s="111"/>
      <c r="D30" s="113" t="s">
        <v>2121</v>
      </c>
      <c r="E30" s="113"/>
      <c r="F30" s="115" t="s">
        <v>89</v>
      </c>
      <c r="G30" s="99">
        <v>20000</v>
      </c>
      <c r="H30" s="119">
        <v>115.5</v>
      </c>
      <c r="I30" s="117"/>
      <c r="J30" s="117"/>
      <c r="K30" s="117"/>
      <c r="L30" s="117"/>
      <c r="M30" s="117"/>
      <c r="N30" s="117"/>
      <c r="O30" s="118">
        <f t="shared" si="0"/>
        <v>2310000</v>
      </c>
      <c r="P30" s="85"/>
    </row>
    <row r="31" ht="26" customHeight="1" spans="1:16">
      <c r="A31" s="110" t="s">
        <v>2122</v>
      </c>
      <c r="B31" s="111" t="s">
        <v>2123</v>
      </c>
      <c r="C31" s="111"/>
      <c r="D31" s="113" t="s">
        <v>2124</v>
      </c>
      <c r="E31" s="113"/>
      <c r="F31" s="115" t="s">
        <v>89</v>
      </c>
      <c r="G31" s="99">
        <v>20000</v>
      </c>
      <c r="H31" s="119">
        <v>126.5</v>
      </c>
      <c r="I31" s="117"/>
      <c r="J31" s="117"/>
      <c r="K31" s="117"/>
      <c r="L31" s="117"/>
      <c r="M31" s="117"/>
      <c r="N31" s="117"/>
      <c r="O31" s="118">
        <f t="shared" si="0"/>
        <v>2530000</v>
      </c>
      <c r="P31" s="125"/>
    </row>
    <row r="32" ht="26" customHeight="1" spans="1:16">
      <c r="A32" s="110" t="s">
        <v>2125</v>
      </c>
      <c r="B32" s="111" t="s">
        <v>2126</v>
      </c>
      <c r="C32" s="111"/>
      <c r="D32" s="113" t="s">
        <v>2127</v>
      </c>
      <c r="E32" s="113"/>
      <c r="F32" s="115" t="s">
        <v>89</v>
      </c>
      <c r="G32" s="99">
        <v>20000</v>
      </c>
      <c r="H32" s="119">
        <v>137.5</v>
      </c>
      <c r="I32" s="117"/>
      <c r="J32" s="117"/>
      <c r="K32" s="117"/>
      <c r="L32" s="117"/>
      <c r="M32" s="117"/>
      <c r="N32" s="117"/>
      <c r="O32" s="118">
        <f t="shared" si="0"/>
        <v>2750000</v>
      </c>
      <c r="P32" s="125"/>
    </row>
    <row r="33" ht="26" customHeight="1" spans="1:16">
      <c r="A33" s="110" t="s">
        <v>2128</v>
      </c>
      <c r="B33" s="111" t="s">
        <v>2129</v>
      </c>
      <c r="C33" s="111"/>
      <c r="D33" s="113" t="s">
        <v>2130</v>
      </c>
      <c r="E33" s="113"/>
      <c r="F33" s="115" t="s">
        <v>89</v>
      </c>
      <c r="G33" s="99">
        <v>20000</v>
      </c>
      <c r="H33" s="119">
        <v>148.5</v>
      </c>
      <c r="I33" s="117"/>
      <c r="J33" s="117"/>
      <c r="K33" s="117"/>
      <c r="L33" s="117"/>
      <c r="M33" s="117"/>
      <c r="N33" s="117"/>
      <c r="O33" s="118">
        <f t="shared" si="0"/>
        <v>2970000</v>
      </c>
      <c r="P33" s="125"/>
    </row>
    <row r="34" ht="26" customHeight="1" spans="1:16">
      <c r="A34" s="110" t="s">
        <v>2131</v>
      </c>
      <c r="B34" s="111" t="s">
        <v>2132</v>
      </c>
      <c r="C34" s="111"/>
      <c r="D34" s="113" t="s">
        <v>2133</v>
      </c>
      <c r="E34" s="114"/>
      <c r="F34" s="115" t="s">
        <v>89</v>
      </c>
      <c r="G34" s="99">
        <v>20000</v>
      </c>
      <c r="H34" s="119">
        <v>165</v>
      </c>
      <c r="I34" s="117"/>
      <c r="J34" s="117"/>
      <c r="K34" s="117"/>
      <c r="L34" s="117"/>
      <c r="M34" s="117"/>
      <c r="N34" s="117"/>
      <c r="O34" s="118">
        <f t="shared" si="0"/>
        <v>3300000</v>
      </c>
      <c r="P34" s="125"/>
    </row>
    <row r="35" ht="26" customHeight="1" spans="1:16">
      <c r="A35" s="110" t="s">
        <v>2134</v>
      </c>
      <c r="B35" s="111" t="s">
        <v>2135</v>
      </c>
      <c r="C35" s="111"/>
      <c r="D35" s="113" t="s">
        <v>2136</v>
      </c>
      <c r="E35" s="114"/>
      <c r="F35" s="115" t="s">
        <v>89</v>
      </c>
      <c r="G35" s="99">
        <v>20000</v>
      </c>
      <c r="H35" s="119">
        <v>203.5</v>
      </c>
      <c r="I35" s="117"/>
      <c r="J35" s="117"/>
      <c r="K35" s="117"/>
      <c r="L35" s="117"/>
      <c r="M35" s="117"/>
      <c r="N35" s="117"/>
      <c r="O35" s="118">
        <f t="shared" si="0"/>
        <v>4070000</v>
      </c>
      <c r="P35" s="125"/>
    </row>
    <row r="36" ht="26" customHeight="1" spans="1:16">
      <c r="A36" s="110" t="s">
        <v>2137</v>
      </c>
      <c r="B36" s="111" t="s">
        <v>2138</v>
      </c>
      <c r="C36" s="111"/>
      <c r="D36" s="113"/>
      <c r="E36" s="114" t="s">
        <v>2059</v>
      </c>
      <c r="F36" s="115" t="s">
        <v>78</v>
      </c>
      <c r="G36" s="99">
        <v>400</v>
      </c>
      <c r="H36" s="119">
        <v>59.98</v>
      </c>
      <c r="I36" s="117"/>
      <c r="J36" s="117"/>
      <c r="K36" s="117"/>
      <c r="L36" s="117"/>
      <c r="M36" s="117"/>
      <c r="N36" s="117"/>
      <c r="O36" s="118">
        <f t="shared" si="0"/>
        <v>23992</v>
      </c>
      <c r="P36" s="125"/>
    </row>
    <row r="37" ht="26" customHeight="1" spans="1:16">
      <c r="A37" s="110" t="s">
        <v>2139</v>
      </c>
      <c r="B37" s="111" t="s">
        <v>2140</v>
      </c>
      <c r="C37" s="111"/>
      <c r="D37" s="113"/>
      <c r="E37" s="114" t="s">
        <v>2059</v>
      </c>
      <c r="F37" s="115" t="s">
        <v>78</v>
      </c>
      <c r="G37" s="99">
        <v>400</v>
      </c>
      <c r="H37" s="119">
        <v>59.98</v>
      </c>
      <c r="I37" s="117"/>
      <c r="J37" s="117"/>
      <c r="K37" s="117"/>
      <c r="L37" s="117"/>
      <c r="M37" s="117"/>
      <c r="N37" s="117"/>
      <c r="O37" s="118">
        <f t="shared" si="0"/>
        <v>23992</v>
      </c>
      <c r="P37" s="125"/>
    </row>
    <row r="38" ht="26" customHeight="1" spans="1:16">
      <c r="A38" s="110" t="s">
        <v>2141</v>
      </c>
      <c r="B38" s="111" t="s">
        <v>2142</v>
      </c>
      <c r="C38" s="111"/>
      <c r="D38" s="113"/>
      <c r="E38" s="114" t="s">
        <v>2059</v>
      </c>
      <c r="F38" s="115" t="s">
        <v>78</v>
      </c>
      <c r="G38" s="99">
        <v>400</v>
      </c>
      <c r="H38" s="119">
        <v>75.75</v>
      </c>
      <c r="I38" s="117"/>
      <c r="J38" s="117"/>
      <c r="K38" s="117"/>
      <c r="L38" s="117"/>
      <c r="M38" s="117"/>
      <c r="N38" s="117"/>
      <c r="O38" s="118">
        <f t="shared" si="0"/>
        <v>30300</v>
      </c>
      <c r="P38" s="125"/>
    </row>
    <row r="39" ht="26" customHeight="1" spans="1:16">
      <c r="A39" s="110" t="s">
        <v>2143</v>
      </c>
      <c r="B39" s="111" t="s">
        <v>2144</v>
      </c>
      <c r="C39" s="111"/>
      <c r="D39" s="113"/>
      <c r="E39" s="114" t="s">
        <v>2059</v>
      </c>
      <c r="F39" s="115" t="s">
        <v>78</v>
      </c>
      <c r="G39" s="99">
        <v>400</v>
      </c>
      <c r="H39" s="119">
        <v>151.02</v>
      </c>
      <c r="I39" s="117"/>
      <c r="J39" s="117"/>
      <c r="K39" s="117"/>
      <c r="L39" s="117"/>
      <c r="M39" s="117"/>
      <c r="N39" s="117"/>
      <c r="O39" s="118">
        <f t="shared" si="0"/>
        <v>60408</v>
      </c>
      <c r="P39" s="125"/>
    </row>
    <row r="40" ht="26" customHeight="1" spans="1:16">
      <c r="A40" s="110" t="s">
        <v>2145</v>
      </c>
      <c r="B40" s="111" t="s">
        <v>2146</v>
      </c>
      <c r="C40" s="111"/>
      <c r="D40" s="113"/>
      <c r="E40" s="114" t="s">
        <v>2059</v>
      </c>
      <c r="F40" s="115" t="s">
        <v>78</v>
      </c>
      <c r="G40" s="99">
        <v>400</v>
      </c>
      <c r="H40" s="119">
        <v>235.26</v>
      </c>
      <c r="I40" s="117"/>
      <c r="J40" s="117"/>
      <c r="K40" s="117"/>
      <c r="L40" s="117"/>
      <c r="M40" s="117"/>
      <c r="N40" s="117"/>
      <c r="O40" s="118">
        <f t="shared" si="0"/>
        <v>94104</v>
      </c>
      <c r="P40" s="125"/>
    </row>
    <row r="41" ht="26" customHeight="1" spans="1:16">
      <c r="A41" s="103" t="s">
        <v>2147</v>
      </c>
      <c r="B41" s="104" t="s">
        <v>2148</v>
      </c>
      <c r="C41" s="104"/>
      <c r="D41" s="95"/>
      <c r="E41" s="113"/>
      <c r="F41" s="97"/>
      <c r="G41" s="99"/>
      <c r="H41" s="107"/>
      <c r="I41" s="117"/>
      <c r="J41" s="117"/>
      <c r="K41" s="117"/>
      <c r="L41" s="117"/>
      <c r="M41" s="117"/>
      <c r="N41" s="117"/>
      <c r="O41" s="118">
        <f t="shared" si="0"/>
        <v>0</v>
      </c>
      <c r="P41" s="125"/>
    </row>
    <row r="42" ht="26" customHeight="1" spans="1:16">
      <c r="A42" s="110" t="s">
        <v>2149</v>
      </c>
      <c r="B42" s="111" t="s">
        <v>2150</v>
      </c>
      <c r="C42" s="111" t="s">
        <v>2151</v>
      </c>
      <c r="D42" s="113" t="s">
        <v>2152</v>
      </c>
      <c r="E42" s="113"/>
      <c r="F42" s="115" t="s">
        <v>89</v>
      </c>
      <c r="G42" s="99">
        <v>20000</v>
      </c>
      <c r="H42" s="119">
        <v>57.2</v>
      </c>
      <c r="I42" s="117"/>
      <c r="J42" s="117"/>
      <c r="K42" s="117"/>
      <c r="L42" s="117"/>
      <c r="M42" s="117"/>
      <c r="N42" s="117"/>
      <c r="O42" s="118">
        <f t="shared" si="0"/>
        <v>1144000</v>
      </c>
      <c r="P42" s="125"/>
    </row>
    <row r="43" ht="26" customHeight="1" spans="1:16">
      <c r="A43" s="110" t="s">
        <v>2153</v>
      </c>
      <c r="B43" s="111" t="s">
        <v>2154</v>
      </c>
      <c r="C43" s="111"/>
      <c r="D43" s="113" t="s">
        <v>2155</v>
      </c>
      <c r="E43" s="113"/>
      <c r="F43" s="115" t="s">
        <v>89</v>
      </c>
      <c r="G43" s="99">
        <v>20000</v>
      </c>
      <c r="H43" s="119">
        <v>69.3</v>
      </c>
      <c r="I43" s="117"/>
      <c r="J43" s="117"/>
      <c r="K43" s="117"/>
      <c r="L43" s="117"/>
      <c r="M43" s="117"/>
      <c r="N43" s="117"/>
      <c r="O43" s="118">
        <f t="shared" si="0"/>
        <v>1386000</v>
      </c>
      <c r="P43" s="125"/>
    </row>
    <row r="44" ht="26" customHeight="1" spans="1:16">
      <c r="A44" s="110" t="s">
        <v>2156</v>
      </c>
      <c r="B44" s="111" t="s">
        <v>2157</v>
      </c>
      <c r="C44" s="111"/>
      <c r="D44" s="113" t="s">
        <v>2158</v>
      </c>
      <c r="E44" s="113"/>
      <c r="F44" s="115" t="s">
        <v>89</v>
      </c>
      <c r="G44" s="99">
        <v>20000</v>
      </c>
      <c r="H44" s="119">
        <v>79.2</v>
      </c>
      <c r="I44" s="117"/>
      <c r="J44" s="117"/>
      <c r="K44" s="117"/>
      <c r="L44" s="117"/>
      <c r="M44" s="117"/>
      <c r="N44" s="117"/>
      <c r="O44" s="118">
        <f t="shared" si="0"/>
        <v>1584000</v>
      </c>
      <c r="P44" s="125"/>
    </row>
    <row r="45" ht="26" customHeight="1" spans="1:16">
      <c r="A45" s="110" t="s">
        <v>2159</v>
      </c>
      <c r="B45" s="111" t="s">
        <v>2160</v>
      </c>
      <c r="C45" s="111"/>
      <c r="D45" s="113" t="s">
        <v>2161</v>
      </c>
      <c r="E45" s="113"/>
      <c r="F45" s="115" t="s">
        <v>89</v>
      </c>
      <c r="G45" s="99">
        <v>20000</v>
      </c>
      <c r="H45" s="119">
        <v>92.4</v>
      </c>
      <c r="I45" s="117"/>
      <c r="J45" s="117"/>
      <c r="K45" s="117"/>
      <c r="L45" s="117"/>
      <c r="M45" s="117"/>
      <c r="N45" s="117"/>
      <c r="O45" s="118">
        <f t="shared" si="0"/>
        <v>1848000</v>
      </c>
      <c r="P45" s="125"/>
    </row>
    <row r="46" ht="26" customHeight="1" spans="1:16">
      <c r="A46" s="110" t="s">
        <v>2162</v>
      </c>
      <c r="B46" s="111" t="s">
        <v>2163</v>
      </c>
      <c r="C46" s="111"/>
      <c r="D46" s="113" t="s">
        <v>2164</v>
      </c>
      <c r="E46" s="113"/>
      <c r="F46" s="115" t="s">
        <v>89</v>
      </c>
      <c r="G46" s="99">
        <v>20000</v>
      </c>
      <c r="H46" s="119">
        <v>111.1</v>
      </c>
      <c r="I46" s="117"/>
      <c r="J46" s="117"/>
      <c r="K46" s="117"/>
      <c r="L46" s="117"/>
      <c r="M46" s="117"/>
      <c r="N46" s="117"/>
      <c r="O46" s="118">
        <f t="shared" si="0"/>
        <v>2222000</v>
      </c>
      <c r="P46" s="125"/>
    </row>
    <row r="47" ht="26" customHeight="1" spans="1:16">
      <c r="A47" s="110" t="s">
        <v>2165</v>
      </c>
      <c r="B47" s="111" t="s">
        <v>2166</v>
      </c>
      <c r="C47" s="111"/>
      <c r="D47" s="113" t="s">
        <v>2167</v>
      </c>
      <c r="E47" s="113"/>
      <c r="F47" s="115" t="s">
        <v>89</v>
      </c>
      <c r="G47" s="99">
        <v>20000</v>
      </c>
      <c r="H47" s="119">
        <v>137.5</v>
      </c>
      <c r="I47" s="117"/>
      <c r="J47" s="117"/>
      <c r="K47" s="117"/>
      <c r="L47" s="117"/>
      <c r="M47" s="117"/>
      <c r="N47" s="117"/>
      <c r="O47" s="118">
        <f t="shared" si="0"/>
        <v>2750000</v>
      </c>
      <c r="P47" s="125"/>
    </row>
    <row r="48" ht="26" customHeight="1" spans="1:16">
      <c r="A48" s="110" t="s">
        <v>2168</v>
      </c>
      <c r="B48" s="111" t="s">
        <v>2169</v>
      </c>
      <c r="C48" s="111"/>
      <c r="D48" s="113" t="s">
        <v>2170</v>
      </c>
      <c r="E48" s="113"/>
      <c r="F48" s="115" t="s">
        <v>89</v>
      </c>
      <c r="G48" s="99">
        <v>20000</v>
      </c>
      <c r="H48" s="119">
        <v>162.8</v>
      </c>
      <c r="I48" s="117"/>
      <c r="J48" s="117"/>
      <c r="K48" s="117"/>
      <c r="L48" s="117"/>
      <c r="M48" s="117"/>
      <c r="N48" s="117"/>
      <c r="O48" s="118">
        <f t="shared" si="0"/>
        <v>3256000</v>
      </c>
      <c r="P48" s="125"/>
    </row>
    <row r="49" ht="26" customHeight="1" spans="1:16">
      <c r="A49" s="110" t="s">
        <v>2171</v>
      </c>
      <c r="B49" s="111" t="s">
        <v>2172</v>
      </c>
      <c r="C49" s="111"/>
      <c r="D49" s="113" t="s">
        <v>2173</v>
      </c>
      <c r="E49" s="113"/>
      <c r="F49" s="115" t="s">
        <v>89</v>
      </c>
      <c r="G49" s="99">
        <v>20000</v>
      </c>
      <c r="H49" s="119">
        <v>193.6</v>
      </c>
      <c r="I49" s="117"/>
      <c r="J49" s="117"/>
      <c r="K49" s="117"/>
      <c r="L49" s="117"/>
      <c r="M49" s="117"/>
      <c r="N49" s="117"/>
      <c r="O49" s="118">
        <f t="shared" si="0"/>
        <v>3872000</v>
      </c>
      <c r="P49" s="125"/>
    </row>
    <row r="50" ht="26" customHeight="1" spans="1:16">
      <c r="A50" s="110" t="s">
        <v>2174</v>
      </c>
      <c r="B50" s="111" t="s">
        <v>2175</v>
      </c>
      <c r="C50" s="111"/>
      <c r="D50" s="113" t="s">
        <v>2176</v>
      </c>
      <c r="E50" s="113"/>
      <c r="F50" s="115" t="s">
        <v>89</v>
      </c>
      <c r="G50" s="99">
        <v>20000</v>
      </c>
      <c r="H50" s="119">
        <v>77.07</v>
      </c>
      <c r="I50" s="117"/>
      <c r="J50" s="117"/>
      <c r="K50" s="117"/>
      <c r="L50" s="117"/>
      <c r="M50" s="117"/>
      <c r="N50" s="117"/>
      <c r="O50" s="118">
        <f t="shared" si="0"/>
        <v>1541400</v>
      </c>
      <c r="P50" s="125"/>
    </row>
    <row r="51" ht="26" customHeight="1" spans="1:16">
      <c r="A51" s="110" t="s">
        <v>2177</v>
      </c>
      <c r="B51" s="111" t="s">
        <v>2178</v>
      </c>
      <c r="C51" s="111"/>
      <c r="D51" s="113" t="s">
        <v>2164</v>
      </c>
      <c r="E51" s="113"/>
      <c r="F51" s="115" t="s">
        <v>89</v>
      </c>
      <c r="G51" s="99">
        <v>20000</v>
      </c>
      <c r="H51" s="119">
        <v>46.69</v>
      </c>
      <c r="I51" s="117"/>
      <c r="J51" s="117"/>
      <c r="K51" s="117"/>
      <c r="L51" s="117"/>
      <c r="M51" s="117"/>
      <c r="N51" s="117"/>
      <c r="O51" s="118">
        <f t="shared" si="0"/>
        <v>933800</v>
      </c>
      <c r="P51" s="125"/>
    </row>
    <row r="52" ht="69" customHeight="1" spans="1:16">
      <c r="A52" s="110" t="s">
        <v>2179</v>
      </c>
      <c r="B52" s="111" t="s">
        <v>2180</v>
      </c>
      <c r="C52" s="111"/>
      <c r="D52" s="113" t="s">
        <v>2161</v>
      </c>
      <c r="E52" s="113"/>
      <c r="F52" s="115" t="s">
        <v>89</v>
      </c>
      <c r="G52" s="99">
        <v>20000</v>
      </c>
      <c r="H52" s="119">
        <v>42.57</v>
      </c>
      <c r="I52" s="117"/>
      <c r="J52" s="117"/>
      <c r="K52" s="117"/>
      <c r="L52" s="117"/>
      <c r="M52" s="117"/>
      <c r="N52" s="117"/>
      <c r="O52" s="118">
        <f t="shared" si="0"/>
        <v>851400</v>
      </c>
      <c r="P52" s="85"/>
    </row>
    <row r="53" ht="26" customHeight="1" spans="1:16">
      <c r="A53" s="110" t="s">
        <v>2181</v>
      </c>
      <c r="B53" s="111" t="s">
        <v>2182</v>
      </c>
      <c r="C53" s="111"/>
      <c r="D53" s="113" t="s">
        <v>2158</v>
      </c>
      <c r="E53" s="113"/>
      <c r="F53" s="115" t="s">
        <v>89</v>
      </c>
      <c r="G53" s="99">
        <v>20000</v>
      </c>
      <c r="H53" s="119">
        <v>33.33</v>
      </c>
      <c r="I53" s="117"/>
      <c r="J53" s="117"/>
      <c r="K53" s="117"/>
      <c r="L53" s="117"/>
      <c r="M53" s="117"/>
      <c r="N53" s="117"/>
      <c r="O53" s="118">
        <f t="shared" si="0"/>
        <v>666600</v>
      </c>
      <c r="P53" s="85"/>
    </row>
    <row r="54" ht="26" customHeight="1" spans="1:16">
      <c r="A54" s="110" t="s">
        <v>2183</v>
      </c>
      <c r="B54" s="111" t="s">
        <v>2184</v>
      </c>
      <c r="C54" s="111"/>
      <c r="D54" s="113" t="s">
        <v>2155</v>
      </c>
      <c r="E54" s="113"/>
      <c r="F54" s="115" t="s">
        <v>89</v>
      </c>
      <c r="G54" s="99">
        <v>20000</v>
      </c>
      <c r="H54" s="119">
        <v>37.82</v>
      </c>
      <c r="I54" s="117"/>
      <c r="J54" s="117"/>
      <c r="K54" s="117"/>
      <c r="L54" s="117"/>
      <c r="M54" s="117"/>
      <c r="N54" s="117"/>
      <c r="O54" s="118">
        <f t="shared" si="0"/>
        <v>756400</v>
      </c>
      <c r="P54" s="85"/>
    </row>
    <row r="55" ht="26" customHeight="1" spans="1:16">
      <c r="A55" s="103" t="s">
        <v>2185</v>
      </c>
      <c r="B55" s="104" t="s">
        <v>2186</v>
      </c>
      <c r="C55" s="104"/>
      <c r="D55" s="95"/>
      <c r="E55" s="113"/>
      <c r="F55" s="97"/>
      <c r="G55" s="99"/>
      <c r="H55" s="107"/>
      <c r="I55" s="117"/>
      <c r="J55" s="117"/>
      <c r="K55" s="117"/>
      <c r="L55" s="117"/>
      <c r="M55" s="117"/>
      <c r="N55" s="117"/>
      <c r="O55" s="118">
        <f t="shared" si="0"/>
        <v>0</v>
      </c>
      <c r="P55" s="85"/>
    </row>
    <row r="56" ht="26" customHeight="1" spans="1:16">
      <c r="A56" s="110" t="s">
        <v>2187</v>
      </c>
      <c r="B56" s="111" t="s">
        <v>2188</v>
      </c>
      <c r="C56" s="111" t="s">
        <v>2189</v>
      </c>
      <c r="D56" s="113" t="s">
        <v>2190</v>
      </c>
      <c r="E56" s="113"/>
      <c r="F56" s="115" t="s">
        <v>28</v>
      </c>
      <c r="G56" s="99">
        <v>30000</v>
      </c>
      <c r="H56" s="119">
        <v>176</v>
      </c>
      <c r="I56" s="117"/>
      <c r="J56" s="117"/>
      <c r="K56" s="117"/>
      <c r="L56" s="117"/>
      <c r="M56" s="117"/>
      <c r="N56" s="117"/>
      <c r="O56" s="118">
        <f t="shared" si="0"/>
        <v>5280000</v>
      </c>
      <c r="P56" s="85"/>
    </row>
    <row r="57" ht="26" customHeight="1" spans="1:16">
      <c r="A57" s="110" t="s">
        <v>2191</v>
      </c>
      <c r="B57" s="111" t="s">
        <v>2192</v>
      </c>
      <c r="C57" s="111"/>
      <c r="D57" s="113" t="s">
        <v>2193</v>
      </c>
      <c r="E57" s="113"/>
      <c r="F57" s="115" t="s">
        <v>28</v>
      </c>
      <c r="G57" s="99">
        <v>30000</v>
      </c>
      <c r="H57" s="119">
        <v>187</v>
      </c>
      <c r="I57" s="117"/>
      <c r="J57" s="117"/>
      <c r="K57" s="117"/>
      <c r="L57" s="117"/>
      <c r="M57" s="117"/>
      <c r="N57" s="117"/>
      <c r="O57" s="118">
        <f t="shared" si="0"/>
        <v>5610000</v>
      </c>
      <c r="P57" s="85"/>
    </row>
    <row r="58" ht="26" customHeight="1" spans="1:16">
      <c r="A58" s="110" t="s">
        <v>2194</v>
      </c>
      <c r="B58" s="111" t="s">
        <v>2195</v>
      </c>
      <c r="C58" s="111"/>
      <c r="D58" s="113" t="s">
        <v>2196</v>
      </c>
      <c r="E58" s="113"/>
      <c r="F58" s="115" t="s">
        <v>28</v>
      </c>
      <c r="G58" s="99">
        <v>30000</v>
      </c>
      <c r="H58" s="119">
        <v>192.5</v>
      </c>
      <c r="I58" s="117"/>
      <c r="J58" s="117"/>
      <c r="K58" s="117"/>
      <c r="L58" s="117"/>
      <c r="M58" s="117"/>
      <c r="N58" s="117"/>
      <c r="O58" s="118">
        <f t="shared" si="0"/>
        <v>5775000</v>
      </c>
      <c r="P58" s="85"/>
    </row>
    <row r="59" ht="26" customHeight="1" spans="1:16">
      <c r="A59" s="110" t="s">
        <v>2197</v>
      </c>
      <c r="B59" s="111" t="s">
        <v>2198</v>
      </c>
      <c r="C59" s="111"/>
      <c r="D59" s="113" t="s">
        <v>2199</v>
      </c>
      <c r="E59" s="113"/>
      <c r="F59" s="115" t="s">
        <v>28</v>
      </c>
      <c r="G59" s="99">
        <v>30000</v>
      </c>
      <c r="H59" s="119">
        <v>203.5</v>
      </c>
      <c r="I59" s="117"/>
      <c r="J59" s="117"/>
      <c r="K59" s="117"/>
      <c r="L59" s="117"/>
      <c r="M59" s="117"/>
      <c r="N59" s="117"/>
      <c r="O59" s="118">
        <f t="shared" si="0"/>
        <v>6105000</v>
      </c>
      <c r="P59" s="85"/>
    </row>
    <row r="60" ht="26" customHeight="1" spans="1:16">
      <c r="A60" s="110" t="s">
        <v>2200</v>
      </c>
      <c r="B60" s="111" t="s">
        <v>2201</v>
      </c>
      <c r="C60" s="111"/>
      <c r="D60" s="113" t="s">
        <v>2202</v>
      </c>
      <c r="E60" s="113"/>
      <c r="F60" s="115" t="s">
        <v>28</v>
      </c>
      <c r="G60" s="99">
        <v>30000</v>
      </c>
      <c r="H60" s="119">
        <v>215.6</v>
      </c>
      <c r="I60" s="117"/>
      <c r="J60" s="117"/>
      <c r="K60" s="117"/>
      <c r="L60" s="117"/>
      <c r="M60" s="117"/>
      <c r="N60" s="117"/>
      <c r="O60" s="118">
        <f t="shared" si="0"/>
        <v>6468000</v>
      </c>
      <c r="P60" s="85"/>
    </row>
    <row r="61" ht="26" customHeight="1" spans="1:16">
      <c r="A61" s="110" t="s">
        <v>2203</v>
      </c>
      <c r="B61" s="111" t="s">
        <v>2204</v>
      </c>
      <c r="C61" s="111"/>
      <c r="D61" s="113" t="s">
        <v>2205</v>
      </c>
      <c r="E61" s="113"/>
      <c r="F61" s="115" t="s">
        <v>28</v>
      </c>
      <c r="G61" s="99">
        <v>30000</v>
      </c>
      <c r="H61" s="119">
        <v>243.73</v>
      </c>
      <c r="I61" s="117"/>
      <c r="J61" s="117"/>
      <c r="K61" s="117"/>
      <c r="L61" s="117"/>
      <c r="M61" s="117"/>
      <c r="N61" s="117"/>
      <c r="O61" s="118">
        <f t="shared" si="0"/>
        <v>7311900</v>
      </c>
      <c r="P61" s="85"/>
    </row>
    <row r="62" ht="26" customHeight="1" spans="1:16">
      <c r="A62" s="110" t="s">
        <v>2206</v>
      </c>
      <c r="B62" s="111" t="s">
        <v>2207</v>
      </c>
      <c r="C62" s="111" t="s">
        <v>2208</v>
      </c>
      <c r="D62" s="113"/>
      <c r="E62" s="113"/>
      <c r="F62" s="115" t="s">
        <v>28</v>
      </c>
      <c r="G62" s="99">
        <v>60000</v>
      </c>
      <c r="H62" s="119">
        <v>280.5</v>
      </c>
      <c r="I62" s="117"/>
      <c r="J62" s="117"/>
      <c r="K62" s="117"/>
      <c r="L62" s="117"/>
      <c r="M62" s="117"/>
      <c r="N62" s="117"/>
      <c r="O62" s="118">
        <f t="shared" si="0"/>
        <v>16830000</v>
      </c>
      <c r="P62" s="85"/>
    </row>
    <row r="63" ht="26" customHeight="1" spans="1:16">
      <c r="A63" s="110" t="s">
        <v>2209</v>
      </c>
      <c r="B63" s="111" t="s">
        <v>2210</v>
      </c>
      <c r="C63" s="111" t="s">
        <v>2211</v>
      </c>
      <c r="D63" s="113"/>
      <c r="E63" s="113"/>
      <c r="F63" s="115" t="s">
        <v>89</v>
      </c>
      <c r="G63" s="99">
        <v>20000</v>
      </c>
      <c r="H63" s="119">
        <v>176</v>
      </c>
      <c r="I63" s="117"/>
      <c r="J63" s="117"/>
      <c r="K63" s="117"/>
      <c r="L63" s="117"/>
      <c r="M63" s="117"/>
      <c r="N63" s="117"/>
      <c r="O63" s="118">
        <f t="shared" si="0"/>
        <v>3520000</v>
      </c>
      <c r="P63" s="85"/>
    </row>
    <row r="64" ht="26" customHeight="1" spans="1:16">
      <c r="A64" s="110" t="s">
        <v>2212</v>
      </c>
      <c r="B64" s="111" t="s">
        <v>2210</v>
      </c>
      <c r="C64" s="111" t="s">
        <v>2213</v>
      </c>
      <c r="D64" s="113"/>
      <c r="E64" s="113"/>
      <c r="F64" s="115" t="s">
        <v>89</v>
      </c>
      <c r="G64" s="99">
        <v>20000</v>
      </c>
      <c r="H64" s="119">
        <v>99</v>
      </c>
      <c r="I64" s="117"/>
      <c r="J64" s="117"/>
      <c r="K64" s="117"/>
      <c r="L64" s="117"/>
      <c r="M64" s="117"/>
      <c r="N64" s="117"/>
      <c r="O64" s="118">
        <f t="shared" si="0"/>
        <v>1980000</v>
      </c>
      <c r="P64" s="85"/>
    </row>
    <row r="65" ht="26" customHeight="1" spans="1:16">
      <c r="A65" s="110" t="s">
        <v>2214</v>
      </c>
      <c r="B65" s="111" t="s">
        <v>2215</v>
      </c>
      <c r="C65" s="111" t="s">
        <v>2216</v>
      </c>
      <c r="D65" s="113"/>
      <c r="E65" s="113"/>
      <c r="F65" s="115" t="s">
        <v>89</v>
      </c>
      <c r="G65" s="99">
        <v>15000</v>
      </c>
      <c r="H65" s="119">
        <v>53.16</v>
      </c>
      <c r="I65" s="117"/>
      <c r="J65" s="117"/>
      <c r="K65" s="117"/>
      <c r="L65" s="117"/>
      <c r="M65" s="117"/>
      <c r="N65" s="117"/>
      <c r="O65" s="118">
        <f t="shared" si="0"/>
        <v>797400</v>
      </c>
      <c r="P65" s="85"/>
    </row>
    <row r="66" ht="26" customHeight="1" spans="1:16">
      <c r="A66" s="110" t="s">
        <v>2217</v>
      </c>
      <c r="B66" s="111" t="s">
        <v>2218</v>
      </c>
      <c r="C66" s="111"/>
      <c r="D66" s="113"/>
      <c r="E66" s="113"/>
      <c r="F66" s="115" t="s">
        <v>89</v>
      </c>
      <c r="G66" s="99">
        <v>15000</v>
      </c>
      <c r="H66" s="119">
        <v>46.48</v>
      </c>
      <c r="I66" s="117"/>
      <c r="J66" s="117"/>
      <c r="K66" s="117"/>
      <c r="L66" s="117"/>
      <c r="M66" s="117"/>
      <c r="N66" s="117"/>
      <c r="O66" s="118">
        <f t="shared" si="0"/>
        <v>697200</v>
      </c>
      <c r="P66" s="85"/>
    </row>
    <row r="67" ht="26" customHeight="1" spans="1:16">
      <c r="A67" s="110" t="s">
        <v>2219</v>
      </c>
      <c r="B67" s="111" t="s">
        <v>2220</v>
      </c>
      <c r="C67" s="111"/>
      <c r="D67" s="113"/>
      <c r="E67" s="113"/>
      <c r="F67" s="115" t="s">
        <v>89</v>
      </c>
      <c r="G67" s="99">
        <v>15000</v>
      </c>
      <c r="H67" s="119">
        <v>40.19</v>
      </c>
      <c r="I67" s="117"/>
      <c r="J67" s="117"/>
      <c r="K67" s="117"/>
      <c r="L67" s="117"/>
      <c r="M67" s="117"/>
      <c r="N67" s="117"/>
      <c r="O67" s="118">
        <f t="shared" si="0"/>
        <v>602850</v>
      </c>
      <c r="P67" s="85"/>
    </row>
    <row r="68" ht="26" customHeight="1" spans="1:16">
      <c r="A68" s="110" t="s">
        <v>2221</v>
      </c>
      <c r="B68" s="111" t="s">
        <v>2222</v>
      </c>
      <c r="C68" s="111"/>
      <c r="D68" s="113"/>
      <c r="E68" s="113"/>
      <c r="F68" s="115" t="s">
        <v>89</v>
      </c>
      <c r="G68" s="99">
        <v>15000</v>
      </c>
      <c r="H68" s="119">
        <v>32.95</v>
      </c>
      <c r="I68" s="117"/>
      <c r="J68" s="117"/>
      <c r="K68" s="117"/>
      <c r="L68" s="117"/>
      <c r="M68" s="117"/>
      <c r="N68" s="117"/>
      <c r="O68" s="118">
        <f t="shared" si="0"/>
        <v>494250</v>
      </c>
      <c r="P68" s="85"/>
    </row>
    <row r="69" ht="26" customHeight="1" spans="1:16">
      <c r="A69" s="110" t="s">
        <v>2223</v>
      </c>
      <c r="B69" s="111" t="s">
        <v>2224</v>
      </c>
      <c r="C69" s="111"/>
      <c r="D69" s="113"/>
      <c r="E69" s="113"/>
      <c r="F69" s="115" t="s">
        <v>89</v>
      </c>
      <c r="G69" s="99">
        <v>15000</v>
      </c>
      <c r="H69" s="119">
        <v>28.33</v>
      </c>
      <c r="I69" s="117"/>
      <c r="J69" s="117"/>
      <c r="K69" s="117"/>
      <c r="L69" s="117"/>
      <c r="M69" s="117"/>
      <c r="N69" s="117"/>
      <c r="O69" s="118">
        <f t="shared" ref="O69:O132" si="1">G69*H69</f>
        <v>424950</v>
      </c>
      <c r="P69" s="85"/>
    </row>
    <row r="70" ht="26" customHeight="1" spans="1:16">
      <c r="A70" s="110" t="s">
        <v>2225</v>
      </c>
      <c r="B70" s="111" t="s">
        <v>2226</v>
      </c>
      <c r="C70" s="111"/>
      <c r="D70" s="113"/>
      <c r="E70" s="113"/>
      <c r="F70" s="115" t="s">
        <v>89</v>
      </c>
      <c r="G70" s="99">
        <v>15000</v>
      </c>
      <c r="H70" s="119">
        <v>39.09</v>
      </c>
      <c r="I70" s="117"/>
      <c r="J70" s="117"/>
      <c r="K70" s="117"/>
      <c r="L70" s="117"/>
      <c r="M70" s="117"/>
      <c r="N70" s="117"/>
      <c r="O70" s="118">
        <f t="shared" si="1"/>
        <v>586350</v>
      </c>
      <c r="P70" s="85"/>
    </row>
    <row r="71" ht="26" customHeight="1" spans="1:16">
      <c r="A71" s="110" t="s">
        <v>2227</v>
      </c>
      <c r="B71" s="111" t="s">
        <v>2228</v>
      </c>
      <c r="C71" s="111"/>
      <c r="D71" s="113"/>
      <c r="E71" s="113"/>
      <c r="F71" s="115" t="s">
        <v>89</v>
      </c>
      <c r="G71" s="99">
        <v>15000</v>
      </c>
      <c r="H71" s="119">
        <v>34.45</v>
      </c>
      <c r="I71" s="117"/>
      <c r="J71" s="117"/>
      <c r="K71" s="117"/>
      <c r="L71" s="117"/>
      <c r="M71" s="117"/>
      <c r="N71" s="117"/>
      <c r="O71" s="118">
        <f t="shared" si="1"/>
        <v>516750</v>
      </c>
      <c r="P71" s="85"/>
    </row>
    <row r="72" ht="26" customHeight="1" spans="1:16">
      <c r="A72" s="110" t="s">
        <v>2229</v>
      </c>
      <c r="B72" s="111" t="s">
        <v>2230</v>
      </c>
      <c r="C72" s="111"/>
      <c r="D72" s="113"/>
      <c r="E72" s="113"/>
      <c r="F72" s="115" t="s">
        <v>89</v>
      </c>
      <c r="G72" s="99">
        <v>15000</v>
      </c>
      <c r="H72" s="119">
        <v>27.31</v>
      </c>
      <c r="I72" s="117"/>
      <c r="J72" s="117"/>
      <c r="K72" s="117"/>
      <c r="L72" s="117"/>
      <c r="M72" s="117"/>
      <c r="N72" s="117"/>
      <c r="O72" s="118">
        <f t="shared" si="1"/>
        <v>409650</v>
      </c>
      <c r="P72" s="85"/>
    </row>
    <row r="73" ht="26" customHeight="1" spans="1:16">
      <c r="A73" s="110" t="s">
        <v>2231</v>
      </c>
      <c r="B73" s="111" t="s">
        <v>2232</v>
      </c>
      <c r="C73" s="111"/>
      <c r="D73" s="113"/>
      <c r="E73" s="113"/>
      <c r="F73" s="115" t="s">
        <v>89</v>
      </c>
      <c r="G73" s="99">
        <v>15000</v>
      </c>
      <c r="H73" s="119">
        <v>23.76</v>
      </c>
      <c r="I73" s="117"/>
      <c r="J73" s="117"/>
      <c r="K73" s="117"/>
      <c r="L73" s="117"/>
      <c r="M73" s="117"/>
      <c r="N73" s="117"/>
      <c r="O73" s="118">
        <f t="shared" si="1"/>
        <v>356400</v>
      </c>
      <c r="P73" s="85"/>
    </row>
    <row r="74" ht="26" customHeight="1" spans="1:16">
      <c r="A74" s="110" t="s">
        <v>2233</v>
      </c>
      <c r="B74" s="111" t="s">
        <v>2234</v>
      </c>
      <c r="C74" s="111" t="s">
        <v>2235</v>
      </c>
      <c r="D74" s="113"/>
      <c r="E74" s="113"/>
      <c r="F74" s="115" t="s">
        <v>28</v>
      </c>
      <c r="G74" s="99">
        <v>1200</v>
      </c>
      <c r="H74" s="119">
        <v>81.94</v>
      </c>
      <c r="I74" s="117"/>
      <c r="J74" s="117"/>
      <c r="K74" s="117"/>
      <c r="L74" s="117"/>
      <c r="M74" s="117"/>
      <c r="N74" s="117"/>
      <c r="O74" s="118">
        <f t="shared" si="1"/>
        <v>98328</v>
      </c>
      <c r="P74" s="85"/>
    </row>
    <row r="75" ht="26" customHeight="1" spans="1:16">
      <c r="A75" s="110" t="s">
        <v>2236</v>
      </c>
      <c r="B75" s="111" t="s">
        <v>2237</v>
      </c>
      <c r="C75" s="111" t="s">
        <v>2238</v>
      </c>
      <c r="D75" s="113"/>
      <c r="E75" s="113"/>
      <c r="F75" s="115" t="s">
        <v>89</v>
      </c>
      <c r="G75" s="99">
        <v>1200</v>
      </c>
      <c r="H75" s="119">
        <v>18.08</v>
      </c>
      <c r="I75" s="117"/>
      <c r="J75" s="117"/>
      <c r="K75" s="117"/>
      <c r="L75" s="117"/>
      <c r="M75" s="117"/>
      <c r="N75" s="117"/>
      <c r="O75" s="118">
        <f t="shared" si="1"/>
        <v>21696</v>
      </c>
      <c r="P75" s="85"/>
    </row>
    <row r="76" ht="26" customHeight="1" spans="1:16">
      <c r="A76" s="110" t="s">
        <v>2239</v>
      </c>
      <c r="B76" s="111" t="s">
        <v>2240</v>
      </c>
      <c r="C76" s="111" t="s">
        <v>2238</v>
      </c>
      <c r="D76" s="113"/>
      <c r="E76" s="113"/>
      <c r="F76" s="115" t="s">
        <v>89</v>
      </c>
      <c r="G76" s="99">
        <v>1200</v>
      </c>
      <c r="H76" s="119">
        <v>22.83</v>
      </c>
      <c r="I76" s="117"/>
      <c r="J76" s="117"/>
      <c r="K76" s="117"/>
      <c r="L76" s="117"/>
      <c r="M76" s="117"/>
      <c r="N76" s="117"/>
      <c r="O76" s="118">
        <f t="shared" si="1"/>
        <v>27396</v>
      </c>
      <c r="P76" s="85"/>
    </row>
    <row r="77" ht="26" customHeight="1" spans="1:16">
      <c r="A77" s="110" t="s">
        <v>2241</v>
      </c>
      <c r="B77" s="111" t="s">
        <v>2242</v>
      </c>
      <c r="C77" s="111" t="s">
        <v>2238</v>
      </c>
      <c r="D77" s="113"/>
      <c r="E77" s="113"/>
      <c r="F77" s="115" t="s">
        <v>89</v>
      </c>
      <c r="G77" s="99">
        <v>1200</v>
      </c>
      <c r="H77" s="119">
        <v>27.39</v>
      </c>
      <c r="I77" s="117"/>
      <c r="J77" s="117"/>
      <c r="K77" s="117"/>
      <c r="L77" s="117"/>
      <c r="M77" s="117"/>
      <c r="N77" s="117"/>
      <c r="O77" s="118">
        <f t="shared" si="1"/>
        <v>32868</v>
      </c>
      <c r="P77" s="85"/>
    </row>
    <row r="78" ht="26" customHeight="1" spans="1:16">
      <c r="A78" s="110" t="s">
        <v>2243</v>
      </c>
      <c r="B78" s="111" t="s">
        <v>2244</v>
      </c>
      <c r="C78" s="111" t="s">
        <v>2245</v>
      </c>
      <c r="D78" s="113"/>
      <c r="E78" s="114"/>
      <c r="F78" s="115" t="s">
        <v>89</v>
      </c>
      <c r="G78" s="99">
        <v>400</v>
      </c>
      <c r="H78" s="119">
        <v>51.13</v>
      </c>
      <c r="I78" s="117"/>
      <c r="J78" s="117"/>
      <c r="K78" s="117"/>
      <c r="L78" s="117"/>
      <c r="M78" s="117"/>
      <c r="N78" s="117"/>
      <c r="O78" s="118">
        <f t="shared" si="1"/>
        <v>20452</v>
      </c>
      <c r="P78" s="85"/>
    </row>
    <row r="79" ht="26" customHeight="1" spans="1:16">
      <c r="A79" s="110" t="s">
        <v>2246</v>
      </c>
      <c r="B79" s="111" t="s">
        <v>2247</v>
      </c>
      <c r="C79" s="111"/>
      <c r="D79" s="113"/>
      <c r="E79" s="114"/>
      <c r="F79" s="115" t="s">
        <v>89</v>
      </c>
      <c r="G79" s="99">
        <v>400</v>
      </c>
      <c r="H79" s="119">
        <v>62.09</v>
      </c>
      <c r="I79" s="117"/>
      <c r="J79" s="117"/>
      <c r="K79" s="117"/>
      <c r="L79" s="117"/>
      <c r="M79" s="117"/>
      <c r="N79" s="117"/>
      <c r="O79" s="118">
        <f t="shared" si="1"/>
        <v>24836</v>
      </c>
      <c r="P79" s="85"/>
    </row>
    <row r="80" ht="26" customHeight="1" spans="1:16">
      <c r="A80" s="110" t="s">
        <v>2248</v>
      </c>
      <c r="B80" s="111" t="s">
        <v>2249</v>
      </c>
      <c r="C80" s="111"/>
      <c r="D80" s="113"/>
      <c r="E80" s="114"/>
      <c r="F80" s="115" t="s">
        <v>89</v>
      </c>
      <c r="G80" s="99">
        <v>400</v>
      </c>
      <c r="H80" s="119">
        <v>87.66</v>
      </c>
      <c r="I80" s="117"/>
      <c r="J80" s="117"/>
      <c r="K80" s="117"/>
      <c r="L80" s="117"/>
      <c r="M80" s="117"/>
      <c r="N80" s="117"/>
      <c r="O80" s="118">
        <f t="shared" si="1"/>
        <v>35064</v>
      </c>
      <c r="P80" s="85"/>
    </row>
    <row r="81" ht="26" customHeight="1" spans="1:16">
      <c r="A81" s="110" t="s">
        <v>2250</v>
      </c>
      <c r="B81" s="111" t="s">
        <v>2251</v>
      </c>
      <c r="C81" s="111"/>
      <c r="D81" s="113"/>
      <c r="E81" s="114"/>
      <c r="F81" s="115" t="s">
        <v>89</v>
      </c>
      <c r="G81" s="99">
        <v>400</v>
      </c>
      <c r="H81" s="119">
        <v>104.1</v>
      </c>
      <c r="I81" s="117"/>
      <c r="J81" s="117"/>
      <c r="K81" s="117"/>
      <c r="L81" s="117"/>
      <c r="M81" s="117"/>
      <c r="N81" s="117"/>
      <c r="O81" s="118">
        <f t="shared" si="1"/>
        <v>41640</v>
      </c>
      <c r="P81" s="85"/>
    </row>
    <row r="82" ht="26" customHeight="1" spans="1:16">
      <c r="A82" s="103" t="s">
        <v>2252</v>
      </c>
      <c r="B82" s="104" t="s">
        <v>2253</v>
      </c>
      <c r="C82" s="104"/>
      <c r="D82" s="95"/>
      <c r="E82" s="114"/>
      <c r="F82" s="97"/>
      <c r="G82" s="99"/>
      <c r="H82" s="107"/>
      <c r="I82" s="117"/>
      <c r="J82" s="117"/>
      <c r="K82" s="117"/>
      <c r="L82" s="117"/>
      <c r="M82" s="117"/>
      <c r="N82" s="117"/>
      <c r="O82" s="118">
        <f t="shared" si="1"/>
        <v>0</v>
      </c>
      <c r="P82" s="85"/>
    </row>
    <row r="83" ht="26" customHeight="1" spans="1:16">
      <c r="A83" s="110" t="s">
        <v>2254</v>
      </c>
      <c r="B83" s="111" t="s">
        <v>2253</v>
      </c>
      <c r="C83" s="111" t="s">
        <v>2255</v>
      </c>
      <c r="D83" s="113" t="s">
        <v>2256</v>
      </c>
      <c r="E83" s="114" t="s">
        <v>2059</v>
      </c>
      <c r="F83" s="115" t="s">
        <v>78</v>
      </c>
      <c r="G83" s="99">
        <v>600</v>
      </c>
      <c r="H83" s="119">
        <v>82.95</v>
      </c>
      <c r="I83" s="117"/>
      <c r="J83" s="117"/>
      <c r="K83" s="117"/>
      <c r="L83" s="117"/>
      <c r="M83" s="117"/>
      <c r="N83" s="117"/>
      <c r="O83" s="118">
        <f t="shared" si="1"/>
        <v>49770</v>
      </c>
      <c r="P83" s="85"/>
    </row>
    <row r="84" ht="26" customHeight="1" spans="1:16">
      <c r="A84" s="110" t="s">
        <v>2257</v>
      </c>
      <c r="B84" s="111" t="s">
        <v>2253</v>
      </c>
      <c r="C84" s="111"/>
      <c r="D84" s="113" t="s">
        <v>2258</v>
      </c>
      <c r="E84" s="114" t="s">
        <v>2059</v>
      </c>
      <c r="F84" s="115" t="s">
        <v>78</v>
      </c>
      <c r="G84" s="99">
        <v>600</v>
      </c>
      <c r="H84" s="119">
        <v>88.5</v>
      </c>
      <c r="I84" s="117"/>
      <c r="J84" s="117"/>
      <c r="K84" s="117"/>
      <c r="L84" s="117"/>
      <c r="M84" s="117"/>
      <c r="N84" s="117"/>
      <c r="O84" s="118">
        <f t="shared" si="1"/>
        <v>53100</v>
      </c>
      <c r="P84" s="125"/>
    </row>
    <row r="85" ht="26" customHeight="1" spans="1:16">
      <c r="A85" s="110" t="s">
        <v>2259</v>
      </c>
      <c r="B85" s="111" t="s">
        <v>2253</v>
      </c>
      <c r="C85" s="111"/>
      <c r="D85" s="113" t="s">
        <v>2260</v>
      </c>
      <c r="E85" s="114" t="s">
        <v>2059</v>
      </c>
      <c r="F85" s="115" t="s">
        <v>78</v>
      </c>
      <c r="G85" s="99">
        <v>600</v>
      </c>
      <c r="H85" s="119">
        <v>100.57</v>
      </c>
      <c r="I85" s="117"/>
      <c r="J85" s="117"/>
      <c r="K85" s="117"/>
      <c r="L85" s="117"/>
      <c r="M85" s="117"/>
      <c r="N85" s="117"/>
      <c r="O85" s="118">
        <f t="shared" si="1"/>
        <v>60342</v>
      </c>
      <c r="P85" s="125"/>
    </row>
    <row r="86" ht="26" customHeight="1" spans="1:16">
      <c r="A86" s="110" t="s">
        <v>2261</v>
      </c>
      <c r="B86" s="111" t="s">
        <v>2253</v>
      </c>
      <c r="C86" s="111"/>
      <c r="D86" s="113" t="s">
        <v>2262</v>
      </c>
      <c r="E86" s="114" t="s">
        <v>2059</v>
      </c>
      <c r="F86" s="115" t="s">
        <v>78</v>
      </c>
      <c r="G86" s="99">
        <v>600</v>
      </c>
      <c r="H86" s="119">
        <v>98.01</v>
      </c>
      <c r="I86" s="117"/>
      <c r="J86" s="117"/>
      <c r="K86" s="117"/>
      <c r="L86" s="117"/>
      <c r="M86" s="117"/>
      <c r="N86" s="117"/>
      <c r="O86" s="118">
        <f t="shared" si="1"/>
        <v>58806</v>
      </c>
      <c r="P86" s="125"/>
    </row>
    <row r="87" ht="26" customHeight="1" spans="1:16">
      <c r="A87" s="110" t="s">
        <v>2263</v>
      </c>
      <c r="B87" s="111" t="s">
        <v>2253</v>
      </c>
      <c r="C87" s="111"/>
      <c r="D87" s="113" t="s">
        <v>2264</v>
      </c>
      <c r="E87" s="114" t="s">
        <v>2059</v>
      </c>
      <c r="F87" s="115" t="s">
        <v>78</v>
      </c>
      <c r="G87" s="99">
        <v>600</v>
      </c>
      <c r="H87" s="119">
        <v>116.82</v>
      </c>
      <c r="I87" s="117"/>
      <c r="J87" s="117"/>
      <c r="K87" s="117"/>
      <c r="L87" s="117"/>
      <c r="M87" s="117"/>
      <c r="N87" s="117"/>
      <c r="O87" s="118">
        <f t="shared" si="1"/>
        <v>70092</v>
      </c>
      <c r="P87" s="125"/>
    </row>
    <row r="88" ht="26" customHeight="1" spans="1:16">
      <c r="A88" s="110" t="s">
        <v>2265</v>
      </c>
      <c r="B88" s="111" t="s">
        <v>2253</v>
      </c>
      <c r="C88" s="111"/>
      <c r="D88" s="113" t="s">
        <v>2266</v>
      </c>
      <c r="E88" s="114" t="s">
        <v>2059</v>
      </c>
      <c r="F88" s="115" t="s">
        <v>78</v>
      </c>
      <c r="G88" s="99">
        <v>600</v>
      </c>
      <c r="H88" s="119">
        <v>122.76</v>
      </c>
      <c r="I88" s="117"/>
      <c r="J88" s="117"/>
      <c r="K88" s="117"/>
      <c r="L88" s="117"/>
      <c r="M88" s="117"/>
      <c r="N88" s="117"/>
      <c r="O88" s="118">
        <f t="shared" si="1"/>
        <v>73656</v>
      </c>
      <c r="P88" s="125"/>
    </row>
    <row r="89" ht="26" customHeight="1" spans="1:16">
      <c r="A89" s="110" t="s">
        <v>2267</v>
      </c>
      <c r="B89" s="111" t="s">
        <v>2253</v>
      </c>
      <c r="C89" s="111"/>
      <c r="D89" s="113" t="s">
        <v>2268</v>
      </c>
      <c r="E89" s="114" t="s">
        <v>2059</v>
      </c>
      <c r="F89" s="115" t="s">
        <v>78</v>
      </c>
      <c r="G89" s="99">
        <v>600</v>
      </c>
      <c r="H89" s="119">
        <v>138.6</v>
      </c>
      <c r="I89" s="117"/>
      <c r="J89" s="117"/>
      <c r="K89" s="117"/>
      <c r="L89" s="117"/>
      <c r="M89" s="117"/>
      <c r="N89" s="117"/>
      <c r="O89" s="118">
        <f t="shared" si="1"/>
        <v>83160</v>
      </c>
      <c r="P89" s="125"/>
    </row>
    <row r="90" ht="26" customHeight="1" spans="1:16">
      <c r="A90" s="110" t="s">
        <v>2269</v>
      </c>
      <c r="B90" s="111" t="s">
        <v>2253</v>
      </c>
      <c r="C90" s="111"/>
      <c r="D90" s="113" t="s">
        <v>2270</v>
      </c>
      <c r="E90" s="114" t="s">
        <v>2059</v>
      </c>
      <c r="F90" s="115" t="s">
        <v>78</v>
      </c>
      <c r="G90" s="99">
        <v>600</v>
      </c>
      <c r="H90" s="119">
        <v>111.87</v>
      </c>
      <c r="I90" s="117"/>
      <c r="J90" s="117"/>
      <c r="K90" s="117"/>
      <c r="L90" s="117"/>
      <c r="M90" s="117"/>
      <c r="N90" s="117"/>
      <c r="O90" s="118">
        <f t="shared" si="1"/>
        <v>67122</v>
      </c>
      <c r="P90" s="125"/>
    </row>
    <row r="91" ht="26" customHeight="1" spans="1:16">
      <c r="A91" s="110" t="s">
        <v>2271</v>
      </c>
      <c r="B91" s="111" t="s">
        <v>2253</v>
      </c>
      <c r="C91" s="111"/>
      <c r="D91" s="113" t="s">
        <v>2272</v>
      </c>
      <c r="E91" s="114" t="s">
        <v>2059</v>
      </c>
      <c r="F91" s="115" t="s">
        <v>78</v>
      </c>
      <c r="G91" s="99">
        <v>600</v>
      </c>
      <c r="H91" s="119">
        <v>154.44</v>
      </c>
      <c r="I91" s="117"/>
      <c r="J91" s="117"/>
      <c r="K91" s="117"/>
      <c r="L91" s="117"/>
      <c r="M91" s="117"/>
      <c r="N91" s="117"/>
      <c r="O91" s="118">
        <f t="shared" si="1"/>
        <v>92664</v>
      </c>
      <c r="P91" s="125"/>
    </row>
    <row r="92" ht="26" customHeight="1" spans="1:16">
      <c r="A92" s="110" t="s">
        <v>2273</v>
      </c>
      <c r="B92" s="111" t="s">
        <v>2253</v>
      </c>
      <c r="C92" s="111"/>
      <c r="D92" s="113" t="s">
        <v>2274</v>
      </c>
      <c r="E92" s="114" t="s">
        <v>2059</v>
      </c>
      <c r="F92" s="115" t="s">
        <v>78</v>
      </c>
      <c r="G92" s="99">
        <v>600</v>
      </c>
      <c r="H92" s="119">
        <v>89.1</v>
      </c>
      <c r="I92" s="117"/>
      <c r="J92" s="117"/>
      <c r="K92" s="117"/>
      <c r="L92" s="117"/>
      <c r="M92" s="117"/>
      <c r="N92" s="117"/>
      <c r="O92" s="118">
        <f t="shared" si="1"/>
        <v>53460</v>
      </c>
      <c r="P92" s="109"/>
    </row>
    <row r="93" ht="59" customHeight="1" spans="1:16">
      <c r="A93" s="110" t="s">
        <v>2275</v>
      </c>
      <c r="B93" s="111" t="s">
        <v>2253</v>
      </c>
      <c r="C93" s="111"/>
      <c r="D93" s="113" t="s">
        <v>2270</v>
      </c>
      <c r="E93" s="114" t="s">
        <v>2059</v>
      </c>
      <c r="F93" s="115" t="s">
        <v>78</v>
      </c>
      <c r="G93" s="99">
        <v>600</v>
      </c>
      <c r="H93" s="119">
        <v>105.93</v>
      </c>
      <c r="I93" s="117"/>
      <c r="J93" s="117"/>
      <c r="K93" s="117"/>
      <c r="L93" s="117"/>
      <c r="M93" s="117"/>
      <c r="N93" s="117"/>
      <c r="O93" s="118">
        <f t="shared" si="1"/>
        <v>63558</v>
      </c>
      <c r="P93" s="109"/>
    </row>
    <row r="94" ht="59" customHeight="1" spans="1:16">
      <c r="A94" s="110" t="s">
        <v>2276</v>
      </c>
      <c r="B94" s="111" t="s">
        <v>2253</v>
      </c>
      <c r="C94" s="111"/>
      <c r="D94" s="113" t="s">
        <v>2277</v>
      </c>
      <c r="E94" s="114" t="s">
        <v>2059</v>
      </c>
      <c r="F94" s="115" t="s">
        <v>78</v>
      </c>
      <c r="G94" s="99">
        <v>600</v>
      </c>
      <c r="H94" s="119">
        <v>111.87</v>
      </c>
      <c r="I94" s="117"/>
      <c r="J94" s="117"/>
      <c r="K94" s="117"/>
      <c r="L94" s="117"/>
      <c r="M94" s="117"/>
      <c r="N94" s="117"/>
      <c r="O94" s="118">
        <f t="shared" si="1"/>
        <v>67122</v>
      </c>
      <c r="P94" s="109"/>
    </row>
    <row r="95" ht="26" customHeight="1" spans="1:16">
      <c r="A95" s="110" t="s">
        <v>2278</v>
      </c>
      <c r="B95" s="111" t="s">
        <v>2253</v>
      </c>
      <c r="C95" s="111"/>
      <c r="D95" s="113" t="s">
        <v>2279</v>
      </c>
      <c r="E95" s="114" t="s">
        <v>2059</v>
      </c>
      <c r="F95" s="115" t="s">
        <v>78</v>
      </c>
      <c r="G95" s="99">
        <v>600</v>
      </c>
      <c r="H95" s="119">
        <v>124.74</v>
      </c>
      <c r="I95" s="117"/>
      <c r="J95" s="117"/>
      <c r="K95" s="117"/>
      <c r="L95" s="117"/>
      <c r="M95" s="117"/>
      <c r="N95" s="117"/>
      <c r="O95" s="118">
        <f t="shared" si="1"/>
        <v>74844</v>
      </c>
      <c r="P95" s="109"/>
    </row>
    <row r="96" ht="65" customHeight="1" spans="1:16">
      <c r="A96" s="110" t="s">
        <v>2280</v>
      </c>
      <c r="B96" s="111" t="s">
        <v>2253</v>
      </c>
      <c r="C96" s="111"/>
      <c r="D96" s="113" t="s">
        <v>2281</v>
      </c>
      <c r="E96" s="114" t="s">
        <v>2059</v>
      </c>
      <c r="F96" s="115" t="s">
        <v>78</v>
      </c>
      <c r="G96" s="99">
        <v>600</v>
      </c>
      <c r="H96" s="119">
        <v>136.32</v>
      </c>
      <c r="I96" s="117"/>
      <c r="J96" s="117"/>
      <c r="K96" s="117"/>
      <c r="L96" s="117"/>
      <c r="M96" s="117"/>
      <c r="N96" s="117"/>
      <c r="O96" s="118">
        <f t="shared" si="1"/>
        <v>81792</v>
      </c>
      <c r="P96" s="109"/>
    </row>
    <row r="97" ht="31" customHeight="1" spans="1:16">
      <c r="A97" s="110" t="s">
        <v>2282</v>
      </c>
      <c r="B97" s="111" t="s">
        <v>2253</v>
      </c>
      <c r="C97" s="111"/>
      <c r="D97" s="113" t="s">
        <v>2283</v>
      </c>
      <c r="E97" s="114" t="s">
        <v>2059</v>
      </c>
      <c r="F97" s="115" t="s">
        <v>78</v>
      </c>
      <c r="G97" s="99">
        <v>600</v>
      </c>
      <c r="H97" s="119">
        <v>156.52</v>
      </c>
      <c r="I97" s="117"/>
      <c r="J97" s="117"/>
      <c r="K97" s="117"/>
      <c r="L97" s="117"/>
      <c r="M97" s="117"/>
      <c r="N97" s="117"/>
      <c r="O97" s="118">
        <f t="shared" si="1"/>
        <v>93912</v>
      </c>
      <c r="P97" s="109"/>
    </row>
    <row r="98" ht="26" customHeight="1" spans="1:16">
      <c r="A98" s="110" t="s">
        <v>2284</v>
      </c>
      <c r="B98" s="111" t="s">
        <v>2253</v>
      </c>
      <c r="C98" s="111"/>
      <c r="D98" s="113" t="s">
        <v>2268</v>
      </c>
      <c r="E98" s="114" t="s">
        <v>2059</v>
      </c>
      <c r="F98" s="115" t="s">
        <v>78</v>
      </c>
      <c r="G98" s="99">
        <v>600</v>
      </c>
      <c r="H98" s="119">
        <v>141.37</v>
      </c>
      <c r="I98" s="117"/>
      <c r="J98" s="117"/>
      <c r="K98" s="117"/>
      <c r="L98" s="117"/>
      <c r="M98" s="117"/>
      <c r="N98" s="117"/>
      <c r="O98" s="118">
        <f t="shared" si="1"/>
        <v>84822</v>
      </c>
      <c r="P98" s="109"/>
    </row>
    <row r="99" ht="26" customHeight="1" spans="1:16">
      <c r="A99" s="110" t="s">
        <v>2285</v>
      </c>
      <c r="B99" s="111" t="s">
        <v>2253</v>
      </c>
      <c r="C99" s="111"/>
      <c r="D99" s="113" t="s">
        <v>2286</v>
      </c>
      <c r="E99" s="114" t="s">
        <v>2059</v>
      </c>
      <c r="F99" s="115" t="s">
        <v>78</v>
      </c>
      <c r="G99" s="99">
        <v>600</v>
      </c>
      <c r="H99" s="119">
        <v>116.42</v>
      </c>
      <c r="I99" s="117"/>
      <c r="J99" s="117"/>
      <c r="K99" s="117"/>
      <c r="L99" s="117"/>
      <c r="M99" s="117"/>
      <c r="N99" s="117"/>
      <c r="O99" s="118">
        <f t="shared" si="1"/>
        <v>69852</v>
      </c>
      <c r="P99" s="109"/>
    </row>
    <row r="100" ht="26" customHeight="1" spans="1:16">
      <c r="A100" s="110" t="s">
        <v>2287</v>
      </c>
      <c r="B100" s="111" t="s">
        <v>2253</v>
      </c>
      <c r="C100" s="111"/>
      <c r="D100" s="113" t="s">
        <v>2272</v>
      </c>
      <c r="E100" s="114" t="s">
        <v>2059</v>
      </c>
      <c r="F100" s="115" t="s">
        <v>78</v>
      </c>
      <c r="G100" s="99">
        <v>600</v>
      </c>
      <c r="H100" s="119">
        <v>141.17</v>
      </c>
      <c r="I100" s="117"/>
      <c r="J100" s="117"/>
      <c r="K100" s="117"/>
      <c r="L100" s="117"/>
      <c r="M100" s="117"/>
      <c r="N100" s="117"/>
      <c r="O100" s="118">
        <f t="shared" si="1"/>
        <v>84702</v>
      </c>
      <c r="P100" s="109"/>
    </row>
    <row r="101" ht="23" customHeight="1" spans="1:16">
      <c r="A101" s="110" t="s">
        <v>2288</v>
      </c>
      <c r="B101" s="111" t="s">
        <v>2289</v>
      </c>
      <c r="C101" s="111"/>
      <c r="D101" s="113" t="s">
        <v>2290</v>
      </c>
      <c r="E101" s="114" t="s">
        <v>2059</v>
      </c>
      <c r="F101" s="115" t="s">
        <v>78</v>
      </c>
      <c r="G101" s="99">
        <v>600</v>
      </c>
      <c r="H101" s="119">
        <v>113.1</v>
      </c>
      <c r="I101" s="117"/>
      <c r="J101" s="117"/>
      <c r="K101" s="117"/>
      <c r="L101" s="117"/>
      <c r="M101" s="117"/>
      <c r="N101" s="117"/>
      <c r="O101" s="118">
        <f t="shared" si="1"/>
        <v>67860</v>
      </c>
      <c r="P101" s="109"/>
    </row>
    <row r="102" ht="23" customHeight="1" spans="1:16">
      <c r="A102" s="110" t="s">
        <v>2291</v>
      </c>
      <c r="B102" s="111" t="s">
        <v>2289</v>
      </c>
      <c r="C102" s="111"/>
      <c r="D102" s="113" t="s">
        <v>2292</v>
      </c>
      <c r="E102" s="114" t="s">
        <v>2059</v>
      </c>
      <c r="F102" s="115" t="s">
        <v>78</v>
      </c>
      <c r="G102" s="99">
        <v>600</v>
      </c>
      <c r="H102" s="119">
        <v>141.37</v>
      </c>
      <c r="I102" s="117"/>
      <c r="J102" s="117"/>
      <c r="K102" s="117"/>
      <c r="L102" s="117"/>
      <c r="M102" s="117"/>
      <c r="N102" s="117"/>
      <c r="O102" s="118">
        <f t="shared" si="1"/>
        <v>84822</v>
      </c>
      <c r="P102" s="109"/>
    </row>
    <row r="103" ht="23" customHeight="1" spans="1:16">
      <c r="A103" s="110" t="s">
        <v>2293</v>
      </c>
      <c r="B103" s="111" t="s">
        <v>2289</v>
      </c>
      <c r="C103" s="111"/>
      <c r="D103" s="113" t="s">
        <v>2294</v>
      </c>
      <c r="E103" s="114" t="s">
        <v>2059</v>
      </c>
      <c r="F103" s="115" t="s">
        <v>78</v>
      </c>
      <c r="G103" s="99">
        <v>600</v>
      </c>
      <c r="H103" s="119">
        <v>158.82</v>
      </c>
      <c r="I103" s="117"/>
      <c r="J103" s="117"/>
      <c r="K103" s="117"/>
      <c r="L103" s="117"/>
      <c r="M103" s="117"/>
      <c r="N103" s="117"/>
      <c r="O103" s="118">
        <f t="shared" si="1"/>
        <v>95292</v>
      </c>
      <c r="P103" s="109"/>
    </row>
    <row r="104" ht="23" customHeight="1" spans="1:16">
      <c r="A104" s="110" t="s">
        <v>2295</v>
      </c>
      <c r="B104" s="111" t="s">
        <v>2289</v>
      </c>
      <c r="C104" s="111"/>
      <c r="D104" s="113" t="s">
        <v>2296</v>
      </c>
      <c r="E104" s="114" t="s">
        <v>2059</v>
      </c>
      <c r="F104" s="115" t="s">
        <v>78</v>
      </c>
      <c r="G104" s="99">
        <v>600</v>
      </c>
      <c r="H104" s="119">
        <v>176.47</v>
      </c>
      <c r="I104" s="117"/>
      <c r="J104" s="117"/>
      <c r="K104" s="117"/>
      <c r="L104" s="117"/>
      <c r="M104" s="117"/>
      <c r="N104" s="117"/>
      <c r="O104" s="118">
        <f t="shared" si="1"/>
        <v>105882</v>
      </c>
      <c r="P104" s="109"/>
    </row>
    <row r="105" ht="23" customHeight="1" spans="1:16">
      <c r="A105" s="110" t="s">
        <v>2297</v>
      </c>
      <c r="B105" s="111" t="s">
        <v>2289</v>
      </c>
      <c r="C105" s="111"/>
      <c r="D105" s="113" t="s">
        <v>2298</v>
      </c>
      <c r="E105" s="114" t="s">
        <v>2059</v>
      </c>
      <c r="F105" s="115" t="s">
        <v>78</v>
      </c>
      <c r="G105" s="99">
        <v>600</v>
      </c>
      <c r="H105" s="119">
        <v>231</v>
      </c>
      <c r="I105" s="117"/>
      <c r="J105" s="117"/>
      <c r="K105" s="117"/>
      <c r="L105" s="117"/>
      <c r="M105" s="117"/>
      <c r="N105" s="117"/>
      <c r="O105" s="118">
        <f t="shared" si="1"/>
        <v>138600</v>
      </c>
      <c r="P105" s="109"/>
    </row>
    <row r="106" ht="23" customHeight="1" spans="1:16">
      <c r="A106" s="110" t="s">
        <v>2299</v>
      </c>
      <c r="B106" s="111" t="s">
        <v>2300</v>
      </c>
      <c r="C106" s="111"/>
      <c r="D106" s="113"/>
      <c r="E106" s="114"/>
      <c r="F106" s="115" t="s">
        <v>28</v>
      </c>
      <c r="G106" s="99">
        <v>1000</v>
      </c>
      <c r="H106" s="119">
        <v>550.44</v>
      </c>
      <c r="I106" s="117"/>
      <c r="J106" s="117"/>
      <c r="K106" s="117"/>
      <c r="L106" s="117"/>
      <c r="M106" s="117"/>
      <c r="N106" s="117"/>
      <c r="O106" s="118">
        <f t="shared" si="1"/>
        <v>550440</v>
      </c>
      <c r="P106" s="109"/>
    </row>
    <row r="107" ht="40" customHeight="1" spans="1:16">
      <c r="A107" s="103" t="s">
        <v>2301</v>
      </c>
      <c r="B107" s="104" t="s">
        <v>2302</v>
      </c>
      <c r="C107" s="104"/>
      <c r="D107" s="95"/>
      <c r="E107" s="113"/>
      <c r="F107" s="97"/>
      <c r="G107" s="99"/>
      <c r="H107" s="107"/>
      <c r="I107" s="117"/>
      <c r="J107" s="117"/>
      <c r="K107" s="117"/>
      <c r="L107" s="117"/>
      <c r="M107" s="117"/>
      <c r="N107" s="117"/>
      <c r="O107" s="118">
        <f t="shared" si="1"/>
        <v>0</v>
      </c>
      <c r="P107" s="109"/>
    </row>
    <row r="108" ht="40" customHeight="1" spans="1:16">
      <c r="A108" s="110" t="s">
        <v>2303</v>
      </c>
      <c r="B108" s="111" t="s">
        <v>2304</v>
      </c>
      <c r="C108" s="111"/>
      <c r="D108" s="113"/>
      <c r="E108" s="114" t="s">
        <v>2059</v>
      </c>
      <c r="F108" s="115" t="s">
        <v>481</v>
      </c>
      <c r="G108" s="99">
        <v>500</v>
      </c>
      <c r="H108" s="119">
        <v>297</v>
      </c>
      <c r="I108" s="117"/>
      <c r="J108" s="117"/>
      <c r="K108" s="117"/>
      <c r="L108" s="117"/>
      <c r="M108" s="117"/>
      <c r="N108" s="117"/>
      <c r="O108" s="118">
        <f t="shared" si="1"/>
        <v>148500</v>
      </c>
      <c r="P108" s="109"/>
    </row>
    <row r="109" ht="40" customHeight="1" spans="1:16">
      <c r="A109" s="110" t="s">
        <v>2305</v>
      </c>
      <c r="B109" s="111" t="s">
        <v>2306</v>
      </c>
      <c r="C109" s="111"/>
      <c r="D109" s="113"/>
      <c r="E109" s="114" t="s">
        <v>2059</v>
      </c>
      <c r="F109" s="115" t="s">
        <v>481</v>
      </c>
      <c r="G109" s="99">
        <v>500</v>
      </c>
      <c r="H109" s="119">
        <v>445.5</v>
      </c>
      <c r="I109" s="117"/>
      <c r="J109" s="117"/>
      <c r="K109" s="117"/>
      <c r="L109" s="117"/>
      <c r="M109" s="117"/>
      <c r="N109" s="117"/>
      <c r="O109" s="118">
        <f t="shared" si="1"/>
        <v>222750</v>
      </c>
      <c r="P109" s="109"/>
    </row>
    <row r="110" ht="40" customHeight="1" spans="1:16">
      <c r="A110" s="110" t="s">
        <v>2307</v>
      </c>
      <c r="B110" s="111" t="s">
        <v>2308</v>
      </c>
      <c r="C110" s="111"/>
      <c r="D110" s="113"/>
      <c r="E110" s="114" t="s">
        <v>2059</v>
      </c>
      <c r="F110" s="115" t="s">
        <v>481</v>
      </c>
      <c r="G110" s="99">
        <v>500</v>
      </c>
      <c r="H110" s="119">
        <v>531.34</v>
      </c>
      <c r="I110" s="117"/>
      <c r="J110" s="117"/>
      <c r="K110" s="117"/>
      <c r="L110" s="117"/>
      <c r="M110" s="117"/>
      <c r="N110" s="117"/>
      <c r="O110" s="118">
        <f t="shared" si="1"/>
        <v>265670</v>
      </c>
      <c r="P110" s="109"/>
    </row>
    <row r="111" ht="26" customHeight="1" spans="1:16">
      <c r="A111" s="110" t="s">
        <v>2309</v>
      </c>
      <c r="B111" s="111" t="s">
        <v>2310</v>
      </c>
      <c r="C111" s="111"/>
      <c r="D111" s="113"/>
      <c r="E111" s="114" t="s">
        <v>2059</v>
      </c>
      <c r="F111" s="115" t="s">
        <v>481</v>
      </c>
      <c r="G111" s="99">
        <v>500</v>
      </c>
      <c r="H111" s="119">
        <v>771.04</v>
      </c>
      <c r="I111" s="117"/>
      <c r="J111" s="117"/>
      <c r="K111" s="117"/>
      <c r="L111" s="117"/>
      <c r="M111" s="117"/>
      <c r="N111" s="117"/>
      <c r="O111" s="118">
        <f t="shared" si="1"/>
        <v>385520</v>
      </c>
      <c r="P111" s="109"/>
    </row>
    <row r="112" ht="26" customHeight="1" spans="1:16">
      <c r="A112" s="110" t="s">
        <v>2311</v>
      </c>
      <c r="B112" s="111" t="s">
        <v>2312</v>
      </c>
      <c r="C112" s="111"/>
      <c r="D112" s="113"/>
      <c r="E112" s="113"/>
      <c r="F112" s="115" t="s">
        <v>1906</v>
      </c>
      <c r="G112" s="99">
        <v>402138.57077964</v>
      </c>
      <c r="H112" s="119">
        <v>29.7</v>
      </c>
      <c r="I112" s="126"/>
      <c r="J112" s="126"/>
      <c r="K112" s="126"/>
      <c r="L112" s="126"/>
      <c r="M112" s="126"/>
      <c r="N112" s="126"/>
      <c r="O112" s="118">
        <f t="shared" si="1"/>
        <v>11943515.5521553</v>
      </c>
      <c r="P112" s="127"/>
    </row>
    <row r="113" ht="26" customHeight="1" spans="1:16">
      <c r="A113" s="110" t="s">
        <v>2313</v>
      </c>
      <c r="B113" s="111" t="s">
        <v>2314</v>
      </c>
      <c r="C113" s="111"/>
      <c r="D113" s="113" t="s">
        <v>2315</v>
      </c>
      <c r="E113" s="113"/>
      <c r="F113" s="115" t="s">
        <v>89</v>
      </c>
      <c r="G113" s="99">
        <v>134046.19025988</v>
      </c>
      <c r="H113" s="119">
        <v>198</v>
      </c>
      <c r="I113" s="126"/>
      <c r="J113" s="117"/>
      <c r="K113" s="117"/>
      <c r="L113" s="117"/>
      <c r="M113" s="117"/>
      <c r="N113" s="117"/>
      <c r="O113" s="118">
        <f t="shared" si="1"/>
        <v>26541145.6714562</v>
      </c>
      <c r="P113" s="128"/>
    </row>
    <row r="114" ht="26" customHeight="1" spans="1:16">
      <c r="A114" s="110" t="s">
        <v>2316</v>
      </c>
      <c r="B114" s="111" t="s">
        <v>2314</v>
      </c>
      <c r="C114" s="111"/>
      <c r="D114" s="113" t="s">
        <v>2317</v>
      </c>
      <c r="E114" s="113"/>
      <c r="F114" s="115" t="s">
        <v>49</v>
      </c>
      <c r="G114" s="99">
        <v>6702.309512994</v>
      </c>
      <c r="H114" s="119">
        <v>891</v>
      </c>
      <c r="I114" s="126"/>
      <c r="J114" s="117"/>
      <c r="K114" s="117"/>
      <c r="L114" s="117"/>
      <c r="M114" s="117"/>
      <c r="N114" s="117"/>
      <c r="O114" s="118">
        <f t="shared" si="1"/>
        <v>5971757.77607765</v>
      </c>
      <c r="P114" s="128"/>
    </row>
    <row r="115" ht="26" customHeight="1" spans="1:16">
      <c r="A115" s="110" t="s">
        <v>2318</v>
      </c>
      <c r="B115" s="111" t="s">
        <v>1421</v>
      </c>
      <c r="C115" s="111" t="s">
        <v>2319</v>
      </c>
      <c r="D115" s="113"/>
      <c r="E115" s="114" t="s">
        <v>2059</v>
      </c>
      <c r="F115" s="115" t="s">
        <v>78</v>
      </c>
      <c r="G115" s="99">
        <v>400</v>
      </c>
      <c r="H115" s="119">
        <v>331.65</v>
      </c>
      <c r="I115" s="126"/>
      <c r="J115" s="117"/>
      <c r="K115" s="117"/>
      <c r="L115" s="117"/>
      <c r="M115" s="117"/>
      <c r="N115" s="117"/>
      <c r="O115" s="118">
        <f t="shared" si="1"/>
        <v>132660</v>
      </c>
      <c r="P115" s="128"/>
    </row>
    <row r="116" ht="38.25" spans="1:16">
      <c r="A116" s="110" t="s">
        <v>2320</v>
      </c>
      <c r="B116" s="111" t="s">
        <v>1425</v>
      </c>
      <c r="C116" s="111" t="s">
        <v>2321</v>
      </c>
      <c r="D116" s="113"/>
      <c r="E116" s="114" t="s">
        <v>2059</v>
      </c>
      <c r="F116" s="115" t="s">
        <v>78</v>
      </c>
      <c r="G116" s="99">
        <v>400</v>
      </c>
      <c r="H116" s="119">
        <v>1554.3</v>
      </c>
      <c r="I116" s="126"/>
      <c r="J116" s="117"/>
      <c r="K116" s="117"/>
      <c r="L116" s="117"/>
      <c r="M116" s="117"/>
      <c r="N116" s="117"/>
      <c r="O116" s="118">
        <f t="shared" si="1"/>
        <v>621720</v>
      </c>
      <c r="P116" s="128"/>
    </row>
    <row r="117" ht="26" customHeight="1" spans="1:16">
      <c r="A117" s="110" t="s">
        <v>2322</v>
      </c>
      <c r="B117" s="111" t="s">
        <v>2323</v>
      </c>
      <c r="C117" s="111" t="s">
        <v>2324</v>
      </c>
      <c r="D117" s="113" t="s">
        <v>2325</v>
      </c>
      <c r="E117" s="114"/>
      <c r="F117" s="115" t="s">
        <v>89</v>
      </c>
      <c r="G117" s="99">
        <v>5000</v>
      </c>
      <c r="H117" s="119">
        <v>4.18</v>
      </c>
      <c r="I117" s="117"/>
      <c r="J117" s="117"/>
      <c r="K117" s="117"/>
      <c r="L117" s="117"/>
      <c r="M117" s="117"/>
      <c r="N117" s="117"/>
      <c r="O117" s="118">
        <f t="shared" si="1"/>
        <v>20900</v>
      </c>
      <c r="P117" s="109"/>
    </row>
    <row r="118" ht="26" customHeight="1" spans="1:16">
      <c r="A118" s="110" t="s">
        <v>2326</v>
      </c>
      <c r="B118" s="111" t="s">
        <v>2323</v>
      </c>
      <c r="C118" s="111" t="s">
        <v>2324</v>
      </c>
      <c r="D118" s="113" t="s">
        <v>2327</v>
      </c>
      <c r="E118" s="114"/>
      <c r="F118" s="115" t="s">
        <v>89</v>
      </c>
      <c r="G118" s="99">
        <v>5000</v>
      </c>
      <c r="H118" s="119">
        <v>5.61</v>
      </c>
      <c r="I118" s="117"/>
      <c r="J118" s="117"/>
      <c r="K118" s="117"/>
      <c r="L118" s="117"/>
      <c r="M118" s="117"/>
      <c r="N118" s="117"/>
      <c r="O118" s="118">
        <f t="shared" si="1"/>
        <v>28050</v>
      </c>
      <c r="P118" s="109"/>
    </row>
    <row r="119" ht="26" customHeight="1" spans="1:16">
      <c r="A119" s="110" t="s">
        <v>2328</v>
      </c>
      <c r="B119" s="111" t="s">
        <v>2329</v>
      </c>
      <c r="C119" s="111" t="s">
        <v>2324</v>
      </c>
      <c r="D119" s="113" t="s">
        <v>2325</v>
      </c>
      <c r="E119" s="114"/>
      <c r="F119" s="115" t="s">
        <v>89</v>
      </c>
      <c r="G119" s="99">
        <v>5000</v>
      </c>
      <c r="H119" s="119">
        <v>4.18</v>
      </c>
      <c r="I119" s="117"/>
      <c r="J119" s="117"/>
      <c r="K119" s="117"/>
      <c r="L119" s="117"/>
      <c r="M119" s="117"/>
      <c r="N119" s="117"/>
      <c r="O119" s="118">
        <f t="shared" si="1"/>
        <v>20900</v>
      </c>
      <c r="P119" s="109"/>
    </row>
    <row r="120" ht="26" customHeight="1" spans="1:16">
      <c r="A120" s="103" t="s">
        <v>2330</v>
      </c>
      <c r="B120" s="104" t="s">
        <v>2331</v>
      </c>
      <c r="C120" s="104"/>
      <c r="D120" s="95"/>
      <c r="E120" s="114"/>
      <c r="F120" s="97"/>
      <c r="G120" s="99"/>
      <c r="H120" s="107"/>
      <c r="I120" s="117"/>
      <c r="J120" s="117"/>
      <c r="K120" s="117"/>
      <c r="L120" s="117"/>
      <c r="M120" s="117"/>
      <c r="N120" s="117"/>
      <c r="O120" s="118">
        <f t="shared" si="1"/>
        <v>0</v>
      </c>
      <c r="P120" s="109"/>
    </row>
    <row r="121" ht="40" customHeight="1" spans="1:16">
      <c r="A121" s="110" t="s">
        <v>2332</v>
      </c>
      <c r="B121" s="111" t="s">
        <v>2333</v>
      </c>
      <c r="C121" s="111" t="s">
        <v>2334</v>
      </c>
      <c r="D121" s="113"/>
      <c r="E121" s="114" t="s">
        <v>2059</v>
      </c>
      <c r="F121" s="115" t="s">
        <v>78</v>
      </c>
      <c r="G121" s="99">
        <v>20</v>
      </c>
      <c r="H121" s="119">
        <v>101.05</v>
      </c>
      <c r="I121" s="117"/>
      <c r="J121" s="117"/>
      <c r="K121" s="117"/>
      <c r="L121" s="117"/>
      <c r="M121" s="117"/>
      <c r="N121" s="117"/>
      <c r="O121" s="118">
        <f t="shared" si="1"/>
        <v>2021</v>
      </c>
      <c r="P121" s="109"/>
    </row>
    <row r="122" ht="40" customHeight="1" spans="1:16">
      <c r="A122" s="110" t="s">
        <v>2335</v>
      </c>
      <c r="B122" s="111" t="s">
        <v>2336</v>
      </c>
      <c r="C122" s="111"/>
      <c r="D122" s="113"/>
      <c r="E122" s="114" t="s">
        <v>2059</v>
      </c>
      <c r="F122" s="115" t="s">
        <v>78</v>
      </c>
      <c r="G122" s="99">
        <v>20</v>
      </c>
      <c r="H122" s="119">
        <v>110.49</v>
      </c>
      <c r="I122" s="117"/>
      <c r="J122" s="117"/>
      <c r="K122" s="117"/>
      <c r="L122" s="117"/>
      <c r="M122" s="117"/>
      <c r="N122" s="117"/>
      <c r="O122" s="118">
        <f t="shared" si="1"/>
        <v>2209.8</v>
      </c>
      <c r="P122" s="125"/>
    </row>
    <row r="123" ht="40" customHeight="1" spans="1:16">
      <c r="A123" s="110" t="s">
        <v>2337</v>
      </c>
      <c r="B123" s="111" t="s">
        <v>2338</v>
      </c>
      <c r="C123" s="111"/>
      <c r="D123" s="113"/>
      <c r="E123" s="114" t="s">
        <v>2059</v>
      </c>
      <c r="F123" s="115" t="s">
        <v>78</v>
      </c>
      <c r="G123" s="99">
        <v>20</v>
      </c>
      <c r="H123" s="119">
        <v>118.89</v>
      </c>
      <c r="I123" s="117"/>
      <c r="J123" s="117"/>
      <c r="K123" s="117"/>
      <c r="L123" s="117"/>
      <c r="M123" s="117"/>
      <c r="N123" s="117"/>
      <c r="O123" s="118">
        <f t="shared" si="1"/>
        <v>2377.8</v>
      </c>
      <c r="P123" s="125"/>
    </row>
    <row r="124" ht="40" customHeight="1" spans="1:16">
      <c r="A124" s="110" t="s">
        <v>2339</v>
      </c>
      <c r="B124" s="111" t="s">
        <v>2340</v>
      </c>
      <c r="C124" s="111"/>
      <c r="D124" s="113"/>
      <c r="E124" s="114" t="s">
        <v>2059</v>
      </c>
      <c r="F124" s="115" t="s">
        <v>78</v>
      </c>
      <c r="G124" s="99">
        <v>20</v>
      </c>
      <c r="H124" s="119">
        <v>131.83</v>
      </c>
      <c r="I124" s="126"/>
      <c r="J124" s="126"/>
      <c r="K124" s="126"/>
      <c r="L124" s="126"/>
      <c r="M124" s="126"/>
      <c r="N124" s="126"/>
      <c r="O124" s="118">
        <f t="shared" si="1"/>
        <v>2636.6</v>
      </c>
      <c r="P124" s="127"/>
    </row>
    <row r="125" ht="40" customHeight="1" spans="1:16">
      <c r="A125" s="110" t="s">
        <v>2341</v>
      </c>
      <c r="B125" s="111" t="s">
        <v>2342</v>
      </c>
      <c r="C125" s="111"/>
      <c r="D125" s="113"/>
      <c r="E125" s="114" t="s">
        <v>2059</v>
      </c>
      <c r="F125" s="115" t="s">
        <v>78</v>
      </c>
      <c r="G125" s="99">
        <v>20</v>
      </c>
      <c r="H125" s="119">
        <v>150.12</v>
      </c>
      <c r="I125" s="126"/>
      <c r="J125" s="117"/>
      <c r="K125" s="117"/>
      <c r="L125" s="117"/>
      <c r="M125" s="117"/>
      <c r="N125" s="117"/>
      <c r="O125" s="118">
        <f t="shared" si="1"/>
        <v>3002.4</v>
      </c>
      <c r="P125" s="129"/>
    </row>
    <row r="126" ht="40" customHeight="1" spans="1:16">
      <c r="A126" s="110" t="s">
        <v>2343</v>
      </c>
      <c r="B126" s="111" t="s">
        <v>2344</v>
      </c>
      <c r="C126" s="111"/>
      <c r="D126" s="113"/>
      <c r="E126" s="114" t="s">
        <v>2059</v>
      </c>
      <c r="F126" s="115" t="s">
        <v>78</v>
      </c>
      <c r="G126" s="99">
        <v>20</v>
      </c>
      <c r="H126" s="119">
        <v>166.88</v>
      </c>
      <c r="I126" s="126"/>
      <c r="J126" s="117"/>
      <c r="K126" s="117"/>
      <c r="L126" s="117"/>
      <c r="M126" s="117"/>
      <c r="N126" s="117"/>
      <c r="O126" s="118">
        <f t="shared" si="1"/>
        <v>3337.6</v>
      </c>
      <c r="P126" s="129"/>
    </row>
    <row r="127" ht="40" customHeight="1" spans="1:16">
      <c r="A127" s="110" t="s">
        <v>2345</v>
      </c>
      <c r="B127" s="111" t="s">
        <v>2346</v>
      </c>
      <c r="C127" s="111"/>
      <c r="D127" s="113"/>
      <c r="E127" s="114" t="s">
        <v>2059</v>
      </c>
      <c r="F127" s="115" t="s">
        <v>78</v>
      </c>
      <c r="G127" s="99">
        <v>20</v>
      </c>
      <c r="H127" s="119">
        <v>180.28</v>
      </c>
      <c r="I127" s="126"/>
      <c r="J127" s="130"/>
      <c r="K127" s="130"/>
      <c r="L127" s="130"/>
      <c r="M127" s="130"/>
      <c r="N127" s="130"/>
      <c r="O127" s="118">
        <f t="shared" si="1"/>
        <v>3605.6</v>
      </c>
      <c r="P127" s="131"/>
    </row>
    <row r="128" ht="40" customHeight="1" spans="1:16">
      <c r="A128" s="110" t="s">
        <v>2347</v>
      </c>
      <c r="B128" s="111" t="s">
        <v>2348</v>
      </c>
      <c r="C128" s="111"/>
      <c r="D128" s="113"/>
      <c r="E128" s="114" t="s">
        <v>2059</v>
      </c>
      <c r="F128" s="115" t="s">
        <v>78</v>
      </c>
      <c r="G128" s="99">
        <v>20</v>
      </c>
      <c r="H128" s="119">
        <v>203.16</v>
      </c>
      <c r="I128" s="117"/>
      <c r="J128" s="117"/>
      <c r="K128" s="117"/>
      <c r="L128" s="117"/>
      <c r="M128" s="117"/>
      <c r="N128" s="117"/>
      <c r="O128" s="118">
        <f t="shared" si="1"/>
        <v>4063.2</v>
      </c>
      <c r="P128" s="125"/>
    </row>
    <row r="129" ht="40" customHeight="1" spans="1:16">
      <c r="A129" s="110" t="s">
        <v>2349</v>
      </c>
      <c r="B129" s="111" t="s">
        <v>2350</v>
      </c>
      <c r="C129" s="111"/>
      <c r="D129" s="113"/>
      <c r="E129" s="114" t="s">
        <v>2059</v>
      </c>
      <c r="F129" s="115" t="s">
        <v>78</v>
      </c>
      <c r="G129" s="99">
        <v>20</v>
      </c>
      <c r="H129" s="119">
        <v>232.69</v>
      </c>
      <c r="I129" s="117"/>
      <c r="J129" s="117"/>
      <c r="K129" s="117"/>
      <c r="L129" s="117"/>
      <c r="M129" s="117"/>
      <c r="N129" s="117"/>
      <c r="O129" s="118">
        <f t="shared" si="1"/>
        <v>4653.8</v>
      </c>
      <c r="P129" s="125"/>
    </row>
    <row r="130" ht="40" customHeight="1" spans="1:16">
      <c r="A130" s="110" t="s">
        <v>2351</v>
      </c>
      <c r="B130" s="111" t="s">
        <v>2352</v>
      </c>
      <c r="C130" s="111"/>
      <c r="D130" s="113"/>
      <c r="E130" s="114" t="s">
        <v>2059</v>
      </c>
      <c r="F130" s="115" t="s">
        <v>78</v>
      </c>
      <c r="G130" s="99">
        <v>40</v>
      </c>
      <c r="H130" s="119">
        <v>331.59</v>
      </c>
      <c r="I130" s="117"/>
      <c r="J130" s="117"/>
      <c r="K130" s="117"/>
      <c r="L130" s="117"/>
      <c r="M130" s="117"/>
      <c r="N130" s="117"/>
      <c r="O130" s="118">
        <f t="shared" si="1"/>
        <v>13263.6</v>
      </c>
      <c r="P130" s="125"/>
    </row>
    <row r="131" ht="40" customHeight="1" spans="1:16">
      <c r="A131" s="110" t="s">
        <v>2353</v>
      </c>
      <c r="B131" s="111" t="s">
        <v>2354</v>
      </c>
      <c r="C131" s="111"/>
      <c r="D131" s="113"/>
      <c r="E131" s="114" t="s">
        <v>2059</v>
      </c>
      <c r="F131" s="115" t="s">
        <v>78</v>
      </c>
      <c r="G131" s="99">
        <v>40</v>
      </c>
      <c r="H131" s="119">
        <v>377</v>
      </c>
      <c r="I131" s="117"/>
      <c r="J131" s="117"/>
      <c r="K131" s="117"/>
      <c r="L131" s="117"/>
      <c r="M131" s="117"/>
      <c r="N131" s="117"/>
      <c r="O131" s="118">
        <f t="shared" si="1"/>
        <v>15080</v>
      </c>
      <c r="P131" s="125"/>
    </row>
    <row r="132" ht="40" customHeight="1" spans="1:16">
      <c r="A132" s="110" t="s">
        <v>2355</v>
      </c>
      <c r="B132" s="111" t="s">
        <v>2356</v>
      </c>
      <c r="C132" s="111"/>
      <c r="D132" s="113"/>
      <c r="E132" s="114" t="s">
        <v>2059</v>
      </c>
      <c r="F132" s="115" t="s">
        <v>78</v>
      </c>
      <c r="G132" s="99">
        <v>40</v>
      </c>
      <c r="H132" s="119">
        <v>452.56</v>
      </c>
      <c r="I132" s="117"/>
      <c r="J132" s="117"/>
      <c r="K132" s="117"/>
      <c r="L132" s="117"/>
      <c r="M132" s="117"/>
      <c r="N132" s="117"/>
      <c r="O132" s="118">
        <f t="shared" si="1"/>
        <v>18102.4</v>
      </c>
      <c r="P132" s="125"/>
    </row>
    <row r="133" ht="40" customHeight="1" spans="1:16">
      <c r="A133" s="110" t="s">
        <v>2357</v>
      </c>
      <c r="B133" s="111" t="s">
        <v>2358</v>
      </c>
      <c r="C133" s="111"/>
      <c r="D133" s="113"/>
      <c r="E133" s="114" t="s">
        <v>2059</v>
      </c>
      <c r="F133" s="115" t="s">
        <v>78</v>
      </c>
      <c r="G133" s="99">
        <v>40</v>
      </c>
      <c r="H133" s="119">
        <v>560.25</v>
      </c>
      <c r="I133" s="117"/>
      <c r="J133" s="117"/>
      <c r="K133" s="117"/>
      <c r="L133" s="117"/>
      <c r="M133" s="117"/>
      <c r="N133" s="117"/>
      <c r="O133" s="118">
        <f t="shared" ref="O133:O175" si="2">G133*H133</f>
        <v>22410</v>
      </c>
      <c r="P133" s="125"/>
    </row>
    <row r="134" ht="40" customHeight="1" spans="1:16">
      <c r="A134" s="110" t="s">
        <v>2359</v>
      </c>
      <c r="B134" s="111" t="s">
        <v>2360</v>
      </c>
      <c r="C134" s="111"/>
      <c r="D134" s="113"/>
      <c r="E134" s="114" t="s">
        <v>2059</v>
      </c>
      <c r="F134" s="115" t="s">
        <v>78</v>
      </c>
      <c r="G134" s="99">
        <v>200</v>
      </c>
      <c r="H134" s="119">
        <v>33.04</v>
      </c>
      <c r="I134" s="117"/>
      <c r="J134" s="117"/>
      <c r="K134" s="117"/>
      <c r="L134" s="117"/>
      <c r="M134" s="117"/>
      <c r="N134" s="117"/>
      <c r="O134" s="118">
        <f t="shared" si="2"/>
        <v>6608</v>
      </c>
      <c r="P134" s="125"/>
    </row>
    <row r="135" ht="40" customHeight="1" spans="1:16">
      <c r="A135" s="110" t="s">
        <v>2361</v>
      </c>
      <c r="B135" s="111" t="s">
        <v>2362</v>
      </c>
      <c r="C135" s="111"/>
      <c r="D135" s="113"/>
      <c r="E135" s="114" t="s">
        <v>2059</v>
      </c>
      <c r="F135" s="115" t="s">
        <v>78</v>
      </c>
      <c r="G135" s="99">
        <v>200</v>
      </c>
      <c r="H135" s="119">
        <v>25.58</v>
      </c>
      <c r="I135" s="117"/>
      <c r="J135" s="117"/>
      <c r="K135" s="117"/>
      <c r="L135" s="117"/>
      <c r="M135" s="117"/>
      <c r="N135" s="117"/>
      <c r="O135" s="118">
        <f t="shared" si="2"/>
        <v>5116</v>
      </c>
      <c r="P135" s="125"/>
    </row>
    <row r="136" ht="40" customHeight="1" spans="1:16">
      <c r="A136" s="110" t="s">
        <v>2363</v>
      </c>
      <c r="B136" s="111" t="s">
        <v>2364</v>
      </c>
      <c r="C136" s="111" t="s">
        <v>2365</v>
      </c>
      <c r="D136" s="113"/>
      <c r="E136" s="114" t="s">
        <v>2059</v>
      </c>
      <c r="F136" s="115" t="s">
        <v>78</v>
      </c>
      <c r="G136" s="99">
        <v>50</v>
      </c>
      <c r="H136" s="119">
        <v>47.92</v>
      </c>
      <c r="I136" s="117"/>
      <c r="J136" s="117"/>
      <c r="K136" s="117"/>
      <c r="L136" s="117"/>
      <c r="M136" s="117"/>
      <c r="N136" s="117"/>
      <c r="O136" s="118">
        <f t="shared" si="2"/>
        <v>2396</v>
      </c>
      <c r="P136" s="125"/>
    </row>
    <row r="137" ht="26" customHeight="1" spans="1:16">
      <c r="A137" s="110" t="s">
        <v>2366</v>
      </c>
      <c r="B137" s="111" t="s">
        <v>2367</v>
      </c>
      <c r="C137" s="111"/>
      <c r="D137" s="113"/>
      <c r="E137" s="114" t="s">
        <v>2059</v>
      </c>
      <c r="F137" s="115" t="s">
        <v>78</v>
      </c>
      <c r="G137" s="99">
        <v>50</v>
      </c>
      <c r="H137" s="119">
        <v>97.63</v>
      </c>
      <c r="I137" s="117"/>
      <c r="J137" s="117"/>
      <c r="K137" s="117"/>
      <c r="L137" s="117"/>
      <c r="M137" s="117"/>
      <c r="N137" s="117"/>
      <c r="O137" s="118">
        <f t="shared" si="2"/>
        <v>4881.5</v>
      </c>
      <c r="P137" s="109"/>
    </row>
    <row r="138" ht="26" customHeight="1" spans="1:16">
      <c r="A138" s="110" t="s">
        <v>2368</v>
      </c>
      <c r="B138" s="111" t="s">
        <v>2369</v>
      </c>
      <c r="C138" s="111"/>
      <c r="D138" s="113"/>
      <c r="E138" s="114" t="s">
        <v>2059</v>
      </c>
      <c r="F138" s="115" t="s">
        <v>78</v>
      </c>
      <c r="G138" s="99">
        <v>50</v>
      </c>
      <c r="H138" s="119">
        <v>109.81</v>
      </c>
      <c r="I138" s="126"/>
      <c r="J138" s="126"/>
      <c r="K138" s="126"/>
      <c r="L138" s="126"/>
      <c r="M138" s="126"/>
      <c r="N138" s="126"/>
      <c r="O138" s="118">
        <f t="shared" si="2"/>
        <v>5490.5</v>
      </c>
      <c r="P138" s="132"/>
    </row>
    <row r="139" ht="26" customHeight="1" spans="1:16">
      <c r="A139" s="110" t="s">
        <v>2370</v>
      </c>
      <c r="B139" s="111" t="s">
        <v>2371</v>
      </c>
      <c r="C139" s="111"/>
      <c r="D139" s="113"/>
      <c r="E139" s="114" t="s">
        <v>2059</v>
      </c>
      <c r="F139" s="115" t="s">
        <v>78</v>
      </c>
      <c r="G139" s="99">
        <v>50</v>
      </c>
      <c r="H139" s="119">
        <v>94.45</v>
      </c>
      <c r="I139" s="126"/>
      <c r="J139" s="117"/>
      <c r="K139" s="117"/>
      <c r="L139" s="117"/>
      <c r="M139" s="117"/>
      <c r="N139" s="117"/>
      <c r="O139" s="118">
        <f t="shared" si="2"/>
        <v>4722.5</v>
      </c>
      <c r="P139" s="128"/>
    </row>
    <row r="140" ht="26" customHeight="1" spans="1:16">
      <c r="A140" s="110" t="s">
        <v>2372</v>
      </c>
      <c r="B140" s="111" t="s">
        <v>2373</v>
      </c>
      <c r="C140" s="111"/>
      <c r="D140" s="113"/>
      <c r="E140" s="114" t="s">
        <v>2059</v>
      </c>
      <c r="F140" s="115" t="s">
        <v>78</v>
      </c>
      <c r="G140" s="99">
        <v>50</v>
      </c>
      <c r="H140" s="119">
        <v>40.49</v>
      </c>
      <c r="I140" s="126"/>
      <c r="J140" s="117"/>
      <c r="K140" s="117"/>
      <c r="L140" s="117"/>
      <c r="M140" s="117"/>
      <c r="N140" s="117"/>
      <c r="O140" s="118">
        <f t="shared" si="2"/>
        <v>2024.5</v>
      </c>
      <c r="P140" s="128"/>
    </row>
    <row r="141" ht="26" customHeight="1" spans="1:16">
      <c r="A141" s="110" t="s">
        <v>2374</v>
      </c>
      <c r="B141" s="111" t="s">
        <v>2375</v>
      </c>
      <c r="C141" s="111"/>
      <c r="D141" s="113"/>
      <c r="E141" s="114" t="s">
        <v>2059</v>
      </c>
      <c r="F141" s="115" t="s">
        <v>78</v>
      </c>
      <c r="G141" s="99">
        <v>50</v>
      </c>
      <c r="H141" s="119">
        <v>49.03</v>
      </c>
      <c r="I141" s="126"/>
      <c r="J141" s="117"/>
      <c r="K141" s="117"/>
      <c r="L141" s="117"/>
      <c r="M141" s="117"/>
      <c r="N141" s="117"/>
      <c r="O141" s="118">
        <f t="shared" si="2"/>
        <v>2451.5</v>
      </c>
      <c r="P141" s="128"/>
    </row>
    <row r="142" ht="26" customHeight="1" spans="1:16">
      <c r="A142" s="110" t="s">
        <v>2376</v>
      </c>
      <c r="B142" s="111" t="s">
        <v>2377</v>
      </c>
      <c r="C142" s="111"/>
      <c r="D142" s="113"/>
      <c r="E142" s="114" t="s">
        <v>2059</v>
      </c>
      <c r="F142" s="115" t="s">
        <v>78</v>
      </c>
      <c r="G142" s="99">
        <v>50</v>
      </c>
      <c r="H142" s="119">
        <v>36.46</v>
      </c>
      <c r="I142" s="126"/>
      <c r="J142" s="117"/>
      <c r="K142" s="117"/>
      <c r="L142" s="117"/>
      <c r="M142" s="117"/>
      <c r="N142" s="117"/>
      <c r="O142" s="118">
        <f t="shared" si="2"/>
        <v>1823</v>
      </c>
      <c r="P142" s="128"/>
    </row>
    <row r="143" ht="26" customHeight="1" spans="1:16">
      <c r="A143" s="110" t="s">
        <v>2378</v>
      </c>
      <c r="B143" s="111" t="s">
        <v>2379</v>
      </c>
      <c r="C143" s="111"/>
      <c r="D143" s="113"/>
      <c r="E143" s="114" t="s">
        <v>2059</v>
      </c>
      <c r="F143" s="115" t="s">
        <v>78</v>
      </c>
      <c r="G143" s="99">
        <v>50</v>
      </c>
      <c r="H143" s="119">
        <v>42.22</v>
      </c>
      <c r="I143" s="126"/>
      <c r="J143" s="117"/>
      <c r="K143" s="117"/>
      <c r="L143" s="117"/>
      <c r="M143" s="117"/>
      <c r="N143" s="117"/>
      <c r="O143" s="118">
        <f t="shared" si="2"/>
        <v>2111</v>
      </c>
      <c r="P143" s="128"/>
    </row>
    <row r="144" ht="26" customHeight="1" spans="1:16">
      <c r="A144" s="110" t="s">
        <v>2380</v>
      </c>
      <c r="B144" s="111" t="s">
        <v>2381</v>
      </c>
      <c r="C144" s="111"/>
      <c r="D144" s="113"/>
      <c r="E144" s="114" t="s">
        <v>2059</v>
      </c>
      <c r="F144" s="115" t="s">
        <v>78</v>
      </c>
      <c r="G144" s="99">
        <v>50</v>
      </c>
      <c r="H144" s="119">
        <v>52.8</v>
      </c>
      <c r="I144" s="126"/>
      <c r="J144" s="117"/>
      <c r="K144" s="117"/>
      <c r="L144" s="117"/>
      <c r="M144" s="117"/>
      <c r="N144" s="117"/>
      <c r="O144" s="118">
        <f t="shared" si="2"/>
        <v>2640</v>
      </c>
      <c r="P144" s="128"/>
    </row>
    <row r="145" ht="26" customHeight="1" spans="1:16">
      <c r="A145" s="110" t="s">
        <v>2382</v>
      </c>
      <c r="B145" s="111" t="s">
        <v>2383</v>
      </c>
      <c r="C145" s="111"/>
      <c r="D145" s="113"/>
      <c r="E145" s="114" t="s">
        <v>2059</v>
      </c>
      <c r="F145" s="115" t="s">
        <v>78</v>
      </c>
      <c r="G145" s="99">
        <v>50</v>
      </c>
      <c r="H145" s="119">
        <v>77</v>
      </c>
      <c r="I145" s="126"/>
      <c r="J145" s="117"/>
      <c r="K145" s="117"/>
      <c r="L145" s="117"/>
      <c r="M145" s="117"/>
      <c r="N145" s="117"/>
      <c r="O145" s="118">
        <f t="shared" si="2"/>
        <v>3850</v>
      </c>
      <c r="P145" s="128"/>
    </row>
    <row r="146" ht="31" customHeight="1" spans="1:16">
      <c r="A146" s="110" t="s">
        <v>2384</v>
      </c>
      <c r="B146" s="111" t="s">
        <v>2385</v>
      </c>
      <c r="C146" s="111"/>
      <c r="D146" s="113"/>
      <c r="E146" s="114" t="s">
        <v>2059</v>
      </c>
      <c r="F146" s="115" t="s">
        <v>78</v>
      </c>
      <c r="G146" s="99">
        <v>50</v>
      </c>
      <c r="H146" s="119">
        <v>93.5</v>
      </c>
      <c r="I146" s="126"/>
      <c r="J146" s="117"/>
      <c r="K146" s="117"/>
      <c r="L146" s="117"/>
      <c r="M146" s="117"/>
      <c r="N146" s="117"/>
      <c r="O146" s="118">
        <f t="shared" si="2"/>
        <v>4675</v>
      </c>
      <c r="P146" s="128"/>
    </row>
    <row r="147" ht="31" customHeight="1" spans="1:16">
      <c r="A147" s="110" t="s">
        <v>2386</v>
      </c>
      <c r="B147" s="111" t="s">
        <v>2387</v>
      </c>
      <c r="C147" s="111"/>
      <c r="D147" s="113"/>
      <c r="E147" s="114" t="s">
        <v>2059</v>
      </c>
      <c r="F147" s="115" t="s">
        <v>78</v>
      </c>
      <c r="G147" s="99">
        <v>50</v>
      </c>
      <c r="H147" s="119">
        <v>126.5</v>
      </c>
      <c r="I147" s="126"/>
      <c r="J147" s="130"/>
      <c r="K147" s="130"/>
      <c r="L147" s="130"/>
      <c r="M147" s="130"/>
      <c r="N147" s="130"/>
      <c r="O147" s="118">
        <f t="shared" si="2"/>
        <v>6325</v>
      </c>
      <c r="P147" s="133"/>
    </row>
    <row r="148" ht="26" customHeight="1" spans="1:16">
      <c r="A148" s="110" t="s">
        <v>2388</v>
      </c>
      <c r="B148" s="111" t="s">
        <v>2389</v>
      </c>
      <c r="C148" s="111"/>
      <c r="D148" s="113"/>
      <c r="E148" s="114" t="s">
        <v>2059</v>
      </c>
      <c r="F148" s="115" t="s">
        <v>78</v>
      </c>
      <c r="G148" s="99">
        <v>50</v>
      </c>
      <c r="H148" s="119">
        <v>148.5</v>
      </c>
      <c r="I148" s="117"/>
      <c r="J148" s="117"/>
      <c r="K148" s="117"/>
      <c r="L148" s="117"/>
      <c r="M148" s="117"/>
      <c r="N148" s="117"/>
      <c r="O148" s="118">
        <f t="shared" si="2"/>
        <v>7425</v>
      </c>
      <c r="P148" s="109"/>
    </row>
    <row r="149" ht="26" customHeight="1" spans="1:16">
      <c r="A149" s="110" t="s">
        <v>2390</v>
      </c>
      <c r="B149" s="111" t="s">
        <v>2391</v>
      </c>
      <c r="C149" s="111"/>
      <c r="D149" s="113"/>
      <c r="E149" s="114" t="s">
        <v>2059</v>
      </c>
      <c r="F149" s="115" t="s">
        <v>78</v>
      </c>
      <c r="G149" s="99">
        <v>50</v>
      </c>
      <c r="H149" s="119">
        <v>231</v>
      </c>
      <c r="I149" s="126"/>
      <c r="J149" s="126"/>
      <c r="K149" s="126"/>
      <c r="L149" s="126"/>
      <c r="M149" s="126"/>
      <c r="N149" s="126"/>
      <c r="O149" s="118">
        <f t="shared" si="2"/>
        <v>11550</v>
      </c>
      <c r="P149" s="132"/>
    </row>
    <row r="150" ht="26" customHeight="1" spans="1:16">
      <c r="A150" s="110" t="s">
        <v>2392</v>
      </c>
      <c r="B150" s="111" t="s">
        <v>2393</v>
      </c>
      <c r="C150" s="111" t="s">
        <v>2394</v>
      </c>
      <c r="D150" s="113"/>
      <c r="E150" s="113"/>
      <c r="F150" s="115" t="s">
        <v>28</v>
      </c>
      <c r="G150" s="99">
        <v>600</v>
      </c>
      <c r="H150" s="119">
        <v>161.55</v>
      </c>
      <c r="I150" s="126"/>
      <c r="J150" s="117"/>
      <c r="K150" s="117"/>
      <c r="L150" s="117"/>
      <c r="M150" s="117"/>
      <c r="N150" s="117"/>
      <c r="O150" s="118">
        <f t="shared" si="2"/>
        <v>96930</v>
      </c>
      <c r="P150" s="128"/>
    </row>
    <row r="151" ht="26" customHeight="1" spans="1:16">
      <c r="A151" s="110" t="s">
        <v>2395</v>
      </c>
      <c r="B151" s="111" t="s">
        <v>2396</v>
      </c>
      <c r="C151" s="111"/>
      <c r="D151" s="113"/>
      <c r="E151" s="114"/>
      <c r="F151" s="115" t="s">
        <v>28</v>
      </c>
      <c r="G151" s="99">
        <v>600</v>
      </c>
      <c r="H151" s="119">
        <v>198.36</v>
      </c>
      <c r="I151" s="126"/>
      <c r="J151" s="117"/>
      <c r="K151" s="117"/>
      <c r="L151" s="117"/>
      <c r="M151" s="117"/>
      <c r="N151" s="117"/>
      <c r="O151" s="118">
        <f t="shared" si="2"/>
        <v>119016</v>
      </c>
      <c r="P151" s="128"/>
    </row>
    <row r="152" ht="26" customHeight="1" spans="1:16">
      <c r="A152" s="110" t="s">
        <v>2397</v>
      </c>
      <c r="B152" s="111" t="s">
        <v>2398</v>
      </c>
      <c r="C152" s="111"/>
      <c r="D152" s="113"/>
      <c r="E152" s="114"/>
      <c r="F152" s="115" t="s">
        <v>28</v>
      </c>
      <c r="G152" s="99">
        <v>600</v>
      </c>
      <c r="H152" s="119">
        <v>203.13</v>
      </c>
      <c r="I152" s="126"/>
      <c r="J152" s="117"/>
      <c r="K152" s="117"/>
      <c r="L152" s="117"/>
      <c r="M152" s="117"/>
      <c r="N152" s="117"/>
      <c r="O152" s="118">
        <f t="shared" si="2"/>
        <v>121878</v>
      </c>
      <c r="P152" s="128"/>
    </row>
    <row r="153" ht="26" customHeight="1" spans="1:16">
      <c r="A153" s="110" t="s">
        <v>2399</v>
      </c>
      <c r="B153" s="111" t="s">
        <v>2400</v>
      </c>
      <c r="C153" s="111"/>
      <c r="D153" s="113"/>
      <c r="E153" s="113"/>
      <c r="F153" s="115" t="s">
        <v>28</v>
      </c>
      <c r="G153" s="99">
        <v>600</v>
      </c>
      <c r="H153" s="119">
        <v>248.96</v>
      </c>
      <c r="I153" s="126"/>
      <c r="J153" s="117"/>
      <c r="K153" s="117"/>
      <c r="L153" s="117"/>
      <c r="M153" s="117"/>
      <c r="N153" s="117"/>
      <c r="O153" s="118">
        <f t="shared" si="2"/>
        <v>149376</v>
      </c>
      <c r="P153" s="128"/>
    </row>
    <row r="154" ht="26" customHeight="1" spans="1:16">
      <c r="A154" s="110" t="s">
        <v>2401</v>
      </c>
      <c r="B154" s="111" t="s">
        <v>2402</v>
      </c>
      <c r="C154" s="111"/>
      <c r="D154" s="113"/>
      <c r="E154" s="114" t="s">
        <v>2059</v>
      </c>
      <c r="F154" s="115" t="s">
        <v>78</v>
      </c>
      <c r="G154" s="99">
        <v>600</v>
      </c>
      <c r="H154" s="119">
        <v>192.5</v>
      </c>
      <c r="I154" s="126"/>
      <c r="J154" s="117"/>
      <c r="K154" s="117"/>
      <c r="L154" s="117"/>
      <c r="M154" s="117"/>
      <c r="N154" s="117"/>
      <c r="O154" s="118">
        <f t="shared" si="2"/>
        <v>115500</v>
      </c>
      <c r="P154" s="128"/>
    </row>
    <row r="155" ht="26" customHeight="1" spans="1:16">
      <c r="A155" s="110" t="s">
        <v>2403</v>
      </c>
      <c r="B155" s="111" t="s">
        <v>2404</v>
      </c>
      <c r="C155" s="111"/>
      <c r="D155" s="113"/>
      <c r="E155" s="114" t="s">
        <v>2059</v>
      </c>
      <c r="F155" s="115" t="s">
        <v>78</v>
      </c>
      <c r="G155" s="99">
        <v>600</v>
      </c>
      <c r="H155" s="119">
        <v>192.5</v>
      </c>
      <c r="I155" s="126"/>
      <c r="J155" s="117"/>
      <c r="K155" s="117"/>
      <c r="L155" s="117"/>
      <c r="M155" s="117"/>
      <c r="N155" s="117"/>
      <c r="O155" s="118">
        <f t="shared" si="2"/>
        <v>115500</v>
      </c>
      <c r="P155" s="128"/>
    </row>
    <row r="156" ht="26" customHeight="1" spans="1:16">
      <c r="A156" s="110" t="s">
        <v>2405</v>
      </c>
      <c r="B156" s="111" t="s">
        <v>2406</v>
      </c>
      <c r="C156" s="111"/>
      <c r="D156" s="113"/>
      <c r="E156" s="114" t="s">
        <v>2059</v>
      </c>
      <c r="F156" s="115" t="s">
        <v>78</v>
      </c>
      <c r="G156" s="99">
        <v>200</v>
      </c>
      <c r="H156" s="119">
        <v>1000.47</v>
      </c>
      <c r="I156" s="126"/>
      <c r="J156" s="117"/>
      <c r="K156" s="117"/>
      <c r="L156" s="117"/>
      <c r="M156" s="117"/>
      <c r="N156" s="117"/>
      <c r="O156" s="118">
        <f t="shared" si="2"/>
        <v>200094</v>
      </c>
      <c r="P156" s="128"/>
    </row>
    <row r="157" ht="26" customHeight="1" spans="1:16">
      <c r="A157" s="110" t="s">
        <v>2407</v>
      </c>
      <c r="B157" s="111" t="s">
        <v>2408</v>
      </c>
      <c r="C157" s="111"/>
      <c r="D157" s="113"/>
      <c r="E157" s="114" t="s">
        <v>2059</v>
      </c>
      <c r="F157" s="115" t="s">
        <v>78</v>
      </c>
      <c r="G157" s="99">
        <v>200</v>
      </c>
      <c r="H157" s="119">
        <v>823.82</v>
      </c>
      <c r="I157" s="126"/>
      <c r="J157" s="117"/>
      <c r="K157" s="117"/>
      <c r="L157" s="117"/>
      <c r="M157" s="117"/>
      <c r="N157" s="117"/>
      <c r="O157" s="118">
        <f t="shared" si="2"/>
        <v>164764</v>
      </c>
      <c r="P157" s="128"/>
    </row>
    <row r="158" ht="26" customHeight="1" spans="1:16">
      <c r="A158" s="110" t="s">
        <v>2409</v>
      </c>
      <c r="B158" s="111" t="s">
        <v>2410</v>
      </c>
      <c r="C158" s="111"/>
      <c r="D158" s="113"/>
      <c r="E158" s="114" t="s">
        <v>2059</v>
      </c>
      <c r="F158" s="115" t="s">
        <v>78</v>
      </c>
      <c r="G158" s="99">
        <v>200</v>
      </c>
      <c r="H158" s="119">
        <v>660.37</v>
      </c>
      <c r="I158" s="126"/>
      <c r="J158" s="130"/>
      <c r="K158" s="130"/>
      <c r="L158" s="130"/>
      <c r="M158" s="130"/>
      <c r="N158" s="130"/>
      <c r="O158" s="118">
        <f t="shared" si="2"/>
        <v>132074</v>
      </c>
      <c r="P158" s="133"/>
    </row>
    <row r="159" ht="26" customHeight="1" spans="1:16">
      <c r="A159" s="134" t="s">
        <v>2411</v>
      </c>
      <c r="B159" s="104" t="s">
        <v>2412</v>
      </c>
      <c r="C159" s="104"/>
      <c r="D159" s="95"/>
      <c r="E159" s="113"/>
      <c r="F159" s="97"/>
      <c r="G159" s="99"/>
      <c r="H159" s="107"/>
      <c r="I159" s="117"/>
      <c r="J159" s="117"/>
      <c r="K159" s="117"/>
      <c r="L159" s="117"/>
      <c r="M159" s="117"/>
      <c r="N159" s="117"/>
      <c r="O159" s="118">
        <f t="shared" si="2"/>
        <v>0</v>
      </c>
      <c r="P159" s="109"/>
    </row>
    <row r="160" ht="26" customHeight="1" spans="1:16">
      <c r="A160" s="110" t="s">
        <v>2413</v>
      </c>
      <c r="B160" s="111" t="s">
        <v>2414</v>
      </c>
      <c r="C160" s="111" t="s">
        <v>2415</v>
      </c>
      <c r="D160" s="113"/>
      <c r="E160" s="114"/>
      <c r="F160" s="115" t="s">
        <v>49</v>
      </c>
      <c r="G160" s="99">
        <v>200</v>
      </c>
      <c r="H160" s="119">
        <v>534.6</v>
      </c>
      <c r="I160" s="117"/>
      <c r="J160" s="117"/>
      <c r="K160" s="117"/>
      <c r="L160" s="117"/>
      <c r="M160" s="117"/>
      <c r="N160" s="117"/>
      <c r="O160" s="118">
        <f t="shared" si="2"/>
        <v>106920</v>
      </c>
      <c r="P160" s="109"/>
    </row>
    <row r="161" ht="26" customHeight="1" spans="1:16">
      <c r="A161" s="110" t="s">
        <v>2416</v>
      </c>
      <c r="B161" s="111" t="s">
        <v>2414</v>
      </c>
      <c r="C161" s="111" t="s">
        <v>2417</v>
      </c>
      <c r="D161" s="113"/>
      <c r="E161" s="113"/>
      <c r="F161" s="115" t="s">
        <v>49</v>
      </c>
      <c r="G161" s="99">
        <v>200</v>
      </c>
      <c r="H161" s="119">
        <v>611.82</v>
      </c>
      <c r="I161" s="117"/>
      <c r="J161" s="117"/>
      <c r="K161" s="117"/>
      <c r="L161" s="117"/>
      <c r="M161" s="117"/>
      <c r="N161" s="117"/>
      <c r="O161" s="118">
        <f t="shared" si="2"/>
        <v>122364</v>
      </c>
      <c r="P161" s="109"/>
    </row>
    <row r="162" ht="26" customHeight="1" spans="1:16">
      <c r="A162" s="110" t="s">
        <v>2418</v>
      </c>
      <c r="B162" s="111" t="s">
        <v>2414</v>
      </c>
      <c r="C162" s="111" t="s">
        <v>2419</v>
      </c>
      <c r="D162" s="113"/>
      <c r="E162" s="114"/>
      <c r="F162" s="115" t="s">
        <v>49</v>
      </c>
      <c r="G162" s="99">
        <v>200</v>
      </c>
      <c r="H162" s="119">
        <v>864.27</v>
      </c>
      <c r="I162" s="117"/>
      <c r="J162" s="117"/>
      <c r="K162" s="117"/>
      <c r="L162" s="117"/>
      <c r="M162" s="117"/>
      <c r="N162" s="117"/>
      <c r="O162" s="118">
        <f t="shared" si="2"/>
        <v>172854</v>
      </c>
      <c r="P162" s="109"/>
    </row>
    <row r="163" ht="57" customHeight="1" spans="1:16">
      <c r="A163" s="110" t="s">
        <v>2420</v>
      </c>
      <c r="B163" s="111" t="s">
        <v>2421</v>
      </c>
      <c r="C163" s="111" t="s">
        <v>2422</v>
      </c>
      <c r="D163" s="113"/>
      <c r="E163" s="114"/>
      <c r="F163" s="115" t="s">
        <v>101</v>
      </c>
      <c r="G163" s="99">
        <v>100</v>
      </c>
      <c r="H163" s="119">
        <v>2673</v>
      </c>
      <c r="I163" s="117"/>
      <c r="J163" s="117"/>
      <c r="K163" s="117"/>
      <c r="L163" s="117"/>
      <c r="M163" s="117"/>
      <c r="N163" s="117"/>
      <c r="O163" s="118">
        <f t="shared" si="2"/>
        <v>267300</v>
      </c>
      <c r="P163" s="109"/>
    </row>
    <row r="164" ht="57" customHeight="1" spans="1:16">
      <c r="A164" s="110" t="s">
        <v>2423</v>
      </c>
      <c r="B164" s="111" t="s">
        <v>2424</v>
      </c>
      <c r="C164" s="111"/>
      <c r="D164" s="113"/>
      <c r="E164" s="114" t="s">
        <v>2059</v>
      </c>
      <c r="F164" s="115" t="s">
        <v>78</v>
      </c>
      <c r="G164" s="99">
        <v>1000</v>
      </c>
      <c r="H164" s="119">
        <v>192.06</v>
      </c>
      <c r="I164" s="117"/>
      <c r="J164" s="117"/>
      <c r="K164" s="117"/>
      <c r="L164" s="117"/>
      <c r="M164" s="117"/>
      <c r="N164" s="117"/>
      <c r="O164" s="118">
        <f t="shared" si="2"/>
        <v>192060</v>
      </c>
      <c r="P164" s="109"/>
    </row>
    <row r="165" ht="57" customHeight="1" spans="1:16">
      <c r="A165" s="110" t="s">
        <v>2425</v>
      </c>
      <c r="B165" s="111" t="s">
        <v>2426</v>
      </c>
      <c r="C165" s="111" t="s">
        <v>2427</v>
      </c>
      <c r="D165" s="113"/>
      <c r="E165" s="114" t="s">
        <v>2059</v>
      </c>
      <c r="F165" s="115" t="s">
        <v>78</v>
      </c>
      <c r="G165" s="99">
        <v>100</v>
      </c>
      <c r="H165" s="119">
        <v>3465</v>
      </c>
      <c r="I165" s="117"/>
      <c r="J165" s="117"/>
      <c r="K165" s="117"/>
      <c r="L165" s="117"/>
      <c r="M165" s="117"/>
      <c r="N165" s="117"/>
      <c r="O165" s="118">
        <f t="shared" si="2"/>
        <v>346500</v>
      </c>
      <c r="P165" s="109"/>
    </row>
    <row r="166" ht="57" customHeight="1" spans="1:16">
      <c r="A166" s="110" t="s">
        <v>2428</v>
      </c>
      <c r="B166" s="111" t="s">
        <v>2429</v>
      </c>
      <c r="C166" s="111" t="s">
        <v>2430</v>
      </c>
      <c r="D166" s="113"/>
      <c r="E166" s="114"/>
      <c r="F166" s="115" t="s">
        <v>101</v>
      </c>
      <c r="G166" s="99">
        <v>100</v>
      </c>
      <c r="H166" s="119">
        <v>1485</v>
      </c>
      <c r="I166" s="117"/>
      <c r="J166" s="117"/>
      <c r="K166" s="117"/>
      <c r="L166" s="117"/>
      <c r="M166" s="117"/>
      <c r="N166" s="117"/>
      <c r="O166" s="118">
        <f t="shared" si="2"/>
        <v>148500</v>
      </c>
      <c r="P166" s="109"/>
    </row>
    <row r="167" ht="57" customHeight="1" spans="1:16">
      <c r="A167" s="110" t="s">
        <v>2431</v>
      </c>
      <c r="B167" s="111" t="s">
        <v>2432</v>
      </c>
      <c r="C167" s="111" t="s">
        <v>2433</v>
      </c>
      <c r="D167" s="113"/>
      <c r="E167" s="114" t="s">
        <v>2059</v>
      </c>
      <c r="F167" s="115" t="s">
        <v>78</v>
      </c>
      <c r="G167" s="99">
        <v>200</v>
      </c>
      <c r="H167" s="119">
        <v>132</v>
      </c>
      <c r="I167" s="117"/>
      <c r="J167" s="117"/>
      <c r="K167" s="117"/>
      <c r="L167" s="117"/>
      <c r="M167" s="117"/>
      <c r="N167" s="117"/>
      <c r="O167" s="118">
        <f t="shared" si="2"/>
        <v>26400</v>
      </c>
      <c r="P167" s="109"/>
    </row>
    <row r="168" ht="57" customHeight="1" spans="1:16">
      <c r="A168" s="110" t="s">
        <v>2434</v>
      </c>
      <c r="B168" s="111" t="s">
        <v>2435</v>
      </c>
      <c r="C168" s="111" t="s">
        <v>2436</v>
      </c>
      <c r="D168" s="113"/>
      <c r="E168" s="114" t="s">
        <v>2059</v>
      </c>
      <c r="F168" s="115" t="s">
        <v>78</v>
      </c>
      <c r="G168" s="99">
        <v>200</v>
      </c>
      <c r="H168" s="119">
        <v>165</v>
      </c>
      <c r="I168" s="117"/>
      <c r="J168" s="117"/>
      <c r="K168" s="117"/>
      <c r="L168" s="117"/>
      <c r="M168" s="117"/>
      <c r="N168" s="117"/>
      <c r="O168" s="118">
        <f t="shared" si="2"/>
        <v>33000</v>
      </c>
      <c r="P168" s="109"/>
    </row>
    <row r="169" ht="57" customHeight="1" spans="1:16">
      <c r="A169" s="110" t="s">
        <v>2437</v>
      </c>
      <c r="B169" s="111" t="s">
        <v>2438</v>
      </c>
      <c r="C169" s="111" t="s">
        <v>2439</v>
      </c>
      <c r="D169" s="113"/>
      <c r="E169" s="114"/>
      <c r="F169" s="115" t="s">
        <v>89</v>
      </c>
      <c r="G169" s="99">
        <v>2000</v>
      </c>
      <c r="H169" s="119">
        <v>35.88</v>
      </c>
      <c r="I169" s="117"/>
      <c r="J169" s="117"/>
      <c r="K169" s="117"/>
      <c r="L169" s="117"/>
      <c r="M169" s="117"/>
      <c r="N169" s="117"/>
      <c r="O169" s="118">
        <f t="shared" si="2"/>
        <v>71760</v>
      </c>
      <c r="P169" s="109"/>
    </row>
    <row r="170" ht="57" customHeight="1" spans="1:16">
      <c r="A170" s="110" t="s">
        <v>2440</v>
      </c>
      <c r="B170" s="111" t="s">
        <v>2441</v>
      </c>
      <c r="C170" s="111" t="s">
        <v>2442</v>
      </c>
      <c r="D170" s="113"/>
      <c r="E170" s="114" t="s">
        <v>2059</v>
      </c>
      <c r="F170" s="115" t="s">
        <v>78</v>
      </c>
      <c r="G170" s="99">
        <v>300</v>
      </c>
      <c r="H170" s="119">
        <v>227.92</v>
      </c>
      <c r="I170" s="117"/>
      <c r="J170" s="117"/>
      <c r="K170" s="117"/>
      <c r="L170" s="117"/>
      <c r="M170" s="117"/>
      <c r="N170" s="117"/>
      <c r="O170" s="118">
        <f t="shared" si="2"/>
        <v>68376</v>
      </c>
      <c r="P170" s="109"/>
    </row>
    <row r="171" ht="57" customHeight="1" spans="1:16">
      <c r="A171" s="110" t="s">
        <v>2443</v>
      </c>
      <c r="B171" s="111" t="s">
        <v>2444</v>
      </c>
      <c r="C171" s="111"/>
      <c r="D171" s="113"/>
      <c r="E171" s="114"/>
      <c r="F171" s="115" t="s">
        <v>1906</v>
      </c>
      <c r="G171" s="99">
        <v>300</v>
      </c>
      <c r="H171" s="119">
        <v>16.54</v>
      </c>
      <c r="I171" s="117"/>
      <c r="J171" s="117"/>
      <c r="K171" s="117"/>
      <c r="L171" s="117"/>
      <c r="M171" s="117"/>
      <c r="N171" s="117"/>
      <c r="O171" s="118">
        <f t="shared" si="2"/>
        <v>4962</v>
      </c>
      <c r="P171" s="109"/>
    </row>
    <row r="172" ht="57" customHeight="1" spans="1:16">
      <c r="A172" s="110" t="s">
        <v>2445</v>
      </c>
      <c r="B172" s="111" t="s">
        <v>2446</v>
      </c>
      <c r="C172" s="111" t="s">
        <v>2447</v>
      </c>
      <c r="D172" s="113"/>
      <c r="E172" s="114"/>
      <c r="F172" s="115" t="s">
        <v>28</v>
      </c>
      <c r="G172" s="99">
        <v>600</v>
      </c>
      <c r="H172" s="119">
        <v>49.5</v>
      </c>
      <c r="I172" s="117"/>
      <c r="J172" s="117"/>
      <c r="K172" s="117"/>
      <c r="L172" s="117"/>
      <c r="M172" s="117"/>
      <c r="N172" s="117"/>
      <c r="O172" s="118">
        <f t="shared" si="2"/>
        <v>29700</v>
      </c>
      <c r="P172" s="109"/>
    </row>
    <row r="173" ht="57" customHeight="1" spans="1:16">
      <c r="A173" s="110" t="s">
        <v>2448</v>
      </c>
      <c r="B173" s="111" t="s">
        <v>2449</v>
      </c>
      <c r="C173" s="111" t="s">
        <v>2450</v>
      </c>
      <c r="D173" s="113"/>
      <c r="E173" s="114"/>
      <c r="F173" s="115" t="s">
        <v>101</v>
      </c>
      <c r="G173" s="99">
        <v>100</v>
      </c>
      <c r="H173" s="119">
        <v>433.75</v>
      </c>
      <c r="I173" s="117"/>
      <c r="J173" s="117"/>
      <c r="K173" s="117"/>
      <c r="L173" s="117"/>
      <c r="M173" s="117"/>
      <c r="N173" s="117"/>
      <c r="O173" s="118">
        <f t="shared" si="2"/>
        <v>43375</v>
      </c>
      <c r="P173" s="109"/>
    </row>
    <row r="174" ht="57" customHeight="1" spans="1:16">
      <c r="A174" s="110" t="s">
        <v>2451</v>
      </c>
      <c r="B174" s="111" t="s">
        <v>2452</v>
      </c>
      <c r="C174" s="111" t="s">
        <v>2453</v>
      </c>
      <c r="D174" s="113"/>
      <c r="E174" s="114"/>
      <c r="F174" s="115" t="s">
        <v>101</v>
      </c>
      <c r="G174" s="99">
        <v>200</v>
      </c>
      <c r="H174" s="119">
        <v>2200</v>
      </c>
      <c r="I174" s="117"/>
      <c r="J174" s="117"/>
      <c r="K174" s="117"/>
      <c r="L174" s="117"/>
      <c r="M174" s="117"/>
      <c r="N174" s="117"/>
      <c r="O174" s="118">
        <f t="shared" si="2"/>
        <v>440000</v>
      </c>
      <c r="P174" s="109"/>
    </row>
    <row r="175" ht="37" customHeight="1" spans="1:16">
      <c r="A175" s="135"/>
      <c r="B175" s="136" t="s">
        <v>158</v>
      </c>
      <c r="C175" s="123"/>
      <c r="D175" s="111"/>
      <c r="E175" s="113"/>
      <c r="F175" s="113"/>
      <c r="G175" s="99"/>
      <c r="H175" s="137"/>
      <c r="I175" s="117"/>
      <c r="J175" s="117"/>
      <c r="K175" s="117"/>
      <c r="L175" s="117"/>
      <c r="M175" s="117"/>
      <c r="N175" s="117"/>
      <c r="O175" s="118">
        <f t="shared" si="2"/>
        <v>0</v>
      </c>
      <c r="P175" s="109"/>
    </row>
    <row r="176" ht="37" customHeight="1" spans="1:16">
      <c r="A176" s="138"/>
      <c r="B176" s="104" t="s">
        <v>1219</v>
      </c>
      <c r="C176" s="139"/>
      <c r="D176" s="140"/>
      <c r="E176" s="138"/>
      <c r="F176" s="138"/>
      <c r="G176" s="141"/>
      <c r="H176" s="142"/>
      <c r="I176" s="142"/>
      <c r="J176" s="142"/>
      <c r="K176" s="142"/>
      <c r="L176" s="142"/>
      <c r="M176" s="117"/>
      <c r="N176" s="117"/>
      <c r="O176" s="117"/>
      <c r="P176" s="109"/>
    </row>
    <row r="177" ht="37" customHeight="1" spans="1:16">
      <c r="A177" s="113"/>
      <c r="B177" s="104" t="s">
        <v>2454</v>
      </c>
      <c r="C177" s="143"/>
      <c r="D177" s="104"/>
      <c r="E177" s="95"/>
      <c r="F177" s="95"/>
      <c r="G177" s="144"/>
      <c r="H177" s="117"/>
      <c r="I177" s="117"/>
      <c r="J177" s="117"/>
      <c r="K177" s="117"/>
      <c r="L177" s="117"/>
      <c r="M177" s="117"/>
      <c r="N177" s="117"/>
      <c r="O177" s="117">
        <f>SUM(O5:O176)</f>
        <v>195856196.87788</v>
      </c>
      <c r="P177" s="109"/>
    </row>
  </sheetData>
  <autoFilter xmlns:etc="http://www.wps.cn/officeDocument/2017/etCustomData" ref="A3:P177" etc:filterBottomFollowUsedRange="0">
    <extLst/>
  </autoFilter>
  <mergeCells count="13">
    <mergeCell ref="A1:P1"/>
    <mergeCell ref="A2:P2"/>
    <mergeCell ref="C5:C11"/>
    <mergeCell ref="C15:C18"/>
    <mergeCell ref="C23:C35"/>
    <mergeCell ref="C42:C54"/>
    <mergeCell ref="C56:C61"/>
    <mergeCell ref="C65:C73"/>
    <mergeCell ref="C78:C81"/>
    <mergeCell ref="C83:C106"/>
    <mergeCell ref="C121:C133"/>
    <mergeCell ref="C136:C149"/>
    <mergeCell ref="C150:C158"/>
  </mergeCells>
  <printOptions horizontalCentered="1"/>
  <pageMargins left="0.590277777777778" right="0.590277777777778" top="0.590277777777778" bottom="0.590277777777778" header="0.196527777777778" footer="0.196527777777778"/>
  <pageSetup paperSize="9" scale="53" orientation="landscape" horizontalDpi="600"/>
  <headerFooter>
    <oddFooter>&amp;C第 &amp;P 页，共 &amp;N 页</oddFooter>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52"/>
  <sheetViews>
    <sheetView view="pageBreakPreview" zoomScaleNormal="90" workbookViewId="0">
      <pane ySplit="3" topLeftCell="A47" activePane="bottomLeft" state="frozen"/>
      <selection/>
      <selection pane="bottomLeft" activeCell="P34" sqref="P34"/>
    </sheetView>
  </sheetViews>
  <sheetFormatPr defaultColWidth="14" defaultRowHeight="12.75"/>
  <cols>
    <col min="1" max="1" width="10" customWidth="1"/>
    <col min="2" max="2" width="25" style="18" customWidth="1"/>
    <col min="3" max="3" width="24.5714285714286" style="18" customWidth="1"/>
    <col min="4" max="4" width="23" style="18" customWidth="1"/>
    <col min="5" max="5" width="7.14285714285714" style="18" customWidth="1"/>
    <col min="6" max="6" width="13.4285714285714" style="18" customWidth="1"/>
    <col min="7" max="7" width="13" style="18" customWidth="1"/>
    <col min="8" max="13" width="10.7142857142857" style="18" customWidth="1"/>
    <col min="14" max="14" width="16" style="18" customWidth="1"/>
    <col min="15" max="15" width="13.8571428571429" style="18" customWidth="1"/>
    <col min="16" max="22" width="15" customWidth="1"/>
  </cols>
  <sheetData>
    <row r="1" ht="24" customHeight="1" spans="1:15">
      <c r="A1" s="19" t="s">
        <v>2455</v>
      </c>
      <c r="B1" s="19"/>
      <c r="C1" s="19"/>
      <c r="D1" s="19"/>
      <c r="E1" s="19"/>
      <c r="F1" s="19"/>
      <c r="G1" s="20"/>
      <c r="H1" s="20"/>
      <c r="I1" s="20"/>
      <c r="J1" s="20"/>
      <c r="K1" s="20"/>
      <c r="L1" s="20"/>
      <c r="M1" s="20"/>
      <c r="N1" s="20"/>
      <c r="O1" s="19"/>
    </row>
    <row r="2" ht="24" customHeight="1" spans="1:15">
      <c r="A2" s="21" t="str">
        <f>'2.1-装饰工程'!A2</f>
        <v>注意：此报价清单每项不得随意更改、删减，如有任何增加项请务必在每大项最后“补充项“中列举，补充项及说明字体颜色均采用蓝色；且所有项目都需要填写。</v>
      </c>
      <c r="B2" s="22"/>
      <c r="C2" s="22"/>
      <c r="D2" s="22"/>
      <c r="E2" s="22"/>
      <c r="F2" s="22"/>
      <c r="G2" s="22"/>
      <c r="H2" s="22"/>
      <c r="I2" s="22"/>
      <c r="J2" s="22"/>
      <c r="K2" s="22"/>
      <c r="L2" s="22"/>
      <c r="M2" s="22"/>
      <c r="N2" s="22"/>
      <c r="O2" s="22"/>
    </row>
    <row r="3" s="75" customFormat="1" ht="24" customHeight="1" spans="1:15">
      <c r="A3" s="76" t="s">
        <v>5</v>
      </c>
      <c r="B3" s="77" t="s">
        <v>6</v>
      </c>
      <c r="C3" s="77" t="s">
        <v>7</v>
      </c>
      <c r="D3" s="77" t="s">
        <v>8</v>
      </c>
      <c r="E3" s="77" t="s">
        <v>10</v>
      </c>
      <c r="F3" s="78" t="s">
        <v>11</v>
      </c>
      <c r="G3" s="32" t="s">
        <v>12</v>
      </c>
      <c r="H3" s="79" t="s">
        <v>13</v>
      </c>
      <c r="I3" s="79" t="s">
        <v>14</v>
      </c>
      <c r="J3" s="79" t="s">
        <v>15</v>
      </c>
      <c r="K3" s="80" t="s">
        <v>16</v>
      </c>
      <c r="L3" s="79" t="s">
        <v>17</v>
      </c>
      <c r="M3" s="79" t="s">
        <v>2</v>
      </c>
      <c r="N3" s="81" t="s">
        <v>18</v>
      </c>
      <c r="O3" s="35" t="s">
        <v>19</v>
      </c>
    </row>
    <row r="4" ht="38" customHeight="1" spans="1:15">
      <c r="A4" s="82" t="s">
        <v>2456</v>
      </c>
      <c r="B4" s="83" t="s">
        <v>2457</v>
      </c>
      <c r="C4" s="26"/>
      <c r="D4" s="26"/>
      <c r="E4" s="84"/>
      <c r="F4" s="27"/>
      <c r="G4" s="85"/>
      <c r="H4" s="85"/>
      <c r="I4" s="85"/>
      <c r="J4" s="85"/>
      <c r="K4" s="85"/>
      <c r="L4" s="85"/>
      <c r="M4" s="85"/>
      <c r="N4" s="85"/>
      <c r="O4" s="31"/>
    </row>
    <row r="5" ht="50" customHeight="1" spans="1:15">
      <c r="A5" s="24" t="s">
        <v>2458</v>
      </c>
      <c r="B5" s="30" t="s">
        <v>2459</v>
      </c>
      <c r="C5" s="30" t="s">
        <v>2460</v>
      </c>
      <c r="D5" s="30" t="s">
        <v>2461</v>
      </c>
      <c r="E5" s="24" t="s">
        <v>2462</v>
      </c>
      <c r="F5" s="32">
        <v>900</v>
      </c>
      <c r="G5" s="85">
        <v>60</v>
      </c>
      <c r="H5" s="85"/>
      <c r="I5" s="85"/>
      <c r="J5" s="85"/>
      <c r="K5" s="85"/>
      <c r="L5" s="85"/>
      <c r="M5" s="85"/>
      <c r="N5" s="86">
        <f t="shared" ref="N5:N33" si="0">F5*G5</f>
        <v>54000</v>
      </c>
      <c r="O5" s="87"/>
    </row>
    <row r="6" ht="50" customHeight="1" spans="1:15">
      <c r="A6" s="24" t="s">
        <v>2463</v>
      </c>
      <c r="B6" s="88" t="s">
        <v>2464</v>
      </c>
      <c r="C6" s="88" t="s">
        <v>2460</v>
      </c>
      <c r="D6" s="88" t="s">
        <v>2461</v>
      </c>
      <c r="E6" s="89" t="s">
        <v>2462</v>
      </c>
      <c r="F6" s="32">
        <v>900</v>
      </c>
      <c r="G6" s="90">
        <v>110</v>
      </c>
      <c r="H6" s="91"/>
      <c r="I6" s="91"/>
      <c r="J6" s="91"/>
      <c r="K6" s="91"/>
      <c r="L6" s="91"/>
      <c r="M6" s="91"/>
      <c r="N6" s="86">
        <f t="shared" si="0"/>
        <v>99000</v>
      </c>
      <c r="O6" s="92"/>
    </row>
    <row r="7" ht="50" customHeight="1" spans="1:15">
      <c r="A7" s="24" t="s">
        <v>2465</v>
      </c>
      <c r="B7" s="30" t="s">
        <v>2466</v>
      </c>
      <c r="C7" s="30" t="s">
        <v>2460</v>
      </c>
      <c r="D7" s="30" t="s">
        <v>2461</v>
      </c>
      <c r="E7" s="24" t="s">
        <v>2462</v>
      </c>
      <c r="F7" s="32">
        <v>900</v>
      </c>
      <c r="G7" s="33">
        <v>145</v>
      </c>
      <c r="H7" s="85"/>
      <c r="I7" s="85"/>
      <c r="J7" s="85"/>
      <c r="K7" s="85"/>
      <c r="L7" s="85"/>
      <c r="M7" s="85"/>
      <c r="N7" s="86">
        <f t="shared" si="0"/>
        <v>130500</v>
      </c>
      <c r="O7" s="87"/>
    </row>
    <row r="8" ht="50" customHeight="1" spans="1:15">
      <c r="A8" s="24" t="s">
        <v>2467</v>
      </c>
      <c r="B8" s="30" t="s">
        <v>2468</v>
      </c>
      <c r="C8" s="93" t="s">
        <v>2469</v>
      </c>
      <c r="D8" s="30" t="s">
        <v>2461</v>
      </c>
      <c r="E8" s="24" t="s">
        <v>2470</v>
      </c>
      <c r="F8" s="32">
        <v>1350</v>
      </c>
      <c r="G8" s="33">
        <f t="shared" ref="G8:G31" si="1">SUM(H8:M8)</f>
        <v>244.848484848484</v>
      </c>
      <c r="H8" s="85">
        <v>218.674242424242</v>
      </c>
      <c r="I8" s="85">
        <v>22.67</v>
      </c>
      <c r="J8" s="85">
        <v>1.08</v>
      </c>
      <c r="K8" s="85">
        <f>(H8+I8+J8)*'2-报价汇总'!$H$5</f>
        <v>2.42424242424242</v>
      </c>
      <c r="L8" s="94">
        <f>(H8+I8+J8+K8)*'2-报价汇总'!$I$5</f>
        <v>0</v>
      </c>
      <c r="M8" s="94">
        <f>(L8+K8+J8+I8+H8)*'2-报价汇总'!$J$5</f>
        <v>0</v>
      </c>
      <c r="N8" s="86">
        <f t="shared" si="0"/>
        <v>330545.454545454</v>
      </c>
      <c r="O8" s="85"/>
    </row>
    <row r="9" ht="50" customHeight="1" spans="1:15">
      <c r="A9" s="24" t="s">
        <v>2471</v>
      </c>
      <c r="B9" s="30" t="s">
        <v>2472</v>
      </c>
      <c r="C9" s="93" t="s">
        <v>2469</v>
      </c>
      <c r="D9" s="30" t="s">
        <v>2461</v>
      </c>
      <c r="E9" s="24" t="s">
        <v>2470</v>
      </c>
      <c r="F9" s="32">
        <v>1350</v>
      </c>
      <c r="G9" s="33">
        <f t="shared" si="1"/>
        <v>279.82683982684</v>
      </c>
      <c r="H9" s="85">
        <v>257.426277056277</v>
      </c>
      <c r="I9" s="85">
        <v>18.13</v>
      </c>
      <c r="J9" s="85">
        <v>1.5</v>
      </c>
      <c r="K9" s="85">
        <f>(H9+I9+J9)*'2-报价汇总'!$H$5</f>
        <v>2.77056277056277</v>
      </c>
      <c r="L9" s="94">
        <f>(H9+I9+J9+K9)*'2-报价汇总'!$I$5</f>
        <v>0</v>
      </c>
      <c r="M9" s="94">
        <f>(L9+K9+J9+I9+H9)*'2-报价汇总'!$J$5</f>
        <v>0</v>
      </c>
      <c r="N9" s="86">
        <f t="shared" si="0"/>
        <v>377766.233766234</v>
      </c>
      <c r="O9" s="85"/>
    </row>
    <row r="10" ht="78" customHeight="1" spans="1:15">
      <c r="A10" s="24" t="s">
        <v>2473</v>
      </c>
      <c r="B10" s="30" t="s">
        <v>2474</v>
      </c>
      <c r="C10" s="30" t="s">
        <v>2475</v>
      </c>
      <c r="D10" s="30" t="s">
        <v>1494</v>
      </c>
      <c r="E10" s="24" t="s">
        <v>1443</v>
      </c>
      <c r="F10" s="32">
        <v>459</v>
      </c>
      <c r="G10" s="33">
        <f t="shared" si="1"/>
        <v>2929.43722943723</v>
      </c>
      <c r="H10" s="85">
        <v>560.5929004329</v>
      </c>
      <c r="I10" s="85">
        <v>2306.5</v>
      </c>
      <c r="J10" s="85">
        <v>33.34</v>
      </c>
      <c r="K10" s="85">
        <f>(H10+I10+J10)*'2-报价汇总'!$H$5</f>
        <v>29.004329004329</v>
      </c>
      <c r="L10" s="94">
        <f>(H10+I10+J10+K10)*'2-报价汇总'!$I$5</f>
        <v>0</v>
      </c>
      <c r="M10" s="94">
        <f>(L10+K10+J10+I10+H10)*'2-报价汇总'!$J$5</f>
        <v>0</v>
      </c>
      <c r="N10" s="86">
        <f t="shared" si="0"/>
        <v>1344611.68831169</v>
      </c>
      <c r="O10" s="85"/>
    </row>
    <row r="11" ht="78" customHeight="1" spans="1:15">
      <c r="A11" s="24" t="s">
        <v>2476</v>
      </c>
      <c r="B11" s="30" t="s">
        <v>2477</v>
      </c>
      <c r="C11" s="30" t="s">
        <v>2478</v>
      </c>
      <c r="D11" s="30" t="s">
        <v>1494</v>
      </c>
      <c r="E11" s="24" t="s">
        <v>89</v>
      </c>
      <c r="F11" s="32">
        <v>500</v>
      </c>
      <c r="G11" s="33">
        <f t="shared" si="1"/>
        <v>73.1922077922078</v>
      </c>
      <c r="H11" s="85">
        <v>30.7075324675325</v>
      </c>
      <c r="I11" s="85">
        <v>39.7</v>
      </c>
      <c r="J11" s="85">
        <v>2.06</v>
      </c>
      <c r="K11" s="85">
        <f>(H11+I11+J11)*'2-报价汇总'!$H$5</f>
        <v>0.724675324675325</v>
      </c>
      <c r="L11" s="94">
        <f>(H11+I11+J11+K11)*'2-报价汇总'!$I$5</f>
        <v>0</v>
      </c>
      <c r="M11" s="94">
        <f>(L11+K11+J11+I11+H11)*'2-报价汇总'!$J$5</f>
        <v>0</v>
      </c>
      <c r="N11" s="86">
        <f t="shared" si="0"/>
        <v>36596.1038961039</v>
      </c>
      <c r="O11" s="85"/>
    </row>
    <row r="12" ht="78" customHeight="1" spans="1:15">
      <c r="A12" s="24" t="s">
        <v>2479</v>
      </c>
      <c r="B12" s="30" t="s">
        <v>2480</v>
      </c>
      <c r="C12" s="30" t="s">
        <v>2478</v>
      </c>
      <c r="D12" s="30" t="s">
        <v>1494</v>
      </c>
      <c r="E12" s="24" t="s">
        <v>89</v>
      </c>
      <c r="F12" s="32">
        <v>500</v>
      </c>
      <c r="G12" s="33">
        <f t="shared" si="1"/>
        <v>51.9428571428571</v>
      </c>
      <c r="H12" s="85">
        <v>18.4485714285714</v>
      </c>
      <c r="I12" s="85">
        <v>30.87</v>
      </c>
      <c r="J12" s="85">
        <v>2.11</v>
      </c>
      <c r="K12" s="85">
        <f>(H12+I12+J12)*'2-报价汇总'!$H$5</f>
        <v>0.514285714285714</v>
      </c>
      <c r="L12" s="94">
        <f>(H12+I12+J12+K12)*'2-报价汇总'!$I$5</f>
        <v>0</v>
      </c>
      <c r="M12" s="94">
        <f>(L12+K12+J12+I12+H12)*'2-报价汇总'!$J$5</f>
        <v>0</v>
      </c>
      <c r="N12" s="86">
        <f t="shared" si="0"/>
        <v>25971.4285714286</v>
      </c>
      <c r="O12" s="85"/>
    </row>
    <row r="13" ht="78" customHeight="1" spans="1:15">
      <c r="A13" s="24" t="s">
        <v>2481</v>
      </c>
      <c r="B13" s="30" t="s">
        <v>2482</v>
      </c>
      <c r="C13" s="30" t="s">
        <v>2478</v>
      </c>
      <c r="D13" s="30" t="s">
        <v>1494</v>
      </c>
      <c r="E13" s="24" t="s">
        <v>89</v>
      </c>
      <c r="F13" s="32">
        <v>500</v>
      </c>
      <c r="G13" s="33">
        <f t="shared" si="1"/>
        <v>46.2588744588745</v>
      </c>
      <c r="H13" s="85">
        <v>18.6708658008658</v>
      </c>
      <c r="I13" s="85">
        <v>25.06</v>
      </c>
      <c r="J13" s="85">
        <v>2.07</v>
      </c>
      <c r="K13" s="85">
        <f>(H13+I13+J13)*'2-报价汇总'!$H$5</f>
        <v>0.458008658008658</v>
      </c>
      <c r="L13" s="94">
        <f>(H13+I13+J13+K13)*'2-报价汇总'!$I$5</f>
        <v>0</v>
      </c>
      <c r="M13" s="94">
        <f>(L13+K13+J13+I13+H13)*'2-报价汇总'!$J$5</f>
        <v>0</v>
      </c>
      <c r="N13" s="86">
        <f t="shared" si="0"/>
        <v>23129.4372294372</v>
      </c>
      <c r="O13" s="85"/>
    </row>
    <row r="14" ht="78" customHeight="1" spans="1:15">
      <c r="A14" s="24" t="s">
        <v>2483</v>
      </c>
      <c r="B14" s="30" t="s">
        <v>2484</v>
      </c>
      <c r="C14" s="30" t="s">
        <v>2478</v>
      </c>
      <c r="D14" s="30" t="s">
        <v>1494</v>
      </c>
      <c r="E14" s="24" t="s">
        <v>89</v>
      </c>
      <c r="F14" s="32">
        <v>500</v>
      </c>
      <c r="G14" s="33">
        <f t="shared" si="1"/>
        <v>41.5367965367965</v>
      </c>
      <c r="H14" s="85">
        <v>17.0055411255411</v>
      </c>
      <c r="I14" s="85">
        <v>22.2</v>
      </c>
      <c r="J14" s="85">
        <v>1.92</v>
      </c>
      <c r="K14" s="85">
        <f>(H14+I14+J14)*'2-报价汇总'!$H$5</f>
        <v>0.411255411255411</v>
      </c>
      <c r="L14" s="94">
        <f>(H14+I14+J14+K14)*'2-报价汇总'!$I$5</f>
        <v>0</v>
      </c>
      <c r="M14" s="94">
        <f>(L14+K14+J14+I14+H14)*'2-报价汇总'!$J$5</f>
        <v>0</v>
      </c>
      <c r="N14" s="86">
        <f t="shared" si="0"/>
        <v>20768.3982683983</v>
      </c>
      <c r="O14" s="85"/>
    </row>
    <row r="15" ht="78" customHeight="1" spans="1:15">
      <c r="A15" s="24" t="s">
        <v>2485</v>
      </c>
      <c r="B15" s="30" t="s">
        <v>2486</v>
      </c>
      <c r="C15" s="30" t="s">
        <v>2487</v>
      </c>
      <c r="D15" s="30" t="s">
        <v>1494</v>
      </c>
      <c r="E15" s="24" t="s">
        <v>89</v>
      </c>
      <c r="F15" s="32">
        <v>500</v>
      </c>
      <c r="G15" s="33">
        <f t="shared" si="1"/>
        <v>33.4917748917749</v>
      </c>
      <c r="H15" s="85">
        <v>18.2701731601732</v>
      </c>
      <c r="I15" s="85">
        <v>13.65</v>
      </c>
      <c r="J15" s="85">
        <v>1.24</v>
      </c>
      <c r="K15" s="85">
        <f>(H15+I15+J15)*'2-报价汇总'!$H$5</f>
        <v>0.331601731601732</v>
      </c>
      <c r="L15" s="94">
        <f>(H15+I15+J15+K15)*'2-报价汇总'!$I$5</f>
        <v>0</v>
      </c>
      <c r="M15" s="94">
        <f>(L15+K15+J15+I15+H15)*'2-报价汇总'!$J$5</f>
        <v>0</v>
      </c>
      <c r="N15" s="86">
        <f t="shared" si="0"/>
        <v>16745.8874458875</v>
      </c>
      <c r="O15" s="85"/>
    </row>
    <row r="16" ht="78" customHeight="1" spans="1:15">
      <c r="A16" s="24" t="s">
        <v>2488</v>
      </c>
      <c r="B16" s="30" t="s">
        <v>2489</v>
      </c>
      <c r="C16" s="30" t="s">
        <v>2478</v>
      </c>
      <c r="D16" s="30" t="s">
        <v>1494</v>
      </c>
      <c r="E16" s="24" t="s">
        <v>89</v>
      </c>
      <c r="F16" s="32">
        <v>500</v>
      </c>
      <c r="G16" s="33">
        <f t="shared" si="1"/>
        <v>25.0095238095238</v>
      </c>
      <c r="H16" s="85">
        <v>13.6719047619048</v>
      </c>
      <c r="I16" s="85">
        <v>9.97</v>
      </c>
      <c r="J16" s="85">
        <v>1.12</v>
      </c>
      <c r="K16" s="85">
        <f>(H16+I16+J16)*'2-报价汇总'!$H$5</f>
        <v>0.247619047619048</v>
      </c>
      <c r="L16" s="94">
        <f>(H16+I16+J16+K16)*'2-报价汇总'!$I$5</f>
        <v>0</v>
      </c>
      <c r="M16" s="94">
        <f>(L16+K16+J16+I16+H16)*'2-报价汇总'!$J$5</f>
        <v>0</v>
      </c>
      <c r="N16" s="86">
        <f t="shared" si="0"/>
        <v>12504.7619047619</v>
      </c>
      <c r="O16" s="85"/>
    </row>
    <row r="17" ht="50" customHeight="1" spans="1:15">
      <c r="A17" s="24" t="s">
        <v>2490</v>
      </c>
      <c r="B17" s="30" t="s">
        <v>2491</v>
      </c>
      <c r="C17" s="30" t="s">
        <v>2492</v>
      </c>
      <c r="D17" s="30" t="s">
        <v>2493</v>
      </c>
      <c r="E17" s="24" t="s">
        <v>2494</v>
      </c>
      <c r="F17" s="32">
        <v>300</v>
      </c>
      <c r="G17" s="33">
        <f t="shared" si="1"/>
        <v>33.2294372294372</v>
      </c>
      <c r="H17" s="85">
        <v>8.7504329004329</v>
      </c>
      <c r="I17" s="85">
        <v>23.72</v>
      </c>
      <c r="J17" s="85">
        <v>0.43</v>
      </c>
      <c r="K17" s="85">
        <f>(H17+I17+J17)*'2-报价汇总'!$H$5</f>
        <v>0.329004329004329</v>
      </c>
      <c r="L17" s="94">
        <f>(H17+I17+J17+K17)*'2-报价汇总'!$I$5</f>
        <v>0</v>
      </c>
      <c r="M17" s="94">
        <f>(L17+K17+J17+I17+H17)*'2-报价汇总'!$J$5</f>
        <v>0</v>
      </c>
      <c r="N17" s="86">
        <f t="shared" si="0"/>
        <v>9968.83116883117</v>
      </c>
      <c r="O17" s="85"/>
    </row>
    <row r="18" ht="50" customHeight="1" spans="1:15">
      <c r="A18" s="24" t="s">
        <v>2495</v>
      </c>
      <c r="B18" s="30" t="s">
        <v>2496</v>
      </c>
      <c r="C18" s="30" t="s">
        <v>2492</v>
      </c>
      <c r="D18" s="30" t="s">
        <v>2461</v>
      </c>
      <c r="E18" s="24" t="s">
        <v>2494</v>
      </c>
      <c r="F18" s="32">
        <v>300</v>
      </c>
      <c r="G18" s="33">
        <f t="shared" si="1"/>
        <v>44.4924675324675</v>
      </c>
      <c r="H18" s="85">
        <v>7.78194805194805</v>
      </c>
      <c r="I18" s="85">
        <v>35.84</v>
      </c>
      <c r="J18" s="85">
        <v>0.43</v>
      </c>
      <c r="K18" s="85">
        <f>(H18+I18+J18)*'2-报价汇总'!$H$5</f>
        <v>0.440519480519481</v>
      </c>
      <c r="L18" s="94">
        <f>(H18+I18+J18+K18)*'2-报价汇总'!$I$5</f>
        <v>0</v>
      </c>
      <c r="M18" s="94">
        <f>(L18+K18+J18+I18+H18)*'2-报价汇总'!$J$5</f>
        <v>0</v>
      </c>
      <c r="N18" s="86">
        <f t="shared" si="0"/>
        <v>13347.7402597403</v>
      </c>
      <c r="O18" s="85"/>
    </row>
    <row r="19" ht="50" customHeight="1" spans="1:15">
      <c r="A19" s="24" t="s">
        <v>2497</v>
      </c>
      <c r="B19" s="30" t="s">
        <v>2498</v>
      </c>
      <c r="C19" s="30" t="s">
        <v>2492</v>
      </c>
      <c r="D19" s="30" t="s">
        <v>2461</v>
      </c>
      <c r="E19" s="24" t="s">
        <v>2494</v>
      </c>
      <c r="F19" s="32">
        <v>300</v>
      </c>
      <c r="G19" s="33">
        <f t="shared" si="1"/>
        <v>38.7735064935065</v>
      </c>
      <c r="H19" s="85">
        <v>4.13961038961039</v>
      </c>
      <c r="I19" s="85">
        <v>33.82</v>
      </c>
      <c r="J19" s="85">
        <v>0.43</v>
      </c>
      <c r="K19" s="85">
        <f>(H19+I19+J19)*'2-报价汇总'!$H$5</f>
        <v>0.383896103896104</v>
      </c>
      <c r="L19" s="94">
        <f>(H19+I19+J19+K19)*'2-报价汇总'!$I$5</f>
        <v>0</v>
      </c>
      <c r="M19" s="94">
        <f>(L19+K19+J19+I19+H19)*'2-报价汇总'!$J$5</f>
        <v>0</v>
      </c>
      <c r="N19" s="86">
        <f t="shared" si="0"/>
        <v>11632.0519480519</v>
      </c>
      <c r="O19" s="85"/>
    </row>
    <row r="20" ht="50" customHeight="1" spans="1:15">
      <c r="A20" s="24" t="s">
        <v>2499</v>
      </c>
      <c r="B20" s="30" t="s">
        <v>2500</v>
      </c>
      <c r="C20" s="30" t="s">
        <v>2492</v>
      </c>
      <c r="D20" s="30" t="s">
        <v>2461</v>
      </c>
      <c r="E20" s="24" t="s">
        <v>2494</v>
      </c>
      <c r="F20" s="32">
        <v>1200</v>
      </c>
      <c r="G20" s="33">
        <f t="shared" si="1"/>
        <v>86.221645021645</v>
      </c>
      <c r="H20" s="85">
        <v>8.18796536796536</v>
      </c>
      <c r="I20" s="85">
        <v>76.34</v>
      </c>
      <c r="J20" s="85">
        <v>0.84</v>
      </c>
      <c r="K20" s="85">
        <f>(H20+I20+J20)*'2-报价汇总'!$H$5</f>
        <v>0.853679653679654</v>
      </c>
      <c r="L20" s="94">
        <f>(H20+I20+J20+K20)*'2-报价汇总'!$I$5</f>
        <v>0</v>
      </c>
      <c r="M20" s="94">
        <f>(L20+K20+J20+I20+H20)*'2-报价汇总'!$J$5</f>
        <v>0</v>
      </c>
      <c r="N20" s="86">
        <f t="shared" si="0"/>
        <v>103465.974025974</v>
      </c>
      <c r="O20" s="85"/>
    </row>
    <row r="21" ht="50" customHeight="1" spans="1:15">
      <c r="A21" s="24" t="s">
        <v>2501</v>
      </c>
      <c r="B21" s="30" t="s">
        <v>2502</v>
      </c>
      <c r="C21" s="30" t="s">
        <v>2492</v>
      </c>
      <c r="D21" s="30" t="s">
        <v>2461</v>
      </c>
      <c r="E21" s="24" t="s">
        <v>2494</v>
      </c>
      <c r="F21" s="32">
        <v>450</v>
      </c>
      <c r="G21" s="33">
        <f t="shared" si="1"/>
        <v>64.447619047619</v>
      </c>
      <c r="H21" s="85">
        <v>6.09952380952381</v>
      </c>
      <c r="I21" s="85">
        <v>56.99</v>
      </c>
      <c r="J21" s="85">
        <v>0.72</v>
      </c>
      <c r="K21" s="85">
        <f>(H21+I21+J21)*'2-报价汇总'!$H$5</f>
        <v>0.638095238095238</v>
      </c>
      <c r="L21" s="94">
        <f>(H21+I21+J21+K21)*'2-报价汇总'!$I$5</f>
        <v>0</v>
      </c>
      <c r="M21" s="94">
        <f>(L21+K21+J21+I21+H21)*'2-报价汇总'!$J$5</f>
        <v>0</v>
      </c>
      <c r="N21" s="86">
        <f t="shared" si="0"/>
        <v>29001.4285714286</v>
      </c>
      <c r="O21" s="85"/>
    </row>
    <row r="22" ht="50" customHeight="1" spans="1:15">
      <c r="A22" s="24" t="s">
        <v>2503</v>
      </c>
      <c r="B22" s="30" t="s">
        <v>2504</v>
      </c>
      <c r="C22" s="30" t="s">
        <v>2492</v>
      </c>
      <c r="D22" s="30" t="s">
        <v>2461</v>
      </c>
      <c r="E22" s="24" t="s">
        <v>2494</v>
      </c>
      <c r="F22" s="32">
        <v>450</v>
      </c>
      <c r="G22" s="33">
        <f t="shared" si="1"/>
        <v>55.2658008658009</v>
      </c>
      <c r="H22" s="85">
        <v>6.54861471861472</v>
      </c>
      <c r="I22" s="85">
        <v>47.47</v>
      </c>
      <c r="J22" s="85">
        <v>0.7</v>
      </c>
      <c r="K22" s="85">
        <f>(H22+I22+J22)*'2-报价汇总'!$H$5</f>
        <v>0.547186147186147</v>
      </c>
      <c r="L22" s="94">
        <f>(H22+I22+J22+K22)*'2-报价汇总'!$I$5</f>
        <v>0</v>
      </c>
      <c r="M22" s="94">
        <f>(L22+K22+J22+I22+H22)*'2-报价汇总'!$J$5</f>
        <v>0</v>
      </c>
      <c r="N22" s="86">
        <f t="shared" si="0"/>
        <v>24869.6103896104</v>
      </c>
      <c r="O22" s="85"/>
    </row>
    <row r="23" ht="50" customHeight="1" spans="1:15">
      <c r="A23" s="24" t="s">
        <v>2505</v>
      </c>
      <c r="B23" s="30" t="s">
        <v>2506</v>
      </c>
      <c r="C23" s="30" t="s">
        <v>2492</v>
      </c>
      <c r="D23" s="30" t="s">
        <v>2461</v>
      </c>
      <c r="E23" s="24" t="s">
        <v>2494</v>
      </c>
      <c r="F23" s="32">
        <v>450</v>
      </c>
      <c r="G23" s="33">
        <f t="shared" si="1"/>
        <v>69.8046124098125</v>
      </c>
      <c r="H23" s="85">
        <v>29.7234776334777</v>
      </c>
      <c r="I23" s="85">
        <v>38.97</v>
      </c>
      <c r="J23" s="85">
        <v>0.42</v>
      </c>
      <c r="K23" s="85">
        <f>(H23+I23+J23)*'2-报价汇总'!$H$5</f>
        <v>0.691134776334777</v>
      </c>
      <c r="L23" s="94">
        <f>(H23+I23+J23+K23)*'2-报价汇总'!$I$5</f>
        <v>0</v>
      </c>
      <c r="M23" s="94">
        <f>(L23+K23+J23+I23+H23)*'2-报价汇总'!$J$5</f>
        <v>0</v>
      </c>
      <c r="N23" s="86">
        <f t="shared" si="0"/>
        <v>31412.0755844156</v>
      </c>
      <c r="O23" s="85"/>
    </row>
    <row r="24" ht="50" customHeight="1" spans="1:15">
      <c r="A24" s="24" t="s">
        <v>2507</v>
      </c>
      <c r="B24" s="30" t="s">
        <v>2508</v>
      </c>
      <c r="C24" s="30" t="s">
        <v>2492</v>
      </c>
      <c r="D24" s="30" t="s">
        <v>2461</v>
      </c>
      <c r="E24" s="24" t="s">
        <v>2494</v>
      </c>
      <c r="F24" s="32">
        <v>450</v>
      </c>
      <c r="G24" s="33">
        <f t="shared" si="1"/>
        <v>39.7004329004329</v>
      </c>
      <c r="H24" s="85">
        <v>16.9873593073593</v>
      </c>
      <c r="I24" s="85">
        <v>21.89</v>
      </c>
      <c r="J24" s="85">
        <v>0.43</v>
      </c>
      <c r="K24" s="85">
        <f>(H24+I24+J24)*'2-报价汇总'!$H$5</f>
        <v>0.393073593073593</v>
      </c>
      <c r="L24" s="94">
        <f>(H24+I24+J24+K24)*'2-报价汇总'!$I$5</f>
        <v>0</v>
      </c>
      <c r="M24" s="94">
        <f>(L24+K24+J24+I24+H24)*'2-报价汇总'!$J$5</f>
        <v>0</v>
      </c>
      <c r="N24" s="86">
        <f t="shared" si="0"/>
        <v>17865.1948051948</v>
      </c>
      <c r="O24" s="85"/>
    </row>
    <row r="25" ht="50" customHeight="1" spans="1:15">
      <c r="A25" s="24" t="s">
        <v>2509</v>
      </c>
      <c r="B25" s="30" t="s">
        <v>2510</v>
      </c>
      <c r="C25" s="30" t="s">
        <v>2492</v>
      </c>
      <c r="D25" s="30" t="s">
        <v>2461</v>
      </c>
      <c r="E25" s="24" t="s">
        <v>2494</v>
      </c>
      <c r="F25" s="32">
        <v>450</v>
      </c>
      <c r="G25" s="33">
        <f t="shared" si="1"/>
        <v>48.7948051948052</v>
      </c>
      <c r="H25" s="85">
        <v>8.36168831168831</v>
      </c>
      <c r="I25" s="85">
        <v>39.43</v>
      </c>
      <c r="J25" s="85">
        <v>0.52</v>
      </c>
      <c r="K25" s="85">
        <f>(H25+I25+J25)*'2-报价汇总'!$H$5</f>
        <v>0.483116883116883</v>
      </c>
      <c r="L25" s="94">
        <f>(H25+I25+J25+K25)*'2-报价汇总'!$I$5</f>
        <v>0</v>
      </c>
      <c r="M25" s="94">
        <f>(L25+K25+J25+I25+H25)*'2-报价汇总'!$J$5</f>
        <v>0</v>
      </c>
      <c r="N25" s="86">
        <f t="shared" si="0"/>
        <v>21957.6623376623</v>
      </c>
      <c r="O25" s="85"/>
    </row>
    <row r="26" ht="50" customHeight="1" spans="1:15">
      <c r="A26" s="24" t="s">
        <v>2511</v>
      </c>
      <c r="B26" s="30" t="s">
        <v>2512</v>
      </c>
      <c r="C26" s="30" t="s">
        <v>2492</v>
      </c>
      <c r="D26" s="30" t="s">
        <v>2461</v>
      </c>
      <c r="E26" s="24" t="s">
        <v>2494</v>
      </c>
      <c r="F26" s="32">
        <v>800</v>
      </c>
      <c r="G26" s="33">
        <f t="shared" si="1"/>
        <v>44.5099567099567</v>
      </c>
      <c r="H26" s="85">
        <v>21.0192640692641</v>
      </c>
      <c r="I26" s="85">
        <v>22.63</v>
      </c>
      <c r="J26" s="85">
        <v>0.42</v>
      </c>
      <c r="K26" s="85">
        <f>(H26+I26+J26)*'2-报价汇总'!$H$5</f>
        <v>0.440692640692641</v>
      </c>
      <c r="L26" s="94">
        <f>(H26+I26+J26+K26)*'2-报价汇总'!$I$5</f>
        <v>0</v>
      </c>
      <c r="M26" s="94">
        <f>(L26+K26+J26+I26+H26)*'2-报价汇总'!$J$5</f>
        <v>0</v>
      </c>
      <c r="N26" s="86">
        <f t="shared" si="0"/>
        <v>35607.9653679654</v>
      </c>
      <c r="O26" s="85"/>
    </row>
    <row r="27" ht="50" customHeight="1" spans="1:15">
      <c r="A27" s="24" t="s">
        <v>2513</v>
      </c>
      <c r="B27" s="30" t="s">
        <v>2514</v>
      </c>
      <c r="C27" s="30" t="s">
        <v>2492</v>
      </c>
      <c r="D27" s="30" t="s">
        <v>2461</v>
      </c>
      <c r="E27" s="24" t="s">
        <v>2494</v>
      </c>
      <c r="F27" s="32">
        <v>800</v>
      </c>
      <c r="G27" s="33">
        <f t="shared" si="1"/>
        <v>59.7255411255411</v>
      </c>
      <c r="H27" s="85">
        <v>24.8841991341991</v>
      </c>
      <c r="I27" s="85">
        <v>33.82</v>
      </c>
      <c r="J27" s="85">
        <v>0.43</v>
      </c>
      <c r="K27" s="85">
        <f>(H27+I27+J27)*'2-报价汇总'!$H$5</f>
        <v>0.591341991341991</v>
      </c>
      <c r="L27" s="94">
        <f>(H27+I27+J27+K27)*'2-报价汇总'!$I$5</f>
        <v>0</v>
      </c>
      <c r="M27" s="94">
        <f>(L27+K27+J27+I27+H27)*'2-报价汇总'!$J$5</f>
        <v>0</v>
      </c>
      <c r="N27" s="86">
        <f t="shared" si="0"/>
        <v>47780.4329004329</v>
      </c>
      <c r="O27" s="85"/>
    </row>
    <row r="28" ht="50" customHeight="1" spans="1:15">
      <c r="A28" s="24" t="s">
        <v>2515</v>
      </c>
      <c r="B28" s="30" t="s">
        <v>2516</v>
      </c>
      <c r="C28" s="30" t="s">
        <v>2492</v>
      </c>
      <c r="D28" s="30" t="s">
        <v>2461</v>
      </c>
      <c r="E28" s="24" t="s">
        <v>2494</v>
      </c>
      <c r="F28" s="32">
        <v>800</v>
      </c>
      <c r="G28" s="33">
        <f t="shared" si="1"/>
        <v>63.3108225108225</v>
      </c>
      <c r="H28" s="85">
        <v>16.6739826839827</v>
      </c>
      <c r="I28" s="85">
        <v>45.49</v>
      </c>
      <c r="J28" s="85">
        <v>0.52</v>
      </c>
      <c r="K28" s="85">
        <f>(H28+I28+J28)*'2-报价汇总'!$H$5</f>
        <v>0.626839826839827</v>
      </c>
      <c r="L28" s="94">
        <f>(H28+I28+J28+K28)*'2-报价汇总'!$I$5</f>
        <v>0</v>
      </c>
      <c r="M28" s="94">
        <f>(L28+K28+J28+I28+H28)*'2-报价汇总'!$J$5</f>
        <v>0</v>
      </c>
      <c r="N28" s="86">
        <f t="shared" si="0"/>
        <v>50648.658008658</v>
      </c>
      <c r="O28" s="85"/>
    </row>
    <row r="29" ht="50" customHeight="1" spans="1:15">
      <c r="A29" s="24" t="s">
        <v>2517</v>
      </c>
      <c r="B29" s="30" t="s">
        <v>2518</v>
      </c>
      <c r="C29" s="30" t="s">
        <v>2492</v>
      </c>
      <c r="D29" s="30" t="s">
        <v>2461</v>
      </c>
      <c r="E29" s="24" t="s">
        <v>2494</v>
      </c>
      <c r="F29" s="32">
        <v>800</v>
      </c>
      <c r="G29" s="33">
        <f t="shared" si="1"/>
        <v>77.3896103896104</v>
      </c>
      <c r="H29" s="85">
        <v>20.7433766233766</v>
      </c>
      <c r="I29" s="85">
        <v>55.29</v>
      </c>
      <c r="J29" s="85">
        <v>0.59</v>
      </c>
      <c r="K29" s="85">
        <f>(H29+I29+J29)*'2-报价汇总'!$H$5</f>
        <v>0.766233766233766</v>
      </c>
      <c r="L29" s="94">
        <f>(H29+I29+J29+K29)*'2-报价汇总'!$I$5</f>
        <v>0</v>
      </c>
      <c r="M29" s="94">
        <f>(L29+K29+J29+I29+H29)*'2-报价汇总'!$J$5</f>
        <v>0</v>
      </c>
      <c r="N29" s="86">
        <f t="shared" si="0"/>
        <v>61911.6883116883</v>
      </c>
      <c r="O29" s="85"/>
    </row>
    <row r="30" ht="50" customHeight="1" spans="1:15">
      <c r="A30" s="24" t="s">
        <v>2519</v>
      </c>
      <c r="B30" s="30" t="s">
        <v>2520</v>
      </c>
      <c r="C30" s="30" t="s">
        <v>2492</v>
      </c>
      <c r="D30" s="30" t="s">
        <v>2461</v>
      </c>
      <c r="E30" s="24" t="s">
        <v>2494</v>
      </c>
      <c r="F30" s="32">
        <v>800</v>
      </c>
      <c r="G30" s="33">
        <f t="shared" si="1"/>
        <v>79.7506493506493</v>
      </c>
      <c r="H30" s="85">
        <v>9.24103896103896</v>
      </c>
      <c r="I30" s="85">
        <v>68.84</v>
      </c>
      <c r="J30" s="85">
        <v>0.88</v>
      </c>
      <c r="K30" s="85">
        <f>(H30+I30+J30)*'2-报价汇总'!$H$5</f>
        <v>0.78961038961039</v>
      </c>
      <c r="L30" s="94">
        <f>(H30+I30+J30+K30)*'2-报价汇总'!$I$5</f>
        <v>0</v>
      </c>
      <c r="M30" s="94">
        <f>(L30+K30+J30+I30+H30)*'2-报价汇总'!$J$5</f>
        <v>0</v>
      </c>
      <c r="N30" s="86">
        <f t="shared" si="0"/>
        <v>63800.5194805195</v>
      </c>
      <c r="O30" s="85"/>
    </row>
    <row r="31" ht="50" customHeight="1" spans="1:15">
      <c r="A31" s="24" t="s">
        <v>2521</v>
      </c>
      <c r="B31" s="30" t="s">
        <v>2522</v>
      </c>
      <c r="C31" s="30" t="s">
        <v>2492</v>
      </c>
      <c r="D31" s="30" t="s">
        <v>2461</v>
      </c>
      <c r="E31" s="24" t="s">
        <v>2494</v>
      </c>
      <c r="F31" s="32">
        <v>800</v>
      </c>
      <c r="G31" s="33">
        <f t="shared" si="1"/>
        <v>95.9281385281385</v>
      </c>
      <c r="H31" s="85">
        <v>1.09835497835499</v>
      </c>
      <c r="I31" s="85">
        <v>92.88</v>
      </c>
      <c r="J31" s="85">
        <v>1</v>
      </c>
      <c r="K31" s="85">
        <f>(H31+I31+J31)*'2-报价汇总'!$H$5</f>
        <v>0.94978354978355</v>
      </c>
      <c r="L31" s="94">
        <f>(H31+I31+J31+K31)*'2-报价汇总'!$I$5</f>
        <v>0</v>
      </c>
      <c r="M31" s="94">
        <f>(L31+K31+J31+I31+H31)*'2-报价汇总'!$J$5</f>
        <v>0</v>
      </c>
      <c r="N31" s="86">
        <f t="shared" si="0"/>
        <v>76742.5108225108</v>
      </c>
      <c r="O31" s="85"/>
    </row>
    <row r="32" ht="50" customHeight="1" spans="1:15">
      <c r="A32" s="24" t="s">
        <v>2523</v>
      </c>
      <c r="B32" s="30" t="s">
        <v>2524</v>
      </c>
      <c r="C32" s="30" t="s">
        <v>2525</v>
      </c>
      <c r="D32" s="30" t="s">
        <v>2526</v>
      </c>
      <c r="E32" s="24" t="s">
        <v>2527</v>
      </c>
      <c r="F32" s="32">
        <v>300</v>
      </c>
      <c r="G32" s="33">
        <v>2000</v>
      </c>
      <c r="H32" s="85"/>
      <c r="I32" s="85"/>
      <c r="J32" s="85"/>
      <c r="K32" s="85"/>
      <c r="L32" s="85"/>
      <c r="M32" s="85"/>
      <c r="N32" s="86">
        <f t="shared" si="0"/>
        <v>600000</v>
      </c>
      <c r="O32" s="85"/>
    </row>
    <row r="33" ht="69" customHeight="1" spans="1:15">
      <c r="A33" s="24" t="s">
        <v>2528</v>
      </c>
      <c r="B33" s="30" t="s">
        <v>2529</v>
      </c>
      <c r="C33" s="30" t="s">
        <v>2530</v>
      </c>
      <c r="D33" s="30" t="s">
        <v>2461</v>
      </c>
      <c r="E33" s="24" t="s">
        <v>2470</v>
      </c>
      <c r="F33" s="32">
        <v>1200</v>
      </c>
      <c r="G33" s="33">
        <v>570</v>
      </c>
      <c r="H33" s="85"/>
      <c r="I33" s="85"/>
      <c r="J33" s="85"/>
      <c r="K33" s="85"/>
      <c r="L33" s="85"/>
      <c r="M33" s="85"/>
      <c r="N33" s="86">
        <f t="shared" si="0"/>
        <v>684000</v>
      </c>
      <c r="O33" s="85"/>
    </row>
    <row r="34" ht="50" customHeight="1" spans="1:15">
      <c r="A34" s="24"/>
      <c r="B34" s="26" t="s">
        <v>1586</v>
      </c>
      <c r="C34" s="48"/>
      <c r="D34" s="48"/>
      <c r="E34" s="24"/>
      <c r="F34" s="32"/>
      <c r="G34" s="33"/>
      <c r="H34" s="85"/>
      <c r="I34" s="85"/>
      <c r="J34" s="85"/>
      <c r="K34" s="85"/>
      <c r="L34" s="85"/>
      <c r="M34" s="85"/>
      <c r="N34" s="86"/>
      <c r="O34" s="31"/>
    </row>
    <row r="35" ht="50" customHeight="1" spans="1:15">
      <c r="A35" s="82" t="s">
        <v>2531</v>
      </c>
      <c r="B35" s="83" t="s">
        <v>2532</v>
      </c>
      <c r="C35" s="26"/>
      <c r="D35" s="26"/>
      <c r="E35" s="84"/>
      <c r="F35" s="32"/>
      <c r="G35" s="33"/>
      <c r="H35" s="85"/>
      <c r="I35" s="85"/>
      <c r="J35" s="85"/>
      <c r="K35" s="85"/>
      <c r="L35" s="85"/>
      <c r="M35" s="85"/>
      <c r="N35" s="86"/>
      <c r="O35" s="31"/>
    </row>
    <row r="36" ht="67" customHeight="1" spans="1:15">
      <c r="A36" s="24" t="s">
        <v>2533</v>
      </c>
      <c r="B36" s="30" t="s">
        <v>2534</v>
      </c>
      <c r="C36" s="30" t="s">
        <v>2535</v>
      </c>
      <c r="D36" s="30" t="s">
        <v>2461</v>
      </c>
      <c r="E36" s="24" t="s">
        <v>2536</v>
      </c>
      <c r="F36" s="32">
        <v>300</v>
      </c>
      <c r="G36" s="33">
        <f>SUM(H36:M36)</f>
        <v>131.168831168831</v>
      </c>
      <c r="H36" s="85">
        <v>28.9601298701299</v>
      </c>
      <c r="I36" s="85">
        <v>97.04</v>
      </c>
      <c r="J36" s="85">
        <v>3.87</v>
      </c>
      <c r="K36" s="85">
        <f>(H36+I36+J36)*'2-报价汇总'!$H$5</f>
        <v>1.2987012987013</v>
      </c>
      <c r="L36" s="94">
        <f>(H36+I36+J36+K36)*'2-报价汇总'!$I$5</f>
        <v>0</v>
      </c>
      <c r="M36" s="94">
        <f>(L36+K36+J36+I36+H36)*'2-报价汇总'!$J$5</f>
        <v>0</v>
      </c>
      <c r="N36" s="86">
        <f t="shared" ref="N36:N50" si="2">F36*G36</f>
        <v>39350.6493506494</v>
      </c>
      <c r="O36" s="31"/>
    </row>
    <row r="37" ht="90" customHeight="1" spans="1:15">
      <c r="A37" s="24" t="s">
        <v>2537</v>
      </c>
      <c r="B37" s="30" t="s">
        <v>2538</v>
      </c>
      <c r="C37" s="30" t="s">
        <v>2539</v>
      </c>
      <c r="D37" s="30" t="s">
        <v>2461</v>
      </c>
      <c r="E37" s="24" t="s">
        <v>28</v>
      </c>
      <c r="F37" s="32">
        <v>300000</v>
      </c>
      <c r="G37" s="33">
        <f>SUM(H37:M37)</f>
        <v>91.8181818181818</v>
      </c>
      <c r="H37" s="85">
        <v>8.7790909090909</v>
      </c>
      <c r="I37" s="85">
        <v>81.37</v>
      </c>
      <c r="J37" s="85">
        <v>0.76</v>
      </c>
      <c r="K37" s="85">
        <f>(H37+I37+J37)*'2-报价汇总'!$H$5</f>
        <v>0.909090909090909</v>
      </c>
      <c r="L37" s="94">
        <f>(H37+I37+J37+K37)*'2-报价汇总'!$I$5</f>
        <v>0</v>
      </c>
      <c r="M37" s="94">
        <f>(L37+K37+J37+I37+H37)*'2-报价汇总'!$J$5</f>
        <v>0</v>
      </c>
      <c r="N37" s="86">
        <f t="shared" si="2"/>
        <v>27545454.5454545</v>
      </c>
      <c r="O37" s="31"/>
    </row>
    <row r="38" ht="81" customHeight="1" spans="1:15">
      <c r="A38" s="24" t="s">
        <v>2540</v>
      </c>
      <c r="B38" s="30" t="s">
        <v>2477</v>
      </c>
      <c r="C38" s="30" t="s">
        <v>2478</v>
      </c>
      <c r="D38" s="30" t="s">
        <v>1494</v>
      </c>
      <c r="E38" s="24" t="s">
        <v>89</v>
      </c>
      <c r="F38" s="32">
        <v>3000</v>
      </c>
      <c r="G38" s="33">
        <v>83.7</v>
      </c>
      <c r="H38" s="85"/>
      <c r="I38" s="85"/>
      <c r="J38" s="85"/>
      <c r="K38" s="85"/>
      <c r="L38" s="85"/>
      <c r="M38" s="85"/>
      <c r="N38" s="86">
        <f t="shared" si="2"/>
        <v>251100</v>
      </c>
      <c r="O38" s="85"/>
    </row>
    <row r="39" ht="81" customHeight="1" spans="1:15">
      <c r="A39" s="24" t="s">
        <v>2541</v>
      </c>
      <c r="B39" s="30" t="s">
        <v>2480</v>
      </c>
      <c r="C39" s="30" t="s">
        <v>2478</v>
      </c>
      <c r="D39" s="30" t="s">
        <v>1494</v>
      </c>
      <c r="E39" s="24" t="s">
        <v>89</v>
      </c>
      <c r="F39" s="32">
        <v>3000</v>
      </c>
      <c r="G39" s="33">
        <v>59.4</v>
      </c>
      <c r="H39" s="85"/>
      <c r="I39" s="85"/>
      <c r="J39" s="85"/>
      <c r="K39" s="85"/>
      <c r="L39" s="85"/>
      <c r="M39" s="85"/>
      <c r="N39" s="86">
        <f t="shared" si="2"/>
        <v>178200</v>
      </c>
      <c r="O39" s="85"/>
    </row>
    <row r="40" ht="81" customHeight="1" spans="1:15">
      <c r="A40" s="24" t="s">
        <v>2542</v>
      </c>
      <c r="B40" s="30" t="s">
        <v>2482</v>
      </c>
      <c r="C40" s="30" t="s">
        <v>2478</v>
      </c>
      <c r="D40" s="30" t="s">
        <v>1494</v>
      </c>
      <c r="E40" s="24" t="s">
        <v>89</v>
      </c>
      <c r="F40" s="32">
        <v>3000</v>
      </c>
      <c r="G40" s="33">
        <v>52.9</v>
      </c>
      <c r="H40" s="85"/>
      <c r="I40" s="85"/>
      <c r="J40" s="85"/>
      <c r="K40" s="85"/>
      <c r="L40" s="85"/>
      <c r="M40" s="85"/>
      <c r="N40" s="86">
        <f t="shared" si="2"/>
        <v>158700</v>
      </c>
      <c r="O40" s="85"/>
    </row>
    <row r="41" ht="81" customHeight="1" spans="1:15">
      <c r="A41" s="24" t="s">
        <v>2543</v>
      </c>
      <c r="B41" s="30" t="s">
        <v>2484</v>
      </c>
      <c r="C41" s="30" t="s">
        <v>2478</v>
      </c>
      <c r="D41" s="30" t="s">
        <v>1494</v>
      </c>
      <c r="E41" s="24" t="s">
        <v>89</v>
      </c>
      <c r="F41" s="32">
        <v>3000</v>
      </c>
      <c r="G41" s="33">
        <v>47.5</v>
      </c>
      <c r="H41" s="85"/>
      <c r="I41" s="85"/>
      <c r="J41" s="85"/>
      <c r="K41" s="85"/>
      <c r="L41" s="85"/>
      <c r="M41" s="85"/>
      <c r="N41" s="86">
        <f t="shared" si="2"/>
        <v>142500</v>
      </c>
      <c r="O41" s="85"/>
    </row>
    <row r="42" ht="81" customHeight="1" spans="1:15">
      <c r="A42" s="24" t="s">
        <v>2544</v>
      </c>
      <c r="B42" s="30" t="s">
        <v>2486</v>
      </c>
      <c r="C42" s="30" t="s">
        <v>2478</v>
      </c>
      <c r="D42" s="30" t="s">
        <v>1494</v>
      </c>
      <c r="E42" s="24" t="s">
        <v>89</v>
      </c>
      <c r="F42" s="32">
        <v>3000</v>
      </c>
      <c r="G42" s="33">
        <v>38.3</v>
      </c>
      <c r="H42" s="85"/>
      <c r="I42" s="85"/>
      <c r="J42" s="85"/>
      <c r="K42" s="85"/>
      <c r="L42" s="85"/>
      <c r="M42" s="85"/>
      <c r="N42" s="86">
        <f t="shared" si="2"/>
        <v>114900</v>
      </c>
      <c r="O42" s="85"/>
    </row>
    <row r="43" ht="81" customHeight="1" spans="1:15">
      <c r="A43" s="24" t="s">
        <v>2545</v>
      </c>
      <c r="B43" s="30" t="s">
        <v>2489</v>
      </c>
      <c r="C43" s="30" t="s">
        <v>2478</v>
      </c>
      <c r="D43" s="30" t="s">
        <v>1494</v>
      </c>
      <c r="E43" s="24" t="s">
        <v>89</v>
      </c>
      <c r="F43" s="32">
        <v>3000</v>
      </c>
      <c r="G43" s="33">
        <v>28.6</v>
      </c>
      <c r="H43" s="85"/>
      <c r="I43" s="85"/>
      <c r="J43" s="85"/>
      <c r="K43" s="85"/>
      <c r="L43" s="85"/>
      <c r="M43" s="85"/>
      <c r="N43" s="86">
        <f t="shared" si="2"/>
        <v>85800</v>
      </c>
      <c r="O43" s="85"/>
    </row>
    <row r="44" ht="50" customHeight="1" spans="1:15">
      <c r="A44" s="24" t="s">
        <v>2546</v>
      </c>
      <c r="B44" s="30" t="s">
        <v>2500</v>
      </c>
      <c r="C44" s="30" t="s">
        <v>2492</v>
      </c>
      <c r="D44" s="30" t="s">
        <v>2461</v>
      </c>
      <c r="E44" s="24" t="s">
        <v>2494</v>
      </c>
      <c r="F44" s="32">
        <v>1200</v>
      </c>
      <c r="G44" s="33">
        <v>98.6</v>
      </c>
      <c r="H44" s="85"/>
      <c r="I44" s="85"/>
      <c r="J44" s="85"/>
      <c r="K44" s="85"/>
      <c r="L44" s="85"/>
      <c r="M44" s="85"/>
      <c r="N44" s="86">
        <f t="shared" si="2"/>
        <v>118320</v>
      </c>
      <c r="O44" s="85"/>
    </row>
    <row r="45" ht="50" customHeight="1" spans="1:15">
      <c r="A45" s="24" t="s">
        <v>2547</v>
      </c>
      <c r="B45" s="30" t="s">
        <v>2502</v>
      </c>
      <c r="C45" s="30" t="s">
        <v>2492</v>
      </c>
      <c r="D45" s="30" t="s">
        <v>2461</v>
      </c>
      <c r="E45" s="24" t="s">
        <v>2494</v>
      </c>
      <c r="F45" s="32">
        <v>1200</v>
      </c>
      <c r="G45" s="33">
        <v>73.7</v>
      </c>
      <c r="H45" s="85"/>
      <c r="I45" s="85"/>
      <c r="J45" s="85"/>
      <c r="K45" s="85"/>
      <c r="L45" s="85"/>
      <c r="M45" s="85"/>
      <c r="N45" s="86">
        <f t="shared" si="2"/>
        <v>88440</v>
      </c>
      <c r="O45" s="85"/>
    </row>
    <row r="46" ht="50" customHeight="1" spans="1:15">
      <c r="A46" s="24" t="s">
        <v>2548</v>
      </c>
      <c r="B46" s="30" t="s">
        <v>2504</v>
      </c>
      <c r="C46" s="30" t="s">
        <v>2492</v>
      </c>
      <c r="D46" s="30" t="s">
        <v>2461</v>
      </c>
      <c r="E46" s="24" t="s">
        <v>2494</v>
      </c>
      <c r="F46" s="32">
        <v>1200</v>
      </c>
      <c r="G46" s="33">
        <v>63.2</v>
      </c>
      <c r="H46" s="85"/>
      <c r="I46" s="85"/>
      <c r="J46" s="85"/>
      <c r="K46" s="85"/>
      <c r="L46" s="85"/>
      <c r="M46" s="85"/>
      <c r="N46" s="86">
        <f t="shared" si="2"/>
        <v>75840</v>
      </c>
      <c r="O46" s="85"/>
    </row>
    <row r="47" ht="50" customHeight="1" spans="1:15">
      <c r="A47" s="24" t="s">
        <v>2549</v>
      </c>
      <c r="B47" s="30" t="s">
        <v>2550</v>
      </c>
      <c r="C47" s="30" t="s">
        <v>2492</v>
      </c>
      <c r="D47" s="30" t="s">
        <v>2461</v>
      </c>
      <c r="E47" s="24" t="s">
        <v>2494</v>
      </c>
      <c r="F47" s="32">
        <v>1200</v>
      </c>
      <c r="G47" s="33">
        <f>SUM(H47:M47)</f>
        <v>59.7692640692641</v>
      </c>
      <c r="H47" s="85">
        <v>10.0874891774892</v>
      </c>
      <c r="I47" s="85">
        <v>48.5</v>
      </c>
      <c r="J47" s="85">
        <v>0.59</v>
      </c>
      <c r="K47" s="85">
        <f>(H47+I47+J47)*'2-报价汇总'!$H$5</f>
        <v>0.591774891774892</v>
      </c>
      <c r="L47" s="94">
        <f>(H47+I47+J47+K47)*'2-报价汇总'!$I$5</f>
        <v>0</v>
      </c>
      <c r="M47" s="94">
        <f>(L47+K47+J47+I47+H47)*'2-报价汇总'!$J$5</f>
        <v>0</v>
      </c>
      <c r="N47" s="86">
        <f t="shared" si="2"/>
        <v>71723.1168831169</v>
      </c>
      <c r="O47" s="85"/>
    </row>
    <row r="48" ht="50" customHeight="1" spans="1:15">
      <c r="A48" s="24" t="s">
        <v>2551</v>
      </c>
      <c r="B48" s="30" t="s">
        <v>2552</v>
      </c>
      <c r="C48" s="30" t="s">
        <v>2492</v>
      </c>
      <c r="D48" s="30" t="s">
        <v>2461</v>
      </c>
      <c r="E48" s="24" t="s">
        <v>2494</v>
      </c>
      <c r="F48" s="32">
        <v>300</v>
      </c>
      <c r="G48" s="33">
        <f>SUM(H48:M48)</f>
        <v>44.4924675324675</v>
      </c>
      <c r="H48" s="85">
        <v>4.94194805194805</v>
      </c>
      <c r="I48" s="85">
        <v>38.7</v>
      </c>
      <c r="J48" s="85">
        <v>0.41</v>
      </c>
      <c r="K48" s="85">
        <f>(H48+I48+J48)*'2-报价汇总'!$H$5</f>
        <v>0.440519480519481</v>
      </c>
      <c r="L48" s="94">
        <f>(H48+I48+J48+K48)*'2-报价汇总'!$I$5</f>
        <v>0</v>
      </c>
      <c r="M48" s="94">
        <f>(L48+K48+J48+I48+H48)*'2-报价汇总'!$J$5</f>
        <v>0</v>
      </c>
      <c r="N48" s="86">
        <f t="shared" si="2"/>
        <v>13347.7402597403</v>
      </c>
      <c r="O48" s="85"/>
    </row>
    <row r="49" ht="50" customHeight="1" spans="1:15">
      <c r="A49" s="24" t="s">
        <v>2553</v>
      </c>
      <c r="B49" s="30" t="s">
        <v>2554</v>
      </c>
      <c r="C49" s="30" t="s">
        <v>2492</v>
      </c>
      <c r="D49" s="30" t="s">
        <v>2461</v>
      </c>
      <c r="E49" s="24" t="s">
        <v>2494</v>
      </c>
      <c r="F49" s="32">
        <v>1200</v>
      </c>
      <c r="G49" s="33">
        <f>SUM(H49:M49)</f>
        <v>68.2077922077922</v>
      </c>
      <c r="H49" s="85">
        <v>11.6524675324675</v>
      </c>
      <c r="I49" s="85">
        <v>55.29</v>
      </c>
      <c r="J49" s="85">
        <v>0.59</v>
      </c>
      <c r="K49" s="85">
        <f>(H49+I49+J49)*'2-报价汇总'!$H$5</f>
        <v>0.675324675324675</v>
      </c>
      <c r="L49" s="94">
        <f>(H49+I49+J49+K49)*'2-报价汇总'!$I$5</f>
        <v>0</v>
      </c>
      <c r="M49" s="94">
        <f>(L49+K49+J49+I49+H49)*'2-报价汇总'!$J$5</f>
        <v>0</v>
      </c>
      <c r="N49" s="86">
        <f t="shared" si="2"/>
        <v>81849.3506493506</v>
      </c>
      <c r="O49" s="85"/>
    </row>
    <row r="50" ht="50" customHeight="1" spans="1:15">
      <c r="A50" s="24" t="s">
        <v>2555</v>
      </c>
      <c r="B50" s="30" t="s">
        <v>2524</v>
      </c>
      <c r="C50" s="30" t="s">
        <v>2525</v>
      </c>
      <c r="D50" s="30" t="s">
        <v>2526</v>
      </c>
      <c r="E50" s="24" t="s">
        <v>2527</v>
      </c>
      <c r="F50" s="32">
        <v>300</v>
      </c>
      <c r="G50" s="33">
        <v>2000</v>
      </c>
      <c r="H50" s="85"/>
      <c r="I50" s="85"/>
      <c r="J50" s="85"/>
      <c r="K50" s="85"/>
      <c r="L50" s="85"/>
      <c r="M50" s="85"/>
      <c r="N50" s="86">
        <f t="shared" si="2"/>
        <v>600000</v>
      </c>
      <c r="O50" s="85"/>
    </row>
    <row r="51" ht="50" customHeight="1" spans="1:15">
      <c r="A51" s="24"/>
      <c r="B51" s="26" t="s">
        <v>1586</v>
      </c>
      <c r="C51" s="48"/>
      <c r="D51" s="48"/>
      <c r="E51" s="24"/>
      <c r="F51" s="27"/>
      <c r="G51" s="33"/>
      <c r="H51" s="85"/>
      <c r="I51" s="85"/>
      <c r="J51" s="85"/>
      <c r="K51" s="85"/>
      <c r="L51" s="85"/>
      <c r="M51" s="85"/>
      <c r="N51" s="85"/>
      <c r="O51" s="31"/>
    </row>
    <row r="52" ht="50" customHeight="1" spans="1:15">
      <c r="A52" s="24"/>
      <c r="B52" s="26" t="s">
        <v>2556</v>
      </c>
      <c r="C52" s="26"/>
      <c r="D52" s="26"/>
      <c r="E52" s="24"/>
      <c r="F52" s="27"/>
      <c r="G52" s="33"/>
      <c r="H52" s="85"/>
      <c r="I52" s="85"/>
      <c r="J52" s="85"/>
      <c r="K52" s="85"/>
      <c r="L52" s="85"/>
      <c r="M52" s="85"/>
      <c r="N52" s="85">
        <f>SUM(N5:N51)</f>
        <v>33921677.1405195</v>
      </c>
      <c r="O52" s="31"/>
    </row>
  </sheetData>
  <autoFilter xmlns:etc="http://www.wps.cn/officeDocument/2017/etCustomData" ref="A3:O52" etc:filterBottomFollowUsedRange="0">
    <extLst/>
  </autoFilter>
  <mergeCells count="2">
    <mergeCell ref="A1:O1"/>
    <mergeCell ref="A2:O2"/>
  </mergeCells>
  <printOptions horizontalCentered="1"/>
  <pageMargins left="0.590277777777778" right="0.590277777777778" top="0.590277777777778" bottom="0.590277777777778" header="0.196527777777778" footer="0.196527777777778"/>
  <pageSetup paperSize="9" scale="53" orientation="landscape" horizontalDpi="600"/>
  <headerFooter>
    <oddFooter>&amp;C第 &amp;P 页，共 &amp;N 页</oddFooter>
  </headerFooter>
  <pictur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1"/>
  <sheetViews>
    <sheetView view="pageBreakPreview" zoomScaleNormal="100" workbookViewId="0">
      <pane ySplit="3" topLeftCell="A9" activePane="bottomLeft" state="frozen"/>
      <selection/>
      <selection pane="bottomLeft" activeCell="K8" sqref="K8"/>
    </sheetView>
  </sheetViews>
  <sheetFormatPr defaultColWidth="14" defaultRowHeight="12.75"/>
  <cols>
    <col min="1" max="1" width="10" style="49" customWidth="1"/>
    <col min="2" max="2" width="22.8571428571429" customWidth="1"/>
    <col min="3" max="3" width="23.8571428571429" customWidth="1"/>
    <col min="4" max="4" width="9.28571428571429" customWidth="1"/>
    <col min="5" max="6" width="15.7142857142857" customWidth="1"/>
    <col min="7" max="7" width="15.2857142857143" customWidth="1"/>
    <col min="8" max="8" width="17" customWidth="1"/>
    <col min="9" max="9" width="14.8571428571429" style="50" customWidth="1"/>
    <col min="10" max="18" width="15" customWidth="1"/>
  </cols>
  <sheetData>
    <row r="1" ht="24" customHeight="1" spans="1:9">
      <c r="A1" s="51" t="s">
        <v>2557</v>
      </c>
      <c r="B1" s="51"/>
      <c r="C1" s="51"/>
      <c r="D1" s="51"/>
      <c r="E1" s="51"/>
      <c r="F1" s="51"/>
      <c r="G1" s="51"/>
      <c r="H1" s="51"/>
      <c r="I1" s="52"/>
    </row>
    <row r="2" ht="24" customHeight="1" spans="1:9">
      <c r="A2" s="53" t="str">
        <f>'2.1-装饰工程'!A2</f>
        <v>注意：此报价清单每项不得随意更改、删减，如有任何增加项请务必在每大项最后“补充项“中列举，补充项及说明字体颜色均采用蓝色；且所有项目都需要填写。</v>
      </c>
      <c r="B2" s="53"/>
      <c r="C2" s="53"/>
      <c r="D2" s="53"/>
      <c r="E2" s="53"/>
      <c r="F2" s="53"/>
      <c r="G2" s="53"/>
      <c r="H2" s="53"/>
      <c r="I2" s="54"/>
    </row>
    <row r="3" ht="34" customHeight="1" spans="1:9">
      <c r="A3" s="55" t="s">
        <v>5</v>
      </c>
      <c r="B3" s="55" t="s">
        <v>2558</v>
      </c>
      <c r="C3" s="55" t="s">
        <v>8</v>
      </c>
      <c r="D3" s="56" t="s">
        <v>10</v>
      </c>
      <c r="E3" s="56" t="s">
        <v>11</v>
      </c>
      <c r="F3" s="56" t="s">
        <v>12</v>
      </c>
      <c r="G3" s="56" t="s">
        <v>18</v>
      </c>
      <c r="H3" s="55" t="s">
        <v>2559</v>
      </c>
      <c r="I3" s="57" t="s">
        <v>19</v>
      </c>
    </row>
    <row r="4" ht="27" customHeight="1" spans="1:9">
      <c r="A4" s="56"/>
      <c r="B4" s="56" t="s">
        <v>2560</v>
      </c>
      <c r="C4" s="56"/>
      <c r="D4" s="56"/>
      <c r="E4" s="56"/>
      <c r="F4" s="56"/>
      <c r="G4" s="56"/>
      <c r="H4" s="56"/>
      <c r="I4" s="57"/>
    </row>
    <row r="5" ht="31" customHeight="1" spans="1:9">
      <c r="A5" s="58" t="s">
        <v>2561</v>
      </c>
      <c r="B5" s="58" t="s">
        <v>2562</v>
      </c>
      <c r="C5" s="56"/>
      <c r="D5" s="56"/>
      <c r="E5" s="56"/>
      <c r="F5" s="56"/>
      <c r="G5" s="56"/>
      <c r="H5" s="56"/>
      <c r="I5" s="59"/>
    </row>
    <row r="6" ht="42" customHeight="1" spans="1:9">
      <c r="A6" s="60" t="s">
        <v>2563</v>
      </c>
      <c r="B6" s="61" t="s">
        <v>2564</v>
      </c>
      <c r="C6" s="61" t="s">
        <v>2565</v>
      </c>
      <c r="D6" s="62" t="s">
        <v>1578</v>
      </c>
      <c r="E6" s="63">
        <v>3147637.11744208</v>
      </c>
      <c r="F6" s="64">
        <v>25</v>
      </c>
      <c r="G6" s="60">
        <f>E6*F6</f>
        <v>78690927.9360521</v>
      </c>
      <c r="H6" s="61" t="s">
        <v>2566</v>
      </c>
      <c r="I6" s="65" t="s">
        <v>2567</v>
      </c>
    </row>
    <row r="7" ht="21" customHeight="1" spans="1:9">
      <c r="A7" s="58" t="s">
        <v>2568</v>
      </c>
      <c r="B7" s="66" t="s">
        <v>2569</v>
      </c>
      <c r="C7" s="60"/>
      <c r="D7" s="60"/>
      <c r="E7" s="63"/>
      <c r="F7" s="60"/>
      <c r="G7" s="60"/>
      <c r="H7" s="60"/>
      <c r="I7" s="65"/>
    </row>
    <row r="8" ht="61" customHeight="1" spans="1:9">
      <c r="A8" s="60" t="s">
        <v>2570</v>
      </c>
      <c r="B8" s="61" t="s">
        <v>2571</v>
      </c>
      <c r="C8" s="61" t="s">
        <v>2572</v>
      </c>
      <c r="D8" s="62" t="s">
        <v>1578</v>
      </c>
      <c r="E8" s="63">
        <v>0</v>
      </c>
      <c r="F8" s="64">
        <v>35</v>
      </c>
      <c r="G8" s="60">
        <f>E8*F8</f>
        <v>0</v>
      </c>
      <c r="H8" s="61" t="s">
        <v>2573</v>
      </c>
      <c r="I8" s="65"/>
    </row>
    <row r="9" ht="61" customHeight="1" spans="1:9">
      <c r="A9" s="60" t="s">
        <v>2574</v>
      </c>
      <c r="B9" s="61" t="s">
        <v>2575</v>
      </c>
      <c r="C9" s="60" t="s">
        <v>2576</v>
      </c>
      <c r="D9" s="62" t="s">
        <v>1578</v>
      </c>
      <c r="E9" s="63">
        <v>60053.1221842351</v>
      </c>
      <c r="F9" s="64">
        <v>20</v>
      </c>
      <c r="G9" s="60">
        <f>E9*F9</f>
        <v>1201062.4436847</v>
      </c>
      <c r="H9" s="61" t="s">
        <v>2577</v>
      </c>
      <c r="I9" s="65"/>
    </row>
    <row r="10" ht="44" customHeight="1" spans="1:9">
      <c r="A10" s="58" t="s">
        <v>2578</v>
      </c>
      <c r="B10" s="66" t="s">
        <v>2579</v>
      </c>
      <c r="C10" s="60"/>
      <c r="D10" s="60"/>
      <c r="E10" s="63"/>
      <c r="F10" s="60"/>
      <c r="G10" s="60"/>
      <c r="H10" s="60"/>
      <c r="I10" s="65"/>
    </row>
    <row r="11" ht="44" customHeight="1" spans="1:9">
      <c r="A11" s="67" t="s">
        <v>2580</v>
      </c>
      <c r="B11" s="61" t="s">
        <v>2581</v>
      </c>
      <c r="C11" s="61" t="s">
        <v>2582</v>
      </c>
      <c r="D11" s="62" t="s">
        <v>1578</v>
      </c>
      <c r="E11" s="63">
        <v>3147637.11744208</v>
      </c>
      <c r="F11" s="64">
        <v>4</v>
      </c>
      <c r="G11" s="60">
        <f t="shared" ref="G11:G17" si="0">E11*F11</f>
        <v>12590548.4697683</v>
      </c>
      <c r="H11" s="61" t="s">
        <v>2583</v>
      </c>
      <c r="I11" s="65"/>
    </row>
    <row r="12" ht="44" customHeight="1" spans="1:9">
      <c r="A12" s="67" t="s">
        <v>2584</v>
      </c>
      <c r="B12" s="61" t="s">
        <v>2585</v>
      </c>
      <c r="C12" s="61" t="s">
        <v>2586</v>
      </c>
      <c r="D12" s="62" t="s">
        <v>1578</v>
      </c>
      <c r="E12" s="63">
        <v>948689.123711956</v>
      </c>
      <c r="F12" s="64">
        <v>3</v>
      </c>
      <c r="G12" s="60">
        <f t="shared" si="0"/>
        <v>2846067.37113587</v>
      </c>
      <c r="H12" s="61" t="s">
        <v>2587</v>
      </c>
      <c r="I12" s="65"/>
    </row>
    <row r="13" ht="44" customHeight="1" spans="1:9">
      <c r="A13" s="67" t="s">
        <v>2588</v>
      </c>
      <c r="B13" s="61" t="s">
        <v>2589</v>
      </c>
      <c r="C13" s="61" t="s">
        <v>2590</v>
      </c>
      <c r="D13" s="62" t="s">
        <v>1578</v>
      </c>
      <c r="E13" s="63">
        <v>187397.780399025</v>
      </c>
      <c r="F13" s="64">
        <v>35</v>
      </c>
      <c r="G13" s="60">
        <f t="shared" si="0"/>
        <v>6558922.31396586</v>
      </c>
      <c r="H13" s="61" t="s">
        <v>2591</v>
      </c>
      <c r="I13" s="65"/>
    </row>
    <row r="14" ht="44" customHeight="1" spans="1:9">
      <c r="A14" s="67" t="s">
        <v>2592</v>
      </c>
      <c r="B14" s="61" t="s">
        <v>2593</v>
      </c>
      <c r="C14" s="61" t="s">
        <v>2594</v>
      </c>
      <c r="D14" s="62" t="s">
        <v>1578</v>
      </c>
      <c r="E14" s="63">
        <v>0</v>
      </c>
      <c r="F14" s="64">
        <v>3</v>
      </c>
      <c r="G14" s="60">
        <f t="shared" si="0"/>
        <v>0</v>
      </c>
      <c r="H14" s="61" t="s">
        <v>2595</v>
      </c>
      <c r="I14" s="65"/>
    </row>
    <row r="15" ht="44" customHeight="1" spans="1:9">
      <c r="A15" s="67" t="s">
        <v>2596</v>
      </c>
      <c r="B15" s="61" t="s">
        <v>2597</v>
      </c>
      <c r="C15" s="61" t="s">
        <v>2598</v>
      </c>
      <c r="D15" s="62" t="s">
        <v>1578</v>
      </c>
      <c r="E15" s="63">
        <v>0</v>
      </c>
      <c r="F15" s="64">
        <v>2</v>
      </c>
      <c r="G15" s="60">
        <f t="shared" si="0"/>
        <v>0</v>
      </c>
      <c r="H15" s="61" t="s">
        <v>2599</v>
      </c>
      <c r="I15" s="65"/>
    </row>
    <row r="16" ht="31" customHeight="1" spans="1:9">
      <c r="A16" s="68" t="s">
        <v>2600</v>
      </c>
      <c r="B16" s="69" t="s">
        <v>2601</v>
      </c>
      <c r="C16" s="66"/>
      <c r="D16" s="70"/>
      <c r="E16" s="63">
        <v>6475</v>
      </c>
      <c r="F16" s="64">
        <v>550</v>
      </c>
      <c r="G16" s="60">
        <f t="shared" si="0"/>
        <v>3561250</v>
      </c>
      <c r="H16" s="69" t="s">
        <v>2602</v>
      </c>
      <c r="I16" s="65"/>
    </row>
    <row r="17" ht="31" customHeight="1" spans="1:9">
      <c r="A17" s="68" t="s">
        <v>2603</v>
      </c>
      <c r="B17" s="69" t="s">
        <v>2604</v>
      </c>
      <c r="C17" s="66"/>
      <c r="D17" s="70"/>
      <c r="E17" s="63">
        <v>0</v>
      </c>
      <c r="F17" s="64">
        <v>10</v>
      </c>
      <c r="G17" s="60">
        <f t="shared" si="0"/>
        <v>0</v>
      </c>
      <c r="H17" s="69" t="s">
        <v>2605</v>
      </c>
      <c r="I17" s="65"/>
    </row>
    <row r="18" ht="36" customHeight="1" spans="1:9">
      <c r="A18" s="56"/>
      <c r="B18" s="71" t="s">
        <v>2606</v>
      </c>
      <c r="C18" s="71"/>
      <c r="D18" s="71"/>
      <c r="E18" s="71"/>
      <c r="F18" s="71"/>
      <c r="G18" s="72">
        <f>SUM(G6:G17)</f>
        <v>105448778.534607</v>
      </c>
      <c r="H18" s="71"/>
      <c r="I18" s="59"/>
    </row>
    <row r="19" ht="45" customHeight="1" spans="1:9">
      <c r="A19" s="73" t="s">
        <v>2607</v>
      </c>
      <c r="B19" s="73"/>
      <c r="C19" s="73"/>
      <c r="D19" s="73"/>
      <c r="E19" s="73"/>
      <c r="F19" s="73"/>
      <c r="G19" s="73"/>
      <c r="H19" s="73"/>
      <c r="I19" s="74"/>
    </row>
    <row r="21" spans="1:9">
      <c r="G21" t="e">
        <f>G16/#REF!</f>
        <v>#REF!</v>
      </c>
    </row>
  </sheetData>
  <mergeCells count="4">
    <mergeCell ref="A1:I1"/>
    <mergeCell ref="A2:I2"/>
    <mergeCell ref="A19:I19"/>
    <mergeCell ref="I6:I17"/>
  </mergeCells>
  <printOptions horizontalCentered="1"/>
  <pageMargins left="0.590277777777778" right="0.590277777777778" top="0.590277777777778" bottom="0.590277777777778" header="0.196527777777778" footer="0.196527777777778"/>
  <pageSetup paperSize="9" scale="74" orientation="landscape" horizontalDpi="600"/>
  <headerFooter>
    <oddFooter>&amp;C第 &amp;P 页，共 &amp;N 页</oddFooter>
  </headerFooter>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5"/>
  <sheetViews>
    <sheetView view="pageBreakPreview" zoomScale="110" zoomScaleNormal="100" workbookViewId="0">
      <pane ySplit="3" topLeftCell="A4" activePane="bottomLeft" state="frozen"/>
      <selection/>
      <selection pane="bottomLeft" activeCell="J3" sqref="J$1:J$1048576"/>
    </sheetView>
  </sheetViews>
  <sheetFormatPr defaultColWidth="14" defaultRowHeight="12.75"/>
  <cols>
    <col min="1" max="1" width="10" customWidth="1"/>
    <col min="2" max="2" width="25" style="18" customWidth="1"/>
    <col min="3" max="3" width="28.1428571428571" style="18" customWidth="1"/>
    <col min="4" max="4" width="25.4285714285714" style="18" customWidth="1"/>
    <col min="5" max="5" width="24.8571428571429" style="18" customWidth="1"/>
    <col min="6" max="6" width="8.85714285714286" style="18" customWidth="1"/>
    <col min="7" max="7" width="13.8571428571429" style="18" customWidth="1"/>
    <col min="8" max="8" width="12.7142857142857" style="18" customWidth="1"/>
    <col min="9" max="9" width="16" style="18" customWidth="1"/>
    <col min="10" max="10" width="11.5714285714286" style="18" customWidth="1"/>
    <col min="11" max="11" width="16" customWidth="1"/>
    <col min="12" max="20" width="15" customWidth="1"/>
  </cols>
  <sheetData>
    <row r="1" ht="21" customHeight="1" spans="1:20">
      <c r="A1" s="19" t="s">
        <v>2608</v>
      </c>
      <c r="B1" s="19"/>
      <c r="C1" s="19"/>
      <c r="D1" s="19"/>
      <c r="E1" s="19"/>
      <c r="F1" s="19"/>
      <c r="G1" s="19"/>
      <c r="H1" s="20"/>
      <c r="I1" s="20"/>
      <c r="J1" s="19"/>
      <c r="K1" s="21"/>
      <c r="L1" s="21"/>
      <c r="M1" s="21"/>
      <c r="N1" s="21"/>
      <c r="O1" s="21"/>
      <c r="P1" s="21"/>
      <c r="Q1" s="21"/>
      <c r="R1" s="21"/>
      <c r="S1" s="21"/>
      <c r="T1" s="21"/>
    </row>
    <row r="2" ht="21" customHeight="1" spans="1:20">
      <c r="A2" s="21" t="str">
        <f>'2.1-装饰工程'!A2</f>
        <v>注意：此报价清单每项不得随意更改、删减，如有任何增加项请务必在每大项最后“补充项“中列举，补充项及说明字体颜色均采用蓝色；且所有项目都需要填写。</v>
      </c>
      <c r="B2" s="22"/>
      <c r="C2" s="22"/>
      <c r="D2" s="22"/>
      <c r="E2" s="22"/>
      <c r="F2" s="22"/>
      <c r="G2" s="22"/>
      <c r="H2" s="22"/>
      <c r="I2" s="22"/>
      <c r="J2" s="22"/>
      <c r="K2" s="21"/>
      <c r="L2" s="21"/>
      <c r="M2" s="21"/>
      <c r="N2" s="21"/>
      <c r="O2" s="21"/>
      <c r="P2" s="21"/>
      <c r="Q2" s="21"/>
      <c r="R2" s="21"/>
      <c r="S2" s="21"/>
      <c r="T2" s="21"/>
    </row>
    <row r="3" s="17" customFormat="1" ht="36" customHeight="1" spans="1:20">
      <c r="A3" s="23" t="s">
        <v>5</v>
      </c>
      <c r="B3" s="24" t="s">
        <v>6</v>
      </c>
      <c r="C3" s="24" t="s">
        <v>7</v>
      </c>
      <c r="D3" s="24" t="s">
        <v>8</v>
      </c>
      <c r="E3" s="24" t="s">
        <v>9</v>
      </c>
      <c r="F3" s="24" t="s">
        <v>10</v>
      </c>
      <c r="G3" s="24" t="s">
        <v>11</v>
      </c>
      <c r="H3" s="24" t="s">
        <v>12</v>
      </c>
      <c r="I3" s="24" t="s">
        <v>18</v>
      </c>
      <c r="J3" s="25" t="s">
        <v>19</v>
      </c>
      <c r="K3" s="21"/>
      <c r="L3" s="21"/>
      <c r="M3" s="21"/>
      <c r="N3" s="21"/>
      <c r="O3" s="21"/>
      <c r="P3" s="21"/>
      <c r="Q3" s="21"/>
      <c r="R3" s="21"/>
      <c r="S3" s="21"/>
      <c r="T3" s="21"/>
    </row>
    <row r="4" ht="30" customHeight="1" spans="1:20">
      <c r="A4" s="23"/>
      <c r="B4" s="26" t="s">
        <v>2609</v>
      </c>
      <c r="C4" s="26"/>
      <c r="D4" s="26"/>
      <c r="E4" s="26"/>
      <c r="F4" s="24"/>
      <c r="G4" s="27"/>
      <c r="H4" s="28"/>
      <c r="I4" s="28"/>
      <c r="J4" s="29"/>
      <c r="K4" s="21"/>
      <c r="L4" s="21"/>
      <c r="M4" s="21"/>
      <c r="N4" s="21"/>
      <c r="O4" s="21"/>
      <c r="P4" s="21"/>
      <c r="Q4" s="21"/>
      <c r="R4" s="21"/>
      <c r="S4" s="21"/>
      <c r="T4" s="21"/>
    </row>
    <row r="5" ht="43" customHeight="1" spans="1:20">
      <c r="A5" s="24" t="s">
        <v>2610</v>
      </c>
      <c r="B5" s="30" t="s">
        <v>2611</v>
      </c>
      <c r="C5" s="30" t="s">
        <v>1583</v>
      </c>
      <c r="D5" s="31" t="s">
        <v>2612</v>
      </c>
      <c r="E5" s="31" t="s">
        <v>2613</v>
      </c>
      <c r="F5" s="24" t="s">
        <v>28</v>
      </c>
      <c r="G5" s="32">
        <v>2076498.00534344</v>
      </c>
      <c r="H5" s="33">
        <v>8</v>
      </c>
      <c r="I5" s="33">
        <f t="shared" ref="I5:I12" si="0">G5*H5</f>
        <v>16611984.0427475</v>
      </c>
      <c r="J5" s="31"/>
      <c r="K5" s="21"/>
      <c r="L5" s="21"/>
      <c r="M5" s="21"/>
      <c r="N5" s="21"/>
      <c r="O5" s="21"/>
      <c r="P5" s="21"/>
      <c r="Q5" s="21"/>
      <c r="R5" s="21"/>
      <c r="S5" s="21"/>
      <c r="T5" s="21"/>
    </row>
    <row r="6" ht="61" customHeight="1" spans="1:20">
      <c r="A6" s="24" t="s">
        <v>2614</v>
      </c>
      <c r="B6" s="30" t="s">
        <v>2615</v>
      </c>
      <c r="C6" s="30" t="s">
        <v>2616</v>
      </c>
      <c r="D6" s="31" t="s">
        <v>26</v>
      </c>
      <c r="E6" s="34" t="s">
        <v>2617</v>
      </c>
      <c r="F6" s="24" t="s">
        <v>101</v>
      </c>
      <c r="G6" s="32">
        <v>0</v>
      </c>
      <c r="H6" s="33"/>
      <c r="I6" s="33">
        <f t="shared" si="0"/>
        <v>0</v>
      </c>
      <c r="J6" s="35"/>
      <c r="K6" s="21"/>
      <c r="L6" s="21"/>
      <c r="M6" s="21"/>
      <c r="N6" s="21"/>
      <c r="O6" s="21"/>
      <c r="P6" s="21"/>
      <c r="Q6" s="21"/>
      <c r="R6" s="21"/>
      <c r="S6" s="21"/>
      <c r="T6" s="21"/>
    </row>
    <row r="7" ht="47" customHeight="1" spans="1:20">
      <c r="A7" s="24" t="s">
        <v>2618</v>
      </c>
      <c r="B7" s="30" t="s">
        <v>2619</v>
      </c>
      <c r="C7" s="30" t="s">
        <v>2620</v>
      </c>
      <c r="D7" s="31" t="s">
        <v>26</v>
      </c>
      <c r="E7" s="36" t="s">
        <v>2621</v>
      </c>
      <c r="F7" s="24" t="s">
        <v>101</v>
      </c>
      <c r="G7" s="32">
        <v>2198947.99373013</v>
      </c>
      <c r="H7" s="33"/>
      <c r="I7" s="33">
        <f t="shared" si="0"/>
        <v>0</v>
      </c>
      <c r="J7" s="31"/>
      <c r="K7" s="21"/>
      <c r="L7" s="21"/>
      <c r="M7" s="21"/>
      <c r="N7" s="21"/>
      <c r="O7" s="21"/>
      <c r="P7" s="21"/>
      <c r="Q7" s="21"/>
      <c r="R7" s="21"/>
      <c r="S7" s="21"/>
      <c r="T7" s="21"/>
    </row>
    <row r="8" ht="47" customHeight="1" spans="1:20">
      <c r="A8" s="24" t="s">
        <v>2622</v>
      </c>
      <c r="B8" s="30" t="s">
        <v>2623</v>
      </c>
      <c r="C8" s="30" t="s">
        <v>2624</v>
      </c>
      <c r="D8" s="31" t="s">
        <v>26</v>
      </c>
      <c r="E8" s="36" t="s">
        <v>2625</v>
      </c>
      <c r="F8" s="24" t="s">
        <v>101</v>
      </c>
      <c r="G8" s="32">
        <v>2198947.99373013</v>
      </c>
      <c r="H8" s="33"/>
      <c r="I8" s="33">
        <f t="shared" si="0"/>
        <v>0</v>
      </c>
      <c r="J8" s="31"/>
      <c r="K8" s="21"/>
      <c r="L8" s="21"/>
      <c r="M8" s="21"/>
      <c r="N8" s="21"/>
      <c r="O8" s="21"/>
      <c r="P8" s="21"/>
      <c r="Q8" s="21"/>
      <c r="R8" s="21"/>
      <c r="S8" s="21"/>
      <c r="T8" s="21"/>
    </row>
    <row r="9" ht="50" customHeight="1" spans="1:20">
      <c r="A9" s="24" t="s">
        <v>2626</v>
      </c>
      <c r="B9" s="30" t="s">
        <v>2627</v>
      </c>
      <c r="C9" s="37"/>
      <c r="D9" s="31"/>
      <c r="E9" s="34" t="s">
        <v>2628</v>
      </c>
      <c r="F9" s="24" t="s">
        <v>101</v>
      </c>
      <c r="G9" s="32">
        <v>0</v>
      </c>
      <c r="H9" s="33"/>
      <c r="I9" s="33">
        <f t="shared" si="0"/>
        <v>0</v>
      </c>
      <c r="J9" s="31"/>
      <c r="K9" s="21"/>
      <c r="L9" s="21"/>
      <c r="M9" s="21"/>
      <c r="N9" s="21"/>
      <c r="O9" s="21"/>
      <c r="P9" s="21"/>
      <c r="Q9" s="21"/>
      <c r="R9" s="21"/>
      <c r="S9" s="21"/>
      <c r="T9" s="21"/>
    </row>
    <row r="10" ht="50" customHeight="1" spans="1:20">
      <c r="A10" s="24" t="s">
        <v>2629</v>
      </c>
      <c r="B10" s="30" t="s">
        <v>2630</v>
      </c>
      <c r="C10" s="30"/>
      <c r="D10" s="31"/>
      <c r="E10" s="34" t="s">
        <v>2631</v>
      </c>
      <c r="F10" s="24" t="s">
        <v>101</v>
      </c>
      <c r="G10" s="32">
        <v>0</v>
      </c>
      <c r="H10" s="33"/>
      <c r="I10" s="33">
        <f t="shared" si="0"/>
        <v>0</v>
      </c>
      <c r="J10" s="31"/>
      <c r="K10" s="21"/>
      <c r="L10" s="21"/>
      <c r="M10" s="21"/>
      <c r="N10" s="21"/>
      <c r="O10" s="21"/>
      <c r="P10" s="21"/>
      <c r="Q10" s="21"/>
      <c r="R10" s="21"/>
      <c r="S10" s="21"/>
      <c r="T10" s="21"/>
    </row>
    <row r="11" ht="71" customHeight="1" spans="1:20">
      <c r="A11" s="24" t="s">
        <v>2632</v>
      </c>
      <c r="B11" s="30" t="s">
        <v>2633</v>
      </c>
      <c r="C11" s="30" t="s">
        <v>2634</v>
      </c>
      <c r="D11" s="31" t="s">
        <v>2635</v>
      </c>
      <c r="E11" s="34" t="s">
        <v>2636</v>
      </c>
      <c r="F11" s="24" t="s">
        <v>2637</v>
      </c>
      <c r="G11" s="32">
        <v>9249.18712793172</v>
      </c>
      <c r="H11" s="33">
        <v>400</v>
      </c>
      <c r="I11" s="33">
        <f t="shared" si="0"/>
        <v>3699674.85117269</v>
      </c>
      <c r="J11" s="37"/>
      <c r="K11" s="38"/>
      <c r="L11" s="21"/>
      <c r="M11" s="21"/>
      <c r="N11" s="21"/>
      <c r="O11" s="21"/>
      <c r="P11" s="21"/>
      <c r="Q11" s="21"/>
      <c r="R11" s="21"/>
      <c r="S11" s="21"/>
      <c r="T11" s="21"/>
    </row>
    <row r="12" ht="75" customHeight="1" spans="1:20">
      <c r="A12" s="24" t="s">
        <v>2638</v>
      </c>
      <c r="B12" s="30" t="s">
        <v>2639</v>
      </c>
      <c r="C12" s="30" t="s">
        <v>2640</v>
      </c>
      <c r="D12" s="34" t="s">
        <v>2641</v>
      </c>
      <c r="E12" s="34" t="s">
        <v>2613</v>
      </c>
      <c r="F12" s="24" t="s">
        <v>28</v>
      </c>
      <c r="G12" s="32">
        <v>0</v>
      </c>
      <c r="H12" s="33">
        <v>12</v>
      </c>
      <c r="I12" s="33">
        <f t="shared" si="0"/>
        <v>0</v>
      </c>
      <c r="J12" s="31"/>
      <c r="K12" s="21"/>
      <c r="L12" s="21"/>
      <c r="M12" s="21"/>
      <c r="N12" s="21"/>
      <c r="O12" s="21"/>
      <c r="P12" s="21"/>
      <c r="Q12" s="21"/>
      <c r="R12" s="21"/>
      <c r="S12" s="21"/>
      <c r="T12" s="21"/>
    </row>
    <row r="13" ht="40" customHeight="1" spans="1:20">
      <c r="A13" s="24"/>
      <c r="B13" s="39" t="s">
        <v>158</v>
      </c>
      <c r="C13" s="26"/>
      <c r="D13" s="26"/>
      <c r="E13" s="40"/>
      <c r="F13" s="41"/>
      <c r="G13" s="42"/>
      <c r="H13" s="33"/>
      <c r="I13" s="33"/>
      <c r="J13" s="31"/>
      <c r="K13" s="21"/>
      <c r="L13" s="21"/>
      <c r="M13" s="21"/>
      <c r="N13" s="21"/>
      <c r="O13" s="21"/>
      <c r="P13" s="21"/>
      <c r="Q13" s="21"/>
      <c r="R13" s="21"/>
      <c r="S13" s="21"/>
      <c r="T13" s="21"/>
    </row>
    <row r="14" ht="40" customHeight="1" spans="1:20">
      <c r="A14" s="43"/>
      <c r="B14" s="44" t="s">
        <v>2642</v>
      </c>
      <c r="C14" s="44"/>
      <c r="D14" s="44"/>
      <c r="E14" s="45"/>
      <c r="F14" s="46"/>
      <c r="G14" s="47"/>
      <c r="H14" s="33"/>
      <c r="I14" s="33"/>
      <c r="J14" s="31"/>
      <c r="K14" s="21"/>
      <c r="L14" s="21"/>
      <c r="M14" s="21"/>
      <c r="N14" s="21"/>
      <c r="O14" s="21"/>
      <c r="P14" s="21"/>
      <c r="Q14" s="21"/>
      <c r="R14" s="21"/>
      <c r="S14" s="21"/>
      <c r="T14" s="21"/>
    </row>
    <row r="15" ht="40" customHeight="1" spans="1:20">
      <c r="A15" s="41"/>
      <c r="B15" s="26" t="s">
        <v>2643</v>
      </c>
      <c r="C15" s="48"/>
      <c r="D15" s="48"/>
      <c r="E15" s="40"/>
      <c r="F15" s="41"/>
      <c r="G15" s="42"/>
      <c r="H15" s="33"/>
      <c r="I15" s="33">
        <f>SUM(I5:I12)</f>
        <v>20311658.8939202</v>
      </c>
      <c r="J15" s="31"/>
      <c r="K15" s="21"/>
      <c r="L15" s="21"/>
      <c r="M15" s="21"/>
      <c r="N15" s="21"/>
      <c r="O15" s="21"/>
      <c r="P15" s="21"/>
      <c r="Q15" s="21"/>
      <c r="R15" s="21"/>
      <c r="S15" s="21"/>
      <c r="T15" s="21"/>
    </row>
  </sheetData>
  <mergeCells count="2">
    <mergeCell ref="A1:J1"/>
    <mergeCell ref="A2:J2"/>
  </mergeCells>
  <printOptions horizontalCentered="1"/>
  <pageMargins left="0.590277777777778" right="0.590277777777778" top="0.590277777777778" bottom="0.590277777777778" header="0.196527777777778" footer="0.196527777777778"/>
  <pageSetup paperSize="9" scale="68" orientation="landscape" horizontalDpi="600"/>
  <headerFooter>
    <oddFooter>&amp;C第 &amp;P 页，共 &amp;N 页</oddFooter>
  </headerFooter>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2"/>
  <sheetViews>
    <sheetView view="pageBreakPreview" zoomScale="110" zoomScaleNormal="90" workbookViewId="0">
      <pane ySplit="2" topLeftCell="A148" activePane="bottomLeft" state="frozen"/>
      <selection/>
      <selection pane="bottomLeft" activeCell="F157" sqref="F157"/>
    </sheetView>
  </sheetViews>
  <sheetFormatPr defaultColWidth="14" defaultRowHeight="12.75"/>
  <cols>
    <col min="1" max="1" width="10" customWidth="1"/>
    <col min="2" max="2" width="23.8571428571429" customWidth="1"/>
    <col min="3" max="3" width="28" customWidth="1"/>
    <col min="4" max="4" width="28.5714285714286" customWidth="1"/>
    <col min="5" max="5" width="29" customWidth="1"/>
    <col min="6" max="6" width="30.8571428571429" customWidth="1"/>
    <col min="7" max="7" width="19.1428571428571" customWidth="1"/>
  </cols>
  <sheetData>
    <row r="1" ht="21" customHeight="1" spans="1:20">
      <c r="A1" s="1" t="s">
        <v>2644</v>
      </c>
      <c r="B1" s="2"/>
      <c r="C1" s="2"/>
      <c r="D1" s="2"/>
      <c r="E1" s="2"/>
      <c r="F1" s="2"/>
      <c r="G1" s="2"/>
      <c r="H1" s="3"/>
      <c r="I1" s="3"/>
      <c r="J1" s="3"/>
      <c r="K1" s="3"/>
      <c r="L1" s="3"/>
      <c r="M1" s="3"/>
      <c r="N1" s="3"/>
      <c r="O1" s="3"/>
      <c r="P1" s="3"/>
      <c r="Q1" s="3"/>
      <c r="R1" s="3"/>
      <c r="S1" s="3"/>
      <c r="T1" s="3"/>
    </row>
    <row r="2" ht="18" customHeight="1" spans="1:20">
      <c r="A2" s="4" t="s">
        <v>5</v>
      </c>
      <c r="B2" s="5" t="s">
        <v>2645</v>
      </c>
      <c r="C2" s="5" t="s">
        <v>2646</v>
      </c>
      <c r="D2" s="5" t="s">
        <v>2647</v>
      </c>
      <c r="E2" s="5" t="s">
        <v>2648</v>
      </c>
      <c r="F2" s="5" t="s">
        <v>2052</v>
      </c>
      <c r="G2" s="5" t="s">
        <v>19</v>
      </c>
      <c r="H2" s="6"/>
      <c r="I2" s="6"/>
      <c r="J2" s="6"/>
      <c r="K2" s="6"/>
      <c r="L2" s="6"/>
      <c r="M2" s="6"/>
      <c r="N2" s="6"/>
      <c r="O2" s="6"/>
      <c r="P2" s="6"/>
      <c r="Q2" s="6"/>
      <c r="R2" s="6"/>
      <c r="S2" s="6"/>
      <c r="T2" s="6"/>
    </row>
    <row r="3" spans="1:20">
      <c r="A3" s="7">
        <v>1</v>
      </c>
      <c r="B3" s="8" t="s">
        <v>2649</v>
      </c>
      <c r="C3" s="8"/>
      <c r="D3" s="8"/>
      <c r="E3" s="8"/>
      <c r="F3" s="8"/>
      <c r="G3" s="8"/>
      <c r="H3" s="6"/>
      <c r="I3" s="6"/>
      <c r="J3" s="6"/>
      <c r="K3" s="6"/>
      <c r="L3" s="6"/>
      <c r="M3" s="6"/>
      <c r="N3" s="6"/>
      <c r="O3" s="6"/>
      <c r="P3" s="6"/>
      <c r="Q3" s="6"/>
      <c r="R3" s="6"/>
      <c r="S3" s="6"/>
      <c r="T3" s="6"/>
    </row>
    <row r="4" ht="51" spans="1:20">
      <c r="A4" s="4">
        <v>1.01</v>
      </c>
      <c r="B4" s="9" t="s">
        <v>2650</v>
      </c>
      <c r="C4" s="9" t="s">
        <v>2651</v>
      </c>
      <c r="D4" s="9" t="s">
        <v>2652</v>
      </c>
      <c r="E4" s="9" t="s">
        <v>2653</v>
      </c>
      <c r="F4" s="9" t="s">
        <v>2654</v>
      </c>
      <c r="G4" s="9"/>
      <c r="H4" s="6"/>
      <c r="I4" s="6"/>
      <c r="J4" s="6"/>
      <c r="K4" s="6"/>
      <c r="L4" s="6"/>
      <c r="M4" s="6"/>
      <c r="N4" s="6"/>
      <c r="O4" s="6"/>
      <c r="P4" s="6"/>
      <c r="Q4" s="6"/>
      <c r="R4" s="6"/>
      <c r="S4" s="6"/>
      <c r="T4" s="6"/>
    </row>
    <row r="5" spans="1:20">
      <c r="A5" s="4">
        <v>1.02</v>
      </c>
      <c r="B5" s="9" t="s">
        <v>2655</v>
      </c>
      <c r="C5" s="9" t="s">
        <v>2656</v>
      </c>
      <c r="D5" s="9" t="s">
        <v>2657</v>
      </c>
      <c r="E5" s="9" t="s">
        <v>2653</v>
      </c>
      <c r="F5" s="9" t="s">
        <v>2658</v>
      </c>
      <c r="G5" s="9"/>
      <c r="H5" s="6"/>
      <c r="I5" s="6"/>
      <c r="J5" s="6"/>
      <c r="K5" s="6"/>
      <c r="L5" s="6"/>
      <c r="M5" s="6"/>
      <c r="N5" s="6"/>
      <c r="O5" s="6"/>
      <c r="P5" s="6"/>
      <c r="Q5" s="6"/>
      <c r="R5" s="6"/>
      <c r="S5" s="6"/>
      <c r="T5" s="6"/>
    </row>
    <row r="6" ht="25.5" spans="1:20">
      <c r="A6" s="4">
        <v>1.03</v>
      </c>
      <c r="B6" s="9" t="s">
        <v>2659</v>
      </c>
      <c r="C6" s="9" t="s">
        <v>2660</v>
      </c>
      <c r="D6" s="9" t="s">
        <v>2652</v>
      </c>
      <c r="E6" s="9" t="s">
        <v>2661</v>
      </c>
      <c r="F6" s="9" t="s">
        <v>2662</v>
      </c>
      <c r="G6" s="9"/>
      <c r="H6" s="6"/>
      <c r="I6" s="6"/>
      <c r="J6" s="6"/>
      <c r="K6" s="6"/>
      <c r="L6" s="6"/>
      <c r="M6" s="6"/>
      <c r="N6" s="6"/>
      <c r="O6" s="6"/>
      <c r="P6" s="6"/>
      <c r="Q6" s="6"/>
      <c r="R6" s="6"/>
      <c r="S6" s="6"/>
      <c r="T6" s="6"/>
    </row>
    <row r="7" ht="25.5" spans="1:20">
      <c r="A7" s="4">
        <v>1.04</v>
      </c>
      <c r="B7" s="9" t="s">
        <v>507</v>
      </c>
      <c r="C7" s="9" t="s">
        <v>2663</v>
      </c>
      <c r="D7" s="9" t="s">
        <v>2664</v>
      </c>
      <c r="E7" s="9" t="s">
        <v>2665</v>
      </c>
      <c r="F7" s="9" t="s">
        <v>2666</v>
      </c>
      <c r="G7" s="9"/>
      <c r="H7" s="6"/>
      <c r="I7" s="6"/>
      <c r="J7" s="6"/>
      <c r="K7" s="6"/>
      <c r="L7" s="6"/>
      <c r="M7" s="6"/>
      <c r="N7" s="6"/>
      <c r="O7" s="6"/>
      <c r="P7" s="6"/>
      <c r="Q7" s="6"/>
      <c r="R7" s="6"/>
      <c r="S7" s="6"/>
      <c r="T7" s="6"/>
    </row>
    <row r="8" ht="25.5" spans="1:20">
      <c r="A8" s="4">
        <v>1.05</v>
      </c>
      <c r="B8" s="9" t="s">
        <v>2667</v>
      </c>
      <c r="C8" s="9" t="s">
        <v>2668</v>
      </c>
      <c r="D8" s="9" t="s">
        <v>2669</v>
      </c>
      <c r="E8" s="9" t="s">
        <v>2670</v>
      </c>
      <c r="F8" s="9" t="s">
        <v>2671</v>
      </c>
      <c r="G8" s="9"/>
      <c r="H8" s="6"/>
      <c r="I8" s="6"/>
      <c r="J8" s="6"/>
      <c r="K8" s="6"/>
      <c r="L8" s="6"/>
      <c r="M8" s="6"/>
      <c r="N8" s="6"/>
      <c r="O8" s="6"/>
      <c r="P8" s="6"/>
      <c r="Q8" s="6"/>
      <c r="R8" s="6"/>
      <c r="S8" s="6"/>
      <c r="T8" s="6"/>
    </row>
    <row r="9" spans="1:20">
      <c r="A9" s="4">
        <v>1.06</v>
      </c>
      <c r="B9" s="9" t="s">
        <v>2672</v>
      </c>
      <c r="C9" s="9" t="s">
        <v>2673</v>
      </c>
      <c r="D9" s="9" t="s">
        <v>2674</v>
      </c>
      <c r="E9" s="9" t="s">
        <v>2675</v>
      </c>
      <c r="F9" s="9" t="s">
        <v>2676</v>
      </c>
      <c r="G9" s="9"/>
      <c r="H9" s="6"/>
      <c r="I9" s="6"/>
      <c r="J9" s="6"/>
      <c r="K9" s="6"/>
      <c r="L9" s="6"/>
      <c r="M9" s="6"/>
      <c r="N9" s="6"/>
      <c r="O9" s="6"/>
      <c r="P9" s="6"/>
      <c r="Q9" s="6"/>
      <c r="R9" s="6"/>
      <c r="S9" s="6"/>
      <c r="T9" s="6"/>
    </row>
    <row r="10" ht="38.25" spans="1:20">
      <c r="A10" s="4">
        <v>1.07</v>
      </c>
      <c r="B10" s="9" t="s">
        <v>2677</v>
      </c>
      <c r="C10" s="9" t="s">
        <v>2678</v>
      </c>
      <c r="D10" s="9" t="s">
        <v>2679</v>
      </c>
      <c r="E10" s="9" t="s">
        <v>2653</v>
      </c>
      <c r="F10" s="9" t="s">
        <v>2680</v>
      </c>
      <c r="G10" s="9"/>
      <c r="H10" s="6"/>
      <c r="I10" s="6"/>
      <c r="J10" s="6"/>
      <c r="K10" s="6"/>
      <c r="L10" s="6"/>
      <c r="M10" s="6"/>
      <c r="N10" s="6"/>
      <c r="O10" s="6"/>
      <c r="P10" s="6"/>
      <c r="Q10" s="6"/>
      <c r="R10" s="6"/>
      <c r="S10" s="6"/>
      <c r="T10" s="6"/>
    </row>
    <row r="11" spans="1:20">
      <c r="A11" s="4">
        <v>1.08</v>
      </c>
      <c r="B11" s="9" t="s">
        <v>2677</v>
      </c>
      <c r="C11" s="9" t="s">
        <v>2681</v>
      </c>
      <c r="D11" s="9" t="s">
        <v>2682</v>
      </c>
      <c r="E11" s="9"/>
      <c r="F11" s="9" t="s">
        <v>2683</v>
      </c>
      <c r="G11" s="9"/>
      <c r="H11" s="6"/>
      <c r="I11" s="6"/>
      <c r="J11" s="6"/>
      <c r="K11" s="6"/>
      <c r="L11" s="6"/>
      <c r="M11" s="6"/>
      <c r="N11" s="6"/>
      <c r="O11" s="6"/>
      <c r="P11" s="6"/>
      <c r="Q11" s="6"/>
      <c r="R11" s="6"/>
      <c r="S11" s="6"/>
      <c r="T11" s="6"/>
    </row>
    <row r="12" spans="1:20">
      <c r="A12" s="7">
        <v>2</v>
      </c>
      <c r="B12" s="8" t="s">
        <v>2684</v>
      </c>
      <c r="C12" s="8"/>
      <c r="D12" s="8"/>
      <c r="E12" s="8"/>
      <c r="F12" s="8"/>
      <c r="G12" s="8"/>
      <c r="H12" s="6"/>
      <c r="I12" s="6"/>
      <c r="J12" s="6"/>
      <c r="K12" s="6"/>
      <c r="L12" s="6"/>
      <c r="M12" s="6"/>
      <c r="N12" s="6"/>
      <c r="O12" s="6"/>
      <c r="P12" s="6"/>
      <c r="Q12" s="6"/>
      <c r="R12" s="6"/>
      <c r="S12" s="6"/>
      <c r="T12" s="6"/>
    </row>
    <row r="13" spans="1:20">
      <c r="A13" s="4">
        <v>2.01</v>
      </c>
      <c r="B13" s="9" t="s">
        <v>2685</v>
      </c>
      <c r="C13" s="9" t="s">
        <v>2686</v>
      </c>
      <c r="D13" s="9" t="s">
        <v>2687</v>
      </c>
      <c r="E13" s="9" t="s">
        <v>2688</v>
      </c>
      <c r="F13" s="9" t="s">
        <v>2689</v>
      </c>
      <c r="G13" s="9"/>
      <c r="H13" s="6"/>
      <c r="I13" s="6"/>
      <c r="J13" s="6"/>
      <c r="K13" s="6"/>
      <c r="L13" s="6"/>
      <c r="M13" s="6"/>
      <c r="N13" s="6"/>
      <c r="O13" s="6"/>
      <c r="P13" s="6"/>
      <c r="Q13" s="6"/>
      <c r="R13" s="6"/>
      <c r="S13" s="6"/>
      <c r="T13" s="6"/>
    </row>
    <row r="14" ht="25.5" spans="1:20">
      <c r="A14" s="4">
        <v>2.02</v>
      </c>
      <c r="B14" s="9" t="s">
        <v>2690</v>
      </c>
      <c r="C14" s="9" t="s">
        <v>2691</v>
      </c>
      <c r="D14" s="9" t="s">
        <v>2687</v>
      </c>
      <c r="E14" s="9" t="s">
        <v>2692</v>
      </c>
      <c r="F14" s="9" t="s">
        <v>2693</v>
      </c>
      <c r="G14" s="9"/>
      <c r="H14" s="6"/>
      <c r="I14" s="6"/>
      <c r="J14" s="6"/>
      <c r="K14" s="6"/>
      <c r="L14" s="6"/>
      <c r="M14" s="6"/>
      <c r="N14" s="6"/>
      <c r="O14" s="6"/>
      <c r="P14" s="6"/>
      <c r="Q14" s="6"/>
      <c r="R14" s="6"/>
      <c r="S14" s="6"/>
      <c r="T14" s="6"/>
    </row>
    <row r="15" spans="1:20">
      <c r="A15" s="4">
        <v>2.03</v>
      </c>
      <c r="B15" s="9" t="s">
        <v>2694</v>
      </c>
      <c r="C15" s="9" t="s">
        <v>2686</v>
      </c>
      <c r="D15" s="9" t="s">
        <v>2695</v>
      </c>
      <c r="E15" s="9" t="s">
        <v>2696</v>
      </c>
      <c r="F15" s="9" t="s">
        <v>2697</v>
      </c>
      <c r="G15" s="9"/>
      <c r="H15" s="6"/>
      <c r="I15" s="6"/>
      <c r="J15" s="6"/>
      <c r="K15" s="6"/>
      <c r="L15" s="6"/>
      <c r="M15" s="6"/>
      <c r="N15" s="6"/>
      <c r="O15" s="6"/>
      <c r="P15" s="6"/>
      <c r="Q15" s="6"/>
      <c r="R15" s="6"/>
      <c r="S15" s="6"/>
      <c r="T15" s="6"/>
    </row>
    <row r="16" ht="25.5" spans="1:20">
      <c r="A16" s="4">
        <v>2.04</v>
      </c>
      <c r="B16" s="9" t="s">
        <v>2698</v>
      </c>
      <c r="C16" s="9" t="s">
        <v>2699</v>
      </c>
      <c r="D16" s="9" t="s">
        <v>2687</v>
      </c>
      <c r="E16" s="9" t="s">
        <v>2700</v>
      </c>
      <c r="F16" s="9" t="s">
        <v>2701</v>
      </c>
      <c r="G16" s="9"/>
      <c r="H16" s="6"/>
      <c r="I16" s="6"/>
      <c r="J16" s="6"/>
      <c r="K16" s="6"/>
      <c r="L16" s="6"/>
      <c r="M16" s="6"/>
      <c r="N16" s="6"/>
      <c r="O16" s="6"/>
      <c r="P16" s="6"/>
      <c r="Q16" s="6"/>
      <c r="R16" s="6"/>
      <c r="S16" s="6"/>
      <c r="T16" s="6"/>
    </row>
    <row r="17" ht="25.5" spans="1:20">
      <c r="A17" s="4">
        <v>2.05</v>
      </c>
      <c r="B17" s="9" t="s">
        <v>2702</v>
      </c>
      <c r="C17" s="9" t="s">
        <v>2703</v>
      </c>
      <c r="D17" s="9" t="s">
        <v>2687</v>
      </c>
      <c r="E17" s="9" t="s">
        <v>2700</v>
      </c>
      <c r="F17" s="9" t="s">
        <v>2704</v>
      </c>
      <c r="G17" s="9"/>
      <c r="H17" s="6"/>
      <c r="I17" s="6"/>
      <c r="J17" s="6"/>
      <c r="K17" s="6"/>
      <c r="L17" s="6"/>
      <c r="M17" s="6"/>
      <c r="N17" s="6"/>
      <c r="O17" s="6"/>
      <c r="P17" s="6"/>
      <c r="Q17" s="6"/>
      <c r="R17" s="6"/>
      <c r="S17" s="6"/>
      <c r="T17" s="6"/>
    </row>
    <row r="18" ht="25.5" spans="1:20">
      <c r="A18" s="4">
        <v>2.06</v>
      </c>
      <c r="B18" s="9" t="s">
        <v>2705</v>
      </c>
      <c r="C18" s="9" t="s">
        <v>2706</v>
      </c>
      <c r="D18" s="9" t="s">
        <v>2687</v>
      </c>
      <c r="E18" s="9" t="s">
        <v>2707</v>
      </c>
      <c r="F18" s="9" t="s">
        <v>2708</v>
      </c>
      <c r="G18" s="9"/>
      <c r="H18" s="6"/>
      <c r="I18" s="6"/>
      <c r="J18" s="6"/>
      <c r="K18" s="6"/>
      <c r="L18" s="6"/>
      <c r="M18" s="6"/>
      <c r="N18" s="6"/>
      <c r="O18" s="6"/>
      <c r="P18" s="6"/>
      <c r="Q18" s="6"/>
      <c r="R18" s="6"/>
      <c r="S18" s="6"/>
      <c r="T18" s="6"/>
    </row>
    <row r="19" ht="25.5" spans="1:20">
      <c r="A19" s="4">
        <v>2.07</v>
      </c>
      <c r="B19" s="9" t="s">
        <v>2709</v>
      </c>
      <c r="C19" s="9" t="s">
        <v>2710</v>
      </c>
      <c r="D19" s="9" t="s">
        <v>2687</v>
      </c>
      <c r="E19" s="9" t="s">
        <v>2711</v>
      </c>
      <c r="F19" s="9" t="s">
        <v>2708</v>
      </c>
      <c r="G19" s="9"/>
      <c r="H19" s="6"/>
      <c r="I19" s="6"/>
      <c r="J19" s="6"/>
      <c r="K19" s="6"/>
      <c r="L19" s="6"/>
      <c r="M19" s="6"/>
      <c r="N19" s="6"/>
      <c r="O19" s="6"/>
      <c r="P19" s="6"/>
      <c r="Q19" s="6"/>
      <c r="R19" s="6"/>
      <c r="S19" s="6"/>
      <c r="T19" s="6"/>
    </row>
    <row r="20" ht="25.5" spans="1:20">
      <c r="A20" s="4">
        <v>2.08</v>
      </c>
      <c r="B20" s="9" t="s">
        <v>2712</v>
      </c>
      <c r="C20" s="9" t="s">
        <v>2713</v>
      </c>
      <c r="D20" s="9" t="s">
        <v>2687</v>
      </c>
      <c r="E20" s="9" t="s">
        <v>2714</v>
      </c>
      <c r="F20" s="9" t="s">
        <v>2715</v>
      </c>
      <c r="G20" s="9"/>
      <c r="H20" s="6"/>
      <c r="I20" s="6"/>
      <c r="J20" s="6"/>
      <c r="K20" s="6"/>
      <c r="L20" s="6"/>
      <c r="M20" s="6"/>
      <c r="N20" s="6"/>
      <c r="O20" s="6"/>
      <c r="P20" s="6"/>
      <c r="Q20" s="6"/>
      <c r="R20" s="6"/>
      <c r="S20" s="6"/>
      <c r="T20" s="6"/>
    </row>
    <row r="21" ht="25.5" spans="1:20">
      <c r="A21" s="4">
        <v>2.09</v>
      </c>
      <c r="B21" s="9" t="s">
        <v>2716</v>
      </c>
      <c r="C21" s="9" t="s">
        <v>1641</v>
      </c>
      <c r="D21" s="9" t="s">
        <v>2687</v>
      </c>
      <c r="E21" s="9" t="s">
        <v>2717</v>
      </c>
      <c r="F21" s="9" t="s">
        <v>2718</v>
      </c>
      <c r="G21" s="9"/>
      <c r="H21" s="6"/>
      <c r="I21" s="6"/>
      <c r="J21" s="6"/>
      <c r="K21" s="6"/>
      <c r="L21" s="6"/>
      <c r="M21" s="6"/>
      <c r="N21" s="6"/>
      <c r="O21" s="6"/>
      <c r="P21" s="6"/>
      <c r="Q21" s="6"/>
      <c r="R21" s="6"/>
      <c r="S21" s="6"/>
      <c r="T21" s="6"/>
    </row>
    <row r="22" ht="38.25" spans="1:20">
      <c r="A22" s="4">
        <v>2.10000000000001</v>
      </c>
      <c r="B22" s="9" t="s">
        <v>2719</v>
      </c>
      <c r="C22" s="9" t="s">
        <v>2720</v>
      </c>
      <c r="D22" s="9" t="s">
        <v>2687</v>
      </c>
      <c r="E22" s="9" t="s">
        <v>2721</v>
      </c>
      <c r="F22" s="9" t="s">
        <v>2722</v>
      </c>
      <c r="G22" s="9"/>
      <c r="H22" s="6"/>
      <c r="I22" s="6"/>
      <c r="J22" s="6"/>
      <c r="K22" s="6"/>
      <c r="L22" s="6"/>
      <c r="M22" s="6"/>
      <c r="N22" s="6"/>
      <c r="O22" s="6"/>
      <c r="P22" s="6"/>
      <c r="Q22" s="6"/>
      <c r="R22" s="6"/>
      <c r="S22" s="6"/>
      <c r="T22" s="6"/>
    </row>
    <row r="23" ht="25.5" spans="1:20">
      <c r="A23" s="4">
        <v>2.11000000000001</v>
      </c>
      <c r="B23" s="9" t="s">
        <v>2723</v>
      </c>
      <c r="C23" s="9" t="s">
        <v>2724</v>
      </c>
      <c r="D23" s="9" t="s">
        <v>2687</v>
      </c>
      <c r="E23" s="9" t="s">
        <v>2725</v>
      </c>
      <c r="F23" s="9" t="s">
        <v>2726</v>
      </c>
      <c r="G23" s="9"/>
      <c r="H23" s="6"/>
      <c r="I23" s="6"/>
      <c r="J23" s="6"/>
      <c r="K23" s="6"/>
      <c r="L23" s="6"/>
      <c r="M23" s="6"/>
      <c r="N23" s="6"/>
      <c r="O23" s="6"/>
      <c r="P23" s="6"/>
      <c r="Q23" s="6"/>
      <c r="R23" s="6"/>
      <c r="S23" s="6"/>
      <c r="T23" s="6"/>
    </row>
    <row r="24" ht="25.5" spans="1:20">
      <c r="A24" s="4">
        <v>2.12000000000001</v>
      </c>
      <c r="B24" s="9" t="s">
        <v>2727</v>
      </c>
      <c r="C24" s="9" t="s">
        <v>2728</v>
      </c>
      <c r="D24" s="9" t="s">
        <v>2729</v>
      </c>
      <c r="E24" s="9" t="s">
        <v>2730</v>
      </c>
      <c r="F24" s="9" t="s">
        <v>2731</v>
      </c>
      <c r="G24" s="9"/>
      <c r="H24" s="6"/>
      <c r="I24" s="6"/>
      <c r="J24" s="6"/>
      <c r="K24" s="6"/>
      <c r="L24" s="6"/>
      <c r="M24" s="6"/>
      <c r="N24" s="6"/>
      <c r="O24" s="6"/>
      <c r="P24" s="6"/>
      <c r="Q24" s="6"/>
      <c r="R24" s="6"/>
      <c r="S24" s="6"/>
      <c r="T24" s="6"/>
    </row>
    <row r="25" spans="1:20">
      <c r="A25" s="4">
        <v>2.13000000000001</v>
      </c>
      <c r="B25" s="9" t="s">
        <v>2732</v>
      </c>
      <c r="C25" s="9" t="s">
        <v>2733</v>
      </c>
      <c r="D25" s="9" t="s">
        <v>2687</v>
      </c>
      <c r="E25" s="9" t="s">
        <v>2730</v>
      </c>
      <c r="F25" s="9" t="s">
        <v>2734</v>
      </c>
      <c r="G25" s="9"/>
      <c r="H25" s="6"/>
      <c r="I25" s="6"/>
      <c r="J25" s="6"/>
      <c r="K25" s="6"/>
      <c r="L25" s="6"/>
      <c r="M25" s="6"/>
      <c r="N25" s="6"/>
      <c r="O25" s="6"/>
      <c r="P25" s="6"/>
      <c r="Q25" s="6"/>
      <c r="R25" s="6"/>
      <c r="S25" s="6"/>
      <c r="T25" s="6"/>
    </row>
    <row r="26" spans="1:20">
      <c r="A26" s="4">
        <v>2.14000000000001</v>
      </c>
      <c r="B26" s="9" t="s">
        <v>2735</v>
      </c>
      <c r="C26" s="9" t="s">
        <v>2736</v>
      </c>
      <c r="D26" s="9" t="s">
        <v>2687</v>
      </c>
      <c r="E26" s="9" t="s">
        <v>2737</v>
      </c>
      <c r="F26" s="9" t="s">
        <v>2738</v>
      </c>
      <c r="G26" s="9"/>
      <c r="H26" s="6"/>
      <c r="I26" s="6"/>
      <c r="J26" s="6"/>
      <c r="K26" s="6"/>
      <c r="L26" s="6"/>
      <c r="M26" s="6"/>
      <c r="N26" s="6"/>
      <c r="O26" s="6"/>
      <c r="P26" s="6"/>
      <c r="Q26" s="6"/>
      <c r="R26" s="6"/>
      <c r="S26" s="6"/>
      <c r="T26" s="6"/>
    </row>
    <row r="27" spans="1:20">
      <c r="A27" s="4">
        <v>2.15000000000001</v>
      </c>
      <c r="B27" s="9" t="s">
        <v>2739</v>
      </c>
      <c r="C27" s="9" t="s">
        <v>2740</v>
      </c>
      <c r="D27" s="9" t="s">
        <v>2687</v>
      </c>
      <c r="E27" s="9" t="s">
        <v>2741</v>
      </c>
      <c r="F27" s="9" t="s">
        <v>2742</v>
      </c>
      <c r="G27" s="9"/>
      <c r="H27" s="6"/>
      <c r="I27" s="6"/>
      <c r="J27" s="6"/>
      <c r="K27" s="6"/>
      <c r="L27" s="6"/>
      <c r="M27" s="6"/>
      <c r="N27" s="6"/>
      <c r="O27" s="6"/>
      <c r="P27" s="6"/>
      <c r="Q27" s="6"/>
      <c r="R27" s="6"/>
      <c r="S27" s="6"/>
      <c r="T27" s="6"/>
    </row>
    <row r="28" ht="25.5" spans="1:20">
      <c r="A28" s="4">
        <v>2.16000000000001</v>
      </c>
      <c r="B28" s="9" t="s">
        <v>2743</v>
      </c>
      <c r="C28" s="9" t="s">
        <v>2744</v>
      </c>
      <c r="D28" s="9" t="s">
        <v>2687</v>
      </c>
      <c r="E28" s="9" t="s">
        <v>2745</v>
      </c>
      <c r="F28" s="9" t="s">
        <v>2746</v>
      </c>
      <c r="G28" s="9"/>
      <c r="H28" s="6"/>
      <c r="I28" s="6"/>
      <c r="J28" s="6"/>
      <c r="K28" s="6"/>
      <c r="L28" s="6"/>
      <c r="M28" s="6"/>
      <c r="N28" s="6"/>
      <c r="O28" s="6"/>
      <c r="P28" s="6"/>
      <c r="Q28" s="6"/>
      <c r="R28" s="6"/>
      <c r="S28" s="6"/>
      <c r="T28" s="6"/>
    </row>
    <row r="29" ht="25.5" spans="1:20">
      <c r="A29" s="4">
        <v>2.17000000000001</v>
      </c>
      <c r="B29" s="9" t="s">
        <v>2747</v>
      </c>
      <c r="C29" s="9" t="s">
        <v>2748</v>
      </c>
      <c r="D29" s="9" t="s">
        <v>2687</v>
      </c>
      <c r="E29" s="9" t="s">
        <v>2745</v>
      </c>
      <c r="F29" s="9" t="s">
        <v>2746</v>
      </c>
      <c r="G29" s="9"/>
      <c r="H29" s="6"/>
      <c r="I29" s="6"/>
      <c r="J29" s="6"/>
      <c r="K29" s="6"/>
      <c r="L29" s="6"/>
      <c r="M29" s="6"/>
      <c r="N29" s="6"/>
      <c r="O29" s="6"/>
      <c r="P29" s="6"/>
      <c r="Q29" s="6"/>
      <c r="R29" s="6"/>
      <c r="S29" s="6"/>
      <c r="T29" s="6"/>
    </row>
    <row r="30" spans="1:20">
      <c r="A30" s="4">
        <v>2.18000000000001</v>
      </c>
      <c r="B30" s="9" t="s">
        <v>2749</v>
      </c>
      <c r="C30" s="9" t="s">
        <v>2750</v>
      </c>
      <c r="D30" s="9"/>
      <c r="E30" s="9" t="s">
        <v>2751</v>
      </c>
      <c r="F30" s="9" t="s">
        <v>2752</v>
      </c>
      <c r="G30" s="9"/>
      <c r="H30" s="6"/>
      <c r="I30" s="6"/>
      <c r="J30" s="6"/>
      <c r="K30" s="6"/>
      <c r="L30" s="6"/>
      <c r="M30" s="6"/>
      <c r="N30" s="6"/>
      <c r="O30" s="6"/>
      <c r="P30" s="6"/>
      <c r="Q30" s="6"/>
      <c r="R30" s="6"/>
      <c r="S30" s="6"/>
      <c r="T30" s="6"/>
    </row>
    <row r="31" ht="25.5" spans="1:20">
      <c r="A31" s="4">
        <v>2.19000000000001</v>
      </c>
      <c r="B31" s="9" t="s">
        <v>2753</v>
      </c>
      <c r="C31" s="9" t="s">
        <v>2754</v>
      </c>
      <c r="D31" s="9" t="s">
        <v>2729</v>
      </c>
      <c r="E31" s="9" t="s">
        <v>2755</v>
      </c>
      <c r="F31" s="9" t="s">
        <v>2756</v>
      </c>
      <c r="G31" s="9"/>
      <c r="H31" s="6"/>
      <c r="I31" s="6"/>
      <c r="J31" s="6"/>
      <c r="K31" s="6"/>
      <c r="L31" s="6"/>
      <c r="M31" s="6"/>
      <c r="N31" s="6"/>
      <c r="O31" s="6"/>
      <c r="P31" s="6"/>
      <c r="Q31" s="6"/>
      <c r="R31" s="6"/>
      <c r="S31" s="6"/>
      <c r="T31" s="6"/>
    </row>
    <row r="32" spans="1:20">
      <c r="A32" s="4">
        <v>2.20000000000001</v>
      </c>
      <c r="B32" s="9" t="s">
        <v>2757</v>
      </c>
      <c r="C32" s="9" t="s">
        <v>2758</v>
      </c>
      <c r="D32" s="9" t="s">
        <v>2687</v>
      </c>
      <c r="E32" s="9" t="s">
        <v>2759</v>
      </c>
      <c r="F32" s="9" t="s">
        <v>2760</v>
      </c>
      <c r="G32" s="9"/>
      <c r="H32" s="6"/>
      <c r="I32" s="6"/>
      <c r="J32" s="6"/>
      <c r="K32" s="6"/>
      <c r="L32" s="6"/>
      <c r="M32" s="6"/>
      <c r="N32" s="6"/>
      <c r="O32" s="6"/>
      <c r="P32" s="6"/>
      <c r="Q32" s="6"/>
      <c r="R32" s="6"/>
      <c r="S32" s="6"/>
      <c r="T32" s="6"/>
    </row>
    <row r="33" spans="1:20">
      <c r="A33" s="4">
        <v>2.21000000000001</v>
      </c>
      <c r="B33" s="9" t="s">
        <v>2761</v>
      </c>
      <c r="C33" s="9" t="s">
        <v>2762</v>
      </c>
      <c r="D33" s="9" t="s">
        <v>2763</v>
      </c>
      <c r="E33" s="9" t="s">
        <v>2764</v>
      </c>
      <c r="F33" s="9" t="s">
        <v>2765</v>
      </c>
      <c r="G33" s="9"/>
      <c r="H33" s="6"/>
      <c r="I33" s="6"/>
      <c r="J33" s="6"/>
      <c r="K33" s="6"/>
      <c r="L33" s="6"/>
      <c r="M33" s="6"/>
      <c r="N33" s="6"/>
      <c r="O33" s="6"/>
      <c r="P33" s="6"/>
      <c r="Q33" s="6"/>
      <c r="R33" s="6"/>
      <c r="S33" s="6"/>
      <c r="T33" s="6"/>
    </row>
    <row r="34" spans="1:20">
      <c r="A34" s="4">
        <v>2.22000000000001</v>
      </c>
      <c r="B34" s="9" t="s">
        <v>2766</v>
      </c>
      <c r="C34" s="9" t="s">
        <v>2767</v>
      </c>
      <c r="D34" s="9" t="s">
        <v>2687</v>
      </c>
      <c r="E34" s="9" t="s">
        <v>2768</v>
      </c>
      <c r="F34" s="9" t="s">
        <v>2769</v>
      </c>
      <c r="G34" s="9"/>
      <c r="H34" s="6"/>
      <c r="I34" s="6"/>
      <c r="J34" s="6"/>
      <c r="K34" s="6"/>
      <c r="L34" s="6"/>
      <c r="M34" s="6"/>
      <c r="N34" s="6"/>
      <c r="O34" s="6"/>
      <c r="P34" s="6"/>
      <c r="Q34" s="6"/>
      <c r="R34" s="6"/>
      <c r="S34" s="6"/>
      <c r="T34" s="6"/>
    </row>
    <row r="35" spans="1:20">
      <c r="A35" s="7">
        <v>3</v>
      </c>
      <c r="B35" s="8" t="s">
        <v>2770</v>
      </c>
      <c r="C35" s="8"/>
      <c r="D35" s="8"/>
      <c r="E35" s="8"/>
      <c r="F35" s="8"/>
      <c r="G35" s="8"/>
      <c r="H35" s="6"/>
      <c r="I35" s="6"/>
      <c r="J35" s="6"/>
      <c r="K35" s="6"/>
      <c r="L35" s="6"/>
      <c r="M35" s="6"/>
      <c r="N35" s="6"/>
      <c r="O35" s="6"/>
      <c r="P35" s="6"/>
      <c r="Q35" s="6"/>
      <c r="R35" s="6"/>
      <c r="S35" s="6"/>
      <c r="T35" s="6"/>
    </row>
    <row r="36" spans="1:20">
      <c r="A36" s="4">
        <v>3.01</v>
      </c>
      <c r="B36" s="9" t="s">
        <v>2771</v>
      </c>
      <c r="C36" s="9" t="s">
        <v>2772</v>
      </c>
      <c r="D36" s="9" t="s">
        <v>2773</v>
      </c>
      <c r="E36" s="9" t="s">
        <v>2665</v>
      </c>
      <c r="F36" s="9" t="s">
        <v>2774</v>
      </c>
      <c r="G36" s="9"/>
      <c r="H36" s="6"/>
      <c r="I36" s="6"/>
      <c r="J36" s="6"/>
      <c r="K36" s="6"/>
      <c r="L36" s="6"/>
      <c r="M36" s="6"/>
      <c r="N36" s="6"/>
      <c r="O36" s="6"/>
      <c r="P36" s="6"/>
      <c r="Q36" s="6"/>
      <c r="R36" s="6"/>
      <c r="S36" s="6"/>
      <c r="T36" s="6"/>
    </row>
    <row r="37" spans="1:20">
      <c r="A37" s="4">
        <v>3.02</v>
      </c>
      <c r="B37" s="9" t="s">
        <v>2775</v>
      </c>
      <c r="C37" s="9" t="s">
        <v>2740</v>
      </c>
      <c r="D37" s="9" t="s">
        <v>2776</v>
      </c>
      <c r="E37" s="9" t="s">
        <v>2670</v>
      </c>
      <c r="F37" s="9" t="s">
        <v>2774</v>
      </c>
      <c r="G37" s="9"/>
      <c r="H37" s="6"/>
      <c r="I37" s="6"/>
      <c r="J37" s="6"/>
      <c r="K37" s="6"/>
      <c r="L37" s="6"/>
      <c r="M37" s="6"/>
      <c r="N37" s="6"/>
      <c r="O37" s="6"/>
      <c r="P37" s="6"/>
      <c r="Q37" s="6"/>
      <c r="R37" s="6"/>
      <c r="S37" s="6"/>
      <c r="T37" s="6"/>
    </row>
    <row r="38" spans="1:20">
      <c r="A38" s="4">
        <v>3.03</v>
      </c>
      <c r="B38" s="9" t="s">
        <v>2777</v>
      </c>
      <c r="C38" s="9" t="s">
        <v>2778</v>
      </c>
      <c r="D38" s="9" t="s">
        <v>2779</v>
      </c>
      <c r="E38" s="9" t="s">
        <v>2658</v>
      </c>
      <c r="F38" s="9" t="s">
        <v>2780</v>
      </c>
      <c r="G38" s="9"/>
      <c r="H38" s="6"/>
      <c r="I38" s="6"/>
      <c r="J38" s="6"/>
      <c r="K38" s="6"/>
      <c r="L38" s="6"/>
      <c r="M38" s="6"/>
      <c r="N38" s="6"/>
      <c r="O38" s="6"/>
      <c r="P38" s="6"/>
      <c r="Q38" s="6"/>
      <c r="R38" s="6"/>
      <c r="S38" s="6"/>
      <c r="T38" s="6"/>
    </row>
    <row r="39" ht="25.5" spans="1:20">
      <c r="A39" s="4">
        <v>3.04</v>
      </c>
      <c r="B39" s="9" t="s">
        <v>2781</v>
      </c>
      <c r="C39" s="9" t="s">
        <v>2782</v>
      </c>
      <c r="D39" s="9" t="s">
        <v>2783</v>
      </c>
      <c r="E39" s="9" t="s">
        <v>2675</v>
      </c>
      <c r="F39" s="9" t="s">
        <v>2784</v>
      </c>
      <c r="G39" s="9"/>
      <c r="H39" s="6"/>
      <c r="I39" s="6"/>
      <c r="J39" s="6"/>
      <c r="K39" s="6"/>
      <c r="L39" s="6"/>
      <c r="M39" s="6"/>
      <c r="N39" s="6"/>
      <c r="O39" s="6"/>
      <c r="P39" s="6"/>
      <c r="Q39" s="6"/>
      <c r="R39" s="6"/>
      <c r="S39" s="6"/>
      <c r="T39" s="6"/>
    </row>
    <row r="40" ht="25.5" spans="1:20">
      <c r="A40" s="4">
        <v>3.05</v>
      </c>
      <c r="B40" s="9" t="s">
        <v>2781</v>
      </c>
      <c r="C40" s="9" t="s">
        <v>2785</v>
      </c>
      <c r="D40" s="9" t="s">
        <v>2783</v>
      </c>
      <c r="E40" s="9" t="s">
        <v>2675</v>
      </c>
      <c r="F40" s="9" t="s">
        <v>2786</v>
      </c>
      <c r="G40" s="9"/>
      <c r="H40" s="6"/>
      <c r="I40" s="6"/>
      <c r="J40" s="6"/>
      <c r="K40" s="6"/>
      <c r="L40" s="6"/>
      <c r="M40" s="6"/>
      <c r="N40" s="6"/>
      <c r="O40" s="6"/>
      <c r="P40" s="6"/>
      <c r="Q40" s="6"/>
      <c r="R40" s="6"/>
      <c r="S40" s="6"/>
      <c r="T40" s="6"/>
    </row>
    <row r="41" ht="25.5" spans="1:20">
      <c r="A41" s="4">
        <v>3.06</v>
      </c>
      <c r="B41" s="9" t="s">
        <v>2781</v>
      </c>
      <c r="C41" s="9" t="s">
        <v>2787</v>
      </c>
      <c r="D41" s="9" t="s">
        <v>2788</v>
      </c>
      <c r="E41" s="9" t="s">
        <v>2665</v>
      </c>
      <c r="F41" s="9" t="s">
        <v>2789</v>
      </c>
      <c r="G41" s="9"/>
      <c r="H41" s="6"/>
      <c r="I41" s="6"/>
      <c r="J41" s="6"/>
      <c r="K41" s="6"/>
      <c r="L41" s="6"/>
      <c r="M41" s="6"/>
      <c r="N41" s="6"/>
      <c r="O41" s="6"/>
      <c r="P41" s="6"/>
      <c r="Q41" s="6"/>
      <c r="R41" s="6"/>
      <c r="S41" s="6"/>
      <c r="T41" s="6"/>
    </row>
    <row r="42" ht="25.5" spans="1:20">
      <c r="A42" s="4">
        <v>3.07</v>
      </c>
      <c r="B42" s="9" t="s">
        <v>2781</v>
      </c>
      <c r="C42" s="9" t="s">
        <v>2787</v>
      </c>
      <c r="D42" s="9" t="s">
        <v>2790</v>
      </c>
      <c r="E42" s="9" t="s">
        <v>2653</v>
      </c>
      <c r="F42" s="9" t="s">
        <v>2791</v>
      </c>
      <c r="G42" s="9"/>
      <c r="H42" s="6"/>
      <c r="I42" s="6"/>
      <c r="J42" s="6"/>
      <c r="K42" s="6"/>
      <c r="L42" s="6"/>
      <c r="M42" s="6"/>
      <c r="N42" s="6"/>
      <c r="O42" s="6"/>
      <c r="P42" s="6"/>
      <c r="Q42" s="6"/>
      <c r="R42" s="6"/>
      <c r="S42" s="6"/>
      <c r="T42" s="6"/>
    </row>
    <row r="43" ht="38.25" spans="1:20">
      <c r="A43" s="4">
        <v>3.08</v>
      </c>
      <c r="B43" s="9" t="s">
        <v>2792</v>
      </c>
      <c r="C43" s="9" t="s">
        <v>2793</v>
      </c>
      <c r="D43" s="9" t="s">
        <v>2794</v>
      </c>
      <c r="E43" s="9" t="s">
        <v>2675</v>
      </c>
      <c r="F43" s="9" t="s">
        <v>2795</v>
      </c>
      <c r="G43" s="9"/>
      <c r="H43" s="6"/>
      <c r="I43" s="6"/>
      <c r="J43" s="6"/>
      <c r="K43" s="6"/>
      <c r="L43" s="6"/>
      <c r="M43" s="6"/>
      <c r="N43" s="6"/>
      <c r="O43" s="6"/>
      <c r="P43" s="6"/>
      <c r="Q43" s="6"/>
      <c r="R43" s="6"/>
      <c r="S43" s="6"/>
      <c r="T43" s="6"/>
    </row>
    <row r="44" spans="1:20">
      <c r="A44" s="7">
        <v>4</v>
      </c>
      <c r="B44" s="8" t="s">
        <v>2796</v>
      </c>
      <c r="C44" s="8"/>
      <c r="D44" s="8"/>
      <c r="E44" s="8"/>
      <c r="F44" s="8"/>
      <c r="G44" s="8"/>
      <c r="H44" s="6"/>
      <c r="I44" s="6"/>
      <c r="J44" s="6"/>
      <c r="K44" s="6"/>
      <c r="L44" s="6"/>
      <c r="M44" s="6"/>
      <c r="N44" s="6"/>
      <c r="O44" s="6"/>
      <c r="P44" s="6"/>
      <c r="Q44" s="6"/>
      <c r="R44" s="6"/>
      <c r="S44" s="6"/>
      <c r="T44" s="6"/>
    </row>
    <row r="45" spans="1:20">
      <c r="A45" s="4">
        <v>4.01</v>
      </c>
      <c r="B45" s="9" t="s">
        <v>2797</v>
      </c>
      <c r="C45" s="9" t="s">
        <v>2798</v>
      </c>
      <c r="D45" s="9" t="s">
        <v>2799</v>
      </c>
      <c r="E45" s="9" t="s">
        <v>2800</v>
      </c>
      <c r="F45" s="9" t="s">
        <v>2801</v>
      </c>
      <c r="G45" s="9"/>
      <c r="H45" s="6"/>
      <c r="I45" s="6"/>
      <c r="J45" s="6"/>
      <c r="K45" s="6"/>
      <c r="L45" s="6"/>
      <c r="M45" s="6"/>
      <c r="N45" s="6"/>
      <c r="O45" s="6"/>
      <c r="P45" s="6"/>
      <c r="Q45" s="6"/>
      <c r="R45" s="6"/>
      <c r="S45" s="6"/>
      <c r="T45" s="6"/>
    </row>
    <row r="46" spans="1:20">
      <c r="A46" s="4">
        <v>4.02</v>
      </c>
      <c r="B46" s="9" t="s">
        <v>2802</v>
      </c>
      <c r="C46" s="9" t="s">
        <v>348</v>
      </c>
      <c r="D46" s="9" t="s">
        <v>2687</v>
      </c>
      <c r="E46" s="9" t="s">
        <v>2803</v>
      </c>
      <c r="F46" s="9" t="s">
        <v>2804</v>
      </c>
      <c r="G46" s="9"/>
      <c r="H46" s="6"/>
      <c r="I46" s="6"/>
      <c r="J46" s="6"/>
      <c r="K46" s="6"/>
      <c r="L46" s="6"/>
      <c r="M46" s="6"/>
      <c r="N46" s="6"/>
      <c r="O46" s="6"/>
      <c r="P46" s="6"/>
      <c r="Q46" s="6"/>
      <c r="R46" s="6"/>
      <c r="S46" s="6"/>
      <c r="T46" s="6"/>
    </row>
    <row r="47" spans="1:20">
      <c r="A47" s="4">
        <v>4.03</v>
      </c>
      <c r="B47" s="9" t="s">
        <v>2802</v>
      </c>
      <c r="C47" s="9" t="s">
        <v>2805</v>
      </c>
      <c r="D47" s="9" t="s">
        <v>2687</v>
      </c>
      <c r="E47" s="9" t="s">
        <v>2806</v>
      </c>
      <c r="F47" s="9" t="s">
        <v>2807</v>
      </c>
      <c r="G47" s="9"/>
      <c r="H47" s="6"/>
      <c r="I47" s="6"/>
      <c r="J47" s="6"/>
      <c r="K47" s="6"/>
      <c r="L47" s="6"/>
      <c r="M47" s="6"/>
      <c r="N47" s="6"/>
      <c r="O47" s="6"/>
      <c r="P47" s="6"/>
      <c r="Q47" s="6"/>
      <c r="R47" s="6"/>
      <c r="S47" s="6"/>
      <c r="T47" s="6"/>
    </row>
    <row r="48" spans="1:20">
      <c r="A48" s="4">
        <v>4.04</v>
      </c>
      <c r="B48" s="9" t="s">
        <v>2808</v>
      </c>
      <c r="C48" s="9" t="s">
        <v>2809</v>
      </c>
      <c r="D48" s="9" t="s">
        <v>2687</v>
      </c>
      <c r="E48" s="9" t="s">
        <v>2810</v>
      </c>
      <c r="F48" s="9" t="s">
        <v>2811</v>
      </c>
      <c r="G48" s="9"/>
      <c r="H48" s="6"/>
      <c r="I48" s="6"/>
      <c r="J48" s="6"/>
      <c r="K48" s="6"/>
      <c r="L48" s="6"/>
      <c r="M48" s="6"/>
      <c r="N48" s="6"/>
      <c r="O48" s="6"/>
      <c r="P48" s="6"/>
      <c r="Q48" s="6"/>
      <c r="R48" s="6"/>
      <c r="S48" s="6"/>
      <c r="T48" s="6"/>
    </row>
    <row r="49" spans="1:20">
      <c r="A49" s="7">
        <v>5</v>
      </c>
      <c r="B49" s="8" t="s">
        <v>2812</v>
      </c>
      <c r="C49" s="8"/>
      <c r="D49" s="8"/>
      <c r="E49" s="8"/>
      <c r="F49" s="8"/>
      <c r="G49" s="8"/>
      <c r="H49" s="6"/>
      <c r="I49" s="6"/>
      <c r="J49" s="6"/>
      <c r="K49" s="6"/>
      <c r="L49" s="6"/>
      <c r="M49" s="6"/>
      <c r="N49" s="6"/>
      <c r="O49" s="6"/>
      <c r="P49" s="6"/>
      <c r="Q49" s="6"/>
      <c r="R49" s="6"/>
      <c r="S49" s="6"/>
      <c r="T49" s="6"/>
    </row>
    <row r="50" spans="1:20">
      <c r="A50" s="4">
        <v>5.01</v>
      </c>
      <c r="B50" s="9" t="s">
        <v>2813</v>
      </c>
      <c r="C50" s="9" t="s">
        <v>2814</v>
      </c>
      <c r="D50" s="9" t="s">
        <v>2687</v>
      </c>
      <c r="E50" s="9" t="s">
        <v>2815</v>
      </c>
      <c r="F50" s="9" t="s">
        <v>2816</v>
      </c>
      <c r="G50" s="9"/>
      <c r="H50" s="6"/>
      <c r="I50" s="6"/>
      <c r="J50" s="6"/>
      <c r="K50" s="6"/>
      <c r="L50" s="6"/>
      <c r="M50" s="6"/>
      <c r="N50" s="6"/>
      <c r="O50" s="6"/>
      <c r="P50" s="6"/>
      <c r="Q50" s="6"/>
      <c r="R50" s="6"/>
      <c r="S50" s="6"/>
      <c r="T50" s="6"/>
    </row>
    <row r="51" spans="1:20">
      <c r="A51" s="4">
        <v>5.02</v>
      </c>
      <c r="B51" s="9" t="s">
        <v>2813</v>
      </c>
      <c r="C51" s="9" t="s">
        <v>2817</v>
      </c>
      <c r="D51" s="9" t="s">
        <v>2687</v>
      </c>
      <c r="E51" s="9" t="s">
        <v>2818</v>
      </c>
      <c r="F51" s="9" t="s">
        <v>2819</v>
      </c>
      <c r="G51" s="9"/>
      <c r="H51" s="6"/>
      <c r="I51" s="6"/>
      <c r="J51" s="6"/>
      <c r="K51" s="6"/>
      <c r="L51" s="6"/>
      <c r="M51" s="6"/>
      <c r="N51" s="6"/>
      <c r="O51" s="6"/>
      <c r="P51" s="6"/>
      <c r="Q51" s="6"/>
      <c r="R51" s="6"/>
      <c r="S51" s="6"/>
      <c r="T51" s="6"/>
    </row>
    <row r="52" spans="1:20">
      <c r="A52" s="4">
        <v>5.03</v>
      </c>
      <c r="B52" s="9" t="s">
        <v>2820</v>
      </c>
      <c r="C52" s="9" t="s">
        <v>2821</v>
      </c>
      <c r="D52" s="9" t="s">
        <v>2687</v>
      </c>
      <c r="E52" s="9" t="s">
        <v>2818</v>
      </c>
      <c r="F52" s="9" t="s">
        <v>2822</v>
      </c>
      <c r="G52" s="9"/>
      <c r="H52" s="6"/>
      <c r="I52" s="6"/>
      <c r="J52" s="6"/>
      <c r="K52" s="6"/>
      <c r="L52" s="6"/>
      <c r="M52" s="6"/>
      <c r="N52" s="6"/>
      <c r="O52" s="6"/>
      <c r="P52" s="6"/>
      <c r="Q52" s="6"/>
      <c r="R52" s="6"/>
      <c r="S52" s="6"/>
      <c r="T52" s="6"/>
    </row>
    <row r="53" spans="1:20">
      <c r="A53" s="4">
        <v>5.04</v>
      </c>
      <c r="B53" s="9" t="s">
        <v>2823</v>
      </c>
      <c r="C53" s="9" t="s">
        <v>2824</v>
      </c>
      <c r="D53" s="9" t="s">
        <v>2687</v>
      </c>
      <c r="E53" s="9" t="s">
        <v>2818</v>
      </c>
      <c r="F53" s="9" t="s">
        <v>2825</v>
      </c>
      <c r="G53" s="9"/>
      <c r="H53" s="6"/>
      <c r="I53" s="6"/>
      <c r="J53" s="6"/>
      <c r="K53" s="6"/>
      <c r="L53" s="6"/>
      <c r="M53" s="6"/>
      <c r="N53" s="6"/>
      <c r="O53" s="6"/>
      <c r="P53" s="6"/>
      <c r="Q53" s="6"/>
      <c r="R53" s="6"/>
      <c r="S53" s="6"/>
      <c r="T53" s="6"/>
    </row>
    <row r="54" ht="25.5" spans="1:20">
      <c r="A54" s="4">
        <v>5.05</v>
      </c>
      <c r="B54" s="9" t="s">
        <v>2826</v>
      </c>
      <c r="C54" s="9" t="s">
        <v>2827</v>
      </c>
      <c r="D54" s="9" t="s">
        <v>2687</v>
      </c>
      <c r="E54" s="9" t="s">
        <v>2828</v>
      </c>
      <c r="F54" s="9" t="s">
        <v>2829</v>
      </c>
      <c r="G54" s="9"/>
      <c r="H54" s="6"/>
      <c r="I54" s="6"/>
      <c r="J54" s="6"/>
      <c r="K54" s="6"/>
      <c r="L54" s="6"/>
      <c r="M54" s="6"/>
      <c r="N54" s="6"/>
      <c r="O54" s="6"/>
      <c r="P54" s="6"/>
      <c r="Q54" s="6"/>
      <c r="R54" s="6"/>
      <c r="S54" s="6"/>
      <c r="T54" s="6"/>
    </row>
    <row r="55" spans="1:20">
      <c r="A55" s="7">
        <v>6</v>
      </c>
      <c r="B55" s="8" t="s">
        <v>2830</v>
      </c>
      <c r="C55" s="8"/>
      <c r="D55" s="8"/>
      <c r="E55" s="8"/>
      <c r="F55" s="8"/>
      <c r="G55" s="8"/>
      <c r="H55" s="10"/>
      <c r="I55" s="10"/>
      <c r="J55" s="10"/>
      <c r="K55" s="10"/>
      <c r="L55" s="10"/>
      <c r="M55" s="10"/>
      <c r="N55" s="10"/>
      <c r="O55" s="10"/>
      <c r="P55" s="10"/>
      <c r="Q55" s="10"/>
      <c r="R55" s="10"/>
      <c r="S55" s="10"/>
      <c r="T55" s="10"/>
    </row>
    <row r="56" spans="1:20">
      <c r="A56" s="4">
        <v>6.01</v>
      </c>
      <c r="B56" s="9" t="s">
        <v>2831</v>
      </c>
      <c r="C56" s="9" t="s">
        <v>2832</v>
      </c>
      <c r="D56" s="9" t="s">
        <v>2833</v>
      </c>
      <c r="E56" s="9" t="s">
        <v>2834</v>
      </c>
      <c r="F56" s="9" t="s">
        <v>2784</v>
      </c>
      <c r="G56" s="9"/>
      <c r="H56" s="6"/>
      <c r="I56" s="6"/>
      <c r="J56" s="6"/>
      <c r="K56" s="6"/>
      <c r="L56" s="6"/>
      <c r="M56" s="6"/>
      <c r="N56" s="6"/>
      <c r="O56" s="6"/>
      <c r="P56" s="6"/>
      <c r="Q56" s="6"/>
      <c r="R56" s="6"/>
      <c r="S56" s="6"/>
      <c r="T56" s="6"/>
    </row>
    <row r="57" spans="1:20">
      <c r="A57" s="4">
        <v>6.02</v>
      </c>
      <c r="B57" s="9" t="s">
        <v>2835</v>
      </c>
      <c r="C57" s="9" t="s">
        <v>2836</v>
      </c>
      <c r="D57" s="9" t="s">
        <v>2837</v>
      </c>
      <c r="E57" s="9"/>
      <c r="F57" s="9" t="s">
        <v>2838</v>
      </c>
      <c r="G57" s="9"/>
      <c r="H57" s="6"/>
      <c r="I57" s="6"/>
      <c r="J57" s="6"/>
      <c r="K57" s="6"/>
      <c r="L57" s="6"/>
      <c r="M57" s="6"/>
      <c r="N57" s="6"/>
      <c r="O57" s="6"/>
      <c r="P57" s="6"/>
      <c r="Q57" s="6"/>
      <c r="R57" s="6"/>
      <c r="S57" s="6"/>
      <c r="T57" s="6"/>
    </row>
    <row r="58" spans="1:20">
      <c r="A58" s="4">
        <v>6.03</v>
      </c>
      <c r="B58" s="9" t="s">
        <v>2839</v>
      </c>
      <c r="C58" s="9" t="s">
        <v>2840</v>
      </c>
      <c r="D58" s="9" t="s">
        <v>2837</v>
      </c>
      <c r="E58" s="9"/>
      <c r="F58" s="9" t="s">
        <v>2838</v>
      </c>
      <c r="G58" s="9"/>
      <c r="H58" s="6"/>
      <c r="I58" s="6"/>
      <c r="J58" s="6"/>
      <c r="K58" s="6"/>
      <c r="L58" s="6"/>
      <c r="M58" s="6"/>
      <c r="N58" s="6"/>
      <c r="O58" s="6"/>
      <c r="P58" s="6"/>
      <c r="Q58" s="6"/>
      <c r="R58" s="6"/>
      <c r="S58" s="6"/>
      <c r="T58" s="6"/>
    </row>
    <row r="59" spans="1:20">
      <c r="A59" s="4">
        <v>6.04</v>
      </c>
      <c r="B59" s="9" t="s">
        <v>2841</v>
      </c>
      <c r="C59" s="9" t="s">
        <v>2842</v>
      </c>
      <c r="D59" s="9" t="s">
        <v>2687</v>
      </c>
      <c r="E59" s="9" t="s">
        <v>2653</v>
      </c>
      <c r="F59" s="9" t="s">
        <v>2843</v>
      </c>
      <c r="G59" s="9"/>
      <c r="H59" s="6"/>
      <c r="I59" s="6"/>
      <c r="J59" s="6"/>
      <c r="K59" s="6"/>
      <c r="L59" s="6"/>
      <c r="M59" s="6"/>
      <c r="N59" s="6"/>
      <c r="O59" s="6"/>
      <c r="P59" s="6"/>
      <c r="Q59" s="6"/>
      <c r="R59" s="6"/>
      <c r="S59" s="6"/>
      <c r="T59" s="6"/>
    </row>
    <row r="60" spans="1:20">
      <c r="A60" s="4">
        <v>6.05</v>
      </c>
      <c r="B60" s="9" t="s">
        <v>2844</v>
      </c>
      <c r="C60" s="9" t="s">
        <v>2845</v>
      </c>
      <c r="D60" s="9" t="s">
        <v>2837</v>
      </c>
      <c r="E60" s="9"/>
      <c r="F60" s="9" t="s">
        <v>2838</v>
      </c>
      <c r="G60" s="9"/>
      <c r="H60" s="6"/>
      <c r="I60" s="6"/>
      <c r="J60" s="6"/>
      <c r="K60" s="6"/>
      <c r="L60" s="6"/>
      <c r="M60" s="6"/>
      <c r="N60" s="6"/>
      <c r="O60" s="6"/>
      <c r="P60" s="6"/>
      <c r="Q60" s="6"/>
      <c r="R60" s="6"/>
      <c r="S60" s="6"/>
      <c r="T60" s="6"/>
    </row>
    <row r="61" spans="1:20">
      <c r="A61" s="4">
        <v>6.06</v>
      </c>
      <c r="B61" s="9" t="s">
        <v>2846</v>
      </c>
      <c r="C61" s="9" t="s">
        <v>2847</v>
      </c>
      <c r="D61" s="9"/>
      <c r="E61" s="9"/>
      <c r="F61" s="9" t="s">
        <v>2848</v>
      </c>
      <c r="G61" s="9"/>
      <c r="H61" s="6"/>
      <c r="I61" s="6"/>
      <c r="J61" s="6"/>
      <c r="K61" s="6"/>
      <c r="L61" s="6"/>
      <c r="M61" s="6"/>
      <c r="N61" s="6"/>
      <c r="O61" s="6"/>
      <c r="P61" s="6"/>
      <c r="Q61" s="6"/>
      <c r="R61" s="6"/>
      <c r="S61" s="6"/>
      <c r="T61" s="6"/>
    </row>
    <row r="62" spans="1:20">
      <c r="A62" s="7">
        <v>7</v>
      </c>
      <c r="B62" s="8" t="s">
        <v>2849</v>
      </c>
      <c r="C62" s="8"/>
      <c r="D62" s="8"/>
      <c r="E62" s="8"/>
      <c r="F62" s="8"/>
      <c r="G62" s="8"/>
      <c r="H62" s="6"/>
      <c r="I62" s="6"/>
      <c r="J62" s="6"/>
      <c r="K62" s="6"/>
      <c r="L62" s="6"/>
      <c r="M62" s="6"/>
      <c r="N62" s="6"/>
      <c r="O62" s="6"/>
      <c r="P62" s="6"/>
      <c r="Q62" s="6"/>
      <c r="R62" s="6"/>
      <c r="S62" s="6"/>
      <c r="T62" s="6"/>
    </row>
    <row r="63" spans="1:20">
      <c r="A63" s="4">
        <v>7.01</v>
      </c>
      <c r="B63" s="9" t="s">
        <v>2850</v>
      </c>
      <c r="C63" s="9" t="s">
        <v>2851</v>
      </c>
      <c r="D63" s="9"/>
      <c r="E63" s="9" t="s">
        <v>2852</v>
      </c>
      <c r="F63" s="9"/>
      <c r="G63" s="9"/>
      <c r="H63" s="6"/>
      <c r="I63" s="6"/>
      <c r="J63" s="6"/>
      <c r="K63" s="6"/>
      <c r="L63" s="6"/>
      <c r="M63" s="6"/>
      <c r="N63" s="6"/>
      <c r="O63" s="6"/>
      <c r="P63" s="6"/>
      <c r="Q63" s="6"/>
      <c r="R63" s="6"/>
      <c r="S63" s="6"/>
      <c r="T63" s="6"/>
    </row>
    <row r="64" spans="1:20">
      <c r="A64" s="4">
        <v>7.02</v>
      </c>
      <c r="B64" s="9" t="s">
        <v>2853</v>
      </c>
      <c r="C64" s="9" t="s">
        <v>2854</v>
      </c>
      <c r="D64" s="9" t="s">
        <v>2855</v>
      </c>
      <c r="E64" s="9"/>
      <c r="F64" s="9" t="s">
        <v>2856</v>
      </c>
      <c r="G64" s="9"/>
      <c r="H64" s="6"/>
      <c r="I64" s="6"/>
      <c r="J64" s="6"/>
      <c r="K64" s="6"/>
      <c r="L64" s="6"/>
      <c r="M64" s="6"/>
      <c r="N64" s="6"/>
      <c r="O64" s="6"/>
      <c r="P64" s="6"/>
      <c r="Q64" s="6"/>
      <c r="R64" s="6"/>
      <c r="S64" s="6"/>
      <c r="T64" s="6"/>
    </row>
    <row r="65" spans="1:20">
      <c r="A65" s="4">
        <v>7.03</v>
      </c>
      <c r="B65" s="9" t="s">
        <v>2857</v>
      </c>
      <c r="C65" s="9" t="s">
        <v>2858</v>
      </c>
      <c r="D65" s="9"/>
      <c r="E65" s="9" t="s">
        <v>2859</v>
      </c>
      <c r="F65" s="9" t="s">
        <v>2860</v>
      </c>
      <c r="G65" s="9"/>
      <c r="H65" s="6"/>
      <c r="I65" s="6"/>
      <c r="J65" s="6"/>
      <c r="K65" s="6"/>
      <c r="L65" s="6"/>
      <c r="M65" s="6"/>
      <c r="N65" s="6"/>
      <c r="O65" s="6"/>
      <c r="P65" s="6"/>
      <c r="Q65" s="6"/>
      <c r="R65" s="6"/>
      <c r="S65" s="6"/>
      <c r="T65" s="6"/>
    </row>
    <row r="66" spans="1:20">
      <c r="A66" s="4">
        <v>7.04</v>
      </c>
      <c r="B66" s="9" t="s">
        <v>2861</v>
      </c>
      <c r="C66" s="9" t="s">
        <v>2862</v>
      </c>
      <c r="D66" s="9" t="s">
        <v>2863</v>
      </c>
      <c r="E66" s="9" t="s">
        <v>2675</v>
      </c>
      <c r="F66" s="9" t="s">
        <v>2864</v>
      </c>
      <c r="G66" s="9"/>
      <c r="H66" s="6"/>
      <c r="I66" s="6"/>
      <c r="J66" s="6"/>
      <c r="K66" s="6"/>
      <c r="L66" s="6"/>
      <c r="M66" s="6"/>
      <c r="N66" s="6"/>
      <c r="O66" s="6"/>
      <c r="P66" s="6"/>
      <c r="Q66" s="6"/>
      <c r="R66" s="6"/>
      <c r="S66" s="6"/>
      <c r="T66" s="6"/>
    </row>
    <row r="67" ht="25.5" spans="1:20">
      <c r="A67" s="4">
        <v>7.05</v>
      </c>
      <c r="B67" s="9" t="s">
        <v>2865</v>
      </c>
      <c r="C67" s="9" t="s">
        <v>2866</v>
      </c>
      <c r="D67" s="9"/>
      <c r="E67" s="9" t="s">
        <v>2675</v>
      </c>
      <c r="F67" s="9" t="s">
        <v>2867</v>
      </c>
      <c r="G67" s="9"/>
      <c r="H67" s="6"/>
      <c r="I67" s="6"/>
      <c r="J67" s="6"/>
      <c r="K67" s="6"/>
      <c r="L67" s="6"/>
      <c r="M67" s="6"/>
      <c r="N67" s="6"/>
      <c r="O67" s="6"/>
      <c r="P67" s="6"/>
      <c r="Q67" s="6"/>
      <c r="R67" s="6"/>
      <c r="S67" s="6"/>
      <c r="T67" s="6"/>
    </row>
    <row r="68" spans="1:20">
      <c r="A68" s="4">
        <v>7.06</v>
      </c>
      <c r="B68" s="9" t="s">
        <v>2868</v>
      </c>
      <c r="C68" s="9" t="s">
        <v>2869</v>
      </c>
      <c r="D68" s="9"/>
      <c r="E68" s="9"/>
      <c r="F68" s="9" t="s">
        <v>2829</v>
      </c>
      <c r="G68" s="9"/>
      <c r="H68" s="6"/>
      <c r="I68" s="6"/>
      <c r="J68" s="6"/>
      <c r="K68" s="6"/>
      <c r="L68" s="6"/>
      <c r="M68" s="6"/>
      <c r="N68" s="6"/>
      <c r="O68" s="6"/>
      <c r="P68" s="6"/>
      <c r="Q68" s="6"/>
      <c r="R68" s="6"/>
      <c r="S68" s="6"/>
      <c r="T68" s="6"/>
    </row>
    <row r="69" spans="1:20">
      <c r="A69" s="4">
        <v>7.07</v>
      </c>
      <c r="B69" s="9" t="s">
        <v>2870</v>
      </c>
      <c r="C69" s="9" t="s">
        <v>2871</v>
      </c>
      <c r="D69" s="9"/>
      <c r="E69" s="9" t="s">
        <v>2872</v>
      </c>
      <c r="F69" s="9" t="s">
        <v>2829</v>
      </c>
      <c r="G69" s="9"/>
      <c r="H69" s="6"/>
      <c r="I69" s="6"/>
      <c r="J69" s="6"/>
      <c r="K69" s="6"/>
      <c r="L69" s="6"/>
      <c r="M69" s="6"/>
      <c r="N69" s="6"/>
      <c r="O69" s="6"/>
      <c r="P69" s="6"/>
      <c r="Q69" s="6"/>
      <c r="R69" s="6"/>
      <c r="S69" s="6"/>
      <c r="T69" s="6"/>
    </row>
    <row r="70" spans="1:20">
      <c r="A70" s="4">
        <v>7.08</v>
      </c>
      <c r="B70" s="9" t="s">
        <v>2870</v>
      </c>
      <c r="C70" s="9" t="s">
        <v>2873</v>
      </c>
      <c r="D70" s="9"/>
      <c r="E70" s="9" t="s">
        <v>2874</v>
      </c>
      <c r="F70" s="9" t="s">
        <v>2829</v>
      </c>
      <c r="G70" s="9"/>
      <c r="H70" s="6"/>
      <c r="I70" s="6"/>
      <c r="J70" s="6"/>
      <c r="K70" s="6"/>
      <c r="L70" s="6"/>
      <c r="M70" s="6"/>
      <c r="N70" s="6"/>
      <c r="O70" s="6"/>
      <c r="P70" s="6"/>
      <c r="Q70" s="6"/>
      <c r="R70" s="6"/>
      <c r="S70" s="6"/>
      <c r="T70" s="6"/>
    </row>
    <row r="71" spans="1:20">
      <c r="A71" s="4">
        <v>7.09</v>
      </c>
      <c r="B71" s="9" t="s">
        <v>2875</v>
      </c>
      <c r="C71" s="9"/>
      <c r="D71" s="9" t="s">
        <v>2876</v>
      </c>
      <c r="E71" s="9"/>
      <c r="F71" s="9" t="s">
        <v>2877</v>
      </c>
      <c r="G71" s="9"/>
      <c r="H71" s="6"/>
      <c r="I71" s="6"/>
      <c r="J71" s="6"/>
      <c r="K71" s="6"/>
      <c r="L71" s="6"/>
      <c r="M71" s="6"/>
      <c r="N71" s="6"/>
      <c r="O71" s="6"/>
      <c r="P71" s="6"/>
      <c r="Q71" s="6"/>
      <c r="R71" s="6"/>
      <c r="S71" s="6"/>
      <c r="T71" s="6"/>
    </row>
    <row r="72" ht="25.5" spans="1:20">
      <c r="A72" s="4">
        <v>7.1</v>
      </c>
      <c r="B72" s="9" t="s">
        <v>2878</v>
      </c>
      <c r="C72" s="9" t="s">
        <v>2879</v>
      </c>
      <c r="D72" s="9" t="s">
        <v>2837</v>
      </c>
      <c r="E72" s="9"/>
      <c r="F72" s="9" t="s">
        <v>2880</v>
      </c>
      <c r="G72" s="9"/>
      <c r="H72" s="6"/>
      <c r="I72" s="6"/>
      <c r="J72" s="6"/>
      <c r="K72" s="6"/>
      <c r="L72" s="6"/>
      <c r="M72" s="6"/>
      <c r="N72" s="6"/>
      <c r="O72" s="6"/>
      <c r="P72" s="6"/>
      <c r="Q72" s="6"/>
      <c r="R72" s="6"/>
      <c r="S72" s="6"/>
      <c r="T72" s="6"/>
    </row>
    <row r="73" ht="25.5" spans="1:20">
      <c r="A73" s="4">
        <v>7.11</v>
      </c>
      <c r="B73" s="9" t="s">
        <v>2881</v>
      </c>
      <c r="C73" s="9"/>
      <c r="D73" s="9"/>
      <c r="E73" s="9"/>
      <c r="F73" s="9" t="s">
        <v>2882</v>
      </c>
      <c r="G73" s="9"/>
      <c r="H73" s="6"/>
      <c r="I73" s="6"/>
      <c r="J73" s="6"/>
      <c r="K73" s="6"/>
      <c r="L73" s="6"/>
      <c r="M73" s="6"/>
      <c r="N73" s="6"/>
      <c r="O73" s="6"/>
      <c r="P73" s="6"/>
      <c r="Q73" s="6"/>
      <c r="R73" s="6"/>
      <c r="S73" s="6"/>
      <c r="T73" s="6"/>
    </row>
    <row r="74" spans="1:20">
      <c r="A74" s="4">
        <v>7.12</v>
      </c>
      <c r="B74" s="9" t="s">
        <v>2883</v>
      </c>
      <c r="C74" s="9"/>
      <c r="D74" s="9"/>
      <c r="E74" s="9"/>
      <c r="F74" s="9" t="s">
        <v>2884</v>
      </c>
      <c r="G74" s="9"/>
      <c r="H74" s="6"/>
      <c r="I74" s="6"/>
      <c r="J74" s="6"/>
      <c r="K74" s="6"/>
      <c r="L74" s="6"/>
      <c r="M74" s="6"/>
      <c r="N74" s="6"/>
      <c r="O74" s="6"/>
      <c r="P74" s="6"/>
      <c r="Q74" s="6"/>
      <c r="R74" s="6"/>
      <c r="S74" s="6"/>
      <c r="T74" s="6"/>
    </row>
    <row r="75" spans="1:20">
      <c r="A75" s="4">
        <v>7.13</v>
      </c>
      <c r="B75" s="9" t="s">
        <v>2885</v>
      </c>
      <c r="C75" s="9" t="s">
        <v>2886</v>
      </c>
      <c r="D75" s="9" t="s">
        <v>2887</v>
      </c>
      <c r="E75" s="9" t="s">
        <v>2888</v>
      </c>
      <c r="F75" s="9" t="s">
        <v>2889</v>
      </c>
      <c r="G75" s="9"/>
      <c r="H75" s="6"/>
      <c r="I75" s="6"/>
      <c r="J75" s="6"/>
      <c r="K75" s="6"/>
      <c r="L75" s="6"/>
      <c r="M75" s="6"/>
      <c r="N75" s="6"/>
      <c r="O75" s="6"/>
      <c r="P75" s="6"/>
      <c r="Q75" s="6"/>
      <c r="R75" s="6"/>
      <c r="S75" s="6"/>
      <c r="T75" s="6"/>
    </row>
    <row r="76" spans="1:20">
      <c r="A76" s="4">
        <v>7.14</v>
      </c>
      <c r="B76" s="9" t="s">
        <v>2890</v>
      </c>
      <c r="C76" s="9"/>
      <c r="D76" s="9" t="s">
        <v>2891</v>
      </c>
      <c r="E76" s="9"/>
      <c r="F76" s="9"/>
      <c r="G76" s="9"/>
      <c r="H76" s="6"/>
      <c r="I76" s="6"/>
      <c r="J76" s="6"/>
      <c r="K76" s="6"/>
      <c r="L76" s="6"/>
      <c r="M76" s="6"/>
      <c r="N76" s="6"/>
      <c r="O76" s="6"/>
      <c r="P76" s="6"/>
      <c r="Q76" s="6"/>
      <c r="R76" s="6"/>
      <c r="S76" s="6"/>
      <c r="T76" s="6"/>
    </row>
    <row r="77" spans="1:20">
      <c r="A77" s="4">
        <v>7.15</v>
      </c>
      <c r="B77" s="9" t="s">
        <v>2892</v>
      </c>
      <c r="C77" s="9"/>
      <c r="D77" s="9" t="s">
        <v>2891</v>
      </c>
      <c r="E77" s="9"/>
      <c r="F77" s="9"/>
      <c r="G77" s="9"/>
      <c r="H77" s="6"/>
      <c r="I77" s="6"/>
      <c r="J77" s="6"/>
      <c r="K77" s="6"/>
      <c r="L77" s="6"/>
      <c r="M77" s="6"/>
      <c r="N77" s="6"/>
      <c r="O77" s="6"/>
      <c r="P77" s="6"/>
      <c r="Q77" s="6"/>
      <c r="R77" s="6"/>
      <c r="S77" s="6"/>
      <c r="T77" s="6"/>
    </row>
    <row r="78" spans="1:20">
      <c r="A78" s="7">
        <v>8</v>
      </c>
      <c r="B78" s="8" t="s">
        <v>2893</v>
      </c>
      <c r="C78" s="8"/>
      <c r="D78" s="8"/>
      <c r="E78" s="8"/>
      <c r="F78" s="8"/>
      <c r="G78" s="8"/>
      <c r="H78" s="10"/>
      <c r="I78" s="10"/>
      <c r="J78" s="10"/>
      <c r="K78" s="10"/>
      <c r="L78" s="10"/>
      <c r="M78" s="10"/>
      <c r="N78" s="10"/>
      <c r="O78" s="10"/>
      <c r="P78" s="10"/>
      <c r="Q78" s="10"/>
      <c r="R78" s="10"/>
      <c r="S78" s="10"/>
      <c r="T78" s="10"/>
    </row>
    <row r="79" ht="25.5" spans="1:20">
      <c r="A79" s="4">
        <v>8.01</v>
      </c>
      <c r="B79" s="9" t="s">
        <v>2894</v>
      </c>
      <c r="C79" s="9" t="s">
        <v>2895</v>
      </c>
      <c r="D79" s="9" t="s">
        <v>2896</v>
      </c>
      <c r="E79" s="9"/>
      <c r="F79" s="9"/>
      <c r="G79" s="9"/>
      <c r="H79" s="6"/>
      <c r="I79" s="6"/>
      <c r="J79" s="6"/>
      <c r="K79" s="6"/>
      <c r="L79" s="6"/>
      <c r="M79" s="6"/>
      <c r="N79" s="6"/>
      <c r="O79" s="6"/>
      <c r="P79" s="6"/>
      <c r="Q79" s="6"/>
      <c r="R79" s="6"/>
      <c r="S79" s="6"/>
      <c r="T79" s="6"/>
    </row>
    <row r="80" ht="25.5" spans="1:20">
      <c r="A80" s="4">
        <v>8.02</v>
      </c>
      <c r="B80" s="9" t="s">
        <v>2897</v>
      </c>
      <c r="C80" s="9" t="s">
        <v>2898</v>
      </c>
      <c r="D80" s="9" t="s">
        <v>2899</v>
      </c>
      <c r="E80" s="9"/>
      <c r="F80" s="9"/>
      <c r="G80" s="9"/>
      <c r="H80" s="6"/>
      <c r="I80" s="6"/>
      <c r="J80" s="6"/>
      <c r="K80" s="6"/>
      <c r="L80" s="6"/>
      <c r="M80" s="6"/>
      <c r="N80" s="6"/>
      <c r="O80" s="6"/>
      <c r="P80" s="6"/>
      <c r="Q80" s="6"/>
      <c r="R80" s="6"/>
      <c r="S80" s="6"/>
      <c r="T80" s="6"/>
    </row>
    <row r="81" ht="38.25" spans="1:20">
      <c r="A81" s="4">
        <v>8.03</v>
      </c>
      <c r="B81" s="9" t="s">
        <v>2900</v>
      </c>
      <c r="C81" s="9" t="s">
        <v>2901</v>
      </c>
      <c r="D81" s="9" t="s">
        <v>2687</v>
      </c>
      <c r="E81" s="9" t="s">
        <v>2902</v>
      </c>
      <c r="F81" s="9" t="s">
        <v>2903</v>
      </c>
      <c r="G81" s="9"/>
      <c r="H81" s="6"/>
      <c r="I81" s="6"/>
      <c r="J81" s="6"/>
      <c r="K81" s="6"/>
      <c r="L81" s="6"/>
      <c r="M81" s="6"/>
      <c r="N81" s="6"/>
      <c r="O81" s="6"/>
      <c r="P81" s="6"/>
      <c r="Q81" s="6"/>
      <c r="R81" s="6"/>
      <c r="S81" s="6"/>
      <c r="T81" s="6"/>
    </row>
    <row r="82" ht="38.25" spans="1:20">
      <c r="A82" s="4">
        <v>8.04</v>
      </c>
      <c r="B82" s="9" t="s">
        <v>2904</v>
      </c>
      <c r="C82" s="9" t="s">
        <v>2901</v>
      </c>
      <c r="D82" s="9" t="s">
        <v>2687</v>
      </c>
      <c r="E82" s="9" t="s">
        <v>2902</v>
      </c>
      <c r="F82" s="9" t="s">
        <v>2903</v>
      </c>
      <c r="G82" s="9"/>
      <c r="H82" s="6"/>
      <c r="I82" s="6"/>
      <c r="J82" s="6"/>
      <c r="K82" s="6"/>
      <c r="L82" s="6"/>
      <c r="M82" s="6"/>
      <c r="N82" s="6"/>
      <c r="O82" s="6"/>
      <c r="P82" s="6"/>
      <c r="Q82" s="6"/>
      <c r="R82" s="6"/>
      <c r="S82" s="6"/>
      <c r="T82" s="6"/>
    </row>
    <row r="83" spans="1:20">
      <c r="A83" s="4">
        <v>8.04999999999999</v>
      </c>
      <c r="B83" s="9" t="s">
        <v>2905</v>
      </c>
      <c r="C83" s="9" t="s">
        <v>2906</v>
      </c>
      <c r="D83" s="9" t="s">
        <v>2783</v>
      </c>
      <c r="E83" s="9" t="s">
        <v>2888</v>
      </c>
      <c r="F83" s="9" t="s">
        <v>2907</v>
      </c>
      <c r="G83" s="9"/>
      <c r="H83" s="6"/>
      <c r="I83" s="6"/>
      <c r="J83" s="6"/>
      <c r="K83" s="6"/>
      <c r="L83" s="6"/>
      <c r="M83" s="6"/>
      <c r="N83" s="6"/>
      <c r="O83" s="6"/>
      <c r="P83" s="6"/>
      <c r="Q83" s="6"/>
      <c r="R83" s="6"/>
      <c r="S83" s="6"/>
      <c r="T83" s="6"/>
    </row>
    <row r="84" ht="25.5" spans="1:20">
      <c r="A84" s="4">
        <v>8.05999999999999</v>
      </c>
      <c r="B84" s="9" t="s">
        <v>2908</v>
      </c>
      <c r="C84" s="9" t="s">
        <v>2832</v>
      </c>
      <c r="D84" s="9" t="s">
        <v>2909</v>
      </c>
      <c r="E84" s="9" t="s">
        <v>2910</v>
      </c>
      <c r="F84" s="9" t="s">
        <v>2911</v>
      </c>
      <c r="G84" s="9"/>
      <c r="H84" s="6"/>
      <c r="I84" s="6"/>
      <c r="J84" s="6"/>
      <c r="K84" s="6"/>
      <c r="L84" s="6"/>
      <c r="M84" s="6"/>
      <c r="N84" s="6"/>
      <c r="O84" s="6"/>
      <c r="P84" s="6"/>
      <c r="Q84" s="6"/>
      <c r="R84" s="6"/>
      <c r="S84" s="6"/>
      <c r="T84" s="6"/>
    </row>
    <row r="85" spans="1:20">
      <c r="A85" s="7">
        <v>9</v>
      </c>
      <c r="B85" s="8" t="s">
        <v>2912</v>
      </c>
      <c r="C85" s="8"/>
      <c r="D85" s="8"/>
      <c r="E85" s="8"/>
      <c r="F85" s="8"/>
      <c r="G85" s="8"/>
      <c r="H85" s="10"/>
      <c r="I85" s="10"/>
      <c r="J85" s="10"/>
      <c r="K85" s="10"/>
      <c r="L85" s="10"/>
      <c r="M85" s="10"/>
      <c r="N85" s="10"/>
      <c r="O85" s="10"/>
      <c r="P85" s="10"/>
      <c r="Q85" s="10"/>
      <c r="R85" s="10"/>
      <c r="S85" s="10"/>
      <c r="T85" s="10"/>
    </row>
    <row r="86" ht="25.5" spans="1:20">
      <c r="A86" s="4">
        <v>9.01</v>
      </c>
      <c r="B86" s="9" t="s">
        <v>2913</v>
      </c>
      <c r="C86" s="9" t="s">
        <v>2914</v>
      </c>
      <c r="D86" s="9" t="s">
        <v>2915</v>
      </c>
      <c r="E86" s="9"/>
      <c r="F86" s="9" t="s">
        <v>2916</v>
      </c>
      <c r="G86" s="9"/>
      <c r="H86" s="6"/>
      <c r="I86" s="6"/>
      <c r="J86" s="6"/>
      <c r="K86" s="6"/>
      <c r="L86" s="6"/>
      <c r="M86" s="6"/>
      <c r="N86" s="6"/>
      <c r="O86" s="6"/>
      <c r="P86" s="6"/>
      <c r="Q86" s="6"/>
      <c r="R86" s="6"/>
      <c r="S86" s="6"/>
      <c r="T86" s="6"/>
    </row>
    <row r="87" ht="51" spans="1:20">
      <c r="A87" s="4">
        <v>9.02</v>
      </c>
      <c r="B87" s="9" t="s">
        <v>2917</v>
      </c>
      <c r="C87" s="9" t="s">
        <v>2914</v>
      </c>
      <c r="D87" s="9" t="s">
        <v>2918</v>
      </c>
      <c r="E87" s="9"/>
      <c r="F87" s="9" t="s">
        <v>2919</v>
      </c>
      <c r="G87" s="9"/>
      <c r="H87" s="6"/>
      <c r="I87" s="6"/>
      <c r="J87" s="6"/>
      <c r="K87" s="6"/>
      <c r="L87" s="6"/>
      <c r="M87" s="6"/>
      <c r="N87" s="6"/>
      <c r="O87" s="6"/>
      <c r="P87" s="6"/>
      <c r="Q87" s="6"/>
      <c r="R87" s="6"/>
      <c r="S87" s="6"/>
      <c r="T87" s="6"/>
    </row>
    <row r="88" spans="1:20">
      <c r="A88" s="4">
        <v>9.03</v>
      </c>
      <c r="B88" s="9" t="s">
        <v>2920</v>
      </c>
      <c r="C88" s="9" t="s">
        <v>2914</v>
      </c>
      <c r="D88" s="9" t="s">
        <v>2687</v>
      </c>
      <c r="E88" s="9"/>
      <c r="F88" s="9" t="s">
        <v>2921</v>
      </c>
      <c r="G88" s="9"/>
      <c r="H88" s="6"/>
      <c r="I88" s="6"/>
      <c r="J88" s="6"/>
      <c r="K88" s="6"/>
      <c r="L88" s="6"/>
      <c r="M88" s="6"/>
      <c r="N88" s="6"/>
      <c r="O88" s="6"/>
      <c r="P88" s="6"/>
      <c r="Q88" s="6"/>
      <c r="R88" s="6"/>
      <c r="S88" s="6"/>
      <c r="T88" s="6"/>
    </row>
    <row r="89" ht="63.75" spans="1:20">
      <c r="A89" s="4">
        <v>9.04</v>
      </c>
      <c r="B89" s="9" t="s">
        <v>2922</v>
      </c>
      <c r="C89" s="9"/>
      <c r="D89" s="9" t="s">
        <v>2687</v>
      </c>
      <c r="E89" s="9"/>
      <c r="F89" s="9" t="s">
        <v>2923</v>
      </c>
      <c r="G89" s="9"/>
      <c r="H89" s="6"/>
      <c r="I89" s="6"/>
      <c r="J89" s="6"/>
      <c r="K89" s="6"/>
      <c r="L89" s="6"/>
      <c r="M89" s="6"/>
      <c r="N89" s="6"/>
      <c r="O89" s="6"/>
      <c r="P89" s="6"/>
      <c r="Q89" s="6"/>
      <c r="R89" s="6"/>
      <c r="S89" s="6"/>
      <c r="T89" s="6"/>
    </row>
    <row r="90" ht="38.25" spans="1:20">
      <c r="A90" s="4">
        <v>9.04999999999999</v>
      </c>
      <c r="B90" s="9" t="s">
        <v>2924</v>
      </c>
      <c r="C90" s="9"/>
      <c r="D90" s="9" t="s">
        <v>2925</v>
      </c>
      <c r="E90" s="9"/>
      <c r="F90" s="9"/>
      <c r="G90" s="9"/>
      <c r="H90" s="6"/>
      <c r="I90" s="6"/>
      <c r="J90" s="6"/>
      <c r="K90" s="6"/>
      <c r="L90" s="6"/>
      <c r="M90" s="6"/>
      <c r="N90" s="6"/>
      <c r="O90" s="6"/>
      <c r="P90" s="6"/>
      <c r="Q90" s="6"/>
      <c r="R90" s="6"/>
      <c r="S90" s="6"/>
      <c r="T90" s="6"/>
    </row>
    <row r="91" spans="1:20">
      <c r="A91" s="4">
        <v>9.05999999999999</v>
      </c>
      <c r="B91" s="9" t="s">
        <v>2926</v>
      </c>
      <c r="C91" s="9"/>
      <c r="D91" s="9" t="s">
        <v>2927</v>
      </c>
      <c r="E91" s="9"/>
      <c r="F91" s="9"/>
      <c r="G91" s="9"/>
      <c r="H91" s="6"/>
      <c r="I91" s="6"/>
      <c r="J91" s="6"/>
      <c r="K91" s="6"/>
      <c r="L91" s="6"/>
      <c r="M91" s="6"/>
      <c r="N91" s="6"/>
      <c r="O91" s="6"/>
      <c r="P91" s="6"/>
      <c r="Q91" s="6"/>
      <c r="R91" s="6"/>
      <c r="S91" s="6"/>
      <c r="T91" s="6"/>
    </row>
    <row r="92" spans="1:20">
      <c r="A92" s="4">
        <v>9.06999999999999</v>
      </c>
      <c r="B92" s="9" t="s">
        <v>2928</v>
      </c>
      <c r="C92" s="9"/>
      <c r="D92" s="9" t="s">
        <v>2687</v>
      </c>
      <c r="E92" s="9"/>
      <c r="F92" s="9"/>
      <c r="G92" s="9"/>
      <c r="H92" s="6"/>
      <c r="I92" s="6"/>
      <c r="J92" s="6"/>
      <c r="K92" s="6"/>
      <c r="L92" s="6"/>
      <c r="M92" s="6"/>
      <c r="N92" s="6"/>
      <c r="O92" s="6"/>
      <c r="P92" s="6"/>
      <c r="Q92" s="6"/>
      <c r="R92" s="6"/>
      <c r="S92" s="6"/>
      <c r="T92" s="6"/>
    </row>
    <row r="93" ht="25.5" spans="1:20">
      <c r="A93" s="4">
        <v>9.07999999999999</v>
      </c>
      <c r="B93" s="9" t="s">
        <v>2929</v>
      </c>
      <c r="C93" s="9"/>
      <c r="D93" s="9" t="s">
        <v>2687</v>
      </c>
      <c r="E93" s="9"/>
      <c r="F93" s="9" t="s">
        <v>2930</v>
      </c>
      <c r="G93" s="9"/>
      <c r="H93" s="6"/>
      <c r="I93" s="6"/>
      <c r="J93" s="6"/>
      <c r="K93" s="6"/>
      <c r="L93" s="6"/>
      <c r="M93" s="6"/>
      <c r="N93" s="6"/>
      <c r="O93" s="6"/>
      <c r="P93" s="6"/>
      <c r="Q93" s="6"/>
      <c r="R93" s="6"/>
      <c r="S93" s="6"/>
      <c r="T93" s="6"/>
    </row>
    <row r="94" ht="25.5" spans="1:20">
      <c r="A94" s="4">
        <v>9.08999999999999</v>
      </c>
      <c r="B94" s="9" t="s">
        <v>1235</v>
      </c>
      <c r="C94" s="9" t="s">
        <v>2931</v>
      </c>
      <c r="D94" s="9" t="s">
        <v>2932</v>
      </c>
      <c r="E94" s="9" t="s">
        <v>2933</v>
      </c>
      <c r="F94" s="9" t="s">
        <v>2934</v>
      </c>
      <c r="G94" s="9"/>
      <c r="H94" s="6"/>
      <c r="I94" s="6"/>
      <c r="J94" s="6"/>
      <c r="K94" s="6"/>
      <c r="L94" s="6"/>
      <c r="M94" s="6"/>
      <c r="N94" s="6"/>
      <c r="O94" s="6"/>
      <c r="P94" s="6"/>
      <c r="Q94" s="6"/>
      <c r="R94" s="6"/>
      <c r="S94" s="6"/>
      <c r="T94" s="6"/>
    </row>
    <row r="95" ht="25.5" spans="1:20">
      <c r="A95" s="4">
        <v>9.09999999999998</v>
      </c>
      <c r="B95" s="9" t="s">
        <v>1238</v>
      </c>
      <c r="C95" s="9" t="s">
        <v>2931</v>
      </c>
      <c r="D95" s="9" t="s">
        <v>2935</v>
      </c>
      <c r="E95" s="9" t="s">
        <v>2933</v>
      </c>
      <c r="F95" s="9" t="s">
        <v>2934</v>
      </c>
      <c r="G95" s="9"/>
      <c r="H95" s="6"/>
      <c r="I95" s="6"/>
      <c r="J95" s="6"/>
      <c r="K95" s="6"/>
      <c r="L95" s="6"/>
      <c r="M95" s="6"/>
      <c r="N95" s="6"/>
      <c r="O95" s="6"/>
      <c r="P95" s="6"/>
      <c r="Q95" s="6"/>
      <c r="R95" s="6"/>
      <c r="S95" s="6"/>
      <c r="T95" s="6"/>
    </row>
    <row r="96" ht="25.5" spans="1:20">
      <c r="A96" s="4">
        <v>9.10999999999998</v>
      </c>
      <c r="B96" s="9" t="s">
        <v>1240</v>
      </c>
      <c r="C96" s="9" t="s">
        <v>2936</v>
      </c>
      <c r="D96" s="9" t="s">
        <v>2935</v>
      </c>
      <c r="E96" s="9" t="s">
        <v>2933</v>
      </c>
      <c r="F96" s="9" t="s">
        <v>2934</v>
      </c>
      <c r="G96" s="9"/>
      <c r="H96" s="6"/>
      <c r="I96" s="6"/>
      <c r="J96" s="6"/>
      <c r="K96" s="6"/>
      <c r="L96" s="6"/>
      <c r="M96" s="6"/>
      <c r="N96" s="6"/>
      <c r="O96" s="6"/>
      <c r="P96" s="6"/>
      <c r="Q96" s="6"/>
      <c r="R96" s="6"/>
      <c r="S96" s="6"/>
      <c r="T96" s="6"/>
    </row>
    <row r="97" ht="25.5" spans="1:20">
      <c r="A97" s="4">
        <v>9.11999999999998</v>
      </c>
      <c r="B97" s="9" t="s">
        <v>1242</v>
      </c>
      <c r="C97" s="9" t="s">
        <v>2931</v>
      </c>
      <c r="D97" s="9" t="s">
        <v>2932</v>
      </c>
      <c r="E97" s="9" t="s">
        <v>2933</v>
      </c>
      <c r="F97" s="9" t="s">
        <v>2934</v>
      </c>
      <c r="G97" s="9"/>
      <c r="H97" s="6"/>
      <c r="I97" s="6"/>
      <c r="J97" s="6"/>
      <c r="K97" s="6"/>
      <c r="L97" s="6"/>
      <c r="M97" s="6"/>
      <c r="N97" s="6"/>
      <c r="O97" s="6"/>
      <c r="P97" s="6"/>
      <c r="Q97" s="6"/>
      <c r="R97" s="6"/>
      <c r="S97" s="6"/>
      <c r="T97" s="6"/>
    </row>
    <row r="98" ht="25.5" spans="1:20">
      <c r="A98" s="4">
        <v>9.12999999999998</v>
      </c>
      <c r="B98" s="9" t="s">
        <v>1244</v>
      </c>
      <c r="C98" s="9" t="s">
        <v>2931</v>
      </c>
      <c r="D98" s="9" t="s">
        <v>2932</v>
      </c>
      <c r="E98" s="9" t="s">
        <v>2933</v>
      </c>
      <c r="F98" s="9" t="s">
        <v>2934</v>
      </c>
      <c r="G98" s="9"/>
      <c r="H98" s="6"/>
      <c r="I98" s="6"/>
      <c r="J98" s="6"/>
      <c r="K98" s="6"/>
      <c r="L98" s="6"/>
      <c r="M98" s="6"/>
      <c r="N98" s="6"/>
      <c r="O98" s="6"/>
      <c r="P98" s="6"/>
      <c r="Q98" s="6"/>
      <c r="R98" s="6"/>
      <c r="S98" s="6"/>
      <c r="T98" s="6"/>
    </row>
    <row r="99" ht="25.5" spans="1:20">
      <c r="A99" s="4">
        <v>9.13999999999998</v>
      </c>
      <c r="B99" s="9" t="s">
        <v>1255</v>
      </c>
      <c r="C99" s="9" t="s">
        <v>2936</v>
      </c>
      <c r="D99" s="9" t="s">
        <v>2937</v>
      </c>
      <c r="E99" s="9" t="s">
        <v>2933</v>
      </c>
      <c r="F99" s="9" t="s">
        <v>2938</v>
      </c>
      <c r="G99" s="9"/>
      <c r="H99" s="6"/>
      <c r="I99" s="6"/>
      <c r="J99" s="6"/>
      <c r="K99" s="6"/>
      <c r="L99" s="6"/>
      <c r="M99" s="6"/>
      <c r="N99" s="6"/>
      <c r="O99" s="6"/>
      <c r="P99" s="6"/>
      <c r="Q99" s="6"/>
      <c r="R99" s="6"/>
      <c r="S99" s="6"/>
      <c r="T99" s="6"/>
    </row>
    <row r="100" ht="25.5" spans="1:20">
      <c r="A100" s="4">
        <v>9.14999999999997</v>
      </c>
      <c r="B100" s="9" t="s">
        <v>1343</v>
      </c>
      <c r="C100" s="9" t="s">
        <v>2931</v>
      </c>
      <c r="D100" s="9" t="s">
        <v>2932</v>
      </c>
      <c r="E100" s="9" t="s">
        <v>2933</v>
      </c>
      <c r="F100" s="9" t="s">
        <v>2939</v>
      </c>
      <c r="G100" s="9"/>
      <c r="H100" s="6"/>
      <c r="I100" s="6"/>
      <c r="J100" s="6"/>
      <c r="K100" s="6"/>
      <c r="L100" s="6"/>
      <c r="M100" s="6"/>
      <c r="N100" s="6"/>
      <c r="O100" s="6"/>
      <c r="P100" s="6"/>
      <c r="Q100" s="6"/>
      <c r="R100" s="6"/>
      <c r="S100" s="6"/>
      <c r="T100" s="6"/>
    </row>
    <row r="101" ht="25.5" spans="1:20">
      <c r="A101" s="4">
        <v>9.15999999999997</v>
      </c>
      <c r="B101" s="9" t="s">
        <v>1346</v>
      </c>
      <c r="C101" s="9" t="s">
        <v>2931</v>
      </c>
      <c r="D101" s="9" t="s">
        <v>2932</v>
      </c>
      <c r="E101" s="9" t="s">
        <v>2933</v>
      </c>
      <c r="F101" s="9" t="s">
        <v>2940</v>
      </c>
      <c r="G101" s="9"/>
      <c r="H101" s="6"/>
      <c r="I101" s="6"/>
      <c r="J101" s="6"/>
      <c r="K101" s="6"/>
      <c r="L101" s="6"/>
      <c r="M101" s="6"/>
      <c r="N101" s="6"/>
      <c r="O101" s="6"/>
      <c r="P101" s="6"/>
      <c r="Q101" s="6"/>
      <c r="R101" s="6"/>
      <c r="S101" s="6"/>
      <c r="T101" s="6"/>
    </row>
    <row r="102" ht="38.25" spans="1:20">
      <c r="A102" s="4">
        <v>9.16999999999997</v>
      </c>
      <c r="B102" s="9" t="s">
        <v>1375</v>
      </c>
      <c r="C102" s="9"/>
      <c r="D102" s="9" t="s">
        <v>2932</v>
      </c>
      <c r="E102" s="9" t="s">
        <v>2941</v>
      </c>
      <c r="F102" s="9" t="s">
        <v>2942</v>
      </c>
      <c r="G102" s="9"/>
      <c r="H102" s="6"/>
      <c r="I102" s="6"/>
      <c r="J102" s="6"/>
      <c r="K102" s="6"/>
      <c r="L102" s="6"/>
      <c r="M102" s="6"/>
      <c r="N102" s="6"/>
      <c r="O102" s="6"/>
      <c r="P102" s="6"/>
      <c r="Q102" s="6"/>
      <c r="R102" s="6"/>
      <c r="S102" s="6"/>
      <c r="T102" s="6"/>
    </row>
    <row r="103" ht="25.5" spans="1:20">
      <c r="A103" s="4">
        <v>9.17999999999997</v>
      </c>
      <c r="B103" s="9" t="s">
        <v>1258</v>
      </c>
      <c r="C103" s="9"/>
      <c r="D103" s="9" t="s">
        <v>2932</v>
      </c>
      <c r="E103" s="9" t="s">
        <v>2933</v>
      </c>
      <c r="F103" s="9"/>
      <c r="G103" s="9"/>
      <c r="H103" s="6"/>
      <c r="I103" s="6"/>
      <c r="J103" s="6"/>
      <c r="K103" s="6"/>
      <c r="L103" s="6"/>
      <c r="M103" s="6"/>
      <c r="N103" s="6"/>
      <c r="O103" s="6"/>
      <c r="P103" s="6"/>
      <c r="Q103" s="6"/>
      <c r="R103" s="6"/>
      <c r="S103" s="6"/>
      <c r="T103" s="6"/>
    </row>
    <row r="104" ht="25.5" spans="1:20">
      <c r="A104" s="4">
        <v>9.18999999999997</v>
      </c>
      <c r="B104" s="9" t="s">
        <v>2943</v>
      </c>
      <c r="C104" s="9" t="s">
        <v>2944</v>
      </c>
      <c r="D104" s="9" t="s">
        <v>2945</v>
      </c>
      <c r="E104" s="9" t="s">
        <v>2933</v>
      </c>
      <c r="F104" s="9" t="s">
        <v>2946</v>
      </c>
      <c r="G104" s="9"/>
      <c r="H104" s="6"/>
      <c r="I104" s="6"/>
      <c r="J104" s="6"/>
      <c r="K104" s="6"/>
      <c r="L104" s="6"/>
      <c r="M104" s="6"/>
      <c r="N104" s="6"/>
      <c r="O104" s="6"/>
      <c r="P104" s="6"/>
      <c r="Q104" s="6"/>
      <c r="R104" s="6"/>
      <c r="S104" s="6"/>
      <c r="T104" s="6"/>
    </row>
    <row r="105" ht="25.5" spans="1:20">
      <c r="A105" s="4">
        <v>9.19999999999996</v>
      </c>
      <c r="B105" s="9" t="s">
        <v>2947</v>
      </c>
      <c r="C105" s="9"/>
      <c r="D105" s="9" t="s">
        <v>2948</v>
      </c>
      <c r="E105" s="9" t="s">
        <v>2933</v>
      </c>
      <c r="F105" s="9" t="s">
        <v>2949</v>
      </c>
      <c r="G105" s="9"/>
      <c r="H105" s="6"/>
      <c r="I105" s="6"/>
      <c r="J105" s="6"/>
      <c r="K105" s="6"/>
      <c r="L105" s="6"/>
      <c r="M105" s="6"/>
      <c r="N105" s="6"/>
      <c r="O105" s="6"/>
      <c r="P105" s="6"/>
      <c r="Q105" s="6"/>
      <c r="R105" s="6"/>
      <c r="S105" s="6"/>
      <c r="T105" s="6"/>
    </row>
    <row r="106" ht="25.5" spans="1:20">
      <c r="A106" s="4">
        <v>9.20999999999996</v>
      </c>
      <c r="B106" s="9" t="s">
        <v>2950</v>
      </c>
      <c r="C106" s="9" t="s">
        <v>2951</v>
      </c>
      <c r="D106" s="9" t="s">
        <v>2932</v>
      </c>
      <c r="E106" s="9" t="s">
        <v>2933</v>
      </c>
      <c r="F106" s="9" t="s">
        <v>2938</v>
      </c>
      <c r="G106" s="9"/>
      <c r="H106" s="6"/>
      <c r="I106" s="6"/>
      <c r="J106" s="6"/>
      <c r="K106" s="6"/>
      <c r="L106" s="6"/>
      <c r="M106" s="6"/>
      <c r="N106" s="6"/>
      <c r="O106" s="6"/>
      <c r="P106" s="6"/>
      <c r="Q106" s="6"/>
      <c r="R106" s="6"/>
      <c r="S106" s="6"/>
      <c r="T106" s="6"/>
    </row>
    <row r="107" ht="25.5" spans="1:20">
      <c r="A107" s="4">
        <v>9.21999999999996</v>
      </c>
      <c r="B107" s="9" t="s">
        <v>2952</v>
      </c>
      <c r="C107" s="9" t="s">
        <v>2953</v>
      </c>
      <c r="D107" s="9" t="s">
        <v>2687</v>
      </c>
      <c r="E107" s="9" t="s">
        <v>2933</v>
      </c>
      <c r="F107" s="9" t="s">
        <v>2954</v>
      </c>
      <c r="G107" s="9"/>
      <c r="H107" s="6"/>
      <c r="I107" s="6"/>
      <c r="J107" s="6"/>
      <c r="K107" s="6"/>
      <c r="L107" s="6"/>
      <c r="M107" s="6"/>
      <c r="N107" s="6"/>
      <c r="O107" s="6"/>
      <c r="P107" s="6"/>
      <c r="Q107" s="6"/>
      <c r="R107" s="6"/>
      <c r="S107" s="6"/>
      <c r="T107" s="6"/>
    </row>
    <row r="108" ht="25.5" spans="1:20">
      <c r="A108" s="4">
        <v>9.22999999999996</v>
      </c>
      <c r="B108" s="9" t="s">
        <v>2955</v>
      </c>
      <c r="C108" s="9" t="s">
        <v>2951</v>
      </c>
      <c r="D108" s="9" t="s">
        <v>2932</v>
      </c>
      <c r="E108" s="9" t="s">
        <v>2933</v>
      </c>
      <c r="F108" s="9" t="s">
        <v>2938</v>
      </c>
      <c r="G108" s="9"/>
      <c r="H108" s="6"/>
      <c r="I108" s="6"/>
      <c r="J108" s="6"/>
      <c r="K108" s="6"/>
      <c r="L108" s="6"/>
      <c r="M108" s="6"/>
      <c r="N108" s="6"/>
      <c r="O108" s="6"/>
      <c r="P108" s="6"/>
      <c r="Q108" s="6"/>
      <c r="R108" s="6"/>
      <c r="S108" s="6"/>
      <c r="T108" s="6"/>
    </row>
    <row r="109" ht="63.75" spans="1:20">
      <c r="A109" s="4">
        <v>9.23999999999996</v>
      </c>
      <c r="B109" s="9" t="s">
        <v>2956</v>
      </c>
      <c r="C109" s="9"/>
      <c r="D109" s="11" t="s">
        <v>2957</v>
      </c>
      <c r="E109" s="9"/>
      <c r="F109" s="9" t="s">
        <v>2958</v>
      </c>
      <c r="G109" s="9"/>
      <c r="H109" s="6"/>
      <c r="I109" s="6"/>
      <c r="J109" s="6"/>
      <c r="K109" s="6"/>
      <c r="L109" s="6"/>
      <c r="M109" s="6"/>
      <c r="N109" s="6"/>
      <c r="O109" s="6"/>
      <c r="P109" s="6"/>
      <c r="Q109" s="6"/>
      <c r="R109" s="6"/>
      <c r="S109" s="6"/>
      <c r="T109" s="6"/>
    </row>
    <row r="110" spans="1:20">
      <c r="A110" s="4">
        <v>9.24999999999995</v>
      </c>
      <c r="B110" s="9" t="s">
        <v>2959</v>
      </c>
      <c r="C110" s="9"/>
      <c r="D110" s="9" t="s">
        <v>2960</v>
      </c>
      <c r="E110" s="9"/>
      <c r="F110" s="9"/>
      <c r="G110" s="9"/>
      <c r="H110" s="6"/>
      <c r="I110" s="6"/>
      <c r="J110" s="6"/>
      <c r="K110" s="6"/>
      <c r="L110" s="6"/>
      <c r="M110" s="6"/>
      <c r="N110" s="6"/>
      <c r="O110" s="6"/>
      <c r="P110" s="6"/>
      <c r="Q110" s="6"/>
      <c r="R110" s="6"/>
      <c r="S110" s="6"/>
      <c r="T110" s="6"/>
    </row>
    <row r="111" spans="1:20">
      <c r="A111" s="4">
        <v>9.25999999999995</v>
      </c>
      <c r="B111" s="9" t="s">
        <v>2961</v>
      </c>
      <c r="C111" s="9"/>
      <c r="D111" s="9" t="s">
        <v>2960</v>
      </c>
      <c r="E111" s="9"/>
      <c r="F111" s="9" t="s">
        <v>2962</v>
      </c>
      <c r="G111" s="9"/>
      <c r="H111" s="6"/>
      <c r="I111" s="6"/>
      <c r="J111" s="6"/>
      <c r="K111" s="6"/>
      <c r="L111" s="6"/>
      <c r="M111" s="6"/>
      <c r="N111" s="6"/>
      <c r="O111" s="6"/>
      <c r="P111" s="6"/>
      <c r="Q111" s="6"/>
      <c r="R111" s="6"/>
      <c r="S111" s="6"/>
      <c r="T111" s="6"/>
    </row>
    <row r="112" ht="25.5" spans="1:20">
      <c r="A112" s="4">
        <v>9.26999999999995</v>
      </c>
      <c r="B112" s="9" t="s">
        <v>2963</v>
      </c>
      <c r="C112" s="9"/>
      <c r="D112" s="9" t="s">
        <v>2964</v>
      </c>
      <c r="E112" s="9"/>
      <c r="F112" s="9" t="s">
        <v>2965</v>
      </c>
      <c r="G112" s="9"/>
      <c r="H112" s="6"/>
      <c r="I112" s="6"/>
      <c r="J112" s="6"/>
      <c r="K112" s="6"/>
      <c r="L112" s="6"/>
      <c r="M112" s="6"/>
      <c r="N112" s="6"/>
      <c r="O112" s="6"/>
      <c r="P112" s="6"/>
      <c r="Q112" s="6"/>
      <c r="R112" s="6"/>
      <c r="S112" s="6"/>
      <c r="T112" s="6"/>
    </row>
    <row r="113" ht="102" spans="1:20">
      <c r="A113" s="4">
        <v>9.27999999999995</v>
      </c>
      <c r="B113" s="9" t="s">
        <v>2966</v>
      </c>
      <c r="C113" s="9"/>
      <c r="D113" s="9"/>
      <c r="E113" s="9"/>
      <c r="F113" s="9" t="s">
        <v>2967</v>
      </c>
      <c r="G113" s="9"/>
      <c r="H113" s="6"/>
      <c r="I113" s="6"/>
      <c r="J113" s="6"/>
      <c r="K113" s="6"/>
      <c r="L113" s="6"/>
      <c r="M113" s="6"/>
      <c r="N113" s="6"/>
      <c r="O113" s="6"/>
      <c r="P113" s="6"/>
      <c r="Q113" s="6"/>
      <c r="R113" s="6"/>
      <c r="S113" s="6"/>
      <c r="T113" s="6"/>
    </row>
    <row r="114" spans="1:20">
      <c r="A114" s="7">
        <v>10</v>
      </c>
      <c r="B114" s="8" t="s">
        <v>2968</v>
      </c>
      <c r="C114" s="8"/>
      <c r="D114" s="8"/>
      <c r="E114" s="8"/>
      <c r="F114" s="8"/>
      <c r="G114" s="8"/>
      <c r="H114" s="6"/>
      <c r="I114" s="6"/>
      <c r="J114" s="6"/>
      <c r="K114" s="6"/>
      <c r="L114" s="6"/>
      <c r="M114" s="6"/>
      <c r="N114" s="6"/>
      <c r="O114" s="6"/>
      <c r="P114" s="6"/>
      <c r="Q114" s="6"/>
      <c r="R114" s="6"/>
      <c r="S114" s="6"/>
      <c r="T114" s="6"/>
    </row>
    <row r="115" spans="1:20">
      <c r="A115" s="4">
        <v>10.01</v>
      </c>
      <c r="B115" s="9" t="s">
        <v>2969</v>
      </c>
      <c r="C115" s="9" t="s">
        <v>2970</v>
      </c>
      <c r="D115" s="9" t="s">
        <v>2971</v>
      </c>
      <c r="E115" s="9" t="s">
        <v>2972</v>
      </c>
      <c r="F115" s="9"/>
      <c r="G115" s="9"/>
      <c r="H115" s="6"/>
      <c r="I115" s="6"/>
      <c r="J115" s="6"/>
      <c r="K115" s="6"/>
      <c r="L115" s="6"/>
      <c r="M115" s="6"/>
      <c r="N115" s="6"/>
      <c r="O115" s="6"/>
      <c r="P115" s="6"/>
      <c r="Q115" s="6"/>
      <c r="R115" s="6"/>
      <c r="S115" s="6"/>
      <c r="T115" s="6"/>
    </row>
    <row r="116" spans="1:20">
      <c r="A116" s="4">
        <v>10.02</v>
      </c>
      <c r="B116" s="9" t="s">
        <v>2973</v>
      </c>
      <c r="C116" s="9"/>
      <c r="D116" s="9" t="s">
        <v>2974</v>
      </c>
      <c r="E116" s="9" t="s">
        <v>2972</v>
      </c>
      <c r="F116" s="9"/>
      <c r="G116" s="9"/>
      <c r="H116" s="6"/>
      <c r="I116" s="6"/>
      <c r="J116" s="6"/>
      <c r="K116" s="6"/>
      <c r="L116" s="6"/>
      <c r="M116" s="6"/>
      <c r="N116" s="6"/>
      <c r="O116" s="6"/>
      <c r="P116" s="6"/>
      <c r="Q116" s="6"/>
      <c r="R116" s="6"/>
      <c r="S116" s="6"/>
      <c r="T116" s="6"/>
    </row>
    <row r="117" ht="25.5" spans="1:20">
      <c r="A117" s="4">
        <v>10.03</v>
      </c>
      <c r="B117" s="9" t="s">
        <v>2975</v>
      </c>
      <c r="C117" s="9" t="s">
        <v>2976</v>
      </c>
      <c r="D117" s="9" t="s">
        <v>2977</v>
      </c>
      <c r="E117" s="9" t="s">
        <v>2978</v>
      </c>
      <c r="F117" s="9" t="s">
        <v>2979</v>
      </c>
      <c r="G117" s="9"/>
      <c r="H117" s="6"/>
      <c r="I117" s="6"/>
      <c r="J117" s="6"/>
      <c r="K117" s="6"/>
      <c r="L117" s="6"/>
      <c r="M117" s="6"/>
      <c r="N117" s="6"/>
      <c r="O117" s="6"/>
      <c r="P117" s="6"/>
      <c r="Q117" s="6"/>
      <c r="R117" s="6"/>
      <c r="S117" s="6"/>
      <c r="T117" s="6"/>
    </row>
    <row r="118" spans="1:20">
      <c r="A118" s="4">
        <v>10.04</v>
      </c>
      <c r="B118" s="9" t="s">
        <v>2980</v>
      </c>
      <c r="C118" s="9"/>
      <c r="D118" s="9" t="s">
        <v>2974</v>
      </c>
      <c r="E118" s="9" t="s">
        <v>2972</v>
      </c>
      <c r="F118" s="9" t="s">
        <v>2981</v>
      </c>
      <c r="G118" s="9"/>
      <c r="H118" s="6"/>
      <c r="I118" s="6"/>
      <c r="J118" s="6"/>
      <c r="K118" s="6"/>
      <c r="L118" s="6"/>
      <c r="M118" s="6"/>
      <c r="N118" s="6"/>
      <c r="O118" s="6"/>
      <c r="P118" s="6"/>
      <c r="Q118" s="6"/>
      <c r="R118" s="6"/>
      <c r="S118" s="6"/>
      <c r="T118" s="6"/>
    </row>
    <row r="119" spans="1:20">
      <c r="A119" s="4">
        <v>10.05</v>
      </c>
      <c r="B119" s="9" t="s">
        <v>2982</v>
      </c>
      <c r="C119" s="9" t="s">
        <v>2983</v>
      </c>
      <c r="D119" s="9" t="s">
        <v>2974</v>
      </c>
      <c r="E119" s="9"/>
      <c r="F119" s="9" t="s">
        <v>2984</v>
      </c>
      <c r="G119" s="9"/>
      <c r="H119" s="6"/>
      <c r="I119" s="6"/>
      <c r="J119" s="6"/>
      <c r="K119" s="6"/>
      <c r="L119" s="6"/>
      <c r="M119" s="6"/>
      <c r="N119" s="6"/>
      <c r="O119" s="6"/>
      <c r="P119" s="6"/>
      <c r="Q119" s="6"/>
      <c r="R119" s="6"/>
      <c r="S119" s="6"/>
      <c r="T119" s="6"/>
    </row>
    <row r="120" spans="1:20">
      <c r="A120" s="4">
        <v>10.06</v>
      </c>
      <c r="B120" s="9" t="s">
        <v>2985</v>
      </c>
      <c r="C120" s="9"/>
      <c r="D120" s="9" t="s">
        <v>2974</v>
      </c>
      <c r="E120" s="9"/>
      <c r="F120" s="9" t="s">
        <v>2986</v>
      </c>
      <c r="G120" s="9"/>
      <c r="H120" s="6"/>
      <c r="I120" s="6"/>
      <c r="J120" s="6"/>
      <c r="K120" s="6"/>
      <c r="L120" s="6"/>
      <c r="M120" s="6"/>
      <c r="N120" s="6"/>
      <c r="O120" s="6"/>
      <c r="P120" s="6"/>
      <c r="Q120" s="6"/>
      <c r="R120" s="6"/>
      <c r="S120" s="6"/>
      <c r="T120" s="6"/>
    </row>
    <row r="121" spans="1:20">
      <c r="A121" s="4">
        <v>10.07</v>
      </c>
      <c r="B121" s="9" t="s">
        <v>2987</v>
      </c>
      <c r="C121" s="9" t="s">
        <v>426</v>
      </c>
      <c r="D121" s="9" t="s">
        <v>2974</v>
      </c>
      <c r="E121" s="9"/>
      <c r="F121" s="9"/>
      <c r="G121" s="9"/>
      <c r="H121" s="6"/>
      <c r="I121" s="6"/>
      <c r="J121" s="6"/>
      <c r="K121" s="6"/>
      <c r="L121" s="6"/>
      <c r="M121" s="6"/>
      <c r="N121" s="6"/>
      <c r="O121" s="6"/>
      <c r="P121" s="6"/>
      <c r="Q121" s="6"/>
      <c r="R121" s="6"/>
      <c r="S121" s="6"/>
      <c r="T121" s="6"/>
    </row>
    <row r="122" spans="1:20">
      <c r="A122" s="4">
        <v>10.08</v>
      </c>
      <c r="B122" s="9" t="s">
        <v>2988</v>
      </c>
      <c r="C122" s="9" t="s">
        <v>2989</v>
      </c>
      <c r="D122" s="9" t="s">
        <v>2990</v>
      </c>
      <c r="E122" s="12" t="s">
        <v>2991</v>
      </c>
      <c r="F122" s="9" t="s">
        <v>2992</v>
      </c>
      <c r="G122" s="9"/>
      <c r="H122" s="6"/>
      <c r="I122" s="6"/>
      <c r="J122" s="6"/>
      <c r="K122" s="6"/>
      <c r="L122" s="6"/>
      <c r="M122" s="6"/>
      <c r="N122" s="6"/>
      <c r="O122" s="6"/>
      <c r="P122" s="6"/>
      <c r="Q122" s="6"/>
      <c r="R122" s="6"/>
      <c r="S122" s="6"/>
      <c r="T122" s="6"/>
    </row>
    <row r="123" ht="50.25" spans="1:20">
      <c r="A123" s="4">
        <v>10.09</v>
      </c>
      <c r="B123" s="9"/>
      <c r="C123" s="9" t="s">
        <v>2989</v>
      </c>
      <c r="D123" s="9" t="s">
        <v>2993</v>
      </c>
      <c r="E123" s="9" t="s">
        <v>2994</v>
      </c>
      <c r="F123" s="9" t="s">
        <v>2995</v>
      </c>
      <c r="G123" s="9"/>
      <c r="H123" s="6"/>
      <c r="I123" s="6"/>
      <c r="J123" s="6"/>
      <c r="K123" s="6"/>
      <c r="L123" s="6"/>
      <c r="M123" s="6"/>
      <c r="N123" s="6"/>
      <c r="O123" s="6"/>
      <c r="P123" s="6"/>
      <c r="Q123" s="6"/>
      <c r="R123" s="6"/>
      <c r="S123" s="6"/>
      <c r="T123" s="6"/>
    </row>
    <row r="124" ht="38.25" spans="1:20">
      <c r="A124" s="4">
        <v>10.1</v>
      </c>
      <c r="B124" s="9" t="s">
        <v>2996</v>
      </c>
      <c r="C124" s="9" t="s">
        <v>2997</v>
      </c>
      <c r="D124" s="9" t="s">
        <v>2998</v>
      </c>
      <c r="E124" s="9" t="s">
        <v>2999</v>
      </c>
      <c r="F124" s="9" t="s">
        <v>3000</v>
      </c>
      <c r="G124" s="9"/>
      <c r="H124" s="6"/>
      <c r="I124" s="6"/>
      <c r="J124" s="6"/>
      <c r="K124" s="6"/>
      <c r="L124" s="6"/>
      <c r="M124" s="6"/>
      <c r="N124" s="6"/>
      <c r="O124" s="6"/>
      <c r="P124" s="6"/>
      <c r="Q124" s="6"/>
      <c r="R124" s="6"/>
      <c r="S124" s="6"/>
      <c r="T124" s="6"/>
    </row>
    <row r="125" ht="38.25" spans="1:20">
      <c r="A125" s="4">
        <v>10.11</v>
      </c>
      <c r="B125" s="9"/>
      <c r="C125" s="9"/>
      <c r="D125" s="9" t="s">
        <v>3001</v>
      </c>
      <c r="E125" s="9" t="s">
        <v>3002</v>
      </c>
      <c r="F125" s="9" t="s">
        <v>3003</v>
      </c>
      <c r="G125" s="9"/>
      <c r="H125" s="6"/>
      <c r="I125" s="6"/>
      <c r="J125" s="6"/>
      <c r="K125" s="6"/>
      <c r="L125" s="6"/>
      <c r="M125" s="6"/>
      <c r="N125" s="6"/>
      <c r="O125" s="6"/>
      <c r="P125" s="6"/>
      <c r="Q125" s="6"/>
      <c r="R125" s="6"/>
      <c r="S125" s="6"/>
      <c r="T125" s="6"/>
    </row>
    <row r="126" spans="1:20">
      <c r="A126" s="4">
        <v>10.12</v>
      </c>
      <c r="B126" s="9" t="s">
        <v>3004</v>
      </c>
      <c r="C126" s="9" t="s">
        <v>3005</v>
      </c>
      <c r="D126" s="9" t="s">
        <v>3006</v>
      </c>
      <c r="E126" s="9" t="s">
        <v>3007</v>
      </c>
      <c r="F126" s="9" t="s">
        <v>3008</v>
      </c>
      <c r="G126" s="9"/>
      <c r="H126" s="6"/>
      <c r="I126" s="6"/>
      <c r="J126" s="6"/>
      <c r="K126" s="6"/>
      <c r="L126" s="6"/>
      <c r="M126" s="6"/>
      <c r="N126" s="6"/>
      <c r="O126" s="6"/>
      <c r="P126" s="6"/>
      <c r="Q126" s="6"/>
      <c r="R126" s="6"/>
      <c r="S126" s="6"/>
      <c r="T126" s="6"/>
    </row>
    <row r="127" ht="25.5" spans="1:20">
      <c r="A127" s="4">
        <v>10.13</v>
      </c>
      <c r="B127" s="9"/>
      <c r="C127" s="9"/>
      <c r="D127" s="9" t="s">
        <v>3009</v>
      </c>
      <c r="E127" s="9" t="s">
        <v>3010</v>
      </c>
      <c r="F127" s="9" t="s">
        <v>3008</v>
      </c>
      <c r="G127" s="9"/>
      <c r="H127" s="6"/>
      <c r="I127" s="6"/>
      <c r="J127" s="6"/>
      <c r="K127" s="6"/>
      <c r="L127" s="6"/>
      <c r="M127" s="6"/>
      <c r="N127" s="6"/>
      <c r="O127" s="6"/>
      <c r="P127" s="6"/>
      <c r="Q127" s="6"/>
      <c r="R127" s="6"/>
      <c r="S127" s="6"/>
      <c r="T127" s="6"/>
    </row>
    <row r="128" spans="1:20">
      <c r="A128" s="7">
        <v>11</v>
      </c>
      <c r="B128" s="13" t="s">
        <v>3011</v>
      </c>
      <c r="C128" s="13"/>
      <c r="D128" s="13"/>
      <c r="E128" s="13"/>
      <c r="F128" s="13"/>
      <c r="G128" s="13"/>
      <c r="H128" s="6"/>
      <c r="I128" s="6"/>
      <c r="J128" s="6"/>
      <c r="K128" s="6"/>
      <c r="L128" s="6"/>
      <c r="M128" s="6"/>
      <c r="N128" s="6"/>
      <c r="O128" s="6"/>
      <c r="P128" s="6"/>
      <c r="Q128" s="6"/>
      <c r="R128" s="6"/>
      <c r="S128" s="6"/>
      <c r="T128" s="6"/>
    </row>
    <row r="129" ht="38.25" spans="1:20">
      <c r="A129" s="4">
        <v>11.01</v>
      </c>
      <c r="B129" s="14" t="s">
        <v>3012</v>
      </c>
      <c r="C129" s="14" t="s">
        <v>426</v>
      </c>
      <c r="D129" s="14" t="s">
        <v>3013</v>
      </c>
      <c r="E129" s="14" t="s">
        <v>2653</v>
      </c>
      <c r="F129" s="14" t="s">
        <v>3014</v>
      </c>
      <c r="G129" s="14"/>
      <c r="H129" s="6"/>
      <c r="I129" s="6"/>
      <c r="J129" s="6"/>
      <c r="K129" s="6"/>
      <c r="L129" s="6"/>
      <c r="M129" s="6"/>
      <c r="N129" s="6"/>
      <c r="O129" s="6"/>
      <c r="P129" s="6"/>
      <c r="Q129" s="6"/>
      <c r="R129" s="6"/>
      <c r="S129" s="6"/>
      <c r="T129" s="6"/>
    </row>
    <row r="130" ht="25.5" spans="1:20">
      <c r="A130" s="4">
        <v>11.02</v>
      </c>
      <c r="B130" s="9" t="s">
        <v>3015</v>
      </c>
      <c r="C130" s="9" t="s">
        <v>426</v>
      </c>
      <c r="D130" s="9" t="s">
        <v>3016</v>
      </c>
      <c r="E130" s="9" t="s">
        <v>3017</v>
      </c>
      <c r="F130" s="9" t="s">
        <v>3018</v>
      </c>
      <c r="G130" s="9"/>
      <c r="H130" s="6"/>
      <c r="I130" s="6"/>
      <c r="J130" s="6"/>
      <c r="K130" s="6"/>
      <c r="L130" s="6"/>
      <c r="M130" s="6"/>
      <c r="N130" s="6"/>
      <c r="O130" s="6"/>
      <c r="P130" s="6"/>
      <c r="Q130" s="6"/>
      <c r="R130" s="6"/>
      <c r="S130" s="6"/>
      <c r="T130" s="6"/>
    </row>
    <row r="131" ht="25.5" spans="1:20">
      <c r="A131" s="4">
        <v>11.03</v>
      </c>
      <c r="B131" s="9" t="s">
        <v>3019</v>
      </c>
      <c r="C131" s="9" t="s">
        <v>3020</v>
      </c>
      <c r="D131" s="9" t="s">
        <v>3021</v>
      </c>
      <c r="E131" s="9" t="s">
        <v>3017</v>
      </c>
      <c r="F131" s="9" t="s">
        <v>3022</v>
      </c>
      <c r="G131" s="9"/>
      <c r="H131" s="6"/>
      <c r="I131" s="6"/>
      <c r="J131" s="6"/>
      <c r="K131" s="6"/>
      <c r="L131" s="6"/>
      <c r="M131" s="6"/>
      <c r="N131" s="6"/>
      <c r="O131" s="6"/>
      <c r="P131" s="6"/>
      <c r="Q131" s="6"/>
      <c r="R131" s="6"/>
      <c r="S131" s="6"/>
      <c r="T131" s="6"/>
    </row>
    <row r="132" ht="25.5" spans="1:20">
      <c r="A132" s="4">
        <v>11.04</v>
      </c>
      <c r="B132" s="9" t="s">
        <v>3023</v>
      </c>
      <c r="C132" s="9" t="s">
        <v>3024</v>
      </c>
      <c r="D132" s="9" t="s">
        <v>3025</v>
      </c>
      <c r="E132" s="9" t="s">
        <v>2653</v>
      </c>
      <c r="F132" s="9" t="s">
        <v>3026</v>
      </c>
      <c r="G132" s="9"/>
      <c r="H132" s="6"/>
      <c r="I132" s="6"/>
      <c r="J132" s="6"/>
      <c r="K132" s="6"/>
      <c r="L132" s="6"/>
      <c r="M132" s="6"/>
      <c r="N132" s="6"/>
      <c r="O132" s="6"/>
      <c r="P132" s="6"/>
      <c r="Q132" s="6"/>
      <c r="R132" s="6"/>
      <c r="S132" s="6"/>
      <c r="T132" s="6"/>
    </row>
    <row r="133" spans="1:20">
      <c r="A133" s="4">
        <v>11.05</v>
      </c>
      <c r="B133" s="9" t="s">
        <v>3023</v>
      </c>
      <c r="C133" s="9" t="s">
        <v>3027</v>
      </c>
      <c r="D133" s="9" t="s">
        <v>3028</v>
      </c>
      <c r="E133" s="9" t="s">
        <v>2653</v>
      </c>
      <c r="F133" s="9" t="s">
        <v>3029</v>
      </c>
      <c r="G133" s="9"/>
      <c r="H133" s="6"/>
      <c r="I133" s="6"/>
      <c r="J133" s="6"/>
      <c r="K133" s="6"/>
      <c r="L133" s="6"/>
      <c r="M133" s="6"/>
      <c r="N133" s="6"/>
      <c r="O133" s="6"/>
      <c r="P133" s="6"/>
      <c r="Q133" s="6"/>
      <c r="R133" s="6"/>
      <c r="S133" s="6"/>
      <c r="T133" s="6"/>
    </row>
    <row r="134" ht="25.5" spans="1:20">
      <c r="A134" s="4">
        <v>11.06</v>
      </c>
      <c r="B134" s="9" t="s">
        <v>3030</v>
      </c>
      <c r="C134" s="9" t="s">
        <v>3024</v>
      </c>
      <c r="D134" s="9" t="s">
        <v>3031</v>
      </c>
      <c r="E134" s="9" t="s">
        <v>2653</v>
      </c>
      <c r="F134" s="9" t="s">
        <v>3032</v>
      </c>
      <c r="G134" s="9"/>
      <c r="H134" s="6"/>
      <c r="I134" s="6"/>
      <c r="J134" s="6"/>
      <c r="K134" s="6"/>
      <c r="L134" s="6"/>
      <c r="M134" s="6"/>
      <c r="N134" s="6"/>
      <c r="O134" s="6"/>
      <c r="P134" s="6"/>
      <c r="Q134" s="6"/>
      <c r="R134" s="6"/>
      <c r="S134" s="6"/>
      <c r="T134" s="6"/>
    </row>
    <row r="135" ht="38.25" spans="1:20">
      <c r="A135" s="4">
        <v>11.07</v>
      </c>
      <c r="B135" s="9" t="s">
        <v>3033</v>
      </c>
      <c r="C135" s="9" t="s">
        <v>3024</v>
      </c>
      <c r="D135" s="9" t="s">
        <v>3034</v>
      </c>
      <c r="E135" s="9" t="s">
        <v>2653</v>
      </c>
      <c r="F135" s="9" t="s">
        <v>3035</v>
      </c>
      <c r="G135" s="9"/>
      <c r="H135" s="6"/>
      <c r="I135" s="6"/>
      <c r="J135" s="6"/>
      <c r="K135" s="6"/>
      <c r="L135" s="6"/>
      <c r="M135" s="6"/>
      <c r="N135" s="6"/>
      <c r="O135" s="6"/>
      <c r="P135" s="6"/>
      <c r="Q135" s="6"/>
      <c r="R135" s="6"/>
      <c r="S135" s="6"/>
      <c r="T135" s="6"/>
    </row>
    <row r="136" ht="25.5" spans="1:20">
      <c r="A136" s="4">
        <v>11.08</v>
      </c>
      <c r="B136" s="9" t="s">
        <v>3030</v>
      </c>
      <c r="C136" s="9" t="s">
        <v>3027</v>
      </c>
      <c r="D136" s="9" t="s">
        <v>3036</v>
      </c>
      <c r="E136" s="9" t="s">
        <v>2653</v>
      </c>
      <c r="F136" s="9" t="s">
        <v>3032</v>
      </c>
      <c r="G136" s="9"/>
      <c r="H136" s="6"/>
      <c r="I136" s="6"/>
      <c r="J136" s="6"/>
      <c r="K136" s="6"/>
      <c r="L136" s="6"/>
      <c r="M136" s="6"/>
      <c r="N136" s="6"/>
      <c r="O136" s="6"/>
      <c r="P136" s="6"/>
      <c r="Q136" s="6"/>
      <c r="R136" s="6"/>
      <c r="S136" s="6"/>
      <c r="T136" s="6"/>
    </row>
    <row r="137" ht="38.25" spans="1:20">
      <c r="A137" s="4">
        <v>11.09</v>
      </c>
      <c r="B137" s="9" t="s">
        <v>3033</v>
      </c>
      <c r="C137" s="9" t="s">
        <v>3027</v>
      </c>
      <c r="D137" s="9" t="s">
        <v>3037</v>
      </c>
      <c r="E137" s="9" t="s">
        <v>2653</v>
      </c>
      <c r="F137" s="9" t="s">
        <v>3035</v>
      </c>
      <c r="G137" s="9"/>
      <c r="H137" s="6"/>
      <c r="I137" s="6"/>
      <c r="J137" s="6"/>
      <c r="K137" s="6"/>
      <c r="L137" s="6"/>
      <c r="M137" s="6"/>
      <c r="N137" s="6"/>
      <c r="O137" s="6"/>
      <c r="P137" s="6"/>
      <c r="Q137" s="6"/>
      <c r="R137" s="6"/>
      <c r="S137" s="6"/>
      <c r="T137" s="6"/>
    </row>
    <row r="138" ht="25.5" spans="1:20">
      <c r="A138" s="4">
        <v>11.1</v>
      </c>
      <c r="B138" s="9" t="s">
        <v>3038</v>
      </c>
      <c r="C138" s="9" t="s">
        <v>3039</v>
      </c>
      <c r="D138" s="9" t="s">
        <v>3040</v>
      </c>
      <c r="E138" s="9" t="s">
        <v>2653</v>
      </c>
      <c r="F138" s="9"/>
      <c r="G138" s="9"/>
      <c r="H138" s="6"/>
      <c r="I138" s="6"/>
      <c r="J138" s="6"/>
      <c r="K138" s="6"/>
      <c r="L138" s="6"/>
      <c r="M138" s="6"/>
      <c r="N138" s="6"/>
      <c r="O138" s="6"/>
      <c r="P138" s="6"/>
      <c r="Q138" s="6"/>
      <c r="R138" s="6"/>
      <c r="S138" s="6"/>
      <c r="T138" s="6"/>
    </row>
    <row r="139" ht="25.5" spans="1:20">
      <c r="A139" s="4">
        <v>11.11</v>
      </c>
      <c r="B139" s="9" t="s">
        <v>3041</v>
      </c>
      <c r="C139" s="9"/>
      <c r="D139" s="9" t="s">
        <v>3042</v>
      </c>
      <c r="E139" s="9" t="s">
        <v>3017</v>
      </c>
      <c r="F139" s="9"/>
      <c r="G139" s="9"/>
      <c r="H139" s="6"/>
      <c r="I139" s="6"/>
      <c r="J139" s="6"/>
      <c r="K139" s="6"/>
      <c r="L139" s="6"/>
      <c r="M139" s="6"/>
      <c r="N139" s="6"/>
      <c r="O139" s="6"/>
      <c r="P139" s="6"/>
      <c r="Q139" s="6"/>
      <c r="R139" s="6"/>
      <c r="S139" s="6"/>
      <c r="T139" s="6"/>
    </row>
    <row r="140" ht="38.25" spans="1:20">
      <c r="A140" s="4">
        <v>11.12</v>
      </c>
      <c r="B140" s="9" t="s">
        <v>3043</v>
      </c>
      <c r="C140" s="9"/>
      <c r="D140" s="9" t="s">
        <v>3044</v>
      </c>
      <c r="E140" s="9" t="s">
        <v>3017</v>
      </c>
      <c r="F140" s="9" t="s">
        <v>3045</v>
      </c>
      <c r="G140" s="9"/>
      <c r="H140" s="6"/>
      <c r="I140" s="6"/>
      <c r="J140" s="6"/>
      <c r="K140" s="6"/>
      <c r="L140" s="6"/>
      <c r="M140" s="6"/>
      <c r="N140" s="6"/>
      <c r="O140" s="6"/>
      <c r="P140" s="6"/>
      <c r="Q140" s="6"/>
      <c r="R140" s="6"/>
      <c r="S140" s="6"/>
      <c r="T140" s="6"/>
    </row>
    <row r="141" ht="38.25" spans="1:20">
      <c r="A141" s="4">
        <v>11.13</v>
      </c>
      <c r="B141" s="9" t="s">
        <v>3046</v>
      </c>
      <c r="C141" s="9" t="s">
        <v>426</v>
      </c>
      <c r="D141" s="9" t="s">
        <v>3047</v>
      </c>
      <c r="E141" s="9" t="s">
        <v>3017</v>
      </c>
      <c r="F141" s="9" t="s">
        <v>3048</v>
      </c>
      <c r="G141" s="9"/>
      <c r="H141" s="6"/>
      <c r="I141" s="6"/>
      <c r="J141" s="6"/>
      <c r="K141" s="6"/>
      <c r="L141" s="6"/>
      <c r="M141" s="6"/>
      <c r="N141" s="6"/>
      <c r="O141" s="6"/>
      <c r="P141" s="6"/>
      <c r="Q141" s="6"/>
      <c r="R141" s="6"/>
      <c r="S141" s="6"/>
      <c r="T141" s="6"/>
    </row>
    <row r="142" ht="76.5" spans="1:20">
      <c r="A142" s="4">
        <v>11.14</v>
      </c>
      <c r="B142" s="9" t="s">
        <v>3049</v>
      </c>
      <c r="C142" s="9" t="s">
        <v>426</v>
      </c>
      <c r="D142" s="9" t="s">
        <v>3050</v>
      </c>
      <c r="E142" s="9" t="s">
        <v>2653</v>
      </c>
      <c r="F142" s="9" t="s">
        <v>3051</v>
      </c>
      <c r="G142" s="9" t="s">
        <v>3052</v>
      </c>
      <c r="H142" s="6"/>
      <c r="I142" s="6"/>
      <c r="J142" s="6"/>
      <c r="K142" s="6"/>
      <c r="L142" s="6"/>
      <c r="M142" s="6"/>
      <c r="N142" s="6"/>
      <c r="O142" s="6"/>
      <c r="P142" s="6"/>
      <c r="Q142" s="6"/>
      <c r="R142" s="6"/>
      <c r="S142" s="6"/>
      <c r="T142" s="6"/>
    </row>
    <row r="143" ht="25.5" spans="1:20">
      <c r="A143" s="4">
        <v>11.15</v>
      </c>
      <c r="B143" s="9" t="s">
        <v>3053</v>
      </c>
      <c r="C143" s="9" t="s">
        <v>426</v>
      </c>
      <c r="D143" s="9" t="s">
        <v>3054</v>
      </c>
      <c r="E143" s="9" t="s">
        <v>3017</v>
      </c>
      <c r="F143" s="9" t="s">
        <v>3055</v>
      </c>
      <c r="G143" s="9"/>
      <c r="H143" s="6"/>
      <c r="I143" s="6"/>
      <c r="J143" s="6"/>
      <c r="K143" s="6"/>
      <c r="L143" s="6"/>
      <c r="M143" s="6"/>
      <c r="N143" s="6"/>
      <c r="O143" s="6"/>
      <c r="P143" s="6"/>
      <c r="Q143" s="6"/>
      <c r="R143" s="6"/>
      <c r="S143" s="6"/>
      <c r="T143" s="6"/>
    </row>
    <row r="144" spans="1:20">
      <c r="A144" s="7">
        <v>12</v>
      </c>
      <c r="B144" s="8" t="s">
        <v>3056</v>
      </c>
      <c r="C144" s="8"/>
      <c r="D144" s="8"/>
      <c r="E144" s="8"/>
      <c r="F144" s="8"/>
      <c r="G144" s="8"/>
      <c r="H144" s="10"/>
      <c r="I144" s="10"/>
      <c r="J144" s="10"/>
      <c r="K144" s="10"/>
      <c r="L144" s="10"/>
      <c r="M144" s="10"/>
      <c r="N144" s="10"/>
      <c r="O144" s="10"/>
      <c r="P144" s="10"/>
      <c r="Q144" s="10"/>
      <c r="R144" s="10"/>
      <c r="S144" s="10"/>
      <c r="T144" s="10"/>
    </row>
    <row r="145" ht="51" spans="1:20">
      <c r="A145" s="4">
        <v>12.01</v>
      </c>
      <c r="B145" s="9" t="s">
        <v>3057</v>
      </c>
      <c r="C145" s="9" t="s">
        <v>3058</v>
      </c>
      <c r="D145" s="9" t="s">
        <v>3059</v>
      </c>
      <c r="E145" s="9" t="s">
        <v>2653</v>
      </c>
      <c r="F145" s="9" t="s">
        <v>3060</v>
      </c>
      <c r="G145" s="9"/>
      <c r="H145" s="6"/>
      <c r="I145" s="6"/>
      <c r="J145" s="6"/>
      <c r="K145" s="6"/>
      <c r="L145" s="6"/>
      <c r="M145" s="6"/>
      <c r="N145" s="6"/>
      <c r="O145" s="6"/>
      <c r="P145" s="6"/>
      <c r="Q145" s="6"/>
      <c r="R145" s="6"/>
      <c r="S145" s="6"/>
      <c r="T145" s="6"/>
    </row>
    <row r="146" ht="38.25" spans="1:20">
      <c r="A146" s="4">
        <v>12.02</v>
      </c>
      <c r="B146" s="9" t="s">
        <v>3061</v>
      </c>
      <c r="C146" s="9"/>
      <c r="D146" s="9" t="s">
        <v>3062</v>
      </c>
      <c r="E146" s="9" t="s">
        <v>2653</v>
      </c>
      <c r="F146" s="9" t="s">
        <v>3063</v>
      </c>
      <c r="G146" s="9"/>
      <c r="H146" s="6"/>
      <c r="I146" s="6"/>
      <c r="J146" s="6"/>
      <c r="K146" s="6"/>
      <c r="L146" s="6"/>
      <c r="M146" s="6"/>
      <c r="N146" s="6"/>
      <c r="O146" s="6"/>
      <c r="P146" s="6"/>
      <c r="Q146" s="6"/>
      <c r="R146" s="6"/>
      <c r="S146" s="6"/>
      <c r="T146" s="6"/>
    </row>
    <row r="147" ht="38.25" spans="1:20">
      <c r="A147" s="4">
        <v>12.03</v>
      </c>
      <c r="B147" s="9" t="s">
        <v>3064</v>
      </c>
      <c r="C147" s="9"/>
      <c r="D147" s="9" t="s">
        <v>3062</v>
      </c>
      <c r="E147" s="9" t="s">
        <v>2653</v>
      </c>
      <c r="F147" s="9" t="s">
        <v>3065</v>
      </c>
      <c r="G147" s="9"/>
      <c r="H147" s="6"/>
      <c r="I147" s="6"/>
      <c r="J147" s="6"/>
      <c r="K147" s="6"/>
      <c r="L147" s="6"/>
      <c r="M147" s="6"/>
      <c r="N147" s="6"/>
      <c r="O147" s="6"/>
      <c r="P147" s="6"/>
      <c r="Q147" s="6"/>
      <c r="R147" s="6"/>
      <c r="S147" s="6"/>
      <c r="T147" s="6"/>
    </row>
    <row r="148" ht="38.25" spans="1:20">
      <c r="A148" s="4">
        <v>12.04</v>
      </c>
      <c r="B148" s="9" t="s">
        <v>3066</v>
      </c>
      <c r="C148" s="9"/>
      <c r="D148" s="9" t="s">
        <v>3062</v>
      </c>
      <c r="E148" s="9" t="s">
        <v>2653</v>
      </c>
      <c r="F148" s="9" t="s">
        <v>3067</v>
      </c>
      <c r="G148" s="9"/>
      <c r="H148" s="6"/>
      <c r="I148" s="6"/>
      <c r="J148" s="6"/>
      <c r="K148" s="6"/>
      <c r="L148" s="6"/>
      <c r="M148" s="6"/>
      <c r="N148" s="6"/>
      <c r="O148" s="6"/>
      <c r="P148" s="6"/>
      <c r="Q148" s="6"/>
      <c r="R148" s="6"/>
      <c r="S148" s="6"/>
      <c r="T148" s="6"/>
    </row>
    <row r="149" ht="38.25" spans="1:20">
      <c r="A149" s="4">
        <v>12.05</v>
      </c>
      <c r="B149" s="9" t="s">
        <v>3068</v>
      </c>
      <c r="C149" s="9"/>
      <c r="D149" s="9" t="s">
        <v>3062</v>
      </c>
      <c r="E149" s="9" t="s">
        <v>2653</v>
      </c>
      <c r="F149" s="9" t="s">
        <v>3069</v>
      </c>
      <c r="G149" s="9"/>
      <c r="H149" s="6"/>
      <c r="I149" s="6"/>
      <c r="J149" s="6"/>
      <c r="K149" s="6"/>
      <c r="L149" s="6"/>
      <c r="M149" s="6"/>
      <c r="N149" s="6"/>
      <c r="O149" s="6"/>
      <c r="P149" s="6"/>
      <c r="Q149" s="6"/>
      <c r="R149" s="6"/>
      <c r="S149" s="6"/>
      <c r="T149" s="6"/>
    </row>
    <row r="150" spans="1:20">
      <c r="A150" s="4">
        <v>12.06</v>
      </c>
      <c r="B150" s="9" t="s">
        <v>3070</v>
      </c>
      <c r="C150" s="9"/>
      <c r="D150" s="9" t="s">
        <v>3062</v>
      </c>
      <c r="E150" s="9"/>
      <c r="F150" s="9" t="s">
        <v>3071</v>
      </c>
      <c r="G150" s="9"/>
      <c r="H150" s="6"/>
      <c r="I150" s="6"/>
      <c r="J150" s="6"/>
      <c r="K150" s="6"/>
      <c r="L150" s="6"/>
      <c r="M150" s="6"/>
      <c r="N150" s="6"/>
      <c r="O150" s="6"/>
      <c r="P150" s="6"/>
      <c r="Q150" s="6"/>
      <c r="R150" s="6"/>
      <c r="S150" s="6"/>
      <c r="T150" s="6"/>
    </row>
    <row r="151" ht="25.5" spans="1:20">
      <c r="A151" s="4">
        <v>12.07</v>
      </c>
      <c r="B151" s="9" t="s">
        <v>3072</v>
      </c>
      <c r="C151" s="9" t="s">
        <v>3073</v>
      </c>
      <c r="D151" s="9" t="s">
        <v>3062</v>
      </c>
      <c r="E151" s="9" t="s">
        <v>2653</v>
      </c>
      <c r="F151" s="9" t="s">
        <v>3074</v>
      </c>
      <c r="G151" s="9"/>
      <c r="H151" s="6"/>
      <c r="I151" s="6"/>
      <c r="J151" s="6"/>
      <c r="K151" s="6"/>
      <c r="L151" s="6"/>
      <c r="M151" s="6"/>
      <c r="N151" s="6"/>
      <c r="O151" s="6"/>
      <c r="P151" s="6"/>
      <c r="Q151" s="6"/>
      <c r="R151" s="6"/>
      <c r="S151" s="6"/>
      <c r="T151" s="6"/>
    </row>
    <row r="152" ht="25.5" spans="1:20">
      <c r="A152" s="4">
        <v>12.08</v>
      </c>
      <c r="B152" s="9" t="s">
        <v>3075</v>
      </c>
      <c r="C152" s="9" t="s">
        <v>3058</v>
      </c>
      <c r="D152" s="9" t="s">
        <v>3062</v>
      </c>
      <c r="E152" s="9" t="s">
        <v>2653</v>
      </c>
      <c r="F152" s="9" t="s">
        <v>3076</v>
      </c>
      <c r="G152" s="9"/>
      <c r="H152" s="6"/>
      <c r="I152" s="6"/>
      <c r="J152" s="6"/>
      <c r="K152" s="6"/>
      <c r="L152" s="6"/>
      <c r="M152" s="6"/>
      <c r="N152" s="6"/>
      <c r="O152" s="6"/>
      <c r="P152" s="6"/>
      <c r="Q152" s="6"/>
      <c r="R152" s="6"/>
      <c r="S152" s="6"/>
      <c r="T152" s="6"/>
    </row>
    <row r="153" ht="25.5" spans="1:20">
      <c r="A153" s="4">
        <v>12.09</v>
      </c>
      <c r="B153" s="9" t="s">
        <v>3077</v>
      </c>
      <c r="C153" s="9" t="s">
        <v>3058</v>
      </c>
      <c r="D153" s="9" t="s">
        <v>3062</v>
      </c>
      <c r="E153" s="9" t="s">
        <v>2653</v>
      </c>
      <c r="F153" s="9" t="s">
        <v>3078</v>
      </c>
      <c r="G153" s="9"/>
      <c r="H153" s="6"/>
      <c r="I153" s="6"/>
      <c r="J153" s="6"/>
      <c r="K153" s="6"/>
      <c r="L153" s="6"/>
      <c r="M153" s="6"/>
      <c r="N153" s="6"/>
      <c r="O153" s="6"/>
      <c r="P153" s="6"/>
      <c r="Q153" s="6"/>
      <c r="R153" s="6"/>
      <c r="S153" s="6"/>
      <c r="T153" s="6"/>
    </row>
    <row r="154" ht="38.25" spans="1:20">
      <c r="A154" s="4">
        <v>12.1</v>
      </c>
      <c r="B154" s="9" t="s">
        <v>3079</v>
      </c>
      <c r="C154" s="9"/>
      <c r="D154" s="9" t="s">
        <v>3062</v>
      </c>
      <c r="E154" s="9" t="s">
        <v>2653</v>
      </c>
      <c r="F154" s="9" t="s">
        <v>3080</v>
      </c>
      <c r="G154" s="9"/>
      <c r="H154" s="6"/>
      <c r="I154" s="6"/>
      <c r="J154" s="6"/>
      <c r="K154" s="6"/>
      <c r="L154" s="6"/>
      <c r="M154" s="6"/>
      <c r="N154" s="6"/>
      <c r="O154" s="6"/>
      <c r="P154" s="6"/>
      <c r="Q154" s="6"/>
      <c r="R154" s="6"/>
      <c r="S154" s="6"/>
      <c r="T154" s="6"/>
    </row>
    <row r="155" ht="25.5" spans="1:20">
      <c r="A155" s="4">
        <v>12.11</v>
      </c>
      <c r="B155" s="9" t="s">
        <v>3081</v>
      </c>
      <c r="C155" s="9"/>
      <c r="D155" s="9" t="s">
        <v>3062</v>
      </c>
      <c r="E155" s="9" t="s">
        <v>2653</v>
      </c>
      <c r="F155" s="9" t="s">
        <v>3082</v>
      </c>
      <c r="G155" s="9"/>
      <c r="H155" s="6"/>
      <c r="I155" s="6"/>
      <c r="J155" s="6"/>
      <c r="K155" s="6"/>
      <c r="L155" s="6"/>
      <c r="M155" s="6"/>
      <c r="N155" s="6"/>
      <c r="O155" s="6"/>
      <c r="P155" s="6"/>
      <c r="Q155" s="6"/>
      <c r="R155" s="6"/>
      <c r="S155" s="6"/>
      <c r="T155" s="6"/>
    </row>
    <row r="156" ht="63.75" spans="1:20">
      <c r="A156" s="4">
        <v>12.12</v>
      </c>
      <c r="B156" s="9" t="s">
        <v>3083</v>
      </c>
      <c r="C156" s="9"/>
      <c r="D156" s="9" t="s">
        <v>3062</v>
      </c>
      <c r="E156" s="9" t="s">
        <v>2653</v>
      </c>
      <c r="F156" s="9" t="s">
        <v>3084</v>
      </c>
      <c r="G156" s="9"/>
      <c r="H156" s="6"/>
      <c r="I156" s="6"/>
      <c r="J156" s="6"/>
      <c r="K156" s="6"/>
      <c r="L156" s="6"/>
      <c r="M156" s="6"/>
      <c r="N156" s="6"/>
      <c r="O156" s="6"/>
      <c r="P156" s="6"/>
      <c r="Q156" s="6"/>
      <c r="R156" s="6"/>
      <c r="S156" s="6"/>
      <c r="T156" s="6"/>
    </row>
    <row r="157" ht="89.25" spans="1:20">
      <c r="A157" s="4">
        <v>12.13</v>
      </c>
      <c r="B157" s="9" t="s">
        <v>3085</v>
      </c>
      <c r="C157" s="9" t="s">
        <v>3086</v>
      </c>
      <c r="D157" s="9" t="s">
        <v>3062</v>
      </c>
      <c r="E157" s="9" t="s">
        <v>2653</v>
      </c>
      <c r="F157" s="9" t="s">
        <v>3087</v>
      </c>
      <c r="G157" s="9"/>
      <c r="H157" s="6"/>
      <c r="I157" s="6"/>
      <c r="J157" s="6"/>
      <c r="K157" s="6"/>
      <c r="L157" s="6"/>
      <c r="M157" s="6"/>
      <c r="N157" s="6"/>
      <c r="O157" s="6"/>
      <c r="P157" s="6"/>
      <c r="Q157" s="6"/>
      <c r="R157" s="6"/>
      <c r="S157" s="6"/>
      <c r="T157" s="6"/>
    </row>
    <row r="158" ht="102" spans="1:20">
      <c r="A158" s="4">
        <v>12.14</v>
      </c>
      <c r="B158" s="9" t="s">
        <v>3085</v>
      </c>
      <c r="C158" s="9" t="s">
        <v>3086</v>
      </c>
      <c r="D158" s="9" t="s">
        <v>3062</v>
      </c>
      <c r="E158" s="9" t="s">
        <v>2653</v>
      </c>
      <c r="F158" s="9" t="s">
        <v>3088</v>
      </c>
      <c r="G158" s="9"/>
      <c r="H158" s="6"/>
      <c r="I158" s="6"/>
      <c r="J158" s="6"/>
      <c r="K158" s="6"/>
      <c r="L158" s="6"/>
      <c r="M158" s="6"/>
      <c r="N158" s="6"/>
      <c r="O158" s="6"/>
      <c r="P158" s="6"/>
      <c r="Q158" s="6"/>
      <c r="R158" s="6"/>
      <c r="S158" s="6"/>
      <c r="T158" s="6"/>
    </row>
    <row r="159" ht="38.25" spans="1:20">
      <c r="A159" s="4">
        <v>12.15</v>
      </c>
      <c r="B159" s="9" t="s">
        <v>3089</v>
      </c>
      <c r="C159" s="9" t="s">
        <v>3090</v>
      </c>
      <c r="D159" s="9" t="s">
        <v>3062</v>
      </c>
      <c r="E159" s="9" t="s">
        <v>2972</v>
      </c>
      <c r="F159" s="9" t="s">
        <v>3091</v>
      </c>
      <c r="G159" s="9"/>
      <c r="H159" s="6"/>
      <c r="I159" s="6"/>
      <c r="J159" s="6"/>
      <c r="K159" s="6"/>
      <c r="L159" s="6"/>
      <c r="M159" s="6"/>
      <c r="N159" s="6"/>
      <c r="O159" s="6"/>
      <c r="P159" s="6"/>
      <c r="Q159" s="6"/>
      <c r="R159" s="6"/>
      <c r="S159" s="6"/>
      <c r="T159" s="6"/>
    </row>
    <row r="160" ht="25.5" spans="1:20">
      <c r="A160" s="4">
        <v>12.16</v>
      </c>
      <c r="B160" s="9" t="s">
        <v>3092</v>
      </c>
      <c r="C160" s="9" t="s">
        <v>2840</v>
      </c>
      <c r="D160" s="9" t="s">
        <v>3062</v>
      </c>
      <c r="E160" s="9" t="s">
        <v>2759</v>
      </c>
      <c r="F160" s="9" t="s">
        <v>3093</v>
      </c>
      <c r="G160" s="9"/>
      <c r="H160" s="6"/>
      <c r="I160" s="6"/>
      <c r="J160" s="6"/>
      <c r="K160" s="6"/>
      <c r="L160" s="6"/>
      <c r="M160" s="6"/>
      <c r="N160" s="6"/>
      <c r="O160" s="6"/>
      <c r="P160" s="6"/>
      <c r="Q160" s="6"/>
      <c r="R160" s="6"/>
      <c r="S160" s="6"/>
      <c r="T160" s="6"/>
    </row>
    <row r="161" ht="76.5" spans="1:20">
      <c r="A161" s="4">
        <v>12.17</v>
      </c>
      <c r="B161" s="9" t="s">
        <v>3094</v>
      </c>
      <c r="C161" s="9" t="s">
        <v>2840</v>
      </c>
      <c r="D161" s="9" t="s">
        <v>3062</v>
      </c>
      <c r="E161" s="9" t="s">
        <v>2759</v>
      </c>
      <c r="F161" s="9" t="s">
        <v>3095</v>
      </c>
      <c r="G161" s="9"/>
      <c r="H161" s="6"/>
      <c r="I161" s="6"/>
      <c r="J161" s="6"/>
      <c r="K161" s="6"/>
      <c r="L161" s="6"/>
      <c r="M161" s="6"/>
      <c r="N161" s="6"/>
      <c r="O161" s="6"/>
      <c r="P161" s="6"/>
      <c r="Q161" s="6"/>
      <c r="R161" s="6"/>
      <c r="S161" s="6"/>
      <c r="T161" s="6"/>
    </row>
    <row r="162" ht="51" spans="1:20">
      <c r="A162" s="4">
        <v>12.18</v>
      </c>
      <c r="B162" s="9" t="s">
        <v>3096</v>
      </c>
      <c r="C162" s="9" t="s">
        <v>3097</v>
      </c>
      <c r="D162" s="9" t="s">
        <v>3062</v>
      </c>
      <c r="E162" s="9" t="s">
        <v>3098</v>
      </c>
      <c r="F162" s="9" t="s">
        <v>3099</v>
      </c>
      <c r="G162" s="9"/>
      <c r="H162" s="6"/>
      <c r="I162" s="6"/>
      <c r="J162" s="6"/>
      <c r="K162" s="6"/>
      <c r="L162" s="6"/>
      <c r="M162" s="6"/>
      <c r="N162" s="6"/>
      <c r="O162" s="6"/>
      <c r="P162" s="6"/>
      <c r="Q162" s="6"/>
      <c r="R162" s="6"/>
      <c r="S162" s="6"/>
      <c r="T162" s="6"/>
    </row>
    <row r="163" ht="25.5" spans="1:20">
      <c r="A163" s="4">
        <v>12.19</v>
      </c>
      <c r="B163" s="9" t="s">
        <v>3100</v>
      </c>
      <c r="C163" s="9" t="s">
        <v>3101</v>
      </c>
      <c r="D163" s="9" t="s">
        <v>3062</v>
      </c>
      <c r="E163" s="9" t="s">
        <v>2653</v>
      </c>
      <c r="F163" s="9" t="s">
        <v>3102</v>
      </c>
      <c r="G163" s="9"/>
      <c r="H163" s="6"/>
      <c r="I163" s="6"/>
      <c r="J163" s="6"/>
      <c r="K163" s="6"/>
      <c r="L163" s="6"/>
      <c r="M163" s="6"/>
      <c r="N163" s="6"/>
      <c r="O163" s="6"/>
      <c r="P163" s="6"/>
      <c r="Q163" s="6"/>
      <c r="R163" s="6"/>
      <c r="S163" s="6"/>
      <c r="T163" s="6"/>
    </row>
    <row r="164" ht="51" spans="1:20">
      <c r="A164" s="4">
        <v>12.2</v>
      </c>
      <c r="B164" s="9" t="s">
        <v>3103</v>
      </c>
      <c r="C164" s="9" t="s">
        <v>3104</v>
      </c>
      <c r="D164" s="9" t="s">
        <v>3062</v>
      </c>
      <c r="E164" s="9"/>
      <c r="F164" s="9" t="s">
        <v>3105</v>
      </c>
      <c r="G164" s="9"/>
      <c r="H164" s="6"/>
      <c r="I164" s="6"/>
      <c r="J164" s="6"/>
      <c r="K164" s="6"/>
      <c r="L164" s="6"/>
      <c r="M164" s="6"/>
      <c r="N164" s="6"/>
      <c r="O164" s="6"/>
      <c r="P164" s="6"/>
      <c r="Q164" s="6"/>
      <c r="R164" s="6"/>
      <c r="S164" s="6"/>
      <c r="T164" s="6"/>
    </row>
    <row r="165" ht="25.5" spans="1:20">
      <c r="A165" s="4">
        <v>12.21</v>
      </c>
      <c r="B165" s="9" t="s">
        <v>3106</v>
      </c>
      <c r="C165" s="9" t="s">
        <v>3107</v>
      </c>
      <c r="D165" s="9" t="s">
        <v>3062</v>
      </c>
      <c r="E165" s="9" t="s">
        <v>2653</v>
      </c>
      <c r="F165" s="9" t="s">
        <v>3108</v>
      </c>
      <c r="G165" s="9"/>
      <c r="H165" s="6"/>
      <c r="I165" s="6"/>
      <c r="J165" s="6"/>
      <c r="K165" s="6"/>
      <c r="L165" s="6"/>
      <c r="M165" s="6"/>
      <c r="N165" s="6"/>
      <c r="O165" s="6"/>
      <c r="P165" s="6"/>
      <c r="Q165" s="6"/>
      <c r="R165" s="6"/>
      <c r="S165" s="6"/>
      <c r="T165" s="6"/>
    </row>
    <row r="166" ht="25.5" spans="1:20">
      <c r="A166" s="4">
        <v>12.22</v>
      </c>
      <c r="B166" s="9" t="s">
        <v>3109</v>
      </c>
      <c r="C166" s="9"/>
      <c r="D166" s="9" t="s">
        <v>3062</v>
      </c>
      <c r="E166" s="9"/>
      <c r="F166" s="9" t="s">
        <v>3110</v>
      </c>
      <c r="G166" s="9"/>
      <c r="H166" s="6"/>
      <c r="I166" s="6"/>
      <c r="J166" s="6"/>
      <c r="K166" s="6"/>
      <c r="L166" s="6"/>
      <c r="M166" s="6"/>
      <c r="N166" s="6"/>
      <c r="O166" s="6"/>
      <c r="P166" s="6"/>
      <c r="Q166" s="6"/>
      <c r="R166" s="6"/>
      <c r="S166" s="6"/>
      <c r="T166" s="6"/>
    </row>
    <row r="167" spans="1:20">
      <c r="A167" s="7">
        <v>13</v>
      </c>
      <c r="B167" s="8" t="s">
        <v>3111</v>
      </c>
      <c r="C167" s="8"/>
      <c r="D167" s="8"/>
      <c r="E167" s="8"/>
      <c r="F167" s="8"/>
      <c r="G167" s="8"/>
      <c r="H167" s="6"/>
      <c r="I167" s="6"/>
      <c r="J167" s="6"/>
      <c r="K167" s="6"/>
      <c r="L167" s="6"/>
      <c r="M167" s="6"/>
      <c r="N167" s="6"/>
      <c r="O167" s="6"/>
      <c r="P167" s="6"/>
      <c r="Q167" s="6"/>
      <c r="R167" s="6"/>
      <c r="S167" s="6"/>
      <c r="T167" s="6"/>
    </row>
    <row r="168" ht="25.5" spans="1:20">
      <c r="A168" s="4">
        <v>13.01</v>
      </c>
      <c r="B168" s="9" t="s">
        <v>3112</v>
      </c>
      <c r="C168" s="9" t="s">
        <v>3113</v>
      </c>
      <c r="D168" s="9" t="s">
        <v>2687</v>
      </c>
      <c r="E168" s="9" t="s">
        <v>3114</v>
      </c>
      <c r="F168" s="9" t="s">
        <v>3115</v>
      </c>
      <c r="G168" s="9"/>
      <c r="H168" s="6"/>
      <c r="I168" s="6"/>
      <c r="J168" s="6"/>
      <c r="K168" s="6"/>
      <c r="L168" s="6"/>
      <c r="M168" s="6"/>
      <c r="N168" s="6"/>
      <c r="O168" s="6"/>
      <c r="P168" s="6"/>
      <c r="Q168" s="6"/>
      <c r="R168" s="6"/>
      <c r="S168" s="6"/>
      <c r="T168" s="6"/>
    </row>
    <row r="169" ht="25.5" spans="1:20">
      <c r="A169" s="4">
        <v>13.02</v>
      </c>
      <c r="B169" s="9" t="s">
        <v>3116</v>
      </c>
      <c r="C169" s="9" t="s">
        <v>3113</v>
      </c>
      <c r="D169" s="9" t="s">
        <v>2687</v>
      </c>
      <c r="E169" s="9" t="s">
        <v>3117</v>
      </c>
      <c r="F169" s="9" t="s">
        <v>3118</v>
      </c>
      <c r="G169" s="9"/>
      <c r="H169" s="6"/>
      <c r="I169" s="6"/>
      <c r="J169" s="6"/>
      <c r="K169" s="6"/>
      <c r="L169" s="6"/>
      <c r="M169" s="6"/>
      <c r="N169" s="6"/>
      <c r="O169" s="6"/>
      <c r="P169" s="6"/>
      <c r="Q169" s="6"/>
      <c r="R169" s="6"/>
      <c r="S169" s="6"/>
      <c r="T169" s="6"/>
    </row>
    <row r="170" ht="25.5" spans="1:20">
      <c r="A170" s="4">
        <v>13.03</v>
      </c>
      <c r="B170" s="9" t="s">
        <v>3119</v>
      </c>
      <c r="C170" s="9" t="s">
        <v>3120</v>
      </c>
      <c r="D170" s="9" t="s">
        <v>2687</v>
      </c>
      <c r="E170" s="9" t="s">
        <v>3121</v>
      </c>
      <c r="F170" s="9" t="s">
        <v>3122</v>
      </c>
      <c r="G170" s="9"/>
      <c r="H170" s="6"/>
      <c r="I170" s="6"/>
      <c r="J170" s="6"/>
      <c r="K170" s="6"/>
      <c r="L170" s="6"/>
      <c r="M170" s="6"/>
      <c r="N170" s="6"/>
      <c r="O170" s="6"/>
      <c r="P170" s="6"/>
      <c r="Q170" s="6"/>
      <c r="R170" s="6"/>
      <c r="S170" s="6"/>
      <c r="T170" s="6"/>
    </row>
    <row r="171" ht="25.5" spans="1:20">
      <c r="A171" s="4">
        <v>13.04</v>
      </c>
      <c r="B171" s="9" t="s">
        <v>3123</v>
      </c>
      <c r="C171" s="9"/>
      <c r="D171" s="9" t="s">
        <v>2687</v>
      </c>
      <c r="E171" s="9" t="s">
        <v>3124</v>
      </c>
      <c r="F171" s="9" t="s">
        <v>3125</v>
      </c>
      <c r="G171" s="9"/>
      <c r="H171" s="6"/>
      <c r="I171" s="6"/>
      <c r="J171" s="6"/>
      <c r="K171" s="6"/>
      <c r="L171" s="6"/>
      <c r="M171" s="6"/>
      <c r="N171" s="6"/>
      <c r="O171" s="6"/>
      <c r="P171" s="6"/>
      <c r="Q171" s="6"/>
      <c r="R171" s="6"/>
      <c r="S171" s="6"/>
      <c r="T171" s="6"/>
    </row>
    <row r="172" ht="38.25" spans="1:20">
      <c r="A172" s="4">
        <v>13.05</v>
      </c>
      <c r="B172" s="9" t="s">
        <v>3126</v>
      </c>
      <c r="C172" s="9"/>
      <c r="D172" s="9" t="s">
        <v>2687</v>
      </c>
      <c r="E172" s="9" t="s">
        <v>3127</v>
      </c>
      <c r="F172" s="9" t="s">
        <v>3128</v>
      </c>
      <c r="G172" s="9"/>
      <c r="H172" s="6"/>
      <c r="I172" s="6"/>
      <c r="J172" s="6"/>
      <c r="K172" s="6"/>
      <c r="L172" s="6"/>
      <c r="M172" s="6"/>
      <c r="N172" s="6"/>
      <c r="O172" s="6"/>
      <c r="P172" s="6"/>
      <c r="Q172" s="6"/>
      <c r="R172" s="6"/>
      <c r="S172" s="6"/>
      <c r="T172" s="6"/>
    </row>
    <row r="173" spans="1:20">
      <c r="A173" s="4">
        <v>13.06</v>
      </c>
      <c r="B173" s="9" t="s">
        <v>3129</v>
      </c>
      <c r="C173" s="9" t="s">
        <v>2871</v>
      </c>
      <c r="D173" s="9" t="s">
        <v>3130</v>
      </c>
      <c r="E173" s="9" t="s">
        <v>2675</v>
      </c>
      <c r="F173" s="9" t="s">
        <v>3131</v>
      </c>
      <c r="G173" s="9"/>
      <c r="H173" s="6"/>
      <c r="I173" s="6"/>
      <c r="J173" s="6"/>
      <c r="K173" s="6"/>
      <c r="L173" s="6"/>
      <c r="M173" s="6"/>
      <c r="N173" s="6"/>
      <c r="O173" s="6"/>
      <c r="P173" s="6"/>
      <c r="Q173" s="6"/>
      <c r="R173" s="6"/>
      <c r="S173" s="6"/>
      <c r="T173" s="6"/>
    </row>
    <row r="174" spans="1:20">
      <c r="A174" s="4">
        <v>13.07</v>
      </c>
      <c r="B174" s="9" t="s">
        <v>3132</v>
      </c>
      <c r="C174" s="9" t="s">
        <v>3133</v>
      </c>
      <c r="D174" s="9" t="s">
        <v>3134</v>
      </c>
      <c r="E174" s="9" t="s">
        <v>2675</v>
      </c>
      <c r="F174" s="9" t="s">
        <v>3135</v>
      </c>
      <c r="G174" s="9"/>
      <c r="H174" s="6"/>
      <c r="I174" s="6"/>
      <c r="J174" s="6"/>
      <c r="K174" s="6"/>
      <c r="L174" s="6"/>
      <c r="M174" s="6"/>
      <c r="N174" s="6"/>
      <c r="O174" s="6"/>
      <c r="P174" s="6"/>
      <c r="Q174" s="6"/>
      <c r="R174" s="6"/>
      <c r="S174" s="6"/>
      <c r="T174" s="6"/>
    </row>
    <row r="175" spans="1:20">
      <c r="A175" s="7">
        <v>14</v>
      </c>
      <c r="B175" s="8" t="s">
        <v>3136</v>
      </c>
      <c r="C175" s="8"/>
      <c r="D175" s="8"/>
      <c r="E175" s="8"/>
      <c r="F175" s="8"/>
      <c r="G175" s="8"/>
      <c r="H175" s="6"/>
      <c r="I175" s="6"/>
      <c r="J175" s="6"/>
      <c r="K175" s="6"/>
      <c r="L175" s="6"/>
      <c r="M175" s="6"/>
      <c r="N175" s="6"/>
      <c r="O175" s="6"/>
      <c r="P175" s="6"/>
      <c r="Q175" s="6"/>
      <c r="R175" s="6"/>
      <c r="S175" s="6"/>
      <c r="T175" s="6"/>
    </row>
    <row r="176" spans="1:20">
      <c r="A176" s="4">
        <v>14.01</v>
      </c>
      <c r="B176" s="9" t="s">
        <v>3137</v>
      </c>
      <c r="C176" s="9" t="s">
        <v>3138</v>
      </c>
      <c r="D176" s="9" t="s">
        <v>2687</v>
      </c>
      <c r="E176" s="9"/>
      <c r="F176" s="9"/>
      <c r="G176" s="9"/>
      <c r="H176" s="6"/>
      <c r="I176" s="6"/>
      <c r="J176" s="6"/>
      <c r="K176" s="6"/>
      <c r="L176" s="6"/>
      <c r="M176" s="6"/>
      <c r="N176" s="6"/>
      <c r="O176" s="6"/>
      <c r="P176" s="6"/>
      <c r="Q176" s="6"/>
      <c r="R176" s="6"/>
      <c r="S176" s="6"/>
      <c r="T176" s="6"/>
    </row>
    <row r="177" spans="1:20">
      <c r="A177" s="4">
        <v>14.02</v>
      </c>
      <c r="B177" s="9" t="s">
        <v>3139</v>
      </c>
      <c r="C177" s="9" t="s">
        <v>3140</v>
      </c>
      <c r="D177" s="9" t="s">
        <v>2687</v>
      </c>
      <c r="E177" s="9" t="s">
        <v>3141</v>
      </c>
      <c r="F177" s="9"/>
      <c r="G177" s="9"/>
      <c r="H177" s="6"/>
      <c r="I177" s="6"/>
      <c r="J177" s="6"/>
      <c r="K177" s="6"/>
      <c r="L177" s="6"/>
      <c r="M177" s="6"/>
      <c r="N177" s="6"/>
      <c r="O177" s="6"/>
      <c r="P177" s="6"/>
      <c r="Q177" s="6"/>
      <c r="R177" s="6"/>
      <c r="S177" s="6"/>
      <c r="T177" s="6"/>
    </row>
    <row r="178" spans="1:20">
      <c r="A178" s="4">
        <v>14.03</v>
      </c>
      <c r="B178" s="9" t="s">
        <v>3142</v>
      </c>
      <c r="C178" s="9"/>
      <c r="D178" s="9" t="s">
        <v>3143</v>
      </c>
      <c r="E178" s="9"/>
      <c r="F178" s="9" t="s">
        <v>3144</v>
      </c>
      <c r="G178" s="9"/>
      <c r="H178" s="6"/>
      <c r="I178" s="6"/>
      <c r="J178" s="6"/>
      <c r="K178" s="6"/>
      <c r="L178" s="6"/>
      <c r="M178" s="6"/>
      <c r="N178" s="6"/>
      <c r="O178" s="6"/>
      <c r="P178" s="6"/>
      <c r="Q178" s="6"/>
      <c r="R178" s="6"/>
      <c r="S178" s="6"/>
      <c r="T178" s="6"/>
    </row>
    <row r="179" spans="1:20">
      <c r="A179" s="4">
        <v>14.04</v>
      </c>
      <c r="B179" s="9" t="s">
        <v>3145</v>
      </c>
      <c r="C179" s="9" t="s">
        <v>3146</v>
      </c>
      <c r="D179" s="9" t="s">
        <v>3062</v>
      </c>
      <c r="E179" s="9" t="s">
        <v>3147</v>
      </c>
      <c r="F179" s="9"/>
      <c r="G179" s="9"/>
      <c r="H179" s="6"/>
      <c r="I179" s="6"/>
      <c r="J179" s="6"/>
      <c r="K179" s="6"/>
      <c r="L179" s="6"/>
      <c r="M179" s="6"/>
      <c r="N179" s="6"/>
      <c r="O179" s="6"/>
      <c r="P179" s="6"/>
      <c r="Q179" s="6"/>
      <c r="R179" s="6"/>
      <c r="S179" s="6"/>
      <c r="T179" s="6"/>
    </row>
    <row r="180" spans="1:20">
      <c r="A180" s="4">
        <v>14.05</v>
      </c>
      <c r="B180" s="9" t="s">
        <v>3148</v>
      </c>
      <c r="C180" s="9" t="s">
        <v>3146</v>
      </c>
      <c r="D180" s="9" t="s">
        <v>3062</v>
      </c>
      <c r="E180" s="9" t="s">
        <v>3149</v>
      </c>
      <c r="F180" s="9"/>
      <c r="G180" s="9"/>
      <c r="H180" s="6"/>
      <c r="I180" s="6"/>
      <c r="J180" s="6"/>
      <c r="K180" s="6"/>
      <c r="L180" s="6"/>
      <c r="M180" s="6"/>
      <c r="N180" s="6"/>
      <c r="O180" s="6"/>
      <c r="P180" s="6"/>
      <c r="Q180" s="6"/>
      <c r="R180" s="6"/>
      <c r="S180" s="6"/>
      <c r="T180" s="6"/>
    </row>
    <row r="181" spans="1:20">
      <c r="A181" s="4">
        <v>14.06</v>
      </c>
      <c r="B181" s="9" t="s">
        <v>3150</v>
      </c>
      <c r="C181" s="9" t="s">
        <v>3146</v>
      </c>
      <c r="D181" s="9" t="s">
        <v>3062</v>
      </c>
      <c r="E181" s="9" t="s">
        <v>2759</v>
      </c>
      <c r="F181" s="9" t="s">
        <v>3151</v>
      </c>
      <c r="G181" s="9"/>
      <c r="H181" s="6"/>
      <c r="I181" s="6"/>
      <c r="J181" s="6"/>
      <c r="K181" s="6"/>
      <c r="L181" s="6"/>
      <c r="M181" s="6"/>
      <c r="N181" s="6"/>
      <c r="O181" s="6"/>
      <c r="P181" s="6"/>
      <c r="Q181" s="6"/>
      <c r="R181" s="6"/>
      <c r="S181" s="6"/>
      <c r="T181" s="6"/>
    </row>
    <row r="182" spans="1:20">
      <c r="A182" s="4">
        <v>14.07</v>
      </c>
      <c r="B182" s="9" t="s">
        <v>3152</v>
      </c>
      <c r="C182" s="9" t="s">
        <v>3153</v>
      </c>
      <c r="D182" s="9" t="s">
        <v>3062</v>
      </c>
      <c r="E182" s="9" t="s">
        <v>2653</v>
      </c>
      <c r="F182" s="9" t="s">
        <v>3154</v>
      </c>
      <c r="G182" s="9"/>
      <c r="H182" s="6"/>
      <c r="I182" s="6"/>
      <c r="J182" s="6"/>
      <c r="K182" s="6"/>
      <c r="L182" s="6"/>
      <c r="M182" s="6"/>
      <c r="N182" s="6"/>
      <c r="O182" s="6"/>
      <c r="P182" s="6"/>
      <c r="Q182" s="6"/>
      <c r="R182" s="6"/>
      <c r="S182" s="6"/>
      <c r="T182" s="6"/>
    </row>
    <row r="183" ht="25.5" spans="1:20">
      <c r="A183" s="4">
        <v>14.08</v>
      </c>
      <c r="B183" s="9" t="s">
        <v>3155</v>
      </c>
      <c r="C183" s="9" t="s">
        <v>2699</v>
      </c>
      <c r="D183" s="9" t="s">
        <v>3062</v>
      </c>
      <c r="E183" s="9"/>
      <c r="F183" s="9" t="s">
        <v>3156</v>
      </c>
      <c r="G183" s="9"/>
      <c r="H183" s="6"/>
      <c r="I183" s="6"/>
      <c r="J183" s="6"/>
      <c r="K183" s="6"/>
      <c r="L183" s="6"/>
      <c r="M183" s="6"/>
      <c r="N183" s="6"/>
      <c r="O183" s="6"/>
      <c r="P183" s="6"/>
      <c r="Q183" s="6"/>
      <c r="R183" s="6"/>
      <c r="S183" s="6"/>
      <c r="T183" s="6"/>
    </row>
    <row r="184" spans="1:20">
      <c r="A184" s="4">
        <v>14.09</v>
      </c>
      <c r="B184" s="9" t="s">
        <v>3157</v>
      </c>
      <c r="C184" s="9" t="s">
        <v>3158</v>
      </c>
      <c r="D184" s="9" t="s">
        <v>3062</v>
      </c>
      <c r="E184" s="9" t="s">
        <v>3017</v>
      </c>
      <c r="F184" s="9" t="s">
        <v>3159</v>
      </c>
      <c r="G184" s="9"/>
      <c r="H184" s="6"/>
      <c r="I184" s="6"/>
      <c r="J184" s="6"/>
      <c r="K184" s="6"/>
      <c r="L184" s="6"/>
      <c r="M184" s="6"/>
      <c r="N184" s="6"/>
      <c r="O184" s="6"/>
      <c r="P184" s="6"/>
      <c r="Q184" s="6"/>
      <c r="R184" s="6"/>
      <c r="S184" s="6"/>
      <c r="T184" s="6"/>
    </row>
    <row r="185" spans="1:20">
      <c r="A185" s="4">
        <v>14.1</v>
      </c>
      <c r="B185" s="9" t="s">
        <v>3160</v>
      </c>
      <c r="C185" s="9" t="s">
        <v>3146</v>
      </c>
      <c r="D185" s="9" t="s">
        <v>3062</v>
      </c>
      <c r="E185" s="9" t="s">
        <v>3161</v>
      </c>
      <c r="F185" s="9"/>
      <c r="G185" s="9"/>
      <c r="H185" s="6"/>
      <c r="I185" s="6"/>
      <c r="J185" s="6"/>
      <c r="K185" s="6"/>
      <c r="L185" s="6"/>
      <c r="M185" s="6"/>
      <c r="N185" s="6"/>
      <c r="O185" s="6"/>
      <c r="P185" s="6"/>
      <c r="Q185" s="6"/>
      <c r="R185" s="6"/>
      <c r="S185" s="6"/>
      <c r="T185" s="6"/>
    </row>
    <row r="186" spans="1:20">
      <c r="A186" s="4">
        <v>14.11</v>
      </c>
      <c r="B186" s="9" t="s">
        <v>3162</v>
      </c>
      <c r="C186" s="9" t="s">
        <v>3163</v>
      </c>
      <c r="D186" s="9" t="s">
        <v>3062</v>
      </c>
      <c r="E186" s="9" t="s">
        <v>3164</v>
      </c>
      <c r="F186" s="9"/>
      <c r="G186" s="9"/>
      <c r="H186" s="6"/>
      <c r="I186" s="6"/>
      <c r="J186" s="6"/>
      <c r="K186" s="6"/>
      <c r="L186" s="6"/>
      <c r="M186" s="6"/>
      <c r="N186" s="6"/>
      <c r="O186" s="6"/>
      <c r="P186" s="6"/>
      <c r="Q186" s="6"/>
      <c r="R186" s="6"/>
      <c r="S186" s="6"/>
      <c r="T186" s="6"/>
    </row>
    <row r="187" spans="1:20">
      <c r="A187" s="4">
        <v>14.12</v>
      </c>
      <c r="B187" s="9" t="s">
        <v>3165</v>
      </c>
      <c r="C187" s="9" t="s">
        <v>3138</v>
      </c>
      <c r="D187" s="9" t="s">
        <v>3062</v>
      </c>
      <c r="E187" s="9" t="s">
        <v>3164</v>
      </c>
      <c r="F187" s="9"/>
      <c r="G187" s="9"/>
      <c r="H187" s="6"/>
      <c r="I187" s="6"/>
      <c r="J187" s="6"/>
      <c r="K187" s="6"/>
      <c r="L187" s="6"/>
      <c r="M187" s="6"/>
      <c r="N187" s="6"/>
      <c r="O187" s="6"/>
      <c r="P187" s="6"/>
      <c r="Q187" s="6"/>
      <c r="R187" s="6"/>
      <c r="S187" s="6"/>
      <c r="T187" s="6"/>
    </row>
    <row r="188" spans="1:20">
      <c r="A188" s="15"/>
      <c r="B188" s="16"/>
      <c r="C188" s="16"/>
      <c r="D188" s="16"/>
      <c r="E188" s="16"/>
      <c r="F188" s="16"/>
      <c r="G188" s="16"/>
      <c r="H188" s="6"/>
      <c r="I188" s="6"/>
      <c r="J188" s="6"/>
      <c r="K188" s="6"/>
      <c r="L188" s="6"/>
      <c r="M188" s="6"/>
      <c r="N188" s="6"/>
      <c r="O188" s="6"/>
      <c r="P188" s="6"/>
      <c r="Q188" s="6"/>
      <c r="R188" s="6"/>
      <c r="S188" s="6"/>
      <c r="T188" s="6"/>
    </row>
    <row r="189" spans="1:20">
      <c r="A189" s="15"/>
      <c r="B189" s="16"/>
      <c r="C189" s="16"/>
      <c r="D189" s="16"/>
      <c r="E189" s="16"/>
      <c r="F189" s="16"/>
      <c r="G189" s="16"/>
      <c r="H189" s="6"/>
      <c r="I189" s="6"/>
      <c r="J189" s="6"/>
      <c r="K189" s="6"/>
      <c r="L189" s="6"/>
      <c r="M189" s="6"/>
      <c r="N189" s="6"/>
      <c r="O189" s="6"/>
      <c r="P189" s="6"/>
      <c r="Q189" s="6"/>
      <c r="R189" s="6"/>
      <c r="S189" s="6"/>
      <c r="T189" s="6"/>
    </row>
    <row r="190" spans="1:20">
      <c r="A190" s="15"/>
      <c r="B190" s="16"/>
      <c r="C190" s="16"/>
      <c r="D190" s="16"/>
      <c r="E190" s="16"/>
      <c r="F190" s="16"/>
      <c r="G190" s="16"/>
      <c r="H190" s="6"/>
      <c r="I190" s="6"/>
      <c r="J190" s="6"/>
      <c r="K190" s="6"/>
      <c r="L190" s="6"/>
      <c r="M190" s="6"/>
      <c r="N190" s="6"/>
      <c r="O190" s="6"/>
      <c r="P190" s="6"/>
      <c r="Q190" s="6"/>
      <c r="R190" s="6"/>
      <c r="S190" s="6"/>
      <c r="T190" s="6"/>
    </row>
    <row r="191" spans="1:20">
      <c r="A191" s="15"/>
      <c r="B191" s="16"/>
      <c r="C191" s="16"/>
      <c r="D191" s="16"/>
      <c r="E191" s="16"/>
      <c r="F191" s="16"/>
      <c r="G191" s="16"/>
      <c r="H191" s="6"/>
      <c r="I191" s="6"/>
      <c r="J191" s="6"/>
      <c r="K191" s="6"/>
      <c r="L191" s="6"/>
      <c r="M191" s="6"/>
      <c r="N191" s="6"/>
      <c r="O191" s="6"/>
      <c r="P191" s="6"/>
      <c r="Q191" s="6"/>
      <c r="R191" s="6"/>
      <c r="S191" s="6"/>
      <c r="T191" s="6"/>
    </row>
    <row r="192" spans="1:20">
      <c r="A192" s="15"/>
      <c r="B192" s="16"/>
      <c r="C192" s="16"/>
      <c r="D192" s="16"/>
      <c r="E192" s="16"/>
      <c r="F192" s="16"/>
      <c r="G192" s="16"/>
      <c r="H192" s="6"/>
      <c r="I192" s="6"/>
      <c r="J192" s="6"/>
      <c r="K192" s="6"/>
      <c r="L192" s="6"/>
      <c r="M192" s="6"/>
      <c r="N192" s="6"/>
      <c r="O192" s="6"/>
      <c r="P192" s="6"/>
      <c r="Q192" s="6"/>
      <c r="R192" s="6"/>
      <c r="S192" s="6"/>
      <c r="T192" s="6"/>
    </row>
    <row r="193" spans="1:20">
      <c r="A193" s="15"/>
      <c r="B193" s="16"/>
      <c r="C193" s="16"/>
      <c r="D193" s="16"/>
      <c r="E193" s="16"/>
      <c r="F193" s="16"/>
      <c r="G193" s="16"/>
      <c r="H193" s="6"/>
      <c r="I193" s="6"/>
      <c r="J193" s="6"/>
      <c r="K193" s="6"/>
      <c r="L193" s="6"/>
      <c r="M193" s="6"/>
      <c r="N193" s="6"/>
      <c r="O193" s="6"/>
      <c r="P193" s="6"/>
      <c r="Q193" s="6"/>
      <c r="R193" s="6"/>
      <c r="S193" s="6"/>
      <c r="T193" s="6"/>
    </row>
    <row r="194" spans="1:20">
      <c r="A194" s="15"/>
      <c r="B194" s="16"/>
      <c r="C194" s="16"/>
      <c r="D194" s="16"/>
      <c r="E194" s="16"/>
      <c r="F194" s="16"/>
      <c r="G194" s="16"/>
      <c r="H194" s="6"/>
      <c r="I194" s="6"/>
      <c r="J194" s="6"/>
      <c r="K194" s="6"/>
      <c r="L194" s="6"/>
      <c r="M194" s="6"/>
      <c r="N194" s="6"/>
      <c r="O194" s="6"/>
      <c r="P194" s="6"/>
      <c r="Q194" s="6"/>
      <c r="R194" s="6"/>
      <c r="S194" s="6"/>
      <c r="T194" s="6"/>
    </row>
    <row r="195" spans="1:20">
      <c r="A195" s="15"/>
      <c r="B195" s="16"/>
      <c r="C195" s="16"/>
      <c r="D195" s="16"/>
      <c r="E195" s="16"/>
      <c r="F195" s="16"/>
      <c r="G195" s="16"/>
      <c r="H195" s="6"/>
      <c r="I195" s="6"/>
      <c r="J195" s="6"/>
      <c r="K195" s="6"/>
      <c r="L195" s="6"/>
      <c r="M195" s="6"/>
      <c r="N195" s="6"/>
      <c r="O195" s="6"/>
      <c r="P195" s="6"/>
      <c r="Q195" s="6"/>
      <c r="R195" s="6"/>
      <c r="S195" s="6"/>
      <c r="T195" s="6"/>
    </row>
    <row r="196" spans="1:20">
      <c r="A196" s="15"/>
      <c r="B196" s="16"/>
      <c r="C196" s="16"/>
      <c r="D196" s="16"/>
      <c r="E196" s="16"/>
      <c r="F196" s="16"/>
      <c r="G196" s="16"/>
      <c r="H196" s="6"/>
      <c r="I196" s="6"/>
      <c r="J196" s="6"/>
      <c r="K196" s="6"/>
      <c r="L196" s="6"/>
      <c r="M196" s="6"/>
      <c r="N196" s="6"/>
      <c r="O196" s="6"/>
      <c r="P196" s="6"/>
      <c r="Q196" s="6"/>
      <c r="R196" s="6"/>
      <c r="S196" s="6"/>
      <c r="T196" s="6"/>
    </row>
    <row r="197" spans="1:20">
      <c r="A197" s="15"/>
      <c r="B197" s="16"/>
      <c r="C197" s="16"/>
      <c r="D197" s="16"/>
      <c r="E197" s="16"/>
      <c r="F197" s="16"/>
      <c r="G197" s="16"/>
      <c r="H197" s="6"/>
      <c r="I197" s="6"/>
      <c r="J197" s="6"/>
      <c r="K197" s="6"/>
      <c r="L197" s="6"/>
      <c r="M197" s="6"/>
      <c r="N197" s="6"/>
      <c r="O197" s="6"/>
      <c r="P197" s="6"/>
      <c r="Q197" s="6"/>
      <c r="R197" s="6"/>
      <c r="S197" s="6"/>
      <c r="T197" s="6"/>
    </row>
    <row r="198" spans="1:20">
      <c r="A198" s="15"/>
      <c r="B198" s="16"/>
      <c r="C198" s="16"/>
      <c r="D198" s="16"/>
      <c r="E198" s="16"/>
      <c r="F198" s="16"/>
      <c r="G198" s="16"/>
      <c r="H198" s="6"/>
      <c r="I198" s="6"/>
      <c r="J198" s="6"/>
      <c r="K198" s="6"/>
      <c r="L198" s="6"/>
      <c r="M198" s="6"/>
      <c r="N198" s="6"/>
      <c r="O198" s="6"/>
      <c r="P198" s="6"/>
      <c r="Q198" s="6"/>
      <c r="R198" s="6"/>
      <c r="S198" s="6"/>
      <c r="T198" s="6"/>
    </row>
    <row r="199" spans="1:20">
      <c r="A199" s="15"/>
      <c r="B199" s="16"/>
      <c r="C199" s="16"/>
      <c r="D199" s="16"/>
      <c r="E199" s="16"/>
      <c r="F199" s="16"/>
      <c r="G199" s="16"/>
      <c r="H199" s="6"/>
      <c r="I199" s="6"/>
      <c r="J199" s="6"/>
      <c r="K199" s="6"/>
      <c r="L199" s="6"/>
      <c r="M199" s="6"/>
      <c r="N199" s="6"/>
      <c r="O199" s="6"/>
      <c r="P199" s="6"/>
      <c r="Q199" s="6"/>
      <c r="R199" s="6"/>
      <c r="S199" s="6"/>
      <c r="T199" s="6"/>
    </row>
    <row r="200" spans="1:20">
      <c r="A200" s="15"/>
      <c r="B200" s="16"/>
      <c r="C200" s="16"/>
      <c r="D200" s="16"/>
      <c r="E200" s="16"/>
      <c r="F200" s="16"/>
      <c r="G200" s="16"/>
      <c r="H200" s="6"/>
      <c r="I200" s="6"/>
      <c r="J200" s="6"/>
      <c r="K200" s="6"/>
      <c r="L200" s="6"/>
      <c r="M200" s="6"/>
      <c r="N200" s="6"/>
      <c r="O200" s="6"/>
      <c r="P200" s="6"/>
      <c r="Q200" s="6"/>
      <c r="R200" s="6"/>
      <c r="S200" s="6"/>
      <c r="T200" s="6"/>
    </row>
    <row r="201" spans="1:20">
      <c r="A201" s="15"/>
      <c r="B201" s="16"/>
      <c r="C201" s="16"/>
      <c r="D201" s="16"/>
      <c r="E201" s="16"/>
      <c r="F201" s="16"/>
      <c r="G201" s="16"/>
      <c r="H201" s="6"/>
      <c r="I201" s="6"/>
      <c r="J201" s="6"/>
      <c r="K201" s="6"/>
      <c r="L201" s="6"/>
      <c r="M201" s="6"/>
      <c r="N201" s="6"/>
      <c r="O201" s="6"/>
      <c r="P201" s="6"/>
      <c r="Q201" s="6"/>
      <c r="R201" s="6"/>
      <c r="S201" s="6"/>
      <c r="T201" s="6"/>
    </row>
    <row r="202" spans="1:20">
      <c r="A202" s="15"/>
      <c r="B202" s="16"/>
      <c r="C202" s="16"/>
      <c r="D202" s="16"/>
      <c r="E202" s="16"/>
      <c r="F202" s="16"/>
      <c r="G202" s="16"/>
      <c r="H202" s="6"/>
      <c r="I202" s="6"/>
      <c r="J202" s="6"/>
      <c r="K202" s="6"/>
      <c r="L202" s="6"/>
      <c r="M202" s="6"/>
      <c r="N202" s="6"/>
      <c r="O202" s="6"/>
      <c r="P202" s="6"/>
      <c r="Q202" s="6"/>
      <c r="R202" s="6"/>
      <c r="S202" s="6"/>
      <c r="T202" s="6"/>
    </row>
  </sheetData>
  <autoFilter xmlns:etc="http://www.wps.cn/officeDocument/2017/etCustomData" ref="A2:T202" etc:filterBottomFollowUsedRange="0">
    <extLst/>
  </autoFilter>
  <mergeCells count="20">
    <mergeCell ref="A1:G1"/>
    <mergeCell ref="B3:G3"/>
    <mergeCell ref="B12:G12"/>
    <mergeCell ref="B35:G35"/>
    <mergeCell ref="B44:G44"/>
    <mergeCell ref="B49:G49"/>
    <mergeCell ref="B55:G55"/>
    <mergeCell ref="B62:G62"/>
    <mergeCell ref="B78:G78"/>
    <mergeCell ref="B85:G85"/>
    <mergeCell ref="B114:G114"/>
    <mergeCell ref="B128:G128"/>
    <mergeCell ref="B144:G144"/>
    <mergeCell ref="B167:G167"/>
    <mergeCell ref="B175:G175"/>
    <mergeCell ref="B122:B123"/>
    <mergeCell ref="B124:B125"/>
    <mergeCell ref="B126:B127"/>
    <mergeCell ref="C124:C125"/>
    <mergeCell ref="C126:C127"/>
  </mergeCells>
  <hyperlinks>
    <hyperlink ref="F123" r:id="rId1" display="管径35长度1500开孔距离：1125&#10;门执手, 不锈钢，Startec，型号 PH 2139，可锁住 - 在海福乐中国网上商城"/>
    <hyperlink ref="F113" r:id="rId2" display="售后店长采购，零售总包代采-冰箱品牌美菱SC-69L参考京东链接：https://item.m.jd.com/product/100012655091.html?&amp;utm_source=iosapp&amp;utm_medium=appshare&amp;utm_campaign=t_335139774&amp;utm_term=CopyURL&amp;ad_od=share&amp;gx=RnFnkWRfYWKMzdRA8cMoHjt-1vO58oRL"/>
    <hyperlink ref="F125" r:id="rId3" display="管径30长度1500开孔距离：800门开孔直径：8&#10;item.taobao.com"/>
    <hyperlink ref="E122" r:id="rId4" display="TG-F-8357www.dormakaba.com"/>
    <hyperlink ref="F124" r:id="rId3" display="管径30*40长度1500开孔距离：1100门开孔直径：12&#10;item.taobao.com"/>
  </hyperlinks>
  <printOptions horizontalCentered="1"/>
  <pageMargins left="0.590277777777778" right="0.590277777777778" top="0.590277777777778" bottom="0.590277777777778" header="0.196527777777778" footer="0.196527777777778"/>
  <pageSetup paperSize="9" scale="83" orientation="landscape" horizontalDpi="600"/>
  <headerFooter>
    <oddFooter>&amp;C第 &amp;P 页，共 &amp;N 页</oddFooter>
  </headerFooter>
  <picture r:id="rId5"/>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2-报价汇总</vt:lpstr>
      <vt:lpstr>2.1-装饰工程</vt:lpstr>
      <vt:lpstr>2.2-电气工程</vt:lpstr>
      <vt:lpstr>2.3-给排水工程</vt:lpstr>
      <vt:lpstr>2.4-外立面工程</vt:lpstr>
      <vt:lpstr>2.5-室外工程</vt:lpstr>
      <vt:lpstr>2.6-消防工程</vt:lpstr>
      <vt:lpstr>2.7-屋面工程</vt:lpstr>
      <vt:lpstr>2.8-结构工程</vt:lpstr>
      <vt:lpstr>2.9-空调工程</vt:lpstr>
      <vt:lpstr>2.10-采暖工程</vt:lpstr>
      <vt:lpstr>2.11-施工图纸</vt:lpstr>
      <vt:lpstr>2.12-其他措施费</vt:lpstr>
      <vt:lpstr>3-材料品牌表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叶渭淋</cp:lastModifiedBy>
  <dcterms:created xsi:type="dcterms:W3CDTF">2023-12-18T08:41:00Z</dcterms:created>
  <dcterms:modified xsi:type="dcterms:W3CDTF">2026-05-27T10:03:48Z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07BCD86E9E974A5A8D6A1FEE9943184C_12</vt:lpwstr>
  </property>
  <property fmtid="{D5CDD505-2E9C-101B-9397-08002B2CF9AE}" pid="3" name="KSOProductBuildVer">
    <vt:lpwstr>2052-12.1.0.26375</vt:lpwstr>
  </property>
  <property fmtid="{D5CDD505-2E9C-101B-9397-08002B2CF9AE}" pid="4" name="KSOReadingLayout">
    <vt:bool>true</vt:bool>
  </property>
  <property fmtid="{D5CDD505-2E9C-101B-9397-08002B2CF9AE}" pid="5" name="CalculationRule">
    <vt:i4>0</vt:i4>
  </property>
</Properties>
</file>