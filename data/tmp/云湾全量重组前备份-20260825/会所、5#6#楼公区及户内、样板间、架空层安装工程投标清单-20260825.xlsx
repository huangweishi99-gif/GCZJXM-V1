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D:\projects\cost-estimation\清单数据资料\甲方招标清单\"/>
    </mc:Choice>
  </mc:AlternateContent>
  <xr:revisionPtr revIDLastSave="0" documentId="13_ncr:1_{EA87C14A-FED8-4D7B-B1DA-F6632E162E20}" xr6:coauthVersionLast="47" xr6:coauthVersionMax="47" xr10:uidLastSave="{00000000-0000-0000-0000-000000000000}"/>
  <bookViews>
    <workbookView xWindow="1950" yWindow="1950" windowWidth="21600" windowHeight="11295" tabRatio="807" firstSheet="1" activeTab="7" xr2:uid="{00000000-000D-0000-FFFF-FFFF00000000}"/>
  </bookViews>
  <sheets>
    <sheet name="汇总表" sheetId="1" r:id="rId1"/>
    <sheet name="架空层安装工程" sheetId="2" r:id="rId2"/>
    <sheet name="会所售楼部安装工程" sheetId="3" r:id="rId3"/>
    <sheet name="样板房安装工程" sheetId="4" r:id="rId4"/>
    <sheet name="公共区域安装工程" sheetId="5" r:id="rId5"/>
    <sheet name="户内交标安装工程" sheetId="6" r:id="rId6"/>
    <sheet name="会所售楼处消防电工程" sheetId="7" r:id="rId7"/>
    <sheet name="会所售楼处消防水工程" sheetId="8" r:id="rId8"/>
    <sheet name="项目甲供清单" sheetId="9" r:id="rId9"/>
  </sheets>
  <definedNames>
    <definedName name="_xlnm._FilterDatabase" localSheetId="4" hidden="1">公共区域安装工程!$A$2:$U$25</definedName>
    <definedName name="_xlnm._FilterDatabase" localSheetId="5" hidden="1">户内交标安装工程!$A$2:$GKM$66</definedName>
    <definedName name="_xlnm._FilterDatabase" localSheetId="2" hidden="1">会所售楼部安装工程!$A$2:$AF$141</definedName>
    <definedName name="_xlnm._FilterDatabase" localSheetId="6" hidden="1">会所售楼处消防电工程!$A$2:$W$24</definedName>
    <definedName name="_xlnm._FilterDatabase" localSheetId="7" hidden="1">会所售楼处消防水工程!$A$2:$W$20</definedName>
    <definedName name="_xlnm._FilterDatabase" localSheetId="1" hidden="1">架空层安装工程!$A$2:$U$62</definedName>
    <definedName name="_xlnm._FilterDatabase" localSheetId="3" hidden="1">样板房安装工程!$A$2:$U$261</definedName>
    <definedName name="_xlnm.Print_Area" localSheetId="4">公共区域安装工程!$A$1:$M$25</definedName>
    <definedName name="_xlnm.Print_Area" localSheetId="5">户内交标安装工程!$A$1:$M$66</definedName>
    <definedName name="_xlnm.Print_Area" localSheetId="2">会所售楼部安装工程!$A$1:$M$141</definedName>
    <definedName name="_xlnm.Print_Area" localSheetId="6">会所售楼处消防电工程!$A$1:$O$24</definedName>
    <definedName name="_xlnm.Print_Area" localSheetId="7">会所售楼处消防水工程!$A$1:$O$20</definedName>
    <definedName name="_xlnm.Print_Area" localSheetId="1">架空层安装工程!$A$1:$M$62</definedName>
    <definedName name="_xlnm.Print_Area" localSheetId="3">样板房安装工程!$A$1:$M$261</definedName>
    <definedName name="_xlnm.Print_Titles" localSheetId="4">公共区域安装工程!$1:$3</definedName>
    <definedName name="_xlnm.Print_Titles" localSheetId="5">户内交标安装工程!$1:$3</definedName>
    <definedName name="_xlnm.Print_Titles" localSheetId="0">汇总表!$1:$2</definedName>
    <definedName name="_xlnm.Print_Titles" localSheetId="2">会所售楼部安装工程!$1:$3</definedName>
    <definedName name="_xlnm.Print_Titles" localSheetId="6">会所售楼处消防电工程!$1:$3</definedName>
    <definedName name="_xlnm.Print_Titles" localSheetId="7">会所售楼处消防水工程!$1:$3</definedName>
    <definedName name="_xlnm.Print_Titles" localSheetId="1">架空层安装工程!$1:$3</definedName>
    <definedName name="_xlnm.Print_Titles" localSheetId="8">项目甲供清单!$1:$2</definedName>
    <definedName name="_xlnm.Print_Titles" localSheetId="3">样板房安装工程!$1:$3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20" i="8" l="1"/>
  <c r="O19" i="8"/>
  <c r="O18" i="8"/>
  <c r="W17" i="8"/>
  <c r="O17" i="8"/>
  <c r="I17" i="8"/>
  <c r="H17" i="8"/>
  <c r="G17" i="8"/>
  <c r="W16" i="8"/>
  <c r="O16" i="8"/>
  <c r="I16" i="8"/>
  <c r="H16" i="8"/>
  <c r="G16" i="8"/>
  <c r="W15" i="8"/>
  <c r="O15" i="8"/>
  <c r="I15" i="8"/>
  <c r="H15" i="8"/>
  <c r="G15" i="8"/>
  <c r="W14" i="8"/>
  <c r="Q14" i="8"/>
  <c r="O14" i="8"/>
  <c r="M14" i="8"/>
  <c r="L14" i="8"/>
  <c r="K14" i="8"/>
  <c r="J14" i="8"/>
  <c r="I14" i="8"/>
  <c r="H14" i="8"/>
  <c r="G14" i="8"/>
  <c r="W13" i="8"/>
  <c r="O13" i="8"/>
  <c r="I13" i="8"/>
  <c r="H13" i="8"/>
  <c r="G13" i="8"/>
  <c r="W12" i="8"/>
  <c r="Q12" i="8"/>
  <c r="O12" i="8"/>
  <c r="M12" i="8"/>
  <c r="L12" i="8"/>
  <c r="K12" i="8"/>
  <c r="J12" i="8"/>
  <c r="I12" i="8"/>
  <c r="H12" i="8"/>
  <c r="G12" i="8"/>
  <c r="W11" i="8"/>
  <c r="Q11" i="8"/>
  <c r="O11" i="8"/>
  <c r="M11" i="8"/>
  <c r="L11" i="8"/>
  <c r="K11" i="8"/>
  <c r="J11" i="8"/>
  <c r="I11" i="8"/>
  <c r="H11" i="8"/>
  <c r="G11" i="8"/>
  <c r="W10" i="8"/>
  <c r="Q10" i="8"/>
  <c r="O10" i="8"/>
  <c r="M10" i="8"/>
  <c r="L10" i="8"/>
  <c r="K10" i="8"/>
  <c r="J10" i="8"/>
  <c r="I10" i="8"/>
  <c r="H10" i="8"/>
  <c r="G10" i="8"/>
  <c r="W9" i="8"/>
  <c r="Q9" i="8"/>
  <c r="O9" i="8"/>
  <c r="M9" i="8"/>
  <c r="L9" i="8"/>
  <c r="K9" i="8"/>
  <c r="J9" i="8"/>
  <c r="I9" i="8"/>
  <c r="H9" i="8"/>
  <c r="G9" i="8"/>
  <c r="W8" i="8"/>
  <c r="O8" i="8"/>
  <c r="I8" i="8"/>
  <c r="H8" i="8"/>
  <c r="G8" i="8"/>
  <c r="W7" i="8"/>
  <c r="O7" i="8"/>
  <c r="I7" i="8"/>
  <c r="H7" i="8"/>
  <c r="G7" i="8"/>
  <c r="W6" i="8"/>
  <c r="O6" i="8"/>
  <c r="I6" i="8"/>
  <c r="H6" i="8"/>
  <c r="G6" i="8"/>
  <c r="W5" i="8"/>
  <c r="O5" i="8"/>
  <c r="I5" i="8"/>
  <c r="H5" i="8"/>
  <c r="G5" i="8"/>
  <c r="V3" i="8"/>
  <c r="U3" i="8"/>
  <c r="T3" i="8"/>
  <c r="R3" i="8"/>
  <c r="O24" i="7"/>
  <c r="O23" i="7"/>
  <c r="O22" i="7"/>
  <c r="W21" i="7"/>
  <c r="Q21" i="7"/>
  <c r="O21" i="7"/>
  <c r="M21" i="7"/>
  <c r="L21" i="7"/>
  <c r="K21" i="7"/>
  <c r="J21" i="7"/>
  <c r="I21" i="7"/>
  <c r="H21" i="7"/>
  <c r="G21" i="7"/>
  <c r="W20" i="7"/>
  <c r="O20" i="7"/>
  <c r="I20" i="7"/>
  <c r="H20" i="7"/>
  <c r="G20" i="7"/>
  <c r="W19" i="7"/>
  <c r="O19" i="7"/>
  <c r="I19" i="7"/>
  <c r="H19" i="7"/>
  <c r="G19" i="7"/>
  <c r="W18" i="7"/>
  <c r="O18" i="7"/>
  <c r="I18" i="7"/>
  <c r="H18" i="7"/>
  <c r="G18" i="7"/>
  <c r="W17" i="7"/>
  <c r="O17" i="7"/>
  <c r="I17" i="7"/>
  <c r="H17" i="7"/>
  <c r="G17" i="7"/>
  <c r="W16" i="7"/>
  <c r="O16" i="7"/>
  <c r="I16" i="7"/>
  <c r="H16" i="7"/>
  <c r="G16" i="7"/>
  <c r="W15" i="7"/>
  <c r="O15" i="7"/>
  <c r="I15" i="7"/>
  <c r="H15" i="7"/>
  <c r="G15" i="7"/>
  <c r="W14" i="7"/>
  <c r="O14" i="7"/>
  <c r="I14" i="7"/>
  <c r="H14" i="7"/>
  <c r="G14" i="7"/>
  <c r="W13" i="7"/>
  <c r="O13" i="7"/>
  <c r="I13" i="7"/>
  <c r="H13" i="7"/>
  <c r="G13" i="7"/>
  <c r="W12" i="7"/>
  <c r="O12" i="7"/>
  <c r="I12" i="7"/>
  <c r="H12" i="7"/>
  <c r="G12" i="7"/>
  <c r="W11" i="7"/>
  <c r="O11" i="7"/>
  <c r="I11" i="7"/>
  <c r="H11" i="7"/>
  <c r="G11" i="7"/>
  <c r="W10" i="7"/>
  <c r="O10" i="7"/>
  <c r="I10" i="7"/>
  <c r="H10" i="7"/>
  <c r="G10" i="7"/>
  <c r="W9" i="7"/>
  <c r="O9" i="7"/>
  <c r="I9" i="7"/>
  <c r="H9" i="7"/>
  <c r="G9" i="7"/>
  <c r="W8" i="7"/>
  <c r="O8" i="7"/>
  <c r="I8" i="7"/>
  <c r="H8" i="7"/>
  <c r="G8" i="7"/>
  <c r="J8" i="7" s="1"/>
  <c r="K8" i="7" s="1"/>
  <c r="W7" i="7"/>
  <c r="O7" i="7"/>
  <c r="I7" i="7"/>
  <c r="H7" i="7"/>
  <c r="G7" i="7"/>
  <c r="W6" i="7"/>
  <c r="O6" i="7"/>
  <c r="I6" i="7"/>
  <c r="H6" i="7"/>
  <c r="G6" i="7"/>
  <c r="V3" i="7"/>
  <c r="U3" i="7"/>
  <c r="T3" i="7"/>
  <c r="R3" i="7"/>
  <c r="M66" i="6"/>
  <c r="M65" i="6"/>
  <c r="M64" i="6"/>
  <c r="U63" i="6"/>
  <c r="T63" i="6"/>
  <c r="S63" i="6"/>
  <c r="R63" i="6"/>
  <c r="Q63" i="6"/>
  <c r="P63" i="6"/>
  <c r="O63" i="6"/>
  <c r="M63" i="6"/>
  <c r="L63" i="6"/>
  <c r="K63" i="6"/>
  <c r="J63" i="6"/>
  <c r="I63" i="6"/>
  <c r="H63" i="6"/>
  <c r="G63" i="6"/>
  <c r="U62" i="6"/>
  <c r="T62" i="6"/>
  <c r="S62" i="6"/>
  <c r="R62" i="6"/>
  <c r="Q62" i="6"/>
  <c r="P62" i="6"/>
  <c r="O62" i="6"/>
  <c r="M62" i="6"/>
  <c r="L62" i="6"/>
  <c r="K62" i="6"/>
  <c r="J62" i="6"/>
  <c r="I62" i="6"/>
  <c r="H62" i="6"/>
  <c r="G62" i="6"/>
  <c r="U61" i="6"/>
  <c r="T61" i="6"/>
  <c r="S61" i="6"/>
  <c r="R61" i="6"/>
  <c r="Q61" i="6"/>
  <c r="P61" i="6"/>
  <c r="O61" i="6"/>
  <c r="M61" i="6"/>
  <c r="L61" i="6"/>
  <c r="K61" i="6"/>
  <c r="J61" i="6"/>
  <c r="I61" i="6"/>
  <c r="H61" i="6"/>
  <c r="G61" i="6"/>
  <c r="U60" i="6"/>
  <c r="T60" i="6"/>
  <c r="S60" i="6"/>
  <c r="R60" i="6"/>
  <c r="Q60" i="6"/>
  <c r="P60" i="6"/>
  <c r="O60" i="6"/>
  <c r="M60" i="6"/>
  <c r="L60" i="6"/>
  <c r="K60" i="6"/>
  <c r="J60" i="6"/>
  <c r="I60" i="6"/>
  <c r="H60" i="6"/>
  <c r="G60" i="6"/>
  <c r="U59" i="6"/>
  <c r="T59" i="6"/>
  <c r="S59" i="6"/>
  <c r="R59" i="6"/>
  <c r="Q59" i="6"/>
  <c r="P59" i="6"/>
  <c r="O59" i="6"/>
  <c r="M59" i="6"/>
  <c r="L59" i="6"/>
  <c r="K59" i="6"/>
  <c r="J59" i="6"/>
  <c r="I59" i="6"/>
  <c r="H59" i="6"/>
  <c r="G59" i="6"/>
  <c r="U58" i="6"/>
  <c r="T58" i="6"/>
  <c r="S58" i="6"/>
  <c r="R58" i="6"/>
  <c r="Q58" i="6"/>
  <c r="P58" i="6"/>
  <c r="O58" i="6"/>
  <c r="M58" i="6"/>
  <c r="L58" i="6"/>
  <c r="K58" i="6"/>
  <c r="J58" i="6"/>
  <c r="I58" i="6"/>
  <c r="H58" i="6"/>
  <c r="G58" i="6"/>
  <c r="U57" i="6"/>
  <c r="O57" i="6"/>
  <c r="M57" i="6"/>
  <c r="L57" i="6"/>
  <c r="K57" i="6"/>
  <c r="J57" i="6"/>
  <c r="I57" i="6"/>
  <c r="H57" i="6"/>
  <c r="G57" i="6"/>
  <c r="U56" i="6"/>
  <c r="O56" i="6"/>
  <c r="M56" i="6"/>
  <c r="L56" i="6"/>
  <c r="K56" i="6"/>
  <c r="J56" i="6"/>
  <c r="I56" i="6"/>
  <c r="H56" i="6"/>
  <c r="G56" i="6"/>
  <c r="U55" i="6"/>
  <c r="O55" i="6"/>
  <c r="M55" i="6"/>
  <c r="L55" i="6"/>
  <c r="K55" i="6"/>
  <c r="J55" i="6"/>
  <c r="I55" i="6"/>
  <c r="H55" i="6"/>
  <c r="G55" i="6"/>
  <c r="U54" i="6"/>
  <c r="O54" i="6"/>
  <c r="M54" i="6"/>
  <c r="L54" i="6"/>
  <c r="K54" i="6"/>
  <c r="J54" i="6"/>
  <c r="I54" i="6"/>
  <c r="H54" i="6"/>
  <c r="G54" i="6"/>
  <c r="U53" i="6"/>
  <c r="O53" i="6"/>
  <c r="M53" i="6"/>
  <c r="L53" i="6"/>
  <c r="K53" i="6"/>
  <c r="J53" i="6"/>
  <c r="I53" i="6"/>
  <c r="H53" i="6"/>
  <c r="G53" i="6"/>
  <c r="U52" i="6"/>
  <c r="O52" i="6"/>
  <c r="M52" i="6"/>
  <c r="L52" i="6"/>
  <c r="K52" i="6"/>
  <c r="J52" i="6"/>
  <c r="I52" i="6"/>
  <c r="H52" i="6"/>
  <c r="G52" i="6"/>
  <c r="U51" i="6"/>
  <c r="O51" i="6"/>
  <c r="M51" i="6"/>
  <c r="L51" i="6"/>
  <c r="K51" i="6"/>
  <c r="J51" i="6"/>
  <c r="I51" i="6"/>
  <c r="H51" i="6"/>
  <c r="G51" i="6"/>
  <c r="U50" i="6"/>
  <c r="O50" i="6"/>
  <c r="M50" i="6"/>
  <c r="L50" i="6"/>
  <c r="K50" i="6"/>
  <c r="J50" i="6"/>
  <c r="I50" i="6"/>
  <c r="H50" i="6"/>
  <c r="G50" i="6"/>
  <c r="U49" i="6"/>
  <c r="O49" i="6"/>
  <c r="M49" i="6"/>
  <c r="L49" i="6"/>
  <c r="K49" i="6"/>
  <c r="J49" i="6"/>
  <c r="I49" i="6"/>
  <c r="H49" i="6"/>
  <c r="G49" i="6"/>
  <c r="U48" i="6"/>
  <c r="O48" i="6"/>
  <c r="M48" i="6"/>
  <c r="L48" i="6"/>
  <c r="K48" i="6"/>
  <c r="J48" i="6"/>
  <c r="I48" i="6"/>
  <c r="H48" i="6"/>
  <c r="G48" i="6"/>
  <c r="U47" i="6"/>
  <c r="O47" i="6"/>
  <c r="M47" i="6"/>
  <c r="L47" i="6"/>
  <c r="K47" i="6"/>
  <c r="J47" i="6"/>
  <c r="I47" i="6"/>
  <c r="H47" i="6"/>
  <c r="G47" i="6"/>
  <c r="U45" i="6"/>
  <c r="T45" i="6"/>
  <c r="S45" i="6"/>
  <c r="R45" i="6"/>
  <c r="Q45" i="6"/>
  <c r="P45" i="6"/>
  <c r="O45" i="6"/>
  <c r="M45" i="6"/>
  <c r="L45" i="6"/>
  <c r="K45" i="6"/>
  <c r="J45" i="6"/>
  <c r="I45" i="6"/>
  <c r="H45" i="6"/>
  <c r="G45" i="6"/>
  <c r="U44" i="6"/>
  <c r="T44" i="6"/>
  <c r="S44" i="6"/>
  <c r="R44" i="6"/>
  <c r="Q44" i="6"/>
  <c r="P44" i="6"/>
  <c r="O44" i="6"/>
  <c r="M44" i="6"/>
  <c r="L44" i="6"/>
  <c r="K44" i="6"/>
  <c r="J44" i="6"/>
  <c r="I44" i="6"/>
  <c r="H44" i="6"/>
  <c r="G44" i="6"/>
  <c r="U43" i="6"/>
  <c r="T43" i="6"/>
  <c r="S43" i="6"/>
  <c r="R43" i="6"/>
  <c r="Q43" i="6"/>
  <c r="P43" i="6"/>
  <c r="O43" i="6"/>
  <c r="M43" i="6"/>
  <c r="L43" i="6"/>
  <c r="K43" i="6"/>
  <c r="J43" i="6"/>
  <c r="I43" i="6"/>
  <c r="H43" i="6"/>
  <c r="G43" i="6"/>
  <c r="U42" i="6"/>
  <c r="O42" i="6"/>
  <c r="M42" i="6"/>
  <c r="L42" i="6"/>
  <c r="K42" i="6"/>
  <c r="J42" i="6"/>
  <c r="I42" i="6"/>
  <c r="H42" i="6"/>
  <c r="G42" i="6"/>
  <c r="U41" i="6"/>
  <c r="T41" i="6"/>
  <c r="S41" i="6"/>
  <c r="R41" i="6"/>
  <c r="Q41" i="6"/>
  <c r="P41" i="6"/>
  <c r="O41" i="6"/>
  <c r="M41" i="6"/>
  <c r="L41" i="6"/>
  <c r="K41" i="6"/>
  <c r="J41" i="6"/>
  <c r="I41" i="6"/>
  <c r="H41" i="6"/>
  <c r="G41" i="6"/>
  <c r="U40" i="6"/>
  <c r="O40" i="6"/>
  <c r="M40" i="6"/>
  <c r="L40" i="6"/>
  <c r="K40" i="6"/>
  <c r="J40" i="6"/>
  <c r="I40" i="6"/>
  <c r="H40" i="6"/>
  <c r="G40" i="6"/>
  <c r="U39" i="6"/>
  <c r="O39" i="6"/>
  <c r="M39" i="6"/>
  <c r="L39" i="6"/>
  <c r="K39" i="6"/>
  <c r="J39" i="6"/>
  <c r="I39" i="6"/>
  <c r="H39" i="6"/>
  <c r="G39" i="6"/>
  <c r="U38" i="6"/>
  <c r="T38" i="6"/>
  <c r="S38" i="6"/>
  <c r="R38" i="6"/>
  <c r="Q38" i="6"/>
  <c r="P38" i="6"/>
  <c r="O38" i="6"/>
  <c r="M38" i="6"/>
  <c r="L38" i="6"/>
  <c r="K38" i="6"/>
  <c r="J38" i="6"/>
  <c r="I38" i="6"/>
  <c r="H38" i="6"/>
  <c r="G38" i="6"/>
  <c r="U37" i="6"/>
  <c r="O37" i="6"/>
  <c r="M37" i="6"/>
  <c r="L37" i="6"/>
  <c r="K37" i="6"/>
  <c r="J37" i="6"/>
  <c r="I37" i="6"/>
  <c r="H37" i="6"/>
  <c r="G37" i="6"/>
  <c r="U35" i="6"/>
  <c r="T35" i="6"/>
  <c r="S35" i="6"/>
  <c r="R35" i="6"/>
  <c r="Q35" i="6"/>
  <c r="P35" i="6"/>
  <c r="O35" i="6"/>
  <c r="M35" i="6"/>
  <c r="L35" i="6"/>
  <c r="K35" i="6"/>
  <c r="J35" i="6"/>
  <c r="I35" i="6"/>
  <c r="H35" i="6"/>
  <c r="G35" i="6"/>
  <c r="U34" i="6"/>
  <c r="T34" i="6"/>
  <c r="S34" i="6"/>
  <c r="R34" i="6"/>
  <c r="Q34" i="6"/>
  <c r="P34" i="6"/>
  <c r="O34" i="6"/>
  <c r="M34" i="6"/>
  <c r="L34" i="6"/>
  <c r="K34" i="6"/>
  <c r="J34" i="6"/>
  <c r="I34" i="6"/>
  <c r="H34" i="6"/>
  <c r="G34" i="6"/>
  <c r="U33" i="6"/>
  <c r="T33" i="6"/>
  <c r="S33" i="6"/>
  <c r="R33" i="6"/>
  <c r="Q33" i="6"/>
  <c r="P33" i="6"/>
  <c r="O33" i="6"/>
  <c r="M33" i="6"/>
  <c r="L33" i="6"/>
  <c r="K33" i="6"/>
  <c r="J33" i="6"/>
  <c r="I33" i="6"/>
  <c r="H33" i="6"/>
  <c r="G33" i="6"/>
  <c r="U32" i="6"/>
  <c r="O32" i="6"/>
  <c r="M32" i="6"/>
  <c r="L32" i="6"/>
  <c r="K32" i="6"/>
  <c r="J32" i="6"/>
  <c r="I32" i="6"/>
  <c r="H32" i="6"/>
  <c r="G32" i="6"/>
  <c r="U31" i="6"/>
  <c r="T31" i="6"/>
  <c r="S31" i="6"/>
  <c r="R31" i="6"/>
  <c r="Q31" i="6"/>
  <c r="P31" i="6"/>
  <c r="O31" i="6"/>
  <c r="M31" i="6"/>
  <c r="L31" i="6"/>
  <c r="K31" i="6"/>
  <c r="J31" i="6"/>
  <c r="I31" i="6"/>
  <c r="H31" i="6"/>
  <c r="G31" i="6"/>
  <c r="U30" i="6"/>
  <c r="O30" i="6"/>
  <c r="M30" i="6"/>
  <c r="L30" i="6"/>
  <c r="K30" i="6"/>
  <c r="J30" i="6"/>
  <c r="I30" i="6"/>
  <c r="H30" i="6"/>
  <c r="G30" i="6"/>
  <c r="U29" i="6"/>
  <c r="O29" i="6"/>
  <c r="M29" i="6"/>
  <c r="L29" i="6"/>
  <c r="K29" i="6"/>
  <c r="J29" i="6"/>
  <c r="I29" i="6"/>
  <c r="H29" i="6"/>
  <c r="G29" i="6"/>
  <c r="U28" i="6"/>
  <c r="O28" i="6"/>
  <c r="M28" i="6"/>
  <c r="L28" i="6"/>
  <c r="K28" i="6"/>
  <c r="J28" i="6"/>
  <c r="I28" i="6"/>
  <c r="H28" i="6"/>
  <c r="G28" i="6"/>
  <c r="U27" i="6"/>
  <c r="O27" i="6"/>
  <c r="M27" i="6"/>
  <c r="L27" i="6"/>
  <c r="K27" i="6"/>
  <c r="J27" i="6"/>
  <c r="I27" i="6"/>
  <c r="H27" i="6"/>
  <c r="G27" i="6"/>
  <c r="U26" i="6"/>
  <c r="O26" i="6"/>
  <c r="M26" i="6"/>
  <c r="L26" i="6"/>
  <c r="K26" i="6"/>
  <c r="J26" i="6"/>
  <c r="I26" i="6"/>
  <c r="H26" i="6"/>
  <c r="G26" i="6"/>
  <c r="U25" i="6"/>
  <c r="O25" i="6"/>
  <c r="M25" i="6"/>
  <c r="L25" i="6"/>
  <c r="K25" i="6"/>
  <c r="J25" i="6"/>
  <c r="I25" i="6"/>
  <c r="H25" i="6"/>
  <c r="G25" i="6"/>
  <c r="U24" i="6"/>
  <c r="O24" i="6"/>
  <c r="M24" i="6"/>
  <c r="L24" i="6"/>
  <c r="K24" i="6"/>
  <c r="J24" i="6"/>
  <c r="I24" i="6"/>
  <c r="H24" i="6"/>
  <c r="G24" i="6"/>
  <c r="U23" i="6"/>
  <c r="T23" i="6"/>
  <c r="S23" i="6"/>
  <c r="R23" i="6"/>
  <c r="Q23" i="6"/>
  <c r="P23" i="6"/>
  <c r="O23" i="6"/>
  <c r="M23" i="6"/>
  <c r="L23" i="6"/>
  <c r="K23" i="6"/>
  <c r="J23" i="6"/>
  <c r="I23" i="6"/>
  <c r="H23" i="6"/>
  <c r="G23" i="6"/>
  <c r="U22" i="6"/>
  <c r="O22" i="6"/>
  <c r="M22" i="6"/>
  <c r="L22" i="6"/>
  <c r="K22" i="6"/>
  <c r="J22" i="6"/>
  <c r="I22" i="6"/>
  <c r="H22" i="6"/>
  <c r="G22" i="6"/>
  <c r="U21" i="6"/>
  <c r="O21" i="6"/>
  <c r="M21" i="6"/>
  <c r="L21" i="6"/>
  <c r="K21" i="6"/>
  <c r="J21" i="6"/>
  <c r="I21" i="6"/>
  <c r="H21" i="6"/>
  <c r="G21" i="6"/>
  <c r="U20" i="6"/>
  <c r="O20" i="6"/>
  <c r="M20" i="6"/>
  <c r="L20" i="6"/>
  <c r="K20" i="6"/>
  <c r="J20" i="6"/>
  <c r="I20" i="6"/>
  <c r="H20" i="6"/>
  <c r="G20" i="6"/>
  <c r="U19" i="6"/>
  <c r="T19" i="6"/>
  <c r="S19" i="6"/>
  <c r="R19" i="6"/>
  <c r="Q19" i="6"/>
  <c r="P19" i="6"/>
  <c r="O19" i="6"/>
  <c r="M19" i="6"/>
  <c r="L19" i="6"/>
  <c r="K19" i="6"/>
  <c r="J19" i="6"/>
  <c r="I19" i="6"/>
  <c r="H19" i="6"/>
  <c r="G19" i="6"/>
  <c r="U18" i="6"/>
  <c r="T18" i="6"/>
  <c r="S18" i="6"/>
  <c r="R18" i="6"/>
  <c r="Q18" i="6"/>
  <c r="P18" i="6"/>
  <c r="O18" i="6"/>
  <c r="M18" i="6"/>
  <c r="L18" i="6"/>
  <c r="K18" i="6"/>
  <c r="J18" i="6"/>
  <c r="I18" i="6"/>
  <c r="H18" i="6"/>
  <c r="G18" i="6"/>
  <c r="U17" i="6"/>
  <c r="T17" i="6"/>
  <c r="S17" i="6"/>
  <c r="R17" i="6"/>
  <c r="Q17" i="6"/>
  <c r="P17" i="6"/>
  <c r="O17" i="6"/>
  <c r="M17" i="6"/>
  <c r="L17" i="6"/>
  <c r="K17" i="6"/>
  <c r="J17" i="6"/>
  <c r="I17" i="6"/>
  <c r="H17" i="6"/>
  <c r="G17" i="6"/>
  <c r="U16" i="6"/>
  <c r="O16" i="6"/>
  <c r="M16" i="6"/>
  <c r="L16" i="6"/>
  <c r="K16" i="6"/>
  <c r="J16" i="6"/>
  <c r="I16" i="6"/>
  <c r="H16" i="6"/>
  <c r="G16" i="6"/>
  <c r="U15" i="6"/>
  <c r="O15" i="6"/>
  <c r="M15" i="6"/>
  <c r="L15" i="6"/>
  <c r="K15" i="6"/>
  <c r="J15" i="6"/>
  <c r="I15" i="6"/>
  <c r="H15" i="6"/>
  <c r="G15" i="6"/>
  <c r="U14" i="6"/>
  <c r="T14" i="6"/>
  <c r="S14" i="6"/>
  <c r="R14" i="6"/>
  <c r="Q14" i="6"/>
  <c r="P14" i="6"/>
  <c r="O14" i="6"/>
  <c r="M14" i="6"/>
  <c r="L14" i="6"/>
  <c r="K14" i="6"/>
  <c r="J14" i="6"/>
  <c r="I14" i="6"/>
  <c r="H14" i="6"/>
  <c r="G14" i="6"/>
  <c r="U13" i="6"/>
  <c r="O13" i="6"/>
  <c r="M13" i="6"/>
  <c r="L13" i="6"/>
  <c r="K13" i="6"/>
  <c r="J13" i="6"/>
  <c r="I13" i="6"/>
  <c r="H13" i="6"/>
  <c r="G13" i="6"/>
  <c r="U12" i="6"/>
  <c r="O12" i="6"/>
  <c r="M12" i="6"/>
  <c r="L12" i="6"/>
  <c r="K12" i="6"/>
  <c r="J12" i="6"/>
  <c r="I12" i="6"/>
  <c r="H12" i="6"/>
  <c r="G12" i="6"/>
  <c r="U11" i="6"/>
  <c r="O11" i="6"/>
  <c r="M11" i="6"/>
  <c r="L11" i="6"/>
  <c r="K11" i="6"/>
  <c r="J11" i="6"/>
  <c r="I11" i="6"/>
  <c r="H11" i="6"/>
  <c r="G11" i="6"/>
  <c r="U10" i="6"/>
  <c r="O10" i="6"/>
  <c r="M10" i="6"/>
  <c r="L10" i="6"/>
  <c r="K10" i="6"/>
  <c r="J10" i="6"/>
  <c r="I10" i="6"/>
  <c r="H10" i="6"/>
  <c r="G10" i="6"/>
  <c r="U9" i="6"/>
  <c r="O9" i="6"/>
  <c r="M9" i="6"/>
  <c r="L9" i="6"/>
  <c r="K9" i="6"/>
  <c r="J9" i="6"/>
  <c r="I9" i="6"/>
  <c r="H9" i="6"/>
  <c r="G9" i="6"/>
  <c r="U8" i="6"/>
  <c r="O8" i="6"/>
  <c r="M8" i="6"/>
  <c r="L8" i="6"/>
  <c r="K8" i="6"/>
  <c r="J8" i="6"/>
  <c r="I8" i="6"/>
  <c r="H8" i="6"/>
  <c r="G8" i="6"/>
  <c r="U7" i="6"/>
  <c r="O7" i="6"/>
  <c r="M7" i="6"/>
  <c r="L7" i="6"/>
  <c r="K7" i="6"/>
  <c r="J7" i="6"/>
  <c r="I7" i="6"/>
  <c r="H7" i="6"/>
  <c r="G7" i="6"/>
  <c r="U6" i="6"/>
  <c r="O6" i="6"/>
  <c r="M6" i="6"/>
  <c r="L6" i="6"/>
  <c r="K6" i="6"/>
  <c r="J6" i="6"/>
  <c r="I6" i="6"/>
  <c r="H6" i="6"/>
  <c r="G6" i="6"/>
  <c r="T3" i="6"/>
  <c r="S3" i="6"/>
  <c r="R3" i="6"/>
  <c r="P3" i="6"/>
  <c r="M25" i="5"/>
  <c r="M24" i="5"/>
  <c r="M23" i="5"/>
  <c r="U22" i="5"/>
  <c r="O22" i="5"/>
  <c r="M22" i="5"/>
  <c r="L22" i="5"/>
  <c r="K22" i="5"/>
  <c r="J22" i="5"/>
  <c r="I22" i="5"/>
  <c r="H22" i="5"/>
  <c r="G22" i="5"/>
  <c r="U21" i="5"/>
  <c r="T21" i="5"/>
  <c r="S21" i="5"/>
  <c r="R21" i="5"/>
  <c r="Q21" i="5"/>
  <c r="P21" i="5"/>
  <c r="O21" i="5"/>
  <c r="M21" i="5"/>
  <c r="L21" i="5"/>
  <c r="K21" i="5"/>
  <c r="J21" i="5"/>
  <c r="I21" i="5"/>
  <c r="H21" i="5"/>
  <c r="G21" i="5"/>
  <c r="U20" i="5"/>
  <c r="O20" i="5"/>
  <c r="M20" i="5"/>
  <c r="L20" i="5"/>
  <c r="K20" i="5"/>
  <c r="J20" i="5"/>
  <c r="I20" i="5"/>
  <c r="H20" i="5"/>
  <c r="G20" i="5"/>
  <c r="U19" i="5"/>
  <c r="O19" i="5"/>
  <c r="M19" i="5"/>
  <c r="L19" i="5"/>
  <c r="K19" i="5"/>
  <c r="J19" i="5"/>
  <c r="I19" i="5"/>
  <c r="H19" i="5"/>
  <c r="G19" i="5"/>
  <c r="U17" i="5"/>
  <c r="O17" i="5"/>
  <c r="M17" i="5"/>
  <c r="L17" i="5"/>
  <c r="K17" i="5"/>
  <c r="J17" i="5"/>
  <c r="I17" i="5"/>
  <c r="H17" i="5"/>
  <c r="G17" i="5"/>
  <c r="U16" i="5"/>
  <c r="O16" i="5"/>
  <c r="M16" i="5"/>
  <c r="L16" i="5"/>
  <c r="K16" i="5"/>
  <c r="J16" i="5"/>
  <c r="I16" i="5"/>
  <c r="H16" i="5"/>
  <c r="G16" i="5"/>
  <c r="U15" i="5"/>
  <c r="O15" i="5"/>
  <c r="M15" i="5"/>
  <c r="L15" i="5"/>
  <c r="K15" i="5"/>
  <c r="J15" i="5"/>
  <c r="I15" i="5"/>
  <c r="H15" i="5"/>
  <c r="G15" i="5"/>
  <c r="U14" i="5"/>
  <c r="O14" i="5"/>
  <c r="M14" i="5"/>
  <c r="L14" i="5"/>
  <c r="K14" i="5"/>
  <c r="J14" i="5"/>
  <c r="I14" i="5"/>
  <c r="H14" i="5"/>
  <c r="G14" i="5"/>
  <c r="U13" i="5"/>
  <c r="T13" i="5"/>
  <c r="S13" i="5"/>
  <c r="R13" i="5"/>
  <c r="Q13" i="5"/>
  <c r="P13" i="5"/>
  <c r="O13" i="5"/>
  <c r="M13" i="5"/>
  <c r="L13" i="5"/>
  <c r="K13" i="5"/>
  <c r="J13" i="5"/>
  <c r="I13" i="5"/>
  <c r="H13" i="5"/>
  <c r="G13" i="5"/>
  <c r="U12" i="5"/>
  <c r="O12" i="5"/>
  <c r="M12" i="5"/>
  <c r="L12" i="5"/>
  <c r="K12" i="5"/>
  <c r="J12" i="5"/>
  <c r="I12" i="5"/>
  <c r="H12" i="5"/>
  <c r="G12" i="5"/>
  <c r="U11" i="5"/>
  <c r="O11" i="5"/>
  <c r="M11" i="5"/>
  <c r="L11" i="5"/>
  <c r="K11" i="5"/>
  <c r="J11" i="5"/>
  <c r="I11" i="5"/>
  <c r="H11" i="5"/>
  <c r="G11" i="5"/>
  <c r="U10" i="5"/>
  <c r="T10" i="5"/>
  <c r="S10" i="5"/>
  <c r="R10" i="5"/>
  <c r="Q10" i="5"/>
  <c r="P10" i="5"/>
  <c r="O10" i="5"/>
  <c r="M10" i="5"/>
  <c r="L10" i="5"/>
  <c r="K10" i="5"/>
  <c r="J10" i="5"/>
  <c r="I10" i="5"/>
  <c r="H10" i="5"/>
  <c r="G10" i="5"/>
  <c r="U9" i="5"/>
  <c r="O9" i="5"/>
  <c r="M9" i="5"/>
  <c r="L9" i="5"/>
  <c r="K9" i="5"/>
  <c r="J9" i="5"/>
  <c r="I9" i="5"/>
  <c r="H9" i="5"/>
  <c r="G9" i="5"/>
  <c r="U8" i="5"/>
  <c r="O8" i="5"/>
  <c r="M8" i="5"/>
  <c r="L8" i="5"/>
  <c r="K8" i="5"/>
  <c r="J8" i="5"/>
  <c r="I8" i="5"/>
  <c r="H8" i="5"/>
  <c r="G8" i="5"/>
  <c r="U7" i="5"/>
  <c r="O7" i="5"/>
  <c r="M7" i="5"/>
  <c r="L7" i="5"/>
  <c r="K7" i="5"/>
  <c r="J7" i="5"/>
  <c r="I7" i="5"/>
  <c r="H7" i="5"/>
  <c r="G7" i="5"/>
  <c r="U6" i="5"/>
  <c r="O6" i="5"/>
  <c r="M6" i="5"/>
  <c r="L6" i="5"/>
  <c r="K6" i="5"/>
  <c r="J6" i="5"/>
  <c r="I6" i="5"/>
  <c r="H6" i="5"/>
  <c r="G6" i="5"/>
  <c r="T3" i="5"/>
  <c r="S3" i="5"/>
  <c r="R3" i="5"/>
  <c r="P3" i="5"/>
  <c r="M261" i="4"/>
  <c r="M260" i="4"/>
  <c r="M259" i="4"/>
  <c r="U258" i="4"/>
  <c r="T258" i="4"/>
  <c r="S258" i="4"/>
  <c r="R258" i="4"/>
  <c r="Q258" i="4"/>
  <c r="P258" i="4"/>
  <c r="O258" i="4"/>
  <c r="M258" i="4"/>
  <c r="L258" i="4"/>
  <c r="K258" i="4"/>
  <c r="J258" i="4"/>
  <c r="I258" i="4"/>
  <c r="H258" i="4"/>
  <c r="G258" i="4"/>
  <c r="U257" i="4"/>
  <c r="T257" i="4"/>
  <c r="S257" i="4"/>
  <c r="R257" i="4"/>
  <c r="Q257" i="4"/>
  <c r="P257" i="4"/>
  <c r="O257" i="4"/>
  <c r="M257" i="4"/>
  <c r="L257" i="4"/>
  <c r="K257" i="4"/>
  <c r="J257" i="4"/>
  <c r="I257" i="4"/>
  <c r="H257" i="4"/>
  <c r="G257" i="4"/>
  <c r="U256" i="4"/>
  <c r="T256" i="4"/>
  <c r="S256" i="4"/>
  <c r="R256" i="4"/>
  <c r="Q256" i="4"/>
  <c r="P256" i="4"/>
  <c r="O256" i="4"/>
  <c r="M256" i="4"/>
  <c r="L256" i="4"/>
  <c r="K256" i="4"/>
  <c r="J256" i="4"/>
  <c r="I256" i="4"/>
  <c r="H256" i="4"/>
  <c r="G256" i="4"/>
  <c r="U255" i="4"/>
  <c r="T255" i="4"/>
  <c r="S255" i="4"/>
  <c r="R255" i="4"/>
  <c r="Q255" i="4"/>
  <c r="P255" i="4"/>
  <c r="O255" i="4"/>
  <c r="M255" i="4"/>
  <c r="L255" i="4"/>
  <c r="K255" i="4"/>
  <c r="J255" i="4"/>
  <c r="I255" i="4"/>
  <c r="H255" i="4"/>
  <c r="G255" i="4"/>
  <c r="U254" i="4"/>
  <c r="T254" i="4"/>
  <c r="S254" i="4"/>
  <c r="R254" i="4"/>
  <c r="Q254" i="4"/>
  <c r="P254" i="4"/>
  <c r="O254" i="4"/>
  <c r="M254" i="4"/>
  <c r="L254" i="4"/>
  <c r="K254" i="4"/>
  <c r="J254" i="4"/>
  <c r="I254" i="4"/>
  <c r="H254" i="4"/>
  <c r="G254" i="4"/>
  <c r="U253" i="4"/>
  <c r="T253" i="4"/>
  <c r="S253" i="4"/>
  <c r="R253" i="4"/>
  <c r="Q253" i="4"/>
  <c r="P253" i="4"/>
  <c r="O253" i="4"/>
  <c r="M253" i="4"/>
  <c r="L253" i="4"/>
  <c r="K253" i="4"/>
  <c r="J253" i="4"/>
  <c r="I253" i="4"/>
  <c r="H253" i="4"/>
  <c r="G253" i="4"/>
  <c r="U252" i="4"/>
  <c r="T252" i="4"/>
  <c r="S252" i="4"/>
  <c r="R252" i="4"/>
  <c r="Q252" i="4"/>
  <c r="P252" i="4"/>
  <c r="O252" i="4"/>
  <c r="M252" i="4"/>
  <c r="L252" i="4"/>
  <c r="K252" i="4"/>
  <c r="J252" i="4"/>
  <c r="I252" i="4"/>
  <c r="H252" i="4"/>
  <c r="G252" i="4"/>
  <c r="U251" i="4"/>
  <c r="T251" i="4"/>
  <c r="S251" i="4"/>
  <c r="R251" i="4"/>
  <c r="Q251" i="4"/>
  <c r="P251" i="4"/>
  <c r="O251" i="4"/>
  <c r="M251" i="4"/>
  <c r="L251" i="4"/>
  <c r="K251" i="4"/>
  <c r="J251" i="4"/>
  <c r="I251" i="4"/>
  <c r="H251" i="4"/>
  <c r="G251" i="4"/>
  <c r="U250" i="4"/>
  <c r="T250" i="4"/>
  <c r="S250" i="4"/>
  <c r="R250" i="4"/>
  <c r="Q250" i="4"/>
  <c r="P250" i="4"/>
  <c r="O250" i="4"/>
  <c r="M250" i="4"/>
  <c r="L250" i="4"/>
  <c r="K250" i="4"/>
  <c r="J250" i="4"/>
  <c r="I250" i="4"/>
  <c r="H250" i="4"/>
  <c r="G250" i="4"/>
  <c r="U249" i="4"/>
  <c r="T249" i="4"/>
  <c r="S249" i="4"/>
  <c r="R249" i="4"/>
  <c r="Q249" i="4"/>
  <c r="P249" i="4"/>
  <c r="O249" i="4"/>
  <c r="M249" i="4"/>
  <c r="L249" i="4"/>
  <c r="K249" i="4"/>
  <c r="J249" i="4"/>
  <c r="I249" i="4"/>
  <c r="H249" i="4"/>
  <c r="G249" i="4"/>
  <c r="U248" i="4"/>
  <c r="T248" i="4"/>
  <c r="S248" i="4"/>
  <c r="R248" i="4"/>
  <c r="Q248" i="4"/>
  <c r="P248" i="4"/>
  <c r="O248" i="4"/>
  <c r="M248" i="4"/>
  <c r="L248" i="4"/>
  <c r="K248" i="4"/>
  <c r="J248" i="4"/>
  <c r="I248" i="4"/>
  <c r="H248" i="4"/>
  <c r="G248" i="4"/>
  <c r="U247" i="4"/>
  <c r="T247" i="4"/>
  <c r="S247" i="4"/>
  <c r="R247" i="4"/>
  <c r="Q247" i="4"/>
  <c r="P247" i="4"/>
  <c r="O247" i="4"/>
  <c r="M247" i="4"/>
  <c r="L247" i="4"/>
  <c r="K247" i="4"/>
  <c r="J247" i="4"/>
  <c r="I247" i="4"/>
  <c r="H247" i="4"/>
  <c r="G247" i="4"/>
  <c r="U246" i="4"/>
  <c r="O246" i="4"/>
  <c r="U245" i="4"/>
  <c r="T245" i="4"/>
  <c r="S245" i="4"/>
  <c r="R245" i="4"/>
  <c r="Q245" i="4"/>
  <c r="P245" i="4"/>
  <c r="O245" i="4"/>
  <c r="M245" i="4"/>
  <c r="L245" i="4"/>
  <c r="K245" i="4"/>
  <c r="J245" i="4"/>
  <c r="I245" i="4"/>
  <c r="H245" i="4"/>
  <c r="G245" i="4"/>
  <c r="U244" i="4"/>
  <c r="T244" i="4"/>
  <c r="S244" i="4"/>
  <c r="R244" i="4"/>
  <c r="Q244" i="4"/>
  <c r="P244" i="4"/>
  <c r="O244" i="4"/>
  <c r="M244" i="4"/>
  <c r="L244" i="4"/>
  <c r="K244" i="4"/>
  <c r="J244" i="4"/>
  <c r="I244" i="4"/>
  <c r="H244" i="4"/>
  <c r="G244" i="4"/>
  <c r="U243" i="4"/>
  <c r="T243" i="4"/>
  <c r="S243" i="4"/>
  <c r="R243" i="4"/>
  <c r="Q243" i="4"/>
  <c r="P243" i="4"/>
  <c r="O243" i="4"/>
  <c r="M243" i="4"/>
  <c r="L243" i="4"/>
  <c r="K243" i="4"/>
  <c r="J243" i="4"/>
  <c r="I243" i="4"/>
  <c r="H243" i="4"/>
  <c r="G243" i="4"/>
  <c r="U242" i="4"/>
  <c r="T242" i="4"/>
  <c r="S242" i="4"/>
  <c r="R242" i="4"/>
  <c r="Q242" i="4"/>
  <c r="P242" i="4"/>
  <c r="O242" i="4"/>
  <c r="M242" i="4"/>
  <c r="L242" i="4"/>
  <c r="K242" i="4"/>
  <c r="J242" i="4"/>
  <c r="I242" i="4"/>
  <c r="H242" i="4"/>
  <c r="G242" i="4"/>
  <c r="U241" i="4"/>
  <c r="T241" i="4"/>
  <c r="S241" i="4"/>
  <c r="R241" i="4"/>
  <c r="Q241" i="4"/>
  <c r="P241" i="4"/>
  <c r="O241" i="4"/>
  <c r="M241" i="4"/>
  <c r="L241" i="4"/>
  <c r="K241" i="4"/>
  <c r="J241" i="4"/>
  <c r="I241" i="4"/>
  <c r="H241" i="4"/>
  <c r="G241" i="4"/>
  <c r="U240" i="4"/>
  <c r="T240" i="4"/>
  <c r="S240" i="4"/>
  <c r="R240" i="4"/>
  <c r="Q240" i="4"/>
  <c r="P240" i="4"/>
  <c r="O240" i="4"/>
  <c r="M240" i="4"/>
  <c r="L240" i="4"/>
  <c r="K240" i="4"/>
  <c r="J240" i="4"/>
  <c r="I240" i="4"/>
  <c r="H240" i="4"/>
  <c r="G240" i="4"/>
  <c r="U239" i="4"/>
  <c r="O239" i="4"/>
  <c r="U238" i="4"/>
  <c r="T238" i="4"/>
  <c r="S238" i="4"/>
  <c r="R238" i="4"/>
  <c r="Q238" i="4"/>
  <c r="P238" i="4"/>
  <c r="O238" i="4"/>
  <c r="M238" i="4"/>
  <c r="L238" i="4"/>
  <c r="K238" i="4"/>
  <c r="J238" i="4"/>
  <c r="I238" i="4"/>
  <c r="H238" i="4"/>
  <c r="G238" i="4"/>
  <c r="U237" i="4"/>
  <c r="O237" i="4"/>
  <c r="M237" i="4"/>
  <c r="L237" i="4"/>
  <c r="K237" i="4"/>
  <c r="J237" i="4"/>
  <c r="I237" i="4"/>
  <c r="H237" i="4"/>
  <c r="G237" i="4"/>
  <c r="U236" i="4"/>
  <c r="O236" i="4"/>
  <c r="M236" i="4"/>
  <c r="L236" i="4"/>
  <c r="K236" i="4"/>
  <c r="J236" i="4"/>
  <c r="I236" i="4"/>
  <c r="H236" i="4"/>
  <c r="G236" i="4"/>
  <c r="U235" i="4"/>
  <c r="T235" i="4"/>
  <c r="S235" i="4"/>
  <c r="R235" i="4"/>
  <c r="Q235" i="4"/>
  <c r="P235" i="4"/>
  <c r="O235" i="4"/>
  <c r="M235" i="4"/>
  <c r="L235" i="4"/>
  <c r="K235" i="4"/>
  <c r="J235" i="4"/>
  <c r="I235" i="4"/>
  <c r="H235" i="4"/>
  <c r="G235" i="4"/>
  <c r="U234" i="4"/>
  <c r="T234" i="4"/>
  <c r="S234" i="4"/>
  <c r="R234" i="4"/>
  <c r="Q234" i="4"/>
  <c r="P234" i="4"/>
  <c r="O234" i="4"/>
  <c r="M234" i="4"/>
  <c r="L234" i="4"/>
  <c r="K234" i="4"/>
  <c r="J234" i="4"/>
  <c r="I234" i="4"/>
  <c r="H234" i="4"/>
  <c r="G234" i="4"/>
  <c r="U233" i="4"/>
  <c r="O233" i="4"/>
  <c r="U232" i="4"/>
  <c r="O232" i="4"/>
  <c r="U231" i="4"/>
  <c r="T231" i="4"/>
  <c r="S231" i="4"/>
  <c r="R231" i="4"/>
  <c r="Q231" i="4"/>
  <c r="P231" i="4"/>
  <c r="O231" i="4"/>
  <c r="M231" i="4"/>
  <c r="L231" i="4"/>
  <c r="K231" i="4"/>
  <c r="J231" i="4"/>
  <c r="I231" i="4"/>
  <c r="H231" i="4"/>
  <c r="G231" i="4"/>
  <c r="U230" i="4"/>
  <c r="T230" i="4"/>
  <c r="S230" i="4"/>
  <c r="R230" i="4"/>
  <c r="Q230" i="4"/>
  <c r="P230" i="4"/>
  <c r="O230" i="4"/>
  <c r="M230" i="4"/>
  <c r="L230" i="4"/>
  <c r="K230" i="4"/>
  <c r="J230" i="4"/>
  <c r="I230" i="4"/>
  <c r="H230" i="4"/>
  <c r="G230" i="4"/>
  <c r="U229" i="4"/>
  <c r="T229" i="4"/>
  <c r="S229" i="4"/>
  <c r="R229" i="4"/>
  <c r="Q229" i="4"/>
  <c r="P229" i="4"/>
  <c r="O229" i="4"/>
  <c r="M229" i="4"/>
  <c r="L229" i="4"/>
  <c r="K229" i="4"/>
  <c r="J229" i="4"/>
  <c r="I229" i="4"/>
  <c r="H229" i="4"/>
  <c r="G229" i="4"/>
  <c r="U228" i="4"/>
  <c r="T228" i="4"/>
  <c r="S228" i="4"/>
  <c r="R228" i="4"/>
  <c r="Q228" i="4"/>
  <c r="P228" i="4"/>
  <c r="O228" i="4"/>
  <c r="M228" i="4"/>
  <c r="L228" i="4"/>
  <c r="K228" i="4"/>
  <c r="J228" i="4"/>
  <c r="I228" i="4"/>
  <c r="H228" i="4"/>
  <c r="G228" i="4"/>
  <c r="U227" i="4"/>
  <c r="T227" i="4"/>
  <c r="S227" i="4"/>
  <c r="R227" i="4"/>
  <c r="Q227" i="4"/>
  <c r="P227" i="4"/>
  <c r="O227" i="4"/>
  <c r="M227" i="4"/>
  <c r="L227" i="4"/>
  <c r="K227" i="4"/>
  <c r="J227" i="4"/>
  <c r="I227" i="4"/>
  <c r="H227" i="4"/>
  <c r="G227" i="4"/>
  <c r="U226" i="4"/>
  <c r="T226" i="4"/>
  <c r="S226" i="4"/>
  <c r="R226" i="4"/>
  <c r="Q226" i="4"/>
  <c r="P226" i="4"/>
  <c r="O226" i="4"/>
  <c r="M226" i="4"/>
  <c r="L226" i="4"/>
  <c r="K226" i="4"/>
  <c r="J226" i="4"/>
  <c r="I226" i="4"/>
  <c r="H226" i="4"/>
  <c r="G226" i="4"/>
  <c r="U225" i="4"/>
  <c r="T225" i="4"/>
  <c r="S225" i="4"/>
  <c r="R225" i="4"/>
  <c r="Q225" i="4"/>
  <c r="P225" i="4"/>
  <c r="O225" i="4"/>
  <c r="M225" i="4"/>
  <c r="L225" i="4"/>
  <c r="K225" i="4"/>
  <c r="J225" i="4"/>
  <c r="I225" i="4"/>
  <c r="H225" i="4"/>
  <c r="G225" i="4"/>
  <c r="U224" i="4"/>
  <c r="T224" i="4"/>
  <c r="S224" i="4"/>
  <c r="R224" i="4"/>
  <c r="Q224" i="4"/>
  <c r="P224" i="4"/>
  <c r="O224" i="4"/>
  <c r="M224" i="4"/>
  <c r="L224" i="4"/>
  <c r="K224" i="4"/>
  <c r="J224" i="4"/>
  <c r="I224" i="4"/>
  <c r="H224" i="4"/>
  <c r="G224" i="4"/>
  <c r="U223" i="4"/>
  <c r="T223" i="4"/>
  <c r="S223" i="4"/>
  <c r="R223" i="4"/>
  <c r="Q223" i="4"/>
  <c r="P223" i="4"/>
  <c r="O223" i="4"/>
  <c r="M223" i="4"/>
  <c r="L223" i="4"/>
  <c r="K223" i="4"/>
  <c r="J223" i="4"/>
  <c r="I223" i="4"/>
  <c r="H223" i="4"/>
  <c r="G223" i="4"/>
  <c r="U222" i="4"/>
  <c r="T222" i="4"/>
  <c r="S222" i="4"/>
  <c r="R222" i="4"/>
  <c r="Q222" i="4"/>
  <c r="P222" i="4"/>
  <c r="O222" i="4"/>
  <c r="M222" i="4"/>
  <c r="L222" i="4"/>
  <c r="K222" i="4"/>
  <c r="J222" i="4"/>
  <c r="I222" i="4"/>
  <c r="H222" i="4"/>
  <c r="G222" i="4"/>
  <c r="U221" i="4"/>
  <c r="T221" i="4"/>
  <c r="S221" i="4"/>
  <c r="R221" i="4"/>
  <c r="Q221" i="4"/>
  <c r="P221" i="4"/>
  <c r="O221" i="4"/>
  <c r="M221" i="4"/>
  <c r="L221" i="4"/>
  <c r="K221" i="4"/>
  <c r="J221" i="4"/>
  <c r="I221" i="4"/>
  <c r="H221" i="4"/>
  <c r="G221" i="4"/>
  <c r="U220" i="4"/>
  <c r="T220" i="4"/>
  <c r="S220" i="4"/>
  <c r="R220" i="4"/>
  <c r="Q220" i="4"/>
  <c r="P220" i="4"/>
  <c r="O220" i="4"/>
  <c r="M220" i="4"/>
  <c r="L220" i="4"/>
  <c r="K220" i="4"/>
  <c r="J220" i="4"/>
  <c r="I220" i="4"/>
  <c r="H220" i="4"/>
  <c r="G220" i="4"/>
  <c r="U219" i="4"/>
  <c r="T219" i="4"/>
  <c r="S219" i="4"/>
  <c r="R219" i="4"/>
  <c r="Q219" i="4"/>
  <c r="P219" i="4"/>
  <c r="O219" i="4"/>
  <c r="M219" i="4"/>
  <c r="L219" i="4"/>
  <c r="K219" i="4"/>
  <c r="J219" i="4"/>
  <c r="I219" i="4"/>
  <c r="H219" i="4"/>
  <c r="G219" i="4"/>
  <c r="U218" i="4"/>
  <c r="O218" i="4"/>
  <c r="M218" i="4"/>
  <c r="L218" i="4"/>
  <c r="K218" i="4"/>
  <c r="J218" i="4"/>
  <c r="I218" i="4"/>
  <c r="H218" i="4"/>
  <c r="G218" i="4"/>
  <c r="U217" i="4"/>
  <c r="T217" i="4"/>
  <c r="S217" i="4"/>
  <c r="R217" i="4"/>
  <c r="Q217" i="4"/>
  <c r="P217" i="4"/>
  <c r="O217" i="4"/>
  <c r="M217" i="4"/>
  <c r="L217" i="4"/>
  <c r="K217" i="4"/>
  <c r="J217" i="4"/>
  <c r="I217" i="4"/>
  <c r="H217" i="4"/>
  <c r="G217" i="4"/>
  <c r="U216" i="4"/>
  <c r="T216" i="4"/>
  <c r="S216" i="4"/>
  <c r="R216" i="4"/>
  <c r="Q216" i="4"/>
  <c r="P216" i="4"/>
  <c r="O216" i="4"/>
  <c r="M216" i="4"/>
  <c r="L216" i="4"/>
  <c r="K216" i="4"/>
  <c r="J216" i="4"/>
  <c r="I216" i="4"/>
  <c r="H216" i="4"/>
  <c r="G216" i="4"/>
  <c r="U215" i="4"/>
  <c r="T215" i="4"/>
  <c r="S215" i="4"/>
  <c r="R215" i="4"/>
  <c r="Q215" i="4"/>
  <c r="P215" i="4"/>
  <c r="O215" i="4"/>
  <c r="M215" i="4"/>
  <c r="L215" i="4"/>
  <c r="K215" i="4"/>
  <c r="J215" i="4"/>
  <c r="I215" i="4"/>
  <c r="H215" i="4"/>
  <c r="G215" i="4"/>
  <c r="U214" i="4"/>
  <c r="O214" i="4"/>
  <c r="U213" i="4"/>
  <c r="T213" i="4"/>
  <c r="S213" i="4"/>
  <c r="R213" i="4"/>
  <c r="Q213" i="4"/>
  <c r="P213" i="4"/>
  <c r="O213" i="4"/>
  <c r="M213" i="4"/>
  <c r="L213" i="4"/>
  <c r="K213" i="4"/>
  <c r="J213" i="4"/>
  <c r="I213" i="4"/>
  <c r="H213" i="4"/>
  <c r="G213" i="4"/>
  <c r="U212" i="4"/>
  <c r="T212" i="4"/>
  <c r="S212" i="4"/>
  <c r="R212" i="4"/>
  <c r="Q212" i="4"/>
  <c r="P212" i="4"/>
  <c r="O212" i="4"/>
  <c r="M212" i="4"/>
  <c r="L212" i="4"/>
  <c r="K212" i="4"/>
  <c r="J212" i="4"/>
  <c r="I212" i="4"/>
  <c r="H212" i="4"/>
  <c r="G212" i="4"/>
  <c r="U211" i="4"/>
  <c r="T211" i="4"/>
  <c r="S211" i="4"/>
  <c r="R211" i="4"/>
  <c r="Q211" i="4"/>
  <c r="P211" i="4"/>
  <c r="O211" i="4"/>
  <c r="M211" i="4"/>
  <c r="L211" i="4"/>
  <c r="K211" i="4"/>
  <c r="J211" i="4"/>
  <c r="I211" i="4"/>
  <c r="H211" i="4"/>
  <c r="G211" i="4"/>
  <c r="U210" i="4"/>
  <c r="O210" i="4"/>
  <c r="U209" i="4"/>
  <c r="O209" i="4"/>
  <c r="U208" i="4"/>
  <c r="T208" i="4"/>
  <c r="S208" i="4"/>
  <c r="R208" i="4"/>
  <c r="Q208" i="4"/>
  <c r="P208" i="4"/>
  <c r="O208" i="4"/>
  <c r="M208" i="4"/>
  <c r="L208" i="4"/>
  <c r="K208" i="4"/>
  <c r="J208" i="4"/>
  <c r="I208" i="4"/>
  <c r="H208" i="4"/>
  <c r="G208" i="4"/>
  <c r="U207" i="4"/>
  <c r="T207" i="4"/>
  <c r="S207" i="4"/>
  <c r="R207" i="4"/>
  <c r="Q207" i="4"/>
  <c r="P207" i="4"/>
  <c r="O207" i="4"/>
  <c r="M207" i="4"/>
  <c r="L207" i="4"/>
  <c r="K207" i="4"/>
  <c r="J207" i="4"/>
  <c r="I207" i="4"/>
  <c r="H207" i="4"/>
  <c r="G207" i="4"/>
  <c r="U206" i="4"/>
  <c r="T206" i="4"/>
  <c r="S206" i="4"/>
  <c r="R206" i="4"/>
  <c r="Q206" i="4"/>
  <c r="P206" i="4"/>
  <c r="O206" i="4"/>
  <c r="M206" i="4"/>
  <c r="L206" i="4"/>
  <c r="K206" i="4"/>
  <c r="J206" i="4"/>
  <c r="I206" i="4"/>
  <c r="H206" i="4"/>
  <c r="G206" i="4"/>
  <c r="U205" i="4"/>
  <c r="T205" i="4"/>
  <c r="S205" i="4"/>
  <c r="R205" i="4"/>
  <c r="Q205" i="4"/>
  <c r="P205" i="4"/>
  <c r="O205" i="4"/>
  <c r="M205" i="4"/>
  <c r="L205" i="4"/>
  <c r="K205" i="4"/>
  <c r="J205" i="4"/>
  <c r="I205" i="4"/>
  <c r="H205" i="4"/>
  <c r="G205" i="4"/>
  <c r="U204" i="4"/>
  <c r="T204" i="4"/>
  <c r="S204" i="4"/>
  <c r="R204" i="4"/>
  <c r="Q204" i="4"/>
  <c r="P204" i="4"/>
  <c r="O204" i="4"/>
  <c r="M204" i="4"/>
  <c r="L204" i="4"/>
  <c r="K204" i="4"/>
  <c r="J204" i="4"/>
  <c r="I204" i="4"/>
  <c r="H204" i="4"/>
  <c r="G204" i="4"/>
  <c r="U203" i="4"/>
  <c r="O203" i="4"/>
  <c r="U202" i="4"/>
  <c r="O202" i="4"/>
  <c r="M202" i="4"/>
  <c r="L202" i="4"/>
  <c r="K202" i="4"/>
  <c r="J202" i="4"/>
  <c r="I202" i="4"/>
  <c r="H202" i="4"/>
  <c r="G202" i="4"/>
  <c r="U201" i="4"/>
  <c r="T201" i="4"/>
  <c r="S201" i="4"/>
  <c r="R201" i="4"/>
  <c r="Q201" i="4"/>
  <c r="P201" i="4"/>
  <c r="O201" i="4"/>
  <c r="M201" i="4"/>
  <c r="L201" i="4"/>
  <c r="K201" i="4"/>
  <c r="J201" i="4"/>
  <c r="I201" i="4"/>
  <c r="H201" i="4"/>
  <c r="G201" i="4"/>
  <c r="U200" i="4"/>
  <c r="T200" i="4"/>
  <c r="S200" i="4"/>
  <c r="R200" i="4"/>
  <c r="Q200" i="4"/>
  <c r="P200" i="4"/>
  <c r="O200" i="4"/>
  <c r="M200" i="4"/>
  <c r="L200" i="4"/>
  <c r="K200" i="4"/>
  <c r="J200" i="4"/>
  <c r="I200" i="4"/>
  <c r="H200" i="4"/>
  <c r="G200" i="4"/>
  <c r="U199" i="4"/>
  <c r="T199" i="4"/>
  <c r="S199" i="4"/>
  <c r="R199" i="4"/>
  <c r="Q199" i="4"/>
  <c r="P199" i="4"/>
  <c r="O199" i="4"/>
  <c r="M199" i="4"/>
  <c r="L199" i="4"/>
  <c r="K199" i="4"/>
  <c r="J199" i="4"/>
  <c r="I199" i="4"/>
  <c r="H199" i="4"/>
  <c r="G199" i="4"/>
  <c r="U198" i="4"/>
  <c r="O198" i="4"/>
  <c r="U197" i="4"/>
  <c r="T197" i="4"/>
  <c r="S197" i="4"/>
  <c r="R197" i="4"/>
  <c r="Q197" i="4"/>
  <c r="P197" i="4"/>
  <c r="O197" i="4"/>
  <c r="M197" i="4"/>
  <c r="L197" i="4"/>
  <c r="K197" i="4"/>
  <c r="J197" i="4"/>
  <c r="I197" i="4"/>
  <c r="H197" i="4"/>
  <c r="G197" i="4"/>
  <c r="U196" i="4"/>
  <c r="T196" i="4"/>
  <c r="S196" i="4"/>
  <c r="R196" i="4"/>
  <c r="Q196" i="4"/>
  <c r="P196" i="4"/>
  <c r="O196" i="4"/>
  <c r="M196" i="4"/>
  <c r="L196" i="4"/>
  <c r="K196" i="4"/>
  <c r="J196" i="4"/>
  <c r="I196" i="4"/>
  <c r="H196" i="4"/>
  <c r="G196" i="4"/>
  <c r="U195" i="4"/>
  <c r="T195" i="4"/>
  <c r="S195" i="4"/>
  <c r="R195" i="4"/>
  <c r="Q195" i="4"/>
  <c r="P195" i="4"/>
  <c r="O195" i="4"/>
  <c r="M195" i="4"/>
  <c r="L195" i="4"/>
  <c r="K195" i="4"/>
  <c r="J195" i="4"/>
  <c r="I195" i="4"/>
  <c r="H195" i="4"/>
  <c r="G195" i="4"/>
  <c r="U194" i="4"/>
  <c r="T194" i="4"/>
  <c r="S194" i="4"/>
  <c r="R194" i="4"/>
  <c r="Q194" i="4"/>
  <c r="P194" i="4"/>
  <c r="O194" i="4"/>
  <c r="M194" i="4"/>
  <c r="L194" i="4"/>
  <c r="K194" i="4"/>
  <c r="J194" i="4"/>
  <c r="I194" i="4"/>
  <c r="H194" i="4"/>
  <c r="G194" i="4"/>
  <c r="U193" i="4"/>
  <c r="T193" i="4"/>
  <c r="S193" i="4"/>
  <c r="R193" i="4"/>
  <c r="Q193" i="4"/>
  <c r="P193" i="4"/>
  <c r="O193" i="4"/>
  <c r="M193" i="4"/>
  <c r="L193" i="4"/>
  <c r="K193" i="4"/>
  <c r="J193" i="4"/>
  <c r="I193" i="4"/>
  <c r="H193" i="4"/>
  <c r="G193" i="4"/>
  <c r="U192" i="4"/>
  <c r="T192" i="4"/>
  <c r="S192" i="4"/>
  <c r="R192" i="4"/>
  <c r="Q192" i="4"/>
  <c r="P192" i="4"/>
  <c r="O192" i="4"/>
  <c r="M192" i="4"/>
  <c r="L192" i="4"/>
  <c r="K192" i="4"/>
  <c r="J192" i="4"/>
  <c r="I192" i="4"/>
  <c r="H192" i="4"/>
  <c r="G192" i="4"/>
  <c r="U191" i="4"/>
  <c r="T191" i="4"/>
  <c r="S191" i="4"/>
  <c r="R191" i="4"/>
  <c r="Q191" i="4"/>
  <c r="P191" i="4"/>
  <c r="O191" i="4"/>
  <c r="M191" i="4"/>
  <c r="L191" i="4"/>
  <c r="K191" i="4"/>
  <c r="J191" i="4"/>
  <c r="I191" i="4"/>
  <c r="H191" i="4"/>
  <c r="G191" i="4"/>
  <c r="U190" i="4"/>
  <c r="O190" i="4"/>
  <c r="M190" i="4"/>
  <c r="L190" i="4"/>
  <c r="K190" i="4"/>
  <c r="J190" i="4"/>
  <c r="I190" i="4"/>
  <c r="H190" i="4"/>
  <c r="G190" i="4"/>
  <c r="U189" i="4"/>
  <c r="T189" i="4"/>
  <c r="S189" i="4"/>
  <c r="R189" i="4"/>
  <c r="Q189" i="4"/>
  <c r="P189" i="4"/>
  <c r="O189" i="4"/>
  <c r="M189" i="4"/>
  <c r="L189" i="4"/>
  <c r="K189" i="4"/>
  <c r="J189" i="4"/>
  <c r="I189" i="4"/>
  <c r="H189" i="4"/>
  <c r="G189" i="4"/>
  <c r="U188" i="4"/>
  <c r="T188" i="4"/>
  <c r="S188" i="4"/>
  <c r="R188" i="4"/>
  <c r="Q188" i="4"/>
  <c r="P188" i="4"/>
  <c r="O188" i="4"/>
  <c r="M188" i="4"/>
  <c r="L188" i="4"/>
  <c r="K188" i="4"/>
  <c r="J188" i="4"/>
  <c r="I188" i="4"/>
  <c r="H188" i="4"/>
  <c r="G188" i="4"/>
  <c r="U187" i="4"/>
  <c r="T187" i="4"/>
  <c r="S187" i="4"/>
  <c r="R187" i="4"/>
  <c r="Q187" i="4"/>
  <c r="P187" i="4"/>
  <c r="O187" i="4"/>
  <c r="M187" i="4"/>
  <c r="L187" i="4"/>
  <c r="K187" i="4"/>
  <c r="J187" i="4"/>
  <c r="I187" i="4"/>
  <c r="H187" i="4"/>
  <c r="G187" i="4"/>
  <c r="U186" i="4"/>
  <c r="O186" i="4"/>
  <c r="U185" i="4"/>
  <c r="T185" i="4"/>
  <c r="S185" i="4"/>
  <c r="R185" i="4"/>
  <c r="Q185" i="4"/>
  <c r="P185" i="4"/>
  <c r="O185" i="4"/>
  <c r="M185" i="4"/>
  <c r="L185" i="4"/>
  <c r="K185" i="4"/>
  <c r="J185" i="4"/>
  <c r="I185" i="4"/>
  <c r="H185" i="4"/>
  <c r="G185" i="4"/>
  <c r="U184" i="4"/>
  <c r="T184" i="4"/>
  <c r="S184" i="4"/>
  <c r="R184" i="4"/>
  <c r="Q184" i="4"/>
  <c r="P184" i="4"/>
  <c r="O184" i="4"/>
  <c r="M184" i="4"/>
  <c r="L184" i="4"/>
  <c r="K184" i="4"/>
  <c r="J184" i="4"/>
  <c r="I184" i="4"/>
  <c r="H184" i="4"/>
  <c r="G184" i="4"/>
  <c r="U183" i="4"/>
  <c r="T183" i="4"/>
  <c r="S183" i="4"/>
  <c r="R183" i="4"/>
  <c r="Q183" i="4"/>
  <c r="P183" i="4"/>
  <c r="O183" i="4"/>
  <c r="M183" i="4"/>
  <c r="L183" i="4"/>
  <c r="K183" i="4"/>
  <c r="J183" i="4"/>
  <c r="I183" i="4"/>
  <c r="H183" i="4"/>
  <c r="G183" i="4"/>
  <c r="U182" i="4"/>
  <c r="T182" i="4"/>
  <c r="S182" i="4"/>
  <c r="R182" i="4"/>
  <c r="Q182" i="4"/>
  <c r="P182" i="4"/>
  <c r="O182" i="4"/>
  <c r="M182" i="4"/>
  <c r="L182" i="4"/>
  <c r="K182" i="4"/>
  <c r="J182" i="4"/>
  <c r="I182" i="4"/>
  <c r="H182" i="4"/>
  <c r="G182" i="4"/>
  <c r="U181" i="4"/>
  <c r="T181" i="4"/>
  <c r="S181" i="4"/>
  <c r="R181" i="4"/>
  <c r="Q181" i="4"/>
  <c r="P181" i="4"/>
  <c r="O181" i="4"/>
  <c r="M181" i="4"/>
  <c r="L181" i="4"/>
  <c r="K181" i="4"/>
  <c r="J181" i="4"/>
  <c r="I181" i="4"/>
  <c r="H181" i="4"/>
  <c r="G181" i="4"/>
  <c r="U180" i="4"/>
  <c r="T180" i="4"/>
  <c r="S180" i="4"/>
  <c r="R180" i="4"/>
  <c r="Q180" i="4"/>
  <c r="P180" i="4"/>
  <c r="O180" i="4"/>
  <c r="M180" i="4"/>
  <c r="L180" i="4"/>
  <c r="K180" i="4"/>
  <c r="J180" i="4"/>
  <c r="I180" i="4"/>
  <c r="H180" i="4"/>
  <c r="G180" i="4"/>
  <c r="U179" i="4"/>
  <c r="T179" i="4"/>
  <c r="S179" i="4"/>
  <c r="R179" i="4"/>
  <c r="Q179" i="4"/>
  <c r="P179" i="4"/>
  <c r="O179" i="4"/>
  <c r="M179" i="4"/>
  <c r="L179" i="4"/>
  <c r="K179" i="4"/>
  <c r="J179" i="4"/>
  <c r="I179" i="4"/>
  <c r="H179" i="4"/>
  <c r="G179" i="4"/>
  <c r="U178" i="4"/>
  <c r="T178" i="4"/>
  <c r="S178" i="4"/>
  <c r="R178" i="4"/>
  <c r="Q178" i="4"/>
  <c r="P178" i="4"/>
  <c r="O178" i="4"/>
  <c r="M178" i="4"/>
  <c r="L178" i="4"/>
  <c r="K178" i="4"/>
  <c r="J178" i="4"/>
  <c r="I178" i="4"/>
  <c r="H178" i="4"/>
  <c r="G178" i="4"/>
  <c r="U177" i="4"/>
  <c r="T177" i="4"/>
  <c r="S177" i="4"/>
  <c r="R177" i="4"/>
  <c r="Q177" i="4"/>
  <c r="P177" i="4"/>
  <c r="O177" i="4"/>
  <c r="M177" i="4"/>
  <c r="L177" i="4"/>
  <c r="K177" i="4"/>
  <c r="J177" i="4"/>
  <c r="I177" i="4"/>
  <c r="H177" i="4"/>
  <c r="G177" i="4"/>
  <c r="U176" i="4"/>
  <c r="T176" i="4"/>
  <c r="S176" i="4"/>
  <c r="R176" i="4"/>
  <c r="Q176" i="4"/>
  <c r="P176" i="4"/>
  <c r="O176" i="4"/>
  <c r="M176" i="4"/>
  <c r="L176" i="4"/>
  <c r="K176" i="4"/>
  <c r="J176" i="4"/>
  <c r="I176" i="4"/>
  <c r="H176" i="4"/>
  <c r="G176" i="4"/>
  <c r="U175" i="4"/>
  <c r="T175" i="4"/>
  <c r="S175" i="4"/>
  <c r="R175" i="4"/>
  <c r="Q175" i="4"/>
  <c r="P175" i="4"/>
  <c r="O175" i="4"/>
  <c r="M175" i="4"/>
  <c r="L175" i="4"/>
  <c r="K175" i="4"/>
  <c r="J175" i="4"/>
  <c r="I175" i="4"/>
  <c r="H175" i="4"/>
  <c r="G175" i="4"/>
  <c r="U174" i="4"/>
  <c r="T174" i="4"/>
  <c r="S174" i="4"/>
  <c r="R174" i="4"/>
  <c r="Q174" i="4"/>
  <c r="P174" i="4"/>
  <c r="O174" i="4"/>
  <c r="M174" i="4"/>
  <c r="L174" i="4"/>
  <c r="K174" i="4"/>
  <c r="J174" i="4"/>
  <c r="I174" i="4"/>
  <c r="H174" i="4"/>
  <c r="G174" i="4"/>
  <c r="U173" i="4"/>
  <c r="O173" i="4"/>
  <c r="U172" i="4"/>
  <c r="O172" i="4"/>
  <c r="U171" i="4"/>
  <c r="O171" i="4"/>
  <c r="U170" i="4"/>
  <c r="T170" i="4"/>
  <c r="S170" i="4"/>
  <c r="R170" i="4"/>
  <c r="Q170" i="4"/>
  <c r="P170" i="4"/>
  <c r="O170" i="4"/>
  <c r="M170" i="4"/>
  <c r="L170" i="4"/>
  <c r="K170" i="4"/>
  <c r="J170" i="4"/>
  <c r="I170" i="4"/>
  <c r="H170" i="4"/>
  <c r="G170" i="4"/>
  <c r="U169" i="4"/>
  <c r="T169" i="4"/>
  <c r="S169" i="4"/>
  <c r="R169" i="4"/>
  <c r="Q169" i="4"/>
  <c r="P169" i="4"/>
  <c r="O169" i="4"/>
  <c r="M169" i="4"/>
  <c r="L169" i="4"/>
  <c r="K169" i="4"/>
  <c r="J169" i="4"/>
  <c r="I169" i="4"/>
  <c r="H169" i="4"/>
  <c r="G169" i="4"/>
  <c r="U168" i="4"/>
  <c r="T168" i="4"/>
  <c r="S168" i="4"/>
  <c r="R168" i="4"/>
  <c r="Q168" i="4"/>
  <c r="P168" i="4"/>
  <c r="O168" i="4"/>
  <c r="M168" i="4"/>
  <c r="L168" i="4"/>
  <c r="K168" i="4"/>
  <c r="J168" i="4"/>
  <c r="I168" i="4"/>
  <c r="H168" i="4"/>
  <c r="G168" i="4"/>
  <c r="U167" i="4"/>
  <c r="T167" i="4"/>
  <c r="S167" i="4"/>
  <c r="R167" i="4"/>
  <c r="Q167" i="4"/>
  <c r="P167" i="4"/>
  <c r="O167" i="4"/>
  <c r="M167" i="4"/>
  <c r="L167" i="4"/>
  <c r="K167" i="4"/>
  <c r="J167" i="4"/>
  <c r="I167" i="4"/>
  <c r="H167" i="4"/>
  <c r="G167" i="4"/>
  <c r="U166" i="4"/>
  <c r="T166" i="4"/>
  <c r="S166" i="4"/>
  <c r="R166" i="4"/>
  <c r="Q166" i="4"/>
  <c r="P166" i="4"/>
  <c r="O166" i="4"/>
  <c r="M166" i="4"/>
  <c r="L166" i="4"/>
  <c r="K166" i="4"/>
  <c r="J166" i="4"/>
  <c r="I166" i="4"/>
  <c r="H166" i="4"/>
  <c r="G166" i="4"/>
  <c r="U165" i="4"/>
  <c r="T165" i="4"/>
  <c r="S165" i="4"/>
  <c r="R165" i="4"/>
  <c r="Q165" i="4"/>
  <c r="P165" i="4"/>
  <c r="O165" i="4"/>
  <c r="M165" i="4"/>
  <c r="L165" i="4"/>
  <c r="K165" i="4"/>
  <c r="J165" i="4"/>
  <c r="I165" i="4"/>
  <c r="H165" i="4"/>
  <c r="G165" i="4"/>
  <c r="U164" i="4"/>
  <c r="T164" i="4"/>
  <c r="S164" i="4"/>
  <c r="R164" i="4"/>
  <c r="Q164" i="4"/>
  <c r="P164" i="4"/>
  <c r="O164" i="4"/>
  <c r="M164" i="4"/>
  <c r="L164" i="4"/>
  <c r="K164" i="4"/>
  <c r="J164" i="4"/>
  <c r="I164" i="4"/>
  <c r="H164" i="4"/>
  <c r="G164" i="4"/>
  <c r="U163" i="4"/>
  <c r="T163" i="4"/>
  <c r="S163" i="4"/>
  <c r="R163" i="4"/>
  <c r="Q163" i="4"/>
  <c r="P163" i="4"/>
  <c r="O163" i="4"/>
  <c r="M163" i="4"/>
  <c r="L163" i="4"/>
  <c r="K163" i="4"/>
  <c r="J163" i="4"/>
  <c r="I163" i="4"/>
  <c r="H163" i="4"/>
  <c r="G163" i="4"/>
  <c r="U162" i="4"/>
  <c r="T162" i="4"/>
  <c r="S162" i="4"/>
  <c r="R162" i="4"/>
  <c r="Q162" i="4"/>
  <c r="P162" i="4"/>
  <c r="O162" i="4"/>
  <c r="M162" i="4"/>
  <c r="L162" i="4"/>
  <c r="K162" i="4"/>
  <c r="J162" i="4"/>
  <c r="I162" i="4"/>
  <c r="H162" i="4"/>
  <c r="G162" i="4"/>
  <c r="U161" i="4"/>
  <c r="T161" i="4"/>
  <c r="S161" i="4"/>
  <c r="R161" i="4"/>
  <c r="Q161" i="4"/>
  <c r="P161" i="4"/>
  <c r="O161" i="4"/>
  <c r="M161" i="4"/>
  <c r="L161" i="4"/>
  <c r="K161" i="4"/>
  <c r="J161" i="4"/>
  <c r="I161" i="4"/>
  <c r="H161" i="4"/>
  <c r="G161" i="4"/>
  <c r="U160" i="4"/>
  <c r="O160" i="4"/>
  <c r="U159" i="4"/>
  <c r="T159" i="4"/>
  <c r="S159" i="4"/>
  <c r="R159" i="4"/>
  <c r="Q159" i="4"/>
  <c r="P159" i="4"/>
  <c r="O159" i="4"/>
  <c r="M159" i="4"/>
  <c r="L159" i="4"/>
  <c r="K159" i="4"/>
  <c r="J159" i="4"/>
  <c r="I159" i="4"/>
  <c r="H159" i="4"/>
  <c r="G159" i="4"/>
  <c r="U158" i="4"/>
  <c r="T158" i="4"/>
  <c r="S158" i="4"/>
  <c r="R158" i="4"/>
  <c r="Q158" i="4"/>
  <c r="P158" i="4"/>
  <c r="O158" i="4"/>
  <c r="M158" i="4"/>
  <c r="L158" i="4"/>
  <c r="K158" i="4"/>
  <c r="J158" i="4"/>
  <c r="I158" i="4"/>
  <c r="H158" i="4"/>
  <c r="G158" i="4"/>
  <c r="U157" i="4"/>
  <c r="T157" i="4"/>
  <c r="S157" i="4"/>
  <c r="R157" i="4"/>
  <c r="Q157" i="4"/>
  <c r="P157" i="4"/>
  <c r="O157" i="4"/>
  <c r="M157" i="4"/>
  <c r="L157" i="4"/>
  <c r="K157" i="4"/>
  <c r="J157" i="4"/>
  <c r="I157" i="4"/>
  <c r="H157" i="4"/>
  <c r="G157" i="4"/>
  <c r="U156" i="4"/>
  <c r="T156" i="4"/>
  <c r="S156" i="4"/>
  <c r="R156" i="4"/>
  <c r="Q156" i="4"/>
  <c r="P156" i="4"/>
  <c r="O156" i="4"/>
  <c r="M156" i="4"/>
  <c r="L156" i="4"/>
  <c r="K156" i="4"/>
  <c r="J156" i="4"/>
  <c r="I156" i="4"/>
  <c r="H156" i="4"/>
  <c r="G156" i="4"/>
  <c r="U155" i="4"/>
  <c r="T155" i="4"/>
  <c r="S155" i="4"/>
  <c r="R155" i="4"/>
  <c r="Q155" i="4"/>
  <c r="P155" i="4"/>
  <c r="O155" i="4"/>
  <c r="M155" i="4"/>
  <c r="L155" i="4"/>
  <c r="K155" i="4"/>
  <c r="J155" i="4"/>
  <c r="I155" i="4"/>
  <c r="H155" i="4"/>
  <c r="G155" i="4"/>
  <c r="U154" i="4"/>
  <c r="T154" i="4"/>
  <c r="S154" i="4"/>
  <c r="R154" i="4"/>
  <c r="Q154" i="4"/>
  <c r="P154" i="4"/>
  <c r="O154" i="4"/>
  <c r="M154" i="4"/>
  <c r="L154" i="4"/>
  <c r="K154" i="4"/>
  <c r="J154" i="4"/>
  <c r="I154" i="4"/>
  <c r="H154" i="4"/>
  <c r="G154" i="4"/>
  <c r="U153" i="4"/>
  <c r="O153" i="4"/>
  <c r="U152" i="4"/>
  <c r="T152" i="4"/>
  <c r="S152" i="4"/>
  <c r="R152" i="4"/>
  <c r="Q152" i="4"/>
  <c r="P152" i="4"/>
  <c r="O152" i="4"/>
  <c r="M152" i="4"/>
  <c r="L152" i="4"/>
  <c r="K152" i="4"/>
  <c r="J152" i="4"/>
  <c r="I152" i="4"/>
  <c r="H152" i="4"/>
  <c r="G152" i="4"/>
  <c r="U151" i="4"/>
  <c r="T151" i="4"/>
  <c r="S151" i="4"/>
  <c r="R151" i="4"/>
  <c r="Q151" i="4"/>
  <c r="P151" i="4"/>
  <c r="O151" i="4"/>
  <c r="M151" i="4"/>
  <c r="L151" i="4"/>
  <c r="K151" i="4"/>
  <c r="J151" i="4"/>
  <c r="I151" i="4"/>
  <c r="H151" i="4"/>
  <c r="G151" i="4"/>
  <c r="U150" i="4"/>
  <c r="T150" i="4"/>
  <c r="S150" i="4"/>
  <c r="R150" i="4"/>
  <c r="Q150" i="4"/>
  <c r="P150" i="4"/>
  <c r="O150" i="4"/>
  <c r="M150" i="4"/>
  <c r="L150" i="4"/>
  <c r="K150" i="4"/>
  <c r="J150" i="4"/>
  <c r="I150" i="4"/>
  <c r="H150" i="4"/>
  <c r="G150" i="4"/>
  <c r="U149" i="4"/>
  <c r="T149" i="4"/>
  <c r="S149" i="4"/>
  <c r="R149" i="4"/>
  <c r="Q149" i="4"/>
  <c r="P149" i="4"/>
  <c r="O149" i="4"/>
  <c r="M149" i="4"/>
  <c r="L149" i="4"/>
  <c r="K149" i="4"/>
  <c r="J149" i="4"/>
  <c r="I149" i="4"/>
  <c r="H149" i="4"/>
  <c r="G149" i="4"/>
  <c r="U148" i="4"/>
  <c r="T148" i="4"/>
  <c r="S148" i="4"/>
  <c r="R148" i="4"/>
  <c r="Q148" i="4"/>
  <c r="P148" i="4"/>
  <c r="O148" i="4"/>
  <c r="M148" i="4"/>
  <c r="L148" i="4"/>
  <c r="K148" i="4"/>
  <c r="J148" i="4"/>
  <c r="I148" i="4"/>
  <c r="H148" i="4"/>
  <c r="G148" i="4"/>
  <c r="U147" i="4"/>
  <c r="T147" i="4"/>
  <c r="S147" i="4"/>
  <c r="R147" i="4"/>
  <c r="Q147" i="4"/>
  <c r="P147" i="4"/>
  <c r="O147" i="4"/>
  <c r="M147" i="4"/>
  <c r="L147" i="4"/>
  <c r="K147" i="4"/>
  <c r="J147" i="4"/>
  <c r="I147" i="4"/>
  <c r="H147" i="4"/>
  <c r="G147" i="4"/>
  <c r="U146" i="4"/>
  <c r="O146" i="4"/>
  <c r="U145" i="4"/>
  <c r="O145" i="4"/>
  <c r="U144" i="4"/>
  <c r="O144" i="4"/>
  <c r="M144" i="4"/>
  <c r="L144" i="4"/>
  <c r="K144" i="4"/>
  <c r="J144" i="4"/>
  <c r="I144" i="4"/>
  <c r="H144" i="4"/>
  <c r="G144" i="4"/>
  <c r="U143" i="4"/>
  <c r="T143" i="4"/>
  <c r="S143" i="4"/>
  <c r="R143" i="4"/>
  <c r="Q143" i="4"/>
  <c r="P143" i="4"/>
  <c r="O143" i="4"/>
  <c r="M143" i="4"/>
  <c r="L143" i="4"/>
  <c r="K143" i="4"/>
  <c r="J143" i="4"/>
  <c r="I143" i="4"/>
  <c r="H143" i="4"/>
  <c r="G143" i="4"/>
  <c r="U142" i="4"/>
  <c r="T142" i="4"/>
  <c r="S142" i="4"/>
  <c r="R142" i="4"/>
  <c r="Q142" i="4"/>
  <c r="P142" i="4"/>
  <c r="O142" i="4"/>
  <c r="M142" i="4"/>
  <c r="L142" i="4"/>
  <c r="K142" i="4"/>
  <c r="J142" i="4"/>
  <c r="I142" i="4"/>
  <c r="H142" i="4"/>
  <c r="G142" i="4"/>
  <c r="U141" i="4"/>
  <c r="T141" i="4"/>
  <c r="S141" i="4"/>
  <c r="R141" i="4"/>
  <c r="Q141" i="4"/>
  <c r="P141" i="4"/>
  <c r="O141" i="4"/>
  <c r="M141" i="4"/>
  <c r="L141" i="4"/>
  <c r="K141" i="4"/>
  <c r="J141" i="4"/>
  <c r="I141" i="4"/>
  <c r="H141" i="4"/>
  <c r="G141" i="4"/>
  <c r="U140" i="4"/>
  <c r="T140" i="4"/>
  <c r="S140" i="4"/>
  <c r="R140" i="4"/>
  <c r="Q140" i="4"/>
  <c r="P140" i="4"/>
  <c r="O140" i="4"/>
  <c r="M140" i="4"/>
  <c r="L140" i="4"/>
  <c r="K140" i="4"/>
  <c r="J140" i="4"/>
  <c r="I140" i="4"/>
  <c r="H140" i="4"/>
  <c r="G140" i="4"/>
  <c r="U139" i="4"/>
  <c r="T139" i="4"/>
  <c r="S139" i="4"/>
  <c r="R139" i="4"/>
  <c r="Q139" i="4"/>
  <c r="P139" i="4"/>
  <c r="O139" i="4"/>
  <c r="M139" i="4"/>
  <c r="L139" i="4"/>
  <c r="K139" i="4"/>
  <c r="J139" i="4"/>
  <c r="I139" i="4"/>
  <c r="H139" i="4"/>
  <c r="G139" i="4"/>
  <c r="U138" i="4"/>
  <c r="O138" i="4"/>
  <c r="M138" i="4"/>
  <c r="L138" i="4"/>
  <c r="K138" i="4"/>
  <c r="J138" i="4"/>
  <c r="I138" i="4"/>
  <c r="H138" i="4"/>
  <c r="G138" i="4"/>
  <c r="U137" i="4"/>
  <c r="O137" i="4"/>
  <c r="M137" i="4"/>
  <c r="L137" i="4"/>
  <c r="K137" i="4"/>
  <c r="J137" i="4"/>
  <c r="I137" i="4"/>
  <c r="H137" i="4"/>
  <c r="G137" i="4"/>
  <c r="U136" i="4"/>
  <c r="T136" i="4"/>
  <c r="S136" i="4"/>
  <c r="R136" i="4"/>
  <c r="Q136" i="4"/>
  <c r="P136" i="4"/>
  <c r="O136" i="4"/>
  <c r="M136" i="4"/>
  <c r="L136" i="4"/>
  <c r="K136" i="4"/>
  <c r="J136" i="4"/>
  <c r="I136" i="4"/>
  <c r="H136" i="4"/>
  <c r="G136" i="4"/>
  <c r="U135" i="4"/>
  <c r="T135" i="4"/>
  <c r="S135" i="4"/>
  <c r="R135" i="4"/>
  <c r="Q135" i="4"/>
  <c r="P135" i="4"/>
  <c r="O135" i="4"/>
  <c r="M135" i="4"/>
  <c r="L135" i="4"/>
  <c r="K135" i="4"/>
  <c r="J135" i="4"/>
  <c r="I135" i="4"/>
  <c r="H135" i="4"/>
  <c r="G135" i="4"/>
  <c r="U134" i="4"/>
  <c r="O134" i="4"/>
  <c r="M134" i="4"/>
  <c r="L134" i="4"/>
  <c r="K134" i="4"/>
  <c r="J134" i="4"/>
  <c r="I134" i="4"/>
  <c r="H134" i="4"/>
  <c r="G134" i="4"/>
  <c r="U133" i="4"/>
  <c r="T133" i="4"/>
  <c r="S133" i="4"/>
  <c r="R133" i="4"/>
  <c r="Q133" i="4"/>
  <c r="P133" i="4"/>
  <c r="O133" i="4"/>
  <c r="M133" i="4"/>
  <c r="L133" i="4"/>
  <c r="K133" i="4"/>
  <c r="J133" i="4"/>
  <c r="I133" i="4"/>
  <c r="H133" i="4"/>
  <c r="G133" i="4"/>
  <c r="U132" i="4"/>
  <c r="T132" i="4"/>
  <c r="S132" i="4"/>
  <c r="R132" i="4"/>
  <c r="Q132" i="4"/>
  <c r="P132" i="4"/>
  <c r="O132" i="4"/>
  <c r="M132" i="4"/>
  <c r="L132" i="4"/>
  <c r="K132" i="4"/>
  <c r="J132" i="4"/>
  <c r="I132" i="4"/>
  <c r="H132" i="4"/>
  <c r="G132" i="4"/>
  <c r="U131" i="4"/>
  <c r="O131" i="4"/>
  <c r="M131" i="4"/>
  <c r="L131" i="4"/>
  <c r="K131" i="4"/>
  <c r="J131" i="4"/>
  <c r="I131" i="4"/>
  <c r="H131" i="4"/>
  <c r="G131" i="4"/>
  <c r="U130" i="4"/>
  <c r="T130" i="4"/>
  <c r="S130" i="4"/>
  <c r="R130" i="4"/>
  <c r="Q130" i="4"/>
  <c r="P130" i="4"/>
  <c r="O130" i="4"/>
  <c r="M130" i="4"/>
  <c r="L130" i="4"/>
  <c r="K130" i="4"/>
  <c r="J130" i="4"/>
  <c r="I130" i="4"/>
  <c r="H130" i="4"/>
  <c r="G130" i="4"/>
  <c r="U129" i="4"/>
  <c r="T129" i="4"/>
  <c r="S129" i="4"/>
  <c r="R129" i="4"/>
  <c r="Q129" i="4"/>
  <c r="P129" i="4"/>
  <c r="O129" i="4"/>
  <c r="M129" i="4"/>
  <c r="L129" i="4"/>
  <c r="K129" i="4"/>
  <c r="J129" i="4"/>
  <c r="I129" i="4"/>
  <c r="H129" i="4"/>
  <c r="G129" i="4"/>
  <c r="U128" i="4"/>
  <c r="O128" i="4"/>
  <c r="U127" i="4"/>
  <c r="T127" i="4"/>
  <c r="S127" i="4"/>
  <c r="R127" i="4"/>
  <c r="Q127" i="4"/>
  <c r="P127" i="4"/>
  <c r="O127" i="4"/>
  <c r="M127" i="4"/>
  <c r="L127" i="4"/>
  <c r="K127" i="4"/>
  <c r="J127" i="4"/>
  <c r="I127" i="4"/>
  <c r="H127" i="4"/>
  <c r="G127" i="4"/>
  <c r="U126" i="4"/>
  <c r="T126" i="4"/>
  <c r="S126" i="4"/>
  <c r="R126" i="4"/>
  <c r="Q126" i="4"/>
  <c r="P126" i="4"/>
  <c r="O126" i="4"/>
  <c r="M126" i="4"/>
  <c r="L126" i="4"/>
  <c r="K126" i="4"/>
  <c r="J126" i="4"/>
  <c r="I126" i="4"/>
  <c r="H126" i="4"/>
  <c r="G126" i="4"/>
  <c r="U125" i="4"/>
  <c r="T125" i="4"/>
  <c r="S125" i="4"/>
  <c r="R125" i="4"/>
  <c r="Q125" i="4"/>
  <c r="P125" i="4"/>
  <c r="O125" i="4"/>
  <c r="M125" i="4"/>
  <c r="L125" i="4"/>
  <c r="K125" i="4"/>
  <c r="J125" i="4"/>
  <c r="I125" i="4"/>
  <c r="H125" i="4"/>
  <c r="G125" i="4"/>
  <c r="U124" i="4"/>
  <c r="O124" i="4"/>
  <c r="U123" i="4"/>
  <c r="O123" i="4"/>
  <c r="U122" i="4"/>
  <c r="T122" i="4"/>
  <c r="S122" i="4"/>
  <c r="R122" i="4"/>
  <c r="Q122" i="4"/>
  <c r="P122" i="4"/>
  <c r="O122" i="4"/>
  <c r="M122" i="4"/>
  <c r="L122" i="4"/>
  <c r="K122" i="4"/>
  <c r="J122" i="4"/>
  <c r="I122" i="4"/>
  <c r="H122" i="4"/>
  <c r="G122" i="4"/>
  <c r="U121" i="4"/>
  <c r="T121" i="4"/>
  <c r="S121" i="4"/>
  <c r="R121" i="4"/>
  <c r="Q121" i="4"/>
  <c r="P121" i="4"/>
  <c r="O121" i="4"/>
  <c r="M121" i="4"/>
  <c r="L121" i="4"/>
  <c r="K121" i="4"/>
  <c r="J121" i="4"/>
  <c r="I121" i="4"/>
  <c r="H121" i="4"/>
  <c r="G121" i="4"/>
  <c r="U120" i="4"/>
  <c r="T120" i="4"/>
  <c r="S120" i="4"/>
  <c r="R120" i="4"/>
  <c r="Q120" i="4"/>
  <c r="P120" i="4"/>
  <c r="O120" i="4"/>
  <c r="M120" i="4"/>
  <c r="L120" i="4"/>
  <c r="K120" i="4"/>
  <c r="J120" i="4"/>
  <c r="I120" i="4"/>
  <c r="H120" i="4"/>
  <c r="G120" i="4"/>
  <c r="U119" i="4"/>
  <c r="T119" i="4"/>
  <c r="S119" i="4"/>
  <c r="R119" i="4"/>
  <c r="Q119" i="4"/>
  <c r="P119" i="4"/>
  <c r="O119" i="4"/>
  <c r="M119" i="4"/>
  <c r="L119" i="4"/>
  <c r="K119" i="4"/>
  <c r="J119" i="4"/>
  <c r="I119" i="4"/>
  <c r="H119" i="4"/>
  <c r="G119" i="4"/>
  <c r="U118" i="4"/>
  <c r="T118" i="4"/>
  <c r="S118" i="4"/>
  <c r="R118" i="4"/>
  <c r="Q118" i="4"/>
  <c r="P118" i="4"/>
  <c r="O118" i="4"/>
  <c r="M118" i="4"/>
  <c r="L118" i="4"/>
  <c r="K118" i="4"/>
  <c r="J118" i="4"/>
  <c r="I118" i="4"/>
  <c r="H118" i="4"/>
  <c r="G118" i="4"/>
  <c r="U117" i="4"/>
  <c r="O117" i="4"/>
  <c r="U116" i="4"/>
  <c r="T116" i="4"/>
  <c r="S116" i="4"/>
  <c r="R116" i="4"/>
  <c r="Q116" i="4"/>
  <c r="P116" i="4"/>
  <c r="O116" i="4"/>
  <c r="M116" i="4"/>
  <c r="L116" i="4"/>
  <c r="K116" i="4"/>
  <c r="J116" i="4"/>
  <c r="I116" i="4"/>
  <c r="H116" i="4"/>
  <c r="G116" i="4"/>
  <c r="U115" i="4"/>
  <c r="T115" i="4"/>
  <c r="S115" i="4"/>
  <c r="R115" i="4"/>
  <c r="Q115" i="4"/>
  <c r="P115" i="4"/>
  <c r="O115" i="4"/>
  <c r="M115" i="4"/>
  <c r="L115" i="4"/>
  <c r="K115" i="4"/>
  <c r="J115" i="4"/>
  <c r="I115" i="4"/>
  <c r="H115" i="4"/>
  <c r="G115" i="4"/>
  <c r="U114" i="4"/>
  <c r="T114" i="4"/>
  <c r="S114" i="4"/>
  <c r="R114" i="4"/>
  <c r="Q114" i="4"/>
  <c r="P114" i="4"/>
  <c r="O114" i="4"/>
  <c r="M114" i="4"/>
  <c r="L114" i="4"/>
  <c r="K114" i="4"/>
  <c r="J114" i="4"/>
  <c r="I114" i="4"/>
  <c r="H114" i="4"/>
  <c r="G114" i="4"/>
  <c r="U113" i="4"/>
  <c r="T113" i="4"/>
  <c r="S113" i="4"/>
  <c r="R113" i="4"/>
  <c r="Q113" i="4"/>
  <c r="P113" i="4"/>
  <c r="O113" i="4"/>
  <c r="M113" i="4"/>
  <c r="L113" i="4"/>
  <c r="K113" i="4"/>
  <c r="J113" i="4"/>
  <c r="I113" i="4"/>
  <c r="H113" i="4"/>
  <c r="G113" i="4"/>
  <c r="U112" i="4"/>
  <c r="O112" i="4"/>
  <c r="U111" i="4"/>
  <c r="O111" i="4"/>
  <c r="M111" i="4"/>
  <c r="L111" i="4"/>
  <c r="K111" i="4"/>
  <c r="J111" i="4"/>
  <c r="I111" i="4"/>
  <c r="H111" i="4"/>
  <c r="G111" i="4"/>
  <c r="U110" i="4"/>
  <c r="T110" i="4"/>
  <c r="S110" i="4"/>
  <c r="R110" i="4"/>
  <c r="Q110" i="4"/>
  <c r="P110" i="4"/>
  <c r="O110" i="4"/>
  <c r="M110" i="4"/>
  <c r="L110" i="4"/>
  <c r="K110" i="4"/>
  <c r="J110" i="4"/>
  <c r="I110" i="4"/>
  <c r="H110" i="4"/>
  <c r="G110" i="4"/>
  <c r="U109" i="4"/>
  <c r="T109" i="4"/>
  <c r="S109" i="4"/>
  <c r="R109" i="4"/>
  <c r="Q109" i="4"/>
  <c r="P109" i="4"/>
  <c r="O109" i="4"/>
  <c r="M109" i="4"/>
  <c r="L109" i="4"/>
  <c r="K109" i="4"/>
  <c r="J109" i="4"/>
  <c r="I109" i="4"/>
  <c r="H109" i="4"/>
  <c r="G109" i="4"/>
  <c r="U108" i="4"/>
  <c r="T108" i="4"/>
  <c r="S108" i="4"/>
  <c r="R108" i="4"/>
  <c r="Q108" i="4"/>
  <c r="P108" i="4"/>
  <c r="O108" i="4"/>
  <c r="M108" i="4"/>
  <c r="L108" i="4"/>
  <c r="K108" i="4"/>
  <c r="J108" i="4"/>
  <c r="I108" i="4"/>
  <c r="H108" i="4"/>
  <c r="G108" i="4"/>
  <c r="U107" i="4"/>
  <c r="T107" i="4"/>
  <c r="S107" i="4"/>
  <c r="R107" i="4"/>
  <c r="Q107" i="4"/>
  <c r="P107" i="4"/>
  <c r="O107" i="4"/>
  <c r="M107" i="4"/>
  <c r="L107" i="4"/>
  <c r="K107" i="4"/>
  <c r="J107" i="4"/>
  <c r="I107" i="4"/>
  <c r="H107" i="4"/>
  <c r="G107" i="4"/>
  <c r="U106" i="4"/>
  <c r="T106" i="4"/>
  <c r="S106" i="4"/>
  <c r="R106" i="4"/>
  <c r="Q106" i="4"/>
  <c r="P106" i="4"/>
  <c r="O106" i="4"/>
  <c r="M106" i="4"/>
  <c r="L106" i="4"/>
  <c r="K106" i="4"/>
  <c r="J106" i="4"/>
  <c r="I106" i="4"/>
  <c r="H106" i="4"/>
  <c r="G106" i="4"/>
  <c r="U105" i="4"/>
  <c r="T105" i="4"/>
  <c r="S105" i="4"/>
  <c r="R105" i="4"/>
  <c r="Q105" i="4"/>
  <c r="P105" i="4"/>
  <c r="O105" i="4"/>
  <c r="M105" i="4"/>
  <c r="L105" i="4"/>
  <c r="K105" i="4"/>
  <c r="J105" i="4"/>
  <c r="I105" i="4"/>
  <c r="H105" i="4"/>
  <c r="G105" i="4"/>
  <c r="U104" i="4"/>
  <c r="T104" i="4"/>
  <c r="S104" i="4"/>
  <c r="R104" i="4"/>
  <c r="Q104" i="4"/>
  <c r="P104" i="4"/>
  <c r="O104" i="4"/>
  <c r="M104" i="4"/>
  <c r="L104" i="4"/>
  <c r="K104" i="4"/>
  <c r="J104" i="4"/>
  <c r="I104" i="4"/>
  <c r="H104" i="4"/>
  <c r="G104" i="4"/>
  <c r="U103" i="4"/>
  <c r="T103" i="4"/>
  <c r="S103" i="4"/>
  <c r="R103" i="4"/>
  <c r="Q103" i="4"/>
  <c r="P103" i="4"/>
  <c r="O103" i="4"/>
  <c r="M103" i="4"/>
  <c r="L103" i="4"/>
  <c r="K103" i="4"/>
  <c r="J103" i="4"/>
  <c r="I103" i="4"/>
  <c r="H103" i="4"/>
  <c r="G103" i="4"/>
  <c r="U102" i="4"/>
  <c r="T102" i="4"/>
  <c r="S102" i="4"/>
  <c r="R102" i="4"/>
  <c r="Q102" i="4"/>
  <c r="P102" i="4"/>
  <c r="O102" i="4"/>
  <c r="M102" i="4"/>
  <c r="L102" i="4"/>
  <c r="K102" i="4"/>
  <c r="J102" i="4"/>
  <c r="I102" i="4"/>
  <c r="H102" i="4"/>
  <c r="G102" i="4"/>
  <c r="U101" i="4"/>
  <c r="T101" i="4"/>
  <c r="S101" i="4"/>
  <c r="R101" i="4"/>
  <c r="Q101" i="4"/>
  <c r="P101" i="4"/>
  <c r="O101" i="4"/>
  <c r="M101" i="4"/>
  <c r="L101" i="4"/>
  <c r="K101" i="4"/>
  <c r="J101" i="4"/>
  <c r="I101" i="4"/>
  <c r="H101" i="4"/>
  <c r="G101" i="4"/>
  <c r="U100" i="4"/>
  <c r="O100" i="4"/>
  <c r="U99" i="4"/>
  <c r="T99" i="4"/>
  <c r="S99" i="4"/>
  <c r="R99" i="4"/>
  <c r="Q99" i="4"/>
  <c r="P99" i="4"/>
  <c r="O99" i="4"/>
  <c r="M99" i="4"/>
  <c r="L99" i="4"/>
  <c r="K99" i="4"/>
  <c r="J99" i="4"/>
  <c r="I99" i="4"/>
  <c r="H99" i="4"/>
  <c r="G99" i="4"/>
  <c r="U98" i="4"/>
  <c r="O98" i="4"/>
  <c r="M98" i="4"/>
  <c r="L98" i="4"/>
  <c r="K98" i="4"/>
  <c r="J98" i="4"/>
  <c r="I98" i="4"/>
  <c r="H98" i="4"/>
  <c r="G98" i="4"/>
  <c r="U97" i="4"/>
  <c r="O97" i="4"/>
  <c r="M97" i="4"/>
  <c r="L97" i="4"/>
  <c r="K97" i="4"/>
  <c r="J97" i="4"/>
  <c r="I97" i="4"/>
  <c r="H97" i="4"/>
  <c r="G97" i="4"/>
  <c r="U96" i="4"/>
  <c r="T96" i="4"/>
  <c r="S96" i="4"/>
  <c r="R96" i="4"/>
  <c r="Q96" i="4"/>
  <c r="P96" i="4"/>
  <c r="O96" i="4"/>
  <c r="M96" i="4"/>
  <c r="L96" i="4"/>
  <c r="K96" i="4"/>
  <c r="J96" i="4"/>
  <c r="I96" i="4"/>
  <c r="H96" i="4"/>
  <c r="G96" i="4"/>
  <c r="U95" i="4"/>
  <c r="T95" i="4"/>
  <c r="S95" i="4"/>
  <c r="R95" i="4"/>
  <c r="Q95" i="4"/>
  <c r="P95" i="4"/>
  <c r="O95" i="4"/>
  <c r="M95" i="4"/>
  <c r="L95" i="4"/>
  <c r="K95" i="4"/>
  <c r="J95" i="4"/>
  <c r="I95" i="4"/>
  <c r="H95" i="4"/>
  <c r="G95" i="4"/>
  <c r="U94" i="4"/>
  <c r="T94" i="4"/>
  <c r="S94" i="4"/>
  <c r="R94" i="4"/>
  <c r="Q94" i="4"/>
  <c r="P94" i="4"/>
  <c r="O94" i="4"/>
  <c r="M94" i="4"/>
  <c r="L94" i="4"/>
  <c r="K94" i="4"/>
  <c r="J94" i="4"/>
  <c r="I94" i="4"/>
  <c r="H94" i="4"/>
  <c r="G94" i="4"/>
  <c r="U93" i="4"/>
  <c r="T93" i="4"/>
  <c r="S93" i="4"/>
  <c r="R93" i="4"/>
  <c r="Q93" i="4"/>
  <c r="P93" i="4"/>
  <c r="O93" i="4"/>
  <c r="M93" i="4"/>
  <c r="L93" i="4"/>
  <c r="K93" i="4"/>
  <c r="J93" i="4"/>
  <c r="I93" i="4"/>
  <c r="H93" i="4"/>
  <c r="G93" i="4"/>
  <c r="U92" i="4"/>
  <c r="T92" i="4"/>
  <c r="S92" i="4"/>
  <c r="R92" i="4"/>
  <c r="Q92" i="4"/>
  <c r="P92" i="4"/>
  <c r="O92" i="4"/>
  <c r="M92" i="4"/>
  <c r="L92" i="4"/>
  <c r="K92" i="4"/>
  <c r="J92" i="4"/>
  <c r="I92" i="4"/>
  <c r="H92" i="4"/>
  <c r="G92" i="4"/>
  <c r="U91" i="4"/>
  <c r="T91" i="4"/>
  <c r="S91" i="4"/>
  <c r="R91" i="4"/>
  <c r="Q91" i="4"/>
  <c r="P91" i="4"/>
  <c r="O91" i="4"/>
  <c r="M91" i="4"/>
  <c r="L91" i="4"/>
  <c r="K91" i="4"/>
  <c r="J91" i="4"/>
  <c r="I91" i="4"/>
  <c r="H91" i="4"/>
  <c r="G91" i="4"/>
  <c r="U90" i="4"/>
  <c r="T90" i="4"/>
  <c r="S90" i="4"/>
  <c r="R90" i="4"/>
  <c r="Q90" i="4"/>
  <c r="P90" i="4"/>
  <c r="O90" i="4"/>
  <c r="M90" i="4"/>
  <c r="L90" i="4"/>
  <c r="K90" i="4"/>
  <c r="J90" i="4"/>
  <c r="I90" i="4"/>
  <c r="H90" i="4"/>
  <c r="G90" i="4"/>
  <c r="U89" i="4"/>
  <c r="O89" i="4"/>
  <c r="U88" i="4"/>
  <c r="O88" i="4"/>
  <c r="U87" i="4"/>
  <c r="O87" i="4"/>
  <c r="U86" i="4"/>
  <c r="T86" i="4"/>
  <c r="S86" i="4"/>
  <c r="R86" i="4"/>
  <c r="Q86" i="4"/>
  <c r="P86" i="4"/>
  <c r="O86" i="4"/>
  <c r="M86" i="4"/>
  <c r="L86" i="4"/>
  <c r="K86" i="4"/>
  <c r="J86" i="4"/>
  <c r="I86" i="4"/>
  <c r="H86" i="4"/>
  <c r="G86" i="4"/>
  <c r="U85" i="4"/>
  <c r="T85" i="4"/>
  <c r="S85" i="4"/>
  <c r="R85" i="4"/>
  <c r="Q85" i="4"/>
  <c r="P85" i="4"/>
  <c r="O85" i="4"/>
  <c r="M85" i="4"/>
  <c r="L85" i="4"/>
  <c r="K85" i="4"/>
  <c r="J85" i="4"/>
  <c r="I85" i="4"/>
  <c r="H85" i="4"/>
  <c r="G85" i="4"/>
  <c r="U84" i="4"/>
  <c r="T84" i="4"/>
  <c r="S84" i="4"/>
  <c r="R84" i="4"/>
  <c r="Q84" i="4"/>
  <c r="P84" i="4"/>
  <c r="O84" i="4"/>
  <c r="M84" i="4"/>
  <c r="L84" i="4"/>
  <c r="K84" i="4"/>
  <c r="J84" i="4"/>
  <c r="I84" i="4"/>
  <c r="H84" i="4"/>
  <c r="G84" i="4"/>
  <c r="U83" i="4"/>
  <c r="O83" i="4"/>
  <c r="M83" i="4"/>
  <c r="L83" i="4"/>
  <c r="K83" i="4"/>
  <c r="J83" i="4"/>
  <c r="I83" i="4"/>
  <c r="H83" i="4"/>
  <c r="G83" i="4"/>
  <c r="U82" i="4"/>
  <c r="T82" i="4"/>
  <c r="S82" i="4"/>
  <c r="R82" i="4"/>
  <c r="Q82" i="4"/>
  <c r="P82" i="4"/>
  <c r="O82" i="4"/>
  <c r="M82" i="4"/>
  <c r="L82" i="4"/>
  <c r="K82" i="4"/>
  <c r="J82" i="4"/>
  <c r="I82" i="4"/>
  <c r="H82" i="4"/>
  <c r="G82" i="4"/>
  <c r="U81" i="4"/>
  <c r="T81" i="4"/>
  <c r="S81" i="4"/>
  <c r="R81" i="4"/>
  <c r="Q81" i="4"/>
  <c r="P81" i="4"/>
  <c r="O81" i="4"/>
  <c r="M81" i="4"/>
  <c r="L81" i="4"/>
  <c r="K81" i="4"/>
  <c r="J81" i="4"/>
  <c r="I81" i="4"/>
  <c r="H81" i="4"/>
  <c r="G81" i="4"/>
  <c r="U80" i="4"/>
  <c r="T80" i="4"/>
  <c r="S80" i="4"/>
  <c r="R80" i="4"/>
  <c r="Q80" i="4"/>
  <c r="P80" i="4"/>
  <c r="O80" i="4"/>
  <c r="M80" i="4"/>
  <c r="L80" i="4"/>
  <c r="K80" i="4"/>
  <c r="J80" i="4"/>
  <c r="I80" i="4"/>
  <c r="H80" i="4"/>
  <c r="G80" i="4"/>
  <c r="U79" i="4"/>
  <c r="T79" i="4"/>
  <c r="S79" i="4"/>
  <c r="R79" i="4"/>
  <c r="Q79" i="4"/>
  <c r="P79" i="4"/>
  <c r="O79" i="4"/>
  <c r="M79" i="4"/>
  <c r="L79" i="4"/>
  <c r="K79" i="4"/>
  <c r="J79" i="4"/>
  <c r="I79" i="4"/>
  <c r="H79" i="4"/>
  <c r="G79" i="4"/>
  <c r="U78" i="4"/>
  <c r="T78" i="4"/>
  <c r="S78" i="4"/>
  <c r="R78" i="4"/>
  <c r="Q78" i="4"/>
  <c r="P78" i="4"/>
  <c r="O78" i="4"/>
  <c r="M78" i="4"/>
  <c r="L78" i="4"/>
  <c r="K78" i="4"/>
  <c r="J78" i="4"/>
  <c r="I78" i="4"/>
  <c r="H78" i="4"/>
  <c r="G78" i="4"/>
  <c r="U77" i="4"/>
  <c r="O77" i="4"/>
  <c r="U76" i="4"/>
  <c r="T76" i="4"/>
  <c r="S76" i="4"/>
  <c r="R76" i="4"/>
  <c r="Q76" i="4"/>
  <c r="P76" i="4"/>
  <c r="O76" i="4"/>
  <c r="M76" i="4"/>
  <c r="L76" i="4"/>
  <c r="K76" i="4"/>
  <c r="J76" i="4"/>
  <c r="I76" i="4"/>
  <c r="H76" i="4"/>
  <c r="G76" i="4"/>
  <c r="U75" i="4"/>
  <c r="T75" i="4"/>
  <c r="S75" i="4"/>
  <c r="R75" i="4"/>
  <c r="Q75" i="4"/>
  <c r="P75" i="4"/>
  <c r="O75" i="4"/>
  <c r="M75" i="4"/>
  <c r="L75" i="4"/>
  <c r="K75" i="4"/>
  <c r="J75" i="4"/>
  <c r="I75" i="4"/>
  <c r="H75" i="4"/>
  <c r="G75" i="4"/>
  <c r="U74" i="4"/>
  <c r="T74" i="4"/>
  <c r="S74" i="4"/>
  <c r="R74" i="4"/>
  <c r="Q74" i="4"/>
  <c r="P74" i="4"/>
  <c r="O74" i="4"/>
  <c r="M74" i="4"/>
  <c r="L74" i="4"/>
  <c r="K74" i="4"/>
  <c r="J74" i="4"/>
  <c r="I74" i="4"/>
  <c r="H74" i="4"/>
  <c r="G74" i="4"/>
  <c r="U73" i="4"/>
  <c r="T73" i="4"/>
  <c r="S73" i="4"/>
  <c r="R73" i="4"/>
  <c r="Q73" i="4"/>
  <c r="P73" i="4"/>
  <c r="O73" i="4"/>
  <c r="M73" i="4"/>
  <c r="L73" i="4"/>
  <c r="K73" i="4"/>
  <c r="J73" i="4"/>
  <c r="I73" i="4"/>
  <c r="H73" i="4"/>
  <c r="G73" i="4"/>
  <c r="U72" i="4"/>
  <c r="T72" i="4"/>
  <c r="S72" i="4"/>
  <c r="R72" i="4"/>
  <c r="Q72" i="4"/>
  <c r="P72" i="4"/>
  <c r="O72" i="4"/>
  <c r="M72" i="4"/>
  <c r="L72" i="4"/>
  <c r="K72" i="4"/>
  <c r="J72" i="4"/>
  <c r="I72" i="4"/>
  <c r="H72" i="4"/>
  <c r="G72" i="4"/>
  <c r="U71" i="4"/>
  <c r="O71" i="4"/>
  <c r="U70" i="4"/>
  <c r="T70" i="4"/>
  <c r="S70" i="4"/>
  <c r="R70" i="4"/>
  <c r="Q70" i="4"/>
  <c r="P70" i="4"/>
  <c r="O70" i="4"/>
  <c r="M70" i="4"/>
  <c r="L70" i="4"/>
  <c r="K70" i="4"/>
  <c r="J70" i="4"/>
  <c r="I70" i="4"/>
  <c r="H70" i="4"/>
  <c r="G70" i="4"/>
  <c r="U69" i="4"/>
  <c r="O69" i="4"/>
  <c r="M69" i="4"/>
  <c r="L69" i="4"/>
  <c r="K69" i="4"/>
  <c r="J69" i="4"/>
  <c r="I69" i="4"/>
  <c r="H69" i="4"/>
  <c r="G69" i="4"/>
  <c r="U68" i="4"/>
  <c r="O68" i="4"/>
  <c r="M68" i="4"/>
  <c r="L68" i="4"/>
  <c r="K68" i="4"/>
  <c r="J68" i="4"/>
  <c r="I68" i="4"/>
  <c r="H68" i="4"/>
  <c r="G68" i="4"/>
  <c r="U67" i="4"/>
  <c r="O67" i="4"/>
  <c r="M67" i="4"/>
  <c r="L67" i="4"/>
  <c r="K67" i="4"/>
  <c r="J67" i="4"/>
  <c r="I67" i="4"/>
  <c r="H67" i="4"/>
  <c r="G67" i="4"/>
  <c r="U66" i="4"/>
  <c r="O66" i="4"/>
  <c r="M66" i="4"/>
  <c r="L66" i="4"/>
  <c r="K66" i="4"/>
  <c r="J66" i="4"/>
  <c r="I66" i="4"/>
  <c r="H66" i="4"/>
  <c r="G66" i="4"/>
  <c r="U65" i="4"/>
  <c r="O65" i="4"/>
  <c r="M65" i="4"/>
  <c r="L65" i="4"/>
  <c r="K65" i="4"/>
  <c r="J65" i="4"/>
  <c r="I65" i="4"/>
  <c r="H65" i="4"/>
  <c r="G65" i="4"/>
  <c r="U64" i="4"/>
  <c r="O64" i="4"/>
  <c r="U63" i="4"/>
  <c r="O63" i="4"/>
  <c r="U62" i="4"/>
  <c r="O62" i="4"/>
  <c r="M62" i="4"/>
  <c r="L62" i="4"/>
  <c r="K62" i="4"/>
  <c r="J62" i="4"/>
  <c r="I62" i="4"/>
  <c r="H62" i="4"/>
  <c r="G62" i="4"/>
  <c r="U61" i="4"/>
  <c r="O61" i="4"/>
  <c r="M61" i="4"/>
  <c r="L61" i="4"/>
  <c r="K61" i="4"/>
  <c r="J61" i="4"/>
  <c r="I61" i="4"/>
  <c r="H61" i="4"/>
  <c r="G61" i="4"/>
  <c r="U60" i="4"/>
  <c r="O60" i="4"/>
  <c r="M60" i="4"/>
  <c r="L60" i="4"/>
  <c r="K60" i="4"/>
  <c r="J60" i="4"/>
  <c r="I60" i="4"/>
  <c r="H60" i="4"/>
  <c r="G60" i="4"/>
  <c r="U59" i="4"/>
  <c r="O59" i="4"/>
  <c r="M59" i="4"/>
  <c r="L59" i="4"/>
  <c r="K59" i="4"/>
  <c r="J59" i="4"/>
  <c r="I59" i="4"/>
  <c r="H59" i="4"/>
  <c r="G59" i="4"/>
  <c r="U58" i="4"/>
  <c r="O58" i="4"/>
  <c r="M58" i="4"/>
  <c r="L58" i="4"/>
  <c r="K58" i="4"/>
  <c r="J58" i="4"/>
  <c r="I58" i="4"/>
  <c r="H58" i="4"/>
  <c r="G58" i="4"/>
  <c r="U57" i="4"/>
  <c r="O57" i="4"/>
  <c r="M57" i="4"/>
  <c r="L57" i="4"/>
  <c r="K57" i="4"/>
  <c r="J57" i="4"/>
  <c r="I57" i="4"/>
  <c r="H57" i="4"/>
  <c r="G57" i="4"/>
  <c r="U56" i="4"/>
  <c r="O56" i="4"/>
  <c r="M56" i="4"/>
  <c r="L56" i="4"/>
  <c r="K56" i="4"/>
  <c r="J56" i="4"/>
  <c r="I56" i="4"/>
  <c r="H56" i="4"/>
  <c r="G56" i="4"/>
  <c r="U55" i="4"/>
  <c r="O55" i="4"/>
  <c r="M55" i="4"/>
  <c r="L55" i="4"/>
  <c r="K55" i="4"/>
  <c r="J55" i="4"/>
  <c r="I55" i="4"/>
  <c r="H55" i="4"/>
  <c r="G55" i="4"/>
  <c r="U54" i="4"/>
  <c r="O54" i="4"/>
  <c r="M54" i="4"/>
  <c r="L54" i="4"/>
  <c r="K54" i="4"/>
  <c r="J54" i="4"/>
  <c r="I54" i="4"/>
  <c r="H54" i="4"/>
  <c r="G54" i="4"/>
  <c r="U53" i="4"/>
  <c r="O53" i="4"/>
  <c r="M53" i="4"/>
  <c r="L53" i="4"/>
  <c r="K53" i="4"/>
  <c r="J53" i="4"/>
  <c r="I53" i="4"/>
  <c r="H53" i="4"/>
  <c r="G53" i="4"/>
  <c r="U52" i="4"/>
  <c r="O52" i="4"/>
  <c r="M52" i="4"/>
  <c r="L52" i="4"/>
  <c r="K52" i="4"/>
  <c r="J52" i="4"/>
  <c r="I52" i="4"/>
  <c r="H52" i="4"/>
  <c r="G52" i="4"/>
  <c r="U51" i="4"/>
  <c r="O51" i="4"/>
  <c r="M51" i="4"/>
  <c r="L51" i="4"/>
  <c r="K51" i="4"/>
  <c r="J51" i="4"/>
  <c r="I51" i="4"/>
  <c r="H51" i="4"/>
  <c r="G51" i="4"/>
  <c r="U50" i="4"/>
  <c r="O50" i="4"/>
  <c r="M50" i="4"/>
  <c r="L50" i="4"/>
  <c r="K50" i="4"/>
  <c r="J50" i="4"/>
  <c r="I50" i="4"/>
  <c r="H50" i="4"/>
  <c r="G50" i="4"/>
  <c r="U49" i="4"/>
  <c r="O49" i="4"/>
  <c r="U48" i="4"/>
  <c r="O48" i="4"/>
  <c r="M48" i="4"/>
  <c r="L48" i="4"/>
  <c r="K48" i="4"/>
  <c r="J48" i="4"/>
  <c r="I48" i="4"/>
  <c r="H48" i="4"/>
  <c r="G48" i="4"/>
  <c r="U47" i="4"/>
  <c r="O47" i="4"/>
  <c r="M47" i="4"/>
  <c r="L47" i="4"/>
  <c r="K47" i="4"/>
  <c r="J47" i="4"/>
  <c r="I47" i="4"/>
  <c r="H47" i="4"/>
  <c r="G47" i="4"/>
  <c r="U46" i="4"/>
  <c r="O46" i="4"/>
  <c r="M46" i="4"/>
  <c r="L46" i="4"/>
  <c r="K46" i="4"/>
  <c r="J46" i="4"/>
  <c r="I46" i="4"/>
  <c r="H46" i="4"/>
  <c r="G46" i="4"/>
  <c r="U45" i="4"/>
  <c r="O45" i="4"/>
  <c r="U44" i="4"/>
  <c r="O44" i="4"/>
  <c r="U43" i="4"/>
  <c r="O43" i="4"/>
  <c r="M43" i="4"/>
  <c r="L43" i="4"/>
  <c r="K43" i="4"/>
  <c r="J43" i="4"/>
  <c r="I43" i="4"/>
  <c r="H43" i="4"/>
  <c r="G43" i="4"/>
  <c r="U42" i="4"/>
  <c r="O42" i="4"/>
  <c r="M42" i="4"/>
  <c r="L42" i="4"/>
  <c r="K42" i="4"/>
  <c r="J42" i="4"/>
  <c r="I42" i="4"/>
  <c r="H42" i="4"/>
  <c r="G42" i="4"/>
  <c r="U41" i="4"/>
  <c r="O41" i="4"/>
  <c r="M41" i="4"/>
  <c r="L41" i="4"/>
  <c r="K41" i="4"/>
  <c r="J41" i="4"/>
  <c r="I41" i="4"/>
  <c r="H41" i="4"/>
  <c r="G41" i="4"/>
  <c r="U40" i="4"/>
  <c r="O40" i="4"/>
  <c r="M40" i="4"/>
  <c r="L40" i="4"/>
  <c r="K40" i="4"/>
  <c r="J40" i="4"/>
  <c r="I40" i="4"/>
  <c r="H40" i="4"/>
  <c r="G40" i="4"/>
  <c r="U39" i="4"/>
  <c r="O39" i="4"/>
  <c r="M39" i="4"/>
  <c r="L39" i="4"/>
  <c r="K39" i="4"/>
  <c r="J39" i="4"/>
  <c r="I39" i="4"/>
  <c r="H39" i="4"/>
  <c r="G39" i="4"/>
  <c r="U38" i="4"/>
  <c r="O38" i="4"/>
  <c r="U37" i="4"/>
  <c r="O37" i="4"/>
  <c r="M37" i="4"/>
  <c r="L37" i="4"/>
  <c r="K37" i="4"/>
  <c r="J37" i="4"/>
  <c r="I37" i="4"/>
  <c r="H37" i="4"/>
  <c r="G37" i="4"/>
  <c r="U36" i="4"/>
  <c r="T36" i="4"/>
  <c r="S36" i="4"/>
  <c r="R36" i="4"/>
  <c r="Q36" i="4"/>
  <c r="P36" i="4"/>
  <c r="O36" i="4"/>
  <c r="M36" i="4"/>
  <c r="L36" i="4"/>
  <c r="K36" i="4"/>
  <c r="J36" i="4"/>
  <c r="I36" i="4"/>
  <c r="H36" i="4"/>
  <c r="G36" i="4"/>
  <c r="U35" i="4"/>
  <c r="T35" i="4"/>
  <c r="S35" i="4"/>
  <c r="R35" i="4"/>
  <c r="Q35" i="4"/>
  <c r="P35" i="4"/>
  <c r="O35" i="4"/>
  <c r="M35" i="4"/>
  <c r="L35" i="4"/>
  <c r="K35" i="4"/>
  <c r="J35" i="4"/>
  <c r="I35" i="4"/>
  <c r="H35" i="4"/>
  <c r="G35" i="4"/>
  <c r="U34" i="4"/>
  <c r="O34" i="4"/>
  <c r="M34" i="4"/>
  <c r="L34" i="4"/>
  <c r="K34" i="4"/>
  <c r="J34" i="4"/>
  <c r="I34" i="4"/>
  <c r="H34" i="4"/>
  <c r="G34" i="4"/>
  <c r="U33" i="4"/>
  <c r="O33" i="4"/>
  <c r="U32" i="4"/>
  <c r="T32" i="4"/>
  <c r="S32" i="4"/>
  <c r="R32" i="4"/>
  <c r="Q32" i="4"/>
  <c r="P32" i="4"/>
  <c r="O32" i="4"/>
  <c r="M32" i="4"/>
  <c r="L32" i="4"/>
  <c r="K32" i="4"/>
  <c r="J32" i="4"/>
  <c r="I32" i="4"/>
  <c r="H32" i="4"/>
  <c r="G32" i="4"/>
  <c r="U31" i="4"/>
  <c r="O31" i="4"/>
  <c r="M31" i="4"/>
  <c r="L31" i="4"/>
  <c r="K31" i="4"/>
  <c r="J31" i="4"/>
  <c r="I31" i="4"/>
  <c r="H31" i="4"/>
  <c r="G31" i="4"/>
  <c r="U30" i="4"/>
  <c r="T30" i="4"/>
  <c r="S30" i="4"/>
  <c r="R30" i="4"/>
  <c r="Q30" i="4"/>
  <c r="P30" i="4"/>
  <c r="O30" i="4"/>
  <c r="M30" i="4"/>
  <c r="L30" i="4"/>
  <c r="K30" i="4"/>
  <c r="J30" i="4"/>
  <c r="I30" i="4"/>
  <c r="H30" i="4"/>
  <c r="G30" i="4"/>
  <c r="U29" i="4"/>
  <c r="O29" i="4"/>
  <c r="M29" i="4"/>
  <c r="L29" i="4"/>
  <c r="K29" i="4"/>
  <c r="J29" i="4"/>
  <c r="I29" i="4"/>
  <c r="H29" i="4"/>
  <c r="G29" i="4"/>
  <c r="U28" i="4"/>
  <c r="O28" i="4"/>
  <c r="M28" i="4"/>
  <c r="L28" i="4"/>
  <c r="K28" i="4"/>
  <c r="J28" i="4"/>
  <c r="I28" i="4"/>
  <c r="H28" i="4"/>
  <c r="G28" i="4"/>
  <c r="U27" i="4"/>
  <c r="T27" i="4"/>
  <c r="S27" i="4"/>
  <c r="R27" i="4"/>
  <c r="Q27" i="4"/>
  <c r="P27" i="4"/>
  <c r="O27" i="4"/>
  <c r="M27" i="4"/>
  <c r="L27" i="4"/>
  <c r="K27" i="4"/>
  <c r="J27" i="4"/>
  <c r="I27" i="4"/>
  <c r="H27" i="4"/>
  <c r="G27" i="4"/>
  <c r="U26" i="4"/>
  <c r="O26" i="4"/>
  <c r="M26" i="4"/>
  <c r="L26" i="4"/>
  <c r="K26" i="4"/>
  <c r="J26" i="4"/>
  <c r="I26" i="4"/>
  <c r="H26" i="4"/>
  <c r="G26" i="4"/>
  <c r="U25" i="4"/>
  <c r="T25" i="4"/>
  <c r="S25" i="4"/>
  <c r="R25" i="4"/>
  <c r="Q25" i="4"/>
  <c r="P25" i="4"/>
  <c r="O25" i="4"/>
  <c r="M25" i="4"/>
  <c r="L25" i="4"/>
  <c r="K25" i="4"/>
  <c r="J25" i="4"/>
  <c r="I25" i="4"/>
  <c r="H25" i="4"/>
  <c r="G25" i="4"/>
  <c r="U24" i="4"/>
  <c r="T24" i="4"/>
  <c r="S24" i="4"/>
  <c r="R24" i="4"/>
  <c r="Q24" i="4"/>
  <c r="P24" i="4"/>
  <c r="O24" i="4"/>
  <c r="M24" i="4"/>
  <c r="L24" i="4"/>
  <c r="K24" i="4"/>
  <c r="J24" i="4"/>
  <c r="I24" i="4"/>
  <c r="H24" i="4"/>
  <c r="G24" i="4"/>
  <c r="U23" i="4"/>
  <c r="T23" i="4"/>
  <c r="S23" i="4"/>
  <c r="R23" i="4"/>
  <c r="Q23" i="4"/>
  <c r="P23" i="4"/>
  <c r="O23" i="4"/>
  <c r="M23" i="4"/>
  <c r="L23" i="4"/>
  <c r="K23" i="4"/>
  <c r="J23" i="4"/>
  <c r="I23" i="4"/>
  <c r="H23" i="4"/>
  <c r="G23" i="4"/>
  <c r="U22" i="4"/>
  <c r="T22" i="4"/>
  <c r="S22" i="4"/>
  <c r="R22" i="4"/>
  <c r="Q22" i="4"/>
  <c r="P22" i="4"/>
  <c r="O22" i="4"/>
  <c r="M22" i="4"/>
  <c r="L22" i="4"/>
  <c r="K22" i="4"/>
  <c r="J22" i="4"/>
  <c r="I22" i="4"/>
  <c r="H22" i="4"/>
  <c r="G22" i="4"/>
  <c r="U21" i="4"/>
  <c r="T21" i="4"/>
  <c r="S21" i="4"/>
  <c r="R21" i="4"/>
  <c r="Q21" i="4"/>
  <c r="P21" i="4"/>
  <c r="O21" i="4"/>
  <c r="M21" i="4"/>
  <c r="L21" i="4"/>
  <c r="K21" i="4"/>
  <c r="J21" i="4"/>
  <c r="I21" i="4"/>
  <c r="H21" i="4"/>
  <c r="G21" i="4"/>
  <c r="U20" i="4"/>
  <c r="O20" i="4"/>
  <c r="U19" i="4"/>
  <c r="O19" i="4"/>
  <c r="M19" i="4"/>
  <c r="L19" i="4"/>
  <c r="K19" i="4"/>
  <c r="J19" i="4"/>
  <c r="I19" i="4"/>
  <c r="H19" i="4"/>
  <c r="G19" i="4"/>
  <c r="U18" i="4"/>
  <c r="O18" i="4"/>
  <c r="M18" i="4"/>
  <c r="L18" i="4"/>
  <c r="K18" i="4"/>
  <c r="J18" i="4"/>
  <c r="I18" i="4"/>
  <c r="H18" i="4"/>
  <c r="G18" i="4"/>
  <c r="U17" i="4"/>
  <c r="O17" i="4"/>
  <c r="M17" i="4"/>
  <c r="L17" i="4"/>
  <c r="K17" i="4"/>
  <c r="J17" i="4"/>
  <c r="I17" i="4"/>
  <c r="H17" i="4"/>
  <c r="G17" i="4"/>
  <c r="U16" i="4"/>
  <c r="T16" i="4"/>
  <c r="S16" i="4"/>
  <c r="R16" i="4"/>
  <c r="Q16" i="4"/>
  <c r="P16" i="4"/>
  <c r="O16" i="4"/>
  <c r="M16" i="4"/>
  <c r="L16" i="4"/>
  <c r="K16" i="4"/>
  <c r="J16" i="4"/>
  <c r="I16" i="4"/>
  <c r="H16" i="4"/>
  <c r="G16" i="4"/>
  <c r="U15" i="4"/>
  <c r="O15" i="4"/>
  <c r="M15" i="4"/>
  <c r="L15" i="4"/>
  <c r="K15" i="4"/>
  <c r="J15" i="4"/>
  <c r="I15" i="4"/>
  <c r="H15" i="4"/>
  <c r="G15" i="4"/>
  <c r="U14" i="4"/>
  <c r="O14" i="4"/>
  <c r="M14" i="4"/>
  <c r="L14" i="4"/>
  <c r="K14" i="4"/>
  <c r="J14" i="4"/>
  <c r="I14" i="4"/>
  <c r="H14" i="4"/>
  <c r="G14" i="4"/>
  <c r="U13" i="4"/>
  <c r="O13" i="4"/>
  <c r="M13" i="4"/>
  <c r="L13" i="4"/>
  <c r="K13" i="4"/>
  <c r="J13" i="4"/>
  <c r="I13" i="4"/>
  <c r="H13" i="4"/>
  <c r="G13" i="4"/>
  <c r="U12" i="4"/>
  <c r="O12" i="4"/>
  <c r="M12" i="4"/>
  <c r="L12" i="4"/>
  <c r="K12" i="4"/>
  <c r="J12" i="4"/>
  <c r="I12" i="4"/>
  <c r="H12" i="4"/>
  <c r="G12" i="4"/>
  <c r="U11" i="4"/>
  <c r="O11" i="4"/>
  <c r="M11" i="4"/>
  <c r="L11" i="4"/>
  <c r="K11" i="4"/>
  <c r="J11" i="4"/>
  <c r="I11" i="4"/>
  <c r="H11" i="4"/>
  <c r="G11" i="4"/>
  <c r="U10" i="4"/>
  <c r="O10" i="4"/>
  <c r="M10" i="4"/>
  <c r="L10" i="4"/>
  <c r="K10" i="4"/>
  <c r="J10" i="4"/>
  <c r="I10" i="4"/>
  <c r="H10" i="4"/>
  <c r="G10" i="4"/>
  <c r="U9" i="4"/>
  <c r="O9" i="4"/>
  <c r="M9" i="4"/>
  <c r="L9" i="4"/>
  <c r="K9" i="4"/>
  <c r="J9" i="4"/>
  <c r="I9" i="4"/>
  <c r="H9" i="4"/>
  <c r="G9" i="4"/>
  <c r="U8" i="4"/>
  <c r="O8" i="4"/>
  <c r="M8" i="4"/>
  <c r="L8" i="4"/>
  <c r="K8" i="4"/>
  <c r="J8" i="4"/>
  <c r="I8" i="4"/>
  <c r="H8" i="4"/>
  <c r="G8" i="4"/>
  <c r="T3" i="4"/>
  <c r="S3" i="4"/>
  <c r="R3" i="4"/>
  <c r="P3" i="4"/>
  <c r="M141" i="3"/>
  <c r="M140" i="3"/>
  <c r="M139" i="3"/>
  <c r="U138" i="3"/>
  <c r="O138" i="3"/>
  <c r="M138" i="3"/>
  <c r="L138" i="3"/>
  <c r="K138" i="3"/>
  <c r="J138" i="3"/>
  <c r="I138" i="3"/>
  <c r="H138" i="3"/>
  <c r="G138" i="3"/>
  <c r="U137" i="3"/>
  <c r="T137" i="3"/>
  <c r="S137" i="3"/>
  <c r="R137" i="3"/>
  <c r="Q137" i="3"/>
  <c r="P137" i="3"/>
  <c r="O137" i="3"/>
  <c r="M137" i="3"/>
  <c r="L137" i="3"/>
  <c r="K137" i="3"/>
  <c r="J137" i="3"/>
  <c r="I137" i="3"/>
  <c r="H137" i="3"/>
  <c r="G137" i="3"/>
  <c r="U136" i="3"/>
  <c r="O136" i="3"/>
  <c r="M136" i="3"/>
  <c r="L136" i="3"/>
  <c r="K136" i="3"/>
  <c r="J136" i="3"/>
  <c r="I136" i="3"/>
  <c r="H136" i="3"/>
  <c r="G136" i="3"/>
  <c r="U135" i="3"/>
  <c r="T135" i="3"/>
  <c r="S135" i="3"/>
  <c r="R135" i="3"/>
  <c r="Q135" i="3"/>
  <c r="P135" i="3"/>
  <c r="O135" i="3"/>
  <c r="M135" i="3"/>
  <c r="L135" i="3"/>
  <c r="K135" i="3"/>
  <c r="J135" i="3"/>
  <c r="I135" i="3"/>
  <c r="H135" i="3"/>
  <c r="G135" i="3"/>
  <c r="U134" i="3"/>
  <c r="O134" i="3"/>
  <c r="M134" i="3"/>
  <c r="L134" i="3"/>
  <c r="K134" i="3"/>
  <c r="J134" i="3"/>
  <c r="I134" i="3"/>
  <c r="H134" i="3"/>
  <c r="G134" i="3"/>
  <c r="U133" i="3"/>
  <c r="T133" i="3"/>
  <c r="S133" i="3"/>
  <c r="R133" i="3"/>
  <c r="Q133" i="3"/>
  <c r="P133" i="3"/>
  <c r="O133" i="3"/>
  <c r="M133" i="3"/>
  <c r="L133" i="3"/>
  <c r="K133" i="3"/>
  <c r="J133" i="3"/>
  <c r="I133" i="3"/>
  <c r="H133" i="3"/>
  <c r="G133" i="3"/>
  <c r="U132" i="3"/>
  <c r="T132" i="3"/>
  <c r="S132" i="3"/>
  <c r="R132" i="3"/>
  <c r="Q132" i="3"/>
  <c r="P132" i="3"/>
  <c r="O132" i="3"/>
  <c r="M132" i="3"/>
  <c r="L132" i="3"/>
  <c r="K132" i="3"/>
  <c r="J132" i="3"/>
  <c r="I132" i="3"/>
  <c r="H132" i="3"/>
  <c r="G132" i="3"/>
  <c r="U131" i="3"/>
  <c r="T131" i="3"/>
  <c r="S131" i="3"/>
  <c r="R131" i="3"/>
  <c r="Q131" i="3"/>
  <c r="P131" i="3"/>
  <c r="O131" i="3"/>
  <c r="M131" i="3"/>
  <c r="L131" i="3"/>
  <c r="K131" i="3"/>
  <c r="J131" i="3"/>
  <c r="I131" i="3"/>
  <c r="H131" i="3"/>
  <c r="G131" i="3"/>
  <c r="U130" i="3"/>
  <c r="T130" i="3"/>
  <c r="S130" i="3"/>
  <c r="R130" i="3"/>
  <c r="Q130" i="3"/>
  <c r="P130" i="3"/>
  <c r="O130" i="3"/>
  <c r="M130" i="3"/>
  <c r="L130" i="3"/>
  <c r="K130" i="3"/>
  <c r="J130" i="3"/>
  <c r="I130" i="3"/>
  <c r="H130" i="3"/>
  <c r="G130" i="3"/>
  <c r="U129" i="3"/>
  <c r="O129" i="3"/>
  <c r="M129" i="3"/>
  <c r="L129" i="3"/>
  <c r="K129" i="3"/>
  <c r="J129" i="3"/>
  <c r="I129" i="3"/>
  <c r="H129" i="3"/>
  <c r="G129" i="3"/>
  <c r="U128" i="3"/>
  <c r="O128" i="3"/>
  <c r="M128" i="3"/>
  <c r="L128" i="3"/>
  <c r="K128" i="3"/>
  <c r="J128" i="3"/>
  <c r="I128" i="3"/>
  <c r="H128" i="3"/>
  <c r="G128" i="3"/>
  <c r="U127" i="3"/>
  <c r="T127" i="3"/>
  <c r="S127" i="3"/>
  <c r="R127" i="3"/>
  <c r="Q127" i="3"/>
  <c r="P127" i="3"/>
  <c r="O127" i="3"/>
  <c r="M127" i="3"/>
  <c r="L127" i="3"/>
  <c r="K127" i="3"/>
  <c r="J127" i="3"/>
  <c r="I127" i="3"/>
  <c r="H127" i="3"/>
  <c r="G127" i="3"/>
  <c r="U126" i="3"/>
  <c r="O126" i="3"/>
  <c r="M126" i="3"/>
  <c r="L126" i="3"/>
  <c r="K126" i="3"/>
  <c r="J126" i="3"/>
  <c r="I126" i="3"/>
  <c r="H126" i="3"/>
  <c r="G126" i="3"/>
  <c r="U125" i="3"/>
  <c r="O125" i="3"/>
  <c r="M125" i="3"/>
  <c r="L125" i="3"/>
  <c r="K125" i="3"/>
  <c r="J125" i="3"/>
  <c r="I125" i="3"/>
  <c r="H125" i="3"/>
  <c r="G125" i="3"/>
  <c r="U124" i="3"/>
  <c r="T124" i="3"/>
  <c r="S124" i="3"/>
  <c r="R124" i="3"/>
  <c r="Q124" i="3"/>
  <c r="P124" i="3"/>
  <c r="O124" i="3"/>
  <c r="M124" i="3"/>
  <c r="L124" i="3"/>
  <c r="K124" i="3"/>
  <c r="J124" i="3"/>
  <c r="I124" i="3"/>
  <c r="H124" i="3"/>
  <c r="G124" i="3"/>
  <c r="U123" i="3"/>
  <c r="T123" i="3"/>
  <c r="S123" i="3"/>
  <c r="R123" i="3"/>
  <c r="Q123" i="3"/>
  <c r="P123" i="3"/>
  <c r="O123" i="3"/>
  <c r="M123" i="3"/>
  <c r="L123" i="3"/>
  <c r="K123" i="3"/>
  <c r="J123" i="3"/>
  <c r="I123" i="3"/>
  <c r="H123" i="3"/>
  <c r="G123" i="3"/>
  <c r="U122" i="3"/>
  <c r="T122" i="3"/>
  <c r="S122" i="3"/>
  <c r="R122" i="3"/>
  <c r="Q122" i="3"/>
  <c r="P122" i="3"/>
  <c r="O122" i="3"/>
  <c r="M122" i="3"/>
  <c r="L122" i="3"/>
  <c r="K122" i="3"/>
  <c r="J122" i="3"/>
  <c r="I122" i="3"/>
  <c r="H122" i="3"/>
  <c r="G122" i="3"/>
  <c r="U121" i="3"/>
  <c r="T121" i="3"/>
  <c r="S121" i="3"/>
  <c r="R121" i="3"/>
  <c r="Q121" i="3"/>
  <c r="P121" i="3"/>
  <c r="O121" i="3"/>
  <c r="M121" i="3"/>
  <c r="L121" i="3"/>
  <c r="K121" i="3"/>
  <c r="J121" i="3"/>
  <c r="I121" i="3"/>
  <c r="H121" i="3"/>
  <c r="G121" i="3"/>
  <c r="U120" i="3"/>
  <c r="T120" i="3"/>
  <c r="S120" i="3"/>
  <c r="R120" i="3"/>
  <c r="Q120" i="3"/>
  <c r="P120" i="3"/>
  <c r="O120" i="3"/>
  <c r="M120" i="3"/>
  <c r="L120" i="3"/>
  <c r="K120" i="3"/>
  <c r="J120" i="3"/>
  <c r="I120" i="3"/>
  <c r="H120" i="3"/>
  <c r="G120" i="3"/>
  <c r="U119" i="3"/>
  <c r="T119" i="3"/>
  <c r="S119" i="3"/>
  <c r="R119" i="3"/>
  <c r="Q119" i="3"/>
  <c r="P119" i="3"/>
  <c r="O119" i="3"/>
  <c r="M119" i="3"/>
  <c r="L119" i="3"/>
  <c r="K119" i="3"/>
  <c r="J119" i="3"/>
  <c r="I119" i="3"/>
  <c r="H119" i="3"/>
  <c r="G119" i="3"/>
  <c r="U117" i="3"/>
  <c r="O117" i="3"/>
  <c r="M117" i="3"/>
  <c r="L117" i="3"/>
  <c r="K117" i="3"/>
  <c r="J117" i="3"/>
  <c r="I117" i="3"/>
  <c r="H117" i="3"/>
  <c r="G117" i="3"/>
  <c r="U116" i="3"/>
  <c r="O116" i="3"/>
  <c r="M116" i="3"/>
  <c r="L116" i="3"/>
  <c r="K116" i="3"/>
  <c r="J116" i="3"/>
  <c r="I116" i="3"/>
  <c r="H116" i="3"/>
  <c r="G116" i="3"/>
  <c r="U115" i="3"/>
  <c r="O115" i="3"/>
  <c r="M115" i="3"/>
  <c r="L115" i="3"/>
  <c r="K115" i="3"/>
  <c r="J115" i="3"/>
  <c r="I115" i="3"/>
  <c r="H115" i="3"/>
  <c r="G115" i="3"/>
  <c r="U114" i="3"/>
  <c r="O114" i="3"/>
  <c r="M114" i="3"/>
  <c r="L114" i="3"/>
  <c r="K114" i="3"/>
  <c r="J114" i="3"/>
  <c r="I114" i="3"/>
  <c r="H114" i="3"/>
  <c r="G114" i="3"/>
  <c r="U113" i="3"/>
  <c r="O113" i="3"/>
  <c r="M113" i="3"/>
  <c r="L113" i="3"/>
  <c r="K113" i="3"/>
  <c r="J113" i="3"/>
  <c r="I113" i="3"/>
  <c r="H113" i="3"/>
  <c r="G113" i="3"/>
  <c r="U112" i="3"/>
  <c r="O112" i="3"/>
  <c r="M112" i="3"/>
  <c r="L112" i="3"/>
  <c r="K112" i="3"/>
  <c r="J112" i="3"/>
  <c r="I112" i="3"/>
  <c r="H112" i="3"/>
  <c r="G112" i="3"/>
  <c r="U111" i="3"/>
  <c r="O111" i="3"/>
  <c r="M111" i="3"/>
  <c r="L111" i="3"/>
  <c r="K111" i="3"/>
  <c r="J111" i="3"/>
  <c r="I111" i="3"/>
  <c r="H111" i="3"/>
  <c r="G111" i="3"/>
  <c r="U110" i="3"/>
  <c r="T110" i="3"/>
  <c r="S110" i="3"/>
  <c r="R110" i="3"/>
  <c r="Q110" i="3"/>
  <c r="P110" i="3"/>
  <c r="O110" i="3"/>
  <c r="M110" i="3"/>
  <c r="L110" i="3"/>
  <c r="K110" i="3"/>
  <c r="J110" i="3"/>
  <c r="I110" i="3"/>
  <c r="H110" i="3"/>
  <c r="G110" i="3"/>
  <c r="U108" i="3"/>
  <c r="T108" i="3"/>
  <c r="S108" i="3"/>
  <c r="R108" i="3"/>
  <c r="Q108" i="3"/>
  <c r="P108" i="3"/>
  <c r="O108" i="3"/>
  <c r="M108" i="3"/>
  <c r="L108" i="3"/>
  <c r="K108" i="3"/>
  <c r="J108" i="3"/>
  <c r="I108" i="3"/>
  <c r="H108" i="3"/>
  <c r="G108" i="3"/>
  <c r="U107" i="3"/>
  <c r="T107" i="3"/>
  <c r="S107" i="3"/>
  <c r="R107" i="3"/>
  <c r="Q107" i="3"/>
  <c r="P107" i="3"/>
  <c r="O107" i="3"/>
  <c r="M107" i="3"/>
  <c r="L107" i="3"/>
  <c r="K107" i="3"/>
  <c r="J107" i="3"/>
  <c r="I107" i="3"/>
  <c r="H107" i="3"/>
  <c r="G107" i="3"/>
  <c r="U106" i="3"/>
  <c r="T106" i="3"/>
  <c r="S106" i="3"/>
  <c r="R106" i="3"/>
  <c r="Q106" i="3"/>
  <c r="P106" i="3"/>
  <c r="O106" i="3"/>
  <c r="M106" i="3"/>
  <c r="L106" i="3"/>
  <c r="K106" i="3"/>
  <c r="J106" i="3"/>
  <c r="I106" i="3"/>
  <c r="H106" i="3"/>
  <c r="G106" i="3"/>
  <c r="U105" i="3"/>
  <c r="T105" i="3"/>
  <c r="S105" i="3"/>
  <c r="R105" i="3"/>
  <c r="Q105" i="3"/>
  <c r="P105" i="3"/>
  <c r="O105" i="3"/>
  <c r="M105" i="3"/>
  <c r="L105" i="3"/>
  <c r="K105" i="3"/>
  <c r="J105" i="3"/>
  <c r="I105" i="3"/>
  <c r="H105" i="3"/>
  <c r="G105" i="3"/>
  <c r="U104" i="3"/>
  <c r="O104" i="3"/>
  <c r="M104" i="3"/>
  <c r="L104" i="3"/>
  <c r="K104" i="3"/>
  <c r="J104" i="3"/>
  <c r="I104" i="3"/>
  <c r="H104" i="3"/>
  <c r="G104" i="3"/>
  <c r="U103" i="3"/>
  <c r="T103" i="3"/>
  <c r="S103" i="3"/>
  <c r="R103" i="3"/>
  <c r="Q103" i="3"/>
  <c r="P103" i="3"/>
  <c r="O103" i="3"/>
  <c r="M103" i="3"/>
  <c r="L103" i="3"/>
  <c r="K103" i="3"/>
  <c r="J103" i="3"/>
  <c r="I103" i="3"/>
  <c r="H103" i="3"/>
  <c r="G103" i="3"/>
  <c r="U102" i="3"/>
  <c r="T102" i="3"/>
  <c r="S102" i="3"/>
  <c r="R102" i="3"/>
  <c r="Q102" i="3"/>
  <c r="P102" i="3"/>
  <c r="O102" i="3"/>
  <c r="M102" i="3"/>
  <c r="L102" i="3"/>
  <c r="K102" i="3"/>
  <c r="J102" i="3"/>
  <c r="I102" i="3"/>
  <c r="H102" i="3"/>
  <c r="G102" i="3"/>
  <c r="U101" i="3"/>
  <c r="T101" i="3"/>
  <c r="S101" i="3"/>
  <c r="R101" i="3"/>
  <c r="Q101" i="3"/>
  <c r="P101" i="3"/>
  <c r="O101" i="3"/>
  <c r="M101" i="3"/>
  <c r="L101" i="3"/>
  <c r="K101" i="3"/>
  <c r="J101" i="3"/>
  <c r="I101" i="3"/>
  <c r="H101" i="3"/>
  <c r="G101" i="3"/>
  <c r="U99" i="3"/>
  <c r="T99" i="3"/>
  <c r="S99" i="3"/>
  <c r="R99" i="3"/>
  <c r="Q99" i="3"/>
  <c r="P99" i="3"/>
  <c r="O99" i="3"/>
  <c r="M99" i="3"/>
  <c r="L99" i="3"/>
  <c r="K99" i="3"/>
  <c r="J99" i="3"/>
  <c r="I99" i="3"/>
  <c r="H99" i="3"/>
  <c r="G99" i="3"/>
  <c r="U98" i="3"/>
  <c r="O98" i="3"/>
  <c r="M98" i="3"/>
  <c r="L98" i="3"/>
  <c r="K98" i="3"/>
  <c r="J98" i="3"/>
  <c r="I98" i="3"/>
  <c r="H98" i="3"/>
  <c r="G98" i="3"/>
  <c r="U97" i="3"/>
  <c r="O97" i="3"/>
  <c r="M97" i="3"/>
  <c r="L97" i="3"/>
  <c r="K97" i="3"/>
  <c r="J97" i="3"/>
  <c r="I97" i="3"/>
  <c r="H97" i="3"/>
  <c r="G97" i="3"/>
  <c r="U96" i="3"/>
  <c r="O96" i="3"/>
  <c r="M96" i="3"/>
  <c r="L96" i="3"/>
  <c r="K96" i="3"/>
  <c r="J96" i="3"/>
  <c r="I96" i="3"/>
  <c r="H96" i="3"/>
  <c r="G96" i="3"/>
  <c r="U95" i="3"/>
  <c r="O95" i="3"/>
  <c r="M95" i="3"/>
  <c r="L95" i="3"/>
  <c r="K95" i="3"/>
  <c r="J95" i="3"/>
  <c r="I95" i="3"/>
  <c r="H95" i="3"/>
  <c r="G95" i="3"/>
  <c r="U94" i="3"/>
  <c r="O94" i="3"/>
  <c r="M94" i="3"/>
  <c r="L94" i="3"/>
  <c r="K94" i="3"/>
  <c r="J94" i="3"/>
  <c r="I94" i="3"/>
  <c r="H94" i="3"/>
  <c r="G94" i="3"/>
  <c r="U93" i="3"/>
  <c r="O93" i="3"/>
  <c r="M93" i="3"/>
  <c r="L93" i="3"/>
  <c r="K93" i="3"/>
  <c r="J93" i="3"/>
  <c r="I93" i="3"/>
  <c r="H93" i="3"/>
  <c r="G93" i="3"/>
  <c r="U92" i="3"/>
  <c r="O92" i="3"/>
  <c r="M92" i="3"/>
  <c r="L92" i="3"/>
  <c r="K92" i="3"/>
  <c r="J92" i="3"/>
  <c r="I92" i="3"/>
  <c r="H92" i="3"/>
  <c r="G92" i="3"/>
  <c r="U91" i="3"/>
  <c r="O91" i="3"/>
  <c r="M91" i="3"/>
  <c r="L91" i="3"/>
  <c r="K91" i="3"/>
  <c r="J91" i="3"/>
  <c r="I91" i="3"/>
  <c r="H91" i="3"/>
  <c r="G91" i="3"/>
  <c r="U90" i="3"/>
  <c r="O90" i="3"/>
  <c r="M90" i="3"/>
  <c r="L90" i="3"/>
  <c r="K90" i="3"/>
  <c r="J90" i="3"/>
  <c r="I90" i="3"/>
  <c r="H90" i="3"/>
  <c r="G90" i="3"/>
  <c r="U89" i="3"/>
  <c r="O89" i="3"/>
  <c r="M89" i="3"/>
  <c r="L89" i="3"/>
  <c r="K89" i="3"/>
  <c r="J89" i="3"/>
  <c r="I89" i="3"/>
  <c r="H89" i="3"/>
  <c r="G89" i="3"/>
  <c r="U88" i="3"/>
  <c r="O88" i="3"/>
  <c r="M88" i="3"/>
  <c r="L88" i="3"/>
  <c r="K88" i="3"/>
  <c r="J88" i="3"/>
  <c r="I88" i="3"/>
  <c r="H88" i="3"/>
  <c r="G88" i="3"/>
  <c r="U87" i="3"/>
  <c r="O87" i="3"/>
  <c r="M87" i="3"/>
  <c r="L87" i="3"/>
  <c r="K87" i="3"/>
  <c r="J87" i="3"/>
  <c r="I87" i="3"/>
  <c r="H87" i="3"/>
  <c r="G87" i="3"/>
  <c r="U84" i="3"/>
  <c r="O84" i="3"/>
  <c r="M84" i="3"/>
  <c r="L84" i="3"/>
  <c r="K84" i="3"/>
  <c r="J84" i="3"/>
  <c r="I84" i="3"/>
  <c r="H84" i="3"/>
  <c r="G84" i="3"/>
  <c r="U83" i="3"/>
  <c r="O83" i="3"/>
  <c r="M83" i="3"/>
  <c r="L83" i="3"/>
  <c r="K83" i="3"/>
  <c r="J83" i="3"/>
  <c r="I83" i="3"/>
  <c r="H83" i="3"/>
  <c r="G83" i="3"/>
  <c r="U82" i="3"/>
  <c r="O82" i="3"/>
  <c r="M82" i="3"/>
  <c r="L82" i="3"/>
  <c r="K82" i="3"/>
  <c r="J82" i="3"/>
  <c r="I82" i="3"/>
  <c r="H82" i="3"/>
  <c r="G82" i="3"/>
  <c r="U81" i="3"/>
  <c r="O81" i="3"/>
  <c r="M81" i="3"/>
  <c r="L81" i="3"/>
  <c r="K81" i="3"/>
  <c r="J81" i="3"/>
  <c r="I81" i="3"/>
  <c r="H81" i="3"/>
  <c r="G81" i="3"/>
  <c r="U80" i="3"/>
  <c r="O80" i="3"/>
  <c r="M80" i="3"/>
  <c r="L80" i="3"/>
  <c r="K80" i="3"/>
  <c r="J80" i="3"/>
  <c r="I80" i="3"/>
  <c r="H80" i="3"/>
  <c r="G80" i="3"/>
  <c r="U79" i="3"/>
  <c r="O79" i="3"/>
  <c r="M79" i="3"/>
  <c r="L79" i="3"/>
  <c r="K79" i="3"/>
  <c r="J79" i="3"/>
  <c r="I79" i="3"/>
  <c r="H79" i="3"/>
  <c r="G79" i="3"/>
  <c r="U78" i="3"/>
  <c r="O78" i="3"/>
  <c r="M78" i="3"/>
  <c r="L78" i="3"/>
  <c r="K78" i="3"/>
  <c r="J78" i="3"/>
  <c r="I78" i="3"/>
  <c r="H78" i="3"/>
  <c r="G78" i="3"/>
  <c r="U77" i="3"/>
  <c r="O77" i="3"/>
  <c r="M77" i="3"/>
  <c r="L77" i="3"/>
  <c r="K77" i="3"/>
  <c r="J77" i="3"/>
  <c r="I77" i="3"/>
  <c r="H77" i="3"/>
  <c r="G77" i="3"/>
  <c r="U76" i="3"/>
  <c r="O76" i="3"/>
  <c r="M76" i="3"/>
  <c r="L76" i="3"/>
  <c r="K76" i="3"/>
  <c r="J76" i="3"/>
  <c r="I76" i="3"/>
  <c r="H76" i="3"/>
  <c r="G76" i="3"/>
  <c r="U75" i="3"/>
  <c r="O75" i="3"/>
  <c r="M75" i="3"/>
  <c r="L75" i="3"/>
  <c r="K75" i="3"/>
  <c r="J75" i="3"/>
  <c r="I75" i="3"/>
  <c r="H75" i="3"/>
  <c r="G75" i="3"/>
  <c r="U73" i="3"/>
  <c r="T73" i="3"/>
  <c r="S73" i="3"/>
  <c r="R73" i="3"/>
  <c r="Q73" i="3"/>
  <c r="P73" i="3"/>
  <c r="O73" i="3"/>
  <c r="M73" i="3"/>
  <c r="L73" i="3"/>
  <c r="K73" i="3"/>
  <c r="J73" i="3"/>
  <c r="I73" i="3"/>
  <c r="H73" i="3"/>
  <c r="G73" i="3"/>
  <c r="U72" i="3"/>
  <c r="T72" i="3"/>
  <c r="S72" i="3"/>
  <c r="R72" i="3"/>
  <c r="Q72" i="3"/>
  <c r="P72" i="3"/>
  <c r="O72" i="3"/>
  <c r="M72" i="3"/>
  <c r="L72" i="3"/>
  <c r="K72" i="3"/>
  <c r="J72" i="3"/>
  <c r="I72" i="3"/>
  <c r="H72" i="3"/>
  <c r="G72" i="3"/>
  <c r="U71" i="3"/>
  <c r="T71" i="3"/>
  <c r="S71" i="3"/>
  <c r="R71" i="3"/>
  <c r="Q71" i="3"/>
  <c r="P71" i="3"/>
  <c r="O71" i="3"/>
  <c r="M71" i="3"/>
  <c r="L71" i="3"/>
  <c r="K71" i="3"/>
  <c r="J71" i="3"/>
  <c r="I71" i="3"/>
  <c r="H71" i="3"/>
  <c r="G71" i="3"/>
  <c r="U70" i="3"/>
  <c r="T70" i="3"/>
  <c r="S70" i="3"/>
  <c r="R70" i="3"/>
  <c r="Q70" i="3"/>
  <c r="P70" i="3"/>
  <c r="O70" i="3"/>
  <c r="M70" i="3"/>
  <c r="L70" i="3"/>
  <c r="K70" i="3"/>
  <c r="J70" i="3"/>
  <c r="I70" i="3"/>
  <c r="H70" i="3"/>
  <c r="G70" i="3"/>
  <c r="U69" i="3"/>
  <c r="O69" i="3"/>
  <c r="M69" i="3"/>
  <c r="L69" i="3"/>
  <c r="K69" i="3"/>
  <c r="J69" i="3"/>
  <c r="I69" i="3"/>
  <c r="H69" i="3"/>
  <c r="G69" i="3"/>
  <c r="U68" i="3"/>
  <c r="O68" i="3"/>
  <c r="M68" i="3"/>
  <c r="L68" i="3"/>
  <c r="K68" i="3"/>
  <c r="J68" i="3"/>
  <c r="I68" i="3"/>
  <c r="H68" i="3"/>
  <c r="G68" i="3"/>
  <c r="U67" i="3"/>
  <c r="O67" i="3"/>
  <c r="M67" i="3"/>
  <c r="L67" i="3"/>
  <c r="K67" i="3"/>
  <c r="J67" i="3"/>
  <c r="I67" i="3"/>
  <c r="H67" i="3"/>
  <c r="G67" i="3"/>
  <c r="U66" i="3"/>
  <c r="O66" i="3"/>
  <c r="M66" i="3"/>
  <c r="L66" i="3"/>
  <c r="K66" i="3"/>
  <c r="J66" i="3"/>
  <c r="I66" i="3"/>
  <c r="H66" i="3"/>
  <c r="G66" i="3"/>
  <c r="U65" i="3"/>
  <c r="O65" i="3"/>
  <c r="M65" i="3"/>
  <c r="L65" i="3"/>
  <c r="K65" i="3"/>
  <c r="J65" i="3"/>
  <c r="I65" i="3"/>
  <c r="H65" i="3"/>
  <c r="G65" i="3"/>
  <c r="U64" i="3"/>
  <c r="O64" i="3"/>
  <c r="M64" i="3"/>
  <c r="L64" i="3"/>
  <c r="K64" i="3"/>
  <c r="J64" i="3"/>
  <c r="I64" i="3"/>
  <c r="H64" i="3"/>
  <c r="G64" i="3"/>
  <c r="U63" i="3"/>
  <c r="O63" i="3"/>
  <c r="M63" i="3"/>
  <c r="L63" i="3"/>
  <c r="K63" i="3"/>
  <c r="J63" i="3"/>
  <c r="I63" i="3"/>
  <c r="H63" i="3"/>
  <c r="G63" i="3"/>
  <c r="U60" i="3"/>
  <c r="T60" i="3"/>
  <c r="S60" i="3"/>
  <c r="R60" i="3"/>
  <c r="Q60" i="3"/>
  <c r="P60" i="3"/>
  <c r="O60" i="3"/>
  <c r="M60" i="3"/>
  <c r="L60" i="3"/>
  <c r="K60" i="3"/>
  <c r="J60" i="3"/>
  <c r="I60" i="3"/>
  <c r="H60" i="3"/>
  <c r="G60" i="3"/>
  <c r="U59" i="3"/>
  <c r="O59" i="3"/>
  <c r="M59" i="3"/>
  <c r="L59" i="3"/>
  <c r="K59" i="3"/>
  <c r="J59" i="3"/>
  <c r="I59" i="3"/>
  <c r="H59" i="3"/>
  <c r="G59" i="3"/>
  <c r="U58" i="3"/>
  <c r="T58" i="3"/>
  <c r="S58" i="3"/>
  <c r="R58" i="3"/>
  <c r="Q58" i="3"/>
  <c r="P58" i="3"/>
  <c r="O58" i="3"/>
  <c r="M58" i="3"/>
  <c r="L58" i="3"/>
  <c r="K58" i="3"/>
  <c r="J58" i="3"/>
  <c r="I58" i="3"/>
  <c r="H58" i="3"/>
  <c r="G58" i="3"/>
  <c r="U57" i="3"/>
  <c r="O57" i="3"/>
  <c r="M57" i="3"/>
  <c r="L57" i="3"/>
  <c r="K57" i="3"/>
  <c r="J57" i="3"/>
  <c r="I57" i="3"/>
  <c r="H57" i="3"/>
  <c r="G57" i="3"/>
  <c r="U56" i="3"/>
  <c r="O56" i="3"/>
  <c r="M56" i="3"/>
  <c r="L56" i="3"/>
  <c r="K56" i="3"/>
  <c r="J56" i="3"/>
  <c r="I56" i="3"/>
  <c r="H56" i="3"/>
  <c r="G56" i="3"/>
  <c r="U55" i="3"/>
  <c r="O55" i="3"/>
  <c r="M55" i="3"/>
  <c r="L55" i="3"/>
  <c r="K55" i="3"/>
  <c r="J55" i="3"/>
  <c r="I55" i="3"/>
  <c r="H55" i="3"/>
  <c r="G55" i="3"/>
  <c r="U54" i="3"/>
  <c r="T54" i="3"/>
  <c r="S54" i="3"/>
  <c r="R54" i="3"/>
  <c r="Q54" i="3"/>
  <c r="P54" i="3"/>
  <c r="O54" i="3"/>
  <c r="M54" i="3"/>
  <c r="L54" i="3"/>
  <c r="K54" i="3"/>
  <c r="J54" i="3"/>
  <c r="I54" i="3"/>
  <c r="H54" i="3"/>
  <c r="G54" i="3"/>
  <c r="U53" i="3"/>
  <c r="O53" i="3"/>
  <c r="M53" i="3"/>
  <c r="L53" i="3"/>
  <c r="K53" i="3"/>
  <c r="J53" i="3"/>
  <c r="I53" i="3"/>
  <c r="H53" i="3"/>
  <c r="G53" i="3"/>
  <c r="U52" i="3"/>
  <c r="O52" i="3"/>
  <c r="M52" i="3"/>
  <c r="L52" i="3"/>
  <c r="K52" i="3"/>
  <c r="J52" i="3"/>
  <c r="I52" i="3"/>
  <c r="H52" i="3"/>
  <c r="G52" i="3"/>
  <c r="U51" i="3"/>
  <c r="O51" i="3"/>
  <c r="M51" i="3"/>
  <c r="L51" i="3"/>
  <c r="K51" i="3"/>
  <c r="J51" i="3"/>
  <c r="I51" i="3"/>
  <c r="H51" i="3"/>
  <c r="G51" i="3"/>
  <c r="U50" i="3"/>
  <c r="O50" i="3"/>
  <c r="M50" i="3"/>
  <c r="L50" i="3"/>
  <c r="K50" i="3"/>
  <c r="J50" i="3"/>
  <c r="I50" i="3"/>
  <c r="H50" i="3"/>
  <c r="G50" i="3"/>
  <c r="U49" i="3"/>
  <c r="O49" i="3"/>
  <c r="M49" i="3"/>
  <c r="L49" i="3"/>
  <c r="K49" i="3"/>
  <c r="J49" i="3"/>
  <c r="I49" i="3"/>
  <c r="H49" i="3"/>
  <c r="G49" i="3"/>
  <c r="U48" i="3"/>
  <c r="O48" i="3"/>
  <c r="M48" i="3"/>
  <c r="L48" i="3"/>
  <c r="K48" i="3"/>
  <c r="J48" i="3"/>
  <c r="I48" i="3"/>
  <c r="H48" i="3"/>
  <c r="G48" i="3"/>
  <c r="U47" i="3"/>
  <c r="O47" i="3"/>
  <c r="M47" i="3"/>
  <c r="L47" i="3"/>
  <c r="K47" i="3"/>
  <c r="J47" i="3"/>
  <c r="I47" i="3"/>
  <c r="H47" i="3"/>
  <c r="G47" i="3"/>
  <c r="U46" i="3"/>
  <c r="O46" i="3"/>
  <c r="M46" i="3"/>
  <c r="L46" i="3"/>
  <c r="K46" i="3"/>
  <c r="J46" i="3"/>
  <c r="I46" i="3"/>
  <c r="H46" i="3"/>
  <c r="G46" i="3"/>
  <c r="U45" i="3"/>
  <c r="O45" i="3"/>
  <c r="M45" i="3"/>
  <c r="L45" i="3"/>
  <c r="K45" i="3"/>
  <c r="J45" i="3"/>
  <c r="I45" i="3"/>
  <c r="H45" i="3"/>
  <c r="G45" i="3"/>
  <c r="U44" i="3"/>
  <c r="O44" i="3"/>
  <c r="M44" i="3"/>
  <c r="L44" i="3"/>
  <c r="K44" i="3"/>
  <c r="J44" i="3"/>
  <c r="I44" i="3"/>
  <c r="H44" i="3"/>
  <c r="G44" i="3"/>
  <c r="U43" i="3"/>
  <c r="O43" i="3"/>
  <c r="M43" i="3"/>
  <c r="L43" i="3"/>
  <c r="K43" i="3"/>
  <c r="J43" i="3"/>
  <c r="I43" i="3"/>
  <c r="H43" i="3"/>
  <c r="G43" i="3"/>
  <c r="U41" i="3"/>
  <c r="O41" i="3"/>
  <c r="M41" i="3"/>
  <c r="L41" i="3"/>
  <c r="K41" i="3"/>
  <c r="J41" i="3"/>
  <c r="I41" i="3"/>
  <c r="H41" i="3"/>
  <c r="G41" i="3"/>
  <c r="U40" i="3"/>
  <c r="T40" i="3"/>
  <c r="S40" i="3"/>
  <c r="R40" i="3"/>
  <c r="Q40" i="3"/>
  <c r="P40" i="3"/>
  <c r="O40" i="3"/>
  <c r="M40" i="3"/>
  <c r="L40" i="3"/>
  <c r="K40" i="3"/>
  <c r="J40" i="3"/>
  <c r="I40" i="3"/>
  <c r="H40" i="3"/>
  <c r="G40" i="3"/>
  <c r="U39" i="3"/>
  <c r="T39" i="3"/>
  <c r="S39" i="3"/>
  <c r="R39" i="3"/>
  <c r="Q39" i="3"/>
  <c r="P39" i="3"/>
  <c r="O39" i="3"/>
  <c r="M39" i="3"/>
  <c r="L39" i="3"/>
  <c r="K39" i="3"/>
  <c r="J39" i="3"/>
  <c r="I39" i="3"/>
  <c r="H39" i="3"/>
  <c r="G39" i="3"/>
  <c r="U38" i="3"/>
  <c r="T38" i="3"/>
  <c r="S38" i="3"/>
  <c r="R38" i="3"/>
  <c r="Q38" i="3"/>
  <c r="P38" i="3"/>
  <c r="O38" i="3"/>
  <c r="M38" i="3"/>
  <c r="L38" i="3"/>
  <c r="K38" i="3"/>
  <c r="J38" i="3"/>
  <c r="I38" i="3"/>
  <c r="H38" i="3"/>
  <c r="G38" i="3"/>
  <c r="U37" i="3"/>
  <c r="T37" i="3"/>
  <c r="S37" i="3"/>
  <c r="R37" i="3"/>
  <c r="Q37" i="3"/>
  <c r="P37" i="3"/>
  <c r="O37" i="3"/>
  <c r="M37" i="3"/>
  <c r="L37" i="3"/>
  <c r="K37" i="3"/>
  <c r="J37" i="3"/>
  <c r="I37" i="3"/>
  <c r="H37" i="3"/>
  <c r="G37" i="3"/>
  <c r="U36" i="3"/>
  <c r="T36" i="3"/>
  <c r="S36" i="3"/>
  <c r="R36" i="3"/>
  <c r="Q36" i="3"/>
  <c r="P36" i="3"/>
  <c r="O36" i="3"/>
  <c r="M36" i="3"/>
  <c r="L36" i="3"/>
  <c r="K36" i="3"/>
  <c r="J36" i="3"/>
  <c r="I36" i="3"/>
  <c r="H36" i="3"/>
  <c r="G36" i="3"/>
  <c r="U35" i="3"/>
  <c r="O35" i="3"/>
  <c r="M35" i="3"/>
  <c r="L35" i="3"/>
  <c r="K35" i="3"/>
  <c r="J35" i="3"/>
  <c r="I35" i="3"/>
  <c r="H35" i="3"/>
  <c r="G35" i="3"/>
  <c r="U34" i="3"/>
  <c r="T34" i="3"/>
  <c r="S34" i="3"/>
  <c r="R34" i="3"/>
  <c r="Q34" i="3"/>
  <c r="P34" i="3"/>
  <c r="O34" i="3"/>
  <c r="M34" i="3"/>
  <c r="L34" i="3"/>
  <c r="K34" i="3"/>
  <c r="J34" i="3"/>
  <c r="I34" i="3"/>
  <c r="H34" i="3"/>
  <c r="G34" i="3"/>
  <c r="U33" i="3"/>
  <c r="T33" i="3"/>
  <c r="S33" i="3"/>
  <c r="R33" i="3"/>
  <c r="Q33" i="3"/>
  <c r="P33" i="3"/>
  <c r="O33" i="3"/>
  <c r="M33" i="3"/>
  <c r="L33" i="3"/>
  <c r="K33" i="3"/>
  <c r="J33" i="3"/>
  <c r="I33" i="3"/>
  <c r="H33" i="3"/>
  <c r="G33" i="3"/>
  <c r="U32" i="3"/>
  <c r="T32" i="3"/>
  <c r="S32" i="3"/>
  <c r="R32" i="3"/>
  <c r="Q32" i="3"/>
  <c r="P32" i="3"/>
  <c r="O32" i="3"/>
  <c r="M32" i="3"/>
  <c r="L32" i="3"/>
  <c r="K32" i="3"/>
  <c r="J32" i="3"/>
  <c r="I32" i="3"/>
  <c r="H32" i="3"/>
  <c r="G32" i="3"/>
  <c r="U30" i="3"/>
  <c r="T30" i="3"/>
  <c r="S30" i="3"/>
  <c r="R30" i="3"/>
  <c r="Q30" i="3"/>
  <c r="P30" i="3"/>
  <c r="O30" i="3"/>
  <c r="M30" i="3"/>
  <c r="L30" i="3"/>
  <c r="K30" i="3"/>
  <c r="J30" i="3"/>
  <c r="I30" i="3"/>
  <c r="H30" i="3"/>
  <c r="G30" i="3"/>
  <c r="U29" i="3"/>
  <c r="T29" i="3"/>
  <c r="S29" i="3"/>
  <c r="R29" i="3"/>
  <c r="Q29" i="3"/>
  <c r="P29" i="3"/>
  <c r="O29" i="3"/>
  <c r="M29" i="3"/>
  <c r="L29" i="3"/>
  <c r="K29" i="3"/>
  <c r="J29" i="3"/>
  <c r="I29" i="3"/>
  <c r="H29" i="3"/>
  <c r="G29" i="3"/>
  <c r="U28" i="3"/>
  <c r="O28" i="3"/>
  <c r="M28" i="3"/>
  <c r="L28" i="3"/>
  <c r="K28" i="3"/>
  <c r="J28" i="3"/>
  <c r="I28" i="3"/>
  <c r="H28" i="3"/>
  <c r="G28" i="3"/>
  <c r="U27" i="3"/>
  <c r="O27" i="3"/>
  <c r="M27" i="3"/>
  <c r="L27" i="3"/>
  <c r="K27" i="3"/>
  <c r="J27" i="3"/>
  <c r="I27" i="3"/>
  <c r="H27" i="3"/>
  <c r="G27" i="3"/>
  <c r="U26" i="3"/>
  <c r="O26" i="3"/>
  <c r="M26" i="3"/>
  <c r="L26" i="3"/>
  <c r="K26" i="3"/>
  <c r="J26" i="3"/>
  <c r="I26" i="3"/>
  <c r="H26" i="3"/>
  <c r="G26" i="3"/>
  <c r="U25" i="3"/>
  <c r="O25" i="3"/>
  <c r="M25" i="3"/>
  <c r="L25" i="3"/>
  <c r="K25" i="3"/>
  <c r="J25" i="3"/>
  <c r="I25" i="3"/>
  <c r="H25" i="3"/>
  <c r="G25" i="3"/>
  <c r="U24" i="3"/>
  <c r="O24" i="3"/>
  <c r="M24" i="3"/>
  <c r="L24" i="3"/>
  <c r="K24" i="3"/>
  <c r="J24" i="3"/>
  <c r="I24" i="3"/>
  <c r="H24" i="3"/>
  <c r="G24" i="3"/>
  <c r="U23" i="3"/>
  <c r="O23" i="3"/>
  <c r="M23" i="3"/>
  <c r="L23" i="3"/>
  <c r="K23" i="3"/>
  <c r="J23" i="3"/>
  <c r="I23" i="3"/>
  <c r="H23" i="3"/>
  <c r="G23" i="3"/>
  <c r="U22" i="3"/>
  <c r="O22" i="3"/>
  <c r="M22" i="3"/>
  <c r="L22" i="3"/>
  <c r="K22" i="3"/>
  <c r="J22" i="3"/>
  <c r="I22" i="3"/>
  <c r="H22" i="3"/>
  <c r="G22" i="3"/>
  <c r="U21" i="3"/>
  <c r="O21" i="3"/>
  <c r="M21" i="3"/>
  <c r="L21" i="3"/>
  <c r="K21" i="3"/>
  <c r="J21" i="3"/>
  <c r="I21" i="3"/>
  <c r="H21" i="3"/>
  <c r="G21" i="3"/>
  <c r="U20" i="3"/>
  <c r="O20" i="3"/>
  <c r="M20" i="3"/>
  <c r="L20" i="3"/>
  <c r="K20" i="3"/>
  <c r="J20" i="3"/>
  <c r="I20" i="3"/>
  <c r="H20" i="3"/>
  <c r="G20" i="3"/>
  <c r="U19" i="3"/>
  <c r="O19" i="3"/>
  <c r="M19" i="3"/>
  <c r="L19" i="3"/>
  <c r="K19" i="3"/>
  <c r="J19" i="3"/>
  <c r="I19" i="3"/>
  <c r="H19" i="3"/>
  <c r="G19" i="3"/>
  <c r="U18" i="3"/>
  <c r="O18" i="3"/>
  <c r="M18" i="3"/>
  <c r="L18" i="3"/>
  <c r="K18" i="3"/>
  <c r="J18" i="3"/>
  <c r="I18" i="3"/>
  <c r="H18" i="3"/>
  <c r="G18" i="3"/>
  <c r="U17" i="3"/>
  <c r="O17" i="3"/>
  <c r="M17" i="3"/>
  <c r="L17" i="3"/>
  <c r="K17" i="3"/>
  <c r="J17" i="3"/>
  <c r="I17" i="3"/>
  <c r="H17" i="3"/>
  <c r="G17" i="3"/>
  <c r="U16" i="3"/>
  <c r="O16" i="3"/>
  <c r="M16" i="3"/>
  <c r="L16" i="3"/>
  <c r="K16" i="3"/>
  <c r="J16" i="3"/>
  <c r="I16" i="3"/>
  <c r="H16" i="3"/>
  <c r="G16" i="3"/>
  <c r="U15" i="3"/>
  <c r="O15" i="3"/>
  <c r="M15" i="3"/>
  <c r="L15" i="3"/>
  <c r="K15" i="3"/>
  <c r="J15" i="3"/>
  <c r="I15" i="3"/>
  <c r="H15" i="3"/>
  <c r="G15" i="3"/>
  <c r="U14" i="3"/>
  <c r="O14" i="3"/>
  <c r="M14" i="3"/>
  <c r="L14" i="3"/>
  <c r="K14" i="3"/>
  <c r="J14" i="3"/>
  <c r="I14" i="3"/>
  <c r="H14" i="3"/>
  <c r="G14" i="3"/>
  <c r="U13" i="3"/>
  <c r="O13" i="3"/>
  <c r="M13" i="3"/>
  <c r="L13" i="3"/>
  <c r="K13" i="3"/>
  <c r="J13" i="3"/>
  <c r="I13" i="3"/>
  <c r="H13" i="3"/>
  <c r="G13" i="3"/>
  <c r="U12" i="3"/>
  <c r="O12" i="3"/>
  <c r="M12" i="3"/>
  <c r="L12" i="3"/>
  <c r="K12" i="3"/>
  <c r="J12" i="3"/>
  <c r="I12" i="3"/>
  <c r="H12" i="3"/>
  <c r="G12" i="3"/>
  <c r="U11" i="3"/>
  <c r="O11" i="3"/>
  <c r="M11" i="3"/>
  <c r="L11" i="3"/>
  <c r="K11" i="3"/>
  <c r="J11" i="3"/>
  <c r="I11" i="3"/>
  <c r="H11" i="3"/>
  <c r="G11" i="3"/>
  <c r="U10" i="3"/>
  <c r="O10" i="3"/>
  <c r="M10" i="3"/>
  <c r="L10" i="3"/>
  <c r="K10" i="3"/>
  <c r="J10" i="3"/>
  <c r="I10" i="3"/>
  <c r="H10" i="3"/>
  <c r="G10" i="3"/>
  <c r="U9" i="3"/>
  <c r="O9" i="3"/>
  <c r="M9" i="3"/>
  <c r="L9" i="3"/>
  <c r="K9" i="3"/>
  <c r="J9" i="3"/>
  <c r="I9" i="3"/>
  <c r="H9" i="3"/>
  <c r="G9" i="3"/>
  <c r="U8" i="3"/>
  <c r="O8" i="3"/>
  <c r="M8" i="3"/>
  <c r="L8" i="3"/>
  <c r="K8" i="3"/>
  <c r="J8" i="3"/>
  <c r="I8" i="3"/>
  <c r="H8" i="3"/>
  <c r="G8" i="3"/>
  <c r="U7" i="3"/>
  <c r="O7" i="3"/>
  <c r="M7" i="3"/>
  <c r="L7" i="3"/>
  <c r="K7" i="3"/>
  <c r="J7" i="3"/>
  <c r="I7" i="3"/>
  <c r="H7" i="3"/>
  <c r="G7" i="3"/>
  <c r="T3" i="3"/>
  <c r="S3" i="3"/>
  <c r="R3" i="3"/>
  <c r="P3" i="3"/>
  <c r="M62" i="2"/>
  <c r="M61" i="2"/>
  <c r="M60" i="2"/>
  <c r="U59" i="2"/>
  <c r="O59" i="2"/>
  <c r="M59" i="2"/>
  <c r="L59" i="2"/>
  <c r="K59" i="2"/>
  <c r="J59" i="2"/>
  <c r="I59" i="2"/>
  <c r="H59" i="2"/>
  <c r="G59" i="2"/>
  <c r="U58" i="2"/>
  <c r="O58" i="2"/>
  <c r="M58" i="2"/>
  <c r="L58" i="2"/>
  <c r="K58" i="2"/>
  <c r="J58" i="2"/>
  <c r="I58" i="2"/>
  <c r="H58" i="2"/>
  <c r="G58" i="2"/>
  <c r="U57" i="2"/>
  <c r="O57" i="2"/>
  <c r="M57" i="2"/>
  <c r="L57" i="2"/>
  <c r="K57" i="2"/>
  <c r="J57" i="2"/>
  <c r="I57" i="2"/>
  <c r="H57" i="2"/>
  <c r="G57" i="2"/>
  <c r="U56" i="2"/>
  <c r="O56" i="2"/>
  <c r="M56" i="2"/>
  <c r="L56" i="2"/>
  <c r="K56" i="2"/>
  <c r="J56" i="2"/>
  <c r="I56" i="2"/>
  <c r="H56" i="2"/>
  <c r="G56" i="2"/>
  <c r="U55" i="2"/>
  <c r="O55" i="2"/>
  <c r="M55" i="2"/>
  <c r="L55" i="2"/>
  <c r="K55" i="2"/>
  <c r="J55" i="2"/>
  <c r="I55" i="2"/>
  <c r="H55" i="2"/>
  <c r="G55" i="2"/>
  <c r="U54" i="2"/>
  <c r="O54" i="2"/>
  <c r="M54" i="2"/>
  <c r="L54" i="2"/>
  <c r="K54" i="2"/>
  <c r="J54" i="2"/>
  <c r="I54" i="2"/>
  <c r="H54" i="2"/>
  <c r="G54" i="2"/>
  <c r="U53" i="2"/>
  <c r="O53" i="2"/>
  <c r="M53" i="2"/>
  <c r="L53" i="2"/>
  <c r="K53" i="2"/>
  <c r="J53" i="2"/>
  <c r="I53" i="2"/>
  <c r="H53" i="2"/>
  <c r="G53" i="2"/>
  <c r="U52" i="2"/>
  <c r="O52" i="2"/>
  <c r="M52" i="2"/>
  <c r="L52" i="2"/>
  <c r="K52" i="2"/>
  <c r="J52" i="2"/>
  <c r="I52" i="2"/>
  <c r="H52" i="2"/>
  <c r="G52" i="2"/>
  <c r="U51" i="2"/>
  <c r="O51" i="2"/>
  <c r="M51" i="2"/>
  <c r="L51" i="2"/>
  <c r="K51" i="2"/>
  <c r="J51" i="2"/>
  <c r="I51" i="2"/>
  <c r="H51" i="2"/>
  <c r="G51" i="2"/>
  <c r="U50" i="2"/>
  <c r="O50" i="2"/>
  <c r="M50" i="2"/>
  <c r="L50" i="2"/>
  <c r="K50" i="2"/>
  <c r="J50" i="2"/>
  <c r="I50" i="2"/>
  <c r="H50" i="2"/>
  <c r="G50" i="2"/>
  <c r="U49" i="2"/>
  <c r="O49" i="2"/>
  <c r="M49" i="2"/>
  <c r="L49" i="2"/>
  <c r="K49" i="2"/>
  <c r="J49" i="2"/>
  <c r="I49" i="2"/>
  <c r="H49" i="2"/>
  <c r="G49" i="2"/>
  <c r="U48" i="2"/>
  <c r="O48" i="2"/>
  <c r="M48" i="2"/>
  <c r="L48" i="2"/>
  <c r="K48" i="2"/>
  <c r="J48" i="2"/>
  <c r="I48" i="2"/>
  <c r="H48" i="2"/>
  <c r="G48" i="2"/>
  <c r="U47" i="2"/>
  <c r="U46" i="2"/>
  <c r="O46" i="2"/>
  <c r="M46" i="2"/>
  <c r="L46" i="2"/>
  <c r="K46" i="2"/>
  <c r="J46" i="2"/>
  <c r="I46" i="2"/>
  <c r="H46" i="2"/>
  <c r="G46" i="2"/>
  <c r="U45" i="2"/>
  <c r="O45" i="2"/>
  <c r="M45" i="2"/>
  <c r="L45" i="2"/>
  <c r="K45" i="2"/>
  <c r="J45" i="2"/>
  <c r="I45" i="2"/>
  <c r="H45" i="2"/>
  <c r="G45" i="2"/>
  <c r="U44" i="2"/>
  <c r="O44" i="2"/>
  <c r="M44" i="2"/>
  <c r="L44" i="2"/>
  <c r="K44" i="2"/>
  <c r="J44" i="2"/>
  <c r="I44" i="2"/>
  <c r="H44" i="2"/>
  <c r="G44" i="2"/>
  <c r="U43" i="2"/>
  <c r="O43" i="2"/>
  <c r="M43" i="2"/>
  <c r="L43" i="2"/>
  <c r="K43" i="2"/>
  <c r="J43" i="2"/>
  <c r="I43" i="2"/>
  <c r="H43" i="2"/>
  <c r="G43" i="2"/>
  <c r="U42" i="2"/>
  <c r="O42" i="2"/>
  <c r="M42" i="2"/>
  <c r="L42" i="2"/>
  <c r="K42" i="2"/>
  <c r="J42" i="2"/>
  <c r="I42" i="2"/>
  <c r="H42" i="2"/>
  <c r="G42" i="2"/>
  <c r="U41" i="2"/>
  <c r="O41" i="2"/>
  <c r="M41" i="2"/>
  <c r="L41" i="2"/>
  <c r="K41" i="2"/>
  <c r="J41" i="2"/>
  <c r="I41" i="2"/>
  <c r="H41" i="2"/>
  <c r="G41" i="2"/>
  <c r="U40" i="2"/>
  <c r="O40" i="2"/>
  <c r="M40" i="2"/>
  <c r="L40" i="2"/>
  <c r="K40" i="2"/>
  <c r="J40" i="2"/>
  <c r="I40" i="2"/>
  <c r="H40" i="2"/>
  <c r="G40" i="2"/>
  <c r="U39" i="2"/>
  <c r="U38" i="2"/>
  <c r="O38" i="2"/>
  <c r="M38" i="2"/>
  <c r="L38" i="2"/>
  <c r="K38" i="2"/>
  <c r="J38" i="2"/>
  <c r="I38" i="2"/>
  <c r="H38" i="2"/>
  <c r="G38" i="2"/>
  <c r="U37" i="2"/>
  <c r="O37" i="2"/>
  <c r="M37" i="2"/>
  <c r="L37" i="2"/>
  <c r="K37" i="2"/>
  <c r="J37" i="2"/>
  <c r="I37" i="2"/>
  <c r="H37" i="2"/>
  <c r="G37" i="2"/>
  <c r="U36" i="2"/>
  <c r="O36" i="2"/>
  <c r="M36" i="2"/>
  <c r="L36" i="2"/>
  <c r="K36" i="2"/>
  <c r="J36" i="2"/>
  <c r="I36" i="2"/>
  <c r="H36" i="2"/>
  <c r="G36" i="2"/>
  <c r="U35" i="2"/>
  <c r="O35" i="2"/>
  <c r="M35" i="2"/>
  <c r="L35" i="2"/>
  <c r="K35" i="2"/>
  <c r="J35" i="2"/>
  <c r="I35" i="2"/>
  <c r="H35" i="2"/>
  <c r="G35" i="2"/>
  <c r="U34" i="2"/>
  <c r="O34" i="2"/>
  <c r="M34" i="2"/>
  <c r="L34" i="2"/>
  <c r="K34" i="2"/>
  <c r="J34" i="2"/>
  <c r="I34" i="2"/>
  <c r="H34" i="2"/>
  <c r="G34" i="2"/>
  <c r="U33" i="2"/>
  <c r="O33" i="2"/>
  <c r="M33" i="2"/>
  <c r="L33" i="2"/>
  <c r="K33" i="2"/>
  <c r="J33" i="2"/>
  <c r="I33" i="2"/>
  <c r="H33" i="2"/>
  <c r="G33" i="2"/>
  <c r="U32" i="2"/>
  <c r="O32" i="2"/>
  <c r="M32" i="2"/>
  <c r="L32" i="2"/>
  <c r="K32" i="2"/>
  <c r="J32" i="2"/>
  <c r="I32" i="2"/>
  <c r="H32" i="2"/>
  <c r="G32" i="2"/>
  <c r="U31" i="2"/>
  <c r="O31" i="2"/>
  <c r="M31" i="2"/>
  <c r="L31" i="2"/>
  <c r="K31" i="2"/>
  <c r="J31" i="2"/>
  <c r="I31" i="2"/>
  <c r="H31" i="2"/>
  <c r="G31" i="2"/>
  <c r="U30" i="2"/>
  <c r="O30" i="2"/>
  <c r="M30" i="2"/>
  <c r="L30" i="2"/>
  <c r="K30" i="2"/>
  <c r="J30" i="2"/>
  <c r="I30" i="2"/>
  <c r="H30" i="2"/>
  <c r="G30" i="2"/>
  <c r="U29" i="2"/>
  <c r="O29" i="2"/>
  <c r="M29" i="2"/>
  <c r="L29" i="2"/>
  <c r="K29" i="2"/>
  <c r="J29" i="2"/>
  <c r="I29" i="2"/>
  <c r="H29" i="2"/>
  <c r="G29" i="2"/>
  <c r="U28" i="2"/>
  <c r="O28" i="2"/>
  <c r="M28" i="2"/>
  <c r="L28" i="2"/>
  <c r="K28" i="2"/>
  <c r="J28" i="2"/>
  <c r="I28" i="2"/>
  <c r="H28" i="2"/>
  <c r="G28" i="2"/>
  <c r="U27" i="2"/>
  <c r="O27" i="2"/>
  <c r="M27" i="2"/>
  <c r="L27" i="2"/>
  <c r="K27" i="2"/>
  <c r="J27" i="2"/>
  <c r="I27" i="2"/>
  <c r="H27" i="2"/>
  <c r="G27" i="2"/>
  <c r="U26" i="2"/>
  <c r="O26" i="2"/>
  <c r="M26" i="2"/>
  <c r="L26" i="2"/>
  <c r="K26" i="2"/>
  <c r="J26" i="2"/>
  <c r="I26" i="2"/>
  <c r="H26" i="2"/>
  <c r="G26" i="2"/>
  <c r="U25" i="2"/>
  <c r="U24" i="2"/>
  <c r="U23" i="2"/>
  <c r="O23" i="2"/>
  <c r="M23" i="2"/>
  <c r="L23" i="2"/>
  <c r="K23" i="2"/>
  <c r="J23" i="2"/>
  <c r="I23" i="2"/>
  <c r="H23" i="2"/>
  <c r="G23" i="2"/>
  <c r="U22" i="2"/>
  <c r="O22" i="2"/>
  <c r="M22" i="2"/>
  <c r="L22" i="2"/>
  <c r="K22" i="2"/>
  <c r="J22" i="2"/>
  <c r="I22" i="2"/>
  <c r="H22" i="2"/>
  <c r="G22" i="2"/>
  <c r="U21" i="2"/>
  <c r="T21" i="2"/>
  <c r="S21" i="2"/>
  <c r="R21" i="2"/>
  <c r="Q21" i="2"/>
  <c r="P21" i="2"/>
  <c r="O21" i="2"/>
  <c r="M21" i="2"/>
  <c r="L21" i="2"/>
  <c r="K21" i="2"/>
  <c r="J21" i="2"/>
  <c r="I21" i="2"/>
  <c r="H21" i="2"/>
  <c r="G21" i="2"/>
  <c r="U20" i="2"/>
  <c r="U19" i="2"/>
  <c r="O19" i="2"/>
  <c r="M19" i="2"/>
  <c r="L19" i="2"/>
  <c r="K19" i="2"/>
  <c r="J19" i="2"/>
  <c r="I19" i="2"/>
  <c r="H19" i="2"/>
  <c r="G19" i="2"/>
  <c r="U18" i="2"/>
  <c r="T18" i="2"/>
  <c r="S18" i="2"/>
  <c r="R18" i="2"/>
  <c r="Q18" i="2"/>
  <c r="P18" i="2"/>
  <c r="O18" i="2"/>
  <c r="M18" i="2"/>
  <c r="L18" i="2"/>
  <c r="K18" i="2"/>
  <c r="J18" i="2"/>
  <c r="I18" i="2"/>
  <c r="H18" i="2"/>
  <c r="G18" i="2"/>
  <c r="U17" i="2"/>
  <c r="T17" i="2"/>
  <c r="S17" i="2"/>
  <c r="R17" i="2"/>
  <c r="Q17" i="2"/>
  <c r="P17" i="2"/>
  <c r="O17" i="2"/>
  <c r="M17" i="2"/>
  <c r="L17" i="2"/>
  <c r="K17" i="2"/>
  <c r="J17" i="2"/>
  <c r="I17" i="2"/>
  <c r="H17" i="2"/>
  <c r="G17" i="2"/>
  <c r="U16" i="2"/>
  <c r="O16" i="2"/>
  <c r="M16" i="2"/>
  <c r="L16" i="2"/>
  <c r="K16" i="2"/>
  <c r="J16" i="2"/>
  <c r="I16" i="2"/>
  <c r="H16" i="2"/>
  <c r="G16" i="2"/>
  <c r="U15" i="2"/>
  <c r="T15" i="2"/>
  <c r="S15" i="2"/>
  <c r="R15" i="2"/>
  <c r="Q15" i="2"/>
  <c r="P15" i="2"/>
  <c r="O15" i="2"/>
  <c r="M15" i="2"/>
  <c r="L15" i="2"/>
  <c r="K15" i="2"/>
  <c r="J15" i="2"/>
  <c r="I15" i="2"/>
  <c r="H15" i="2"/>
  <c r="G15" i="2"/>
  <c r="U14" i="2"/>
  <c r="U13" i="2"/>
  <c r="O13" i="2"/>
  <c r="M13" i="2"/>
  <c r="L13" i="2"/>
  <c r="K13" i="2"/>
  <c r="J13" i="2"/>
  <c r="I13" i="2"/>
  <c r="H13" i="2"/>
  <c r="G13" i="2"/>
  <c r="U12" i="2"/>
  <c r="O12" i="2"/>
  <c r="M12" i="2"/>
  <c r="L12" i="2"/>
  <c r="K12" i="2"/>
  <c r="J12" i="2"/>
  <c r="I12" i="2"/>
  <c r="H12" i="2"/>
  <c r="G12" i="2"/>
  <c r="U11" i="2"/>
  <c r="O11" i="2"/>
  <c r="M11" i="2"/>
  <c r="L11" i="2"/>
  <c r="K11" i="2"/>
  <c r="J11" i="2"/>
  <c r="I11" i="2"/>
  <c r="H11" i="2"/>
  <c r="G11" i="2"/>
  <c r="U10" i="2"/>
  <c r="O10" i="2"/>
  <c r="M10" i="2"/>
  <c r="L10" i="2"/>
  <c r="K10" i="2"/>
  <c r="J10" i="2"/>
  <c r="I10" i="2"/>
  <c r="H10" i="2"/>
  <c r="G10" i="2"/>
  <c r="U9" i="2"/>
  <c r="O9" i="2"/>
  <c r="M9" i="2"/>
  <c r="L9" i="2"/>
  <c r="K9" i="2"/>
  <c r="J9" i="2"/>
  <c r="I9" i="2"/>
  <c r="H9" i="2"/>
  <c r="G9" i="2"/>
  <c r="U8" i="2"/>
  <c r="O8" i="2"/>
  <c r="M8" i="2"/>
  <c r="L8" i="2"/>
  <c r="K8" i="2"/>
  <c r="J8" i="2"/>
  <c r="I8" i="2"/>
  <c r="H8" i="2"/>
  <c r="G8" i="2"/>
  <c r="U7" i="2"/>
  <c r="O7" i="2"/>
  <c r="M7" i="2"/>
  <c r="L7" i="2"/>
  <c r="K7" i="2"/>
  <c r="J7" i="2"/>
  <c r="I7" i="2"/>
  <c r="H7" i="2"/>
  <c r="G7" i="2"/>
  <c r="E10" i="1"/>
  <c r="D10" i="1"/>
  <c r="E9" i="1"/>
  <c r="E8" i="1"/>
  <c r="E7" i="1"/>
  <c r="C7" i="1"/>
  <c r="E6" i="1"/>
  <c r="C6" i="1"/>
  <c r="E5" i="1"/>
  <c r="C5" i="1"/>
  <c r="E4" i="1"/>
  <c r="C4" i="1"/>
  <c r="E3" i="1"/>
  <c r="C3" i="1"/>
  <c r="J17" i="8" l="1"/>
  <c r="J16" i="8"/>
  <c r="K16" i="8" s="1"/>
  <c r="L16" i="8"/>
  <c r="M16" i="8" s="1"/>
  <c r="J15" i="8"/>
  <c r="J13" i="8"/>
  <c r="K13" i="8" s="1"/>
  <c r="J8" i="8"/>
  <c r="J7" i="8"/>
  <c r="K7" i="8" s="1"/>
  <c r="L7" i="8" s="1"/>
  <c r="M7" i="8" s="1"/>
  <c r="J6" i="8"/>
  <c r="K6" i="8" s="1"/>
  <c r="L6" i="8" s="1"/>
  <c r="M6" i="8" s="1"/>
  <c r="J5" i="8"/>
  <c r="K5" i="8" s="1"/>
  <c r="J20" i="7"/>
  <c r="K20" i="7" s="1"/>
  <c r="L20" i="7" s="1"/>
  <c r="M20" i="7" s="1"/>
  <c r="J19" i="7"/>
  <c r="K19" i="7" s="1"/>
  <c r="J18" i="7"/>
  <c r="J17" i="7"/>
  <c r="K17" i="7"/>
  <c r="J16" i="7"/>
  <c r="K16" i="7"/>
  <c r="L16" i="7" s="1"/>
  <c r="M16" i="7" s="1"/>
  <c r="J15" i="7"/>
  <c r="J14" i="7"/>
  <c r="K14" i="7"/>
  <c r="J13" i="7"/>
  <c r="K13" i="7"/>
  <c r="L13" i="7" s="1"/>
  <c r="M13" i="7" s="1"/>
  <c r="J12" i="7"/>
  <c r="K12" i="7"/>
  <c r="L12" i="7" s="1"/>
  <c r="M12" i="7" s="1"/>
  <c r="J11" i="7"/>
  <c r="J10" i="7"/>
  <c r="K10" i="7" s="1"/>
  <c r="J9" i="7"/>
  <c r="K9" i="7" s="1"/>
  <c r="L8" i="7"/>
  <c r="M8" i="7" s="1"/>
  <c r="J7" i="7"/>
  <c r="K7" i="7" s="1"/>
  <c r="J6" i="7"/>
  <c r="K6" i="7" s="1"/>
  <c r="L6" i="7" s="1"/>
  <c r="M6" i="7" s="1"/>
  <c r="K17" i="8" l="1"/>
  <c r="L17" i="8" s="1"/>
  <c r="M17" i="8" s="1"/>
  <c r="K15" i="8"/>
  <c r="L15" i="8" s="1"/>
  <c r="M15" i="8" s="1"/>
  <c r="L13" i="8"/>
  <c r="M13" i="8" s="1"/>
  <c r="K8" i="8"/>
  <c r="L8" i="8" s="1"/>
  <c r="M8" i="8" s="1"/>
  <c r="L5" i="8"/>
  <c r="M5" i="8" s="1"/>
  <c r="L19" i="7"/>
  <c r="M19" i="7" s="1"/>
  <c r="K18" i="7"/>
  <c r="L18" i="7" s="1"/>
  <c r="M18" i="7" s="1"/>
  <c r="L17" i="7"/>
  <c r="M17" i="7" s="1"/>
  <c r="K15" i="7"/>
  <c r="L15" i="7" s="1"/>
  <c r="M15" i="7" s="1"/>
  <c r="L14" i="7"/>
  <c r="M14" i="7" s="1"/>
  <c r="K11" i="7"/>
  <c r="L11" i="7" s="1"/>
  <c r="M11" i="7" s="1"/>
  <c r="L10" i="7"/>
  <c r="M10" i="7" s="1"/>
  <c r="L9" i="7"/>
  <c r="M9" i="7" s="1"/>
  <c r="L7" i="7"/>
  <c r="M7" i="7" s="1"/>
  <c r="M18" i="8" l="1"/>
  <c r="M19" i="8" s="1"/>
  <c r="M20" i="8" s="1"/>
  <c r="C9" i="1" s="1"/>
  <c r="M22" i="7"/>
  <c r="M23" i="7" s="1"/>
  <c r="M24" i="7" s="1"/>
  <c r="C8" i="1" s="1"/>
  <c r="C10" i="1" l="1"/>
</calcChain>
</file>

<file path=xl/sharedStrings.xml><?xml version="1.0" encoding="utf-8"?>
<sst xmlns="http://schemas.openxmlformats.org/spreadsheetml/2006/main" count="1775" uniqueCount="478">
  <si>
    <t>汇总表</t>
  </si>
  <si>
    <t>序号</t>
  </si>
  <si>
    <t>单位工程</t>
  </si>
  <si>
    <t>含税合价</t>
  </si>
  <si>
    <t>不含税控制合价</t>
  </si>
  <si>
    <t>含税控制合价</t>
  </si>
  <si>
    <t>备注</t>
  </si>
  <si>
    <t>架空层安装工程</t>
  </si>
  <si>
    <t>会所售楼部安装工程</t>
  </si>
  <si>
    <t>样板房安装工程</t>
  </si>
  <si>
    <t>公共区域安装工程</t>
  </si>
  <si>
    <t>户内交标安装工程</t>
  </si>
  <si>
    <t>会所售楼处消防电工程</t>
  </si>
  <si>
    <t>会所售楼处消防水工程</t>
  </si>
  <si>
    <t>小计</t>
  </si>
  <si>
    <t>架空层安装工程工程量清单</t>
  </si>
  <si>
    <t>成本单价组成（投标人填写）</t>
  </si>
  <si>
    <t>编码</t>
  </si>
  <si>
    <t>项目名称</t>
  </si>
  <si>
    <t>项目特征</t>
  </si>
  <si>
    <t>单位</t>
  </si>
  <si>
    <t>工程量</t>
  </si>
  <si>
    <t>人工费</t>
  </si>
  <si>
    <t>材料费</t>
  </si>
  <si>
    <t>机械费</t>
  </si>
  <si>
    <t>管理费</t>
  </si>
  <si>
    <t>利润</t>
  </si>
  <si>
    <t>不含税单价</t>
  </si>
  <si>
    <t>合价</t>
  </si>
  <si>
    <t>单价合计</t>
  </si>
  <si>
    <t>主材费</t>
  </si>
  <si>
    <t>主材损耗率</t>
  </si>
  <si>
    <t>辅材费</t>
  </si>
  <si>
    <t>合计</t>
  </si>
  <si>
    <t>电气工程</t>
  </si>
  <si>
    <t>灯具</t>
  </si>
  <si>
    <t>LA-01 筒灯</t>
  </si>
  <si>
    <t>1.名称：LA-01 筒灯
2.规格：12W 4000K 灯体尺寸Φ118*50mm
3.安装方式：嵌装
4.其他：包括但不限于满足图纸、招标文件、规范及验收要求等一切相关费用</t>
  </si>
  <si>
    <t>套</t>
  </si>
  <si>
    <t>LA-06 LED明装筒灯</t>
  </si>
  <si>
    <t>1.名称：LA-06 LED明装筒灯
2.规格：9W 4000K 灯体尺寸Φ150*100mm
3.安装方式：明装
4.其他：包括但不限于满足图纸、招标文件、规范及验收要求等一切相关费用</t>
  </si>
  <si>
    <t>LA-03 LED灯带</t>
  </si>
  <si>
    <t>1.名称：LA-03 LED灯带
2.规格：8W/米 4000K
3.安装方式：天花
4.其他：包括但不限于满足图纸、招标文件、规范及验收要求等一切相关费用</t>
  </si>
  <si>
    <t>m</t>
  </si>
  <si>
    <t>LED 灯带驱动电源</t>
  </si>
  <si>
    <t>1.名称：LED 灯带驱动电源
2.规格：60W 工作电压：220V 输出电压：24V
3.尺寸：L140*W45*H29mm  
4.其他：包括但不限于满足图纸、招标文件、规范及验收要求等一切相关费用</t>
  </si>
  <si>
    <t>个</t>
  </si>
  <si>
    <t>LA-05 吊装硬条灯</t>
  </si>
  <si>
    <t>1.名称：LA-05 吊装硬条灯
2.规格：4000K
3.安装方式：吊装
4.其他：包括但不限于满足图纸、招标文件、规范及验收要求等一切相关费用</t>
  </si>
  <si>
    <t>LA-04 艺术吊灯</t>
  </si>
  <si>
    <t>1.名称：LA-04 艺术吊灯
2.规格：铁艺+铝材+玻璃 颜色：磨砂黑+烟灰灯罩 色温4000K
3.安装方式：吊装
4.其他：包括但不限于满足图纸、招标文件、规范及验收要求等一切相关费用</t>
  </si>
  <si>
    <t>LA-07 LED云朵灯</t>
  </si>
  <si>
    <t>1.名称：LA-07 LED云朵灯
2.规格：48W 4000K 产品尺寸：L800*W35mm
3.安装方式：吊装
4.其他：包括但不限于满足图纸、招标文件、规范及验收要求等一切相关费用</t>
  </si>
  <si>
    <t>开关插座</t>
  </si>
  <si>
    <t>照明开关</t>
  </si>
  <si>
    <t>1.名称：单联单控开关
2.规格：86*86mm
3.安装方式：暗装
4.其他：包括但不限于满足图纸、招标文件、规范及验收要求等一切相关费用</t>
  </si>
  <si>
    <t>1.名称：双联单控开关
2.规格：86*86mm
3.安装方式：暗装
4.其他：包括但不限于满足图纸、招标文件、规范及验收要求等一切相关费用</t>
  </si>
  <si>
    <t>1.名称：三联单控开关
2.规格：86*86mm
3.安装方式：暗装
4.其他：包括但不限于满足图纸、招标文件、规范及验收要求等一切相关费用</t>
  </si>
  <si>
    <t>插座</t>
  </si>
  <si>
    <t>1.名称：五孔插座
2.规格：86*86mm
3.安装方式：暗装
4.其他：包括但不限于满足图纸、招标文件、规范及验收要求等一切相关费用</t>
  </si>
  <si>
    <t>1.名称：地面五孔插座
2.规格：86*86mm
3.安装方式：暗装
4.其他：包括但不限于满足图纸、招标文件、规范及验收要求等一切相关费用</t>
  </si>
  <si>
    <t>配线</t>
  </si>
  <si>
    <t>1.名称：电气配线
2.型号规格：WDZC-BYJ-2.5
3.安装方式：管内穿线
4.其他：包括但不限于满足图纸、招标文件、规范及验收要求等一切相关费用</t>
  </si>
  <si>
    <t>1.名称：电气配线
2.型号规格：WDZC-BYJ-6
3.安装方式：管内穿线
4.其他：包括但不限于满足图纸、招标文件、规范及验收要求等一切相关费用</t>
  </si>
  <si>
    <t>1.名称：电气配线
2.型号规格：RVS-4*1.0
3.安装方式：管内穿线
4.其他：包括但不限于满足图纸、招标文件、规范及验收要求等一切相关费用</t>
  </si>
  <si>
    <t>空调工程</t>
  </si>
  <si>
    <t>设备</t>
  </si>
  <si>
    <t>风管机</t>
  </si>
  <si>
    <t>1.名称：风管机 F22
2.规格：制冷量2.2kW 制热量2.6kW 风量480m3/h 机外静压10Pa 额定功率0.05kW 运转噪音≤37dB(A)
3.安装方式：吊装
4.其他：包括但不限于满足图纸、招标文件、规范及验收要求等一切相关费用</t>
  </si>
  <si>
    <t>台</t>
  </si>
  <si>
    <t>1.名称：风管机 F32
2.规格：制冷量3.2kW 制热量3.6kW 风量570m3/h 机外静压30Pa 额定功率0.05kW 运转噪音≤37dB(A)
3.安装方式：吊装
4.其他：包括但不限于满足图纸、招标文件、规范及验收要求等一切相关费用</t>
  </si>
  <si>
    <t>1.名称：风管机 F45
2.规格：制冷量4.5kW 制热量5.0kW 风量800m3/h 机外静压30Pa 额定功率0.05kW 运转噪音≤37dB(A)
3.安装方式：吊装
4.其他：包括但不限于满足图纸、招标文件、规范及验收要求等一切相关费用</t>
  </si>
  <si>
    <t>1.名称：风管机 F56
2.规格：制冷量5.6kW 制热量6.3kW 风量550m3/h 机外静压10Pa 额定功率0.05kW 运转噪音≤37dB(A)
3.安装方式：吊装
4.其他：包括但不限于满足图纸、招标文件、规范及验收要求等一切相关费用</t>
  </si>
  <si>
    <t>1.名称：风管机 F63
2.规格：制冷量6.3kW 制热量7.1kW 风量1000m3/h 机外静压30Pa 额定功率0.11kW 运转噪音≤40dB(A)
3.安装方式：吊装
4.其他：包括但不限于满足图纸、招标文件、规范及验收要求等一切相关费用</t>
  </si>
  <si>
    <t>1.名称：风管机 F90
2.规格：制冷量9.0kW 制热量10.0kW 风量1450m3/h 机外静压30Pa 额定功率0.11kW 运转噪音≤40dB(A)
3.安装方式：吊装
4.其他：包括但不限于满足图纸、招标文件、规范及验收要求等一切相关费用</t>
  </si>
  <si>
    <t>多联式室外机</t>
  </si>
  <si>
    <t>1.名称：多联式室外机 L-1#-1/2
2.规格：制冷量24.0kW 制热量26.0kW 风量10000m3/h 机外静压-Pa 额定功率7.6kW 运转噪音≤61dB(A)
3.安装方式：落地
4.其他：包括但不限于满足图纸、招标文件、规范及验收要求等一切相关费用</t>
  </si>
  <si>
    <t>空调温控面板</t>
  </si>
  <si>
    <t>1.名称：空调温控面板
2.规格：86*86mm
3.安装方式：暗装
4.其他：包括但不限于满足图纸、招标文件、规范及验收要求等一切相关费用</t>
  </si>
  <si>
    <t>单层百叶风口</t>
  </si>
  <si>
    <t>1.名称：单层百叶风口
2.周长：≤1800mm
3.规格：500*150
4.其他：包括但不限于满足图纸、招标文件、规范及验收要求等一切相关费用</t>
  </si>
  <si>
    <t>1.名称：单层百叶风口
2.周长：≤1800mm
3.规格：600*150
4.其他：包括但不限于满足图纸、招标文件、规范及验收要求等一切相关费用</t>
  </si>
  <si>
    <t>1.名称：单层百叶风口
2.周长：≤1800mm
3.规格：700*150
4.其他：包括但不限于满足图纸、招标文件、规范及验收要求等一切相关费用</t>
  </si>
  <si>
    <t>1.名称：单层百叶风口
2.周长：≤3300mm
3.规格：900*150
4.其他：包括但不限于满足图纸、招标文件、规范及验收要求等一切相关费用</t>
  </si>
  <si>
    <t>1.名称：单层百叶风口
2.周长：≤4200mm
3.规格：1250*150
4.其他：包括但不限于满足图纸、招标文件、规范及验收要求等一切相关费用</t>
  </si>
  <si>
    <t>风管</t>
  </si>
  <si>
    <t>碳钢通风管道</t>
  </si>
  <si>
    <t>1.名称：矩形风管
2.材质：镀锌薄钢板
3.厚度：0.6mm
4.长边：≤1000mm
5.其他：包括但不限于满足图纸、招标文件、规范及验收要求等一切相关费用</t>
  </si>
  <si>
    <t>m2</t>
  </si>
  <si>
    <t>1.名称：矩形风管
2.材质：镀锌薄钢板
3.厚度：0.75mm
4.长边：≤1000mm
5.其他：包括但不限于满足图纸、招标文件、规范及验收要求等一切相关费用</t>
  </si>
  <si>
    <t>1.名称：矩形风管
2.材质：镀锌薄钢板
3.厚度：1.0mm
4.长边：≤1250mm
5.其他：包括但不限于满足图纸、招标文件、规范及验收要求等一切相关费用</t>
  </si>
  <si>
    <t>柔性接口</t>
  </si>
  <si>
    <t>1.名称：帆布软接口
2.材质：帆布
3.厚度：满足验收要求
4.其他：包括但不限于满足图纸、招标文件、规范及验收要求等一切相关费用</t>
  </si>
  <si>
    <t>风管支架刷油</t>
  </si>
  <si>
    <t>1.名称：风管支架刷油
2.按图纸及规范要求
3.其他：包括但不限于以上内容，综合考虑按图纸、招标文件和规范要求而实施、完成这项工程的一切有关费用</t>
  </si>
  <si>
    <t>kg</t>
  </si>
  <si>
    <t>通风管道绝热</t>
  </si>
  <si>
    <t>1.名称：空调风管保温
2.材质：难燃级B1级橡塑保温材料，不燃A级铝箔贴面，湿阻因子≥10000，符合国家GB8624-2012中的管状绝热材料B标准
3.厚度：20mm
4.其他：包括但不限于满足图纸、招标文件、规范及验收要求等一切相关费用</t>
  </si>
  <si>
    <t>通风工程检测、调试</t>
  </si>
  <si>
    <t>1.名称：风管漏光试验、漏风试验</t>
  </si>
  <si>
    <t>系统</t>
  </si>
  <si>
    <t>水管</t>
  </si>
  <si>
    <t>铜管</t>
  </si>
  <si>
    <t>1.名称：紫铜管
2.规格：φ6.4
3.厚度：0.8mm
4.连接方式：钎焊连结
5.其他：包括但不限于满足图纸、招标文件、规范及验收要求等一切相关费用</t>
  </si>
  <si>
    <t>1.名称：紫铜管
2.规格：φ9.5
3.厚度：0.8mm
4.连接方式：钎焊连结
5.其他：包括但不限于满足图纸、招标文件、规范及验收要求等一切相关费用</t>
  </si>
  <si>
    <t>1.名称：紫铜管
2.规格：φ12.7
3.厚度：0.8mm
4.连接方式：钎焊连结
5.其他：包括但不限于满足图纸、招标文件、规范及验收要求等一切相关费用</t>
  </si>
  <si>
    <t>1.名称：紫铜管
2.规格：φ15.9
3.厚度：1.0mm
4.连接方式：钎焊连结
5.其他：包括但不限于满足图纸、招标文件、规范及验收要求等一切相关费用</t>
  </si>
  <si>
    <t>1.名称：紫铜管
2.规格：φ19.1
3.厚度：1.0mm
4.连接方式：钎焊连结
5.其他：包括但不限于满足图纸、招标文件、规范及验收要求等一切相关费用</t>
  </si>
  <si>
    <t>1.名称：紫铜管
2.规格：φ22.2
3.厚度：1.0mm
4.连接方式：钎焊连结
5.其他：包括但不限于满足图纸、招标文件、规范及验收要求等一切相关费用</t>
  </si>
  <si>
    <t>分歧器</t>
  </si>
  <si>
    <t>1.名称：分歧器
2.规格：公称直径20mm以内
3.其他：包括但不限于满足图纸、招标文件、规范及验收要求等一切相关费用</t>
  </si>
  <si>
    <t>塑料管</t>
  </si>
  <si>
    <t>1.名称：UPVC管
2.规格：DN25
3.介质：冷凝水
4.连接方式：粘接
5.其他：包括但不限于满足图纸、招标文件、规范及验收要求等一切相关费用</t>
  </si>
  <si>
    <t>1.名称：UPVC管
2.规格：DN32
3.介质：冷凝水
4.连接方式：粘接
5.其他：包括但不限于满足图纸、招标文件、规范及验收要求等一切相关费用</t>
  </si>
  <si>
    <t>1.名称：UPVC管
2.规格：DN40
3.介质：冷凝水
4.连接方式：粘接
5.其他：包括但不限于满足图纸、招标文件、规范及验收要求等一切相关费用</t>
  </si>
  <si>
    <t>其他管道绝热</t>
  </si>
  <si>
    <t>1.名称：冷媒管保温
2.材质：难燃B1级橡塑
3.厚度：20mm
4.其他：包括但不限于满足图纸、招标文件、规范及验收要求等一切相关费用</t>
  </si>
  <si>
    <t>m3</t>
  </si>
  <si>
    <t>1.名称：冷凝管保温
2.材质：难燃B1级橡塑
3.厚度：13mm
4.其他：包括但不限于满足图纸、招标文件、规范及验收要求等一切相关费用</t>
  </si>
  <si>
    <t>税前合价</t>
  </si>
  <si>
    <t>元</t>
  </si>
  <si>
    <t>税金</t>
  </si>
  <si>
    <t>会所售楼部安装工程工程量清单</t>
  </si>
  <si>
    <t>灯具、电器</t>
  </si>
  <si>
    <t>L1 嵌入式LED可调射灯</t>
  </si>
  <si>
    <t>1.名称：L1 嵌入式LED可调射灯
2.规格：LED COB 15W 3000K±50
3.尺寸：φ77mm*H90mm
4.安装方式：嵌装
5.其他：包括但不限于满足图纸、招标文件、规范及验收要求等一切相关费用</t>
  </si>
  <si>
    <t>L2 嵌入式LED筒灯</t>
  </si>
  <si>
    <t>1.名称：L2 嵌入式LED筒灯
2.规格：LED COB 15W 3000K±50
3.尺寸：φ77mm*H99mm
4.安装方式：嵌装
5.其他：包括但不限于满足图纸、招标文件、规范及验收要求等一切相关费用</t>
  </si>
  <si>
    <t>L3 嵌入式LED可调射灯</t>
  </si>
  <si>
    <t>1.名称：L3 嵌入式LED可调射灯
2.规格：LED COB 7W 2700K±50
3.尺寸：φ77mm*H78mm
4.安装方式：嵌装
5.其他：包括但不限于满足图纸、招标文件、规范及验收要求等一切相关费用</t>
  </si>
  <si>
    <t>L4 嵌入式LED可调射灯</t>
  </si>
  <si>
    <t>1.名称：L4 嵌入式LED可调射灯
2.规格：LED COB 9W 2700K±50 
3.尺寸：φ77mm*H78mm
4.安装方式：嵌装
5.其他：包括但不限于满足图纸、招标文件、规范及验收要求等一切相关费用</t>
  </si>
  <si>
    <t>L5 明装LED可调射灯</t>
  </si>
  <si>
    <t>1.名称：L5 明装LED可调射灯
2.规格：LED COB 15W 3500K±50
3.尺寸：L85mm*W85mm*H90mm
4.安装方式：明装
5.其他：包括但不限于满足图纸、招标文件、规范及验收要求等一切相关费用</t>
  </si>
  <si>
    <t>L6 嵌入式LED可调射灯</t>
  </si>
  <si>
    <t>1.名称：L6 嵌入式LED可调射灯
2.规格：LED COB 12W 2700K±50
3.尺寸：φ77mm*H78mm
4.安装方式：嵌装
5.其他：包括但不限于满足图纸、招标文件、规范及验收要求等一切相关费用</t>
  </si>
  <si>
    <t>L7 嵌入式LED可调射灯</t>
  </si>
  <si>
    <t>1.名称：L7 嵌入式LED可调射灯
2.规格：LED COB 12W 2700K±50
3.尺寸：φ77mm*H78mm
4.安装方式：嵌装
5.其他：包括但不限于满足图纸、招标文件、规范及验收要求等一切相关费用</t>
  </si>
  <si>
    <t>L8 嵌入式LED可调射灯</t>
  </si>
  <si>
    <t>1.名称：L8 嵌入式LED可调射灯
2.规格：LED COB 7W 2700K±50
3.尺寸：φ77mm*H78mm
4.安装方式：嵌装
5.其他：包括但不限于满足图纸、招标文件、规范及验收要求等一切相关费用</t>
  </si>
  <si>
    <t>L10 嵌入式LED可调射灯</t>
  </si>
  <si>
    <t>1.名称：L10 嵌入式LED可调射灯
2.规格：LED COB 7W 2700K±50 
3.尺寸：φ77mm*H78mm
4.安装方式：嵌装
5.其他：包括但不限于满足图纸、招标文件、规范及验收要求等一切相关费用</t>
  </si>
  <si>
    <t>L11 吊线办公灯</t>
  </si>
  <si>
    <t>1.名称：L11 吊线办公灯
2.规格：LED 30W 4000K±50 
3.尺寸：L1206mm*W75mm*H73.5mm
4.安装方式：吊装
5.其他：包括但不限于满足图纸、招标文件、规范及验收要求等一切相关费用</t>
  </si>
  <si>
    <t>L12 吸顶灯</t>
  </si>
  <si>
    <t>1.名称：L12 吸顶灯
2.规格：LED 18W 4000K±50 
3.尺寸：Φ290mm*H54.5mm
4.安装方式：吸顶
5.其他：包括但不限于满足图纸、招标文件、规范及验收要求等一切相关费用</t>
  </si>
  <si>
    <t>L13 LED地埋灯</t>
  </si>
  <si>
    <t>1.名称：L13 LED地埋灯
2.规格：LED 1W 2700K±50
3.尺寸：Φ42mm*H75mm
4.安装方式：埋地
5.其他：包括但不限于满足图纸、招标文件、规范及验收要求等一切相关费用</t>
  </si>
  <si>
    <t>G1 LED格栅射灯</t>
  </si>
  <si>
    <t>1.名称：G1 LED格栅射灯
2.规格：LED 10*2W 2700K±50
3.尺寸：L278.5mm*W43mm*H41mm
4.安装方式：嵌入
5.其他：包括但不限于满足图纸、招标文件、规范及验收要求等一切相关费用</t>
  </si>
  <si>
    <t>G2 LED格栅射灯</t>
  </si>
  <si>
    <t>1.名称：G2 LED格栅射灯
2.规格：LED 5*2W 2700K±50 
3.尺寸：L145.9mm*W43mm*H41mm
4.安装方式：嵌入
5.其他：包括但不限于满足图纸、招标文件、规范及验收要求等一切相关费用</t>
  </si>
  <si>
    <t>G3 导轨射灯</t>
  </si>
  <si>
    <t>1.名称：G3 导轨射灯
2.规格：LED COB 5W 2700K±50 
3.尺寸：L90mm*W34mm*H84mm，轨道尺寸：L2000mm*W45mm*H13.5mm
4.安装方式：嵌入
5.其他：包括但不限于满足图纸、招标文件、规范及验收要求等一切相关费用</t>
  </si>
  <si>
    <t>T1 LED梯步灯</t>
  </si>
  <si>
    <t>1.名称：T1 LED梯步灯
2.规格：LED 1W 2700K±50
3.尺寸：L90mm*W90mm*H46mm
4.安装方式：壁装
5.其他：包括但不限于满足图纸、招标文件、规范及验收要求等一切相关费用</t>
  </si>
  <si>
    <t>R1 LED灯带</t>
  </si>
  <si>
    <t>1.名称：R1 LED灯带
2.规格：LED 6W/M 每米120颗芯片 2700K±50 
3.尺寸：15*10mm  
4.安装方式：天花
5.其他：包括但不限于满足图纸、招标文件、规范及验收要求等一切相关费用</t>
  </si>
  <si>
    <t>R2 LED灯带</t>
  </si>
  <si>
    <t>1.名称：R2 LED灯带
2.规格：LED 4W/M 每米120颗芯片 2700K±50 
3.尺寸：10*10mm  
4.安装方式：墙面
5.其他：包括但不限于满足图纸、招标文件、规范及验收要求等一切相关费用</t>
  </si>
  <si>
    <t>R4 LED防水柔性灯带</t>
  </si>
  <si>
    <t>1.名称：R4 LED防水柔性灯带
2.规格：LED 4W/M 每米120颗芯片 2700K±50
3.尺寸：10000*6*12mm
4.安装方式：墙面
5.其他：包括但不限于满足图纸、招标文件、规范及验收要求等一切相关费用</t>
  </si>
  <si>
    <t>R5 LED柜子灯带</t>
  </si>
  <si>
    <t>1.名称：R5 LED柜子灯带
2.规格：LED 6W/M 每米120颗芯片 2700K±50 
3.尺寸：10*10mm  
4.安装方式：柜体
5.其他：包括但不限于满足图纸、招标文件、规范及验收要求等一切相关费用</t>
  </si>
  <si>
    <t>R6 LED灯条</t>
  </si>
  <si>
    <t>1.名称：R6 LED灯条
2.规格：LED 12W/M 2700K±50 
3.尺寸：L950mm*W17mm*H1.4mm  
4.安装方式：天花
5.其他：包括但不限于满足图纸、招标文件、规范及验收要求等一切相关费用</t>
  </si>
  <si>
    <t>R7 地面洗墙灯</t>
  </si>
  <si>
    <t>1.名称：R7 地面洗墙灯
2.规格：LED 18W 2700K±50 
3.尺寸：1000*43*53mm，灯体截面29*45mm  
4.安装方式：地面
5.其他：包括但不限于满足图纸、招标文件、规范及验收要求等一切相关费用</t>
  </si>
  <si>
    <t>洗碗机</t>
  </si>
  <si>
    <t>1.名称：洗碗机
2.规格：-
3.尺寸：详见物料表
4.其他：包括但不限于满足图纸、招标文件、规范及验收要求等一切相关费用</t>
  </si>
  <si>
    <t>1.名称：卫生间排风开关
2.规格：86*86mm
3.安装方式：暗装
4.其他：包括但不限于满足图纸、招标文件、规范及验收要求等一切相关费用</t>
  </si>
  <si>
    <t>1.名称：三孔插座
2.规格：86*86mm
3.安装方式：暗装
4.其他：包括但不限于满足图纸、招标文件、规范及验收要求等一切相关费用</t>
  </si>
  <si>
    <t>1.名称：五孔插座（带防溅盒）
2.规格：86*86mm
3.安装方式：暗装
4.其他：包括但不限于满足图纸、招标文件、规范及验收要求等一切相关费用</t>
  </si>
  <si>
    <t>1.名称：五孔插座带开关
2.规格：86*86mm
3.安装方式：暗装
4.其他：包括但不限于满足图纸、招标文件、规范及验收要求等一切相关费用</t>
  </si>
  <si>
    <t>1.名称：五孔插座带开关（带防溅盒）
2.规格：86*86mm
3.安装方式：暗装
4.其他：包括但不限于满足图纸、招标文件、规范及验收要求等一切相关费用</t>
  </si>
  <si>
    <t>1.名称：五孔地面插座
2.规格：86*86mm
3.安装方式：暗装
4.其他：包括但不限于满足图纸、招标文件、规范及验收要求等一切相关费用</t>
  </si>
  <si>
    <t>配管配线</t>
  </si>
  <si>
    <t>配管</t>
  </si>
  <si>
    <t>1.名称：电气配管
2.规格：JDG20
3.安装方式：暗装
4.其他：包括但不限于满足图纸、招标文件、规范及验收要求等一切相关费用</t>
  </si>
  <si>
    <t>1.名称：电气配管
2.规格：JDG25
3.安装方式：暗装
4.其他：包括但不限于满足图纸、招标文件、规范及验收要求等一切相关费用</t>
  </si>
  <si>
    <t>1.名称：电气配管
2.规格：PC20
3.安装方式：暗装
4.其他：包括但不限于满足图纸、招标文件、规范及验收要求等一切相关费用</t>
  </si>
  <si>
    <t>1.名称：电气配管
2.规格：PC25
3.安装方式：暗装
4.其他：包括但不限于满足图纸、招标文件、规范及验收要求等一切相关费用</t>
  </si>
  <si>
    <t>1.名称：电气配管
2.规格：PC32
3.安装方式：暗装
4.其他：包括但不限于满足图纸、招标文件、规范及验收要求等一切相关费用</t>
  </si>
  <si>
    <t>1.名称：金属软管
2.规格：DN20
3.安装方式：吊顶内安装
4.其他：包括但不限于满足图纸、招标文件、规范及验收要求等一切相关费用</t>
  </si>
  <si>
    <t>1.名称：金属软管
2.规格：DN25
3.安装方式：吊顶内安装
4.其他：包括但不限于满足图纸、招标文件、规范及验收要求等一切相关费用</t>
  </si>
  <si>
    <t>凿槽及修复</t>
  </si>
  <si>
    <t>1.名称：凿槽及修复
2.规格：70*70
3.部位：砖、混凝土结构综合考虑
4.其他：包括但不限于满足图纸、招标文件、规范及验收要求等一切相关费用</t>
  </si>
  <si>
    <t>接线盒</t>
  </si>
  <si>
    <t>1.名称：接线盒
2.材质：钢制
3.安装方式：暗装
4.其他：包括但不限于满足图纸、招标文件、规范及验收要求等一切相关费用</t>
  </si>
  <si>
    <t>开关（插座）盒</t>
  </si>
  <si>
    <t>1.名称：开关（插座）盒
2.材质：钢制
3.安装方式：暗装
4.其他：包括但不限于满足图纸、招标文件、规范及验收要求等一切相关费用</t>
  </si>
  <si>
    <t>1.名称：开关（插座）盒
2.材质：塑料
3.安装方式：暗装
4.其他：包括但不限于满足图纸、招标文件、规范及验收要求等一切相关费用</t>
  </si>
  <si>
    <t>1.名称：电气配线
2.型号规格：WDZC-BYJ-2.5
3.安装方式：线槽配线
4.其他：包括但不限于满足图纸、招标文件、规范及验收要求等一切相关费用</t>
  </si>
  <si>
    <t>1.名称：电气配线
2.型号规格：WDZC-BYJ-4
3.安装方式：管内穿线
4.其他：包括但不限于满足图纸、招标文件、规范及验收要求等一切相关费用</t>
  </si>
  <si>
    <t>1.名称：电气配线
2.型号规格：WDZC-BYJ-4
3.安装方式：线槽配线
4.其他：包括但不限于满足图纸、招标文件、规范及验收要求等一切相关费用</t>
  </si>
  <si>
    <t>1.名称：电气配线
2.型号规格：WDZC-BYJ-6
3.安装方式：线槽配线
4.其他：包括但不限于满足图纸、招标文件、规范及验收要求等一切相关费用</t>
  </si>
  <si>
    <t>给排水工程</t>
  </si>
  <si>
    <t>给排水管</t>
  </si>
  <si>
    <t>冷水 PPR管</t>
  </si>
  <si>
    <t>1.名称：冷水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</si>
  <si>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</si>
  <si>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2.规格：DN25
3.连接方式：热熔连接
4.压力试验及吹、洗要求：水压试验、水冲洗、消毒冲洗、管道标识等
5.其他：包括但不限于满足图纸、招标文件、规范及验收要求等一切相关费用</t>
  </si>
  <si>
    <t>1.名称：冷水 PPR管
2.规格：DN32
3.连接方式：热熔连接
4.压力试验及吹、洗要求：水压试验、水冲洗、消毒冲洗、管道标识等
5.其他：包括但不限于满足图纸、招标文件、规范及验收要求等一切相关费用</t>
  </si>
  <si>
    <t>热水 PPR管</t>
  </si>
  <si>
    <t>1.名称：热水 PPR管
2.规格：DN15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</si>
  <si>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2.规格：DN20
3.连接方式：热熔连接
4.压力试验及吹、洗要求：水压试验、水冲洗、消毒冲洗、管道标识等
5.其他：包括但不限于满足图纸、招标文件、规范及验收要求等一切相关费用</t>
  </si>
  <si>
    <t>1.名称：热水 PPR管
2.规格：DN25
3.连接方式：热熔连接
4.压力试验及吹、洗要求：水压试验、水冲洗、消毒冲洗、管道标识等
5.其他：包括但不限于满足图纸、招标文件、规范及验收要求等一切相关费用</t>
  </si>
  <si>
    <t>UPVC排水管</t>
  </si>
  <si>
    <t>1.名称：UPVC排水管
2.规格：DN50
3.连接方式：粘接
4.压力试验及吹、洗要求：水压试验、管道标识等
5.其他：包括但不限于满足图纸、招标文件、规范及验收要求等一切相关费用</t>
  </si>
  <si>
    <t>1.名称：UPVC排水管
2.规格：DN75
3.连接方式：粘接
4.压力试验及吹、洗要求：水压试验、管道标识等
5.其他：包括但不限于满足图纸、招标文件、规范及验收要求等一切相关费用</t>
  </si>
  <si>
    <t>1.名称：UPVC排水管
2.规格：DN100
3.连接方式：粘接
4.压力试验及吹、洗要求：水压试验、管道标识等
5.其他：包括但不限于满足图纸、招标文件、规范及验收要求等一切相关费用</t>
  </si>
  <si>
    <t>洁具五金</t>
  </si>
  <si>
    <t>轻智能马桶</t>
  </si>
  <si>
    <t>1.名称：轻智能马桶
2.型号规格：详见物料表
3.其他：包括但不限于满足图纸、招标文件、规范及验收要求等一切相关费用</t>
  </si>
  <si>
    <t>组</t>
  </si>
  <si>
    <t>挂墙式自动感应小便器</t>
  </si>
  <si>
    <t>1.名称：挂墙式自动感应小便器
2.型号规格：详见物料表
3.其他：包括但不限于满足图纸、招标文件、规范及验收要求等一切相关费用</t>
  </si>
  <si>
    <t>淋浴器</t>
  </si>
  <si>
    <t>1.名称：淋浴花洒
2.型号规格：详见物料表
3.其他：包括但不限于满足图纸、招标文件、规范及验收要求等一切相关费用</t>
  </si>
  <si>
    <t>拖把池及龙头</t>
  </si>
  <si>
    <t>1.名称：拖把池及冷热龙头
2.型号规格：详见物料表
3.其他：包括但不限于满足图纸、招标文件、规范及验收要求等一切相关费用</t>
  </si>
  <si>
    <t>台下盆及龙头</t>
  </si>
  <si>
    <t>1.名称：洗手盆及冷热龙头
2.型号规格：详见物料表
3.其他：包括但不限于满足图纸、招标文件、规范及验收要求等一切相关费用</t>
  </si>
  <si>
    <t>吧台水槽及龙头</t>
  </si>
  <si>
    <t>1.名称：吧台水槽及冷热龙头
2.型号规格：详见物料表
3.其他：包括但不限于满足图纸、招标文件、规范及验收要求等一切相关费用</t>
  </si>
  <si>
    <t>隐藏地漏</t>
  </si>
  <si>
    <t>1.名称：隐藏地漏
2.型号规格：100*100*19mm
3.其他：包括但不限于满足图纸、招标文件、规范及验收要求等一切相关费用</t>
  </si>
  <si>
    <t>角阀</t>
  </si>
  <si>
    <t>1.名称：角阀（热水器、洗碗机、制冰机）
2.型号规格：DN15
3.其他：包括但不限于满足图纸、招标文件、规范及验收要求等一切相关费用</t>
  </si>
  <si>
    <t>纸巾架</t>
  </si>
  <si>
    <t>1.名称：纸巾架
2.型号规格：170*120*81mm
3.其他：包括但不限于满足图纸、招标文件、规范及验收要求等一切相关费用</t>
  </si>
  <si>
    <t>挂衣钩</t>
  </si>
  <si>
    <t>1.名称：挂衣钩
2.型号规格：详见物料表
3.其他：包括但不限于满足图纸、招标文件、规范及验收要求等一切相关费用</t>
  </si>
  <si>
    <t>多联机空调</t>
  </si>
  <si>
    <t>1.名称：风管机 F25
2.规格：制冷量2.5kW 制热量3.2kW 风量450m3/h 机外静压30Pa 额定功率0.10kW 运转噪音≤37dB(A) 带冷凝水提升水泵
3.安装方式：吊装
4.其他：包括但不限于满足图纸、招标文件、规范及验收要求等一切相关费用</t>
  </si>
  <si>
    <t>1.名称：风管机 F36
2.规格：制冷量3.6kW 制热量4.2kW 风量780m3/h 机外静压50Pa 额定功率0.10kW 运转噪音≤37dB(A) 带冷凝水提升水泵
3.安装方式：吊装
4.其他：包括但不限于满足图纸、招标文件、规范及验收要求等一切相关费用</t>
  </si>
  <si>
    <t>1.名称：风管机 F40
2.规格：制冷量4.0kW 制热量4.5kW 风量780m3/h 机外静压50Pa 额定功率0.14kW 运转噪音≤37dB(A) 带冷凝水提升水泵
3.安装方式：吊装
4.其他：包括但不限于满足图纸、招标文件、规范及验收要求等一切相关费用</t>
  </si>
  <si>
    <t>1.名称：风管机 F50
2.规格：制冷量5.0kW 制热量5.6kW 风量900m3/h 机外静压50Pa 额定功率0.17kW 运转噪音≤37dB(A) 带冷凝水提升水泵
3.安装方式：吊装
4.其他：包括但不限于满足图纸、招标文件、规范及验收要求等一切相关费用</t>
  </si>
  <si>
    <t>1.名称：风管机 F90
2.规格：制冷量9.0kW 制热量10kW 风量1000m3/h 机外静压50Pa 额定功率0.28kW 运转噪音≤40dB(A) 带冷凝水提升水泵
3.安装方式：吊装
4.其他：包括但不限于满足图纸、招标文件、规范及验收要求等一切相关费用</t>
  </si>
  <si>
    <t>1.名称：风管机 F100
2.规格：制冷量10.0kW 制热量11.2kW 风量1400m3/h 机外静压50Pa 额定功率0.28kW 运转噪音≤40dB(A) 带冷凝水提升水泵
3.安装方式：吊装
4.其他：包括但不限于满足图纸、招标文件、规范及验收要求等一切相关费用</t>
  </si>
  <si>
    <t>1.名称：风管机 F112
2.规格：制冷量11.2kW 制热量12.5kW 风量1400m3/h 机外静压50Pa 额定功率0.28kW 运转噪音≤40dB(A) 带冷凝水提升水泵
3.安装方式：吊装
4.其他：包括但不限于满足图纸、招标文件、规范及验收要求等一切相关费用</t>
  </si>
  <si>
    <t>1.名称：风管机 F140
2.规格：制冷量14.0kW 制热量16.3kW 风量2220m3/h 机外静压90Pa 额定功率0.28kW 运转噪音≤40dB(A) 带冷凝水提升水泵
3.安装方式：吊装
4.其他：包括但不限于满足图纸、招标文件、规范及验收要求等一切相关费用</t>
  </si>
  <si>
    <t>1.名称：风管机 F160
2.规格：制冷量16.0kW 制热量18.0kW 风量2300m3/h 机外静压90Pa 额定功率0.4kW 运转噪音≤45dB(A) 带冷凝水提升水泵
3.安装方式：吊装
4.其他：包括但不限于满足图纸、招标文件、规范及验收要求等一切相关费用</t>
  </si>
  <si>
    <t>1.名称：多联式室外机 L-1
2.规格：制冷量170.0kW 制热量190.0kW 风量50400m3/h 机外静压-Pa 额定功率49.2kW 运转噪音≤61dB(A)
3.安装方式：落地
4.其他：包括但不限于满足图纸、招标文件、规范及验收要求等一切相关费用</t>
  </si>
  <si>
    <t>1.名称：多联式室外机 L-2
2.规格：制冷量61.5kW 制热量69.0kW 风量20700m3/h 机外静压-Pa 额定功率16.4kW 运转噪音≤61dB(A)
3.安装方式：落地
4.其他：包括但不限于满足图纸、招标文件、规范及验收要求等一切相关费用</t>
  </si>
  <si>
    <t>1.名称：多联式室外机 L-3
2.规格：制冷量68.0kW 制热量75.0kW 风量21000m3/h 机外静压-Pa 额定功率18.4kW 运转噪音≤61dB(A)
3.安装方式：落地
4.其他：包括但不限于满足图纸、招标文件、规范及验收要求等一切相关费用</t>
  </si>
  <si>
    <t>1.名称：矩形风管
2.材质：镀锌薄钢板
3.厚度：1.0mm
4.长边：≤2000mm
5.其他：包括但不限于满足图纸、招标文件、规范及验收要求等一切相关费用</t>
  </si>
  <si>
    <t>风管部件</t>
  </si>
  <si>
    <t>1.名称：单层百叶风口
2.周长：≤2500mm
3.规格：800*150
4.其他：包括但不限于满足图纸、招标文件、规范及验收要求等一切相关费用</t>
  </si>
  <si>
    <t>1.名称：单层百叶风口
2.周长：≤2500mm
3.规格：1000*120
4.其他：包括但不限于满足图纸、招标文件、规范及验收要求等一切相关费用</t>
  </si>
  <si>
    <t>1.名称：单层百叶风口
2.周长：≤3300mm
3.规格：1400*150
4.其他：包括但不限于满足图纸、招标文件、规范及验收要求等一切相关费用</t>
  </si>
  <si>
    <t>1.名称：单层百叶风口
2.周长：≤5200mm
3.规格：2000*150
4.其他：包括但不限于满足图纸、招标文件、规范及验收要求等一切相关费用</t>
  </si>
  <si>
    <t>连通管</t>
  </si>
  <si>
    <t>1.名称：连通管
2.规格：1200(L)*300(W)*300(H)
3.其他：包括但不限于满足图纸、招标文件、规范及验收要求等一切相关费用</t>
  </si>
  <si>
    <t>1.名称：连通管
2.规格：1200(L)*250(W)*300(H)
3.其他：包括但不限于满足图纸、招标文件、规范及验收要求等一切相关费用</t>
  </si>
  <si>
    <t>1.名称：连通管
2.规格：2200(L)*250(W)*300(H)
3.其他：包括但不限于满足图纸、招标文件、规范及验收要求等一切相关费用</t>
  </si>
  <si>
    <t>1.名称：紫铜管
2.规格：φ28.6
3.厚度：1.2mm
4.连接方式：钎焊连结
5.其他：包括但不限于满足图纸、招标文件、规范及验收要求等一切相关费用</t>
  </si>
  <si>
    <t>1.名称：紫铜管
2.规格：φ31.8
3.厚度：1.2mm
4.连接方式：钎焊连结
5.其他：包括但不限于满足图纸、招标文件、规范及验收要求等一切相关费用</t>
  </si>
  <si>
    <t>1.名称：分歧器
2.规格：公称直径30mm以内
3.其他：包括但不限于满足图纸、招标文件、规范及验收要求等一切相关费用</t>
  </si>
  <si>
    <t>1.名称：分歧器
2.规格：公称直径40mm以内
3.其他：包括但不限于满足图纸、招标文件、规范及验收要求等一切相关费用</t>
  </si>
  <si>
    <t>1.名称：UPVC管
2.规格：DN20
3.介质：冷凝水
4.连接方式：粘接
5.其他：包括但不限于满足图纸、招标文件、规范及验收要求等一切相关费用</t>
  </si>
  <si>
    <t>1.名称：UPVC管
2.规格：DN50
3.介质：冷凝水
4.连接方式：粘接
5.其他：包括但不限于满足图纸、招标文件、规范及验收要求等一切相关费用</t>
  </si>
  <si>
    <t>1.名称：冷媒管保温
2.材质：难燃B1级橡塑
3.厚度：25mm
4.其他：包括但不限于满足图纸、招标文件、规范及验收要求等一切相关费用</t>
  </si>
  <si>
    <t>管道支架</t>
  </si>
  <si>
    <t>1.名称：管道支架
2.刷油防腐：除锈后樟丹防锈漆二道，醇酸磁漆二道
3.其他：包括但不限于满足图纸、招标文件、规范及验收要求等一切相关费用</t>
  </si>
  <si>
    <t>Kg</t>
  </si>
  <si>
    <t>样板房安装工程工程量清单</t>
  </si>
  <si>
    <t>109户型</t>
  </si>
  <si>
    <t>R1 LED嵌入式射灯</t>
  </si>
  <si>
    <t>1.名称：R1 LED嵌入式射灯
2.规格：12W、3000K、光束角36°
3.安装方式：嵌装
4.其他：包括但不限于满足图纸、招标文件、规范及验收要求等一切相关费用</t>
  </si>
  <si>
    <t>R2 LED嵌入式可调角射灯</t>
  </si>
  <si>
    <t>1.名称：R2 LED嵌入式可调角射灯
2.规格：12W、3000K、光束角24°
3.安装方式：嵌装
4.其他：包括但不限于满足图纸、招标文件、规范及验收要求等一切相关费用</t>
  </si>
  <si>
    <t>R3 嵌入式防雾射灯</t>
  </si>
  <si>
    <t>1.名称：R3 嵌入式防雾射灯
2.规格：12W、3000K、光束角36°
3.安装方式：嵌装
4.其他：包括但不限于满足图纸、招标文件、规范及验收要求等一切相关费用</t>
  </si>
  <si>
    <t>R4 明装双头射灯</t>
  </si>
  <si>
    <t>1.名称：R4 明装双头射灯
2.规格：12W、3000K、光束角36°
3.安装方式：嵌装
4.其他：包括但不限于满足图纸、招标文件、规范及验收要求等一切相关费用</t>
  </si>
  <si>
    <t>R5 明装单头射灯</t>
  </si>
  <si>
    <t>1.名称：R5 明装单头射灯
2.规格：12W、3000K、光束角36°
3.安装方式：嵌装
4.其他：包括但不限于满足图纸、招标文件、规范及验收要求等一切相关费用</t>
  </si>
  <si>
    <t>L1 LED灯条（天花）</t>
  </si>
  <si>
    <t>1.名称：L1 LED灯条（天花）
2.规格：14W/米,3000K,120珠/米
3.安装方式：天花
4.其他：包括但不限于满足图纸、招标文件、规范及验收要求等一切相关费用</t>
  </si>
  <si>
    <t>L2 LED灯条（墙立面）</t>
  </si>
  <si>
    <t>1.名称：L2 LED灯条（墙立面）
2.规格：7W/米,3000K,120珠/米
3.安装方式：天花
4.其他：包括但不限于满足图纸、招标文件、规范及验收要求等一切相关费用</t>
  </si>
  <si>
    <t>L3 LED灯条（柜子）</t>
  </si>
  <si>
    <t>1.名称：L3 LED灯条（柜子）
2.规格：4W/米,3000K,120珠/米
3.安装方式：天花
4.其他：包括但不限于满足图纸、招标文件、规范及验收要求等一切相关费用</t>
  </si>
  <si>
    <t>线型凉霸及开关</t>
  </si>
  <si>
    <t>1.名称：线型凉霸及开关
2.规格：34W
3.尺寸：详见物料表
4.其他：包括但不限于满足图纸、招标文件、规范及验收要求等一切相关费用</t>
  </si>
  <si>
    <t>线型浴霸及开关</t>
  </si>
  <si>
    <t>1.名称：线型浴霸及开关
2.规格：40W
3.尺寸：详见物料表
4.其他：包括但不限于满足图纸、招标文件、规范及验收要求等一切相关费用</t>
  </si>
  <si>
    <t>1.名称：双联双控开关
2.规格：86*86mm
3.安装方式：暗装
4.其他：包括但不限于满足图纸、招标文件、规范及验收要求等一切相关费用</t>
  </si>
  <si>
    <t>1.名称：三联双控开关
2.规格：86*86mm
3.安装方式：暗装
4.其他：包括但不限于满足图纸、招标文件、规范及验收要求等一切相关费用</t>
  </si>
  <si>
    <t>1.名称：四联双控开关
2.规格：86*86mm
3.安装方式：暗装
4.其他：包括但不限于满足图纸、招标文件、规范及验收要求等一切相关费用</t>
  </si>
  <si>
    <t>1.名称：五孔插座带USB
2.规格：86*86mm
3.安装方式：暗装
4.其他：包括但不限于满足图纸、招标文件、规范及验收要求等一切相关费用</t>
  </si>
  <si>
    <t>1.名称：电气配线
2.型号规格：BV-1.5
3.安装方式：管内穿线
4.其他：包括但不限于满足图纸、招标文件、规范及验收要求等一切相关费用</t>
  </si>
  <si>
    <t>1.名称：电气配线
2.型号规格：BV-2.5
3.安装方式：管内穿线
4.其他：包括但不限于满足图纸、招标文件、规范及验收要求等一切相关费用</t>
  </si>
  <si>
    <t>1.名称：电气配线
2.型号规格：BV-4
3.安装方式：管内穿线
4.其他：包括但不限于满足图纸、招标文件、规范及验收要求等一切相关费用</t>
  </si>
  <si>
    <t>1.名称：电气配线
2.型号规格：BV-10
3.安装方式：管内穿线
4.其他：包括但不限于满足图纸、招标文件、规范及验收要求等一切相关费用</t>
  </si>
  <si>
    <t>弱电工程</t>
  </si>
  <si>
    <t>1.名称：网络插座
2.规格：86*86mm
3.安装方式：暗装
4.其他：包括但不限于满足图纸、招标文件、规范及验收要求等一切相关费用</t>
  </si>
  <si>
    <t>1.名称：电视插座
2.规格：86*86mm
3.安装方式：暗装
4.其他：包括但不限于满足图纸、招标文件、规范及验收要求等一切相关费用</t>
  </si>
  <si>
    <t>紧急按钮</t>
  </si>
  <si>
    <t>1.名称：紧急按钮
2.规格：86*86mm
3.安装方式：暗装
4.其他：包括但不限于满足图纸、招标文件、规范及验收要求等一切相关费用</t>
  </si>
  <si>
    <t>双绞线缆</t>
  </si>
  <si>
    <t>1.名称：超六类网线
2.型号规格：CAT6e
3.敷设方式：管内穿线
4.其他：包括但不限于满足图纸、招标文件、规范及验收要求等一切相关费用</t>
  </si>
  <si>
    <t>多芯软导线</t>
  </si>
  <si>
    <t>1.名称：多芯软导线
2.型号规格：RVV-2*1.0
3.敷设方式：管内穿线
4.其他：包括但不限于满足图纸、招标文件、规范及验收要求等一切相关费用</t>
  </si>
  <si>
    <t>排水管</t>
  </si>
  <si>
    <t>大便器</t>
  </si>
  <si>
    <t>1.名称：智能坐便器-主卫
2.型号：详见物料表
3.其他：包括但不限于满足图纸、招标文件、规范及验收要求等一切相关费用</t>
  </si>
  <si>
    <t>1.名称：连体坐便器-公卫
2.型号：详见物料表
3.其他：包括但不限于满足图纸、招标文件、规范及验收要求等一切相关费用</t>
  </si>
  <si>
    <t>1.名称：淋浴花洒3-主卫
2.型号：详见物料表
3.其他：包括但不限于满足图纸、招标文件、规范及验收要求等一切相关费用</t>
  </si>
  <si>
    <t>1.名称：淋浴花洒2-公卫
2.型号：详见物料表
3.其他：包括但不限于满足图纸、招标文件、规范及验收要求等一切相关费用</t>
  </si>
  <si>
    <t>1.名称：台下盆方形及龙头-主卫
2.型号：详见物料表
3.其他：包括但不限于满足图纸、招标文件、规范及验收要求等一切相关费用</t>
  </si>
  <si>
    <t>1.名称：台下盆方形及龙头-公卫
2.型号：详见物料表
3.其他：包括但不限于满足图纸、招标文件、规范及验收要求等一切相关费用</t>
  </si>
  <si>
    <t>水槽及龙头</t>
  </si>
  <si>
    <t>1.名称：厨房大单盆水槽
2.型号：详见物料表
3.其他：包括但不限于满足图纸、招标文件、规范及验收要求等一切相关费用</t>
  </si>
  <si>
    <t>地漏</t>
  </si>
  <si>
    <t>1.名称：隐藏式地漏-干区
2.规格：DN50
3.型号：详见物料表
4.其他：包括但不限于满足图纸、招标文件、规范及验收要求等一切相关费用</t>
  </si>
  <si>
    <t>1.名称：隐形长地漏-淋浴间
2.规格：DN75
3.型号：详见物料表
4.其他：包括但不限于满足图纸、招标文件、规范及验收要求等一切相关费用</t>
  </si>
  <si>
    <t>1.名称：隐藏式地漏-阳台
2.规格：DN75
3.型号：详见物料表
4.其他：包括但不限于满足图纸、招标文件、规范及验收要求等一切相关费用</t>
  </si>
  <si>
    <t>1.名称：洗衣机地漏
2.规格：DN75
3.型号：详见物料表
4.其他：包括但不限于满足图纸、招标文件、规范及验收要求等一切相关费用</t>
  </si>
  <si>
    <t>洗衣机龙头</t>
  </si>
  <si>
    <t>1.名称：洗衣机龙头
2.规格：DN15
3.型号：详见物料表
4.其他：包括但不限于满足图纸、招标文件、规范及验收要求等一切相关费用</t>
  </si>
  <si>
    <t>1.名称：角阀（热水器、洗碗机、扫地机、阳台洗手盆）
2.型号规格：DN15
3.其他：包括但不限于满足图纸、招标文件、规范及验收要求等一切相关费用</t>
  </si>
  <si>
    <t>1.名称：超薄风管式室内机 FF25
2.规格：制冷量2.5kW 制冷功率40W 制热量3.0kW 制热功率40W 风量500m3/h 运转噪音≤29dB(A)
3.安装方式：吊装
4.其他：包括但不限于满足图纸、招标文件、规范及验收要求等一切相关费用</t>
  </si>
  <si>
    <t>1.名称：超薄风管式室内机 FF36
2.规格：制冷量3.6kW 制冷功率50W 制热量4.5kW 制热功率50W 风量550m3/h 运转噪音≤29dB(A)
3.安装方式：吊装
4.其他：包括但不限于满足图纸、招标文件、规范及验收要求等一切相关费用</t>
  </si>
  <si>
    <t>1.名称：超薄风管式室内机 FF45
2.规格：制冷量4.5kW 制冷功率60W 制热量5.0kW 制热功率60W 风量800m3/h 运转噪音≤30dB(A)
3.安装方式：吊装
4.其他：包括但不限于满足图纸、招标文件、规范及验收要求等一切相关费用</t>
  </si>
  <si>
    <t>1.名称：超薄风管式室内机 FF56
2.规格：制冷量5.6kW 制冷功率60W 制热量6.3kW 制热功率60W 风量850m3/h 运转噪音≤33dB(A)
3.安装方式：吊装
4.其他：包括但不限于满足图纸、招标文件、规范及验收要求等一切相关费用</t>
  </si>
  <si>
    <t>1.名称：多联式室外机 SWJ-224
2.规格：制冷量24.4kW 制冷功率6300W 制热量24.5kW 制热功率6000W 风量9500m3/h 运转噪音≤60dB(A)
3.安装方式：落地
4.其他：包括但不限于满足图纸、招标文件、规范及验收要求等一切相关费用</t>
  </si>
  <si>
    <t>119户型</t>
  </si>
  <si>
    <t>暖风机及开关</t>
  </si>
  <si>
    <t>1.名称：暖风机及开关
2.规格：40W
3.尺寸：详见物料表
4.其他：包括但不限于满足图纸、招标文件、规范及验收要求等一切相关费用</t>
  </si>
  <si>
    <t>排气扇及开关</t>
  </si>
  <si>
    <t>1.名称：排气扇及开关
2.规格：-
3.尺寸：详见物料表
4.其他：包括但不限于满足图纸、招标文件、规范及验收要求等一切相关费用</t>
  </si>
  <si>
    <t>1.名称：轨道插座(藏于天花内)
2.规格：-
3.安装方式：暗装
4.其他：包括但不限于满足图纸、招标文件、规范及验收要求等一切相关费用</t>
  </si>
  <si>
    <t>1.名称：连体坐便器-次卫
2.型号：详见物料表
3.其他：包括但不限于满足图纸、招标文件、规范及验收要求等一切相关费用</t>
  </si>
  <si>
    <t>1.名称：淋浴花洒2-次卫
2.型号：详见物料表
3.其他：包括但不限于满足图纸、招标文件、规范及验收要求等一切相关费用</t>
  </si>
  <si>
    <t>1.名称：台下盆方形及龙头-次卫
2.型号：详见物料表
3.其他：包括但不限于满足图纸、招标文件、规范及验收要求等一切相关费用</t>
  </si>
  <si>
    <t>1.名称：厨房大单盆水槽及龙头
2.型号：详见物料表
3.其他：包括但不限于满足图纸、招标文件、规范及验收要求等一切相关费用</t>
  </si>
  <si>
    <t>1.名称：角阀（热水器、洗碗机、阳台洗手盆）
2.型号规格：DN15
3.其他：包括但不限于满足图纸、招标文件、规范及验收要求等一切相关费用</t>
  </si>
  <si>
    <t>139户型</t>
  </si>
  <si>
    <t>1.名称：四联单控开关
2.规格：86*86mm
3.安装方式：暗装
4.其他：包括但不限于满足图纸、招标文件、规范及验收要求等一切相关费用</t>
  </si>
  <si>
    <t>1.名称：单联双控开关
2.规格：86*86mm
3.安装方式：暗装
4.其他：包括但不限于满足图纸、招标文件、规范及验收要求等一切相关费用</t>
  </si>
  <si>
    <t>1.名称：电气配线
2.型号规格：BV-16
3.安装方式：管内穿线
4.其他：包括但不限于满足图纸、招标文件、规范及验收要求等一切相关费用</t>
  </si>
  <si>
    <t>浴缸及龙头</t>
  </si>
  <si>
    <t>1.名称：浴缸及龙头-主卫
2.型号：详见物料表
3.其他：包括但不限于满足图纸、招标文件、规范及验收要求等一切相关费用</t>
  </si>
  <si>
    <t>1.名称：超薄风管式室内机 FF71
2.规格：制冷量7.1kW 制冷功率65W 制热量8.0kW 制热功率65W 风量1160m3/h 运转噪音≤35dB(A)
3.安装方式：吊装
4.其他：包括但不限于满足图纸、招标文件、规范及验收要求等一切相关费用</t>
  </si>
  <si>
    <t>1.名称：多联式室外机 SWJ-260
2.规格：制冷量26kW 制冷功率7300W 制热量28.5kW 制热功率7000W 风量10000m3/h 运转噪音≤60dB(A)
3.安装方式：落地
4.其他：包括但不限于满足图纸、招标文件、规范及验收要求等一切相关费用</t>
  </si>
  <si>
    <t>公共区域安装工程工程量清单</t>
  </si>
  <si>
    <t>批量公区</t>
  </si>
  <si>
    <t>LA-01 嵌入式筒灯</t>
  </si>
  <si>
    <t>1.名称：LA-01 嵌入式筒灯
2.规格：12W 4000K 灯体尺寸Φ118*50mm
3.安装方式：嵌装
4.其他：包括但不限于满足图纸、招标文件、规范及验收要求等一切相关费用</t>
  </si>
  <si>
    <t>LA-02 射灯</t>
  </si>
  <si>
    <t>1.名称：LA-02 射灯
2.规格：12W 4000K 灯体尺寸Φ118*50mm
3.安装方式：嵌装
4.其他：包括但不限于满足图纸、招标文件、规范及验收要求等一切相关费用</t>
  </si>
  <si>
    <t>LA-04 红外人体感应筒灯</t>
  </si>
  <si>
    <t>1.名称：LA-04 红外人体感应筒灯
2.规格：9W 4000K 灯体尺寸Φ118*50mm
3.安装方式：嵌装
4.其他：包括但不限于满足图纸、招标文件、规范及验收要求等一切相关费用</t>
  </si>
  <si>
    <t>LA-05 明装红外人体感应筒灯</t>
  </si>
  <si>
    <t>1.名称：LA-05 明装红外人体感应筒灯
2.规格：9W 4000K 灯体尺寸Φ150*100mm
3.安装方式：明装
4.其他：包括但不限于满足图纸、招标文件、规范及验收要求等一切相关费用</t>
  </si>
  <si>
    <t>LA-07 LED明装筒灯(带红外感应)</t>
  </si>
  <si>
    <t>1.名称：LA-07 LED明装筒灯(带红外感应)
2.规格：9W 4000K 灯体尺寸Φ150*100mm
3.安装方式：明装
4.其他：包括但不限于满足图纸、招标文件、规范及验收要求等一切相关费用</t>
  </si>
  <si>
    <t>1.名称：LA-03 LED灯带
2.规格：8W/米 4000K L170*W170*H25mm
3.安装方式：天花
4.其他：包括但不限于满足图纸、招标文件、规范及验收要求等一切相关费用</t>
  </si>
  <si>
    <t>电梯轿厢</t>
  </si>
  <si>
    <t>嵌入式筒灯</t>
  </si>
  <si>
    <t>1.名称：嵌入式筒灯
2.规格：-
3.安装方式：嵌装
4.其他：包括但不限于满足图纸、招标文件、规范及验收要求等一切相关费用</t>
  </si>
  <si>
    <t>LED灯带</t>
  </si>
  <si>
    <t>1.名称：LED灯带
2.规格：8W/米 4000K L170*W170*H25mm
3.安装方式：天花
4.其他：包括但不限于满足图纸、招标文件、规范及验收要求等一切相关费用</t>
  </si>
  <si>
    <t>户内交标安装工程工程量清单</t>
  </si>
  <si>
    <t>电气</t>
  </si>
  <si>
    <t>1.名称：LA-01 筒灯
2.规格：8.5W 4000K 尺寸Φ138*32mm
3.安装方式：嵌装
4.其他：包括但不限于满足图纸、招标文件、规范及验收要求等一切相关费用</t>
  </si>
  <si>
    <t>LA-02 LED嵌入式射灯</t>
  </si>
  <si>
    <t>1.名称：LA-02 LED嵌入式射灯
2.规格：7.5W 4000K 尺寸Φ85*57mm
3.安装方式：嵌装
4.其他：包括但不限于满足图纸、招标文件、规范及验收要求等一切相关费用</t>
  </si>
  <si>
    <t>LA-03 防雾射灯</t>
  </si>
  <si>
    <t>1.名称：LA-03 防雾射灯
2.规格：7W 3500K 尺寸Φ86*86mm
3.安装方式：嵌装
4.其他：包括但不限于满足图纸、招标文件、规范及验收要求等一切相关费用</t>
  </si>
  <si>
    <t>LA-05 平板灯300*600</t>
  </si>
  <si>
    <t>1.名称：LA-05 平板灯300*600
2.规格：12W 4000K 尺寸300*600mm
3.安装方式：嵌装
4.其他：包括但不限于满足图纸、招标文件、规范及验收要求等一切相关费用</t>
  </si>
  <si>
    <t>LA-06 吸顶灯</t>
  </si>
  <si>
    <t>1.名称：LA-06 吸顶灯
2.规格：18W 4000K 尺寸φ330*H48mm 
3.安装方式：嵌装
4.其他：包括但不限于满足图纸、招标文件、规范及验收要求等一切相关费用</t>
  </si>
  <si>
    <t>普通灯具</t>
  </si>
  <si>
    <t>1.名称：LA-08 LED灯泡+灯座
2.规格：5W 4000K 86*86mm E27螺口
3.安装方式：嵌装
4.其他：包括但不限于满足图纸、招标文件、规范及验收要求等一切相关费用</t>
  </si>
  <si>
    <t>LA-04 线条灯</t>
  </si>
  <si>
    <t>1.名称：LA-04 线条灯
2.规格：12W/m 尺寸20*10mm
3.安装方式：吊装
4.其他：包括但不限于满足图纸、招标文件、规范及验收要求等一切相关费用</t>
  </si>
  <si>
    <t>LA-07 LED灯带</t>
  </si>
  <si>
    <t>1.名称：LA-07 LED灯带
2.规格：8W/米 4000K
3.安装方式：天花
4.其他：包括但不限于满足图纸、招标文件、规范及验收要求等一切相关费用</t>
  </si>
  <si>
    <t>排气扇</t>
  </si>
  <si>
    <t>1.名称：排气扇
2.规格：40W 风量235m3/h
3.尺寸：详见物料表
4.其他：包括但不限于满足图纸、招标文件、规范及验收要求等一切相关费用</t>
  </si>
  <si>
    <t>1.名称：一键开关
2.规格：86*86mm
3.安装方式：暗装
4.其他：包括但不限于满足图纸、招标文件、规范及验收要求等一切相关费用</t>
  </si>
  <si>
    <t>1.名称：五孔插座（防溅）
2.规格：86*86mm
3.安装方式：暗装
4.其他：包括但不限于满足图纸、招标文件、规范及验收要求等一切相关费用</t>
  </si>
  <si>
    <t>1.名称：五孔插座带USB接口
2.规格：86*86mm
3.安装方式：暗装
4.其他：包括但不限于满足图纸、招标文件、规范及验收要求等一切相关费用</t>
  </si>
  <si>
    <t>1.名称：三孔插座 16A
2.规格：86*86mm
3.安装方式：暗装
4.其他：包括但不限于满足图纸、招标文件、规范及验收要求等一切相关费用</t>
  </si>
  <si>
    <t>1.名称：三孔插座带开关（防溅）
2.规格：86*86mm
3.安装方式：暗装
4.其他：包括但不限于满足图纸、招标文件、规范及验收要求等一切相关费用</t>
  </si>
  <si>
    <t>小夜灯</t>
  </si>
  <si>
    <t>1.名称：小夜灯
2.规格：86*86mm
3.安装方式：暗装
4.其他：包括但不限于满足图纸、招标文件、规范及验收要求等一切相关费用</t>
  </si>
  <si>
    <t>弱电</t>
  </si>
  <si>
    <t>1.名称：单口网络插座
2.规格：86*86mm
3.安装方式：暗装
4.其他：包括但不限于满足图纸、招标文件、规范及验收要求等一切相关费用</t>
  </si>
  <si>
    <t>1.名称：双口插座(网络+电视)
2.规格：86*86mm
3.安装方式：暗装
4.其他：包括但不限于满足图纸、招标文件、规范及验收要求等一切相关费用</t>
  </si>
  <si>
    <t>1.名称：双口地插(网络+电话)
2.规格：86*86mm
3.安装方式：暗装
4.其他：包括但不限于满足图纸、招标文件、规范及验收要求等一切相关费用</t>
  </si>
  <si>
    <t>1.名称：超六类网线
2.型号规格：CAT6
3.敷设方式：管内穿线
4.其他：包括但不限于满足图纸、招标文件、规范及验收要求等一切相关费用</t>
  </si>
  <si>
    <t>洁具五金、排水管</t>
  </si>
  <si>
    <t>连体马桶</t>
  </si>
  <si>
    <t>1.名称：连体马桶
2.型号：详见物料表(主材甲供)
3.其他：包括但不限于满足图纸、招标文件、规范及验收要求等一切相关费用</t>
  </si>
  <si>
    <t>1.名称：淋浴花洒-主卫
2.型号：详见物料表(主材甲供)
3.其他：包括但不限于满足图纸、招标文件、规范及验收要求等一切相关费用</t>
  </si>
  <si>
    <t>1.名称：淋浴花洒-公卫、次卫(主材甲供)
3.其他：包括但不限于满足图纸、招标文件、规范及验收要求等一切相关费用</t>
  </si>
  <si>
    <t>1.名称：台下盆及龙头
2.型号：详见物料表(主材甲供)
3.其他：包括但不限于满足图纸、招标文件、规范及验收要求等一切相关费用</t>
  </si>
  <si>
    <t>1.名称：厨房大单盆水槽及龙头
2.型号：详见物料表(主材甲供)
3.其他：包括但不限于满足图纸、招标文件、规范及验收要求等一切相关费用</t>
  </si>
  <si>
    <t>1.名称：不锈钢地漏-干区
2.规格：DN50
3.型号：详见物料表(主材甲供)
4.其他：包括但不限于满足图纸、招标文件、规范及验收要求等一切相关费用</t>
  </si>
  <si>
    <t>1.名称：不锈钢地漏-淋浴间
2.规格：DN75
3.型号：详见物料表(主材甲供)
4.其他：包括但不限于满足图纸、招标文件、规范及验收要求等一切相关费用</t>
  </si>
  <si>
    <t>1.名称：不锈钢地漏-阳台
2.规格：DN75
3.型号：详见物料表(主材甲供)
4.其他：包括但不限于满足图纸、招标文件、规范及验收要求等一切相关费用</t>
  </si>
  <si>
    <t>1.名称：洗衣机地漏
2.规格：DN75
3.型号：详见物料表(主材甲供)
4.其他：包括但不限于满足图纸、招标文件、规范及验收要求等一切相关费用</t>
  </si>
  <si>
    <t>1.名称：洗衣机龙头
2.规格：DN15
3.型号：详见物料表(主材甲供)
4.其他：包括但不限于满足图纸、招标文件、规范及验收要求等一切相关费用</t>
  </si>
  <si>
    <t>1.名称：热水器角阀(主材甲供)
2.型号规格：DN15
3.其他：包括但不限于满足图纸、招标文件、规范及验收要求等一切相关费用</t>
  </si>
  <si>
    <t>会所售楼处消防电工程工程量清单</t>
  </si>
  <si>
    <t>控制价</t>
  </si>
  <si>
    <t>不含税合价</t>
  </si>
  <si>
    <t>消防自动报警系统</t>
  </si>
  <si>
    <t>消防模块箱</t>
  </si>
  <si>
    <t>1、名称：消防模块箱
2、安装方式：按图纸要求综合考虑
3、其他：包括但不限于以上内容，综合考虑按图纸、招标文件和规范要求而实施、完成这项工程的一切有关费用</t>
  </si>
  <si>
    <t>总线短路隔离器</t>
  </si>
  <si>
    <t>1、名称：总线短路隔离器
2、安装方式：按图纸要求综合考虑
3、其他：包括但不限于以上内容，综合考虑按图纸、招标文件和规范要求而实施、完成这项工程的一切有关费用</t>
  </si>
  <si>
    <t>消防模块</t>
  </si>
  <si>
    <t>1、名称：编码单输入/输出模块
2、安装方式：按图纸要求综合考虑
3、其他：包括但不限于以上内容，综合考虑按图纸、招标文件和规范要求而实施、完成这项工程的一切有关费用</t>
  </si>
  <si>
    <t>点型探测器</t>
  </si>
  <si>
    <t>1、名称：智能型感烟探测器
2、安装方式：按图纸要求综合考虑
3、其他：包括但不限于以上内容，综合考虑按图纸、招标文件和规范要求而实施、完成这项工程的一切有关费用</t>
  </si>
  <si>
    <t>消防报警电话插孔(电话)</t>
  </si>
  <si>
    <t>1、名称：消防电话插孔
2、安装方式：按图纸要求综合考虑
3、其他：包括但不限于以上内容，综合考虑按图纸、招标文件和规范要求而实施、完成这项工程的一切有关费用</t>
  </si>
  <si>
    <t>按钮</t>
  </si>
  <si>
    <t>1、名称：编码型手动报警按钮
2、安装方式：按图纸要求综合考虑
3、其他：包括但不限于以上内容，综合考虑按图纸、招标文件和规范要求而实施、完成这项工程的一切有关费用</t>
  </si>
  <si>
    <t>1、名称：编码型消火栓按钮
2、安装方式：按图纸要求综合考虑
3、其他：包括但不限于以上内容，综合考虑按图纸、招标文件和规范要求而实施、完成这项工程的一切有关费用</t>
  </si>
  <si>
    <t>声光报警器</t>
  </si>
  <si>
    <t>1、名称：声光报警器
2、安装方式：按图纸要求综合考虑
3、其他：包括但不限于以上内容，综合考虑按图纸、招标文件和规范要求而实施、完成这项工程的一切有关费用</t>
  </si>
  <si>
    <t>消防电话分机</t>
  </si>
  <si>
    <t>1、名称：消防电话分机
2、安装方式：按图纸要求综合考虑
3、其他：包括但不限于以上内容，综合考虑按图纸、招标文件和规范要求而实施、完成这项工程的一切有关费用</t>
  </si>
  <si>
    <t>1、名称：广播模块
2、安装方式：按图纸要求综合考虑
3、其他：包括但不限于以上内容，综合考虑按图纸、招标文件和规范要求而实施、完成这项工程的一切有关费用</t>
  </si>
  <si>
    <t>吸顶式扬声器</t>
  </si>
  <si>
    <t>1、名称：吸顶式扬声器
2、安装方式：按图纸要求综合考虑
3、其他：包括但不限于以上内容，综合考虑按图纸、招标文件和规范要求而实施、完成这项工程的一切有关费用</t>
  </si>
  <si>
    <t>1、名称:电气配管JDG20
2、配置形式:暗配
3、厚度:按国标
4、其他：包括但不限于以上内容，综合考虑按图纸、招标文件和规范要求而实施、完成这项工程的一切有关费用</t>
  </si>
  <si>
    <t>管内穿线</t>
  </si>
  <si>
    <t>1、名称：配线
2、型号及规格：WDZN-RYJS-2*2.5
3、配置形式、部位：管内穿线
4、其他：包括但不限于以上内容，综合考虑按图纸、招标文件和规范要求而实施、完成这项工程的一切有关费用</t>
  </si>
  <si>
    <t>1、名称：配线
2、型号及规格：WDZN-RYYP-2*1.5
3、配置形式、部位：管内穿线
4、其他：包括但不限于以上内容，综合考虑按图纸、招标文件和规范要求而实施、完成这项工程的一切有关费用</t>
  </si>
  <si>
    <t>钢质接线盒</t>
  </si>
  <si>
    <t>1、名称：钢质接线盒
2、安装方式：暗装          
3、其他：包括但不限于以上内容，按图纸要求综合考虑按图纸、招标文件和规范要求而实施、完成这项工程的一切有关费用</t>
  </si>
  <si>
    <t>剔槽</t>
  </si>
  <si>
    <t>1、名称：线管剔槽
2、型号及规格：70×70mm
3、配置形式、部位：综合考虑
4、其他：包括但不限于以上内容，综合考虑按图纸、招标文件和规范要求而实施、完成这项工程的一切有关费用</t>
  </si>
  <si>
    <t>会所售楼处消防水工程工程量清单</t>
  </si>
  <si>
    <t>消防喷淋系统</t>
  </si>
  <si>
    <t>热浸镀锌钢管</t>
  </si>
  <si>
    <t>1、安装部位：室内
2、材质、规格：热浸镀锌钢管DN150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</si>
  <si>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2、材质、规格：热浸镀锌钢管DN100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</si>
  <si>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2、材质、规格：热浸镀锌钢管DN80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</si>
  <si>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2、材质、规格：热浸镀锌钢管DN65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</si>
  <si>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2、材质、规格：热浸镀锌钢管DN50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</si>
  <si>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2、材质、规格：热浸镀锌钢管DN40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</si>
  <si>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2、材质、规格：热浸镀锌钢管DN32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</si>
  <si>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1、安装部位：室内
2、材质、规格：热浸镀锌钢管DN25
3、连接形式：按图纸要求
4、钢管镀锌设计要求：国标
5、压力试验及冲洗设计要求：液压试验，水冲洗
6、管道标识设计要求：按图纸要求
7、其他：包括但不限于以上内容，综合考虑按图纸、招标文件和规范要求而实施、完成这项工程的一切有关费用</t>
  </si>
  <si>
    <t>1、名称：管道支架
2、刷油防腐：除锈后樟丹防锈漆二道,醇酸磁漆二道
3、其他：包括但不限于以上内容，综合考虑按图纸、招标文件和规范要求而实施、完成这项工程的一切有关费用</t>
  </si>
  <si>
    <t>铜截止阀</t>
  </si>
  <si>
    <t>1、类型：铜截止阀 
2、材质：按图纸要求
3、规格、压力等级：DN25
4、其他：包括但不限于以上内容，综合考虑按图纸、招标文件和规范要求而实施、完成这项工程的一切有关费用</t>
  </si>
  <si>
    <t>截止阀</t>
  </si>
  <si>
    <t>1、名称：截止阀
2、材质：符合设计要求材质
3、型号、规格：DN50
4、连接形式：按图纸要求
5、其他：包括但不限于以上内容，综合考虑按图纸、招标文件和规范要求而实施、完成这项工程的一切有关费用</t>
  </si>
  <si>
    <t>直立式喷头</t>
  </si>
  <si>
    <t>1、名称：直立式喷头 
2、型号、规格：公称动作温度 68°C
3、本体安装及调试
4、其他：包括但不限于以上内容，综合考虑按图纸、招标文件和规范要求而实施、完成这项工程的一切有关费用</t>
  </si>
  <si>
    <t>1、名称：直立式喷头 
2、型号、规格：公称动作温度 93°C
3、本体安装及调试
4、其他：包括但不限于以上内容，综合考虑按图纸、招标文件和规范要求而实施、完成这项工程的一切有关费用</t>
  </si>
  <si>
    <t>项目甲供材种类清单</t>
  </si>
  <si>
    <t>材料名称</t>
  </si>
  <si>
    <t>供货及安装方式</t>
  </si>
  <si>
    <t>入户门</t>
  </si>
  <si>
    <t>供货+安装</t>
  </si>
  <si>
    <t>墙地砖</t>
  </si>
  <si>
    <t>仅供货</t>
  </si>
  <si>
    <t>户内门锁</t>
  </si>
  <si>
    <t>户内门</t>
  </si>
  <si>
    <t>星盆及龙头</t>
  </si>
  <si>
    <t>洁具</t>
  </si>
  <si>
    <t>龙头</t>
  </si>
  <si>
    <t>卫浴五金</t>
  </si>
  <si>
    <t>橱柜</t>
  </si>
  <si>
    <t>镜浴柜</t>
  </si>
  <si>
    <t>厨房电器</t>
  </si>
  <si>
    <t>空调</t>
  </si>
  <si>
    <t>电子门锁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</si>
</sst>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_ "/>
  </numFmts>
  <fonts count="21">
    <font>
      <sz val="11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仿宋"/>
      <charset val="134"/>
    </font>
    <font>
      <sz val="10"/>
      <name val="黑体"/>
      <charset val="134"/>
    </font>
    <font>
      <sz val="10"/>
      <color theme="1"/>
      <name val="黑体"/>
      <charset val="134"/>
    </font>
    <font>
      <sz val="14"/>
      <name val="黑体"/>
      <charset val="134"/>
    </font>
    <font>
      <b/>
      <sz val="10"/>
      <color theme="1"/>
      <name val="宋体"/>
      <charset val="134"/>
      <scheme val="minor"/>
    </font>
    <font>
      <sz val="9"/>
      <color theme="1"/>
      <name val="黑体"/>
      <charset val="134"/>
    </font>
    <font>
      <sz val="10"/>
      <color rgb="FF002060"/>
      <name val="黑体"/>
      <charset val="134"/>
    </font>
    <font>
      <b/>
      <sz val="9"/>
      <name val="黑体"/>
      <charset val="134"/>
    </font>
    <font>
      <b/>
      <sz val="10"/>
      <name val="黑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b/>
      <sz val="9"/>
      <name val="SimSun"/>
      <charset val="134"/>
    </font>
    <font>
      <b/>
      <sz val="10"/>
      <name val="SimSun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8AC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9" fontId="18" fillId="0" borderId="0">
      <alignment vertical="center"/>
    </xf>
    <xf numFmtId="0" fontId="19" fillId="0" borderId="0"/>
  </cellStyleXfs>
  <cellXfs count="123">
    <xf numFmtId="0" fontId="0" fillId="0" borderId="0" xfId="0">
      <alignment vertical="center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176" fontId="5" fillId="0" borderId="0" xfId="0" applyNumberFormat="1" applyFont="1" applyAlignment="1">
      <alignment horizontal="center" vertical="center"/>
    </xf>
    <xf numFmtId="0" fontId="6" fillId="0" borderId="0" xfId="0" applyFont="1">
      <alignment vertical="center"/>
    </xf>
    <xf numFmtId="176" fontId="5" fillId="0" borderId="0" xfId="0" applyNumberFormat="1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6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 applyProtection="1">
      <alignment horizontal="center" vertical="center" wrapText="1"/>
      <protection locked="0"/>
    </xf>
    <xf numFmtId="10" fontId="5" fillId="0" borderId="1" xfId="0" applyNumberFormat="1" applyFont="1" applyBorder="1" applyAlignment="1" applyProtection="1">
      <alignment horizontal="center" vertical="center" wrapText="1"/>
      <protection locked="0"/>
    </xf>
    <xf numFmtId="176" fontId="5" fillId="0" borderId="1" xfId="1" applyNumberFormat="1" applyFont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76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/>
    <xf numFmtId="0" fontId="5" fillId="3" borderId="1" xfId="0" applyFont="1" applyFill="1" applyBorder="1" applyAlignment="1"/>
    <xf numFmtId="0" fontId="5" fillId="0" borderId="6" xfId="0" applyFont="1" applyBorder="1" applyAlignment="1"/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center" vertical="center" wrapText="1"/>
    </xf>
    <xf numFmtId="176" fontId="9" fillId="4" borderId="5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 wrapText="1"/>
    </xf>
    <xf numFmtId="176" fontId="5" fillId="2" borderId="1" xfId="0" applyNumberFormat="1" applyFont="1" applyFill="1" applyBorder="1" applyAlignment="1">
      <alignment horizontal="center" vertical="center" wrapText="1"/>
    </xf>
    <xf numFmtId="176" fontId="5" fillId="4" borderId="0" xfId="0" applyNumberFormat="1" applyFont="1" applyFill="1" applyAlignment="1">
      <alignment horizontal="center" vertical="center" wrapText="1"/>
    </xf>
    <xf numFmtId="176" fontId="6" fillId="4" borderId="1" xfId="2" applyNumberFormat="1" applyFont="1" applyFill="1" applyBorder="1" applyAlignment="1">
      <alignment horizontal="center" vertical="center" wrapText="1"/>
    </xf>
    <xf numFmtId="10" fontId="6" fillId="4" borderId="1" xfId="2" applyNumberFormat="1" applyFont="1" applyFill="1" applyBorder="1" applyAlignment="1">
      <alignment horizontal="center" vertical="center" wrapText="1"/>
    </xf>
    <xf numFmtId="176" fontId="10" fillId="4" borderId="1" xfId="0" applyNumberFormat="1" applyFont="1" applyFill="1" applyBorder="1" applyAlignment="1" applyProtection="1">
      <alignment horizontal="center" vertical="center" wrapText="1"/>
      <protection locked="0"/>
    </xf>
    <xf numFmtId="176" fontId="5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>
      <alignment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 wrapText="1"/>
    </xf>
    <xf numFmtId="176" fontId="11" fillId="0" borderId="1" xfId="0" applyNumberFormat="1" applyFont="1" applyBorder="1" applyAlignment="1">
      <alignment horizontal="center" vertical="center"/>
    </xf>
    <xf numFmtId="176" fontId="11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/>
    <xf numFmtId="176" fontId="8" fillId="2" borderId="11" xfId="0" applyNumberFormat="1" applyFont="1" applyFill="1" applyBorder="1" applyAlignment="1">
      <alignment horizontal="center" vertical="center" wrapText="1"/>
    </xf>
    <xf numFmtId="176" fontId="11" fillId="2" borderId="1" xfId="0" applyNumberFormat="1" applyFont="1" applyFill="1" applyBorder="1" applyAlignment="1">
      <alignment horizontal="center" vertical="center"/>
    </xf>
    <xf numFmtId="177" fontId="5" fillId="0" borderId="0" xfId="0" applyNumberFormat="1" applyFont="1" applyAlignment="1">
      <alignment horizontal="center" vertical="center"/>
    </xf>
    <xf numFmtId="177" fontId="5" fillId="0" borderId="1" xfId="0" applyNumberFormat="1" applyFont="1" applyBorder="1" applyAlignment="1">
      <alignment horizontal="center" vertical="center"/>
    </xf>
    <xf numFmtId="177" fontId="5" fillId="4" borderId="1" xfId="0" applyNumberFormat="1" applyFont="1" applyFill="1" applyBorder="1" applyAlignment="1">
      <alignment horizontal="center" vertical="center"/>
    </xf>
    <xf numFmtId="176" fontId="6" fillId="4" borderId="5" xfId="0" applyNumberFormat="1" applyFont="1" applyFill="1" applyBorder="1" applyAlignment="1">
      <alignment horizontal="center"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176" fontId="6" fillId="5" borderId="1" xfId="2" applyNumberFormat="1" applyFont="1" applyFill="1" applyBorder="1" applyAlignment="1">
      <alignment horizontal="center" vertical="center" wrapText="1"/>
    </xf>
    <xf numFmtId="10" fontId="6" fillId="5" borderId="1" xfId="2" applyNumberFormat="1" applyFont="1" applyFill="1" applyBorder="1" applyAlignment="1">
      <alignment horizontal="center" vertical="center" wrapText="1"/>
    </xf>
    <xf numFmtId="176" fontId="10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/>
    </xf>
    <xf numFmtId="176" fontId="5" fillId="0" borderId="0" xfId="0" applyNumberFormat="1" applyFont="1" applyAlignment="1"/>
    <xf numFmtId="176" fontId="5" fillId="0" borderId="1" xfId="0" applyNumberFormat="1" applyFont="1" applyBorder="1" applyAlignment="1">
      <alignment horizontal="right" vertical="center" wrapText="1"/>
    </xf>
    <xf numFmtId="176" fontId="5" fillId="4" borderId="1" xfId="0" applyNumberFormat="1" applyFont="1" applyFill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176" fontId="6" fillId="0" borderId="0" xfId="0" applyNumberFormat="1" applyFont="1" applyAlignment="1">
      <alignment horizontal="center" vertical="center"/>
    </xf>
    <xf numFmtId="176" fontId="5" fillId="0" borderId="0" xfId="0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176" fontId="13" fillId="4" borderId="5" xfId="0" applyNumberFormat="1" applyFont="1" applyFill="1" applyBorder="1" applyAlignment="1">
      <alignment horizontal="center" vertical="center" wrapText="1"/>
    </xf>
    <xf numFmtId="176" fontId="14" fillId="4" borderId="5" xfId="0" applyNumberFormat="1" applyFont="1" applyFill="1" applyBorder="1" applyAlignment="1">
      <alignment horizontal="center" vertical="center" wrapText="1"/>
    </xf>
    <xf numFmtId="176" fontId="13" fillId="0" borderId="5" xfId="0" applyNumberFormat="1" applyFont="1" applyBorder="1" applyAlignment="1">
      <alignment horizontal="center" vertical="center" wrapText="1"/>
    </xf>
    <xf numFmtId="176" fontId="14" fillId="0" borderId="5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 wrapText="1"/>
    </xf>
    <xf numFmtId="176" fontId="15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left" vertical="center" wrapText="1"/>
    </xf>
    <xf numFmtId="10" fontId="5" fillId="0" borderId="0" xfId="0" applyNumberFormat="1" applyFont="1" applyAlignment="1">
      <alignment horizontal="center" vertical="center" wrapText="1"/>
    </xf>
    <xf numFmtId="10" fontId="5" fillId="0" borderId="1" xfId="1" applyNumberFormat="1" applyFont="1" applyBorder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left" vertical="center" wrapText="1"/>
    </xf>
    <xf numFmtId="176" fontId="5" fillId="4" borderId="1" xfId="0" applyNumberFormat="1" applyFont="1" applyFill="1" applyBorder="1" applyAlignment="1">
      <alignment horizontal="left" vertical="center" wrapText="1"/>
    </xf>
    <xf numFmtId="10" fontId="5" fillId="0" borderId="1" xfId="0" applyNumberFormat="1" applyFont="1" applyBorder="1" applyAlignment="1">
      <alignment horizontal="center" vertical="center" wrapText="1"/>
    </xf>
    <xf numFmtId="176" fontId="11" fillId="0" borderId="12" xfId="0" applyNumberFormat="1" applyFont="1" applyBorder="1" applyAlignment="1">
      <alignment horizontal="center" vertical="center" wrapText="1"/>
    </xf>
    <xf numFmtId="10" fontId="5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0" fillId="0" borderId="0" xfId="0" applyNumberFormat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/>
    <xf numFmtId="0" fontId="7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6" fontId="5" fillId="0" borderId="0" xfId="0" applyNumberFormat="1" applyFont="1" applyAlignment="1">
      <alignment horizontal="left" vertical="center" wrapText="1"/>
    </xf>
    <xf numFmtId="176" fontId="5" fillId="0" borderId="1" xfId="2" applyNumberFormat="1" applyFont="1" applyBorder="1" applyAlignment="1">
      <alignment horizontal="center" vertical="center" wrapText="1"/>
    </xf>
    <xf numFmtId="0" fontId="0" fillId="0" borderId="8" xfId="0" applyBorder="1" applyAlignment="1"/>
    <xf numFmtId="0" fontId="5" fillId="0" borderId="1" xfId="0" applyFont="1" applyBorder="1" applyAlignment="1">
      <alignment horizontal="center" vertical="center" wrapText="1"/>
    </xf>
    <xf numFmtId="0" fontId="0" fillId="0" borderId="7" xfId="0" applyBorder="1" applyAlignment="1"/>
    <xf numFmtId="0" fontId="5" fillId="0" borderId="5" xfId="0" applyFont="1" applyBorder="1" applyAlignment="1">
      <alignment horizontal="center" vertical="center" wrapText="1"/>
    </xf>
    <xf numFmtId="176" fontId="5" fillId="0" borderId="1" xfId="0" applyNumberFormat="1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center" vertical="center" wrapText="1"/>
    </xf>
    <xf numFmtId="0" fontId="5" fillId="0" borderId="0" xfId="0" applyFont="1" applyAlignment="1"/>
    <xf numFmtId="176" fontId="5" fillId="0" borderId="0" xfId="0" applyNumberFormat="1" applyFont="1" applyAlignment="1">
      <alignment horizontal="center"/>
    </xf>
    <xf numFmtId="176" fontId="5" fillId="0" borderId="2" xfId="2" applyNumberFormat="1" applyFont="1" applyBorder="1" applyAlignment="1">
      <alignment horizontal="center" vertical="center" wrapText="1"/>
    </xf>
    <xf numFmtId="0" fontId="0" fillId="0" borderId="3" xfId="0" applyBorder="1" applyAlignment="1"/>
    <xf numFmtId="0" fontId="0" fillId="0" borderId="4" xfId="0" applyBorder="1" applyAlignment="1"/>
    <xf numFmtId="176" fontId="5" fillId="0" borderId="0" xfId="0" applyNumberFormat="1" applyFont="1" applyAlignment="1"/>
    <xf numFmtId="177" fontId="5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76" fontId="8" fillId="2" borderId="9" xfId="0" applyNumberFormat="1" applyFont="1" applyFill="1" applyBorder="1" applyAlignment="1">
      <alignment horizontal="center" vertical="center"/>
    </xf>
    <xf numFmtId="176" fontId="8" fillId="2" borderId="10" xfId="0" applyNumberFormat="1" applyFont="1" applyFill="1" applyBorder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/>
  </cellXfs>
  <cellStyles count="3">
    <cellStyle name="Normal" xfId="2" xr:uid="{00000000-0005-0000-0000-000031000000}"/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view="pageBreakPreview" zoomScaleNormal="100" workbookViewId="0">
      <selection activeCell="E13" sqref="E13"/>
    </sheetView>
  </sheetViews>
  <sheetFormatPr defaultColWidth="9" defaultRowHeight="13.5"/>
  <cols>
    <col min="1" max="1" width="8" style="84" customWidth="1"/>
    <col min="2" max="2" width="23.875" style="84" customWidth="1"/>
    <col min="3" max="3" width="18.25" style="85" customWidth="1"/>
    <col min="4" max="4" width="14.625" style="85" hidden="1" customWidth="1"/>
    <col min="5" max="5" width="16.125" style="85" customWidth="1"/>
    <col min="6" max="6" width="12.875" style="86" customWidth="1"/>
    <col min="7" max="7" width="10.5" style="86" customWidth="1"/>
    <col min="8" max="8" width="12.875" style="86" customWidth="1"/>
    <col min="9" max="17" width="9" style="86" customWidth="1"/>
  </cols>
  <sheetData>
    <row r="1" spans="1:7" ht="30" customHeight="1">
      <c r="A1" s="92" t="s">
        <v>0</v>
      </c>
      <c r="B1" s="93"/>
      <c r="C1" s="94"/>
      <c r="D1" s="94"/>
      <c r="E1" s="94"/>
      <c r="F1" s="95"/>
    </row>
    <row r="2" spans="1:7" ht="30" customHeight="1">
      <c r="A2" s="87" t="s">
        <v>1</v>
      </c>
      <c r="B2" s="87" t="s">
        <v>2</v>
      </c>
      <c r="C2" s="88" t="s">
        <v>3</v>
      </c>
      <c r="D2" s="89" t="s">
        <v>4</v>
      </c>
      <c r="E2" s="89" t="s">
        <v>5</v>
      </c>
      <c r="F2" s="88" t="s">
        <v>6</v>
      </c>
    </row>
    <row r="3" spans="1:7" ht="36" customHeight="1">
      <c r="A3" s="87">
        <v>1</v>
      </c>
      <c r="B3" s="87" t="s">
        <v>7</v>
      </c>
      <c r="C3" s="88">
        <f>架空层安装工程!$M$62</f>
        <v>266390.99863746</v>
      </c>
      <c r="D3" s="89">
        <v>88648.61</v>
      </c>
      <c r="E3" s="89">
        <f t="shared" ref="E3:E9" si="0">D3*1.09</f>
        <v>96626.984899999996</v>
      </c>
      <c r="F3" s="90"/>
    </row>
    <row r="4" spans="1:7" ht="36" customHeight="1">
      <c r="A4" s="87">
        <v>2</v>
      </c>
      <c r="B4" s="87" t="s">
        <v>8</v>
      </c>
      <c r="C4" s="88">
        <f>会所售楼部安装工程!$M$141</f>
        <v>1775100.5559111801</v>
      </c>
      <c r="D4" s="89">
        <v>597991.63</v>
      </c>
      <c r="E4" s="89">
        <f t="shared" si="0"/>
        <v>651810.87670000002</v>
      </c>
      <c r="F4" s="88"/>
      <c r="G4" s="91"/>
    </row>
    <row r="5" spans="1:7" ht="36" customHeight="1">
      <c r="A5" s="87">
        <v>3</v>
      </c>
      <c r="B5" s="87" t="s">
        <v>9</v>
      </c>
      <c r="C5" s="88">
        <f>样板房安装工程!$M$261</f>
        <v>368565.64637115999</v>
      </c>
      <c r="D5" s="89">
        <v>177912.2</v>
      </c>
      <c r="E5" s="89">
        <f t="shared" si="0"/>
        <v>193924.29800000001</v>
      </c>
      <c r="F5" s="88"/>
    </row>
    <row r="6" spans="1:7" ht="36" customHeight="1">
      <c r="A6" s="87">
        <v>4</v>
      </c>
      <c r="B6" s="87" t="s">
        <v>10</v>
      </c>
      <c r="C6" s="88">
        <f>公共区域安装工程!$M$25</f>
        <v>249405.25178399999</v>
      </c>
      <c r="D6" s="89">
        <v>103574.11</v>
      </c>
      <c r="E6" s="89">
        <f t="shared" si="0"/>
        <v>112895.77989999999</v>
      </c>
      <c r="F6" s="88"/>
    </row>
    <row r="7" spans="1:7" ht="36" customHeight="1">
      <c r="A7" s="87">
        <v>5</v>
      </c>
      <c r="B7" s="87" t="s">
        <v>11</v>
      </c>
      <c r="C7" s="88">
        <f>户内交标安装工程!$M$66</f>
        <v>1736540.5618513101</v>
      </c>
      <c r="D7" s="89">
        <v>1011927.9666666701</v>
      </c>
      <c r="E7" s="89">
        <f t="shared" si="0"/>
        <v>1103001.48366667</v>
      </c>
      <c r="F7" s="88"/>
    </row>
    <row r="8" spans="1:7" ht="36" customHeight="1">
      <c r="A8" s="87">
        <v>6</v>
      </c>
      <c r="B8" s="87" t="s">
        <v>12</v>
      </c>
      <c r="C8" s="88">
        <f>会所售楼处消防电工程!$M$24</f>
        <v>19632.936010999998</v>
      </c>
      <c r="D8" s="89">
        <v>19891.5</v>
      </c>
      <c r="E8" s="89">
        <f t="shared" si="0"/>
        <v>21681.735000000001</v>
      </c>
      <c r="F8" s="88"/>
    </row>
    <row r="9" spans="1:7" ht="36" customHeight="1">
      <c r="A9" s="87">
        <v>7</v>
      </c>
      <c r="B9" s="87" t="s">
        <v>13</v>
      </c>
      <c r="C9" s="88">
        <f>会所售楼处消防水工程!$M$20</f>
        <v>57612.800199999998</v>
      </c>
      <c r="D9" s="89">
        <v>63764.22</v>
      </c>
      <c r="E9" s="89">
        <f t="shared" si="0"/>
        <v>69502.999800000005</v>
      </c>
      <c r="F9" s="88"/>
    </row>
    <row r="10" spans="1:7" ht="36" customHeight="1">
      <c r="A10" s="96" t="s">
        <v>14</v>
      </c>
      <c r="B10" s="97"/>
      <c r="C10" s="88">
        <f>SUM(C3:C9)</f>
        <v>4473248.7507661097</v>
      </c>
      <c r="D10" s="89">
        <f>SUM(D3:D9)</f>
        <v>2063710.2366666701</v>
      </c>
      <c r="E10" s="89">
        <f>SUM(E3:E9)</f>
        <v>2249444.1579666701</v>
      </c>
      <c r="F10" s="90"/>
    </row>
  </sheetData>
  <mergeCells count="2">
    <mergeCell ref="A1:F1"/>
    <mergeCell ref="A10:B10"/>
  </mergeCells>
  <phoneticPr fontId="20" type="noConversion"/>
  <printOptions horizontalCentered="1"/>
  <pageMargins left="0.70069444444444495" right="0.70069444444444495" top="0.75138888888888899" bottom="0.75138888888888899" header="0.29861111111111099" footer="0.29861111111111099"/>
  <pageSetup paperSize="9" orientation="portrait" r:id="rId1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62"/>
  <sheetViews>
    <sheetView view="pageBreakPreview" zoomScaleNormal="100" workbookViewId="0">
      <pane xSplit="5" ySplit="3" topLeftCell="G53" activePane="bottomRight" state="frozen"/>
      <selection pane="topRight"/>
      <selection pane="bottomLeft"/>
      <selection pane="bottomRight" activeCell="P32" sqref="P32"/>
    </sheetView>
  </sheetViews>
  <sheetFormatPr defaultColWidth="9" defaultRowHeight="12" outlineLevelRow="2"/>
  <cols>
    <col min="1" max="1" width="8.125" style="74" customWidth="1"/>
    <col min="2" max="2" width="11.875" style="74" customWidth="1"/>
    <col min="3" max="3" width="19.25" style="8" customWidth="1"/>
    <col min="4" max="4" width="29.125" style="75" customWidth="1"/>
    <col min="5" max="5" width="7" style="8" customWidth="1"/>
    <col min="6" max="6" width="11.75" style="8" customWidth="1"/>
    <col min="7" max="11" width="10.125" style="8" customWidth="1"/>
    <col min="12" max="12" width="11.25" style="8" customWidth="1"/>
    <col min="13" max="13" width="13.25" style="8" customWidth="1"/>
    <col min="14" max="16" width="9" style="8" customWidth="1"/>
    <col min="17" max="17" width="6.875" style="76" customWidth="1"/>
    <col min="18" max="20" width="9" style="8" customWidth="1"/>
    <col min="21" max="21" width="9.875" style="8" customWidth="1"/>
    <col min="22" max="22" width="9" style="7" customWidth="1"/>
    <col min="23" max="16384" width="9" style="7"/>
  </cols>
  <sheetData>
    <row r="1" spans="1:21" ht="30" customHeight="1">
      <c r="A1" s="98" t="s">
        <v>15</v>
      </c>
      <c r="B1" s="99"/>
      <c r="C1" s="100"/>
      <c r="D1" s="101"/>
      <c r="E1" s="100"/>
      <c r="F1" s="100"/>
      <c r="G1" s="100"/>
      <c r="H1" s="100"/>
      <c r="I1" s="100"/>
      <c r="J1" s="100"/>
      <c r="K1" s="100"/>
      <c r="L1" s="100"/>
      <c r="M1" s="100"/>
      <c r="O1" s="102" t="s">
        <v>16</v>
      </c>
      <c r="P1" s="103"/>
      <c r="Q1" s="103"/>
      <c r="R1" s="103"/>
      <c r="S1" s="103"/>
      <c r="T1" s="103"/>
      <c r="U1" s="97"/>
    </row>
    <row r="2" spans="1:21" s="5" customFormat="1" ht="27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8" t="s">
        <v>22</v>
      </c>
      <c r="H2" s="108" t="s">
        <v>23</v>
      </c>
      <c r="I2" s="108" t="s">
        <v>24</v>
      </c>
      <c r="J2" s="47" t="s">
        <v>25</v>
      </c>
      <c r="K2" s="47" t="s">
        <v>26</v>
      </c>
      <c r="L2" s="107" t="s">
        <v>27</v>
      </c>
      <c r="M2" s="107" t="s">
        <v>28</v>
      </c>
      <c r="N2" s="8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21" s="5" customFormat="1" ht="21" customHeight="1">
      <c r="A3" s="105"/>
      <c r="B3" s="105"/>
      <c r="C3" s="105"/>
      <c r="D3" s="105"/>
      <c r="E3" s="105"/>
      <c r="F3" s="105"/>
      <c r="G3" s="105"/>
      <c r="H3" s="105"/>
      <c r="I3" s="105"/>
      <c r="J3" s="77">
        <v>0</v>
      </c>
      <c r="K3" s="77">
        <v>0</v>
      </c>
      <c r="L3" s="105"/>
      <c r="M3" s="105"/>
      <c r="N3" s="8"/>
      <c r="O3" s="16"/>
      <c r="P3" s="16">
        <v>1</v>
      </c>
      <c r="Q3" s="78"/>
      <c r="R3" s="16">
        <v>1</v>
      </c>
      <c r="S3" s="16">
        <v>1</v>
      </c>
      <c r="T3" s="16">
        <v>1</v>
      </c>
      <c r="U3" s="16"/>
    </row>
    <row r="4" spans="1:21" s="5" customFormat="1">
      <c r="A4" s="9"/>
      <c r="B4" s="9" t="s">
        <v>2</v>
      </c>
      <c r="C4" s="10"/>
      <c r="D4" s="79"/>
      <c r="E4" s="10"/>
      <c r="F4" s="10"/>
      <c r="G4" s="10"/>
      <c r="H4" s="10"/>
      <c r="I4" s="10"/>
      <c r="J4" s="10"/>
      <c r="K4" s="10"/>
      <c r="L4" s="10"/>
      <c r="M4" s="10"/>
      <c r="N4" s="8"/>
      <c r="O4" s="10"/>
      <c r="P4" s="48"/>
      <c r="Q4" s="49"/>
      <c r="R4" s="48"/>
      <c r="S4" s="50"/>
      <c r="T4" s="12"/>
      <c r="U4" s="10"/>
    </row>
    <row r="5" spans="1:21" s="5" customFormat="1">
      <c r="A5" s="9"/>
      <c r="B5" s="9"/>
      <c r="C5" s="10" t="s">
        <v>34</v>
      </c>
      <c r="D5" s="79"/>
      <c r="E5" s="10"/>
      <c r="F5" s="10"/>
      <c r="G5" s="10"/>
      <c r="H5" s="10"/>
      <c r="I5" s="10"/>
      <c r="J5" s="10"/>
      <c r="K5" s="10"/>
      <c r="L5" s="10"/>
      <c r="M5" s="10"/>
      <c r="N5" s="8"/>
      <c r="O5" s="10"/>
      <c r="P5" s="48"/>
      <c r="Q5" s="49"/>
      <c r="R5" s="48"/>
      <c r="S5" s="50"/>
      <c r="T5" s="12"/>
      <c r="U5" s="10"/>
    </row>
    <row r="6" spans="1:21" s="5" customFormat="1" outlineLevel="1">
      <c r="A6" s="9"/>
      <c r="B6" s="9"/>
      <c r="C6" s="10" t="s">
        <v>35</v>
      </c>
      <c r="D6" s="79"/>
      <c r="E6" s="10"/>
      <c r="F6" s="10"/>
      <c r="G6" s="10"/>
      <c r="H6" s="10"/>
      <c r="I6" s="10"/>
      <c r="J6" s="10"/>
      <c r="K6" s="10"/>
      <c r="L6" s="10"/>
      <c r="M6" s="10"/>
      <c r="N6" s="8"/>
      <c r="O6" s="10"/>
      <c r="P6" s="48"/>
      <c r="Q6" s="49"/>
      <c r="R6" s="48"/>
      <c r="S6" s="50"/>
      <c r="T6" s="12"/>
      <c r="U6" s="10"/>
    </row>
    <row r="7" spans="1:21" s="5" customFormat="1" ht="84" customHeight="1" outlineLevel="2">
      <c r="A7" s="22">
        <v>1</v>
      </c>
      <c r="B7" s="22">
        <v>30413002007</v>
      </c>
      <c r="C7" s="24" t="s">
        <v>36</v>
      </c>
      <c r="D7" s="80" t="s">
        <v>37</v>
      </c>
      <c r="E7" s="24" t="s">
        <v>38</v>
      </c>
      <c r="F7" s="24">
        <v>100</v>
      </c>
      <c r="G7" s="45">
        <f t="shared" ref="G7:G13" si="0">R7*$R$3</f>
        <v>20</v>
      </c>
      <c r="H7" s="26">
        <f t="shared" ref="H7:H13" si="1">P7*(1+Q7)*$P$3+S7*$S$3</f>
        <v>76</v>
      </c>
      <c r="I7" s="26">
        <f t="shared" ref="I7:I13" si="2">T7*$T$3</f>
        <v>0</v>
      </c>
      <c r="J7" s="26">
        <f t="shared" ref="J7:J13" si="3">(G7+H7+I7)*$J$3</f>
        <v>0</v>
      </c>
      <c r="K7" s="26">
        <f t="shared" ref="K7:K13" si="4">(G7+H7+I7+J7)*$K$3</f>
        <v>0</v>
      </c>
      <c r="L7" s="26">
        <f t="shared" ref="L7:L13" si="5">G7+H7+I7+J7+K7</f>
        <v>96</v>
      </c>
      <c r="M7" s="26">
        <f t="shared" ref="M7:M13" si="6">F7*L7</f>
        <v>9600</v>
      </c>
      <c r="N7" s="28"/>
      <c r="O7" s="24">
        <f t="shared" ref="O7:O13" si="7">P7*(1+Q7)+R7+S7+T7</f>
        <v>96</v>
      </c>
      <c r="P7" s="29">
        <v>70</v>
      </c>
      <c r="Q7" s="30">
        <v>0</v>
      </c>
      <c r="R7" s="29">
        <v>20</v>
      </c>
      <c r="S7" s="31">
        <v>6</v>
      </c>
      <c r="T7" s="32">
        <v>0</v>
      </c>
      <c r="U7" s="24">
        <f t="shared" ref="U7:U38" si="8">F7*O7</f>
        <v>9600</v>
      </c>
    </row>
    <row r="8" spans="1:21" s="5" customFormat="1" ht="84" customHeight="1" outlineLevel="2">
      <c r="A8" s="22">
        <v>2</v>
      </c>
      <c r="B8" s="22">
        <v>30413002008</v>
      </c>
      <c r="C8" s="24" t="s">
        <v>39</v>
      </c>
      <c r="D8" s="80" t="s">
        <v>40</v>
      </c>
      <c r="E8" s="24" t="s">
        <v>38</v>
      </c>
      <c r="F8" s="24">
        <v>93</v>
      </c>
      <c r="G8" s="45">
        <f t="shared" si="0"/>
        <v>20</v>
      </c>
      <c r="H8" s="26">
        <f t="shared" si="1"/>
        <v>76</v>
      </c>
      <c r="I8" s="26">
        <f t="shared" si="2"/>
        <v>0</v>
      </c>
      <c r="J8" s="26">
        <f t="shared" si="3"/>
        <v>0</v>
      </c>
      <c r="K8" s="26">
        <f t="shared" si="4"/>
        <v>0</v>
      </c>
      <c r="L8" s="26">
        <f t="shared" si="5"/>
        <v>96</v>
      </c>
      <c r="M8" s="26">
        <f t="shared" si="6"/>
        <v>8928</v>
      </c>
      <c r="N8" s="28"/>
      <c r="O8" s="24">
        <f t="shared" si="7"/>
        <v>96</v>
      </c>
      <c r="P8" s="29">
        <v>70</v>
      </c>
      <c r="Q8" s="30">
        <v>0</v>
      </c>
      <c r="R8" s="29">
        <v>20</v>
      </c>
      <c r="S8" s="31">
        <v>6</v>
      </c>
      <c r="T8" s="32">
        <v>0</v>
      </c>
      <c r="U8" s="24">
        <f t="shared" si="8"/>
        <v>8928</v>
      </c>
    </row>
    <row r="9" spans="1:21" s="5" customFormat="1" ht="72" customHeight="1" outlineLevel="2">
      <c r="A9" s="22">
        <v>3</v>
      </c>
      <c r="B9" s="22">
        <v>30413002009</v>
      </c>
      <c r="C9" s="24" t="s">
        <v>41</v>
      </c>
      <c r="D9" s="80" t="s">
        <v>42</v>
      </c>
      <c r="E9" s="24" t="s">
        <v>43</v>
      </c>
      <c r="F9" s="24">
        <v>63.63</v>
      </c>
      <c r="G9" s="45">
        <f t="shared" si="0"/>
        <v>12.5</v>
      </c>
      <c r="H9" s="26">
        <f t="shared" si="1"/>
        <v>20.81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33.31</v>
      </c>
      <c r="M9" s="26">
        <f t="shared" si="6"/>
        <v>2119.5153</v>
      </c>
      <c r="N9" s="28"/>
      <c r="O9" s="24">
        <f t="shared" si="7"/>
        <v>33.31</v>
      </c>
      <c r="P9" s="29">
        <v>20.399999999999999</v>
      </c>
      <c r="Q9" s="30">
        <v>0</v>
      </c>
      <c r="R9" s="29">
        <v>12.5</v>
      </c>
      <c r="S9" s="31">
        <v>0.41</v>
      </c>
      <c r="T9" s="32">
        <v>0</v>
      </c>
      <c r="U9" s="24">
        <f t="shared" si="8"/>
        <v>2119.5153</v>
      </c>
    </row>
    <row r="10" spans="1:21" s="5" customFormat="1" ht="84" customHeight="1" outlineLevel="2">
      <c r="A10" s="22">
        <v>4</v>
      </c>
      <c r="B10" s="22">
        <v>30413009002</v>
      </c>
      <c r="C10" s="24" t="s">
        <v>44</v>
      </c>
      <c r="D10" s="80" t="s">
        <v>45</v>
      </c>
      <c r="E10" s="24" t="s">
        <v>46</v>
      </c>
      <c r="F10" s="24">
        <v>8</v>
      </c>
      <c r="G10" s="45">
        <f t="shared" si="0"/>
        <v>3</v>
      </c>
      <c r="H10" s="26">
        <f t="shared" si="1"/>
        <v>20.5</v>
      </c>
      <c r="I10" s="26">
        <f t="shared" si="2"/>
        <v>0</v>
      </c>
      <c r="J10" s="26">
        <f t="shared" si="3"/>
        <v>0</v>
      </c>
      <c r="K10" s="26">
        <f t="shared" si="4"/>
        <v>0</v>
      </c>
      <c r="L10" s="26">
        <f t="shared" si="5"/>
        <v>23.5</v>
      </c>
      <c r="M10" s="26">
        <f t="shared" si="6"/>
        <v>188</v>
      </c>
      <c r="N10" s="28"/>
      <c r="O10" s="24">
        <f t="shared" si="7"/>
        <v>23.5</v>
      </c>
      <c r="P10" s="29">
        <v>20</v>
      </c>
      <c r="Q10" s="30">
        <v>0</v>
      </c>
      <c r="R10" s="29">
        <v>3</v>
      </c>
      <c r="S10" s="31">
        <v>0.5</v>
      </c>
      <c r="T10" s="32">
        <v>0</v>
      </c>
      <c r="U10" s="24">
        <f t="shared" si="8"/>
        <v>188</v>
      </c>
    </row>
    <row r="11" spans="1:21" s="5" customFormat="1" ht="72" customHeight="1" outlineLevel="2">
      <c r="A11" s="22">
        <v>5</v>
      </c>
      <c r="B11" s="22">
        <v>30413002010</v>
      </c>
      <c r="C11" s="24" t="s">
        <v>47</v>
      </c>
      <c r="D11" s="80" t="s">
        <v>48</v>
      </c>
      <c r="E11" s="24" t="s">
        <v>43</v>
      </c>
      <c r="F11" s="24">
        <v>79.02</v>
      </c>
      <c r="G11" s="45">
        <f t="shared" si="0"/>
        <v>15</v>
      </c>
      <c r="H11" s="26">
        <f t="shared" si="1"/>
        <v>182</v>
      </c>
      <c r="I11" s="26">
        <f t="shared" si="2"/>
        <v>0</v>
      </c>
      <c r="J11" s="26">
        <f t="shared" si="3"/>
        <v>0</v>
      </c>
      <c r="K11" s="26">
        <f t="shared" si="4"/>
        <v>0</v>
      </c>
      <c r="L11" s="26">
        <f t="shared" si="5"/>
        <v>197</v>
      </c>
      <c r="M11" s="26">
        <f t="shared" si="6"/>
        <v>15566.94</v>
      </c>
      <c r="N11" s="28"/>
      <c r="O11" s="24">
        <f t="shared" si="7"/>
        <v>197</v>
      </c>
      <c r="P11" s="29">
        <v>180</v>
      </c>
      <c r="Q11" s="30">
        <v>0</v>
      </c>
      <c r="R11" s="29">
        <v>15</v>
      </c>
      <c r="S11" s="31">
        <v>2</v>
      </c>
      <c r="T11" s="32">
        <v>0</v>
      </c>
      <c r="U11" s="24">
        <f t="shared" si="8"/>
        <v>15566.94</v>
      </c>
    </row>
    <row r="12" spans="1:21" s="5" customFormat="1" ht="84" customHeight="1" outlineLevel="2">
      <c r="A12" s="22">
        <v>6</v>
      </c>
      <c r="B12" s="22">
        <v>30413002011</v>
      </c>
      <c r="C12" s="24" t="s">
        <v>49</v>
      </c>
      <c r="D12" s="80" t="s">
        <v>50</v>
      </c>
      <c r="E12" s="24" t="s">
        <v>38</v>
      </c>
      <c r="F12" s="24">
        <v>1</v>
      </c>
      <c r="G12" s="45">
        <f t="shared" si="0"/>
        <v>30</v>
      </c>
      <c r="H12" s="26">
        <f t="shared" si="1"/>
        <v>810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840</v>
      </c>
      <c r="M12" s="26">
        <f t="shared" si="6"/>
        <v>840</v>
      </c>
      <c r="N12" s="28"/>
      <c r="O12" s="24">
        <f t="shared" si="7"/>
        <v>840</v>
      </c>
      <c r="P12" s="29">
        <v>800</v>
      </c>
      <c r="Q12" s="30">
        <v>0</v>
      </c>
      <c r="R12" s="29">
        <v>30</v>
      </c>
      <c r="S12" s="31">
        <v>10</v>
      </c>
      <c r="T12" s="32">
        <v>0</v>
      </c>
      <c r="U12" s="24">
        <f t="shared" si="8"/>
        <v>840</v>
      </c>
    </row>
    <row r="13" spans="1:21" s="5" customFormat="1" ht="84" customHeight="1" outlineLevel="2">
      <c r="A13" s="22">
        <v>7</v>
      </c>
      <c r="B13" s="22">
        <v>30413002012</v>
      </c>
      <c r="C13" s="24" t="s">
        <v>51</v>
      </c>
      <c r="D13" s="80" t="s">
        <v>52</v>
      </c>
      <c r="E13" s="24" t="s">
        <v>38</v>
      </c>
      <c r="F13" s="24">
        <v>2</v>
      </c>
      <c r="G13" s="45">
        <f t="shared" si="0"/>
        <v>20</v>
      </c>
      <c r="H13" s="26">
        <f t="shared" si="1"/>
        <v>283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303</v>
      </c>
      <c r="M13" s="26">
        <f t="shared" si="6"/>
        <v>606</v>
      </c>
      <c r="N13" s="28"/>
      <c r="O13" s="24">
        <f t="shared" si="7"/>
        <v>303</v>
      </c>
      <c r="P13" s="29">
        <v>280</v>
      </c>
      <c r="Q13" s="30">
        <v>0</v>
      </c>
      <c r="R13" s="29">
        <v>20</v>
      </c>
      <c r="S13" s="31">
        <v>3</v>
      </c>
      <c r="T13" s="32">
        <v>0</v>
      </c>
      <c r="U13" s="24">
        <f t="shared" si="8"/>
        <v>606</v>
      </c>
    </row>
    <row r="14" spans="1:21" s="5" customFormat="1" outlineLevel="1">
      <c r="A14" s="9"/>
      <c r="B14" s="9"/>
      <c r="C14" s="10" t="s">
        <v>53</v>
      </c>
      <c r="D14" s="79"/>
      <c r="E14" s="10"/>
      <c r="F14" s="10"/>
      <c r="G14" s="10"/>
      <c r="H14" s="10"/>
      <c r="I14" s="10"/>
      <c r="J14" s="10"/>
      <c r="K14" s="10"/>
      <c r="L14" s="10"/>
      <c r="M14" s="10"/>
      <c r="N14" s="8"/>
      <c r="O14" s="10"/>
      <c r="P14" s="10"/>
      <c r="Q14" s="81"/>
      <c r="R14" s="10"/>
      <c r="S14" s="10"/>
      <c r="T14" s="10"/>
      <c r="U14" s="10">
        <f t="shared" si="8"/>
        <v>0</v>
      </c>
    </row>
    <row r="15" spans="1:21" s="5" customFormat="1" ht="72" customHeight="1" outlineLevel="2">
      <c r="A15" s="9">
        <v>8</v>
      </c>
      <c r="B15" s="9">
        <v>30413013004</v>
      </c>
      <c r="C15" s="10" t="s">
        <v>54</v>
      </c>
      <c r="D15" s="79" t="s">
        <v>55</v>
      </c>
      <c r="E15" s="10" t="s">
        <v>38</v>
      </c>
      <c r="F15" s="10">
        <v>5</v>
      </c>
      <c r="G15" s="46">
        <f>R15*$R$3</f>
        <v>6.31</v>
      </c>
      <c r="H15" s="47">
        <f>P15*(1+Q15)*$P$3+S15*$S$3</f>
        <v>15.74</v>
      </c>
      <c r="I15" s="47">
        <f>T15*$T$3</f>
        <v>0</v>
      </c>
      <c r="J15" s="47">
        <f>(G15+H15+I15)*$J$3</f>
        <v>0</v>
      </c>
      <c r="K15" s="47">
        <f>(G15+H15+I15+J15)*$K$3</f>
        <v>0</v>
      </c>
      <c r="L15" s="47">
        <f>G15+H15+I15+J15+K15</f>
        <v>22.05</v>
      </c>
      <c r="M15" s="47">
        <f>F15*L15</f>
        <v>110.25</v>
      </c>
      <c r="N15" s="8"/>
      <c r="O15" s="10">
        <f>P15*(1+Q15)+R15+S15+T15</f>
        <v>22.05</v>
      </c>
      <c r="P15" s="48">
        <f>公共区域安装工程!$P$14</f>
        <v>14.62</v>
      </c>
      <c r="Q15" s="49">
        <f>公共区域安装工程!$Q$14</f>
        <v>0</v>
      </c>
      <c r="R15" s="48">
        <f>公共区域安装工程!$R$14</f>
        <v>6.31</v>
      </c>
      <c r="S15" s="50">
        <f>公共区域安装工程!$S$14</f>
        <v>1.1200000000000001</v>
      </c>
      <c r="T15" s="12">
        <f>公共区域安装工程!$T$14</f>
        <v>0</v>
      </c>
      <c r="U15" s="10">
        <f t="shared" si="8"/>
        <v>110.25</v>
      </c>
    </row>
    <row r="16" spans="1:21" s="5" customFormat="1" ht="72" customHeight="1" outlineLevel="2">
      <c r="A16" s="22">
        <v>9</v>
      </c>
      <c r="B16" s="22">
        <v>30413013005</v>
      </c>
      <c r="C16" s="24" t="s">
        <v>54</v>
      </c>
      <c r="D16" s="80" t="s">
        <v>56</v>
      </c>
      <c r="E16" s="24" t="s">
        <v>38</v>
      </c>
      <c r="F16" s="24">
        <v>5</v>
      </c>
      <c r="G16" s="45">
        <f>R16*$R$3</f>
        <v>10</v>
      </c>
      <c r="H16" s="26">
        <f>P16*(1+Q16)*$P$3+S16*$S$3</f>
        <v>19.5</v>
      </c>
      <c r="I16" s="26">
        <f>T16*$T$3</f>
        <v>0</v>
      </c>
      <c r="J16" s="26">
        <f>(G16+H16+I16)*$J$3</f>
        <v>0</v>
      </c>
      <c r="K16" s="26">
        <f>(G16+H16+I16+J16)*$K$3</f>
        <v>0</v>
      </c>
      <c r="L16" s="26">
        <f>G16+H16+I16+J16+K16</f>
        <v>29.5</v>
      </c>
      <c r="M16" s="26">
        <f>F16*L16</f>
        <v>147.5</v>
      </c>
      <c r="N16" s="28"/>
      <c r="O16" s="24">
        <f>P16*(1+Q16)+R16+S16+T16</f>
        <v>29.5</v>
      </c>
      <c r="P16" s="29">
        <v>18</v>
      </c>
      <c r="Q16" s="30">
        <v>0</v>
      </c>
      <c r="R16" s="29">
        <v>10</v>
      </c>
      <c r="S16" s="31">
        <v>1.5</v>
      </c>
      <c r="T16" s="32">
        <v>0</v>
      </c>
      <c r="U16" s="24">
        <f t="shared" si="8"/>
        <v>147.5</v>
      </c>
    </row>
    <row r="17" spans="1:21" s="5" customFormat="1" ht="72" customHeight="1" outlineLevel="2">
      <c r="A17" s="9">
        <v>10</v>
      </c>
      <c r="B17" s="9">
        <v>30413013006</v>
      </c>
      <c r="C17" s="10" t="s">
        <v>54</v>
      </c>
      <c r="D17" s="79" t="s">
        <v>57</v>
      </c>
      <c r="E17" s="10" t="s">
        <v>38</v>
      </c>
      <c r="F17" s="10">
        <v>10</v>
      </c>
      <c r="G17" s="46">
        <f>R17*$R$3</f>
        <v>12</v>
      </c>
      <c r="H17" s="47">
        <f>P17*(1+Q17)*$P$3+S17*$S$3</f>
        <v>21.5</v>
      </c>
      <c r="I17" s="47">
        <f>T17*$T$3</f>
        <v>0</v>
      </c>
      <c r="J17" s="47">
        <f>(G17+H17+I17)*$J$3</f>
        <v>0</v>
      </c>
      <c r="K17" s="47">
        <f>(G17+H17+I17+J17)*$K$3</f>
        <v>0</v>
      </c>
      <c r="L17" s="47">
        <f>G17+H17+I17+J17+K17</f>
        <v>33.5</v>
      </c>
      <c r="M17" s="47">
        <f>F17*L17</f>
        <v>335</v>
      </c>
      <c r="N17" s="8"/>
      <c r="O17" s="10">
        <f>P17*(1+Q17)+R17+S17+T17</f>
        <v>33.5</v>
      </c>
      <c r="P17" s="48">
        <f>公共区域安装工程!$P$15</f>
        <v>20</v>
      </c>
      <c r="Q17" s="49">
        <f>公共区域安装工程!$Q$15</f>
        <v>0</v>
      </c>
      <c r="R17" s="48">
        <f>公共区域安装工程!$R$15</f>
        <v>12</v>
      </c>
      <c r="S17" s="50">
        <f>公共区域安装工程!$S$15</f>
        <v>1.5</v>
      </c>
      <c r="T17" s="12">
        <f>公共区域安装工程!$T$15</f>
        <v>0</v>
      </c>
      <c r="U17" s="10">
        <f t="shared" si="8"/>
        <v>335</v>
      </c>
    </row>
    <row r="18" spans="1:21" s="5" customFormat="1" ht="72" customHeight="1" outlineLevel="2">
      <c r="A18" s="9">
        <v>11</v>
      </c>
      <c r="B18" s="9">
        <v>30413014001</v>
      </c>
      <c r="C18" s="10" t="s">
        <v>58</v>
      </c>
      <c r="D18" s="79" t="s">
        <v>59</v>
      </c>
      <c r="E18" s="10" t="s">
        <v>38</v>
      </c>
      <c r="F18" s="10">
        <v>14</v>
      </c>
      <c r="G18" s="46">
        <f>R18*$R$3</f>
        <v>6.31</v>
      </c>
      <c r="H18" s="47">
        <f>P18*(1+Q18)*$P$3+S18*$S$3</f>
        <v>15.74</v>
      </c>
      <c r="I18" s="47">
        <f>T18*$T$3</f>
        <v>0</v>
      </c>
      <c r="J18" s="47">
        <f>(G18+H18+I18)*$J$3</f>
        <v>0</v>
      </c>
      <c r="K18" s="47">
        <f>(G18+H18+I18+J18)*$K$3</f>
        <v>0</v>
      </c>
      <c r="L18" s="47">
        <f>G18+H18+I18+J18+K18</f>
        <v>22.05</v>
      </c>
      <c r="M18" s="47">
        <f>F18*L18</f>
        <v>308.7</v>
      </c>
      <c r="N18" s="8"/>
      <c r="O18" s="10">
        <f>P18*(1+Q18)+R18+S18+T18</f>
        <v>22.05</v>
      </c>
      <c r="P18" s="48">
        <f>公共区域安装工程!$P$16</f>
        <v>14.62</v>
      </c>
      <c r="Q18" s="49">
        <f>公共区域安装工程!$Q$16</f>
        <v>0</v>
      </c>
      <c r="R18" s="48">
        <f>公共区域安装工程!$R$16</f>
        <v>6.31</v>
      </c>
      <c r="S18" s="50">
        <f>公共区域安装工程!$S$16</f>
        <v>1.1200000000000001</v>
      </c>
      <c r="T18" s="12">
        <f>公共区域安装工程!$T$16</f>
        <v>0</v>
      </c>
      <c r="U18" s="10">
        <f t="shared" si="8"/>
        <v>308.7</v>
      </c>
    </row>
    <row r="19" spans="1:21" s="5" customFormat="1" ht="72" customHeight="1" outlineLevel="2">
      <c r="A19" s="22">
        <v>12</v>
      </c>
      <c r="B19" s="22">
        <v>30413014002</v>
      </c>
      <c r="C19" s="24" t="s">
        <v>58</v>
      </c>
      <c r="D19" s="80" t="s">
        <v>60</v>
      </c>
      <c r="E19" s="24" t="s">
        <v>38</v>
      </c>
      <c r="F19" s="24">
        <v>6</v>
      </c>
      <c r="G19" s="45">
        <f>R19*$R$3</f>
        <v>6.31</v>
      </c>
      <c r="H19" s="26">
        <f>P19*(1+Q19)*$P$3+S19*$S$3</f>
        <v>15.74</v>
      </c>
      <c r="I19" s="26">
        <f>T19*$T$3</f>
        <v>0</v>
      </c>
      <c r="J19" s="26">
        <f>(G19+H19+I19)*$J$3</f>
        <v>0</v>
      </c>
      <c r="K19" s="26">
        <f>(G19+H19+I19+J19)*$K$3</f>
        <v>0</v>
      </c>
      <c r="L19" s="26">
        <f>G19+H19+I19+J19+K19</f>
        <v>22.05</v>
      </c>
      <c r="M19" s="26">
        <f>F19*L19</f>
        <v>132.30000000000001</v>
      </c>
      <c r="N19" s="28"/>
      <c r="O19" s="24">
        <f>P19*(1+Q19)+R19+S19+T19</f>
        <v>22.05</v>
      </c>
      <c r="P19" s="29">
        <v>14.62</v>
      </c>
      <c r="Q19" s="30">
        <v>0</v>
      </c>
      <c r="R19" s="29">
        <v>6.31</v>
      </c>
      <c r="S19" s="31">
        <v>1.1200000000000001</v>
      </c>
      <c r="T19" s="32">
        <v>0</v>
      </c>
      <c r="U19" s="24">
        <f t="shared" si="8"/>
        <v>132.30000000000001</v>
      </c>
    </row>
    <row r="20" spans="1:21" s="5" customFormat="1" outlineLevel="1">
      <c r="A20" s="9"/>
      <c r="B20" s="9"/>
      <c r="C20" s="10" t="s">
        <v>61</v>
      </c>
      <c r="D20" s="79"/>
      <c r="E20" s="10"/>
      <c r="F20" s="10"/>
      <c r="G20" s="10"/>
      <c r="H20" s="10"/>
      <c r="I20" s="10"/>
      <c r="J20" s="10"/>
      <c r="K20" s="10"/>
      <c r="L20" s="10"/>
      <c r="M20" s="10"/>
      <c r="N20" s="8"/>
      <c r="O20" s="10"/>
      <c r="P20" s="10"/>
      <c r="Q20" s="81"/>
      <c r="R20" s="10"/>
      <c r="S20" s="10"/>
      <c r="T20" s="10"/>
      <c r="U20" s="10">
        <f t="shared" si="8"/>
        <v>0</v>
      </c>
    </row>
    <row r="21" spans="1:21" s="5" customFormat="1" ht="72" customHeight="1" outlineLevel="2">
      <c r="A21" s="9">
        <v>13</v>
      </c>
      <c r="B21" s="9">
        <v>30412004002</v>
      </c>
      <c r="C21" s="10" t="s">
        <v>61</v>
      </c>
      <c r="D21" s="79" t="s">
        <v>62</v>
      </c>
      <c r="E21" s="10" t="s">
        <v>43</v>
      </c>
      <c r="F21" s="10">
        <v>3020.18</v>
      </c>
      <c r="G21" s="46">
        <f>R21*$R$3</f>
        <v>2.2000000000000002</v>
      </c>
      <c r="H21" s="47">
        <f>P21*(1+Q21)*$P$3+S21*$S$3</f>
        <v>3.1884000000000001</v>
      </c>
      <c r="I21" s="47">
        <f>T21*$T$3</f>
        <v>0.02</v>
      </c>
      <c r="J21" s="47">
        <f>(G21+H21+I21)*$J$3</f>
        <v>0</v>
      </c>
      <c r="K21" s="47">
        <f>(G21+H21+I21+J21)*$K$3</f>
        <v>0</v>
      </c>
      <c r="L21" s="47">
        <f>G21+H21+I21+J21+K21</f>
        <v>5.4084000000000003</v>
      </c>
      <c r="M21" s="47">
        <f>F21*L21</f>
        <v>16334.341512000001</v>
      </c>
      <c r="N21" s="8"/>
      <c r="O21" s="10">
        <f>P21*(1+Q21)+R21+S21+T21</f>
        <v>5.4084000000000003</v>
      </c>
      <c r="P21" s="48">
        <f>公共区域安装工程!$P$17</f>
        <v>2.92</v>
      </c>
      <c r="Q21" s="49">
        <f>公共区域安装工程!$Q$17</f>
        <v>0.02</v>
      </c>
      <c r="R21" s="48">
        <f>公共区域安装工程!$R$17</f>
        <v>2.2000000000000002</v>
      </c>
      <c r="S21" s="50">
        <f>公共区域安装工程!$S$17</f>
        <v>0.21</v>
      </c>
      <c r="T21" s="12">
        <f>公共区域安装工程!$T$17</f>
        <v>0.02</v>
      </c>
      <c r="U21" s="10">
        <f t="shared" si="8"/>
        <v>16334.341512000001</v>
      </c>
    </row>
    <row r="22" spans="1:21" s="5" customFormat="1" ht="72" customHeight="1" outlineLevel="2">
      <c r="A22" s="22">
        <v>14</v>
      </c>
      <c r="B22" s="22">
        <v>30412004003</v>
      </c>
      <c r="C22" s="24" t="s">
        <v>61</v>
      </c>
      <c r="D22" s="80" t="s">
        <v>63</v>
      </c>
      <c r="E22" s="24" t="s">
        <v>43</v>
      </c>
      <c r="F22" s="24">
        <v>372.91</v>
      </c>
      <c r="G22" s="45">
        <f>R22*$R$3</f>
        <v>15</v>
      </c>
      <c r="H22" s="26">
        <f>P22*(1+Q22)*$P$3+S22*$S$3</f>
        <v>137.13800000000001</v>
      </c>
      <c r="I22" s="26">
        <f>T22*$T$3</f>
        <v>1.07</v>
      </c>
      <c r="J22" s="26">
        <f>(G22+H22+I22)*$J$3</f>
        <v>0</v>
      </c>
      <c r="K22" s="26">
        <f>(G22+H22+I22+J22)*$K$3</f>
        <v>0</v>
      </c>
      <c r="L22" s="26">
        <f>G22+H22+I22+J22+K22</f>
        <v>153.208</v>
      </c>
      <c r="M22" s="26">
        <f>F22*L22</f>
        <v>57132.795279999998</v>
      </c>
      <c r="N22" s="28"/>
      <c r="O22" s="24">
        <f>P22*(1+Q22)+R22+S22+T22</f>
        <v>153.208</v>
      </c>
      <c r="P22" s="29">
        <v>133.4</v>
      </c>
      <c r="Q22" s="30">
        <v>0.02</v>
      </c>
      <c r="R22" s="29">
        <v>15</v>
      </c>
      <c r="S22" s="31">
        <v>1.07</v>
      </c>
      <c r="T22" s="32">
        <v>1.07</v>
      </c>
      <c r="U22" s="24">
        <f t="shared" si="8"/>
        <v>57132.795279999998</v>
      </c>
    </row>
    <row r="23" spans="1:21" s="5" customFormat="1" ht="72" customHeight="1" outlineLevel="2">
      <c r="A23" s="22">
        <v>15</v>
      </c>
      <c r="B23" s="22">
        <v>30412004004</v>
      </c>
      <c r="C23" s="24" t="s">
        <v>61</v>
      </c>
      <c r="D23" s="80" t="s">
        <v>64</v>
      </c>
      <c r="E23" s="24" t="s">
        <v>43</v>
      </c>
      <c r="F23" s="24">
        <v>87.49</v>
      </c>
      <c r="G23" s="45">
        <f>R23*$R$3</f>
        <v>5.2</v>
      </c>
      <c r="H23" s="26">
        <f>P23*(1+Q23)*$P$3+S23*$S$3</f>
        <v>4.1059999999999999</v>
      </c>
      <c r="I23" s="26">
        <f>T23*$T$3</f>
        <v>0.05</v>
      </c>
      <c r="J23" s="26">
        <f>(G23+H23+I23)*$J$3</f>
        <v>0</v>
      </c>
      <c r="K23" s="26">
        <f>(G23+H23+I23+J23)*$K$3</f>
        <v>0</v>
      </c>
      <c r="L23" s="26">
        <f>G23+H23+I23+J23+K23</f>
        <v>9.3559999999999999</v>
      </c>
      <c r="M23" s="26">
        <f>F23*L23</f>
        <v>818.55643999999995</v>
      </c>
      <c r="N23" s="28"/>
      <c r="O23" s="24">
        <f>P23*(1+Q23)+R23+S23+T23</f>
        <v>9.3559999999999999</v>
      </c>
      <c r="P23" s="29">
        <v>3.8</v>
      </c>
      <c r="Q23" s="30">
        <v>0.02</v>
      </c>
      <c r="R23" s="29">
        <v>5.2</v>
      </c>
      <c r="S23" s="31">
        <v>0.23</v>
      </c>
      <c r="T23" s="32">
        <v>0.05</v>
      </c>
      <c r="U23" s="24">
        <f t="shared" si="8"/>
        <v>818.55643999999995</v>
      </c>
    </row>
    <row r="24" spans="1:21" s="5" customFormat="1">
      <c r="A24" s="9"/>
      <c r="B24" s="9"/>
      <c r="C24" s="10" t="s">
        <v>65</v>
      </c>
      <c r="D24" s="79"/>
      <c r="E24" s="10"/>
      <c r="F24" s="10"/>
      <c r="G24" s="10"/>
      <c r="H24" s="10"/>
      <c r="I24" s="10"/>
      <c r="J24" s="10"/>
      <c r="K24" s="10"/>
      <c r="L24" s="10"/>
      <c r="M24" s="10"/>
      <c r="N24" s="8"/>
      <c r="O24" s="10"/>
      <c r="P24" s="10"/>
      <c r="Q24" s="81"/>
      <c r="R24" s="10"/>
      <c r="S24" s="10"/>
      <c r="T24" s="10"/>
      <c r="U24" s="10">
        <f t="shared" si="8"/>
        <v>0</v>
      </c>
    </row>
    <row r="25" spans="1:21" s="5" customFormat="1" outlineLevel="1">
      <c r="A25" s="9"/>
      <c r="B25" s="9"/>
      <c r="C25" s="10" t="s">
        <v>66</v>
      </c>
      <c r="D25" s="79"/>
      <c r="E25" s="10"/>
      <c r="F25" s="10"/>
      <c r="G25" s="10"/>
      <c r="H25" s="10"/>
      <c r="I25" s="10"/>
      <c r="J25" s="10"/>
      <c r="K25" s="10"/>
      <c r="L25" s="10"/>
      <c r="M25" s="10"/>
      <c r="N25" s="8"/>
      <c r="O25" s="10"/>
      <c r="P25" s="10"/>
      <c r="Q25" s="81"/>
      <c r="R25" s="10"/>
      <c r="S25" s="10"/>
      <c r="T25" s="10"/>
      <c r="U25" s="10">
        <f t="shared" si="8"/>
        <v>0</v>
      </c>
    </row>
    <row r="26" spans="1:21" s="5" customFormat="1" ht="96" customHeight="1" outlineLevel="2">
      <c r="A26" s="22">
        <v>16</v>
      </c>
      <c r="B26" s="22">
        <v>30701003001</v>
      </c>
      <c r="C26" s="24" t="s">
        <v>67</v>
      </c>
      <c r="D26" s="80" t="s">
        <v>68</v>
      </c>
      <c r="E26" s="24" t="s">
        <v>69</v>
      </c>
      <c r="F26" s="24">
        <v>2</v>
      </c>
      <c r="G26" s="45">
        <f t="shared" ref="G26:G38" si="9">R26*$R$3</f>
        <v>1000</v>
      </c>
      <c r="H26" s="26">
        <f t="shared" ref="H26:H38" si="10">P26*(1+Q26)*$P$3+S26*$S$3</f>
        <v>4800</v>
      </c>
      <c r="I26" s="26">
        <f t="shared" ref="I26:I38" si="11">T26*$T$3</f>
        <v>45</v>
      </c>
      <c r="J26" s="26">
        <f t="shared" ref="J26:J38" si="12">(G26+H26+I26)*$J$3</f>
        <v>0</v>
      </c>
      <c r="K26" s="26">
        <f t="shared" ref="K26:K38" si="13">(G26+H26+I26+J26)*$K$3</f>
        <v>0</v>
      </c>
      <c r="L26" s="26">
        <f t="shared" ref="L26:L38" si="14">G26+H26+I26+J26+K26</f>
        <v>5845</v>
      </c>
      <c r="M26" s="26">
        <f t="shared" ref="M26:M38" si="15">F26*L26</f>
        <v>11690</v>
      </c>
      <c r="N26" s="28"/>
      <c r="O26" s="24">
        <f t="shared" ref="O26:O38" si="16">P26*(1+Q26)+R26+S26+T26</f>
        <v>5845</v>
      </c>
      <c r="P26" s="29">
        <v>3600</v>
      </c>
      <c r="Q26" s="30">
        <v>0</v>
      </c>
      <c r="R26" s="29">
        <v>1000</v>
      </c>
      <c r="S26" s="31">
        <v>1200</v>
      </c>
      <c r="T26" s="32">
        <v>45</v>
      </c>
      <c r="U26" s="24">
        <f t="shared" si="8"/>
        <v>11690</v>
      </c>
    </row>
    <row r="27" spans="1:21" s="5" customFormat="1" ht="96" customHeight="1" outlineLevel="2">
      <c r="A27" s="22">
        <v>17</v>
      </c>
      <c r="B27" s="22">
        <v>30701003002</v>
      </c>
      <c r="C27" s="24" t="s">
        <v>67</v>
      </c>
      <c r="D27" s="80" t="s">
        <v>70</v>
      </c>
      <c r="E27" s="24" t="s">
        <v>69</v>
      </c>
      <c r="F27" s="24">
        <v>1</v>
      </c>
      <c r="G27" s="45">
        <f t="shared" si="9"/>
        <v>1000</v>
      </c>
      <c r="H27" s="26">
        <f t="shared" si="10"/>
        <v>4800</v>
      </c>
      <c r="I27" s="26">
        <f t="shared" si="11"/>
        <v>45</v>
      </c>
      <c r="J27" s="26">
        <f t="shared" si="12"/>
        <v>0</v>
      </c>
      <c r="K27" s="26">
        <f t="shared" si="13"/>
        <v>0</v>
      </c>
      <c r="L27" s="26">
        <f t="shared" si="14"/>
        <v>5845</v>
      </c>
      <c r="M27" s="26">
        <f t="shared" si="15"/>
        <v>5845</v>
      </c>
      <c r="N27" s="28"/>
      <c r="O27" s="24">
        <f t="shared" si="16"/>
        <v>5845</v>
      </c>
      <c r="P27" s="29">
        <v>3600</v>
      </c>
      <c r="Q27" s="30">
        <v>0</v>
      </c>
      <c r="R27" s="29">
        <v>1000</v>
      </c>
      <c r="S27" s="31">
        <v>1200</v>
      </c>
      <c r="T27" s="32">
        <v>45</v>
      </c>
      <c r="U27" s="24">
        <f t="shared" si="8"/>
        <v>5845</v>
      </c>
    </row>
    <row r="28" spans="1:21" s="5" customFormat="1" ht="96" customHeight="1" outlineLevel="2">
      <c r="A28" s="22">
        <v>18</v>
      </c>
      <c r="B28" s="22">
        <v>30701003003</v>
      </c>
      <c r="C28" s="24" t="s">
        <v>67</v>
      </c>
      <c r="D28" s="80" t="s">
        <v>71</v>
      </c>
      <c r="E28" s="24" t="s">
        <v>69</v>
      </c>
      <c r="F28" s="24">
        <v>1</v>
      </c>
      <c r="G28" s="45">
        <f t="shared" si="9"/>
        <v>1000</v>
      </c>
      <c r="H28" s="26">
        <f t="shared" si="10"/>
        <v>4800</v>
      </c>
      <c r="I28" s="26">
        <f t="shared" si="11"/>
        <v>45</v>
      </c>
      <c r="J28" s="26">
        <f t="shared" si="12"/>
        <v>0</v>
      </c>
      <c r="K28" s="26">
        <f t="shared" si="13"/>
        <v>0</v>
      </c>
      <c r="L28" s="26">
        <f t="shared" si="14"/>
        <v>5845</v>
      </c>
      <c r="M28" s="26">
        <f t="shared" si="15"/>
        <v>5845</v>
      </c>
      <c r="N28" s="28"/>
      <c r="O28" s="24">
        <f t="shared" si="16"/>
        <v>5845</v>
      </c>
      <c r="P28" s="29">
        <v>3600</v>
      </c>
      <c r="Q28" s="30">
        <v>0</v>
      </c>
      <c r="R28" s="29">
        <v>1000</v>
      </c>
      <c r="S28" s="31">
        <v>1200</v>
      </c>
      <c r="T28" s="32">
        <v>45</v>
      </c>
      <c r="U28" s="24">
        <f t="shared" si="8"/>
        <v>5845</v>
      </c>
    </row>
    <row r="29" spans="1:21" s="5" customFormat="1" ht="96" customHeight="1" outlineLevel="2">
      <c r="A29" s="22">
        <v>19</v>
      </c>
      <c r="B29" s="22">
        <v>30701003004</v>
      </c>
      <c r="C29" s="24" t="s">
        <v>67</v>
      </c>
      <c r="D29" s="80" t="s">
        <v>72</v>
      </c>
      <c r="E29" s="24" t="s">
        <v>69</v>
      </c>
      <c r="F29" s="24">
        <v>4</v>
      </c>
      <c r="G29" s="45">
        <f t="shared" si="9"/>
        <v>1000</v>
      </c>
      <c r="H29" s="26">
        <f t="shared" si="10"/>
        <v>4800</v>
      </c>
      <c r="I29" s="26">
        <f t="shared" si="11"/>
        <v>45</v>
      </c>
      <c r="J29" s="26">
        <f t="shared" si="12"/>
        <v>0</v>
      </c>
      <c r="K29" s="26">
        <f t="shared" si="13"/>
        <v>0</v>
      </c>
      <c r="L29" s="26">
        <f t="shared" si="14"/>
        <v>5845</v>
      </c>
      <c r="M29" s="26">
        <f t="shared" si="15"/>
        <v>23380</v>
      </c>
      <c r="N29" s="28"/>
      <c r="O29" s="24">
        <f t="shared" si="16"/>
        <v>5845</v>
      </c>
      <c r="P29" s="29">
        <v>3600</v>
      </c>
      <c r="Q29" s="30">
        <v>0</v>
      </c>
      <c r="R29" s="29">
        <v>1000</v>
      </c>
      <c r="S29" s="31">
        <v>1200</v>
      </c>
      <c r="T29" s="32">
        <v>45</v>
      </c>
      <c r="U29" s="24">
        <f t="shared" si="8"/>
        <v>23380</v>
      </c>
    </row>
    <row r="30" spans="1:21" s="5" customFormat="1" ht="96" customHeight="1" outlineLevel="2">
      <c r="A30" s="22">
        <v>20</v>
      </c>
      <c r="B30" s="22">
        <v>30701003006</v>
      </c>
      <c r="C30" s="24" t="s">
        <v>67</v>
      </c>
      <c r="D30" s="80" t="s">
        <v>73</v>
      </c>
      <c r="E30" s="24" t="s">
        <v>69</v>
      </c>
      <c r="F30" s="24">
        <v>1</v>
      </c>
      <c r="G30" s="45">
        <f t="shared" si="9"/>
        <v>1000</v>
      </c>
      <c r="H30" s="26">
        <f t="shared" si="10"/>
        <v>4800</v>
      </c>
      <c r="I30" s="26">
        <f t="shared" si="11"/>
        <v>45</v>
      </c>
      <c r="J30" s="26">
        <f t="shared" si="12"/>
        <v>0</v>
      </c>
      <c r="K30" s="26">
        <f t="shared" si="13"/>
        <v>0</v>
      </c>
      <c r="L30" s="26">
        <f t="shared" si="14"/>
        <v>5845</v>
      </c>
      <c r="M30" s="26">
        <f t="shared" si="15"/>
        <v>5845</v>
      </c>
      <c r="N30" s="28"/>
      <c r="O30" s="24">
        <f t="shared" si="16"/>
        <v>5845</v>
      </c>
      <c r="P30" s="29">
        <v>3600</v>
      </c>
      <c r="Q30" s="30">
        <v>0</v>
      </c>
      <c r="R30" s="29">
        <v>1000</v>
      </c>
      <c r="S30" s="31">
        <v>1200</v>
      </c>
      <c r="T30" s="32">
        <v>45</v>
      </c>
      <c r="U30" s="24">
        <f t="shared" si="8"/>
        <v>5845</v>
      </c>
    </row>
    <row r="31" spans="1:21" s="5" customFormat="1" ht="96" customHeight="1" outlineLevel="2">
      <c r="A31" s="22">
        <v>21</v>
      </c>
      <c r="B31" s="22">
        <v>30701003007</v>
      </c>
      <c r="C31" s="24" t="s">
        <v>67</v>
      </c>
      <c r="D31" s="80" t="s">
        <v>74</v>
      </c>
      <c r="E31" s="24" t="s">
        <v>69</v>
      </c>
      <c r="F31" s="24">
        <v>1</v>
      </c>
      <c r="G31" s="45">
        <f t="shared" si="9"/>
        <v>1000</v>
      </c>
      <c r="H31" s="26">
        <f t="shared" si="10"/>
        <v>4800</v>
      </c>
      <c r="I31" s="26">
        <f t="shared" si="11"/>
        <v>45</v>
      </c>
      <c r="J31" s="26">
        <f t="shared" si="12"/>
        <v>0</v>
      </c>
      <c r="K31" s="26">
        <f t="shared" si="13"/>
        <v>0</v>
      </c>
      <c r="L31" s="26">
        <f t="shared" si="14"/>
        <v>5845</v>
      </c>
      <c r="M31" s="26">
        <f t="shared" si="15"/>
        <v>5845</v>
      </c>
      <c r="N31" s="28"/>
      <c r="O31" s="24">
        <f t="shared" si="16"/>
        <v>5845</v>
      </c>
      <c r="P31" s="29">
        <v>3600</v>
      </c>
      <c r="Q31" s="30">
        <v>0</v>
      </c>
      <c r="R31" s="29">
        <v>1000</v>
      </c>
      <c r="S31" s="31">
        <v>1200</v>
      </c>
      <c r="T31" s="32">
        <v>45</v>
      </c>
      <c r="U31" s="24">
        <f t="shared" si="8"/>
        <v>5845</v>
      </c>
    </row>
    <row r="32" spans="1:21" s="5" customFormat="1" ht="96" customHeight="1" outlineLevel="2">
      <c r="A32" s="22">
        <v>22</v>
      </c>
      <c r="B32" s="22">
        <v>30701003005</v>
      </c>
      <c r="C32" s="24" t="s">
        <v>75</v>
      </c>
      <c r="D32" s="80" t="s">
        <v>76</v>
      </c>
      <c r="E32" s="24" t="s">
        <v>69</v>
      </c>
      <c r="F32" s="24">
        <v>2</v>
      </c>
      <c r="G32" s="45">
        <f t="shared" si="9"/>
        <v>800</v>
      </c>
      <c r="H32" s="26">
        <f t="shared" si="10"/>
        <v>12080</v>
      </c>
      <c r="I32" s="26">
        <f t="shared" si="11"/>
        <v>60</v>
      </c>
      <c r="J32" s="26">
        <f t="shared" si="12"/>
        <v>0</v>
      </c>
      <c r="K32" s="26">
        <f t="shared" si="13"/>
        <v>0</v>
      </c>
      <c r="L32" s="26">
        <f t="shared" si="14"/>
        <v>12940</v>
      </c>
      <c r="M32" s="26">
        <f t="shared" si="15"/>
        <v>25880</v>
      </c>
      <c r="N32" s="28"/>
      <c r="O32" s="24">
        <f t="shared" si="16"/>
        <v>12940</v>
      </c>
      <c r="P32" s="29">
        <v>12000</v>
      </c>
      <c r="Q32" s="30">
        <v>0</v>
      </c>
      <c r="R32" s="29">
        <v>800</v>
      </c>
      <c r="S32" s="31">
        <v>80</v>
      </c>
      <c r="T32" s="32">
        <v>60</v>
      </c>
      <c r="U32" s="24">
        <f t="shared" si="8"/>
        <v>25880</v>
      </c>
    </row>
    <row r="33" spans="1:21" s="5" customFormat="1" ht="72" customHeight="1" outlineLevel="2">
      <c r="A33" s="22">
        <v>23</v>
      </c>
      <c r="B33" s="22">
        <v>30413013010</v>
      </c>
      <c r="C33" s="24" t="s">
        <v>77</v>
      </c>
      <c r="D33" s="80" t="s">
        <v>78</v>
      </c>
      <c r="E33" s="24" t="s">
        <v>38</v>
      </c>
      <c r="F33" s="24">
        <v>7</v>
      </c>
      <c r="G33" s="45">
        <f t="shared" si="9"/>
        <v>35</v>
      </c>
      <c r="H33" s="26">
        <f t="shared" si="10"/>
        <v>103</v>
      </c>
      <c r="I33" s="26">
        <f t="shared" si="11"/>
        <v>0</v>
      </c>
      <c r="J33" s="26">
        <f t="shared" si="12"/>
        <v>0</v>
      </c>
      <c r="K33" s="26">
        <f t="shared" si="13"/>
        <v>0</v>
      </c>
      <c r="L33" s="26">
        <f t="shared" si="14"/>
        <v>138</v>
      </c>
      <c r="M33" s="26">
        <f t="shared" si="15"/>
        <v>966</v>
      </c>
      <c r="N33" s="28"/>
      <c r="O33" s="24">
        <f t="shared" si="16"/>
        <v>138</v>
      </c>
      <c r="P33" s="29">
        <v>95</v>
      </c>
      <c r="Q33" s="30">
        <v>0</v>
      </c>
      <c r="R33" s="29">
        <v>35</v>
      </c>
      <c r="S33" s="31">
        <v>8</v>
      </c>
      <c r="T33" s="32">
        <v>0</v>
      </c>
      <c r="U33" s="24">
        <f t="shared" si="8"/>
        <v>966</v>
      </c>
    </row>
    <row r="34" spans="1:21" s="5" customFormat="1" ht="72" customHeight="1" outlineLevel="2">
      <c r="A34" s="22">
        <v>24</v>
      </c>
      <c r="B34" s="22">
        <v>30703007001</v>
      </c>
      <c r="C34" s="24" t="s">
        <v>79</v>
      </c>
      <c r="D34" s="80" t="s">
        <v>80</v>
      </c>
      <c r="E34" s="24" t="s">
        <v>46</v>
      </c>
      <c r="F34" s="24">
        <v>4</v>
      </c>
      <c r="G34" s="45">
        <f t="shared" si="9"/>
        <v>20</v>
      </c>
      <c r="H34" s="26">
        <f t="shared" si="10"/>
        <v>81</v>
      </c>
      <c r="I34" s="26">
        <f t="shared" si="11"/>
        <v>0</v>
      </c>
      <c r="J34" s="26">
        <f t="shared" si="12"/>
        <v>0</v>
      </c>
      <c r="K34" s="26">
        <f t="shared" si="13"/>
        <v>0</v>
      </c>
      <c r="L34" s="26">
        <f t="shared" si="14"/>
        <v>101</v>
      </c>
      <c r="M34" s="26">
        <f t="shared" si="15"/>
        <v>404</v>
      </c>
      <c r="N34" s="28"/>
      <c r="O34" s="24">
        <f t="shared" si="16"/>
        <v>101</v>
      </c>
      <c r="P34" s="29">
        <v>75</v>
      </c>
      <c r="Q34" s="30">
        <v>0</v>
      </c>
      <c r="R34" s="29">
        <v>20</v>
      </c>
      <c r="S34" s="31">
        <v>6</v>
      </c>
      <c r="T34" s="32">
        <v>0</v>
      </c>
      <c r="U34" s="24">
        <f t="shared" si="8"/>
        <v>404</v>
      </c>
    </row>
    <row r="35" spans="1:21" s="5" customFormat="1" ht="72" customHeight="1" outlineLevel="2">
      <c r="A35" s="22">
        <v>25</v>
      </c>
      <c r="B35" s="22">
        <v>30703007006</v>
      </c>
      <c r="C35" s="24" t="s">
        <v>79</v>
      </c>
      <c r="D35" s="80" t="s">
        <v>81</v>
      </c>
      <c r="E35" s="24" t="s">
        <v>46</v>
      </c>
      <c r="F35" s="24">
        <v>2</v>
      </c>
      <c r="G35" s="45">
        <f t="shared" si="9"/>
        <v>20</v>
      </c>
      <c r="H35" s="26">
        <f t="shared" si="10"/>
        <v>81</v>
      </c>
      <c r="I35" s="26">
        <f t="shared" si="11"/>
        <v>0</v>
      </c>
      <c r="J35" s="26">
        <f t="shared" si="12"/>
        <v>0</v>
      </c>
      <c r="K35" s="26">
        <f t="shared" si="13"/>
        <v>0</v>
      </c>
      <c r="L35" s="26">
        <f t="shared" si="14"/>
        <v>101</v>
      </c>
      <c r="M35" s="26">
        <f t="shared" si="15"/>
        <v>202</v>
      </c>
      <c r="N35" s="28"/>
      <c r="O35" s="24">
        <f t="shared" si="16"/>
        <v>101</v>
      </c>
      <c r="P35" s="29">
        <v>75</v>
      </c>
      <c r="Q35" s="30">
        <v>0</v>
      </c>
      <c r="R35" s="29">
        <v>20</v>
      </c>
      <c r="S35" s="31">
        <v>6</v>
      </c>
      <c r="T35" s="32">
        <v>0</v>
      </c>
      <c r="U35" s="24">
        <f t="shared" si="8"/>
        <v>202</v>
      </c>
    </row>
    <row r="36" spans="1:21" s="5" customFormat="1" ht="72" customHeight="1" outlineLevel="2">
      <c r="A36" s="22">
        <v>26</v>
      </c>
      <c r="B36" s="22">
        <v>30703007007</v>
      </c>
      <c r="C36" s="24" t="s">
        <v>79</v>
      </c>
      <c r="D36" s="80" t="s">
        <v>82</v>
      </c>
      <c r="E36" s="24" t="s">
        <v>46</v>
      </c>
      <c r="F36" s="24">
        <v>2</v>
      </c>
      <c r="G36" s="45">
        <f t="shared" si="9"/>
        <v>20</v>
      </c>
      <c r="H36" s="26">
        <f t="shared" si="10"/>
        <v>81</v>
      </c>
      <c r="I36" s="26">
        <f t="shared" si="11"/>
        <v>0</v>
      </c>
      <c r="J36" s="26">
        <f t="shared" si="12"/>
        <v>0</v>
      </c>
      <c r="K36" s="26">
        <f t="shared" si="13"/>
        <v>0</v>
      </c>
      <c r="L36" s="26">
        <f t="shared" si="14"/>
        <v>101</v>
      </c>
      <c r="M36" s="26">
        <f t="shared" si="15"/>
        <v>202</v>
      </c>
      <c r="N36" s="28"/>
      <c r="O36" s="24">
        <f t="shared" si="16"/>
        <v>101</v>
      </c>
      <c r="P36" s="29">
        <v>75</v>
      </c>
      <c r="Q36" s="30">
        <v>0</v>
      </c>
      <c r="R36" s="29">
        <v>20</v>
      </c>
      <c r="S36" s="31">
        <v>6</v>
      </c>
      <c r="T36" s="32">
        <v>0</v>
      </c>
      <c r="U36" s="24">
        <f t="shared" si="8"/>
        <v>202</v>
      </c>
    </row>
    <row r="37" spans="1:21" s="5" customFormat="1" ht="72" customHeight="1" outlineLevel="2">
      <c r="A37" s="22">
        <v>27</v>
      </c>
      <c r="B37" s="22">
        <v>30703007004</v>
      </c>
      <c r="C37" s="24" t="s">
        <v>79</v>
      </c>
      <c r="D37" s="80" t="s">
        <v>83</v>
      </c>
      <c r="E37" s="24" t="s">
        <v>46</v>
      </c>
      <c r="F37" s="24">
        <v>8</v>
      </c>
      <c r="G37" s="45">
        <f t="shared" si="9"/>
        <v>20</v>
      </c>
      <c r="H37" s="26">
        <f t="shared" si="10"/>
        <v>81</v>
      </c>
      <c r="I37" s="26">
        <f t="shared" si="11"/>
        <v>0</v>
      </c>
      <c r="J37" s="26">
        <f t="shared" si="12"/>
        <v>0</v>
      </c>
      <c r="K37" s="26">
        <f t="shared" si="13"/>
        <v>0</v>
      </c>
      <c r="L37" s="26">
        <f t="shared" si="14"/>
        <v>101</v>
      </c>
      <c r="M37" s="26">
        <f t="shared" si="15"/>
        <v>808</v>
      </c>
      <c r="N37" s="28"/>
      <c r="O37" s="24">
        <f t="shared" si="16"/>
        <v>101</v>
      </c>
      <c r="P37" s="29">
        <v>75</v>
      </c>
      <c r="Q37" s="30">
        <v>0</v>
      </c>
      <c r="R37" s="29">
        <v>20</v>
      </c>
      <c r="S37" s="31">
        <v>6</v>
      </c>
      <c r="T37" s="32">
        <v>0</v>
      </c>
      <c r="U37" s="24">
        <f t="shared" si="8"/>
        <v>808</v>
      </c>
    </row>
    <row r="38" spans="1:21" s="5" customFormat="1" ht="72" customHeight="1" outlineLevel="2">
      <c r="A38" s="22">
        <v>28</v>
      </c>
      <c r="B38" s="22">
        <v>30703007008</v>
      </c>
      <c r="C38" s="24" t="s">
        <v>79</v>
      </c>
      <c r="D38" s="80" t="s">
        <v>84</v>
      </c>
      <c r="E38" s="24" t="s">
        <v>46</v>
      </c>
      <c r="F38" s="24">
        <v>4</v>
      </c>
      <c r="G38" s="45">
        <f t="shared" si="9"/>
        <v>20</v>
      </c>
      <c r="H38" s="26">
        <f t="shared" si="10"/>
        <v>81</v>
      </c>
      <c r="I38" s="26">
        <f t="shared" si="11"/>
        <v>0</v>
      </c>
      <c r="J38" s="26">
        <f t="shared" si="12"/>
        <v>0</v>
      </c>
      <c r="K38" s="26">
        <f t="shared" si="13"/>
        <v>0</v>
      </c>
      <c r="L38" s="26">
        <f t="shared" si="14"/>
        <v>101</v>
      </c>
      <c r="M38" s="26">
        <f t="shared" si="15"/>
        <v>404</v>
      </c>
      <c r="N38" s="28"/>
      <c r="O38" s="24">
        <f t="shared" si="16"/>
        <v>101</v>
      </c>
      <c r="P38" s="29">
        <v>75</v>
      </c>
      <c r="Q38" s="30">
        <v>0</v>
      </c>
      <c r="R38" s="29">
        <v>20</v>
      </c>
      <c r="S38" s="31">
        <v>6</v>
      </c>
      <c r="T38" s="32">
        <v>0</v>
      </c>
      <c r="U38" s="24">
        <f t="shared" si="8"/>
        <v>404</v>
      </c>
    </row>
    <row r="39" spans="1:21" s="5" customFormat="1" outlineLevel="1">
      <c r="A39" s="9"/>
      <c r="B39" s="9"/>
      <c r="C39" s="10" t="s">
        <v>85</v>
      </c>
      <c r="D39" s="79"/>
      <c r="E39" s="10"/>
      <c r="F39" s="10"/>
      <c r="G39" s="10"/>
      <c r="H39" s="10"/>
      <c r="I39" s="10"/>
      <c r="J39" s="10"/>
      <c r="K39" s="10"/>
      <c r="L39" s="10"/>
      <c r="M39" s="10"/>
      <c r="N39" s="8"/>
      <c r="O39" s="10"/>
      <c r="P39" s="10"/>
      <c r="Q39" s="81"/>
      <c r="R39" s="10"/>
      <c r="S39" s="10"/>
      <c r="T39" s="10"/>
      <c r="U39" s="10">
        <f t="shared" ref="U39:U59" si="17">F39*O39</f>
        <v>0</v>
      </c>
    </row>
    <row r="40" spans="1:21" s="5" customFormat="1" ht="84" customHeight="1" outlineLevel="2">
      <c r="A40" s="22">
        <v>29</v>
      </c>
      <c r="B40" s="22">
        <v>30702001001</v>
      </c>
      <c r="C40" s="24" t="s">
        <v>86</v>
      </c>
      <c r="D40" s="80" t="s">
        <v>87</v>
      </c>
      <c r="E40" s="24" t="s">
        <v>88</v>
      </c>
      <c r="F40" s="24">
        <v>6.28</v>
      </c>
      <c r="G40" s="45">
        <f t="shared" ref="G40:G46" si="18">R40*$R$3</f>
        <v>48</v>
      </c>
      <c r="H40" s="26">
        <f t="shared" ref="H40:H46" si="19">P40*(1+Q40)*$P$3+S40*$S$3</f>
        <v>99.55</v>
      </c>
      <c r="I40" s="26">
        <f t="shared" ref="I40:I46" si="20">T40*$T$3</f>
        <v>2</v>
      </c>
      <c r="J40" s="26">
        <f t="shared" ref="J40:J46" si="21">(G40+H40+I40)*$J$3</f>
        <v>0</v>
      </c>
      <c r="K40" s="26">
        <f t="shared" ref="K40:K46" si="22">(G40+H40+I40+J40)*$K$3</f>
        <v>0</v>
      </c>
      <c r="L40" s="26">
        <f t="shared" ref="L40:L46" si="23">G40+H40+I40+J40+K40</f>
        <v>149.55000000000001</v>
      </c>
      <c r="M40" s="26">
        <f t="shared" ref="M40:M46" si="24">F40*L40</f>
        <v>939.17399999999998</v>
      </c>
      <c r="N40" s="28"/>
      <c r="O40" s="24">
        <f t="shared" ref="O40:O46" si="25">P40*(1+Q40)+R40+S40+T40</f>
        <v>149.55000000000001</v>
      </c>
      <c r="P40" s="29">
        <v>85</v>
      </c>
      <c r="Q40" s="30">
        <v>0.03</v>
      </c>
      <c r="R40" s="29">
        <v>48</v>
      </c>
      <c r="S40" s="31">
        <v>12</v>
      </c>
      <c r="T40" s="32">
        <v>2</v>
      </c>
      <c r="U40" s="24">
        <f t="shared" si="17"/>
        <v>939.17399999999998</v>
      </c>
    </row>
    <row r="41" spans="1:21" s="5" customFormat="1" ht="84" customHeight="1" outlineLevel="2">
      <c r="A41" s="22">
        <v>30</v>
      </c>
      <c r="B41" s="22">
        <v>30702001002</v>
      </c>
      <c r="C41" s="24" t="s">
        <v>86</v>
      </c>
      <c r="D41" s="80" t="s">
        <v>89</v>
      </c>
      <c r="E41" s="24" t="s">
        <v>88</v>
      </c>
      <c r="F41" s="24">
        <v>27.07</v>
      </c>
      <c r="G41" s="45">
        <f t="shared" si="18"/>
        <v>48</v>
      </c>
      <c r="H41" s="26">
        <f t="shared" si="19"/>
        <v>99.55</v>
      </c>
      <c r="I41" s="26">
        <f t="shared" si="20"/>
        <v>2</v>
      </c>
      <c r="J41" s="26">
        <f t="shared" si="21"/>
        <v>0</v>
      </c>
      <c r="K41" s="26">
        <f t="shared" si="22"/>
        <v>0</v>
      </c>
      <c r="L41" s="26">
        <f t="shared" si="23"/>
        <v>149.55000000000001</v>
      </c>
      <c r="M41" s="26">
        <f t="shared" si="24"/>
        <v>4048.3184999999999</v>
      </c>
      <c r="N41" s="28"/>
      <c r="O41" s="24">
        <f t="shared" si="25"/>
        <v>149.55000000000001</v>
      </c>
      <c r="P41" s="29">
        <v>85</v>
      </c>
      <c r="Q41" s="30">
        <v>0.03</v>
      </c>
      <c r="R41" s="29">
        <v>48</v>
      </c>
      <c r="S41" s="31">
        <v>12</v>
      </c>
      <c r="T41" s="32">
        <v>2</v>
      </c>
      <c r="U41" s="24">
        <f t="shared" si="17"/>
        <v>4048.3184999999999</v>
      </c>
    </row>
    <row r="42" spans="1:21" s="5" customFormat="1" ht="84" customHeight="1" outlineLevel="2">
      <c r="A42" s="22">
        <v>31</v>
      </c>
      <c r="B42" s="22">
        <v>30702001003</v>
      </c>
      <c r="C42" s="24" t="s">
        <v>86</v>
      </c>
      <c r="D42" s="80" t="s">
        <v>90</v>
      </c>
      <c r="E42" s="24" t="s">
        <v>88</v>
      </c>
      <c r="F42" s="24">
        <v>20.66</v>
      </c>
      <c r="G42" s="45">
        <f t="shared" si="18"/>
        <v>48</v>
      </c>
      <c r="H42" s="26">
        <f t="shared" si="19"/>
        <v>99.55</v>
      </c>
      <c r="I42" s="26">
        <f t="shared" si="20"/>
        <v>2</v>
      </c>
      <c r="J42" s="26">
        <f t="shared" si="21"/>
        <v>0</v>
      </c>
      <c r="K42" s="26">
        <f t="shared" si="22"/>
        <v>0</v>
      </c>
      <c r="L42" s="26">
        <f t="shared" si="23"/>
        <v>149.55000000000001</v>
      </c>
      <c r="M42" s="26">
        <f t="shared" si="24"/>
        <v>3089.703</v>
      </c>
      <c r="N42" s="28"/>
      <c r="O42" s="24">
        <f t="shared" si="25"/>
        <v>149.55000000000001</v>
      </c>
      <c r="P42" s="29">
        <v>85</v>
      </c>
      <c r="Q42" s="30">
        <v>0.03</v>
      </c>
      <c r="R42" s="29">
        <v>48</v>
      </c>
      <c r="S42" s="31">
        <v>12</v>
      </c>
      <c r="T42" s="32">
        <v>2</v>
      </c>
      <c r="U42" s="24">
        <f t="shared" si="17"/>
        <v>3089.703</v>
      </c>
    </row>
    <row r="43" spans="1:21" s="5" customFormat="1" ht="72" customHeight="1" outlineLevel="2">
      <c r="A43" s="22">
        <v>32</v>
      </c>
      <c r="B43" s="22">
        <v>30703019001</v>
      </c>
      <c r="C43" s="24" t="s">
        <v>91</v>
      </c>
      <c r="D43" s="80" t="s">
        <v>92</v>
      </c>
      <c r="E43" s="24" t="s">
        <v>88</v>
      </c>
      <c r="F43" s="24">
        <v>8.16</v>
      </c>
      <c r="G43" s="45">
        <f t="shared" si="18"/>
        <v>55</v>
      </c>
      <c r="H43" s="26">
        <f t="shared" si="19"/>
        <v>78.89</v>
      </c>
      <c r="I43" s="26">
        <f t="shared" si="20"/>
        <v>2.75</v>
      </c>
      <c r="J43" s="26">
        <f t="shared" si="21"/>
        <v>0</v>
      </c>
      <c r="K43" s="26">
        <f t="shared" si="22"/>
        <v>0</v>
      </c>
      <c r="L43" s="26">
        <f t="shared" si="23"/>
        <v>136.63999999999999</v>
      </c>
      <c r="M43" s="26">
        <f t="shared" si="24"/>
        <v>1114.9824000000001</v>
      </c>
      <c r="N43" s="28"/>
      <c r="O43" s="24">
        <f t="shared" si="25"/>
        <v>136.63999999999999</v>
      </c>
      <c r="P43" s="29">
        <v>19.489999999999998</v>
      </c>
      <c r="Q43" s="30">
        <v>0</v>
      </c>
      <c r="R43" s="29">
        <v>55</v>
      </c>
      <c r="S43" s="31">
        <v>59.4</v>
      </c>
      <c r="T43" s="32">
        <v>2.75</v>
      </c>
      <c r="U43" s="24">
        <f t="shared" si="17"/>
        <v>1114.9824000000001</v>
      </c>
    </row>
    <row r="44" spans="1:21" s="5" customFormat="1" ht="72" customHeight="1" outlineLevel="2">
      <c r="A44" s="22">
        <v>33</v>
      </c>
      <c r="B44" s="22">
        <v>31301005001</v>
      </c>
      <c r="C44" s="24" t="s">
        <v>93</v>
      </c>
      <c r="D44" s="80" t="s">
        <v>94</v>
      </c>
      <c r="E44" s="24" t="s">
        <v>95</v>
      </c>
      <c r="F44" s="24">
        <v>208.7</v>
      </c>
      <c r="G44" s="45">
        <f t="shared" si="18"/>
        <v>5.77</v>
      </c>
      <c r="H44" s="26">
        <f t="shared" si="19"/>
        <v>6.87</v>
      </c>
      <c r="I44" s="26">
        <f t="shared" si="20"/>
        <v>1.21</v>
      </c>
      <c r="J44" s="26">
        <f t="shared" si="21"/>
        <v>0</v>
      </c>
      <c r="K44" s="26">
        <f t="shared" si="22"/>
        <v>0</v>
      </c>
      <c r="L44" s="26">
        <f t="shared" si="23"/>
        <v>13.85</v>
      </c>
      <c r="M44" s="26">
        <f t="shared" si="24"/>
        <v>2890.4949999999999</v>
      </c>
      <c r="N44" s="28"/>
      <c r="O44" s="24">
        <f t="shared" si="25"/>
        <v>13.85</v>
      </c>
      <c r="P44" s="29">
        <v>6.87</v>
      </c>
      <c r="Q44" s="30">
        <v>0</v>
      </c>
      <c r="R44" s="29">
        <v>5.77</v>
      </c>
      <c r="S44" s="31">
        <v>0</v>
      </c>
      <c r="T44" s="32">
        <v>1.21</v>
      </c>
      <c r="U44" s="24">
        <f t="shared" si="17"/>
        <v>2890.4949999999999</v>
      </c>
    </row>
    <row r="45" spans="1:21" s="5" customFormat="1" ht="108" customHeight="1" outlineLevel="2">
      <c r="A45" s="22">
        <v>34</v>
      </c>
      <c r="B45" s="22">
        <v>31208003001</v>
      </c>
      <c r="C45" s="24" t="s">
        <v>96</v>
      </c>
      <c r="D45" s="80" t="s">
        <v>97</v>
      </c>
      <c r="E45" s="24" t="s">
        <v>88</v>
      </c>
      <c r="F45" s="24">
        <v>47.31</v>
      </c>
      <c r="G45" s="45">
        <f t="shared" si="18"/>
        <v>48</v>
      </c>
      <c r="H45" s="26">
        <f t="shared" si="19"/>
        <v>412</v>
      </c>
      <c r="I45" s="26">
        <f t="shared" si="20"/>
        <v>2</v>
      </c>
      <c r="J45" s="26">
        <f t="shared" si="21"/>
        <v>0</v>
      </c>
      <c r="K45" s="26">
        <f t="shared" si="22"/>
        <v>0</v>
      </c>
      <c r="L45" s="26">
        <f t="shared" si="23"/>
        <v>462</v>
      </c>
      <c r="M45" s="26">
        <f t="shared" si="24"/>
        <v>21857.22</v>
      </c>
      <c r="N45" s="28"/>
      <c r="O45" s="24">
        <f t="shared" si="25"/>
        <v>462</v>
      </c>
      <c r="P45" s="29">
        <v>400</v>
      </c>
      <c r="Q45" s="30">
        <v>0</v>
      </c>
      <c r="R45" s="29">
        <v>48</v>
      </c>
      <c r="S45" s="31">
        <v>12</v>
      </c>
      <c r="T45" s="32">
        <v>2</v>
      </c>
      <c r="U45" s="24">
        <f t="shared" si="17"/>
        <v>21857.22</v>
      </c>
    </row>
    <row r="46" spans="1:21" s="5" customFormat="1" outlineLevel="2">
      <c r="A46" s="22">
        <v>35</v>
      </c>
      <c r="B46" s="22">
        <v>30704001001</v>
      </c>
      <c r="C46" s="24" t="s">
        <v>98</v>
      </c>
      <c r="D46" s="80" t="s">
        <v>99</v>
      </c>
      <c r="E46" s="24" t="s">
        <v>100</v>
      </c>
      <c r="F46" s="24">
        <v>1</v>
      </c>
      <c r="G46" s="45">
        <f t="shared" si="18"/>
        <v>380</v>
      </c>
      <c r="H46" s="26">
        <f t="shared" si="19"/>
        <v>600</v>
      </c>
      <c r="I46" s="26">
        <f t="shared" si="20"/>
        <v>20</v>
      </c>
      <c r="J46" s="26">
        <f t="shared" si="21"/>
        <v>0</v>
      </c>
      <c r="K46" s="26">
        <f t="shared" si="22"/>
        <v>0</v>
      </c>
      <c r="L46" s="26">
        <f t="shared" si="23"/>
        <v>1000</v>
      </c>
      <c r="M46" s="26">
        <f t="shared" si="24"/>
        <v>1000</v>
      </c>
      <c r="N46" s="28"/>
      <c r="O46" s="24">
        <f t="shared" si="25"/>
        <v>1000</v>
      </c>
      <c r="P46" s="29">
        <v>400</v>
      </c>
      <c r="Q46" s="30">
        <v>0</v>
      </c>
      <c r="R46" s="29">
        <v>380</v>
      </c>
      <c r="S46" s="31">
        <v>200</v>
      </c>
      <c r="T46" s="32">
        <v>20</v>
      </c>
      <c r="U46" s="24">
        <f t="shared" si="17"/>
        <v>1000</v>
      </c>
    </row>
    <row r="47" spans="1:21" s="5" customFormat="1" outlineLevel="1">
      <c r="A47" s="9"/>
      <c r="B47" s="9"/>
      <c r="C47" s="10" t="s">
        <v>101</v>
      </c>
      <c r="D47" s="79"/>
      <c r="E47" s="10"/>
      <c r="F47" s="10"/>
      <c r="G47" s="10"/>
      <c r="H47" s="10"/>
      <c r="I47" s="10"/>
      <c r="J47" s="10"/>
      <c r="K47" s="10"/>
      <c r="L47" s="10"/>
      <c r="M47" s="10"/>
      <c r="N47" s="8"/>
      <c r="O47" s="10"/>
      <c r="P47" s="10"/>
      <c r="Q47" s="81"/>
      <c r="R47" s="10"/>
      <c r="S47" s="10"/>
      <c r="T47" s="10"/>
      <c r="U47" s="10">
        <f t="shared" si="17"/>
        <v>0</v>
      </c>
    </row>
    <row r="48" spans="1:21" s="5" customFormat="1" ht="84" customHeight="1" outlineLevel="2">
      <c r="A48" s="22">
        <v>36</v>
      </c>
      <c r="B48" s="22">
        <v>31001005001</v>
      </c>
      <c r="C48" s="24" t="s">
        <v>102</v>
      </c>
      <c r="D48" s="80" t="s">
        <v>103</v>
      </c>
      <c r="E48" s="24" t="s">
        <v>43</v>
      </c>
      <c r="F48" s="24">
        <v>24.46</v>
      </c>
      <c r="G48" s="45">
        <f t="shared" ref="G48:G59" si="26">R48*$R$3</f>
        <v>9.64</v>
      </c>
      <c r="H48" s="26">
        <f t="shared" ref="H48:H59" si="27">P48*(1+Q48)*$P$3+S48*$S$3</f>
        <v>13.1816</v>
      </c>
      <c r="I48" s="26">
        <f t="shared" ref="I48:I59" si="28">T48*$T$3</f>
        <v>0</v>
      </c>
      <c r="J48" s="26">
        <f t="shared" ref="J48:J59" si="29">(G48+H48+I48)*$J$3</f>
        <v>0</v>
      </c>
      <c r="K48" s="26">
        <f t="shared" ref="K48:K59" si="30">(G48+H48+I48+J48)*$K$3</f>
        <v>0</v>
      </c>
      <c r="L48" s="26">
        <f t="shared" ref="L48:L59" si="31">G48+H48+I48+J48+K48</f>
        <v>22.8216</v>
      </c>
      <c r="M48" s="26">
        <f t="shared" ref="M48:M59" si="32">F48*L48</f>
        <v>558.21633599999996</v>
      </c>
      <c r="N48" s="28"/>
      <c r="O48" s="24">
        <f t="shared" ref="O48:O59" si="33">P48*(1+Q48)+R48+S48+T48</f>
        <v>22.8216</v>
      </c>
      <c r="P48" s="29">
        <v>10.72</v>
      </c>
      <c r="Q48" s="30">
        <v>0.03</v>
      </c>
      <c r="R48" s="29">
        <v>9.64</v>
      </c>
      <c r="S48" s="31">
        <v>2.14</v>
      </c>
      <c r="T48" s="32">
        <v>0</v>
      </c>
      <c r="U48" s="24">
        <f t="shared" si="17"/>
        <v>558.21633599999996</v>
      </c>
    </row>
    <row r="49" spans="1:21" s="5" customFormat="1" ht="84" customHeight="1" outlineLevel="2">
      <c r="A49" s="22">
        <v>37</v>
      </c>
      <c r="B49" s="22">
        <v>31001005002</v>
      </c>
      <c r="C49" s="24" t="s">
        <v>102</v>
      </c>
      <c r="D49" s="80" t="s">
        <v>104</v>
      </c>
      <c r="E49" s="24" t="s">
        <v>43</v>
      </c>
      <c r="F49" s="24">
        <v>35.159999999999997</v>
      </c>
      <c r="G49" s="45">
        <f t="shared" si="26"/>
        <v>14.29</v>
      </c>
      <c r="H49" s="26">
        <f t="shared" si="27"/>
        <v>17.763200000000001</v>
      </c>
      <c r="I49" s="26">
        <f t="shared" si="28"/>
        <v>0</v>
      </c>
      <c r="J49" s="26">
        <f t="shared" si="29"/>
        <v>0</v>
      </c>
      <c r="K49" s="26">
        <f t="shared" si="30"/>
        <v>0</v>
      </c>
      <c r="L49" s="26">
        <f t="shared" si="31"/>
        <v>32.053199999999997</v>
      </c>
      <c r="M49" s="26">
        <f t="shared" si="32"/>
        <v>1126.9905120000001</v>
      </c>
      <c r="N49" s="28"/>
      <c r="O49" s="24">
        <f t="shared" si="33"/>
        <v>32.053199999999997</v>
      </c>
      <c r="P49" s="29">
        <v>14.44</v>
      </c>
      <c r="Q49" s="30">
        <v>0.03</v>
      </c>
      <c r="R49" s="29">
        <v>14.29</v>
      </c>
      <c r="S49" s="31">
        <v>2.89</v>
      </c>
      <c r="T49" s="32">
        <v>0</v>
      </c>
      <c r="U49" s="24">
        <f t="shared" si="17"/>
        <v>1126.9905120000001</v>
      </c>
    </row>
    <row r="50" spans="1:21" s="5" customFormat="1" ht="84" customHeight="1" outlineLevel="2">
      <c r="A50" s="22">
        <v>38</v>
      </c>
      <c r="B50" s="22">
        <v>31001005003</v>
      </c>
      <c r="C50" s="24" t="s">
        <v>102</v>
      </c>
      <c r="D50" s="80" t="s">
        <v>105</v>
      </c>
      <c r="E50" s="24" t="s">
        <v>43</v>
      </c>
      <c r="F50" s="24">
        <v>24.46</v>
      </c>
      <c r="G50" s="45">
        <f t="shared" si="26"/>
        <v>19.09</v>
      </c>
      <c r="H50" s="26">
        <f t="shared" si="27"/>
        <v>19.0138</v>
      </c>
      <c r="I50" s="26">
        <f t="shared" si="28"/>
        <v>0</v>
      </c>
      <c r="J50" s="26">
        <f t="shared" si="29"/>
        <v>0</v>
      </c>
      <c r="K50" s="26">
        <f t="shared" si="30"/>
        <v>0</v>
      </c>
      <c r="L50" s="26">
        <f t="shared" si="31"/>
        <v>38.1038</v>
      </c>
      <c r="M50" s="26">
        <f t="shared" si="32"/>
        <v>932.01894800000002</v>
      </c>
      <c r="N50" s="28"/>
      <c r="O50" s="24">
        <f t="shared" si="33"/>
        <v>38.1038</v>
      </c>
      <c r="P50" s="29">
        <v>15.46</v>
      </c>
      <c r="Q50" s="30">
        <v>0.03</v>
      </c>
      <c r="R50" s="29">
        <v>19.09</v>
      </c>
      <c r="S50" s="31">
        <v>3.09</v>
      </c>
      <c r="T50" s="32">
        <v>0</v>
      </c>
      <c r="U50" s="24">
        <f t="shared" si="17"/>
        <v>932.01894800000002</v>
      </c>
    </row>
    <row r="51" spans="1:21" s="5" customFormat="1" ht="84" customHeight="1" outlineLevel="2">
      <c r="A51" s="22">
        <v>39</v>
      </c>
      <c r="B51" s="22">
        <v>31001005004</v>
      </c>
      <c r="C51" s="24" t="s">
        <v>102</v>
      </c>
      <c r="D51" s="80" t="s">
        <v>106</v>
      </c>
      <c r="E51" s="24" t="s">
        <v>43</v>
      </c>
      <c r="F51" s="24">
        <v>16.04</v>
      </c>
      <c r="G51" s="45">
        <f t="shared" si="26"/>
        <v>23.89</v>
      </c>
      <c r="H51" s="26">
        <f t="shared" si="27"/>
        <v>26.496200000000002</v>
      </c>
      <c r="I51" s="26">
        <f t="shared" si="28"/>
        <v>0</v>
      </c>
      <c r="J51" s="26">
        <f t="shared" si="29"/>
        <v>0</v>
      </c>
      <c r="K51" s="26">
        <f t="shared" si="30"/>
        <v>0</v>
      </c>
      <c r="L51" s="26">
        <f t="shared" si="31"/>
        <v>50.386200000000002</v>
      </c>
      <c r="M51" s="26">
        <f t="shared" si="32"/>
        <v>808.19464800000003</v>
      </c>
      <c r="N51" s="28"/>
      <c r="O51" s="24">
        <f t="shared" si="33"/>
        <v>50.386200000000002</v>
      </c>
      <c r="P51" s="29">
        <v>21.54</v>
      </c>
      <c r="Q51" s="30">
        <v>0.03</v>
      </c>
      <c r="R51" s="29">
        <v>23.89</v>
      </c>
      <c r="S51" s="31">
        <v>4.3099999999999996</v>
      </c>
      <c r="T51" s="32">
        <v>0</v>
      </c>
      <c r="U51" s="24">
        <f t="shared" si="17"/>
        <v>808.19464800000003</v>
      </c>
    </row>
    <row r="52" spans="1:21" s="5" customFormat="1" ht="84" customHeight="1" outlineLevel="2">
      <c r="A52" s="22">
        <v>40</v>
      </c>
      <c r="B52" s="22">
        <v>31001005005</v>
      </c>
      <c r="C52" s="24" t="s">
        <v>102</v>
      </c>
      <c r="D52" s="80" t="s">
        <v>107</v>
      </c>
      <c r="E52" s="24" t="s">
        <v>43</v>
      </c>
      <c r="F52" s="24">
        <v>9.3699999999999992</v>
      </c>
      <c r="G52" s="45">
        <f t="shared" si="26"/>
        <v>28.7</v>
      </c>
      <c r="H52" s="26">
        <f t="shared" si="27"/>
        <v>35.8339</v>
      </c>
      <c r="I52" s="26">
        <f t="shared" si="28"/>
        <v>0</v>
      </c>
      <c r="J52" s="26">
        <f t="shared" si="29"/>
        <v>0</v>
      </c>
      <c r="K52" s="26">
        <f t="shared" si="30"/>
        <v>0</v>
      </c>
      <c r="L52" s="26">
        <f t="shared" si="31"/>
        <v>64.533900000000003</v>
      </c>
      <c r="M52" s="26">
        <f t="shared" si="32"/>
        <v>604.68264299999998</v>
      </c>
      <c r="N52" s="28"/>
      <c r="O52" s="24">
        <f t="shared" si="33"/>
        <v>64.533900000000003</v>
      </c>
      <c r="P52" s="29">
        <v>29.13</v>
      </c>
      <c r="Q52" s="30">
        <v>0.03</v>
      </c>
      <c r="R52" s="29">
        <v>28.7</v>
      </c>
      <c r="S52" s="31">
        <v>5.83</v>
      </c>
      <c r="T52" s="32">
        <v>0</v>
      </c>
      <c r="U52" s="24">
        <f t="shared" si="17"/>
        <v>604.68264299999998</v>
      </c>
    </row>
    <row r="53" spans="1:21" s="5" customFormat="1" ht="84" customHeight="1" outlineLevel="2">
      <c r="A53" s="22">
        <v>41</v>
      </c>
      <c r="B53" s="22">
        <v>31001005006</v>
      </c>
      <c r="C53" s="24" t="s">
        <v>102</v>
      </c>
      <c r="D53" s="80" t="s">
        <v>108</v>
      </c>
      <c r="E53" s="24" t="s">
        <v>43</v>
      </c>
      <c r="F53" s="24">
        <v>9.75</v>
      </c>
      <c r="G53" s="45">
        <f t="shared" si="26"/>
        <v>33.340000000000003</v>
      </c>
      <c r="H53" s="26">
        <f t="shared" si="27"/>
        <v>39.646900000000002</v>
      </c>
      <c r="I53" s="26">
        <f t="shared" si="28"/>
        <v>0</v>
      </c>
      <c r="J53" s="26">
        <f t="shared" si="29"/>
        <v>0</v>
      </c>
      <c r="K53" s="26">
        <f t="shared" si="30"/>
        <v>0</v>
      </c>
      <c r="L53" s="26">
        <f t="shared" si="31"/>
        <v>72.986900000000006</v>
      </c>
      <c r="M53" s="26">
        <f t="shared" si="32"/>
        <v>711.62227499999995</v>
      </c>
      <c r="N53" s="28"/>
      <c r="O53" s="24">
        <f t="shared" si="33"/>
        <v>72.986900000000006</v>
      </c>
      <c r="P53" s="29">
        <v>32.229999999999997</v>
      </c>
      <c r="Q53" s="30">
        <v>0.03</v>
      </c>
      <c r="R53" s="29">
        <v>33.340000000000003</v>
      </c>
      <c r="S53" s="31">
        <v>6.45</v>
      </c>
      <c r="T53" s="32">
        <v>0</v>
      </c>
      <c r="U53" s="24">
        <f t="shared" si="17"/>
        <v>711.62227499999995</v>
      </c>
    </row>
    <row r="54" spans="1:21" s="5" customFormat="1" ht="60" customHeight="1" outlineLevel="2">
      <c r="A54" s="22">
        <v>42</v>
      </c>
      <c r="B54" s="22">
        <v>31002001001</v>
      </c>
      <c r="C54" s="24" t="s">
        <v>109</v>
      </c>
      <c r="D54" s="80" t="s">
        <v>110</v>
      </c>
      <c r="E54" s="24" t="s">
        <v>46</v>
      </c>
      <c r="F54" s="24">
        <v>8</v>
      </c>
      <c r="G54" s="45">
        <f t="shared" si="26"/>
        <v>94</v>
      </c>
      <c r="H54" s="26">
        <f t="shared" si="27"/>
        <v>177</v>
      </c>
      <c r="I54" s="26">
        <f t="shared" si="28"/>
        <v>4.7</v>
      </c>
      <c r="J54" s="26">
        <f t="shared" si="29"/>
        <v>0</v>
      </c>
      <c r="K54" s="26">
        <f t="shared" si="30"/>
        <v>0</v>
      </c>
      <c r="L54" s="26">
        <f t="shared" si="31"/>
        <v>275.7</v>
      </c>
      <c r="M54" s="26">
        <f t="shared" si="32"/>
        <v>2205.6</v>
      </c>
      <c r="N54" s="28"/>
      <c r="O54" s="24">
        <f t="shared" si="33"/>
        <v>275.7</v>
      </c>
      <c r="P54" s="29">
        <v>118</v>
      </c>
      <c r="Q54" s="30">
        <v>0</v>
      </c>
      <c r="R54" s="29">
        <v>94</v>
      </c>
      <c r="S54" s="31">
        <v>59</v>
      </c>
      <c r="T54" s="32">
        <v>4.7</v>
      </c>
      <c r="U54" s="24">
        <f t="shared" si="17"/>
        <v>2205.6</v>
      </c>
    </row>
    <row r="55" spans="1:21" s="5" customFormat="1" ht="84" customHeight="1" outlineLevel="2">
      <c r="A55" s="22">
        <v>43</v>
      </c>
      <c r="B55" s="22">
        <v>31001008002</v>
      </c>
      <c r="C55" s="24" t="s">
        <v>111</v>
      </c>
      <c r="D55" s="80" t="s">
        <v>112</v>
      </c>
      <c r="E55" s="24" t="s">
        <v>43</v>
      </c>
      <c r="F55" s="24">
        <v>36.979999999999997</v>
      </c>
      <c r="G55" s="45">
        <f t="shared" si="26"/>
        <v>22.09</v>
      </c>
      <c r="H55" s="26">
        <f t="shared" si="27"/>
        <v>8.76</v>
      </c>
      <c r="I55" s="26">
        <f t="shared" si="28"/>
        <v>0.04</v>
      </c>
      <c r="J55" s="26">
        <f t="shared" si="29"/>
        <v>0</v>
      </c>
      <c r="K55" s="26">
        <f t="shared" si="30"/>
        <v>0</v>
      </c>
      <c r="L55" s="26">
        <f t="shared" si="31"/>
        <v>30.89</v>
      </c>
      <c r="M55" s="26">
        <f t="shared" si="32"/>
        <v>1142.3122000000001</v>
      </c>
      <c r="N55" s="28"/>
      <c r="O55" s="24">
        <f t="shared" si="33"/>
        <v>30.89</v>
      </c>
      <c r="P55" s="29">
        <v>8.5</v>
      </c>
      <c r="Q55" s="30">
        <v>0</v>
      </c>
      <c r="R55" s="29">
        <v>22.09</v>
      </c>
      <c r="S55" s="31">
        <v>0.26</v>
      </c>
      <c r="T55" s="32">
        <v>0.04</v>
      </c>
      <c r="U55" s="24">
        <f t="shared" si="17"/>
        <v>1142.3122000000001</v>
      </c>
    </row>
    <row r="56" spans="1:21" s="5" customFormat="1" ht="84" customHeight="1" outlineLevel="2">
      <c r="A56" s="22">
        <v>44</v>
      </c>
      <c r="B56" s="22">
        <v>31001008003</v>
      </c>
      <c r="C56" s="24" t="s">
        <v>111</v>
      </c>
      <c r="D56" s="80" t="s">
        <v>113</v>
      </c>
      <c r="E56" s="24" t="s">
        <v>43</v>
      </c>
      <c r="F56" s="24">
        <v>7.5</v>
      </c>
      <c r="G56" s="45">
        <f t="shared" si="26"/>
        <v>23.68</v>
      </c>
      <c r="H56" s="26">
        <f t="shared" si="27"/>
        <v>11.86</v>
      </c>
      <c r="I56" s="26">
        <f t="shared" si="28"/>
        <v>0.05</v>
      </c>
      <c r="J56" s="26">
        <f t="shared" si="29"/>
        <v>0</v>
      </c>
      <c r="K56" s="26">
        <f t="shared" si="30"/>
        <v>0</v>
      </c>
      <c r="L56" s="26">
        <f t="shared" si="31"/>
        <v>35.590000000000003</v>
      </c>
      <c r="M56" s="26">
        <f t="shared" si="32"/>
        <v>266.92500000000001</v>
      </c>
      <c r="N56" s="28"/>
      <c r="O56" s="24">
        <f t="shared" si="33"/>
        <v>35.590000000000003</v>
      </c>
      <c r="P56" s="29">
        <v>11.59</v>
      </c>
      <c r="Q56" s="30">
        <v>0</v>
      </c>
      <c r="R56" s="29">
        <v>23.68</v>
      </c>
      <c r="S56" s="31">
        <v>0.27</v>
      </c>
      <c r="T56" s="32">
        <v>0.05</v>
      </c>
      <c r="U56" s="24">
        <f t="shared" si="17"/>
        <v>266.92500000000001</v>
      </c>
    </row>
    <row r="57" spans="1:21" s="5" customFormat="1" ht="84" customHeight="1" outlineLevel="2">
      <c r="A57" s="22">
        <v>45</v>
      </c>
      <c r="B57" s="22">
        <v>31001008004</v>
      </c>
      <c r="C57" s="24" t="s">
        <v>111</v>
      </c>
      <c r="D57" s="80" t="s">
        <v>114</v>
      </c>
      <c r="E57" s="24" t="s">
        <v>43</v>
      </c>
      <c r="F57" s="24">
        <v>9.32</v>
      </c>
      <c r="G57" s="45">
        <f t="shared" si="26"/>
        <v>23.68</v>
      </c>
      <c r="H57" s="26">
        <f t="shared" si="27"/>
        <v>20.440000000000001</v>
      </c>
      <c r="I57" s="26">
        <f t="shared" si="28"/>
        <v>0.06</v>
      </c>
      <c r="J57" s="26">
        <f t="shared" si="29"/>
        <v>0</v>
      </c>
      <c r="K57" s="26">
        <f t="shared" si="30"/>
        <v>0</v>
      </c>
      <c r="L57" s="26">
        <f t="shared" si="31"/>
        <v>44.18</v>
      </c>
      <c r="M57" s="26">
        <f t="shared" si="32"/>
        <v>411.75760000000002</v>
      </c>
      <c r="N57" s="28"/>
      <c r="O57" s="24">
        <f t="shared" si="33"/>
        <v>44.18</v>
      </c>
      <c r="P57" s="29">
        <v>20.12</v>
      </c>
      <c r="Q57" s="30">
        <v>0</v>
      </c>
      <c r="R57" s="29">
        <v>23.68</v>
      </c>
      <c r="S57" s="31">
        <v>0.32</v>
      </c>
      <c r="T57" s="32">
        <v>0.06</v>
      </c>
      <c r="U57" s="24">
        <f t="shared" si="17"/>
        <v>411.75760000000002</v>
      </c>
    </row>
    <row r="58" spans="1:21" s="5" customFormat="1" ht="72" customHeight="1" outlineLevel="2">
      <c r="A58" s="22">
        <v>46</v>
      </c>
      <c r="B58" s="22">
        <v>31208002001</v>
      </c>
      <c r="C58" s="24" t="s">
        <v>115</v>
      </c>
      <c r="D58" s="80" t="s">
        <v>116</v>
      </c>
      <c r="E58" s="24" t="s">
        <v>117</v>
      </c>
      <c r="F58" s="24">
        <v>0.27</v>
      </c>
      <c r="G58" s="45">
        <f t="shared" si="26"/>
        <v>120</v>
      </c>
      <c r="H58" s="26">
        <f t="shared" si="27"/>
        <v>410</v>
      </c>
      <c r="I58" s="26">
        <f t="shared" si="28"/>
        <v>5</v>
      </c>
      <c r="J58" s="26">
        <f t="shared" si="29"/>
        <v>0</v>
      </c>
      <c r="K58" s="26">
        <f t="shared" si="30"/>
        <v>0</v>
      </c>
      <c r="L58" s="26">
        <f t="shared" si="31"/>
        <v>535</v>
      </c>
      <c r="M58" s="26">
        <f t="shared" si="32"/>
        <v>144.44999999999999</v>
      </c>
      <c r="N58" s="28"/>
      <c r="O58" s="24">
        <f t="shared" si="33"/>
        <v>535</v>
      </c>
      <c r="P58" s="29">
        <v>400</v>
      </c>
      <c r="Q58" s="30">
        <v>0</v>
      </c>
      <c r="R58" s="29">
        <v>120</v>
      </c>
      <c r="S58" s="31">
        <v>10</v>
      </c>
      <c r="T58" s="32">
        <v>5</v>
      </c>
      <c r="U58" s="24">
        <f t="shared" si="17"/>
        <v>144.44999999999999</v>
      </c>
    </row>
    <row r="59" spans="1:21" s="5" customFormat="1" ht="72" customHeight="1" outlineLevel="2">
      <c r="A59" s="22">
        <v>47</v>
      </c>
      <c r="B59" s="22">
        <v>31208002002</v>
      </c>
      <c r="C59" s="24" t="s">
        <v>115</v>
      </c>
      <c r="D59" s="80" t="s">
        <v>118</v>
      </c>
      <c r="E59" s="24" t="s">
        <v>117</v>
      </c>
      <c r="F59" s="24">
        <v>0.11</v>
      </c>
      <c r="G59" s="45">
        <f t="shared" si="26"/>
        <v>120</v>
      </c>
      <c r="H59" s="26">
        <f t="shared" si="27"/>
        <v>410</v>
      </c>
      <c r="I59" s="26">
        <f t="shared" si="28"/>
        <v>5</v>
      </c>
      <c r="J59" s="26">
        <f t="shared" si="29"/>
        <v>0</v>
      </c>
      <c r="K59" s="26">
        <f t="shared" si="30"/>
        <v>0</v>
      </c>
      <c r="L59" s="26">
        <f t="shared" si="31"/>
        <v>535</v>
      </c>
      <c r="M59" s="26">
        <f t="shared" si="32"/>
        <v>58.85</v>
      </c>
      <c r="N59" s="28"/>
      <c r="O59" s="24">
        <f t="shared" si="33"/>
        <v>535</v>
      </c>
      <c r="P59" s="29">
        <v>400</v>
      </c>
      <c r="Q59" s="30">
        <v>0</v>
      </c>
      <c r="R59" s="29">
        <v>120</v>
      </c>
      <c r="S59" s="31">
        <v>10</v>
      </c>
      <c r="T59" s="32">
        <v>5</v>
      </c>
      <c r="U59" s="24">
        <f t="shared" si="17"/>
        <v>58.85</v>
      </c>
    </row>
    <row r="60" spans="1:21" ht="21" customHeight="1">
      <c r="A60" s="33"/>
      <c r="B60" s="34" t="s">
        <v>119</v>
      </c>
      <c r="C60" s="34"/>
      <c r="D60" s="34"/>
      <c r="E60" s="35" t="s">
        <v>120</v>
      </c>
      <c r="F60" s="35"/>
      <c r="G60" s="54"/>
      <c r="H60" s="36"/>
      <c r="I60" s="36"/>
      <c r="J60" s="36"/>
      <c r="K60" s="36"/>
      <c r="L60" s="36"/>
      <c r="M60" s="37">
        <f>SUM(M4:M59)</f>
        <v>244395.411594</v>
      </c>
      <c r="N60" s="82"/>
      <c r="O60" s="36"/>
      <c r="P60" s="36"/>
      <c r="Q60" s="83"/>
      <c r="R60" s="27"/>
      <c r="S60" s="10"/>
      <c r="T60" s="10"/>
      <c r="U60" s="10"/>
    </row>
    <row r="61" spans="1:21" ht="21" customHeight="1">
      <c r="A61" s="33"/>
      <c r="B61" s="34" t="s">
        <v>121</v>
      </c>
      <c r="C61" s="34"/>
      <c r="D61" s="34"/>
      <c r="E61" s="35" t="s">
        <v>120</v>
      </c>
      <c r="F61" s="35"/>
      <c r="G61" s="54"/>
      <c r="H61" s="36"/>
      <c r="I61" s="36"/>
      <c r="J61" s="36"/>
      <c r="K61" s="36"/>
      <c r="L61" s="36"/>
      <c r="M61" s="37">
        <f>$M$60*0.09</f>
        <v>21995.58704346</v>
      </c>
      <c r="N61" s="82"/>
      <c r="O61" s="36"/>
      <c r="P61" s="36"/>
      <c r="Q61" s="83"/>
      <c r="R61" s="27"/>
      <c r="S61" s="10"/>
      <c r="T61" s="10"/>
      <c r="U61" s="10"/>
    </row>
    <row r="62" spans="1:21" ht="21" customHeight="1">
      <c r="A62" s="33"/>
      <c r="B62" s="34" t="s">
        <v>3</v>
      </c>
      <c r="C62" s="34"/>
      <c r="D62" s="34"/>
      <c r="E62" s="35" t="s">
        <v>120</v>
      </c>
      <c r="F62" s="35"/>
      <c r="G62" s="54"/>
      <c r="H62" s="36"/>
      <c r="I62" s="36"/>
      <c r="J62" s="36"/>
      <c r="K62" s="36"/>
      <c r="L62" s="36"/>
      <c r="M62" s="37">
        <f>$M$60+$M$61</f>
        <v>266390.99863746</v>
      </c>
      <c r="N62" s="82"/>
      <c r="O62" s="36"/>
      <c r="P62" s="36"/>
      <c r="Q62" s="83"/>
      <c r="R62" s="27"/>
      <c r="S62" s="10"/>
      <c r="T62" s="10"/>
      <c r="U62" s="10"/>
    </row>
  </sheetData>
  <autoFilter ref="A2:U62" xr:uid="{00000000-0009-0000-0000-000001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7" orientation="landscape" r:id="rId1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41"/>
  <sheetViews>
    <sheetView view="pageBreakPreview" zoomScaleNormal="100" workbookViewId="0">
      <pane xSplit="5" ySplit="3" topLeftCell="F130" activePane="bottomRight" state="frozen"/>
      <selection pane="topRight"/>
      <selection pane="bottomLeft"/>
      <selection pane="bottomRight" activeCell="P135" sqref="P135"/>
    </sheetView>
  </sheetViews>
  <sheetFormatPr defaultColWidth="9" defaultRowHeight="12" outlineLevelRow="2"/>
  <cols>
    <col min="1" max="1" width="7.125" style="5" customWidth="1"/>
    <col min="2" max="2" width="14.375" style="5" customWidth="1"/>
    <col min="3" max="3" width="19.375" style="5" customWidth="1"/>
    <col min="4" max="4" width="35.75" style="5" customWidth="1"/>
    <col min="5" max="5" width="6.625" style="5" customWidth="1"/>
    <col min="6" max="6" width="10.75" style="62" customWidth="1"/>
    <col min="7" max="12" width="9" style="62" customWidth="1"/>
    <col min="13" max="13" width="11.125" style="62" customWidth="1"/>
    <col min="14" max="16" width="9" style="62" customWidth="1"/>
    <col min="17" max="17" width="9" style="63" customWidth="1"/>
    <col min="18" max="21" width="9" style="62" customWidth="1"/>
    <col min="22" max="32" width="9" style="61" customWidth="1"/>
    <col min="33" max="33" width="9" style="7" customWidth="1"/>
    <col min="34" max="16384" width="9" style="7"/>
  </cols>
  <sheetData>
    <row r="1" spans="1:32" ht="18.75" customHeight="1">
      <c r="A1" s="98" t="s">
        <v>122</v>
      </c>
      <c r="B1" s="109"/>
      <c r="C1" s="109"/>
      <c r="D1" s="109"/>
      <c r="E1" s="109"/>
      <c r="F1" s="110"/>
      <c r="G1" s="110"/>
      <c r="H1" s="110"/>
      <c r="I1" s="110"/>
      <c r="J1" s="110"/>
      <c r="K1" s="110"/>
      <c r="L1" s="110"/>
      <c r="M1" s="110"/>
      <c r="N1" s="8"/>
      <c r="O1" s="111" t="s">
        <v>16</v>
      </c>
      <c r="P1" s="112"/>
      <c r="Q1" s="112"/>
      <c r="R1" s="112"/>
      <c r="S1" s="112"/>
      <c r="T1" s="112"/>
      <c r="U1" s="113"/>
    </row>
    <row r="2" spans="1:32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0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32" s="5" customForma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0"/>
      <c r="O3" s="16"/>
      <c r="P3" s="16">
        <f>架空层安装工程!$P$3</f>
        <v>1</v>
      </c>
      <c r="Q3" s="16"/>
      <c r="R3" s="16">
        <f>架空层安装工程!$R$3</f>
        <v>1</v>
      </c>
      <c r="S3" s="16">
        <f>架空层安装工程!$S$3</f>
        <v>1</v>
      </c>
      <c r="T3" s="16">
        <f>架空层安装工程!$T$3</f>
        <v>1</v>
      </c>
      <c r="U3" s="16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</row>
    <row r="4" spans="1:32" s="5" customFormat="1">
      <c r="A4" s="9"/>
      <c r="B4" s="17" t="s">
        <v>2</v>
      </c>
      <c r="C4" s="17"/>
      <c r="D4" s="17"/>
      <c r="E4" s="9"/>
      <c r="F4" s="10"/>
      <c r="G4" s="59"/>
      <c r="H4" s="59"/>
      <c r="I4" s="59"/>
      <c r="J4" s="59"/>
      <c r="K4" s="59"/>
      <c r="L4" s="59"/>
      <c r="M4" s="59"/>
      <c r="N4" s="59"/>
      <c r="O4" s="59"/>
      <c r="P4" s="59"/>
      <c r="Q4" s="60"/>
      <c r="R4" s="59"/>
      <c r="S4" s="59"/>
      <c r="T4" s="59"/>
      <c r="U4" s="59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 spans="1:32" s="5" customFormat="1">
      <c r="A5" s="9"/>
      <c r="B5" s="17"/>
      <c r="C5" s="17" t="s">
        <v>34</v>
      </c>
      <c r="D5" s="17"/>
      <c r="E5" s="9"/>
      <c r="F5" s="10"/>
      <c r="G5" s="59"/>
      <c r="H5" s="59"/>
      <c r="I5" s="59"/>
      <c r="J5" s="59"/>
      <c r="K5" s="59"/>
      <c r="L5" s="59"/>
      <c r="M5" s="59"/>
      <c r="N5" s="59"/>
      <c r="O5" s="59"/>
      <c r="P5" s="59"/>
      <c r="Q5" s="60"/>
      <c r="R5" s="59"/>
      <c r="S5" s="59"/>
      <c r="T5" s="59"/>
      <c r="U5" s="59"/>
      <c r="V5" s="62"/>
      <c r="W5" s="62"/>
      <c r="X5" s="62"/>
      <c r="Y5" s="62"/>
      <c r="Z5" s="62"/>
      <c r="AA5" s="62"/>
      <c r="AB5" s="62"/>
      <c r="AC5" s="62"/>
      <c r="AD5" s="62"/>
      <c r="AE5" s="62"/>
      <c r="AF5" s="62"/>
    </row>
    <row r="6" spans="1:32" s="5" customFormat="1" outlineLevel="1">
      <c r="A6" s="9"/>
      <c r="B6" s="17"/>
      <c r="C6" s="17" t="s">
        <v>123</v>
      </c>
      <c r="D6" s="17"/>
      <c r="E6" s="9"/>
      <c r="F6" s="10"/>
      <c r="G6" s="59"/>
      <c r="H6" s="59"/>
      <c r="I6" s="59"/>
      <c r="J6" s="59"/>
      <c r="K6" s="59"/>
      <c r="L6" s="59"/>
      <c r="M6" s="59"/>
      <c r="N6" s="59"/>
      <c r="O6" s="59"/>
      <c r="P6" s="59"/>
      <c r="Q6" s="60"/>
      <c r="R6" s="59"/>
      <c r="S6" s="59"/>
      <c r="T6" s="59"/>
      <c r="U6" s="59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</row>
    <row r="7" spans="1:32" s="5" customFormat="1" ht="72" customHeight="1" outlineLevel="2">
      <c r="A7" s="22">
        <v>1</v>
      </c>
      <c r="B7" s="23">
        <v>30413002001</v>
      </c>
      <c r="C7" s="23" t="s">
        <v>124</v>
      </c>
      <c r="D7" s="23" t="s">
        <v>125</v>
      </c>
      <c r="E7" s="22" t="s">
        <v>38</v>
      </c>
      <c r="F7" s="24">
        <v>68</v>
      </c>
      <c r="G7" s="64">
        <f t="shared" ref="G7:G30" si="0">R7*$R$3</f>
        <v>115</v>
      </c>
      <c r="H7" s="65">
        <f t="shared" ref="H7:H30" si="1">P7*(1+Q7)*$P$3+S7*$S$3</f>
        <v>137</v>
      </c>
      <c r="I7" s="65">
        <f t="shared" ref="I7:I30" si="2">T7*$T$3</f>
        <v>4</v>
      </c>
      <c r="J7" s="65">
        <f t="shared" ref="J7:J30" si="3">(G7+H7+I7)*$J$3</f>
        <v>0</v>
      </c>
      <c r="K7" s="65">
        <f t="shared" ref="K7:K30" si="4">(G7+H7+I7+J7)*$K$3</f>
        <v>0</v>
      </c>
      <c r="L7" s="65">
        <f t="shared" ref="L7:L30" si="5">G7+H7+I7+J7+K7</f>
        <v>256</v>
      </c>
      <c r="M7" s="65">
        <f t="shared" ref="M7:M30" si="6">F7*L7</f>
        <v>17408</v>
      </c>
      <c r="N7" s="28"/>
      <c r="O7" s="24">
        <f t="shared" ref="O7:O30" si="7">P7*(1+Q7)+R7+S7+T7</f>
        <v>256</v>
      </c>
      <c r="P7" s="29">
        <v>135</v>
      </c>
      <c r="Q7" s="30">
        <v>0</v>
      </c>
      <c r="R7" s="29">
        <v>115</v>
      </c>
      <c r="S7" s="31">
        <v>2</v>
      </c>
      <c r="T7" s="32">
        <v>4</v>
      </c>
      <c r="U7" s="24">
        <f t="shared" ref="U7:U30" si="8">F7*O7</f>
        <v>17408</v>
      </c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</row>
    <row r="8" spans="1:32" s="5" customFormat="1" ht="72" customHeight="1" outlineLevel="2">
      <c r="A8" s="22">
        <v>2</v>
      </c>
      <c r="B8" s="23">
        <v>30413002002</v>
      </c>
      <c r="C8" s="23" t="s">
        <v>126</v>
      </c>
      <c r="D8" s="23" t="s">
        <v>127</v>
      </c>
      <c r="E8" s="22" t="s">
        <v>38</v>
      </c>
      <c r="F8" s="24">
        <v>16</v>
      </c>
      <c r="G8" s="64">
        <f t="shared" si="0"/>
        <v>18</v>
      </c>
      <c r="H8" s="65">
        <f t="shared" si="1"/>
        <v>126</v>
      </c>
      <c r="I8" s="65">
        <f t="shared" si="2"/>
        <v>8</v>
      </c>
      <c r="J8" s="65">
        <f t="shared" si="3"/>
        <v>0</v>
      </c>
      <c r="K8" s="65">
        <f t="shared" si="4"/>
        <v>0</v>
      </c>
      <c r="L8" s="65">
        <f t="shared" si="5"/>
        <v>152</v>
      </c>
      <c r="M8" s="65">
        <f t="shared" si="6"/>
        <v>2432</v>
      </c>
      <c r="N8" s="28"/>
      <c r="O8" s="24">
        <f t="shared" si="7"/>
        <v>152</v>
      </c>
      <c r="P8" s="29">
        <v>120</v>
      </c>
      <c r="Q8" s="30">
        <v>0</v>
      </c>
      <c r="R8" s="29">
        <v>18</v>
      </c>
      <c r="S8" s="31">
        <v>6</v>
      </c>
      <c r="T8" s="32">
        <v>8</v>
      </c>
      <c r="U8" s="24">
        <f t="shared" si="8"/>
        <v>2432</v>
      </c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1:32" s="5" customFormat="1" ht="72" customHeight="1" outlineLevel="2">
      <c r="A9" s="22">
        <v>3</v>
      </c>
      <c r="B9" s="23">
        <v>30413002003</v>
      </c>
      <c r="C9" s="23" t="s">
        <v>128</v>
      </c>
      <c r="D9" s="23" t="s">
        <v>129</v>
      </c>
      <c r="E9" s="22" t="s">
        <v>38</v>
      </c>
      <c r="F9" s="24">
        <v>156</v>
      </c>
      <c r="G9" s="64">
        <f t="shared" si="0"/>
        <v>115</v>
      </c>
      <c r="H9" s="65">
        <f t="shared" si="1"/>
        <v>137</v>
      </c>
      <c r="I9" s="65">
        <f t="shared" si="2"/>
        <v>4</v>
      </c>
      <c r="J9" s="65">
        <f t="shared" si="3"/>
        <v>0</v>
      </c>
      <c r="K9" s="65">
        <f t="shared" si="4"/>
        <v>0</v>
      </c>
      <c r="L9" s="65">
        <f t="shared" si="5"/>
        <v>256</v>
      </c>
      <c r="M9" s="65">
        <f t="shared" si="6"/>
        <v>39936</v>
      </c>
      <c r="N9" s="28"/>
      <c r="O9" s="24">
        <f t="shared" si="7"/>
        <v>256</v>
      </c>
      <c r="P9" s="29">
        <v>135</v>
      </c>
      <c r="Q9" s="30">
        <v>0</v>
      </c>
      <c r="R9" s="29">
        <v>115</v>
      </c>
      <c r="S9" s="31">
        <v>2</v>
      </c>
      <c r="T9" s="32">
        <v>4</v>
      </c>
      <c r="U9" s="24">
        <f t="shared" si="8"/>
        <v>39936</v>
      </c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</row>
    <row r="10" spans="1:32" s="5" customFormat="1" ht="72" customHeight="1" outlineLevel="2">
      <c r="A10" s="22">
        <v>4</v>
      </c>
      <c r="B10" s="23">
        <v>30413002004</v>
      </c>
      <c r="C10" s="23" t="s">
        <v>130</v>
      </c>
      <c r="D10" s="23" t="s">
        <v>131</v>
      </c>
      <c r="E10" s="22" t="s">
        <v>38</v>
      </c>
      <c r="F10" s="24">
        <v>21</v>
      </c>
      <c r="G10" s="64">
        <f t="shared" si="0"/>
        <v>115</v>
      </c>
      <c r="H10" s="65">
        <f t="shared" si="1"/>
        <v>137</v>
      </c>
      <c r="I10" s="65">
        <f t="shared" si="2"/>
        <v>4</v>
      </c>
      <c r="J10" s="65">
        <f t="shared" si="3"/>
        <v>0</v>
      </c>
      <c r="K10" s="65">
        <f t="shared" si="4"/>
        <v>0</v>
      </c>
      <c r="L10" s="65">
        <f t="shared" si="5"/>
        <v>256</v>
      </c>
      <c r="M10" s="65">
        <f t="shared" si="6"/>
        <v>5376</v>
      </c>
      <c r="N10" s="28"/>
      <c r="O10" s="24">
        <f t="shared" si="7"/>
        <v>256</v>
      </c>
      <c r="P10" s="29">
        <v>135</v>
      </c>
      <c r="Q10" s="30">
        <v>0</v>
      </c>
      <c r="R10" s="29">
        <v>115</v>
      </c>
      <c r="S10" s="31">
        <v>2</v>
      </c>
      <c r="T10" s="32">
        <v>4</v>
      </c>
      <c r="U10" s="24">
        <f t="shared" si="8"/>
        <v>5376</v>
      </c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</row>
    <row r="11" spans="1:32" s="5" customFormat="1" ht="72" customHeight="1" outlineLevel="2">
      <c r="A11" s="22">
        <v>5</v>
      </c>
      <c r="B11" s="23">
        <v>30413002005</v>
      </c>
      <c r="C11" s="23" t="s">
        <v>132</v>
      </c>
      <c r="D11" s="23" t="s">
        <v>133</v>
      </c>
      <c r="E11" s="22" t="s">
        <v>38</v>
      </c>
      <c r="F11" s="24">
        <v>4</v>
      </c>
      <c r="G11" s="64">
        <f t="shared" si="0"/>
        <v>115</v>
      </c>
      <c r="H11" s="65">
        <f t="shared" si="1"/>
        <v>137</v>
      </c>
      <c r="I11" s="65">
        <f t="shared" si="2"/>
        <v>4</v>
      </c>
      <c r="J11" s="65">
        <f t="shared" si="3"/>
        <v>0</v>
      </c>
      <c r="K11" s="65">
        <f t="shared" si="4"/>
        <v>0</v>
      </c>
      <c r="L11" s="65">
        <f t="shared" si="5"/>
        <v>256</v>
      </c>
      <c r="M11" s="65">
        <f t="shared" si="6"/>
        <v>1024</v>
      </c>
      <c r="N11" s="28"/>
      <c r="O11" s="24">
        <f t="shared" si="7"/>
        <v>256</v>
      </c>
      <c r="P11" s="29">
        <v>135</v>
      </c>
      <c r="Q11" s="30">
        <v>0</v>
      </c>
      <c r="R11" s="29">
        <v>115</v>
      </c>
      <c r="S11" s="31">
        <v>2</v>
      </c>
      <c r="T11" s="32">
        <v>4</v>
      </c>
      <c r="U11" s="24">
        <f t="shared" si="8"/>
        <v>1024</v>
      </c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</row>
    <row r="12" spans="1:32" s="5" customFormat="1" ht="72" customHeight="1" outlineLevel="2">
      <c r="A12" s="22">
        <v>6</v>
      </c>
      <c r="B12" s="23">
        <v>30413002006</v>
      </c>
      <c r="C12" s="23" t="s">
        <v>134</v>
      </c>
      <c r="D12" s="23" t="s">
        <v>135</v>
      </c>
      <c r="E12" s="22" t="s">
        <v>38</v>
      </c>
      <c r="F12" s="24">
        <v>2</v>
      </c>
      <c r="G12" s="64">
        <f t="shared" si="0"/>
        <v>115</v>
      </c>
      <c r="H12" s="65">
        <f t="shared" si="1"/>
        <v>137</v>
      </c>
      <c r="I12" s="65">
        <f t="shared" si="2"/>
        <v>4</v>
      </c>
      <c r="J12" s="65">
        <f t="shared" si="3"/>
        <v>0</v>
      </c>
      <c r="K12" s="65">
        <f t="shared" si="4"/>
        <v>0</v>
      </c>
      <c r="L12" s="65">
        <f t="shared" si="5"/>
        <v>256</v>
      </c>
      <c r="M12" s="65">
        <f t="shared" si="6"/>
        <v>512</v>
      </c>
      <c r="N12" s="28"/>
      <c r="O12" s="24">
        <f t="shared" si="7"/>
        <v>256</v>
      </c>
      <c r="P12" s="29">
        <v>135</v>
      </c>
      <c r="Q12" s="30">
        <v>0</v>
      </c>
      <c r="R12" s="29">
        <v>115</v>
      </c>
      <c r="S12" s="31">
        <v>2</v>
      </c>
      <c r="T12" s="32">
        <v>4</v>
      </c>
      <c r="U12" s="24">
        <f t="shared" si="8"/>
        <v>512</v>
      </c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</row>
    <row r="13" spans="1:32" s="5" customFormat="1" ht="72" customHeight="1" outlineLevel="2">
      <c r="A13" s="22">
        <v>7</v>
      </c>
      <c r="B13" s="23">
        <v>30413002007</v>
      </c>
      <c r="C13" s="23" t="s">
        <v>136</v>
      </c>
      <c r="D13" s="23" t="s">
        <v>137</v>
      </c>
      <c r="E13" s="22" t="s">
        <v>38</v>
      </c>
      <c r="F13" s="24">
        <v>11</v>
      </c>
      <c r="G13" s="64">
        <f t="shared" si="0"/>
        <v>115</v>
      </c>
      <c r="H13" s="65">
        <f t="shared" si="1"/>
        <v>137</v>
      </c>
      <c r="I13" s="65">
        <f t="shared" si="2"/>
        <v>4</v>
      </c>
      <c r="J13" s="65">
        <f t="shared" si="3"/>
        <v>0</v>
      </c>
      <c r="K13" s="65">
        <f t="shared" si="4"/>
        <v>0</v>
      </c>
      <c r="L13" s="65">
        <f t="shared" si="5"/>
        <v>256</v>
      </c>
      <c r="M13" s="65">
        <f t="shared" si="6"/>
        <v>2816</v>
      </c>
      <c r="N13" s="28"/>
      <c r="O13" s="24">
        <f t="shared" si="7"/>
        <v>256</v>
      </c>
      <c r="P13" s="29">
        <v>135</v>
      </c>
      <c r="Q13" s="30">
        <v>0</v>
      </c>
      <c r="R13" s="29">
        <v>115</v>
      </c>
      <c r="S13" s="31">
        <v>2</v>
      </c>
      <c r="T13" s="32">
        <v>4</v>
      </c>
      <c r="U13" s="24">
        <f t="shared" si="8"/>
        <v>2816</v>
      </c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</row>
    <row r="14" spans="1:32" s="5" customFormat="1" ht="72" customHeight="1" outlineLevel="2">
      <c r="A14" s="22">
        <v>8</v>
      </c>
      <c r="B14" s="23">
        <v>30413002008</v>
      </c>
      <c r="C14" s="23" t="s">
        <v>138</v>
      </c>
      <c r="D14" s="23" t="s">
        <v>139</v>
      </c>
      <c r="E14" s="22" t="s">
        <v>38</v>
      </c>
      <c r="F14" s="24">
        <v>7</v>
      </c>
      <c r="G14" s="64">
        <f t="shared" si="0"/>
        <v>115</v>
      </c>
      <c r="H14" s="65">
        <f t="shared" si="1"/>
        <v>137</v>
      </c>
      <c r="I14" s="65">
        <f t="shared" si="2"/>
        <v>4</v>
      </c>
      <c r="J14" s="65">
        <f t="shared" si="3"/>
        <v>0</v>
      </c>
      <c r="K14" s="65">
        <f t="shared" si="4"/>
        <v>0</v>
      </c>
      <c r="L14" s="65">
        <f t="shared" si="5"/>
        <v>256</v>
      </c>
      <c r="M14" s="65">
        <f t="shared" si="6"/>
        <v>1792</v>
      </c>
      <c r="N14" s="28"/>
      <c r="O14" s="24">
        <f t="shared" si="7"/>
        <v>256</v>
      </c>
      <c r="P14" s="29">
        <v>135</v>
      </c>
      <c r="Q14" s="30">
        <v>0</v>
      </c>
      <c r="R14" s="29">
        <v>115</v>
      </c>
      <c r="S14" s="31">
        <v>2</v>
      </c>
      <c r="T14" s="32">
        <v>4</v>
      </c>
      <c r="U14" s="24">
        <f t="shared" si="8"/>
        <v>1792</v>
      </c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</row>
    <row r="15" spans="1:32" s="5" customFormat="1" ht="72" customHeight="1" outlineLevel="2">
      <c r="A15" s="22">
        <v>9</v>
      </c>
      <c r="B15" s="23">
        <v>30413002009</v>
      </c>
      <c r="C15" s="23" t="s">
        <v>140</v>
      </c>
      <c r="D15" s="23" t="s">
        <v>141</v>
      </c>
      <c r="E15" s="22" t="s">
        <v>38</v>
      </c>
      <c r="F15" s="24">
        <v>20</v>
      </c>
      <c r="G15" s="64">
        <f t="shared" si="0"/>
        <v>115</v>
      </c>
      <c r="H15" s="65">
        <f t="shared" si="1"/>
        <v>137</v>
      </c>
      <c r="I15" s="65">
        <f t="shared" si="2"/>
        <v>4</v>
      </c>
      <c r="J15" s="65">
        <f t="shared" si="3"/>
        <v>0</v>
      </c>
      <c r="K15" s="65">
        <f t="shared" si="4"/>
        <v>0</v>
      </c>
      <c r="L15" s="65">
        <f t="shared" si="5"/>
        <v>256</v>
      </c>
      <c r="M15" s="65">
        <f t="shared" si="6"/>
        <v>5120</v>
      </c>
      <c r="N15" s="28"/>
      <c r="O15" s="24">
        <f t="shared" si="7"/>
        <v>256</v>
      </c>
      <c r="P15" s="29">
        <v>135</v>
      </c>
      <c r="Q15" s="30">
        <v>0</v>
      </c>
      <c r="R15" s="29">
        <v>115</v>
      </c>
      <c r="S15" s="31">
        <v>2</v>
      </c>
      <c r="T15" s="32">
        <v>4</v>
      </c>
      <c r="U15" s="24">
        <f t="shared" si="8"/>
        <v>5120</v>
      </c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</row>
    <row r="16" spans="1:32" s="5" customFormat="1" ht="72" customHeight="1" outlineLevel="2">
      <c r="A16" s="22">
        <v>10</v>
      </c>
      <c r="B16" s="23">
        <v>30413001001</v>
      </c>
      <c r="C16" s="23" t="s">
        <v>142</v>
      </c>
      <c r="D16" s="23" t="s">
        <v>143</v>
      </c>
      <c r="E16" s="22" t="s">
        <v>38</v>
      </c>
      <c r="F16" s="24">
        <v>7</v>
      </c>
      <c r="G16" s="64">
        <f t="shared" si="0"/>
        <v>18</v>
      </c>
      <c r="H16" s="65">
        <f t="shared" si="1"/>
        <v>126</v>
      </c>
      <c r="I16" s="65">
        <f t="shared" si="2"/>
        <v>8</v>
      </c>
      <c r="J16" s="65">
        <f t="shared" si="3"/>
        <v>0</v>
      </c>
      <c r="K16" s="65">
        <f t="shared" si="4"/>
        <v>0</v>
      </c>
      <c r="L16" s="65">
        <f t="shared" si="5"/>
        <v>152</v>
      </c>
      <c r="M16" s="65">
        <f t="shared" si="6"/>
        <v>1064</v>
      </c>
      <c r="N16" s="28"/>
      <c r="O16" s="24">
        <f t="shared" si="7"/>
        <v>152</v>
      </c>
      <c r="P16" s="29">
        <v>120</v>
      </c>
      <c r="Q16" s="30">
        <v>0</v>
      </c>
      <c r="R16" s="29">
        <v>18</v>
      </c>
      <c r="S16" s="31">
        <v>6</v>
      </c>
      <c r="T16" s="32">
        <v>8</v>
      </c>
      <c r="U16" s="24">
        <f t="shared" si="8"/>
        <v>1064</v>
      </c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</row>
    <row r="17" spans="1:32" s="5" customFormat="1" ht="72" customHeight="1" outlineLevel="2">
      <c r="A17" s="22">
        <v>11</v>
      </c>
      <c r="B17" s="23">
        <v>30413001002</v>
      </c>
      <c r="C17" s="23" t="s">
        <v>144</v>
      </c>
      <c r="D17" s="23" t="s">
        <v>145</v>
      </c>
      <c r="E17" s="22" t="s">
        <v>38</v>
      </c>
      <c r="F17" s="24">
        <v>4</v>
      </c>
      <c r="G17" s="64">
        <f t="shared" si="0"/>
        <v>18</v>
      </c>
      <c r="H17" s="65">
        <f t="shared" si="1"/>
        <v>66</v>
      </c>
      <c r="I17" s="65">
        <f t="shared" si="2"/>
        <v>8</v>
      </c>
      <c r="J17" s="65">
        <f t="shared" si="3"/>
        <v>0</v>
      </c>
      <c r="K17" s="65">
        <f t="shared" si="4"/>
        <v>0</v>
      </c>
      <c r="L17" s="65">
        <f t="shared" si="5"/>
        <v>92</v>
      </c>
      <c r="M17" s="65">
        <f t="shared" si="6"/>
        <v>368</v>
      </c>
      <c r="N17" s="28"/>
      <c r="O17" s="24">
        <f t="shared" si="7"/>
        <v>92</v>
      </c>
      <c r="P17" s="29">
        <v>60</v>
      </c>
      <c r="Q17" s="30">
        <v>0</v>
      </c>
      <c r="R17" s="29">
        <v>18</v>
      </c>
      <c r="S17" s="31">
        <v>6</v>
      </c>
      <c r="T17" s="32">
        <v>8</v>
      </c>
      <c r="U17" s="24">
        <f t="shared" si="8"/>
        <v>368</v>
      </c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</row>
    <row r="18" spans="1:32" s="5" customFormat="1" ht="72" customHeight="1" outlineLevel="2">
      <c r="A18" s="22">
        <v>12</v>
      </c>
      <c r="B18" s="23">
        <v>30413004001</v>
      </c>
      <c r="C18" s="23" t="s">
        <v>146</v>
      </c>
      <c r="D18" s="23" t="s">
        <v>147</v>
      </c>
      <c r="E18" s="22" t="s">
        <v>38</v>
      </c>
      <c r="F18" s="24">
        <v>3</v>
      </c>
      <c r="G18" s="64">
        <f t="shared" si="0"/>
        <v>18</v>
      </c>
      <c r="H18" s="65">
        <f t="shared" si="1"/>
        <v>126</v>
      </c>
      <c r="I18" s="65">
        <f t="shared" si="2"/>
        <v>8</v>
      </c>
      <c r="J18" s="65">
        <f t="shared" si="3"/>
        <v>0</v>
      </c>
      <c r="K18" s="65">
        <f t="shared" si="4"/>
        <v>0</v>
      </c>
      <c r="L18" s="65">
        <f t="shared" si="5"/>
        <v>152</v>
      </c>
      <c r="M18" s="65">
        <f t="shared" si="6"/>
        <v>456</v>
      </c>
      <c r="N18" s="28"/>
      <c r="O18" s="24">
        <f t="shared" si="7"/>
        <v>152</v>
      </c>
      <c r="P18" s="29">
        <v>120</v>
      </c>
      <c r="Q18" s="30">
        <v>0</v>
      </c>
      <c r="R18" s="29">
        <v>18</v>
      </c>
      <c r="S18" s="31">
        <v>6</v>
      </c>
      <c r="T18" s="32">
        <v>8</v>
      </c>
      <c r="U18" s="24">
        <f t="shared" si="8"/>
        <v>456</v>
      </c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</row>
    <row r="19" spans="1:32" s="5" customFormat="1" ht="72" customHeight="1" outlineLevel="2">
      <c r="A19" s="22">
        <v>13</v>
      </c>
      <c r="B19" s="23">
        <v>30413002010</v>
      </c>
      <c r="C19" s="23" t="s">
        <v>148</v>
      </c>
      <c r="D19" s="23" t="s">
        <v>149</v>
      </c>
      <c r="E19" s="22" t="s">
        <v>38</v>
      </c>
      <c r="F19" s="24">
        <v>4</v>
      </c>
      <c r="G19" s="64">
        <f t="shared" si="0"/>
        <v>18</v>
      </c>
      <c r="H19" s="65">
        <f t="shared" si="1"/>
        <v>126</v>
      </c>
      <c r="I19" s="65">
        <f t="shared" si="2"/>
        <v>8</v>
      </c>
      <c r="J19" s="65">
        <f t="shared" si="3"/>
        <v>0</v>
      </c>
      <c r="K19" s="65">
        <f t="shared" si="4"/>
        <v>0</v>
      </c>
      <c r="L19" s="65">
        <f t="shared" si="5"/>
        <v>152</v>
      </c>
      <c r="M19" s="65">
        <f t="shared" si="6"/>
        <v>608</v>
      </c>
      <c r="N19" s="28"/>
      <c r="O19" s="24">
        <f t="shared" si="7"/>
        <v>152</v>
      </c>
      <c r="P19" s="29">
        <v>120</v>
      </c>
      <c r="Q19" s="30">
        <v>0</v>
      </c>
      <c r="R19" s="29">
        <v>18</v>
      </c>
      <c r="S19" s="31">
        <v>6</v>
      </c>
      <c r="T19" s="32">
        <v>8</v>
      </c>
      <c r="U19" s="24">
        <f t="shared" si="8"/>
        <v>608</v>
      </c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</row>
    <row r="20" spans="1:32" s="5" customFormat="1" ht="72" customHeight="1" outlineLevel="2">
      <c r="A20" s="22">
        <v>14</v>
      </c>
      <c r="B20" s="23">
        <v>30413002011</v>
      </c>
      <c r="C20" s="23" t="s">
        <v>150</v>
      </c>
      <c r="D20" s="23" t="s">
        <v>151</v>
      </c>
      <c r="E20" s="22" t="s">
        <v>38</v>
      </c>
      <c r="F20" s="24">
        <v>10</v>
      </c>
      <c r="G20" s="64">
        <f t="shared" si="0"/>
        <v>18</v>
      </c>
      <c r="H20" s="65">
        <f t="shared" si="1"/>
        <v>126</v>
      </c>
      <c r="I20" s="65">
        <f t="shared" si="2"/>
        <v>8</v>
      </c>
      <c r="J20" s="65">
        <f t="shared" si="3"/>
        <v>0</v>
      </c>
      <c r="K20" s="65">
        <f t="shared" si="4"/>
        <v>0</v>
      </c>
      <c r="L20" s="65">
        <f t="shared" si="5"/>
        <v>152</v>
      </c>
      <c r="M20" s="65">
        <f t="shared" si="6"/>
        <v>1520</v>
      </c>
      <c r="N20" s="28"/>
      <c r="O20" s="24">
        <f t="shared" si="7"/>
        <v>152</v>
      </c>
      <c r="P20" s="29">
        <v>120</v>
      </c>
      <c r="Q20" s="30">
        <v>0</v>
      </c>
      <c r="R20" s="29">
        <v>18</v>
      </c>
      <c r="S20" s="31">
        <v>6</v>
      </c>
      <c r="T20" s="32">
        <v>8</v>
      </c>
      <c r="U20" s="24">
        <f t="shared" si="8"/>
        <v>1520</v>
      </c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</row>
    <row r="21" spans="1:32" s="5" customFormat="1" ht="84" customHeight="1" outlineLevel="2">
      <c r="A21" s="22">
        <v>15</v>
      </c>
      <c r="B21" s="23">
        <v>30413002012</v>
      </c>
      <c r="C21" s="23" t="s">
        <v>152</v>
      </c>
      <c r="D21" s="23" t="s">
        <v>153</v>
      </c>
      <c r="E21" s="22" t="s">
        <v>38</v>
      </c>
      <c r="F21" s="24">
        <v>3</v>
      </c>
      <c r="G21" s="64">
        <f t="shared" si="0"/>
        <v>18</v>
      </c>
      <c r="H21" s="65">
        <f t="shared" si="1"/>
        <v>126</v>
      </c>
      <c r="I21" s="65">
        <f t="shared" si="2"/>
        <v>8</v>
      </c>
      <c r="J21" s="65">
        <f t="shared" si="3"/>
        <v>0</v>
      </c>
      <c r="K21" s="65">
        <f t="shared" si="4"/>
        <v>0</v>
      </c>
      <c r="L21" s="65">
        <f t="shared" si="5"/>
        <v>152</v>
      </c>
      <c r="M21" s="65">
        <f t="shared" si="6"/>
        <v>456</v>
      </c>
      <c r="N21" s="28"/>
      <c r="O21" s="24">
        <f t="shared" si="7"/>
        <v>152</v>
      </c>
      <c r="P21" s="29">
        <v>120</v>
      </c>
      <c r="Q21" s="30">
        <v>0</v>
      </c>
      <c r="R21" s="29">
        <v>18</v>
      </c>
      <c r="S21" s="31">
        <v>6</v>
      </c>
      <c r="T21" s="32">
        <v>8</v>
      </c>
      <c r="U21" s="24">
        <f t="shared" si="8"/>
        <v>456</v>
      </c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</row>
    <row r="22" spans="1:32" s="5" customFormat="1" ht="72" customHeight="1" outlineLevel="2">
      <c r="A22" s="22">
        <v>16</v>
      </c>
      <c r="B22" s="23">
        <v>30413004002</v>
      </c>
      <c r="C22" s="23" t="s">
        <v>154</v>
      </c>
      <c r="D22" s="23" t="s">
        <v>155</v>
      </c>
      <c r="E22" s="22" t="s">
        <v>38</v>
      </c>
      <c r="F22" s="24">
        <v>38</v>
      </c>
      <c r="G22" s="64">
        <f t="shared" si="0"/>
        <v>25</v>
      </c>
      <c r="H22" s="65">
        <f t="shared" si="1"/>
        <v>128</v>
      </c>
      <c r="I22" s="65">
        <f t="shared" si="2"/>
        <v>5</v>
      </c>
      <c r="J22" s="65">
        <f t="shared" si="3"/>
        <v>0</v>
      </c>
      <c r="K22" s="65">
        <f t="shared" si="4"/>
        <v>0</v>
      </c>
      <c r="L22" s="65">
        <f t="shared" si="5"/>
        <v>158</v>
      </c>
      <c r="M22" s="65">
        <f t="shared" si="6"/>
        <v>6004</v>
      </c>
      <c r="N22" s="28"/>
      <c r="O22" s="24">
        <f t="shared" si="7"/>
        <v>158</v>
      </c>
      <c r="P22" s="29">
        <v>120</v>
      </c>
      <c r="Q22" s="30">
        <v>0</v>
      </c>
      <c r="R22" s="29">
        <v>25</v>
      </c>
      <c r="S22" s="31">
        <v>8</v>
      </c>
      <c r="T22" s="32">
        <v>5</v>
      </c>
      <c r="U22" s="24">
        <f t="shared" si="8"/>
        <v>6004</v>
      </c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</row>
    <row r="23" spans="1:32" s="5" customFormat="1" ht="72" customHeight="1" outlineLevel="2">
      <c r="A23" s="22">
        <v>17</v>
      </c>
      <c r="B23" s="23">
        <v>30413002013</v>
      </c>
      <c r="C23" s="23" t="s">
        <v>156</v>
      </c>
      <c r="D23" s="23" t="s">
        <v>157</v>
      </c>
      <c r="E23" s="22" t="s">
        <v>43</v>
      </c>
      <c r="F23" s="24">
        <v>208.01</v>
      </c>
      <c r="G23" s="64">
        <f t="shared" si="0"/>
        <v>12.5</v>
      </c>
      <c r="H23" s="65">
        <f t="shared" si="1"/>
        <v>19.18</v>
      </c>
      <c r="I23" s="65">
        <f t="shared" si="2"/>
        <v>0</v>
      </c>
      <c r="J23" s="65">
        <f t="shared" si="3"/>
        <v>0</v>
      </c>
      <c r="K23" s="65">
        <f t="shared" si="4"/>
        <v>0</v>
      </c>
      <c r="L23" s="65">
        <f t="shared" si="5"/>
        <v>31.68</v>
      </c>
      <c r="M23" s="65">
        <f t="shared" si="6"/>
        <v>6589.7568000000001</v>
      </c>
      <c r="N23" s="28"/>
      <c r="O23" s="24">
        <f t="shared" si="7"/>
        <v>31.68</v>
      </c>
      <c r="P23" s="29">
        <v>18.8</v>
      </c>
      <c r="Q23" s="30">
        <v>0</v>
      </c>
      <c r="R23" s="29">
        <v>12.5</v>
      </c>
      <c r="S23" s="31">
        <v>0.38</v>
      </c>
      <c r="T23" s="32">
        <v>0</v>
      </c>
      <c r="U23" s="24">
        <f t="shared" si="8"/>
        <v>6589.7568000000001</v>
      </c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</row>
    <row r="24" spans="1:32" s="5" customFormat="1" ht="72" customHeight="1" outlineLevel="2">
      <c r="A24" s="22">
        <v>18</v>
      </c>
      <c r="B24" s="23">
        <v>30413002014</v>
      </c>
      <c r="C24" s="23" t="s">
        <v>158</v>
      </c>
      <c r="D24" s="23" t="s">
        <v>159</v>
      </c>
      <c r="E24" s="22" t="s">
        <v>43</v>
      </c>
      <c r="F24" s="24">
        <v>217.9</v>
      </c>
      <c r="G24" s="64">
        <f t="shared" si="0"/>
        <v>12.5</v>
      </c>
      <c r="H24" s="65">
        <f t="shared" si="1"/>
        <v>17.54</v>
      </c>
      <c r="I24" s="65">
        <f t="shared" si="2"/>
        <v>0</v>
      </c>
      <c r="J24" s="65">
        <f t="shared" si="3"/>
        <v>0</v>
      </c>
      <c r="K24" s="65">
        <f t="shared" si="4"/>
        <v>0</v>
      </c>
      <c r="L24" s="65">
        <f t="shared" si="5"/>
        <v>30.04</v>
      </c>
      <c r="M24" s="65">
        <f t="shared" si="6"/>
        <v>6545.7160000000003</v>
      </c>
      <c r="N24" s="28"/>
      <c r="O24" s="24">
        <f t="shared" si="7"/>
        <v>30.04</v>
      </c>
      <c r="P24" s="29">
        <v>17.2</v>
      </c>
      <c r="Q24" s="30">
        <v>0</v>
      </c>
      <c r="R24" s="29">
        <v>12.5</v>
      </c>
      <c r="S24" s="31">
        <v>0.34</v>
      </c>
      <c r="T24" s="32">
        <v>0</v>
      </c>
      <c r="U24" s="24">
        <f t="shared" si="8"/>
        <v>6545.7160000000003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</row>
    <row r="25" spans="1:32" s="5" customFormat="1" ht="72" customHeight="1" outlineLevel="2">
      <c r="A25" s="22">
        <v>19</v>
      </c>
      <c r="B25" s="23">
        <v>30413002015</v>
      </c>
      <c r="C25" s="23" t="s">
        <v>160</v>
      </c>
      <c r="D25" s="23" t="s">
        <v>161</v>
      </c>
      <c r="E25" s="22" t="s">
        <v>43</v>
      </c>
      <c r="F25" s="24">
        <v>67.63</v>
      </c>
      <c r="G25" s="64">
        <f t="shared" si="0"/>
        <v>12.5</v>
      </c>
      <c r="H25" s="65">
        <f t="shared" si="1"/>
        <v>17.54</v>
      </c>
      <c r="I25" s="65">
        <f t="shared" si="2"/>
        <v>0</v>
      </c>
      <c r="J25" s="65">
        <f t="shared" si="3"/>
        <v>0</v>
      </c>
      <c r="K25" s="65">
        <f t="shared" si="4"/>
        <v>0</v>
      </c>
      <c r="L25" s="65">
        <f t="shared" si="5"/>
        <v>30.04</v>
      </c>
      <c r="M25" s="65">
        <f t="shared" si="6"/>
        <v>2031.6052</v>
      </c>
      <c r="N25" s="28"/>
      <c r="O25" s="24">
        <f t="shared" si="7"/>
        <v>30.04</v>
      </c>
      <c r="P25" s="29">
        <v>17.2</v>
      </c>
      <c r="Q25" s="30">
        <v>0</v>
      </c>
      <c r="R25" s="29">
        <v>12.5</v>
      </c>
      <c r="S25" s="31">
        <v>0.34</v>
      </c>
      <c r="T25" s="32">
        <v>0</v>
      </c>
      <c r="U25" s="24">
        <f t="shared" si="8"/>
        <v>2031.6052</v>
      </c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</row>
    <row r="26" spans="1:32" s="5" customFormat="1" ht="72" customHeight="1" outlineLevel="2">
      <c r="A26" s="22">
        <v>20</v>
      </c>
      <c r="B26" s="23">
        <v>30413002016</v>
      </c>
      <c r="C26" s="23" t="s">
        <v>162</v>
      </c>
      <c r="D26" s="23" t="s">
        <v>163</v>
      </c>
      <c r="E26" s="22" t="s">
        <v>43</v>
      </c>
      <c r="F26" s="24">
        <v>95.26</v>
      </c>
      <c r="G26" s="64">
        <f t="shared" si="0"/>
        <v>12.5</v>
      </c>
      <c r="H26" s="65">
        <f t="shared" si="1"/>
        <v>19.18</v>
      </c>
      <c r="I26" s="65">
        <f t="shared" si="2"/>
        <v>0</v>
      </c>
      <c r="J26" s="65">
        <f t="shared" si="3"/>
        <v>0</v>
      </c>
      <c r="K26" s="65">
        <f t="shared" si="4"/>
        <v>0</v>
      </c>
      <c r="L26" s="65">
        <f t="shared" si="5"/>
        <v>31.68</v>
      </c>
      <c r="M26" s="65">
        <f t="shared" si="6"/>
        <v>3017.8368</v>
      </c>
      <c r="N26" s="28"/>
      <c r="O26" s="24">
        <f t="shared" si="7"/>
        <v>31.68</v>
      </c>
      <c r="P26" s="29">
        <v>18.8</v>
      </c>
      <c r="Q26" s="30">
        <v>0</v>
      </c>
      <c r="R26" s="29">
        <v>12.5</v>
      </c>
      <c r="S26" s="31">
        <v>0.38</v>
      </c>
      <c r="T26" s="32">
        <v>0</v>
      </c>
      <c r="U26" s="24">
        <f t="shared" si="8"/>
        <v>3017.8368</v>
      </c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</row>
    <row r="27" spans="1:32" s="5" customFormat="1" ht="72" customHeight="1" outlineLevel="2">
      <c r="A27" s="22">
        <v>21</v>
      </c>
      <c r="B27" s="23">
        <v>30413002017</v>
      </c>
      <c r="C27" s="23" t="s">
        <v>164</v>
      </c>
      <c r="D27" s="23" t="s">
        <v>165</v>
      </c>
      <c r="E27" s="22" t="s">
        <v>43</v>
      </c>
      <c r="F27" s="24">
        <v>887.49</v>
      </c>
      <c r="G27" s="64">
        <f t="shared" si="0"/>
        <v>18</v>
      </c>
      <c r="H27" s="65">
        <f t="shared" si="1"/>
        <v>17</v>
      </c>
      <c r="I27" s="65">
        <f t="shared" si="2"/>
        <v>5</v>
      </c>
      <c r="J27" s="65">
        <f t="shared" si="3"/>
        <v>0</v>
      </c>
      <c r="K27" s="65">
        <f t="shared" si="4"/>
        <v>0</v>
      </c>
      <c r="L27" s="65">
        <f t="shared" si="5"/>
        <v>40</v>
      </c>
      <c r="M27" s="65">
        <f t="shared" si="6"/>
        <v>35499.599999999999</v>
      </c>
      <c r="N27" s="28"/>
      <c r="O27" s="24">
        <f t="shared" si="7"/>
        <v>40</v>
      </c>
      <c r="P27" s="29">
        <v>12</v>
      </c>
      <c r="Q27" s="30">
        <v>0</v>
      </c>
      <c r="R27" s="29">
        <v>18</v>
      </c>
      <c r="S27" s="31">
        <v>5</v>
      </c>
      <c r="T27" s="32">
        <v>5</v>
      </c>
      <c r="U27" s="24">
        <f t="shared" si="8"/>
        <v>35499.599999999999</v>
      </c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</row>
    <row r="28" spans="1:32" s="5" customFormat="1" ht="72" customHeight="1" outlineLevel="2">
      <c r="A28" s="22">
        <v>22</v>
      </c>
      <c r="B28" s="23">
        <v>30413002018</v>
      </c>
      <c r="C28" s="23" t="s">
        <v>166</v>
      </c>
      <c r="D28" s="23" t="s">
        <v>167</v>
      </c>
      <c r="E28" s="22" t="s">
        <v>43</v>
      </c>
      <c r="F28" s="24">
        <v>4</v>
      </c>
      <c r="G28" s="64">
        <f t="shared" si="0"/>
        <v>22</v>
      </c>
      <c r="H28" s="65">
        <f t="shared" si="1"/>
        <v>91</v>
      </c>
      <c r="I28" s="65">
        <f t="shared" si="2"/>
        <v>4</v>
      </c>
      <c r="J28" s="65">
        <f t="shared" si="3"/>
        <v>0</v>
      </c>
      <c r="K28" s="65">
        <f t="shared" si="4"/>
        <v>0</v>
      </c>
      <c r="L28" s="65">
        <f t="shared" si="5"/>
        <v>117</v>
      </c>
      <c r="M28" s="65">
        <f t="shared" si="6"/>
        <v>468</v>
      </c>
      <c r="N28" s="28"/>
      <c r="O28" s="24">
        <f t="shared" si="7"/>
        <v>117</v>
      </c>
      <c r="P28" s="29">
        <v>85</v>
      </c>
      <c r="Q28" s="30">
        <v>0</v>
      </c>
      <c r="R28" s="29">
        <v>22</v>
      </c>
      <c r="S28" s="31">
        <v>6</v>
      </c>
      <c r="T28" s="32">
        <v>4</v>
      </c>
      <c r="U28" s="24">
        <f t="shared" si="8"/>
        <v>468</v>
      </c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</row>
    <row r="29" spans="1:32" s="5" customFormat="1" ht="60" customHeight="1" outlineLevel="2">
      <c r="A29" s="9">
        <v>23</v>
      </c>
      <c r="B29" s="17">
        <v>30413009001</v>
      </c>
      <c r="C29" s="17" t="s">
        <v>44</v>
      </c>
      <c r="D29" s="17" t="s">
        <v>45</v>
      </c>
      <c r="E29" s="9" t="s">
        <v>46</v>
      </c>
      <c r="F29" s="10">
        <v>280</v>
      </c>
      <c r="G29" s="66">
        <f t="shared" si="0"/>
        <v>3</v>
      </c>
      <c r="H29" s="67">
        <f t="shared" si="1"/>
        <v>20.5</v>
      </c>
      <c r="I29" s="67">
        <f t="shared" si="2"/>
        <v>0</v>
      </c>
      <c r="J29" s="67">
        <f t="shared" si="3"/>
        <v>0</v>
      </c>
      <c r="K29" s="67">
        <f t="shared" si="4"/>
        <v>0</v>
      </c>
      <c r="L29" s="67">
        <f t="shared" si="5"/>
        <v>23.5</v>
      </c>
      <c r="M29" s="67">
        <f t="shared" si="6"/>
        <v>6580</v>
      </c>
      <c r="N29" s="8"/>
      <c r="O29" s="10">
        <f t="shared" si="7"/>
        <v>23.5</v>
      </c>
      <c r="P29" s="48">
        <f>架空层安装工程!$P$10</f>
        <v>20</v>
      </c>
      <c r="Q29" s="49">
        <f>架空层安装工程!$Q$10</f>
        <v>0</v>
      </c>
      <c r="R29" s="48">
        <f>架空层安装工程!$R$10</f>
        <v>3</v>
      </c>
      <c r="S29" s="50">
        <f>架空层安装工程!$S$10</f>
        <v>0.5</v>
      </c>
      <c r="T29" s="12">
        <f>架空层安装工程!$T$10</f>
        <v>0</v>
      </c>
      <c r="U29" s="10">
        <f t="shared" si="8"/>
        <v>6580</v>
      </c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</row>
    <row r="30" spans="1:32" s="5" customFormat="1" ht="60" customHeight="1" outlineLevel="2">
      <c r="A30" s="9">
        <v>24</v>
      </c>
      <c r="B30" s="17">
        <v>30405017001</v>
      </c>
      <c r="C30" s="17" t="s">
        <v>168</v>
      </c>
      <c r="D30" s="17" t="s">
        <v>169</v>
      </c>
      <c r="E30" s="9" t="s">
        <v>69</v>
      </c>
      <c r="F30" s="10">
        <v>1</v>
      </c>
      <c r="G30" s="66">
        <f t="shared" si="0"/>
        <v>250</v>
      </c>
      <c r="H30" s="67">
        <f t="shared" si="1"/>
        <v>4235</v>
      </c>
      <c r="I30" s="67">
        <f t="shared" si="2"/>
        <v>8.5</v>
      </c>
      <c r="J30" s="67">
        <f t="shared" si="3"/>
        <v>0</v>
      </c>
      <c r="K30" s="67">
        <f t="shared" si="4"/>
        <v>0</v>
      </c>
      <c r="L30" s="67">
        <f t="shared" si="5"/>
        <v>4493.5</v>
      </c>
      <c r="M30" s="67">
        <f t="shared" si="6"/>
        <v>4493.5</v>
      </c>
      <c r="N30" s="8"/>
      <c r="O30" s="10">
        <f t="shared" si="7"/>
        <v>4493.5</v>
      </c>
      <c r="P30" s="48">
        <f>样板房安装工程!$P$19</f>
        <v>4200</v>
      </c>
      <c r="Q30" s="49">
        <f>样板房安装工程!$Q$19</f>
        <v>0</v>
      </c>
      <c r="R30" s="48">
        <f>样板房安装工程!$R$19</f>
        <v>250</v>
      </c>
      <c r="S30" s="50">
        <f>样板房安装工程!$S$19</f>
        <v>35</v>
      </c>
      <c r="T30" s="12">
        <f>样板房安装工程!$T$19</f>
        <v>8.5</v>
      </c>
      <c r="U30" s="10">
        <f t="shared" si="8"/>
        <v>4493.5</v>
      </c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</row>
    <row r="31" spans="1:32" s="5" customFormat="1" outlineLevel="1">
      <c r="A31" s="9"/>
      <c r="B31" s="17"/>
      <c r="C31" s="17" t="s">
        <v>53</v>
      </c>
      <c r="D31" s="17"/>
      <c r="E31" s="9"/>
      <c r="F31" s="10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60"/>
      <c r="R31" s="59"/>
      <c r="S31" s="59"/>
      <c r="T31" s="59"/>
      <c r="U31" s="59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</row>
    <row r="32" spans="1:32" s="5" customFormat="1" ht="60" customHeight="1" outlineLevel="2">
      <c r="A32" s="9">
        <v>25</v>
      </c>
      <c r="B32" s="17">
        <v>30413013001</v>
      </c>
      <c r="C32" s="17" t="s">
        <v>54</v>
      </c>
      <c r="D32" s="17" t="s">
        <v>55</v>
      </c>
      <c r="E32" s="9" t="s">
        <v>38</v>
      </c>
      <c r="F32" s="10">
        <v>5</v>
      </c>
      <c r="G32" s="66">
        <f t="shared" ref="G32:G41" si="9">R32*$R$3</f>
        <v>6.31</v>
      </c>
      <c r="H32" s="67">
        <f t="shared" ref="H32:H41" si="10">P32*(1+Q32)*$P$3+S32*$S$3</f>
        <v>15.74</v>
      </c>
      <c r="I32" s="67">
        <f t="shared" ref="I32:I41" si="11">T32*$T$3</f>
        <v>0</v>
      </c>
      <c r="J32" s="67">
        <f t="shared" ref="J32:J41" si="12">(G32+H32+I32)*$J$3</f>
        <v>0</v>
      </c>
      <c r="K32" s="67">
        <f t="shared" ref="K32:K41" si="13">(G32+H32+I32+J32)*$K$3</f>
        <v>0</v>
      </c>
      <c r="L32" s="67">
        <f t="shared" ref="L32:L41" si="14">G32+H32+I32+J32+K32</f>
        <v>22.05</v>
      </c>
      <c r="M32" s="67">
        <f t="shared" ref="M32:M41" si="15">F32*L32</f>
        <v>110.25</v>
      </c>
      <c r="N32" s="8"/>
      <c r="O32" s="10">
        <f t="shared" ref="O32:O41" si="16">P32*(1+Q32)+R32+S32+T32</f>
        <v>22.05</v>
      </c>
      <c r="P32" s="48">
        <f>公共区域安装工程!$P$14</f>
        <v>14.62</v>
      </c>
      <c r="Q32" s="49">
        <f>公共区域安装工程!$Q$14</f>
        <v>0</v>
      </c>
      <c r="R32" s="48">
        <f>公共区域安装工程!$R$14</f>
        <v>6.31</v>
      </c>
      <c r="S32" s="50">
        <f>公共区域安装工程!$S$14</f>
        <v>1.1200000000000001</v>
      </c>
      <c r="T32" s="12">
        <f>公共区域安装工程!$T$14</f>
        <v>0</v>
      </c>
      <c r="U32" s="10">
        <f t="shared" ref="U32:U41" si="17">F32*O32</f>
        <v>110.25</v>
      </c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</row>
    <row r="33" spans="1:32" s="5" customFormat="1" ht="60" customHeight="1" outlineLevel="2">
      <c r="A33" s="9">
        <v>26</v>
      </c>
      <c r="B33" s="17">
        <v>30413013002</v>
      </c>
      <c r="C33" s="17" t="s">
        <v>54</v>
      </c>
      <c r="D33" s="17" t="s">
        <v>56</v>
      </c>
      <c r="E33" s="9" t="s">
        <v>38</v>
      </c>
      <c r="F33" s="10">
        <v>10</v>
      </c>
      <c r="G33" s="66">
        <f t="shared" si="9"/>
        <v>10</v>
      </c>
      <c r="H33" s="67">
        <f t="shared" si="10"/>
        <v>19.5</v>
      </c>
      <c r="I33" s="67">
        <f t="shared" si="11"/>
        <v>0</v>
      </c>
      <c r="J33" s="67">
        <f t="shared" si="12"/>
        <v>0</v>
      </c>
      <c r="K33" s="67">
        <f t="shared" si="13"/>
        <v>0</v>
      </c>
      <c r="L33" s="67">
        <f t="shared" si="14"/>
        <v>29.5</v>
      </c>
      <c r="M33" s="67">
        <f t="shared" si="15"/>
        <v>295</v>
      </c>
      <c r="N33" s="8"/>
      <c r="O33" s="10">
        <f t="shared" si="16"/>
        <v>29.5</v>
      </c>
      <c r="P33" s="48">
        <f>架空层安装工程!$P$16</f>
        <v>18</v>
      </c>
      <c r="Q33" s="49">
        <f>架空层安装工程!$Q$16</f>
        <v>0</v>
      </c>
      <c r="R33" s="48">
        <f>架空层安装工程!$R$16</f>
        <v>10</v>
      </c>
      <c r="S33" s="50">
        <f>架空层安装工程!$S$16</f>
        <v>1.5</v>
      </c>
      <c r="T33" s="12">
        <f>架空层安装工程!$T$16</f>
        <v>0</v>
      </c>
      <c r="U33" s="10">
        <f t="shared" si="17"/>
        <v>295</v>
      </c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</row>
    <row r="34" spans="1:32" s="5" customFormat="1" ht="60" customHeight="1" outlineLevel="2">
      <c r="A34" s="9">
        <v>27</v>
      </c>
      <c r="B34" s="17">
        <v>30413013003</v>
      </c>
      <c r="C34" s="17" t="s">
        <v>54</v>
      </c>
      <c r="D34" s="17" t="s">
        <v>57</v>
      </c>
      <c r="E34" s="9" t="s">
        <v>38</v>
      </c>
      <c r="F34" s="10">
        <v>23</v>
      </c>
      <c r="G34" s="66">
        <f t="shared" si="9"/>
        <v>12</v>
      </c>
      <c r="H34" s="67">
        <f t="shared" si="10"/>
        <v>21.5</v>
      </c>
      <c r="I34" s="67">
        <f t="shared" si="11"/>
        <v>0</v>
      </c>
      <c r="J34" s="67">
        <f t="shared" si="12"/>
        <v>0</v>
      </c>
      <c r="K34" s="67">
        <f t="shared" si="13"/>
        <v>0</v>
      </c>
      <c r="L34" s="67">
        <f t="shared" si="14"/>
        <v>33.5</v>
      </c>
      <c r="M34" s="67">
        <f t="shared" si="15"/>
        <v>770.5</v>
      </c>
      <c r="N34" s="8"/>
      <c r="O34" s="10">
        <f t="shared" si="16"/>
        <v>33.5</v>
      </c>
      <c r="P34" s="48">
        <f>公共区域安装工程!$P$15</f>
        <v>20</v>
      </c>
      <c r="Q34" s="49">
        <f>公共区域安装工程!$Q$15</f>
        <v>0</v>
      </c>
      <c r="R34" s="48">
        <f>公共区域安装工程!$R$15</f>
        <v>12</v>
      </c>
      <c r="S34" s="50">
        <f>公共区域安装工程!$S$15</f>
        <v>1.5</v>
      </c>
      <c r="T34" s="12">
        <f>公共区域安装工程!$T$15</f>
        <v>0</v>
      </c>
      <c r="U34" s="10">
        <f t="shared" si="17"/>
        <v>770.5</v>
      </c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</row>
    <row r="35" spans="1:32" s="5" customFormat="1" ht="60" customHeight="1" outlineLevel="2">
      <c r="A35" s="22">
        <v>28</v>
      </c>
      <c r="B35" s="23">
        <v>30413013004</v>
      </c>
      <c r="C35" s="23" t="s">
        <v>54</v>
      </c>
      <c r="D35" s="23" t="s">
        <v>170</v>
      </c>
      <c r="E35" s="22" t="s">
        <v>38</v>
      </c>
      <c r="F35" s="24">
        <v>4</v>
      </c>
      <c r="G35" s="64">
        <f t="shared" si="9"/>
        <v>6.31</v>
      </c>
      <c r="H35" s="65">
        <f t="shared" si="10"/>
        <v>15.74</v>
      </c>
      <c r="I35" s="65">
        <f t="shared" si="11"/>
        <v>0</v>
      </c>
      <c r="J35" s="65">
        <f t="shared" si="12"/>
        <v>0</v>
      </c>
      <c r="K35" s="65">
        <f t="shared" si="13"/>
        <v>0</v>
      </c>
      <c r="L35" s="65">
        <f t="shared" si="14"/>
        <v>22.05</v>
      </c>
      <c r="M35" s="65">
        <f t="shared" si="15"/>
        <v>88.2</v>
      </c>
      <c r="N35" s="28"/>
      <c r="O35" s="24">
        <f t="shared" si="16"/>
        <v>22.05</v>
      </c>
      <c r="P35" s="29">
        <v>14.62</v>
      </c>
      <c r="Q35" s="30">
        <v>0</v>
      </c>
      <c r="R35" s="29">
        <v>6.31</v>
      </c>
      <c r="S35" s="31">
        <v>1.1200000000000001</v>
      </c>
      <c r="T35" s="32">
        <v>0</v>
      </c>
      <c r="U35" s="24">
        <f t="shared" si="17"/>
        <v>88.2</v>
      </c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</row>
    <row r="36" spans="1:32" s="5" customFormat="1" ht="60" customHeight="1" outlineLevel="2">
      <c r="A36" s="9">
        <v>29</v>
      </c>
      <c r="B36" s="17">
        <v>30413014001</v>
      </c>
      <c r="C36" s="17" t="s">
        <v>58</v>
      </c>
      <c r="D36" s="17" t="s">
        <v>171</v>
      </c>
      <c r="E36" s="9" t="s">
        <v>38</v>
      </c>
      <c r="F36" s="10">
        <v>2</v>
      </c>
      <c r="G36" s="66">
        <f t="shared" si="9"/>
        <v>6.31</v>
      </c>
      <c r="H36" s="67">
        <f t="shared" si="10"/>
        <v>15.74</v>
      </c>
      <c r="I36" s="67">
        <f t="shared" si="11"/>
        <v>0</v>
      </c>
      <c r="J36" s="67">
        <f t="shared" si="12"/>
        <v>0</v>
      </c>
      <c r="K36" s="67">
        <f t="shared" si="13"/>
        <v>0</v>
      </c>
      <c r="L36" s="67">
        <f t="shared" si="14"/>
        <v>22.05</v>
      </c>
      <c r="M36" s="67">
        <f t="shared" si="15"/>
        <v>44.1</v>
      </c>
      <c r="N36" s="8"/>
      <c r="O36" s="10">
        <f t="shared" si="16"/>
        <v>22.05</v>
      </c>
      <c r="P36" s="48">
        <f>户内交标安装工程!$P$27</f>
        <v>14.62</v>
      </c>
      <c r="Q36" s="49">
        <f>户内交标安装工程!$Q$27</f>
        <v>0</v>
      </c>
      <c r="R36" s="48">
        <f>户内交标安装工程!$R$27</f>
        <v>6.31</v>
      </c>
      <c r="S36" s="50">
        <f>户内交标安装工程!$S$27</f>
        <v>1.1200000000000001</v>
      </c>
      <c r="T36" s="12">
        <f>户内交标安装工程!$T$27</f>
        <v>0</v>
      </c>
      <c r="U36" s="10">
        <f t="shared" si="17"/>
        <v>44.1</v>
      </c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</row>
    <row r="37" spans="1:32" s="5" customFormat="1" ht="60" customHeight="1" outlineLevel="2">
      <c r="A37" s="9">
        <v>30</v>
      </c>
      <c r="B37" s="17">
        <v>30413014002</v>
      </c>
      <c r="C37" s="17" t="s">
        <v>58</v>
      </c>
      <c r="D37" s="17" t="s">
        <v>59</v>
      </c>
      <c r="E37" s="9" t="s">
        <v>38</v>
      </c>
      <c r="F37" s="10">
        <v>63</v>
      </c>
      <c r="G37" s="66">
        <f t="shared" si="9"/>
        <v>6.31</v>
      </c>
      <c r="H37" s="67">
        <f t="shared" si="10"/>
        <v>15.74</v>
      </c>
      <c r="I37" s="67">
        <f t="shared" si="11"/>
        <v>0</v>
      </c>
      <c r="J37" s="67">
        <f t="shared" si="12"/>
        <v>0</v>
      </c>
      <c r="K37" s="67">
        <f t="shared" si="13"/>
        <v>0</v>
      </c>
      <c r="L37" s="67">
        <f t="shared" si="14"/>
        <v>22.05</v>
      </c>
      <c r="M37" s="67">
        <f t="shared" si="15"/>
        <v>1389.15</v>
      </c>
      <c r="N37" s="8"/>
      <c r="O37" s="10">
        <f t="shared" si="16"/>
        <v>22.05</v>
      </c>
      <c r="P37" s="48">
        <f>公共区域安装工程!$P$16</f>
        <v>14.62</v>
      </c>
      <c r="Q37" s="49">
        <f>公共区域安装工程!$Q$16</f>
        <v>0</v>
      </c>
      <c r="R37" s="48">
        <f>公共区域安装工程!$R$16</f>
        <v>6.31</v>
      </c>
      <c r="S37" s="50">
        <f>公共区域安装工程!$S$16</f>
        <v>1.1200000000000001</v>
      </c>
      <c r="T37" s="12">
        <f>公共区域安装工程!$T$16</f>
        <v>0</v>
      </c>
      <c r="U37" s="10">
        <f t="shared" si="17"/>
        <v>1389.15</v>
      </c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</row>
    <row r="38" spans="1:32" s="5" customFormat="1" ht="60" customHeight="1" outlineLevel="2">
      <c r="A38" s="9">
        <v>31</v>
      </c>
      <c r="B38" s="17">
        <v>30413014003</v>
      </c>
      <c r="C38" s="17" t="s">
        <v>58</v>
      </c>
      <c r="D38" s="17" t="s">
        <v>172</v>
      </c>
      <c r="E38" s="9" t="s">
        <v>38</v>
      </c>
      <c r="F38" s="10">
        <v>15</v>
      </c>
      <c r="G38" s="66">
        <f t="shared" si="9"/>
        <v>6.31</v>
      </c>
      <c r="H38" s="67">
        <f t="shared" si="10"/>
        <v>15.74</v>
      </c>
      <c r="I38" s="67">
        <f t="shared" si="11"/>
        <v>0</v>
      </c>
      <c r="J38" s="67">
        <f t="shared" si="12"/>
        <v>0</v>
      </c>
      <c r="K38" s="67">
        <f t="shared" si="13"/>
        <v>0</v>
      </c>
      <c r="L38" s="67">
        <f t="shared" si="14"/>
        <v>22.05</v>
      </c>
      <c r="M38" s="67">
        <f t="shared" si="15"/>
        <v>330.75</v>
      </c>
      <c r="N38" s="8"/>
      <c r="O38" s="10">
        <f t="shared" si="16"/>
        <v>22.05</v>
      </c>
      <c r="P38" s="48">
        <f>样板房安装工程!$P$28</f>
        <v>14.62</v>
      </c>
      <c r="Q38" s="49">
        <f>样板房安装工程!$Q$28</f>
        <v>0</v>
      </c>
      <c r="R38" s="48">
        <f>样板房安装工程!$R$28</f>
        <v>6.31</v>
      </c>
      <c r="S38" s="50">
        <f>样板房安装工程!$S$28</f>
        <v>1.1200000000000001</v>
      </c>
      <c r="T38" s="12">
        <f>样板房安装工程!$T$28</f>
        <v>0</v>
      </c>
      <c r="U38" s="10">
        <f t="shared" si="17"/>
        <v>330.75</v>
      </c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</row>
    <row r="39" spans="1:32" s="5" customFormat="1" ht="60" customHeight="1" outlineLevel="2">
      <c r="A39" s="9">
        <v>32</v>
      </c>
      <c r="B39" s="17">
        <v>30413014004</v>
      </c>
      <c r="C39" s="17" t="s">
        <v>58</v>
      </c>
      <c r="D39" s="17" t="s">
        <v>173</v>
      </c>
      <c r="E39" s="9" t="s">
        <v>38</v>
      </c>
      <c r="F39" s="10">
        <v>21</v>
      </c>
      <c r="G39" s="66">
        <f t="shared" si="9"/>
        <v>6.31</v>
      </c>
      <c r="H39" s="67">
        <f t="shared" si="10"/>
        <v>15.74</v>
      </c>
      <c r="I39" s="67">
        <f t="shared" si="11"/>
        <v>0</v>
      </c>
      <c r="J39" s="67">
        <f t="shared" si="12"/>
        <v>0</v>
      </c>
      <c r="K39" s="67">
        <f t="shared" si="13"/>
        <v>0</v>
      </c>
      <c r="L39" s="67">
        <f t="shared" si="14"/>
        <v>22.05</v>
      </c>
      <c r="M39" s="67">
        <f t="shared" si="15"/>
        <v>463.05</v>
      </c>
      <c r="N39" s="8"/>
      <c r="O39" s="10">
        <f t="shared" si="16"/>
        <v>22.05</v>
      </c>
      <c r="P39" s="48">
        <f>户内交标安装工程!$P$25</f>
        <v>14.62</v>
      </c>
      <c r="Q39" s="49">
        <f>户内交标安装工程!$Q$25</f>
        <v>0</v>
      </c>
      <c r="R39" s="48">
        <f>户内交标安装工程!$R$25</f>
        <v>6.31</v>
      </c>
      <c r="S39" s="50">
        <f>户内交标安装工程!$S$25</f>
        <v>1.1200000000000001</v>
      </c>
      <c r="T39" s="12">
        <f>户内交标安装工程!$T$25</f>
        <v>0</v>
      </c>
      <c r="U39" s="10">
        <f t="shared" si="17"/>
        <v>463.05</v>
      </c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</row>
    <row r="40" spans="1:32" s="5" customFormat="1" ht="60" customHeight="1" outlineLevel="2">
      <c r="A40" s="9">
        <v>33</v>
      </c>
      <c r="B40" s="17">
        <v>30413014005</v>
      </c>
      <c r="C40" s="17" t="s">
        <v>58</v>
      </c>
      <c r="D40" s="17" t="s">
        <v>174</v>
      </c>
      <c r="E40" s="9" t="s">
        <v>38</v>
      </c>
      <c r="F40" s="10">
        <v>4</v>
      </c>
      <c r="G40" s="66">
        <f t="shared" si="9"/>
        <v>6.31</v>
      </c>
      <c r="H40" s="67">
        <f t="shared" si="10"/>
        <v>15.74</v>
      </c>
      <c r="I40" s="67">
        <f t="shared" si="11"/>
        <v>0</v>
      </c>
      <c r="J40" s="67">
        <f t="shared" si="12"/>
        <v>0</v>
      </c>
      <c r="K40" s="67">
        <f t="shared" si="13"/>
        <v>0</v>
      </c>
      <c r="L40" s="67">
        <f t="shared" si="14"/>
        <v>22.05</v>
      </c>
      <c r="M40" s="67">
        <f t="shared" si="15"/>
        <v>88.2</v>
      </c>
      <c r="N40" s="8"/>
      <c r="O40" s="10">
        <f t="shared" si="16"/>
        <v>22.05</v>
      </c>
      <c r="P40" s="48">
        <f>样板房安装工程!$P$31</f>
        <v>14.62</v>
      </c>
      <c r="Q40" s="49">
        <f>样板房安装工程!$Q$31</f>
        <v>0</v>
      </c>
      <c r="R40" s="48">
        <f>样板房安装工程!$R$31</f>
        <v>6.31</v>
      </c>
      <c r="S40" s="50">
        <f>样板房安装工程!$S$31</f>
        <v>1.1200000000000001</v>
      </c>
      <c r="T40" s="12">
        <f>样板房安装工程!$T$31</f>
        <v>0</v>
      </c>
      <c r="U40" s="10">
        <f t="shared" si="17"/>
        <v>88.2</v>
      </c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</row>
    <row r="41" spans="1:32" s="5" customFormat="1" ht="60" customHeight="1" outlineLevel="2">
      <c r="A41" s="22">
        <v>34</v>
      </c>
      <c r="B41" s="23">
        <v>30413014006</v>
      </c>
      <c r="C41" s="23" t="s">
        <v>58</v>
      </c>
      <c r="D41" s="23" t="s">
        <v>175</v>
      </c>
      <c r="E41" s="22" t="s">
        <v>38</v>
      </c>
      <c r="F41" s="24">
        <v>51</v>
      </c>
      <c r="G41" s="64">
        <f t="shared" si="9"/>
        <v>6.31</v>
      </c>
      <c r="H41" s="65">
        <f t="shared" si="10"/>
        <v>15.74</v>
      </c>
      <c r="I41" s="65">
        <f t="shared" si="11"/>
        <v>0</v>
      </c>
      <c r="J41" s="65">
        <f t="shared" si="12"/>
        <v>0</v>
      </c>
      <c r="K41" s="65">
        <f t="shared" si="13"/>
        <v>0</v>
      </c>
      <c r="L41" s="65">
        <f t="shared" si="14"/>
        <v>22.05</v>
      </c>
      <c r="M41" s="65">
        <f t="shared" si="15"/>
        <v>1124.55</v>
      </c>
      <c r="N41" s="28"/>
      <c r="O41" s="24">
        <f t="shared" si="16"/>
        <v>22.05</v>
      </c>
      <c r="P41" s="29">
        <v>14.62</v>
      </c>
      <c r="Q41" s="30">
        <v>0</v>
      </c>
      <c r="R41" s="29">
        <v>6.31</v>
      </c>
      <c r="S41" s="31">
        <v>1.1200000000000001</v>
      </c>
      <c r="T41" s="32">
        <v>0</v>
      </c>
      <c r="U41" s="24">
        <f t="shared" si="17"/>
        <v>1124.55</v>
      </c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</row>
    <row r="42" spans="1:32" s="5" customFormat="1" outlineLevel="1">
      <c r="A42" s="9"/>
      <c r="B42" s="17"/>
      <c r="C42" s="17" t="s">
        <v>176</v>
      </c>
      <c r="D42" s="17"/>
      <c r="E42" s="9"/>
      <c r="F42" s="10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60"/>
      <c r="R42" s="59"/>
      <c r="S42" s="59"/>
      <c r="T42" s="59"/>
      <c r="U42" s="59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</row>
    <row r="43" spans="1:32" s="5" customFormat="1" ht="60" customHeight="1" outlineLevel="2">
      <c r="A43" s="22">
        <v>35</v>
      </c>
      <c r="B43" s="23">
        <v>30412001001</v>
      </c>
      <c r="C43" s="23" t="s">
        <v>177</v>
      </c>
      <c r="D43" s="23" t="s">
        <v>178</v>
      </c>
      <c r="E43" s="22" t="s">
        <v>43</v>
      </c>
      <c r="F43" s="24">
        <v>2169.81</v>
      </c>
      <c r="G43" s="64">
        <f t="shared" ref="G43:G60" si="18">R43*$R$3</f>
        <v>2.61</v>
      </c>
      <c r="H43" s="65">
        <f t="shared" ref="H43:H60" si="19">P43*(1+Q43)*$P$3+S43*$S$3</f>
        <v>1.8</v>
      </c>
      <c r="I43" s="65">
        <f t="shared" ref="I43:I60" si="20">T43*$T$3</f>
        <v>0.09</v>
      </c>
      <c r="J43" s="65">
        <f t="shared" ref="J43:J60" si="21">(G43+H43+I43)*$J$3</f>
        <v>0</v>
      </c>
      <c r="K43" s="65">
        <f t="shared" ref="K43:K60" si="22">(G43+H43+I43+J43)*$K$3</f>
        <v>0</v>
      </c>
      <c r="L43" s="65">
        <f t="shared" ref="L43:L60" si="23">G43+H43+I43+J43+K43</f>
        <v>4.5</v>
      </c>
      <c r="M43" s="65">
        <f t="shared" ref="M43:M60" si="24">F43*L43</f>
        <v>9764.1450000000004</v>
      </c>
      <c r="N43" s="28"/>
      <c r="O43" s="24">
        <f t="shared" ref="O43:O60" si="25">P43*(1+Q43)+R43+S43+T43</f>
        <v>4.5</v>
      </c>
      <c r="P43" s="29">
        <v>1.57</v>
      </c>
      <c r="Q43" s="30">
        <v>0</v>
      </c>
      <c r="R43" s="29">
        <v>2.61</v>
      </c>
      <c r="S43" s="31">
        <v>0.23</v>
      </c>
      <c r="T43" s="32">
        <v>0.09</v>
      </c>
      <c r="U43" s="24">
        <f t="shared" ref="U43:U60" si="26">F43*O43</f>
        <v>9764.1450000000004</v>
      </c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</row>
    <row r="44" spans="1:32" s="5" customFormat="1" ht="60" customHeight="1" outlineLevel="2">
      <c r="A44" s="22">
        <v>36</v>
      </c>
      <c r="B44" s="23">
        <v>30412001002</v>
      </c>
      <c r="C44" s="23" t="s">
        <v>177</v>
      </c>
      <c r="D44" s="23" t="s">
        <v>179</v>
      </c>
      <c r="E44" s="22" t="s">
        <v>43</v>
      </c>
      <c r="F44" s="24">
        <v>324.48</v>
      </c>
      <c r="G44" s="64">
        <f t="shared" si="18"/>
        <v>10.8</v>
      </c>
      <c r="H44" s="65">
        <f t="shared" si="19"/>
        <v>7.1349999999999998</v>
      </c>
      <c r="I44" s="65">
        <f t="shared" si="20"/>
        <v>0.2</v>
      </c>
      <c r="J44" s="65">
        <f t="shared" si="21"/>
        <v>0</v>
      </c>
      <c r="K44" s="65">
        <f t="shared" si="22"/>
        <v>0</v>
      </c>
      <c r="L44" s="65">
        <f t="shared" si="23"/>
        <v>18.135000000000002</v>
      </c>
      <c r="M44" s="65">
        <f t="shared" si="24"/>
        <v>5884.4448000000002</v>
      </c>
      <c r="N44" s="28"/>
      <c r="O44" s="24">
        <f t="shared" si="25"/>
        <v>18.135000000000002</v>
      </c>
      <c r="P44" s="29">
        <v>6.5</v>
      </c>
      <c r="Q44" s="30">
        <v>0.03</v>
      </c>
      <c r="R44" s="29">
        <v>10.8</v>
      </c>
      <c r="S44" s="31">
        <v>0.44</v>
      </c>
      <c r="T44" s="32">
        <v>0.2</v>
      </c>
      <c r="U44" s="24">
        <f t="shared" si="26"/>
        <v>5884.4448000000002</v>
      </c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</row>
    <row r="45" spans="1:32" s="5" customFormat="1" ht="60" customHeight="1" outlineLevel="2">
      <c r="A45" s="22">
        <v>37</v>
      </c>
      <c r="B45" s="23">
        <v>30412001003</v>
      </c>
      <c r="C45" s="23" t="s">
        <v>177</v>
      </c>
      <c r="D45" s="23" t="s">
        <v>180</v>
      </c>
      <c r="E45" s="22" t="s">
        <v>43</v>
      </c>
      <c r="F45" s="24">
        <v>616.28</v>
      </c>
      <c r="G45" s="64">
        <f t="shared" si="18"/>
        <v>8.5</v>
      </c>
      <c r="H45" s="65">
        <f t="shared" si="19"/>
        <v>6.66</v>
      </c>
      <c r="I45" s="65">
        <f t="shared" si="20"/>
        <v>0.2</v>
      </c>
      <c r="J45" s="65">
        <f t="shared" si="21"/>
        <v>0</v>
      </c>
      <c r="K45" s="65">
        <f t="shared" si="22"/>
        <v>0</v>
      </c>
      <c r="L45" s="65">
        <f t="shared" si="23"/>
        <v>15.36</v>
      </c>
      <c r="M45" s="65">
        <f t="shared" si="24"/>
        <v>9466.0607999999993</v>
      </c>
      <c r="N45" s="28"/>
      <c r="O45" s="24">
        <f t="shared" si="25"/>
        <v>15.36</v>
      </c>
      <c r="P45" s="29">
        <v>6</v>
      </c>
      <c r="Q45" s="30">
        <v>0.03</v>
      </c>
      <c r="R45" s="29">
        <v>8.5</v>
      </c>
      <c r="S45" s="31">
        <v>0.48</v>
      </c>
      <c r="T45" s="32">
        <v>0.2</v>
      </c>
      <c r="U45" s="24">
        <f t="shared" si="26"/>
        <v>9466.0607999999993</v>
      </c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</row>
    <row r="46" spans="1:32" s="5" customFormat="1" ht="60" customHeight="1" outlineLevel="2">
      <c r="A46" s="22">
        <v>38</v>
      </c>
      <c r="B46" s="23">
        <v>30412001004</v>
      </c>
      <c r="C46" s="23" t="s">
        <v>177</v>
      </c>
      <c r="D46" s="23" t="s">
        <v>181</v>
      </c>
      <c r="E46" s="22" t="s">
        <v>43</v>
      </c>
      <c r="F46" s="24">
        <v>932.93</v>
      </c>
      <c r="G46" s="64">
        <f t="shared" si="18"/>
        <v>8.5</v>
      </c>
      <c r="H46" s="65">
        <f t="shared" si="19"/>
        <v>6.66</v>
      </c>
      <c r="I46" s="65">
        <f t="shared" si="20"/>
        <v>0.2</v>
      </c>
      <c r="J46" s="65">
        <f t="shared" si="21"/>
        <v>0</v>
      </c>
      <c r="K46" s="65">
        <f t="shared" si="22"/>
        <v>0</v>
      </c>
      <c r="L46" s="65">
        <f t="shared" si="23"/>
        <v>15.36</v>
      </c>
      <c r="M46" s="65">
        <f t="shared" si="24"/>
        <v>14329.8048</v>
      </c>
      <c r="N46" s="28"/>
      <c r="O46" s="24">
        <f t="shared" si="25"/>
        <v>15.36</v>
      </c>
      <c r="P46" s="29">
        <v>6</v>
      </c>
      <c r="Q46" s="30">
        <v>0.03</v>
      </c>
      <c r="R46" s="29">
        <v>8.5</v>
      </c>
      <c r="S46" s="31">
        <v>0.48</v>
      </c>
      <c r="T46" s="32">
        <v>0.2</v>
      </c>
      <c r="U46" s="24">
        <f t="shared" si="26"/>
        <v>14329.8048</v>
      </c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</row>
    <row r="47" spans="1:32" s="5" customFormat="1" ht="60" customHeight="1" outlineLevel="2">
      <c r="A47" s="22">
        <v>39</v>
      </c>
      <c r="B47" s="23">
        <v>30412001005</v>
      </c>
      <c r="C47" s="23" t="s">
        <v>177</v>
      </c>
      <c r="D47" s="23" t="s">
        <v>182</v>
      </c>
      <c r="E47" s="22" t="s">
        <v>43</v>
      </c>
      <c r="F47" s="24">
        <v>24.68</v>
      </c>
      <c r="G47" s="64">
        <f t="shared" si="18"/>
        <v>8.5</v>
      </c>
      <c r="H47" s="65">
        <f t="shared" si="19"/>
        <v>6.66</v>
      </c>
      <c r="I47" s="65">
        <f t="shared" si="20"/>
        <v>0.2</v>
      </c>
      <c r="J47" s="65">
        <f t="shared" si="21"/>
        <v>0</v>
      </c>
      <c r="K47" s="65">
        <f t="shared" si="22"/>
        <v>0</v>
      </c>
      <c r="L47" s="65">
        <f t="shared" si="23"/>
        <v>15.36</v>
      </c>
      <c r="M47" s="65">
        <f t="shared" si="24"/>
        <v>379.08479999999997</v>
      </c>
      <c r="N47" s="28"/>
      <c r="O47" s="24">
        <f t="shared" si="25"/>
        <v>15.36</v>
      </c>
      <c r="P47" s="29">
        <v>6</v>
      </c>
      <c r="Q47" s="30">
        <v>0.03</v>
      </c>
      <c r="R47" s="29">
        <v>8.5</v>
      </c>
      <c r="S47" s="31">
        <v>0.48</v>
      </c>
      <c r="T47" s="32">
        <v>0.2</v>
      </c>
      <c r="U47" s="24">
        <f t="shared" si="26"/>
        <v>379.08479999999997</v>
      </c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</row>
    <row r="48" spans="1:32" s="5" customFormat="1" ht="60" customHeight="1" outlineLevel="2">
      <c r="A48" s="22">
        <v>40</v>
      </c>
      <c r="B48" s="23">
        <v>30412001006</v>
      </c>
      <c r="C48" s="23" t="s">
        <v>177</v>
      </c>
      <c r="D48" s="23" t="s">
        <v>183</v>
      </c>
      <c r="E48" s="22" t="s">
        <v>43</v>
      </c>
      <c r="F48" s="24">
        <v>686.43</v>
      </c>
      <c r="G48" s="64">
        <f t="shared" si="18"/>
        <v>7.6</v>
      </c>
      <c r="H48" s="65">
        <f t="shared" si="19"/>
        <v>8.9930000000000003</v>
      </c>
      <c r="I48" s="65">
        <f t="shared" si="20"/>
        <v>0.2</v>
      </c>
      <c r="J48" s="65">
        <f t="shared" si="21"/>
        <v>0</v>
      </c>
      <c r="K48" s="65">
        <f t="shared" si="22"/>
        <v>0</v>
      </c>
      <c r="L48" s="65">
        <f t="shared" si="23"/>
        <v>16.792999999999999</v>
      </c>
      <c r="M48" s="65">
        <f t="shared" si="24"/>
        <v>11527.218989999999</v>
      </c>
      <c r="N48" s="28"/>
      <c r="O48" s="24">
        <f t="shared" si="25"/>
        <v>16.792999999999999</v>
      </c>
      <c r="P48" s="29">
        <v>8.1</v>
      </c>
      <c r="Q48" s="30">
        <v>0.03</v>
      </c>
      <c r="R48" s="29">
        <v>7.6</v>
      </c>
      <c r="S48" s="31">
        <v>0.65</v>
      </c>
      <c r="T48" s="32">
        <v>0.2</v>
      </c>
      <c r="U48" s="24">
        <f t="shared" si="26"/>
        <v>11527.218989999999</v>
      </c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</row>
    <row r="49" spans="1:32" s="5" customFormat="1" ht="60" customHeight="1" outlineLevel="2">
      <c r="A49" s="22">
        <v>41</v>
      </c>
      <c r="B49" s="23">
        <v>30412001007</v>
      </c>
      <c r="C49" s="23" t="s">
        <v>177</v>
      </c>
      <c r="D49" s="23" t="s">
        <v>184</v>
      </c>
      <c r="E49" s="22" t="s">
        <v>43</v>
      </c>
      <c r="F49" s="24">
        <v>286.27999999999997</v>
      </c>
      <c r="G49" s="64">
        <f t="shared" si="18"/>
        <v>8.5</v>
      </c>
      <c r="H49" s="65">
        <f t="shared" si="19"/>
        <v>10.545</v>
      </c>
      <c r="I49" s="65">
        <f t="shared" si="20"/>
        <v>0.2</v>
      </c>
      <c r="J49" s="65">
        <f t="shared" si="21"/>
        <v>0</v>
      </c>
      <c r="K49" s="65">
        <f t="shared" si="22"/>
        <v>0</v>
      </c>
      <c r="L49" s="65">
        <f t="shared" si="23"/>
        <v>19.245000000000001</v>
      </c>
      <c r="M49" s="65">
        <f t="shared" si="24"/>
        <v>5509.4585999999999</v>
      </c>
      <c r="N49" s="28"/>
      <c r="O49" s="24">
        <f t="shared" si="25"/>
        <v>19.245000000000001</v>
      </c>
      <c r="P49" s="29">
        <v>9.5</v>
      </c>
      <c r="Q49" s="30">
        <v>0.03</v>
      </c>
      <c r="R49" s="29">
        <v>8.5</v>
      </c>
      <c r="S49" s="31">
        <v>0.76</v>
      </c>
      <c r="T49" s="32">
        <v>0.2</v>
      </c>
      <c r="U49" s="24">
        <f t="shared" si="26"/>
        <v>5509.4585999999999</v>
      </c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</row>
    <row r="50" spans="1:32" s="5" customFormat="1" ht="60" customHeight="1" outlineLevel="2">
      <c r="A50" s="22">
        <v>42</v>
      </c>
      <c r="B50" s="23">
        <v>31301001001</v>
      </c>
      <c r="C50" s="23" t="s">
        <v>185</v>
      </c>
      <c r="D50" s="23" t="s">
        <v>186</v>
      </c>
      <c r="E50" s="22" t="s">
        <v>43</v>
      </c>
      <c r="F50" s="24">
        <v>606.51</v>
      </c>
      <c r="G50" s="64">
        <f t="shared" si="18"/>
        <v>17.649999999999999</v>
      </c>
      <c r="H50" s="65">
        <f t="shared" si="19"/>
        <v>0</v>
      </c>
      <c r="I50" s="65">
        <f t="shared" si="20"/>
        <v>2.41</v>
      </c>
      <c r="J50" s="65">
        <f t="shared" si="21"/>
        <v>0</v>
      </c>
      <c r="K50" s="65">
        <f t="shared" si="22"/>
        <v>0</v>
      </c>
      <c r="L50" s="65">
        <f t="shared" si="23"/>
        <v>20.059999999999999</v>
      </c>
      <c r="M50" s="65">
        <f t="shared" si="24"/>
        <v>12166.5906</v>
      </c>
      <c r="N50" s="28"/>
      <c r="O50" s="24">
        <f t="shared" si="25"/>
        <v>20.059999999999999</v>
      </c>
      <c r="P50" s="29">
        <v>0</v>
      </c>
      <c r="Q50" s="30">
        <v>0</v>
      </c>
      <c r="R50" s="29">
        <v>17.649999999999999</v>
      </c>
      <c r="S50" s="31">
        <v>0</v>
      </c>
      <c r="T50" s="32">
        <v>2.41</v>
      </c>
      <c r="U50" s="24">
        <f t="shared" si="26"/>
        <v>12166.5906</v>
      </c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</row>
    <row r="51" spans="1:32" s="5" customFormat="1" ht="60" customHeight="1" outlineLevel="2">
      <c r="A51" s="22">
        <v>43</v>
      </c>
      <c r="B51" s="23">
        <v>30412006001</v>
      </c>
      <c r="C51" s="23" t="s">
        <v>187</v>
      </c>
      <c r="D51" s="23" t="s">
        <v>188</v>
      </c>
      <c r="E51" s="22" t="s">
        <v>46</v>
      </c>
      <c r="F51" s="24">
        <v>861</v>
      </c>
      <c r="G51" s="64">
        <f t="shared" si="18"/>
        <v>2.17</v>
      </c>
      <c r="H51" s="65">
        <f t="shared" si="19"/>
        <v>2.58</v>
      </c>
      <c r="I51" s="65">
        <f t="shared" si="20"/>
        <v>0</v>
      </c>
      <c r="J51" s="65">
        <f t="shared" si="21"/>
        <v>0</v>
      </c>
      <c r="K51" s="65">
        <f t="shared" si="22"/>
        <v>0</v>
      </c>
      <c r="L51" s="65">
        <f t="shared" si="23"/>
        <v>4.75</v>
      </c>
      <c r="M51" s="65">
        <f t="shared" si="24"/>
        <v>4089.75</v>
      </c>
      <c r="N51" s="28"/>
      <c r="O51" s="24">
        <f t="shared" si="25"/>
        <v>4.75</v>
      </c>
      <c r="P51" s="29">
        <v>2.2799999999999998</v>
      </c>
      <c r="Q51" s="30">
        <v>0</v>
      </c>
      <c r="R51" s="29">
        <v>2.17</v>
      </c>
      <c r="S51" s="31">
        <v>0.3</v>
      </c>
      <c r="T51" s="32">
        <v>0</v>
      </c>
      <c r="U51" s="24">
        <f t="shared" si="26"/>
        <v>4089.75</v>
      </c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</row>
    <row r="52" spans="1:32" s="5" customFormat="1" ht="60" customHeight="1" outlineLevel="2">
      <c r="A52" s="22">
        <v>44</v>
      </c>
      <c r="B52" s="23">
        <v>30412006002</v>
      </c>
      <c r="C52" s="23" t="s">
        <v>189</v>
      </c>
      <c r="D52" s="23" t="s">
        <v>190</v>
      </c>
      <c r="E52" s="22" t="s">
        <v>46</v>
      </c>
      <c r="F52" s="24">
        <v>73</v>
      </c>
      <c r="G52" s="64">
        <f t="shared" si="18"/>
        <v>10</v>
      </c>
      <c r="H52" s="65">
        <f t="shared" si="19"/>
        <v>16</v>
      </c>
      <c r="I52" s="65">
        <f t="shared" si="20"/>
        <v>0</v>
      </c>
      <c r="J52" s="65">
        <f t="shared" si="21"/>
        <v>0</v>
      </c>
      <c r="K52" s="65">
        <f t="shared" si="22"/>
        <v>0</v>
      </c>
      <c r="L52" s="65">
        <f t="shared" si="23"/>
        <v>26</v>
      </c>
      <c r="M52" s="65">
        <f t="shared" si="24"/>
        <v>1898</v>
      </c>
      <c r="N52" s="28"/>
      <c r="O52" s="24">
        <f t="shared" si="25"/>
        <v>26</v>
      </c>
      <c r="P52" s="29">
        <v>15</v>
      </c>
      <c r="Q52" s="30">
        <v>0</v>
      </c>
      <c r="R52" s="29">
        <v>10</v>
      </c>
      <c r="S52" s="31">
        <v>1</v>
      </c>
      <c r="T52" s="32">
        <v>0</v>
      </c>
      <c r="U52" s="24">
        <f t="shared" si="26"/>
        <v>1898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</row>
    <row r="53" spans="1:32" s="5" customFormat="1" ht="60" customHeight="1" outlineLevel="2">
      <c r="A53" s="22">
        <v>45</v>
      </c>
      <c r="B53" s="23">
        <v>30412006003</v>
      </c>
      <c r="C53" s="23" t="s">
        <v>189</v>
      </c>
      <c r="D53" s="23" t="s">
        <v>191</v>
      </c>
      <c r="E53" s="22" t="s">
        <v>46</v>
      </c>
      <c r="F53" s="24">
        <v>162</v>
      </c>
      <c r="G53" s="64">
        <f t="shared" si="18"/>
        <v>10</v>
      </c>
      <c r="H53" s="65">
        <f t="shared" si="19"/>
        <v>16</v>
      </c>
      <c r="I53" s="65">
        <f t="shared" si="20"/>
        <v>0</v>
      </c>
      <c r="J53" s="65">
        <f t="shared" si="21"/>
        <v>0</v>
      </c>
      <c r="K53" s="65">
        <f t="shared" si="22"/>
        <v>0</v>
      </c>
      <c r="L53" s="65">
        <f t="shared" si="23"/>
        <v>26</v>
      </c>
      <c r="M53" s="65">
        <f t="shared" si="24"/>
        <v>4212</v>
      </c>
      <c r="N53" s="28"/>
      <c r="O53" s="24">
        <f t="shared" si="25"/>
        <v>26</v>
      </c>
      <c r="P53" s="29">
        <v>15</v>
      </c>
      <c r="Q53" s="30">
        <v>0</v>
      </c>
      <c r="R53" s="29">
        <v>10</v>
      </c>
      <c r="S53" s="31">
        <v>1</v>
      </c>
      <c r="T53" s="32">
        <v>0</v>
      </c>
      <c r="U53" s="24">
        <f t="shared" si="26"/>
        <v>4212</v>
      </c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</row>
    <row r="54" spans="1:32" s="5" customFormat="1" ht="60" customHeight="1" outlineLevel="2">
      <c r="A54" s="9">
        <v>46</v>
      </c>
      <c r="B54" s="17">
        <v>30412004001</v>
      </c>
      <c r="C54" s="17" t="s">
        <v>61</v>
      </c>
      <c r="D54" s="17" t="s">
        <v>62</v>
      </c>
      <c r="E54" s="9" t="s">
        <v>43</v>
      </c>
      <c r="F54" s="10">
        <v>10389.06</v>
      </c>
      <c r="G54" s="66">
        <f t="shared" si="18"/>
        <v>2.2000000000000002</v>
      </c>
      <c r="H54" s="67">
        <f t="shared" si="19"/>
        <v>3.1884000000000001</v>
      </c>
      <c r="I54" s="67">
        <f t="shared" si="20"/>
        <v>0.02</v>
      </c>
      <c r="J54" s="67">
        <f t="shared" si="21"/>
        <v>0</v>
      </c>
      <c r="K54" s="67">
        <f t="shared" si="22"/>
        <v>0</v>
      </c>
      <c r="L54" s="67">
        <f t="shared" si="23"/>
        <v>5.4084000000000003</v>
      </c>
      <c r="M54" s="67">
        <f t="shared" si="24"/>
        <v>56188.192104000002</v>
      </c>
      <c r="N54" s="8"/>
      <c r="O54" s="10">
        <f t="shared" si="25"/>
        <v>5.4084000000000003</v>
      </c>
      <c r="P54" s="48">
        <f>公共区域安装工程!$P$17</f>
        <v>2.92</v>
      </c>
      <c r="Q54" s="49">
        <f>公共区域安装工程!$Q$17</f>
        <v>0.02</v>
      </c>
      <c r="R54" s="48">
        <f>公共区域安装工程!$R$17</f>
        <v>2.2000000000000002</v>
      </c>
      <c r="S54" s="50">
        <f>公共区域安装工程!$S$17</f>
        <v>0.21</v>
      </c>
      <c r="T54" s="12">
        <f>公共区域安装工程!$T$17</f>
        <v>0.02</v>
      </c>
      <c r="U54" s="10">
        <f t="shared" si="26"/>
        <v>56188.192104000002</v>
      </c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</row>
    <row r="55" spans="1:32" s="5" customFormat="1" ht="60" customHeight="1" outlineLevel="2">
      <c r="A55" s="22">
        <v>47</v>
      </c>
      <c r="B55" s="23">
        <v>30412004002</v>
      </c>
      <c r="C55" s="23" t="s">
        <v>61</v>
      </c>
      <c r="D55" s="23" t="s">
        <v>192</v>
      </c>
      <c r="E55" s="22" t="s">
        <v>43</v>
      </c>
      <c r="F55" s="24">
        <v>311.04000000000002</v>
      </c>
      <c r="G55" s="64">
        <f t="shared" si="18"/>
        <v>2.2000000000000002</v>
      </c>
      <c r="H55" s="65">
        <f t="shared" si="19"/>
        <v>3.1884000000000001</v>
      </c>
      <c r="I55" s="65">
        <f t="shared" si="20"/>
        <v>0.02</v>
      </c>
      <c r="J55" s="65">
        <f t="shared" si="21"/>
        <v>0</v>
      </c>
      <c r="K55" s="65">
        <f t="shared" si="22"/>
        <v>0</v>
      </c>
      <c r="L55" s="65">
        <f t="shared" si="23"/>
        <v>5.4084000000000003</v>
      </c>
      <c r="M55" s="65">
        <f t="shared" si="24"/>
        <v>1682.228736</v>
      </c>
      <c r="N55" s="28"/>
      <c r="O55" s="24">
        <f t="shared" si="25"/>
        <v>5.4084000000000003</v>
      </c>
      <c r="P55" s="29">
        <v>2.92</v>
      </c>
      <c r="Q55" s="30">
        <v>0.02</v>
      </c>
      <c r="R55" s="29">
        <v>2.2000000000000002</v>
      </c>
      <c r="S55" s="31">
        <v>0.21</v>
      </c>
      <c r="T55" s="32">
        <v>0.02</v>
      </c>
      <c r="U55" s="24">
        <f t="shared" si="26"/>
        <v>1682.228736</v>
      </c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</row>
    <row r="56" spans="1:32" s="5" customFormat="1" ht="60" customHeight="1" outlineLevel="2">
      <c r="A56" s="22">
        <v>48</v>
      </c>
      <c r="B56" s="23">
        <v>30412004003</v>
      </c>
      <c r="C56" s="23" t="s">
        <v>61</v>
      </c>
      <c r="D56" s="23" t="s">
        <v>193</v>
      </c>
      <c r="E56" s="22" t="s">
        <v>43</v>
      </c>
      <c r="F56" s="24">
        <v>3896.09</v>
      </c>
      <c r="G56" s="64">
        <f t="shared" si="18"/>
        <v>14</v>
      </c>
      <c r="H56" s="65">
        <f t="shared" si="19"/>
        <v>134.25200000000001</v>
      </c>
      <c r="I56" s="65">
        <f t="shared" si="20"/>
        <v>1.04</v>
      </c>
      <c r="J56" s="65">
        <f t="shared" si="21"/>
        <v>0</v>
      </c>
      <c r="K56" s="65">
        <f t="shared" si="22"/>
        <v>0</v>
      </c>
      <c r="L56" s="65">
        <f t="shared" si="23"/>
        <v>149.292</v>
      </c>
      <c r="M56" s="65">
        <f t="shared" si="24"/>
        <v>581655.06828000001</v>
      </c>
      <c r="N56" s="28"/>
      <c r="O56" s="24">
        <f t="shared" si="25"/>
        <v>149.292</v>
      </c>
      <c r="P56" s="29">
        <v>130.6</v>
      </c>
      <c r="Q56" s="30">
        <v>0.02</v>
      </c>
      <c r="R56" s="29">
        <v>14</v>
      </c>
      <c r="S56" s="31">
        <v>1.04</v>
      </c>
      <c r="T56" s="32">
        <v>1.04</v>
      </c>
      <c r="U56" s="24">
        <f t="shared" si="26"/>
        <v>581655.06828000001</v>
      </c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</row>
    <row r="57" spans="1:32" s="5" customFormat="1" ht="60" customHeight="1" outlineLevel="2">
      <c r="A57" s="22">
        <v>49</v>
      </c>
      <c r="B57" s="23">
        <v>30412004004</v>
      </c>
      <c r="C57" s="23" t="s">
        <v>61</v>
      </c>
      <c r="D57" s="23" t="s">
        <v>194</v>
      </c>
      <c r="E57" s="22" t="s">
        <v>43</v>
      </c>
      <c r="F57" s="24">
        <v>1846.08</v>
      </c>
      <c r="G57" s="64">
        <f t="shared" si="18"/>
        <v>21.2</v>
      </c>
      <c r="H57" s="65">
        <f t="shared" si="19"/>
        <v>36.753999999999998</v>
      </c>
      <c r="I57" s="65">
        <f t="shared" si="20"/>
        <v>0.21</v>
      </c>
      <c r="J57" s="65">
        <f t="shared" si="21"/>
        <v>0</v>
      </c>
      <c r="K57" s="65">
        <f t="shared" si="22"/>
        <v>0</v>
      </c>
      <c r="L57" s="65">
        <f t="shared" si="23"/>
        <v>58.164000000000001</v>
      </c>
      <c r="M57" s="65">
        <f t="shared" si="24"/>
        <v>107375.39711999999</v>
      </c>
      <c r="N57" s="28"/>
      <c r="O57" s="24">
        <f t="shared" si="25"/>
        <v>58.164000000000001</v>
      </c>
      <c r="P57" s="29">
        <v>35.200000000000003</v>
      </c>
      <c r="Q57" s="30">
        <v>0.02</v>
      </c>
      <c r="R57" s="29">
        <v>21.2</v>
      </c>
      <c r="S57" s="31">
        <v>0.85</v>
      </c>
      <c r="T57" s="32">
        <v>0.21</v>
      </c>
      <c r="U57" s="24">
        <f t="shared" si="26"/>
        <v>107375.39711999999</v>
      </c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</row>
    <row r="58" spans="1:32" s="5" customFormat="1" ht="60" customHeight="1" outlineLevel="2">
      <c r="A58" s="9">
        <v>50</v>
      </c>
      <c r="B58" s="17">
        <v>30412004005</v>
      </c>
      <c r="C58" s="17" t="s">
        <v>61</v>
      </c>
      <c r="D58" s="17" t="s">
        <v>63</v>
      </c>
      <c r="E58" s="9" t="s">
        <v>43</v>
      </c>
      <c r="F58" s="10">
        <v>96.51</v>
      </c>
      <c r="G58" s="66">
        <f t="shared" si="18"/>
        <v>15</v>
      </c>
      <c r="H58" s="67">
        <f t="shared" si="19"/>
        <v>137.13800000000001</v>
      </c>
      <c r="I58" s="67">
        <f t="shared" si="20"/>
        <v>1.07</v>
      </c>
      <c r="J58" s="67">
        <f t="shared" si="21"/>
        <v>0</v>
      </c>
      <c r="K58" s="67">
        <f t="shared" si="22"/>
        <v>0</v>
      </c>
      <c r="L58" s="67">
        <f t="shared" si="23"/>
        <v>153.208</v>
      </c>
      <c r="M58" s="67">
        <f t="shared" si="24"/>
        <v>14786.104079999999</v>
      </c>
      <c r="N58" s="8"/>
      <c r="O58" s="10">
        <f t="shared" si="25"/>
        <v>153.208</v>
      </c>
      <c r="P58" s="48">
        <f>架空层安装工程!$P$22</f>
        <v>133.4</v>
      </c>
      <c r="Q58" s="49">
        <f>架空层安装工程!$Q$22</f>
        <v>0.02</v>
      </c>
      <c r="R58" s="48">
        <f>架空层安装工程!$R$22</f>
        <v>15</v>
      </c>
      <c r="S58" s="50">
        <f>架空层安装工程!$S$22</f>
        <v>1.07</v>
      </c>
      <c r="T58" s="12">
        <f>架空层安装工程!$T$22</f>
        <v>1.07</v>
      </c>
      <c r="U58" s="10">
        <f t="shared" si="26"/>
        <v>14786.104079999999</v>
      </c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</row>
    <row r="59" spans="1:32" s="5" customFormat="1" ht="60" customHeight="1" outlineLevel="2">
      <c r="A59" s="22">
        <v>51</v>
      </c>
      <c r="B59" s="23">
        <v>30412004006</v>
      </c>
      <c r="C59" s="23" t="s">
        <v>61</v>
      </c>
      <c r="D59" s="23" t="s">
        <v>195</v>
      </c>
      <c r="E59" s="22" t="s">
        <v>43</v>
      </c>
      <c r="F59" s="24">
        <v>140.84</v>
      </c>
      <c r="G59" s="64">
        <f t="shared" si="18"/>
        <v>21.8</v>
      </c>
      <c r="H59" s="65">
        <f t="shared" si="19"/>
        <v>39.466000000000001</v>
      </c>
      <c r="I59" s="65">
        <f t="shared" si="20"/>
        <v>0.22</v>
      </c>
      <c r="J59" s="65">
        <f t="shared" si="21"/>
        <v>0</v>
      </c>
      <c r="K59" s="65">
        <f t="shared" si="22"/>
        <v>0</v>
      </c>
      <c r="L59" s="65">
        <f t="shared" si="23"/>
        <v>61.485999999999997</v>
      </c>
      <c r="M59" s="65">
        <f t="shared" si="24"/>
        <v>8659.6882399999995</v>
      </c>
      <c r="N59" s="28"/>
      <c r="O59" s="24">
        <f t="shared" si="25"/>
        <v>61.485999999999997</v>
      </c>
      <c r="P59" s="29">
        <v>37.799999999999997</v>
      </c>
      <c r="Q59" s="30">
        <v>0.02</v>
      </c>
      <c r="R59" s="29">
        <v>21.8</v>
      </c>
      <c r="S59" s="31">
        <v>0.91</v>
      </c>
      <c r="T59" s="32">
        <v>0.22</v>
      </c>
      <c r="U59" s="24">
        <f t="shared" si="26"/>
        <v>8659.6882399999995</v>
      </c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</row>
    <row r="60" spans="1:32" s="5" customFormat="1" ht="60" customHeight="1" outlineLevel="2">
      <c r="A60" s="9">
        <v>52</v>
      </c>
      <c r="B60" s="17">
        <v>30412004007</v>
      </c>
      <c r="C60" s="17" t="s">
        <v>61</v>
      </c>
      <c r="D60" s="17" t="s">
        <v>64</v>
      </c>
      <c r="E60" s="9" t="s">
        <v>43</v>
      </c>
      <c r="F60" s="10">
        <v>581.65</v>
      </c>
      <c r="G60" s="66">
        <f t="shared" si="18"/>
        <v>5.2</v>
      </c>
      <c r="H60" s="67">
        <f t="shared" si="19"/>
        <v>4.1059999999999999</v>
      </c>
      <c r="I60" s="67">
        <f t="shared" si="20"/>
        <v>0.05</v>
      </c>
      <c r="J60" s="67">
        <f t="shared" si="21"/>
        <v>0</v>
      </c>
      <c r="K60" s="67">
        <f t="shared" si="22"/>
        <v>0</v>
      </c>
      <c r="L60" s="67">
        <f t="shared" si="23"/>
        <v>9.3559999999999999</v>
      </c>
      <c r="M60" s="67">
        <f t="shared" si="24"/>
        <v>5441.9174000000003</v>
      </c>
      <c r="N60" s="8"/>
      <c r="O60" s="10">
        <f t="shared" si="25"/>
        <v>9.3559999999999999</v>
      </c>
      <c r="P60" s="48">
        <f>架空层安装工程!$P$23</f>
        <v>3.8</v>
      </c>
      <c r="Q60" s="49">
        <f>架空层安装工程!$Q$23</f>
        <v>0.02</v>
      </c>
      <c r="R60" s="48">
        <f>架空层安装工程!$R$23</f>
        <v>5.2</v>
      </c>
      <c r="S60" s="50">
        <f>架空层安装工程!$S$23</f>
        <v>0.23</v>
      </c>
      <c r="T60" s="12">
        <f>架空层安装工程!$T$23</f>
        <v>0.05</v>
      </c>
      <c r="U60" s="10">
        <f t="shared" si="26"/>
        <v>5441.9174000000003</v>
      </c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</row>
    <row r="61" spans="1:32" s="5" customFormat="1">
      <c r="A61" s="9"/>
      <c r="B61" s="17"/>
      <c r="C61" s="17" t="s">
        <v>196</v>
      </c>
      <c r="D61" s="17"/>
      <c r="E61" s="9"/>
      <c r="F61" s="10"/>
      <c r="G61" s="59"/>
      <c r="H61" s="59"/>
      <c r="I61" s="59"/>
      <c r="J61" s="59"/>
      <c r="K61" s="59"/>
      <c r="L61" s="59"/>
      <c r="M61" s="59"/>
      <c r="N61" s="59"/>
      <c r="O61" s="59"/>
      <c r="P61" s="59"/>
      <c r="Q61" s="60"/>
      <c r="R61" s="59"/>
      <c r="S61" s="59"/>
      <c r="T61" s="59"/>
      <c r="U61" s="59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</row>
    <row r="62" spans="1:32" s="5" customFormat="1" outlineLevel="1">
      <c r="A62" s="9"/>
      <c r="B62" s="17"/>
      <c r="C62" s="17" t="s">
        <v>197</v>
      </c>
      <c r="D62" s="17"/>
      <c r="E62" s="9"/>
      <c r="F62" s="10"/>
      <c r="G62" s="59"/>
      <c r="H62" s="59"/>
      <c r="I62" s="59"/>
      <c r="J62" s="59"/>
      <c r="K62" s="59"/>
      <c r="L62" s="59"/>
      <c r="M62" s="59"/>
      <c r="N62" s="59"/>
      <c r="O62" s="59"/>
      <c r="P62" s="59"/>
      <c r="Q62" s="60"/>
      <c r="R62" s="59"/>
      <c r="S62" s="59"/>
      <c r="T62" s="59"/>
      <c r="U62" s="59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</row>
    <row r="63" spans="1:32" s="5" customFormat="1" ht="84" customHeight="1" outlineLevel="2">
      <c r="A63" s="22">
        <v>53</v>
      </c>
      <c r="B63" s="23">
        <v>31001008001</v>
      </c>
      <c r="C63" s="23" t="s">
        <v>198</v>
      </c>
      <c r="D63" s="23" t="s">
        <v>199</v>
      </c>
      <c r="E63" s="22" t="s">
        <v>43</v>
      </c>
      <c r="F63" s="24">
        <v>108.55</v>
      </c>
      <c r="G63" s="64">
        <f t="shared" ref="G63:G73" si="27">R63*$R$3</f>
        <v>20</v>
      </c>
      <c r="H63" s="65">
        <f t="shared" ref="H63:H73" si="28">P63*(1+Q63)*$P$3+S63*$S$3</f>
        <v>3.97</v>
      </c>
      <c r="I63" s="65">
        <f t="shared" ref="I63:I73" si="29">T63*$T$3</f>
        <v>0.13</v>
      </c>
      <c r="J63" s="65">
        <f t="shared" ref="J63:J73" si="30">(G63+H63+I63)*$J$3</f>
        <v>0</v>
      </c>
      <c r="K63" s="65">
        <f t="shared" ref="K63:K73" si="31">(G63+H63+I63+J63)*$K$3</f>
        <v>0</v>
      </c>
      <c r="L63" s="65">
        <f t="shared" ref="L63:L73" si="32">G63+H63+I63+J63+K63</f>
        <v>24.1</v>
      </c>
      <c r="M63" s="65">
        <f t="shared" ref="M63:M73" si="33">F63*L63</f>
        <v>2616.0549999999998</v>
      </c>
      <c r="N63" s="28"/>
      <c r="O63" s="24">
        <f t="shared" ref="O63:O73" si="34">P63*(1+Q63)+R63+S63+T63</f>
        <v>24.1</v>
      </c>
      <c r="P63" s="29">
        <v>3.2</v>
      </c>
      <c r="Q63" s="30">
        <v>0</v>
      </c>
      <c r="R63" s="29">
        <v>20</v>
      </c>
      <c r="S63" s="31">
        <v>0.77</v>
      </c>
      <c r="T63" s="32">
        <v>0.13</v>
      </c>
      <c r="U63" s="24">
        <f t="shared" ref="U63:U73" si="35">F63*O63</f>
        <v>2616.0549999999998</v>
      </c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</row>
    <row r="64" spans="1:32" s="5" customFormat="1" ht="84" customHeight="1" outlineLevel="2">
      <c r="A64" s="22">
        <v>54</v>
      </c>
      <c r="B64" s="23">
        <v>31001008002</v>
      </c>
      <c r="C64" s="23" t="s">
        <v>198</v>
      </c>
      <c r="D64" s="23" t="s">
        <v>200</v>
      </c>
      <c r="E64" s="22" t="s">
        <v>43</v>
      </c>
      <c r="F64" s="24">
        <v>24.67</v>
      </c>
      <c r="G64" s="64">
        <f t="shared" si="27"/>
        <v>18</v>
      </c>
      <c r="H64" s="65">
        <f t="shared" si="28"/>
        <v>4.76</v>
      </c>
      <c r="I64" s="65">
        <f t="shared" si="29"/>
        <v>0.04</v>
      </c>
      <c r="J64" s="65">
        <f t="shared" si="30"/>
        <v>0</v>
      </c>
      <c r="K64" s="65">
        <f t="shared" si="31"/>
        <v>0</v>
      </c>
      <c r="L64" s="65">
        <f t="shared" si="32"/>
        <v>22.8</v>
      </c>
      <c r="M64" s="65">
        <f t="shared" si="33"/>
        <v>562.476</v>
      </c>
      <c r="N64" s="28"/>
      <c r="O64" s="24">
        <f t="shared" si="34"/>
        <v>22.8</v>
      </c>
      <c r="P64" s="29">
        <v>4.5</v>
      </c>
      <c r="Q64" s="30">
        <v>0</v>
      </c>
      <c r="R64" s="29">
        <v>18</v>
      </c>
      <c r="S64" s="31">
        <v>0.26</v>
      </c>
      <c r="T64" s="32">
        <v>0.04</v>
      </c>
      <c r="U64" s="24">
        <f t="shared" si="35"/>
        <v>562.476</v>
      </c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</row>
    <row r="65" spans="1:32" s="5" customFormat="1" ht="84" customHeight="1" outlineLevel="2">
      <c r="A65" s="22">
        <v>55</v>
      </c>
      <c r="B65" s="23">
        <v>31001008003</v>
      </c>
      <c r="C65" s="23" t="s">
        <v>198</v>
      </c>
      <c r="D65" s="23" t="s">
        <v>201</v>
      </c>
      <c r="E65" s="22" t="s">
        <v>43</v>
      </c>
      <c r="F65" s="24">
        <v>21.64</v>
      </c>
      <c r="G65" s="64">
        <f t="shared" si="27"/>
        <v>22.09</v>
      </c>
      <c r="H65" s="65">
        <f t="shared" si="28"/>
        <v>8.76</v>
      </c>
      <c r="I65" s="65">
        <f t="shared" si="29"/>
        <v>0.04</v>
      </c>
      <c r="J65" s="65">
        <f t="shared" si="30"/>
        <v>0</v>
      </c>
      <c r="K65" s="65">
        <f t="shared" si="31"/>
        <v>0</v>
      </c>
      <c r="L65" s="65">
        <f t="shared" si="32"/>
        <v>30.89</v>
      </c>
      <c r="M65" s="65">
        <f t="shared" si="33"/>
        <v>668.45960000000002</v>
      </c>
      <c r="N65" s="28"/>
      <c r="O65" s="24">
        <f t="shared" si="34"/>
        <v>30.89</v>
      </c>
      <c r="P65" s="29">
        <v>8.5</v>
      </c>
      <c r="Q65" s="30">
        <v>0</v>
      </c>
      <c r="R65" s="29">
        <v>22.09</v>
      </c>
      <c r="S65" s="31">
        <v>0.26</v>
      </c>
      <c r="T65" s="32">
        <v>0.04</v>
      </c>
      <c r="U65" s="24">
        <f t="shared" si="35"/>
        <v>668.45960000000002</v>
      </c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</row>
    <row r="66" spans="1:32" s="5" customFormat="1" ht="84" customHeight="1" outlineLevel="2">
      <c r="A66" s="22">
        <v>56</v>
      </c>
      <c r="B66" s="23">
        <v>31001008004</v>
      </c>
      <c r="C66" s="23" t="s">
        <v>198</v>
      </c>
      <c r="D66" s="23" t="s">
        <v>202</v>
      </c>
      <c r="E66" s="22" t="s">
        <v>43</v>
      </c>
      <c r="F66" s="24">
        <v>16.52</v>
      </c>
      <c r="G66" s="64">
        <f t="shared" si="27"/>
        <v>23.68</v>
      </c>
      <c r="H66" s="65">
        <f t="shared" si="28"/>
        <v>11.86</v>
      </c>
      <c r="I66" s="65">
        <f t="shared" si="29"/>
        <v>0.05</v>
      </c>
      <c r="J66" s="65">
        <f t="shared" si="30"/>
        <v>0</v>
      </c>
      <c r="K66" s="65">
        <f t="shared" si="31"/>
        <v>0</v>
      </c>
      <c r="L66" s="65">
        <f t="shared" si="32"/>
        <v>35.590000000000003</v>
      </c>
      <c r="M66" s="65">
        <f t="shared" si="33"/>
        <v>587.94680000000005</v>
      </c>
      <c r="N66" s="28"/>
      <c r="O66" s="24">
        <f t="shared" si="34"/>
        <v>35.590000000000003</v>
      </c>
      <c r="P66" s="29">
        <v>11.59</v>
      </c>
      <c r="Q66" s="30">
        <v>0</v>
      </c>
      <c r="R66" s="29">
        <v>23.68</v>
      </c>
      <c r="S66" s="31">
        <v>0.27</v>
      </c>
      <c r="T66" s="32">
        <v>0.05</v>
      </c>
      <c r="U66" s="24">
        <f t="shared" si="35"/>
        <v>587.94680000000005</v>
      </c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</row>
    <row r="67" spans="1:32" s="5" customFormat="1" ht="84" customHeight="1" outlineLevel="2">
      <c r="A67" s="22">
        <v>57</v>
      </c>
      <c r="B67" s="23">
        <v>31001008005</v>
      </c>
      <c r="C67" s="23" t="s">
        <v>203</v>
      </c>
      <c r="D67" s="23" t="s">
        <v>204</v>
      </c>
      <c r="E67" s="22" t="s">
        <v>43</v>
      </c>
      <c r="F67" s="24">
        <v>27.1</v>
      </c>
      <c r="G67" s="64">
        <f t="shared" si="27"/>
        <v>20</v>
      </c>
      <c r="H67" s="65">
        <f t="shared" si="28"/>
        <v>3.97</v>
      </c>
      <c r="I67" s="65">
        <f t="shared" si="29"/>
        <v>0.13</v>
      </c>
      <c r="J67" s="65">
        <f t="shared" si="30"/>
        <v>0</v>
      </c>
      <c r="K67" s="65">
        <f t="shared" si="31"/>
        <v>0</v>
      </c>
      <c r="L67" s="65">
        <f t="shared" si="32"/>
        <v>24.1</v>
      </c>
      <c r="M67" s="65">
        <f t="shared" si="33"/>
        <v>653.11</v>
      </c>
      <c r="N67" s="28"/>
      <c r="O67" s="24">
        <f t="shared" si="34"/>
        <v>24.1</v>
      </c>
      <c r="P67" s="29">
        <v>3.2</v>
      </c>
      <c r="Q67" s="30">
        <v>0</v>
      </c>
      <c r="R67" s="29">
        <v>20</v>
      </c>
      <c r="S67" s="31">
        <v>0.77</v>
      </c>
      <c r="T67" s="32">
        <v>0.13</v>
      </c>
      <c r="U67" s="24">
        <f t="shared" si="35"/>
        <v>653.11</v>
      </c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</row>
    <row r="68" spans="1:32" s="5" customFormat="1" ht="84" customHeight="1" outlineLevel="2">
      <c r="A68" s="22">
        <v>58</v>
      </c>
      <c r="B68" s="23">
        <v>31001008006</v>
      </c>
      <c r="C68" s="23" t="s">
        <v>203</v>
      </c>
      <c r="D68" s="23" t="s">
        <v>205</v>
      </c>
      <c r="E68" s="22" t="s">
        <v>43</v>
      </c>
      <c r="F68" s="24">
        <v>23.43</v>
      </c>
      <c r="G68" s="64">
        <f t="shared" si="27"/>
        <v>18</v>
      </c>
      <c r="H68" s="65">
        <f t="shared" si="28"/>
        <v>4.76</v>
      </c>
      <c r="I68" s="65">
        <f t="shared" si="29"/>
        <v>0.04</v>
      </c>
      <c r="J68" s="65">
        <f t="shared" si="30"/>
        <v>0</v>
      </c>
      <c r="K68" s="65">
        <f t="shared" si="31"/>
        <v>0</v>
      </c>
      <c r="L68" s="65">
        <f t="shared" si="32"/>
        <v>22.8</v>
      </c>
      <c r="M68" s="65">
        <f t="shared" si="33"/>
        <v>534.20399999999995</v>
      </c>
      <c r="N68" s="28"/>
      <c r="O68" s="24">
        <f t="shared" si="34"/>
        <v>22.8</v>
      </c>
      <c r="P68" s="29">
        <v>4.5</v>
      </c>
      <c r="Q68" s="30">
        <v>0</v>
      </c>
      <c r="R68" s="29">
        <v>18</v>
      </c>
      <c r="S68" s="31">
        <v>0.26</v>
      </c>
      <c r="T68" s="32">
        <v>0.04</v>
      </c>
      <c r="U68" s="24">
        <f t="shared" si="35"/>
        <v>534.20399999999995</v>
      </c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</row>
    <row r="69" spans="1:32" s="5" customFormat="1" ht="84" customHeight="1" outlineLevel="2">
      <c r="A69" s="22">
        <v>59</v>
      </c>
      <c r="B69" s="23">
        <v>31001008007</v>
      </c>
      <c r="C69" s="23" t="s">
        <v>203</v>
      </c>
      <c r="D69" s="23" t="s">
        <v>206</v>
      </c>
      <c r="E69" s="22" t="s">
        <v>43</v>
      </c>
      <c r="F69" s="24">
        <v>14.1</v>
      </c>
      <c r="G69" s="64">
        <f t="shared" si="27"/>
        <v>22.09</v>
      </c>
      <c r="H69" s="65">
        <f t="shared" si="28"/>
        <v>8.76</v>
      </c>
      <c r="I69" s="65">
        <f t="shared" si="29"/>
        <v>0.04</v>
      </c>
      <c r="J69" s="65">
        <f t="shared" si="30"/>
        <v>0</v>
      </c>
      <c r="K69" s="65">
        <f t="shared" si="31"/>
        <v>0</v>
      </c>
      <c r="L69" s="65">
        <f t="shared" si="32"/>
        <v>30.89</v>
      </c>
      <c r="M69" s="65">
        <f t="shared" si="33"/>
        <v>435.54899999999998</v>
      </c>
      <c r="N69" s="28"/>
      <c r="O69" s="24">
        <f t="shared" si="34"/>
        <v>30.89</v>
      </c>
      <c r="P69" s="29">
        <v>8.5</v>
      </c>
      <c r="Q69" s="30">
        <v>0</v>
      </c>
      <c r="R69" s="29">
        <v>22.09</v>
      </c>
      <c r="S69" s="31">
        <v>0.26</v>
      </c>
      <c r="T69" s="32">
        <v>0.04</v>
      </c>
      <c r="U69" s="24">
        <f t="shared" si="35"/>
        <v>435.54899999999998</v>
      </c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</row>
    <row r="70" spans="1:32" s="5" customFormat="1" ht="60" customHeight="1" outlineLevel="2">
      <c r="A70" s="9">
        <v>60</v>
      </c>
      <c r="B70" s="17">
        <v>31301001002</v>
      </c>
      <c r="C70" s="17" t="s">
        <v>185</v>
      </c>
      <c r="D70" s="17" t="s">
        <v>186</v>
      </c>
      <c r="E70" s="9" t="s">
        <v>43</v>
      </c>
      <c r="F70" s="10">
        <v>51.2</v>
      </c>
      <c r="G70" s="66">
        <f t="shared" si="27"/>
        <v>17.649999999999999</v>
      </c>
      <c r="H70" s="67">
        <f t="shared" si="28"/>
        <v>0</v>
      </c>
      <c r="I70" s="67">
        <f t="shared" si="29"/>
        <v>2.41</v>
      </c>
      <c r="J70" s="67">
        <f t="shared" si="30"/>
        <v>0</v>
      </c>
      <c r="K70" s="67">
        <f t="shared" si="31"/>
        <v>0</v>
      </c>
      <c r="L70" s="67">
        <f t="shared" si="32"/>
        <v>20.059999999999999</v>
      </c>
      <c r="M70" s="67">
        <f t="shared" si="33"/>
        <v>1027.0719999999999</v>
      </c>
      <c r="N70" s="8"/>
      <c r="O70" s="10">
        <f t="shared" si="34"/>
        <v>20.059999999999999</v>
      </c>
      <c r="P70" s="48">
        <f>$P$50</f>
        <v>0</v>
      </c>
      <c r="Q70" s="49">
        <f>$Q$50</f>
        <v>0</v>
      </c>
      <c r="R70" s="48">
        <f>$R$50</f>
        <v>17.649999999999999</v>
      </c>
      <c r="S70" s="50">
        <f>$S$50</f>
        <v>0</v>
      </c>
      <c r="T70" s="12">
        <f>$T$50</f>
        <v>2.41</v>
      </c>
      <c r="U70" s="10">
        <f t="shared" si="35"/>
        <v>1027.0719999999999</v>
      </c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</row>
    <row r="71" spans="1:32" s="5" customFormat="1" ht="84" customHeight="1" outlineLevel="2">
      <c r="A71" s="9">
        <v>61</v>
      </c>
      <c r="B71" s="17">
        <v>31001008008</v>
      </c>
      <c r="C71" s="17" t="s">
        <v>207</v>
      </c>
      <c r="D71" s="17" t="s">
        <v>208</v>
      </c>
      <c r="E71" s="9" t="s">
        <v>43</v>
      </c>
      <c r="F71" s="10">
        <v>18.489999999999998</v>
      </c>
      <c r="G71" s="66">
        <f t="shared" si="27"/>
        <v>24</v>
      </c>
      <c r="H71" s="67">
        <f t="shared" si="28"/>
        <v>16.27</v>
      </c>
      <c r="I71" s="67">
        <f t="shared" si="29"/>
        <v>0.23</v>
      </c>
      <c r="J71" s="67">
        <f t="shared" si="30"/>
        <v>0</v>
      </c>
      <c r="K71" s="67">
        <f t="shared" si="31"/>
        <v>0</v>
      </c>
      <c r="L71" s="67">
        <f t="shared" si="32"/>
        <v>40.5</v>
      </c>
      <c r="M71" s="67">
        <f t="shared" si="33"/>
        <v>748.84500000000003</v>
      </c>
      <c r="N71" s="8"/>
      <c r="O71" s="10">
        <f t="shared" si="34"/>
        <v>40.5</v>
      </c>
      <c r="P71" s="48">
        <f>样板房安装工程!$P$46</f>
        <v>15</v>
      </c>
      <c r="Q71" s="49">
        <f>样板房安装工程!$Q$46</f>
        <v>0</v>
      </c>
      <c r="R71" s="48">
        <f>样板房安装工程!$R$46</f>
        <v>24</v>
      </c>
      <c r="S71" s="50">
        <f>样板房安装工程!$S$46</f>
        <v>1.27</v>
      </c>
      <c r="T71" s="12">
        <f>样板房安装工程!$T$46</f>
        <v>0.23</v>
      </c>
      <c r="U71" s="10">
        <f t="shared" si="35"/>
        <v>748.84500000000003</v>
      </c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</row>
    <row r="72" spans="1:32" s="5" customFormat="1" ht="84" customHeight="1" outlineLevel="2">
      <c r="A72" s="9">
        <v>62</v>
      </c>
      <c r="B72" s="17">
        <v>31001008009</v>
      </c>
      <c r="C72" s="17" t="s">
        <v>207</v>
      </c>
      <c r="D72" s="17" t="s">
        <v>209</v>
      </c>
      <c r="E72" s="9" t="s">
        <v>43</v>
      </c>
      <c r="F72" s="10">
        <v>41.77</v>
      </c>
      <c r="G72" s="66">
        <f t="shared" si="27"/>
        <v>55</v>
      </c>
      <c r="H72" s="67">
        <f t="shared" si="28"/>
        <v>28</v>
      </c>
      <c r="I72" s="67">
        <f t="shared" si="29"/>
        <v>3</v>
      </c>
      <c r="J72" s="67">
        <f t="shared" si="30"/>
        <v>0</v>
      </c>
      <c r="K72" s="67">
        <f t="shared" si="31"/>
        <v>0</v>
      </c>
      <c r="L72" s="67">
        <f t="shared" si="32"/>
        <v>86</v>
      </c>
      <c r="M72" s="67">
        <f t="shared" si="33"/>
        <v>3592.22</v>
      </c>
      <c r="N72" s="8"/>
      <c r="O72" s="10">
        <f t="shared" si="34"/>
        <v>86</v>
      </c>
      <c r="P72" s="48">
        <f>样板房安装工程!$P$47</f>
        <v>25</v>
      </c>
      <c r="Q72" s="49">
        <f>样板房安装工程!$Q$47</f>
        <v>0</v>
      </c>
      <c r="R72" s="48">
        <f>样板房安装工程!$R$47</f>
        <v>55</v>
      </c>
      <c r="S72" s="50">
        <f>样板房安装工程!$S$47</f>
        <v>3</v>
      </c>
      <c r="T72" s="12">
        <f>样板房安装工程!$T$47</f>
        <v>3</v>
      </c>
      <c r="U72" s="10">
        <f t="shared" si="35"/>
        <v>3592.22</v>
      </c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</row>
    <row r="73" spans="1:32" s="5" customFormat="1" ht="84" customHeight="1" outlineLevel="2">
      <c r="A73" s="9">
        <v>63</v>
      </c>
      <c r="B73" s="17">
        <v>31001008010</v>
      </c>
      <c r="C73" s="17" t="s">
        <v>207</v>
      </c>
      <c r="D73" s="17" t="s">
        <v>210</v>
      </c>
      <c r="E73" s="9" t="s">
        <v>43</v>
      </c>
      <c r="F73" s="10">
        <v>31.35</v>
      </c>
      <c r="G73" s="66">
        <f t="shared" si="27"/>
        <v>30</v>
      </c>
      <c r="H73" s="67">
        <f t="shared" si="28"/>
        <v>38.119999999999997</v>
      </c>
      <c r="I73" s="67">
        <f t="shared" si="29"/>
        <v>0.38</v>
      </c>
      <c r="J73" s="67">
        <f t="shared" si="30"/>
        <v>0</v>
      </c>
      <c r="K73" s="67">
        <f t="shared" si="31"/>
        <v>0</v>
      </c>
      <c r="L73" s="67">
        <f t="shared" si="32"/>
        <v>68.5</v>
      </c>
      <c r="M73" s="67">
        <f t="shared" si="33"/>
        <v>2147.4749999999999</v>
      </c>
      <c r="N73" s="8"/>
      <c r="O73" s="10">
        <f t="shared" si="34"/>
        <v>68.5</v>
      </c>
      <c r="P73" s="48">
        <f>样板房安装工程!$P$48</f>
        <v>36</v>
      </c>
      <c r="Q73" s="49">
        <f>样板房安装工程!$Q$48</f>
        <v>0</v>
      </c>
      <c r="R73" s="48">
        <f>样板房安装工程!$R$48</f>
        <v>30</v>
      </c>
      <c r="S73" s="50">
        <f>样板房安装工程!$S$48</f>
        <v>2.12</v>
      </c>
      <c r="T73" s="12">
        <f>样板房安装工程!$T$48</f>
        <v>0.38</v>
      </c>
      <c r="U73" s="10">
        <f t="shared" si="35"/>
        <v>2147.4749999999999</v>
      </c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</row>
    <row r="74" spans="1:32" s="5" customFormat="1" outlineLevel="1">
      <c r="A74" s="9"/>
      <c r="B74" s="17"/>
      <c r="C74" s="17" t="s">
        <v>211</v>
      </c>
      <c r="D74" s="17"/>
      <c r="E74" s="9"/>
      <c r="F74" s="10"/>
      <c r="G74" s="59"/>
      <c r="H74" s="59"/>
      <c r="I74" s="59"/>
      <c r="J74" s="59"/>
      <c r="K74" s="59"/>
      <c r="L74" s="59"/>
      <c r="M74" s="59"/>
      <c r="N74" s="59"/>
      <c r="O74" s="59"/>
      <c r="P74" s="59"/>
      <c r="Q74" s="60"/>
      <c r="R74" s="59"/>
      <c r="S74" s="59"/>
      <c r="T74" s="59"/>
      <c r="U74" s="59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</row>
    <row r="75" spans="1:32" s="5" customFormat="1" ht="48" customHeight="1" outlineLevel="2">
      <c r="A75" s="22">
        <v>64</v>
      </c>
      <c r="B75" s="23">
        <v>31003006001</v>
      </c>
      <c r="C75" s="23" t="s">
        <v>212</v>
      </c>
      <c r="D75" s="23" t="s">
        <v>213</v>
      </c>
      <c r="E75" s="22" t="s">
        <v>214</v>
      </c>
      <c r="F75" s="24">
        <v>7</v>
      </c>
      <c r="G75" s="64">
        <f t="shared" ref="G75:G84" si="36">R75*$R$3</f>
        <v>100</v>
      </c>
      <c r="H75" s="65">
        <f t="shared" ref="H75:H84" si="37">P75*(1+Q75)*$P$3+S75*$S$3</f>
        <v>120</v>
      </c>
      <c r="I75" s="65">
        <f t="shared" ref="I75:I84" si="38">T75*$T$3</f>
        <v>0</v>
      </c>
      <c r="J75" s="65">
        <f t="shared" ref="J75:J84" si="39">(G75+H75+I75)*$J$3</f>
        <v>0</v>
      </c>
      <c r="K75" s="65">
        <f t="shared" ref="K75:K84" si="40">(G75+H75+I75+J75)*$K$3</f>
        <v>0</v>
      </c>
      <c r="L75" s="65">
        <f t="shared" ref="L75:L84" si="41">G75+H75+I75+J75+K75</f>
        <v>220</v>
      </c>
      <c r="M75" s="65">
        <f t="shared" ref="M75:M84" si="42">F75*L75</f>
        <v>1540</v>
      </c>
      <c r="N75" s="28"/>
      <c r="O75" s="24">
        <f t="shared" ref="O75:O84" si="43">P75*(1+Q75)+R75+S75+T75</f>
        <v>220</v>
      </c>
      <c r="P75" s="29">
        <v>0</v>
      </c>
      <c r="Q75" s="30">
        <v>0</v>
      </c>
      <c r="R75" s="29">
        <v>100</v>
      </c>
      <c r="S75" s="31">
        <v>120</v>
      </c>
      <c r="T75" s="32">
        <v>0</v>
      </c>
      <c r="U75" s="24">
        <f t="shared" ref="U75:U84" si="44">F75*O75</f>
        <v>1540</v>
      </c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</row>
    <row r="76" spans="1:32" s="5" customFormat="1" ht="48" customHeight="1" outlineLevel="2">
      <c r="A76" s="22">
        <v>65</v>
      </c>
      <c r="B76" s="23">
        <v>31003007001</v>
      </c>
      <c r="C76" s="23" t="s">
        <v>215</v>
      </c>
      <c r="D76" s="23" t="s">
        <v>216</v>
      </c>
      <c r="E76" s="22" t="s">
        <v>214</v>
      </c>
      <c r="F76" s="24">
        <v>3</v>
      </c>
      <c r="G76" s="64">
        <f t="shared" si="36"/>
        <v>85</v>
      </c>
      <c r="H76" s="65">
        <f t="shared" si="37"/>
        <v>515</v>
      </c>
      <c r="I76" s="65">
        <f t="shared" si="38"/>
        <v>0</v>
      </c>
      <c r="J76" s="65">
        <f t="shared" si="39"/>
        <v>0</v>
      </c>
      <c r="K76" s="65">
        <f t="shared" si="40"/>
        <v>0</v>
      </c>
      <c r="L76" s="65">
        <f t="shared" si="41"/>
        <v>600</v>
      </c>
      <c r="M76" s="65">
        <f t="shared" si="42"/>
        <v>1800</v>
      </c>
      <c r="N76" s="28"/>
      <c r="O76" s="24">
        <f t="shared" si="43"/>
        <v>600</v>
      </c>
      <c r="P76" s="29">
        <v>480</v>
      </c>
      <c r="Q76" s="30">
        <v>0</v>
      </c>
      <c r="R76" s="29">
        <v>85</v>
      </c>
      <c r="S76" s="31">
        <v>35</v>
      </c>
      <c r="T76" s="32">
        <v>0</v>
      </c>
      <c r="U76" s="24">
        <f t="shared" si="44"/>
        <v>1800</v>
      </c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</row>
    <row r="77" spans="1:32" s="5" customFormat="1" ht="48" customHeight="1" outlineLevel="2">
      <c r="A77" s="22">
        <v>66</v>
      </c>
      <c r="B77" s="23">
        <v>31003010001</v>
      </c>
      <c r="C77" s="23" t="s">
        <v>217</v>
      </c>
      <c r="D77" s="23" t="s">
        <v>218</v>
      </c>
      <c r="E77" s="22" t="s">
        <v>38</v>
      </c>
      <c r="F77" s="24">
        <v>2</v>
      </c>
      <c r="G77" s="64">
        <f t="shared" si="36"/>
        <v>90</v>
      </c>
      <c r="H77" s="65">
        <f t="shared" si="37"/>
        <v>1135</v>
      </c>
      <c r="I77" s="65">
        <f t="shared" si="38"/>
        <v>0</v>
      </c>
      <c r="J77" s="65">
        <f t="shared" si="39"/>
        <v>0</v>
      </c>
      <c r="K77" s="65">
        <f t="shared" si="40"/>
        <v>0</v>
      </c>
      <c r="L77" s="65">
        <f t="shared" si="41"/>
        <v>1225</v>
      </c>
      <c r="M77" s="65">
        <f t="shared" si="42"/>
        <v>2450</v>
      </c>
      <c r="N77" s="28"/>
      <c r="O77" s="24">
        <f t="shared" si="43"/>
        <v>1225</v>
      </c>
      <c r="P77" s="29">
        <v>1100</v>
      </c>
      <c r="Q77" s="30">
        <v>0</v>
      </c>
      <c r="R77" s="29">
        <v>90</v>
      </c>
      <c r="S77" s="31">
        <v>35</v>
      </c>
      <c r="T77" s="32">
        <v>0</v>
      </c>
      <c r="U77" s="24">
        <f t="shared" si="44"/>
        <v>2450</v>
      </c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</row>
    <row r="78" spans="1:32" s="5" customFormat="1" ht="48" customHeight="1" outlineLevel="2">
      <c r="A78" s="22">
        <v>67</v>
      </c>
      <c r="B78" s="23">
        <v>31003008001</v>
      </c>
      <c r="C78" s="23" t="s">
        <v>219</v>
      </c>
      <c r="D78" s="23" t="s">
        <v>220</v>
      </c>
      <c r="E78" s="22" t="s">
        <v>214</v>
      </c>
      <c r="F78" s="24">
        <v>1</v>
      </c>
      <c r="G78" s="64">
        <f t="shared" si="36"/>
        <v>65</v>
      </c>
      <c r="H78" s="65">
        <f t="shared" si="37"/>
        <v>375</v>
      </c>
      <c r="I78" s="65">
        <f t="shared" si="38"/>
        <v>0</v>
      </c>
      <c r="J78" s="65">
        <f t="shared" si="39"/>
        <v>0</v>
      </c>
      <c r="K78" s="65">
        <f t="shared" si="40"/>
        <v>0</v>
      </c>
      <c r="L78" s="65">
        <f t="shared" si="41"/>
        <v>440</v>
      </c>
      <c r="M78" s="65">
        <f t="shared" si="42"/>
        <v>440</v>
      </c>
      <c r="N78" s="28"/>
      <c r="O78" s="24">
        <f t="shared" si="43"/>
        <v>440</v>
      </c>
      <c r="P78" s="29">
        <v>350</v>
      </c>
      <c r="Q78" s="30">
        <v>0</v>
      </c>
      <c r="R78" s="29">
        <v>65</v>
      </c>
      <c r="S78" s="31">
        <v>25</v>
      </c>
      <c r="T78" s="32">
        <v>0</v>
      </c>
      <c r="U78" s="24">
        <f t="shared" si="44"/>
        <v>440</v>
      </c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</row>
    <row r="79" spans="1:32" s="5" customFormat="1" ht="48" customHeight="1" outlineLevel="2">
      <c r="A79" s="22">
        <v>68</v>
      </c>
      <c r="B79" s="23">
        <v>31003003001</v>
      </c>
      <c r="C79" s="23" t="s">
        <v>221</v>
      </c>
      <c r="D79" s="23" t="s">
        <v>222</v>
      </c>
      <c r="E79" s="22" t="s">
        <v>214</v>
      </c>
      <c r="F79" s="24">
        <v>4</v>
      </c>
      <c r="G79" s="64">
        <f t="shared" si="36"/>
        <v>90</v>
      </c>
      <c r="H79" s="65">
        <f t="shared" si="37"/>
        <v>562</v>
      </c>
      <c r="I79" s="65">
        <f t="shared" si="38"/>
        <v>0</v>
      </c>
      <c r="J79" s="65">
        <f t="shared" si="39"/>
        <v>0</v>
      </c>
      <c r="K79" s="65">
        <f t="shared" si="40"/>
        <v>0</v>
      </c>
      <c r="L79" s="65">
        <f t="shared" si="41"/>
        <v>652</v>
      </c>
      <c r="M79" s="65">
        <f t="shared" si="42"/>
        <v>2608</v>
      </c>
      <c r="N79" s="28"/>
      <c r="O79" s="24">
        <f t="shared" si="43"/>
        <v>652</v>
      </c>
      <c r="P79" s="29">
        <v>550</v>
      </c>
      <c r="Q79" s="30">
        <v>0</v>
      </c>
      <c r="R79" s="29">
        <v>90</v>
      </c>
      <c r="S79" s="31">
        <v>12</v>
      </c>
      <c r="T79" s="32">
        <v>0</v>
      </c>
      <c r="U79" s="24">
        <f t="shared" si="44"/>
        <v>2608</v>
      </c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</row>
    <row r="80" spans="1:32" s="5" customFormat="1" ht="48" customHeight="1" outlineLevel="2">
      <c r="A80" s="22">
        <v>69</v>
      </c>
      <c r="B80" s="23">
        <v>31003004001</v>
      </c>
      <c r="C80" s="23" t="s">
        <v>223</v>
      </c>
      <c r="D80" s="23" t="s">
        <v>224</v>
      </c>
      <c r="E80" s="22" t="s">
        <v>214</v>
      </c>
      <c r="F80" s="24">
        <v>1</v>
      </c>
      <c r="G80" s="64">
        <f t="shared" si="36"/>
        <v>95</v>
      </c>
      <c r="H80" s="65">
        <f t="shared" si="37"/>
        <v>560</v>
      </c>
      <c r="I80" s="65">
        <f t="shared" si="38"/>
        <v>0</v>
      </c>
      <c r="J80" s="65">
        <f t="shared" si="39"/>
        <v>0</v>
      </c>
      <c r="K80" s="65">
        <f t="shared" si="40"/>
        <v>0</v>
      </c>
      <c r="L80" s="65">
        <f t="shared" si="41"/>
        <v>655</v>
      </c>
      <c r="M80" s="65">
        <f t="shared" si="42"/>
        <v>655</v>
      </c>
      <c r="N80" s="28"/>
      <c r="O80" s="24">
        <f t="shared" si="43"/>
        <v>655</v>
      </c>
      <c r="P80" s="29">
        <v>520</v>
      </c>
      <c r="Q80" s="30">
        <v>0</v>
      </c>
      <c r="R80" s="29">
        <v>95</v>
      </c>
      <c r="S80" s="31">
        <v>40</v>
      </c>
      <c r="T80" s="32">
        <v>0</v>
      </c>
      <c r="U80" s="24">
        <f t="shared" si="44"/>
        <v>655</v>
      </c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</row>
    <row r="81" spans="1:32" s="5" customFormat="1" ht="48" customHeight="1" outlineLevel="2">
      <c r="A81" s="22">
        <v>70</v>
      </c>
      <c r="B81" s="23">
        <v>31003014001</v>
      </c>
      <c r="C81" s="23" t="s">
        <v>225</v>
      </c>
      <c r="D81" s="23" t="s">
        <v>226</v>
      </c>
      <c r="E81" s="22" t="s">
        <v>46</v>
      </c>
      <c r="F81" s="24">
        <v>14</v>
      </c>
      <c r="G81" s="64">
        <f t="shared" si="36"/>
        <v>18</v>
      </c>
      <c r="H81" s="65">
        <f t="shared" si="37"/>
        <v>40</v>
      </c>
      <c r="I81" s="65">
        <f t="shared" si="38"/>
        <v>0</v>
      </c>
      <c r="J81" s="65">
        <f t="shared" si="39"/>
        <v>0</v>
      </c>
      <c r="K81" s="65">
        <f t="shared" si="40"/>
        <v>0</v>
      </c>
      <c r="L81" s="65">
        <f t="shared" si="41"/>
        <v>58</v>
      </c>
      <c r="M81" s="65">
        <f t="shared" si="42"/>
        <v>812</v>
      </c>
      <c r="N81" s="28"/>
      <c r="O81" s="24">
        <f t="shared" si="43"/>
        <v>58</v>
      </c>
      <c r="P81" s="29">
        <v>35</v>
      </c>
      <c r="Q81" s="30">
        <v>0</v>
      </c>
      <c r="R81" s="29">
        <v>18</v>
      </c>
      <c r="S81" s="31">
        <v>5</v>
      </c>
      <c r="T81" s="32">
        <v>0</v>
      </c>
      <c r="U81" s="24">
        <f t="shared" si="44"/>
        <v>812</v>
      </c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</row>
    <row r="82" spans="1:32" s="5" customFormat="1" ht="48" customHeight="1" outlineLevel="2">
      <c r="A82" s="22">
        <v>71</v>
      </c>
      <c r="B82" s="23">
        <v>31002001001</v>
      </c>
      <c r="C82" s="23" t="s">
        <v>227</v>
      </c>
      <c r="D82" s="23" t="s">
        <v>228</v>
      </c>
      <c r="E82" s="22" t="s">
        <v>46</v>
      </c>
      <c r="F82" s="24">
        <v>5</v>
      </c>
      <c r="G82" s="64">
        <f t="shared" si="36"/>
        <v>167.09</v>
      </c>
      <c r="H82" s="65">
        <f t="shared" si="37"/>
        <v>1504.2</v>
      </c>
      <c r="I82" s="65">
        <f t="shared" si="38"/>
        <v>12.03</v>
      </c>
      <c r="J82" s="65">
        <f t="shared" si="39"/>
        <v>0</v>
      </c>
      <c r="K82" s="65">
        <f t="shared" si="40"/>
        <v>0</v>
      </c>
      <c r="L82" s="65">
        <f t="shared" si="41"/>
        <v>1683.32</v>
      </c>
      <c r="M82" s="65">
        <f t="shared" si="42"/>
        <v>8416.6</v>
      </c>
      <c r="N82" s="28"/>
      <c r="O82" s="24">
        <f t="shared" si="43"/>
        <v>1683.32</v>
      </c>
      <c r="P82" s="29">
        <v>1504.2</v>
      </c>
      <c r="Q82" s="30">
        <v>0</v>
      </c>
      <c r="R82" s="29">
        <v>167.09</v>
      </c>
      <c r="S82" s="31">
        <v>0</v>
      </c>
      <c r="T82" s="32">
        <v>12.03</v>
      </c>
      <c r="U82" s="24">
        <f t="shared" si="44"/>
        <v>8416.6</v>
      </c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</row>
    <row r="83" spans="1:32" s="5" customFormat="1" ht="48" customHeight="1" outlineLevel="2">
      <c r="A83" s="22">
        <v>72</v>
      </c>
      <c r="B83" s="23">
        <v>31003014002</v>
      </c>
      <c r="C83" s="23" t="s">
        <v>229</v>
      </c>
      <c r="D83" s="23" t="s">
        <v>230</v>
      </c>
      <c r="E83" s="22" t="s">
        <v>46</v>
      </c>
      <c r="F83" s="24">
        <v>7</v>
      </c>
      <c r="G83" s="64">
        <f t="shared" si="36"/>
        <v>34.950000000000003</v>
      </c>
      <c r="H83" s="65">
        <f t="shared" si="37"/>
        <v>193.39</v>
      </c>
      <c r="I83" s="65">
        <f t="shared" si="38"/>
        <v>4.66</v>
      </c>
      <c r="J83" s="65">
        <f t="shared" si="39"/>
        <v>0</v>
      </c>
      <c r="K83" s="65">
        <f t="shared" si="40"/>
        <v>0</v>
      </c>
      <c r="L83" s="65">
        <f t="shared" si="41"/>
        <v>233</v>
      </c>
      <c r="M83" s="65">
        <f t="shared" si="42"/>
        <v>1631</v>
      </c>
      <c r="N83" s="28"/>
      <c r="O83" s="24">
        <f t="shared" si="43"/>
        <v>233</v>
      </c>
      <c r="P83" s="29">
        <v>181.74</v>
      </c>
      <c r="Q83" s="30">
        <v>0</v>
      </c>
      <c r="R83" s="29">
        <v>34.950000000000003</v>
      </c>
      <c r="S83" s="31">
        <v>11.65</v>
      </c>
      <c r="T83" s="32">
        <v>4.66</v>
      </c>
      <c r="U83" s="24">
        <f t="shared" si="44"/>
        <v>1631</v>
      </c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</row>
    <row r="84" spans="1:32" s="5" customFormat="1" ht="48" customHeight="1" outlineLevel="2">
      <c r="A84" s="22">
        <v>73</v>
      </c>
      <c r="B84" s="23">
        <v>31003014003</v>
      </c>
      <c r="C84" s="23" t="s">
        <v>231</v>
      </c>
      <c r="D84" s="23" t="s">
        <v>232</v>
      </c>
      <c r="E84" s="22" t="s">
        <v>46</v>
      </c>
      <c r="F84" s="24">
        <v>7</v>
      </c>
      <c r="G84" s="64">
        <f t="shared" si="36"/>
        <v>6.45</v>
      </c>
      <c r="H84" s="65">
        <f t="shared" si="37"/>
        <v>28</v>
      </c>
      <c r="I84" s="65">
        <f t="shared" si="38"/>
        <v>0</v>
      </c>
      <c r="J84" s="65">
        <f t="shared" si="39"/>
        <v>0</v>
      </c>
      <c r="K84" s="65">
        <f t="shared" si="40"/>
        <v>0</v>
      </c>
      <c r="L84" s="65">
        <f t="shared" si="41"/>
        <v>34.450000000000003</v>
      </c>
      <c r="M84" s="65">
        <f t="shared" si="42"/>
        <v>241.15</v>
      </c>
      <c r="N84" s="28"/>
      <c r="O84" s="24">
        <f t="shared" si="43"/>
        <v>34.450000000000003</v>
      </c>
      <c r="P84" s="29">
        <v>28</v>
      </c>
      <c r="Q84" s="30">
        <v>0</v>
      </c>
      <c r="R84" s="29">
        <v>6.45</v>
      </c>
      <c r="S84" s="31">
        <v>0</v>
      </c>
      <c r="T84" s="32">
        <v>0</v>
      </c>
      <c r="U84" s="24">
        <f t="shared" si="44"/>
        <v>241.15</v>
      </c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</row>
    <row r="85" spans="1:32" s="5" customFormat="1">
      <c r="A85" s="9"/>
      <c r="B85" s="17"/>
      <c r="C85" s="17" t="s">
        <v>233</v>
      </c>
      <c r="D85" s="17"/>
      <c r="E85" s="9"/>
      <c r="F85" s="10"/>
      <c r="G85" s="59"/>
      <c r="H85" s="59"/>
      <c r="I85" s="59"/>
      <c r="J85" s="59"/>
      <c r="K85" s="59"/>
      <c r="L85" s="59"/>
      <c r="M85" s="59"/>
      <c r="N85" s="59"/>
      <c r="O85" s="59"/>
      <c r="P85" s="59"/>
      <c r="Q85" s="60"/>
      <c r="R85" s="59"/>
      <c r="S85" s="59"/>
      <c r="T85" s="59"/>
      <c r="U85" s="59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</row>
    <row r="86" spans="1:32" s="5" customFormat="1" outlineLevel="1">
      <c r="A86" s="9"/>
      <c r="B86" s="17"/>
      <c r="C86" s="17" t="s">
        <v>66</v>
      </c>
      <c r="D86" s="17"/>
      <c r="E86" s="9"/>
      <c r="F86" s="10"/>
      <c r="G86" s="59"/>
      <c r="H86" s="59"/>
      <c r="I86" s="59"/>
      <c r="J86" s="59"/>
      <c r="K86" s="59"/>
      <c r="L86" s="59"/>
      <c r="M86" s="59"/>
      <c r="N86" s="59"/>
      <c r="O86" s="59"/>
      <c r="P86" s="59"/>
      <c r="Q86" s="60"/>
      <c r="R86" s="59"/>
      <c r="S86" s="59"/>
      <c r="T86" s="59"/>
      <c r="U86" s="59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</row>
    <row r="87" spans="1:32" s="5" customFormat="1" ht="84" customHeight="1" outlineLevel="2">
      <c r="A87" s="22">
        <v>74</v>
      </c>
      <c r="B87" s="23">
        <v>30701003001</v>
      </c>
      <c r="C87" s="23" t="s">
        <v>67</v>
      </c>
      <c r="D87" s="23" t="s">
        <v>234</v>
      </c>
      <c r="E87" s="22" t="s">
        <v>69</v>
      </c>
      <c r="F87" s="24">
        <v>2</v>
      </c>
      <c r="G87" s="64">
        <f t="shared" ref="G87:G99" si="45">R87*$R$3</f>
        <v>1000</v>
      </c>
      <c r="H87" s="65">
        <f t="shared" ref="H87:H99" si="46">P87*(1+Q87)*$P$3+S87*$S$3</f>
        <v>4800</v>
      </c>
      <c r="I87" s="65">
        <f t="shared" ref="I87:I99" si="47">T87*$T$3</f>
        <v>45</v>
      </c>
      <c r="J87" s="65">
        <f t="shared" ref="J87:J99" si="48">(G87+H87+I87)*$J$3</f>
        <v>0</v>
      </c>
      <c r="K87" s="65">
        <f t="shared" ref="K87:K99" si="49">(G87+H87+I87+J87)*$K$3</f>
        <v>0</v>
      </c>
      <c r="L87" s="65">
        <f t="shared" ref="L87:L99" si="50">G87+H87+I87+J87+K87</f>
        <v>5845</v>
      </c>
      <c r="M87" s="65">
        <f t="shared" ref="M87:M99" si="51">F87*L87</f>
        <v>11690</v>
      </c>
      <c r="N87" s="28"/>
      <c r="O87" s="24">
        <f t="shared" ref="O87:O99" si="52">P87*(1+Q87)+R87+S87+T87</f>
        <v>5845</v>
      </c>
      <c r="P87" s="29">
        <v>3600</v>
      </c>
      <c r="Q87" s="30">
        <v>0</v>
      </c>
      <c r="R87" s="29">
        <v>1000</v>
      </c>
      <c r="S87" s="31">
        <v>1200</v>
      </c>
      <c r="T87" s="32">
        <v>45</v>
      </c>
      <c r="U87" s="24">
        <f t="shared" ref="U87:U99" si="53">F87*O87</f>
        <v>11690</v>
      </c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</row>
    <row r="88" spans="1:32" s="5" customFormat="1" ht="84" customHeight="1" outlineLevel="2">
      <c r="A88" s="22">
        <v>75</v>
      </c>
      <c r="B88" s="23">
        <v>30701003002</v>
      </c>
      <c r="C88" s="23" t="s">
        <v>67</v>
      </c>
      <c r="D88" s="23" t="s">
        <v>235</v>
      </c>
      <c r="E88" s="22" t="s">
        <v>69</v>
      </c>
      <c r="F88" s="24">
        <v>1</v>
      </c>
      <c r="G88" s="64">
        <f t="shared" si="45"/>
        <v>1000</v>
      </c>
      <c r="H88" s="65">
        <f t="shared" si="46"/>
        <v>4800</v>
      </c>
      <c r="I88" s="65">
        <f t="shared" si="47"/>
        <v>45</v>
      </c>
      <c r="J88" s="65">
        <f t="shared" si="48"/>
        <v>0</v>
      </c>
      <c r="K88" s="65">
        <f t="shared" si="49"/>
        <v>0</v>
      </c>
      <c r="L88" s="65">
        <f t="shared" si="50"/>
        <v>5845</v>
      </c>
      <c r="M88" s="65">
        <f t="shared" si="51"/>
        <v>5845</v>
      </c>
      <c r="N88" s="28"/>
      <c r="O88" s="24">
        <f t="shared" si="52"/>
        <v>5845</v>
      </c>
      <c r="P88" s="29">
        <v>3600</v>
      </c>
      <c r="Q88" s="30">
        <v>0</v>
      </c>
      <c r="R88" s="29">
        <v>1000</v>
      </c>
      <c r="S88" s="31">
        <v>1200</v>
      </c>
      <c r="T88" s="32">
        <v>45</v>
      </c>
      <c r="U88" s="24">
        <f t="shared" si="53"/>
        <v>5845</v>
      </c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</row>
    <row r="89" spans="1:32" s="5" customFormat="1" ht="84" customHeight="1" outlineLevel="2">
      <c r="A89" s="22">
        <v>76</v>
      </c>
      <c r="B89" s="23">
        <v>30701003003</v>
      </c>
      <c r="C89" s="23" t="s">
        <v>67</v>
      </c>
      <c r="D89" s="23" t="s">
        <v>236</v>
      </c>
      <c r="E89" s="22" t="s">
        <v>69</v>
      </c>
      <c r="F89" s="24">
        <v>3</v>
      </c>
      <c r="G89" s="64">
        <f t="shared" si="45"/>
        <v>1000</v>
      </c>
      <c r="H89" s="65">
        <f t="shared" si="46"/>
        <v>4800</v>
      </c>
      <c r="I89" s="65">
        <f t="shared" si="47"/>
        <v>45</v>
      </c>
      <c r="J89" s="65">
        <f t="shared" si="48"/>
        <v>0</v>
      </c>
      <c r="K89" s="65">
        <f t="shared" si="49"/>
        <v>0</v>
      </c>
      <c r="L89" s="65">
        <f t="shared" si="50"/>
        <v>5845</v>
      </c>
      <c r="M89" s="65">
        <f t="shared" si="51"/>
        <v>17535</v>
      </c>
      <c r="N89" s="28"/>
      <c r="O89" s="24">
        <f t="shared" si="52"/>
        <v>5845</v>
      </c>
      <c r="P89" s="29">
        <v>3600</v>
      </c>
      <c r="Q89" s="30">
        <v>0</v>
      </c>
      <c r="R89" s="29">
        <v>1000</v>
      </c>
      <c r="S89" s="31">
        <v>1200</v>
      </c>
      <c r="T89" s="32">
        <v>45</v>
      </c>
      <c r="U89" s="24">
        <f t="shared" si="53"/>
        <v>17535</v>
      </c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</row>
    <row r="90" spans="1:32" s="5" customFormat="1" ht="84" customHeight="1" outlineLevel="2">
      <c r="A90" s="22">
        <v>77</v>
      </c>
      <c r="B90" s="23">
        <v>30701003004</v>
      </c>
      <c r="C90" s="23" t="s">
        <v>67</v>
      </c>
      <c r="D90" s="23" t="s">
        <v>237</v>
      </c>
      <c r="E90" s="22" t="s">
        <v>69</v>
      </c>
      <c r="F90" s="24">
        <v>3</v>
      </c>
      <c r="G90" s="64">
        <f t="shared" si="45"/>
        <v>1000</v>
      </c>
      <c r="H90" s="65">
        <f t="shared" si="46"/>
        <v>4800</v>
      </c>
      <c r="I90" s="65">
        <f t="shared" si="47"/>
        <v>45</v>
      </c>
      <c r="J90" s="65">
        <f t="shared" si="48"/>
        <v>0</v>
      </c>
      <c r="K90" s="65">
        <f t="shared" si="49"/>
        <v>0</v>
      </c>
      <c r="L90" s="65">
        <f t="shared" si="50"/>
        <v>5845</v>
      </c>
      <c r="M90" s="65">
        <f t="shared" si="51"/>
        <v>17535</v>
      </c>
      <c r="N90" s="28"/>
      <c r="O90" s="24">
        <f t="shared" si="52"/>
        <v>5845</v>
      </c>
      <c r="P90" s="29">
        <v>3600</v>
      </c>
      <c r="Q90" s="30">
        <v>0</v>
      </c>
      <c r="R90" s="29">
        <v>1000</v>
      </c>
      <c r="S90" s="31">
        <v>1200</v>
      </c>
      <c r="T90" s="32">
        <v>45</v>
      </c>
      <c r="U90" s="24">
        <f t="shared" si="53"/>
        <v>17535</v>
      </c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</row>
    <row r="91" spans="1:32" s="5" customFormat="1" ht="84" customHeight="1" outlineLevel="2">
      <c r="A91" s="22">
        <v>78</v>
      </c>
      <c r="B91" s="23">
        <v>30701003005</v>
      </c>
      <c r="C91" s="23" t="s">
        <v>67</v>
      </c>
      <c r="D91" s="23" t="s">
        <v>238</v>
      </c>
      <c r="E91" s="22" t="s">
        <v>69</v>
      </c>
      <c r="F91" s="24">
        <v>1</v>
      </c>
      <c r="G91" s="64">
        <f t="shared" si="45"/>
        <v>1000</v>
      </c>
      <c r="H91" s="65">
        <f t="shared" si="46"/>
        <v>4800</v>
      </c>
      <c r="I91" s="65">
        <f t="shared" si="47"/>
        <v>45</v>
      </c>
      <c r="J91" s="65">
        <f t="shared" si="48"/>
        <v>0</v>
      </c>
      <c r="K91" s="65">
        <f t="shared" si="49"/>
        <v>0</v>
      </c>
      <c r="L91" s="65">
        <f t="shared" si="50"/>
        <v>5845</v>
      </c>
      <c r="M91" s="65">
        <f t="shared" si="51"/>
        <v>5845</v>
      </c>
      <c r="N91" s="28"/>
      <c r="O91" s="24">
        <f t="shared" si="52"/>
        <v>5845</v>
      </c>
      <c r="P91" s="29">
        <v>3600</v>
      </c>
      <c r="Q91" s="30">
        <v>0</v>
      </c>
      <c r="R91" s="29">
        <v>1000</v>
      </c>
      <c r="S91" s="31">
        <v>1200</v>
      </c>
      <c r="T91" s="32">
        <v>45</v>
      </c>
      <c r="U91" s="24">
        <f t="shared" si="53"/>
        <v>5845</v>
      </c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</row>
    <row r="92" spans="1:32" s="5" customFormat="1" ht="84" customHeight="1" outlineLevel="2">
      <c r="A92" s="22">
        <v>79</v>
      </c>
      <c r="B92" s="23">
        <v>30701003006</v>
      </c>
      <c r="C92" s="23" t="s">
        <v>67</v>
      </c>
      <c r="D92" s="23" t="s">
        <v>239</v>
      </c>
      <c r="E92" s="22" t="s">
        <v>69</v>
      </c>
      <c r="F92" s="24">
        <v>3</v>
      </c>
      <c r="G92" s="64">
        <f t="shared" si="45"/>
        <v>1000</v>
      </c>
      <c r="H92" s="65">
        <f t="shared" si="46"/>
        <v>4800</v>
      </c>
      <c r="I92" s="65">
        <f t="shared" si="47"/>
        <v>45</v>
      </c>
      <c r="J92" s="65">
        <f t="shared" si="48"/>
        <v>0</v>
      </c>
      <c r="K92" s="65">
        <f t="shared" si="49"/>
        <v>0</v>
      </c>
      <c r="L92" s="65">
        <f t="shared" si="50"/>
        <v>5845</v>
      </c>
      <c r="M92" s="65">
        <f t="shared" si="51"/>
        <v>17535</v>
      </c>
      <c r="N92" s="28"/>
      <c r="O92" s="24">
        <f t="shared" si="52"/>
        <v>5845</v>
      </c>
      <c r="P92" s="29">
        <v>3600</v>
      </c>
      <c r="Q92" s="30">
        <v>0</v>
      </c>
      <c r="R92" s="29">
        <v>1000</v>
      </c>
      <c r="S92" s="31">
        <v>1200</v>
      </c>
      <c r="T92" s="32">
        <v>45</v>
      </c>
      <c r="U92" s="24">
        <f t="shared" si="53"/>
        <v>17535</v>
      </c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</row>
    <row r="93" spans="1:32" s="5" customFormat="1" ht="84" customHeight="1" outlineLevel="2">
      <c r="A93" s="22">
        <v>80</v>
      </c>
      <c r="B93" s="23">
        <v>30701003007</v>
      </c>
      <c r="C93" s="23" t="s">
        <v>67</v>
      </c>
      <c r="D93" s="23" t="s">
        <v>240</v>
      </c>
      <c r="E93" s="22" t="s">
        <v>69</v>
      </c>
      <c r="F93" s="24">
        <v>8</v>
      </c>
      <c r="G93" s="64">
        <f t="shared" si="45"/>
        <v>1000</v>
      </c>
      <c r="H93" s="65">
        <f t="shared" si="46"/>
        <v>4800</v>
      </c>
      <c r="I93" s="65">
        <f t="shared" si="47"/>
        <v>45</v>
      </c>
      <c r="J93" s="65">
        <f t="shared" si="48"/>
        <v>0</v>
      </c>
      <c r="K93" s="65">
        <f t="shared" si="49"/>
        <v>0</v>
      </c>
      <c r="L93" s="65">
        <f t="shared" si="50"/>
        <v>5845</v>
      </c>
      <c r="M93" s="65">
        <f t="shared" si="51"/>
        <v>46760</v>
      </c>
      <c r="N93" s="28"/>
      <c r="O93" s="24">
        <f t="shared" si="52"/>
        <v>5845</v>
      </c>
      <c r="P93" s="29">
        <v>3600</v>
      </c>
      <c r="Q93" s="30">
        <v>0</v>
      </c>
      <c r="R93" s="29">
        <v>1000</v>
      </c>
      <c r="S93" s="31">
        <v>1200</v>
      </c>
      <c r="T93" s="32">
        <v>45</v>
      </c>
      <c r="U93" s="24">
        <f t="shared" si="53"/>
        <v>46760</v>
      </c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</row>
    <row r="94" spans="1:32" s="5" customFormat="1" ht="84" customHeight="1" outlineLevel="2">
      <c r="A94" s="22">
        <v>81</v>
      </c>
      <c r="B94" s="23">
        <v>30701003008</v>
      </c>
      <c r="C94" s="23" t="s">
        <v>67</v>
      </c>
      <c r="D94" s="23" t="s">
        <v>241</v>
      </c>
      <c r="E94" s="22" t="s">
        <v>69</v>
      </c>
      <c r="F94" s="24">
        <v>3</v>
      </c>
      <c r="G94" s="64">
        <f t="shared" si="45"/>
        <v>1000</v>
      </c>
      <c r="H94" s="65">
        <f t="shared" si="46"/>
        <v>4800</v>
      </c>
      <c r="I94" s="65">
        <f t="shared" si="47"/>
        <v>45</v>
      </c>
      <c r="J94" s="65">
        <f t="shared" si="48"/>
        <v>0</v>
      </c>
      <c r="K94" s="65">
        <f t="shared" si="49"/>
        <v>0</v>
      </c>
      <c r="L94" s="65">
        <f t="shared" si="50"/>
        <v>5845</v>
      </c>
      <c r="M94" s="65">
        <f t="shared" si="51"/>
        <v>17535</v>
      </c>
      <c r="N94" s="28"/>
      <c r="O94" s="24">
        <f t="shared" si="52"/>
        <v>5845</v>
      </c>
      <c r="P94" s="29">
        <v>3600</v>
      </c>
      <c r="Q94" s="30">
        <v>0</v>
      </c>
      <c r="R94" s="29">
        <v>1000</v>
      </c>
      <c r="S94" s="31">
        <v>1200</v>
      </c>
      <c r="T94" s="32">
        <v>45</v>
      </c>
      <c r="U94" s="24">
        <f t="shared" si="53"/>
        <v>17535</v>
      </c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</row>
    <row r="95" spans="1:32" s="5" customFormat="1" ht="84" customHeight="1" outlineLevel="2">
      <c r="A95" s="22">
        <v>82</v>
      </c>
      <c r="B95" s="23">
        <v>30701003009</v>
      </c>
      <c r="C95" s="23" t="s">
        <v>67</v>
      </c>
      <c r="D95" s="23" t="s">
        <v>242</v>
      </c>
      <c r="E95" s="22" t="s">
        <v>69</v>
      </c>
      <c r="F95" s="24">
        <v>6</v>
      </c>
      <c r="G95" s="64">
        <f t="shared" si="45"/>
        <v>1000</v>
      </c>
      <c r="H95" s="65">
        <f t="shared" si="46"/>
        <v>4800</v>
      </c>
      <c r="I95" s="65">
        <f t="shared" si="47"/>
        <v>45</v>
      </c>
      <c r="J95" s="65">
        <f t="shared" si="48"/>
        <v>0</v>
      </c>
      <c r="K95" s="65">
        <f t="shared" si="49"/>
        <v>0</v>
      </c>
      <c r="L95" s="65">
        <f t="shared" si="50"/>
        <v>5845</v>
      </c>
      <c r="M95" s="65">
        <f t="shared" si="51"/>
        <v>35070</v>
      </c>
      <c r="N95" s="28"/>
      <c r="O95" s="24">
        <f t="shared" si="52"/>
        <v>5845</v>
      </c>
      <c r="P95" s="29">
        <v>3600</v>
      </c>
      <c r="Q95" s="30">
        <v>0</v>
      </c>
      <c r="R95" s="29">
        <v>1000</v>
      </c>
      <c r="S95" s="31">
        <v>1200</v>
      </c>
      <c r="T95" s="32">
        <v>45</v>
      </c>
      <c r="U95" s="24">
        <f t="shared" si="53"/>
        <v>35070</v>
      </c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</row>
    <row r="96" spans="1:32" s="5" customFormat="1" ht="84" customHeight="1" outlineLevel="2">
      <c r="A96" s="22">
        <v>83</v>
      </c>
      <c r="B96" s="23">
        <v>30701003010</v>
      </c>
      <c r="C96" s="23" t="s">
        <v>75</v>
      </c>
      <c r="D96" s="23" t="s">
        <v>243</v>
      </c>
      <c r="E96" s="22" t="s">
        <v>69</v>
      </c>
      <c r="F96" s="24">
        <v>1</v>
      </c>
      <c r="G96" s="64">
        <f t="shared" si="45"/>
        <v>800</v>
      </c>
      <c r="H96" s="65">
        <f t="shared" si="46"/>
        <v>12080</v>
      </c>
      <c r="I96" s="65">
        <f t="shared" si="47"/>
        <v>60</v>
      </c>
      <c r="J96" s="65">
        <f t="shared" si="48"/>
        <v>0</v>
      </c>
      <c r="K96" s="65">
        <f t="shared" si="49"/>
        <v>0</v>
      </c>
      <c r="L96" s="65">
        <f t="shared" si="50"/>
        <v>12940</v>
      </c>
      <c r="M96" s="65">
        <f t="shared" si="51"/>
        <v>12940</v>
      </c>
      <c r="N96" s="28"/>
      <c r="O96" s="24">
        <f t="shared" si="52"/>
        <v>12940</v>
      </c>
      <c r="P96" s="29">
        <v>12000</v>
      </c>
      <c r="Q96" s="30">
        <v>0</v>
      </c>
      <c r="R96" s="29">
        <v>800</v>
      </c>
      <c r="S96" s="31">
        <v>80</v>
      </c>
      <c r="T96" s="32">
        <v>60</v>
      </c>
      <c r="U96" s="24">
        <f t="shared" si="53"/>
        <v>12940</v>
      </c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</row>
    <row r="97" spans="1:32" s="5" customFormat="1" ht="84" customHeight="1" outlineLevel="2">
      <c r="A97" s="22">
        <v>84</v>
      </c>
      <c r="B97" s="23">
        <v>30701003011</v>
      </c>
      <c r="C97" s="23" t="s">
        <v>75</v>
      </c>
      <c r="D97" s="23" t="s">
        <v>244</v>
      </c>
      <c r="E97" s="22" t="s">
        <v>69</v>
      </c>
      <c r="F97" s="24">
        <v>1</v>
      </c>
      <c r="G97" s="64">
        <f t="shared" si="45"/>
        <v>800</v>
      </c>
      <c r="H97" s="65">
        <f t="shared" si="46"/>
        <v>12080</v>
      </c>
      <c r="I97" s="65">
        <f t="shared" si="47"/>
        <v>60</v>
      </c>
      <c r="J97" s="65">
        <f t="shared" si="48"/>
        <v>0</v>
      </c>
      <c r="K97" s="65">
        <f t="shared" si="49"/>
        <v>0</v>
      </c>
      <c r="L97" s="65">
        <f t="shared" si="50"/>
        <v>12940</v>
      </c>
      <c r="M97" s="65">
        <f t="shared" si="51"/>
        <v>12940</v>
      </c>
      <c r="N97" s="28"/>
      <c r="O97" s="24">
        <f t="shared" si="52"/>
        <v>12940</v>
      </c>
      <c r="P97" s="29">
        <v>12000</v>
      </c>
      <c r="Q97" s="30">
        <v>0</v>
      </c>
      <c r="R97" s="29">
        <v>800</v>
      </c>
      <c r="S97" s="31">
        <v>80</v>
      </c>
      <c r="T97" s="32">
        <v>60</v>
      </c>
      <c r="U97" s="24">
        <f t="shared" si="53"/>
        <v>12940</v>
      </c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</row>
    <row r="98" spans="1:32" s="5" customFormat="1" ht="84" customHeight="1" outlineLevel="2">
      <c r="A98" s="22">
        <v>85</v>
      </c>
      <c r="B98" s="23">
        <v>30701003012</v>
      </c>
      <c r="C98" s="23" t="s">
        <v>75</v>
      </c>
      <c r="D98" s="23" t="s">
        <v>245</v>
      </c>
      <c r="E98" s="22" t="s">
        <v>69</v>
      </c>
      <c r="F98" s="24">
        <v>1</v>
      </c>
      <c r="G98" s="64">
        <f t="shared" si="45"/>
        <v>800</v>
      </c>
      <c r="H98" s="65">
        <f t="shared" si="46"/>
        <v>12080</v>
      </c>
      <c r="I98" s="65">
        <f t="shared" si="47"/>
        <v>60</v>
      </c>
      <c r="J98" s="65">
        <f t="shared" si="48"/>
        <v>0</v>
      </c>
      <c r="K98" s="65">
        <f t="shared" si="49"/>
        <v>0</v>
      </c>
      <c r="L98" s="65">
        <f t="shared" si="50"/>
        <v>12940</v>
      </c>
      <c r="M98" s="65">
        <f t="shared" si="51"/>
        <v>12940</v>
      </c>
      <c r="N98" s="28"/>
      <c r="O98" s="24">
        <f t="shared" si="52"/>
        <v>12940</v>
      </c>
      <c r="P98" s="29">
        <v>12000</v>
      </c>
      <c r="Q98" s="30">
        <v>0</v>
      </c>
      <c r="R98" s="29">
        <v>800</v>
      </c>
      <c r="S98" s="31">
        <v>80</v>
      </c>
      <c r="T98" s="32">
        <v>60</v>
      </c>
      <c r="U98" s="24">
        <f t="shared" si="53"/>
        <v>12940</v>
      </c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</row>
    <row r="99" spans="1:32" s="5" customFormat="1" ht="60" customHeight="1" outlineLevel="2">
      <c r="A99" s="9">
        <v>86</v>
      </c>
      <c r="B99" s="17">
        <v>30413013005</v>
      </c>
      <c r="C99" s="17" t="s">
        <v>77</v>
      </c>
      <c r="D99" s="17" t="s">
        <v>78</v>
      </c>
      <c r="E99" s="9" t="s">
        <v>38</v>
      </c>
      <c r="F99" s="10">
        <v>30</v>
      </c>
      <c r="G99" s="66">
        <f t="shared" si="45"/>
        <v>35</v>
      </c>
      <c r="H99" s="67">
        <f t="shared" si="46"/>
        <v>103</v>
      </c>
      <c r="I99" s="67">
        <f t="shared" si="47"/>
        <v>0</v>
      </c>
      <c r="J99" s="67">
        <f t="shared" si="48"/>
        <v>0</v>
      </c>
      <c r="K99" s="67">
        <f t="shared" si="49"/>
        <v>0</v>
      </c>
      <c r="L99" s="67">
        <f t="shared" si="50"/>
        <v>138</v>
      </c>
      <c r="M99" s="67">
        <f t="shared" si="51"/>
        <v>4140</v>
      </c>
      <c r="N99" s="8"/>
      <c r="O99" s="10">
        <f t="shared" si="52"/>
        <v>138</v>
      </c>
      <c r="P99" s="48">
        <f>架空层安装工程!$P$33</f>
        <v>95</v>
      </c>
      <c r="Q99" s="49">
        <f>架空层安装工程!$Q$33</f>
        <v>0</v>
      </c>
      <c r="R99" s="48">
        <f>架空层安装工程!$R$33</f>
        <v>35</v>
      </c>
      <c r="S99" s="50">
        <f>架空层安装工程!$S$33</f>
        <v>8</v>
      </c>
      <c r="T99" s="12">
        <f>架空层安装工程!$T$33</f>
        <v>0</v>
      </c>
      <c r="U99" s="10">
        <f t="shared" si="53"/>
        <v>4140</v>
      </c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</row>
    <row r="100" spans="1:32" s="5" customFormat="1" outlineLevel="1">
      <c r="A100" s="9"/>
      <c r="B100" s="17"/>
      <c r="C100" s="17" t="s">
        <v>85</v>
      </c>
      <c r="D100" s="17"/>
      <c r="E100" s="9"/>
      <c r="F100" s="10"/>
      <c r="G100" s="59"/>
      <c r="H100" s="59"/>
      <c r="I100" s="59"/>
      <c r="J100" s="59"/>
      <c r="K100" s="59"/>
      <c r="L100" s="59"/>
      <c r="M100" s="59"/>
      <c r="N100" s="59"/>
      <c r="O100" s="59"/>
      <c r="P100" s="59"/>
      <c r="Q100" s="60"/>
      <c r="R100" s="59"/>
      <c r="S100" s="59"/>
      <c r="T100" s="59"/>
      <c r="U100" s="59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</row>
    <row r="101" spans="1:32" s="5" customFormat="1" ht="72" customHeight="1" outlineLevel="2">
      <c r="A101" s="9">
        <v>87</v>
      </c>
      <c r="B101" s="17">
        <v>30702001001</v>
      </c>
      <c r="C101" s="17" t="s">
        <v>86</v>
      </c>
      <c r="D101" s="17" t="s">
        <v>87</v>
      </c>
      <c r="E101" s="9" t="s">
        <v>88</v>
      </c>
      <c r="F101" s="10">
        <v>44.37</v>
      </c>
      <c r="G101" s="66">
        <f t="shared" ref="G101:G108" si="54">R101*$R$3</f>
        <v>48</v>
      </c>
      <c r="H101" s="67">
        <f t="shared" ref="H101:H108" si="55">P101*(1+Q101)*$P$3+S101*$S$3</f>
        <v>99.55</v>
      </c>
      <c r="I101" s="67">
        <f t="shared" ref="I101:I108" si="56">T101*$T$3</f>
        <v>2</v>
      </c>
      <c r="J101" s="67">
        <f t="shared" ref="J101:J108" si="57">(G101+H101+I101)*$J$3</f>
        <v>0</v>
      </c>
      <c r="K101" s="67">
        <f t="shared" ref="K101:K108" si="58">(G101+H101+I101+J101)*$K$3</f>
        <v>0</v>
      </c>
      <c r="L101" s="67">
        <f t="shared" ref="L101:L108" si="59">G101+H101+I101+J101+K101</f>
        <v>149.55000000000001</v>
      </c>
      <c r="M101" s="67">
        <f t="shared" ref="M101:M108" si="60">F101*L101</f>
        <v>6635.5334999999995</v>
      </c>
      <c r="N101" s="8"/>
      <c r="O101" s="10">
        <f t="shared" ref="O101:O108" si="61">P101*(1+Q101)+R101+S101+T101</f>
        <v>149.55000000000001</v>
      </c>
      <c r="P101" s="48">
        <f>架空层安装工程!$P$40</f>
        <v>85</v>
      </c>
      <c r="Q101" s="49">
        <f>架空层安装工程!$Q$40</f>
        <v>0.03</v>
      </c>
      <c r="R101" s="48">
        <f>架空层安装工程!$R$40</f>
        <v>48</v>
      </c>
      <c r="S101" s="50">
        <f>架空层安装工程!$S$40</f>
        <v>12</v>
      </c>
      <c r="T101" s="12">
        <f>架空层安装工程!$T$40</f>
        <v>2</v>
      </c>
      <c r="U101" s="10">
        <f t="shared" ref="U101:U108" si="62">F101*O101</f>
        <v>6635.5334999999995</v>
      </c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</row>
    <row r="102" spans="1:32" s="5" customFormat="1" ht="72" customHeight="1" outlineLevel="2">
      <c r="A102" s="9">
        <v>88</v>
      </c>
      <c r="B102" s="17">
        <v>30702001002</v>
      </c>
      <c r="C102" s="17" t="s">
        <v>86</v>
      </c>
      <c r="D102" s="17" t="s">
        <v>89</v>
      </c>
      <c r="E102" s="9" t="s">
        <v>88</v>
      </c>
      <c r="F102" s="10">
        <v>45.59</v>
      </c>
      <c r="G102" s="66">
        <f t="shared" si="54"/>
        <v>48</v>
      </c>
      <c r="H102" s="67">
        <f t="shared" si="55"/>
        <v>99.55</v>
      </c>
      <c r="I102" s="67">
        <f t="shared" si="56"/>
        <v>2</v>
      </c>
      <c r="J102" s="67">
        <f t="shared" si="57"/>
        <v>0</v>
      </c>
      <c r="K102" s="67">
        <f t="shared" si="58"/>
        <v>0</v>
      </c>
      <c r="L102" s="67">
        <f t="shared" si="59"/>
        <v>149.55000000000001</v>
      </c>
      <c r="M102" s="67">
        <f t="shared" si="60"/>
        <v>6817.9844999999996</v>
      </c>
      <c r="N102" s="8"/>
      <c r="O102" s="10">
        <f t="shared" si="61"/>
        <v>149.55000000000001</v>
      </c>
      <c r="P102" s="48">
        <f>架空层安装工程!$P$41</f>
        <v>85</v>
      </c>
      <c r="Q102" s="49">
        <f>架空层安装工程!$Q$41</f>
        <v>0.03</v>
      </c>
      <c r="R102" s="48">
        <f>架空层安装工程!$R$41</f>
        <v>48</v>
      </c>
      <c r="S102" s="50">
        <f>架空层安装工程!$S$41</f>
        <v>12</v>
      </c>
      <c r="T102" s="12">
        <f>架空层安装工程!$T$41</f>
        <v>2</v>
      </c>
      <c r="U102" s="10">
        <f t="shared" si="62"/>
        <v>6817.9844999999996</v>
      </c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</row>
    <row r="103" spans="1:32" s="5" customFormat="1" ht="72" customHeight="1" outlineLevel="2">
      <c r="A103" s="9">
        <v>89</v>
      </c>
      <c r="B103" s="17">
        <v>30702001003</v>
      </c>
      <c r="C103" s="17" t="s">
        <v>86</v>
      </c>
      <c r="D103" s="17" t="s">
        <v>90</v>
      </c>
      <c r="E103" s="9" t="s">
        <v>88</v>
      </c>
      <c r="F103" s="10">
        <v>66.86</v>
      </c>
      <c r="G103" s="66">
        <f t="shared" si="54"/>
        <v>48</v>
      </c>
      <c r="H103" s="67">
        <f t="shared" si="55"/>
        <v>99.55</v>
      </c>
      <c r="I103" s="67">
        <f t="shared" si="56"/>
        <v>2</v>
      </c>
      <c r="J103" s="67">
        <f t="shared" si="57"/>
        <v>0</v>
      </c>
      <c r="K103" s="67">
        <f t="shared" si="58"/>
        <v>0</v>
      </c>
      <c r="L103" s="67">
        <f t="shared" si="59"/>
        <v>149.55000000000001</v>
      </c>
      <c r="M103" s="67">
        <f t="shared" si="60"/>
        <v>9998.9130000000005</v>
      </c>
      <c r="N103" s="8"/>
      <c r="O103" s="10">
        <f t="shared" si="61"/>
        <v>149.55000000000001</v>
      </c>
      <c r="P103" s="48">
        <f>架空层安装工程!$P$42</f>
        <v>85</v>
      </c>
      <c r="Q103" s="49">
        <f>架空层安装工程!$Q$42</f>
        <v>0.03</v>
      </c>
      <c r="R103" s="48">
        <f>架空层安装工程!$R$42</f>
        <v>48</v>
      </c>
      <c r="S103" s="50">
        <f>架空层安装工程!$S$42</f>
        <v>12</v>
      </c>
      <c r="T103" s="12">
        <f>架空层安装工程!$T$42</f>
        <v>2</v>
      </c>
      <c r="U103" s="10">
        <f t="shared" si="62"/>
        <v>9998.9130000000005</v>
      </c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</row>
    <row r="104" spans="1:32" s="5" customFormat="1" ht="72" customHeight="1" outlineLevel="2">
      <c r="A104" s="22">
        <v>90</v>
      </c>
      <c r="B104" s="23">
        <v>30702001004</v>
      </c>
      <c r="C104" s="23" t="s">
        <v>86</v>
      </c>
      <c r="D104" s="23" t="s">
        <v>246</v>
      </c>
      <c r="E104" s="22" t="s">
        <v>88</v>
      </c>
      <c r="F104" s="24">
        <v>279.52999999999997</v>
      </c>
      <c r="G104" s="64">
        <f t="shared" si="54"/>
        <v>48</v>
      </c>
      <c r="H104" s="65">
        <f t="shared" si="55"/>
        <v>99.55</v>
      </c>
      <c r="I104" s="65">
        <f t="shared" si="56"/>
        <v>2</v>
      </c>
      <c r="J104" s="65">
        <f t="shared" si="57"/>
        <v>0</v>
      </c>
      <c r="K104" s="65">
        <f t="shared" si="58"/>
        <v>0</v>
      </c>
      <c r="L104" s="65">
        <f t="shared" si="59"/>
        <v>149.55000000000001</v>
      </c>
      <c r="M104" s="65">
        <f t="shared" si="60"/>
        <v>41803.711499999998</v>
      </c>
      <c r="N104" s="28"/>
      <c r="O104" s="24">
        <f t="shared" si="61"/>
        <v>149.55000000000001</v>
      </c>
      <c r="P104" s="29">
        <v>85</v>
      </c>
      <c r="Q104" s="30">
        <v>0.03</v>
      </c>
      <c r="R104" s="29">
        <v>48</v>
      </c>
      <c r="S104" s="31">
        <v>12</v>
      </c>
      <c r="T104" s="32">
        <v>2</v>
      </c>
      <c r="U104" s="24">
        <f t="shared" si="62"/>
        <v>41803.711499999998</v>
      </c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</row>
    <row r="105" spans="1:32" s="5" customFormat="1" ht="60" customHeight="1" outlineLevel="2">
      <c r="A105" s="9">
        <v>91</v>
      </c>
      <c r="B105" s="17">
        <v>30703019001</v>
      </c>
      <c r="C105" s="17" t="s">
        <v>91</v>
      </c>
      <c r="D105" s="17" t="s">
        <v>92</v>
      </c>
      <c r="E105" s="9" t="s">
        <v>88</v>
      </c>
      <c r="F105" s="10">
        <v>32.82</v>
      </c>
      <c r="G105" s="66">
        <f t="shared" si="54"/>
        <v>55</v>
      </c>
      <c r="H105" s="67">
        <f t="shared" si="55"/>
        <v>78.89</v>
      </c>
      <c r="I105" s="67">
        <f t="shared" si="56"/>
        <v>2.75</v>
      </c>
      <c r="J105" s="67">
        <f t="shared" si="57"/>
        <v>0</v>
      </c>
      <c r="K105" s="67">
        <f t="shared" si="58"/>
        <v>0</v>
      </c>
      <c r="L105" s="67">
        <f t="shared" si="59"/>
        <v>136.63999999999999</v>
      </c>
      <c r="M105" s="67">
        <f t="shared" si="60"/>
        <v>4484.5248000000001</v>
      </c>
      <c r="N105" s="8"/>
      <c r="O105" s="10">
        <f t="shared" si="61"/>
        <v>136.63999999999999</v>
      </c>
      <c r="P105" s="48">
        <f>架空层安装工程!$P$43</f>
        <v>19.489999999999998</v>
      </c>
      <c r="Q105" s="49">
        <f>架空层安装工程!$Q$43</f>
        <v>0</v>
      </c>
      <c r="R105" s="48">
        <f>架空层安装工程!$R$43</f>
        <v>55</v>
      </c>
      <c r="S105" s="50">
        <f>架空层安装工程!$S$43</f>
        <v>59.4</v>
      </c>
      <c r="T105" s="12">
        <f>架空层安装工程!$T$43</f>
        <v>2.75</v>
      </c>
      <c r="U105" s="10">
        <f t="shared" si="62"/>
        <v>4484.5248000000001</v>
      </c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</row>
    <row r="106" spans="1:32" s="5" customFormat="1" ht="60" customHeight="1" outlineLevel="2">
      <c r="A106" s="9">
        <v>92</v>
      </c>
      <c r="B106" s="17">
        <v>31301005001</v>
      </c>
      <c r="C106" s="17" t="s">
        <v>93</v>
      </c>
      <c r="D106" s="17" t="s">
        <v>94</v>
      </c>
      <c r="E106" s="9" t="s">
        <v>95</v>
      </c>
      <c r="F106" s="10">
        <v>1884.04</v>
      </c>
      <c r="G106" s="66">
        <f t="shared" si="54"/>
        <v>5.77</v>
      </c>
      <c r="H106" s="67">
        <f t="shared" si="55"/>
        <v>6.87</v>
      </c>
      <c r="I106" s="67">
        <f t="shared" si="56"/>
        <v>1.21</v>
      </c>
      <c r="J106" s="67">
        <f t="shared" si="57"/>
        <v>0</v>
      </c>
      <c r="K106" s="67">
        <f t="shared" si="58"/>
        <v>0</v>
      </c>
      <c r="L106" s="67">
        <f t="shared" si="59"/>
        <v>13.85</v>
      </c>
      <c r="M106" s="67">
        <f t="shared" si="60"/>
        <v>26093.954000000002</v>
      </c>
      <c r="N106" s="8"/>
      <c r="O106" s="10">
        <f t="shared" si="61"/>
        <v>13.85</v>
      </c>
      <c r="P106" s="48">
        <f>架空层安装工程!$P$44</f>
        <v>6.87</v>
      </c>
      <c r="Q106" s="49">
        <f>架空层安装工程!$Q$44</f>
        <v>0</v>
      </c>
      <c r="R106" s="48">
        <f>架空层安装工程!$R$44</f>
        <v>5.77</v>
      </c>
      <c r="S106" s="50">
        <f>架空层安装工程!$S$44</f>
        <v>0</v>
      </c>
      <c r="T106" s="12">
        <f>架空层安装工程!$T$44</f>
        <v>1.21</v>
      </c>
      <c r="U106" s="10">
        <f t="shared" si="62"/>
        <v>26093.954000000002</v>
      </c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</row>
    <row r="107" spans="1:32" s="5" customFormat="1" ht="84" customHeight="1" outlineLevel="2">
      <c r="A107" s="9">
        <v>93</v>
      </c>
      <c r="B107" s="17">
        <v>31208003001</v>
      </c>
      <c r="C107" s="17" t="s">
        <v>96</v>
      </c>
      <c r="D107" s="17" t="s">
        <v>97</v>
      </c>
      <c r="E107" s="9" t="s">
        <v>88</v>
      </c>
      <c r="F107" s="10">
        <v>469.67</v>
      </c>
      <c r="G107" s="66">
        <f t="shared" si="54"/>
        <v>48</v>
      </c>
      <c r="H107" s="67">
        <f t="shared" si="55"/>
        <v>412</v>
      </c>
      <c r="I107" s="67">
        <f t="shared" si="56"/>
        <v>2</v>
      </c>
      <c r="J107" s="67">
        <f t="shared" si="57"/>
        <v>0</v>
      </c>
      <c r="K107" s="67">
        <f t="shared" si="58"/>
        <v>0</v>
      </c>
      <c r="L107" s="67">
        <f t="shared" si="59"/>
        <v>462</v>
      </c>
      <c r="M107" s="67">
        <f t="shared" si="60"/>
        <v>216987.54</v>
      </c>
      <c r="N107" s="8"/>
      <c r="O107" s="10">
        <f t="shared" si="61"/>
        <v>462</v>
      </c>
      <c r="P107" s="48">
        <f>架空层安装工程!$P$45</f>
        <v>400</v>
      </c>
      <c r="Q107" s="49">
        <f>架空层安装工程!$Q$45</f>
        <v>0</v>
      </c>
      <c r="R107" s="48">
        <f>架空层安装工程!$R$45</f>
        <v>48</v>
      </c>
      <c r="S107" s="50">
        <f>架空层安装工程!$S$45</f>
        <v>12</v>
      </c>
      <c r="T107" s="12">
        <f>架空层安装工程!$T$45</f>
        <v>2</v>
      </c>
      <c r="U107" s="10">
        <f t="shared" si="62"/>
        <v>216987.54</v>
      </c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</row>
    <row r="108" spans="1:32" s="5" customFormat="1" outlineLevel="2">
      <c r="A108" s="9">
        <v>94</v>
      </c>
      <c r="B108" s="17">
        <v>30704001001</v>
      </c>
      <c r="C108" s="17" t="s">
        <v>98</v>
      </c>
      <c r="D108" s="17" t="s">
        <v>99</v>
      </c>
      <c r="E108" s="9" t="s">
        <v>100</v>
      </c>
      <c r="F108" s="10">
        <v>1</v>
      </c>
      <c r="G108" s="66">
        <f t="shared" si="54"/>
        <v>380</v>
      </c>
      <c r="H108" s="67">
        <f t="shared" si="55"/>
        <v>600</v>
      </c>
      <c r="I108" s="67">
        <f t="shared" si="56"/>
        <v>20</v>
      </c>
      <c r="J108" s="67">
        <f t="shared" si="57"/>
        <v>0</v>
      </c>
      <c r="K108" s="67">
        <f t="shared" si="58"/>
        <v>0</v>
      </c>
      <c r="L108" s="67">
        <f t="shared" si="59"/>
        <v>1000</v>
      </c>
      <c r="M108" s="67">
        <f t="shared" si="60"/>
        <v>1000</v>
      </c>
      <c r="N108" s="8"/>
      <c r="O108" s="10">
        <f t="shared" si="61"/>
        <v>1000</v>
      </c>
      <c r="P108" s="48">
        <f>架空层安装工程!$P$46</f>
        <v>400</v>
      </c>
      <c r="Q108" s="49">
        <f>架空层安装工程!$Q$46</f>
        <v>0</v>
      </c>
      <c r="R108" s="48">
        <f>架空层安装工程!$R$46</f>
        <v>380</v>
      </c>
      <c r="S108" s="50">
        <f>架空层安装工程!$S$46</f>
        <v>200</v>
      </c>
      <c r="T108" s="12">
        <f>架空层安装工程!$T$46</f>
        <v>20</v>
      </c>
      <c r="U108" s="10">
        <f t="shared" si="62"/>
        <v>1000</v>
      </c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</row>
    <row r="109" spans="1:32" s="5" customFormat="1" outlineLevel="1">
      <c r="A109" s="9"/>
      <c r="B109" s="17"/>
      <c r="C109" s="17" t="s">
        <v>247</v>
      </c>
      <c r="D109" s="17"/>
      <c r="E109" s="9"/>
      <c r="F109" s="10"/>
      <c r="G109" s="59"/>
      <c r="H109" s="59"/>
      <c r="I109" s="59"/>
      <c r="J109" s="59"/>
      <c r="K109" s="59"/>
      <c r="L109" s="59"/>
      <c r="M109" s="59"/>
      <c r="N109" s="59"/>
      <c r="O109" s="59"/>
      <c r="P109" s="59"/>
      <c r="Q109" s="60"/>
      <c r="R109" s="59"/>
      <c r="S109" s="59"/>
      <c r="T109" s="59"/>
      <c r="U109" s="59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</row>
    <row r="110" spans="1:32" s="5" customFormat="1" ht="60" customHeight="1" outlineLevel="2">
      <c r="A110" s="9">
        <v>95</v>
      </c>
      <c r="B110" s="17">
        <v>30703007001</v>
      </c>
      <c r="C110" s="17" t="s">
        <v>79</v>
      </c>
      <c r="D110" s="17" t="s">
        <v>81</v>
      </c>
      <c r="E110" s="9" t="s">
        <v>46</v>
      </c>
      <c r="F110" s="10">
        <v>12</v>
      </c>
      <c r="G110" s="66">
        <f t="shared" ref="G110:G117" si="63">R110*$R$3</f>
        <v>20</v>
      </c>
      <c r="H110" s="67">
        <f t="shared" ref="H110:H117" si="64">P110*(1+Q110)*$P$3+S110*$S$3</f>
        <v>81</v>
      </c>
      <c r="I110" s="67">
        <f t="shared" ref="I110:I117" si="65">T110*$T$3</f>
        <v>0</v>
      </c>
      <c r="J110" s="67">
        <f t="shared" ref="J110:J117" si="66">(G110+H110+I110)*$J$3</f>
        <v>0</v>
      </c>
      <c r="K110" s="67">
        <f t="shared" ref="K110:K117" si="67">(G110+H110+I110+J110)*$K$3</f>
        <v>0</v>
      </c>
      <c r="L110" s="67">
        <f t="shared" ref="L110:L117" si="68">G110+H110+I110+J110+K110</f>
        <v>101</v>
      </c>
      <c r="M110" s="67">
        <f t="shared" ref="M110:M117" si="69">F110*L110</f>
        <v>1212</v>
      </c>
      <c r="N110" s="8"/>
      <c r="O110" s="10">
        <f t="shared" ref="O110:O117" si="70">P110*(1+Q110)+R110+S110+T110</f>
        <v>101</v>
      </c>
      <c r="P110" s="48">
        <f>架空层安装工程!$P$35</f>
        <v>75</v>
      </c>
      <c r="Q110" s="49">
        <f>架空层安装工程!$Q$35</f>
        <v>0</v>
      </c>
      <c r="R110" s="48">
        <f>架空层安装工程!$R$35</f>
        <v>20</v>
      </c>
      <c r="S110" s="50">
        <f>架空层安装工程!$S$35</f>
        <v>6</v>
      </c>
      <c r="T110" s="12">
        <f>架空层安装工程!$T$35</f>
        <v>0</v>
      </c>
      <c r="U110" s="10">
        <f t="shared" ref="U110:U117" si="71">F110*O110</f>
        <v>1212</v>
      </c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</row>
    <row r="111" spans="1:32" s="5" customFormat="1" ht="60" customHeight="1" outlineLevel="2">
      <c r="A111" s="22">
        <v>96</v>
      </c>
      <c r="B111" s="23">
        <v>30703007002</v>
      </c>
      <c r="C111" s="23" t="s">
        <v>79</v>
      </c>
      <c r="D111" s="23" t="s">
        <v>248</v>
      </c>
      <c r="E111" s="22" t="s">
        <v>46</v>
      </c>
      <c r="F111" s="24">
        <v>6</v>
      </c>
      <c r="G111" s="64">
        <f t="shared" si="63"/>
        <v>20</v>
      </c>
      <c r="H111" s="65">
        <f t="shared" si="64"/>
        <v>81</v>
      </c>
      <c r="I111" s="65">
        <f t="shared" si="65"/>
        <v>0</v>
      </c>
      <c r="J111" s="65">
        <f t="shared" si="66"/>
        <v>0</v>
      </c>
      <c r="K111" s="65">
        <f t="shared" si="67"/>
        <v>0</v>
      </c>
      <c r="L111" s="65">
        <f t="shared" si="68"/>
        <v>101</v>
      </c>
      <c r="M111" s="65">
        <f t="shared" si="69"/>
        <v>606</v>
      </c>
      <c r="N111" s="28"/>
      <c r="O111" s="24">
        <f t="shared" si="70"/>
        <v>101</v>
      </c>
      <c r="P111" s="29">
        <v>75</v>
      </c>
      <c r="Q111" s="30">
        <v>0</v>
      </c>
      <c r="R111" s="29">
        <v>20</v>
      </c>
      <c r="S111" s="31">
        <v>6</v>
      </c>
      <c r="T111" s="32">
        <v>0</v>
      </c>
      <c r="U111" s="24">
        <f t="shared" si="71"/>
        <v>606</v>
      </c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</row>
    <row r="112" spans="1:32" s="5" customFormat="1" ht="60" customHeight="1" outlineLevel="2">
      <c r="A112" s="22">
        <v>97</v>
      </c>
      <c r="B112" s="23">
        <v>30703007003</v>
      </c>
      <c r="C112" s="23" t="s">
        <v>79</v>
      </c>
      <c r="D112" s="23" t="s">
        <v>249</v>
      </c>
      <c r="E112" s="22" t="s">
        <v>46</v>
      </c>
      <c r="F112" s="24">
        <v>2</v>
      </c>
      <c r="G112" s="64">
        <f t="shared" si="63"/>
        <v>20</v>
      </c>
      <c r="H112" s="65">
        <f t="shared" si="64"/>
        <v>81</v>
      </c>
      <c r="I112" s="65">
        <f t="shared" si="65"/>
        <v>0</v>
      </c>
      <c r="J112" s="65">
        <f t="shared" si="66"/>
        <v>0</v>
      </c>
      <c r="K112" s="65">
        <f t="shared" si="67"/>
        <v>0</v>
      </c>
      <c r="L112" s="65">
        <f t="shared" si="68"/>
        <v>101</v>
      </c>
      <c r="M112" s="65">
        <f t="shared" si="69"/>
        <v>202</v>
      </c>
      <c r="N112" s="28"/>
      <c r="O112" s="24">
        <f t="shared" si="70"/>
        <v>101</v>
      </c>
      <c r="P112" s="29">
        <v>75</v>
      </c>
      <c r="Q112" s="30">
        <v>0</v>
      </c>
      <c r="R112" s="29">
        <v>20</v>
      </c>
      <c r="S112" s="31">
        <v>6</v>
      </c>
      <c r="T112" s="32">
        <v>0</v>
      </c>
      <c r="U112" s="24">
        <f t="shared" si="71"/>
        <v>202</v>
      </c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</row>
    <row r="113" spans="1:32" s="5" customFormat="1" ht="60" customHeight="1" outlineLevel="2">
      <c r="A113" s="22">
        <v>98</v>
      </c>
      <c r="B113" s="23">
        <v>30703007004</v>
      </c>
      <c r="C113" s="23" t="s">
        <v>79</v>
      </c>
      <c r="D113" s="23" t="s">
        <v>250</v>
      </c>
      <c r="E113" s="22" t="s">
        <v>46</v>
      </c>
      <c r="F113" s="24">
        <v>16</v>
      </c>
      <c r="G113" s="64">
        <f t="shared" si="63"/>
        <v>20</v>
      </c>
      <c r="H113" s="65">
        <f t="shared" si="64"/>
        <v>81</v>
      </c>
      <c r="I113" s="65">
        <f t="shared" si="65"/>
        <v>0</v>
      </c>
      <c r="J113" s="65">
        <f t="shared" si="66"/>
        <v>0</v>
      </c>
      <c r="K113" s="65">
        <f t="shared" si="67"/>
        <v>0</v>
      </c>
      <c r="L113" s="65">
        <f t="shared" si="68"/>
        <v>101</v>
      </c>
      <c r="M113" s="65">
        <f t="shared" si="69"/>
        <v>1616</v>
      </c>
      <c r="N113" s="28"/>
      <c r="O113" s="24">
        <f t="shared" si="70"/>
        <v>101</v>
      </c>
      <c r="P113" s="29">
        <v>75</v>
      </c>
      <c r="Q113" s="30">
        <v>0</v>
      </c>
      <c r="R113" s="29">
        <v>20</v>
      </c>
      <c r="S113" s="31">
        <v>6</v>
      </c>
      <c r="T113" s="32">
        <v>0</v>
      </c>
      <c r="U113" s="24">
        <f t="shared" si="71"/>
        <v>1616</v>
      </c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</row>
    <row r="114" spans="1:32" s="5" customFormat="1" ht="60" customHeight="1" outlineLevel="2">
      <c r="A114" s="22">
        <v>99</v>
      </c>
      <c r="B114" s="23">
        <v>30703007005</v>
      </c>
      <c r="C114" s="23" t="s">
        <v>79</v>
      </c>
      <c r="D114" s="23" t="s">
        <v>251</v>
      </c>
      <c r="E114" s="22" t="s">
        <v>46</v>
      </c>
      <c r="F114" s="24">
        <v>24</v>
      </c>
      <c r="G114" s="64">
        <f t="shared" si="63"/>
        <v>20</v>
      </c>
      <c r="H114" s="65">
        <f t="shared" si="64"/>
        <v>81</v>
      </c>
      <c r="I114" s="65">
        <f t="shared" si="65"/>
        <v>0</v>
      </c>
      <c r="J114" s="65">
        <f t="shared" si="66"/>
        <v>0</v>
      </c>
      <c r="K114" s="65">
        <f t="shared" si="67"/>
        <v>0</v>
      </c>
      <c r="L114" s="65">
        <f t="shared" si="68"/>
        <v>101</v>
      </c>
      <c r="M114" s="65">
        <f t="shared" si="69"/>
        <v>2424</v>
      </c>
      <c r="N114" s="28"/>
      <c r="O114" s="24">
        <f t="shared" si="70"/>
        <v>101</v>
      </c>
      <c r="P114" s="29">
        <v>75</v>
      </c>
      <c r="Q114" s="30">
        <v>0</v>
      </c>
      <c r="R114" s="29">
        <v>20</v>
      </c>
      <c r="S114" s="31">
        <v>6</v>
      </c>
      <c r="T114" s="32">
        <v>0</v>
      </c>
      <c r="U114" s="24">
        <f t="shared" si="71"/>
        <v>2424</v>
      </c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</row>
    <row r="115" spans="1:32" s="5" customFormat="1" ht="48" customHeight="1" outlineLevel="2">
      <c r="A115" s="22">
        <v>100</v>
      </c>
      <c r="B115" s="23">
        <v>30703021001</v>
      </c>
      <c r="C115" s="23" t="s">
        <v>252</v>
      </c>
      <c r="D115" s="23" t="s">
        <v>253</v>
      </c>
      <c r="E115" s="22" t="s">
        <v>46</v>
      </c>
      <c r="F115" s="24">
        <v>2</v>
      </c>
      <c r="G115" s="64">
        <f t="shared" si="63"/>
        <v>10</v>
      </c>
      <c r="H115" s="65">
        <f t="shared" si="64"/>
        <v>47</v>
      </c>
      <c r="I115" s="65">
        <f t="shared" si="65"/>
        <v>1</v>
      </c>
      <c r="J115" s="65">
        <f t="shared" si="66"/>
        <v>0</v>
      </c>
      <c r="K115" s="65">
        <f t="shared" si="67"/>
        <v>0</v>
      </c>
      <c r="L115" s="65">
        <f t="shared" si="68"/>
        <v>58</v>
      </c>
      <c r="M115" s="65">
        <f t="shared" si="69"/>
        <v>116</v>
      </c>
      <c r="N115" s="28"/>
      <c r="O115" s="24">
        <f t="shared" si="70"/>
        <v>58</v>
      </c>
      <c r="P115" s="29">
        <v>45</v>
      </c>
      <c r="Q115" s="30">
        <v>0</v>
      </c>
      <c r="R115" s="29">
        <v>10</v>
      </c>
      <c r="S115" s="31">
        <v>2</v>
      </c>
      <c r="T115" s="32">
        <v>1</v>
      </c>
      <c r="U115" s="24">
        <f t="shared" si="71"/>
        <v>116</v>
      </c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</row>
    <row r="116" spans="1:32" s="5" customFormat="1" ht="48" customHeight="1" outlineLevel="2">
      <c r="A116" s="22">
        <v>101</v>
      </c>
      <c r="B116" s="23">
        <v>30703021002</v>
      </c>
      <c r="C116" s="23" t="s">
        <v>252</v>
      </c>
      <c r="D116" s="23" t="s">
        <v>254</v>
      </c>
      <c r="E116" s="22" t="s">
        <v>46</v>
      </c>
      <c r="F116" s="24">
        <v>16</v>
      </c>
      <c r="G116" s="64">
        <f t="shared" si="63"/>
        <v>10</v>
      </c>
      <c r="H116" s="65">
        <f t="shared" si="64"/>
        <v>47</v>
      </c>
      <c r="I116" s="65">
        <f t="shared" si="65"/>
        <v>1</v>
      </c>
      <c r="J116" s="65">
        <f t="shared" si="66"/>
        <v>0</v>
      </c>
      <c r="K116" s="65">
        <f t="shared" si="67"/>
        <v>0</v>
      </c>
      <c r="L116" s="65">
        <f t="shared" si="68"/>
        <v>58</v>
      </c>
      <c r="M116" s="65">
        <f t="shared" si="69"/>
        <v>928</v>
      </c>
      <c r="N116" s="28"/>
      <c r="O116" s="24">
        <f t="shared" si="70"/>
        <v>58</v>
      </c>
      <c r="P116" s="29">
        <v>45</v>
      </c>
      <c r="Q116" s="30">
        <v>0</v>
      </c>
      <c r="R116" s="29">
        <v>10</v>
      </c>
      <c r="S116" s="31">
        <v>2</v>
      </c>
      <c r="T116" s="32">
        <v>1</v>
      </c>
      <c r="U116" s="24">
        <f t="shared" si="71"/>
        <v>928</v>
      </c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</row>
    <row r="117" spans="1:32" s="5" customFormat="1" ht="48" customHeight="1" outlineLevel="2">
      <c r="A117" s="22">
        <v>102</v>
      </c>
      <c r="B117" s="23">
        <v>30703021003</v>
      </c>
      <c r="C117" s="23" t="s">
        <v>252</v>
      </c>
      <c r="D117" s="23" t="s">
        <v>255</v>
      </c>
      <c r="E117" s="22" t="s">
        <v>46</v>
      </c>
      <c r="F117" s="24">
        <v>24</v>
      </c>
      <c r="G117" s="64">
        <f t="shared" si="63"/>
        <v>10</v>
      </c>
      <c r="H117" s="65">
        <f t="shared" si="64"/>
        <v>47</v>
      </c>
      <c r="I117" s="65">
        <f t="shared" si="65"/>
        <v>1</v>
      </c>
      <c r="J117" s="65">
        <f t="shared" si="66"/>
        <v>0</v>
      </c>
      <c r="K117" s="65">
        <f t="shared" si="67"/>
        <v>0</v>
      </c>
      <c r="L117" s="65">
        <f t="shared" si="68"/>
        <v>58</v>
      </c>
      <c r="M117" s="65">
        <f t="shared" si="69"/>
        <v>1392</v>
      </c>
      <c r="N117" s="28"/>
      <c r="O117" s="24">
        <f t="shared" si="70"/>
        <v>58</v>
      </c>
      <c r="P117" s="29">
        <v>45</v>
      </c>
      <c r="Q117" s="30">
        <v>0</v>
      </c>
      <c r="R117" s="29">
        <v>10</v>
      </c>
      <c r="S117" s="31">
        <v>2</v>
      </c>
      <c r="T117" s="32">
        <v>1</v>
      </c>
      <c r="U117" s="24">
        <f t="shared" si="71"/>
        <v>1392</v>
      </c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</row>
    <row r="118" spans="1:32" s="5" customFormat="1" outlineLevel="1">
      <c r="A118" s="9"/>
      <c r="B118" s="17"/>
      <c r="C118" s="17" t="s">
        <v>101</v>
      </c>
      <c r="D118" s="17"/>
      <c r="E118" s="9"/>
      <c r="F118" s="10"/>
      <c r="G118" s="59"/>
      <c r="H118" s="59"/>
      <c r="I118" s="59"/>
      <c r="J118" s="59"/>
      <c r="K118" s="59"/>
      <c r="L118" s="59"/>
      <c r="M118" s="59"/>
      <c r="N118" s="59"/>
      <c r="O118" s="59"/>
      <c r="P118" s="59"/>
      <c r="Q118" s="60"/>
      <c r="R118" s="59"/>
      <c r="S118" s="59"/>
      <c r="T118" s="59"/>
      <c r="U118" s="59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</row>
    <row r="119" spans="1:32" s="5" customFormat="1" ht="72" customHeight="1" outlineLevel="2">
      <c r="A119" s="9">
        <v>103</v>
      </c>
      <c r="B119" s="17">
        <v>31001005001</v>
      </c>
      <c r="C119" s="17" t="s">
        <v>102</v>
      </c>
      <c r="D119" s="17" t="s">
        <v>103</v>
      </c>
      <c r="E119" s="9" t="s">
        <v>43</v>
      </c>
      <c r="F119" s="10">
        <v>37.15</v>
      </c>
      <c r="G119" s="66">
        <f t="shared" ref="G119:G138" si="72">R119*$R$3</f>
        <v>9.64</v>
      </c>
      <c r="H119" s="67">
        <f t="shared" ref="H119:H138" si="73">P119*(1+Q119)*$P$3+S119*$S$3</f>
        <v>13.1816</v>
      </c>
      <c r="I119" s="67">
        <f t="shared" ref="I119:I138" si="74">T119*$T$3</f>
        <v>0</v>
      </c>
      <c r="J119" s="67">
        <f t="shared" ref="J119:J138" si="75">(G119+H119+I119)*$J$3</f>
        <v>0</v>
      </c>
      <c r="K119" s="67">
        <f t="shared" ref="K119:K138" si="76">(G119+H119+I119+J119)*$K$3</f>
        <v>0</v>
      </c>
      <c r="L119" s="67">
        <f t="shared" ref="L119:L138" si="77">G119+H119+I119+J119+K119</f>
        <v>22.8216</v>
      </c>
      <c r="M119" s="67">
        <f t="shared" ref="M119:M138" si="78">F119*L119</f>
        <v>847.82244000000003</v>
      </c>
      <c r="N119" s="8"/>
      <c r="O119" s="10">
        <f t="shared" ref="O119:O138" si="79">P119*(1+Q119)+R119+S119+T119</f>
        <v>22.8216</v>
      </c>
      <c r="P119" s="48">
        <f>架空层安装工程!$P$48</f>
        <v>10.72</v>
      </c>
      <c r="Q119" s="49">
        <f>架空层安装工程!$Q$48</f>
        <v>0.03</v>
      </c>
      <c r="R119" s="48">
        <f>架空层安装工程!$R$48</f>
        <v>9.64</v>
      </c>
      <c r="S119" s="50">
        <f>架空层安装工程!$S$48</f>
        <v>2.14</v>
      </c>
      <c r="T119" s="12">
        <f>架空层安装工程!$T$48</f>
        <v>0</v>
      </c>
      <c r="U119" s="10">
        <f t="shared" ref="U119:U138" si="80">F119*O119</f>
        <v>847.82244000000003</v>
      </c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</row>
    <row r="120" spans="1:32" s="5" customFormat="1" ht="72" customHeight="1" outlineLevel="2">
      <c r="A120" s="9">
        <v>104</v>
      </c>
      <c r="B120" s="17">
        <v>31001005002</v>
      </c>
      <c r="C120" s="17" t="s">
        <v>102</v>
      </c>
      <c r="D120" s="17" t="s">
        <v>104</v>
      </c>
      <c r="E120" s="9" t="s">
        <v>43</v>
      </c>
      <c r="F120" s="10">
        <v>95.8</v>
      </c>
      <c r="G120" s="66">
        <f t="shared" si="72"/>
        <v>14.29</v>
      </c>
      <c r="H120" s="67">
        <f t="shared" si="73"/>
        <v>17.763200000000001</v>
      </c>
      <c r="I120" s="67">
        <f t="shared" si="74"/>
        <v>0</v>
      </c>
      <c r="J120" s="67">
        <f t="shared" si="75"/>
        <v>0</v>
      </c>
      <c r="K120" s="67">
        <f t="shared" si="76"/>
        <v>0</v>
      </c>
      <c r="L120" s="67">
        <f t="shared" si="77"/>
        <v>32.053199999999997</v>
      </c>
      <c r="M120" s="67">
        <f t="shared" si="78"/>
        <v>3070.6965599999999</v>
      </c>
      <c r="N120" s="8"/>
      <c r="O120" s="10">
        <f t="shared" si="79"/>
        <v>32.053199999999997</v>
      </c>
      <c r="P120" s="48">
        <f>架空层安装工程!$P$49</f>
        <v>14.44</v>
      </c>
      <c r="Q120" s="49">
        <f>架空层安装工程!$Q$49</f>
        <v>0.03</v>
      </c>
      <c r="R120" s="48">
        <f>架空层安装工程!$R$49</f>
        <v>14.29</v>
      </c>
      <c r="S120" s="50">
        <f>架空层安装工程!$S$49</f>
        <v>2.89</v>
      </c>
      <c r="T120" s="12">
        <f>架空层安装工程!$T$49</f>
        <v>0</v>
      </c>
      <c r="U120" s="10">
        <f t="shared" si="80"/>
        <v>3070.6965599999999</v>
      </c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</row>
    <row r="121" spans="1:32" s="5" customFormat="1" ht="72" customHeight="1" outlineLevel="2">
      <c r="A121" s="9">
        <v>105</v>
      </c>
      <c r="B121" s="17">
        <v>31001005003</v>
      </c>
      <c r="C121" s="17" t="s">
        <v>102</v>
      </c>
      <c r="D121" s="17" t="s">
        <v>105</v>
      </c>
      <c r="E121" s="9" t="s">
        <v>43</v>
      </c>
      <c r="F121" s="10">
        <v>56.45</v>
      </c>
      <c r="G121" s="66">
        <f t="shared" si="72"/>
        <v>19.09</v>
      </c>
      <c r="H121" s="67">
        <f t="shared" si="73"/>
        <v>19.0138</v>
      </c>
      <c r="I121" s="67">
        <f t="shared" si="74"/>
        <v>0</v>
      </c>
      <c r="J121" s="67">
        <f t="shared" si="75"/>
        <v>0</v>
      </c>
      <c r="K121" s="67">
        <f t="shared" si="76"/>
        <v>0</v>
      </c>
      <c r="L121" s="67">
        <f t="shared" si="77"/>
        <v>38.1038</v>
      </c>
      <c r="M121" s="67">
        <f t="shared" si="78"/>
        <v>2150.9595100000001</v>
      </c>
      <c r="N121" s="8"/>
      <c r="O121" s="10">
        <f t="shared" si="79"/>
        <v>38.1038</v>
      </c>
      <c r="P121" s="48">
        <f>架空层安装工程!$P$50</f>
        <v>15.46</v>
      </c>
      <c r="Q121" s="49">
        <f>架空层安装工程!$Q$50</f>
        <v>0.03</v>
      </c>
      <c r="R121" s="48">
        <f>架空层安装工程!$R$50</f>
        <v>19.09</v>
      </c>
      <c r="S121" s="50">
        <f>架空层安装工程!$S$50</f>
        <v>3.09</v>
      </c>
      <c r="T121" s="12">
        <f>架空层安装工程!$T$50</f>
        <v>0</v>
      </c>
      <c r="U121" s="10">
        <f t="shared" si="80"/>
        <v>2150.9595100000001</v>
      </c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</row>
    <row r="122" spans="1:32" s="5" customFormat="1" ht="72" customHeight="1" outlineLevel="2">
      <c r="A122" s="9">
        <v>106</v>
      </c>
      <c r="B122" s="17">
        <v>31001005004</v>
      </c>
      <c r="C122" s="17" t="s">
        <v>102</v>
      </c>
      <c r="D122" s="17" t="s">
        <v>106</v>
      </c>
      <c r="E122" s="9" t="s">
        <v>43</v>
      </c>
      <c r="F122" s="10">
        <v>102.36</v>
      </c>
      <c r="G122" s="66">
        <f t="shared" si="72"/>
        <v>23.89</v>
      </c>
      <c r="H122" s="67">
        <f t="shared" si="73"/>
        <v>26.496200000000002</v>
      </c>
      <c r="I122" s="67">
        <f t="shared" si="74"/>
        <v>0</v>
      </c>
      <c r="J122" s="67">
        <f t="shared" si="75"/>
        <v>0</v>
      </c>
      <c r="K122" s="67">
        <f t="shared" si="76"/>
        <v>0</v>
      </c>
      <c r="L122" s="67">
        <f t="shared" si="77"/>
        <v>50.386200000000002</v>
      </c>
      <c r="M122" s="67">
        <f t="shared" si="78"/>
        <v>5157.5314319999998</v>
      </c>
      <c r="N122" s="8"/>
      <c r="O122" s="10">
        <f t="shared" si="79"/>
        <v>50.386200000000002</v>
      </c>
      <c r="P122" s="48">
        <f>架空层安装工程!$P$51</f>
        <v>21.54</v>
      </c>
      <c r="Q122" s="49">
        <f>架空层安装工程!$Q$51</f>
        <v>0.03</v>
      </c>
      <c r="R122" s="48">
        <f>架空层安装工程!$R$51</f>
        <v>23.89</v>
      </c>
      <c r="S122" s="50">
        <f>架空层安装工程!$S$51</f>
        <v>4.3099999999999996</v>
      </c>
      <c r="T122" s="12">
        <f>架空层安装工程!$T$51</f>
        <v>0</v>
      </c>
      <c r="U122" s="10">
        <f t="shared" si="80"/>
        <v>5157.5314319999998</v>
      </c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</row>
    <row r="123" spans="1:32" s="5" customFormat="1" ht="72" customHeight="1" outlineLevel="2">
      <c r="A123" s="9">
        <v>107</v>
      </c>
      <c r="B123" s="17">
        <v>31001005005</v>
      </c>
      <c r="C123" s="17" t="s">
        <v>102</v>
      </c>
      <c r="D123" s="17" t="s">
        <v>107</v>
      </c>
      <c r="E123" s="9" t="s">
        <v>43</v>
      </c>
      <c r="F123" s="10">
        <v>43.33</v>
      </c>
      <c r="G123" s="66">
        <f t="shared" si="72"/>
        <v>28.7</v>
      </c>
      <c r="H123" s="67">
        <f t="shared" si="73"/>
        <v>35.8339</v>
      </c>
      <c r="I123" s="67">
        <f t="shared" si="74"/>
        <v>0</v>
      </c>
      <c r="J123" s="67">
        <f t="shared" si="75"/>
        <v>0</v>
      </c>
      <c r="K123" s="67">
        <f t="shared" si="76"/>
        <v>0</v>
      </c>
      <c r="L123" s="67">
        <f t="shared" si="77"/>
        <v>64.533900000000003</v>
      </c>
      <c r="M123" s="67">
        <f t="shared" si="78"/>
        <v>2796.2538869999998</v>
      </c>
      <c r="N123" s="8"/>
      <c r="O123" s="10">
        <f t="shared" si="79"/>
        <v>64.533900000000003</v>
      </c>
      <c r="P123" s="48">
        <f>架空层安装工程!$P$52</f>
        <v>29.13</v>
      </c>
      <c r="Q123" s="49">
        <f>架空层安装工程!$Q$52</f>
        <v>0.03</v>
      </c>
      <c r="R123" s="48">
        <f>架空层安装工程!$R$52</f>
        <v>28.7</v>
      </c>
      <c r="S123" s="50">
        <f>架空层安装工程!$S$52</f>
        <v>5.83</v>
      </c>
      <c r="T123" s="12">
        <f>架空层安装工程!$T$52</f>
        <v>0</v>
      </c>
      <c r="U123" s="10">
        <f t="shared" si="80"/>
        <v>2796.2538869999998</v>
      </c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</row>
    <row r="124" spans="1:32" s="5" customFormat="1" ht="72" customHeight="1" outlineLevel="2">
      <c r="A124" s="9">
        <v>108</v>
      </c>
      <c r="B124" s="17">
        <v>31001005006</v>
      </c>
      <c r="C124" s="17" t="s">
        <v>102</v>
      </c>
      <c r="D124" s="17" t="s">
        <v>108</v>
      </c>
      <c r="E124" s="9" t="s">
        <v>43</v>
      </c>
      <c r="F124" s="10">
        <v>22.44</v>
      </c>
      <c r="G124" s="66">
        <f t="shared" si="72"/>
        <v>33.340000000000003</v>
      </c>
      <c r="H124" s="67">
        <f t="shared" si="73"/>
        <v>39.646900000000002</v>
      </c>
      <c r="I124" s="67">
        <f t="shared" si="74"/>
        <v>0</v>
      </c>
      <c r="J124" s="67">
        <f t="shared" si="75"/>
        <v>0</v>
      </c>
      <c r="K124" s="67">
        <f t="shared" si="76"/>
        <v>0</v>
      </c>
      <c r="L124" s="67">
        <f t="shared" si="77"/>
        <v>72.986900000000006</v>
      </c>
      <c r="M124" s="67">
        <f t="shared" si="78"/>
        <v>1637.8260359999999</v>
      </c>
      <c r="N124" s="8"/>
      <c r="O124" s="10">
        <f t="shared" si="79"/>
        <v>72.986900000000006</v>
      </c>
      <c r="P124" s="48">
        <f>架空层安装工程!$P$53</f>
        <v>32.229999999999997</v>
      </c>
      <c r="Q124" s="49">
        <f>架空层安装工程!$Q$53</f>
        <v>0.03</v>
      </c>
      <c r="R124" s="48">
        <f>架空层安装工程!$R$53</f>
        <v>33.340000000000003</v>
      </c>
      <c r="S124" s="50">
        <f>架空层安装工程!$S$53</f>
        <v>6.45</v>
      </c>
      <c r="T124" s="12">
        <f>架空层安装工程!$T$53</f>
        <v>0</v>
      </c>
      <c r="U124" s="10">
        <f t="shared" si="80"/>
        <v>1637.8260359999999</v>
      </c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</row>
    <row r="125" spans="1:32" s="5" customFormat="1" ht="72" customHeight="1" outlineLevel="2">
      <c r="A125" s="22">
        <v>109</v>
      </c>
      <c r="B125" s="23">
        <v>31001005007</v>
      </c>
      <c r="C125" s="23" t="s">
        <v>102</v>
      </c>
      <c r="D125" s="23" t="s">
        <v>256</v>
      </c>
      <c r="E125" s="22" t="s">
        <v>43</v>
      </c>
      <c r="F125" s="24">
        <v>55.75</v>
      </c>
      <c r="G125" s="64">
        <f t="shared" si="72"/>
        <v>42.95</v>
      </c>
      <c r="H125" s="65">
        <f t="shared" si="73"/>
        <v>53.668900000000001</v>
      </c>
      <c r="I125" s="65">
        <f t="shared" si="74"/>
        <v>0</v>
      </c>
      <c r="J125" s="65">
        <f t="shared" si="75"/>
        <v>0</v>
      </c>
      <c r="K125" s="65">
        <f t="shared" si="76"/>
        <v>0</v>
      </c>
      <c r="L125" s="65">
        <f t="shared" si="77"/>
        <v>96.618899999999996</v>
      </c>
      <c r="M125" s="65">
        <f t="shared" si="78"/>
        <v>5386.5036749999999</v>
      </c>
      <c r="N125" s="28"/>
      <c r="O125" s="24">
        <f t="shared" si="79"/>
        <v>96.618899999999996</v>
      </c>
      <c r="P125" s="29">
        <v>43.63</v>
      </c>
      <c r="Q125" s="30">
        <v>0.03</v>
      </c>
      <c r="R125" s="29">
        <v>42.95</v>
      </c>
      <c r="S125" s="31">
        <v>8.73</v>
      </c>
      <c r="T125" s="32">
        <v>0</v>
      </c>
      <c r="U125" s="24">
        <f t="shared" si="80"/>
        <v>5386.5036749999999</v>
      </c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</row>
    <row r="126" spans="1:32" s="5" customFormat="1" ht="72" customHeight="1" outlineLevel="2">
      <c r="A126" s="22">
        <v>110</v>
      </c>
      <c r="B126" s="23">
        <v>31001005008</v>
      </c>
      <c r="C126" s="23" t="s">
        <v>102</v>
      </c>
      <c r="D126" s="23" t="s">
        <v>257</v>
      </c>
      <c r="E126" s="22" t="s">
        <v>43</v>
      </c>
      <c r="F126" s="24">
        <v>35.880000000000003</v>
      </c>
      <c r="G126" s="64">
        <f t="shared" si="72"/>
        <v>47.74</v>
      </c>
      <c r="H126" s="65">
        <f t="shared" si="73"/>
        <v>57.604900000000001</v>
      </c>
      <c r="I126" s="65">
        <f t="shared" si="74"/>
        <v>0</v>
      </c>
      <c r="J126" s="65">
        <f t="shared" si="75"/>
        <v>0</v>
      </c>
      <c r="K126" s="65">
        <f t="shared" si="76"/>
        <v>0</v>
      </c>
      <c r="L126" s="65">
        <f t="shared" si="77"/>
        <v>105.3449</v>
      </c>
      <c r="M126" s="65">
        <f t="shared" si="78"/>
        <v>3779.7750120000001</v>
      </c>
      <c r="N126" s="28"/>
      <c r="O126" s="24">
        <f t="shared" si="79"/>
        <v>105.3449</v>
      </c>
      <c r="P126" s="29">
        <v>46.83</v>
      </c>
      <c r="Q126" s="30">
        <v>0.03</v>
      </c>
      <c r="R126" s="29">
        <v>47.74</v>
      </c>
      <c r="S126" s="31">
        <v>9.3699999999999992</v>
      </c>
      <c r="T126" s="32">
        <v>0</v>
      </c>
      <c r="U126" s="24">
        <f t="shared" si="80"/>
        <v>3779.7750120000001</v>
      </c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</row>
    <row r="127" spans="1:32" s="5" customFormat="1" ht="48" customHeight="1" outlineLevel="2">
      <c r="A127" s="9">
        <v>111</v>
      </c>
      <c r="B127" s="17">
        <v>31002001002</v>
      </c>
      <c r="C127" s="17" t="s">
        <v>109</v>
      </c>
      <c r="D127" s="17" t="s">
        <v>110</v>
      </c>
      <c r="E127" s="9" t="s">
        <v>46</v>
      </c>
      <c r="F127" s="10">
        <v>11</v>
      </c>
      <c r="G127" s="66">
        <f t="shared" si="72"/>
        <v>94</v>
      </c>
      <c r="H127" s="67">
        <f t="shared" si="73"/>
        <v>177</v>
      </c>
      <c r="I127" s="67">
        <f t="shared" si="74"/>
        <v>4.7</v>
      </c>
      <c r="J127" s="67">
        <f t="shared" si="75"/>
        <v>0</v>
      </c>
      <c r="K127" s="67">
        <f t="shared" si="76"/>
        <v>0</v>
      </c>
      <c r="L127" s="67">
        <f t="shared" si="77"/>
        <v>275.7</v>
      </c>
      <c r="M127" s="67">
        <f t="shared" si="78"/>
        <v>3032.7</v>
      </c>
      <c r="N127" s="8"/>
      <c r="O127" s="10">
        <f t="shared" si="79"/>
        <v>275.7</v>
      </c>
      <c r="P127" s="48">
        <f>架空层安装工程!$P$54</f>
        <v>118</v>
      </c>
      <c r="Q127" s="49">
        <f>架空层安装工程!$Q$54</f>
        <v>0</v>
      </c>
      <c r="R127" s="48">
        <f>架空层安装工程!$R$54</f>
        <v>94</v>
      </c>
      <c r="S127" s="50">
        <f>架空层安装工程!$S$54</f>
        <v>59</v>
      </c>
      <c r="T127" s="12">
        <f>架空层安装工程!$T$54</f>
        <v>4.7</v>
      </c>
      <c r="U127" s="10">
        <f t="shared" si="80"/>
        <v>3032.7</v>
      </c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</row>
    <row r="128" spans="1:32" s="5" customFormat="1" ht="48" customHeight="1" outlineLevel="2">
      <c r="A128" s="22">
        <v>112</v>
      </c>
      <c r="B128" s="23">
        <v>31002001003</v>
      </c>
      <c r="C128" s="23" t="s">
        <v>109</v>
      </c>
      <c r="D128" s="23" t="s">
        <v>258</v>
      </c>
      <c r="E128" s="22" t="s">
        <v>46</v>
      </c>
      <c r="F128" s="24">
        <v>12</v>
      </c>
      <c r="G128" s="64">
        <f t="shared" si="72"/>
        <v>94</v>
      </c>
      <c r="H128" s="65">
        <f t="shared" si="73"/>
        <v>177</v>
      </c>
      <c r="I128" s="65">
        <f t="shared" si="74"/>
        <v>4.7</v>
      </c>
      <c r="J128" s="65">
        <f t="shared" si="75"/>
        <v>0</v>
      </c>
      <c r="K128" s="65">
        <f t="shared" si="76"/>
        <v>0</v>
      </c>
      <c r="L128" s="65">
        <f t="shared" si="77"/>
        <v>275.7</v>
      </c>
      <c r="M128" s="65">
        <f t="shared" si="78"/>
        <v>3308.4</v>
      </c>
      <c r="N128" s="28"/>
      <c r="O128" s="24">
        <f t="shared" si="79"/>
        <v>275.7</v>
      </c>
      <c r="P128" s="29">
        <v>118</v>
      </c>
      <c r="Q128" s="30">
        <v>0</v>
      </c>
      <c r="R128" s="29">
        <v>94</v>
      </c>
      <c r="S128" s="31">
        <v>59</v>
      </c>
      <c r="T128" s="32">
        <v>4.7</v>
      </c>
      <c r="U128" s="24">
        <f t="shared" si="80"/>
        <v>3308.4</v>
      </c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</row>
    <row r="129" spans="1:32" s="5" customFormat="1" ht="48" customHeight="1" outlineLevel="2">
      <c r="A129" s="22">
        <v>113</v>
      </c>
      <c r="B129" s="23">
        <v>31002001004</v>
      </c>
      <c r="C129" s="23" t="s">
        <v>109</v>
      </c>
      <c r="D129" s="23" t="s">
        <v>259</v>
      </c>
      <c r="E129" s="22" t="s">
        <v>46</v>
      </c>
      <c r="F129" s="24">
        <v>4</v>
      </c>
      <c r="G129" s="64">
        <f t="shared" si="72"/>
        <v>94</v>
      </c>
      <c r="H129" s="65">
        <f t="shared" si="73"/>
        <v>177</v>
      </c>
      <c r="I129" s="65">
        <f t="shared" si="74"/>
        <v>4.7</v>
      </c>
      <c r="J129" s="65">
        <f t="shared" si="75"/>
        <v>0</v>
      </c>
      <c r="K129" s="65">
        <f t="shared" si="76"/>
        <v>0</v>
      </c>
      <c r="L129" s="65">
        <f t="shared" si="77"/>
        <v>275.7</v>
      </c>
      <c r="M129" s="65">
        <f t="shared" si="78"/>
        <v>1102.8</v>
      </c>
      <c r="N129" s="28"/>
      <c r="O129" s="24">
        <f t="shared" si="79"/>
        <v>275.7</v>
      </c>
      <c r="P129" s="29">
        <v>118</v>
      </c>
      <c r="Q129" s="30">
        <v>0</v>
      </c>
      <c r="R129" s="29">
        <v>94</v>
      </c>
      <c r="S129" s="31">
        <v>59</v>
      </c>
      <c r="T129" s="32">
        <v>4.7</v>
      </c>
      <c r="U129" s="24">
        <f t="shared" si="80"/>
        <v>1102.8</v>
      </c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</row>
    <row r="130" spans="1:32" s="5" customFormat="1" ht="72" customHeight="1" outlineLevel="2">
      <c r="A130" s="9">
        <v>114</v>
      </c>
      <c r="B130" s="17">
        <v>31001008011</v>
      </c>
      <c r="C130" s="17" t="s">
        <v>111</v>
      </c>
      <c r="D130" s="17" t="s">
        <v>260</v>
      </c>
      <c r="E130" s="9" t="s">
        <v>43</v>
      </c>
      <c r="F130" s="10">
        <v>45.57</v>
      </c>
      <c r="G130" s="66">
        <f t="shared" si="72"/>
        <v>18</v>
      </c>
      <c r="H130" s="67">
        <f t="shared" si="73"/>
        <v>4.76</v>
      </c>
      <c r="I130" s="67">
        <f t="shared" si="74"/>
        <v>0.04</v>
      </c>
      <c r="J130" s="67">
        <f t="shared" si="75"/>
        <v>0</v>
      </c>
      <c r="K130" s="67">
        <f t="shared" si="76"/>
        <v>0</v>
      </c>
      <c r="L130" s="67">
        <f t="shared" si="77"/>
        <v>22.8</v>
      </c>
      <c r="M130" s="67">
        <f t="shared" si="78"/>
        <v>1038.9960000000001</v>
      </c>
      <c r="N130" s="8"/>
      <c r="O130" s="10">
        <f t="shared" si="79"/>
        <v>22.8</v>
      </c>
      <c r="P130" s="48">
        <f>样板房安装工程!$P$83</f>
        <v>4.5</v>
      </c>
      <c r="Q130" s="49">
        <f>样板房安装工程!$Q$83</f>
        <v>0</v>
      </c>
      <c r="R130" s="48">
        <f>样板房安装工程!$R$83</f>
        <v>18</v>
      </c>
      <c r="S130" s="50">
        <f>样板房安装工程!$S$83</f>
        <v>0.26</v>
      </c>
      <c r="T130" s="12">
        <f>样板房安装工程!$T$83</f>
        <v>0.04</v>
      </c>
      <c r="U130" s="10">
        <f t="shared" si="80"/>
        <v>1038.9960000000001</v>
      </c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</row>
    <row r="131" spans="1:32" s="5" customFormat="1" ht="72" customHeight="1" outlineLevel="2">
      <c r="A131" s="9">
        <v>115</v>
      </c>
      <c r="B131" s="17">
        <v>31001008012</v>
      </c>
      <c r="C131" s="17" t="s">
        <v>111</v>
      </c>
      <c r="D131" s="17" t="s">
        <v>112</v>
      </c>
      <c r="E131" s="9" t="s">
        <v>43</v>
      </c>
      <c r="F131" s="10">
        <v>63.86</v>
      </c>
      <c r="G131" s="66">
        <f t="shared" si="72"/>
        <v>22.09</v>
      </c>
      <c r="H131" s="67">
        <f t="shared" si="73"/>
        <v>8.76</v>
      </c>
      <c r="I131" s="67">
        <f t="shared" si="74"/>
        <v>0.04</v>
      </c>
      <c r="J131" s="67">
        <f t="shared" si="75"/>
        <v>0</v>
      </c>
      <c r="K131" s="67">
        <f t="shared" si="76"/>
        <v>0</v>
      </c>
      <c r="L131" s="67">
        <f t="shared" si="77"/>
        <v>30.89</v>
      </c>
      <c r="M131" s="67">
        <f t="shared" si="78"/>
        <v>1972.6353999999999</v>
      </c>
      <c r="N131" s="8"/>
      <c r="O131" s="10">
        <f t="shared" si="79"/>
        <v>30.89</v>
      </c>
      <c r="P131" s="48">
        <f>架空层安装工程!$P$55</f>
        <v>8.5</v>
      </c>
      <c r="Q131" s="49">
        <f>架空层安装工程!$Q$55</f>
        <v>0</v>
      </c>
      <c r="R131" s="48">
        <f>架空层安装工程!$R$55</f>
        <v>22.09</v>
      </c>
      <c r="S131" s="50">
        <f>架空层安装工程!$S$55</f>
        <v>0.26</v>
      </c>
      <c r="T131" s="12">
        <f>架空层安装工程!$T$55</f>
        <v>0.04</v>
      </c>
      <c r="U131" s="10">
        <f t="shared" si="80"/>
        <v>1972.6353999999999</v>
      </c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</row>
    <row r="132" spans="1:32" s="5" customFormat="1" ht="72" customHeight="1" outlineLevel="2">
      <c r="A132" s="9">
        <v>116</v>
      </c>
      <c r="B132" s="17">
        <v>31001008013</v>
      </c>
      <c r="C132" s="17" t="s">
        <v>111</v>
      </c>
      <c r="D132" s="17" t="s">
        <v>113</v>
      </c>
      <c r="E132" s="9" t="s">
        <v>43</v>
      </c>
      <c r="F132" s="10">
        <v>44.21</v>
      </c>
      <c r="G132" s="66">
        <f t="shared" si="72"/>
        <v>23.68</v>
      </c>
      <c r="H132" s="67">
        <f t="shared" si="73"/>
        <v>11.86</v>
      </c>
      <c r="I132" s="67">
        <f t="shared" si="74"/>
        <v>0.05</v>
      </c>
      <c r="J132" s="67">
        <f t="shared" si="75"/>
        <v>0</v>
      </c>
      <c r="K132" s="67">
        <f t="shared" si="76"/>
        <v>0</v>
      </c>
      <c r="L132" s="67">
        <f t="shared" si="77"/>
        <v>35.590000000000003</v>
      </c>
      <c r="M132" s="67">
        <f t="shared" si="78"/>
        <v>1573.4339</v>
      </c>
      <c r="N132" s="8"/>
      <c r="O132" s="10">
        <f t="shared" si="79"/>
        <v>35.590000000000003</v>
      </c>
      <c r="P132" s="48">
        <f>架空层安装工程!$P$56</f>
        <v>11.59</v>
      </c>
      <c r="Q132" s="49">
        <f>架空层安装工程!$Q$56</f>
        <v>0</v>
      </c>
      <c r="R132" s="48">
        <f>架空层安装工程!$R$56</f>
        <v>23.68</v>
      </c>
      <c r="S132" s="50">
        <f>架空层安装工程!$S$56</f>
        <v>0.27</v>
      </c>
      <c r="T132" s="12">
        <f>架空层安装工程!$T$56</f>
        <v>0.05</v>
      </c>
      <c r="U132" s="10">
        <f t="shared" si="80"/>
        <v>1573.4339</v>
      </c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</row>
    <row r="133" spans="1:32" s="5" customFormat="1" ht="72" customHeight="1" outlineLevel="2">
      <c r="A133" s="9">
        <v>117</v>
      </c>
      <c r="B133" s="17">
        <v>31001008014</v>
      </c>
      <c r="C133" s="17" t="s">
        <v>111</v>
      </c>
      <c r="D133" s="17" t="s">
        <v>114</v>
      </c>
      <c r="E133" s="9" t="s">
        <v>43</v>
      </c>
      <c r="F133" s="10">
        <v>45.78</v>
      </c>
      <c r="G133" s="66">
        <f t="shared" si="72"/>
        <v>23.68</v>
      </c>
      <c r="H133" s="67">
        <f t="shared" si="73"/>
        <v>20.440000000000001</v>
      </c>
      <c r="I133" s="67">
        <f t="shared" si="74"/>
        <v>0.06</v>
      </c>
      <c r="J133" s="67">
        <f t="shared" si="75"/>
        <v>0</v>
      </c>
      <c r="K133" s="67">
        <f t="shared" si="76"/>
        <v>0</v>
      </c>
      <c r="L133" s="67">
        <f t="shared" si="77"/>
        <v>44.18</v>
      </c>
      <c r="M133" s="67">
        <f t="shared" si="78"/>
        <v>2022.5604000000001</v>
      </c>
      <c r="N133" s="8"/>
      <c r="O133" s="10">
        <f t="shared" si="79"/>
        <v>44.18</v>
      </c>
      <c r="P133" s="48">
        <f>架空层安装工程!$P$57</f>
        <v>20.12</v>
      </c>
      <c r="Q133" s="49">
        <f>架空层安装工程!$Q$57</f>
        <v>0</v>
      </c>
      <c r="R133" s="48">
        <f>架空层安装工程!$R$57</f>
        <v>23.68</v>
      </c>
      <c r="S133" s="50">
        <f>架空层安装工程!$S$57</f>
        <v>0.32</v>
      </c>
      <c r="T133" s="12">
        <f>架空层安装工程!$T$57</f>
        <v>0.06</v>
      </c>
      <c r="U133" s="10">
        <f t="shared" si="80"/>
        <v>2022.5604000000001</v>
      </c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</row>
    <row r="134" spans="1:32" s="5" customFormat="1" ht="72" customHeight="1" outlineLevel="2">
      <c r="A134" s="22">
        <v>118</v>
      </c>
      <c r="B134" s="23">
        <v>31001008015</v>
      </c>
      <c r="C134" s="23" t="s">
        <v>111</v>
      </c>
      <c r="D134" s="23" t="s">
        <v>261</v>
      </c>
      <c r="E134" s="22" t="s">
        <v>43</v>
      </c>
      <c r="F134" s="24">
        <v>3.47</v>
      </c>
      <c r="G134" s="64">
        <f t="shared" si="72"/>
        <v>24</v>
      </c>
      <c r="H134" s="65">
        <f t="shared" si="73"/>
        <v>16.27</v>
      </c>
      <c r="I134" s="65">
        <f t="shared" si="74"/>
        <v>0.23</v>
      </c>
      <c r="J134" s="65">
        <f t="shared" si="75"/>
        <v>0</v>
      </c>
      <c r="K134" s="65">
        <f t="shared" si="76"/>
        <v>0</v>
      </c>
      <c r="L134" s="65">
        <f t="shared" si="77"/>
        <v>40.5</v>
      </c>
      <c r="M134" s="65">
        <f t="shared" si="78"/>
        <v>140.535</v>
      </c>
      <c r="N134" s="28"/>
      <c r="O134" s="24">
        <f t="shared" si="79"/>
        <v>40.5</v>
      </c>
      <c r="P134" s="29">
        <v>15</v>
      </c>
      <c r="Q134" s="30">
        <v>0</v>
      </c>
      <c r="R134" s="29">
        <v>24</v>
      </c>
      <c r="S134" s="31">
        <v>1.27</v>
      </c>
      <c r="T134" s="32">
        <v>0.23</v>
      </c>
      <c r="U134" s="24">
        <f t="shared" si="80"/>
        <v>140.535</v>
      </c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</row>
    <row r="135" spans="1:32" s="5" customFormat="1" ht="60" customHeight="1" outlineLevel="2">
      <c r="A135" s="9">
        <v>119</v>
      </c>
      <c r="B135" s="17">
        <v>31208002001</v>
      </c>
      <c r="C135" s="17" t="s">
        <v>115</v>
      </c>
      <c r="D135" s="17" t="s">
        <v>116</v>
      </c>
      <c r="E135" s="9" t="s">
        <v>117</v>
      </c>
      <c r="F135" s="10">
        <v>0.76</v>
      </c>
      <c r="G135" s="66">
        <f t="shared" si="72"/>
        <v>120</v>
      </c>
      <c r="H135" s="67">
        <f t="shared" si="73"/>
        <v>410</v>
      </c>
      <c r="I135" s="67">
        <f t="shared" si="74"/>
        <v>5</v>
      </c>
      <c r="J135" s="67">
        <f t="shared" si="75"/>
        <v>0</v>
      </c>
      <c r="K135" s="67">
        <f t="shared" si="76"/>
        <v>0</v>
      </c>
      <c r="L135" s="67">
        <f t="shared" si="77"/>
        <v>535</v>
      </c>
      <c r="M135" s="67">
        <f t="shared" si="78"/>
        <v>406.6</v>
      </c>
      <c r="N135" s="8"/>
      <c r="O135" s="10">
        <f t="shared" si="79"/>
        <v>535</v>
      </c>
      <c r="P135" s="48">
        <f>架空层安装工程!$P$58</f>
        <v>400</v>
      </c>
      <c r="Q135" s="49">
        <f>架空层安装工程!$Q$58</f>
        <v>0</v>
      </c>
      <c r="R135" s="48">
        <f>架空层安装工程!$R$58</f>
        <v>120</v>
      </c>
      <c r="S135" s="50">
        <f>架空层安装工程!$S$58</f>
        <v>10</v>
      </c>
      <c r="T135" s="12">
        <f>架空层安装工程!$T$58</f>
        <v>5</v>
      </c>
      <c r="U135" s="10">
        <f t="shared" si="80"/>
        <v>406.6</v>
      </c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</row>
    <row r="136" spans="1:32" s="5" customFormat="1" ht="60" customHeight="1" outlineLevel="2">
      <c r="A136" s="22">
        <v>120</v>
      </c>
      <c r="B136" s="23">
        <v>31208002002</v>
      </c>
      <c r="C136" s="23" t="s">
        <v>115</v>
      </c>
      <c r="D136" s="23" t="s">
        <v>262</v>
      </c>
      <c r="E136" s="22" t="s">
        <v>117</v>
      </c>
      <c r="F136" s="24">
        <v>0.45</v>
      </c>
      <c r="G136" s="64">
        <f t="shared" si="72"/>
        <v>120</v>
      </c>
      <c r="H136" s="65">
        <f t="shared" si="73"/>
        <v>410</v>
      </c>
      <c r="I136" s="65">
        <f t="shared" si="74"/>
        <v>5</v>
      </c>
      <c r="J136" s="65">
        <f t="shared" si="75"/>
        <v>0</v>
      </c>
      <c r="K136" s="65">
        <f t="shared" si="76"/>
        <v>0</v>
      </c>
      <c r="L136" s="65">
        <f t="shared" si="77"/>
        <v>535</v>
      </c>
      <c r="M136" s="65">
        <f t="shared" si="78"/>
        <v>240.75</v>
      </c>
      <c r="N136" s="28"/>
      <c r="O136" s="24">
        <f t="shared" si="79"/>
        <v>535</v>
      </c>
      <c r="P136" s="29">
        <v>400</v>
      </c>
      <c r="Q136" s="30">
        <v>0</v>
      </c>
      <c r="R136" s="29">
        <v>120</v>
      </c>
      <c r="S136" s="31">
        <v>10</v>
      </c>
      <c r="T136" s="32">
        <v>5</v>
      </c>
      <c r="U136" s="24">
        <f t="shared" si="80"/>
        <v>240.75</v>
      </c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</row>
    <row r="137" spans="1:32" s="5" customFormat="1" ht="60" customHeight="1" outlineLevel="2">
      <c r="A137" s="9">
        <v>121</v>
      </c>
      <c r="B137" s="17">
        <v>31208002003</v>
      </c>
      <c r="C137" s="17" t="s">
        <v>115</v>
      </c>
      <c r="D137" s="17" t="s">
        <v>118</v>
      </c>
      <c r="E137" s="9" t="s">
        <v>117</v>
      </c>
      <c r="F137" s="10">
        <v>0.44</v>
      </c>
      <c r="G137" s="66">
        <f t="shared" si="72"/>
        <v>120</v>
      </c>
      <c r="H137" s="67">
        <f t="shared" si="73"/>
        <v>410</v>
      </c>
      <c r="I137" s="67">
        <f t="shared" si="74"/>
        <v>5</v>
      </c>
      <c r="J137" s="67">
        <f t="shared" si="75"/>
        <v>0</v>
      </c>
      <c r="K137" s="67">
        <f t="shared" si="76"/>
        <v>0</v>
      </c>
      <c r="L137" s="67">
        <f t="shared" si="77"/>
        <v>535</v>
      </c>
      <c r="M137" s="67">
        <f t="shared" si="78"/>
        <v>235.4</v>
      </c>
      <c r="N137" s="8"/>
      <c r="O137" s="10">
        <f t="shared" si="79"/>
        <v>535</v>
      </c>
      <c r="P137" s="48">
        <f>架空层安装工程!$P$59</f>
        <v>400</v>
      </c>
      <c r="Q137" s="49">
        <f>架空层安装工程!$Q$59</f>
        <v>0</v>
      </c>
      <c r="R137" s="48">
        <f>架空层安装工程!$R$59</f>
        <v>120</v>
      </c>
      <c r="S137" s="50">
        <f>架空层安装工程!$S$59</f>
        <v>10</v>
      </c>
      <c r="T137" s="12">
        <f>架空层安装工程!$T$59</f>
        <v>5</v>
      </c>
      <c r="U137" s="10">
        <f t="shared" si="80"/>
        <v>235.4</v>
      </c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</row>
    <row r="138" spans="1:32" s="5" customFormat="1" ht="60" customHeight="1" outlineLevel="2">
      <c r="A138" s="22">
        <v>122</v>
      </c>
      <c r="B138" s="23">
        <v>31301005002</v>
      </c>
      <c r="C138" s="23" t="s">
        <v>263</v>
      </c>
      <c r="D138" s="23" t="s">
        <v>264</v>
      </c>
      <c r="E138" s="22" t="s">
        <v>265</v>
      </c>
      <c r="F138" s="24">
        <v>214.86</v>
      </c>
      <c r="G138" s="64">
        <f t="shared" si="72"/>
        <v>1.5</v>
      </c>
      <c r="H138" s="65">
        <f t="shared" si="73"/>
        <v>7.5</v>
      </c>
      <c r="I138" s="65">
        <f t="shared" si="74"/>
        <v>0.3</v>
      </c>
      <c r="J138" s="65">
        <f t="shared" si="75"/>
        <v>0</v>
      </c>
      <c r="K138" s="65">
        <f t="shared" si="76"/>
        <v>0</v>
      </c>
      <c r="L138" s="65">
        <f t="shared" si="77"/>
        <v>9.3000000000000007</v>
      </c>
      <c r="M138" s="65">
        <f t="shared" si="78"/>
        <v>1998.1980000000001</v>
      </c>
      <c r="N138" s="28"/>
      <c r="O138" s="24">
        <f t="shared" si="79"/>
        <v>9.3000000000000007</v>
      </c>
      <c r="P138" s="29">
        <v>7</v>
      </c>
      <c r="Q138" s="30">
        <v>0</v>
      </c>
      <c r="R138" s="29">
        <v>1.5</v>
      </c>
      <c r="S138" s="31">
        <v>0.5</v>
      </c>
      <c r="T138" s="32">
        <v>0.3</v>
      </c>
      <c r="U138" s="24">
        <f t="shared" si="80"/>
        <v>1998.1980000000001</v>
      </c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</row>
    <row r="139" spans="1:32" ht="24.95" customHeight="1">
      <c r="A139" s="68"/>
      <c r="B139" s="69" t="s">
        <v>119</v>
      </c>
      <c r="C139" s="69"/>
      <c r="D139" s="69"/>
      <c r="E139" s="70" t="s">
        <v>120</v>
      </c>
      <c r="F139" s="70"/>
      <c r="G139" s="71"/>
      <c r="H139" s="72"/>
      <c r="I139" s="72"/>
      <c r="J139" s="72"/>
      <c r="K139" s="72"/>
      <c r="L139" s="72"/>
      <c r="M139" s="73">
        <f>SUM(M4:M138)</f>
        <v>1628532.620102</v>
      </c>
      <c r="N139" s="59"/>
      <c r="O139" s="59"/>
      <c r="P139" s="59"/>
      <c r="Q139" s="60"/>
      <c r="R139" s="59"/>
      <c r="S139" s="59"/>
      <c r="T139" s="59"/>
      <c r="U139" s="59"/>
    </row>
    <row r="140" spans="1:32" ht="24.95" customHeight="1">
      <c r="A140" s="68"/>
      <c r="B140" s="69" t="s">
        <v>121</v>
      </c>
      <c r="C140" s="69"/>
      <c r="D140" s="69"/>
      <c r="E140" s="70" t="s">
        <v>120</v>
      </c>
      <c r="F140" s="70"/>
      <c r="G140" s="71"/>
      <c r="H140" s="72"/>
      <c r="I140" s="72"/>
      <c r="J140" s="72"/>
      <c r="K140" s="72"/>
      <c r="L140" s="72"/>
      <c r="M140" s="73">
        <f>$M$139*0.09</f>
        <v>146567.93580917999</v>
      </c>
      <c r="N140" s="59"/>
      <c r="O140" s="59"/>
      <c r="P140" s="59"/>
      <c r="Q140" s="60"/>
      <c r="R140" s="59"/>
      <c r="S140" s="59"/>
      <c r="T140" s="59"/>
      <c r="U140" s="59"/>
    </row>
    <row r="141" spans="1:32" ht="24.95" customHeight="1">
      <c r="A141" s="68"/>
      <c r="B141" s="69" t="s">
        <v>3</v>
      </c>
      <c r="C141" s="69"/>
      <c r="D141" s="69"/>
      <c r="E141" s="70" t="s">
        <v>120</v>
      </c>
      <c r="F141" s="70"/>
      <c r="G141" s="71"/>
      <c r="H141" s="72"/>
      <c r="I141" s="72"/>
      <c r="J141" s="72"/>
      <c r="K141" s="72"/>
      <c r="L141" s="72"/>
      <c r="M141" s="73">
        <f>$M$139+$M$140</f>
        <v>1775100.5559111801</v>
      </c>
      <c r="N141" s="59"/>
      <c r="O141" s="59"/>
      <c r="P141" s="59"/>
      <c r="Q141" s="60"/>
      <c r="R141" s="59"/>
      <c r="S141" s="59"/>
      <c r="T141" s="59"/>
      <c r="U141" s="59"/>
    </row>
  </sheetData>
  <autoFilter ref="A2:AF141" xr:uid="{00000000-0009-0000-0000-000002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261"/>
  <sheetViews>
    <sheetView view="pageBreakPreview" zoomScaleNormal="100" workbookViewId="0">
      <pane xSplit="5" ySplit="3" topLeftCell="F255" activePane="bottomRight" state="frozen"/>
      <selection pane="topRight"/>
      <selection pane="bottomLeft"/>
      <selection pane="bottomRight" activeCell="C2" sqref="C2:C3"/>
    </sheetView>
  </sheetViews>
  <sheetFormatPr defaultColWidth="9" defaultRowHeight="12" outlineLevelRow="3"/>
  <cols>
    <col min="1" max="1" width="6.875" style="5" customWidth="1"/>
    <col min="2" max="2" width="13.25" style="5" customWidth="1"/>
    <col min="3" max="3" width="18" style="5" customWidth="1"/>
    <col min="4" max="4" width="25.75" style="5" customWidth="1"/>
    <col min="5" max="5" width="5.625" style="5" customWidth="1"/>
    <col min="6" max="6" width="11.75" style="56" customWidth="1"/>
    <col min="7" max="12" width="9" style="5" customWidth="1"/>
    <col min="13" max="13" width="11.375" style="5" customWidth="1"/>
    <col min="14" max="21" width="9" style="5" customWidth="1"/>
    <col min="22" max="22" width="9" style="7" customWidth="1"/>
    <col min="23" max="16384" width="9" style="7"/>
  </cols>
  <sheetData>
    <row r="1" spans="1:21" ht="18.75" customHeight="1">
      <c r="A1" s="98" t="s">
        <v>266</v>
      </c>
      <c r="B1" s="109"/>
      <c r="C1" s="109"/>
      <c r="D1" s="109"/>
      <c r="E1" s="109"/>
      <c r="F1" s="114"/>
      <c r="G1" s="109"/>
      <c r="H1" s="109"/>
      <c r="I1" s="109"/>
      <c r="J1" s="109"/>
      <c r="K1" s="109"/>
      <c r="L1" s="109"/>
      <c r="M1" s="109"/>
      <c r="N1" s="8"/>
      <c r="O1" s="111" t="s">
        <v>16</v>
      </c>
      <c r="P1" s="112"/>
      <c r="Q1" s="112"/>
      <c r="R1" s="112"/>
      <c r="S1" s="112"/>
      <c r="T1" s="112"/>
      <c r="U1" s="113"/>
    </row>
    <row r="2" spans="1:21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0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21" s="5" customForma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0"/>
      <c r="O3" s="16"/>
      <c r="P3" s="16">
        <f>架空层安装工程!$P$3</f>
        <v>1</v>
      </c>
      <c r="Q3" s="16"/>
      <c r="R3" s="16">
        <f>架空层安装工程!$R$3</f>
        <v>1</v>
      </c>
      <c r="S3" s="16">
        <f>架空层安装工程!$S$3</f>
        <v>1</v>
      </c>
      <c r="T3" s="16">
        <f>架空层安装工程!$T$3</f>
        <v>1</v>
      </c>
      <c r="U3" s="16"/>
    </row>
    <row r="4" spans="1:21" s="5" customFormat="1">
      <c r="A4" s="9"/>
      <c r="B4" s="17" t="s">
        <v>2</v>
      </c>
      <c r="C4" s="17"/>
      <c r="D4" s="17"/>
      <c r="E4" s="9"/>
      <c r="F4" s="57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s="5" customFormat="1">
      <c r="A5" s="9"/>
      <c r="B5" s="17"/>
      <c r="C5" s="17" t="s">
        <v>267</v>
      </c>
      <c r="D5" s="17"/>
      <c r="E5" s="9"/>
      <c r="F5" s="57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5" customFormat="1" outlineLevel="1">
      <c r="A6" s="9"/>
      <c r="B6" s="17"/>
      <c r="C6" s="17" t="s">
        <v>34</v>
      </c>
      <c r="D6" s="17"/>
      <c r="E6" s="9"/>
      <c r="F6" s="57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spans="1:21" s="5" customFormat="1" outlineLevel="2">
      <c r="A7" s="9"/>
      <c r="B7" s="17"/>
      <c r="C7" s="17" t="s">
        <v>123</v>
      </c>
      <c r="D7" s="17"/>
      <c r="E7" s="9"/>
      <c r="F7" s="57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spans="1:21" s="5" customFormat="1" ht="84" customHeight="1" outlineLevel="3">
      <c r="A8" s="22">
        <v>1</v>
      </c>
      <c r="B8" s="23">
        <v>30413002001</v>
      </c>
      <c r="C8" s="23" t="s">
        <v>268</v>
      </c>
      <c r="D8" s="23" t="s">
        <v>269</v>
      </c>
      <c r="E8" s="22" t="s">
        <v>38</v>
      </c>
      <c r="F8" s="58">
        <v>20</v>
      </c>
      <c r="G8" s="45">
        <f t="shared" ref="G8:G19" si="0">R8*$R$3</f>
        <v>18</v>
      </c>
      <c r="H8" s="26">
        <f t="shared" ref="H8:H19" si="1">P8*(1+Q8)*$P$3+S8*$S$3</f>
        <v>126</v>
      </c>
      <c r="I8" s="26">
        <f t="shared" ref="I8:I19" si="2">T8*$T$3</f>
        <v>8</v>
      </c>
      <c r="J8" s="26">
        <f t="shared" ref="J8:J19" si="3">(G8+H8+I8)*$J$3</f>
        <v>0</v>
      </c>
      <c r="K8" s="26">
        <f t="shared" ref="K8:K19" si="4">(G8+H8+I8+J8)*$K$3</f>
        <v>0</v>
      </c>
      <c r="L8" s="26">
        <f t="shared" ref="L8:L19" si="5">G8+H8+I8+J8+K8</f>
        <v>152</v>
      </c>
      <c r="M8" s="26">
        <f t="shared" ref="M8:M19" si="6">F8*L8</f>
        <v>3040</v>
      </c>
      <c r="N8" s="28"/>
      <c r="O8" s="24">
        <f t="shared" ref="O8:O71" si="7">P8*(1+Q8)+R8+S8+T8</f>
        <v>152</v>
      </c>
      <c r="P8" s="29">
        <v>120</v>
      </c>
      <c r="Q8" s="30">
        <v>0</v>
      </c>
      <c r="R8" s="29">
        <v>18</v>
      </c>
      <c r="S8" s="31">
        <v>6</v>
      </c>
      <c r="T8" s="32">
        <v>8</v>
      </c>
      <c r="U8" s="24">
        <f t="shared" ref="U8:U71" si="8">F8*O8</f>
        <v>3040</v>
      </c>
    </row>
    <row r="9" spans="1:21" s="5" customFormat="1" ht="96" customHeight="1" outlineLevel="3">
      <c r="A9" s="22">
        <v>2</v>
      </c>
      <c r="B9" s="23">
        <v>30413002002</v>
      </c>
      <c r="C9" s="23" t="s">
        <v>270</v>
      </c>
      <c r="D9" s="23" t="s">
        <v>271</v>
      </c>
      <c r="E9" s="22" t="s">
        <v>38</v>
      </c>
      <c r="F9" s="58">
        <v>4</v>
      </c>
      <c r="G9" s="45">
        <f t="shared" si="0"/>
        <v>18</v>
      </c>
      <c r="H9" s="26">
        <f t="shared" si="1"/>
        <v>126</v>
      </c>
      <c r="I9" s="26">
        <f t="shared" si="2"/>
        <v>8</v>
      </c>
      <c r="J9" s="26">
        <f t="shared" si="3"/>
        <v>0</v>
      </c>
      <c r="K9" s="26">
        <f t="shared" si="4"/>
        <v>0</v>
      </c>
      <c r="L9" s="26">
        <f t="shared" si="5"/>
        <v>152</v>
      </c>
      <c r="M9" s="26">
        <f t="shared" si="6"/>
        <v>608</v>
      </c>
      <c r="N9" s="28"/>
      <c r="O9" s="24">
        <f t="shared" si="7"/>
        <v>152</v>
      </c>
      <c r="P9" s="29">
        <v>120</v>
      </c>
      <c r="Q9" s="30">
        <v>0</v>
      </c>
      <c r="R9" s="29">
        <v>18</v>
      </c>
      <c r="S9" s="31">
        <v>6</v>
      </c>
      <c r="T9" s="32">
        <v>8</v>
      </c>
      <c r="U9" s="24">
        <f t="shared" si="8"/>
        <v>608</v>
      </c>
    </row>
    <row r="10" spans="1:21" s="5" customFormat="1" ht="84" customHeight="1" outlineLevel="3">
      <c r="A10" s="22">
        <v>3</v>
      </c>
      <c r="B10" s="23">
        <v>30413002003</v>
      </c>
      <c r="C10" s="23" t="s">
        <v>272</v>
      </c>
      <c r="D10" s="23" t="s">
        <v>273</v>
      </c>
      <c r="E10" s="22" t="s">
        <v>38</v>
      </c>
      <c r="F10" s="58">
        <v>6</v>
      </c>
      <c r="G10" s="45">
        <f t="shared" si="0"/>
        <v>18</v>
      </c>
      <c r="H10" s="26">
        <f t="shared" si="1"/>
        <v>126</v>
      </c>
      <c r="I10" s="26">
        <f t="shared" si="2"/>
        <v>8</v>
      </c>
      <c r="J10" s="26">
        <f t="shared" si="3"/>
        <v>0</v>
      </c>
      <c r="K10" s="26">
        <f t="shared" si="4"/>
        <v>0</v>
      </c>
      <c r="L10" s="26">
        <f t="shared" si="5"/>
        <v>152</v>
      </c>
      <c r="M10" s="26">
        <f t="shared" si="6"/>
        <v>912</v>
      </c>
      <c r="N10" s="28"/>
      <c r="O10" s="24">
        <f t="shared" si="7"/>
        <v>152</v>
      </c>
      <c r="P10" s="29">
        <v>120</v>
      </c>
      <c r="Q10" s="30">
        <v>0</v>
      </c>
      <c r="R10" s="29">
        <v>18</v>
      </c>
      <c r="S10" s="31">
        <v>6</v>
      </c>
      <c r="T10" s="32">
        <v>8</v>
      </c>
      <c r="U10" s="24">
        <f t="shared" si="8"/>
        <v>912</v>
      </c>
    </row>
    <row r="11" spans="1:21" s="5" customFormat="1" ht="84" customHeight="1" outlineLevel="3">
      <c r="A11" s="22">
        <v>4</v>
      </c>
      <c r="B11" s="23">
        <v>30413002004</v>
      </c>
      <c r="C11" s="23" t="s">
        <v>274</v>
      </c>
      <c r="D11" s="23" t="s">
        <v>275</v>
      </c>
      <c r="E11" s="22" t="s">
        <v>38</v>
      </c>
      <c r="F11" s="58">
        <v>3</v>
      </c>
      <c r="G11" s="45">
        <f t="shared" si="0"/>
        <v>18</v>
      </c>
      <c r="H11" s="26">
        <f t="shared" si="1"/>
        <v>126</v>
      </c>
      <c r="I11" s="26">
        <f t="shared" si="2"/>
        <v>8</v>
      </c>
      <c r="J11" s="26">
        <f t="shared" si="3"/>
        <v>0</v>
      </c>
      <c r="K11" s="26">
        <f t="shared" si="4"/>
        <v>0</v>
      </c>
      <c r="L11" s="26">
        <f t="shared" si="5"/>
        <v>152</v>
      </c>
      <c r="M11" s="26">
        <f t="shared" si="6"/>
        <v>456</v>
      </c>
      <c r="N11" s="28"/>
      <c r="O11" s="24">
        <f t="shared" si="7"/>
        <v>152</v>
      </c>
      <c r="P11" s="29">
        <v>120</v>
      </c>
      <c r="Q11" s="30">
        <v>0</v>
      </c>
      <c r="R11" s="29">
        <v>18</v>
      </c>
      <c r="S11" s="31">
        <v>6</v>
      </c>
      <c r="T11" s="32">
        <v>8</v>
      </c>
      <c r="U11" s="24">
        <f t="shared" si="8"/>
        <v>456</v>
      </c>
    </row>
    <row r="12" spans="1:21" s="5" customFormat="1" ht="84" customHeight="1" outlineLevel="3">
      <c r="A12" s="22">
        <v>5</v>
      </c>
      <c r="B12" s="23">
        <v>30413002005</v>
      </c>
      <c r="C12" s="23" t="s">
        <v>276</v>
      </c>
      <c r="D12" s="23" t="s">
        <v>277</v>
      </c>
      <c r="E12" s="22" t="s">
        <v>38</v>
      </c>
      <c r="F12" s="58">
        <v>5</v>
      </c>
      <c r="G12" s="45">
        <f t="shared" si="0"/>
        <v>18</v>
      </c>
      <c r="H12" s="26">
        <f t="shared" si="1"/>
        <v>126</v>
      </c>
      <c r="I12" s="26">
        <f t="shared" si="2"/>
        <v>8</v>
      </c>
      <c r="J12" s="26">
        <f t="shared" si="3"/>
        <v>0</v>
      </c>
      <c r="K12" s="26">
        <f t="shared" si="4"/>
        <v>0</v>
      </c>
      <c r="L12" s="26">
        <f t="shared" si="5"/>
        <v>152</v>
      </c>
      <c r="M12" s="26">
        <f t="shared" si="6"/>
        <v>760</v>
      </c>
      <c r="N12" s="28"/>
      <c r="O12" s="24">
        <f t="shared" si="7"/>
        <v>152</v>
      </c>
      <c r="P12" s="29">
        <v>120</v>
      </c>
      <c r="Q12" s="30">
        <v>0</v>
      </c>
      <c r="R12" s="29">
        <v>18</v>
      </c>
      <c r="S12" s="31">
        <v>6</v>
      </c>
      <c r="T12" s="32">
        <v>8</v>
      </c>
      <c r="U12" s="24">
        <f t="shared" si="8"/>
        <v>760</v>
      </c>
    </row>
    <row r="13" spans="1:21" s="5" customFormat="1" ht="84" customHeight="1" outlineLevel="3">
      <c r="A13" s="22">
        <v>6</v>
      </c>
      <c r="B13" s="23">
        <v>30413002006</v>
      </c>
      <c r="C13" s="23" t="s">
        <v>278</v>
      </c>
      <c r="D13" s="23" t="s">
        <v>279</v>
      </c>
      <c r="E13" s="22" t="s">
        <v>43</v>
      </c>
      <c r="F13" s="58">
        <v>72.19</v>
      </c>
      <c r="G13" s="45">
        <f t="shared" si="0"/>
        <v>2.5</v>
      </c>
      <c r="H13" s="26">
        <f t="shared" si="1"/>
        <v>12.5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15</v>
      </c>
      <c r="M13" s="26">
        <f t="shared" si="6"/>
        <v>1082.8499999999999</v>
      </c>
      <c r="N13" s="28"/>
      <c r="O13" s="24">
        <f t="shared" si="7"/>
        <v>15</v>
      </c>
      <c r="P13" s="29">
        <v>12</v>
      </c>
      <c r="Q13" s="30">
        <v>0</v>
      </c>
      <c r="R13" s="29">
        <v>2.5</v>
      </c>
      <c r="S13" s="31">
        <v>0.5</v>
      </c>
      <c r="T13" s="32">
        <v>0</v>
      </c>
      <c r="U13" s="24">
        <f t="shared" si="8"/>
        <v>1082.8499999999999</v>
      </c>
    </row>
    <row r="14" spans="1:21" s="5" customFormat="1" ht="72" customHeight="1" outlineLevel="3">
      <c r="A14" s="22">
        <v>7</v>
      </c>
      <c r="B14" s="23">
        <v>30413002007</v>
      </c>
      <c r="C14" s="23" t="s">
        <v>280</v>
      </c>
      <c r="D14" s="23" t="s">
        <v>281</v>
      </c>
      <c r="E14" s="22" t="s">
        <v>43</v>
      </c>
      <c r="F14" s="58">
        <v>22.14</v>
      </c>
      <c r="G14" s="45">
        <f t="shared" si="0"/>
        <v>2.5</v>
      </c>
      <c r="H14" s="26">
        <f t="shared" si="1"/>
        <v>12.5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6">
        <f t="shared" si="5"/>
        <v>15</v>
      </c>
      <c r="M14" s="26">
        <f t="shared" si="6"/>
        <v>332.1</v>
      </c>
      <c r="N14" s="28"/>
      <c r="O14" s="24">
        <f t="shared" si="7"/>
        <v>15</v>
      </c>
      <c r="P14" s="29">
        <v>12</v>
      </c>
      <c r="Q14" s="30">
        <v>0</v>
      </c>
      <c r="R14" s="29">
        <v>2.5</v>
      </c>
      <c r="S14" s="31">
        <v>0.5</v>
      </c>
      <c r="T14" s="32">
        <v>0</v>
      </c>
      <c r="U14" s="24">
        <f t="shared" si="8"/>
        <v>332.1</v>
      </c>
    </row>
    <row r="15" spans="1:21" s="5" customFormat="1" ht="72" customHeight="1" outlineLevel="3">
      <c r="A15" s="22">
        <v>8</v>
      </c>
      <c r="B15" s="23">
        <v>30413002008</v>
      </c>
      <c r="C15" s="23" t="s">
        <v>282</v>
      </c>
      <c r="D15" s="23" t="s">
        <v>283</v>
      </c>
      <c r="E15" s="22" t="s">
        <v>43</v>
      </c>
      <c r="F15" s="58">
        <v>15.01</v>
      </c>
      <c r="G15" s="45">
        <f t="shared" si="0"/>
        <v>2.5</v>
      </c>
      <c r="H15" s="26">
        <f t="shared" si="1"/>
        <v>12.5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15</v>
      </c>
      <c r="M15" s="26">
        <f t="shared" si="6"/>
        <v>225.15</v>
      </c>
      <c r="N15" s="28"/>
      <c r="O15" s="24">
        <f t="shared" si="7"/>
        <v>15</v>
      </c>
      <c r="P15" s="29">
        <v>12</v>
      </c>
      <c r="Q15" s="30">
        <v>0</v>
      </c>
      <c r="R15" s="29">
        <v>2.5</v>
      </c>
      <c r="S15" s="31">
        <v>0.5</v>
      </c>
      <c r="T15" s="32">
        <v>0</v>
      </c>
      <c r="U15" s="24">
        <f t="shared" si="8"/>
        <v>225.15</v>
      </c>
    </row>
    <row r="16" spans="1:21" s="5" customFormat="1" ht="84" customHeight="1" outlineLevel="3">
      <c r="A16" s="9">
        <v>9</v>
      </c>
      <c r="B16" s="17">
        <v>30413009001</v>
      </c>
      <c r="C16" s="17" t="s">
        <v>44</v>
      </c>
      <c r="D16" s="17" t="s">
        <v>45</v>
      </c>
      <c r="E16" s="9" t="s">
        <v>46</v>
      </c>
      <c r="F16" s="57">
        <v>26</v>
      </c>
      <c r="G16" s="46">
        <f t="shared" si="0"/>
        <v>3</v>
      </c>
      <c r="H16" s="47">
        <f t="shared" si="1"/>
        <v>20.5</v>
      </c>
      <c r="I16" s="47">
        <f t="shared" si="2"/>
        <v>0</v>
      </c>
      <c r="J16" s="47">
        <f t="shared" si="3"/>
        <v>0</v>
      </c>
      <c r="K16" s="47">
        <f t="shared" si="4"/>
        <v>0</v>
      </c>
      <c r="L16" s="47">
        <f t="shared" si="5"/>
        <v>23.5</v>
      </c>
      <c r="M16" s="47">
        <f t="shared" si="6"/>
        <v>611</v>
      </c>
      <c r="N16" s="8"/>
      <c r="O16" s="10">
        <f t="shared" si="7"/>
        <v>23.5</v>
      </c>
      <c r="P16" s="48">
        <f>架空层安装工程!$P$10</f>
        <v>20</v>
      </c>
      <c r="Q16" s="49">
        <f>架空层安装工程!$Q$10</f>
        <v>0</v>
      </c>
      <c r="R16" s="48">
        <f>架空层安装工程!$R$10</f>
        <v>3</v>
      </c>
      <c r="S16" s="50">
        <f>架空层安装工程!$S$10</f>
        <v>0.5</v>
      </c>
      <c r="T16" s="12">
        <f>架空层安装工程!$T$10</f>
        <v>0</v>
      </c>
      <c r="U16" s="10">
        <f t="shared" si="8"/>
        <v>611</v>
      </c>
    </row>
    <row r="17" spans="1:21" s="5" customFormat="1" ht="72" customHeight="1" outlineLevel="3">
      <c r="A17" s="22">
        <v>10</v>
      </c>
      <c r="B17" s="23">
        <v>30405015001</v>
      </c>
      <c r="C17" s="23" t="s">
        <v>284</v>
      </c>
      <c r="D17" s="23" t="s">
        <v>285</v>
      </c>
      <c r="E17" s="22" t="s">
        <v>69</v>
      </c>
      <c r="F17" s="58">
        <v>1</v>
      </c>
      <c r="G17" s="45">
        <f t="shared" si="0"/>
        <v>25</v>
      </c>
      <c r="H17" s="26">
        <f t="shared" si="1"/>
        <v>283</v>
      </c>
      <c r="I17" s="26">
        <f t="shared" si="2"/>
        <v>0</v>
      </c>
      <c r="J17" s="26">
        <f t="shared" si="3"/>
        <v>0</v>
      </c>
      <c r="K17" s="26">
        <f t="shared" si="4"/>
        <v>0</v>
      </c>
      <c r="L17" s="26">
        <f t="shared" si="5"/>
        <v>308</v>
      </c>
      <c r="M17" s="26">
        <f t="shared" si="6"/>
        <v>308</v>
      </c>
      <c r="N17" s="28"/>
      <c r="O17" s="24">
        <f t="shared" si="7"/>
        <v>308</v>
      </c>
      <c r="P17" s="29">
        <v>280</v>
      </c>
      <c r="Q17" s="30">
        <v>0</v>
      </c>
      <c r="R17" s="29">
        <v>25</v>
      </c>
      <c r="S17" s="31">
        <v>3</v>
      </c>
      <c r="T17" s="32">
        <v>0</v>
      </c>
      <c r="U17" s="24">
        <f t="shared" si="8"/>
        <v>308</v>
      </c>
    </row>
    <row r="18" spans="1:21" s="5" customFormat="1" ht="72" customHeight="1" outlineLevel="3">
      <c r="A18" s="22">
        <v>11</v>
      </c>
      <c r="B18" s="23">
        <v>30405015002</v>
      </c>
      <c r="C18" s="23" t="s">
        <v>286</v>
      </c>
      <c r="D18" s="23" t="s">
        <v>287</v>
      </c>
      <c r="E18" s="22" t="s">
        <v>69</v>
      </c>
      <c r="F18" s="58">
        <v>2</v>
      </c>
      <c r="G18" s="45">
        <f t="shared" si="0"/>
        <v>30</v>
      </c>
      <c r="H18" s="26">
        <f t="shared" si="1"/>
        <v>453</v>
      </c>
      <c r="I18" s="26">
        <f t="shared" si="2"/>
        <v>0</v>
      </c>
      <c r="J18" s="26">
        <f t="shared" si="3"/>
        <v>0</v>
      </c>
      <c r="K18" s="26">
        <f t="shared" si="4"/>
        <v>0</v>
      </c>
      <c r="L18" s="26">
        <f t="shared" si="5"/>
        <v>483</v>
      </c>
      <c r="M18" s="26">
        <f t="shared" si="6"/>
        <v>966</v>
      </c>
      <c r="N18" s="28"/>
      <c r="O18" s="24">
        <f t="shared" si="7"/>
        <v>483</v>
      </c>
      <c r="P18" s="29">
        <v>450</v>
      </c>
      <c r="Q18" s="30">
        <v>0</v>
      </c>
      <c r="R18" s="29">
        <v>30</v>
      </c>
      <c r="S18" s="31">
        <v>3</v>
      </c>
      <c r="T18" s="32">
        <v>0</v>
      </c>
      <c r="U18" s="24">
        <f t="shared" si="8"/>
        <v>966</v>
      </c>
    </row>
    <row r="19" spans="1:21" s="5" customFormat="1" ht="72" customHeight="1" outlineLevel="3">
      <c r="A19" s="22">
        <v>12</v>
      </c>
      <c r="B19" s="23">
        <v>30405017001</v>
      </c>
      <c r="C19" s="23" t="s">
        <v>168</v>
      </c>
      <c r="D19" s="23" t="s">
        <v>169</v>
      </c>
      <c r="E19" s="22" t="s">
        <v>69</v>
      </c>
      <c r="F19" s="58">
        <v>1</v>
      </c>
      <c r="G19" s="45">
        <f t="shared" si="0"/>
        <v>250</v>
      </c>
      <c r="H19" s="26">
        <f t="shared" si="1"/>
        <v>4235</v>
      </c>
      <c r="I19" s="26">
        <f t="shared" si="2"/>
        <v>8.5</v>
      </c>
      <c r="J19" s="26">
        <f t="shared" si="3"/>
        <v>0</v>
      </c>
      <c r="K19" s="26">
        <f t="shared" si="4"/>
        <v>0</v>
      </c>
      <c r="L19" s="26">
        <f t="shared" si="5"/>
        <v>4493.5</v>
      </c>
      <c r="M19" s="26">
        <f t="shared" si="6"/>
        <v>4493.5</v>
      </c>
      <c r="N19" s="28"/>
      <c r="O19" s="24">
        <f t="shared" si="7"/>
        <v>4493.5</v>
      </c>
      <c r="P19" s="29">
        <v>4200</v>
      </c>
      <c r="Q19" s="30">
        <v>0</v>
      </c>
      <c r="R19" s="29">
        <v>250</v>
      </c>
      <c r="S19" s="31">
        <v>35</v>
      </c>
      <c r="T19" s="32">
        <v>8.5</v>
      </c>
      <c r="U19" s="24">
        <f t="shared" si="8"/>
        <v>4493.5</v>
      </c>
    </row>
    <row r="20" spans="1:21" s="5" customFormat="1" outlineLevel="2">
      <c r="A20" s="9"/>
      <c r="B20" s="17"/>
      <c r="C20" s="17" t="s">
        <v>53</v>
      </c>
      <c r="D20" s="17"/>
      <c r="E20" s="9"/>
      <c r="F20" s="57"/>
      <c r="G20" s="46"/>
      <c r="H20" s="47"/>
      <c r="I20" s="47"/>
      <c r="J20" s="47"/>
      <c r="K20" s="47"/>
      <c r="L20" s="47"/>
      <c r="M20" s="47"/>
      <c r="N20" s="8"/>
      <c r="O20" s="10">
        <f t="shared" si="7"/>
        <v>0</v>
      </c>
      <c r="P20" s="48"/>
      <c r="Q20" s="49"/>
      <c r="R20" s="48"/>
      <c r="S20" s="50"/>
      <c r="T20" s="12"/>
      <c r="U20" s="10">
        <f t="shared" si="8"/>
        <v>0</v>
      </c>
    </row>
    <row r="21" spans="1:21" s="5" customFormat="1" ht="72" customHeight="1" outlineLevel="3">
      <c r="A21" s="9">
        <v>13</v>
      </c>
      <c r="B21" s="17">
        <v>30413013001</v>
      </c>
      <c r="C21" s="17" t="s">
        <v>54</v>
      </c>
      <c r="D21" s="17" t="s">
        <v>55</v>
      </c>
      <c r="E21" s="9" t="s">
        <v>38</v>
      </c>
      <c r="F21" s="57">
        <v>2</v>
      </c>
      <c r="G21" s="46">
        <f t="shared" ref="G21:G32" si="9">R21*$R$3</f>
        <v>6.31</v>
      </c>
      <c r="H21" s="47">
        <f t="shared" ref="H21:H32" si="10">P21*(1+Q21)*$P$3+S21*$S$3</f>
        <v>15.74</v>
      </c>
      <c r="I21" s="47">
        <f t="shared" ref="I21:I32" si="11">T21*$T$3</f>
        <v>0</v>
      </c>
      <c r="J21" s="47">
        <f t="shared" ref="J21:J32" si="12">(G21+H21+I21)*$J$3</f>
        <v>0</v>
      </c>
      <c r="K21" s="47">
        <f t="shared" ref="K21:K32" si="13">(G21+H21+I21+J21)*$K$3</f>
        <v>0</v>
      </c>
      <c r="L21" s="47">
        <f t="shared" ref="L21:L32" si="14">G21+H21+I21+J21+K21</f>
        <v>22.05</v>
      </c>
      <c r="M21" s="47">
        <f t="shared" ref="M21:M32" si="15">F21*L21</f>
        <v>44.1</v>
      </c>
      <c r="N21" s="8"/>
      <c r="O21" s="10">
        <f t="shared" si="7"/>
        <v>22.05</v>
      </c>
      <c r="P21" s="48">
        <f>公共区域安装工程!$P$14</f>
        <v>14.62</v>
      </c>
      <c r="Q21" s="49">
        <f>公共区域安装工程!$Q$14</f>
        <v>0</v>
      </c>
      <c r="R21" s="48">
        <f>公共区域安装工程!$R$14</f>
        <v>6.31</v>
      </c>
      <c r="S21" s="50">
        <f>公共区域安装工程!$S$14</f>
        <v>1.1200000000000001</v>
      </c>
      <c r="T21" s="12">
        <f>公共区域安装工程!$T$14</f>
        <v>0</v>
      </c>
      <c r="U21" s="10">
        <f t="shared" si="8"/>
        <v>44.1</v>
      </c>
    </row>
    <row r="22" spans="1:21" s="5" customFormat="1" ht="72" customHeight="1" outlineLevel="3">
      <c r="A22" s="9">
        <v>14</v>
      </c>
      <c r="B22" s="17">
        <v>30413013002</v>
      </c>
      <c r="C22" s="17" t="s">
        <v>54</v>
      </c>
      <c r="D22" s="17" t="s">
        <v>56</v>
      </c>
      <c r="E22" s="9" t="s">
        <v>38</v>
      </c>
      <c r="F22" s="57">
        <v>1</v>
      </c>
      <c r="G22" s="46">
        <f t="shared" si="9"/>
        <v>10</v>
      </c>
      <c r="H22" s="47">
        <f t="shared" si="10"/>
        <v>19.5</v>
      </c>
      <c r="I22" s="47">
        <f t="shared" si="11"/>
        <v>0</v>
      </c>
      <c r="J22" s="47">
        <f t="shared" si="12"/>
        <v>0</v>
      </c>
      <c r="K22" s="47">
        <f t="shared" si="13"/>
        <v>0</v>
      </c>
      <c r="L22" s="47">
        <f t="shared" si="14"/>
        <v>29.5</v>
      </c>
      <c r="M22" s="47">
        <f t="shared" si="15"/>
        <v>29.5</v>
      </c>
      <c r="N22" s="8"/>
      <c r="O22" s="10">
        <f t="shared" si="7"/>
        <v>29.5</v>
      </c>
      <c r="P22" s="48">
        <f>架空层安装工程!$P$16</f>
        <v>18</v>
      </c>
      <c r="Q22" s="49">
        <f>架空层安装工程!$Q$16</f>
        <v>0</v>
      </c>
      <c r="R22" s="48">
        <f>架空层安装工程!$R$16</f>
        <v>10</v>
      </c>
      <c r="S22" s="50">
        <f>架空层安装工程!$S$16</f>
        <v>1.5</v>
      </c>
      <c r="T22" s="12">
        <f>架空层安装工程!$T$16</f>
        <v>0</v>
      </c>
      <c r="U22" s="10">
        <f t="shared" si="8"/>
        <v>29.5</v>
      </c>
    </row>
    <row r="23" spans="1:21" s="5" customFormat="1" ht="72" customHeight="1" outlineLevel="3">
      <c r="A23" s="9">
        <v>15</v>
      </c>
      <c r="B23" s="17">
        <v>30413013003</v>
      </c>
      <c r="C23" s="17" t="s">
        <v>54</v>
      </c>
      <c r="D23" s="17" t="s">
        <v>57</v>
      </c>
      <c r="E23" s="9" t="s">
        <v>38</v>
      </c>
      <c r="F23" s="57">
        <v>2</v>
      </c>
      <c r="G23" s="46">
        <f t="shared" si="9"/>
        <v>12</v>
      </c>
      <c r="H23" s="47">
        <f t="shared" si="10"/>
        <v>21.5</v>
      </c>
      <c r="I23" s="47">
        <f t="shared" si="11"/>
        <v>0</v>
      </c>
      <c r="J23" s="47">
        <f t="shared" si="12"/>
        <v>0</v>
      </c>
      <c r="K23" s="47">
        <f t="shared" si="13"/>
        <v>0</v>
      </c>
      <c r="L23" s="47">
        <f t="shared" si="14"/>
        <v>33.5</v>
      </c>
      <c r="M23" s="47">
        <f t="shared" si="15"/>
        <v>67</v>
      </c>
      <c r="N23" s="8"/>
      <c r="O23" s="10">
        <f t="shared" si="7"/>
        <v>33.5</v>
      </c>
      <c r="P23" s="48">
        <f>公共区域安装工程!$P$15</f>
        <v>20</v>
      </c>
      <c r="Q23" s="49">
        <f>公共区域安装工程!$Q$15</f>
        <v>0</v>
      </c>
      <c r="R23" s="48">
        <f>公共区域安装工程!$R$15</f>
        <v>12</v>
      </c>
      <c r="S23" s="50">
        <f>公共区域安装工程!$S$15</f>
        <v>1.5</v>
      </c>
      <c r="T23" s="12">
        <f>公共区域安装工程!$T$15</f>
        <v>0</v>
      </c>
      <c r="U23" s="10">
        <f t="shared" si="8"/>
        <v>67</v>
      </c>
    </row>
    <row r="24" spans="1:21" s="5" customFormat="1" ht="72" customHeight="1" outlineLevel="3">
      <c r="A24" s="9">
        <v>16</v>
      </c>
      <c r="B24" s="17">
        <v>30413013004</v>
      </c>
      <c r="C24" s="17" t="s">
        <v>54</v>
      </c>
      <c r="D24" s="17" t="s">
        <v>288</v>
      </c>
      <c r="E24" s="9" t="s">
        <v>38</v>
      </c>
      <c r="F24" s="57">
        <v>2</v>
      </c>
      <c r="G24" s="46">
        <f t="shared" si="9"/>
        <v>10</v>
      </c>
      <c r="H24" s="47">
        <f t="shared" si="10"/>
        <v>19.5</v>
      </c>
      <c r="I24" s="47">
        <f t="shared" si="11"/>
        <v>0</v>
      </c>
      <c r="J24" s="47">
        <f t="shared" si="12"/>
        <v>0</v>
      </c>
      <c r="K24" s="47">
        <f t="shared" si="13"/>
        <v>0</v>
      </c>
      <c r="L24" s="47">
        <f t="shared" si="14"/>
        <v>29.5</v>
      </c>
      <c r="M24" s="47">
        <f t="shared" si="15"/>
        <v>59</v>
      </c>
      <c r="N24" s="8"/>
      <c r="O24" s="10">
        <f t="shared" si="7"/>
        <v>29.5</v>
      </c>
      <c r="P24" s="48">
        <f>户内交标安装工程!$P$21</f>
        <v>18</v>
      </c>
      <c r="Q24" s="49">
        <f>户内交标安装工程!$Q$21</f>
        <v>0</v>
      </c>
      <c r="R24" s="48">
        <f>户内交标安装工程!$R$21</f>
        <v>10</v>
      </c>
      <c r="S24" s="50">
        <f>户内交标安装工程!$S$21</f>
        <v>1.5</v>
      </c>
      <c r="T24" s="12">
        <f>户内交标安装工程!$T$21</f>
        <v>0</v>
      </c>
      <c r="U24" s="10">
        <f t="shared" si="8"/>
        <v>59</v>
      </c>
    </row>
    <row r="25" spans="1:21" s="5" customFormat="1" ht="72" customHeight="1" outlineLevel="3">
      <c r="A25" s="9">
        <v>17</v>
      </c>
      <c r="B25" s="17">
        <v>30413013005</v>
      </c>
      <c r="C25" s="17" t="s">
        <v>54</v>
      </c>
      <c r="D25" s="17" t="s">
        <v>289</v>
      </c>
      <c r="E25" s="9" t="s">
        <v>38</v>
      </c>
      <c r="F25" s="57">
        <v>8</v>
      </c>
      <c r="G25" s="46">
        <f t="shared" si="9"/>
        <v>12</v>
      </c>
      <c r="H25" s="47">
        <f t="shared" si="10"/>
        <v>21.5</v>
      </c>
      <c r="I25" s="47">
        <f t="shared" si="11"/>
        <v>0</v>
      </c>
      <c r="J25" s="47">
        <f t="shared" si="12"/>
        <v>0</v>
      </c>
      <c r="K25" s="47">
        <f t="shared" si="13"/>
        <v>0</v>
      </c>
      <c r="L25" s="47">
        <f t="shared" si="14"/>
        <v>33.5</v>
      </c>
      <c r="M25" s="47">
        <f t="shared" si="15"/>
        <v>268</v>
      </c>
      <c r="N25" s="8"/>
      <c r="O25" s="10">
        <f t="shared" si="7"/>
        <v>33.5</v>
      </c>
      <c r="P25" s="48">
        <f>户内交标安装工程!$P$22</f>
        <v>20</v>
      </c>
      <c r="Q25" s="49">
        <f>户内交标安装工程!$Q$22</f>
        <v>0</v>
      </c>
      <c r="R25" s="48">
        <f>户内交标安装工程!$R$22</f>
        <v>12</v>
      </c>
      <c r="S25" s="50">
        <f>户内交标安装工程!$S$22</f>
        <v>1.5</v>
      </c>
      <c r="T25" s="12">
        <f>户内交标安装工程!$T$22</f>
        <v>0</v>
      </c>
      <c r="U25" s="10">
        <f t="shared" si="8"/>
        <v>268</v>
      </c>
    </row>
    <row r="26" spans="1:21" s="5" customFormat="1" ht="72" customHeight="1" outlineLevel="3">
      <c r="A26" s="22">
        <v>18</v>
      </c>
      <c r="B26" s="23">
        <v>30413013006</v>
      </c>
      <c r="C26" s="23" t="s">
        <v>54</v>
      </c>
      <c r="D26" s="23" t="s">
        <v>290</v>
      </c>
      <c r="E26" s="22" t="s">
        <v>38</v>
      </c>
      <c r="F26" s="58">
        <v>4</v>
      </c>
      <c r="G26" s="45">
        <f t="shared" si="9"/>
        <v>6.31</v>
      </c>
      <c r="H26" s="26">
        <f t="shared" si="10"/>
        <v>15.74</v>
      </c>
      <c r="I26" s="26">
        <f t="shared" si="11"/>
        <v>0</v>
      </c>
      <c r="J26" s="26">
        <f t="shared" si="12"/>
        <v>0</v>
      </c>
      <c r="K26" s="26">
        <f t="shared" si="13"/>
        <v>0</v>
      </c>
      <c r="L26" s="26">
        <f t="shared" si="14"/>
        <v>22.05</v>
      </c>
      <c r="M26" s="26">
        <f t="shared" si="15"/>
        <v>88.2</v>
      </c>
      <c r="N26" s="28"/>
      <c r="O26" s="24">
        <f t="shared" si="7"/>
        <v>22.05</v>
      </c>
      <c r="P26" s="29">
        <v>14.62</v>
      </c>
      <c r="Q26" s="30">
        <v>0</v>
      </c>
      <c r="R26" s="29">
        <v>6.31</v>
      </c>
      <c r="S26" s="31">
        <v>1.1200000000000001</v>
      </c>
      <c r="T26" s="32">
        <v>0</v>
      </c>
      <c r="U26" s="24">
        <f t="shared" si="8"/>
        <v>88.2</v>
      </c>
    </row>
    <row r="27" spans="1:21" s="5" customFormat="1" ht="72" customHeight="1" outlineLevel="3">
      <c r="A27" s="9">
        <v>19</v>
      </c>
      <c r="B27" s="17">
        <v>30413014001</v>
      </c>
      <c r="C27" s="17" t="s">
        <v>58</v>
      </c>
      <c r="D27" s="17" t="s">
        <v>59</v>
      </c>
      <c r="E27" s="9" t="s">
        <v>38</v>
      </c>
      <c r="F27" s="57">
        <v>31</v>
      </c>
      <c r="G27" s="46">
        <f t="shared" si="9"/>
        <v>6.31</v>
      </c>
      <c r="H27" s="47">
        <f t="shared" si="10"/>
        <v>15.74</v>
      </c>
      <c r="I27" s="47">
        <f t="shared" si="11"/>
        <v>0</v>
      </c>
      <c r="J27" s="47">
        <f t="shared" si="12"/>
        <v>0</v>
      </c>
      <c r="K27" s="47">
        <f t="shared" si="13"/>
        <v>0</v>
      </c>
      <c r="L27" s="47">
        <f t="shared" si="14"/>
        <v>22.05</v>
      </c>
      <c r="M27" s="47">
        <f t="shared" si="15"/>
        <v>683.55</v>
      </c>
      <c r="N27" s="8"/>
      <c r="O27" s="10">
        <f t="shared" si="7"/>
        <v>22.05</v>
      </c>
      <c r="P27" s="48">
        <f>公共区域安装工程!$P$16</f>
        <v>14.62</v>
      </c>
      <c r="Q27" s="49">
        <f>公共区域安装工程!$Q$16</f>
        <v>0</v>
      </c>
      <c r="R27" s="48">
        <f>公共区域安装工程!$R$16</f>
        <v>6.31</v>
      </c>
      <c r="S27" s="50">
        <f>公共区域安装工程!$S$16</f>
        <v>1.1200000000000001</v>
      </c>
      <c r="T27" s="12">
        <f>公共区域安装工程!$T$16</f>
        <v>0</v>
      </c>
      <c r="U27" s="10">
        <f t="shared" si="8"/>
        <v>683.55</v>
      </c>
    </row>
    <row r="28" spans="1:21" s="5" customFormat="1" ht="72" customHeight="1" outlineLevel="3">
      <c r="A28" s="22">
        <v>20</v>
      </c>
      <c r="B28" s="23">
        <v>30413014002</v>
      </c>
      <c r="C28" s="23" t="s">
        <v>58</v>
      </c>
      <c r="D28" s="23" t="s">
        <v>172</v>
      </c>
      <c r="E28" s="22" t="s">
        <v>38</v>
      </c>
      <c r="F28" s="58">
        <v>12</v>
      </c>
      <c r="G28" s="45">
        <f t="shared" si="9"/>
        <v>6.31</v>
      </c>
      <c r="H28" s="26">
        <f t="shared" si="10"/>
        <v>15.74</v>
      </c>
      <c r="I28" s="26">
        <f t="shared" si="11"/>
        <v>0</v>
      </c>
      <c r="J28" s="26">
        <f t="shared" si="12"/>
        <v>0</v>
      </c>
      <c r="K28" s="26">
        <f t="shared" si="13"/>
        <v>0</v>
      </c>
      <c r="L28" s="26">
        <f t="shared" si="14"/>
        <v>22.05</v>
      </c>
      <c r="M28" s="26">
        <f t="shared" si="15"/>
        <v>264.60000000000002</v>
      </c>
      <c r="N28" s="28"/>
      <c r="O28" s="24">
        <f t="shared" si="7"/>
        <v>22.05</v>
      </c>
      <c r="P28" s="29">
        <v>14.62</v>
      </c>
      <c r="Q28" s="30">
        <v>0</v>
      </c>
      <c r="R28" s="29">
        <v>6.31</v>
      </c>
      <c r="S28" s="31">
        <v>1.1200000000000001</v>
      </c>
      <c r="T28" s="32">
        <v>0</v>
      </c>
      <c r="U28" s="24">
        <f t="shared" si="8"/>
        <v>264.60000000000002</v>
      </c>
    </row>
    <row r="29" spans="1:21" s="5" customFormat="1" ht="72" customHeight="1" outlineLevel="3">
      <c r="A29" s="22">
        <v>21</v>
      </c>
      <c r="B29" s="23">
        <v>30413014003</v>
      </c>
      <c r="C29" s="23" t="s">
        <v>58</v>
      </c>
      <c r="D29" s="23" t="s">
        <v>291</v>
      </c>
      <c r="E29" s="22" t="s">
        <v>38</v>
      </c>
      <c r="F29" s="58">
        <v>3</v>
      </c>
      <c r="G29" s="45">
        <f t="shared" si="9"/>
        <v>6.31</v>
      </c>
      <c r="H29" s="26">
        <f t="shared" si="10"/>
        <v>15.74</v>
      </c>
      <c r="I29" s="26">
        <f t="shared" si="11"/>
        <v>0</v>
      </c>
      <c r="J29" s="26">
        <f t="shared" si="12"/>
        <v>0</v>
      </c>
      <c r="K29" s="26">
        <f t="shared" si="13"/>
        <v>0</v>
      </c>
      <c r="L29" s="26">
        <f t="shared" si="14"/>
        <v>22.05</v>
      </c>
      <c r="M29" s="26">
        <f t="shared" si="15"/>
        <v>66.150000000000006</v>
      </c>
      <c r="N29" s="28"/>
      <c r="O29" s="24">
        <f t="shared" si="7"/>
        <v>22.05</v>
      </c>
      <c r="P29" s="29">
        <v>14.62</v>
      </c>
      <c r="Q29" s="30">
        <v>0</v>
      </c>
      <c r="R29" s="29">
        <v>6.31</v>
      </c>
      <c r="S29" s="31">
        <v>1.1200000000000001</v>
      </c>
      <c r="T29" s="32">
        <v>0</v>
      </c>
      <c r="U29" s="24">
        <f t="shared" si="8"/>
        <v>66.150000000000006</v>
      </c>
    </row>
    <row r="30" spans="1:21" s="5" customFormat="1" ht="72" customHeight="1" outlineLevel="3">
      <c r="A30" s="9">
        <v>22</v>
      </c>
      <c r="B30" s="17">
        <v>30413014004</v>
      </c>
      <c r="C30" s="17" t="s">
        <v>58</v>
      </c>
      <c r="D30" s="17" t="s">
        <v>173</v>
      </c>
      <c r="E30" s="9" t="s">
        <v>38</v>
      </c>
      <c r="F30" s="57">
        <v>2</v>
      </c>
      <c r="G30" s="46">
        <f t="shared" si="9"/>
        <v>6.31</v>
      </c>
      <c r="H30" s="47">
        <f t="shared" si="10"/>
        <v>15.74</v>
      </c>
      <c r="I30" s="47">
        <f t="shared" si="11"/>
        <v>0</v>
      </c>
      <c r="J30" s="47">
        <f t="shared" si="12"/>
        <v>0</v>
      </c>
      <c r="K30" s="47">
        <f t="shared" si="13"/>
        <v>0</v>
      </c>
      <c r="L30" s="47">
        <f t="shared" si="14"/>
        <v>22.05</v>
      </c>
      <c r="M30" s="47">
        <f t="shared" si="15"/>
        <v>44.1</v>
      </c>
      <c r="N30" s="8"/>
      <c r="O30" s="10">
        <f t="shared" si="7"/>
        <v>22.05</v>
      </c>
      <c r="P30" s="48">
        <f>户内交标安装工程!$P$25</f>
        <v>14.62</v>
      </c>
      <c r="Q30" s="49">
        <f>户内交标安装工程!$Q$25</f>
        <v>0</v>
      </c>
      <c r="R30" s="48">
        <f>户内交标安装工程!$R$25</f>
        <v>6.31</v>
      </c>
      <c r="S30" s="50">
        <f>户内交标安装工程!$S$25</f>
        <v>1.1200000000000001</v>
      </c>
      <c r="T30" s="12">
        <f>户内交标安装工程!$T$25</f>
        <v>0</v>
      </c>
      <c r="U30" s="10">
        <f t="shared" si="8"/>
        <v>44.1</v>
      </c>
    </row>
    <row r="31" spans="1:21" s="5" customFormat="1" ht="84" customHeight="1" outlineLevel="3">
      <c r="A31" s="22">
        <v>23</v>
      </c>
      <c r="B31" s="23">
        <v>30413014005</v>
      </c>
      <c r="C31" s="23" t="s">
        <v>58</v>
      </c>
      <c r="D31" s="23" t="s">
        <v>174</v>
      </c>
      <c r="E31" s="22" t="s">
        <v>38</v>
      </c>
      <c r="F31" s="58">
        <v>2</v>
      </c>
      <c r="G31" s="45">
        <f t="shared" si="9"/>
        <v>6.31</v>
      </c>
      <c r="H31" s="26">
        <f t="shared" si="10"/>
        <v>15.74</v>
      </c>
      <c r="I31" s="26">
        <f t="shared" si="11"/>
        <v>0</v>
      </c>
      <c r="J31" s="26">
        <f t="shared" si="12"/>
        <v>0</v>
      </c>
      <c r="K31" s="26">
        <f t="shared" si="13"/>
        <v>0</v>
      </c>
      <c r="L31" s="26">
        <f t="shared" si="14"/>
        <v>22.05</v>
      </c>
      <c r="M31" s="26">
        <f t="shared" si="15"/>
        <v>44.1</v>
      </c>
      <c r="N31" s="28"/>
      <c r="O31" s="24">
        <f t="shared" si="7"/>
        <v>22.05</v>
      </c>
      <c r="P31" s="29">
        <v>14.62</v>
      </c>
      <c r="Q31" s="30">
        <v>0</v>
      </c>
      <c r="R31" s="29">
        <v>6.31</v>
      </c>
      <c r="S31" s="31">
        <v>1.1200000000000001</v>
      </c>
      <c r="T31" s="32">
        <v>0</v>
      </c>
      <c r="U31" s="24">
        <f t="shared" si="8"/>
        <v>44.1</v>
      </c>
    </row>
    <row r="32" spans="1:21" s="5" customFormat="1" ht="72" customHeight="1" outlineLevel="3">
      <c r="A32" s="9">
        <v>24</v>
      </c>
      <c r="B32" s="17">
        <v>30413014006</v>
      </c>
      <c r="C32" s="17" t="s">
        <v>58</v>
      </c>
      <c r="D32" s="17" t="s">
        <v>60</v>
      </c>
      <c r="E32" s="9" t="s">
        <v>38</v>
      </c>
      <c r="F32" s="57">
        <v>2</v>
      </c>
      <c r="G32" s="46">
        <f t="shared" si="9"/>
        <v>6.31</v>
      </c>
      <c r="H32" s="47">
        <f t="shared" si="10"/>
        <v>15.74</v>
      </c>
      <c r="I32" s="47">
        <f t="shared" si="11"/>
        <v>0</v>
      </c>
      <c r="J32" s="47">
        <f t="shared" si="12"/>
        <v>0</v>
      </c>
      <c r="K32" s="47">
        <f t="shared" si="13"/>
        <v>0</v>
      </c>
      <c r="L32" s="47">
        <f t="shared" si="14"/>
        <v>22.05</v>
      </c>
      <c r="M32" s="47">
        <f t="shared" si="15"/>
        <v>44.1</v>
      </c>
      <c r="N32" s="8"/>
      <c r="O32" s="10">
        <f t="shared" si="7"/>
        <v>22.05</v>
      </c>
      <c r="P32" s="48">
        <f>架空层安装工程!$P$19</f>
        <v>14.62</v>
      </c>
      <c r="Q32" s="49">
        <f>架空层安装工程!$Q$19</f>
        <v>0</v>
      </c>
      <c r="R32" s="48">
        <f>架空层安装工程!$R$19</f>
        <v>6.31</v>
      </c>
      <c r="S32" s="50">
        <f>架空层安装工程!$S$19</f>
        <v>1.1200000000000001</v>
      </c>
      <c r="T32" s="12">
        <f>架空层安装工程!$T$19</f>
        <v>0</v>
      </c>
      <c r="U32" s="10">
        <f t="shared" si="8"/>
        <v>44.1</v>
      </c>
    </row>
    <row r="33" spans="1:21" s="5" customFormat="1" outlineLevel="2">
      <c r="A33" s="9"/>
      <c r="B33" s="17"/>
      <c r="C33" s="17" t="s">
        <v>176</v>
      </c>
      <c r="D33" s="17"/>
      <c r="E33" s="9"/>
      <c r="F33" s="57"/>
      <c r="G33" s="46"/>
      <c r="H33" s="47"/>
      <c r="I33" s="47"/>
      <c r="J33" s="47"/>
      <c r="K33" s="47"/>
      <c r="L33" s="47"/>
      <c r="M33" s="47"/>
      <c r="N33" s="8"/>
      <c r="O33" s="10">
        <f t="shared" si="7"/>
        <v>0</v>
      </c>
      <c r="P33" s="48"/>
      <c r="Q33" s="49"/>
      <c r="R33" s="48"/>
      <c r="S33" s="50"/>
      <c r="T33" s="12"/>
      <c r="U33" s="10">
        <f t="shared" si="8"/>
        <v>0</v>
      </c>
    </row>
    <row r="34" spans="1:21" s="5" customFormat="1" ht="72" customHeight="1" outlineLevel="3">
      <c r="A34" s="22">
        <v>25</v>
      </c>
      <c r="B34" s="23">
        <v>30412004001</v>
      </c>
      <c r="C34" s="23" t="s">
        <v>61</v>
      </c>
      <c r="D34" s="23" t="s">
        <v>292</v>
      </c>
      <c r="E34" s="22" t="s">
        <v>43</v>
      </c>
      <c r="F34" s="58">
        <v>278.13</v>
      </c>
      <c r="G34" s="45">
        <f>R34*$R$3</f>
        <v>1.58</v>
      </c>
      <c r="H34" s="26">
        <f>P34*(1+Q34)*$P$3+S34*$S$3</f>
        <v>2.1280000000000001</v>
      </c>
      <c r="I34" s="26">
        <f>T34*$T$3</f>
        <v>0.02</v>
      </c>
      <c r="J34" s="26">
        <f>(G34+H34+I34)*$J$3</f>
        <v>0</v>
      </c>
      <c r="K34" s="26">
        <f>(G34+H34+I34+J34)*$K$3</f>
        <v>0</v>
      </c>
      <c r="L34" s="26">
        <f>G34+H34+I34+J34+K34</f>
        <v>3.7280000000000002</v>
      </c>
      <c r="M34" s="26">
        <f>F34*L34</f>
        <v>1036.8686399999999</v>
      </c>
      <c r="N34" s="28"/>
      <c r="O34" s="24">
        <f t="shared" si="7"/>
        <v>3.7280000000000002</v>
      </c>
      <c r="P34" s="29">
        <v>1.9</v>
      </c>
      <c r="Q34" s="30">
        <v>0.02</v>
      </c>
      <c r="R34" s="29">
        <v>1.58</v>
      </c>
      <c r="S34" s="31">
        <v>0.19</v>
      </c>
      <c r="T34" s="32">
        <v>0.02</v>
      </c>
      <c r="U34" s="24">
        <f t="shared" si="8"/>
        <v>1036.8686399999999</v>
      </c>
    </row>
    <row r="35" spans="1:21" s="5" customFormat="1" ht="72" customHeight="1" outlineLevel="3">
      <c r="A35" s="9">
        <v>26</v>
      </c>
      <c r="B35" s="17">
        <v>30412004002</v>
      </c>
      <c r="C35" s="17" t="s">
        <v>61</v>
      </c>
      <c r="D35" s="17" t="s">
        <v>293</v>
      </c>
      <c r="E35" s="9" t="s">
        <v>43</v>
      </c>
      <c r="F35" s="57">
        <v>1134.55</v>
      </c>
      <c r="G35" s="46">
        <f>R35*$R$3</f>
        <v>2.1</v>
      </c>
      <c r="H35" s="47">
        <f>P35*(1+Q35)*$P$3+S35*$S$3</f>
        <v>3.0354000000000001</v>
      </c>
      <c r="I35" s="47">
        <f>T35*$T$3</f>
        <v>0.02</v>
      </c>
      <c r="J35" s="47">
        <f>(G35+H35+I35)*$J$3</f>
        <v>0</v>
      </c>
      <c r="K35" s="47">
        <f>(G35+H35+I35+J35)*$K$3</f>
        <v>0</v>
      </c>
      <c r="L35" s="47">
        <f>G35+H35+I35+J35+K35</f>
        <v>5.1554000000000002</v>
      </c>
      <c r="M35" s="47">
        <f>F35*L35</f>
        <v>5849.0590700000002</v>
      </c>
      <c r="N35" s="8"/>
      <c r="O35" s="10">
        <f t="shared" si="7"/>
        <v>5.1554000000000002</v>
      </c>
      <c r="P35" s="48">
        <f>公共区域安装工程!$P$22</f>
        <v>2.77</v>
      </c>
      <c r="Q35" s="49">
        <f>公共区域安装工程!$Q$22</f>
        <v>0.02</v>
      </c>
      <c r="R35" s="48">
        <f>公共区域安装工程!$R$22</f>
        <v>2.1</v>
      </c>
      <c r="S35" s="50">
        <f>公共区域安装工程!$S$22</f>
        <v>0.21</v>
      </c>
      <c r="T35" s="12">
        <f>公共区域安装工程!$T$22</f>
        <v>0.02</v>
      </c>
      <c r="U35" s="10">
        <f t="shared" si="8"/>
        <v>5849.0590700000002</v>
      </c>
    </row>
    <row r="36" spans="1:21" s="5" customFormat="1" ht="72" customHeight="1" outlineLevel="3">
      <c r="A36" s="9">
        <v>27</v>
      </c>
      <c r="B36" s="17">
        <v>30412004003</v>
      </c>
      <c r="C36" s="17" t="s">
        <v>61</v>
      </c>
      <c r="D36" s="17" t="s">
        <v>294</v>
      </c>
      <c r="E36" s="9" t="s">
        <v>43</v>
      </c>
      <c r="F36" s="57">
        <v>720.6</v>
      </c>
      <c r="G36" s="46">
        <f>R36*$R$3</f>
        <v>1.4</v>
      </c>
      <c r="H36" s="47">
        <f>P36*(1+Q36)*$P$3+S36*$S$3</f>
        <v>3.9735999999999998</v>
      </c>
      <c r="I36" s="47">
        <f>T36*$T$3</f>
        <v>0.01</v>
      </c>
      <c r="J36" s="47">
        <f>(G36+H36+I36)*$J$3</f>
        <v>0</v>
      </c>
      <c r="K36" s="47">
        <f>(G36+H36+I36+J36)*$K$3</f>
        <v>0</v>
      </c>
      <c r="L36" s="47">
        <f>G36+H36+I36+J36+K36</f>
        <v>5.3836000000000004</v>
      </c>
      <c r="M36" s="47">
        <f>F36*L36</f>
        <v>3879.4221600000001</v>
      </c>
      <c r="N36" s="8"/>
      <c r="O36" s="10">
        <f t="shared" si="7"/>
        <v>5.3836000000000004</v>
      </c>
      <c r="P36" s="48">
        <f>户内交标安装工程!$P$32</f>
        <v>3.68</v>
      </c>
      <c r="Q36" s="49">
        <f>户内交标安装工程!$Q$32</f>
        <v>0.02</v>
      </c>
      <c r="R36" s="48">
        <f>户内交标安装工程!$R$32</f>
        <v>1.4</v>
      </c>
      <c r="S36" s="50">
        <f>户内交标安装工程!$S$32</f>
        <v>0.22</v>
      </c>
      <c r="T36" s="12">
        <f>户内交标安装工程!$T$32</f>
        <v>0.01</v>
      </c>
      <c r="U36" s="10">
        <f t="shared" si="8"/>
        <v>3879.4221600000001</v>
      </c>
    </row>
    <row r="37" spans="1:21" s="5" customFormat="1" ht="72" customHeight="1" outlineLevel="3">
      <c r="A37" s="22">
        <v>28</v>
      </c>
      <c r="B37" s="23">
        <v>30412004004</v>
      </c>
      <c r="C37" s="23" t="s">
        <v>61</v>
      </c>
      <c r="D37" s="23" t="s">
        <v>295</v>
      </c>
      <c r="E37" s="22" t="s">
        <v>43</v>
      </c>
      <c r="F37" s="58">
        <v>31.52</v>
      </c>
      <c r="G37" s="45">
        <f>R37*$R$3</f>
        <v>2</v>
      </c>
      <c r="H37" s="26">
        <f>P37*(1+Q37)*$P$3+S37*$S$3</f>
        <v>9.51</v>
      </c>
      <c r="I37" s="26">
        <f>T37*$T$3</f>
        <v>0.02</v>
      </c>
      <c r="J37" s="26">
        <f>(G37+H37+I37)*$J$3</f>
        <v>0</v>
      </c>
      <c r="K37" s="26">
        <f>(G37+H37+I37+J37)*$K$3</f>
        <v>0</v>
      </c>
      <c r="L37" s="26">
        <f>G37+H37+I37+J37+K37</f>
        <v>11.53</v>
      </c>
      <c r="M37" s="26">
        <f>F37*L37</f>
        <v>363.42559999999997</v>
      </c>
      <c r="N37" s="28"/>
      <c r="O37" s="24">
        <f t="shared" si="7"/>
        <v>11.53</v>
      </c>
      <c r="P37" s="29">
        <v>9</v>
      </c>
      <c r="Q37" s="30">
        <v>0.02</v>
      </c>
      <c r="R37" s="29">
        <v>2</v>
      </c>
      <c r="S37" s="31">
        <v>0.33</v>
      </c>
      <c r="T37" s="32">
        <v>0.02</v>
      </c>
      <c r="U37" s="24">
        <f t="shared" si="8"/>
        <v>363.42559999999997</v>
      </c>
    </row>
    <row r="38" spans="1:21" s="5" customFormat="1" outlineLevel="1">
      <c r="A38" s="9"/>
      <c r="B38" s="17"/>
      <c r="C38" s="17" t="s">
        <v>296</v>
      </c>
      <c r="D38" s="17"/>
      <c r="E38" s="9"/>
      <c r="F38" s="57"/>
      <c r="G38" s="46"/>
      <c r="H38" s="47"/>
      <c r="I38" s="47"/>
      <c r="J38" s="47"/>
      <c r="K38" s="47"/>
      <c r="L38" s="47"/>
      <c r="M38" s="47"/>
      <c r="N38" s="8"/>
      <c r="O38" s="10">
        <f t="shared" si="7"/>
        <v>0</v>
      </c>
      <c r="P38" s="48"/>
      <c r="Q38" s="49"/>
      <c r="R38" s="48"/>
      <c r="S38" s="50"/>
      <c r="T38" s="12"/>
      <c r="U38" s="10">
        <f t="shared" si="8"/>
        <v>0</v>
      </c>
    </row>
    <row r="39" spans="1:21" s="5" customFormat="1" ht="72" customHeight="1" outlineLevel="2">
      <c r="A39" s="22">
        <v>29</v>
      </c>
      <c r="B39" s="23">
        <v>30413014007</v>
      </c>
      <c r="C39" s="23" t="s">
        <v>58</v>
      </c>
      <c r="D39" s="23" t="s">
        <v>297</v>
      </c>
      <c r="E39" s="22" t="s">
        <v>38</v>
      </c>
      <c r="F39" s="58">
        <v>4</v>
      </c>
      <c r="G39" s="45">
        <f>R39*$R$3</f>
        <v>6.31</v>
      </c>
      <c r="H39" s="26">
        <f>P39*(1+Q39)*$P$3+S39*$S$3</f>
        <v>15.74</v>
      </c>
      <c r="I39" s="26">
        <f>T39*$T$3</f>
        <v>0</v>
      </c>
      <c r="J39" s="26">
        <f>(G39+H39+I39)*$J$3</f>
        <v>0</v>
      </c>
      <c r="K39" s="26">
        <f>(G39+H39+I39+J39)*$K$3</f>
        <v>0</v>
      </c>
      <c r="L39" s="26">
        <f>G39+H39+I39+J39+K39</f>
        <v>22.05</v>
      </c>
      <c r="M39" s="26">
        <f>F39*L39</f>
        <v>88.2</v>
      </c>
      <c r="N39" s="28"/>
      <c r="O39" s="24">
        <f t="shared" si="7"/>
        <v>22.05</v>
      </c>
      <c r="P39" s="29">
        <v>14.62</v>
      </c>
      <c r="Q39" s="30">
        <v>0</v>
      </c>
      <c r="R39" s="29">
        <v>6.31</v>
      </c>
      <c r="S39" s="31">
        <v>1.1200000000000001</v>
      </c>
      <c r="T39" s="32">
        <v>0</v>
      </c>
      <c r="U39" s="24">
        <f t="shared" si="8"/>
        <v>88.2</v>
      </c>
    </row>
    <row r="40" spans="1:21" s="5" customFormat="1" ht="72" customHeight="1" outlineLevel="2">
      <c r="A40" s="22">
        <v>30</v>
      </c>
      <c r="B40" s="23">
        <v>30413014008</v>
      </c>
      <c r="C40" s="23" t="s">
        <v>58</v>
      </c>
      <c r="D40" s="23" t="s">
        <v>298</v>
      </c>
      <c r="E40" s="22" t="s">
        <v>38</v>
      </c>
      <c r="F40" s="58">
        <v>2</v>
      </c>
      <c r="G40" s="45">
        <f>R40*$R$3</f>
        <v>6.31</v>
      </c>
      <c r="H40" s="26">
        <f>P40*(1+Q40)*$P$3+S40*$S$3</f>
        <v>15.74</v>
      </c>
      <c r="I40" s="26">
        <f>T40*$T$3</f>
        <v>0</v>
      </c>
      <c r="J40" s="26">
        <f>(G40+H40+I40)*$J$3</f>
        <v>0</v>
      </c>
      <c r="K40" s="26">
        <f>(G40+H40+I40+J40)*$K$3</f>
        <v>0</v>
      </c>
      <c r="L40" s="26">
        <f>G40+H40+I40+J40+K40</f>
        <v>22.05</v>
      </c>
      <c r="M40" s="26">
        <f>F40*L40</f>
        <v>44.1</v>
      </c>
      <c r="N40" s="28"/>
      <c r="O40" s="24">
        <f t="shared" si="7"/>
        <v>22.05</v>
      </c>
      <c r="P40" s="29">
        <v>14.62</v>
      </c>
      <c r="Q40" s="30">
        <v>0</v>
      </c>
      <c r="R40" s="29">
        <v>6.31</v>
      </c>
      <c r="S40" s="31">
        <v>1.1200000000000001</v>
      </c>
      <c r="T40" s="32">
        <v>0</v>
      </c>
      <c r="U40" s="24">
        <f t="shared" si="8"/>
        <v>44.1</v>
      </c>
    </row>
    <row r="41" spans="1:21" s="5" customFormat="1" ht="72" customHeight="1" outlineLevel="2">
      <c r="A41" s="22">
        <v>31</v>
      </c>
      <c r="B41" s="23">
        <v>30413013007</v>
      </c>
      <c r="C41" s="23" t="s">
        <v>299</v>
      </c>
      <c r="D41" s="23" t="s">
        <v>300</v>
      </c>
      <c r="E41" s="22" t="s">
        <v>38</v>
      </c>
      <c r="F41" s="58">
        <v>1</v>
      </c>
      <c r="G41" s="45">
        <f>R41*$R$3</f>
        <v>12</v>
      </c>
      <c r="H41" s="26">
        <f>P41*(1+Q41)*$P$3+S41*$S$3</f>
        <v>29</v>
      </c>
      <c r="I41" s="26">
        <f>T41*$T$3</f>
        <v>0</v>
      </c>
      <c r="J41" s="26">
        <f>(G41+H41+I41)*$J$3</f>
        <v>0</v>
      </c>
      <c r="K41" s="26">
        <f>(G41+H41+I41+J41)*$K$3</f>
        <v>0</v>
      </c>
      <c r="L41" s="26">
        <f>G41+H41+I41+J41+K41</f>
        <v>41</v>
      </c>
      <c r="M41" s="26">
        <f>F41*L41</f>
        <v>41</v>
      </c>
      <c r="N41" s="28"/>
      <c r="O41" s="24">
        <f t="shared" si="7"/>
        <v>41</v>
      </c>
      <c r="P41" s="29">
        <v>27</v>
      </c>
      <c r="Q41" s="30">
        <v>0</v>
      </c>
      <c r="R41" s="29">
        <v>12</v>
      </c>
      <c r="S41" s="31">
        <v>2</v>
      </c>
      <c r="T41" s="32">
        <v>0</v>
      </c>
      <c r="U41" s="24">
        <f t="shared" si="8"/>
        <v>41</v>
      </c>
    </row>
    <row r="42" spans="1:21" s="5" customFormat="1" ht="72" customHeight="1" outlineLevel="2">
      <c r="A42" s="22">
        <v>32</v>
      </c>
      <c r="B42" s="23">
        <v>30502003001</v>
      </c>
      <c r="C42" s="23" t="s">
        <v>301</v>
      </c>
      <c r="D42" s="23" t="s">
        <v>302</v>
      </c>
      <c r="E42" s="22" t="s">
        <v>43</v>
      </c>
      <c r="F42" s="58">
        <v>69.599999999999994</v>
      </c>
      <c r="G42" s="45">
        <f>R42*$R$3</f>
        <v>0.8</v>
      </c>
      <c r="H42" s="26">
        <f>P42*(1+Q42)*$P$3+S42*$S$3</f>
        <v>2.6</v>
      </c>
      <c r="I42" s="26">
        <f>T42*$T$3</f>
        <v>0.1</v>
      </c>
      <c r="J42" s="26">
        <f>(G42+H42+I42)*$J$3</f>
        <v>0</v>
      </c>
      <c r="K42" s="26">
        <f>(G42+H42+I42+J42)*$K$3</f>
        <v>0</v>
      </c>
      <c r="L42" s="26">
        <f>G42+H42+I42+J42+K42</f>
        <v>3.5</v>
      </c>
      <c r="M42" s="26">
        <f>F42*L42</f>
        <v>243.6</v>
      </c>
      <c r="N42" s="28"/>
      <c r="O42" s="24">
        <f t="shared" si="7"/>
        <v>3.5</v>
      </c>
      <c r="P42" s="29">
        <v>2.5</v>
      </c>
      <c r="Q42" s="30">
        <v>0</v>
      </c>
      <c r="R42" s="29">
        <v>0.8</v>
      </c>
      <c r="S42" s="31">
        <v>0.1</v>
      </c>
      <c r="T42" s="32">
        <v>0.1</v>
      </c>
      <c r="U42" s="24">
        <f t="shared" si="8"/>
        <v>243.6</v>
      </c>
    </row>
    <row r="43" spans="1:21" s="5" customFormat="1" ht="72" customHeight="1" outlineLevel="2">
      <c r="A43" s="22">
        <v>33</v>
      </c>
      <c r="B43" s="23">
        <v>30502003002</v>
      </c>
      <c r="C43" s="23" t="s">
        <v>303</v>
      </c>
      <c r="D43" s="23" t="s">
        <v>304</v>
      </c>
      <c r="E43" s="22" t="s">
        <v>43</v>
      </c>
      <c r="F43" s="58">
        <v>14.63</v>
      </c>
      <c r="G43" s="45">
        <f>R43*$R$3</f>
        <v>1.73</v>
      </c>
      <c r="H43" s="26">
        <f>P43*(1+Q43)*$P$3+S43*$S$3</f>
        <v>3.18</v>
      </c>
      <c r="I43" s="26">
        <f>T43*$T$3</f>
        <v>0.02</v>
      </c>
      <c r="J43" s="26">
        <f>(G43+H43+I43)*$J$3</f>
        <v>0</v>
      </c>
      <c r="K43" s="26">
        <f>(G43+H43+I43+J43)*$K$3</f>
        <v>0</v>
      </c>
      <c r="L43" s="26">
        <f>G43+H43+I43+J43+K43</f>
        <v>4.93</v>
      </c>
      <c r="M43" s="26">
        <f>F43*L43</f>
        <v>72.125900000000001</v>
      </c>
      <c r="N43" s="28"/>
      <c r="O43" s="24">
        <f t="shared" si="7"/>
        <v>4.93</v>
      </c>
      <c r="P43" s="29">
        <v>3</v>
      </c>
      <c r="Q43" s="30">
        <v>0.02</v>
      </c>
      <c r="R43" s="29">
        <v>1.73</v>
      </c>
      <c r="S43" s="31">
        <v>0.12</v>
      </c>
      <c r="T43" s="32">
        <v>0.02</v>
      </c>
      <c r="U43" s="24">
        <f t="shared" si="8"/>
        <v>72.125900000000001</v>
      </c>
    </row>
    <row r="44" spans="1:21" s="5" customFormat="1" outlineLevel="1">
      <c r="A44" s="9"/>
      <c r="B44" s="17"/>
      <c r="C44" s="17" t="s">
        <v>196</v>
      </c>
      <c r="D44" s="17"/>
      <c r="E44" s="9"/>
      <c r="F44" s="57"/>
      <c r="G44" s="46"/>
      <c r="H44" s="47"/>
      <c r="I44" s="47"/>
      <c r="J44" s="47"/>
      <c r="K44" s="47"/>
      <c r="L44" s="47"/>
      <c r="M44" s="47"/>
      <c r="N44" s="8"/>
      <c r="O44" s="10">
        <f t="shared" si="7"/>
        <v>0</v>
      </c>
      <c r="P44" s="48"/>
      <c r="Q44" s="49"/>
      <c r="R44" s="48"/>
      <c r="S44" s="50"/>
      <c r="T44" s="12"/>
      <c r="U44" s="10">
        <f t="shared" si="8"/>
        <v>0</v>
      </c>
    </row>
    <row r="45" spans="1:21" s="5" customFormat="1" outlineLevel="2">
      <c r="A45" s="9"/>
      <c r="B45" s="17"/>
      <c r="C45" s="17" t="s">
        <v>305</v>
      </c>
      <c r="D45" s="17"/>
      <c r="E45" s="9"/>
      <c r="F45" s="57"/>
      <c r="G45" s="46"/>
      <c r="H45" s="47"/>
      <c r="I45" s="47"/>
      <c r="J45" s="47"/>
      <c r="K45" s="47"/>
      <c r="L45" s="47"/>
      <c r="M45" s="47"/>
      <c r="N45" s="8"/>
      <c r="O45" s="10">
        <f t="shared" si="7"/>
        <v>0</v>
      </c>
      <c r="P45" s="48"/>
      <c r="Q45" s="49"/>
      <c r="R45" s="48"/>
      <c r="S45" s="50"/>
      <c r="T45" s="12"/>
      <c r="U45" s="10">
        <f t="shared" si="8"/>
        <v>0</v>
      </c>
    </row>
    <row r="46" spans="1:21" s="5" customFormat="1" ht="96" customHeight="1" outlineLevel="3">
      <c r="A46" s="22">
        <v>34</v>
      </c>
      <c r="B46" s="23">
        <v>31001008007</v>
      </c>
      <c r="C46" s="23" t="s">
        <v>207</v>
      </c>
      <c r="D46" s="23" t="s">
        <v>208</v>
      </c>
      <c r="E46" s="22" t="s">
        <v>43</v>
      </c>
      <c r="F46" s="58">
        <v>6.1</v>
      </c>
      <c r="G46" s="45">
        <f>R46*$R$3</f>
        <v>24</v>
      </c>
      <c r="H46" s="26">
        <f>P46*(1+Q46)*$P$3+S46*$S$3</f>
        <v>16.27</v>
      </c>
      <c r="I46" s="26">
        <f>T46*$T$3</f>
        <v>0.23</v>
      </c>
      <c r="J46" s="26">
        <f>(G46+H46+I46)*$J$3</f>
        <v>0</v>
      </c>
      <c r="K46" s="26">
        <f>(G46+H46+I46+J46)*$K$3</f>
        <v>0</v>
      </c>
      <c r="L46" s="26">
        <f>G46+H46+I46+J46+K46</f>
        <v>40.5</v>
      </c>
      <c r="M46" s="26">
        <f>F46*L46</f>
        <v>247.05</v>
      </c>
      <c r="N46" s="28"/>
      <c r="O46" s="24">
        <f t="shared" si="7"/>
        <v>40.5</v>
      </c>
      <c r="P46" s="29">
        <v>15</v>
      </c>
      <c r="Q46" s="30">
        <v>0</v>
      </c>
      <c r="R46" s="29">
        <v>24</v>
      </c>
      <c r="S46" s="31">
        <v>1.27</v>
      </c>
      <c r="T46" s="32">
        <v>0.23</v>
      </c>
      <c r="U46" s="24">
        <f t="shared" si="8"/>
        <v>247.05</v>
      </c>
    </row>
    <row r="47" spans="1:21" s="5" customFormat="1" ht="96" customHeight="1" outlineLevel="3">
      <c r="A47" s="22">
        <v>35</v>
      </c>
      <c r="B47" s="23">
        <v>31001008008</v>
      </c>
      <c r="C47" s="23" t="s">
        <v>207</v>
      </c>
      <c r="D47" s="23" t="s">
        <v>209</v>
      </c>
      <c r="E47" s="22" t="s">
        <v>43</v>
      </c>
      <c r="F47" s="58">
        <v>1.97</v>
      </c>
      <c r="G47" s="45">
        <f>R47*$R$3</f>
        <v>55</v>
      </c>
      <c r="H47" s="26">
        <f>P47*(1+Q47)*$P$3+S47*$S$3</f>
        <v>28</v>
      </c>
      <c r="I47" s="26">
        <f>T47*$T$3</f>
        <v>3</v>
      </c>
      <c r="J47" s="26">
        <f>(G47+H47+I47)*$J$3</f>
        <v>0</v>
      </c>
      <c r="K47" s="26">
        <f>(G47+H47+I47+J47)*$K$3</f>
        <v>0</v>
      </c>
      <c r="L47" s="26">
        <f>G47+H47+I47+J47+K47</f>
        <v>86</v>
      </c>
      <c r="M47" s="26">
        <f>F47*L47</f>
        <v>169.42</v>
      </c>
      <c r="N47" s="28"/>
      <c r="O47" s="24">
        <f t="shared" si="7"/>
        <v>86</v>
      </c>
      <c r="P47" s="29">
        <v>25</v>
      </c>
      <c r="Q47" s="30">
        <v>0</v>
      </c>
      <c r="R47" s="29">
        <v>55</v>
      </c>
      <c r="S47" s="31">
        <v>3</v>
      </c>
      <c r="T47" s="32">
        <v>3</v>
      </c>
      <c r="U47" s="24">
        <f t="shared" si="8"/>
        <v>169.42</v>
      </c>
    </row>
    <row r="48" spans="1:21" s="5" customFormat="1" ht="96" customHeight="1" outlineLevel="3">
      <c r="A48" s="22">
        <v>36</v>
      </c>
      <c r="B48" s="23">
        <v>31001008009</v>
      </c>
      <c r="C48" s="23" t="s">
        <v>207</v>
      </c>
      <c r="D48" s="23" t="s">
        <v>210</v>
      </c>
      <c r="E48" s="22" t="s">
        <v>43</v>
      </c>
      <c r="F48" s="58">
        <v>1.53</v>
      </c>
      <c r="G48" s="45">
        <f>R48*$R$3</f>
        <v>30</v>
      </c>
      <c r="H48" s="26">
        <f>P48*(1+Q48)*$P$3+S48*$S$3</f>
        <v>38.119999999999997</v>
      </c>
      <c r="I48" s="26">
        <f>T48*$T$3</f>
        <v>0.38</v>
      </c>
      <c r="J48" s="26">
        <f>(G48+H48+I48)*$J$3</f>
        <v>0</v>
      </c>
      <c r="K48" s="26">
        <f>(G48+H48+I48+J48)*$K$3</f>
        <v>0</v>
      </c>
      <c r="L48" s="26">
        <f>G48+H48+I48+J48+K48</f>
        <v>68.5</v>
      </c>
      <c r="M48" s="26">
        <f>F48*L48</f>
        <v>104.80500000000001</v>
      </c>
      <c r="N48" s="28"/>
      <c r="O48" s="24">
        <f t="shared" si="7"/>
        <v>68.5</v>
      </c>
      <c r="P48" s="29">
        <v>36</v>
      </c>
      <c r="Q48" s="30">
        <v>0</v>
      </c>
      <c r="R48" s="29">
        <v>30</v>
      </c>
      <c r="S48" s="31">
        <v>2.12</v>
      </c>
      <c r="T48" s="32">
        <v>0.38</v>
      </c>
      <c r="U48" s="24">
        <f t="shared" si="8"/>
        <v>104.80500000000001</v>
      </c>
    </row>
    <row r="49" spans="1:21" s="5" customFormat="1" outlineLevel="2">
      <c r="A49" s="9"/>
      <c r="B49" s="17"/>
      <c r="C49" s="17" t="s">
        <v>211</v>
      </c>
      <c r="D49" s="17"/>
      <c r="E49" s="9"/>
      <c r="F49" s="57"/>
      <c r="G49" s="46"/>
      <c r="H49" s="47"/>
      <c r="I49" s="47"/>
      <c r="J49" s="47"/>
      <c r="K49" s="47"/>
      <c r="L49" s="47"/>
      <c r="M49" s="47"/>
      <c r="N49" s="8"/>
      <c r="O49" s="10">
        <f t="shared" si="7"/>
        <v>0</v>
      </c>
      <c r="P49" s="48"/>
      <c r="Q49" s="49"/>
      <c r="R49" s="48"/>
      <c r="S49" s="50"/>
      <c r="T49" s="12"/>
      <c r="U49" s="10">
        <f t="shared" si="8"/>
        <v>0</v>
      </c>
    </row>
    <row r="50" spans="1:21" s="5" customFormat="1" ht="60" customHeight="1" outlineLevel="3">
      <c r="A50" s="22">
        <v>37</v>
      </c>
      <c r="B50" s="23">
        <v>31003006001</v>
      </c>
      <c r="C50" s="23" t="s">
        <v>306</v>
      </c>
      <c r="D50" s="23" t="s">
        <v>307</v>
      </c>
      <c r="E50" s="22" t="s">
        <v>214</v>
      </c>
      <c r="F50" s="58">
        <v>1</v>
      </c>
      <c r="G50" s="45">
        <f t="shared" ref="G50:G62" si="16">R50*$R$3</f>
        <v>130</v>
      </c>
      <c r="H50" s="26">
        <f t="shared" ref="H50:H62" si="17">P50*(1+Q50)*$P$3+S50*$S$3</f>
        <v>815</v>
      </c>
      <c r="I50" s="26">
        <f t="shared" ref="I50:I62" si="18">T50*$T$3</f>
        <v>0.8</v>
      </c>
      <c r="J50" s="26">
        <f t="shared" ref="J50:J62" si="19">(G50+H50+I50)*$J$3</f>
        <v>0</v>
      </c>
      <c r="K50" s="26">
        <f t="shared" ref="K50:K62" si="20">(G50+H50+I50+J50)*$K$3</f>
        <v>0</v>
      </c>
      <c r="L50" s="26">
        <f t="shared" ref="L50:L62" si="21">G50+H50+I50+J50+K50</f>
        <v>945.8</v>
      </c>
      <c r="M50" s="26">
        <f t="shared" ref="M50:M62" si="22">F50*L50</f>
        <v>945.8</v>
      </c>
      <c r="N50" s="28"/>
      <c r="O50" s="24">
        <f t="shared" si="7"/>
        <v>945.8</v>
      </c>
      <c r="P50" s="29">
        <v>800</v>
      </c>
      <c r="Q50" s="30">
        <v>0</v>
      </c>
      <c r="R50" s="29">
        <v>130</v>
      </c>
      <c r="S50" s="31">
        <v>15</v>
      </c>
      <c r="T50" s="32">
        <v>0.8</v>
      </c>
      <c r="U50" s="24">
        <f t="shared" si="8"/>
        <v>945.8</v>
      </c>
    </row>
    <row r="51" spans="1:21" s="5" customFormat="1" ht="60" customHeight="1" outlineLevel="3">
      <c r="A51" s="22">
        <v>38</v>
      </c>
      <c r="B51" s="23">
        <v>31003006002</v>
      </c>
      <c r="C51" s="23" t="s">
        <v>306</v>
      </c>
      <c r="D51" s="23" t="s">
        <v>308</v>
      </c>
      <c r="E51" s="22" t="s">
        <v>214</v>
      </c>
      <c r="F51" s="58">
        <v>1</v>
      </c>
      <c r="G51" s="45">
        <f t="shared" si="16"/>
        <v>130</v>
      </c>
      <c r="H51" s="26">
        <f t="shared" si="17"/>
        <v>815</v>
      </c>
      <c r="I51" s="26">
        <f t="shared" si="18"/>
        <v>0.8</v>
      </c>
      <c r="J51" s="26">
        <f t="shared" si="19"/>
        <v>0</v>
      </c>
      <c r="K51" s="26">
        <f t="shared" si="20"/>
        <v>0</v>
      </c>
      <c r="L51" s="26">
        <f t="shared" si="21"/>
        <v>945.8</v>
      </c>
      <c r="M51" s="26">
        <f t="shared" si="22"/>
        <v>945.8</v>
      </c>
      <c r="N51" s="28"/>
      <c r="O51" s="24">
        <f t="shared" si="7"/>
        <v>945.8</v>
      </c>
      <c r="P51" s="29">
        <v>800</v>
      </c>
      <c r="Q51" s="30">
        <v>0</v>
      </c>
      <c r="R51" s="29">
        <v>130</v>
      </c>
      <c r="S51" s="31">
        <v>15</v>
      </c>
      <c r="T51" s="32">
        <v>0.8</v>
      </c>
      <c r="U51" s="24">
        <f t="shared" si="8"/>
        <v>945.8</v>
      </c>
    </row>
    <row r="52" spans="1:21" s="5" customFormat="1" ht="60" customHeight="1" outlineLevel="3">
      <c r="A52" s="22">
        <v>39</v>
      </c>
      <c r="B52" s="23">
        <v>31003010001</v>
      </c>
      <c r="C52" s="23" t="s">
        <v>217</v>
      </c>
      <c r="D52" s="23" t="s">
        <v>309</v>
      </c>
      <c r="E52" s="22" t="s">
        <v>38</v>
      </c>
      <c r="F52" s="58">
        <v>1</v>
      </c>
      <c r="G52" s="45">
        <f t="shared" si="16"/>
        <v>90</v>
      </c>
      <c r="H52" s="26">
        <f t="shared" si="17"/>
        <v>1135</v>
      </c>
      <c r="I52" s="26">
        <f t="shared" si="18"/>
        <v>0</v>
      </c>
      <c r="J52" s="26">
        <f t="shared" si="19"/>
        <v>0</v>
      </c>
      <c r="K52" s="26">
        <f t="shared" si="20"/>
        <v>0</v>
      </c>
      <c r="L52" s="26">
        <f t="shared" si="21"/>
        <v>1225</v>
      </c>
      <c r="M52" s="26">
        <f t="shared" si="22"/>
        <v>1225</v>
      </c>
      <c r="N52" s="28"/>
      <c r="O52" s="24">
        <f t="shared" si="7"/>
        <v>1225</v>
      </c>
      <c r="P52" s="29">
        <v>1100</v>
      </c>
      <c r="Q52" s="30">
        <v>0</v>
      </c>
      <c r="R52" s="29">
        <v>90</v>
      </c>
      <c r="S52" s="31">
        <v>35</v>
      </c>
      <c r="T52" s="32">
        <v>0</v>
      </c>
      <c r="U52" s="24">
        <f t="shared" si="8"/>
        <v>1225</v>
      </c>
    </row>
    <row r="53" spans="1:21" s="5" customFormat="1" ht="60" customHeight="1" outlineLevel="3">
      <c r="A53" s="22">
        <v>40</v>
      </c>
      <c r="B53" s="23">
        <v>31003010002</v>
      </c>
      <c r="C53" s="23" t="s">
        <v>217</v>
      </c>
      <c r="D53" s="23" t="s">
        <v>310</v>
      </c>
      <c r="E53" s="22" t="s">
        <v>38</v>
      </c>
      <c r="F53" s="58">
        <v>1</v>
      </c>
      <c r="G53" s="45">
        <f t="shared" si="16"/>
        <v>90</v>
      </c>
      <c r="H53" s="26">
        <f t="shared" si="17"/>
        <v>1135</v>
      </c>
      <c r="I53" s="26">
        <f t="shared" si="18"/>
        <v>0</v>
      </c>
      <c r="J53" s="26">
        <f t="shared" si="19"/>
        <v>0</v>
      </c>
      <c r="K53" s="26">
        <f t="shared" si="20"/>
        <v>0</v>
      </c>
      <c r="L53" s="26">
        <f t="shared" si="21"/>
        <v>1225</v>
      </c>
      <c r="M53" s="26">
        <f t="shared" si="22"/>
        <v>1225</v>
      </c>
      <c r="N53" s="28"/>
      <c r="O53" s="24">
        <f t="shared" si="7"/>
        <v>1225</v>
      </c>
      <c r="P53" s="29">
        <v>1100</v>
      </c>
      <c r="Q53" s="30">
        <v>0</v>
      </c>
      <c r="R53" s="29">
        <v>90</v>
      </c>
      <c r="S53" s="31">
        <v>35</v>
      </c>
      <c r="T53" s="32">
        <v>0</v>
      </c>
      <c r="U53" s="24">
        <f t="shared" si="8"/>
        <v>1225</v>
      </c>
    </row>
    <row r="54" spans="1:21" s="5" customFormat="1" ht="72" customHeight="1" outlineLevel="3">
      <c r="A54" s="22">
        <v>41</v>
      </c>
      <c r="B54" s="23">
        <v>31003003001</v>
      </c>
      <c r="C54" s="23" t="s">
        <v>221</v>
      </c>
      <c r="D54" s="23" t="s">
        <v>311</v>
      </c>
      <c r="E54" s="22" t="s">
        <v>214</v>
      </c>
      <c r="F54" s="58">
        <v>1</v>
      </c>
      <c r="G54" s="45">
        <f t="shared" si="16"/>
        <v>90</v>
      </c>
      <c r="H54" s="26">
        <f t="shared" si="17"/>
        <v>562</v>
      </c>
      <c r="I54" s="26">
        <f t="shared" si="18"/>
        <v>0</v>
      </c>
      <c r="J54" s="26">
        <f t="shared" si="19"/>
        <v>0</v>
      </c>
      <c r="K54" s="26">
        <f t="shared" si="20"/>
        <v>0</v>
      </c>
      <c r="L54" s="26">
        <f t="shared" si="21"/>
        <v>652</v>
      </c>
      <c r="M54" s="26">
        <f t="shared" si="22"/>
        <v>652</v>
      </c>
      <c r="N54" s="28"/>
      <c r="O54" s="24">
        <f t="shared" si="7"/>
        <v>652</v>
      </c>
      <c r="P54" s="29">
        <v>550</v>
      </c>
      <c r="Q54" s="30">
        <v>0</v>
      </c>
      <c r="R54" s="29">
        <v>90</v>
      </c>
      <c r="S54" s="31">
        <v>12</v>
      </c>
      <c r="T54" s="32">
        <v>0</v>
      </c>
      <c r="U54" s="24">
        <f t="shared" si="8"/>
        <v>652</v>
      </c>
    </row>
    <row r="55" spans="1:21" s="5" customFormat="1" ht="72" customHeight="1" outlineLevel="3">
      <c r="A55" s="22">
        <v>42</v>
      </c>
      <c r="B55" s="23">
        <v>31003003002</v>
      </c>
      <c r="C55" s="23" t="s">
        <v>221</v>
      </c>
      <c r="D55" s="23" t="s">
        <v>312</v>
      </c>
      <c r="E55" s="22" t="s">
        <v>214</v>
      </c>
      <c r="F55" s="58">
        <v>1</v>
      </c>
      <c r="G55" s="45">
        <f t="shared" si="16"/>
        <v>90</v>
      </c>
      <c r="H55" s="26">
        <f t="shared" si="17"/>
        <v>562</v>
      </c>
      <c r="I55" s="26">
        <f t="shared" si="18"/>
        <v>0</v>
      </c>
      <c r="J55" s="26">
        <f t="shared" si="19"/>
        <v>0</v>
      </c>
      <c r="K55" s="26">
        <f t="shared" si="20"/>
        <v>0</v>
      </c>
      <c r="L55" s="26">
        <f t="shared" si="21"/>
        <v>652</v>
      </c>
      <c r="M55" s="26">
        <f t="shared" si="22"/>
        <v>652</v>
      </c>
      <c r="N55" s="28"/>
      <c r="O55" s="24">
        <f t="shared" si="7"/>
        <v>652</v>
      </c>
      <c r="P55" s="29">
        <v>550</v>
      </c>
      <c r="Q55" s="30">
        <v>0</v>
      </c>
      <c r="R55" s="29">
        <v>90</v>
      </c>
      <c r="S55" s="31">
        <v>12</v>
      </c>
      <c r="T55" s="32">
        <v>0</v>
      </c>
      <c r="U55" s="24">
        <f t="shared" si="8"/>
        <v>652</v>
      </c>
    </row>
    <row r="56" spans="1:21" s="5" customFormat="1" ht="60" customHeight="1" outlineLevel="3">
      <c r="A56" s="22">
        <v>43</v>
      </c>
      <c r="B56" s="23">
        <v>31003004001</v>
      </c>
      <c r="C56" s="23" t="s">
        <v>313</v>
      </c>
      <c r="D56" s="23" t="s">
        <v>314</v>
      </c>
      <c r="E56" s="22" t="s">
        <v>214</v>
      </c>
      <c r="F56" s="58">
        <v>1</v>
      </c>
      <c r="G56" s="45">
        <f t="shared" si="16"/>
        <v>60</v>
      </c>
      <c r="H56" s="26">
        <f t="shared" si="17"/>
        <v>990</v>
      </c>
      <c r="I56" s="26">
        <f t="shared" si="18"/>
        <v>0</v>
      </c>
      <c r="J56" s="26">
        <f t="shared" si="19"/>
        <v>0</v>
      </c>
      <c r="K56" s="26">
        <f t="shared" si="20"/>
        <v>0</v>
      </c>
      <c r="L56" s="26">
        <f t="shared" si="21"/>
        <v>1050</v>
      </c>
      <c r="M56" s="26">
        <f t="shared" si="22"/>
        <v>1050</v>
      </c>
      <c r="N56" s="28"/>
      <c r="O56" s="24">
        <f t="shared" si="7"/>
        <v>1050</v>
      </c>
      <c r="P56" s="29">
        <v>950</v>
      </c>
      <c r="Q56" s="30">
        <v>0</v>
      </c>
      <c r="R56" s="29">
        <v>60</v>
      </c>
      <c r="S56" s="31">
        <v>40</v>
      </c>
      <c r="T56" s="32">
        <v>0</v>
      </c>
      <c r="U56" s="24">
        <f t="shared" si="8"/>
        <v>1050</v>
      </c>
    </row>
    <row r="57" spans="1:21" s="5" customFormat="1" ht="72" customHeight="1" outlineLevel="3">
      <c r="A57" s="22">
        <v>44</v>
      </c>
      <c r="B57" s="23">
        <v>31003014001</v>
      </c>
      <c r="C57" s="23" t="s">
        <v>315</v>
      </c>
      <c r="D57" s="23" t="s">
        <v>316</v>
      </c>
      <c r="E57" s="22" t="s">
        <v>46</v>
      </c>
      <c r="F57" s="58">
        <v>2</v>
      </c>
      <c r="G57" s="45">
        <f t="shared" si="16"/>
        <v>18</v>
      </c>
      <c r="H57" s="26">
        <f t="shared" si="17"/>
        <v>40</v>
      </c>
      <c r="I57" s="26">
        <f t="shared" si="18"/>
        <v>0</v>
      </c>
      <c r="J57" s="26">
        <f t="shared" si="19"/>
        <v>0</v>
      </c>
      <c r="K57" s="26">
        <f t="shared" si="20"/>
        <v>0</v>
      </c>
      <c r="L57" s="26">
        <f t="shared" si="21"/>
        <v>58</v>
      </c>
      <c r="M57" s="26">
        <f t="shared" si="22"/>
        <v>116</v>
      </c>
      <c r="N57" s="28"/>
      <c r="O57" s="24">
        <f t="shared" si="7"/>
        <v>58</v>
      </c>
      <c r="P57" s="29">
        <v>35</v>
      </c>
      <c r="Q57" s="30">
        <v>0</v>
      </c>
      <c r="R57" s="29">
        <v>18</v>
      </c>
      <c r="S57" s="31">
        <v>5</v>
      </c>
      <c r="T57" s="32">
        <v>0</v>
      </c>
      <c r="U57" s="24">
        <f t="shared" si="8"/>
        <v>116</v>
      </c>
    </row>
    <row r="58" spans="1:21" s="5" customFormat="1" ht="72" customHeight="1" outlineLevel="3">
      <c r="A58" s="22">
        <v>45</v>
      </c>
      <c r="B58" s="23">
        <v>31003014002</v>
      </c>
      <c r="C58" s="23" t="s">
        <v>315</v>
      </c>
      <c r="D58" s="23" t="s">
        <v>317</v>
      </c>
      <c r="E58" s="22" t="s">
        <v>46</v>
      </c>
      <c r="F58" s="58">
        <v>2</v>
      </c>
      <c r="G58" s="45">
        <f t="shared" si="16"/>
        <v>25</v>
      </c>
      <c r="H58" s="26">
        <f t="shared" si="17"/>
        <v>56.5</v>
      </c>
      <c r="I58" s="26">
        <f t="shared" si="18"/>
        <v>0.2</v>
      </c>
      <c r="J58" s="26">
        <f t="shared" si="19"/>
        <v>0</v>
      </c>
      <c r="K58" s="26">
        <f t="shared" si="20"/>
        <v>0</v>
      </c>
      <c r="L58" s="26">
        <f t="shared" si="21"/>
        <v>81.7</v>
      </c>
      <c r="M58" s="26">
        <f t="shared" si="22"/>
        <v>163.4</v>
      </c>
      <c r="N58" s="28"/>
      <c r="O58" s="24">
        <f t="shared" si="7"/>
        <v>81.7</v>
      </c>
      <c r="P58" s="29">
        <v>55</v>
      </c>
      <c r="Q58" s="30">
        <v>0</v>
      </c>
      <c r="R58" s="29">
        <v>25</v>
      </c>
      <c r="S58" s="31">
        <v>1.5</v>
      </c>
      <c r="T58" s="32">
        <v>0.2</v>
      </c>
      <c r="U58" s="24">
        <f t="shared" si="8"/>
        <v>163.4</v>
      </c>
    </row>
    <row r="59" spans="1:21" s="5" customFormat="1" ht="72" customHeight="1" outlineLevel="3">
      <c r="A59" s="22">
        <v>46</v>
      </c>
      <c r="B59" s="23">
        <v>31003014003</v>
      </c>
      <c r="C59" s="23" t="s">
        <v>315</v>
      </c>
      <c r="D59" s="23" t="s">
        <v>318</v>
      </c>
      <c r="E59" s="22" t="s">
        <v>46</v>
      </c>
      <c r="F59" s="58">
        <v>2</v>
      </c>
      <c r="G59" s="45">
        <f t="shared" si="16"/>
        <v>25</v>
      </c>
      <c r="H59" s="26">
        <f t="shared" si="17"/>
        <v>56.5</v>
      </c>
      <c r="I59" s="26">
        <f t="shared" si="18"/>
        <v>0.2</v>
      </c>
      <c r="J59" s="26">
        <f t="shared" si="19"/>
        <v>0</v>
      </c>
      <c r="K59" s="26">
        <f t="shared" si="20"/>
        <v>0</v>
      </c>
      <c r="L59" s="26">
        <f t="shared" si="21"/>
        <v>81.7</v>
      </c>
      <c r="M59" s="26">
        <f t="shared" si="22"/>
        <v>163.4</v>
      </c>
      <c r="N59" s="28"/>
      <c r="O59" s="24">
        <f t="shared" si="7"/>
        <v>81.7</v>
      </c>
      <c r="P59" s="29">
        <v>55</v>
      </c>
      <c r="Q59" s="30">
        <v>0</v>
      </c>
      <c r="R59" s="29">
        <v>25</v>
      </c>
      <c r="S59" s="31">
        <v>1.5</v>
      </c>
      <c r="T59" s="32">
        <v>0.2</v>
      </c>
      <c r="U59" s="24">
        <f t="shared" si="8"/>
        <v>163.4</v>
      </c>
    </row>
    <row r="60" spans="1:21" s="5" customFormat="1" ht="72" customHeight="1" outlineLevel="3">
      <c r="A60" s="22">
        <v>47</v>
      </c>
      <c r="B60" s="23">
        <v>31003014004</v>
      </c>
      <c r="C60" s="23" t="s">
        <v>315</v>
      </c>
      <c r="D60" s="23" t="s">
        <v>319</v>
      </c>
      <c r="E60" s="22" t="s">
        <v>46</v>
      </c>
      <c r="F60" s="58">
        <v>1</v>
      </c>
      <c r="G60" s="45">
        <f t="shared" si="16"/>
        <v>18</v>
      </c>
      <c r="H60" s="26">
        <f t="shared" si="17"/>
        <v>40</v>
      </c>
      <c r="I60" s="26">
        <f t="shared" si="18"/>
        <v>0</v>
      </c>
      <c r="J60" s="26">
        <f t="shared" si="19"/>
        <v>0</v>
      </c>
      <c r="K60" s="26">
        <f t="shared" si="20"/>
        <v>0</v>
      </c>
      <c r="L60" s="26">
        <f t="shared" si="21"/>
        <v>58</v>
      </c>
      <c r="M60" s="26">
        <f t="shared" si="22"/>
        <v>58</v>
      </c>
      <c r="N60" s="28"/>
      <c r="O60" s="24">
        <f t="shared" si="7"/>
        <v>58</v>
      </c>
      <c r="P60" s="29">
        <v>35</v>
      </c>
      <c r="Q60" s="30">
        <v>0</v>
      </c>
      <c r="R60" s="29">
        <v>18</v>
      </c>
      <c r="S60" s="31">
        <v>5</v>
      </c>
      <c r="T60" s="32">
        <v>0</v>
      </c>
      <c r="U60" s="24">
        <f t="shared" si="8"/>
        <v>58</v>
      </c>
    </row>
    <row r="61" spans="1:21" s="5" customFormat="1" ht="72" customHeight="1" outlineLevel="3">
      <c r="A61" s="22">
        <v>48</v>
      </c>
      <c r="B61" s="23">
        <v>31003014005</v>
      </c>
      <c r="C61" s="23" t="s">
        <v>320</v>
      </c>
      <c r="D61" s="23" t="s">
        <v>321</v>
      </c>
      <c r="E61" s="22" t="s">
        <v>46</v>
      </c>
      <c r="F61" s="58">
        <v>1</v>
      </c>
      <c r="G61" s="45">
        <f t="shared" si="16"/>
        <v>55</v>
      </c>
      <c r="H61" s="26">
        <f t="shared" si="17"/>
        <v>485</v>
      </c>
      <c r="I61" s="26">
        <f t="shared" si="18"/>
        <v>0</v>
      </c>
      <c r="J61" s="26">
        <f t="shared" si="19"/>
        <v>0</v>
      </c>
      <c r="K61" s="26">
        <f t="shared" si="20"/>
        <v>0</v>
      </c>
      <c r="L61" s="26">
        <f t="shared" si="21"/>
        <v>540</v>
      </c>
      <c r="M61" s="26">
        <f t="shared" si="22"/>
        <v>540</v>
      </c>
      <c r="N61" s="28"/>
      <c r="O61" s="24">
        <f t="shared" si="7"/>
        <v>540</v>
      </c>
      <c r="P61" s="29">
        <v>465</v>
      </c>
      <c r="Q61" s="30">
        <v>0</v>
      </c>
      <c r="R61" s="29">
        <v>55</v>
      </c>
      <c r="S61" s="31">
        <v>20</v>
      </c>
      <c r="T61" s="32">
        <v>0</v>
      </c>
      <c r="U61" s="24">
        <f t="shared" si="8"/>
        <v>540</v>
      </c>
    </row>
    <row r="62" spans="1:21" s="5" customFormat="1" ht="72" customHeight="1" outlineLevel="3">
      <c r="A62" s="22">
        <v>49</v>
      </c>
      <c r="B62" s="23">
        <v>31002001004</v>
      </c>
      <c r="C62" s="23" t="s">
        <v>227</v>
      </c>
      <c r="D62" s="23" t="s">
        <v>322</v>
      </c>
      <c r="E62" s="22" t="s">
        <v>46</v>
      </c>
      <c r="F62" s="58">
        <v>6</v>
      </c>
      <c r="G62" s="45">
        <f t="shared" si="16"/>
        <v>167.09</v>
      </c>
      <c r="H62" s="26">
        <f t="shared" si="17"/>
        <v>1504.2</v>
      </c>
      <c r="I62" s="26">
        <f t="shared" si="18"/>
        <v>12.03</v>
      </c>
      <c r="J62" s="26">
        <f t="shared" si="19"/>
        <v>0</v>
      </c>
      <c r="K62" s="26">
        <f t="shared" si="20"/>
        <v>0</v>
      </c>
      <c r="L62" s="26">
        <f t="shared" si="21"/>
        <v>1683.32</v>
      </c>
      <c r="M62" s="26">
        <f t="shared" si="22"/>
        <v>10099.92</v>
      </c>
      <c r="N62" s="28"/>
      <c r="O62" s="24">
        <f t="shared" si="7"/>
        <v>1683.32</v>
      </c>
      <c r="P62" s="29">
        <v>1504.2</v>
      </c>
      <c r="Q62" s="30">
        <v>0</v>
      </c>
      <c r="R62" s="29">
        <v>167.09</v>
      </c>
      <c r="S62" s="31">
        <v>0</v>
      </c>
      <c r="T62" s="32">
        <v>12.03</v>
      </c>
      <c r="U62" s="24">
        <f t="shared" si="8"/>
        <v>10099.92</v>
      </c>
    </row>
    <row r="63" spans="1:21" s="5" customFormat="1" outlineLevel="1">
      <c r="A63" s="9"/>
      <c r="B63" s="17"/>
      <c r="C63" s="17" t="s">
        <v>65</v>
      </c>
      <c r="D63" s="17"/>
      <c r="E63" s="9"/>
      <c r="F63" s="57"/>
      <c r="G63" s="46"/>
      <c r="H63" s="47"/>
      <c r="I63" s="47"/>
      <c r="J63" s="47"/>
      <c r="K63" s="47"/>
      <c r="L63" s="47"/>
      <c r="M63" s="47"/>
      <c r="N63" s="8"/>
      <c r="O63" s="10">
        <f t="shared" si="7"/>
        <v>0</v>
      </c>
      <c r="P63" s="48"/>
      <c r="Q63" s="49"/>
      <c r="R63" s="48"/>
      <c r="S63" s="50"/>
      <c r="T63" s="12"/>
      <c r="U63" s="10">
        <f t="shared" si="8"/>
        <v>0</v>
      </c>
    </row>
    <row r="64" spans="1:21" s="5" customFormat="1" outlineLevel="2">
      <c r="A64" s="9"/>
      <c r="B64" s="17"/>
      <c r="C64" s="17" t="s">
        <v>66</v>
      </c>
      <c r="D64" s="17"/>
      <c r="E64" s="9"/>
      <c r="F64" s="57"/>
      <c r="G64" s="46"/>
      <c r="H64" s="47"/>
      <c r="I64" s="47"/>
      <c r="J64" s="47"/>
      <c r="K64" s="47"/>
      <c r="L64" s="47"/>
      <c r="M64" s="47"/>
      <c r="N64" s="8"/>
      <c r="O64" s="10">
        <f t="shared" si="7"/>
        <v>0</v>
      </c>
      <c r="P64" s="48"/>
      <c r="Q64" s="49"/>
      <c r="R64" s="48"/>
      <c r="S64" s="50"/>
      <c r="T64" s="12"/>
      <c r="U64" s="10">
        <f t="shared" si="8"/>
        <v>0</v>
      </c>
    </row>
    <row r="65" spans="1:21" s="5" customFormat="1" ht="120" customHeight="1" outlineLevel="3">
      <c r="A65" s="22">
        <v>50</v>
      </c>
      <c r="B65" s="23">
        <v>30701003001</v>
      </c>
      <c r="C65" s="23" t="s">
        <v>67</v>
      </c>
      <c r="D65" s="23" t="s">
        <v>323</v>
      </c>
      <c r="E65" s="22" t="s">
        <v>69</v>
      </c>
      <c r="F65" s="58">
        <v>1</v>
      </c>
      <c r="G65" s="45">
        <f t="shared" ref="G65:G70" si="23">R65*$R$3</f>
        <v>1000</v>
      </c>
      <c r="H65" s="26">
        <f t="shared" ref="H65:H70" si="24">P65*(1+Q65)*$P$3+S65*$S$3</f>
        <v>4800</v>
      </c>
      <c r="I65" s="26">
        <f t="shared" ref="I65:I70" si="25">T65*$T$3</f>
        <v>45</v>
      </c>
      <c r="J65" s="26">
        <f t="shared" ref="J65:J70" si="26">(G65+H65+I65)*$J$3</f>
        <v>0</v>
      </c>
      <c r="K65" s="26">
        <f t="shared" ref="K65:K70" si="27">(G65+H65+I65+J65)*$K$3</f>
        <v>0</v>
      </c>
      <c r="L65" s="26">
        <f t="shared" ref="L65:L70" si="28">G65+H65+I65+J65+K65</f>
        <v>5845</v>
      </c>
      <c r="M65" s="26">
        <f t="shared" ref="M65:M70" si="29">F65*L65</f>
        <v>5845</v>
      </c>
      <c r="N65" s="28"/>
      <c r="O65" s="24">
        <f t="shared" si="7"/>
        <v>5845</v>
      </c>
      <c r="P65" s="29">
        <v>3600</v>
      </c>
      <c r="Q65" s="30">
        <v>0</v>
      </c>
      <c r="R65" s="29">
        <v>1000</v>
      </c>
      <c r="S65" s="31">
        <v>1200</v>
      </c>
      <c r="T65" s="32">
        <v>45</v>
      </c>
      <c r="U65" s="24">
        <f t="shared" si="8"/>
        <v>5845</v>
      </c>
    </row>
    <row r="66" spans="1:21" s="5" customFormat="1" ht="120" customHeight="1" outlineLevel="3">
      <c r="A66" s="22">
        <v>51</v>
      </c>
      <c r="B66" s="23">
        <v>30701003002</v>
      </c>
      <c r="C66" s="23" t="s">
        <v>67</v>
      </c>
      <c r="D66" s="23" t="s">
        <v>324</v>
      </c>
      <c r="E66" s="22" t="s">
        <v>69</v>
      </c>
      <c r="F66" s="58">
        <v>2</v>
      </c>
      <c r="G66" s="45">
        <f t="shared" si="23"/>
        <v>1000</v>
      </c>
      <c r="H66" s="26">
        <f t="shared" si="24"/>
        <v>4800</v>
      </c>
      <c r="I66" s="26">
        <f t="shared" si="25"/>
        <v>45</v>
      </c>
      <c r="J66" s="26">
        <f t="shared" si="26"/>
        <v>0</v>
      </c>
      <c r="K66" s="26">
        <f t="shared" si="27"/>
        <v>0</v>
      </c>
      <c r="L66" s="26">
        <f t="shared" si="28"/>
        <v>5845</v>
      </c>
      <c r="M66" s="26">
        <f t="shared" si="29"/>
        <v>11690</v>
      </c>
      <c r="N66" s="28"/>
      <c r="O66" s="24">
        <f t="shared" si="7"/>
        <v>5845</v>
      </c>
      <c r="P66" s="29">
        <v>3600</v>
      </c>
      <c r="Q66" s="30">
        <v>0</v>
      </c>
      <c r="R66" s="29">
        <v>1000</v>
      </c>
      <c r="S66" s="31">
        <v>1200</v>
      </c>
      <c r="T66" s="32">
        <v>45</v>
      </c>
      <c r="U66" s="24">
        <f t="shared" si="8"/>
        <v>11690</v>
      </c>
    </row>
    <row r="67" spans="1:21" s="5" customFormat="1" ht="120" customHeight="1" outlineLevel="3">
      <c r="A67" s="22">
        <v>52</v>
      </c>
      <c r="B67" s="23">
        <v>30701003003</v>
      </c>
      <c r="C67" s="23" t="s">
        <v>67</v>
      </c>
      <c r="D67" s="23" t="s">
        <v>325</v>
      </c>
      <c r="E67" s="22" t="s">
        <v>69</v>
      </c>
      <c r="F67" s="58">
        <v>1</v>
      </c>
      <c r="G67" s="45">
        <f t="shared" si="23"/>
        <v>1000</v>
      </c>
      <c r="H67" s="26">
        <f t="shared" si="24"/>
        <v>4800</v>
      </c>
      <c r="I67" s="26">
        <f t="shared" si="25"/>
        <v>45</v>
      </c>
      <c r="J67" s="26">
        <f t="shared" si="26"/>
        <v>0</v>
      </c>
      <c r="K67" s="26">
        <f t="shared" si="27"/>
        <v>0</v>
      </c>
      <c r="L67" s="26">
        <f t="shared" si="28"/>
        <v>5845</v>
      </c>
      <c r="M67" s="26">
        <f t="shared" si="29"/>
        <v>5845</v>
      </c>
      <c r="N67" s="28"/>
      <c r="O67" s="24">
        <f t="shared" si="7"/>
        <v>5845</v>
      </c>
      <c r="P67" s="29">
        <v>3600</v>
      </c>
      <c r="Q67" s="30">
        <v>0</v>
      </c>
      <c r="R67" s="29">
        <v>1000</v>
      </c>
      <c r="S67" s="31">
        <v>1200</v>
      </c>
      <c r="T67" s="32">
        <v>45</v>
      </c>
      <c r="U67" s="24">
        <f t="shared" si="8"/>
        <v>5845</v>
      </c>
    </row>
    <row r="68" spans="1:21" s="5" customFormat="1" ht="120" customHeight="1" outlineLevel="3">
      <c r="A68" s="22">
        <v>53</v>
      </c>
      <c r="B68" s="23">
        <v>30701003004</v>
      </c>
      <c r="C68" s="23" t="s">
        <v>67</v>
      </c>
      <c r="D68" s="23" t="s">
        <v>326</v>
      </c>
      <c r="E68" s="22" t="s">
        <v>69</v>
      </c>
      <c r="F68" s="58">
        <v>2</v>
      </c>
      <c r="G68" s="45">
        <f t="shared" si="23"/>
        <v>1000</v>
      </c>
      <c r="H68" s="26">
        <f t="shared" si="24"/>
        <v>4800</v>
      </c>
      <c r="I68" s="26">
        <f t="shared" si="25"/>
        <v>45</v>
      </c>
      <c r="J68" s="26">
        <f t="shared" si="26"/>
        <v>0</v>
      </c>
      <c r="K68" s="26">
        <f t="shared" si="27"/>
        <v>0</v>
      </c>
      <c r="L68" s="26">
        <f t="shared" si="28"/>
        <v>5845</v>
      </c>
      <c r="M68" s="26">
        <f t="shared" si="29"/>
        <v>11690</v>
      </c>
      <c r="N68" s="28"/>
      <c r="O68" s="24">
        <f t="shared" si="7"/>
        <v>5845</v>
      </c>
      <c r="P68" s="29">
        <v>3600</v>
      </c>
      <c r="Q68" s="30">
        <v>0</v>
      </c>
      <c r="R68" s="29">
        <v>1000</v>
      </c>
      <c r="S68" s="31">
        <v>1200</v>
      </c>
      <c r="T68" s="32">
        <v>45</v>
      </c>
      <c r="U68" s="24">
        <f t="shared" si="8"/>
        <v>11690</v>
      </c>
    </row>
    <row r="69" spans="1:21" s="5" customFormat="1" ht="108" customHeight="1" outlineLevel="3">
      <c r="A69" s="22">
        <v>54</v>
      </c>
      <c r="B69" s="23">
        <v>30701003005</v>
      </c>
      <c r="C69" s="23" t="s">
        <v>75</v>
      </c>
      <c r="D69" s="23" t="s">
        <v>327</v>
      </c>
      <c r="E69" s="22" t="s">
        <v>69</v>
      </c>
      <c r="F69" s="58">
        <v>1</v>
      </c>
      <c r="G69" s="45">
        <f t="shared" si="23"/>
        <v>732.5</v>
      </c>
      <c r="H69" s="26">
        <f t="shared" si="24"/>
        <v>12600</v>
      </c>
      <c r="I69" s="26">
        <f t="shared" si="25"/>
        <v>25</v>
      </c>
      <c r="J69" s="26">
        <f t="shared" si="26"/>
        <v>0</v>
      </c>
      <c r="K69" s="26">
        <f t="shared" si="27"/>
        <v>0</v>
      </c>
      <c r="L69" s="26">
        <f t="shared" si="28"/>
        <v>13357.5</v>
      </c>
      <c r="M69" s="26">
        <f t="shared" si="29"/>
        <v>13357.5</v>
      </c>
      <c r="N69" s="28"/>
      <c r="O69" s="24">
        <f t="shared" si="7"/>
        <v>13357.5</v>
      </c>
      <c r="P69" s="29">
        <v>12000</v>
      </c>
      <c r="Q69" s="30">
        <v>0</v>
      </c>
      <c r="R69" s="29">
        <v>732.5</v>
      </c>
      <c r="S69" s="31">
        <v>600</v>
      </c>
      <c r="T69" s="32">
        <v>25</v>
      </c>
      <c r="U69" s="24">
        <f t="shared" si="8"/>
        <v>13357.5</v>
      </c>
    </row>
    <row r="70" spans="1:21" s="5" customFormat="1" ht="72" customHeight="1" outlineLevel="3">
      <c r="A70" s="9">
        <v>55</v>
      </c>
      <c r="B70" s="17">
        <v>30413013008</v>
      </c>
      <c r="C70" s="17" t="s">
        <v>77</v>
      </c>
      <c r="D70" s="17" t="s">
        <v>78</v>
      </c>
      <c r="E70" s="9" t="s">
        <v>38</v>
      </c>
      <c r="F70" s="57">
        <v>6</v>
      </c>
      <c r="G70" s="46">
        <f t="shared" si="23"/>
        <v>35</v>
      </c>
      <c r="H70" s="47">
        <f t="shared" si="24"/>
        <v>103</v>
      </c>
      <c r="I70" s="47">
        <f t="shared" si="25"/>
        <v>0</v>
      </c>
      <c r="J70" s="47">
        <f t="shared" si="26"/>
        <v>0</v>
      </c>
      <c r="K70" s="47">
        <f t="shared" si="27"/>
        <v>0</v>
      </c>
      <c r="L70" s="47">
        <f t="shared" si="28"/>
        <v>138</v>
      </c>
      <c r="M70" s="47">
        <f t="shared" si="29"/>
        <v>828</v>
      </c>
      <c r="N70" s="8"/>
      <c r="O70" s="10">
        <f t="shared" si="7"/>
        <v>138</v>
      </c>
      <c r="P70" s="48">
        <f>架空层安装工程!$P$33</f>
        <v>95</v>
      </c>
      <c r="Q70" s="49">
        <f>架空层安装工程!$Q$33</f>
        <v>0</v>
      </c>
      <c r="R70" s="48">
        <f>架空层安装工程!$R$33</f>
        <v>35</v>
      </c>
      <c r="S70" s="50">
        <f>架空层安装工程!$S$33</f>
        <v>8</v>
      </c>
      <c r="T70" s="12">
        <f>架空层安装工程!$T$33</f>
        <v>0</v>
      </c>
      <c r="U70" s="10">
        <f t="shared" si="8"/>
        <v>828</v>
      </c>
    </row>
    <row r="71" spans="1:21" s="5" customFormat="1" outlineLevel="2">
      <c r="A71" s="9"/>
      <c r="B71" s="17"/>
      <c r="C71" s="17" t="s">
        <v>85</v>
      </c>
      <c r="D71" s="17"/>
      <c r="E71" s="9"/>
      <c r="F71" s="57"/>
      <c r="G71" s="46"/>
      <c r="H71" s="47"/>
      <c r="I71" s="47"/>
      <c r="J71" s="47"/>
      <c r="K71" s="47"/>
      <c r="L71" s="47"/>
      <c r="M71" s="47"/>
      <c r="N71" s="8"/>
      <c r="O71" s="10">
        <f t="shared" si="7"/>
        <v>0</v>
      </c>
      <c r="P71" s="48"/>
      <c r="Q71" s="49"/>
      <c r="R71" s="48"/>
      <c r="S71" s="50"/>
      <c r="T71" s="12"/>
      <c r="U71" s="10">
        <f t="shared" si="8"/>
        <v>0</v>
      </c>
    </row>
    <row r="72" spans="1:21" s="5" customFormat="1" ht="84" customHeight="1" outlineLevel="3">
      <c r="A72" s="9">
        <v>56</v>
      </c>
      <c r="B72" s="17">
        <v>30702001001</v>
      </c>
      <c r="C72" s="17" t="s">
        <v>86</v>
      </c>
      <c r="D72" s="17" t="s">
        <v>87</v>
      </c>
      <c r="E72" s="9" t="s">
        <v>88</v>
      </c>
      <c r="F72" s="57">
        <v>3.71</v>
      </c>
      <c r="G72" s="46">
        <f>R72*$R$3</f>
        <v>48</v>
      </c>
      <c r="H72" s="47">
        <f>P72*(1+Q72)*$P$3+S72*$S$3</f>
        <v>99.55</v>
      </c>
      <c r="I72" s="47">
        <f>T72*$T$3</f>
        <v>2</v>
      </c>
      <c r="J72" s="47">
        <f>(G72+H72+I72)*$J$3</f>
        <v>0</v>
      </c>
      <c r="K72" s="47">
        <f>(G72+H72+I72+J72)*$K$3</f>
        <v>0</v>
      </c>
      <c r="L72" s="47">
        <f>G72+H72+I72+J72+K72</f>
        <v>149.55000000000001</v>
      </c>
      <c r="M72" s="47">
        <f>F72*L72</f>
        <v>554.83050000000003</v>
      </c>
      <c r="N72" s="8"/>
      <c r="O72" s="10">
        <f t="shared" ref="O72:O135" si="30">P72*(1+Q72)+R72+S72+T72</f>
        <v>149.55000000000001</v>
      </c>
      <c r="P72" s="48">
        <f>架空层安装工程!$P$40</f>
        <v>85</v>
      </c>
      <c r="Q72" s="49">
        <f>架空层安装工程!$Q$40</f>
        <v>0.03</v>
      </c>
      <c r="R72" s="48">
        <f>架空层安装工程!$R$40</f>
        <v>48</v>
      </c>
      <c r="S72" s="50">
        <f>架空层安装工程!$S$40</f>
        <v>12</v>
      </c>
      <c r="T72" s="12">
        <f>架空层安装工程!$T$40</f>
        <v>2</v>
      </c>
      <c r="U72" s="10">
        <f t="shared" ref="U72:U135" si="31">F72*O72</f>
        <v>554.83050000000003</v>
      </c>
    </row>
    <row r="73" spans="1:21" s="5" customFormat="1" ht="72" customHeight="1" outlineLevel="3">
      <c r="A73" s="9">
        <v>57</v>
      </c>
      <c r="B73" s="17">
        <v>30703019001</v>
      </c>
      <c r="C73" s="17" t="s">
        <v>91</v>
      </c>
      <c r="D73" s="17" t="s">
        <v>92</v>
      </c>
      <c r="E73" s="9" t="s">
        <v>88</v>
      </c>
      <c r="F73" s="57">
        <v>1.82</v>
      </c>
      <c r="G73" s="46">
        <f>R73*$R$3</f>
        <v>55</v>
      </c>
      <c r="H73" s="47">
        <f>P73*(1+Q73)*$P$3+S73*$S$3</f>
        <v>78.89</v>
      </c>
      <c r="I73" s="47">
        <f>T73*$T$3</f>
        <v>2.75</v>
      </c>
      <c r="J73" s="47">
        <f>(G73+H73+I73)*$J$3</f>
        <v>0</v>
      </c>
      <c r="K73" s="47">
        <f>(G73+H73+I73+J73)*$K$3</f>
        <v>0</v>
      </c>
      <c r="L73" s="47">
        <f>G73+H73+I73+J73+K73</f>
        <v>136.63999999999999</v>
      </c>
      <c r="M73" s="47">
        <f>F73*L73</f>
        <v>248.6848</v>
      </c>
      <c r="N73" s="8"/>
      <c r="O73" s="10">
        <f t="shared" si="30"/>
        <v>136.63999999999999</v>
      </c>
      <c r="P73" s="48">
        <f>架空层安装工程!$P$43</f>
        <v>19.489999999999998</v>
      </c>
      <c r="Q73" s="49">
        <f>架空层安装工程!$Q$43</f>
        <v>0</v>
      </c>
      <c r="R73" s="48">
        <f>架空层安装工程!$R$43</f>
        <v>55</v>
      </c>
      <c r="S73" s="50">
        <f>架空层安装工程!$S$43</f>
        <v>59.4</v>
      </c>
      <c r="T73" s="12">
        <f>架空层安装工程!$T$43</f>
        <v>2.75</v>
      </c>
      <c r="U73" s="10">
        <f t="shared" si="31"/>
        <v>248.6848</v>
      </c>
    </row>
    <row r="74" spans="1:21" s="5" customFormat="1" ht="72" customHeight="1" outlineLevel="3">
      <c r="A74" s="9">
        <v>58</v>
      </c>
      <c r="B74" s="17">
        <v>31301005001</v>
      </c>
      <c r="C74" s="17" t="s">
        <v>93</v>
      </c>
      <c r="D74" s="17" t="s">
        <v>94</v>
      </c>
      <c r="E74" s="9" t="s">
        <v>95</v>
      </c>
      <c r="F74" s="57">
        <v>13.48</v>
      </c>
      <c r="G74" s="46">
        <f>R74*$R$3</f>
        <v>5.77</v>
      </c>
      <c r="H74" s="47">
        <f>P74*(1+Q74)*$P$3+S74*$S$3</f>
        <v>6.87</v>
      </c>
      <c r="I74" s="47">
        <f>T74*$T$3</f>
        <v>1.21</v>
      </c>
      <c r="J74" s="47">
        <f>(G74+H74+I74)*$J$3</f>
        <v>0</v>
      </c>
      <c r="K74" s="47">
        <f>(G74+H74+I74+J74)*$K$3</f>
        <v>0</v>
      </c>
      <c r="L74" s="47">
        <f>G74+H74+I74+J74+K74</f>
        <v>13.85</v>
      </c>
      <c r="M74" s="47">
        <f>F74*L74</f>
        <v>186.69800000000001</v>
      </c>
      <c r="N74" s="8"/>
      <c r="O74" s="10">
        <f t="shared" si="30"/>
        <v>13.85</v>
      </c>
      <c r="P74" s="48">
        <f>架空层安装工程!$P$44</f>
        <v>6.87</v>
      </c>
      <c r="Q74" s="49">
        <f>架空层安装工程!$Q$44</f>
        <v>0</v>
      </c>
      <c r="R74" s="48">
        <f>架空层安装工程!$R$44</f>
        <v>5.77</v>
      </c>
      <c r="S74" s="50">
        <f>架空层安装工程!$S$44</f>
        <v>0</v>
      </c>
      <c r="T74" s="12">
        <f>架空层安装工程!$T$44</f>
        <v>1.21</v>
      </c>
      <c r="U74" s="10">
        <f t="shared" si="31"/>
        <v>186.69800000000001</v>
      </c>
    </row>
    <row r="75" spans="1:21" s="5" customFormat="1" ht="108" customHeight="1" outlineLevel="3">
      <c r="A75" s="9">
        <v>59</v>
      </c>
      <c r="B75" s="17">
        <v>31208003001</v>
      </c>
      <c r="C75" s="17" t="s">
        <v>96</v>
      </c>
      <c r="D75" s="17" t="s">
        <v>97</v>
      </c>
      <c r="E75" s="9" t="s">
        <v>88</v>
      </c>
      <c r="F75" s="57">
        <v>3.71</v>
      </c>
      <c r="G75" s="46">
        <f>R75*$R$3</f>
        <v>48</v>
      </c>
      <c r="H75" s="47">
        <f>P75*(1+Q75)*$P$3+S75*$S$3</f>
        <v>412</v>
      </c>
      <c r="I75" s="47">
        <f>T75*$T$3</f>
        <v>2</v>
      </c>
      <c r="J75" s="47">
        <f>(G75+H75+I75)*$J$3</f>
        <v>0</v>
      </c>
      <c r="K75" s="47">
        <f>(G75+H75+I75+J75)*$K$3</f>
        <v>0</v>
      </c>
      <c r="L75" s="47">
        <f>G75+H75+I75+J75+K75</f>
        <v>462</v>
      </c>
      <c r="M75" s="47">
        <f>F75*L75</f>
        <v>1714.02</v>
      </c>
      <c r="N75" s="8"/>
      <c r="O75" s="10">
        <f t="shared" si="30"/>
        <v>462</v>
      </c>
      <c r="P75" s="48">
        <f>架空层安装工程!$P$45</f>
        <v>400</v>
      </c>
      <c r="Q75" s="49">
        <f>架空层安装工程!$Q$45</f>
        <v>0</v>
      </c>
      <c r="R75" s="48">
        <f>架空层安装工程!$R$45</f>
        <v>48</v>
      </c>
      <c r="S75" s="50">
        <f>架空层安装工程!$S$45</f>
        <v>12</v>
      </c>
      <c r="T75" s="12">
        <f>架空层安装工程!$T$45</f>
        <v>2</v>
      </c>
      <c r="U75" s="10">
        <f t="shared" si="31"/>
        <v>1714.02</v>
      </c>
    </row>
    <row r="76" spans="1:21" s="5" customFormat="1" ht="24" customHeight="1" outlineLevel="3">
      <c r="A76" s="9">
        <v>60</v>
      </c>
      <c r="B76" s="17">
        <v>30704001001</v>
      </c>
      <c r="C76" s="17" t="s">
        <v>98</v>
      </c>
      <c r="D76" s="17" t="s">
        <v>99</v>
      </c>
      <c r="E76" s="9" t="s">
        <v>100</v>
      </c>
      <c r="F76" s="57">
        <v>1</v>
      </c>
      <c r="G76" s="46">
        <f>R76*$R$3</f>
        <v>380</v>
      </c>
      <c r="H76" s="47">
        <f>P76*(1+Q76)*$P$3+S76*$S$3</f>
        <v>600</v>
      </c>
      <c r="I76" s="47">
        <f>T76*$T$3</f>
        <v>20</v>
      </c>
      <c r="J76" s="47">
        <f>(G76+H76+I76)*$J$3</f>
        <v>0</v>
      </c>
      <c r="K76" s="47">
        <f>(G76+H76+I76+J76)*$K$3</f>
        <v>0</v>
      </c>
      <c r="L76" s="47">
        <f>G76+H76+I76+J76+K76</f>
        <v>1000</v>
      </c>
      <c r="M76" s="47">
        <f>F76*L76</f>
        <v>1000</v>
      </c>
      <c r="N76" s="8"/>
      <c r="O76" s="10">
        <f t="shared" si="30"/>
        <v>1000</v>
      </c>
      <c r="P76" s="48">
        <f>架空层安装工程!$P$46</f>
        <v>400</v>
      </c>
      <c r="Q76" s="49">
        <f>架空层安装工程!$Q$46</f>
        <v>0</v>
      </c>
      <c r="R76" s="48">
        <f>架空层安装工程!$R$46</f>
        <v>380</v>
      </c>
      <c r="S76" s="50">
        <f>架空层安装工程!$S$46</f>
        <v>200</v>
      </c>
      <c r="T76" s="12">
        <f>架空层安装工程!$T$46</f>
        <v>20</v>
      </c>
      <c r="U76" s="10">
        <f t="shared" si="31"/>
        <v>1000</v>
      </c>
    </row>
    <row r="77" spans="1:21" s="5" customFormat="1" outlineLevel="2">
      <c r="A77" s="9"/>
      <c r="B77" s="17"/>
      <c r="C77" s="17" t="s">
        <v>101</v>
      </c>
      <c r="D77" s="17"/>
      <c r="E77" s="9"/>
      <c r="F77" s="57"/>
      <c r="G77" s="46"/>
      <c r="H77" s="47"/>
      <c r="I77" s="47"/>
      <c r="J77" s="47"/>
      <c r="K77" s="47"/>
      <c r="L77" s="47"/>
      <c r="M77" s="47"/>
      <c r="N77" s="8"/>
      <c r="O77" s="10">
        <f t="shared" si="30"/>
        <v>0</v>
      </c>
      <c r="P77" s="48"/>
      <c r="Q77" s="49"/>
      <c r="R77" s="48"/>
      <c r="S77" s="50"/>
      <c r="T77" s="12"/>
      <c r="U77" s="10">
        <f t="shared" si="31"/>
        <v>0</v>
      </c>
    </row>
    <row r="78" spans="1:21" s="5" customFormat="1" ht="84" customHeight="1" outlineLevel="3">
      <c r="A78" s="9">
        <v>61</v>
      </c>
      <c r="B78" s="17">
        <v>31001005001</v>
      </c>
      <c r="C78" s="17" t="s">
        <v>102</v>
      </c>
      <c r="D78" s="17" t="s">
        <v>103</v>
      </c>
      <c r="E78" s="9" t="s">
        <v>43</v>
      </c>
      <c r="F78" s="57">
        <v>9.18</v>
      </c>
      <c r="G78" s="46">
        <f t="shared" ref="G78:G86" si="32">R78*$R$3</f>
        <v>9.64</v>
      </c>
      <c r="H78" s="47">
        <f t="shared" ref="H78:H86" si="33">P78*(1+Q78)*$P$3+S78*$S$3</f>
        <v>13.1816</v>
      </c>
      <c r="I78" s="47">
        <f t="shared" ref="I78:I86" si="34">T78*$T$3</f>
        <v>0</v>
      </c>
      <c r="J78" s="47">
        <f t="shared" ref="J78:J86" si="35">(G78+H78+I78)*$J$3</f>
        <v>0</v>
      </c>
      <c r="K78" s="47">
        <f t="shared" ref="K78:K86" si="36">(G78+H78+I78+J78)*$K$3</f>
        <v>0</v>
      </c>
      <c r="L78" s="47">
        <f t="shared" ref="L78:L86" si="37">G78+H78+I78+J78+K78</f>
        <v>22.8216</v>
      </c>
      <c r="M78" s="47">
        <f t="shared" ref="M78:M86" si="38">F78*L78</f>
        <v>209.50228799999999</v>
      </c>
      <c r="N78" s="8"/>
      <c r="O78" s="10">
        <f t="shared" si="30"/>
        <v>22.8216</v>
      </c>
      <c r="P78" s="48">
        <f>架空层安装工程!$P$48</f>
        <v>10.72</v>
      </c>
      <c r="Q78" s="49">
        <f>架空层安装工程!$Q$48</f>
        <v>0.03</v>
      </c>
      <c r="R78" s="48">
        <f>架空层安装工程!$R$48</f>
        <v>9.64</v>
      </c>
      <c r="S78" s="50">
        <f>架空层安装工程!$S$48</f>
        <v>2.14</v>
      </c>
      <c r="T78" s="12">
        <f>架空层安装工程!$T$48</f>
        <v>0</v>
      </c>
      <c r="U78" s="10">
        <f t="shared" si="31"/>
        <v>209.50228799999999</v>
      </c>
    </row>
    <row r="79" spans="1:21" s="5" customFormat="1" ht="84" customHeight="1" outlineLevel="3">
      <c r="A79" s="9">
        <v>62</v>
      </c>
      <c r="B79" s="17">
        <v>31001005002</v>
      </c>
      <c r="C79" s="17" t="s">
        <v>102</v>
      </c>
      <c r="D79" s="17" t="s">
        <v>104</v>
      </c>
      <c r="E79" s="9" t="s">
        <v>43</v>
      </c>
      <c r="F79" s="57">
        <v>15.88</v>
      </c>
      <c r="G79" s="46">
        <f t="shared" si="32"/>
        <v>14.29</v>
      </c>
      <c r="H79" s="47">
        <f t="shared" si="33"/>
        <v>17.763200000000001</v>
      </c>
      <c r="I79" s="47">
        <f t="shared" si="34"/>
        <v>0</v>
      </c>
      <c r="J79" s="47">
        <f t="shared" si="35"/>
        <v>0</v>
      </c>
      <c r="K79" s="47">
        <f t="shared" si="36"/>
        <v>0</v>
      </c>
      <c r="L79" s="47">
        <f t="shared" si="37"/>
        <v>32.053199999999997</v>
      </c>
      <c r="M79" s="47">
        <f t="shared" si="38"/>
        <v>509.00481600000001</v>
      </c>
      <c r="N79" s="8"/>
      <c r="O79" s="10">
        <f t="shared" si="30"/>
        <v>32.053199999999997</v>
      </c>
      <c r="P79" s="48">
        <f>架空层安装工程!$P$49</f>
        <v>14.44</v>
      </c>
      <c r="Q79" s="49">
        <f>架空层安装工程!$Q$49</f>
        <v>0.03</v>
      </c>
      <c r="R79" s="48">
        <f>架空层安装工程!$R$49</f>
        <v>14.29</v>
      </c>
      <c r="S79" s="50">
        <f>架空层安装工程!$S$49</f>
        <v>2.89</v>
      </c>
      <c r="T79" s="12">
        <f>架空层安装工程!$T$49</f>
        <v>0</v>
      </c>
      <c r="U79" s="10">
        <f t="shared" si="31"/>
        <v>509.00481600000001</v>
      </c>
    </row>
    <row r="80" spans="1:21" s="5" customFormat="1" ht="84" customHeight="1" outlineLevel="3">
      <c r="A80" s="9">
        <v>63</v>
      </c>
      <c r="B80" s="17">
        <v>31001005003</v>
      </c>
      <c r="C80" s="17" t="s">
        <v>102</v>
      </c>
      <c r="D80" s="17" t="s">
        <v>105</v>
      </c>
      <c r="E80" s="9" t="s">
        <v>43</v>
      </c>
      <c r="F80" s="57">
        <v>9.18</v>
      </c>
      <c r="G80" s="46">
        <f t="shared" si="32"/>
        <v>19.09</v>
      </c>
      <c r="H80" s="47">
        <f t="shared" si="33"/>
        <v>19.0138</v>
      </c>
      <c r="I80" s="47">
        <f t="shared" si="34"/>
        <v>0</v>
      </c>
      <c r="J80" s="47">
        <f t="shared" si="35"/>
        <v>0</v>
      </c>
      <c r="K80" s="47">
        <f t="shared" si="36"/>
        <v>0</v>
      </c>
      <c r="L80" s="47">
        <f t="shared" si="37"/>
        <v>38.1038</v>
      </c>
      <c r="M80" s="47">
        <f t="shared" si="38"/>
        <v>349.79288400000002</v>
      </c>
      <c r="N80" s="8"/>
      <c r="O80" s="10">
        <f t="shared" si="30"/>
        <v>38.1038</v>
      </c>
      <c r="P80" s="48">
        <f>架空层安装工程!$P$50</f>
        <v>15.46</v>
      </c>
      <c r="Q80" s="49">
        <f>架空层安装工程!$Q$50</f>
        <v>0.03</v>
      </c>
      <c r="R80" s="48">
        <f>架空层安装工程!$R$50</f>
        <v>19.09</v>
      </c>
      <c r="S80" s="50">
        <f>架空层安装工程!$S$50</f>
        <v>3.09</v>
      </c>
      <c r="T80" s="12">
        <f>架空层安装工程!$T$50</f>
        <v>0</v>
      </c>
      <c r="U80" s="10">
        <f t="shared" si="31"/>
        <v>349.79288400000002</v>
      </c>
    </row>
    <row r="81" spans="1:21" s="5" customFormat="1" ht="84" customHeight="1" outlineLevel="3">
      <c r="A81" s="9">
        <v>64</v>
      </c>
      <c r="B81" s="17">
        <v>31001005004</v>
      </c>
      <c r="C81" s="17" t="s">
        <v>102</v>
      </c>
      <c r="D81" s="17" t="s">
        <v>106</v>
      </c>
      <c r="E81" s="9" t="s">
        <v>43</v>
      </c>
      <c r="F81" s="57">
        <v>15.88</v>
      </c>
      <c r="G81" s="46">
        <f t="shared" si="32"/>
        <v>23.89</v>
      </c>
      <c r="H81" s="47">
        <f t="shared" si="33"/>
        <v>26.496200000000002</v>
      </c>
      <c r="I81" s="47">
        <f t="shared" si="34"/>
        <v>0</v>
      </c>
      <c r="J81" s="47">
        <f t="shared" si="35"/>
        <v>0</v>
      </c>
      <c r="K81" s="47">
        <f t="shared" si="36"/>
        <v>0</v>
      </c>
      <c r="L81" s="47">
        <f t="shared" si="37"/>
        <v>50.386200000000002</v>
      </c>
      <c r="M81" s="47">
        <f t="shared" si="38"/>
        <v>800.13285599999995</v>
      </c>
      <c r="N81" s="8"/>
      <c r="O81" s="10">
        <f t="shared" si="30"/>
        <v>50.386200000000002</v>
      </c>
      <c r="P81" s="48">
        <f>架空层安装工程!$P$51</f>
        <v>21.54</v>
      </c>
      <c r="Q81" s="49">
        <f>架空层安装工程!$Q$51</f>
        <v>0.03</v>
      </c>
      <c r="R81" s="48">
        <f>架空层安装工程!$R$51</f>
        <v>23.89</v>
      </c>
      <c r="S81" s="50">
        <f>架空层安装工程!$S$51</f>
        <v>4.3099999999999996</v>
      </c>
      <c r="T81" s="12">
        <f>架空层安装工程!$T$51</f>
        <v>0</v>
      </c>
      <c r="U81" s="10">
        <f t="shared" si="31"/>
        <v>800.13285599999995</v>
      </c>
    </row>
    <row r="82" spans="1:21" s="5" customFormat="1" ht="60" customHeight="1" outlineLevel="3">
      <c r="A82" s="9">
        <v>65</v>
      </c>
      <c r="B82" s="17">
        <v>31002001001</v>
      </c>
      <c r="C82" s="17" t="s">
        <v>109</v>
      </c>
      <c r="D82" s="17" t="s">
        <v>110</v>
      </c>
      <c r="E82" s="9" t="s">
        <v>46</v>
      </c>
      <c r="F82" s="57">
        <v>5</v>
      </c>
      <c r="G82" s="46">
        <f t="shared" si="32"/>
        <v>94</v>
      </c>
      <c r="H82" s="47">
        <f t="shared" si="33"/>
        <v>177</v>
      </c>
      <c r="I82" s="47">
        <f t="shared" si="34"/>
        <v>4.7</v>
      </c>
      <c r="J82" s="47">
        <f t="shared" si="35"/>
        <v>0</v>
      </c>
      <c r="K82" s="47">
        <f t="shared" si="36"/>
        <v>0</v>
      </c>
      <c r="L82" s="47">
        <f t="shared" si="37"/>
        <v>275.7</v>
      </c>
      <c r="M82" s="47">
        <f t="shared" si="38"/>
        <v>1378.5</v>
      </c>
      <c r="N82" s="8"/>
      <c r="O82" s="10">
        <f t="shared" si="30"/>
        <v>275.7</v>
      </c>
      <c r="P82" s="48">
        <f>架空层安装工程!$P$54</f>
        <v>118</v>
      </c>
      <c r="Q82" s="49">
        <f>架空层安装工程!$Q$54</f>
        <v>0</v>
      </c>
      <c r="R82" s="48">
        <f>架空层安装工程!$R$54</f>
        <v>94</v>
      </c>
      <c r="S82" s="50">
        <f>架空层安装工程!$S$54</f>
        <v>59</v>
      </c>
      <c r="T82" s="12">
        <f>架空层安装工程!$T$54</f>
        <v>4.7</v>
      </c>
      <c r="U82" s="10">
        <f t="shared" si="31"/>
        <v>1378.5</v>
      </c>
    </row>
    <row r="83" spans="1:21" s="5" customFormat="1" ht="84" customHeight="1" outlineLevel="3">
      <c r="A83" s="22">
        <v>66</v>
      </c>
      <c r="B83" s="23">
        <v>31001008010</v>
      </c>
      <c r="C83" s="23" t="s">
        <v>111</v>
      </c>
      <c r="D83" s="23" t="s">
        <v>260</v>
      </c>
      <c r="E83" s="22" t="s">
        <v>43</v>
      </c>
      <c r="F83" s="58">
        <v>15.87</v>
      </c>
      <c r="G83" s="45">
        <f t="shared" si="32"/>
        <v>18</v>
      </c>
      <c r="H83" s="26">
        <f t="shared" si="33"/>
        <v>4.76</v>
      </c>
      <c r="I83" s="26">
        <f t="shared" si="34"/>
        <v>0.04</v>
      </c>
      <c r="J83" s="26">
        <f t="shared" si="35"/>
        <v>0</v>
      </c>
      <c r="K83" s="26">
        <f t="shared" si="36"/>
        <v>0</v>
      </c>
      <c r="L83" s="26">
        <f t="shared" si="37"/>
        <v>22.8</v>
      </c>
      <c r="M83" s="26">
        <f t="shared" si="38"/>
        <v>361.83600000000001</v>
      </c>
      <c r="N83" s="28"/>
      <c r="O83" s="24">
        <f t="shared" si="30"/>
        <v>22.8</v>
      </c>
      <c r="P83" s="29">
        <v>4.5</v>
      </c>
      <c r="Q83" s="30">
        <v>0</v>
      </c>
      <c r="R83" s="29">
        <v>18</v>
      </c>
      <c r="S83" s="31">
        <v>0.26</v>
      </c>
      <c r="T83" s="32">
        <v>0.04</v>
      </c>
      <c r="U83" s="24">
        <f t="shared" si="31"/>
        <v>361.83600000000001</v>
      </c>
    </row>
    <row r="84" spans="1:21" s="5" customFormat="1" ht="84" customHeight="1" outlineLevel="3">
      <c r="A84" s="9">
        <v>67</v>
      </c>
      <c r="B84" s="17">
        <v>31001008011</v>
      </c>
      <c r="C84" s="17" t="s">
        <v>111</v>
      </c>
      <c r="D84" s="17" t="s">
        <v>112</v>
      </c>
      <c r="E84" s="9" t="s">
        <v>43</v>
      </c>
      <c r="F84" s="57">
        <v>3.81</v>
      </c>
      <c r="G84" s="46">
        <f t="shared" si="32"/>
        <v>22.09</v>
      </c>
      <c r="H84" s="47">
        <f t="shared" si="33"/>
        <v>8.76</v>
      </c>
      <c r="I84" s="47">
        <f t="shared" si="34"/>
        <v>0.04</v>
      </c>
      <c r="J84" s="47">
        <f t="shared" si="35"/>
        <v>0</v>
      </c>
      <c r="K84" s="47">
        <f t="shared" si="36"/>
        <v>0</v>
      </c>
      <c r="L84" s="47">
        <f t="shared" si="37"/>
        <v>30.89</v>
      </c>
      <c r="M84" s="47">
        <f t="shared" si="38"/>
        <v>117.6909</v>
      </c>
      <c r="N84" s="8"/>
      <c r="O84" s="10">
        <f t="shared" si="30"/>
        <v>30.89</v>
      </c>
      <c r="P84" s="48">
        <f>架空层安装工程!$P$55</f>
        <v>8.5</v>
      </c>
      <c r="Q84" s="49">
        <f>架空层安装工程!$Q$55</f>
        <v>0</v>
      </c>
      <c r="R84" s="48">
        <f>架空层安装工程!$R$55</f>
        <v>22.09</v>
      </c>
      <c r="S84" s="50">
        <f>架空层安装工程!$S$55</f>
        <v>0.26</v>
      </c>
      <c r="T84" s="12">
        <f>架空层安装工程!$T$55</f>
        <v>0.04</v>
      </c>
      <c r="U84" s="10">
        <f t="shared" si="31"/>
        <v>117.6909</v>
      </c>
    </row>
    <row r="85" spans="1:21" s="5" customFormat="1" ht="72" customHeight="1" outlineLevel="3">
      <c r="A85" s="9">
        <v>68</v>
      </c>
      <c r="B85" s="17">
        <v>31208002003</v>
      </c>
      <c r="C85" s="17" t="s">
        <v>115</v>
      </c>
      <c r="D85" s="17" t="s">
        <v>116</v>
      </c>
      <c r="E85" s="9" t="s">
        <v>117</v>
      </c>
      <c r="F85" s="57">
        <v>0.11</v>
      </c>
      <c r="G85" s="46">
        <f t="shared" si="32"/>
        <v>120</v>
      </c>
      <c r="H85" s="47">
        <f t="shared" si="33"/>
        <v>410</v>
      </c>
      <c r="I85" s="47">
        <f t="shared" si="34"/>
        <v>5</v>
      </c>
      <c r="J85" s="47">
        <f t="shared" si="35"/>
        <v>0</v>
      </c>
      <c r="K85" s="47">
        <f t="shared" si="36"/>
        <v>0</v>
      </c>
      <c r="L85" s="47">
        <f t="shared" si="37"/>
        <v>535</v>
      </c>
      <c r="M85" s="47">
        <f t="shared" si="38"/>
        <v>58.85</v>
      </c>
      <c r="N85" s="8"/>
      <c r="O85" s="10">
        <f t="shared" si="30"/>
        <v>535</v>
      </c>
      <c r="P85" s="48">
        <f>架空层安装工程!$P$58</f>
        <v>400</v>
      </c>
      <c r="Q85" s="49">
        <f>架空层安装工程!$Q$58</f>
        <v>0</v>
      </c>
      <c r="R85" s="48">
        <f>架空层安装工程!$R$58</f>
        <v>120</v>
      </c>
      <c r="S85" s="50">
        <f>架空层安装工程!$S$58</f>
        <v>10</v>
      </c>
      <c r="T85" s="12">
        <f>架空层安装工程!$T$58</f>
        <v>5</v>
      </c>
      <c r="U85" s="10">
        <f t="shared" si="31"/>
        <v>58.85</v>
      </c>
    </row>
    <row r="86" spans="1:21" s="5" customFormat="1" ht="72" customHeight="1" outlineLevel="3">
      <c r="A86" s="9">
        <v>69</v>
      </c>
      <c r="B86" s="17">
        <v>31208002004</v>
      </c>
      <c r="C86" s="17" t="s">
        <v>115</v>
      </c>
      <c r="D86" s="17" t="s">
        <v>118</v>
      </c>
      <c r="E86" s="9" t="s">
        <v>117</v>
      </c>
      <c r="F86" s="57">
        <v>0.03</v>
      </c>
      <c r="G86" s="46">
        <f t="shared" si="32"/>
        <v>120</v>
      </c>
      <c r="H86" s="47">
        <f t="shared" si="33"/>
        <v>410</v>
      </c>
      <c r="I86" s="47">
        <f t="shared" si="34"/>
        <v>5</v>
      </c>
      <c r="J86" s="47">
        <f t="shared" si="35"/>
        <v>0</v>
      </c>
      <c r="K86" s="47">
        <f t="shared" si="36"/>
        <v>0</v>
      </c>
      <c r="L86" s="47">
        <f t="shared" si="37"/>
        <v>535</v>
      </c>
      <c r="M86" s="47">
        <f t="shared" si="38"/>
        <v>16.05</v>
      </c>
      <c r="N86" s="8"/>
      <c r="O86" s="10">
        <f t="shared" si="30"/>
        <v>535</v>
      </c>
      <c r="P86" s="48">
        <f>架空层安装工程!$P$59</f>
        <v>400</v>
      </c>
      <c r="Q86" s="49">
        <f>架空层安装工程!$Q$59</f>
        <v>0</v>
      </c>
      <c r="R86" s="48">
        <f>架空层安装工程!$R$59</f>
        <v>120</v>
      </c>
      <c r="S86" s="50">
        <f>架空层安装工程!$S$59</f>
        <v>10</v>
      </c>
      <c r="T86" s="12">
        <f>架空层安装工程!$T$59</f>
        <v>5</v>
      </c>
      <c r="U86" s="10">
        <f t="shared" si="31"/>
        <v>16.05</v>
      </c>
    </row>
    <row r="87" spans="1:21" s="5" customFormat="1">
      <c r="A87" s="9"/>
      <c r="B87" s="17"/>
      <c r="C87" s="17" t="s">
        <v>328</v>
      </c>
      <c r="D87" s="17"/>
      <c r="E87" s="9"/>
      <c r="F87" s="57"/>
      <c r="G87" s="46"/>
      <c r="H87" s="47"/>
      <c r="I87" s="47"/>
      <c r="J87" s="47"/>
      <c r="K87" s="47"/>
      <c r="L87" s="47"/>
      <c r="M87" s="47"/>
      <c r="N87" s="8"/>
      <c r="O87" s="10">
        <f t="shared" si="30"/>
        <v>0</v>
      </c>
      <c r="P87" s="48"/>
      <c r="Q87" s="49"/>
      <c r="R87" s="48"/>
      <c r="S87" s="50"/>
      <c r="T87" s="12"/>
      <c r="U87" s="10">
        <f t="shared" si="31"/>
        <v>0</v>
      </c>
    </row>
    <row r="88" spans="1:21" s="5" customFormat="1" outlineLevel="1">
      <c r="A88" s="9"/>
      <c r="B88" s="17"/>
      <c r="C88" s="17" t="s">
        <v>34</v>
      </c>
      <c r="D88" s="17"/>
      <c r="E88" s="9"/>
      <c r="F88" s="57"/>
      <c r="G88" s="46"/>
      <c r="H88" s="47"/>
      <c r="I88" s="47"/>
      <c r="J88" s="47"/>
      <c r="K88" s="47"/>
      <c r="L88" s="47"/>
      <c r="M88" s="47"/>
      <c r="N88" s="8"/>
      <c r="O88" s="10">
        <f t="shared" si="30"/>
        <v>0</v>
      </c>
      <c r="P88" s="48"/>
      <c r="Q88" s="49"/>
      <c r="R88" s="48"/>
      <c r="S88" s="50"/>
      <c r="T88" s="12"/>
      <c r="U88" s="10">
        <f t="shared" si="31"/>
        <v>0</v>
      </c>
    </row>
    <row r="89" spans="1:21" s="5" customFormat="1" outlineLevel="2">
      <c r="A89" s="9"/>
      <c r="B89" s="17"/>
      <c r="C89" s="17" t="s">
        <v>123</v>
      </c>
      <c r="D89" s="17"/>
      <c r="E89" s="9"/>
      <c r="F89" s="57"/>
      <c r="G89" s="46"/>
      <c r="H89" s="47"/>
      <c r="I89" s="47"/>
      <c r="J89" s="47"/>
      <c r="K89" s="47"/>
      <c r="L89" s="47"/>
      <c r="M89" s="47"/>
      <c r="N89" s="8"/>
      <c r="O89" s="10">
        <f t="shared" si="30"/>
        <v>0</v>
      </c>
      <c r="P89" s="48"/>
      <c r="Q89" s="49"/>
      <c r="R89" s="48"/>
      <c r="S89" s="50"/>
      <c r="T89" s="12"/>
      <c r="U89" s="10">
        <f t="shared" si="31"/>
        <v>0</v>
      </c>
    </row>
    <row r="90" spans="1:21" s="5" customFormat="1" ht="84" customHeight="1" outlineLevel="3">
      <c r="A90" s="9">
        <v>70</v>
      </c>
      <c r="B90" s="17">
        <v>30413002009</v>
      </c>
      <c r="C90" s="17" t="s">
        <v>268</v>
      </c>
      <c r="D90" s="17" t="s">
        <v>269</v>
      </c>
      <c r="E90" s="9" t="s">
        <v>38</v>
      </c>
      <c r="F90" s="57">
        <v>24</v>
      </c>
      <c r="G90" s="46">
        <f t="shared" ref="G90:G99" si="39">R90*$R$3</f>
        <v>18</v>
      </c>
      <c r="H90" s="47">
        <f t="shared" ref="H90:H99" si="40">P90*(1+Q90)*$P$3+S90*$S$3</f>
        <v>126</v>
      </c>
      <c r="I90" s="47">
        <f t="shared" ref="I90:I99" si="41">T90*$T$3</f>
        <v>8</v>
      </c>
      <c r="J90" s="47">
        <f t="shared" ref="J90:J99" si="42">(G90+H90+I90)*$J$3</f>
        <v>0</v>
      </c>
      <c r="K90" s="47">
        <f t="shared" ref="K90:K99" si="43">(G90+H90+I90+J90)*$K$3</f>
        <v>0</v>
      </c>
      <c r="L90" s="47">
        <f t="shared" ref="L90:L99" si="44">G90+H90+I90+J90+K90</f>
        <v>152</v>
      </c>
      <c r="M90" s="47">
        <f t="shared" ref="M90:M99" si="45">F90*L90</f>
        <v>3648</v>
      </c>
      <c r="N90" s="8"/>
      <c r="O90" s="10">
        <f t="shared" si="30"/>
        <v>152</v>
      </c>
      <c r="P90" s="48">
        <f>$P$8</f>
        <v>120</v>
      </c>
      <c r="Q90" s="49">
        <f>$Q$8</f>
        <v>0</v>
      </c>
      <c r="R90" s="48">
        <f>$R$8</f>
        <v>18</v>
      </c>
      <c r="S90" s="50">
        <f>$S$8</f>
        <v>6</v>
      </c>
      <c r="T90" s="12">
        <f>$T$8</f>
        <v>8</v>
      </c>
      <c r="U90" s="10">
        <f t="shared" si="31"/>
        <v>3648</v>
      </c>
    </row>
    <row r="91" spans="1:21" s="5" customFormat="1" ht="96" customHeight="1" outlineLevel="3">
      <c r="A91" s="9">
        <v>71</v>
      </c>
      <c r="B91" s="17">
        <v>30413002010</v>
      </c>
      <c r="C91" s="17" t="s">
        <v>270</v>
      </c>
      <c r="D91" s="17" t="s">
        <v>271</v>
      </c>
      <c r="E91" s="9" t="s">
        <v>38</v>
      </c>
      <c r="F91" s="57">
        <v>26</v>
      </c>
      <c r="G91" s="46">
        <f t="shared" si="39"/>
        <v>18</v>
      </c>
      <c r="H91" s="47">
        <f t="shared" si="40"/>
        <v>126</v>
      </c>
      <c r="I91" s="47">
        <f t="shared" si="41"/>
        <v>8</v>
      </c>
      <c r="J91" s="47">
        <f t="shared" si="42"/>
        <v>0</v>
      </c>
      <c r="K91" s="47">
        <f t="shared" si="43"/>
        <v>0</v>
      </c>
      <c r="L91" s="47">
        <f t="shared" si="44"/>
        <v>152</v>
      </c>
      <c r="M91" s="47">
        <f t="shared" si="45"/>
        <v>3952</v>
      </c>
      <c r="N91" s="8"/>
      <c r="O91" s="10">
        <f t="shared" si="30"/>
        <v>152</v>
      </c>
      <c r="P91" s="48">
        <f>$P$9</f>
        <v>120</v>
      </c>
      <c r="Q91" s="49">
        <f>$Q$9</f>
        <v>0</v>
      </c>
      <c r="R91" s="48">
        <f>$R$9</f>
        <v>18</v>
      </c>
      <c r="S91" s="50">
        <f>$S$9</f>
        <v>6</v>
      </c>
      <c r="T91" s="12">
        <f>$T$9</f>
        <v>8</v>
      </c>
      <c r="U91" s="10">
        <f t="shared" si="31"/>
        <v>3952</v>
      </c>
    </row>
    <row r="92" spans="1:21" s="5" customFormat="1" ht="84" customHeight="1" outlineLevel="3">
      <c r="A92" s="9">
        <v>72</v>
      </c>
      <c r="B92" s="17">
        <v>30413002011</v>
      </c>
      <c r="C92" s="17" t="s">
        <v>276</v>
      </c>
      <c r="D92" s="17" t="s">
        <v>277</v>
      </c>
      <c r="E92" s="9" t="s">
        <v>38</v>
      </c>
      <c r="F92" s="57">
        <v>5</v>
      </c>
      <c r="G92" s="46">
        <f t="shared" si="39"/>
        <v>18</v>
      </c>
      <c r="H92" s="47">
        <f t="shared" si="40"/>
        <v>126</v>
      </c>
      <c r="I92" s="47">
        <f t="shared" si="41"/>
        <v>8</v>
      </c>
      <c r="J92" s="47">
        <f t="shared" si="42"/>
        <v>0</v>
      </c>
      <c r="K92" s="47">
        <f t="shared" si="43"/>
        <v>0</v>
      </c>
      <c r="L92" s="47">
        <f t="shared" si="44"/>
        <v>152</v>
      </c>
      <c r="M92" s="47">
        <f t="shared" si="45"/>
        <v>760</v>
      </c>
      <c r="N92" s="8"/>
      <c r="O92" s="10">
        <f t="shared" si="30"/>
        <v>152</v>
      </c>
      <c r="P92" s="48">
        <f>$P$12</f>
        <v>120</v>
      </c>
      <c r="Q92" s="49">
        <f>$Q$12</f>
        <v>0</v>
      </c>
      <c r="R92" s="48">
        <f>$R$12</f>
        <v>18</v>
      </c>
      <c r="S92" s="50">
        <f>$S$12</f>
        <v>6</v>
      </c>
      <c r="T92" s="12">
        <f>$T$12</f>
        <v>8</v>
      </c>
      <c r="U92" s="10">
        <f t="shared" si="31"/>
        <v>760</v>
      </c>
    </row>
    <row r="93" spans="1:21" s="5" customFormat="1" ht="84" customHeight="1" outlineLevel="3">
      <c r="A93" s="9">
        <v>73</v>
      </c>
      <c r="B93" s="17">
        <v>30413002012</v>
      </c>
      <c r="C93" s="17" t="s">
        <v>278</v>
      </c>
      <c r="D93" s="17" t="s">
        <v>279</v>
      </c>
      <c r="E93" s="9" t="s">
        <v>43</v>
      </c>
      <c r="F93" s="57">
        <v>51.35</v>
      </c>
      <c r="G93" s="46">
        <f t="shared" si="39"/>
        <v>2.5</v>
      </c>
      <c r="H93" s="47">
        <f t="shared" si="40"/>
        <v>12.5</v>
      </c>
      <c r="I93" s="47">
        <f t="shared" si="41"/>
        <v>0</v>
      </c>
      <c r="J93" s="47">
        <f t="shared" si="42"/>
        <v>0</v>
      </c>
      <c r="K93" s="47">
        <f t="shared" si="43"/>
        <v>0</v>
      </c>
      <c r="L93" s="47">
        <f t="shared" si="44"/>
        <v>15</v>
      </c>
      <c r="M93" s="47">
        <f t="shared" si="45"/>
        <v>770.25</v>
      </c>
      <c r="N93" s="8"/>
      <c r="O93" s="10">
        <f t="shared" si="30"/>
        <v>15</v>
      </c>
      <c r="P93" s="48">
        <f>$P$13</f>
        <v>12</v>
      </c>
      <c r="Q93" s="49">
        <f>$Q$13</f>
        <v>0</v>
      </c>
      <c r="R93" s="48">
        <f>$R$13</f>
        <v>2.5</v>
      </c>
      <c r="S93" s="50">
        <f>$S$13</f>
        <v>0.5</v>
      </c>
      <c r="T93" s="12">
        <f>$T$13</f>
        <v>0</v>
      </c>
      <c r="U93" s="10">
        <f t="shared" si="31"/>
        <v>770.25</v>
      </c>
    </row>
    <row r="94" spans="1:21" s="5" customFormat="1" ht="72" customHeight="1" outlineLevel="3">
      <c r="A94" s="9">
        <v>74</v>
      </c>
      <c r="B94" s="17">
        <v>30413002013</v>
      </c>
      <c r="C94" s="17" t="s">
        <v>282</v>
      </c>
      <c r="D94" s="17" t="s">
        <v>283</v>
      </c>
      <c r="E94" s="9" t="s">
        <v>43</v>
      </c>
      <c r="F94" s="57">
        <v>45.73</v>
      </c>
      <c r="G94" s="46">
        <f t="shared" si="39"/>
        <v>2.5</v>
      </c>
      <c r="H94" s="47">
        <f t="shared" si="40"/>
        <v>12.5</v>
      </c>
      <c r="I94" s="47">
        <f t="shared" si="41"/>
        <v>0</v>
      </c>
      <c r="J94" s="47">
        <f t="shared" si="42"/>
        <v>0</v>
      </c>
      <c r="K94" s="47">
        <f t="shared" si="43"/>
        <v>0</v>
      </c>
      <c r="L94" s="47">
        <f t="shared" si="44"/>
        <v>15</v>
      </c>
      <c r="M94" s="47">
        <f t="shared" si="45"/>
        <v>685.95</v>
      </c>
      <c r="N94" s="8"/>
      <c r="O94" s="10">
        <f t="shared" si="30"/>
        <v>15</v>
      </c>
      <c r="P94" s="48">
        <f>$P$15</f>
        <v>12</v>
      </c>
      <c r="Q94" s="49">
        <f>$Q$15</f>
        <v>0</v>
      </c>
      <c r="R94" s="48">
        <f>$R$15</f>
        <v>2.5</v>
      </c>
      <c r="S94" s="50">
        <f>$S$15</f>
        <v>0.5</v>
      </c>
      <c r="T94" s="12">
        <f>$T$15</f>
        <v>0</v>
      </c>
      <c r="U94" s="10">
        <f t="shared" si="31"/>
        <v>685.95</v>
      </c>
    </row>
    <row r="95" spans="1:21" s="5" customFormat="1" ht="84" customHeight="1" outlineLevel="3">
      <c r="A95" s="9">
        <v>75</v>
      </c>
      <c r="B95" s="17">
        <v>30413009002</v>
      </c>
      <c r="C95" s="17" t="s">
        <v>44</v>
      </c>
      <c r="D95" s="17" t="s">
        <v>45</v>
      </c>
      <c r="E95" s="9" t="s">
        <v>46</v>
      </c>
      <c r="F95" s="57">
        <v>19</v>
      </c>
      <c r="G95" s="46">
        <f t="shared" si="39"/>
        <v>3</v>
      </c>
      <c r="H95" s="47">
        <f t="shared" si="40"/>
        <v>20.5</v>
      </c>
      <c r="I95" s="47">
        <f t="shared" si="41"/>
        <v>0</v>
      </c>
      <c r="J95" s="47">
        <f t="shared" si="42"/>
        <v>0</v>
      </c>
      <c r="K95" s="47">
        <f t="shared" si="43"/>
        <v>0</v>
      </c>
      <c r="L95" s="47">
        <f t="shared" si="44"/>
        <v>23.5</v>
      </c>
      <c r="M95" s="47">
        <f t="shared" si="45"/>
        <v>446.5</v>
      </c>
      <c r="N95" s="8"/>
      <c r="O95" s="10">
        <f t="shared" si="30"/>
        <v>23.5</v>
      </c>
      <c r="P95" s="48">
        <f>架空层安装工程!$P$10</f>
        <v>20</v>
      </c>
      <c r="Q95" s="49">
        <f>架空层安装工程!$Q$10</f>
        <v>0</v>
      </c>
      <c r="R95" s="48">
        <f>架空层安装工程!$R$10</f>
        <v>3</v>
      </c>
      <c r="S95" s="50">
        <f>架空层安装工程!$S$10</f>
        <v>0.5</v>
      </c>
      <c r="T95" s="12">
        <f>架空层安装工程!$T$10</f>
        <v>0</v>
      </c>
      <c r="U95" s="10">
        <f t="shared" si="31"/>
        <v>446.5</v>
      </c>
    </row>
    <row r="96" spans="1:21" s="5" customFormat="1" ht="72" customHeight="1" outlineLevel="3">
      <c r="A96" s="9">
        <v>76</v>
      </c>
      <c r="B96" s="17">
        <v>30405015003</v>
      </c>
      <c r="C96" s="17" t="s">
        <v>284</v>
      </c>
      <c r="D96" s="17" t="s">
        <v>285</v>
      </c>
      <c r="E96" s="9" t="s">
        <v>69</v>
      </c>
      <c r="F96" s="57">
        <v>1</v>
      </c>
      <c r="G96" s="46">
        <f t="shared" si="39"/>
        <v>25</v>
      </c>
      <c r="H96" s="47">
        <f t="shared" si="40"/>
        <v>283</v>
      </c>
      <c r="I96" s="47">
        <f t="shared" si="41"/>
        <v>0</v>
      </c>
      <c r="J96" s="47">
        <f t="shared" si="42"/>
        <v>0</v>
      </c>
      <c r="K96" s="47">
        <f t="shared" si="43"/>
        <v>0</v>
      </c>
      <c r="L96" s="47">
        <f t="shared" si="44"/>
        <v>308</v>
      </c>
      <c r="M96" s="47">
        <f t="shared" si="45"/>
        <v>308</v>
      </c>
      <c r="N96" s="8"/>
      <c r="O96" s="10">
        <f t="shared" si="30"/>
        <v>308</v>
      </c>
      <c r="P96" s="48">
        <f>$P$17</f>
        <v>280</v>
      </c>
      <c r="Q96" s="49">
        <f>$Q$17</f>
        <v>0</v>
      </c>
      <c r="R96" s="48">
        <f>$R$17</f>
        <v>25</v>
      </c>
      <c r="S96" s="50">
        <f>$S$17</f>
        <v>3</v>
      </c>
      <c r="T96" s="12">
        <f>$T$17</f>
        <v>0</v>
      </c>
      <c r="U96" s="10">
        <f t="shared" si="31"/>
        <v>308</v>
      </c>
    </row>
    <row r="97" spans="1:21" s="5" customFormat="1" ht="72" customHeight="1" outlineLevel="3">
      <c r="A97" s="22">
        <v>77</v>
      </c>
      <c r="B97" s="23">
        <v>30405015004</v>
      </c>
      <c r="C97" s="23" t="s">
        <v>329</v>
      </c>
      <c r="D97" s="23" t="s">
        <v>330</v>
      </c>
      <c r="E97" s="22" t="s">
        <v>69</v>
      </c>
      <c r="F97" s="58">
        <v>3</v>
      </c>
      <c r="G97" s="45">
        <f t="shared" si="39"/>
        <v>30</v>
      </c>
      <c r="H97" s="26">
        <f t="shared" si="40"/>
        <v>553</v>
      </c>
      <c r="I97" s="26">
        <f t="shared" si="41"/>
        <v>0</v>
      </c>
      <c r="J97" s="26">
        <f t="shared" si="42"/>
        <v>0</v>
      </c>
      <c r="K97" s="26">
        <f t="shared" si="43"/>
        <v>0</v>
      </c>
      <c r="L97" s="26">
        <f t="shared" si="44"/>
        <v>583</v>
      </c>
      <c r="M97" s="26">
        <f t="shared" si="45"/>
        <v>1749</v>
      </c>
      <c r="N97" s="28"/>
      <c r="O97" s="24">
        <f t="shared" si="30"/>
        <v>583</v>
      </c>
      <c r="P97" s="29">
        <v>550</v>
      </c>
      <c r="Q97" s="30">
        <v>0</v>
      </c>
      <c r="R97" s="29">
        <v>30</v>
      </c>
      <c r="S97" s="31">
        <v>3</v>
      </c>
      <c r="T97" s="32">
        <v>0</v>
      </c>
      <c r="U97" s="24">
        <f t="shared" si="31"/>
        <v>1749</v>
      </c>
    </row>
    <row r="98" spans="1:21" s="5" customFormat="1" ht="72" customHeight="1" outlineLevel="3">
      <c r="A98" s="22">
        <v>78</v>
      </c>
      <c r="B98" s="23">
        <v>30405015005</v>
      </c>
      <c r="C98" s="23" t="s">
        <v>331</v>
      </c>
      <c r="D98" s="23" t="s">
        <v>332</v>
      </c>
      <c r="E98" s="22" t="s">
        <v>69</v>
      </c>
      <c r="F98" s="58">
        <v>3</v>
      </c>
      <c r="G98" s="45">
        <f t="shared" si="39"/>
        <v>21</v>
      </c>
      <c r="H98" s="26">
        <f t="shared" si="40"/>
        <v>157</v>
      </c>
      <c r="I98" s="26">
        <f t="shared" si="41"/>
        <v>0</v>
      </c>
      <c r="J98" s="26">
        <f t="shared" si="42"/>
        <v>0</v>
      </c>
      <c r="K98" s="26">
        <f t="shared" si="43"/>
        <v>0</v>
      </c>
      <c r="L98" s="26">
        <f t="shared" si="44"/>
        <v>178</v>
      </c>
      <c r="M98" s="26">
        <f t="shared" si="45"/>
        <v>534</v>
      </c>
      <c r="N98" s="28"/>
      <c r="O98" s="24">
        <f t="shared" si="30"/>
        <v>178</v>
      </c>
      <c r="P98" s="29">
        <v>155</v>
      </c>
      <c r="Q98" s="30">
        <v>0</v>
      </c>
      <c r="R98" s="29">
        <v>21</v>
      </c>
      <c r="S98" s="31">
        <v>2</v>
      </c>
      <c r="T98" s="32">
        <v>0</v>
      </c>
      <c r="U98" s="24">
        <f t="shared" si="31"/>
        <v>534</v>
      </c>
    </row>
    <row r="99" spans="1:21" s="5" customFormat="1" ht="72" customHeight="1" outlineLevel="3">
      <c r="A99" s="9">
        <v>79</v>
      </c>
      <c r="B99" s="17">
        <v>30405017002</v>
      </c>
      <c r="C99" s="17" t="s">
        <v>168</v>
      </c>
      <c r="D99" s="17" t="s">
        <v>169</v>
      </c>
      <c r="E99" s="9" t="s">
        <v>69</v>
      </c>
      <c r="F99" s="57">
        <v>1</v>
      </c>
      <c r="G99" s="46">
        <f t="shared" si="39"/>
        <v>250</v>
      </c>
      <c r="H99" s="47">
        <f t="shared" si="40"/>
        <v>4235</v>
      </c>
      <c r="I99" s="47">
        <f t="shared" si="41"/>
        <v>8.5</v>
      </c>
      <c r="J99" s="47">
        <f t="shared" si="42"/>
        <v>0</v>
      </c>
      <c r="K99" s="47">
        <f t="shared" si="43"/>
        <v>0</v>
      </c>
      <c r="L99" s="47">
        <f t="shared" si="44"/>
        <v>4493.5</v>
      </c>
      <c r="M99" s="47">
        <f t="shared" si="45"/>
        <v>4493.5</v>
      </c>
      <c r="N99" s="8"/>
      <c r="O99" s="10">
        <f t="shared" si="30"/>
        <v>4493.5</v>
      </c>
      <c r="P99" s="48">
        <f>$P$19</f>
        <v>4200</v>
      </c>
      <c r="Q99" s="49">
        <f>$Q$19</f>
        <v>0</v>
      </c>
      <c r="R99" s="48">
        <f>$R$19</f>
        <v>250</v>
      </c>
      <c r="S99" s="50">
        <f>$S$19</f>
        <v>35</v>
      </c>
      <c r="T99" s="12">
        <f>$T$19</f>
        <v>8.5</v>
      </c>
      <c r="U99" s="10">
        <f t="shared" si="31"/>
        <v>4493.5</v>
      </c>
    </row>
    <row r="100" spans="1:21" s="5" customFormat="1" outlineLevel="2">
      <c r="A100" s="9"/>
      <c r="B100" s="17"/>
      <c r="C100" s="17" t="s">
        <v>53</v>
      </c>
      <c r="D100" s="17"/>
      <c r="E100" s="9"/>
      <c r="F100" s="57"/>
      <c r="G100" s="46"/>
      <c r="H100" s="47"/>
      <c r="I100" s="47"/>
      <c r="J100" s="47"/>
      <c r="K100" s="47"/>
      <c r="L100" s="47"/>
      <c r="M100" s="47"/>
      <c r="N100" s="8"/>
      <c r="O100" s="10">
        <f t="shared" si="30"/>
        <v>0</v>
      </c>
      <c r="P100" s="48"/>
      <c r="Q100" s="49"/>
      <c r="R100" s="48"/>
      <c r="S100" s="50"/>
      <c r="T100" s="12"/>
      <c r="U100" s="10">
        <f t="shared" si="31"/>
        <v>0</v>
      </c>
    </row>
    <row r="101" spans="1:21" s="5" customFormat="1" ht="72" customHeight="1" outlineLevel="3">
      <c r="A101" s="9">
        <v>80</v>
      </c>
      <c r="B101" s="17">
        <v>30413013009</v>
      </c>
      <c r="C101" s="17" t="s">
        <v>54</v>
      </c>
      <c r="D101" s="17" t="s">
        <v>55</v>
      </c>
      <c r="E101" s="9" t="s">
        <v>38</v>
      </c>
      <c r="F101" s="57">
        <v>1</v>
      </c>
      <c r="G101" s="46">
        <f t="shared" ref="G101:G111" si="46">R101*$R$3</f>
        <v>6.31</v>
      </c>
      <c r="H101" s="47">
        <f t="shared" ref="H101:H111" si="47">P101*(1+Q101)*$P$3+S101*$S$3</f>
        <v>15.74</v>
      </c>
      <c r="I101" s="47">
        <f t="shared" ref="I101:I111" si="48">T101*$T$3</f>
        <v>0</v>
      </c>
      <c r="J101" s="47">
        <f t="shared" ref="J101:J111" si="49">(G101+H101+I101)*$J$3</f>
        <v>0</v>
      </c>
      <c r="K101" s="47">
        <f t="shared" ref="K101:K111" si="50">(G101+H101+I101+J101)*$K$3</f>
        <v>0</v>
      </c>
      <c r="L101" s="47">
        <f t="shared" ref="L101:L111" si="51">G101+H101+I101+J101+K101</f>
        <v>22.05</v>
      </c>
      <c r="M101" s="47">
        <f t="shared" ref="M101:M111" si="52">F101*L101</f>
        <v>22.05</v>
      </c>
      <c r="N101" s="8"/>
      <c r="O101" s="10">
        <f t="shared" si="30"/>
        <v>22.05</v>
      </c>
      <c r="P101" s="48">
        <f>公共区域安装工程!$P$14</f>
        <v>14.62</v>
      </c>
      <c r="Q101" s="49">
        <f>公共区域安装工程!$Q$14</f>
        <v>0</v>
      </c>
      <c r="R101" s="48">
        <f>公共区域安装工程!$R$14</f>
        <v>6.31</v>
      </c>
      <c r="S101" s="50">
        <f>公共区域安装工程!$S$14</f>
        <v>1.1200000000000001</v>
      </c>
      <c r="T101" s="12">
        <f>公共区域安装工程!$T$14</f>
        <v>0</v>
      </c>
      <c r="U101" s="10">
        <f t="shared" si="31"/>
        <v>22.05</v>
      </c>
    </row>
    <row r="102" spans="1:21" s="5" customFormat="1" ht="72" customHeight="1" outlineLevel="3">
      <c r="A102" s="9">
        <v>81</v>
      </c>
      <c r="B102" s="17">
        <v>30413013010</v>
      </c>
      <c r="C102" s="17" t="s">
        <v>54</v>
      </c>
      <c r="D102" s="17" t="s">
        <v>57</v>
      </c>
      <c r="E102" s="9" t="s">
        <v>38</v>
      </c>
      <c r="F102" s="57">
        <v>5</v>
      </c>
      <c r="G102" s="46">
        <f t="shared" si="46"/>
        <v>12</v>
      </c>
      <c r="H102" s="47">
        <f t="shared" si="47"/>
        <v>21.5</v>
      </c>
      <c r="I102" s="47">
        <f t="shared" si="48"/>
        <v>0</v>
      </c>
      <c r="J102" s="47">
        <f t="shared" si="49"/>
        <v>0</v>
      </c>
      <c r="K102" s="47">
        <f t="shared" si="50"/>
        <v>0</v>
      </c>
      <c r="L102" s="47">
        <f t="shared" si="51"/>
        <v>33.5</v>
      </c>
      <c r="M102" s="47">
        <f t="shared" si="52"/>
        <v>167.5</v>
      </c>
      <c r="N102" s="8"/>
      <c r="O102" s="10">
        <f t="shared" si="30"/>
        <v>33.5</v>
      </c>
      <c r="P102" s="48">
        <f>公共区域安装工程!$P$15</f>
        <v>20</v>
      </c>
      <c r="Q102" s="49">
        <f>公共区域安装工程!$Q$15</f>
        <v>0</v>
      </c>
      <c r="R102" s="48">
        <f>公共区域安装工程!$R$15</f>
        <v>12</v>
      </c>
      <c r="S102" s="50">
        <f>公共区域安装工程!$S$15</f>
        <v>1.5</v>
      </c>
      <c r="T102" s="12">
        <f>公共区域安装工程!$T$15</f>
        <v>0</v>
      </c>
      <c r="U102" s="10">
        <f t="shared" si="31"/>
        <v>167.5</v>
      </c>
    </row>
    <row r="103" spans="1:21" s="5" customFormat="1" ht="72" customHeight="1" outlineLevel="3">
      <c r="A103" s="9">
        <v>82</v>
      </c>
      <c r="B103" s="17">
        <v>30413013011</v>
      </c>
      <c r="C103" s="17" t="s">
        <v>54</v>
      </c>
      <c r="D103" s="17" t="s">
        <v>288</v>
      </c>
      <c r="E103" s="9" t="s">
        <v>38</v>
      </c>
      <c r="F103" s="57">
        <v>2</v>
      </c>
      <c r="G103" s="46">
        <f t="shared" si="46"/>
        <v>10</v>
      </c>
      <c r="H103" s="47">
        <f t="shared" si="47"/>
        <v>19.5</v>
      </c>
      <c r="I103" s="47">
        <f t="shared" si="48"/>
        <v>0</v>
      </c>
      <c r="J103" s="47">
        <f t="shared" si="49"/>
        <v>0</v>
      </c>
      <c r="K103" s="47">
        <f t="shared" si="50"/>
        <v>0</v>
      </c>
      <c r="L103" s="47">
        <f t="shared" si="51"/>
        <v>29.5</v>
      </c>
      <c r="M103" s="47">
        <f t="shared" si="52"/>
        <v>59</v>
      </c>
      <c r="N103" s="8"/>
      <c r="O103" s="10">
        <f t="shared" si="30"/>
        <v>29.5</v>
      </c>
      <c r="P103" s="48">
        <f>户内交标安装工程!$P$21</f>
        <v>18</v>
      </c>
      <c r="Q103" s="49">
        <f>户内交标安装工程!$Q$21</f>
        <v>0</v>
      </c>
      <c r="R103" s="48">
        <f>户内交标安装工程!$R$21</f>
        <v>10</v>
      </c>
      <c r="S103" s="50">
        <f>户内交标安装工程!$S$21</f>
        <v>1.5</v>
      </c>
      <c r="T103" s="12">
        <f>户内交标安装工程!$T$21</f>
        <v>0</v>
      </c>
      <c r="U103" s="10">
        <f t="shared" si="31"/>
        <v>59</v>
      </c>
    </row>
    <row r="104" spans="1:21" s="5" customFormat="1" ht="72" customHeight="1" outlineLevel="3">
      <c r="A104" s="9">
        <v>83</v>
      </c>
      <c r="B104" s="17">
        <v>30413013012</v>
      </c>
      <c r="C104" s="17" t="s">
        <v>54</v>
      </c>
      <c r="D104" s="17" t="s">
        <v>289</v>
      </c>
      <c r="E104" s="9" t="s">
        <v>38</v>
      </c>
      <c r="F104" s="57">
        <v>6</v>
      </c>
      <c r="G104" s="46">
        <f t="shared" si="46"/>
        <v>12</v>
      </c>
      <c r="H104" s="47">
        <f t="shared" si="47"/>
        <v>21.5</v>
      </c>
      <c r="I104" s="47">
        <f t="shared" si="48"/>
        <v>0</v>
      </c>
      <c r="J104" s="47">
        <f t="shared" si="49"/>
        <v>0</v>
      </c>
      <c r="K104" s="47">
        <f t="shared" si="50"/>
        <v>0</v>
      </c>
      <c r="L104" s="47">
        <f t="shared" si="51"/>
        <v>33.5</v>
      </c>
      <c r="M104" s="47">
        <f t="shared" si="52"/>
        <v>201</v>
      </c>
      <c r="N104" s="8"/>
      <c r="O104" s="10">
        <f t="shared" si="30"/>
        <v>33.5</v>
      </c>
      <c r="P104" s="48">
        <f>户内交标安装工程!$P$22</f>
        <v>20</v>
      </c>
      <c r="Q104" s="49">
        <f>户内交标安装工程!$Q$22</f>
        <v>0</v>
      </c>
      <c r="R104" s="48">
        <f>户内交标安装工程!$R$22</f>
        <v>12</v>
      </c>
      <c r="S104" s="50">
        <f>户内交标安装工程!$S$22</f>
        <v>1.5</v>
      </c>
      <c r="T104" s="12">
        <f>户内交标安装工程!$T$22</f>
        <v>0</v>
      </c>
      <c r="U104" s="10">
        <f t="shared" si="31"/>
        <v>201</v>
      </c>
    </row>
    <row r="105" spans="1:21" s="5" customFormat="1" ht="72" customHeight="1" outlineLevel="3">
      <c r="A105" s="9">
        <v>84</v>
      </c>
      <c r="B105" s="17">
        <v>30413013013</v>
      </c>
      <c r="C105" s="17" t="s">
        <v>54</v>
      </c>
      <c r="D105" s="17" t="s">
        <v>290</v>
      </c>
      <c r="E105" s="9" t="s">
        <v>38</v>
      </c>
      <c r="F105" s="57">
        <v>8</v>
      </c>
      <c r="G105" s="46">
        <f t="shared" si="46"/>
        <v>6.31</v>
      </c>
      <c r="H105" s="47">
        <f t="shared" si="47"/>
        <v>15.74</v>
      </c>
      <c r="I105" s="47">
        <f t="shared" si="48"/>
        <v>0</v>
      </c>
      <c r="J105" s="47">
        <f t="shared" si="49"/>
        <v>0</v>
      </c>
      <c r="K105" s="47">
        <f t="shared" si="50"/>
        <v>0</v>
      </c>
      <c r="L105" s="47">
        <f t="shared" si="51"/>
        <v>22.05</v>
      </c>
      <c r="M105" s="47">
        <f t="shared" si="52"/>
        <v>176.4</v>
      </c>
      <c r="N105" s="8"/>
      <c r="O105" s="10">
        <f t="shared" si="30"/>
        <v>22.05</v>
      </c>
      <c r="P105" s="48">
        <f>$P$26</f>
        <v>14.62</v>
      </c>
      <c r="Q105" s="49">
        <f>$Q$26</f>
        <v>0</v>
      </c>
      <c r="R105" s="48">
        <f>$R$26</f>
        <v>6.31</v>
      </c>
      <c r="S105" s="50">
        <f>$S$26</f>
        <v>1.1200000000000001</v>
      </c>
      <c r="T105" s="12">
        <f>$T$26</f>
        <v>0</v>
      </c>
      <c r="U105" s="10">
        <f t="shared" si="31"/>
        <v>176.4</v>
      </c>
    </row>
    <row r="106" spans="1:21" s="5" customFormat="1" ht="72" customHeight="1" outlineLevel="3">
      <c r="A106" s="9">
        <v>85</v>
      </c>
      <c r="B106" s="17">
        <v>30413014009</v>
      </c>
      <c r="C106" s="17" t="s">
        <v>58</v>
      </c>
      <c r="D106" s="17" t="s">
        <v>59</v>
      </c>
      <c r="E106" s="9" t="s">
        <v>38</v>
      </c>
      <c r="F106" s="57">
        <v>21</v>
      </c>
      <c r="G106" s="46">
        <f t="shared" si="46"/>
        <v>6.31</v>
      </c>
      <c r="H106" s="47">
        <f t="shared" si="47"/>
        <v>15.74</v>
      </c>
      <c r="I106" s="47">
        <f t="shared" si="48"/>
        <v>0</v>
      </c>
      <c r="J106" s="47">
        <f t="shared" si="49"/>
        <v>0</v>
      </c>
      <c r="K106" s="47">
        <f t="shared" si="50"/>
        <v>0</v>
      </c>
      <c r="L106" s="47">
        <f t="shared" si="51"/>
        <v>22.05</v>
      </c>
      <c r="M106" s="47">
        <f t="shared" si="52"/>
        <v>463.05</v>
      </c>
      <c r="N106" s="8"/>
      <c r="O106" s="10">
        <f t="shared" si="30"/>
        <v>22.05</v>
      </c>
      <c r="P106" s="48">
        <f>公共区域安装工程!$P$16</f>
        <v>14.62</v>
      </c>
      <c r="Q106" s="49">
        <f>公共区域安装工程!$Q$16</f>
        <v>0</v>
      </c>
      <c r="R106" s="48">
        <f>公共区域安装工程!$R$16</f>
        <v>6.31</v>
      </c>
      <c r="S106" s="50">
        <f>公共区域安装工程!$S$16</f>
        <v>1.1200000000000001</v>
      </c>
      <c r="T106" s="12">
        <f>公共区域安装工程!$T$16</f>
        <v>0</v>
      </c>
      <c r="U106" s="10">
        <f t="shared" si="31"/>
        <v>463.05</v>
      </c>
    </row>
    <row r="107" spans="1:21" s="5" customFormat="1" ht="72" customHeight="1" outlineLevel="3">
      <c r="A107" s="9">
        <v>86</v>
      </c>
      <c r="B107" s="17">
        <v>30413014010</v>
      </c>
      <c r="C107" s="17" t="s">
        <v>58</v>
      </c>
      <c r="D107" s="17" t="s">
        <v>172</v>
      </c>
      <c r="E107" s="9" t="s">
        <v>38</v>
      </c>
      <c r="F107" s="57">
        <v>16</v>
      </c>
      <c r="G107" s="46">
        <f t="shared" si="46"/>
        <v>6.31</v>
      </c>
      <c r="H107" s="47">
        <f t="shared" si="47"/>
        <v>15.74</v>
      </c>
      <c r="I107" s="47">
        <f t="shared" si="48"/>
        <v>0</v>
      </c>
      <c r="J107" s="47">
        <f t="shared" si="49"/>
        <v>0</v>
      </c>
      <c r="K107" s="47">
        <f t="shared" si="50"/>
        <v>0</v>
      </c>
      <c r="L107" s="47">
        <f t="shared" si="51"/>
        <v>22.05</v>
      </c>
      <c r="M107" s="47">
        <f t="shared" si="52"/>
        <v>352.8</v>
      </c>
      <c r="N107" s="8"/>
      <c r="O107" s="10">
        <f t="shared" si="30"/>
        <v>22.05</v>
      </c>
      <c r="P107" s="48">
        <f>$P$28</f>
        <v>14.62</v>
      </c>
      <c r="Q107" s="49">
        <f>$Q$28</f>
        <v>0</v>
      </c>
      <c r="R107" s="48">
        <f>$R$28</f>
        <v>6.31</v>
      </c>
      <c r="S107" s="50">
        <f>$S$28</f>
        <v>1.1200000000000001</v>
      </c>
      <c r="T107" s="12">
        <f>$T$28</f>
        <v>0</v>
      </c>
      <c r="U107" s="10">
        <f t="shared" si="31"/>
        <v>352.8</v>
      </c>
    </row>
    <row r="108" spans="1:21" s="5" customFormat="1" ht="72" customHeight="1" outlineLevel="3">
      <c r="A108" s="9">
        <v>87</v>
      </c>
      <c r="B108" s="17">
        <v>30413014011</v>
      </c>
      <c r="C108" s="17" t="s">
        <v>58</v>
      </c>
      <c r="D108" s="17" t="s">
        <v>291</v>
      </c>
      <c r="E108" s="9" t="s">
        <v>38</v>
      </c>
      <c r="F108" s="57">
        <v>3</v>
      </c>
      <c r="G108" s="46">
        <f t="shared" si="46"/>
        <v>6.31</v>
      </c>
      <c r="H108" s="47">
        <f t="shared" si="47"/>
        <v>15.74</v>
      </c>
      <c r="I108" s="47">
        <f t="shared" si="48"/>
        <v>0</v>
      </c>
      <c r="J108" s="47">
        <f t="shared" si="49"/>
        <v>0</v>
      </c>
      <c r="K108" s="47">
        <f t="shared" si="50"/>
        <v>0</v>
      </c>
      <c r="L108" s="47">
        <f t="shared" si="51"/>
        <v>22.05</v>
      </c>
      <c r="M108" s="47">
        <f t="shared" si="52"/>
        <v>66.150000000000006</v>
      </c>
      <c r="N108" s="8"/>
      <c r="O108" s="10">
        <f t="shared" si="30"/>
        <v>22.05</v>
      </c>
      <c r="P108" s="48">
        <f>$P$29</f>
        <v>14.62</v>
      </c>
      <c r="Q108" s="49">
        <f>$Q$29</f>
        <v>0</v>
      </c>
      <c r="R108" s="48">
        <f>$R$29</f>
        <v>6.31</v>
      </c>
      <c r="S108" s="50">
        <f>$S$29</f>
        <v>1.1200000000000001</v>
      </c>
      <c r="T108" s="12">
        <f>$T$29</f>
        <v>0</v>
      </c>
      <c r="U108" s="10">
        <f t="shared" si="31"/>
        <v>66.150000000000006</v>
      </c>
    </row>
    <row r="109" spans="1:21" s="5" customFormat="1" ht="84" customHeight="1" outlineLevel="3">
      <c r="A109" s="9">
        <v>88</v>
      </c>
      <c r="B109" s="17">
        <v>30413014012</v>
      </c>
      <c r="C109" s="17" t="s">
        <v>58</v>
      </c>
      <c r="D109" s="17" t="s">
        <v>174</v>
      </c>
      <c r="E109" s="9" t="s">
        <v>38</v>
      </c>
      <c r="F109" s="57">
        <v>2</v>
      </c>
      <c r="G109" s="46">
        <f t="shared" si="46"/>
        <v>6.31</v>
      </c>
      <c r="H109" s="47">
        <f t="shared" si="47"/>
        <v>15.74</v>
      </c>
      <c r="I109" s="47">
        <f t="shared" si="48"/>
        <v>0</v>
      </c>
      <c r="J109" s="47">
        <f t="shared" si="49"/>
        <v>0</v>
      </c>
      <c r="K109" s="47">
        <f t="shared" si="50"/>
        <v>0</v>
      </c>
      <c r="L109" s="47">
        <f t="shared" si="51"/>
        <v>22.05</v>
      </c>
      <c r="M109" s="47">
        <f t="shared" si="52"/>
        <v>44.1</v>
      </c>
      <c r="N109" s="8"/>
      <c r="O109" s="10">
        <f t="shared" si="30"/>
        <v>22.05</v>
      </c>
      <c r="P109" s="48">
        <f>$P$31</f>
        <v>14.62</v>
      </c>
      <c r="Q109" s="49">
        <f>$Q$31</f>
        <v>0</v>
      </c>
      <c r="R109" s="48">
        <f>$R$31</f>
        <v>6.31</v>
      </c>
      <c r="S109" s="50">
        <f>$S$31</f>
        <v>1.1200000000000001</v>
      </c>
      <c r="T109" s="12">
        <f>$T$31</f>
        <v>0</v>
      </c>
      <c r="U109" s="10">
        <f t="shared" si="31"/>
        <v>44.1</v>
      </c>
    </row>
    <row r="110" spans="1:21" s="5" customFormat="1" ht="72" customHeight="1" outlineLevel="3">
      <c r="A110" s="9">
        <v>89</v>
      </c>
      <c r="B110" s="17">
        <v>30413014013</v>
      </c>
      <c r="C110" s="17" t="s">
        <v>58</v>
      </c>
      <c r="D110" s="17" t="s">
        <v>60</v>
      </c>
      <c r="E110" s="9" t="s">
        <v>38</v>
      </c>
      <c r="F110" s="57">
        <v>3</v>
      </c>
      <c r="G110" s="46">
        <f t="shared" si="46"/>
        <v>6.31</v>
      </c>
      <c r="H110" s="47">
        <f t="shared" si="47"/>
        <v>15.74</v>
      </c>
      <c r="I110" s="47">
        <f t="shared" si="48"/>
        <v>0</v>
      </c>
      <c r="J110" s="47">
        <f t="shared" si="49"/>
        <v>0</v>
      </c>
      <c r="K110" s="47">
        <f t="shared" si="50"/>
        <v>0</v>
      </c>
      <c r="L110" s="47">
        <f t="shared" si="51"/>
        <v>22.05</v>
      </c>
      <c r="M110" s="47">
        <f t="shared" si="52"/>
        <v>66.150000000000006</v>
      </c>
      <c r="N110" s="8"/>
      <c r="O110" s="10">
        <f t="shared" si="30"/>
        <v>22.05</v>
      </c>
      <c r="P110" s="48">
        <f>架空层安装工程!$P$19</f>
        <v>14.62</v>
      </c>
      <c r="Q110" s="49">
        <f>架空层安装工程!$Q$19</f>
        <v>0</v>
      </c>
      <c r="R110" s="48">
        <f>架空层安装工程!$R$19</f>
        <v>6.31</v>
      </c>
      <c r="S110" s="50">
        <f>架空层安装工程!$S$19</f>
        <v>1.1200000000000001</v>
      </c>
      <c r="T110" s="12">
        <f>架空层安装工程!$T$19</f>
        <v>0</v>
      </c>
      <c r="U110" s="10">
        <f t="shared" si="31"/>
        <v>66.150000000000006</v>
      </c>
    </row>
    <row r="111" spans="1:21" s="5" customFormat="1" ht="72" customHeight="1" outlineLevel="3">
      <c r="A111" s="22">
        <v>90</v>
      </c>
      <c r="B111" s="23">
        <v>30413014014</v>
      </c>
      <c r="C111" s="23" t="s">
        <v>58</v>
      </c>
      <c r="D111" s="23" t="s">
        <v>333</v>
      </c>
      <c r="E111" s="22" t="s">
        <v>38</v>
      </c>
      <c r="F111" s="58">
        <v>1</v>
      </c>
      <c r="G111" s="45">
        <f t="shared" si="46"/>
        <v>6.31</v>
      </c>
      <c r="H111" s="26">
        <f t="shared" si="47"/>
        <v>15.74</v>
      </c>
      <c r="I111" s="26">
        <f t="shared" si="48"/>
        <v>0</v>
      </c>
      <c r="J111" s="26">
        <f t="shared" si="49"/>
        <v>0</v>
      </c>
      <c r="K111" s="26">
        <f t="shared" si="50"/>
        <v>0</v>
      </c>
      <c r="L111" s="26">
        <f t="shared" si="51"/>
        <v>22.05</v>
      </c>
      <c r="M111" s="26">
        <f t="shared" si="52"/>
        <v>22.05</v>
      </c>
      <c r="N111" s="28"/>
      <c r="O111" s="24">
        <f t="shared" si="30"/>
        <v>22.05</v>
      </c>
      <c r="P111" s="29">
        <v>14.62</v>
      </c>
      <c r="Q111" s="30">
        <v>0</v>
      </c>
      <c r="R111" s="29">
        <v>6.31</v>
      </c>
      <c r="S111" s="31">
        <v>1.1200000000000001</v>
      </c>
      <c r="T111" s="32">
        <v>0</v>
      </c>
      <c r="U111" s="24">
        <f t="shared" si="31"/>
        <v>22.05</v>
      </c>
    </row>
    <row r="112" spans="1:21" s="5" customFormat="1" outlineLevel="2">
      <c r="A112" s="9"/>
      <c r="B112" s="17"/>
      <c r="C112" s="17" t="s">
        <v>176</v>
      </c>
      <c r="D112" s="17"/>
      <c r="E112" s="9"/>
      <c r="F112" s="57"/>
      <c r="G112" s="46"/>
      <c r="H112" s="47"/>
      <c r="I112" s="47"/>
      <c r="J112" s="47"/>
      <c r="K112" s="47"/>
      <c r="L112" s="47"/>
      <c r="M112" s="47"/>
      <c r="N112" s="8"/>
      <c r="O112" s="10">
        <f t="shared" si="30"/>
        <v>0</v>
      </c>
      <c r="P112" s="48"/>
      <c r="Q112" s="49"/>
      <c r="R112" s="48"/>
      <c r="S112" s="50"/>
      <c r="T112" s="12"/>
      <c r="U112" s="10">
        <f t="shared" si="31"/>
        <v>0</v>
      </c>
    </row>
    <row r="113" spans="1:21" s="5" customFormat="1" ht="72" customHeight="1" outlineLevel="3">
      <c r="A113" s="9">
        <v>91</v>
      </c>
      <c r="B113" s="17">
        <v>30412004005</v>
      </c>
      <c r="C113" s="17" t="s">
        <v>61</v>
      </c>
      <c r="D113" s="17" t="s">
        <v>292</v>
      </c>
      <c r="E113" s="9" t="s">
        <v>43</v>
      </c>
      <c r="F113" s="57">
        <v>268.43</v>
      </c>
      <c r="G113" s="46">
        <f>R113*$R$3</f>
        <v>1.58</v>
      </c>
      <c r="H113" s="47">
        <f>P113*(1+Q113)*$P$3+S113*$S$3</f>
        <v>2.1280000000000001</v>
      </c>
      <c r="I113" s="47">
        <f>T113*$T$3</f>
        <v>0.02</v>
      </c>
      <c r="J113" s="47">
        <f>(G113+H113+I113)*$J$3</f>
        <v>0</v>
      </c>
      <c r="K113" s="47">
        <f>(G113+H113+I113+J113)*$K$3</f>
        <v>0</v>
      </c>
      <c r="L113" s="47">
        <f>G113+H113+I113+J113+K113</f>
        <v>3.7280000000000002</v>
      </c>
      <c r="M113" s="47">
        <f>F113*L113</f>
        <v>1000.70704</v>
      </c>
      <c r="N113" s="8"/>
      <c r="O113" s="10">
        <f t="shared" si="30"/>
        <v>3.7280000000000002</v>
      </c>
      <c r="P113" s="48">
        <f>$P$34</f>
        <v>1.9</v>
      </c>
      <c r="Q113" s="49">
        <f>$Q$34</f>
        <v>0.02</v>
      </c>
      <c r="R113" s="48">
        <f>$R$34</f>
        <v>1.58</v>
      </c>
      <c r="S113" s="50">
        <f>$S$34</f>
        <v>0.19</v>
      </c>
      <c r="T113" s="12">
        <f>$T$34</f>
        <v>0.02</v>
      </c>
      <c r="U113" s="10">
        <f t="shared" si="31"/>
        <v>1000.70704</v>
      </c>
    </row>
    <row r="114" spans="1:21" s="5" customFormat="1" ht="72" customHeight="1" outlineLevel="3">
      <c r="A114" s="9">
        <v>92</v>
      </c>
      <c r="B114" s="17">
        <v>30412004006</v>
      </c>
      <c r="C114" s="17" t="s">
        <v>61</v>
      </c>
      <c r="D114" s="17" t="s">
        <v>293</v>
      </c>
      <c r="E114" s="9" t="s">
        <v>43</v>
      </c>
      <c r="F114" s="57">
        <v>1130.8399999999999</v>
      </c>
      <c r="G114" s="46">
        <f>R114*$R$3</f>
        <v>2.1</v>
      </c>
      <c r="H114" s="47">
        <f>P114*(1+Q114)*$P$3+S114*$S$3</f>
        <v>3.0354000000000001</v>
      </c>
      <c r="I114" s="47">
        <f>T114*$T$3</f>
        <v>0.02</v>
      </c>
      <c r="J114" s="47">
        <f>(G114+H114+I114)*$J$3</f>
        <v>0</v>
      </c>
      <c r="K114" s="47">
        <f>(G114+H114+I114+J114)*$K$3</f>
        <v>0</v>
      </c>
      <c r="L114" s="47">
        <f>G114+H114+I114+J114+K114</f>
        <v>5.1554000000000002</v>
      </c>
      <c r="M114" s="47">
        <f>F114*L114</f>
        <v>5829.9325360000003</v>
      </c>
      <c r="N114" s="8"/>
      <c r="O114" s="10">
        <f t="shared" si="30"/>
        <v>5.1554000000000002</v>
      </c>
      <c r="P114" s="48">
        <f>公共区域安装工程!$P$22</f>
        <v>2.77</v>
      </c>
      <c r="Q114" s="49">
        <f>公共区域安装工程!$Q$22</f>
        <v>0.02</v>
      </c>
      <c r="R114" s="48">
        <f>公共区域安装工程!$R$22</f>
        <v>2.1</v>
      </c>
      <c r="S114" s="50">
        <f>公共区域安装工程!$S$22</f>
        <v>0.21</v>
      </c>
      <c r="T114" s="12">
        <f>公共区域安装工程!$T$22</f>
        <v>0.02</v>
      </c>
      <c r="U114" s="10">
        <f t="shared" si="31"/>
        <v>5829.9325360000003</v>
      </c>
    </row>
    <row r="115" spans="1:21" s="5" customFormat="1" ht="72" customHeight="1" outlineLevel="3">
      <c r="A115" s="9">
        <v>93</v>
      </c>
      <c r="B115" s="17">
        <v>30412004007</v>
      </c>
      <c r="C115" s="17" t="s">
        <v>61</v>
      </c>
      <c r="D115" s="17" t="s">
        <v>294</v>
      </c>
      <c r="E115" s="9" t="s">
        <v>43</v>
      </c>
      <c r="F115" s="57">
        <v>793.55</v>
      </c>
      <c r="G115" s="46">
        <f>R115*$R$3</f>
        <v>1.4</v>
      </c>
      <c r="H115" s="47">
        <f>P115*(1+Q115)*$P$3+S115*$S$3</f>
        <v>3.9735999999999998</v>
      </c>
      <c r="I115" s="47">
        <f>T115*$T$3</f>
        <v>0.01</v>
      </c>
      <c r="J115" s="47">
        <f>(G115+H115+I115)*$J$3</f>
        <v>0</v>
      </c>
      <c r="K115" s="47">
        <f>(G115+H115+I115+J115)*$K$3</f>
        <v>0</v>
      </c>
      <c r="L115" s="47">
        <f>G115+H115+I115+J115+K115</f>
        <v>5.3836000000000004</v>
      </c>
      <c r="M115" s="47">
        <f>F115*L115</f>
        <v>4272.15578</v>
      </c>
      <c r="N115" s="8"/>
      <c r="O115" s="10">
        <f t="shared" si="30"/>
        <v>5.3836000000000004</v>
      </c>
      <c r="P115" s="48">
        <f>户内交标安装工程!$P$32</f>
        <v>3.68</v>
      </c>
      <c r="Q115" s="49">
        <f>户内交标安装工程!$Q$32</f>
        <v>0.02</v>
      </c>
      <c r="R115" s="48">
        <f>户内交标安装工程!$R$32</f>
        <v>1.4</v>
      </c>
      <c r="S115" s="50">
        <f>户内交标安装工程!$S$32</f>
        <v>0.22</v>
      </c>
      <c r="T115" s="12">
        <f>户内交标安装工程!$T$32</f>
        <v>0.01</v>
      </c>
      <c r="U115" s="10">
        <f t="shared" si="31"/>
        <v>4272.15578</v>
      </c>
    </row>
    <row r="116" spans="1:21" s="5" customFormat="1" ht="72" customHeight="1" outlineLevel="3">
      <c r="A116" s="9">
        <v>94</v>
      </c>
      <c r="B116" s="17">
        <v>30412004008</v>
      </c>
      <c r="C116" s="17" t="s">
        <v>61</v>
      </c>
      <c r="D116" s="17" t="s">
        <v>295</v>
      </c>
      <c r="E116" s="9" t="s">
        <v>43</v>
      </c>
      <c r="F116" s="57">
        <v>59.86</v>
      </c>
      <c r="G116" s="46">
        <f>R116*$R$3</f>
        <v>2</v>
      </c>
      <c r="H116" s="47">
        <f>P116*(1+Q116)*$P$3+S116*$S$3</f>
        <v>9.51</v>
      </c>
      <c r="I116" s="47">
        <f>T116*$T$3</f>
        <v>0.02</v>
      </c>
      <c r="J116" s="47">
        <f>(G116+H116+I116)*$J$3</f>
        <v>0</v>
      </c>
      <c r="K116" s="47">
        <f>(G116+H116+I116+J116)*$K$3</f>
        <v>0</v>
      </c>
      <c r="L116" s="47">
        <f>G116+H116+I116+J116+K116</f>
        <v>11.53</v>
      </c>
      <c r="M116" s="47">
        <f>F116*L116</f>
        <v>690.18579999999997</v>
      </c>
      <c r="N116" s="8"/>
      <c r="O116" s="10">
        <f t="shared" si="30"/>
        <v>11.53</v>
      </c>
      <c r="P116" s="48">
        <f>$P$37</f>
        <v>9</v>
      </c>
      <c r="Q116" s="49">
        <f>$Q$37</f>
        <v>0.02</v>
      </c>
      <c r="R116" s="48">
        <f>$R$37</f>
        <v>2</v>
      </c>
      <c r="S116" s="50">
        <f>$S$37</f>
        <v>0.33</v>
      </c>
      <c r="T116" s="12">
        <f>$T$37</f>
        <v>0.02</v>
      </c>
      <c r="U116" s="10">
        <f t="shared" si="31"/>
        <v>690.18579999999997</v>
      </c>
    </row>
    <row r="117" spans="1:21" s="5" customFormat="1" outlineLevel="1">
      <c r="A117" s="9"/>
      <c r="B117" s="17"/>
      <c r="C117" s="17" t="s">
        <v>296</v>
      </c>
      <c r="D117" s="17"/>
      <c r="E117" s="9"/>
      <c r="F117" s="57"/>
      <c r="G117" s="46"/>
      <c r="H117" s="47"/>
      <c r="I117" s="47"/>
      <c r="J117" s="47"/>
      <c r="K117" s="47"/>
      <c r="L117" s="47"/>
      <c r="M117" s="47"/>
      <c r="N117" s="8"/>
      <c r="O117" s="10">
        <f t="shared" si="30"/>
        <v>0</v>
      </c>
      <c r="P117" s="48"/>
      <c r="Q117" s="49"/>
      <c r="R117" s="48"/>
      <c r="S117" s="50"/>
      <c r="T117" s="12"/>
      <c r="U117" s="10">
        <f t="shared" si="31"/>
        <v>0</v>
      </c>
    </row>
    <row r="118" spans="1:21" s="5" customFormat="1" ht="72" customHeight="1" outlineLevel="2">
      <c r="A118" s="9">
        <v>95</v>
      </c>
      <c r="B118" s="17">
        <v>30413014015</v>
      </c>
      <c r="C118" s="17" t="s">
        <v>58</v>
      </c>
      <c r="D118" s="17" t="s">
        <v>297</v>
      </c>
      <c r="E118" s="9" t="s">
        <v>38</v>
      </c>
      <c r="F118" s="57">
        <v>3</v>
      </c>
      <c r="G118" s="46">
        <f>R118*$R$3</f>
        <v>6.31</v>
      </c>
      <c r="H118" s="47">
        <f>P118*(1+Q118)*$P$3+S118*$S$3</f>
        <v>15.74</v>
      </c>
      <c r="I118" s="47">
        <f>T118*$T$3</f>
        <v>0</v>
      </c>
      <c r="J118" s="47">
        <f>(G118+H118+I118)*$J$3</f>
        <v>0</v>
      </c>
      <c r="K118" s="47">
        <f>(G118+H118+I118+J118)*$K$3</f>
        <v>0</v>
      </c>
      <c r="L118" s="47">
        <f>G118+H118+I118+J118+K118</f>
        <v>22.05</v>
      </c>
      <c r="M118" s="47">
        <f>F118*L118</f>
        <v>66.150000000000006</v>
      </c>
      <c r="N118" s="8"/>
      <c r="O118" s="10">
        <f t="shared" si="30"/>
        <v>22.05</v>
      </c>
      <c r="P118" s="48">
        <f>$P$39</f>
        <v>14.62</v>
      </c>
      <c r="Q118" s="49">
        <f>$Q$39</f>
        <v>0</v>
      </c>
      <c r="R118" s="48">
        <f>$R$39</f>
        <v>6.31</v>
      </c>
      <c r="S118" s="50">
        <f>$S$39</f>
        <v>1.1200000000000001</v>
      </c>
      <c r="T118" s="12">
        <f>$T$39</f>
        <v>0</v>
      </c>
      <c r="U118" s="10">
        <f t="shared" si="31"/>
        <v>66.150000000000006</v>
      </c>
    </row>
    <row r="119" spans="1:21" s="5" customFormat="1" ht="72" customHeight="1" outlineLevel="2">
      <c r="A119" s="9">
        <v>96</v>
      </c>
      <c r="B119" s="17">
        <v>30413014016</v>
      </c>
      <c r="C119" s="17" t="s">
        <v>58</v>
      </c>
      <c r="D119" s="17" t="s">
        <v>298</v>
      </c>
      <c r="E119" s="9" t="s">
        <v>38</v>
      </c>
      <c r="F119" s="57">
        <v>2</v>
      </c>
      <c r="G119" s="46">
        <f>R119*$R$3</f>
        <v>6.31</v>
      </c>
      <c r="H119" s="47">
        <f>P119*(1+Q119)*$P$3+S119*$S$3</f>
        <v>15.74</v>
      </c>
      <c r="I119" s="47">
        <f>T119*$T$3</f>
        <v>0</v>
      </c>
      <c r="J119" s="47">
        <f>(G119+H119+I119)*$J$3</f>
        <v>0</v>
      </c>
      <c r="K119" s="47">
        <f>(G119+H119+I119+J119)*$K$3</f>
        <v>0</v>
      </c>
      <c r="L119" s="47">
        <f>G119+H119+I119+J119+K119</f>
        <v>22.05</v>
      </c>
      <c r="M119" s="47">
        <f>F119*L119</f>
        <v>44.1</v>
      </c>
      <c r="N119" s="8"/>
      <c r="O119" s="10">
        <f t="shared" si="30"/>
        <v>22.05</v>
      </c>
      <c r="P119" s="48">
        <f>$P$40</f>
        <v>14.62</v>
      </c>
      <c r="Q119" s="49">
        <f>$Q$40</f>
        <v>0</v>
      </c>
      <c r="R119" s="48">
        <f>$R$40</f>
        <v>6.31</v>
      </c>
      <c r="S119" s="50">
        <f>$S$40</f>
        <v>1.1200000000000001</v>
      </c>
      <c r="T119" s="12">
        <f>$T$40</f>
        <v>0</v>
      </c>
      <c r="U119" s="10">
        <f t="shared" si="31"/>
        <v>44.1</v>
      </c>
    </row>
    <row r="120" spans="1:21" s="5" customFormat="1" ht="72" customHeight="1" outlineLevel="2">
      <c r="A120" s="9">
        <v>97</v>
      </c>
      <c r="B120" s="17">
        <v>30413013014</v>
      </c>
      <c r="C120" s="17" t="s">
        <v>299</v>
      </c>
      <c r="D120" s="17" t="s">
        <v>300</v>
      </c>
      <c r="E120" s="9" t="s">
        <v>38</v>
      </c>
      <c r="F120" s="57">
        <v>2</v>
      </c>
      <c r="G120" s="46">
        <f>R120*$R$3</f>
        <v>12</v>
      </c>
      <c r="H120" s="47">
        <f>P120*(1+Q120)*$P$3+S120*$S$3</f>
        <v>29</v>
      </c>
      <c r="I120" s="47">
        <f>T120*$T$3</f>
        <v>0</v>
      </c>
      <c r="J120" s="47">
        <f>(G120+H120+I120)*$J$3</f>
        <v>0</v>
      </c>
      <c r="K120" s="47">
        <f>(G120+H120+I120+J120)*$K$3</f>
        <v>0</v>
      </c>
      <c r="L120" s="47">
        <f>G120+H120+I120+J120+K120</f>
        <v>41</v>
      </c>
      <c r="M120" s="47">
        <f>F120*L120</f>
        <v>82</v>
      </c>
      <c r="N120" s="8"/>
      <c r="O120" s="10">
        <f t="shared" si="30"/>
        <v>41</v>
      </c>
      <c r="P120" s="48">
        <f>$P$41</f>
        <v>27</v>
      </c>
      <c r="Q120" s="49">
        <f>$Q$41</f>
        <v>0</v>
      </c>
      <c r="R120" s="48">
        <f>$R$41</f>
        <v>12</v>
      </c>
      <c r="S120" s="50">
        <f>$S$41</f>
        <v>2</v>
      </c>
      <c r="T120" s="12">
        <f>$T$41</f>
        <v>0</v>
      </c>
      <c r="U120" s="10">
        <f t="shared" si="31"/>
        <v>82</v>
      </c>
    </row>
    <row r="121" spans="1:21" s="5" customFormat="1" ht="72" customHeight="1" outlineLevel="2">
      <c r="A121" s="9">
        <v>98</v>
      </c>
      <c r="B121" s="17">
        <v>30502003003</v>
      </c>
      <c r="C121" s="17" t="s">
        <v>301</v>
      </c>
      <c r="D121" s="17" t="s">
        <v>302</v>
      </c>
      <c r="E121" s="9" t="s">
        <v>43</v>
      </c>
      <c r="F121" s="57">
        <v>68.86</v>
      </c>
      <c r="G121" s="46">
        <f>R121*$R$3</f>
        <v>0.8</v>
      </c>
      <c r="H121" s="47">
        <f>P121*(1+Q121)*$P$3+S121*$S$3</f>
        <v>2.6</v>
      </c>
      <c r="I121" s="47">
        <f>T121*$T$3</f>
        <v>0.1</v>
      </c>
      <c r="J121" s="47">
        <f>(G121+H121+I121)*$J$3</f>
        <v>0</v>
      </c>
      <c r="K121" s="47">
        <f>(G121+H121+I121+J121)*$K$3</f>
        <v>0</v>
      </c>
      <c r="L121" s="47">
        <f>G121+H121+I121+J121+K121</f>
        <v>3.5</v>
      </c>
      <c r="M121" s="47">
        <f>F121*L121</f>
        <v>241.01</v>
      </c>
      <c r="N121" s="8"/>
      <c r="O121" s="10">
        <f t="shared" si="30"/>
        <v>3.5</v>
      </c>
      <c r="P121" s="48">
        <f>$P$42</f>
        <v>2.5</v>
      </c>
      <c r="Q121" s="49">
        <f>$Q$42</f>
        <v>0</v>
      </c>
      <c r="R121" s="48">
        <f>$R$42</f>
        <v>0.8</v>
      </c>
      <c r="S121" s="50">
        <f>$S$42</f>
        <v>0.1</v>
      </c>
      <c r="T121" s="12">
        <f>$T$42</f>
        <v>0.1</v>
      </c>
      <c r="U121" s="10">
        <f t="shared" si="31"/>
        <v>241.01</v>
      </c>
    </row>
    <row r="122" spans="1:21" s="5" customFormat="1" ht="72" customHeight="1" outlineLevel="2">
      <c r="A122" s="9">
        <v>99</v>
      </c>
      <c r="B122" s="17">
        <v>30502003004</v>
      </c>
      <c r="C122" s="17" t="s">
        <v>303</v>
      </c>
      <c r="D122" s="17" t="s">
        <v>304</v>
      </c>
      <c r="E122" s="9" t="s">
        <v>43</v>
      </c>
      <c r="F122" s="57">
        <v>30.01</v>
      </c>
      <c r="G122" s="46">
        <f>R122*$R$3</f>
        <v>1.73</v>
      </c>
      <c r="H122" s="47">
        <f>P122*(1+Q122)*$P$3+S122*$S$3</f>
        <v>3.18</v>
      </c>
      <c r="I122" s="47">
        <f>T122*$T$3</f>
        <v>0.02</v>
      </c>
      <c r="J122" s="47">
        <f>(G122+H122+I122)*$J$3</f>
        <v>0</v>
      </c>
      <c r="K122" s="47">
        <f>(G122+H122+I122+J122)*$K$3</f>
        <v>0</v>
      </c>
      <c r="L122" s="47">
        <f>G122+H122+I122+J122+K122</f>
        <v>4.93</v>
      </c>
      <c r="M122" s="47">
        <f>F122*L122</f>
        <v>147.94929999999999</v>
      </c>
      <c r="N122" s="8"/>
      <c r="O122" s="10">
        <f t="shared" si="30"/>
        <v>4.93</v>
      </c>
      <c r="P122" s="48">
        <f>$P$43</f>
        <v>3</v>
      </c>
      <c r="Q122" s="49">
        <f>$Q$43</f>
        <v>0.02</v>
      </c>
      <c r="R122" s="48">
        <f>$R$43</f>
        <v>1.73</v>
      </c>
      <c r="S122" s="50">
        <f>$S$43</f>
        <v>0.12</v>
      </c>
      <c r="T122" s="12">
        <f>$T$43</f>
        <v>0.02</v>
      </c>
      <c r="U122" s="10">
        <f t="shared" si="31"/>
        <v>147.94929999999999</v>
      </c>
    </row>
    <row r="123" spans="1:21" s="5" customFormat="1" outlineLevel="1">
      <c r="A123" s="9"/>
      <c r="B123" s="17"/>
      <c r="C123" s="17" t="s">
        <v>196</v>
      </c>
      <c r="D123" s="17"/>
      <c r="E123" s="9"/>
      <c r="F123" s="57"/>
      <c r="G123" s="46"/>
      <c r="H123" s="47"/>
      <c r="I123" s="47"/>
      <c r="J123" s="47"/>
      <c r="K123" s="47"/>
      <c r="L123" s="47"/>
      <c r="M123" s="47"/>
      <c r="N123" s="8"/>
      <c r="O123" s="10">
        <f t="shared" si="30"/>
        <v>0</v>
      </c>
      <c r="P123" s="48"/>
      <c r="Q123" s="49"/>
      <c r="R123" s="48"/>
      <c r="S123" s="50"/>
      <c r="T123" s="12"/>
      <c r="U123" s="10">
        <f t="shared" si="31"/>
        <v>0</v>
      </c>
    </row>
    <row r="124" spans="1:21" s="5" customFormat="1" outlineLevel="2">
      <c r="A124" s="9"/>
      <c r="B124" s="17"/>
      <c r="C124" s="17" t="s">
        <v>197</v>
      </c>
      <c r="D124" s="17"/>
      <c r="E124" s="9"/>
      <c r="F124" s="57"/>
      <c r="G124" s="46"/>
      <c r="H124" s="47"/>
      <c r="I124" s="47"/>
      <c r="J124" s="47"/>
      <c r="K124" s="47"/>
      <c r="L124" s="47"/>
      <c r="M124" s="47"/>
      <c r="N124" s="8"/>
      <c r="O124" s="10">
        <f t="shared" si="30"/>
        <v>0</v>
      </c>
      <c r="P124" s="48"/>
      <c r="Q124" s="49"/>
      <c r="R124" s="48"/>
      <c r="S124" s="50"/>
      <c r="T124" s="12"/>
      <c r="U124" s="10">
        <f t="shared" si="31"/>
        <v>0</v>
      </c>
    </row>
    <row r="125" spans="1:21" s="5" customFormat="1" ht="96" customHeight="1" outlineLevel="3">
      <c r="A125" s="9">
        <v>100</v>
      </c>
      <c r="B125" s="17">
        <v>31001008018</v>
      </c>
      <c r="C125" s="17" t="s">
        <v>207</v>
      </c>
      <c r="D125" s="17" t="s">
        <v>208</v>
      </c>
      <c r="E125" s="9" t="s">
        <v>43</v>
      </c>
      <c r="F125" s="57">
        <v>5.83</v>
      </c>
      <c r="G125" s="46">
        <f>R125*$R$3</f>
        <v>24</v>
      </c>
      <c r="H125" s="47">
        <f>P125*(1+Q125)*$P$3+S125*$S$3</f>
        <v>16.27</v>
      </c>
      <c r="I125" s="47">
        <f>T125*$T$3</f>
        <v>0.23</v>
      </c>
      <c r="J125" s="47">
        <f>(G125+H125+I125)*$J$3</f>
        <v>0</v>
      </c>
      <c r="K125" s="47">
        <f>(G125+H125+I125+J125)*$K$3</f>
        <v>0</v>
      </c>
      <c r="L125" s="47">
        <f>G125+H125+I125+J125+K125</f>
        <v>40.5</v>
      </c>
      <c r="M125" s="47">
        <f>F125*L125</f>
        <v>236.11500000000001</v>
      </c>
      <c r="N125" s="8"/>
      <c r="O125" s="10">
        <f t="shared" si="30"/>
        <v>40.5</v>
      </c>
      <c r="P125" s="48">
        <f>$P$46</f>
        <v>15</v>
      </c>
      <c r="Q125" s="49">
        <f>$Q$46</f>
        <v>0</v>
      </c>
      <c r="R125" s="48">
        <f>$R$46</f>
        <v>24</v>
      </c>
      <c r="S125" s="50">
        <f>$S$46</f>
        <v>1.27</v>
      </c>
      <c r="T125" s="12">
        <f>$T$46</f>
        <v>0.23</v>
      </c>
      <c r="U125" s="10">
        <f t="shared" si="31"/>
        <v>236.11500000000001</v>
      </c>
    </row>
    <row r="126" spans="1:21" s="5" customFormat="1" ht="96" customHeight="1" outlineLevel="3">
      <c r="A126" s="9">
        <v>101</v>
      </c>
      <c r="B126" s="17">
        <v>31001008019</v>
      </c>
      <c r="C126" s="17" t="s">
        <v>207</v>
      </c>
      <c r="D126" s="17" t="s">
        <v>209</v>
      </c>
      <c r="E126" s="9" t="s">
        <v>43</v>
      </c>
      <c r="F126" s="57">
        <v>6.46</v>
      </c>
      <c r="G126" s="46">
        <f>R126*$R$3</f>
        <v>55</v>
      </c>
      <c r="H126" s="47">
        <f>P126*(1+Q126)*$P$3+S126*$S$3</f>
        <v>28</v>
      </c>
      <c r="I126" s="47">
        <f>T126*$T$3</f>
        <v>3</v>
      </c>
      <c r="J126" s="47">
        <f>(G126+H126+I126)*$J$3</f>
        <v>0</v>
      </c>
      <c r="K126" s="47">
        <f>(G126+H126+I126+J126)*$K$3</f>
        <v>0</v>
      </c>
      <c r="L126" s="47">
        <f>G126+H126+I126+J126+K126</f>
        <v>86</v>
      </c>
      <c r="M126" s="47">
        <f>F126*L126</f>
        <v>555.55999999999995</v>
      </c>
      <c r="N126" s="8"/>
      <c r="O126" s="10">
        <f t="shared" si="30"/>
        <v>86</v>
      </c>
      <c r="P126" s="48">
        <f>$P$47</f>
        <v>25</v>
      </c>
      <c r="Q126" s="49">
        <f>$Q$47</f>
        <v>0</v>
      </c>
      <c r="R126" s="48">
        <f>$R$47</f>
        <v>55</v>
      </c>
      <c r="S126" s="50">
        <f>$S$47</f>
        <v>3</v>
      </c>
      <c r="T126" s="12">
        <f>$T$47</f>
        <v>3</v>
      </c>
      <c r="U126" s="10">
        <f t="shared" si="31"/>
        <v>555.55999999999995</v>
      </c>
    </row>
    <row r="127" spans="1:21" s="5" customFormat="1" ht="96" customHeight="1" outlineLevel="3">
      <c r="A127" s="9">
        <v>102</v>
      </c>
      <c r="B127" s="17">
        <v>31001008020</v>
      </c>
      <c r="C127" s="17" t="s">
        <v>207</v>
      </c>
      <c r="D127" s="17" t="s">
        <v>210</v>
      </c>
      <c r="E127" s="9" t="s">
        <v>43</v>
      </c>
      <c r="F127" s="57">
        <v>2.33</v>
      </c>
      <c r="G127" s="46">
        <f>R127*$R$3</f>
        <v>30</v>
      </c>
      <c r="H127" s="47">
        <f>P127*(1+Q127)*$P$3+S127*$S$3</f>
        <v>38.119999999999997</v>
      </c>
      <c r="I127" s="47">
        <f>T127*$T$3</f>
        <v>0.38</v>
      </c>
      <c r="J127" s="47">
        <f>(G127+H127+I127)*$J$3</f>
        <v>0</v>
      </c>
      <c r="K127" s="47">
        <f>(G127+H127+I127+J127)*$K$3</f>
        <v>0</v>
      </c>
      <c r="L127" s="47">
        <f>G127+H127+I127+J127+K127</f>
        <v>68.5</v>
      </c>
      <c r="M127" s="47">
        <f>F127*L127</f>
        <v>159.60499999999999</v>
      </c>
      <c r="N127" s="8"/>
      <c r="O127" s="10">
        <f t="shared" si="30"/>
        <v>68.5</v>
      </c>
      <c r="P127" s="48">
        <f>$P$48</f>
        <v>36</v>
      </c>
      <c r="Q127" s="49">
        <f>$Q$48</f>
        <v>0</v>
      </c>
      <c r="R127" s="48">
        <f>$R$48</f>
        <v>30</v>
      </c>
      <c r="S127" s="50">
        <f>$S$48</f>
        <v>2.12</v>
      </c>
      <c r="T127" s="12">
        <f>$T$48</f>
        <v>0.38</v>
      </c>
      <c r="U127" s="10">
        <f t="shared" si="31"/>
        <v>159.60499999999999</v>
      </c>
    </row>
    <row r="128" spans="1:21" s="5" customFormat="1" outlineLevel="2">
      <c r="A128" s="9"/>
      <c r="B128" s="17"/>
      <c r="C128" s="17" t="s">
        <v>211</v>
      </c>
      <c r="D128" s="17"/>
      <c r="E128" s="9"/>
      <c r="F128" s="57"/>
      <c r="G128" s="46"/>
      <c r="H128" s="47"/>
      <c r="I128" s="47"/>
      <c r="J128" s="47"/>
      <c r="K128" s="47"/>
      <c r="L128" s="47"/>
      <c r="M128" s="47"/>
      <c r="N128" s="8"/>
      <c r="O128" s="10">
        <f t="shared" si="30"/>
        <v>0</v>
      </c>
      <c r="P128" s="48"/>
      <c r="Q128" s="49"/>
      <c r="R128" s="48"/>
      <c r="S128" s="50"/>
      <c r="T128" s="12"/>
      <c r="U128" s="10">
        <f t="shared" si="31"/>
        <v>0</v>
      </c>
    </row>
    <row r="129" spans="1:21" s="5" customFormat="1" ht="60" customHeight="1" outlineLevel="3">
      <c r="A129" s="9">
        <v>103</v>
      </c>
      <c r="B129" s="17">
        <v>31003006003</v>
      </c>
      <c r="C129" s="17" t="s">
        <v>306</v>
      </c>
      <c r="D129" s="17" t="s">
        <v>307</v>
      </c>
      <c r="E129" s="9" t="s">
        <v>214</v>
      </c>
      <c r="F129" s="57">
        <v>1</v>
      </c>
      <c r="G129" s="46">
        <f t="shared" ref="G129:G144" si="53">R129*$R$3</f>
        <v>130</v>
      </c>
      <c r="H129" s="47">
        <f t="shared" ref="H129:H144" si="54">P129*(1+Q129)*$P$3+S129*$S$3</f>
        <v>815</v>
      </c>
      <c r="I129" s="47">
        <f t="shared" ref="I129:I144" si="55">T129*$T$3</f>
        <v>0.8</v>
      </c>
      <c r="J129" s="47">
        <f t="shared" ref="J129:J144" si="56">(G129+H129+I129)*$J$3</f>
        <v>0</v>
      </c>
      <c r="K129" s="47">
        <f t="shared" ref="K129:K144" si="57">(G129+H129+I129+J129)*$K$3</f>
        <v>0</v>
      </c>
      <c r="L129" s="47">
        <f t="shared" ref="L129:L144" si="58">G129+H129+I129+J129+K129</f>
        <v>945.8</v>
      </c>
      <c r="M129" s="47">
        <f t="shared" ref="M129:M144" si="59">F129*L129</f>
        <v>945.8</v>
      </c>
      <c r="N129" s="8"/>
      <c r="O129" s="10">
        <f t="shared" si="30"/>
        <v>945.8</v>
      </c>
      <c r="P129" s="48">
        <f>$P$50</f>
        <v>800</v>
      </c>
      <c r="Q129" s="49">
        <f>$Q$50</f>
        <v>0</v>
      </c>
      <c r="R129" s="48">
        <f>$R$50</f>
        <v>130</v>
      </c>
      <c r="S129" s="50">
        <f>$S$50</f>
        <v>15</v>
      </c>
      <c r="T129" s="12">
        <f>$T$50</f>
        <v>0.8</v>
      </c>
      <c r="U129" s="10">
        <f t="shared" si="31"/>
        <v>945.8</v>
      </c>
    </row>
    <row r="130" spans="1:21" s="5" customFormat="1" ht="60" customHeight="1" outlineLevel="3">
      <c r="A130" s="9">
        <v>104</v>
      </c>
      <c r="B130" s="17">
        <v>31003006004</v>
      </c>
      <c r="C130" s="17" t="s">
        <v>306</v>
      </c>
      <c r="D130" s="17" t="s">
        <v>308</v>
      </c>
      <c r="E130" s="9" t="s">
        <v>214</v>
      </c>
      <c r="F130" s="57">
        <v>1</v>
      </c>
      <c r="G130" s="46">
        <f t="shared" si="53"/>
        <v>130</v>
      </c>
      <c r="H130" s="47">
        <f t="shared" si="54"/>
        <v>815</v>
      </c>
      <c r="I130" s="47">
        <f t="shared" si="55"/>
        <v>0.8</v>
      </c>
      <c r="J130" s="47">
        <f t="shared" si="56"/>
        <v>0</v>
      </c>
      <c r="K130" s="47">
        <f t="shared" si="57"/>
        <v>0</v>
      </c>
      <c r="L130" s="47">
        <f t="shared" si="58"/>
        <v>945.8</v>
      </c>
      <c r="M130" s="47">
        <f t="shared" si="59"/>
        <v>945.8</v>
      </c>
      <c r="N130" s="8"/>
      <c r="O130" s="10">
        <f t="shared" si="30"/>
        <v>945.8</v>
      </c>
      <c r="P130" s="48">
        <f>$P$51</f>
        <v>800</v>
      </c>
      <c r="Q130" s="49">
        <f>$Q$51</f>
        <v>0</v>
      </c>
      <c r="R130" s="48">
        <f>$R$51</f>
        <v>130</v>
      </c>
      <c r="S130" s="50">
        <f>$S$51</f>
        <v>15</v>
      </c>
      <c r="T130" s="12">
        <f>$T$51</f>
        <v>0.8</v>
      </c>
      <c r="U130" s="10">
        <f t="shared" si="31"/>
        <v>945.8</v>
      </c>
    </row>
    <row r="131" spans="1:21" s="5" customFormat="1" ht="60" customHeight="1" outlineLevel="3">
      <c r="A131" s="22">
        <v>105</v>
      </c>
      <c r="B131" s="23">
        <v>31003006005</v>
      </c>
      <c r="C131" s="23" t="s">
        <v>306</v>
      </c>
      <c r="D131" s="23" t="s">
        <v>334</v>
      </c>
      <c r="E131" s="22" t="s">
        <v>214</v>
      </c>
      <c r="F131" s="58">
        <v>1</v>
      </c>
      <c r="G131" s="45">
        <f t="shared" si="53"/>
        <v>130</v>
      </c>
      <c r="H131" s="26">
        <f t="shared" si="54"/>
        <v>815</v>
      </c>
      <c r="I131" s="26">
        <f t="shared" si="55"/>
        <v>0.8</v>
      </c>
      <c r="J131" s="26">
        <f t="shared" si="56"/>
        <v>0</v>
      </c>
      <c r="K131" s="26">
        <f t="shared" si="57"/>
        <v>0</v>
      </c>
      <c r="L131" s="26">
        <f t="shared" si="58"/>
        <v>945.8</v>
      </c>
      <c r="M131" s="26">
        <f t="shared" si="59"/>
        <v>945.8</v>
      </c>
      <c r="N131" s="28"/>
      <c r="O131" s="24">
        <f t="shared" si="30"/>
        <v>945.8</v>
      </c>
      <c r="P131" s="29">
        <v>800</v>
      </c>
      <c r="Q131" s="30">
        <v>0</v>
      </c>
      <c r="R131" s="29">
        <v>130</v>
      </c>
      <c r="S131" s="31">
        <v>15</v>
      </c>
      <c r="T131" s="32">
        <v>0.8</v>
      </c>
      <c r="U131" s="24">
        <f t="shared" si="31"/>
        <v>945.8</v>
      </c>
    </row>
    <row r="132" spans="1:21" s="5" customFormat="1" ht="60" customHeight="1" outlineLevel="3">
      <c r="A132" s="9">
        <v>106</v>
      </c>
      <c r="B132" s="17">
        <v>31003010003</v>
      </c>
      <c r="C132" s="17" t="s">
        <v>217</v>
      </c>
      <c r="D132" s="17" t="s">
        <v>309</v>
      </c>
      <c r="E132" s="9" t="s">
        <v>38</v>
      </c>
      <c r="F132" s="57">
        <v>1</v>
      </c>
      <c r="G132" s="46">
        <f t="shared" si="53"/>
        <v>90</v>
      </c>
      <c r="H132" s="47">
        <f t="shared" si="54"/>
        <v>1135</v>
      </c>
      <c r="I132" s="47">
        <f t="shared" si="55"/>
        <v>0</v>
      </c>
      <c r="J132" s="47">
        <f t="shared" si="56"/>
        <v>0</v>
      </c>
      <c r="K132" s="47">
        <f t="shared" si="57"/>
        <v>0</v>
      </c>
      <c r="L132" s="47">
        <f t="shared" si="58"/>
        <v>1225</v>
      </c>
      <c r="M132" s="47">
        <f t="shared" si="59"/>
        <v>1225</v>
      </c>
      <c r="N132" s="8"/>
      <c r="O132" s="10">
        <f t="shared" si="30"/>
        <v>1225</v>
      </c>
      <c r="P132" s="48">
        <f>$P$52</f>
        <v>1100</v>
      </c>
      <c r="Q132" s="49">
        <f>$Q$52</f>
        <v>0</v>
      </c>
      <c r="R132" s="48">
        <f>$R$52</f>
        <v>90</v>
      </c>
      <c r="S132" s="50">
        <f>$S$52</f>
        <v>35</v>
      </c>
      <c r="T132" s="12">
        <f>$T$52</f>
        <v>0</v>
      </c>
      <c r="U132" s="10">
        <f t="shared" si="31"/>
        <v>1225</v>
      </c>
    </row>
    <row r="133" spans="1:21" s="5" customFormat="1" ht="60" customHeight="1" outlineLevel="3">
      <c r="A133" s="9">
        <v>107</v>
      </c>
      <c r="B133" s="17">
        <v>31003010004</v>
      </c>
      <c r="C133" s="17" t="s">
        <v>217</v>
      </c>
      <c r="D133" s="17" t="s">
        <v>310</v>
      </c>
      <c r="E133" s="9" t="s">
        <v>38</v>
      </c>
      <c r="F133" s="57">
        <v>1</v>
      </c>
      <c r="G133" s="46">
        <f t="shared" si="53"/>
        <v>90</v>
      </c>
      <c r="H133" s="47">
        <f t="shared" si="54"/>
        <v>1135</v>
      </c>
      <c r="I133" s="47">
        <f t="shared" si="55"/>
        <v>0</v>
      </c>
      <c r="J133" s="47">
        <f t="shared" si="56"/>
        <v>0</v>
      </c>
      <c r="K133" s="47">
        <f t="shared" si="57"/>
        <v>0</v>
      </c>
      <c r="L133" s="47">
        <f t="shared" si="58"/>
        <v>1225</v>
      </c>
      <c r="M133" s="47">
        <f t="shared" si="59"/>
        <v>1225</v>
      </c>
      <c r="N133" s="8"/>
      <c r="O133" s="10">
        <f t="shared" si="30"/>
        <v>1225</v>
      </c>
      <c r="P133" s="48">
        <f>$P$53</f>
        <v>1100</v>
      </c>
      <c r="Q133" s="49">
        <f>$Q$53</f>
        <v>0</v>
      </c>
      <c r="R133" s="48">
        <f>$R$53</f>
        <v>90</v>
      </c>
      <c r="S133" s="50">
        <f>$S$53</f>
        <v>35</v>
      </c>
      <c r="T133" s="12">
        <f>$T$53</f>
        <v>0</v>
      </c>
      <c r="U133" s="10">
        <f t="shared" si="31"/>
        <v>1225</v>
      </c>
    </row>
    <row r="134" spans="1:21" s="5" customFormat="1" ht="60" customHeight="1" outlineLevel="3">
      <c r="A134" s="22">
        <v>108</v>
      </c>
      <c r="B134" s="23">
        <v>31003010005</v>
      </c>
      <c r="C134" s="23" t="s">
        <v>217</v>
      </c>
      <c r="D134" s="23" t="s">
        <v>335</v>
      </c>
      <c r="E134" s="22" t="s">
        <v>38</v>
      </c>
      <c r="F134" s="58">
        <v>1</v>
      </c>
      <c r="G134" s="45">
        <f t="shared" si="53"/>
        <v>90</v>
      </c>
      <c r="H134" s="26">
        <f t="shared" si="54"/>
        <v>1135</v>
      </c>
      <c r="I134" s="26">
        <f t="shared" si="55"/>
        <v>0</v>
      </c>
      <c r="J134" s="26">
        <f t="shared" si="56"/>
        <v>0</v>
      </c>
      <c r="K134" s="26">
        <f t="shared" si="57"/>
        <v>0</v>
      </c>
      <c r="L134" s="26">
        <f t="shared" si="58"/>
        <v>1225</v>
      </c>
      <c r="M134" s="26">
        <f t="shared" si="59"/>
        <v>1225</v>
      </c>
      <c r="N134" s="28"/>
      <c r="O134" s="24">
        <f t="shared" si="30"/>
        <v>1225</v>
      </c>
      <c r="P134" s="29">
        <v>1100</v>
      </c>
      <c r="Q134" s="30">
        <v>0</v>
      </c>
      <c r="R134" s="29">
        <v>90</v>
      </c>
      <c r="S134" s="31">
        <v>35</v>
      </c>
      <c r="T134" s="32">
        <v>0</v>
      </c>
      <c r="U134" s="24">
        <f t="shared" si="31"/>
        <v>1225</v>
      </c>
    </row>
    <row r="135" spans="1:21" s="5" customFormat="1" ht="72" customHeight="1" outlineLevel="3">
      <c r="A135" s="9">
        <v>109</v>
      </c>
      <c r="B135" s="17">
        <v>31003003003</v>
      </c>
      <c r="C135" s="17" t="s">
        <v>221</v>
      </c>
      <c r="D135" s="17" t="s">
        <v>311</v>
      </c>
      <c r="E135" s="9" t="s">
        <v>214</v>
      </c>
      <c r="F135" s="57">
        <v>1</v>
      </c>
      <c r="G135" s="46">
        <f t="shared" si="53"/>
        <v>90</v>
      </c>
      <c r="H135" s="47">
        <f t="shared" si="54"/>
        <v>562</v>
      </c>
      <c r="I135" s="47">
        <f t="shared" si="55"/>
        <v>0</v>
      </c>
      <c r="J135" s="47">
        <f t="shared" si="56"/>
        <v>0</v>
      </c>
      <c r="K135" s="47">
        <f t="shared" si="57"/>
        <v>0</v>
      </c>
      <c r="L135" s="47">
        <f t="shared" si="58"/>
        <v>652</v>
      </c>
      <c r="M135" s="47">
        <f t="shared" si="59"/>
        <v>652</v>
      </c>
      <c r="N135" s="8"/>
      <c r="O135" s="10">
        <f t="shared" si="30"/>
        <v>652</v>
      </c>
      <c r="P135" s="48">
        <f>$P$54</f>
        <v>550</v>
      </c>
      <c r="Q135" s="49">
        <f>$Q$54</f>
        <v>0</v>
      </c>
      <c r="R135" s="48">
        <f>$R$54</f>
        <v>90</v>
      </c>
      <c r="S135" s="50">
        <f>$S$54</f>
        <v>12</v>
      </c>
      <c r="T135" s="12">
        <f>$T$54</f>
        <v>0</v>
      </c>
      <c r="U135" s="10">
        <f t="shared" si="31"/>
        <v>652</v>
      </c>
    </row>
    <row r="136" spans="1:21" s="5" customFormat="1" ht="72" customHeight="1" outlineLevel="3">
      <c r="A136" s="9">
        <v>110</v>
      </c>
      <c r="B136" s="17">
        <v>31003003004</v>
      </c>
      <c r="C136" s="17" t="s">
        <v>221</v>
      </c>
      <c r="D136" s="17" t="s">
        <v>312</v>
      </c>
      <c r="E136" s="9" t="s">
        <v>214</v>
      </c>
      <c r="F136" s="57">
        <v>1</v>
      </c>
      <c r="G136" s="46">
        <f t="shared" si="53"/>
        <v>90</v>
      </c>
      <c r="H136" s="47">
        <f t="shared" si="54"/>
        <v>562</v>
      </c>
      <c r="I136" s="47">
        <f t="shared" si="55"/>
        <v>0</v>
      </c>
      <c r="J136" s="47">
        <f t="shared" si="56"/>
        <v>0</v>
      </c>
      <c r="K136" s="47">
        <f t="shared" si="57"/>
        <v>0</v>
      </c>
      <c r="L136" s="47">
        <f t="shared" si="58"/>
        <v>652</v>
      </c>
      <c r="M136" s="47">
        <f t="shared" si="59"/>
        <v>652</v>
      </c>
      <c r="N136" s="8"/>
      <c r="O136" s="10">
        <f t="shared" ref="O136:O199" si="60">P136*(1+Q136)+R136+S136+T136</f>
        <v>652</v>
      </c>
      <c r="P136" s="48">
        <f>$P$55</f>
        <v>550</v>
      </c>
      <c r="Q136" s="49">
        <f>$Q$55</f>
        <v>0</v>
      </c>
      <c r="R136" s="48">
        <f>$R$55</f>
        <v>90</v>
      </c>
      <c r="S136" s="50">
        <f>$S$55</f>
        <v>12</v>
      </c>
      <c r="T136" s="12">
        <f>$T$55</f>
        <v>0</v>
      </c>
      <c r="U136" s="10">
        <f t="shared" ref="U136:U199" si="61">F136*O136</f>
        <v>652</v>
      </c>
    </row>
    <row r="137" spans="1:21" s="5" customFormat="1" ht="72" customHeight="1" outlineLevel="3">
      <c r="A137" s="22">
        <v>111</v>
      </c>
      <c r="B137" s="23">
        <v>31003003005</v>
      </c>
      <c r="C137" s="23" t="s">
        <v>221</v>
      </c>
      <c r="D137" s="23" t="s">
        <v>336</v>
      </c>
      <c r="E137" s="22" t="s">
        <v>214</v>
      </c>
      <c r="F137" s="58">
        <v>1</v>
      </c>
      <c r="G137" s="45">
        <f t="shared" si="53"/>
        <v>90</v>
      </c>
      <c r="H137" s="26">
        <f t="shared" si="54"/>
        <v>562</v>
      </c>
      <c r="I137" s="26">
        <f t="shared" si="55"/>
        <v>0</v>
      </c>
      <c r="J137" s="26">
        <f t="shared" si="56"/>
        <v>0</v>
      </c>
      <c r="K137" s="26">
        <f t="shared" si="57"/>
        <v>0</v>
      </c>
      <c r="L137" s="26">
        <f t="shared" si="58"/>
        <v>652</v>
      </c>
      <c r="M137" s="26">
        <f t="shared" si="59"/>
        <v>652</v>
      </c>
      <c r="N137" s="28"/>
      <c r="O137" s="24">
        <f t="shared" si="60"/>
        <v>652</v>
      </c>
      <c r="P137" s="29">
        <v>550</v>
      </c>
      <c r="Q137" s="30">
        <v>0</v>
      </c>
      <c r="R137" s="29">
        <v>90</v>
      </c>
      <c r="S137" s="31">
        <v>12</v>
      </c>
      <c r="T137" s="32">
        <v>0</v>
      </c>
      <c r="U137" s="24">
        <f t="shared" si="61"/>
        <v>652</v>
      </c>
    </row>
    <row r="138" spans="1:21" s="5" customFormat="1" ht="60" customHeight="1" outlineLevel="3">
      <c r="A138" s="22">
        <v>112</v>
      </c>
      <c r="B138" s="23">
        <v>31003004002</v>
      </c>
      <c r="C138" s="23" t="s">
        <v>313</v>
      </c>
      <c r="D138" s="23" t="s">
        <v>337</v>
      </c>
      <c r="E138" s="22" t="s">
        <v>214</v>
      </c>
      <c r="F138" s="58">
        <v>1</v>
      </c>
      <c r="G138" s="45">
        <f t="shared" si="53"/>
        <v>60</v>
      </c>
      <c r="H138" s="26">
        <f t="shared" si="54"/>
        <v>990</v>
      </c>
      <c r="I138" s="26">
        <f t="shared" si="55"/>
        <v>0</v>
      </c>
      <c r="J138" s="26">
        <f t="shared" si="56"/>
        <v>0</v>
      </c>
      <c r="K138" s="26">
        <f t="shared" si="57"/>
        <v>0</v>
      </c>
      <c r="L138" s="26">
        <f t="shared" si="58"/>
        <v>1050</v>
      </c>
      <c r="M138" s="26">
        <f t="shared" si="59"/>
        <v>1050</v>
      </c>
      <c r="N138" s="28"/>
      <c r="O138" s="24">
        <f t="shared" si="60"/>
        <v>1050</v>
      </c>
      <c r="P138" s="29">
        <v>950</v>
      </c>
      <c r="Q138" s="30">
        <v>0</v>
      </c>
      <c r="R138" s="29">
        <v>60</v>
      </c>
      <c r="S138" s="31">
        <v>40</v>
      </c>
      <c r="T138" s="32">
        <v>0</v>
      </c>
      <c r="U138" s="24">
        <f t="shared" si="61"/>
        <v>1050</v>
      </c>
    </row>
    <row r="139" spans="1:21" s="5" customFormat="1" ht="72" customHeight="1" outlineLevel="3">
      <c r="A139" s="9">
        <v>113</v>
      </c>
      <c r="B139" s="17">
        <v>31003014006</v>
      </c>
      <c r="C139" s="17" t="s">
        <v>315</v>
      </c>
      <c r="D139" s="17" t="s">
        <v>316</v>
      </c>
      <c r="E139" s="9" t="s">
        <v>46</v>
      </c>
      <c r="F139" s="57">
        <v>3</v>
      </c>
      <c r="G139" s="46">
        <f t="shared" si="53"/>
        <v>18</v>
      </c>
      <c r="H139" s="47">
        <f t="shared" si="54"/>
        <v>40</v>
      </c>
      <c r="I139" s="47">
        <f t="shared" si="55"/>
        <v>0</v>
      </c>
      <c r="J139" s="47">
        <f t="shared" si="56"/>
        <v>0</v>
      </c>
      <c r="K139" s="47">
        <f t="shared" si="57"/>
        <v>0</v>
      </c>
      <c r="L139" s="47">
        <f t="shared" si="58"/>
        <v>58</v>
      </c>
      <c r="M139" s="47">
        <f t="shared" si="59"/>
        <v>174</v>
      </c>
      <c r="N139" s="8"/>
      <c r="O139" s="10">
        <f t="shared" si="60"/>
        <v>58</v>
      </c>
      <c r="P139" s="48">
        <f>$P$57</f>
        <v>35</v>
      </c>
      <c r="Q139" s="49">
        <f>$Q$57</f>
        <v>0</v>
      </c>
      <c r="R139" s="48">
        <f>$R$57</f>
        <v>18</v>
      </c>
      <c r="S139" s="50">
        <f>$S$57</f>
        <v>5</v>
      </c>
      <c r="T139" s="12">
        <f>$T$57</f>
        <v>0</v>
      </c>
      <c r="U139" s="10">
        <f t="shared" si="61"/>
        <v>174</v>
      </c>
    </row>
    <row r="140" spans="1:21" s="5" customFormat="1" ht="72" customHeight="1" outlineLevel="3">
      <c r="A140" s="9">
        <v>114</v>
      </c>
      <c r="B140" s="17">
        <v>31003014007</v>
      </c>
      <c r="C140" s="17" t="s">
        <v>315</v>
      </c>
      <c r="D140" s="17" t="s">
        <v>317</v>
      </c>
      <c r="E140" s="9" t="s">
        <v>46</v>
      </c>
      <c r="F140" s="57">
        <v>3</v>
      </c>
      <c r="G140" s="46">
        <f t="shared" si="53"/>
        <v>25</v>
      </c>
      <c r="H140" s="47">
        <f t="shared" si="54"/>
        <v>56.5</v>
      </c>
      <c r="I140" s="47">
        <f t="shared" si="55"/>
        <v>0.2</v>
      </c>
      <c r="J140" s="47">
        <f t="shared" si="56"/>
        <v>0</v>
      </c>
      <c r="K140" s="47">
        <f t="shared" si="57"/>
        <v>0</v>
      </c>
      <c r="L140" s="47">
        <f t="shared" si="58"/>
        <v>81.7</v>
      </c>
      <c r="M140" s="47">
        <f t="shared" si="59"/>
        <v>245.1</v>
      </c>
      <c r="N140" s="8"/>
      <c r="O140" s="10">
        <f t="shared" si="60"/>
        <v>81.7</v>
      </c>
      <c r="P140" s="48">
        <f>$P$58</f>
        <v>55</v>
      </c>
      <c r="Q140" s="49">
        <f>$Q$58</f>
        <v>0</v>
      </c>
      <c r="R140" s="48">
        <f>$R$58</f>
        <v>25</v>
      </c>
      <c r="S140" s="50">
        <f>$S$58</f>
        <v>1.5</v>
      </c>
      <c r="T140" s="12">
        <f>$T$58</f>
        <v>0.2</v>
      </c>
      <c r="U140" s="10">
        <f t="shared" si="61"/>
        <v>245.1</v>
      </c>
    </row>
    <row r="141" spans="1:21" s="5" customFormat="1" ht="72" customHeight="1" outlineLevel="3">
      <c r="A141" s="9">
        <v>115</v>
      </c>
      <c r="B141" s="17">
        <v>31003014008</v>
      </c>
      <c r="C141" s="17" t="s">
        <v>315</v>
      </c>
      <c r="D141" s="17" t="s">
        <v>318</v>
      </c>
      <c r="E141" s="9" t="s">
        <v>46</v>
      </c>
      <c r="F141" s="57">
        <v>1</v>
      </c>
      <c r="G141" s="46">
        <f t="shared" si="53"/>
        <v>25</v>
      </c>
      <c r="H141" s="47">
        <f t="shared" si="54"/>
        <v>56.5</v>
      </c>
      <c r="I141" s="47">
        <f t="shared" si="55"/>
        <v>0.2</v>
      </c>
      <c r="J141" s="47">
        <f t="shared" si="56"/>
        <v>0</v>
      </c>
      <c r="K141" s="47">
        <f t="shared" si="57"/>
        <v>0</v>
      </c>
      <c r="L141" s="47">
        <f t="shared" si="58"/>
        <v>81.7</v>
      </c>
      <c r="M141" s="47">
        <f t="shared" si="59"/>
        <v>81.7</v>
      </c>
      <c r="N141" s="8"/>
      <c r="O141" s="10">
        <f t="shared" si="60"/>
        <v>81.7</v>
      </c>
      <c r="P141" s="48">
        <f>$P$59</f>
        <v>55</v>
      </c>
      <c r="Q141" s="49">
        <f>$Q$59</f>
        <v>0</v>
      </c>
      <c r="R141" s="48">
        <f>$R$59</f>
        <v>25</v>
      </c>
      <c r="S141" s="50">
        <f>$S$59</f>
        <v>1.5</v>
      </c>
      <c r="T141" s="12">
        <f>$T$59</f>
        <v>0.2</v>
      </c>
      <c r="U141" s="10">
        <f t="shared" si="61"/>
        <v>81.7</v>
      </c>
    </row>
    <row r="142" spans="1:21" s="5" customFormat="1" ht="72" customHeight="1" outlineLevel="3">
      <c r="A142" s="9">
        <v>116</v>
      </c>
      <c r="B142" s="17">
        <v>31003014009</v>
      </c>
      <c r="C142" s="17" t="s">
        <v>315</v>
      </c>
      <c r="D142" s="17" t="s">
        <v>319</v>
      </c>
      <c r="E142" s="9" t="s">
        <v>46</v>
      </c>
      <c r="F142" s="57">
        <v>1</v>
      </c>
      <c r="G142" s="46">
        <f t="shared" si="53"/>
        <v>18</v>
      </c>
      <c r="H142" s="47">
        <f t="shared" si="54"/>
        <v>40</v>
      </c>
      <c r="I142" s="47">
        <f t="shared" si="55"/>
        <v>0</v>
      </c>
      <c r="J142" s="47">
        <f t="shared" si="56"/>
        <v>0</v>
      </c>
      <c r="K142" s="47">
        <f t="shared" si="57"/>
        <v>0</v>
      </c>
      <c r="L142" s="47">
        <f t="shared" si="58"/>
        <v>58</v>
      </c>
      <c r="M142" s="47">
        <f t="shared" si="59"/>
        <v>58</v>
      </c>
      <c r="N142" s="8"/>
      <c r="O142" s="10">
        <f t="shared" si="60"/>
        <v>58</v>
      </c>
      <c r="P142" s="48">
        <f>$P$60</f>
        <v>35</v>
      </c>
      <c r="Q142" s="49">
        <f>$Q$60</f>
        <v>0</v>
      </c>
      <c r="R142" s="48">
        <f>$R$60</f>
        <v>18</v>
      </c>
      <c r="S142" s="50">
        <f>$S$60</f>
        <v>5</v>
      </c>
      <c r="T142" s="12">
        <f>$T$60</f>
        <v>0</v>
      </c>
      <c r="U142" s="10">
        <f t="shared" si="61"/>
        <v>58</v>
      </c>
    </row>
    <row r="143" spans="1:21" s="5" customFormat="1" ht="72" customHeight="1" outlineLevel="3">
      <c r="A143" s="9">
        <v>117</v>
      </c>
      <c r="B143" s="17">
        <v>31003014010</v>
      </c>
      <c r="C143" s="17" t="s">
        <v>320</v>
      </c>
      <c r="D143" s="17" t="s">
        <v>321</v>
      </c>
      <c r="E143" s="9" t="s">
        <v>46</v>
      </c>
      <c r="F143" s="57">
        <v>1</v>
      </c>
      <c r="G143" s="46">
        <f t="shared" si="53"/>
        <v>55</v>
      </c>
      <c r="H143" s="47">
        <f t="shared" si="54"/>
        <v>485</v>
      </c>
      <c r="I143" s="47">
        <f t="shared" si="55"/>
        <v>0</v>
      </c>
      <c r="J143" s="47">
        <f t="shared" si="56"/>
        <v>0</v>
      </c>
      <c r="K143" s="47">
        <f t="shared" si="57"/>
        <v>0</v>
      </c>
      <c r="L143" s="47">
        <f t="shared" si="58"/>
        <v>540</v>
      </c>
      <c r="M143" s="47">
        <f t="shared" si="59"/>
        <v>540</v>
      </c>
      <c r="N143" s="8"/>
      <c r="O143" s="10">
        <f t="shared" si="60"/>
        <v>540</v>
      </c>
      <c r="P143" s="48">
        <f>$P$61</f>
        <v>465</v>
      </c>
      <c r="Q143" s="49">
        <f>$Q$61</f>
        <v>0</v>
      </c>
      <c r="R143" s="48">
        <f>$R$61</f>
        <v>55</v>
      </c>
      <c r="S143" s="50">
        <f>$S$61</f>
        <v>20</v>
      </c>
      <c r="T143" s="12">
        <f>$T$61</f>
        <v>0</v>
      </c>
      <c r="U143" s="10">
        <f t="shared" si="61"/>
        <v>540</v>
      </c>
    </row>
    <row r="144" spans="1:21" s="5" customFormat="1" ht="72" customHeight="1" outlineLevel="3">
      <c r="A144" s="22">
        <v>118</v>
      </c>
      <c r="B144" s="23">
        <v>31002001005</v>
      </c>
      <c r="C144" s="23" t="s">
        <v>227</v>
      </c>
      <c r="D144" s="23" t="s">
        <v>338</v>
      </c>
      <c r="E144" s="22" t="s">
        <v>46</v>
      </c>
      <c r="F144" s="58">
        <v>5</v>
      </c>
      <c r="G144" s="45">
        <f t="shared" si="53"/>
        <v>167.09</v>
      </c>
      <c r="H144" s="26">
        <f t="shared" si="54"/>
        <v>1504.2</v>
      </c>
      <c r="I144" s="26">
        <f t="shared" si="55"/>
        <v>12.03</v>
      </c>
      <c r="J144" s="26">
        <f t="shared" si="56"/>
        <v>0</v>
      </c>
      <c r="K144" s="26">
        <f t="shared" si="57"/>
        <v>0</v>
      </c>
      <c r="L144" s="26">
        <f t="shared" si="58"/>
        <v>1683.32</v>
      </c>
      <c r="M144" s="26">
        <f t="shared" si="59"/>
        <v>8416.6</v>
      </c>
      <c r="N144" s="28"/>
      <c r="O144" s="24">
        <f t="shared" si="60"/>
        <v>1683.32</v>
      </c>
      <c r="P144" s="29">
        <v>1504.2</v>
      </c>
      <c r="Q144" s="30">
        <v>0</v>
      </c>
      <c r="R144" s="29">
        <v>167.09</v>
      </c>
      <c r="S144" s="31">
        <v>0</v>
      </c>
      <c r="T144" s="32">
        <v>12.03</v>
      </c>
      <c r="U144" s="24">
        <f t="shared" si="61"/>
        <v>8416.6</v>
      </c>
    </row>
    <row r="145" spans="1:21" s="5" customFormat="1" outlineLevel="1">
      <c r="A145" s="9"/>
      <c r="B145" s="17"/>
      <c r="C145" s="17" t="s">
        <v>65</v>
      </c>
      <c r="D145" s="17"/>
      <c r="E145" s="9"/>
      <c r="F145" s="57"/>
      <c r="G145" s="46"/>
      <c r="H145" s="47"/>
      <c r="I145" s="47"/>
      <c r="J145" s="47"/>
      <c r="K145" s="47"/>
      <c r="L145" s="47"/>
      <c r="M145" s="47"/>
      <c r="N145" s="8"/>
      <c r="O145" s="10">
        <f t="shared" si="60"/>
        <v>0</v>
      </c>
      <c r="P145" s="48"/>
      <c r="Q145" s="49"/>
      <c r="R145" s="48"/>
      <c r="S145" s="50"/>
      <c r="T145" s="12"/>
      <c r="U145" s="10">
        <f t="shared" si="61"/>
        <v>0</v>
      </c>
    </row>
    <row r="146" spans="1:21" s="5" customFormat="1" outlineLevel="2">
      <c r="A146" s="9"/>
      <c r="B146" s="17"/>
      <c r="C146" s="17" t="s">
        <v>66</v>
      </c>
      <c r="D146" s="17"/>
      <c r="E146" s="9"/>
      <c r="F146" s="57"/>
      <c r="G146" s="46"/>
      <c r="H146" s="47"/>
      <c r="I146" s="47"/>
      <c r="J146" s="47"/>
      <c r="K146" s="47"/>
      <c r="L146" s="47"/>
      <c r="M146" s="47"/>
      <c r="N146" s="8"/>
      <c r="O146" s="10">
        <f t="shared" si="60"/>
        <v>0</v>
      </c>
      <c r="P146" s="48"/>
      <c r="Q146" s="49"/>
      <c r="R146" s="48"/>
      <c r="S146" s="50"/>
      <c r="T146" s="12"/>
      <c r="U146" s="10">
        <f t="shared" si="61"/>
        <v>0</v>
      </c>
    </row>
    <row r="147" spans="1:21" s="5" customFormat="1" ht="120" customHeight="1" outlineLevel="3">
      <c r="A147" s="9">
        <v>119</v>
      </c>
      <c r="B147" s="17">
        <v>30701003006</v>
      </c>
      <c r="C147" s="17" t="s">
        <v>67</v>
      </c>
      <c r="D147" s="17" t="s">
        <v>323</v>
      </c>
      <c r="E147" s="9" t="s">
        <v>69</v>
      </c>
      <c r="F147" s="57">
        <v>1</v>
      </c>
      <c r="G147" s="46">
        <f t="shared" ref="G147:G152" si="62">R147*$R$3</f>
        <v>1000</v>
      </c>
      <c r="H147" s="47">
        <f t="shared" ref="H147:H152" si="63">P147*(1+Q147)*$P$3+S147*$S$3</f>
        <v>4800</v>
      </c>
      <c r="I147" s="47">
        <f t="shared" ref="I147:I152" si="64">T147*$T$3</f>
        <v>45</v>
      </c>
      <c r="J147" s="47">
        <f t="shared" ref="J147:J152" si="65">(G147+H147+I147)*$J$3</f>
        <v>0</v>
      </c>
      <c r="K147" s="47">
        <f t="shared" ref="K147:K152" si="66">(G147+H147+I147+J147)*$K$3</f>
        <v>0</v>
      </c>
      <c r="L147" s="47">
        <f t="shared" ref="L147:L152" si="67">G147+H147+I147+J147+K147</f>
        <v>5845</v>
      </c>
      <c r="M147" s="47">
        <f t="shared" ref="M147:M152" si="68">F147*L147</f>
        <v>5845</v>
      </c>
      <c r="N147" s="8"/>
      <c r="O147" s="10">
        <f t="shared" si="60"/>
        <v>5845</v>
      </c>
      <c r="P147" s="48">
        <f>$P$65</f>
        <v>3600</v>
      </c>
      <c r="Q147" s="49">
        <f>$Q$65</f>
        <v>0</v>
      </c>
      <c r="R147" s="48">
        <f>$R$65</f>
        <v>1000</v>
      </c>
      <c r="S147" s="50">
        <f>$S$65</f>
        <v>1200</v>
      </c>
      <c r="T147" s="12">
        <f>$T$65</f>
        <v>45</v>
      </c>
      <c r="U147" s="10">
        <f t="shared" si="61"/>
        <v>5845</v>
      </c>
    </row>
    <row r="148" spans="1:21" s="5" customFormat="1" ht="120" customHeight="1" outlineLevel="3">
      <c r="A148" s="9">
        <v>120</v>
      </c>
      <c r="B148" s="17">
        <v>30701003007</v>
      </c>
      <c r="C148" s="17" t="s">
        <v>67</v>
      </c>
      <c r="D148" s="17" t="s">
        <v>324</v>
      </c>
      <c r="E148" s="9" t="s">
        <v>69</v>
      </c>
      <c r="F148" s="57">
        <v>1</v>
      </c>
      <c r="G148" s="46">
        <f t="shared" si="62"/>
        <v>1000</v>
      </c>
      <c r="H148" s="47">
        <f t="shared" si="63"/>
        <v>4800</v>
      </c>
      <c r="I148" s="47">
        <f t="shared" si="64"/>
        <v>45</v>
      </c>
      <c r="J148" s="47">
        <f t="shared" si="65"/>
        <v>0</v>
      </c>
      <c r="K148" s="47">
        <f t="shared" si="66"/>
        <v>0</v>
      </c>
      <c r="L148" s="47">
        <f t="shared" si="67"/>
        <v>5845</v>
      </c>
      <c r="M148" s="47">
        <f t="shared" si="68"/>
        <v>5845</v>
      </c>
      <c r="N148" s="8"/>
      <c r="O148" s="10">
        <f t="shared" si="60"/>
        <v>5845</v>
      </c>
      <c r="P148" s="48">
        <f>$P$66</f>
        <v>3600</v>
      </c>
      <c r="Q148" s="49">
        <f>$Q$66</f>
        <v>0</v>
      </c>
      <c r="R148" s="48">
        <f>$R$66</f>
        <v>1000</v>
      </c>
      <c r="S148" s="50">
        <f>$S$66</f>
        <v>1200</v>
      </c>
      <c r="T148" s="12">
        <f>$T$66</f>
        <v>45</v>
      </c>
      <c r="U148" s="10">
        <f t="shared" si="61"/>
        <v>5845</v>
      </c>
    </row>
    <row r="149" spans="1:21" s="5" customFormat="1" ht="120" customHeight="1" outlineLevel="3">
      <c r="A149" s="9">
        <v>121</v>
      </c>
      <c r="B149" s="17">
        <v>30701003008</v>
      </c>
      <c r="C149" s="17" t="s">
        <v>67</v>
      </c>
      <c r="D149" s="17" t="s">
        <v>325</v>
      </c>
      <c r="E149" s="9" t="s">
        <v>69</v>
      </c>
      <c r="F149" s="57">
        <v>2</v>
      </c>
      <c r="G149" s="46">
        <f t="shared" si="62"/>
        <v>1000</v>
      </c>
      <c r="H149" s="47">
        <f t="shared" si="63"/>
        <v>4800</v>
      </c>
      <c r="I149" s="47">
        <f t="shared" si="64"/>
        <v>45</v>
      </c>
      <c r="J149" s="47">
        <f t="shared" si="65"/>
        <v>0</v>
      </c>
      <c r="K149" s="47">
        <f t="shared" si="66"/>
        <v>0</v>
      </c>
      <c r="L149" s="47">
        <f t="shared" si="67"/>
        <v>5845</v>
      </c>
      <c r="M149" s="47">
        <f t="shared" si="68"/>
        <v>11690</v>
      </c>
      <c r="N149" s="8"/>
      <c r="O149" s="10">
        <f t="shared" si="60"/>
        <v>5845</v>
      </c>
      <c r="P149" s="48">
        <f>$P$67</f>
        <v>3600</v>
      </c>
      <c r="Q149" s="49">
        <f>$Q$67</f>
        <v>0</v>
      </c>
      <c r="R149" s="48">
        <f>$R$67</f>
        <v>1000</v>
      </c>
      <c r="S149" s="50">
        <f>$S$67</f>
        <v>1200</v>
      </c>
      <c r="T149" s="12">
        <f>$T$67</f>
        <v>45</v>
      </c>
      <c r="U149" s="10">
        <f t="shared" si="61"/>
        <v>11690</v>
      </c>
    </row>
    <row r="150" spans="1:21" s="5" customFormat="1" ht="120" customHeight="1" outlineLevel="3">
      <c r="A150" s="9">
        <v>122</v>
      </c>
      <c r="B150" s="17">
        <v>30701003009</v>
      </c>
      <c r="C150" s="17" t="s">
        <v>67</v>
      </c>
      <c r="D150" s="17" t="s">
        <v>326</v>
      </c>
      <c r="E150" s="9" t="s">
        <v>69</v>
      </c>
      <c r="F150" s="57">
        <v>2</v>
      </c>
      <c r="G150" s="46">
        <f t="shared" si="62"/>
        <v>1000</v>
      </c>
      <c r="H150" s="47">
        <f t="shared" si="63"/>
        <v>4800</v>
      </c>
      <c r="I150" s="47">
        <f t="shared" si="64"/>
        <v>45</v>
      </c>
      <c r="J150" s="47">
        <f t="shared" si="65"/>
        <v>0</v>
      </c>
      <c r="K150" s="47">
        <f t="shared" si="66"/>
        <v>0</v>
      </c>
      <c r="L150" s="47">
        <f t="shared" si="67"/>
        <v>5845</v>
      </c>
      <c r="M150" s="47">
        <f t="shared" si="68"/>
        <v>11690</v>
      </c>
      <c r="N150" s="8"/>
      <c r="O150" s="10">
        <f t="shared" si="60"/>
        <v>5845</v>
      </c>
      <c r="P150" s="48">
        <f>$P$68</f>
        <v>3600</v>
      </c>
      <c r="Q150" s="49">
        <f>$Q$68</f>
        <v>0</v>
      </c>
      <c r="R150" s="48">
        <f>$R$68</f>
        <v>1000</v>
      </c>
      <c r="S150" s="50">
        <f>$S$68</f>
        <v>1200</v>
      </c>
      <c r="T150" s="12">
        <f>$T$68</f>
        <v>45</v>
      </c>
      <c r="U150" s="10">
        <f t="shared" si="61"/>
        <v>11690</v>
      </c>
    </row>
    <row r="151" spans="1:21" s="5" customFormat="1" ht="108" customHeight="1" outlineLevel="3">
      <c r="A151" s="9">
        <v>123</v>
      </c>
      <c r="B151" s="17">
        <v>30701003010</v>
      </c>
      <c r="C151" s="17" t="s">
        <v>75</v>
      </c>
      <c r="D151" s="17" t="s">
        <v>327</v>
      </c>
      <c r="E151" s="9" t="s">
        <v>69</v>
      </c>
      <c r="F151" s="57">
        <v>1</v>
      </c>
      <c r="G151" s="46">
        <f t="shared" si="62"/>
        <v>732.5</v>
      </c>
      <c r="H151" s="47">
        <f t="shared" si="63"/>
        <v>12600</v>
      </c>
      <c r="I151" s="47">
        <f t="shared" si="64"/>
        <v>25</v>
      </c>
      <c r="J151" s="47">
        <f t="shared" si="65"/>
        <v>0</v>
      </c>
      <c r="K151" s="47">
        <f t="shared" si="66"/>
        <v>0</v>
      </c>
      <c r="L151" s="47">
        <f t="shared" si="67"/>
        <v>13357.5</v>
      </c>
      <c r="M151" s="47">
        <f t="shared" si="68"/>
        <v>13357.5</v>
      </c>
      <c r="N151" s="8"/>
      <c r="O151" s="10">
        <f t="shared" si="60"/>
        <v>13357.5</v>
      </c>
      <c r="P151" s="48">
        <f>$P$69</f>
        <v>12000</v>
      </c>
      <c r="Q151" s="49">
        <f>$Q$69</f>
        <v>0</v>
      </c>
      <c r="R151" s="48">
        <f>$R$69</f>
        <v>732.5</v>
      </c>
      <c r="S151" s="50">
        <f>$S$69</f>
        <v>600</v>
      </c>
      <c r="T151" s="12">
        <f>$T$69</f>
        <v>25</v>
      </c>
      <c r="U151" s="10">
        <f t="shared" si="61"/>
        <v>13357.5</v>
      </c>
    </row>
    <row r="152" spans="1:21" s="5" customFormat="1" ht="72" customHeight="1" outlineLevel="3">
      <c r="A152" s="9">
        <v>124</v>
      </c>
      <c r="B152" s="17">
        <v>30413013015</v>
      </c>
      <c r="C152" s="17" t="s">
        <v>77</v>
      </c>
      <c r="D152" s="17" t="s">
        <v>78</v>
      </c>
      <c r="E152" s="9" t="s">
        <v>38</v>
      </c>
      <c r="F152" s="57">
        <v>6</v>
      </c>
      <c r="G152" s="46">
        <f t="shared" si="62"/>
        <v>35</v>
      </c>
      <c r="H152" s="47">
        <f t="shared" si="63"/>
        <v>103</v>
      </c>
      <c r="I152" s="47">
        <f t="shared" si="64"/>
        <v>0</v>
      </c>
      <c r="J152" s="47">
        <f t="shared" si="65"/>
        <v>0</v>
      </c>
      <c r="K152" s="47">
        <f t="shared" si="66"/>
        <v>0</v>
      </c>
      <c r="L152" s="47">
        <f t="shared" si="67"/>
        <v>138</v>
      </c>
      <c r="M152" s="47">
        <f t="shared" si="68"/>
        <v>828</v>
      </c>
      <c r="N152" s="8"/>
      <c r="O152" s="10">
        <f t="shared" si="60"/>
        <v>138</v>
      </c>
      <c r="P152" s="48">
        <f>架空层安装工程!$P$33</f>
        <v>95</v>
      </c>
      <c r="Q152" s="49">
        <f>架空层安装工程!$Q$33</f>
        <v>0</v>
      </c>
      <c r="R152" s="48">
        <f>架空层安装工程!$R$33</f>
        <v>35</v>
      </c>
      <c r="S152" s="50">
        <f>架空层安装工程!$S$33</f>
        <v>8</v>
      </c>
      <c r="T152" s="12">
        <f>架空层安装工程!$T$33</f>
        <v>0</v>
      </c>
      <c r="U152" s="10">
        <f t="shared" si="61"/>
        <v>828</v>
      </c>
    </row>
    <row r="153" spans="1:21" s="5" customFormat="1" outlineLevel="2">
      <c r="A153" s="9"/>
      <c r="B153" s="17"/>
      <c r="C153" s="17" t="s">
        <v>85</v>
      </c>
      <c r="D153" s="17"/>
      <c r="E153" s="9"/>
      <c r="F153" s="57"/>
      <c r="G153" s="46"/>
      <c r="H153" s="47"/>
      <c r="I153" s="47"/>
      <c r="J153" s="47"/>
      <c r="K153" s="47"/>
      <c r="L153" s="47"/>
      <c r="M153" s="47"/>
      <c r="N153" s="8"/>
      <c r="O153" s="10">
        <f t="shared" si="60"/>
        <v>0</v>
      </c>
      <c r="P153" s="48"/>
      <c r="Q153" s="49"/>
      <c r="R153" s="48"/>
      <c r="S153" s="50"/>
      <c r="T153" s="12"/>
      <c r="U153" s="10">
        <f t="shared" si="61"/>
        <v>0</v>
      </c>
    </row>
    <row r="154" spans="1:21" s="5" customFormat="1" ht="84" customHeight="1" outlineLevel="3">
      <c r="A154" s="9">
        <v>125</v>
      </c>
      <c r="B154" s="17">
        <v>30702001002</v>
      </c>
      <c r="C154" s="17" t="s">
        <v>86</v>
      </c>
      <c r="D154" s="17" t="s">
        <v>87</v>
      </c>
      <c r="E154" s="9" t="s">
        <v>88</v>
      </c>
      <c r="F154" s="57">
        <v>0.34</v>
      </c>
      <c r="G154" s="46">
        <f t="shared" ref="G154:G159" si="69">R154*$R$3</f>
        <v>48</v>
      </c>
      <c r="H154" s="47">
        <f t="shared" ref="H154:H159" si="70">P154*(1+Q154)*$P$3+S154*$S$3</f>
        <v>99.55</v>
      </c>
      <c r="I154" s="47">
        <f t="shared" ref="I154:I159" si="71">T154*$T$3</f>
        <v>2</v>
      </c>
      <c r="J154" s="47">
        <f t="shared" ref="J154:J159" si="72">(G154+H154+I154)*$J$3</f>
        <v>0</v>
      </c>
      <c r="K154" s="47">
        <f t="shared" ref="K154:K159" si="73">(G154+H154+I154+J154)*$K$3</f>
        <v>0</v>
      </c>
      <c r="L154" s="47">
        <f t="shared" ref="L154:L159" si="74">G154+H154+I154+J154+K154</f>
        <v>149.55000000000001</v>
      </c>
      <c r="M154" s="47">
        <f t="shared" ref="M154:M159" si="75">F154*L154</f>
        <v>50.847000000000001</v>
      </c>
      <c r="N154" s="8"/>
      <c r="O154" s="10">
        <f t="shared" si="60"/>
        <v>149.55000000000001</v>
      </c>
      <c r="P154" s="48">
        <f>架空层安装工程!$P$40</f>
        <v>85</v>
      </c>
      <c r="Q154" s="49">
        <f>架空层安装工程!$Q$40</f>
        <v>0.03</v>
      </c>
      <c r="R154" s="48">
        <f>架空层安装工程!$R$40</f>
        <v>48</v>
      </c>
      <c r="S154" s="50">
        <f>架空层安装工程!$S$40</f>
        <v>12</v>
      </c>
      <c r="T154" s="12">
        <f>架空层安装工程!$T$40</f>
        <v>2</v>
      </c>
      <c r="U154" s="10">
        <f t="shared" si="61"/>
        <v>50.847000000000001</v>
      </c>
    </row>
    <row r="155" spans="1:21" s="5" customFormat="1" ht="84" customHeight="1" outlineLevel="3">
      <c r="A155" s="9">
        <v>126</v>
      </c>
      <c r="B155" s="17">
        <v>30702001003</v>
      </c>
      <c r="C155" s="17" t="s">
        <v>86</v>
      </c>
      <c r="D155" s="17" t="s">
        <v>89</v>
      </c>
      <c r="E155" s="9" t="s">
        <v>88</v>
      </c>
      <c r="F155" s="57">
        <v>4.1500000000000004</v>
      </c>
      <c r="G155" s="46">
        <f t="shared" si="69"/>
        <v>48</v>
      </c>
      <c r="H155" s="47">
        <f t="shared" si="70"/>
        <v>99.55</v>
      </c>
      <c r="I155" s="47">
        <f t="shared" si="71"/>
        <v>2</v>
      </c>
      <c r="J155" s="47">
        <f t="shared" si="72"/>
        <v>0</v>
      </c>
      <c r="K155" s="47">
        <f t="shared" si="73"/>
        <v>0</v>
      </c>
      <c r="L155" s="47">
        <f t="shared" si="74"/>
        <v>149.55000000000001</v>
      </c>
      <c r="M155" s="47">
        <f t="shared" si="75"/>
        <v>620.63250000000005</v>
      </c>
      <c r="N155" s="8"/>
      <c r="O155" s="10">
        <f t="shared" si="60"/>
        <v>149.55000000000001</v>
      </c>
      <c r="P155" s="48">
        <f>架空层安装工程!$P$41</f>
        <v>85</v>
      </c>
      <c r="Q155" s="49">
        <f>架空层安装工程!$Q$41</f>
        <v>0.03</v>
      </c>
      <c r="R155" s="48">
        <f>架空层安装工程!$R$41</f>
        <v>48</v>
      </c>
      <c r="S155" s="50">
        <f>架空层安装工程!$S$41</f>
        <v>12</v>
      </c>
      <c r="T155" s="12">
        <f>架空层安装工程!$T$41</f>
        <v>2</v>
      </c>
      <c r="U155" s="10">
        <f t="shared" si="61"/>
        <v>620.63250000000005</v>
      </c>
    </row>
    <row r="156" spans="1:21" s="5" customFormat="1" ht="72" customHeight="1" outlineLevel="3">
      <c r="A156" s="9">
        <v>127</v>
      </c>
      <c r="B156" s="17">
        <v>30703019002</v>
      </c>
      <c r="C156" s="17" t="s">
        <v>91</v>
      </c>
      <c r="D156" s="17" t="s">
        <v>92</v>
      </c>
      <c r="E156" s="9" t="s">
        <v>88</v>
      </c>
      <c r="F156" s="57">
        <v>2.83</v>
      </c>
      <c r="G156" s="46">
        <f t="shared" si="69"/>
        <v>55</v>
      </c>
      <c r="H156" s="47">
        <f t="shared" si="70"/>
        <v>78.89</v>
      </c>
      <c r="I156" s="47">
        <f t="shared" si="71"/>
        <v>2.75</v>
      </c>
      <c r="J156" s="47">
        <f t="shared" si="72"/>
        <v>0</v>
      </c>
      <c r="K156" s="47">
        <f t="shared" si="73"/>
        <v>0</v>
      </c>
      <c r="L156" s="47">
        <f t="shared" si="74"/>
        <v>136.63999999999999</v>
      </c>
      <c r="M156" s="47">
        <f t="shared" si="75"/>
        <v>386.69119999999998</v>
      </c>
      <c r="N156" s="8"/>
      <c r="O156" s="10">
        <f t="shared" si="60"/>
        <v>136.63999999999999</v>
      </c>
      <c r="P156" s="48">
        <f>架空层安装工程!$P$43</f>
        <v>19.489999999999998</v>
      </c>
      <c r="Q156" s="49">
        <f>架空层安装工程!$Q$43</f>
        <v>0</v>
      </c>
      <c r="R156" s="48">
        <f>架空层安装工程!$R$43</f>
        <v>55</v>
      </c>
      <c r="S156" s="50">
        <f>架空层安装工程!$S$43</f>
        <v>59.4</v>
      </c>
      <c r="T156" s="12">
        <f>架空层安装工程!$T$43</f>
        <v>2.75</v>
      </c>
      <c r="U156" s="10">
        <f t="shared" si="61"/>
        <v>386.69119999999998</v>
      </c>
    </row>
    <row r="157" spans="1:21" s="5" customFormat="1" ht="72" customHeight="1" outlineLevel="3">
      <c r="A157" s="9">
        <v>128</v>
      </c>
      <c r="B157" s="17">
        <v>31301005002</v>
      </c>
      <c r="C157" s="17" t="s">
        <v>93</v>
      </c>
      <c r="D157" s="17" t="s">
        <v>94</v>
      </c>
      <c r="E157" s="9" t="s">
        <v>95</v>
      </c>
      <c r="F157" s="57">
        <v>16.27</v>
      </c>
      <c r="G157" s="46">
        <f t="shared" si="69"/>
        <v>5.77</v>
      </c>
      <c r="H157" s="47">
        <f t="shared" si="70"/>
        <v>6.87</v>
      </c>
      <c r="I157" s="47">
        <f t="shared" si="71"/>
        <v>1.21</v>
      </c>
      <c r="J157" s="47">
        <f t="shared" si="72"/>
        <v>0</v>
      </c>
      <c r="K157" s="47">
        <f t="shared" si="73"/>
        <v>0</v>
      </c>
      <c r="L157" s="47">
        <f t="shared" si="74"/>
        <v>13.85</v>
      </c>
      <c r="M157" s="47">
        <f t="shared" si="75"/>
        <v>225.33949999999999</v>
      </c>
      <c r="N157" s="8"/>
      <c r="O157" s="10">
        <f t="shared" si="60"/>
        <v>13.85</v>
      </c>
      <c r="P157" s="48">
        <f>架空层安装工程!$P$44</f>
        <v>6.87</v>
      </c>
      <c r="Q157" s="49">
        <f>架空层安装工程!$Q$44</f>
        <v>0</v>
      </c>
      <c r="R157" s="48">
        <f>架空层安装工程!$R$44</f>
        <v>5.77</v>
      </c>
      <c r="S157" s="50">
        <f>架空层安装工程!$S$44</f>
        <v>0</v>
      </c>
      <c r="T157" s="12">
        <f>架空层安装工程!$T$44</f>
        <v>1.21</v>
      </c>
      <c r="U157" s="10">
        <f t="shared" si="61"/>
        <v>225.33949999999999</v>
      </c>
    </row>
    <row r="158" spans="1:21" s="5" customFormat="1" ht="108" customHeight="1" outlineLevel="3">
      <c r="A158" s="9">
        <v>129</v>
      </c>
      <c r="B158" s="17">
        <v>31208003002</v>
      </c>
      <c r="C158" s="17" t="s">
        <v>96</v>
      </c>
      <c r="D158" s="17" t="s">
        <v>97</v>
      </c>
      <c r="E158" s="9" t="s">
        <v>88</v>
      </c>
      <c r="F158" s="57">
        <v>4.49</v>
      </c>
      <c r="G158" s="46">
        <f t="shared" si="69"/>
        <v>48</v>
      </c>
      <c r="H158" s="47">
        <f t="shared" si="70"/>
        <v>412</v>
      </c>
      <c r="I158" s="47">
        <f t="shared" si="71"/>
        <v>2</v>
      </c>
      <c r="J158" s="47">
        <f t="shared" si="72"/>
        <v>0</v>
      </c>
      <c r="K158" s="47">
        <f t="shared" si="73"/>
        <v>0</v>
      </c>
      <c r="L158" s="47">
        <f t="shared" si="74"/>
        <v>462</v>
      </c>
      <c r="M158" s="47">
        <f t="shared" si="75"/>
        <v>2074.38</v>
      </c>
      <c r="N158" s="8"/>
      <c r="O158" s="10">
        <f t="shared" si="60"/>
        <v>462</v>
      </c>
      <c r="P158" s="48">
        <f>架空层安装工程!$P$45</f>
        <v>400</v>
      </c>
      <c r="Q158" s="49">
        <f>架空层安装工程!$Q$45</f>
        <v>0</v>
      </c>
      <c r="R158" s="48">
        <f>架空层安装工程!$R$45</f>
        <v>48</v>
      </c>
      <c r="S158" s="50">
        <f>架空层安装工程!$S$45</f>
        <v>12</v>
      </c>
      <c r="T158" s="12">
        <f>架空层安装工程!$T$45</f>
        <v>2</v>
      </c>
      <c r="U158" s="10">
        <f t="shared" si="61"/>
        <v>2074.38</v>
      </c>
    </row>
    <row r="159" spans="1:21" s="5" customFormat="1" ht="24" customHeight="1" outlineLevel="3">
      <c r="A159" s="9">
        <v>130</v>
      </c>
      <c r="B159" s="17">
        <v>30704001002</v>
      </c>
      <c r="C159" s="17" t="s">
        <v>98</v>
      </c>
      <c r="D159" s="17" t="s">
        <v>99</v>
      </c>
      <c r="E159" s="9" t="s">
        <v>100</v>
      </c>
      <c r="F159" s="57">
        <v>1</v>
      </c>
      <c r="G159" s="46">
        <f t="shared" si="69"/>
        <v>380</v>
      </c>
      <c r="H159" s="47">
        <f t="shared" si="70"/>
        <v>600</v>
      </c>
      <c r="I159" s="47">
        <f t="shared" si="71"/>
        <v>20</v>
      </c>
      <c r="J159" s="47">
        <f t="shared" si="72"/>
        <v>0</v>
      </c>
      <c r="K159" s="47">
        <f t="shared" si="73"/>
        <v>0</v>
      </c>
      <c r="L159" s="47">
        <f t="shared" si="74"/>
        <v>1000</v>
      </c>
      <c r="M159" s="47">
        <f t="shared" si="75"/>
        <v>1000</v>
      </c>
      <c r="N159" s="8"/>
      <c r="O159" s="10">
        <f t="shared" si="60"/>
        <v>1000</v>
      </c>
      <c r="P159" s="48">
        <f>架空层安装工程!$P$46</f>
        <v>400</v>
      </c>
      <c r="Q159" s="49">
        <f>架空层安装工程!$Q$46</f>
        <v>0</v>
      </c>
      <c r="R159" s="48">
        <f>架空层安装工程!$R$46</f>
        <v>380</v>
      </c>
      <c r="S159" s="50">
        <f>架空层安装工程!$S$46</f>
        <v>200</v>
      </c>
      <c r="T159" s="12">
        <f>架空层安装工程!$T$46</f>
        <v>20</v>
      </c>
      <c r="U159" s="10">
        <f t="shared" si="61"/>
        <v>1000</v>
      </c>
    </row>
    <row r="160" spans="1:21" s="5" customFormat="1" outlineLevel="2">
      <c r="A160" s="9"/>
      <c r="B160" s="17"/>
      <c r="C160" s="17" t="s">
        <v>101</v>
      </c>
      <c r="D160" s="17"/>
      <c r="E160" s="9"/>
      <c r="F160" s="57"/>
      <c r="G160" s="46"/>
      <c r="H160" s="47"/>
      <c r="I160" s="47"/>
      <c r="J160" s="47"/>
      <c r="K160" s="47"/>
      <c r="L160" s="47"/>
      <c r="M160" s="47"/>
      <c r="N160" s="8"/>
      <c r="O160" s="10">
        <f t="shared" si="60"/>
        <v>0</v>
      </c>
      <c r="P160" s="48"/>
      <c r="Q160" s="49"/>
      <c r="R160" s="48"/>
      <c r="S160" s="50"/>
      <c r="T160" s="12"/>
      <c r="U160" s="10">
        <f t="shared" si="61"/>
        <v>0</v>
      </c>
    </row>
    <row r="161" spans="1:21" s="5" customFormat="1" ht="84" customHeight="1" outlineLevel="3">
      <c r="A161" s="9">
        <v>131</v>
      </c>
      <c r="B161" s="17">
        <v>31001005005</v>
      </c>
      <c r="C161" s="17" t="s">
        <v>102</v>
      </c>
      <c r="D161" s="17" t="s">
        <v>103</v>
      </c>
      <c r="E161" s="9" t="s">
        <v>43</v>
      </c>
      <c r="F161" s="57">
        <v>9.58</v>
      </c>
      <c r="G161" s="46">
        <f t="shared" ref="G161:G170" si="76">R161*$R$3</f>
        <v>9.64</v>
      </c>
      <c r="H161" s="47">
        <f t="shared" ref="H161:H170" si="77">P161*(1+Q161)*$P$3+S161*$S$3</f>
        <v>13.1816</v>
      </c>
      <c r="I161" s="47">
        <f t="shared" ref="I161:I170" si="78">T161*$T$3</f>
        <v>0</v>
      </c>
      <c r="J161" s="47">
        <f t="shared" ref="J161:J170" si="79">(G161+H161+I161)*$J$3</f>
        <v>0</v>
      </c>
      <c r="K161" s="47">
        <f t="shared" ref="K161:K170" si="80">(G161+H161+I161+J161)*$K$3</f>
        <v>0</v>
      </c>
      <c r="L161" s="47">
        <f t="shared" ref="L161:L170" si="81">G161+H161+I161+J161+K161</f>
        <v>22.8216</v>
      </c>
      <c r="M161" s="47">
        <f t="shared" ref="M161:M170" si="82">F161*L161</f>
        <v>218.63092800000001</v>
      </c>
      <c r="N161" s="8"/>
      <c r="O161" s="10">
        <f t="shared" si="60"/>
        <v>22.8216</v>
      </c>
      <c r="P161" s="48">
        <f>架空层安装工程!$P$48</f>
        <v>10.72</v>
      </c>
      <c r="Q161" s="49">
        <f>架空层安装工程!$Q$48</f>
        <v>0.03</v>
      </c>
      <c r="R161" s="48">
        <f>架空层安装工程!$R$48</f>
        <v>9.64</v>
      </c>
      <c r="S161" s="50">
        <f>架空层安装工程!$S$48</f>
        <v>2.14</v>
      </c>
      <c r="T161" s="12">
        <f>架空层安装工程!$T$48</f>
        <v>0</v>
      </c>
      <c r="U161" s="10">
        <f t="shared" si="61"/>
        <v>218.63092800000001</v>
      </c>
    </row>
    <row r="162" spans="1:21" s="5" customFormat="1" ht="84" customHeight="1" outlineLevel="3">
      <c r="A162" s="9">
        <v>132</v>
      </c>
      <c r="B162" s="17">
        <v>31001005006</v>
      </c>
      <c r="C162" s="17" t="s">
        <v>102</v>
      </c>
      <c r="D162" s="17" t="s">
        <v>104</v>
      </c>
      <c r="E162" s="9" t="s">
        <v>43</v>
      </c>
      <c r="F162" s="57">
        <v>15.6</v>
      </c>
      <c r="G162" s="46">
        <f t="shared" si="76"/>
        <v>14.29</v>
      </c>
      <c r="H162" s="47">
        <f t="shared" si="77"/>
        <v>17.763200000000001</v>
      </c>
      <c r="I162" s="47">
        <f t="shared" si="78"/>
        <v>0</v>
      </c>
      <c r="J162" s="47">
        <f t="shared" si="79"/>
        <v>0</v>
      </c>
      <c r="K162" s="47">
        <f t="shared" si="80"/>
        <v>0</v>
      </c>
      <c r="L162" s="47">
        <f t="shared" si="81"/>
        <v>32.053199999999997</v>
      </c>
      <c r="M162" s="47">
        <f t="shared" si="82"/>
        <v>500.02992</v>
      </c>
      <c r="N162" s="8"/>
      <c r="O162" s="10">
        <f t="shared" si="60"/>
        <v>32.053199999999997</v>
      </c>
      <c r="P162" s="48">
        <f>架空层安装工程!$P$49</f>
        <v>14.44</v>
      </c>
      <c r="Q162" s="49">
        <f>架空层安装工程!$Q$49</f>
        <v>0.03</v>
      </c>
      <c r="R162" s="48">
        <f>架空层安装工程!$R$49</f>
        <v>14.29</v>
      </c>
      <c r="S162" s="50">
        <f>架空层安装工程!$S$49</f>
        <v>2.89</v>
      </c>
      <c r="T162" s="12">
        <f>架空层安装工程!$T$49</f>
        <v>0</v>
      </c>
      <c r="U162" s="10">
        <f t="shared" si="61"/>
        <v>500.02992</v>
      </c>
    </row>
    <row r="163" spans="1:21" s="5" customFormat="1" ht="84" customHeight="1" outlineLevel="3">
      <c r="A163" s="9">
        <v>133</v>
      </c>
      <c r="B163" s="17">
        <v>31001005007</v>
      </c>
      <c r="C163" s="17" t="s">
        <v>102</v>
      </c>
      <c r="D163" s="17" t="s">
        <v>105</v>
      </c>
      <c r="E163" s="9" t="s">
        <v>43</v>
      </c>
      <c r="F163" s="57">
        <v>9.58</v>
      </c>
      <c r="G163" s="46">
        <f t="shared" si="76"/>
        <v>19.09</v>
      </c>
      <c r="H163" s="47">
        <f t="shared" si="77"/>
        <v>19.0138</v>
      </c>
      <c r="I163" s="47">
        <f t="shared" si="78"/>
        <v>0</v>
      </c>
      <c r="J163" s="47">
        <f t="shared" si="79"/>
        <v>0</v>
      </c>
      <c r="K163" s="47">
        <f t="shared" si="80"/>
        <v>0</v>
      </c>
      <c r="L163" s="47">
        <f t="shared" si="81"/>
        <v>38.1038</v>
      </c>
      <c r="M163" s="47">
        <f t="shared" si="82"/>
        <v>365.03440399999999</v>
      </c>
      <c r="N163" s="8"/>
      <c r="O163" s="10">
        <f t="shared" si="60"/>
        <v>38.1038</v>
      </c>
      <c r="P163" s="48">
        <f>架空层安装工程!$P$50</f>
        <v>15.46</v>
      </c>
      <c r="Q163" s="49">
        <f>架空层安装工程!$Q$50</f>
        <v>0.03</v>
      </c>
      <c r="R163" s="48">
        <f>架空层安装工程!$R$50</f>
        <v>19.09</v>
      </c>
      <c r="S163" s="50">
        <f>架空层安装工程!$S$50</f>
        <v>3.09</v>
      </c>
      <c r="T163" s="12">
        <f>架空层安装工程!$T$50</f>
        <v>0</v>
      </c>
      <c r="U163" s="10">
        <f t="shared" si="61"/>
        <v>365.03440399999999</v>
      </c>
    </row>
    <row r="164" spans="1:21" s="5" customFormat="1" ht="84" customHeight="1" outlineLevel="3">
      <c r="A164" s="9">
        <v>134</v>
      </c>
      <c r="B164" s="17">
        <v>31001005008</v>
      </c>
      <c r="C164" s="17" t="s">
        <v>102</v>
      </c>
      <c r="D164" s="17" t="s">
        <v>106</v>
      </c>
      <c r="E164" s="9" t="s">
        <v>43</v>
      </c>
      <c r="F164" s="57">
        <v>6.89</v>
      </c>
      <c r="G164" s="46">
        <f t="shared" si="76"/>
        <v>23.89</v>
      </c>
      <c r="H164" s="47">
        <f t="shared" si="77"/>
        <v>26.496200000000002</v>
      </c>
      <c r="I164" s="47">
        <f t="shared" si="78"/>
        <v>0</v>
      </c>
      <c r="J164" s="47">
        <f t="shared" si="79"/>
        <v>0</v>
      </c>
      <c r="K164" s="47">
        <f t="shared" si="80"/>
        <v>0</v>
      </c>
      <c r="L164" s="47">
        <f t="shared" si="81"/>
        <v>50.386200000000002</v>
      </c>
      <c r="M164" s="47">
        <f t="shared" si="82"/>
        <v>347.16091799999998</v>
      </c>
      <c r="N164" s="8"/>
      <c r="O164" s="10">
        <f t="shared" si="60"/>
        <v>50.386200000000002</v>
      </c>
      <c r="P164" s="48">
        <f>架空层安装工程!$P$51</f>
        <v>21.54</v>
      </c>
      <c r="Q164" s="49">
        <f>架空层安装工程!$Q$51</f>
        <v>0.03</v>
      </c>
      <c r="R164" s="48">
        <f>架空层安装工程!$R$51</f>
        <v>23.89</v>
      </c>
      <c r="S164" s="50">
        <f>架空层安装工程!$S$51</f>
        <v>4.3099999999999996</v>
      </c>
      <c r="T164" s="12">
        <f>架空层安装工程!$T$51</f>
        <v>0</v>
      </c>
      <c r="U164" s="10">
        <f t="shared" si="61"/>
        <v>347.16091799999998</v>
      </c>
    </row>
    <row r="165" spans="1:21" s="5" customFormat="1" ht="84" customHeight="1" outlineLevel="3">
      <c r="A165" s="9">
        <v>135</v>
      </c>
      <c r="B165" s="17">
        <v>31001005009</v>
      </c>
      <c r="C165" s="17" t="s">
        <v>102</v>
      </c>
      <c r="D165" s="17" t="s">
        <v>107</v>
      </c>
      <c r="E165" s="9" t="s">
        <v>43</v>
      </c>
      <c r="F165" s="57">
        <v>8.7100000000000009</v>
      </c>
      <c r="G165" s="46">
        <f t="shared" si="76"/>
        <v>28.7</v>
      </c>
      <c r="H165" s="47">
        <f t="shared" si="77"/>
        <v>35.8339</v>
      </c>
      <c r="I165" s="47">
        <f t="shared" si="78"/>
        <v>0</v>
      </c>
      <c r="J165" s="47">
        <f t="shared" si="79"/>
        <v>0</v>
      </c>
      <c r="K165" s="47">
        <f t="shared" si="80"/>
        <v>0</v>
      </c>
      <c r="L165" s="47">
        <f t="shared" si="81"/>
        <v>64.533900000000003</v>
      </c>
      <c r="M165" s="47">
        <f t="shared" si="82"/>
        <v>562.09026900000003</v>
      </c>
      <c r="N165" s="8"/>
      <c r="O165" s="10">
        <f t="shared" si="60"/>
        <v>64.533900000000003</v>
      </c>
      <c r="P165" s="48">
        <f>架空层安装工程!$P$52</f>
        <v>29.13</v>
      </c>
      <c r="Q165" s="49">
        <f>架空层安装工程!$Q$52</f>
        <v>0.03</v>
      </c>
      <c r="R165" s="48">
        <f>架空层安装工程!$R$52</f>
        <v>28.7</v>
      </c>
      <c r="S165" s="50">
        <f>架空层安装工程!$S$52</f>
        <v>5.83</v>
      </c>
      <c r="T165" s="12">
        <f>架空层安装工程!$T$52</f>
        <v>0</v>
      </c>
      <c r="U165" s="10">
        <f t="shared" si="61"/>
        <v>562.09026900000003</v>
      </c>
    </row>
    <row r="166" spans="1:21" s="5" customFormat="1" ht="60" customHeight="1" outlineLevel="3">
      <c r="A166" s="9">
        <v>136</v>
      </c>
      <c r="B166" s="17">
        <v>31002001002</v>
      </c>
      <c r="C166" s="17" t="s">
        <v>109</v>
      </c>
      <c r="D166" s="17" t="s">
        <v>110</v>
      </c>
      <c r="E166" s="9" t="s">
        <v>46</v>
      </c>
      <c r="F166" s="57">
        <v>5</v>
      </c>
      <c r="G166" s="46">
        <f t="shared" si="76"/>
        <v>94</v>
      </c>
      <c r="H166" s="47">
        <f t="shared" si="77"/>
        <v>177</v>
      </c>
      <c r="I166" s="47">
        <f t="shared" si="78"/>
        <v>4.7</v>
      </c>
      <c r="J166" s="47">
        <f t="shared" si="79"/>
        <v>0</v>
      </c>
      <c r="K166" s="47">
        <f t="shared" si="80"/>
        <v>0</v>
      </c>
      <c r="L166" s="47">
        <f t="shared" si="81"/>
        <v>275.7</v>
      </c>
      <c r="M166" s="47">
        <f t="shared" si="82"/>
        <v>1378.5</v>
      </c>
      <c r="N166" s="8"/>
      <c r="O166" s="10">
        <f t="shared" si="60"/>
        <v>275.7</v>
      </c>
      <c r="P166" s="48">
        <f>架空层安装工程!$P$54</f>
        <v>118</v>
      </c>
      <c r="Q166" s="49">
        <f>架空层安装工程!$Q$54</f>
        <v>0</v>
      </c>
      <c r="R166" s="48">
        <f>架空层安装工程!$R$54</f>
        <v>94</v>
      </c>
      <c r="S166" s="50">
        <f>架空层安装工程!$S$54</f>
        <v>59</v>
      </c>
      <c r="T166" s="12">
        <f>架空层安装工程!$T$54</f>
        <v>4.7</v>
      </c>
      <c r="U166" s="10">
        <f t="shared" si="61"/>
        <v>1378.5</v>
      </c>
    </row>
    <row r="167" spans="1:21" s="5" customFormat="1" ht="84" customHeight="1" outlineLevel="3">
      <c r="A167" s="9">
        <v>137</v>
      </c>
      <c r="B167" s="17">
        <v>31001008021</v>
      </c>
      <c r="C167" s="17" t="s">
        <v>111</v>
      </c>
      <c r="D167" s="17" t="s">
        <v>260</v>
      </c>
      <c r="E167" s="9" t="s">
        <v>43</v>
      </c>
      <c r="F167" s="57">
        <v>15.15</v>
      </c>
      <c r="G167" s="46">
        <f t="shared" si="76"/>
        <v>18</v>
      </c>
      <c r="H167" s="47">
        <f t="shared" si="77"/>
        <v>4.76</v>
      </c>
      <c r="I167" s="47">
        <f t="shared" si="78"/>
        <v>0.04</v>
      </c>
      <c r="J167" s="47">
        <f t="shared" si="79"/>
        <v>0</v>
      </c>
      <c r="K167" s="47">
        <f t="shared" si="80"/>
        <v>0</v>
      </c>
      <c r="L167" s="47">
        <f t="shared" si="81"/>
        <v>22.8</v>
      </c>
      <c r="M167" s="47">
        <f t="shared" si="82"/>
        <v>345.42</v>
      </c>
      <c r="N167" s="8"/>
      <c r="O167" s="10">
        <f t="shared" si="60"/>
        <v>22.8</v>
      </c>
      <c r="P167" s="48">
        <f>$P$83</f>
        <v>4.5</v>
      </c>
      <c r="Q167" s="49">
        <f>$Q$83</f>
        <v>0</v>
      </c>
      <c r="R167" s="48">
        <f>$R$83</f>
        <v>18</v>
      </c>
      <c r="S167" s="50">
        <f>$S$83</f>
        <v>0.26</v>
      </c>
      <c r="T167" s="12">
        <f>$T$83</f>
        <v>0.04</v>
      </c>
      <c r="U167" s="10">
        <f t="shared" si="61"/>
        <v>345.42</v>
      </c>
    </row>
    <row r="168" spans="1:21" s="5" customFormat="1" ht="84" customHeight="1" outlineLevel="3">
      <c r="A168" s="9">
        <v>138</v>
      </c>
      <c r="B168" s="17">
        <v>31001008022</v>
      </c>
      <c r="C168" s="17" t="s">
        <v>111</v>
      </c>
      <c r="D168" s="17" t="s">
        <v>112</v>
      </c>
      <c r="E168" s="9" t="s">
        <v>43</v>
      </c>
      <c r="F168" s="57">
        <v>8.5</v>
      </c>
      <c r="G168" s="46">
        <f t="shared" si="76"/>
        <v>22.09</v>
      </c>
      <c r="H168" s="47">
        <f t="shared" si="77"/>
        <v>8.76</v>
      </c>
      <c r="I168" s="47">
        <f t="shared" si="78"/>
        <v>0.04</v>
      </c>
      <c r="J168" s="47">
        <f t="shared" si="79"/>
        <v>0</v>
      </c>
      <c r="K168" s="47">
        <f t="shared" si="80"/>
        <v>0</v>
      </c>
      <c r="L168" s="47">
        <f t="shared" si="81"/>
        <v>30.89</v>
      </c>
      <c r="M168" s="47">
        <f t="shared" si="82"/>
        <v>262.565</v>
      </c>
      <c r="N168" s="8"/>
      <c r="O168" s="10">
        <f t="shared" si="60"/>
        <v>30.89</v>
      </c>
      <c r="P168" s="48">
        <f>架空层安装工程!$P$55</f>
        <v>8.5</v>
      </c>
      <c r="Q168" s="49">
        <f>架空层安装工程!$Q$55</f>
        <v>0</v>
      </c>
      <c r="R168" s="48">
        <f>架空层安装工程!$R$55</f>
        <v>22.09</v>
      </c>
      <c r="S168" s="50">
        <f>架空层安装工程!$S$55</f>
        <v>0.26</v>
      </c>
      <c r="T168" s="12">
        <f>架空层安装工程!$T$55</f>
        <v>0.04</v>
      </c>
      <c r="U168" s="10">
        <f t="shared" si="61"/>
        <v>262.565</v>
      </c>
    </row>
    <row r="169" spans="1:21" s="5" customFormat="1" ht="72" customHeight="1" outlineLevel="3">
      <c r="A169" s="9">
        <v>139</v>
      </c>
      <c r="B169" s="17">
        <v>31208002007</v>
      </c>
      <c r="C169" s="17" t="s">
        <v>115</v>
      </c>
      <c r="D169" s="17" t="s">
        <v>116</v>
      </c>
      <c r="E169" s="9" t="s">
        <v>117</v>
      </c>
      <c r="F169" s="57">
        <v>0.11</v>
      </c>
      <c r="G169" s="46">
        <f t="shared" si="76"/>
        <v>120</v>
      </c>
      <c r="H169" s="47">
        <f t="shared" si="77"/>
        <v>410</v>
      </c>
      <c r="I169" s="47">
        <f t="shared" si="78"/>
        <v>5</v>
      </c>
      <c r="J169" s="47">
        <f t="shared" si="79"/>
        <v>0</v>
      </c>
      <c r="K169" s="47">
        <f t="shared" si="80"/>
        <v>0</v>
      </c>
      <c r="L169" s="47">
        <f t="shared" si="81"/>
        <v>535</v>
      </c>
      <c r="M169" s="47">
        <f t="shared" si="82"/>
        <v>58.85</v>
      </c>
      <c r="N169" s="8"/>
      <c r="O169" s="10">
        <f t="shared" si="60"/>
        <v>535</v>
      </c>
      <c r="P169" s="48">
        <f>架空层安装工程!$P$58</f>
        <v>400</v>
      </c>
      <c r="Q169" s="49">
        <f>架空层安装工程!$Q$58</f>
        <v>0</v>
      </c>
      <c r="R169" s="48">
        <f>架空层安装工程!$R$58</f>
        <v>120</v>
      </c>
      <c r="S169" s="50">
        <f>架空层安装工程!$S$58</f>
        <v>10</v>
      </c>
      <c r="T169" s="12">
        <f>架空层安装工程!$T$58</f>
        <v>5</v>
      </c>
      <c r="U169" s="10">
        <f t="shared" si="61"/>
        <v>58.85</v>
      </c>
    </row>
    <row r="170" spans="1:21" s="5" customFormat="1" ht="72" customHeight="1" outlineLevel="3">
      <c r="A170" s="9">
        <v>140</v>
      </c>
      <c r="B170" s="17">
        <v>31208002008</v>
      </c>
      <c r="C170" s="17" t="s">
        <v>115</v>
      </c>
      <c r="D170" s="17" t="s">
        <v>118</v>
      </c>
      <c r="E170" s="9" t="s">
        <v>117</v>
      </c>
      <c r="F170" s="57">
        <v>0.04</v>
      </c>
      <c r="G170" s="46">
        <f t="shared" si="76"/>
        <v>120</v>
      </c>
      <c r="H170" s="47">
        <f t="shared" si="77"/>
        <v>410</v>
      </c>
      <c r="I170" s="47">
        <f t="shared" si="78"/>
        <v>5</v>
      </c>
      <c r="J170" s="47">
        <f t="shared" si="79"/>
        <v>0</v>
      </c>
      <c r="K170" s="47">
        <f t="shared" si="80"/>
        <v>0</v>
      </c>
      <c r="L170" s="47">
        <f t="shared" si="81"/>
        <v>535</v>
      </c>
      <c r="M170" s="47">
        <f t="shared" si="82"/>
        <v>21.4</v>
      </c>
      <c r="N170" s="8"/>
      <c r="O170" s="10">
        <f t="shared" si="60"/>
        <v>535</v>
      </c>
      <c r="P170" s="48">
        <f>架空层安装工程!$P$59</f>
        <v>400</v>
      </c>
      <c r="Q170" s="49">
        <f>架空层安装工程!$Q$59</f>
        <v>0</v>
      </c>
      <c r="R170" s="48">
        <f>架空层安装工程!$R$59</f>
        <v>120</v>
      </c>
      <c r="S170" s="50">
        <f>架空层安装工程!$S$59</f>
        <v>10</v>
      </c>
      <c r="T170" s="12">
        <f>架空层安装工程!$T$59</f>
        <v>5</v>
      </c>
      <c r="U170" s="10">
        <f t="shared" si="61"/>
        <v>21.4</v>
      </c>
    </row>
    <row r="171" spans="1:21" s="5" customFormat="1">
      <c r="A171" s="9"/>
      <c r="B171" s="17"/>
      <c r="C171" s="17" t="s">
        <v>339</v>
      </c>
      <c r="D171" s="17"/>
      <c r="E171" s="9"/>
      <c r="F171" s="57"/>
      <c r="G171" s="46"/>
      <c r="H171" s="47"/>
      <c r="I171" s="47"/>
      <c r="J171" s="47"/>
      <c r="K171" s="47"/>
      <c r="L171" s="47"/>
      <c r="M171" s="47"/>
      <c r="N171" s="8"/>
      <c r="O171" s="10">
        <f t="shared" si="60"/>
        <v>0</v>
      </c>
      <c r="P171" s="48"/>
      <c r="Q171" s="49"/>
      <c r="R171" s="48"/>
      <c r="S171" s="50"/>
      <c r="T171" s="12"/>
      <c r="U171" s="10">
        <f t="shared" si="61"/>
        <v>0</v>
      </c>
    </row>
    <row r="172" spans="1:21" s="5" customFormat="1" outlineLevel="1">
      <c r="A172" s="9"/>
      <c r="B172" s="17"/>
      <c r="C172" s="17" t="s">
        <v>34</v>
      </c>
      <c r="D172" s="17"/>
      <c r="E172" s="9"/>
      <c r="F172" s="57"/>
      <c r="G172" s="46"/>
      <c r="H172" s="47"/>
      <c r="I172" s="47"/>
      <c r="J172" s="47"/>
      <c r="K172" s="47"/>
      <c r="L172" s="47"/>
      <c r="M172" s="47"/>
      <c r="N172" s="8"/>
      <c r="O172" s="10">
        <f t="shared" si="60"/>
        <v>0</v>
      </c>
      <c r="P172" s="48"/>
      <c r="Q172" s="49"/>
      <c r="R172" s="48"/>
      <c r="S172" s="50"/>
      <c r="T172" s="12"/>
      <c r="U172" s="10">
        <f t="shared" si="61"/>
        <v>0</v>
      </c>
    </row>
    <row r="173" spans="1:21" s="5" customFormat="1" outlineLevel="2">
      <c r="A173" s="9"/>
      <c r="B173" s="17"/>
      <c r="C173" s="17" t="s">
        <v>123</v>
      </c>
      <c r="D173" s="17"/>
      <c r="E173" s="9"/>
      <c r="F173" s="57"/>
      <c r="G173" s="46"/>
      <c r="H173" s="47"/>
      <c r="I173" s="47"/>
      <c r="J173" s="47"/>
      <c r="K173" s="47"/>
      <c r="L173" s="47"/>
      <c r="M173" s="47"/>
      <c r="N173" s="8"/>
      <c r="O173" s="10">
        <f t="shared" si="60"/>
        <v>0</v>
      </c>
      <c r="P173" s="48"/>
      <c r="Q173" s="49"/>
      <c r="R173" s="48"/>
      <c r="S173" s="50"/>
      <c r="T173" s="12"/>
      <c r="U173" s="10">
        <f t="shared" si="61"/>
        <v>0</v>
      </c>
    </row>
    <row r="174" spans="1:21" s="5" customFormat="1" ht="84" customHeight="1" outlineLevel="3">
      <c r="A174" s="9">
        <v>141</v>
      </c>
      <c r="B174" s="17">
        <v>30413002014</v>
      </c>
      <c r="C174" s="17" t="s">
        <v>268</v>
      </c>
      <c r="D174" s="17" t="s">
        <v>269</v>
      </c>
      <c r="E174" s="9" t="s">
        <v>38</v>
      </c>
      <c r="F174" s="57">
        <v>21</v>
      </c>
      <c r="G174" s="46">
        <f t="shared" ref="G174:G185" si="83">R174*$R$3</f>
        <v>18</v>
      </c>
      <c r="H174" s="47">
        <f t="shared" ref="H174:H185" si="84">P174*(1+Q174)*$P$3+S174*$S$3</f>
        <v>126</v>
      </c>
      <c r="I174" s="47">
        <f t="shared" ref="I174:I185" si="85">T174*$T$3</f>
        <v>8</v>
      </c>
      <c r="J174" s="47">
        <f t="shared" ref="J174:J185" si="86">(G174+H174+I174)*$J$3</f>
        <v>0</v>
      </c>
      <c r="K174" s="47">
        <f t="shared" ref="K174:K185" si="87">(G174+H174+I174+J174)*$K$3</f>
        <v>0</v>
      </c>
      <c r="L174" s="47">
        <f t="shared" ref="L174:L185" si="88">G174+H174+I174+J174+K174</f>
        <v>152</v>
      </c>
      <c r="M174" s="47">
        <f t="shared" ref="M174:M185" si="89">F174*L174</f>
        <v>3192</v>
      </c>
      <c r="N174" s="8"/>
      <c r="O174" s="10">
        <f t="shared" si="60"/>
        <v>152</v>
      </c>
      <c r="P174" s="48">
        <f>$P$8</f>
        <v>120</v>
      </c>
      <c r="Q174" s="49">
        <f>$Q$8</f>
        <v>0</v>
      </c>
      <c r="R174" s="48">
        <f>$R$8</f>
        <v>18</v>
      </c>
      <c r="S174" s="50">
        <f>$S$8</f>
        <v>6</v>
      </c>
      <c r="T174" s="12">
        <f>$T$8</f>
        <v>8</v>
      </c>
      <c r="U174" s="10">
        <f t="shared" si="61"/>
        <v>3192</v>
      </c>
    </row>
    <row r="175" spans="1:21" s="5" customFormat="1" ht="96" customHeight="1" outlineLevel="3">
      <c r="A175" s="9">
        <v>142</v>
      </c>
      <c r="B175" s="17">
        <v>30413002015</v>
      </c>
      <c r="C175" s="17" t="s">
        <v>270</v>
      </c>
      <c r="D175" s="17" t="s">
        <v>271</v>
      </c>
      <c r="E175" s="9" t="s">
        <v>38</v>
      </c>
      <c r="F175" s="57">
        <v>14</v>
      </c>
      <c r="G175" s="46">
        <f t="shared" si="83"/>
        <v>18</v>
      </c>
      <c r="H175" s="47">
        <f t="shared" si="84"/>
        <v>126</v>
      </c>
      <c r="I175" s="47">
        <f t="shared" si="85"/>
        <v>8</v>
      </c>
      <c r="J175" s="47">
        <f t="shared" si="86"/>
        <v>0</v>
      </c>
      <c r="K175" s="47">
        <f t="shared" si="87"/>
        <v>0</v>
      </c>
      <c r="L175" s="47">
        <f t="shared" si="88"/>
        <v>152</v>
      </c>
      <c r="M175" s="47">
        <f t="shared" si="89"/>
        <v>2128</v>
      </c>
      <c r="N175" s="8"/>
      <c r="O175" s="10">
        <f t="shared" si="60"/>
        <v>152</v>
      </c>
      <c r="P175" s="48">
        <f>$P$9</f>
        <v>120</v>
      </c>
      <c r="Q175" s="49">
        <f>$Q$9</f>
        <v>0</v>
      </c>
      <c r="R175" s="48">
        <f>$R$9</f>
        <v>18</v>
      </c>
      <c r="S175" s="50">
        <f>$S$9</f>
        <v>6</v>
      </c>
      <c r="T175" s="12">
        <f>$T$9</f>
        <v>8</v>
      </c>
      <c r="U175" s="10">
        <f t="shared" si="61"/>
        <v>2128</v>
      </c>
    </row>
    <row r="176" spans="1:21" s="5" customFormat="1" ht="84" customHeight="1" outlineLevel="3">
      <c r="A176" s="9">
        <v>143</v>
      </c>
      <c r="B176" s="17">
        <v>30413002016</v>
      </c>
      <c r="C176" s="17" t="s">
        <v>272</v>
      </c>
      <c r="D176" s="17" t="s">
        <v>273</v>
      </c>
      <c r="E176" s="9" t="s">
        <v>38</v>
      </c>
      <c r="F176" s="57">
        <v>14</v>
      </c>
      <c r="G176" s="46">
        <f t="shared" si="83"/>
        <v>18</v>
      </c>
      <c r="H176" s="47">
        <f t="shared" si="84"/>
        <v>126</v>
      </c>
      <c r="I176" s="47">
        <f t="shared" si="85"/>
        <v>8</v>
      </c>
      <c r="J176" s="47">
        <f t="shared" si="86"/>
        <v>0</v>
      </c>
      <c r="K176" s="47">
        <f t="shared" si="87"/>
        <v>0</v>
      </c>
      <c r="L176" s="47">
        <f t="shared" si="88"/>
        <v>152</v>
      </c>
      <c r="M176" s="47">
        <f t="shared" si="89"/>
        <v>2128</v>
      </c>
      <c r="N176" s="8"/>
      <c r="O176" s="10">
        <f t="shared" si="60"/>
        <v>152</v>
      </c>
      <c r="P176" s="48">
        <f>$P$10</f>
        <v>120</v>
      </c>
      <c r="Q176" s="49">
        <f>$Q$10</f>
        <v>0</v>
      </c>
      <c r="R176" s="48">
        <f>$R$10</f>
        <v>18</v>
      </c>
      <c r="S176" s="50">
        <f>$S$10</f>
        <v>6</v>
      </c>
      <c r="T176" s="12">
        <f>$T$10</f>
        <v>8</v>
      </c>
      <c r="U176" s="10">
        <f t="shared" si="61"/>
        <v>2128</v>
      </c>
    </row>
    <row r="177" spans="1:21" s="5" customFormat="1" ht="84" customHeight="1" outlineLevel="3">
      <c r="A177" s="9">
        <v>144</v>
      </c>
      <c r="B177" s="17">
        <v>30413002017</v>
      </c>
      <c r="C177" s="17" t="s">
        <v>274</v>
      </c>
      <c r="D177" s="17" t="s">
        <v>275</v>
      </c>
      <c r="E177" s="9" t="s">
        <v>38</v>
      </c>
      <c r="F177" s="57">
        <v>6</v>
      </c>
      <c r="G177" s="46">
        <f t="shared" si="83"/>
        <v>18</v>
      </c>
      <c r="H177" s="47">
        <f t="shared" si="84"/>
        <v>126</v>
      </c>
      <c r="I177" s="47">
        <f t="shared" si="85"/>
        <v>8</v>
      </c>
      <c r="J177" s="47">
        <f t="shared" si="86"/>
        <v>0</v>
      </c>
      <c r="K177" s="47">
        <f t="shared" si="87"/>
        <v>0</v>
      </c>
      <c r="L177" s="47">
        <f t="shared" si="88"/>
        <v>152</v>
      </c>
      <c r="M177" s="47">
        <f t="shared" si="89"/>
        <v>912</v>
      </c>
      <c r="N177" s="8"/>
      <c r="O177" s="10">
        <f t="shared" si="60"/>
        <v>152</v>
      </c>
      <c r="P177" s="48">
        <f>$P$11</f>
        <v>120</v>
      </c>
      <c r="Q177" s="49">
        <f>$Q$11</f>
        <v>0</v>
      </c>
      <c r="R177" s="48">
        <f>$R$11</f>
        <v>18</v>
      </c>
      <c r="S177" s="50">
        <f>$S$11</f>
        <v>6</v>
      </c>
      <c r="T177" s="12">
        <f>$T$11</f>
        <v>8</v>
      </c>
      <c r="U177" s="10">
        <f t="shared" si="61"/>
        <v>912</v>
      </c>
    </row>
    <row r="178" spans="1:21" s="5" customFormat="1" ht="84" customHeight="1" outlineLevel="3">
      <c r="A178" s="9">
        <v>145</v>
      </c>
      <c r="B178" s="17">
        <v>30413002018</v>
      </c>
      <c r="C178" s="17" t="s">
        <v>278</v>
      </c>
      <c r="D178" s="17" t="s">
        <v>279</v>
      </c>
      <c r="E178" s="9" t="s">
        <v>43</v>
      </c>
      <c r="F178" s="57">
        <v>73.650000000000006</v>
      </c>
      <c r="G178" s="46">
        <f t="shared" si="83"/>
        <v>2.5</v>
      </c>
      <c r="H178" s="47">
        <f t="shared" si="84"/>
        <v>12.5</v>
      </c>
      <c r="I178" s="47">
        <f t="shared" si="85"/>
        <v>0</v>
      </c>
      <c r="J178" s="47">
        <f t="shared" si="86"/>
        <v>0</v>
      </c>
      <c r="K178" s="47">
        <f t="shared" si="87"/>
        <v>0</v>
      </c>
      <c r="L178" s="47">
        <f t="shared" si="88"/>
        <v>15</v>
      </c>
      <c r="M178" s="47">
        <f t="shared" si="89"/>
        <v>1104.75</v>
      </c>
      <c r="N178" s="8"/>
      <c r="O178" s="10">
        <f t="shared" si="60"/>
        <v>15</v>
      </c>
      <c r="P178" s="48">
        <f>$P$13</f>
        <v>12</v>
      </c>
      <c r="Q178" s="49">
        <f>$Q$13</f>
        <v>0</v>
      </c>
      <c r="R178" s="48">
        <f>$R$13</f>
        <v>2.5</v>
      </c>
      <c r="S178" s="50">
        <f>$S$13</f>
        <v>0.5</v>
      </c>
      <c r="T178" s="12">
        <f>$T$13</f>
        <v>0</v>
      </c>
      <c r="U178" s="10">
        <f t="shared" si="61"/>
        <v>1104.75</v>
      </c>
    </row>
    <row r="179" spans="1:21" s="5" customFormat="1" ht="72" customHeight="1" outlineLevel="3">
      <c r="A179" s="9">
        <v>146</v>
      </c>
      <c r="B179" s="17">
        <v>30413002019</v>
      </c>
      <c r="C179" s="17" t="s">
        <v>280</v>
      </c>
      <c r="D179" s="17" t="s">
        <v>281</v>
      </c>
      <c r="E179" s="9" t="s">
        <v>43</v>
      </c>
      <c r="F179" s="57">
        <v>57.25</v>
      </c>
      <c r="G179" s="46">
        <f t="shared" si="83"/>
        <v>2.5</v>
      </c>
      <c r="H179" s="47">
        <f t="shared" si="84"/>
        <v>12.5</v>
      </c>
      <c r="I179" s="47">
        <f t="shared" si="85"/>
        <v>0</v>
      </c>
      <c r="J179" s="47">
        <f t="shared" si="86"/>
        <v>0</v>
      </c>
      <c r="K179" s="47">
        <f t="shared" si="87"/>
        <v>0</v>
      </c>
      <c r="L179" s="47">
        <f t="shared" si="88"/>
        <v>15</v>
      </c>
      <c r="M179" s="47">
        <f t="shared" si="89"/>
        <v>858.75</v>
      </c>
      <c r="N179" s="8"/>
      <c r="O179" s="10">
        <f t="shared" si="60"/>
        <v>15</v>
      </c>
      <c r="P179" s="48">
        <f>$P$14</f>
        <v>12</v>
      </c>
      <c r="Q179" s="49">
        <f>$Q$14</f>
        <v>0</v>
      </c>
      <c r="R179" s="48">
        <f>$R$14</f>
        <v>2.5</v>
      </c>
      <c r="S179" s="50">
        <f>$S$14</f>
        <v>0.5</v>
      </c>
      <c r="T179" s="12">
        <f>$T$14</f>
        <v>0</v>
      </c>
      <c r="U179" s="10">
        <f t="shared" si="61"/>
        <v>858.75</v>
      </c>
    </row>
    <row r="180" spans="1:21" s="5" customFormat="1" ht="72" customHeight="1" outlineLevel="3">
      <c r="A180" s="9">
        <v>147</v>
      </c>
      <c r="B180" s="17">
        <v>30413002020</v>
      </c>
      <c r="C180" s="17" t="s">
        <v>282</v>
      </c>
      <c r="D180" s="17" t="s">
        <v>283</v>
      </c>
      <c r="E180" s="9" t="s">
        <v>43</v>
      </c>
      <c r="F180" s="57">
        <v>95.78</v>
      </c>
      <c r="G180" s="46">
        <f t="shared" si="83"/>
        <v>2.5</v>
      </c>
      <c r="H180" s="47">
        <f t="shared" si="84"/>
        <v>12.5</v>
      </c>
      <c r="I180" s="47">
        <f t="shared" si="85"/>
        <v>0</v>
      </c>
      <c r="J180" s="47">
        <f t="shared" si="86"/>
        <v>0</v>
      </c>
      <c r="K180" s="47">
        <f t="shared" si="87"/>
        <v>0</v>
      </c>
      <c r="L180" s="47">
        <f t="shared" si="88"/>
        <v>15</v>
      </c>
      <c r="M180" s="47">
        <f t="shared" si="89"/>
        <v>1436.7</v>
      </c>
      <c r="N180" s="8"/>
      <c r="O180" s="10">
        <f t="shared" si="60"/>
        <v>15</v>
      </c>
      <c r="P180" s="48">
        <f>$P$15</f>
        <v>12</v>
      </c>
      <c r="Q180" s="49">
        <f>$Q$15</f>
        <v>0</v>
      </c>
      <c r="R180" s="48">
        <f>$R$15</f>
        <v>2.5</v>
      </c>
      <c r="S180" s="50">
        <f>$S$15</f>
        <v>0.5</v>
      </c>
      <c r="T180" s="12">
        <f>$T$15</f>
        <v>0</v>
      </c>
      <c r="U180" s="10">
        <f t="shared" si="61"/>
        <v>1436.7</v>
      </c>
    </row>
    <row r="181" spans="1:21" s="5" customFormat="1" ht="84" customHeight="1" outlineLevel="3">
      <c r="A181" s="9">
        <v>148</v>
      </c>
      <c r="B181" s="17">
        <v>30413009003</v>
      </c>
      <c r="C181" s="17" t="s">
        <v>44</v>
      </c>
      <c r="D181" s="17" t="s">
        <v>45</v>
      </c>
      <c r="E181" s="9" t="s">
        <v>46</v>
      </c>
      <c r="F181" s="57">
        <v>38</v>
      </c>
      <c r="G181" s="46">
        <f t="shared" si="83"/>
        <v>3</v>
      </c>
      <c r="H181" s="47">
        <f t="shared" si="84"/>
        <v>20.5</v>
      </c>
      <c r="I181" s="47">
        <f t="shared" si="85"/>
        <v>0</v>
      </c>
      <c r="J181" s="47">
        <f t="shared" si="86"/>
        <v>0</v>
      </c>
      <c r="K181" s="47">
        <f t="shared" si="87"/>
        <v>0</v>
      </c>
      <c r="L181" s="47">
        <f t="shared" si="88"/>
        <v>23.5</v>
      </c>
      <c r="M181" s="47">
        <f t="shared" si="89"/>
        <v>893</v>
      </c>
      <c r="N181" s="8"/>
      <c r="O181" s="10">
        <f t="shared" si="60"/>
        <v>23.5</v>
      </c>
      <c r="P181" s="48">
        <f>架空层安装工程!$P$10</f>
        <v>20</v>
      </c>
      <c r="Q181" s="49">
        <f>架空层安装工程!$Q$10</f>
        <v>0</v>
      </c>
      <c r="R181" s="48">
        <f>架空层安装工程!$R$10</f>
        <v>3</v>
      </c>
      <c r="S181" s="50">
        <f>架空层安装工程!$S$10</f>
        <v>0.5</v>
      </c>
      <c r="T181" s="12">
        <f>架空层安装工程!$T$10</f>
        <v>0</v>
      </c>
      <c r="U181" s="10">
        <f t="shared" si="61"/>
        <v>893</v>
      </c>
    </row>
    <row r="182" spans="1:21" s="5" customFormat="1" ht="72" customHeight="1" outlineLevel="3">
      <c r="A182" s="9">
        <v>149</v>
      </c>
      <c r="B182" s="17">
        <v>30405015006</v>
      </c>
      <c r="C182" s="17" t="s">
        <v>284</v>
      </c>
      <c r="D182" s="17" t="s">
        <v>285</v>
      </c>
      <c r="E182" s="9" t="s">
        <v>69</v>
      </c>
      <c r="F182" s="57">
        <v>1</v>
      </c>
      <c r="G182" s="46">
        <f t="shared" si="83"/>
        <v>25</v>
      </c>
      <c r="H182" s="47">
        <f t="shared" si="84"/>
        <v>283</v>
      </c>
      <c r="I182" s="47">
        <f t="shared" si="85"/>
        <v>0</v>
      </c>
      <c r="J182" s="47">
        <f t="shared" si="86"/>
        <v>0</v>
      </c>
      <c r="K182" s="47">
        <f t="shared" si="87"/>
        <v>0</v>
      </c>
      <c r="L182" s="47">
        <f t="shared" si="88"/>
        <v>308</v>
      </c>
      <c r="M182" s="47">
        <f t="shared" si="89"/>
        <v>308</v>
      </c>
      <c r="N182" s="8"/>
      <c r="O182" s="10">
        <f t="shared" si="60"/>
        <v>308</v>
      </c>
      <c r="P182" s="48">
        <f>$P$17</f>
        <v>280</v>
      </c>
      <c r="Q182" s="49">
        <f>$Q$17</f>
        <v>0</v>
      </c>
      <c r="R182" s="48">
        <f>$R$17</f>
        <v>25</v>
      </c>
      <c r="S182" s="50">
        <f>$S$17</f>
        <v>3</v>
      </c>
      <c r="T182" s="12">
        <f>$T$17</f>
        <v>0</v>
      </c>
      <c r="U182" s="10">
        <f t="shared" si="61"/>
        <v>308</v>
      </c>
    </row>
    <row r="183" spans="1:21" s="5" customFormat="1" ht="72" customHeight="1" outlineLevel="3">
      <c r="A183" s="9">
        <v>150</v>
      </c>
      <c r="B183" s="17">
        <v>30405015007</v>
      </c>
      <c r="C183" s="17" t="s">
        <v>329</v>
      </c>
      <c r="D183" s="17" t="s">
        <v>330</v>
      </c>
      <c r="E183" s="9" t="s">
        <v>69</v>
      </c>
      <c r="F183" s="57">
        <v>3</v>
      </c>
      <c r="G183" s="46">
        <f t="shared" si="83"/>
        <v>30</v>
      </c>
      <c r="H183" s="47">
        <f t="shared" si="84"/>
        <v>553</v>
      </c>
      <c r="I183" s="47">
        <f t="shared" si="85"/>
        <v>0</v>
      </c>
      <c r="J183" s="47">
        <f t="shared" si="86"/>
        <v>0</v>
      </c>
      <c r="K183" s="47">
        <f t="shared" si="87"/>
        <v>0</v>
      </c>
      <c r="L183" s="47">
        <f t="shared" si="88"/>
        <v>583</v>
      </c>
      <c r="M183" s="47">
        <f t="shared" si="89"/>
        <v>1749</v>
      </c>
      <c r="N183" s="8"/>
      <c r="O183" s="10">
        <f t="shared" si="60"/>
        <v>583</v>
      </c>
      <c r="P183" s="48">
        <f>$P$97</f>
        <v>550</v>
      </c>
      <c r="Q183" s="49">
        <f>$Q$97</f>
        <v>0</v>
      </c>
      <c r="R183" s="48">
        <f>$R$97</f>
        <v>30</v>
      </c>
      <c r="S183" s="50">
        <f>$S$97</f>
        <v>3</v>
      </c>
      <c r="T183" s="12">
        <f>$T$97</f>
        <v>0</v>
      </c>
      <c r="U183" s="10">
        <f t="shared" si="61"/>
        <v>1749</v>
      </c>
    </row>
    <row r="184" spans="1:21" s="5" customFormat="1" ht="72" customHeight="1" outlineLevel="3">
      <c r="A184" s="9">
        <v>151</v>
      </c>
      <c r="B184" s="17">
        <v>30405015008</v>
      </c>
      <c r="C184" s="17" t="s">
        <v>331</v>
      </c>
      <c r="D184" s="17" t="s">
        <v>332</v>
      </c>
      <c r="E184" s="9" t="s">
        <v>69</v>
      </c>
      <c r="F184" s="57">
        <v>3</v>
      </c>
      <c r="G184" s="46">
        <f t="shared" si="83"/>
        <v>21</v>
      </c>
      <c r="H184" s="47">
        <f t="shared" si="84"/>
        <v>157</v>
      </c>
      <c r="I184" s="47">
        <f t="shared" si="85"/>
        <v>0</v>
      </c>
      <c r="J184" s="47">
        <f t="shared" si="86"/>
        <v>0</v>
      </c>
      <c r="K184" s="47">
        <f t="shared" si="87"/>
        <v>0</v>
      </c>
      <c r="L184" s="47">
        <f t="shared" si="88"/>
        <v>178</v>
      </c>
      <c r="M184" s="47">
        <f t="shared" si="89"/>
        <v>534</v>
      </c>
      <c r="N184" s="8"/>
      <c r="O184" s="10">
        <f t="shared" si="60"/>
        <v>178</v>
      </c>
      <c r="P184" s="48">
        <f>$P$98</f>
        <v>155</v>
      </c>
      <c r="Q184" s="49">
        <f>$Q$98</f>
        <v>0</v>
      </c>
      <c r="R184" s="48">
        <f>$R$98</f>
        <v>21</v>
      </c>
      <c r="S184" s="50">
        <f>$S$98</f>
        <v>2</v>
      </c>
      <c r="T184" s="12">
        <f>$T$98</f>
        <v>0</v>
      </c>
      <c r="U184" s="10">
        <f t="shared" si="61"/>
        <v>534</v>
      </c>
    </row>
    <row r="185" spans="1:21" s="5" customFormat="1" ht="72" customHeight="1" outlineLevel="3">
      <c r="A185" s="9">
        <v>152</v>
      </c>
      <c r="B185" s="17">
        <v>30405017003</v>
      </c>
      <c r="C185" s="17" t="s">
        <v>168</v>
      </c>
      <c r="D185" s="17" t="s">
        <v>169</v>
      </c>
      <c r="E185" s="9" t="s">
        <v>69</v>
      </c>
      <c r="F185" s="57">
        <v>1</v>
      </c>
      <c r="G185" s="46">
        <f t="shared" si="83"/>
        <v>250</v>
      </c>
      <c r="H185" s="47">
        <f t="shared" si="84"/>
        <v>4235</v>
      </c>
      <c r="I185" s="47">
        <f t="shared" si="85"/>
        <v>8.5</v>
      </c>
      <c r="J185" s="47">
        <f t="shared" si="86"/>
        <v>0</v>
      </c>
      <c r="K185" s="47">
        <f t="shared" si="87"/>
        <v>0</v>
      </c>
      <c r="L185" s="47">
        <f t="shared" si="88"/>
        <v>4493.5</v>
      </c>
      <c r="M185" s="47">
        <f t="shared" si="89"/>
        <v>4493.5</v>
      </c>
      <c r="N185" s="8"/>
      <c r="O185" s="10">
        <f t="shared" si="60"/>
        <v>4493.5</v>
      </c>
      <c r="P185" s="48">
        <f>$P$19</f>
        <v>4200</v>
      </c>
      <c r="Q185" s="49">
        <f>$Q$19</f>
        <v>0</v>
      </c>
      <c r="R185" s="48">
        <f>$R$19</f>
        <v>250</v>
      </c>
      <c r="S185" s="50">
        <f>$S$19</f>
        <v>35</v>
      </c>
      <c r="T185" s="12">
        <f>$T$19</f>
        <v>8.5</v>
      </c>
      <c r="U185" s="10">
        <f t="shared" si="61"/>
        <v>4493.5</v>
      </c>
    </row>
    <row r="186" spans="1:21" s="5" customFormat="1" outlineLevel="2">
      <c r="A186" s="9"/>
      <c r="B186" s="17"/>
      <c r="C186" s="17" t="s">
        <v>53</v>
      </c>
      <c r="D186" s="17"/>
      <c r="E186" s="9"/>
      <c r="F186" s="57"/>
      <c r="G186" s="46"/>
      <c r="H186" s="47"/>
      <c r="I186" s="47"/>
      <c r="J186" s="47"/>
      <c r="K186" s="47"/>
      <c r="L186" s="47"/>
      <c r="M186" s="47"/>
      <c r="N186" s="8"/>
      <c r="O186" s="10">
        <f t="shared" si="60"/>
        <v>0</v>
      </c>
      <c r="P186" s="48"/>
      <c r="Q186" s="49"/>
      <c r="R186" s="48"/>
      <c r="S186" s="50"/>
      <c r="T186" s="12"/>
      <c r="U186" s="10">
        <f t="shared" si="61"/>
        <v>0</v>
      </c>
    </row>
    <row r="187" spans="1:21" s="5" customFormat="1" ht="72" customHeight="1" outlineLevel="3">
      <c r="A187" s="9">
        <v>153</v>
      </c>
      <c r="B187" s="17">
        <v>30413013016</v>
      </c>
      <c r="C187" s="17" t="s">
        <v>54</v>
      </c>
      <c r="D187" s="17" t="s">
        <v>55</v>
      </c>
      <c r="E187" s="9" t="s">
        <v>38</v>
      </c>
      <c r="F187" s="57">
        <v>4</v>
      </c>
      <c r="G187" s="46">
        <f t="shared" ref="G187:G197" si="90">R187*$R$3</f>
        <v>6.31</v>
      </c>
      <c r="H187" s="47">
        <f t="shared" ref="H187:H197" si="91">P187*(1+Q187)*$P$3+S187*$S$3</f>
        <v>15.74</v>
      </c>
      <c r="I187" s="47">
        <f t="shared" ref="I187:I197" si="92">T187*$T$3</f>
        <v>0</v>
      </c>
      <c r="J187" s="47">
        <f t="shared" ref="J187:J197" si="93">(G187+H187+I187)*$J$3</f>
        <v>0</v>
      </c>
      <c r="K187" s="47">
        <f t="shared" ref="K187:K197" si="94">(G187+H187+I187+J187)*$K$3</f>
        <v>0</v>
      </c>
      <c r="L187" s="47">
        <f t="shared" ref="L187:L197" si="95">G187+H187+I187+J187+K187</f>
        <v>22.05</v>
      </c>
      <c r="M187" s="47">
        <f t="shared" ref="M187:M197" si="96">F187*L187</f>
        <v>88.2</v>
      </c>
      <c r="N187" s="8"/>
      <c r="O187" s="10">
        <f t="shared" si="60"/>
        <v>22.05</v>
      </c>
      <c r="P187" s="48">
        <f>公共区域安装工程!$P$14</f>
        <v>14.62</v>
      </c>
      <c r="Q187" s="49">
        <f>公共区域安装工程!$Q$14</f>
        <v>0</v>
      </c>
      <c r="R187" s="48">
        <f>公共区域安装工程!$R$14</f>
        <v>6.31</v>
      </c>
      <c r="S187" s="50">
        <f>公共区域安装工程!$S$14</f>
        <v>1.1200000000000001</v>
      </c>
      <c r="T187" s="12">
        <f>公共区域安装工程!$T$14</f>
        <v>0</v>
      </c>
      <c r="U187" s="10">
        <f t="shared" si="61"/>
        <v>88.2</v>
      </c>
    </row>
    <row r="188" spans="1:21" s="5" customFormat="1" ht="72" customHeight="1" outlineLevel="3">
      <c r="A188" s="9">
        <v>154</v>
      </c>
      <c r="B188" s="17">
        <v>30413013017</v>
      </c>
      <c r="C188" s="17" t="s">
        <v>54</v>
      </c>
      <c r="D188" s="17" t="s">
        <v>56</v>
      </c>
      <c r="E188" s="9" t="s">
        <v>38</v>
      </c>
      <c r="F188" s="57">
        <v>2</v>
      </c>
      <c r="G188" s="46">
        <f t="shared" si="90"/>
        <v>10</v>
      </c>
      <c r="H188" s="47">
        <f t="shared" si="91"/>
        <v>19.5</v>
      </c>
      <c r="I188" s="47">
        <f t="shared" si="92"/>
        <v>0</v>
      </c>
      <c r="J188" s="47">
        <f t="shared" si="93"/>
        <v>0</v>
      </c>
      <c r="K188" s="47">
        <f t="shared" si="94"/>
        <v>0</v>
      </c>
      <c r="L188" s="47">
        <f t="shared" si="95"/>
        <v>29.5</v>
      </c>
      <c r="M188" s="47">
        <f t="shared" si="96"/>
        <v>59</v>
      </c>
      <c r="N188" s="8"/>
      <c r="O188" s="10">
        <f t="shared" si="60"/>
        <v>29.5</v>
      </c>
      <c r="P188" s="48">
        <f>架空层安装工程!$P$16</f>
        <v>18</v>
      </c>
      <c r="Q188" s="49">
        <f>架空层安装工程!$Q$16</f>
        <v>0</v>
      </c>
      <c r="R188" s="48">
        <f>架空层安装工程!$R$16</f>
        <v>10</v>
      </c>
      <c r="S188" s="50">
        <f>架空层安装工程!$S$16</f>
        <v>1.5</v>
      </c>
      <c r="T188" s="12">
        <f>架空层安装工程!$T$16</f>
        <v>0</v>
      </c>
      <c r="U188" s="10">
        <f t="shared" si="61"/>
        <v>59</v>
      </c>
    </row>
    <row r="189" spans="1:21" s="5" customFormat="1" ht="72" customHeight="1" outlineLevel="3">
      <c r="A189" s="9">
        <v>155</v>
      </c>
      <c r="B189" s="17">
        <v>30413013018</v>
      </c>
      <c r="C189" s="17" t="s">
        <v>54</v>
      </c>
      <c r="D189" s="17" t="s">
        <v>57</v>
      </c>
      <c r="E189" s="9" t="s">
        <v>38</v>
      </c>
      <c r="F189" s="57">
        <v>5</v>
      </c>
      <c r="G189" s="46">
        <f t="shared" si="90"/>
        <v>12</v>
      </c>
      <c r="H189" s="47">
        <f t="shared" si="91"/>
        <v>21.5</v>
      </c>
      <c r="I189" s="47">
        <f t="shared" si="92"/>
        <v>0</v>
      </c>
      <c r="J189" s="47">
        <f t="shared" si="93"/>
        <v>0</v>
      </c>
      <c r="K189" s="47">
        <f t="shared" si="94"/>
        <v>0</v>
      </c>
      <c r="L189" s="47">
        <f t="shared" si="95"/>
        <v>33.5</v>
      </c>
      <c r="M189" s="47">
        <f t="shared" si="96"/>
        <v>167.5</v>
      </c>
      <c r="N189" s="8"/>
      <c r="O189" s="10">
        <f t="shared" si="60"/>
        <v>33.5</v>
      </c>
      <c r="P189" s="48">
        <f>公共区域安装工程!$P$15</f>
        <v>20</v>
      </c>
      <c r="Q189" s="49">
        <f>公共区域安装工程!$Q$15</f>
        <v>0</v>
      </c>
      <c r="R189" s="48">
        <f>公共区域安装工程!$R$15</f>
        <v>12</v>
      </c>
      <c r="S189" s="50">
        <f>公共区域安装工程!$S$15</f>
        <v>1.5</v>
      </c>
      <c r="T189" s="12">
        <f>公共区域安装工程!$T$15</f>
        <v>0</v>
      </c>
      <c r="U189" s="10">
        <f t="shared" si="61"/>
        <v>167.5</v>
      </c>
    </row>
    <row r="190" spans="1:21" s="5" customFormat="1" ht="72" customHeight="1" outlineLevel="3">
      <c r="A190" s="22">
        <v>156</v>
      </c>
      <c r="B190" s="23">
        <v>30413013022</v>
      </c>
      <c r="C190" s="23" t="s">
        <v>54</v>
      </c>
      <c r="D190" s="23" t="s">
        <v>340</v>
      </c>
      <c r="E190" s="22" t="s">
        <v>38</v>
      </c>
      <c r="F190" s="58">
        <v>3</v>
      </c>
      <c r="G190" s="45">
        <f t="shared" si="90"/>
        <v>6.31</v>
      </c>
      <c r="H190" s="26">
        <f t="shared" si="91"/>
        <v>15.74</v>
      </c>
      <c r="I190" s="26">
        <f t="shared" si="92"/>
        <v>0</v>
      </c>
      <c r="J190" s="26">
        <f t="shared" si="93"/>
        <v>0</v>
      </c>
      <c r="K190" s="26">
        <f t="shared" si="94"/>
        <v>0</v>
      </c>
      <c r="L190" s="26">
        <f t="shared" si="95"/>
        <v>22.05</v>
      </c>
      <c r="M190" s="26">
        <f t="shared" si="96"/>
        <v>66.150000000000006</v>
      </c>
      <c r="N190" s="28"/>
      <c r="O190" s="24">
        <f t="shared" si="60"/>
        <v>22.05</v>
      </c>
      <c r="P190" s="29">
        <v>14.62</v>
      </c>
      <c r="Q190" s="30">
        <v>0</v>
      </c>
      <c r="R190" s="29">
        <v>6.31</v>
      </c>
      <c r="S190" s="31">
        <v>1.1200000000000001</v>
      </c>
      <c r="T190" s="32">
        <v>0</v>
      </c>
      <c r="U190" s="24">
        <f t="shared" si="61"/>
        <v>66.150000000000006</v>
      </c>
    </row>
    <row r="191" spans="1:21" s="5" customFormat="1" ht="72" customHeight="1" outlineLevel="3">
      <c r="A191" s="9">
        <v>157</v>
      </c>
      <c r="B191" s="17">
        <v>30413013019</v>
      </c>
      <c r="C191" s="17" t="s">
        <v>54</v>
      </c>
      <c r="D191" s="17" t="s">
        <v>341</v>
      </c>
      <c r="E191" s="9" t="s">
        <v>38</v>
      </c>
      <c r="F191" s="57">
        <v>2</v>
      </c>
      <c r="G191" s="46">
        <f t="shared" si="90"/>
        <v>6.31</v>
      </c>
      <c r="H191" s="47">
        <f t="shared" si="91"/>
        <v>15.74</v>
      </c>
      <c r="I191" s="47">
        <f t="shared" si="92"/>
        <v>0</v>
      </c>
      <c r="J191" s="47">
        <f t="shared" si="93"/>
        <v>0</v>
      </c>
      <c r="K191" s="47">
        <f t="shared" si="94"/>
        <v>0</v>
      </c>
      <c r="L191" s="47">
        <f t="shared" si="95"/>
        <v>22.05</v>
      </c>
      <c r="M191" s="47">
        <f t="shared" si="96"/>
        <v>44.1</v>
      </c>
      <c r="N191" s="8"/>
      <c r="O191" s="10">
        <f t="shared" si="60"/>
        <v>22.05</v>
      </c>
      <c r="P191" s="48">
        <f>户内交标安装工程!$P$20</f>
        <v>14.62</v>
      </c>
      <c r="Q191" s="49">
        <f>户内交标安装工程!$Q$20</f>
        <v>0</v>
      </c>
      <c r="R191" s="48">
        <f>户内交标安装工程!$R$20</f>
        <v>6.31</v>
      </c>
      <c r="S191" s="50">
        <f>户内交标安装工程!$S$20</f>
        <v>1.1200000000000001</v>
      </c>
      <c r="T191" s="12">
        <f>户内交标安装工程!$T$20</f>
        <v>0</v>
      </c>
      <c r="U191" s="10">
        <f t="shared" si="61"/>
        <v>44.1</v>
      </c>
    </row>
    <row r="192" spans="1:21" s="5" customFormat="1" ht="72" customHeight="1" outlineLevel="3">
      <c r="A192" s="9">
        <v>158</v>
      </c>
      <c r="B192" s="17">
        <v>30413013020</v>
      </c>
      <c r="C192" s="17" t="s">
        <v>54</v>
      </c>
      <c r="D192" s="17" t="s">
        <v>289</v>
      </c>
      <c r="E192" s="9" t="s">
        <v>38</v>
      </c>
      <c r="F192" s="57">
        <v>2</v>
      </c>
      <c r="G192" s="46">
        <f t="shared" si="90"/>
        <v>12</v>
      </c>
      <c r="H192" s="47">
        <f t="shared" si="91"/>
        <v>21.5</v>
      </c>
      <c r="I192" s="47">
        <f t="shared" si="92"/>
        <v>0</v>
      </c>
      <c r="J192" s="47">
        <f t="shared" si="93"/>
        <v>0</v>
      </c>
      <c r="K192" s="47">
        <f t="shared" si="94"/>
        <v>0</v>
      </c>
      <c r="L192" s="47">
        <f t="shared" si="95"/>
        <v>33.5</v>
      </c>
      <c r="M192" s="47">
        <f t="shared" si="96"/>
        <v>67</v>
      </c>
      <c r="N192" s="8"/>
      <c r="O192" s="10">
        <f t="shared" si="60"/>
        <v>33.5</v>
      </c>
      <c r="P192" s="48">
        <f>户内交标安装工程!$P$22</f>
        <v>20</v>
      </c>
      <c r="Q192" s="49">
        <f>户内交标安装工程!$Q$22</f>
        <v>0</v>
      </c>
      <c r="R192" s="48">
        <f>户内交标安装工程!$R$22</f>
        <v>12</v>
      </c>
      <c r="S192" s="50">
        <f>户内交标安装工程!$S$22</f>
        <v>1.5</v>
      </c>
      <c r="T192" s="12">
        <f>户内交标安装工程!$T$22</f>
        <v>0</v>
      </c>
      <c r="U192" s="10">
        <f t="shared" si="61"/>
        <v>67</v>
      </c>
    </row>
    <row r="193" spans="1:21" s="5" customFormat="1" ht="72" customHeight="1" outlineLevel="3">
      <c r="A193" s="9">
        <v>159</v>
      </c>
      <c r="B193" s="17">
        <v>30413013021</v>
      </c>
      <c r="C193" s="17" t="s">
        <v>54</v>
      </c>
      <c r="D193" s="17" t="s">
        <v>290</v>
      </c>
      <c r="E193" s="9" t="s">
        <v>38</v>
      </c>
      <c r="F193" s="57">
        <v>2</v>
      </c>
      <c r="G193" s="46">
        <f t="shared" si="90"/>
        <v>6.31</v>
      </c>
      <c r="H193" s="47">
        <f t="shared" si="91"/>
        <v>15.74</v>
      </c>
      <c r="I193" s="47">
        <f t="shared" si="92"/>
        <v>0</v>
      </c>
      <c r="J193" s="47">
        <f t="shared" si="93"/>
        <v>0</v>
      </c>
      <c r="K193" s="47">
        <f t="shared" si="94"/>
        <v>0</v>
      </c>
      <c r="L193" s="47">
        <f t="shared" si="95"/>
        <v>22.05</v>
      </c>
      <c r="M193" s="47">
        <f t="shared" si="96"/>
        <v>44.1</v>
      </c>
      <c r="N193" s="8"/>
      <c r="O193" s="10">
        <f t="shared" si="60"/>
        <v>22.05</v>
      </c>
      <c r="P193" s="48">
        <f>$P$26</f>
        <v>14.62</v>
      </c>
      <c r="Q193" s="49">
        <f>$Q$26</f>
        <v>0</v>
      </c>
      <c r="R193" s="48">
        <f>$R$26</f>
        <v>6.31</v>
      </c>
      <c r="S193" s="50">
        <f>$S$26</f>
        <v>1.1200000000000001</v>
      </c>
      <c r="T193" s="12">
        <f>$T$26</f>
        <v>0</v>
      </c>
      <c r="U193" s="10">
        <f t="shared" si="61"/>
        <v>44.1</v>
      </c>
    </row>
    <row r="194" spans="1:21" s="5" customFormat="1" ht="72" customHeight="1" outlineLevel="3">
      <c r="A194" s="9">
        <v>160</v>
      </c>
      <c r="B194" s="17">
        <v>30413014017</v>
      </c>
      <c r="C194" s="17" t="s">
        <v>58</v>
      </c>
      <c r="D194" s="17" t="s">
        <v>59</v>
      </c>
      <c r="E194" s="9" t="s">
        <v>38</v>
      </c>
      <c r="F194" s="57">
        <v>44</v>
      </c>
      <c r="G194" s="46">
        <f t="shared" si="90"/>
        <v>6.31</v>
      </c>
      <c r="H194" s="47">
        <f t="shared" si="91"/>
        <v>15.74</v>
      </c>
      <c r="I194" s="47">
        <f t="shared" si="92"/>
        <v>0</v>
      </c>
      <c r="J194" s="47">
        <f t="shared" si="93"/>
        <v>0</v>
      </c>
      <c r="K194" s="47">
        <f t="shared" si="94"/>
        <v>0</v>
      </c>
      <c r="L194" s="47">
        <f t="shared" si="95"/>
        <v>22.05</v>
      </c>
      <c r="M194" s="47">
        <f t="shared" si="96"/>
        <v>970.2</v>
      </c>
      <c r="N194" s="8"/>
      <c r="O194" s="10">
        <f t="shared" si="60"/>
        <v>22.05</v>
      </c>
      <c r="P194" s="48">
        <f>公共区域安装工程!$P$16</f>
        <v>14.62</v>
      </c>
      <c r="Q194" s="49">
        <f>公共区域安装工程!$Q$16</f>
        <v>0</v>
      </c>
      <c r="R194" s="48">
        <f>公共区域安装工程!$R$16</f>
        <v>6.31</v>
      </c>
      <c r="S194" s="50">
        <f>公共区域安装工程!$S$16</f>
        <v>1.1200000000000001</v>
      </c>
      <c r="T194" s="12">
        <f>公共区域安装工程!$T$16</f>
        <v>0</v>
      </c>
      <c r="U194" s="10">
        <f t="shared" si="61"/>
        <v>970.2</v>
      </c>
    </row>
    <row r="195" spans="1:21" s="5" customFormat="1" ht="72" customHeight="1" outlineLevel="3">
      <c r="A195" s="9">
        <v>161</v>
      </c>
      <c r="B195" s="17">
        <v>30413014018</v>
      </c>
      <c r="C195" s="17" t="s">
        <v>58</v>
      </c>
      <c r="D195" s="17" t="s">
        <v>172</v>
      </c>
      <c r="E195" s="9" t="s">
        <v>38</v>
      </c>
      <c r="F195" s="57">
        <v>14</v>
      </c>
      <c r="G195" s="46">
        <f t="shared" si="90"/>
        <v>6.31</v>
      </c>
      <c r="H195" s="47">
        <f t="shared" si="91"/>
        <v>15.74</v>
      </c>
      <c r="I195" s="47">
        <f t="shared" si="92"/>
        <v>0</v>
      </c>
      <c r="J195" s="47">
        <f t="shared" si="93"/>
        <v>0</v>
      </c>
      <c r="K195" s="47">
        <f t="shared" si="94"/>
        <v>0</v>
      </c>
      <c r="L195" s="47">
        <f t="shared" si="95"/>
        <v>22.05</v>
      </c>
      <c r="M195" s="47">
        <f t="shared" si="96"/>
        <v>308.7</v>
      </c>
      <c r="N195" s="8"/>
      <c r="O195" s="10">
        <f t="shared" si="60"/>
        <v>22.05</v>
      </c>
      <c r="P195" s="48">
        <f>$P$28</f>
        <v>14.62</v>
      </c>
      <c r="Q195" s="49">
        <f>$Q$28</f>
        <v>0</v>
      </c>
      <c r="R195" s="48">
        <f>$R$28</f>
        <v>6.31</v>
      </c>
      <c r="S195" s="50">
        <f>$S$28</f>
        <v>1.1200000000000001</v>
      </c>
      <c r="T195" s="12">
        <f>$T$28</f>
        <v>0</v>
      </c>
      <c r="U195" s="10">
        <f t="shared" si="61"/>
        <v>308.7</v>
      </c>
    </row>
    <row r="196" spans="1:21" s="5" customFormat="1" ht="72" customHeight="1" outlineLevel="3">
      <c r="A196" s="9">
        <v>162</v>
      </c>
      <c r="B196" s="17">
        <v>30413014019</v>
      </c>
      <c r="C196" s="17" t="s">
        <v>58</v>
      </c>
      <c r="D196" s="17" t="s">
        <v>291</v>
      </c>
      <c r="E196" s="9" t="s">
        <v>38</v>
      </c>
      <c r="F196" s="57">
        <v>3</v>
      </c>
      <c r="G196" s="46">
        <f t="shared" si="90"/>
        <v>6.31</v>
      </c>
      <c r="H196" s="47">
        <f t="shared" si="91"/>
        <v>15.74</v>
      </c>
      <c r="I196" s="47">
        <f t="shared" si="92"/>
        <v>0</v>
      </c>
      <c r="J196" s="47">
        <f t="shared" si="93"/>
        <v>0</v>
      </c>
      <c r="K196" s="47">
        <f t="shared" si="94"/>
        <v>0</v>
      </c>
      <c r="L196" s="47">
        <f t="shared" si="95"/>
        <v>22.05</v>
      </c>
      <c r="M196" s="47">
        <f t="shared" si="96"/>
        <v>66.150000000000006</v>
      </c>
      <c r="N196" s="8"/>
      <c r="O196" s="10">
        <f t="shared" si="60"/>
        <v>22.05</v>
      </c>
      <c r="P196" s="48">
        <f>$P$29</f>
        <v>14.62</v>
      </c>
      <c r="Q196" s="49">
        <f>$Q$29</f>
        <v>0</v>
      </c>
      <c r="R196" s="48">
        <f>$R$29</f>
        <v>6.31</v>
      </c>
      <c r="S196" s="50">
        <f>$S$29</f>
        <v>1.1200000000000001</v>
      </c>
      <c r="T196" s="12">
        <f>$T$29</f>
        <v>0</v>
      </c>
      <c r="U196" s="10">
        <f t="shared" si="61"/>
        <v>66.150000000000006</v>
      </c>
    </row>
    <row r="197" spans="1:21" s="5" customFormat="1" ht="84" customHeight="1" outlineLevel="3">
      <c r="A197" s="9">
        <v>163</v>
      </c>
      <c r="B197" s="17">
        <v>30413014021</v>
      </c>
      <c r="C197" s="17" t="s">
        <v>58</v>
      </c>
      <c r="D197" s="17" t="s">
        <v>174</v>
      </c>
      <c r="E197" s="9" t="s">
        <v>38</v>
      </c>
      <c r="F197" s="57">
        <v>4</v>
      </c>
      <c r="G197" s="46">
        <f t="shared" si="90"/>
        <v>6.31</v>
      </c>
      <c r="H197" s="47">
        <f t="shared" si="91"/>
        <v>15.74</v>
      </c>
      <c r="I197" s="47">
        <f t="shared" si="92"/>
        <v>0</v>
      </c>
      <c r="J197" s="47">
        <f t="shared" si="93"/>
        <v>0</v>
      </c>
      <c r="K197" s="47">
        <f t="shared" si="94"/>
        <v>0</v>
      </c>
      <c r="L197" s="47">
        <f t="shared" si="95"/>
        <v>22.05</v>
      </c>
      <c r="M197" s="47">
        <f t="shared" si="96"/>
        <v>88.2</v>
      </c>
      <c r="N197" s="8"/>
      <c r="O197" s="10">
        <f t="shared" si="60"/>
        <v>22.05</v>
      </c>
      <c r="P197" s="48">
        <f>$P$31</f>
        <v>14.62</v>
      </c>
      <c r="Q197" s="49">
        <f>$Q$31</f>
        <v>0</v>
      </c>
      <c r="R197" s="48">
        <f>$R$31</f>
        <v>6.31</v>
      </c>
      <c r="S197" s="50">
        <f>$S$31</f>
        <v>1.1200000000000001</v>
      </c>
      <c r="T197" s="12">
        <f>$T$31</f>
        <v>0</v>
      </c>
      <c r="U197" s="10">
        <f t="shared" si="61"/>
        <v>88.2</v>
      </c>
    </row>
    <row r="198" spans="1:21" s="5" customFormat="1" outlineLevel="2">
      <c r="A198" s="9"/>
      <c r="B198" s="17"/>
      <c r="C198" s="17" t="s">
        <v>176</v>
      </c>
      <c r="D198" s="17"/>
      <c r="E198" s="9"/>
      <c r="F198" s="57"/>
      <c r="G198" s="46"/>
      <c r="H198" s="47"/>
      <c r="I198" s="47"/>
      <c r="J198" s="47"/>
      <c r="K198" s="47"/>
      <c r="L198" s="47"/>
      <c r="M198" s="47"/>
      <c r="N198" s="8"/>
      <c r="O198" s="10">
        <f t="shared" si="60"/>
        <v>0</v>
      </c>
      <c r="P198" s="48"/>
      <c r="Q198" s="49"/>
      <c r="R198" s="48"/>
      <c r="S198" s="50"/>
      <c r="T198" s="12"/>
      <c r="U198" s="10">
        <f t="shared" si="61"/>
        <v>0</v>
      </c>
    </row>
    <row r="199" spans="1:21" s="5" customFormat="1" ht="72" customHeight="1" outlineLevel="3">
      <c r="A199" s="9">
        <v>164</v>
      </c>
      <c r="B199" s="17">
        <v>30412004009</v>
      </c>
      <c r="C199" s="17" t="s">
        <v>61</v>
      </c>
      <c r="D199" s="17" t="s">
        <v>292</v>
      </c>
      <c r="E199" s="9" t="s">
        <v>43</v>
      </c>
      <c r="F199" s="57">
        <v>175.17</v>
      </c>
      <c r="G199" s="46">
        <f>R199*$R$3</f>
        <v>1.58</v>
      </c>
      <c r="H199" s="47">
        <f>P199*(1+Q199)*$P$3+S199*$S$3</f>
        <v>2.1280000000000001</v>
      </c>
      <c r="I199" s="47">
        <f>T199*$T$3</f>
        <v>0.02</v>
      </c>
      <c r="J199" s="47">
        <f>(G199+H199+I199)*$J$3</f>
        <v>0</v>
      </c>
      <c r="K199" s="47">
        <f>(G199+H199+I199+J199)*$K$3</f>
        <v>0</v>
      </c>
      <c r="L199" s="47">
        <f>G199+H199+I199+J199+K199</f>
        <v>3.7280000000000002</v>
      </c>
      <c r="M199" s="47">
        <f>F199*L199</f>
        <v>653.03376000000003</v>
      </c>
      <c r="N199" s="8"/>
      <c r="O199" s="10">
        <f t="shared" si="60"/>
        <v>3.7280000000000002</v>
      </c>
      <c r="P199" s="48">
        <f>$P$34</f>
        <v>1.9</v>
      </c>
      <c r="Q199" s="49">
        <f>$Q$34</f>
        <v>0.02</v>
      </c>
      <c r="R199" s="48">
        <f>$R$34</f>
        <v>1.58</v>
      </c>
      <c r="S199" s="50">
        <f>$S$34</f>
        <v>0.19</v>
      </c>
      <c r="T199" s="12">
        <f>$T$34</f>
        <v>0.02</v>
      </c>
      <c r="U199" s="10">
        <f t="shared" si="61"/>
        <v>653.03376000000003</v>
      </c>
    </row>
    <row r="200" spans="1:21" s="5" customFormat="1" ht="72" customHeight="1" outlineLevel="3">
      <c r="A200" s="9">
        <v>165</v>
      </c>
      <c r="B200" s="17">
        <v>30412004010</v>
      </c>
      <c r="C200" s="17" t="s">
        <v>61</v>
      </c>
      <c r="D200" s="17" t="s">
        <v>293</v>
      </c>
      <c r="E200" s="9" t="s">
        <v>43</v>
      </c>
      <c r="F200" s="57">
        <v>1218.42</v>
      </c>
      <c r="G200" s="46">
        <f>R200*$R$3</f>
        <v>2.1</v>
      </c>
      <c r="H200" s="47">
        <f>P200*(1+Q200)*$P$3+S200*$S$3</f>
        <v>3.0354000000000001</v>
      </c>
      <c r="I200" s="47">
        <f>T200*$T$3</f>
        <v>0.02</v>
      </c>
      <c r="J200" s="47">
        <f>(G200+H200+I200)*$J$3</f>
        <v>0</v>
      </c>
      <c r="K200" s="47">
        <f>(G200+H200+I200+J200)*$K$3</f>
        <v>0</v>
      </c>
      <c r="L200" s="47">
        <f>G200+H200+I200+J200+K200</f>
        <v>5.1554000000000002</v>
      </c>
      <c r="M200" s="47">
        <f>F200*L200</f>
        <v>6281.4424680000002</v>
      </c>
      <c r="N200" s="8"/>
      <c r="O200" s="10">
        <f t="shared" ref="O200:O258" si="97">P200*(1+Q200)+R200+S200+T200</f>
        <v>5.1554000000000002</v>
      </c>
      <c r="P200" s="48">
        <f>公共区域安装工程!$P$22</f>
        <v>2.77</v>
      </c>
      <c r="Q200" s="49">
        <f>公共区域安装工程!$Q$22</f>
        <v>0.02</v>
      </c>
      <c r="R200" s="48">
        <f>公共区域安装工程!$R$22</f>
        <v>2.1</v>
      </c>
      <c r="S200" s="50">
        <f>公共区域安装工程!$S$22</f>
        <v>0.21</v>
      </c>
      <c r="T200" s="12">
        <f>公共区域安装工程!$T$22</f>
        <v>0.02</v>
      </c>
      <c r="U200" s="10">
        <f t="shared" ref="U200:U258" si="98">F200*O200</f>
        <v>6281.4424680000002</v>
      </c>
    </row>
    <row r="201" spans="1:21" s="5" customFormat="1" ht="72" customHeight="1" outlineLevel="3">
      <c r="A201" s="9">
        <v>166</v>
      </c>
      <c r="B201" s="17">
        <v>30412004011</v>
      </c>
      <c r="C201" s="17" t="s">
        <v>61</v>
      </c>
      <c r="D201" s="17" t="s">
        <v>294</v>
      </c>
      <c r="E201" s="9" t="s">
        <v>43</v>
      </c>
      <c r="F201" s="57">
        <v>959.91</v>
      </c>
      <c r="G201" s="46">
        <f>R201*$R$3</f>
        <v>1.4</v>
      </c>
      <c r="H201" s="47">
        <f>P201*(1+Q201)*$P$3+S201*$S$3</f>
        <v>3.9735999999999998</v>
      </c>
      <c r="I201" s="47">
        <f>T201*$T$3</f>
        <v>0.01</v>
      </c>
      <c r="J201" s="47">
        <f>(G201+H201+I201)*$J$3</f>
        <v>0</v>
      </c>
      <c r="K201" s="47">
        <f>(G201+H201+I201+J201)*$K$3</f>
        <v>0</v>
      </c>
      <c r="L201" s="47">
        <f>G201+H201+I201+J201+K201</f>
        <v>5.3836000000000004</v>
      </c>
      <c r="M201" s="47">
        <f>F201*L201</f>
        <v>5167.7714759999999</v>
      </c>
      <c r="N201" s="8"/>
      <c r="O201" s="10">
        <f t="shared" si="97"/>
        <v>5.3836000000000004</v>
      </c>
      <c r="P201" s="48">
        <f>户内交标安装工程!$P$32</f>
        <v>3.68</v>
      </c>
      <c r="Q201" s="49">
        <f>户内交标安装工程!$Q$32</f>
        <v>0.02</v>
      </c>
      <c r="R201" s="48">
        <f>户内交标安装工程!$R$32</f>
        <v>1.4</v>
      </c>
      <c r="S201" s="50">
        <f>户内交标安装工程!$S$32</f>
        <v>0.22</v>
      </c>
      <c r="T201" s="12">
        <f>户内交标安装工程!$T$32</f>
        <v>0.01</v>
      </c>
      <c r="U201" s="10">
        <f t="shared" si="98"/>
        <v>5167.7714759999999</v>
      </c>
    </row>
    <row r="202" spans="1:21" s="5" customFormat="1" ht="72" customHeight="1" outlineLevel="3">
      <c r="A202" s="22">
        <v>167</v>
      </c>
      <c r="B202" s="23">
        <v>30412004012</v>
      </c>
      <c r="C202" s="23" t="s">
        <v>61</v>
      </c>
      <c r="D202" s="23" t="s">
        <v>342</v>
      </c>
      <c r="E202" s="22" t="s">
        <v>43</v>
      </c>
      <c r="F202" s="58">
        <v>48.91</v>
      </c>
      <c r="G202" s="45">
        <f>R202*$R$3</f>
        <v>3.6</v>
      </c>
      <c r="H202" s="26">
        <f>P202*(1+Q202)*$P$3+S202*$S$3</f>
        <v>13.252000000000001</v>
      </c>
      <c r="I202" s="26">
        <f>T202*$T$3</f>
        <v>0.04</v>
      </c>
      <c r="J202" s="26">
        <f>(G202+H202+I202)*$J$3</f>
        <v>0</v>
      </c>
      <c r="K202" s="26">
        <f>(G202+H202+I202+J202)*$K$3</f>
        <v>0</v>
      </c>
      <c r="L202" s="26">
        <f>G202+H202+I202+J202+K202</f>
        <v>16.891999999999999</v>
      </c>
      <c r="M202" s="26">
        <f>F202*L202</f>
        <v>826.18772000000001</v>
      </c>
      <c r="N202" s="28"/>
      <c r="O202" s="24">
        <f t="shared" si="97"/>
        <v>16.891999999999999</v>
      </c>
      <c r="P202" s="29">
        <v>12.6</v>
      </c>
      <c r="Q202" s="30">
        <v>0.02</v>
      </c>
      <c r="R202" s="29">
        <v>3.6</v>
      </c>
      <c r="S202" s="31">
        <v>0.4</v>
      </c>
      <c r="T202" s="32">
        <v>0.04</v>
      </c>
      <c r="U202" s="24">
        <f t="shared" si="98"/>
        <v>826.18772000000001</v>
      </c>
    </row>
    <row r="203" spans="1:21" s="5" customFormat="1" outlineLevel="1">
      <c r="A203" s="9"/>
      <c r="B203" s="17"/>
      <c r="C203" s="17" t="s">
        <v>296</v>
      </c>
      <c r="D203" s="17"/>
      <c r="E203" s="9"/>
      <c r="F203" s="57"/>
      <c r="G203" s="46"/>
      <c r="H203" s="47"/>
      <c r="I203" s="47"/>
      <c r="J203" s="47"/>
      <c r="K203" s="47"/>
      <c r="L203" s="47"/>
      <c r="M203" s="47"/>
      <c r="N203" s="8"/>
      <c r="O203" s="10">
        <f t="shared" si="97"/>
        <v>0</v>
      </c>
      <c r="P203" s="48"/>
      <c r="Q203" s="49"/>
      <c r="R203" s="48"/>
      <c r="S203" s="50"/>
      <c r="T203" s="12"/>
      <c r="U203" s="10">
        <f t="shared" si="98"/>
        <v>0</v>
      </c>
    </row>
    <row r="204" spans="1:21" s="5" customFormat="1" ht="72" customHeight="1" outlineLevel="2">
      <c r="A204" s="9">
        <v>168</v>
      </c>
      <c r="B204" s="17">
        <v>30413014022</v>
      </c>
      <c r="C204" s="17" t="s">
        <v>58</v>
      </c>
      <c r="D204" s="17" t="s">
        <v>297</v>
      </c>
      <c r="E204" s="9" t="s">
        <v>38</v>
      </c>
      <c r="F204" s="57">
        <v>6</v>
      </c>
      <c r="G204" s="46">
        <f>R204*$R$3</f>
        <v>6.31</v>
      </c>
      <c r="H204" s="47">
        <f>P204*(1+Q204)*$P$3+S204*$S$3</f>
        <v>15.74</v>
      </c>
      <c r="I204" s="47">
        <f>T204*$T$3</f>
        <v>0</v>
      </c>
      <c r="J204" s="47">
        <f>(G204+H204+I204)*$J$3</f>
        <v>0</v>
      </c>
      <c r="K204" s="47">
        <f>(G204+H204+I204+J204)*$K$3</f>
        <v>0</v>
      </c>
      <c r="L204" s="47">
        <f>G204+H204+I204+J204+K204</f>
        <v>22.05</v>
      </c>
      <c r="M204" s="47">
        <f>F204*L204</f>
        <v>132.30000000000001</v>
      </c>
      <c r="N204" s="8"/>
      <c r="O204" s="10">
        <f t="shared" si="97"/>
        <v>22.05</v>
      </c>
      <c r="P204" s="48">
        <f>$P$39</f>
        <v>14.62</v>
      </c>
      <c r="Q204" s="49">
        <f>$Q$39</f>
        <v>0</v>
      </c>
      <c r="R204" s="48">
        <f>$R$39</f>
        <v>6.31</v>
      </c>
      <c r="S204" s="50">
        <f>$S$39</f>
        <v>1.1200000000000001</v>
      </c>
      <c r="T204" s="12">
        <f>$T$39</f>
        <v>0</v>
      </c>
      <c r="U204" s="10">
        <f t="shared" si="98"/>
        <v>132.30000000000001</v>
      </c>
    </row>
    <row r="205" spans="1:21" s="5" customFormat="1" ht="72" customHeight="1" outlineLevel="2">
      <c r="A205" s="9">
        <v>169</v>
      </c>
      <c r="B205" s="17">
        <v>30413014023</v>
      </c>
      <c r="C205" s="17" t="s">
        <v>58</v>
      </c>
      <c r="D205" s="17" t="s">
        <v>298</v>
      </c>
      <c r="E205" s="9" t="s">
        <v>38</v>
      </c>
      <c r="F205" s="57">
        <v>4</v>
      </c>
      <c r="G205" s="46">
        <f>R205*$R$3</f>
        <v>6.31</v>
      </c>
      <c r="H205" s="47">
        <f>P205*(1+Q205)*$P$3+S205*$S$3</f>
        <v>15.74</v>
      </c>
      <c r="I205" s="47">
        <f>T205*$T$3</f>
        <v>0</v>
      </c>
      <c r="J205" s="47">
        <f>(G205+H205+I205)*$J$3</f>
        <v>0</v>
      </c>
      <c r="K205" s="47">
        <f>(G205+H205+I205+J205)*$K$3</f>
        <v>0</v>
      </c>
      <c r="L205" s="47">
        <f>G205+H205+I205+J205+K205</f>
        <v>22.05</v>
      </c>
      <c r="M205" s="47">
        <f>F205*L205</f>
        <v>88.2</v>
      </c>
      <c r="N205" s="8"/>
      <c r="O205" s="10">
        <f t="shared" si="97"/>
        <v>22.05</v>
      </c>
      <c r="P205" s="48">
        <f>$P$40</f>
        <v>14.62</v>
      </c>
      <c r="Q205" s="49">
        <f>$Q$40</f>
        <v>0</v>
      </c>
      <c r="R205" s="48">
        <f>$R$40</f>
        <v>6.31</v>
      </c>
      <c r="S205" s="50">
        <f>$S$40</f>
        <v>1.1200000000000001</v>
      </c>
      <c r="T205" s="12">
        <f>$T$40</f>
        <v>0</v>
      </c>
      <c r="U205" s="10">
        <f t="shared" si="98"/>
        <v>88.2</v>
      </c>
    </row>
    <row r="206" spans="1:21" s="5" customFormat="1" ht="72" customHeight="1" outlineLevel="2">
      <c r="A206" s="9">
        <v>170</v>
      </c>
      <c r="B206" s="17">
        <v>30413013023</v>
      </c>
      <c r="C206" s="17" t="s">
        <v>299</v>
      </c>
      <c r="D206" s="17" t="s">
        <v>300</v>
      </c>
      <c r="E206" s="9" t="s">
        <v>38</v>
      </c>
      <c r="F206" s="57">
        <v>4</v>
      </c>
      <c r="G206" s="46">
        <f>R206*$R$3</f>
        <v>12</v>
      </c>
      <c r="H206" s="47">
        <f>P206*(1+Q206)*$P$3+S206*$S$3</f>
        <v>29</v>
      </c>
      <c r="I206" s="47">
        <f>T206*$T$3</f>
        <v>0</v>
      </c>
      <c r="J206" s="47">
        <f>(G206+H206+I206)*$J$3</f>
        <v>0</v>
      </c>
      <c r="K206" s="47">
        <f>(G206+H206+I206+J206)*$K$3</f>
        <v>0</v>
      </c>
      <c r="L206" s="47">
        <f>G206+H206+I206+J206+K206</f>
        <v>41</v>
      </c>
      <c r="M206" s="47">
        <f>F206*L206</f>
        <v>164</v>
      </c>
      <c r="N206" s="8"/>
      <c r="O206" s="10">
        <f t="shared" si="97"/>
        <v>41</v>
      </c>
      <c r="P206" s="48">
        <f>$P$41</f>
        <v>27</v>
      </c>
      <c r="Q206" s="49">
        <f>$Q$41</f>
        <v>0</v>
      </c>
      <c r="R206" s="48">
        <f>$R$41</f>
        <v>12</v>
      </c>
      <c r="S206" s="50">
        <f>$S$41</f>
        <v>2</v>
      </c>
      <c r="T206" s="12">
        <f>$T$41</f>
        <v>0</v>
      </c>
      <c r="U206" s="10">
        <f t="shared" si="98"/>
        <v>164</v>
      </c>
    </row>
    <row r="207" spans="1:21" s="5" customFormat="1" ht="72" customHeight="1" outlineLevel="2">
      <c r="A207" s="9">
        <v>171</v>
      </c>
      <c r="B207" s="17">
        <v>30502003005</v>
      </c>
      <c r="C207" s="17" t="s">
        <v>301</v>
      </c>
      <c r="D207" s="17" t="s">
        <v>302</v>
      </c>
      <c r="E207" s="9" t="s">
        <v>43</v>
      </c>
      <c r="F207" s="57">
        <v>110.97</v>
      </c>
      <c r="G207" s="46">
        <f>R207*$R$3</f>
        <v>0.8</v>
      </c>
      <c r="H207" s="47">
        <f>P207*(1+Q207)*$P$3+S207*$S$3</f>
        <v>2.6</v>
      </c>
      <c r="I207" s="47">
        <f>T207*$T$3</f>
        <v>0.1</v>
      </c>
      <c r="J207" s="47">
        <f>(G207+H207+I207)*$J$3</f>
        <v>0</v>
      </c>
      <c r="K207" s="47">
        <f>(G207+H207+I207+J207)*$K$3</f>
        <v>0</v>
      </c>
      <c r="L207" s="47">
        <f>G207+H207+I207+J207+K207</f>
        <v>3.5</v>
      </c>
      <c r="M207" s="47">
        <f>F207*L207</f>
        <v>388.39499999999998</v>
      </c>
      <c r="N207" s="8"/>
      <c r="O207" s="10">
        <f t="shared" si="97"/>
        <v>3.5</v>
      </c>
      <c r="P207" s="48">
        <f>$P$42</f>
        <v>2.5</v>
      </c>
      <c r="Q207" s="49">
        <f>$Q$42</f>
        <v>0</v>
      </c>
      <c r="R207" s="48">
        <f>$R$42</f>
        <v>0.8</v>
      </c>
      <c r="S207" s="50">
        <f>$S$42</f>
        <v>0.1</v>
      </c>
      <c r="T207" s="12">
        <f>$T$42</f>
        <v>0.1</v>
      </c>
      <c r="U207" s="10">
        <f t="shared" si="98"/>
        <v>388.39499999999998</v>
      </c>
    </row>
    <row r="208" spans="1:21" s="5" customFormat="1" ht="72" customHeight="1" outlineLevel="2">
      <c r="A208" s="9">
        <v>172</v>
      </c>
      <c r="B208" s="17">
        <v>30502003006</v>
      </c>
      <c r="C208" s="17" t="s">
        <v>303</v>
      </c>
      <c r="D208" s="17" t="s">
        <v>304</v>
      </c>
      <c r="E208" s="9" t="s">
        <v>43</v>
      </c>
      <c r="F208" s="57">
        <v>45.84</v>
      </c>
      <c r="G208" s="46">
        <f>R208*$R$3</f>
        <v>1.73</v>
      </c>
      <c r="H208" s="47">
        <f>P208*(1+Q208)*$P$3+S208*$S$3</f>
        <v>3.18</v>
      </c>
      <c r="I208" s="47">
        <f>T208*$T$3</f>
        <v>0.02</v>
      </c>
      <c r="J208" s="47">
        <f>(G208+H208+I208)*$J$3</f>
        <v>0</v>
      </c>
      <c r="K208" s="47">
        <f>(G208+H208+I208+J208)*$K$3</f>
        <v>0</v>
      </c>
      <c r="L208" s="47">
        <f>G208+H208+I208+J208+K208</f>
        <v>4.93</v>
      </c>
      <c r="M208" s="47">
        <f>F208*L208</f>
        <v>225.99119999999999</v>
      </c>
      <c r="N208" s="8"/>
      <c r="O208" s="10">
        <f t="shared" si="97"/>
        <v>4.93</v>
      </c>
      <c r="P208" s="48">
        <f>$P$43</f>
        <v>3</v>
      </c>
      <c r="Q208" s="49">
        <f>$Q$43</f>
        <v>0.02</v>
      </c>
      <c r="R208" s="48">
        <f>$R$43</f>
        <v>1.73</v>
      </c>
      <c r="S208" s="50">
        <f>$S$43</f>
        <v>0.12</v>
      </c>
      <c r="T208" s="12">
        <f>$T$43</f>
        <v>0.02</v>
      </c>
      <c r="U208" s="10">
        <f t="shared" si="98"/>
        <v>225.99119999999999</v>
      </c>
    </row>
    <row r="209" spans="1:21" s="5" customFormat="1" outlineLevel="1">
      <c r="A209" s="9"/>
      <c r="B209" s="17"/>
      <c r="C209" s="17" t="s">
        <v>196</v>
      </c>
      <c r="D209" s="17"/>
      <c r="E209" s="9"/>
      <c r="F209" s="57"/>
      <c r="G209" s="46"/>
      <c r="H209" s="47"/>
      <c r="I209" s="47"/>
      <c r="J209" s="47"/>
      <c r="K209" s="47"/>
      <c r="L209" s="47"/>
      <c r="M209" s="47"/>
      <c r="N209" s="8"/>
      <c r="O209" s="10">
        <f t="shared" si="97"/>
        <v>0</v>
      </c>
      <c r="P209" s="48"/>
      <c r="Q209" s="49"/>
      <c r="R209" s="48"/>
      <c r="S209" s="50"/>
      <c r="T209" s="12"/>
      <c r="U209" s="10">
        <f t="shared" si="98"/>
        <v>0</v>
      </c>
    </row>
    <row r="210" spans="1:21" s="5" customFormat="1" outlineLevel="2">
      <c r="A210" s="9"/>
      <c r="B210" s="17"/>
      <c r="C210" s="17" t="s">
        <v>197</v>
      </c>
      <c r="D210" s="17"/>
      <c r="E210" s="9"/>
      <c r="F210" s="57"/>
      <c r="G210" s="46"/>
      <c r="H210" s="47"/>
      <c r="I210" s="47"/>
      <c r="J210" s="47"/>
      <c r="K210" s="47"/>
      <c r="L210" s="47"/>
      <c r="M210" s="47"/>
      <c r="N210" s="8"/>
      <c r="O210" s="10">
        <f t="shared" si="97"/>
        <v>0</v>
      </c>
      <c r="P210" s="48"/>
      <c r="Q210" s="49"/>
      <c r="R210" s="48"/>
      <c r="S210" s="50"/>
      <c r="T210" s="12"/>
      <c r="U210" s="10">
        <f t="shared" si="98"/>
        <v>0</v>
      </c>
    </row>
    <row r="211" spans="1:21" s="5" customFormat="1" ht="96" customHeight="1" outlineLevel="3">
      <c r="A211" s="9">
        <v>173</v>
      </c>
      <c r="B211" s="17">
        <v>31001008029</v>
      </c>
      <c r="C211" s="17" t="s">
        <v>207</v>
      </c>
      <c r="D211" s="17" t="s">
        <v>208</v>
      </c>
      <c r="E211" s="9" t="s">
        <v>43</v>
      </c>
      <c r="F211" s="57">
        <v>10.050000000000001</v>
      </c>
      <c r="G211" s="46">
        <f>R211*$R$3</f>
        <v>24</v>
      </c>
      <c r="H211" s="47">
        <f>P211*(1+Q211)*$P$3+S211*$S$3</f>
        <v>16.27</v>
      </c>
      <c r="I211" s="47">
        <f>T211*$T$3</f>
        <v>0.23</v>
      </c>
      <c r="J211" s="47">
        <f>(G211+H211+I211)*$J$3</f>
        <v>0</v>
      </c>
      <c r="K211" s="47">
        <f>(G211+H211+I211+J211)*$K$3</f>
        <v>0</v>
      </c>
      <c r="L211" s="47">
        <f>G211+H211+I211+J211+K211</f>
        <v>40.5</v>
      </c>
      <c r="M211" s="47">
        <f>F211*L211</f>
        <v>407.02499999999998</v>
      </c>
      <c r="N211" s="8"/>
      <c r="O211" s="10">
        <f t="shared" si="97"/>
        <v>40.5</v>
      </c>
      <c r="P211" s="48">
        <f>$P$46</f>
        <v>15</v>
      </c>
      <c r="Q211" s="49">
        <f>$Q$46</f>
        <v>0</v>
      </c>
      <c r="R211" s="48">
        <f>$R$46</f>
        <v>24</v>
      </c>
      <c r="S211" s="50">
        <f>$S$46</f>
        <v>1.27</v>
      </c>
      <c r="T211" s="12">
        <f>$T$46</f>
        <v>0.23</v>
      </c>
      <c r="U211" s="10">
        <f t="shared" si="98"/>
        <v>407.02499999999998</v>
      </c>
    </row>
    <row r="212" spans="1:21" s="5" customFormat="1" ht="96" customHeight="1" outlineLevel="3">
      <c r="A212" s="9">
        <v>174</v>
      </c>
      <c r="B212" s="17">
        <v>31001008030</v>
      </c>
      <c r="C212" s="17" t="s">
        <v>207</v>
      </c>
      <c r="D212" s="17" t="s">
        <v>209</v>
      </c>
      <c r="E212" s="9" t="s">
        <v>43</v>
      </c>
      <c r="F212" s="57">
        <v>9.99</v>
      </c>
      <c r="G212" s="46">
        <f>R212*$R$3</f>
        <v>55</v>
      </c>
      <c r="H212" s="47">
        <f>P212*(1+Q212)*$P$3+S212*$S$3</f>
        <v>28</v>
      </c>
      <c r="I212" s="47">
        <f>T212*$T$3</f>
        <v>3</v>
      </c>
      <c r="J212" s="47">
        <f>(G212+H212+I212)*$J$3</f>
        <v>0</v>
      </c>
      <c r="K212" s="47">
        <f>(G212+H212+I212+J212)*$K$3</f>
        <v>0</v>
      </c>
      <c r="L212" s="47">
        <f>G212+H212+I212+J212+K212</f>
        <v>86</v>
      </c>
      <c r="M212" s="47">
        <f>F212*L212</f>
        <v>859.14</v>
      </c>
      <c r="N212" s="8"/>
      <c r="O212" s="10">
        <f t="shared" si="97"/>
        <v>86</v>
      </c>
      <c r="P212" s="48">
        <f>$P$47</f>
        <v>25</v>
      </c>
      <c r="Q212" s="49">
        <f>$Q$47</f>
        <v>0</v>
      </c>
      <c r="R212" s="48">
        <f>$R$47</f>
        <v>55</v>
      </c>
      <c r="S212" s="50">
        <f>$S$47</f>
        <v>3</v>
      </c>
      <c r="T212" s="12">
        <f>$T$47</f>
        <v>3</v>
      </c>
      <c r="U212" s="10">
        <f t="shared" si="98"/>
        <v>859.14</v>
      </c>
    </row>
    <row r="213" spans="1:21" s="5" customFormat="1" ht="96" customHeight="1" outlineLevel="3">
      <c r="A213" s="9">
        <v>175</v>
      </c>
      <c r="B213" s="17">
        <v>31001008031</v>
      </c>
      <c r="C213" s="17" t="s">
        <v>207</v>
      </c>
      <c r="D213" s="17" t="s">
        <v>210</v>
      </c>
      <c r="E213" s="9" t="s">
        <v>43</v>
      </c>
      <c r="F213" s="57">
        <v>10.050000000000001</v>
      </c>
      <c r="G213" s="46">
        <f>R213*$R$3</f>
        <v>30</v>
      </c>
      <c r="H213" s="47">
        <f>P213*(1+Q213)*$P$3+S213*$S$3</f>
        <v>38.119999999999997</v>
      </c>
      <c r="I213" s="47">
        <f>T213*$T$3</f>
        <v>0.38</v>
      </c>
      <c r="J213" s="47">
        <f>(G213+H213+I213)*$J$3</f>
        <v>0</v>
      </c>
      <c r="K213" s="47">
        <f>(G213+H213+I213+J213)*$K$3</f>
        <v>0</v>
      </c>
      <c r="L213" s="47">
        <f>G213+H213+I213+J213+K213</f>
        <v>68.5</v>
      </c>
      <c r="M213" s="47">
        <f>F213*L213</f>
        <v>688.42499999999995</v>
      </c>
      <c r="N213" s="8"/>
      <c r="O213" s="10">
        <f t="shared" si="97"/>
        <v>68.5</v>
      </c>
      <c r="P213" s="48">
        <f>$P$48</f>
        <v>36</v>
      </c>
      <c r="Q213" s="49">
        <f>$Q$48</f>
        <v>0</v>
      </c>
      <c r="R213" s="48">
        <f>$R$48</f>
        <v>30</v>
      </c>
      <c r="S213" s="50">
        <f>$S$48</f>
        <v>2.12</v>
      </c>
      <c r="T213" s="12">
        <f>$T$48</f>
        <v>0.38</v>
      </c>
      <c r="U213" s="10">
        <f t="shared" si="98"/>
        <v>688.42499999999995</v>
      </c>
    </row>
    <row r="214" spans="1:21" s="5" customFormat="1" outlineLevel="2">
      <c r="A214" s="9"/>
      <c r="B214" s="17"/>
      <c r="C214" s="17" t="s">
        <v>211</v>
      </c>
      <c r="D214" s="17"/>
      <c r="E214" s="9"/>
      <c r="F214" s="57"/>
      <c r="G214" s="46"/>
      <c r="H214" s="47"/>
      <c r="I214" s="47"/>
      <c r="J214" s="47"/>
      <c r="K214" s="47"/>
      <c r="L214" s="47"/>
      <c r="M214" s="47"/>
      <c r="N214" s="8"/>
      <c r="O214" s="10">
        <f t="shared" si="97"/>
        <v>0</v>
      </c>
      <c r="P214" s="48"/>
      <c r="Q214" s="49"/>
      <c r="R214" s="48"/>
      <c r="S214" s="50"/>
      <c r="T214" s="12"/>
      <c r="U214" s="10">
        <f t="shared" si="98"/>
        <v>0</v>
      </c>
    </row>
    <row r="215" spans="1:21" s="5" customFormat="1" ht="60" customHeight="1" outlineLevel="3">
      <c r="A215" s="9">
        <v>176</v>
      </c>
      <c r="B215" s="17">
        <v>31003006006</v>
      </c>
      <c r="C215" s="17" t="s">
        <v>306</v>
      </c>
      <c r="D215" s="17" t="s">
        <v>307</v>
      </c>
      <c r="E215" s="9" t="s">
        <v>214</v>
      </c>
      <c r="F215" s="57">
        <v>1</v>
      </c>
      <c r="G215" s="46">
        <f t="shared" ref="G215:G231" si="99">R215*$R$3</f>
        <v>130</v>
      </c>
      <c r="H215" s="47">
        <f t="shared" ref="H215:H231" si="100">P215*(1+Q215)*$P$3+S215*$S$3</f>
        <v>815</v>
      </c>
      <c r="I215" s="47">
        <f t="shared" ref="I215:I231" si="101">T215*$T$3</f>
        <v>0.8</v>
      </c>
      <c r="J215" s="47">
        <f t="shared" ref="J215:J231" si="102">(G215+H215+I215)*$J$3</f>
        <v>0</v>
      </c>
      <c r="K215" s="47">
        <f t="shared" ref="K215:K231" si="103">(G215+H215+I215+J215)*$K$3</f>
        <v>0</v>
      </c>
      <c r="L215" s="47">
        <f t="shared" ref="L215:L231" si="104">G215+H215+I215+J215+K215</f>
        <v>945.8</v>
      </c>
      <c r="M215" s="47">
        <f t="shared" ref="M215:M231" si="105">F215*L215</f>
        <v>945.8</v>
      </c>
      <c r="N215" s="8"/>
      <c r="O215" s="10">
        <f t="shared" si="97"/>
        <v>945.8</v>
      </c>
      <c r="P215" s="48">
        <f>$P$50</f>
        <v>800</v>
      </c>
      <c r="Q215" s="49">
        <f>$Q$50</f>
        <v>0</v>
      </c>
      <c r="R215" s="48">
        <f>$R$50</f>
        <v>130</v>
      </c>
      <c r="S215" s="50">
        <f>$S$50</f>
        <v>15</v>
      </c>
      <c r="T215" s="12">
        <f>$T$50</f>
        <v>0.8</v>
      </c>
      <c r="U215" s="10">
        <f t="shared" si="98"/>
        <v>945.8</v>
      </c>
    </row>
    <row r="216" spans="1:21" s="5" customFormat="1" ht="60" customHeight="1" outlineLevel="3">
      <c r="A216" s="9">
        <v>177</v>
      </c>
      <c r="B216" s="17">
        <v>31003006007</v>
      </c>
      <c r="C216" s="17" t="s">
        <v>306</v>
      </c>
      <c r="D216" s="17" t="s">
        <v>308</v>
      </c>
      <c r="E216" s="9" t="s">
        <v>214</v>
      </c>
      <c r="F216" s="57">
        <v>1</v>
      </c>
      <c r="G216" s="46">
        <f t="shared" si="99"/>
        <v>130</v>
      </c>
      <c r="H216" s="47">
        <f t="shared" si="100"/>
        <v>815</v>
      </c>
      <c r="I216" s="47">
        <f t="shared" si="101"/>
        <v>0.8</v>
      </c>
      <c r="J216" s="47">
        <f t="shared" si="102"/>
        <v>0</v>
      </c>
      <c r="K216" s="47">
        <f t="shared" si="103"/>
        <v>0</v>
      </c>
      <c r="L216" s="47">
        <f t="shared" si="104"/>
        <v>945.8</v>
      </c>
      <c r="M216" s="47">
        <f t="shared" si="105"/>
        <v>945.8</v>
      </c>
      <c r="N216" s="8"/>
      <c r="O216" s="10">
        <f t="shared" si="97"/>
        <v>945.8</v>
      </c>
      <c r="P216" s="48">
        <f>$P$51</f>
        <v>800</v>
      </c>
      <c r="Q216" s="49">
        <f>$Q$51</f>
        <v>0</v>
      </c>
      <c r="R216" s="48">
        <f>$R$51</f>
        <v>130</v>
      </c>
      <c r="S216" s="50">
        <f>$S$51</f>
        <v>15</v>
      </c>
      <c r="T216" s="12">
        <f>$T$51</f>
        <v>0.8</v>
      </c>
      <c r="U216" s="10">
        <f t="shared" si="98"/>
        <v>945.8</v>
      </c>
    </row>
    <row r="217" spans="1:21" s="5" customFormat="1" ht="60" customHeight="1" outlineLevel="3">
      <c r="A217" s="9">
        <v>178</v>
      </c>
      <c r="B217" s="17">
        <v>31003006008</v>
      </c>
      <c r="C217" s="17" t="s">
        <v>306</v>
      </c>
      <c r="D217" s="17" t="s">
        <v>334</v>
      </c>
      <c r="E217" s="9" t="s">
        <v>214</v>
      </c>
      <c r="F217" s="57">
        <v>1</v>
      </c>
      <c r="G217" s="46">
        <f t="shared" si="99"/>
        <v>130</v>
      </c>
      <c r="H217" s="47">
        <f t="shared" si="100"/>
        <v>815</v>
      </c>
      <c r="I217" s="47">
        <f t="shared" si="101"/>
        <v>0.8</v>
      </c>
      <c r="J217" s="47">
        <f t="shared" si="102"/>
        <v>0</v>
      </c>
      <c r="K217" s="47">
        <f t="shared" si="103"/>
        <v>0</v>
      </c>
      <c r="L217" s="47">
        <f t="shared" si="104"/>
        <v>945.8</v>
      </c>
      <c r="M217" s="47">
        <f t="shared" si="105"/>
        <v>945.8</v>
      </c>
      <c r="N217" s="8"/>
      <c r="O217" s="10">
        <f t="shared" si="97"/>
        <v>945.8</v>
      </c>
      <c r="P217" s="48">
        <f>$P$131</f>
        <v>800</v>
      </c>
      <c r="Q217" s="49">
        <f>$Q$131</f>
        <v>0</v>
      </c>
      <c r="R217" s="48">
        <f>$R$131</f>
        <v>130</v>
      </c>
      <c r="S217" s="50">
        <f>$S$131</f>
        <v>15</v>
      </c>
      <c r="T217" s="12">
        <f>$T$131</f>
        <v>0.8</v>
      </c>
      <c r="U217" s="10">
        <f t="shared" si="98"/>
        <v>945.8</v>
      </c>
    </row>
    <row r="218" spans="1:21" s="5" customFormat="1" ht="60" customHeight="1" outlineLevel="3">
      <c r="A218" s="22">
        <v>179</v>
      </c>
      <c r="B218" s="23">
        <v>31003001001</v>
      </c>
      <c r="C218" s="23" t="s">
        <v>343</v>
      </c>
      <c r="D218" s="23" t="s">
        <v>344</v>
      </c>
      <c r="E218" s="22" t="s">
        <v>214</v>
      </c>
      <c r="F218" s="58">
        <v>1</v>
      </c>
      <c r="G218" s="45">
        <f t="shared" si="99"/>
        <v>55</v>
      </c>
      <c r="H218" s="26">
        <f t="shared" si="100"/>
        <v>485</v>
      </c>
      <c r="I218" s="26">
        <f t="shared" si="101"/>
        <v>0</v>
      </c>
      <c r="J218" s="26">
        <f t="shared" si="102"/>
        <v>0</v>
      </c>
      <c r="K218" s="26">
        <f t="shared" si="103"/>
        <v>0</v>
      </c>
      <c r="L218" s="26">
        <f t="shared" si="104"/>
        <v>540</v>
      </c>
      <c r="M218" s="26">
        <f t="shared" si="105"/>
        <v>540</v>
      </c>
      <c r="N218" s="28"/>
      <c r="O218" s="24">
        <f t="shared" si="97"/>
        <v>540</v>
      </c>
      <c r="P218" s="29">
        <v>465</v>
      </c>
      <c r="Q218" s="30">
        <v>0</v>
      </c>
      <c r="R218" s="29">
        <v>55</v>
      </c>
      <c r="S218" s="31">
        <v>20</v>
      </c>
      <c r="T218" s="32">
        <v>0</v>
      </c>
      <c r="U218" s="24">
        <f t="shared" si="98"/>
        <v>540</v>
      </c>
    </row>
    <row r="219" spans="1:21" s="5" customFormat="1" ht="60" customHeight="1" outlineLevel="3">
      <c r="A219" s="9">
        <v>180</v>
      </c>
      <c r="B219" s="17">
        <v>31003010006</v>
      </c>
      <c r="C219" s="17" t="s">
        <v>217</v>
      </c>
      <c r="D219" s="17" t="s">
        <v>309</v>
      </c>
      <c r="E219" s="9" t="s">
        <v>38</v>
      </c>
      <c r="F219" s="57">
        <v>1</v>
      </c>
      <c r="G219" s="46">
        <f t="shared" si="99"/>
        <v>90</v>
      </c>
      <c r="H219" s="47">
        <f t="shared" si="100"/>
        <v>1135</v>
      </c>
      <c r="I219" s="47">
        <f t="shared" si="101"/>
        <v>0</v>
      </c>
      <c r="J219" s="47">
        <f t="shared" si="102"/>
        <v>0</v>
      </c>
      <c r="K219" s="47">
        <f t="shared" si="103"/>
        <v>0</v>
      </c>
      <c r="L219" s="47">
        <f t="shared" si="104"/>
        <v>1225</v>
      </c>
      <c r="M219" s="47">
        <f t="shared" si="105"/>
        <v>1225</v>
      </c>
      <c r="N219" s="8"/>
      <c r="O219" s="10">
        <f t="shared" si="97"/>
        <v>1225</v>
      </c>
      <c r="P219" s="48">
        <f>$P$52</f>
        <v>1100</v>
      </c>
      <c r="Q219" s="49">
        <f>$Q$52</f>
        <v>0</v>
      </c>
      <c r="R219" s="48">
        <f>$R$52</f>
        <v>90</v>
      </c>
      <c r="S219" s="50">
        <f>$S$52</f>
        <v>35</v>
      </c>
      <c r="T219" s="12">
        <f>$T$52</f>
        <v>0</v>
      </c>
      <c r="U219" s="10">
        <f t="shared" si="98"/>
        <v>1225</v>
      </c>
    </row>
    <row r="220" spans="1:21" s="5" customFormat="1" ht="60" customHeight="1" outlineLevel="3">
      <c r="A220" s="9">
        <v>181</v>
      </c>
      <c r="B220" s="17">
        <v>31003010007</v>
      </c>
      <c r="C220" s="17" t="s">
        <v>217</v>
      </c>
      <c r="D220" s="17" t="s">
        <v>310</v>
      </c>
      <c r="E220" s="9" t="s">
        <v>38</v>
      </c>
      <c r="F220" s="57">
        <v>1</v>
      </c>
      <c r="G220" s="46">
        <f t="shared" si="99"/>
        <v>90</v>
      </c>
      <c r="H220" s="47">
        <f t="shared" si="100"/>
        <v>1135</v>
      </c>
      <c r="I220" s="47">
        <f t="shared" si="101"/>
        <v>0</v>
      </c>
      <c r="J220" s="47">
        <f t="shared" si="102"/>
        <v>0</v>
      </c>
      <c r="K220" s="47">
        <f t="shared" si="103"/>
        <v>0</v>
      </c>
      <c r="L220" s="47">
        <f t="shared" si="104"/>
        <v>1225</v>
      </c>
      <c r="M220" s="47">
        <f t="shared" si="105"/>
        <v>1225</v>
      </c>
      <c r="N220" s="8"/>
      <c r="O220" s="10">
        <f t="shared" si="97"/>
        <v>1225</v>
      </c>
      <c r="P220" s="48">
        <f>$P$53</f>
        <v>1100</v>
      </c>
      <c r="Q220" s="49">
        <f>$Q$53</f>
        <v>0</v>
      </c>
      <c r="R220" s="48">
        <f>$R$53</f>
        <v>90</v>
      </c>
      <c r="S220" s="50">
        <f>$S$53</f>
        <v>35</v>
      </c>
      <c r="T220" s="12">
        <f>$T$53</f>
        <v>0</v>
      </c>
      <c r="U220" s="10">
        <f t="shared" si="98"/>
        <v>1225</v>
      </c>
    </row>
    <row r="221" spans="1:21" s="5" customFormat="1" ht="60" customHeight="1" outlineLevel="3">
      <c r="A221" s="9">
        <v>182</v>
      </c>
      <c r="B221" s="17">
        <v>31003010008</v>
      </c>
      <c r="C221" s="17" t="s">
        <v>217</v>
      </c>
      <c r="D221" s="17" t="s">
        <v>335</v>
      </c>
      <c r="E221" s="9" t="s">
        <v>38</v>
      </c>
      <c r="F221" s="57">
        <v>1</v>
      </c>
      <c r="G221" s="46">
        <f t="shared" si="99"/>
        <v>90</v>
      </c>
      <c r="H221" s="47">
        <f t="shared" si="100"/>
        <v>1135</v>
      </c>
      <c r="I221" s="47">
        <f t="shared" si="101"/>
        <v>0</v>
      </c>
      <c r="J221" s="47">
        <f t="shared" si="102"/>
        <v>0</v>
      </c>
      <c r="K221" s="47">
        <f t="shared" si="103"/>
        <v>0</v>
      </c>
      <c r="L221" s="47">
        <f t="shared" si="104"/>
        <v>1225</v>
      </c>
      <c r="M221" s="47">
        <f t="shared" si="105"/>
        <v>1225</v>
      </c>
      <c r="N221" s="8"/>
      <c r="O221" s="10">
        <f t="shared" si="97"/>
        <v>1225</v>
      </c>
      <c r="P221" s="48">
        <f>$P$134</f>
        <v>1100</v>
      </c>
      <c r="Q221" s="49">
        <f>$Q$134</f>
        <v>0</v>
      </c>
      <c r="R221" s="48">
        <f>$R$134</f>
        <v>90</v>
      </c>
      <c r="S221" s="50">
        <f>$S$134</f>
        <v>35</v>
      </c>
      <c r="T221" s="12">
        <f>$T$134</f>
        <v>0</v>
      </c>
      <c r="U221" s="10">
        <f t="shared" si="98"/>
        <v>1225</v>
      </c>
    </row>
    <row r="222" spans="1:21" s="5" customFormat="1" ht="72" customHeight="1" outlineLevel="3">
      <c r="A222" s="9">
        <v>183</v>
      </c>
      <c r="B222" s="17">
        <v>31003003006</v>
      </c>
      <c r="C222" s="17" t="s">
        <v>221</v>
      </c>
      <c r="D222" s="17" t="s">
        <v>311</v>
      </c>
      <c r="E222" s="9" t="s">
        <v>214</v>
      </c>
      <c r="F222" s="57">
        <v>2</v>
      </c>
      <c r="G222" s="46">
        <f t="shared" si="99"/>
        <v>90</v>
      </c>
      <c r="H222" s="47">
        <f t="shared" si="100"/>
        <v>562</v>
      </c>
      <c r="I222" s="47">
        <f t="shared" si="101"/>
        <v>0</v>
      </c>
      <c r="J222" s="47">
        <f t="shared" si="102"/>
        <v>0</v>
      </c>
      <c r="K222" s="47">
        <f t="shared" si="103"/>
        <v>0</v>
      </c>
      <c r="L222" s="47">
        <f t="shared" si="104"/>
        <v>652</v>
      </c>
      <c r="M222" s="47">
        <f t="shared" si="105"/>
        <v>1304</v>
      </c>
      <c r="N222" s="8"/>
      <c r="O222" s="10">
        <f t="shared" si="97"/>
        <v>652</v>
      </c>
      <c r="P222" s="48">
        <f>$P$54</f>
        <v>550</v>
      </c>
      <c r="Q222" s="49">
        <f>$Q$54</f>
        <v>0</v>
      </c>
      <c r="R222" s="48">
        <f>$R$54</f>
        <v>90</v>
      </c>
      <c r="S222" s="50">
        <f>$S$54</f>
        <v>12</v>
      </c>
      <c r="T222" s="12">
        <f>$T$54</f>
        <v>0</v>
      </c>
      <c r="U222" s="10">
        <f t="shared" si="98"/>
        <v>1304</v>
      </c>
    </row>
    <row r="223" spans="1:21" s="5" customFormat="1" ht="72" customHeight="1" outlineLevel="3">
      <c r="A223" s="9">
        <v>184</v>
      </c>
      <c r="B223" s="17">
        <v>31003003007</v>
      </c>
      <c r="C223" s="17" t="s">
        <v>221</v>
      </c>
      <c r="D223" s="17" t="s">
        <v>312</v>
      </c>
      <c r="E223" s="9" t="s">
        <v>214</v>
      </c>
      <c r="F223" s="57">
        <v>1</v>
      </c>
      <c r="G223" s="46">
        <f t="shared" si="99"/>
        <v>90</v>
      </c>
      <c r="H223" s="47">
        <f t="shared" si="100"/>
        <v>562</v>
      </c>
      <c r="I223" s="47">
        <f t="shared" si="101"/>
        <v>0</v>
      </c>
      <c r="J223" s="47">
        <f t="shared" si="102"/>
        <v>0</v>
      </c>
      <c r="K223" s="47">
        <f t="shared" si="103"/>
        <v>0</v>
      </c>
      <c r="L223" s="47">
        <f t="shared" si="104"/>
        <v>652</v>
      </c>
      <c r="M223" s="47">
        <f t="shared" si="105"/>
        <v>652</v>
      </c>
      <c r="N223" s="8"/>
      <c r="O223" s="10">
        <f t="shared" si="97"/>
        <v>652</v>
      </c>
      <c r="P223" s="48">
        <f>$P$55</f>
        <v>550</v>
      </c>
      <c r="Q223" s="49">
        <f>$Q$55</f>
        <v>0</v>
      </c>
      <c r="R223" s="48">
        <f>$R$55</f>
        <v>90</v>
      </c>
      <c r="S223" s="50">
        <f>$S$55</f>
        <v>12</v>
      </c>
      <c r="T223" s="12">
        <f>$T$55</f>
        <v>0</v>
      </c>
      <c r="U223" s="10">
        <f t="shared" si="98"/>
        <v>652</v>
      </c>
    </row>
    <row r="224" spans="1:21" s="5" customFormat="1" ht="72" customHeight="1" outlineLevel="3">
      <c r="A224" s="9">
        <v>185</v>
      </c>
      <c r="B224" s="17">
        <v>31003003008</v>
      </c>
      <c r="C224" s="17" t="s">
        <v>221</v>
      </c>
      <c r="D224" s="17" t="s">
        <v>336</v>
      </c>
      <c r="E224" s="9" t="s">
        <v>214</v>
      </c>
      <c r="F224" s="57">
        <v>1</v>
      </c>
      <c r="G224" s="46">
        <f t="shared" si="99"/>
        <v>90</v>
      </c>
      <c r="H224" s="47">
        <f t="shared" si="100"/>
        <v>562</v>
      </c>
      <c r="I224" s="47">
        <f t="shared" si="101"/>
        <v>0</v>
      </c>
      <c r="J224" s="47">
        <f t="shared" si="102"/>
        <v>0</v>
      </c>
      <c r="K224" s="47">
        <f t="shared" si="103"/>
        <v>0</v>
      </c>
      <c r="L224" s="47">
        <f t="shared" si="104"/>
        <v>652</v>
      </c>
      <c r="M224" s="47">
        <f t="shared" si="105"/>
        <v>652</v>
      </c>
      <c r="N224" s="8"/>
      <c r="O224" s="10">
        <f t="shared" si="97"/>
        <v>652</v>
      </c>
      <c r="P224" s="48">
        <f>$P$137</f>
        <v>550</v>
      </c>
      <c r="Q224" s="49">
        <f>$Q$137</f>
        <v>0</v>
      </c>
      <c r="R224" s="48">
        <f>$R$137</f>
        <v>90</v>
      </c>
      <c r="S224" s="50">
        <f>$S$137</f>
        <v>12</v>
      </c>
      <c r="T224" s="12">
        <f>$T$137</f>
        <v>0</v>
      </c>
      <c r="U224" s="10">
        <f t="shared" si="98"/>
        <v>652</v>
      </c>
    </row>
    <row r="225" spans="1:21" s="5" customFormat="1" ht="60" customHeight="1" outlineLevel="3">
      <c r="A225" s="9">
        <v>186</v>
      </c>
      <c r="B225" s="17">
        <v>31003004003</v>
      </c>
      <c r="C225" s="17" t="s">
        <v>313</v>
      </c>
      <c r="D225" s="17" t="s">
        <v>314</v>
      </c>
      <c r="E225" s="9" t="s">
        <v>214</v>
      </c>
      <c r="F225" s="57">
        <v>1</v>
      </c>
      <c r="G225" s="46">
        <f t="shared" si="99"/>
        <v>60</v>
      </c>
      <c r="H225" s="47">
        <f t="shared" si="100"/>
        <v>990</v>
      </c>
      <c r="I225" s="47">
        <f t="shared" si="101"/>
        <v>0</v>
      </c>
      <c r="J225" s="47">
        <f t="shared" si="102"/>
        <v>0</v>
      </c>
      <c r="K225" s="47">
        <f t="shared" si="103"/>
        <v>0</v>
      </c>
      <c r="L225" s="47">
        <f t="shared" si="104"/>
        <v>1050</v>
      </c>
      <c r="M225" s="47">
        <f t="shared" si="105"/>
        <v>1050</v>
      </c>
      <c r="N225" s="8"/>
      <c r="O225" s="10">
        <f t="shared" si="97"/>
        <v>1050</v>
      </c>
      <c r="P225" s="48">
        <f>$P$56</f>
        <v>950</v>
      </c>
      <c r="Q225" s="49">
        <f>$Q$56</f>
        <v>0</v>
      </c>
      <c r="R225" s="48">
        <f>$R$56</f>
        <v>60</v>
      </c>
      <c r="S225" s="50">
        <f>$S$56</f>
        <v>40</v>
      </c>
      <c r="T225" s="12">
        <f>$T$56</f>
        <v>0</v>
      </c>
      <c r="U225" s="10">
        <f t="shared" si="98"/>
        <v>1050</v>
      </c>
    </row>
    <row r="226" spans="1:21" s="5" customFormat="1" ht="72" customHeight="1" outlineLevel="3">
      <c r="A226" s="9">
        <v>187</v>
      </c>
      <c r="B226" s="17">
        <v>31003014011</v>
      </c>
      <c r="C226" s="17" t="s">
        <v>315</v>
      </c>
      <c r="D226" s="17" t="s">
        <v>316</v>
      </c>
      <c r="E226" s="9" t="s">
        <v>46</v>
      </c>
      <c r="F226" s="57">
        <v>4</v>
      </c>
      <c r="G226" s="46">
        <f t="shared" si="99"/>
        <v>18</v>
      </c>
      <c r="H226" s="47">
        <f t="shared" si="100"/>
        <v>40</v>
      </c>
      <c r="I226" s="47">
        <f t="shared" si="101"/>
        <v>0</v>
      </c>
      <c r="J226" s="47">
        <f t="shared" si="102"/>
        <v>0</v>
      </c>
      <c r="K226" s="47">
        <f t="shared" si="103"/>
        <v>0</v>
      </c>
      <c r="L226" s="47">
        <f t="shared" si="104"/>
        <v>58</v>
      </c>
      <c r="M226" s="47">
        <f t="shared" si="105"/>
        <v>232</v>
      </c>
      <c r="N226" s="8"/>
      <c r="O226" s="10">
        <f t="shared" si="97"/>
        <v>58</v>
      </c>
      <c r="P226" s="48">
        <f>$P$57</f>
        <v>35</v>
      </c>
      <c r="Q226" s="49">
        <f>$Q$57</f>
        <v>0</v>
      </c>
      <c r="R226" s="48">
        <f>$R$57</f>
        <v>18</v>
      </c>
      <c r="S226" s="50">
        <f>$S$57</f>
        <v>5</v>
      </c>
      <c r="T226" s="12">
        <f>$T$57</f>
        <v>0</v>
      </c>
      <c r="U226" s="10">
        <f t="shared" si="98"/>
        <v>232</v>
      </c>
    </row>
    <row r="227" spans="1:21" s="5" customFormat="1" ht="72" customHeight="1" outlineLevel="3">
      <c r="A227" s="9">
        <v>188</v>
      </c>
      <c r="B227" s="17">
        <v>31003014012</v>
      </c>
      <c r="C227" s="17" t="s">
        <v>315</v>
      </c>
      <c r="D227" s="17" t="s">
        <v>317</v>
      </c>
      <c r="E227" s="9" t="s">
        <v>46</v>
      </c>
      <c r="F227" s="57">
        <v>3</v>
      </c>
      <c r="G227" s="46">
        <f t="shared" si="99"/>
        <v>25</v>
      </c>
      <c r="H227" s="47">
        <f t="shared" si="100"/>
        <v>56.5</v>
      </c>
      <c r="I227" s="47">
        <f t="shared" si="101"/>
        <v>0.2</v>
      </c>
      <c r="J227" s="47">
        <f t="shared" si="102"/>
        <v>0</v>
      </c>
      <c r="K227" s="47">
        <f t="shared" si="103"/>
        <v>0</v>
      </c>
      <c r="L227" s="47">
        <f t="shared" si="104"/>
        <v>81.7</v>
      </c>
      <c r="M227" s="47">
        <f t="shared" si="105"/>
        <v>245.1</v>
      </c>
      <c r="N227" s="8"/>
      <c r="O227" s="10">
        <f t="shared" si="97"/>
        <v>81.7</v>
      </c>
      <c r="P227" s="48">
        <f>$P$58</f>
        <v>55</v>
      </c>
      <c r="Q227" s="49">
        <f>$Q$58</f>
        <v>0</v>
      </c>
      <c r="R227" s="48">
        <f>$R$58</f>
        <v>25</v>
      </c>
      <c r="S227" s="50">
        <f>$S$58</f>
        <v>1.5</v>
      </c>
      <c r="T227" s="12">
        <f>$T$58</f>
        <v>0.2</v>
      </c>
      <c r="U227" s="10">
        <f t="shared" si="98"/>
        <v>245.1</v>
      </c>
    </row>
    <row r="228" spans="1:21" s="5" customFormat="1" ht="72" customHeight="1" outlineLevel="3">
      <c r="A228" s="9">
        <v>189</v>
      </c>
      <c r="B228" s="17">
        <v>31003014013</v>
      </c>
      <c r="C228" s="17" t="s">
        <v>315</v>
      </c>
      <c r="D228" s="17" t="s">
        <v>318</v>
      </c>
      <c r="E228" s="9" t="s">
        <v>46</v>
      </c>
      <c r="F228" s="57">
        <v>2</v>
      </c>
      <c r="G228" s="46">
        <f t="shared" si="99"/>
        <v>25</v>
      </c>
      <c r="H228" s="47">
        <f t="shared" si="100"/>
        <v>56.5</v>
      </c>
      <c r="I228" s="47">
        <f t="shared" si="101"/>
        <v>0.2</v>
      </c>
      <c r="J228" s="47">
        <f t="shared" si="102"/>
        <v>0</v>
      </c>
      <c r="K228" s="47">
        <f t="shared" si="103"/>
        <v>0</v>
      </c>
      <c r="L228" s="47">
        <f t="shared" si="104"/>
        <v>81.7</v>
      </c>
      <c r="M228" s="47">
        <f t="shared" si="105"/>
        <v>163.4</v>
      </c>
      <c r="N228" s="8"/>
      <c r="O228" s="10">
        <f t="shared" si="97"/>
        <v>81.7</v>
      </c>
      <c r="P228" s="48">
        <f>$P$59</f>
        <v>55</v>
      </c>
      <c r="Q228" s="49">
        <f>$Q$59</f>
        <v>0</v>
      </c>
      <c r="R228" s="48">
        <f>$R$59</f>
        <v>25</v>
      </c>
      <c r="S228" s="50">
        <f>$S$59</f>
        <v>1.5</v>
      </c>
      <c r="T228" s="12">
        <f>$T$59</f>
        <v>0.2</v>
      </c>
      <c r="U228" s="10">
        <f t="shared" si="98"/>
        <v>163.4</v>
      </c>
    </row>
    <row r="229" spans="1:21" s="5" customFormat="1" ht="72" customHeight="1" outlineLevel="3">
      <c r="A229" s="9">
        <v>190</v>
      </c>
      <c r="B229" s="17">
        <v>31003014014</v>
      </c>
      <c r="C229" s="17" t="s">
        <v>315</v>
      </c>
      <c r="D229" s="17" t="s">
        <v>319</v>
      </c>
      <c r="E229" s="9" t="s">
        <v>46</v>
      </c>
      <c r="F229" s="57">
        <v>1</v>
      </c>
      <c r="G229" s="46">
        <f t="shared" si="99"/>
        <v>18</v>
      </c>
      <c r="H229" s="47">
        <f t="shared" si="100"/>
        <v>40</v>
      </c>
      <c r="I229" s="47">
        <f t="shared" si="101"/>
        <v>0</v>
      </c>
      <c r="J229" s="47">
        <f t="shared" si="102"/>
        <v>0</v>
      </c>
      <c r="K229" s="47">
        <f t="shared" si="103"/>
        <v>0</v>
      </c>
      <c r="L229" s="47">
        <f t="shared" si="104"/>
        <v>58</v>
      </c>
      <c r="M229" s="47">
        <f t="shared" si="105"/>
        <v>58</v>
      </c>
      <c r="N229" s="8"/>
      <c r="O229" s="10">
        <f t="shared" si="97"/>
        <v>58</v>
      </c>
      <c r="P229" s="48">
        <f>$P$60</f>
        <v>35</v>
      </c>
      <c r="Q229" s="49">
        <f>$Q$60</f>
        <v>0</v>
      </c>
      <c r="R229" s="48">
        <f>$R$60</f>
        <v>18</v>
      </c>
      <c r="S229" s="50">
        <f>$S$60</f>
        <v>5</v>
      </c>
      <c r="T229" s="12">
        <f>$T$60</f>
        <v>0</v>
      </c>
      <c r="U229" s="10">
        <f t="shared" si="98"/>
        <v>58</v>
      </c>
    </row>
    <row r="230" spans="1:21" s="5" customFormat="1" ht="72" customHeight="1" outlineLevel="3">
      <c r="A230" s="9">
        <v>191</v>
      </c>
      <c r="B230" s="17">
        <v>31003014015</v>
      </c>
      <c r="C230" s="17" t="s">
        <v>320</v>
      </c>
      <c r="D230" s="17" t="s">
        <v>321</v>
      </c>
      <c r="E230" s="9" t="s">
        <v>46</v>
      </c>
      <c r="F230" s="57">
        <v>1</v>
      </c>
      <c r="G230" s="46">
        <f t="shared" si="99"/>
        <v>55</v>
      </c>
      <c r="H230" s="47">
        <f t="shared" si="100"/>
        <v>485</v>
      </c>
      <c r="I230" s="47">
        <f t="shared" si="101"/>
        <v>0</v>
      </c>
      <c r="J230" s="47">
        <f t="shared" si="102"/>
        <v>0</v>
      </c>
      <c r="K230" s="47">
        <f t="shared" si="103"/>
        <v>0</v>
      </c>
      <c r="L230" s="47">
        <f t="shared" si="104"/>
        <v>540</v>
      </c>
      <c r="M230" s="47">
        <f t="shared" si="105"/>
        <v>540</v>
      </c>
      <c r="N230" s="8"/>
      <c r="O230" s="10">
        <f t="shared" si="97"/>
        <v>540</v>
      </c>
      <c r="P230" s="48">
        <f>$P$61</f>
        <v>465</v>
      </c>
      <c r="Q230" s="49">
        <f>$Q$61</f>
        <v>0</v>
      </c>
      <c r="R230" s="48">
        <f>$R$61</f>
        <v>55</v>
      </c>
      <c r="S230" s="50">
        <f>$S$61</f>
        <v>20</v>
      </c>
      <c r="T230" s="12">
        <f>$T$61</f>
        <v>0</v>
      </c>
      <c r="U230" s="10">
        <f t="shared" si="98"/>
        <v>540</v>
      </c>
    </row>
    <row r="231" spans="1:21" s="5" customFormat="1" ht="72" customHeight="1" outlineLevel="3">
      <c r="A231" s="9">
        <v>192</v>
      </c>
      <c r="B231" s="17">
        <v>31002001006</v>
      </c>
      <c r="C231" s="17" t="s">
        <v>227</v>
      </c>
      <c r="D231" s="17" t="s">
        <v>338</v>
      </c>
      <c r="E231" s="9" t="s">
        <v>46</v>
      </c>
      <c r="F231" s="57">
        <v>6</v>
      </c>
      <c r="G231" s="46">
        <f t="shared" si="99"/>
        <v>167.09</v>
      </c>
      <c r="H231" s="47">
        <f t="shared" si="100"/>
        <v>1504.2</v>
      </c>
      <c r="I231" s="47">
        <f t="shared" si="101"/>
        <v>12.03</v>
      </c>
      <c r="J231" s="47">
        <f t="shared" si="102"/>
        <v>0</v>
      </c>
      <c r="K231" s="47">
        <f t="shared" si="103"/>
        <v>0</v>
      </c>
      <c r="L231" s="47">
        <f t="shared" si="104"/>
        <v>1683.32</v>
      </c>
      <c r="M231" s="47">
        <f t="shared" si="105"/>
        <v>10099.92</v>
      </c>
      <c r="N231" s="8"/>
      <c r="O231" s="10">
        <f t="shared" si="97"/>
        <v>1683.32</v>
      </c>
      <c r="P231" s="48">
        <f>$P$144</f>
        <v>1504.2</v>
      </c>
      <c r="Q231" s="49">
        <f>$Q$144</f>
        <v>0</v>
      </c>
      <c r="R231" s="48">
        <f>$R$144</f>
        <v>167.09</v>
      </c>
      <c r="S231" s="50">
        <f>$S$144</f>
        <v>0</v>
      </c>
      <c r="T231" s="12">
        <f>$T$144</f>
        <v>12.03</v>
      </c>
      <c r="U231" s="10">
        <f t="shared" si="98"/>
        <v>10099.92</v>
      </c>
    </row>
    <row r="232" spans="1:21" s="5" customFormat="1" outlineLevel="1">
      <c r="A232" s="9"/>
      <c r="B232" s="17"/>
      <c r="C232" s="17" t="s">
        <v>65</v>
      </c>
      <c r="D232" s="17"/>
      <c r="E232" s="9"/>
      <c r="F232" s="57"/>
      <c r="G232" s="46"/>
      <c r="H232" s="47"/>
      <c r="I232" s="47"/>
      <c r="J232" s="47"/>
      <c r="K232" s="47"/>
      <c r="L232" s="47"/>
      <c r="M232" s="47"/>
      <c r="N232" s="8"/>
      <c r="O232" s="10">
        <f t="shared" si="97"/>
        <v>0</v>
      </c>
      <c r="P232" s="48"/>
      <c r="Q232" s="49"/>
      <c r="R232" s="48"/>
      <c r="S232" s="50"/>
      <c r="T232" s="12"/>
      <c r="U232" s="10">
        <f t="shared" si="98"/>
        <v>0</v>
      </c>
    </row>
    <row r="233" spans="1:21" s="5" customFormat="1" outlineLevel="2">
      <c r="A233" s="9"/>
      <c r="B233" s="17"/>
      <c r="C233" s="17" t="s">
        <v>66</v>
      </c>
      <c r="D233" s="17"/>
      <c r="E233" s="9"/>
      <c r="F233" s="57"/>
      <c r="G233" s="46"/>
      <c r="H233" s="47"/>
      <c r="I233" s="47"/>
      <c r="J233" s="47"/>
      <c r="K233" s="47"/>
      <c r="L233" s="47"/>
      <c r="M233" s="47"/>
      <c r="N233" s="8"/>
      <c r="O233" s="10">
        <f t="shared" si="97"/>
        <v>0</v>
      </c>
      <c r="P233" s="48"/>
      <c r="Q233" s="49"/>
      <c r="R233" s="48"/>
      <c r="S233" s="50"/>
      <c r="T233" s="12"/>
      <c r="U233" s="10">
        <f t="shared" si="98"/>
        <v>0</v>
      </c>
    </row>
    <row r="234" spans="1:21" s="5" customFormat="1" ht="120" customHeight="1" outlineLevel="3">
      <c r="A234" s="9">
        <v>193</v>
      </c>
      <c r="B234" s="17">
        <v>30701003011</v>
      </c>
      <c r="C234" s="17" t="s">
        <v>67</v>
      </c>
      <c r="D234" s="17" t="s">
        <v>323</v>
      </c>
      <c r="E234" s="9" t="s">
        <v>69</v>
      </c>
      <c r="F234" s="57">
        <v>2</v>
      </c>
      <c r="G234" s="46">
        <f>R234*$R$3</f>
        <v>1000</v>
      </c>
      <c r="H234" s="47">
        <f>P234*(1+Q234)*$P$3+S234*$S$3</f>
        <v>4800</v>
      </c>
      <c r="I234" s="47">
        <f>T234*$T$3</f>
        <v>45</v>
      </c>
      <c r="J234" s="47">
        <f>(G234+H234+I234)*$J$3</f>
        <v>0</v>
      </c>
      <c r="K234" s="47">
        <f>(G234+H234+I234+J234)*$K$3</f>
        <v>0</v>
      </c>
      <c r="L234" s="47">
        <f>G234+H234+I234+J234+K234</f>
        <v>5845</v>
      </c>
      <c r="M234" s="47">
        <f>F234*L234</f>
        <v>11690</v>
      </c>
      <c r="N234" s="8"/>
      <c r="O234" s="10">
        <f t="shared" si="97"/>
        <v>5845</v>
      </c>
      <c r="P234" s="48">
        <f>$P$65</f>
        <v>3600</v>
      </c>
      <c r="Q234" s="49">
        <f>$Q$65</f>
        <v>0</v>
      </c>
      <c r="R234" s="48">
        <f>$R$65</f>
        <v>1000</v>
      </c>
      <c r="S234" s="50">
        <f>$S$65</f>
        <v>1200</v>
      </c>
      <c r="T234" s="12">
        <f>$T$65</f>
        <v>45</v>
      </c>
      <c r="U234" s="10">
        <f t="shared" si="98"/>
        <v>11690</v>
      </c>
    </row>
    <row r="235" spans="1:21" s="5" customFormat="1" ht="120" customHeight="1" outlineLevel="3">
      <c r="A235" s="9">
        <v>194</v>
      </c>
      <c r="B235" s="17">
        <v>30701003012</v>
      </c>
      <c r="C235" s="17" t="s">
        <v>67</v>
      </c>
      <c r="D235" s="17" t="s">
        <v>324</v>
      </c>
      <c r="E235" s="9" t="s">
        <v>69</v>
      </c>
      <c r="F235" s="57">
        <v>2</v>
      </c>
      <c r="G235" s="46">
        <f>R235*$R$3</f>
        <v>1000</v>
      </c>
      <c r="H235" s="47">
        <f>P235*(1+Q235)*$P$3+S235*$S$3</f>
        <v>4800</v>
      </c>
      <c r="I235" s="47">
        <f>T235*$T$3</f>
        <v>45</v>
      </c>
      <c r="J235" s="47">
        <f>(G235+H235+I235)*$J$3</f>
        <v>0</v>
      </c>
      <c r="K235" s="47">
        <f>(G235+H235+I235+J235)*$K$3</f>
        <v>0</v>
      </c>
      <c r="L235" s="47">
        <f>G235+H235+I235+J235+K235</f>
        <v>5845</v>
      </c>
      <c r="M235" s="47">
        <f>F235*L235</f>
        <v>11690</v>
      </c>
      <c r="N235" s="8"/>
      <c r="O235" s="10">
        <f t="shared" si="97"/>
        <v>5845</v>
      </c>
      <c r="P235" s="48">
        <f>$P$66</f>
        <v>3600</v>
      </c>
      <c r="Q235" s="49">
        <f>$Q$66</f>
        <v>0</v>
      </c>
      <c r="R235" s="48">
        <f>$R$66</f>
        <v>1000</v>
      </c>
      <c r="S235" s="50">
        <f>$S$66</f>
        <v>1200</v>
      </c>
      <c r="T235" s="12">
        <f>$T$66</f>
        <v>45</v>
      </c>
      <c r="U235" s="10">
        <f t="shared" si="98"/>
        <v>11690</v>
      </c>
    </row>
    <row r="236" spans="1:21" s="5" customFormat="1" ht="120" customHeight="1" outlineLevel="3">
      <c r="A236" s="22">
        <v>195</v>
      </c>
      <c r="B236" s="23">
        <v>30701003013</v>
      </c>
      <c r="C236" s="23" t="s">
        <v>67</v>
      </c>
      <c r="D236" s="23" t="s">
        <v>345</v>
      </c>
      <c r="E236" s="22" t="s">
        <v>69</v>
      </c>
      <c r="F236" s="58">
        <v>2</v>
      </c>
      <c r="G236" s="45">
        <f>R236*$R$3</f>
        <v>1000</v>
      </c>
      <c r="H236" s="26">
        <f>P236*(1+Q236)*$P$3+S236*$S$3</f>
        <v>4800</v>
      </c>
      <c r="I236" s="26">
        <f>T236*$T$3</f>
        <v>45</v>
      </c>
      <c r="J236" s="26">
        <f>(G236+H236+I236)*$J$3</f>
        <v>0</v>
      </c>
      <c r="K236" s="26">
        <f>(G236+H236+I236+J236)*$K$3</f>
        <v>0</v>
      </c>
      <c r="L236" s="26">
        <f>G236+H236+I236+J236+K236</f>
        <v>5845</v>
      </c>
      <c r="M236" s="26">
        <f>F236*L236</f>
        <v>11690</v>
      </c>
      <c r="N236" s="28"/>
      <c r="O236" s="24">
        <f t="shared" si="97"/>
        <v>5845</v>
      </c>
      <c r="P236" s="29">
        <v>3600</v>
      </c>
      <c r="Q236" s="30">
        <v>0</v>
      </c>
      <c r="R236" s="29">
        <v>1000</v>
      </c>
      <c r="S236" s="31">
        <v>1200</v>
      </c>
      <c r="T236" s="32">
        <v>45</v>
      </c>
      <c r="U236" s="24">
        <f t="shared" si="98"/>
        <v>11690</v>
      </c>
    </row>
    <row r="237" spans="1:21" s="5" customFormat="1" ht="108" customHeight="1" outlineLevel="3">
      <c r="A237" s="22">
        <v>196</v>
      </c>
      <c r="B237" s="23">
        <v>30701003015</v>
      </c>
      <c r="C237" s="23" t="s">
        <v>75</v>
      </c>
      <c r="D237" s="23" t="s">
        <v>346</v>
      </c>
      <c r="E237" s="22" t="s">
        <v>69</v>
      </c>
      <c r="F237" s="58">
        <v>1</v>
      </c>
      <c r="G237" s="45">
        <f>R237*$R$3</f>
        <v>732.5</v>
      </c>
      <c r="H237" s="26">
        <f>P237*(1+Q237)*$P$3+S237*$S$3</f>
        <v>12600</v>
      </c>
      <c r="I237" s="26">
        <f>T237*$T$3</f>
        <v>25</v>
      </c>
      <c r="J237" s="26">
        <f>(G237+H237+I237)*$J$3</f>
        <v>0</v>
      </c>
      <c r="K237" s="26">
        <f>(G237+H237+I237+J237)*$K$3</f>
        <v>0</v>
      </c>
      <c r="L237" s="26">
        <f>G237+H237+I237+J237+K237</f>
        <v>13357.5</v>
      </c>
      <c r="M237" s="26">
        <f>F237*L237</f>
        <v>13357.5</v>
      </c>
      <c r="N237" s="28"/>
      <c r="O237" s="24">
        <f t="shared" si="97"/>
        <v>13357.5</v>
      </c>
      <c r="P237" s="29">
        <v>12000</v>
      </c>
      <c r="Q237" s="30">
        <v>0</v>
      </c>
      <c r="R237" s="29">
        <v>732.5</v>
      </c>
      <c r="S237" s="31">
        <v>600</v>
      </c>
      <c r="T237" s="32">
        <v>25</v>
      </c>
      <c r="U237" s="24">
        <f t="shared" si="98"/>
        <v>13357.5</v>
      </c>
    </row>
    <row r="238" spans="1:21" s="5" customFormat="1" ht="72" customHeight="1" outlineLevel="3">
      <c r="A238" s="9">
        <v>197</v>
      </c>
      <c r="B238" s="17">
        <v>30413013024</v>
      </c>
      <c r="C238" s="17" t="s">
        <v>77</v>
      </c>
      <c r="D238" s="17" t="s">
        <v>78</v>
      </c>
      <c r="E238" s="9" t="s">
        <v>38</v>
      </c>
      <c r="F238" s="57">
        <v>6</v>
      </c>
      <c r="G238" s="46">
        <f>R238*$R$3</f>
        <v>35</v>
      </c>
      <c r="H238" s="47">
        <f>P238*(1+Q238)*$P$3+S238*$S$3</f>
        <v>103</v>
      </c>
      <c r="I238" s="47">
        <f>T238*$T$3</f>
        <v>0</v>
      </c>
      <c r="J238" s="47">
        <f>(G238+H238+I238)*$J$3</f>
        <v>0</v>
      </c>
      <c r="K238" s="47">
        <f>(G238+H238+I238+J238)*$K$3</f>
        <v>0</v>
      </c>
      <c r="L238" s="47">
        <f>G238+H238+I238+J238+K238</f>
        <v>138</v>
      </c>
      <c r="M238" s="47">
        <f>F238*L238</f>
        <v>828</v>
      </c>
      <c r="N238" s="8"/>
      <c r="O238" s="10">
        <f t="shared" si="97"/>
        <v>138</v>
      </c>
      <c r="P238" s="48">
        <f>架空层安装工程!$P$33</f>
        <v>95</v>
      </c>
      <c r="Q238" s="49">
        <f>架空层安装工程!$Q$33</f>
        <v>0</v>
      </c>
      <c r="R238" s="48">
        <f>架空层安装工程!$R$33</f>
        <v>35</v>
      </c>
      <c r="S238" s="50">
        <f>架空层安装工程!$S$33</f>
        <v>8</v>
      </c>
      <c r="T238" s="12">
        <f>架空层安装工程!$T$33</f>
        <v>0</v>
      </c>
      <c r="U238" s="10">
        <f t="shared" si="98"/>
        <v>828</v>
      </c>
    </row>
    <row r="239" spans="1:21" s="5" customFormat="1" outlineLevel="2">
      <c r="A239" s="9"/>
      <c r="B239" s="17"/>
      <c r="C239" s="17" t="s">
        <v>85</v>
      </c>
      <c r="D239" s="17"/>
      <c r="E239" s="9"/>
      <c r="F239" s="57"/>
      <c r="G239" s="46"/>
      <c r="H239" s="47"/>
      <c r="I239" s="47"/>
      <c r="J239" s="47"/>
      <c r="K239" s="47"/>
      <c r="L239" s="47"/>
      <c r="M239" s="47"/>
      <c r="N239" s="8"/>
      <c r="O239" s="10">
        <f t="shared" si="97"/>
        <v>0</v>
      </c>
      <c r="P239" s="48"/>
      <c r="Q239" s="49"/>
      <c r="R239" s="48"/>
      <c r="S239" s="50"/>
      <c r="T239" s="12"/>
      <c r="U239" s="10">
        <f t="shared" si="98"/>
        <v>0</v>
      </c>
    </row>
    <row r="240" spans="1:21" s="5" customFormat="1" ht="84" customHeight="1" outlineLevel="3">
      <c r="A240" s="9">
        <v>198</v>
      </c>
      <c r="B240" s="17">
        <v>30702001004</v>
      </c>
      <c r="C240" s="17" t="s">
        <v>86</v>
      </c>
      <c r="D240" s="17" t="s">
        <v>87</v>
      </c>
      <c r="E240" s="9" t="s">
        <v>88</v>
      </c>
      <c r="F240" s="57">
        <v>5.33</v>
      </c>
      <c r="G240" s="46">
        <f t="shared" ref="G240:G245" si="106">R240*$R$3</f>
        <v>48</v>
      </c>
      <c r="H240" s="47">
        <f t="shared" ref="H240:H245" si="107">P240*(1+Q240)*$P$3+S240*$S$3</f>
        <v>99.55</v>
      </c>
      <c r="I240" s="47">
        <f t="shared" ref="I240:I245" si="108">T240*$T$3</f>
        <v>2</v>
      </c>
      <c r="J240" s="47">
        <f t="shared" ref="J240:J245" si="109">(G240+H240+I240)*$J$3</f>
        <v>0</v>
      </c>
      <c r="K240" s="47">
        <f t="shared" ref="K240:K245" si="110">(G240+H240+I240+J240)*$K$3</f>
        <v>0</v>
      </c>
      <c r="L240" s="47">
        <f t="shared" ref="L240:L245" si="111">G240+H240+I240+J240+K240</f>
        <v>149.55000000000001</v>
      </c>
      <c r="M240" s="47">
        <f t="shared" ref="M240:M245" si="112">F240*L240</f>
        <v>797.10149999999999</v>
      </c>
      <c r="N240" s="8"/>
      <c r="O240" s="10">
        <f t="shared" si="97"/>
        <v>149.55000000000001</v>
      </c>
      <c r="P240" s="48">
        <f>架空层安装工程!$P$40</f>
        <v>85</v>
      </c>
      <c r="Q240" s="49">
        <f>架空层安装工程!$Q$40</f>
        <v>0.03</v>
      </c>
      <c r="R240" s="48">
        <f>架空层安装工程!$R$40</f>
        <v>48</v>
      </c>
      <c r="S240" s="50">
        <f>架空层安装工程!$S$40</f>
        <v>12</v>
      </c>
      <c r="T240" s="12">
        <f>架空层安装工程!$T$40</f>
        <v>2</v>
      </c>
      <c r="U240" s="10">
        <f t="shared" si="98"/>
        <v>797.10149999999999</v>
      </c>
    </row>
    <row r="241" spans="1:21" s="5" customFormat="1" ht="84" customHeight="1" outlineLevel="3">
      <c r="A241" s="9">
        <v>199</v>
      </c>
      <c r="B241" s="17">
        <v>30702001005</v>
      </c>
      <c r="C241" s="17" t="s">
        <v>86</v>
      </c>
      <c r="D241" s="17" t="s">
        <v>89</v>
      </c>
      <c r="E241" s="9" t="s">
        <v>88</v>
      </c>
      <c r="F241" s="57">
        <v>12.8</v>
      </c>
      <c r="G241" s="46">
        <f t="shared" si="106"/>
        <v>48</v>
      </c>
      <c r="H241" s="47">
        <f t="shared" si="107"/>
        <v>99.55</v>
      </c>
      <c r="I241" s="47">
        <f t="shared" si="108"/>
        <v>2</v>
      </c>
      <c r="J241" s="47">
        <f t="shared" si="109"/>
        <v>0</v>
      </c>
      <c r="K241" s="47">
        <f t="shared" si="110"/>
        <v>0</v>
      </c>
      <c r="L241" s="47">
        <f t="shared" si="111"/>
        <v>149.55000000000001</v>
      </c>
      <c r="M241" s="47">
        <f t="shared" si="112"/>
        <v>1914.24</v>
      </c>
      <c r="N241" s="8"/>
      <c r="O241" s="10">
        <f t="shared" si="97"/>
        <v>149.55000000000001</v>
      </c>
      <c r="P241" s="48">
        <f>架空层安装工程!$P$41</f>
        <v>85</v>
      </c>
      <c r="Q241" s="49">
        <f>架空层安装工程!$Q$41</f>
        <v>0.03</v>
      </c>
      <c r="R241" s="48">
        <f>架空层安装工程!$R$41</f>
        <v>48</v>
      </c>
      <c r="S241" s="50">
        <f>架空层安装工程!$S$41</f>
        <v>12</v>
      </c>
      <c r="T241" s="12">
        <f>架空层安装工程!$T$41</f>
        <v>2</v>
      </c>
      <c r="U241" s="10">
        <f t="shared" si="98"/>
        <v>1914.24</v>
      </c>
    </row>
    <row r="242" spans="1:21" s="5" customFormat="1" ht="72" customHeight="1" outlineLevel="3">
      <c r="A242" s="9">
        <v>200</v>
      </c>
      <c r="B242" s="17">
        <v>30703019003</v>
      </c>
      <c r="C242" s="17" t="s">
        <v>91</v>
      </c>
      <c r="D242" s="17" t="s">
        <v>92</v>
      </c>
      <c r="E242" s="9" t="s">
        <v>88</v>
      </c>
      <c r="F242" s="57">
        <v>3.23</v>
      </c>
      <c r="G242" s="46">
        <f t="shared" si="106"/>
        <v>55</v>
      </c>
      <c r="H242" s="47">
        <f t="shared" si="107"/>
        <v>78.89</v>
      </c>
      <c r="I242" s="47">
        <f t="shared" si="108"/>
        <v>2.75</v>
      </c>
      <c r="J242" s="47">
        <f t="shared" si="109"/>
        <v>0</v>
      </c>
      <c r="K242" s="47">
        <f t="shared" si="110"/>
        <v>0</v>
      </c>
      <c r="L242" s="47">
        <f t="shared" si="111"/>
        <v>136.63999999999999</v>
      </c>
      <c r="M242" s="47">
        <f t="shared" si="112"/>
        <v>441.34719999999999</v>
      </c>
      <c r="N242" s="8"/>
      <c r="O242" s="10">
        <f t="shared" si="97"/>
        <v>136.63999999999999</v>
      </c>
      <c r="P242" s="48">
        <f>架空层安装工程!$P$43</f>
        <v>19.489999999999998</v>
      </c>
      <c r="Q242" s="49">
        <f>架空层安装工程!$Q$43</f>
        <v>0</v>
      </c>
      <c r="R242" s="48">
        <f>架空层安装工程!$R$43</f>
        <v>55</v>
      </c>
      <c r="S242" s="50">
        <f>架空层安装工程!$S$43</f>
        <v>59.4</v>
      </c>
      <c r="T242" s="12">
        <f>架空层安装工程!$T$43</f>
        <v>2.75</v>
      </c>
      <c r="U242" s="10">
        <f t="shared" si="98"/>
        <v>441.34719999999999</v>
      </c>
    </row>
    <row r="243" spans="1:21" s="5" customFormat="1" ht="72" customHeight="1" outlineLevel="3">
      <c r="A243" s="9">
        <v>201</v>
      </c>
      <c r="B243" s="17">
        <v>31301005003</v>
      </c>
      <c r="C243" s="17" t="s">
        <v>93</v>
      </c>
      <c r="D243" s="17" t="s">
        <v>94</v>
      </c>
      <c r="E243" s="9" t="s">
        <v>95</v>
      </c>
      <c r="F243" s="57">
        <v>63.82</v>
      </c>
      <c r="G243" s="46">
        <f t="shared" si="106"/>
        <v>5.77</v>
      </c>
      <c r="H243" s="47">
        <f t="shared" si="107"/>
        <v>6.87</v>
      </c>
      <c r="I243" s="47">
        <f t="shared" si="108"/>
        <v>1.21</v>
      </c>
      <c r="J243" s="47">
        <f t="shared" si="109"/>
        <v>0</v>
      </c>
      <c r="K243" s="47">
        <f t="shared" si="110"/>
        <v>0</v>
      </c>
      <c r="L243" s="47">
        <f t="shared" si="111"/>
        <v>13.85</v>
      </c>
      <c r="M243" s="47">
        <f t="shared" si="112"/>
        <v>883.90700000000004</v>
      </c>
      <c r="N243" s="8"/>
      <c r="O243" s="10">
        <f t="shared" si="97"/>
        <v>13.85</v>
      </c>
      <c r="P243" s="48">
        <f>架空层安装工程!$P$44</f>
        <v>6.87</v>
      </c>
      <c r="Q243" s="49">
        <f>架空层安装工程!$Q$44</f>
        <v>0</v>
      </c>
      <c r="R243" s="48">
        <f>架空层安装工程!$R$44</f>
        <v>5.77</v>
      </c>
      <c r="S243" s="50">
        <f>架空层安装工程!$S$44</f>
        <v>0</v>
      </c>
      <c r="T243" s="12">
        <f>架空层安装工程!$T$44</f>
        <v>1.21</v>
      </c>
      <c r="U243" s="10">
        <f t="shared" si="98"/>
        <v>883.90700000000004</v>
      </c>
    </row>
    <row r="244" spans="1:21" s="5" customFormat="1" ht="108" customHeight="1" outlineLevel="3">
      <c r="A244" s="9">
        <v>202</v>
      </c>
      <c r="B244" s="17">
        <v>31208003003</v>
      </c>
      <c r="C244" s="17" t="s">
        <v>96</v>
      </c>
      <c r="D244" s="17" t="s">
        <v>97</v>
      </c>
      <c r="E244" s="9" t="s">
        <v>88</v>
      </c>
      <c r="F244" s="57">
        <v>18.13</v>
      </c>
      <c r="G244" s="46">
        <f t="shared" si="106"/>
        <v>48</v>
      </c>
      <c r="H244" s="47">
        <f t="shared" si="107"/>
        <v>412</v>
      </c>
      <c r="I244" s="47">
        <f t="shared" si="108"/>
        <v>2</v>
      </c>
      <c r="J244" s="47">
        <f t="shared" si="109"/>
        <v>0</v>
      </c>
      <c r="K244" s="47">
        <f t="shared" si="110"/>
        <v>0</v>
      </c>
      <c r="L244" s="47">
        <f t="shared" si="111"/>
        <v>462</v>
      </c>
      <c r="M244" s="47">
        <f t="shared" si="112"/>
        <v>8376.06</v>
      </c>
      <c r="N244" s="8"/>
      <c r="O244" s="10">
        <f t="shared" si="97"/>
        <v>462</v>
      </c>
      <c r="P244" s="48">
        <f>架空层安装工程!$P$45</f>
        <v>400</v>
      </c>
      <c r="Q244" s="49">
        <f>架空层安装工程!$Q$45</f>
        <v>0</v>
      </c>
      <c r="R244" s="48">
        <f>架空层安装工程!$R$45</f>
        <v>48</v>
      </c>
      <c r="S244" s="50">
        <f>架空层安装工程!$S$45</f>
        <v>12</v>
      </c>
      <c r="T244" s="12">
        <f>架空层安装工程!$T$45</f>
        <v>2</v>
      </c>
      <c r="U244" s="10">
        <f t="shared" si="98"/>
        <v>8376.06</v>
      </c>
    </row>
    <row r="245" spans="1:21" s="5" customFormat="1" ht="24" customHeight="1" outlineLevel="3">
      <c r="A245" s="9">
        <v>203</v>
      </c>
      <c r="B245" s="17">
        <v>30704001003</v>
      </c>
      <c r="C245" s="17" t="s">
        <v>98</v>
      </c>
      <c r="D245" s="17" t="s">
        <v>99</v>
      </c>
      <c r="E245" s="9" t="s">
        <v>100</v>
      </c>
      <c r="F245" s="57">
        <v>1</v>
      </c>
      <c r="G245" s="46">
        <f t="shared" si="106"/>
        <v>380</v>
      </c>
      <c r="H245" s="47">
        <f t="shared" si="107"/>
        <v>600</v>
      </c>
      <c r="I245" s="47">
        <f t="shared" si="108"/>
        <v>20</v>
      </c>
      <c r="J245" s="47">
        <f t="shared" si="109"/>
        <v>0</v>
      </c>
      <c r="K245" s="47">
        <f t="shared" si="110"/>
        <v>0</v>
      </c>
      <c r="L245" s="47">
        <f t="shared" si="111"/>
        <v>1000</v>
      </c>
      <c r="M245" s="47">
        <f t="shared" si="112"/>
        <v>1000</v>
      </c>
      <c r="N245" s="8"/>
      <c r="O245" s="10">
        <f t="shared" si="97"/>
        <v>1000</v>
      </c>
      <c r="P245" s="48">
        <f>架空层安装工程!$P$46</f>
        <v>400</v>
      </c>
      <c r="Q245" s="49">
        <f>架空层安装工程!$Q$46</f>
        <v>0</v>
      </c>
      <c r="R245" s="48">
        <f>架空层安装工程!$R$46</f>
        <v>380</v>
      </c>
      <c r="S245" s="50">
        <f>架空层安装工程!$S$46</f>
        <v>200</v>
      </c>
      <c r="T245" s="12">
        <f>架空层安装工程!$T$46</f>
        <v>20</v>
      </c>
      <c r="U245" s="10">
        <f t="shared" si="98"/>
        <v>1000</v>
      </c>
    </row>
    <row r="246" spans="1:21" s="5" customFormat="1" outlineLevel="2">
      <c r="A246" s="9"/>
      <c r="B246" s="17"/>
      <c r="C246" s="17" t="s">
        <v>101</v>
      </c>
      <c r="D246" s="17"/>
      <c r="E246" s="9"/>
      <c r="F246" s="57"/>
      <c r="G246" s="46"/>
      <c r="H246" s="47"/>
      <c r="I246" s="47"/>
      <c r="J246" s="47"/>
      <c r="K246" s="47"/>
      <c r="L246" s="47"/>
      <c r="M246" s="47"/>
      <c r="N246" s="8"/>
      <c r="O246" s="10">
        <f t="shared" si="97"/>
        <v>0</v>
      </c>
      <c r="P246" s="48"/>
      <c r="Q246" s="49"/>
      <c r="R246" s="48"/>
      <c r="S246" s="50"/>
      <c r="T246" s="12"/>
      <c r="U246" s="10">
        <f t="shared" si="98"/>
        <v>0</v>
      </c>
    </row>
    <row r="247" spans="1:21" s="5" customFormat="1" ht="84" customHeight="1" outlineLevel="3">
      <c r="A247" s="9">
        <v>204</v>
      </c>
      <c r="B247" s="17">
        <v>31001005010</v>
      </c>
      <c r="C247" s="17" t="s">
        <v>102</v>
      </c>
      <c r="D247" s="17" t="s">
        <v>103</v>
      </c>
      <c r="E247" s="9" t="s">
        <v>43</v>
      </c>
      <c r="F247" s="57">
        <v>12.74</v>
      </c>
      <c r="G247" s="46">
        <f t="shared" ref="G247:G258" si="113">R247*$R$3</f>
        <v>9.64</v>
      </c>
      <c r="H247" s="47">
        <f t="shared" ref="H247:H258" si="114">P247*(1+Q247)*$P$3+S247*$S$3</f>
        <v>13.1816</v>
      </c>
      <c r="I247" s="47">
        <f t="shared" ref="I247:I258" si="115">T247*$T$3</f>
        <v>0</v>
      </c>
      <c r="J247" s="47">
        <f t="shared" ref="J247:J258" si="116">(G247+H247+I247)*$J$3</f>
        <v>0</v>
      </c>
      <c r="K247" s="47">
        <f t="shared" ref="K247:K258" si="117">(G247+H247+I247+J247)*$K$3</f>
        <v>0</v>
      </c>
      <c r="L247" s="47">
        <f t="shared" ref="L247:L258" si="118">G247+H247+I247+J247+K247</f>
        <v>22.8216</v>
      </c>
      <c r="M247" s="47">
        <f t="shared" ref="M247:M258" si="119">F247*L247</f>
        <v>290.747184</v>
      </c>
      <c r="N247" s="8"/>
      <c r="O247" s="10">
        <f t="shared" si="97"/>
        <v>22.8216</v>
      </c>
      <c r="P247" s="48">
        <f>架空层安装工程!$P$48</f>
        <v>10.72</v>
      </c>
      <c r="Q247" s="49">
        <f>架空层安装工程!$Q$48</f>
        <v>0.03</v>
      </c>
      <c r="R247" s="48">
        <f>架空层安装工程!$R$48</f>
        <v>9.64</v>
      </c>
      <c r="S247" s="50">
        <f>架空层安装工程!$S$48</f>
        <v>2.14</v>
      </c>
      <c r="T247" s="12">
        <f>架空层安装工程!$T$48</f>
        <v>0</v>
      </c>
      <c r="U247" s="10">
        <f t="shared" si="98"/>
        <v>290.747184</v>
      </c>
    </row>
    <row r="248" spans="1:21" s="5" customFormat="1" ht="84" customHeight="1" outlineLevel="3">
      <c r="A248" s="9">
        <v>205</v>
      </c>
      <c r="B248" s="17">
        <v>31001005011</v>
      </c>
      <c r="C248" s="17" t="s">
        <v>102</v>
      </c>
      <c r="D248" s="17" t="s">
        <v>104</v>
      </c>
      <c r="E248" s="9" t="s">
        <v>43</v>
      </c>
      <c r="F248" s="57">
        <v>16.760000000000002</v>
      </c>
      <c r="G248" s="46">
        <f t="shared" si="113"/>
        <v>14.29</v>
      </c>
      <c r="H248" s="47">
        <f t="shared" si="114"/>
        <v>17.763200000000001</v>
      </c>
      <c r="I248" s="47">
        <f t="shared" si="115"/>
        <v>0</v>
      </c>
      <c r="J248" s="47">
        <f t="shared" si="116"/>
        <v>0</v>
      </c>
      <c r="K248" s="47">
        <f t="shared" si="117"/>
        <v>0</v>
      </c>
      <c r="L248" s="47">
        <f t="shared" si="118"/>
        <v>32.053199999999997</v>
      </c>
      <c r="M248" s="47">
        <f t="shared" si="119"/>
        <v>537.21163200000001</v>
      </c>
      <c r="N248" s="8"/>
      <c r="O248" s="10">
        <f t="shared" si="97"/>
        <v>32.053199999999997</v>
      </c>
      <c r="P248" s="48">
        <f>架空层安装工程!$P$49</f>
        <v>14.44</v>
      </c>
      <c r="Q248" s="49">
        <f>架空层安装工程!$Q$49</f>
        <v>0.03</v>
      </c>
      <c r="R248" s="48">
        <f>架空层安装工程!$R$49</f>
        <v>14.29</v>
      </c>
      <c r="S248" s="50">
        <f>架空层安装工程!$S$49</f>
        <v>2.89</v>
      </c>
      <c r="T248" s="12">
        <f>架空层安装工程!$T$49</f>
        <v>0</v>
      </c>
      <c r="U248" s="10">
        <f t="shared" si="98"/>
        <v>537.21163200000001</v>
      </c>
    </row>
    <row r="249" spans="1:21" s="5" customFormat="1" ht="84" customHeight="1" outlineLevel="3">
      <c r="A249" s="9">
        <v>206</v>
      </c>
      <c r="B249" s="17">
        <v>31001005012</v>
      </c>
      <c r="C249" s="17" t="s">
        <v>102</v>
      </c>
      <c r="D249" s="17" t="s">
        <v>105</v>
      </c>
      <c r="E249" s="9" t="s">
        <v>43</v>
      </c>
      <c r="F249" s="57">
        <v>12.74</v>
      </c>
      <c r="G249" s="46">
        <f t="shared" si="113"/>
        <v>19.09</v>
      </c>
      <c r="H249" s="47">
        <f t="shared" si="114"/>
        <v>19.0138</v>
      </c>
      <c r="I249" s="47">
        <f t="shared" si="115"/>
        <v>0</v>
      </c>
      <c r="J249" s="47">
        <f t="shared" si="116"/>
        <v>0</v>
      </c>
      <c r="K249" s="47">
        <f t="shared" si="117"/>
        <v>0</v>
      </c>
      <c r="L249" s="47">
        <f t="shared" si="118"/>
        <v>38.1038</v>
      </c>
      <c r="M249" s="47">
        <f t="shared" si="119"/>
        <v>485.44241199999999</v>
      </c>
      <c r="N249" s="8"/>
      <c r="O249" s="10">
        <f t="shared" si="97"/>
        <v>38.1038</v>
      </c>
      <c r="P249" s="48">
        <f>架空层安装工程!$P$50</f>
        <v>15.46</v>
      </c>
      <c r="Q249" s="49">
        <f>架空层安装工程!$Q$50</f>
        <v>0.03</v>
      </c>
      <c r="R249" s="48">
        <f>架空层安装工程!$R$50</f>
        <v>19.09</v>
      </c>
      <c r="S249" s="50">
        <f>架空层安装工程!$S$50</f>
        <v>3.09</v>
      </c>
      <c r="T249" s="12">
        <f>架空层安装工程!$T$50</f>
        <v>0</v>
      </c>
      <c r="U249" s="10">
        <f t="shared" si="98"/>
        <v>485.44241199999999</v>
      </c>
    </row>
    <row r="250" spans="1:21" s="5" customFormat="1" ht="84" customHeight="1" outlineLevel="3">
      <c r="A250" s="9">
        <v>207</v>
      </c>
      <c r="B250" s="17">
        <v>31001005013</v>
      </c>
      <c r="C250" s="17" t="s">
        <v>102</v>
      </c>
      <c r="D250" s="17" t="s">
        <v>106</v>
      </c>
      <c r="E250" s="9" t="s">
        <v>43</v>
      </c>
      <c r="F250" s="57">
        <v>8.06</v>
      </c>
      <c r="G250" s="46">
        <f t="shared" si="113"/>
        <v>23.89</v>
      </c>
      <c r="H250" s="47">
        <f t="shared" si="114"/>
        <v>26.496200000000002</v>
      </c>
      <c r="I250" s="47">
        <f t="shared" si="115"/>
        <v>0</v>
      </c>
      <c r="J250" s="47">
        <f t="shared" si="116"/>
        <v>0</v>
      </c>
      <c r="K250" s="47">
        <f t="shared" si="117"/>
        <v>0</v>
      </c>
      <c r="L250" s="47">
        <f t="shared" si="118"/>
        <v>50.386200000000002</v>
      </c>
      <c r="M250" s="47">
        <f t="shared" si="119"/>
        <v>406.11277200000001</v>
      </c>
      <c r="N250" s="8"/>
      <c r="O250" s="10">
        <f t="shared" si="97"/>
        <v>50.386200000000002</v>
      </c>
      <c r="P250" s="48">
        <f>架空层安装工程!$P$51</f>
        <v>21.54</v>
      </c>
      <c r="Q250" s="49">
        <f>架空层安装工程!$Q$51</f>
        <v>0.03</v>
      </c>
      <c r="R250" s="48">
        <f>架空层安装工程!$R$51</f>
        <v>23.89</v>
      </c>
      <c r="S250" s="50">
        <f>架空层安装工程!$S$51</f>
        <v>4.3099999999999996</v>
      </c>
      <c r="T250" s="12">
        <f>架空层安装工程!$T$51</f>
        <v>0</v>
      </c>
      <c r="U250" s="10">
        <f t="shared" si="98"/>
        <v>406.11277200000001</v>
      </c>
    </row>
    <row r="251" spans="1:21" s="5" customFormat="1" ht="84" customHeight="1" outlineLevel="3">
      <c r="A251" s="9">
        <v>208</v>
      </c>
      <c r="B251" s="17">
        <v>31001005014</v>
      </c>
      <c r="C251" s="17" t="s">
        <v>102</v>
      </c>
      <c r="D251" s="17" t="s">
        <v>107</v>
      </c>
      <c r="E251" s="9" t="s">
        <v>43</v>
      </c>
      <c r="F251" s="57">
        <v>3.09</v>
      </c>
      <c r="G251" s="46">
        <f t="shared" si="113"/>
        <v>28.7</v>
      </c>
      <c r="H251" s="47">
        <f t="shared" si="114"/>
        <v>35.8339</v>
      </c>
      <c r="I251" s="47">
        <f t="shared" si="115"/>
        <v>0</v>
      </c>
      <c r="J251" s="47">
        <f t="shared" si="116"/>
        <v>0</v>
      </c>
      <c r="K251" s="47">
        <f t="shared" si="117"/>
        <v>0</v>
      </c>
      <c r="L251" s="47">
        <f t="shared" si="118"/>
        <v>64.533900000000003</v>
      </c>
      <c r="M251" s="47">
        <f t="shared" si="119"/>
        <v>199.409751</v>
      </c>
      <c r="N251" s="8"/>
      <c r="O251" s="10">
        <f t="shared" si="97"/>
        <v>64.533900000000003</v>
      </c>
      <c r="P251" s="48">
        <f>架空层安装工程!$P$52</f>
        <v>29.13</v>
      </c>
      <c r="Q251" s="49">
        <f>架空层安装工程!$Q$52</f>
        <v>0.03</v>
      </c>
      <c r="R251" s="48">
        <f>架空层安装工程!$R$52</f>
        <v>28.7</v>
      </c>
      <c r="S251" s="50">
        <f>架空层安装工程!$S$52</f>
        <v>5.83</v>
      </c>
      <c r="T251" s="12">
        <f>架空层安装工程!$T$52</f>
        <v>0</v>
      </c>
      <c r="U251" s="10">
        <f t="shared" si="98"/>
        <v>199.409751</v>
      </c>
    </row>
    <row r="252" spans="1:21" s="5" customFormat="1" ht="84" customHeight="1" outlineLevel="3">
      <c r="A252" s="9">
        <v>209</v>
      </c>
      <c r="B252" s="17">
        <v>31001005015</v>
      </c>
      <c r="C252" s="17" t="s">
        <v>102</v>
      </c>
      <c r="D252" s="17" t="s">
        <v>108</v>
      </c>
      <c r="E252" s="9" t="s">
        <v>43</v>
      </c>
      <c r="F252" s="57">
        <v>5.6</v>
      </c>
      <c r="G252" s="46">
        <f t="shared" si="113"/>
        <v>33.340000000000003</v>
      </c>
      <c r="H252" s="47">
        <f t="shared" si="114"/>
        <v>39.646900000000002</v>
      </c>
      <c r="I252" s="47">
        <f t="shared" si="115"/>
        <v>0</v>
      </c>
      <c r="J252" s="47">
        <f t="shared" si="116"/>
        <v>0</v>
      </c>
      <c r="K252" s="47">
        <f t="shared" si="117"/>
        <v>0</v>
      </c>
      <c r="L252" s="47">
        <f t="shared" si="118"/>
        <v>72.986900000000006</v>
      </c>
      <c r="M252" s="47">
        <f t="shared" si="119"/>
        <v>408.72663999999997</v>
      </c>
      <c r="N252" s="8"/>
      <c r="O252" s="10">
        <f t="shared" si="97"/>
        <v>72.986900000000006</v>
      </c>
      <c r="P252" s="48">
        <f>架空层安装工程!$P$53</f>
        <v>32.229999999999997</v>
      </c>
      <c r="Q252" s="49">
        <f>架空层安装工程!$Q$53</f>
        <v>0.03</v>
      </c>
      <c r="R252" s="48">
        <f>架空层安装工程!$R$53</f>
        <v>33.340000000000003</v>
      </c>
      <c r="S252" s="50">
        <f>架空层安装工程!$S$53</f>
        <v>6.45</v>
      </c>
      <c r="T252" s="12">
        <f>架空层安装工程!$T$53</f>
        <v>0</v>
      </c>
      <c r="U252" s="10">
        <f t="shared" si="98"/>
        <v>408.72663999999997</v>
      </c>
    </row>
    <row r="253" spans="1:21" s="5" customFormat="1" ht="60" customHeight="1" outlineLevel="3">
      <c r="A253" s="9">
        <v>210</v>
      </c>
      <c r="B253" s="17">
        <v>31002001003</v>
      </c>
      <c r="C253" s="17" t="s">
        <v>109</v>
      </c>
      <c r="D253" s="17" t="s">
        <v>110</v>
      </c>
      <c r="E253" s="9" t="s">
        <v>46</v>
      </c>
      <c r="F253" s="57">
        <v>5</v>
      </c>
      <c r="G253" s="46">
        <f t="shared" si="113"/>
        <v>94</v>
      </c>
      <c r="H253" s="47">
        <f t="shared" si="114"/>
        <v>177</v>
      </c>
      <c r="I253" s="47">
        <f t="shared" si="115"/>
        <v>4.7</v>
      </c>
      <c r="J253" s="47">
        <f t="shared" si="116"/>
        <v>0</v>
      </c>
      <c r="K253" s="47">
        <f t="shared" si="117"/>
        <v>0</v>
      </c>
      <c r="L253" s="47">
        <f t="shared" si="118"/>
        <v>275.7</v>
      </c>
      <c r="M253" s="47">
        <f t="shared" si="119"/>
        <v>1378.5</v>
      </c>
      <c r="N253" s="8"/>
      <c r="O253" s="10">
        <f t="shared" si="97"/>
        <v>275.7</v>
      </c>
      <c r="P253" s="48">
        <f>架空层安装工程!$P$54</f>
        <v>118</v>
      </c>
      <c r="Q253" s="49">
        <f>架空层安装工程!$Q$54</f>
        <v>0</v>
      </c>
      <c r="R253" s="48">
        <f>架空层安装工程!$R$54</f>
        <v>94</v>
      </c>
      <c r="S253" s="50">
        <f>架空层安装工程!$S$54</f>
        <v>59</v>
      </c>
      <c r="T253" s="12">
        <f>架空层安装工程!$T$54</f>
        <v>4.7</v>
      </c>
      <c r="U253" s="10">
        <f t="shared" si="98"/>
        <v>1378.5</v>
      </c>
    </row>
    <row r="254" spans="1:21" s="5" customFormat="1" ht="84" customHeight="1" outlineLevel="3">
      <c r="A254" s="9">
        <v>211</v>
      </c>
      <c r="B254" s="17">
        <v>31001008032</v>
      </c>
      <c r="C254" s="17" t="s">
        <v>111</v>
      </c>
      <c r="D254" s="17" t="s">
        <v>260</v>
      </c>
      <c r="E254" s="9" t="s">
        <v>43</v>
      </c>
      <c r="F254" s="57">
        <v>11.99</v>
      </c>
      <c r="G254" s="46">
        <f t="shared" si="113"/>
        <v>18</v>
      </c>
      <c r="H254" s="47">
        <f t="shared" si="114"/>
        <v>4.76</v>
      </c>
      <c r="I254" s="47">
        <f t="shared" si="115"/>
        <v>0.04</v>
      </c>
      <c r="J254" s="47">
        <f t="shared" si="116"/>
        <v>0</v>
      </c>
      <c r="K254" s="47">
        <f t="shared" si="117"/>
        <v>0</v>
      </c>
      <c r="L254" s="47">
        <f t="shared" si="118"/>
        <v>22.8</v>
      </c>
      <c r="M254" s="47">
        <f t="shared" si="119"/>
        <v>273.37200000000001</v>
      </c>
      <c r="N254" s="8"/>
      <c r="O254" s="10">
        <f t="shared" si="97"/>
        <v>22.8</v>
      </c>
      <c r="P254" s="48">
        <f>$P$83</f>
        <v>4.5</v>
      </c>
      <c r="Q254" s="49">
        <f>$Q$83</f>
        <v>0</v>
      </c>
      <c r="R254" s="48">
        <f>$R$83</f>
        <v>18</v>
      </c>
      <c r="S254" s="50">
        <f>$S$83</f>
        <v>0.26</v>
      </c>
      <c r="T254" s="12">
        <f>$T$83</f>
        <v>0.04</v>
      </c>
      <c r="U254" s="10">
        <f t="shared" si="98"/>
        <v>273.37200000000001</v>
      </c>
    </row>
    <row r="255" spans="1:21" s="5" customFormat="1" ht="84" customHeight="1" outlineLevel="3">
      <c r="A255" s="9">
        <v>212</v>
      </c>
      <c r="B255" s="17">
        <v>31001008033</v>
      </c>
      <c r="C255" s="17" t="s">
        <v>111</v>
      </c>
      <c r="D255" s="17" t="s">
        <v>112</v>
      </c>
      <c r="E255" s="9" t="s">
        <v>43</v>
      </c>
      <c r="F255" s="57">
        <v>11.81</v>
      </c>
      <c r="G255" s="46">
        <f t="shared" si="113"/>
        <v>22.09</v>
      </c>
      <c r="H255" s="47">
        <f t="shared" si="114"/>
        <v>8.76</v>
      </c>
      <c r="I255" s="47">
        <f t="shared" si="115"/>
        <v>0.04</v>
      </c>
      <c r="J255" s="47">
        <f t="shared" si="116"/>
        <v>0</v>
      </c>
      <c r="K255" s="47">
        <f t="shared" si="117"/>
        <v>0</v>
      </c>
      <c r="L255" s="47">
        <f t="shared" si="118"/>
        <v>30.89</v>
      </c>
      <c r="M255" s="47">
        <f t="shared" si="119"/>
        <v>364.8109</v>
      </c>
      <c r="N255" s="8"/>
      <c r="O255" s="10">
        <f t="shared" si="97"/>
        <v>30.89</v>
      </c>
      <c r="P255" s="48">
        <f>架空层安装工程!$P$55</f>
        <v>8.5</v>
      </c>
      <c r="Q255" s="49">
        <f>架空层安装工程!$Q$55</f>
        <v>0</v>
      </c>
      <c r="R255" s="48">
        <f>架空层安装工程!$R$55</f>
        <v>22.09</v>
      </c>
      <c r="S255" s="50">
        <f>架空层安装工程!$S$55</f>
        <v>0.26</v>
      </c>
      <c r="T255" s="12">
        <f>架空层安装工程!$T$55</f>
        <v>0.04</v>
      </c>
      <c r="U255" s="10">
        <f t="shared" si="98"/>
        <v>364.8109</v>
      </c>
    </row>
    <row r="256" spans="1:21" s="5" customFormat="1" ht="84" customHeight="1" outlineLevel="3">
      <c r="A256" s="9">
        <v>213</v>
      </c>
      <c r="B256" s="17">
        <v>31001008034</v>
      </c>
      <c r="C256" s="17" t="s">
        <v>111</v>
      </c>
      <c r="D256" s="17" t="s">
        <v>113</v>
      </c>
      <c r="E256" s="9" t="s">
        <v>43</v>
      </c>
      <c r="F256" s="57">
        <v>3.76</v>
      </c>
      <c r="G256" s="46">
        <f t="shared" si="113"/>
        <v>23.68</v>
      </c>
      <c r="H256" s="47">
        <f t="shared" si="114"/>
        <v>11.86</v>
      </c>
      <c r="I256" s="47">
        <f t="shared" si="115"/>
        <v>0.05</v>
      </c>
      <c r="J256" s="47">
        <f t="shared" si="116"/>
        <v>0</v>
      </c>
      <c r="K256" s="47">
        <f t="shared" si="117"/>
        <v>0</v>
      </c>
      <c r="L256" s="47">
        <f t="shared" si="118"/>
        <v>35.590000000000003</v>
      </c>
      <c r="M256" s="47">
        <f t="shared" si="119"/>
        <v>133.8184</v>
      </c>
      <c r="N256" s="8"/>
      <c r="O256" s="10">
        <f t="shared" si="97"/>
        <v>35.590000000000003</v>
      </c>
      <c r="P256" s="48">
        <f>架空层安装工程!$P$56</f>
        <v>11.59</v>
      </c>
      <c r="Q256" s="49">
        <f>架空层安装工程!$Q$56</f>
        <v>0</v>
      </c>
      <c r="R256" s="48">
        <f>架空层安装工程!$R$56</f>
        <v>23.68</v>
      </c>
      <c r="S256" s="50">
        <f>架空层安装工程!$S$56</f>
        <v>0.27</v>
      </c>
      <c r="T256" s="12">
        <f>架空层安装工程!$T$56</f>
        <v>0.05</v>
      </c>
      <c r="U256" s="10">
        <f t="shared" si="98"/>
        <v>133.8184</v>
      </c>
    </row>
    <row r="257" spans="1:32" s="5" customFormat="1" ht="72" customHeight="1" outlineLevel="3">
      <c r="A257" s="9">
        <v>214</v>
      </c>
      <c r="B257" s="17">
        <v>31208002011</v>
      </c>
      <c r="C257" s="17" t="s">
        <v>115</v>
      </c>
      <c r="D257" s="17" t="s">
        <v>116</v>
      </c>
      <c r="E257" s="9" t="s">
        <v>117</v>
      </c>
      <c r="F257" s="57">
        <v>0.13</v>
      </c>
      <c r="G257" s="46">
        <f t="shared" si="113"/>
        <v>120</v>
      </c>
      <c r="H257" s="47">
        <f t="shared" si="114"/>
        <v>410</v>
      </c>
      <c r="I257" s="47">
        <f t="shared" si="115"/>
        <v>5</v>
      </c>
      <c r="J257" s="47">
        <f t="shared" si="116"/>
        <v>0</v>
      </c>
      <c r="K257" s="47">
        <f t="shared" si="117"/>
        <v>0</v>
      </c>
      <c r="L257" s="47">
        <f t="shared" si="118"/>
        <v>535</v>
      </c>
      <c r="M257" s="47">
        <f t="shared" si="119"/>
        <v>69.55</v>
      </c>
      <c r="N257" s="8"/>
      <c r="O257" s="10">
        <f t="shared" si="97"/>
        <v>535</v>
      </c>
      <c r="P257" s="48">
        <f>架空层安装工程!$P$58</f>
        <v>400</v>
      </c>
      <c r="Q257" s="49">
        <f>架空层安装工程!$Q$58</f>
        <v>0</v>
      </c>
      <c r="R257" s="48">
        <f>架空层安装工程!$R$58</f>
        <v>120</v>
      </c>
      <c r="S257" s="50">
        <f>架空层安装工程!$S$58</f>
        <v>10</v>
      </c>
      <c r="T257" s="12">
        <f>架空层安装工程!$T$58</f>
        <v>5</v>
      </c>
      <c r="U257" s="10">
        <f t="shared" si="98"/>
        <v>69.55</v>
      </c>
    </row>
    <row r="258" spans="1:32" s="5" customFormat="1" ht="72" customHeight="1" outlineLevel="3">
      <c r="A258" s="9">
        <v>215</v>
      </c>
      <c r="B258" s="17">
        <v>31208002012</v>
      </c>
      <c r="C258" s="17" t="s">
        <v>115</v>
      </c>
      <c r="D258" s="17" t="s">
        <v>118</v>
      </c>
      <c r="E258" s="9" t="s">
        <v>117</v>
      </c>
      <c r="F258" s="57">
        <v>0.05</v>
      </c>
      <c r="G258" s="46">
        <f t="shared" si="113"/>
        <v>120</v>
      </c>
      <c r="H258" s="47">
        <f t="shared" si="114"/>
        <v>410</v>
      </c>
      <c r="I258" s="47">
        <f t="shared" si="115"/>
        <v>5</v>
      </c>
      <c r="J258" s="47">
        <f t="shared" si="116"/>
        <v>0</v>
      </c>
      <c r="K258" s="47">
        <f t="shared" si="117"/>
        <v>0</v>
      </c>
      <c r="L258" s="47">
        <f t="shared" si="118"/>
        <v>535</v>
      </c>
      <c r="M258" s="47">
        <f t="shared" si="119"/>
        <v>26.75</v>
      </c>
      <c r="N258" s="8"/>
      <c r="O258" s="10">
        <f t="shared" si="97"/>
        <v>535</v>
      </c>
      <c r="P258" s="48">
        <f>架空层安装工程!$P$59</f>
        <v>400</v>
      </c>
      <c r="Q258" s="49">
        <f>架空层安装工程!$Q$59</f>
        <v>0</v>
      </c>
      <c r="R258" s="48">
        <f>架空层安装工程!$R$59</f>
        <v>120</v>
      </c>
      <c r="S258" s="50">
        <f>架空层安装工程!$S$59</f>
        <v>10</v>
      </c>
      <c r="T258" s="12">
        <f>架空层安装工程!$T$59</f>
        <v>5</v>
      </c>
      <c r="U258" s="10">
        <f t="shared" si="98"/>
        <v>26.75</v>
      </c>
    </row>
    <row r="259" spans="1:32" ht="24.95" customHeight="1">
      <c r="A259" s="33"/>
      <c r="B259" s="34" t="s">
        <v>119</v>
      </c>
      <c r="C259" s="34"/>
      <c r="D259" s="34"/>
      <c r="E259" s="35" t="s">
        <v>120</v>
      </c>
      <c r="F259" s="35"/>
      <c r="G259" s="54"/>
      <c r="H259" s="36"/>
      <c r="I259" s="36"/>
      <c r="J259" s="36"/>
      <c r="K259" s="36"/>
      <c r="L259" s="36"/>
      <c r="M259" s="37">
        <f>SUM(M4:M258)</f>
        <v>338133.62052400003</v>
      </c>
      <c r="N259" s="59"/>
      <c r="O259" s="59"/>
      <c r="P259" s="59"/>
      <c r="Q259" s="60"/>
      <c r="R259" s="59"/>
      <c r="S259" s="59"/>
      <c r="T259" s="59"/>
      <c r="U259" s="59"/>
      <c r="V259" s="61"/>
      <c r="W259" s="61"/>
      <c r="X259" s="61"/>
      <c r="Y259" s="61"/>
      <c r="Z259" s="61"/>
      <c r="AA259" s="61"/>
      <c r="AB259" s="61"/>
      <c r="AC259" s="61"/>
      <c r="AD259" s="61"/>
      <c r="AE259" s="61"/>
      <c r="AF259" s="61"/>
    </row>
    <row r="260" spans="1:32" ht="24.95" customHeight="1">
      <c r="A260" s="33"/>
      <c r="B260" s="34" t="s">
        <v>121</v>
      </c>
      <c r="C260" s="34"/>
      <c r="D260" s="34"/>
      <c r="E260" s="35" t="s">
        <v>120</v>
      </c>
      <c r="F260" s="35"/>
      <c r="G260" s="54"/>
      <c r="H260" s="36"/>
      <c r="I260" s="36"/>
      <c r="J260" s="36"/>
      <c r="K260" s="36"/>
      <c r="L260" s="36"/>
      <c r="M260" s="37">
        <f>$M$259*0.09</f>
        <v>30432.025847159999</v>
      </c>
      <c r="N260" s="59"/>
      <c r="O260" s="59"/>
      <c r="P260" s="59"/>
      <c r="Q260" s="60"/>
      <c r="R260" s="59"/>
      <c r="S260" s="59"/>
      <c r="T260" s="59"/>
      <c r="U260" s="59"/>
      <c r="V260" s="61"/>
      <c r="W260" s="61"/>
      <c r="X260" s="61"/>
      <c r="Y260" s="61"/>
      <c r="Z260" s="61"/>
      <c r="AA260" s="61"/>
      <c r="AB260" s="61"/>
      <c r="AC260" s="61"/>
      <c r="AD260" s="61"/>
      <c r="AE260" s="61"/>
      <c r="AF260" s="61"/>
    </row>
    <row r="261" spans="1:32" ht="24.95" customHeight="1">
      <c r="A261" s="33"/>
      <c r="B261" s="34" t="s">
        <v>3</v>
      </c>
      <c r="C261" s="34"/>
      <c r="D261" s="34"/>
      <c r="E261" s="35" t="s">
        <v>120</v>
      </c>
      <c r="F261" s="35"/>
      <c r="G261" s="54"/>
      <c r="H261" s="36"/>
      <c r="I261" s="36"/>
      <c r="J261" s="36"/>
      <c r="K261" s="36"/>
      <c r="L261" s="36"/>
      <c r="M261" s="37">
        <f>$M$259+$M$260</f>
        <v>368565.64637115999</v>
      </c>
      <c r="N261" s="59"/>
      <c r="O261" s="59"/>
      <c r="P261" s="59"/>
      <c r="Q261" s="60"/>
      <c r="R261" s="59"/>
      <c r="S261" s="59"/>
      <c r="T261" s="59"/>
      <c r="U261" s="59"/>
      <c r="V261" s="61"/>
      <c r="W261" s="61"/>
      <c r="X261" s="61"/>
      <c r="Y261" s="61"/>
      <c r="Z261" s="61"/>
      <c r="AA261" s="61"/>
      <c r="AB261" s="61"/>
      <c r="AC261" s="61"/>
      <c r="AD261" s="61"/>
      <c r="AE261" s="61"/>
      <c r="AF261" s="61"/>
    </row>
  </sheetData>
  <autoFilter ref="A2:U261" xr:uid="{00000000-0009-0000-0000-000003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8" orientation="landscape" r:id="rId1"/>
  <headerFooter>
    <oddFooter>&amp;C第 &amp;P 页，共 &amp;N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25"/>
  <sheetViews>
    <sheetView view="pageBreakPreview" zoomScaleNormal="100" workbookViewId="0">
      <pane xSplit="5" ySplit="3" topLeftCell="G17" activePane="bottomRight" state="frozen"/>
      <selection pane="topRight"/>
      <selection pane="bottomLeft"/>
      <selection pane="bottomRight" activeCell="C2" sqref="C2:C3"/>
    </sheetView>
  </sheetViews>
  <sheetFormatPr defaultColWidth="9" defaultRowHeight="12" outlineLevelRow="1"/>
  <cols>
    <col min="1" max="1" width="7.25" style="5" customWidth="1"/>
    <col min="2" max="2" width="12.875" style="5" customWidth="1"/>
    <col min="3" max="3" width="20.875" style="5" customWidth="1"/>
    <col min="4" max="4" width="29.375" style="5" customWidth="1"/>
    <col min="5" max="5" width="6.375" style="5" customWidth="1"/>
    <col min="6" max="6" width="11.75" style="56" customWidth="1"/>
    <col min="7" max="12" width="9" style="5" customWidth="1"/>
    <col min="13" max="13" width="10.875" style="5" customWidth="1"/>
    <col min="14" max="21" width="9" style="5" customWidth="1"/>
    <col min="22" max="22" width="9" style="7" customWidth="1"/>
    <col min="23" max="16384" width="9" style="7"/>
  </cols>
  <sheetData>
    <row r="1" spans="1:21" ht="18.75" customHeight="1">
      <c r="A1" s="98" t="s">
        <v>347</v>
      </c>
      <c r="B1" s="109"/>
      <c r="C1" s="109"/>
      <c r="D1" s="109"/>
      <c r="E1" s="109"/>
      <c r="F1" s="114"/>
      <c r="G1" s="109"/>
      <c r="H1" s="109"/>
      <c r="I1" s="109"/>
      <c r="J1" s="109"/>
      <c r="K1" s="109"/>
      <c r="L1" s="109"/>
      <c r="M1" s="109"/>
      <c r="N1" s="8"/>
      <c r="O1" s="111" t="s">
        <v>16</v>
      </c>
      <c r="P1" s="112"/>
      <c r="Q1" s="112"/>
      <c r="R1" s="112"/>
      <c r="S1" s="112"/>
      <c r="T1" s="112"/>
      <c r="U1" s="113"/>
    </row>
    <row r="2" spans="1:21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0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21" s="5" customForma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0"/>
      <c r="O3" s="16"/>
      <c r="P3" s="16">
        <f>架空层安装工程!$P$3</f>
        <v>1</v>
      </c>
      <c r="Q3" s="16"/>
      <c r="R3" s="16">
        <f>架空层安装工程!$R$3</f>
        <v>1</v>
      </c>
      <c r="S3" s="16">
        <f>架空层安装工程!$S$3</f>
        <v>1</v>
      </c>
      <c r="T3" s="16">
        <f>架空层安装工程!$T$3</f>
        <v>1</v>
      </c>
      <c r="U3" s="16"/>
    </row>
    <row r="4" spans="1:21" s="5" customFormat="1">
      <c r="A4" s="9"/>
      <c r="B4" s="17" t="s">
        <v>2</v>
      </c>
      <c r="C4" s="17"/>
      <c r="D4" s="17"/>
      <c r="E4" s="9"/>
      <c r="F4" s="57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s="5" customFormat="1">
      <c r="A5" s="9"/>
      <c r="B5" s="17"/>
      <c r="C5" s="17" t="s">
        <v>348</v>
      </c>
      <c r="D5" s="17"/>
      <c r="E5" s="9"/>
      <c r="F5" s="57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5" customFormat="1" ht="84" customHeight="1" outlineLevel="1">
      <c r="A6" s="22">
        <v>1</v>
      </c>
      <c r="B6" s="23">
        <v>30413002001</v>
      </c>
      <c r="C6" s="23" t="s">
        <v>349</v>
      </c>
      <c r="D6" s="23" t="s">
        <v>350</v>
      </c>
      <c r="E6" s="22" t="s">
        <v>38</v>
      </c>
      <c r="F6" s="58">
        <v>65</v>
      </c>
      <c r="G6" s="45">
        <f t="shared" ref="G6:G17" si="0">R6*$R$3</f>
        <v>20</v>
      </c>
      <c r="H6" s="26">
        <f t="shared" ref="H6:H17" si="1">P6*(1+Q6)*$P$3+S6*$S$3</f>
        <v>76</v>
      </c>
      <c r="I6" s="26">
        <f t="shared" ref="I6:I17" si="2">T6*$T$3</f>
        <v>0</v>
      </c>
      <c r="J6" s="26">
        <f t="shared" ref="J6:J17" si="3">(G6+H6+I6)*$J$3</f>
        <v>0</v>
      </c>
      <c r="K6" s="26">
        <f t="shared" ref="K6:K17" si="4">(G6+H6+I6+J6)*$K$3</f>
        <v>0</v>
      </c>
      <c r="L6" s="26">
        <f t="shared" ref="L6:L17" si="5">G6+H6+I6+J6+K6</f>
        <v>96</v>
      </c>
      <c r="M6" s="26">
        <f t="shared" ref="M6:M17" si="6">F6*L6</f>
        <v>6240</v>
      </c>
      <c r="N6" s="28"/>
      <c r="O6" s="24">
        <f t="shared" ref="O6:O17" si="7">P6*(1+Q6)+R6+S6+T6</f>
        <v>96</v>
      </c>
      <c r="P6" s="29">
        <v>70</v>
      </c>
      <c r="Q6" s="30">
        <v>0</v>
      </c>
      <c r="R6" s="29">
        <v>20</v>
      </c>
      <c r="S6" s="31">
        <v>6</v>
      </c>
      <c r="T6" s="32">
        <v>0</v>
      </c>
      <c r="U6" s="24">
        <f t="shared" ref="U6:U17" si="8">F6*O6</f>
        <v>6240</v>
      </c>
    </row>
    <row r="7" spans="1:21" s="5" customFormat="1" ht="84" customHeight="1" outlineLevel="1">
      <c r="A7" s="22">
        <v>2</v>
      </c>
      <c r="B7" s="23">
        <v>30413002002</v>
      </c>
      <c r="C7" s="23" t="s">
        <v>351</v>
      </c>
      <c r="D7" s="23" t="s">
        <v>352</v>
      </c>
      <c r="E7" s="22" t="s">
        <v>38</v>
      </c>
      <c r="F7" s="58">
        <v>61</v>
      </c>
      <c r="G7" s="45">
        <f t="shared" si="0"/>
        <v>18</v>
      </c>
      <c r="H7" s="26">
        <f t="shared" si="1"/>
        <v>123.5</v>
      </c>
      <c r="I7" s="26">
        <f t="shared" si="2"/>
        <v>0.5</v>
      </c>
      <c r="J7" s="26">
        <f t="shared" si="3"/>
        <v>0</v>
      </c>
      <c r="K7" s="26">
        <f t="shared" si="4"/>
        <v>0</v>
      </c>
      <c r="L7" s="26">
        <f t="shared" si="5"/>
        <v>142</v>
      </c>
      <c r="M7" s="26">
        <f t="shared" si="6"/>
        <v>8662</v>
      </c>
      <c r="N7" s="28"/>
      <c r="O7" s="24">
        <f t="shared" si="7"/>
        <v>142</v>
      </c>
      <c r="P7" s="29">
        <v>120</v>
      </c>
      <c r="Q7" s="30">
        <v>0</v>
      </c>
      <c r="R7" s="29">
        <v>18</v>
      </c>
      <c r="S7" s="31">
        <v>3.5</v>
      </c>
      <c r="T7" s="32">
        <v>0.5</v>
      </c>
      <c r="U7" s="24">
        <f t="shared" si="8"/>
        <v>8662</v>
      </c>
    </row>
    <row r="8" spans="1:21" s="5" customFormat="1" ht="84" customHeight="1" outlineLevel="1">
      <c r="A8" s="22">
        <v>3</v>
      </c>
      <c r="B8" s="23">
        <v>30413002003</v>
      </c>
      <c r="C8" s="23" t="s">
        <v>353</v>
      </c>
      <c r="D8" s="23" t="s">
        <v>354</v>
      </c>
      <c r="E8" s="22" t="s">
        <v>38</v>
      </c>
      <c r="F8" s="58">
        <v>10</v>
      </c>
      <c r="G8" s="45">
        <f t="shared" si="0"/>
        <v>20</v>
      </c>
      <c r="H8" s="26">
        <f t="shared" si="1"/>
        <v>76</v>
      </c>
      <c r="I8" s="26">
        <f t="shared" si="2"/>
        <v>0</v>
      </c>
      <c r="J8" s="26">
        <f t="shared" si="3"/>
        <v>0</v>
      </c>
      <c r="K8" s="26">
        <f t="shared" si="4"/>
        <v>0</v>
      </c>
      <c r="L8" s="26">
        <f t="shared" si="5"/>
        <v>96</v>
      </c>
      <c r="M8" s="26">
        <f t="shared" si="6"/>
        <v>960</v>
      </c>
      <c r="N8" s="28"/>
      <c r="O8" s="24">
        <f t="shared" si="7"/>
        <v>96</v>
      </c>
      <c r="P8" s="29">
        <v>70</v>
      </c>
      <c r="Q8" s="30">
        <v>0</v>
      </c>
      <c r="R8" s="29">
        <v>20</v>
      </c>
      <c r="S8" s="31">
        <v>6</v>
      </c>
      <c r="T8" s="32">
        <v>0</v>
      </c>
      <c r="U8" s="24">
        <f t="shared" si="8"/>
        <v>960</v>
      </c>
    </row>
    <row r="9" spans="1:21" s="5" customFormat="1" ht="96" customHeight="1" outlineLevel="1">
      <c r="A9" s="22">
        <v>4</v>
      </c>
      <c r="B9" s="23">
        <v>30413002004</v>
      </c>
      <c r="C9" s="23" t="s">
        <v>355</v>
      </c>
      <c r="D9" s="23" t="s">
        <v>356</v>
      </c>
      <c r="E9" s="22" t="s">
        <v>38</v>
      </c>
      <c r="F9" s="58">
        <v>100</v>
      </c>
      <c r="G9" s="45">
        <f t="shared" si="0"/>
        <v>20</v>
      </c>
      <c r="H9" s="26">
        <f t="shared" si="1"/>
        <v>76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96</v>
      </c>
      <c r="M9" s="26">
        <f t="shared" si="6"/>
        <v>9600</v>
      </c>
      <c r="N9" s="28"/>
      <c r="O9" s="24">
        <f t="shared" si="7"/>
        <v>96</v>
      </c>
      <c r="P9" s="29">
        <v>70</v>
      </c>
      <c r="Q9" s="30">
        <v>0</v>
      </c>
      <c r="R9" s="29">
        <v>20</v>
      </c>
      <c r="S9" s="31">
        <v>6</v>
      </c>
      <c r="T9" s="32">
        <v>0</v>
      </c>
      <c r="U9" s="24">
        <f t="shared" si="8"/>
        <v>9600</v>
      </c>
    </row>
    <row r="10" spans="1:21" s="5" customFormat="1" ht="84" customHeight="1" outlineLevel="1">
      <c r="A10" s="9">
        <v>5</v>
      </c>
      <c r="B10" s="17">
        <v>30413002005</v>
      </c>
      <c r="C10" s="17" t="s">
        <v>39</v>
      </c>
      <c r="D10" s="17" t="s">
        <v>40</v>
      </c>
      <c r="E10" s="9" t="s">
        <v>38</v>
      </c>
      <c r="F10" s="57">
        <v>117</v>
      </c>
      <c r="G10" s="46">
        <f t="shared" si="0"/>
        <v>20</v>
      </c>
      <c r="H10" s="47">
        <f t="shared" si="1"/>
        <v>76</v>
      </c>
      <c r="I10" s="47">
        <f t="shared" si="2"/>
        <v>0</v>
      </c>
      <c r="J10" s="47">
        <f t="shared" si="3"/>
        <v>0</v>
      </c>
      <c r="K10" s="47">
        <f t="shared" si="4"/>
        <v>0</v>
      </c>
      <c r="L10" s="47">
        <f t="shared" si="5"/>
        <v>96</v>
      </c>
      <c r="M10" s="47">
        <f t="shared" si="6"/>
        <v>11232</v>
      </c>
      <c r="N10" s="8"/>
      <c r="O10" s="10">
        <f t="shared" si="7"/>
        <v>96</v>
      </c>
      <c r="P10" s="48">
        <f>架空层安装工程!$P$8</f>
        <v>70</v>
      </c>
      <c r="Q10" s="49">
        <f>架空层安装工程!$Q$8</f>
        <v>0</v>
      </c>
      <c r="R10" s="48">
        <f>架空层安装工程!$R$8</f>
        <v>20</v>
      </c>
      <c r="S10" s="50">
        <f>架空层安装工程!$S$8</f>
        <v>6</v>
      </c>
      <c r="T10" s="12">
        <f>架空层安装工程!$T$8</f>
        <v>0</v>
      </c>
      <c r="U10" s="10">
        <f t="shared" si="8"/>
        <v>11232</v>
      </c>
    </row>
    <row r="11" spans="1:21" s="5" customFormat="1" ht="96" customHeight="1" outlineLevel="1">
      <c r="A11" s="22">
        <v>6</v>
      </c>
      <c r="B11" s="23">
        <v>30413002006</v>
      </c>
      <c r="C11" s="23" t="s">
        <v>357</v>
      </c>
      <c r="D11" s="23" t="s">
        <v>358</v>
      </c>
      <c r="E11" s="22" t="s">
        <v>38</v>
      </c>
      <c r="F11" s="58">
        <v>233</v>
      </c>
      <c r="G11" s="45">
        <f t="shared" si="0"/>
        <v>20</v>
      </c>
      <c r="H11" s="26">
        <f t="shared" si="1"/>
        <v>76</v>
      </c>
      <c r="I11" s="26">
        <f t="shared" si="2"/>
        <v>0</v>
      </c>
      <c r="J11" s="26">
        <f t="shared" si="3"/>
        <v>0</v>
      </c>
      <c r="K11" s="26">
        <f t="shared" si="4"/>
        <v>0</v>
      </c>
      <c r="L11" s="26">
        <f t="shared" si="5"/>
        <v>96</v>
      </c>
      <c r="M11" s="26">
        <f t="shared" si="6"/>
        <v>22368</v>
      </c>
      <c r="N11" s="28"/>
      <c r="O11" s="24">
        <f t="shared" si="7"/>
        <v>96</v>
      </c>
      <c r="P11" s="29">
        <v>70</v>
      </c>
      <c r="Q11" s="30">
        <v>0</v>
      </c>
      <c r="R11" s="29">
        <v>20</v>
      </c>
      <c r="S11" s="31">
        <v>6</v>
      </c>
      <c r="T11" s="32">
        <v>0</v>
      </c>
      <c r="U11" s="24">
        <f t="shared" si="8"/>
        <v>22368</v>
      </c>
    </row>
    <row r="12" spans="1:21" s="5" customFormat="1" ht="84" customHeight="1" outlineLevel="1">
      <c r="A12" s="22">
        <v>7</v>
      </c>
      <c r="B12" s="23">
        <v>30413002007</v>
      </c>
      <c r="C12" s="23" t="s">
        <v>41</v>
      </c>
      <c r="D12" s="23" t="s">
        <v>359</v>
      </c>
      <c r="E12" s="22" t="s">
        <v>43</v>
      </c>
      <c r="F12" s="58">
        <v>1471</v>
      </c>
      <c r="G12" s="45">
        <f t="shared" si="0"/>
        <v>12.5</v>
      </c>
      <c r="H12" s="26">
        <f t="shared" si="1"/>
        <v>20.81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33.31</v>
      </c>
      <c r="M12" s="26">
        <f t="shared" si="6"/>
        <v>48999.01</v>
      </c>
      <c r="N12" s="28"/>
      <c r="O12" s="24">
        <f t="shared" si="7"/>
        <v>33.31</v>
      </c>
      <c r="P12" s="29">
        <v>20.399999999999999</v>
      </c>
      <c r="Q12" s="30">
        <v>0</v>
      </c>
      <c r="R12" s="29">
        <v>12.5</v>
      </c>
      <c r="S12" s="31">
        <v>0.41</v>
      </c>
      <c r="T12" s="32">
        <v>0</v>
      </c>
      <c r="U12" s="24">
        <f t="shared" si="8"/>
        <v>48999.01</v>
      </c>
    </row>
    <row r="13" spans="1:21" s="5" customFormat="1" ht="84" customHeight="1" outlineLevel="1">
      <c r="A13" s="9">
        <v>8</v>
      </c>
      <c r="B13" s="17">
        <v>30413009001</v>
      </c>
      <c r="C13" s="17" t="s">
        <v>44</v>
      </c>
      <c r="D13" s="17" t="s">
        <v>45</v>
      </c>
      <c r="E13" s="9" t="s">
        <v>46</v>
      </c>
      <c r="F13" s="57">
        <v>2245</v>
      </c>
      <c r="G13" s="46">
        <f t="shared" si="0"/>
        <v>3</v>
      </c>
      <c r="H13" s="47">
        <f t="shared" si="1"/>
        <v>20.5</v>
      </c>
      <c r="I13" s="47">
        <f t="shared" si="2"/>
        <v>0</v>
      </c>
      <c r="J13" s="47">
        <f t="shared" si="3"/>
        <v>0</v>
      </c>
      <c r="K13" s="47">
        <f t="shared" si="4"/>
        <v>0</v>
      </c>
      <c r="L13" s="47">
        <f t="shared" si="5"/>
        <v>23.5</v>
      </c>
      <c r="M13" s="47">
        <f t="shared" si="6"/>
        <v>52757.5</v>
      </c>
      <c r="N13" s="8"/>
      <c r="O13" s="10">
        <f t="shared" si="7"/>
        <v>23.5</v>
      </c>
      <c r="P13" s="48">
        <f>架空层安装工程!$P$10</f>
        <v>20</v>
      </c>
      <c r="Q13" s="49">
        <f>架空层安装工程!$Q$10</f>
        <v>0</v>
      </c>
      <c r="R13" s="48">
        <f>架空层安装工程!$R$10</f>
        <v>3</v>
      </c>
      <c r="S13" s="50">
        <f>架空层安装工程!$S$10</f>
        <v>0.5</v>
      </c>
      <c r="T13" s="12">
        <f>架空层安装工程!$T$10</f>
        <v>0</v>
      </c>
      <c r="U13" s="10">
        <f t="shared" si="8"/>
        <v>52757.5</v>
      </c>
    </row>
    <row r="14" spans="1:21" s="5" customFormat="1" ht="72" customHeight="1" outlineLevel="1">
      <c r="A14" s="22">
        <v>9</v>
      </c>
      <c r="B14" s="23">
        <v>30413013001</v>
      </c>
      <c r="C14" s="23" t="s">
        <v>54</v>
      </c>
      <c r="D14" s="23" t="s">
        <v>55</v>
      </c>
      <c r="E14" s="22" t="s">
        <v>38</v>
      </c>
      <c r="F14" s="58">
        <v>117</v>
      </c>
      <c r="G14" s="45">
        <f t="shared" si="0"/>
        <v>6.31</v>
      </c>
      <c r="H14" s="26">
        <f t="shared" si="1"/>
        <v>15.74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6">
        <f t="shared" si="5"/>
        <v>22.05</v>
      </c>
      <c r="M14" s="26">
        <f t="shared" si="6"/>
        <v>2579.85</v>
      </c>
      <c r="N14" s="28"/>
      <c r="O14" s="24">
        <f t="shared" si="7"/>
        <v>22.05</v>
      </c>
      <c r="P14" s="29">
        <v>14.62</v>
      </c>
      <c r="Q14" s="30">
        <v>0</v>
      </c>
      <c r="R14" s="29">
        <v>6.31</v>
      </c>
      <c r="S14" s="31">
        <v>1.1200000000000001</v>
      </c>
      <c r="T14" s="32">
        <v>0</v>
      </c>
      <c r="U14" s="24">
        <f t="shared" si="8"/>
        <v>2579.85</v>
      </c>
    </row>
    <row r="15" spans="1:21" s="5" customFormat="1" ht="72" customHeight="1" outlineLevel="1">
      <c r="A15" s="22">
        <v>10</v>
      </c>
      <c r="B15" s="23">
        <v>30413013003</v>
      </c>
      <c r="C15" s="23" t="s">
        <v>54</v>
      </c>
      <c r="D15" s="23" t="s">
        <v>57</v>
      </c>
      <c r="E15" s="22" t="s">
        <v>38</v>
      </c>
      <c r="F15" s="58">
        <v>4</v>
      </c>
      <c r="G15" s="45">
        <f t="shared" si="0"/>
        <v>12</v>
      </c>
      <c r="H15" s="26">
        <f t="shared" si="1"/>
        <v>21.5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33.5</v>
      </c>
      <c r="M15" s="26">
        <f t="shared" si="6"/>
        <v>134</v>
      </c>
      <c r="N15" s="28"/>
      <c r="O15" s="24">
        <f t="shared" si="7"/>
        <v>33.5</v>
      </c>
      <c r="P15" s="29">
        <v>20</v>
      </c>
      <c r="Q15" s="30">
        <v>0</v>
      </c>
      <c r="R15" s="29">
        <v>12</v>
      </c>
      <c r="S15" s="31">
        <v>1.5</v>
      </c>
      <c r="T15" s="32">
        <v>0</v>
      </c>
      <c r="U15" s="24">
        <f t="shared" si="8"/>
        <v>134</v>
      </c>
    </row>
    <row r="16" spans="1:21" s="5" customFormat="1" ht="72" customHeight="1" outlineLevel="1">
      <c r="A16" s="22">
        <v>11</v>
      </c>
      <c r="B16" s="23">
        <v>30413014001</v>
      </c>
      <c r="C16" s="23" t="s">
        <v>58</v>
      </c>
      <c r="D16" s="23" t="s">
        <v>59</v>
      </c>
      <c r="E16" s="22" t="s">
        <v>38</v>
      </c>
      <c r="F16" s="58">
        <v>2</v>
      </c>
      <c r="G16" s="45">
        <f t="shared" si="0"/>
        <v>6.31</v>
      </c>
      <c r="H16" s="26">
        <f t="shared" si="1"/>
        <v>15.74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6">
        <f t="shared" si="5"/>
        <v>22.05</v>
      </c>
      <c r="M16" s="26">
        <f t="shared" si="6"/>
        <v>44.1</v>
      </c>
      <c r="N16" s="28"/>
      <c r="O16" s="24">
        <f t="shared" si="7"/>
        <v>22.05</v>
      </c>
      <c r="P16" s="29">
        <v>14.62</v>
      </c>
      <c r="Q16" s="30">
        <v>0</v>
      </c>
      <c r="R16" s="29">
        <v>6.31</v>
      </c>
      <c r="S16" s="31">
        <v>1.1200000000000001</v>
      </c>
      <c r="T16" s="32">
        <v>0</v>
      </c>
      <c r="U16" s="24">
        <f t="shared" si="8"/>
        <v>44.1</v>
      </c>
    </row>
    <row r="17" spans="1:21" s="5" customFormat="1" ht="72" customHeight="1" outlineLevel="1">
      <c r="A17" s="22">
        <v>12</v>
      </c>
      <c r="B17" s="23">
        <v>30412004001</v>
      </c>
      <c r="C17" s="23" t="s">
        <v>61</v>
      </c>
      <c r="D17" s="23" t="s">
        <v>62</v>
      </c>
      <c r="E17" s="22" t="s">
        <v>43</v>
      </c>
      <c r="F17" s="58">
        <v>11412</v>
      </c>
      <c r="G17" s="45">
        <f t="shared" si="0"/>
        <v>2.2000000000000002</v>
      </c>
      <c r="H17" s="26">
        <f t="shared" si="1"/>
        <v>3.1884000000000001</v>
      </c>
      <c r="I17" s="26">
        <f t="shared" si="2"/>
        <v>0.02</v>
      </c>
      <c r="J17" s="26">
        <f t="shared" si="3"/>
        <v>0</v>
      </c>
      <c r="K17" s="26">
        <f t="shared" si="4"/>
        <v>0</v>
      </c>
      <c r="L17" s="26">
        <f t="shared" si="5"/>
        <v>5.4084000000000003</v>
      </c>
      <c r="M17" s="26">
        <f t="shared" si="6"/>
        <v>61720.660799999998</v>
      </c>
      <c r="N17" s="28"/>
      <c r="O17" s="24">
        <f t="shared" si="7"/>
        <v>5.4084000000000003</v>
      </c>
      <c r="P17" s="29">
        <v>2.92</v>
      </c>
      <c r="Q17" s="30">
        <v>0.02</v>
      </c>
      <c r="R17" s="29">
        <v>2.2000000000000002</v>
      </c>
      <c r="S17" s="31">
        <v>0.21</v>
      </c>
      <c r="T17" s="32">
        <v>0.02</v>
      </c>
      <c r="U17" s="24">
        <f t="shared" si="8"/>
        <v>61720.660799999998</v>
      </c>
    </row>
    <row r="18" spans="1:21" s="5" customFormat="1">
      <c r="A18" s="9"/>
      <c r="B18" s="17"/>
      <c r="C18" s="17" t="s">
        <v>360</v>
      </c>
      <c r="D18" s="17"/>
      <c r="E18" s="9"/>
      <c r="F18" s="57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s="5" customFormat="1" ht="72" customHeight="1" outlineLevel="1">
      <c r="A19" s="22">
        <v>13</v>
      </c>
      <c r="B19" s="23">
        <v>30413002008</v>
      </c>
      <c r="C19" s="23" t="s">
        <v>361</v>
      </c>
      <c r="D19" s="23" t="s">
        <v>362</v>
      </c>
      <c r="E19" s="22" t="s">
        <v>38</v>
      </c>
      <c r="F19" s="58">
        <v>8</v>
      </c>
      <c r="G19" s="45">
        <f>R19*$R$3</f>
        <v>20</v>
      </c>
      <c r="H19" s="26">
        <f>P19*(1+Q19)*$P$3+S19*$S$3</f>
        <v>76</v>
      </c>
      <c r="I19" s="26">
        <f>T19*$T$3</f>
        <v>0</v>
      </c>
      <c r="J19" s="26">
        <f>(G19+H19+I19)*$J$3</f>
        <v>0</v>
      </c>
      <c r="K19" s="26">
        <f>(G19+H19+I19+J19)*$K$3</f>
        <v>0</v>
      </c>
      <c r="L19" s="26">
        <f>G19+H19+I19+J19+K19</f>
        <v>96</v>
      </c>
      <c r="M19" s="26">
        <f>F19*L19</f>
        <v>768</v>
      </c>
      <c r="N19" s="28"/>
      <c r="O19" s="24">
        <f>P19*(1+Q19)+R19+S19+T19</f>
        <v>96</v>
      </c>
      <c r="P19" s="29">
        <v>70</v>
      </c>
      <c r="Q19" s="30">
        <v>0</v>
      </c>
      <c r="R19" s="29">
        <v>20</v>
      </c>
      <c r="S19" s="31">
        <v>6</v>
      </c>
      <c r="T19" s="32">
        <v>0</v>
      </c>
      <c r="U19" s="24">
        <f>F19*O19</f>
        <v>768</v>
      </c>
    </row>
    <row r="20" spans="1:21" s="5" customFormat="1" ht="84" customHeight="1" outlineLevel="1">
      <c r="A20" s="22">
        <v>14</v>
      </c>
      <c r="B20" s="23">
        <v>30413002009</v>
      </c>
      <c r="C20" s="23" t="s">
        <v>363</v>
      </c>
      <c r="D20" s="23" t="s">
        <v>364</v>
      </c>
      <c r="E20" s="22" t="s">
        <v>43</v>
      </c>
      <c r="F20" s="58">
        <v>39.68</v>
      </c>
      <c r="G20" s="45">
        <f>R20*$R$3</f>
        <v>12.5</v>
      </c>
      <c r="H20" s="26">
        <f>P20*(1+Q20)*$P$3+S20*$S$3</f>
        <v>20.81</v>
      </c>
      <c r="I20" s="26">
        <f>T20*$T$3</f>
        <v>0</v>
      </c>
      <c r="J20" s="26">
        <f>(G20+H20+I20)*$J$3</f>
        <v>0</v>
      </c>
      <c r="K20" s="26">
        <f>(G20+H20+I20+J20)*$K$3</f>
        <v>0</v>
      </c>
      <c r="L20" s="26">
        <f>G20+H20+I20+J20+K20</f>
        <v>33.31</v>
      </c>
      <c r="M20" s="26">
        <f>F20*L20</f>
        <v>1321.7408</v>
      </c>
      <c r="N20" s="28"/>
      <c r="O20" s="24">
        <f>P20*(1+Q20)+R20+S20+T20</f>
        <v>33.31</v>
      </c>
      <c r="P20" s="29">
        <v>20.399999999999999</v>
      </c>
      <c r="Q20" s="30">
        <v>0</v>
      </c>
      <c r="R20" s="29">
        <v>12.5</v>
      </c>
      <c r="S20" s="31">
        <v>0.41</v>
      </c>
      <c r="T20" s="32">
        <v>0</v>
      </c>
      <c r="U20" s="24">
        <f>F20*O20</f>
        <v>1321.7408</v>
      </c>
    </row>
    <row r="21" spans="1:21" s="5" customFormat="1" ht="84" customHeight="1" outlineLevel="1">
      <c r="A21" s="9">
        <v>15</v>
      </c>
      <c r="B21" s="17">
        <v>30413009002</v>
      </c>
      <c r="C21" s="17" t="s">
        <v>44</v>
      </c>
      <c r="D21" s="17" t="s">
        <v>45</v>
      </c>
      <c r="E21" s="9" t="s">
        <v>46</v>
      </c>
      <c r="F21" s="57">
        <v>8</v>
      </c>
      <c r="G21" s="46">
        <f>R21*$R$3</f>
        <v>3</v>
      </c>
      <c r="H21" s="47">
        <f>P21*(1+Q21)*$P$3+S21*$S$3</f>
        <v>20.5</v>
      </c>
      <c r="I21" s="47">
        <f>T21*$T$3</f>
        <v>0</v>
      </c>
      <c r="J21" s="47">
        <f>(G21+H21+I21)*$J$3</f>
        <v>0</v>
      </c>
      <c r="K21" s="47">
        <f>(G21+H21+I21+J21)*$K$3</f>
        <v>0</v>
      </c>
      <c r="L21" s="47">
        <f>G21+H21+I21+J21+K21</f>
        <v>23.5</v>
      </c>
      <c r="M21" s="47">
        <f>F21*L21</f>
        <v>188</v>
      </c>
      <c r="N21" s="8"/>
      <c r="O21" s="10">
        <f>P21*(1+Q21)+R21+S21+T21</f>
        <v>23.5</v>
      </c>
      <c r="P21" s="48">
        <f>架空层安装工程!$P$10</f>
        <v>20</v>
      </c>
      <c r="Q21" s="49">
        <f>架空层安装工程!$Q$10</f>
        <v>0</v>
      </c>
      <c r="R21" s="48">
        <f>架空层安装工程!$R$10</f>
        <v>3</v>
      </c>
      <c r="S21" s="50">
        <f>架空层安装工程!$S$10</f>
        <v>0.5</v>
      </c>
      <c r="T21" s="12">
        <f>架空层安装工程!$T$10</f>
        <v>0</v>
      </c>
      <c r="U21" s="10">
        <f>F21*O21</f>
        <v>188</v>
      </c>
    </row>
    <row r="22" spans="1:21" s="5" customFormat="1" ht="72" customHeight="1" outlineLevel="1">
      <c r="A22" s="22">
        <v>16</v>
      </c>
      <c r="B22" s="23">
        <v>30412004002</v>
      </c>
      <c r="C22" s="23" t="s">
        <v>61</v>
      </c>
      <c r="D22" s="23" t="s">
        <v>293</v>
      </c>
      <c r="E22" s="22" t="s">
        <v>43</v>
      </c>
      <c r="F22" s="58">
        <v>240</v>
      </c>
      <c r="G22" s="45">
        <f>R22*$R$3</f>
        <v>2.1</v>
      </c>
      <c r="H22" s="26">
        <f>P22*(1+Q22)*$P$3+S22*$S$3</f>
        <v>3.0354000000000001</v>
      </c>
      <c r="I22" s="26">
        <f>T22*$T$3</f>
        <v>0.02</v>
      </c>
      <c r="J22" s="26">
        <f>(G22+H22+I22)*$J$3</f>
        <v>0</v>
      </c>
      <c r="K22" s="26">
        <f>(G22+H22+I22+J22)*$K$3</f>
        <v>0</v>
      </c>
      <c r="L22" s="26">
        <f>G22+H22+I22+J22+K22</f>
        <v>5.1554000000000002</v>
      </c>
      <c r="M22" s="26">
        <f>F22*L22</f>
        <v>1237.296</v>
      </c>
      <c r="N22" s="28"/>
      <c r="O22" s="24">
        <f>P22*(1+Q22)+R22+S22+T22</f>
        <v>5.1554000000000002</v>
      </c>
      <c r="P22" s="29">
        <v>2.77</v>
      </c>
      <c r="Q22" s="30">
        <v>0.02</v>
      </c>
      <c r="R22" s="29">
        <v>2.1</v>
      </c>
      <c r="S22" s="31">
        <v>0.21</v>
      </c>
      <c r="T22" s="32">
        <v>0.02</v>
      </c>
      <c r="U22" s="24">
        <f>F22*O22</f>
        <v>1237.296</v>
      </c>
    </row>
    <row r="23" spans="1:21" ht="21" customHeight="1">
      <c r="A23" s="33"/>
      <c r="B23" s="34" t="s">
        <v>119</v>
      </c>
      <c r="C23" s="34"/>
      <c r="D23" s="34"/>
      <c r="E23" s="35" t="s">
        <v>120</v>
      </c>
      <c r="F23" s="35"/>
      <c r="G23" s="54"/>
      <c r="H23" s="36"/>
      <c r="I23" s="36"/>
      <c r="J23" s="36"/>
      <c r="K23" s="36"/>
      <c r="L23" s="36"/>
      <c r="M23" s="37">
        <f>SUM(M4:M22)</f>
        <v>228812.15760000001</v>
      </c>
      <c r="N23" s="59"/>
      <c r="O23" s="59"/>
      <c r="P23" s="59"/>
      <c r="Q23" s="60"/>
      <c r="R23" s="59"/>
      <c r="S23" s="59"/>
      <c r="T23" s="59"/>
      <c r="U23" s="59"/>
    </row>
    <row r="24" spans="1:21" ht="21" customHeight="1">
      <c r="A24" s="33"/>
      <c r="B24" s="34" t="s">
        <v>121</v>
      </c>
      <c r="C24" s="34"/>
      <c r="D24" s="34"/>
      <c r="E24" s="35" t="s">
        <v>120</v>
      </c>
      <c r="F24" s="35"/>
      <c r="G24" s="54"/>
      <c r="H24" s="36"/>
      <c r="I24" s="36"/>
      <c r="J24" s="36"/>
      <c r="K24" s="36"/>
      <c r="L24" s="36"/>
      <c r="M24" s="37">
        <f>$M$23*0.09</f>
        <v>20593.094184000001</v>
      </c>
      <c r="N24" s="59"/>
      <c r="O24" s="59"/>
      <c r="P24" s="59"/>
      <c r="Q24" s="60"/>
      <c r="R24" s="59"/>
      <c r="S24" s="59"/>
      <c r="T24" s="59"/>
      <c r="U24" s="59"/>
    </row>
    <row r="25" spans="1:21" ht="21" customHeight="1">
      <c r="A25" s="33"/>
      <c r="B25" s="34" t="s">
        <v>3</v>
      </c>
      <c r="C25" s="34"/>
      <c r="D25" s="34"/>
      <c r="E25" s="35" t="s">
        <v>120</v>
      </c>
      <c r="F25" s="35"/>
      <c r="G25" s="54"/>
      <c r="H25" s="36"/>
      <c r="I25" s="36"/>
      <c r="J25" s="36"/>
      <c r="K25" s="36"/>
      <c r="L25" s="36"/>
      <c r="M25" s="37">
        <f>$M$23+$M$24</f>
        <v>249405.25178399999</v>
      </c>
      <c r="N25" s="59"/>
      <c r="O25" s="59"/>
      <c r="P25" s="59"/>
      <c r="Q25" s="60"/>
      <c r="R25" s="59"/>
      <c r="S25" s="59"/>
      <c r="T25" s="59"/>
      <c r="U25" s="59"/>
    </row>
  </sheetData>
  <autoFilter ref="A2:U25" xr:uid="{00000000-0009-0000-0000-000004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91" orientation="landscape" r:id="rId1"/>
  <headerFooter>
    <oddFooter>&amp;C第 &amp;P 页，共 &amp;N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EV66"/>
  <sheetViews>
    <sheetView view="pageBreakPreview" zoomScaleNormal="100" workbookViewId="0">
      <pane xSplit="5" ySplit="3" topLeftCell="F60" activePane="bottomRight" state="frozen"/>
      <selection pane="topRight"/>
      <selection pane="bottomLeft"/>
      <selection pane="bottomRight" activeCell="C2" sqref="C2:C3"/>
    </sheetView>
  </sheetViews>
  <sheetFormatPr defaultColWidth="9" defaultRowHeight="12" outlineLevelRow="1"/>
  <cols>
    <col min="1" max="1" width="5.125" style="5" customWidth="1"/>
    <col min="2" max="2" width="12.625" style="5" customWidth="1"/>
    <col min="3" max="3" width="17.375" style="5" customWidth="1"/>
    <col min="4" max="4" width="31.125" style="5" customWidth="1"/>
    <col min="5" max="5" width="5.875" style="5" customWidth="1"/>
    <col min="6" max="6" width="9" style="42" customWidth="1"/>
    <col min="7" max="12" width="9" style="5" customWidth="1"/>
    <col min="13" max="13" width="12" style="5" customWidth="1"/>
    <col min="14" max="16376" width="9" style="5" customWidth="1"/>
    <col min="16377" max="16384" width="9" style="7" customWidth="1"/>
  </cols>
  <sheetData>
    <row r="1" spans="1:21" ht="18.75" customHeight="1">
      <c r="A1" s="98" t="s">
        <v>365</v>
      </c>
      <c r="B1" s="109"/>
      <c r="C1" s="109"/>
      <c r="D1" s="109"/>
      <c r="E1" s="109"/>
      <c r="F1" s="115"/>
      <c r="G1" s="109"/>
      <c r="H1" s="109"/>
      <c r="I1" s="109"/>
      <c r="J1" s="109"/>
      <c r="K1" s="109"/>
      <c r="L1" s="109"/>
      <c r="M1" s="109"/>
      <c r="N1" s="8"/>
      <c r="O1" s="111" t="s">
        <v>16</v>
      </c>
      <c r="P1" s="112"/>
      <c r="Q1" s="112"/>
      <c r="R1" s="112"/>
      <c r="S1" s="112"/>
      <c r="T1" s="112"/>
      <c r="U1" s="113"/>
    </row>
    <row r="2" spans="1:21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0"/>
      <c r="O2" s="10" t="s">
        <v>29</v>
      </c>
      <c r="P2" s="12" t="s">
        <v>30</v>
      </c>
      <c r="Q2" s="13" t="s">
        <v>31</v>
      </c>
      <c r="R2" s="12" t="s">
        <v>22</v>
      </c>
      <c r="S2" s="12" t="s">
        <v>32</v>
      </c>
      <c r="T2" s="12" t="s">
        <v>24</v>
      </c>
      <c r="U2" s="10" t="s">
        <v>33</v>
      </c>
    </row>
    <row r="3" spans="1:21" s="5" customForma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0"/>
      <c r="O3" s="16"/>
      <c r="P3" s="16">
        <f>架空层安装工程!$P$3</f>
        <v>1</v>
      </c>
      <c r="Q3" s="16"/>
      <c r="R3" s="16">
        <f>架空层安装工程!$R$3</f>
        <v>1</v>
      </c>
      <c r="S3" s="16">
        <f>架空层安装工程!$S$3</f>
        <v>1</v>
      </c>
      <c r="T3" s="16">
        <f>架空层安装工程!$T$3</f>
        <v>1</v>
      </c>
      <c r="U3" s="16"/>
    </row>
    <row r="4" spans="1:21" s="5" customFormat="1">
      <c r="A4" s="9"/>
      <c r="B4" s="17" t="s">
        <v>2</v>
      </c>
      <c r="C4" s="17"/>
      <c r="D4" s="17"/>
      <c r="E4" s="9"/>
      <c r="F4" s="43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</row>
    <row r="5" spans="1:21" s="5" customFormat="1">
      <c r="A5" s="9"/>
      <c r="B5" s="17"/>
      <c r="C5" s="17" t="s">
        <v>366</v>
      </c>
      <c r="D5" s="17"/>
      <c r="E5" s="9"/>
      <c r="F5" s="43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spans="1:21" s="5" customFormat="1" ht="60" customHeight="1" outlineLevel="1">
      <c r="A6" s="22">
        <v>1</v>
      </c>
      <c r="B6" s="23">
        <v>30413002001</v>
      </c>
      <c r="C6" s="23" t="s">
        <v>36</v>
      </c>
      <c r="D6" s="23" t="s">
        <v>367</v>
      </c>
      <c r="E6" s="22" t="s">
        <v>38</v>
      </c>
      <c r="F6" s="44">
        <v>730.33333333333303</v>
      </c>
      <c r="G6" s="45">
        <f t="shared" ref="G6:G35" si="0">R6*$R$3</f>
        <v>20</v>
      </c>
      <c r="H6" s="26">
        <f t="shared" ref="H6:H35" si="1">P6*(1+Q6)*$P$3+S6*$S$3</f>
        <v>76</v>
      </c>
      <c r="I6" s="26">
        <f t="shared" ref="I6:I35" si="2">T6*$T$3</f>
        <v>0</v>
      </c>
      <c r="J6" s="26">
        <f t="shared" ref="J6:J35" si="3">(G6+H6+I6)*$J$3</f>
        <v>0</v>
      </c>
      <c r="K6" s="26">
        <f t="shared" ref="K6:K35" si="4">(G6+H6+I6+J6)*$K$3</f>
        <v>0</v>
      </c>
      <c r="L6" s="26">
        <f t="shared" ref="L6:L35" si="5">G6+H6+I6+J6+K6</f>
        <v>96</v>
      </c>
      <c r="M6" s="26">
        <f t="shared" ref="M6:M35" si="6">F6*L6</f>
        <v>70112</v>
      </c>
      <c r="N6" s="28"/>
      <c r="O6" s="24">
        <f t="shared" ref="O6:O35" si="7">P6*(1+Q6)+R6+S6+T6</f>
        <v>96</v>
      </c>
      <c r="P6" s="29">
        <v>70</v>
      </c>
      <c r="Q6" s="30">
        <v>0</v>
      </c>
      <c r="R6" s="29">
        <v>20</v>
      </c>
      <c r="S6" s="31">
        <v>6</v>
      </c>
      <c r="T6" s="32">
        <v>0</v>
      </c>
      <c r="U6" s="24">
        <f t="shared" ref="U6:U35" si="8">F6*O6</f>
        <v>70112</v>
      </c>
    </row>
    <row r="7" spans="1:21" s="5" customFormat="1" ht="60" customHeight="1" outlineLevel="1">
      <c r="A7" s="22">
        <v>2</v>
      </c>
      <c r="B7" s="23">
        <v>30413002002</v>
      </c>
      <c r="C7" s="23" t="s">
        <v>368</v>
      </c>
      <c r="D7" s="23" t="s">
        <v>369</v>
      </c>
      <c r="E7" s="22" t="s">
        <v>38</v>
      </c>
      <c r="F7" s="44">
        <v>254</v>
      </c>
      <c r="G7" s="45">
        <f t="shared" si="0"/>
        <v>18</v>
      </c>
      <c r="H7" s="26">
        <f t="shared" si="1"/>
        <v>123.5</v>
      </c>
      <c r="I7" s="26">
        <f t="shared" si="2"/>
        <v>0.5</v>
      </c>
      <c r="J7" s="26">
        <f t="shared" si="3"/>
        <v>0</v>
      </c>
      <c r="K7" s="26">
        <f t="shared" si="4"/>
        <v>0</v>
      </c>
      <c r="L7" s="26">
        <f t="shared" si="5"/>
        <v>142</v>
      </c>
      <c r="M7" s="26">
        <f t="shared" si="6"/>
        <v>36068</v>
      </c>
      <c r="N7" s="28"/>
      <c r="O7" s="24">
        <f t="shared" si="7"/>
        <v>142</v>
      </c>
      <c r="P7" s="29">
        <v>120</v>
      </c>
      <c r="Q7" s="30">
        <v>0</v>
      </c>
      <c r="R7" s="29">
        <v>18</v>
      </c>
      <c r="S7" s="31">
        <v>3.5</v>
      </c>
      <c r="T7" s="32">
        <v>0.5</v>
      </c>
      <c r="U7" s="24">
        <f t="shared" si="8"/>
        <v>36068</v>
      </c>
    </row>
    <row r="8" spans="1:21" s="5" customFormat="1" ht="60" customHeight="1" outlineLevel="1">
      <c r="A8" s="22">
        <v>3</v>
      </c>
      <c r="B8" s="23">
        <v>30413002003</v>
      </c>
      <c r="C8" s="23" t="s">
        <v>370</v>
      </c>
      <c r="D8" s="23" t="s">
        <v>371</v>
      </c>
      <c r="E8" s="22" t="s">
        <v>38</v>
      </c>
      <c r="F8" s="44">
        <v>231</v>
      </c>
      <c r="G8" s="45">
        <f t="shared" si="0"/>
        <v>18</v>
      </c>
      <c r="H8" s="26">
        <f t="shared" si="1"/>
        <v>123.5</v>
      </c>
      <c r="I8" s="26">
        <f t="shared" si="2"/>
        <v>0.5</v>
      </c>
      <c r="J8" s="26">
        <f t="shared" si="3"/>
        <v>0</v>
      </c>
      <c r="K8" s="26">
        <f t="shared" si="4"/>
        <v>0</v>
      </c>
      <c r="L8" s="26">
        <f t="shared" si="5"/>
        <v>142</v>
      </c>
      <c r="M8" s="26">
        <f t="shared" si="6"/>
        <v>32802</v>
      </c>
      <c r="N8" s="28"/>
      <c r="O8" s="24">
        <f t="shared" si="7"/>
        <v>142</v>
      </c>
      <c r="P8" s="29">
        <v>120</v>
      </c>
      <c r="Q8" s="30">
        <v>0</v>
      </c>
      <c r="R8" s="29">
        <v>18</v>
      </c>
      <c r="S8" s="31">
        <v>3.5</v>
      </c>
      <c r="T8" s="32">
        <v>0.5</v>
      </c>
      <c r="U8" s="24">
        <f t="shared" si="8"/>
        <v>32802</v>
      </c>
    </row>
    <row r="9" spans="1:21" s="5" customFormat="1" ht="60" customHeight="1" outlineLevel="1">
      <c r="A9" s="22">
        <v>4</v>
      </c>
      <c r="B9" s="23">
        <v>30413002004</v>
      </c>
      <c r="C9" s="23" t="s">
        <v>372</v>
      </c>
      <c r="D9" s="23" t="s">
        <v>373</v>
      </c>
      <c r="E9" s="22" t="s">
        <v>38</v>
      </c>
      <c r="F9" s="44">
        <v>403.33333333333297</v>
      </c>
      <c r="G9" s="45">
        <f t="shared" si="0"/>
        <v>38</v>
      </c>
      <c r="H9" s="26">
        <f t="shared" si="1"/>
        <v>133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171</v>
      </c>
      <c r="M9" s="26">
        <f t="shared" si="6"/>
        <v>68969.999999999898</v>
      </c>
      <c r="N9" s="28"/>
      <c r="O9" s="24">
        <f t="shared" si="7"/>
        <v>171</v>
      </c>
      <c r="P9" s="29">
        <v>125</v>
      </c>
      <c r="Q9" s="30">
        <v>0</v>
      </c>
      <c r="R9" s="29">
        <v>38</v>
      </c>
      <c r="S9" s="31">
        <v>8</v>
      </c>
      <c r="T9" s="32">
        <v>0</v>
      </c>
      <c r="U9" s="24">
        <f t="shared" si="8"/>
        <v>68969.999999999898</v>
      </c>
    </row>
    <row r="10" spans="1:21" s="5" customFormat="1" ht="60" customHeight="1" outlineLevel="1">
      <c r="A10" s="22">
        <v>5</v>
      </c>
      <c r="B10" s="23">
        <v>30413001001</v>
      </c>
      <c r="C10" s="23" t="s">
        <v>374</v>
      </c>
      <c r="D10" s="23" t="s">
        <v>375</v>
      </c>
      <c r="E10" s="22" t="s">
        <v>38</v>
      </c>
      <c r="F10" s="44">
        <v>185</v>
      </c>
      <c r="G10" s="45">
        <f t="shared" si="0"/>
        <v>10</v>
      </c>
      <c r="H10" s="26">
        <f t="shared" si="1"/>
        <v>62</v>
      </c>
      <c r="I10" s="26">
        <f t="shared" si="2"/>
        <v>0</v>
      </c>
      <c r="J10" s="26">
        <f t="shared" si="3"/>
        <v>0</v>
      </c>
      <c r="K10" s="26">
        <f t="shared" si="4"/>
        <v>0</v>
      </c>
      <c r="L10" s="26">
        <f t="shared" si="5"/>
        <v>72</v>
      </c>
      <c r="M10" s="26">
        <f t="shared" si="6"/>
        <v>13320</v>
      </c>
      <c r="N10" s="28"/>
      <c r="O10" s="24">
        <f t="shared" si="7"/>
        <v>72</v>
      </c>
      <c r="P10" s="29">
        <v>60</v>
      </c>
      <c r="Q10" s="30">
        <v>0</v>
      </c>
      <c r="R10" s="29">
        <v>10</v>
      </c>
      <c r="S10" s="31">
        <v>2</v>
      </c>
      <c r="T10" s="32">
        <v>0</v>
      </c>
      <c r="U10" s="24">
        <f t="shared" si="8"/>
        <v>13320</v>
      </c>
    </row>
    <row r="11" spans="1:21" s="5" customFormat="1" ht="60" customHeight="1" outlineLevel="1">
      <c r="A11" s="22">
        <v>6</v>
      </c>
      <c r="B11" s="23">
        <v>30413001003</v>
      </c>
      <c r="C11" s="23" t="s">
        <v>376</v>
      </c>
      <c r="D11" s="23" t="s">
        <v>377</v>
      </c>
      <c r="E11" s="22" t="s">
        <v>38</v>
      </c>
      <c r="F11" s="44">
        <v>756.33333333333303</v>
      </c>
      <c r="G11" s="45">
        <f t="shared" si="0"/>
        <v>18</v>
      </c>
      <c r="H11" s="26">
        <f t="shared" si="1"/>
        <v>49.5</v>
      </c>
      <c r="I11" s="26">
        <f t="shared" si="2"/>
        <v>0.2</v>
      </c>
      <c r="J11" s="26">
        <f t="shared" si="3"/>
        <v>0</v>
      </c>
      <c r="K11" s="26">
        <f t="shared" si="4"/>
        <v>0</v>
      </c>
      <c r="L11" s="26">
        <f t="shared" si="5"/>
        <v>67.7</v>
      </c>
      <c r="M11" s="26">
        <f t="shared" si="6"/>
        <v>51203.766666666597</v>
      </c>
      <c r="N11" s="28"/>
      <c r="O11" s="24">
        <f t="shared" si="7"/>
        <v>67.7</v>
      </c>
      <c r="P11" s="29">
        <v>48</v>
      </c>
      <c r="Q11" s="30">
        <v>0</v>
      </c>
      <c r="R11" s="29">
        <v>18</v>
      </c>
      <c r="S11" s="31">
        <v>1.5</v>
      </c>
      <c r="T11" s="32">
        <v>0.2</v>
      </c>
      <c r="U11" s="24">
        <f t="shared" si="8"/>
        <v>51203.766666666597</v>
      </c>
    </row>
    <row r="12" spans="1:21" s="5" customFormat="1" ht="60" customHeight="1" outlineLevel="1">
      <c r="A12" s="22">
        <v>7</v>
      </c>
      <c r="B12" s="23">
        <v>30413002005</v>
      </c>
      <c r="C12" s="23" t="s">
        <v>378</v>
      </c>
      <c r="D12" s="23" t="s">
        <v>379</v>
      </c>
      <c r="E12" s="22" t="s">
        <v>43</v>
      </c>
      <c r="F12" s="44">
        <v>230.34</v>
      </c>
      <c r="G12" s="45">
        <f t="shared" si="0"/>
        <v>5</v>
      </c>
      <c r="H12" s="26">
        <f t="shared" si="1"/>
        <v>41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46</v>
      </c>
      <c r="M12" s="26">
        <f t="shared" si="6"/>
        <v>10595.64</v>
      </c>
      <c r="N12" s="28"/>
      <c r="O12" s="24">
        <f t="shared" si="7"/>
        <v>46</v>
      </c>
      <c r="P12" s="29">
        <v>40</v>
      </c>
      <c r="Q12" s="30">
        <v>0</v>
      </c>
      <c r="R12" s="29">
        <v>5</v>
      </c>
      <c r="S12" s="31">
        <v>1</v>
      </c>
      <c r="T12" s="32">
        <v>0</v>
      </c>
      <c r="U12" s="24">
        <f t="shared" si="8"/>
        <v>10595.64</v>
      </c>
    </row>
    <row r="13" spans="1:21" s="5" customFormat="1" ht="60" customHeight="1" outlineLevel="1">
      <c r="A13" s="22">
        <v>8</v>
      </c>
      <c r="B13" s="23">
        <v>30413002006</v>
      </c>
      <c r="C13" s="23" t="s">
        <v>380</v>
      </c>
      <c r="D13" s="23" t="s">
        <v>381</v>
      </c>
      <c r="E13" s="22" t="s">
        <v>43</v>
      </c>
      <c r="F13" s="44">
        <v>818.02333333333297</v>
      </c>
      <c r="G13" s="45">
        <f t="shared" si="0"/>
        <v>12.5</v>
      </c>
      <c r="H13" s="26">
        <f t="shared" si="1"/>
        <v>20.81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33.31</v>
      </c>
      <c r="M13" s="26">
        <f t="shared" si="6"/>
        <v>27248.3572333333</v>
      </c>
      <c r="N13" s="28"/>
      <c r="O13" s="24">
        <f t="shared" si="7"/>
        <v>33.31</v>
      </c>
      <c r="P13" s="29">
        <v>20.399999999999999</v>
      </c>
      <c r="Q13" s="30">
        <v>0</v>
      </c>
      <c r="R13" s="29">
        <v>12.5</v>
      </c>
      <c r="S13" s="31">
        <v>0.41</v>
      </c>
      <c r="T13" s="32">
        <v>0</v>
      </c>
      <c r="U13" s="24">
        <f t="shared" si="8"/>
        <v>27248.3572333333</v>
      </c>
    </row>
    <row r="14" spans="1:21" s="5" customFormat="1" ht="72" customHeight="1" outlineLevel="1">
      <c r="A14" s="9">
        <v>9</v>
      </c>
      <c r="B14" s="17">
        <v>30413009001</v>
      </c>
      <c r="C14" s="17" t="s">
        <v>44</v>
      </c>
      <c r="D14" s="17" t="s">
        <v>45</v>
      </c>
      <c r="E14" s="9" t="s">
        <v>46</v>
      </c>
      <c r="F14" s="43">
        <v>136.333333333333</v>
      </c>
      <c r="G14" s="46">
        <f t="shared" si="0"/>
        <v>3</v>
      </c>
      <c r="H14" s="47">
        <f t="shared" si="1"/>
        <v>20.5</v>
      </c>
      <c r="I14" s="47">
        <f t="shared" si="2"/>
        <v>0</v>
      </c>
      <c r="J14" s="47">
        <f t="shared" si="3"/>
        <v>0</v>
      </c>
      <c r="K14" s="47">
        <f t="shared" si="4"/>
        <v>0</v>
      </c>
      <c r="L14" s="47">
        <f t="shared" si="5"/>
        <v>23.5</v>
      </c>
      <c r="M14" s="47">
        <f t="shared" si="6"/>
        <v>3203.8333333333298</v>
      </c>
      <c r="N14" s="8"/>
      <c r="O14" s="10">
        <f t="shared" si="7"/>
        <v>23.5</v>
      </c>
      <c r="P14" s="48">
        <f>架空层安装工程!$P$10</f>
        <v>20</v>
      </c>
      <c r="Q14" s="49">
        <f>架空层安装工程!$Q$10</f>
        <v>0</v>
      </c>
      <c r="R14" s="48">
        <f>架空层安装工程!$R$10</f>
        <v>3</v>
      </c>
      <c r="S14" s="50">
        <f>架空层安装工程!$S$10</f>
        <v>0.5</v>
      </c>
      <c r="T14" s="12">
        <f>架空层安装工程!$T$10</f>
        <v>0</v>
      </c>
      <c r="U14" s="10">
        <f t="shared" si="8"/>
        <v>3203.8333333333298</v>
      </c>
    </row>
    <row r="15" spans="1:21" s="5" customFormat="1" ht="60" customHeight="1" outlineLevel="1">
      <c r="A15" s="22">
        <v>10</v>
      </c>
      <c r="B15" s="23">
        <v>30405015001</v>
      </c>
      <c r="C15" s="23" t="s">
        <v>382</v>
      </c>
      <c r="D15" s="23" t="s">
        <v>383</v>
      </c>
      <c r="E15" s="22" t="s">
        <v>69</v>
      </c>
      <c r="F15" s="44">
        <v>268</v>
      </c>
      <c r="G15" s="45">
        <f t="shared" si="0"/>
        <v>21</v>
      </c>
      <c r="H15" s="26">
        <f t="shared" si="1"/>
        <v>157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178</v>
      </c>
      <c r="M15" s="26">
        <f t="shared" si="6"/>
        <v>47704</v>
      </c>
      <c r="N15" s="28"/>
      <c r="O15" s="24">
        <f t="shared" si="7"/>
        <v>178</v>
      </c>
      <c r="P15" s="29">
        <v>155</v>
      </c>
      <c r="Q15" s="30">
        <v>0</v>
      </c>
      <c r="R15" s="29">
        <v>21</v>
      </c>
      <c r="S15" s="31">
        <v>2</v>
      </c>
      <c r="T15" s="32">
        <v>0</v>
      </c>
      <c r="U15" s="24">
        <f t="shared" si="8"/>
        <v>47704</v>
      </c>
    </row>
    <row r="16" spans="1:21" s="5" customFormat="1" ht="60" customHeight="1" outlineLevel="1">
      <c r="A16" s="22">
        <v>11</v>
      </c>
      <c r="B16" s="23">
        <v>30413013001</v>
      </c>
      <c r="C16" s="23" t="s">
        <v>54</v>
      </c>
      <c r="D16" s="23" t="s">
        <v>384</v>
      </c>
      <c r="E16" s="22" t="s">
        <v>38</v>
      </c>
      <c r="F16" s="44">
        <v>117.666666666667</v>
      </c>
      <c r="G16" s="45">
        <f t="shared" si="0"/>
        <v>6.31</v>
      </c>
      <c r="H16" s="26">
        <f t="shared" si="1"/>
        <v>15.74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6">
        <f t="shared" si="5"/>
        <v>22.05</v>
      </c>
      <c r="M16" s="26">
        <f t="shared" si="6"/>
        <v>2594.5500000000102</v>
      </c>
      <c r="N16" s="28"/>
      <c r="O16" s="24">
        <f t="shared" si="7"/>
        <v>22.05</v>
      </c>
      <c r="P16" s="29">
        <v>14.62</v>
      </c>
      <c r="Q16" s="30">
        <v>0</v>
      </c>
      <c r="R16" s="29">
        <v>6.31</v>
      </c>
      <c r="S16" s="31">
        <v>1.1200000000000001</v>
      </c>
      <c r="T16" s="32">
        <v>0</v>
      </c>
      <c r="U16" s="24">
        <f t="shared" si="8"/>
        <v>2594.5500000000102</v>
      </c>
    </row>
    <row r="17" spans="1:21" s="5" customFormat="1" ht="60" customHeight="1" outlineLevel="1">
      <c r="A17" s="9">
        <v>12</v>
      </c>
      <c r="B17" s="17">
        <v>30413013002</v>
      </c>
      <c r="C17" s="17" t="s">
        <v>54</v>
      </c>
      <c r="D17" s="17" t="s">
        <v>55</v>
      </c>
      <c r="E17" s="9" t="s">
        <v>38</v>
      </c>
      <c r="F17" s="43">
        <v>386</v>
      </c>
      <c r="G17" s="46">
        <f t="shared" si="0"/>
        <v>6.31</v>
      </c>
      <c r="H17" s="47">
        <f t="shared" si="1"/>
        <v>15.74</v>
      </c>
      <c r="I17" s="47">
        <f t="shared" si="2"/>
        <v>0</v>
      </c>
      <c r="J17" s="47">
        <f t="shared" si="3"/>
        <v>0</v>
      </c>
      <c r="K17" s="47">
        <f t="shared" si="4"/>
        <v>0</v>
      </c>
      <c r="L17" s="47">
        <f t="shared" si="5"/>
        <v>22.05</v>
      </c>
      <c r="M17" s="47">
        <f t="shared" si="6"/>
        <v>8511.2999999999993</v>
      </c>
      <c r="N17" s="8"/>
      <c r="O17" s="10">
        <f t="shared" si="7"/>
        <v>22.05</v>
      </c>
      <c r="P17" s="48">
        <f>公共区域安装工程!$P$14</f>
        <v>14.62</v>
      </c>
      <c r="Q17" s="49">
        <f>公共区域安装工程!$Q$14</f>
        <v>0</v>
      </c>
      <c r="R17" s="48">
        <f>公共区域安装工程!$R$14</f>
        <v>6.31</v>
      </c>
      <c r="S17" s="50">
        <f>公共区域安装工程!$S$14</f>
        <v>1.1200000000000001</v>
      </c>
      <c r="T17" s="12">
        <f>公共区域安装工程!$T$14</f>
        <v>0</v>
      </c>
      <c r="U17" s="10">
        <f t="shared" si="8"/>
        <v>8511.2999999999993</v>
      </c>
    </row>
    <row r="18" spans="1:21" s="5" customFormat="1" ht="60" customHeight="1" outlineLevel="1">
      <c r="A18" s="9">
        <v>13</v>
      </c>
      <c r="B18" s="17">
        <v>30413013003</v>
      </c>
      <c r="C18" s="17" t="s">
        <v>54</v>
      </c>
      <c r="D18" s="17" t="s">
        <v>56</v>
      </c>
      <c r="E18" s="9" t="s">
        <v>38</v>
      </c>
      <c r="F18" s="43">
        <v>234</v>
      </c>
      <c r="G18" s="46">
        <f t="shared" si="0"/>
        <v>10</v>
      </c>
      <c r="H18" s="47">
        <f t="shared" si="1"/>
        <v>19.5</v>
      </c>
      <c r="I18" s="47">
        <f t="shared" si="2"/>
        <v>0</v>
      </c>
      <c r="J18" s="47">
        <f t="shared" si="3"/>
        <v>0</v>
      </c>
      <c r="K18" s="47">
        <f t="shared" si="4"/>
        <v>0</v>
      </c>
      <c r="L18" s="47">
        <f t="shared" si="5"/>
        <v>29.5</v>
      </c>
      <c r="M18" s="47">
        <f t="shared" si="6"/>
        <v>6903</v>
      </c>
      <c r="N18" s="8"/>
      <c r="O18" s="10">
        <f t="shared" si="7"/>
        <v>29.5</v>
      </c>
      <c r="P18" s="48">
        <f>架空层安装工程!$P$16</f>
        <v>18</v>
      </c>
      <c r="Q18" s="49">
        <f>架空层安装工程!$Q$16</f>
        <v>0</v>
      </c>
      <c r="R18" s="48">
        <f>架空层安装工程!$R$16</f>
        <v>10</v>
      </c>
      <c r="S18" s="50">
        <f>架空层安装工程!$S$16</f>
        <v>1.5</v>
      </c>
      <c r="T18" s="12">
        <f>架空层安装工程!$T$16</f>
        <v>0</v>
      </c>
      <c r="U18" s="10">
        <f t="shared" si="8"/>
        <v>6903</v>
      </c>
    </row>
    <row r="19" spans="1:21" s="5" customFormat="1" ht="60" customHeight="1" outlineLevel="1">
      <c r="A19" s="9">
        <v>14</v>
      </c>
      <c r="B19" s="17">
        <v>30413013004</v>
      </c>
      <c r="C19" s="17" t="s">
        <v>54</v>
      </c>
      <c r="D19" s="17" t="s">
        <v>57</v>
      </c>
      <c r="E19" s="9" t="s">
        <v>38</v>
      </c>
      <c r="F19" s="43">
        <v>100.333333333333</v>
      </c>
      <c r="G19" s="46">
        <f t="shared" si="0"/>
        <v>12</v>
      </c>
      <c r="H19" s="47">
        <f t="shared" si="1"/>
        <v>21.5</v>
      </c>
      <c r="I19" s="47">
        <f t="shared" si="2"/>
        <v>0</v>
      </c>
      <c r="J19" s="47">
        <f t="shared" si="3"/>
        <v>0</v>
      </c>
      <c r="K19" s="47">
        <f t="shared" si="4"/>
        <v>0</v>
      </c>
      <c r="L19" s="47">
        <f t="shared" si="5"/>
        <v>33.5</v>
      </c>
      <c r="M19" s="47">
        <f t="shared" si="6"/>
        <v>3361.1666666666601</v>
      </c>
      <c r="N19" s="8"/>
      <c r="O19" s="10">
        <f t="shared" si="7"/>
        <v>33.5</v>
      </c>
      <c r="P19" s="48">
        <f>公共区域安装工程!$P$15</f>
        <v>20</v>
      </c>
      <c r="Q19" s="49">
        <f>公共区域安装工程!$Q$15</f>
        <v>0</v>
      </c>
      <c r="R19" s="48">
        <f>公共区域安装工程!$R$15</f>
        <v>12</v>
      </c>
      <c r="S19" s="50">
        <f>公共区域安装工程!$S$15</f>
        <v>1.5</v>
      </c>
      <c r="T19" s="12">
        <f>公共区域安装工程!$T$15</f>
        <v>0</v>
      </c>
      <c r="U19" s="10">
        <f t="shared" si="8"/>
        <v>3361.1666666666601</v>
      </c>
    </row>
    <row r="20" spans="1:21" s="5" customFormat="1" ht="60" customHeight="1" outlineLevel="1">
      <c r="A20" s="22">
        <v>15</v>
      </c>
      <c r="B20" s="23">
        <v>30413013005</v>
      </c>
      <c r="C20" s="23" t="s">
        <v>54</v>
      </c>
      <c r="D20" s="23" t="s">
        <v>341</v>
      </c>
      <c r="E20" s="22" t="s">
        <v>38</v>
      </c>
      <c r="F20" s="44">
        <v>708.66666666666697</v>
      </c>
      <c r="G20" s="45">
        <f t="shared" si="0"/>
        <v>6.31</v>
      </c>
      <c r="H20" s="26">
        <f t="shared" si="1"/>
        <v>15.74</v>
      </c>
      <c r="I20" s="26">
        <f t="shared" si="2"/>
        <v>0</v>
      </c>
      <c r="J20" s="26">
        <f t="shared" si="3"/>
        <v>0</v>
      </c>
      <c r="K20" s="26">
        <f t="shared" si="4"/>
        <v>0</v>
      </c>
      <c r="L20" s="26">
        <f t="shared" si="5"/>
        <v>22.05</v>
      </c>
      <c r="M20" s="26">
        <f t="shared" si="6"/>
        <v>15626.1</v>
      </c>
      <c r="N20" s="28"/>
      <c r="O20" s="24">
        <f t="shared" si="7"/>
        <v>22.05</v>
      </c>
      <c r="P20" s="29">
        <v>14.62</v>
      </c>
      <c r="Q20" s="30">
        <v>0</v>
      </c>
      <c r="R20" s="29">
        <v>6.31</v>
      </c>
      <c r="S20" s="31">
        <v>1.1200000000000001</v>
      </c>
      <c r="T20" s="32">
        <v>0</v>
      </c>
      <c r="U20" s="24">
        <f t="shared" si="8"/>
        <v>15626.1</v>
      </c>
    </row>
    <row r="21" spans="1:21" s="5" customFormat="1" ht="60" customHeight="1" outlineLevel="1">
      <c r="A21" s="22">
        <v>16</v>
      </c>
      <c r="B21" s="23">
        <v>30413013006</v>
      </c>
      <c r="C21" s="23" t="s">
        <v>54</v>
      </c>
      <c r="D21" s="23" t="s">
        <v>288</v>
      </c>
      <c r="E21" s="22" t="s">
        <v>38</v>
      </c>
      <c r="F21" s="44">
        <v>463.66666666666703</v>
      </c>
      <c r="G21" s="45">
        <f t="shared" si="0"/>
        <v>10</v>
      </c>
      <c r="H21" s="26">
        <f t="shared" si="1"/>
        <v>19.5</v>
      </c>
      <c r="I21" s="26">
        <f t="shared" si="2"/>
        <v>0</v>
      </c>
      <c r="J21" s="26">
        <f t="shared" si="3"/>
        <v>0</v>
      </c>
      <c r="K21" s="26">
        <f t="shared" si="4"/>
        <v>0</v>
      </c>
      <c r="L21" s="26">
        <f t="shared" si="5"/>
        <v>29.5</v>
      </c>
      <c r="M21" s="26">
        <f t="shared" si="6"/>
        <v>13678.166666666701</v>
      </c>
      <c r="N21" s="28"/>
      <c r="O21" s="24">
        <f t="shared" si="7"/>
        <v>29.5</v>
      </c>
      <c r="P21" s="29">
        <v>18</v>
      </c>
      <c r="Q21" s="30">
        <v>0</v>
      </c>
      <c r="R21" s="29">
        <v>10</v>
      </c>
      <c r="S21" s="31">
        <v>1.5</v>
      </c>
      <c r="T21" s="32">
        <v>0</v>
      </c>
      <c r="U21" s="24">
        <f t="shared" si="8"/>
        <v>13678.166666666701</v>
      </c>
    </row>
    <row r="22" spans="1:21" s="5" customFormat="1" ht="60" customHeight="1" outlineLevel="1">
      <c r="A22" s="22">
        <v>17</v>
      </c>
      <c r="B22" s="23">
        <v>30413013007</v>
      </c>
      <c r="C22" s="23" t="s">
        <v>54</v>
      </c>
      <c r="D22" s="23" t="s">
        <v>289</v>
      </c>
      <c r="E22" s="22" t="s">
        <v>38</v>
      </c>
      <c r="F22" s="44">
        <v>169.333333333333</v>
      </c>
      <c r="G22" s="45">
        <f t="shared" si="0"/>
        <v>12</v>
      </c>
      <c r="H22" s="26">
        <f t="shared" si="1"/>
        <v>21.5</v>
      </c>
      <c r="I22" s="26">
        <f t="shared" si="2"/>
        <v>0</v>
      </c>
      <c r="J22" s="26">
        <f t="shared" si="3"/>
        <v>0</v>
      </c>
      <c r="K22" s="26">
        <f t="shared" si="4"/>
        <v>0</v>
      </c>
      <c r="L22" s="26">
        <f t="shared" si="5"/>
        <v>33.5</v>
      </c>
      <c r="M22" s="26">
        <f t="shared" si="6"/>
        <v>5672.6666666666597</v>
      </c>
      <c r="N22" s="28"/>
      <c r="O22" s="24">
        <f t="shared" si="7"/>
        <v>33.5</v>
      </c>
      <c r="P22" s="29">
        <v>20</v>
      </c>
      <c r="Q22" s="30">
        <v>0</v>
      </c>
      <c r="R22" s="29">
        <v>12</v>
      </c>
      <c r="S22" s="31">
        <v>1.5</v>
      </c>
      <c r="T22" s="32">
        <v>0</v>
      </c>
      <c r="U22" s="24">
        <f t="shared" si="8"/>
        <v>5672.6666666666597</v>
      </c>
    </row>
    <row r="23" spans="1:21" s="5" customFormat="1" ht="60" customHeight="1" outlineLevel="1">
      <c r="A23" s="9">
        <v>18</v>
      </c>
      <c r="B23" s="17">
        <v>30413014001</v>
      </c>
      <c r="C23" s="17" t="s">
        <v>58</v>
      </c>
      <c r="D23" s="17" t="s">
        <v>59</v>
      </c>
      <c r="E23" s="9" t="s">
        <v>38</v>
      </c>
      <c r="F23" s="43">
        <v>2499</v>
      </c>
      <c r="G23" s="46">
        <f t="shared" si="0"/>
        <v>6.31</v>
      </c>
      <c r="H23" s="47">
        <f t="shared" si="1"/>
        <v>15.74</v>
      </c>
      <c r="I23" s="47">
        <f t="shared" si="2"/>
        <v>0</v>
      </c>
      <c r="J23" s="47">
        <f t="shared" si="3"/>
        <v>0</v>
      </c>
      <c r="K23" s="47">
        <f t="shared" si="4"/>
        <v>0</v>
      </c>
      <c r="L23" s="47">
        <f t="shared" si="5"/>
        <v>22.05</v>
      </c>
      <c r="M23" s="47">
        <f t="shared" si="6"/>
        <v>55102.95</v>
      </c>
      <c r="N23" s="8"/>
      <c r="O23" s="10">
        <f t="shared" si="7"/>
        <v>22.05</v>
      </c>
      <c r="P23" s="48">
        <f>公共区域安装工程!$P$16</f>
        <v>14.62</v>
      </c>
      <c r="Q23" s="49">
        <f>公共区域安装工程!$Q$16</f>
        <v>0</v>
      </c>
      <c r="R23" s="48">
        <f>公共区域安装工程!$R$16</f>
        <v>6.31</v>
      </c>
      <c r="S23" s="50">
        <f>公共区域安装工程!$S$16</f>
        <v>1.1200000000000001</v>
      </c>
      <c r="T23" s="12">
        <f>公共区域安装工程!$T$16</f>
        <v>0</v>
      </c>
      <c r="U23" s="10">
        <f t="shared" si="8"/>
        <v>55102.95</v>
      </c>
    </row>
    <row r="24" spans="1:21" s="5" customFormat="1" ht="60" customHeight="1" outlineLevel="1">
      <c r="A24" s="22">
        <v>19</v>
      </c>
      <c r="B24" s="23">
        <v>30413014002</v>
      </c>
      <c r="C24" s="23" t="s">
        <v>58</v>
      </c>
      <c r="D24" s="23" t="s">
        <v>385</v>
      </c>
      <c r="E24" s="22" t="s">
        <v>38</v>
      </c>
      <c r="F24" s="44">
        <v>871</v>
      </c>
      <c r="G24" s="45">
        <f t="shared" si="0"/>
        <v>6.31</v>
      </c>
      <c r="H24" s="26">
        <f t="shared" si="1"/>
        <v>15.74</v>
      </c>
      <c r="I24" s="26">
        <f t="shared" si="2"/>
        <v>0</v>
      </c>
      <c r="J24" s="26">
        <f t="shared" si="3"/>
        <v>0</v>
      </c>
      <c r="K24" s="26">
        <f t="shared" si="4"/>
        <v>0</v>
      </c>
      <c r="L24" s="26">
        <f t="shared" si="5"/>
        <v>22.05</v>
      </c>
      <c r="M24" s="26">
        <f t="shared" si="6"/>
        <v>19205.55</v>
      </c>
      <c r="N24" s="28"/>
      <c r="O24" s="24">
        <f t="shared" si="7"/>
        <v>22.05</v>
      </c>
      <c r="P24" s="29">
        <v>14.62</v>
      </c>
      <c r="Q24" s="30">
        <v>0</v>
      </c>
      <c r="R24" s="29">
        <v>6.31</v>
      </c>
      <c r="S24" s="31">
        <v>1.1200000000000001</v>
      </c>
      <c r="T24" s="32">
        <v>0</v>
      </c>
      <c r="U24" s="24">
        <f t="shared" si="8"/>
        <v>19205.55</v>
      </c>
    </row>
    <row r="25" spans="1:21" s="5" customFormat="1" ht="60" customHeight="1" outlineLevel="1">
      <c r="A25" s="22">
        <v>20</v>
      </c>
      <c r="B25" s="23">
        <v>30413014003</v>
      </c>
      <c r="C25" s="23" t="s">
        <v>58</v>
      </c>
      <c r="D25" s="23" t="s">
        <v>173</v>
      </c>
      <c r="E25" s="22" t="s">
        <v>38</v>
      </c>
      <c r="F25" s="44">
        <v>235.333333333333</v>
      </c>
      <c r="G25" s="45">
        <f t="shared" si="0"/>
        <v>6.31</v>
      </c>
      <c r="H25" s="26">
        <f t="shared" si="1"/>
        <v>15.74</v>
      </c>
      <c r="I25" s="26">
        <f t="shared" si="2"/>
        <v>0</v>
      </c>
      <c r="J25" s="26">
        <f t="shared" si="3"/>
        <v>0</v>
      </c>
      <c r="K25" s="26">
        <f t="shared" si="4"/>
        <v>0</v>
      </c>
      <c r="L25" s="26">
        <f t="shared" si="5"/>
        <v>22.05</v>
      </c>
      <c r="M25" s="26">
        <f t="shared" si="6"/>
        <v>5189.0999999999904</v>
      </c>
      <c r="N25" s="28"/>
      <c r="O25" s="24">
        <f t="shared" si="7"/>
        <v>22.05</v>
      </c>
      <c r="P25" s="29">
        <v>14.62</v>
      </c>
      <c r="Q25" s="30">
        <v>0</v>
      </c>
      <c r="R25" s="29">
        <v>6.31</v>
      </c>
      <c r="S25" s="31">
        <v>1.1200000000000001</v>
      </c>
      <c r="T25" s="32">
        <v>0</v>
      </c>
      <c r="U25" s="24">
        <f t="shared" si="8"/>
        <v>5189.0999999999904</v>
      </c>
    </row>
    <row r="26" spans="1:21" s="5" customFormat="1" ht="60" customHeight="1" outlineLevel="1">
      <c r="A26" s="22">
        <v>21</v>
      </c>
      <c r="B26" s="23">
        <v>30413014004</v>
      </c>
      <c r="C26" s="23" t="s">
        <v>58</v>
      </c>
      <c r="D26" s="23" t="s">
        <v>386</v>
      </c>
      <c r="E26" s="22" t="s">
        <v>38</v>
      </c>
      <c r="F26" s="44">
        <v>200.333333333333</v>
      </c>
      <c r="G26" s="45">
        <f t="shared" si="0"/>
        <v>6.31</v>
      </c>
      <c r="H26" s="26">
        <f t="shared" si="1"/>
        <v>15.74</v>
      </c>
      <c r="I26" s="26">
        <f t="shared" si="2"/>
        <v>0</v>
      </c>
      <c r="J26" s="26">
        <f t="shared" si="3"/>
        <v>0</v>
      </c>
      <c r="K26" s="26">
        <f t="shared" si="4"/>
        <v>0</v>
      </c>
      <c r="L26" s="26">
        <f t="shared" si="5"/>
        <v>22.05</v>
      </c>
      <c r="M26" s="26">
        <f t="shared" si="6"/>
        <v>4417.3499999999904</v>
      </c>
      <c r="N26" s="28"/>
      <c r="O26" s="24">
        <f t="shared" si="7"/>
        <v>22.05</v>
      </c>
      <c r="P26" s="29">
        <v>14.62</v>
      </c>
      <c r="Q26" s="30">
        <v>0</v>
      </c>
      <c r="R26" s="29">
        <v>6.31</v>
      </c>
      <c r="S26" s="31">
        <v>1.1200000000000001</v>
      </c>
      <c r="T26" s="32">
        <v>0</v>
      </c>
      <c r="U26" s="24">
        <f t="shared" si="8"/>
        <v>4417.3499999999904</v>
      </c>
    </row>
    <row r="27" spans="1:21" s="5" customFormat="1" ht="60" customHeight="1" outlineLevel="1">
      <c r="A27" s="22">
        <v>22</v>
      </c>
      <c r="B27" s="23">
        <v>30413014005</v>
      </c>
      <c r="C27" s="23" t="s">
        <v>58</v>
      </c>
      <c r="D27" s="23" t="s">
        <v>171</v>
      </c>
      <c r="E27" s="22" t="s">
        <v>38</v>
      </c>
      <c r="F27" s="44">
        <v>691.66666666666697</v>
      </c>
      <c r="G27" s="45">
        <f t="shared" si="0"/>
        <v>6.31</v>
      </c>
      <c r="H27" s="26">
        <f t="shared" si="1"/>
        <v>15.74</v>
      </c>
      <c r="I27" s="26">
        <f t="shared" si="2"/>
        <v>0</v>
      </c>
      <c r="J27" s="26">
        <f t="shared" si="3"/>
        <v>0</v>
      </c>
      <c r="K27" s="26">
        <f t="shared" si="4"/>
        <v>0</v>
      </c>
      <c r="L27" s="26">
        <f t="shared" si="5"/>
        <v>22.05</v>
      </c>
      <c r="M27" s="26">
        <f t="shared" si="6"/>
        <v>15251.25</v>
      </c>
      <c r="N27" s="28"/>
      <c r="O27" s="24">
        <f t="shared" si="7"/>
        <v>22.05</v>
      </c>
      <c r="P27" s="29">
        <v>14.62</v>
      </c>
      <c r="Q27" s="30">
        <v>0</v>
      </c>
      <c r="R27" s="29">
        <v>6.31</v>
      </c>
      <c r="S27" s="31">
        <v>1.1200000000000001</v>
      </c>
      <c r="T27" s="32">
        <v>0</v>
      </c>
      <c r="U27" s="24">
        <f t="shared" si="8"/>
        <v>15251.25</v>
      </c>
    </row>
    <row r="28" spans="1:21" s="5" customFormat="1" ht="60" customHeight="1" outlineLevel="1">
      <c r="A28" s="22">
        <v>23</v>
      </c>
      <c r="B28" s="23">
        <v>30413014006</v>
      </c>
      <c r="C28" s="23" t="s">
        <v>58</v>
      </c>
      <c r="D28" s="23" t="s">
        <v>387</v>
      </c>
      <c r="E28" s="22" t="s">
        <v>38</v>
      </c>
      <c r="F28" s="44">
        <v>2.6666666666666701</v>
      </c>
      <c r="G28" s="45">
        <f t="shared" si="0"/>
        <v>6.31</v>
      </c>
      <c r="H28" s="26">
        <f t="shared" si="1"/>
        <v>15.74</v>
      </c>
      <c r="I28" s="26">
        <f t="shared" si="2"/>
        <v>0</v>
      </c>
      <c r="J28" s="26">
        <f t="shared" si="3"/>
        <v>0</v>
      </c>
      <c r="K28" s="26">
        <f t="shared" si="4"/>
        <v>0</v>
      </c>
      <c r="L28" s="26">
        <f t="shared" si="5"/>
        <v>22.05</v>
      </c>
      <c r="M28" s="26">
        <f t="shared" si="6"/>
        <v>58.800000000000097</v>
      </c>
      <c r="N28" s="28"/>
      <c r="O28" s="24">
        <f t="shared" si="7"/>
        <v>22.05</v>
      </c>
      <c r="P28" s="29">
        <v>14.62</v>
      </c>
      <c r="Q28" s="30">
        <v>0</v>
      </c>
      <c r="R28" s="29">
        <v>6.31</v>
      </c>
      <c r="S28" s="31">
        <v>1.1200000000000001</v>
      </c>
      <c r="T28" s="32">
        <v>0</v>
      </c>
      <c r="U28" s="24">
        <f t="shared" si="8"/>
        <v>58.800000000000097</v>
      </c>
    </row>
    <row r="29" spans="1:21" s="5" customFormat="1" ht="60" customHeight="1" outlineLevel="1">
      <c r="A29" s="22">
        <v>24</v>
      </c>
      <c r="B29" s="23">
        <v>30413014007</v>
      </c>
      <c r="C29" s="23" t="s">
        <v>58</v>
      </c>
      <c r="D29" s="23" t="s">
        <v>388</v>
      </c>
      <c r="E29" s="22" t="s">
        <v>38</v>
      </c>
      <c r="F29" s="44">
        <v>117.666666666667</v>
      </c>
      <c r="G29" s="45">
        <f t="shared" si="0"/>
        <v>6.31</v>
      </c>
      <c r="H29" s="26">
        <f t="shared" si="1"/>
        <v>15.74</v>
      </c>
      <c r="I29" s="26">
        <f t="shared" si="2"/>
        <v>0</v>
      </c>
      <c r="J29" s="26">
        <f t="shared" si="3"/>
        <v>0</v>
      </c>
      <c r="K29" s="26">
        <f t="shared" si="4"/>
        <v>0</v>
      </c>
      <c r="L29" s="26">
        <f t="shared" si="5"/>
        <v>22.05</v>
      </c>
      <c r="M29" s="26">
        <f t="shared" si="6"/>
        <v>2594.5500000000102</v>
      </c>
      <c r="N29" s="28"/>
      <c r="O29" s="24">
        <f t="shared" si="7"/>
        <v>22.05</v>
      </c>
      <c r="P29" s="29">
        <v>14.62</v>
      </c>
      <c r="Q29" s="30">
        <v>0</v>
      </c>
      <c r="R29" s="29">
        <v>6.31</v>
      </c>
      <c r="S29" s="31">
        <v>1.1200000000000001</v>
      </c>
      <c r="T29" s="32">
        <v>0</v>
      </c>
      <c r="U29" s="24">
        <f t="shared" si="8"/>
        <v>2594.5500000000102</v>
      </c>
    </row>
    <row r="30" spans="1:21" s="5" customFormat="1" ht="60" customHeight="1" outlineLevel="1">
      <c r="A30" s="22">
        <v>25</v>
      </c>
      <c r="B30" s="23">
        <v>30413014008</v>
      </c>
      <c r="C30" s="23" t="s">
        <v>389</v>
      </c>
      <c r="D30" s="23" t="s">
        <v>390</v>
      </c>
      <c r="E30" s="22" t="s">
        <v>38</v>
      </c>
      <c r="F30" s="44">
        <v>115.666666666667</v>
      </c>
      <c r="G30" s="45">
        <f t="shared" si="0"/>
        <v>5</v>
      </c>
      <c r="H30" s="26">
        <f t="shared" si="1"/>
        <v>15.5</v>
      </c>
      <c r="I30" s="26">
        <f t="shared" si="2"/>
        <v>0</v>
      </c>
      <c r="J30" s="26">
        <f t="shared" si="3"/>
        <v>0</v>
      </c>
      <c r="K30" s="26">
        <f t="shared" si="4"/>
        <v>0</v>
      </c>
      <c r="L30" s="26">
        <f t="shared" si="5"/>
        <v>20.5</v>
      </c>
      <c r="M30" s="26">
        <f t="shared" si="6"/>
        <v>2371.1666666666702</v>
      </c>
      <c r="N30" s="28"/>
      <c r="O30" s="24">
        <f t="shared" si="7"/>
        <v>20.5</v>
      </c>
      <c r="P30" s="29">
        <v>15</v>
      </c>
      <c r="Q30" s="30">
        <v>0</v>
      </c>
      <c r="R30" s="29">
        <v>5</v>
      </c>
      <c r="S30" s="31">
        <v>0.5</v>
      </c>
      <c r="T30" s="32">
        <v>0</v>
      </c>
      <c r="U30" s="24">
        <f t="shared" si="8"/>
        <v>2371.1666666666702</v>
      </c>
    </row>
    <row r="31" spans="1:21" s="5" customFormat="1" ht="60" customHeight="1" outlineLevel="1">
      <c r="A31" s="9">
        <v>26</v>
      </c>
      <c r="B31" s="17">
        <v>30412004001</v>
      </c>
      <c r="C31" s="17" t="s">
        <v>61</v>
      </c>
      <c r="D31" s="17" t="s">
        <v>293</v>
      </c>
      <c r="E31" s="9" t="s">
        <v>43</v>
      </c>
      <c r="F31" s="43">
        <v>56229.66</v>
      </c>
      <c r="G31" s="46">
        <f t="shared" si="0"/>
        <v>2.1</v>
      </c>
      <c r="H31" s="47">
        <f t="shared" si="1"/>
        <v>3.0354000000000001</v>
      </c>
      <c r="I31" s="47">
        <f t="shared" si="2"/>
        <v>0.02</v>
      </c>
      <c r="J31" s="47">
        <f t="shared" si="3"/>
        <v>0</v>
      </c>
      <c r="K31" s="47">
        <f t="shared" si="4"/>
        <v>0</v>
      </c>
      <c r="L31" s="47">
        <f t="shared" si="5"/>
        <v>5.1554000000000002</v>
      </c>
      <c r="M31" s="47">
        <f t="shared" si="6"/>
        <v>289886.38916399999</v>
      </c>
      <c r="N31" s="8"/>
      <c r="O31" s="10">
        <f t="shared" si="7"/>
        <v>5.1554000000000002</v>
      </c>
      <c r="P31" s="48">
        <f>公共区域安装工程!$P$22</f>
        <v>2.77</v>
      </c>
      <c r="Q31" s="49">
        <f>公共区域安装工程!$Q$22</f>
        <v>0.02</v>
      </c>
      <c r="R31" s="48">
        <f>公共区域安装工程!$R$22</f>
        <v>2.1</v>
      </c>
      <c r="S31" s="50">
        <f>公共区域安装工程!$S$22</f>
        <v>0.21</v>
      </c>
      <c r="T31" s="12">
        <f>公共区域安装工程!$T$22</f>
        <v>0.02</v>
      </c>
      <c r="U31" s="10">
        <f t="shared" si="8"/>
        <v>289886.38916399999</v>
      </c>
    </row>
    <row r="32" spans="1:21" s="5" customFormat="1" ht="60" customHeight="1" outlineLevel="1">
      <c r="A32" s="22">
        <v>27</v>
      </c>
      <c r="B32" s="23">
        <v>30412004002</v>
      </c>
      <c r="C32" s="23" t="s">
        <v>61</v>
      </c>
      <c r="D32" s="23" t="s">
        <v>294</v>
      </c>
      <c r="E32" s="22" t="s">
        <v>43</v>
      </c>
      <c r="F32" s="44">
        <v>76002.463333333304</v>
      </c>
      <c r="G32" s="45">
        <f t="shared" si="0"/>
        <v>1.4</v>
      </c>
      <c r="H32" s="26">
        <f t="shared" si="1"/>
        <v>3.9735999999999998</v>
      </c>
      <c r="I32" s="26">
        <f t="shared" si="2"/>
        <v>0.01</v>
      </c>
      <c r="J32" s="26">
        <f t="shared" si="3"/>
        <v>0</v>
      </c>
      <c r="K32" s="26">
        <f t="shared" si="4"/>
        <v>0</v>
      </c>
      <c r="L32" s="26">
        <f t="shared" si="5"/>
        <v>5.3836000000000004</v>
      </c>
      <c r="M32" s="26">
        <f t="shared" si="6"/>
        <v>409166.86160133302</v>
      </c>
      <c r="N32" s="28"/>
      <c r="O32" s="24">
        <f t="shared" si="7"/>
        <v>5.3836000000000004</v>
      </c>
      <c r="P32" s="29">
        <v>3.68</v>
      </c>
      <c r="Q32" s="30">
        <v>0.02</v>
      </c>
      <c r="R32" s="29">
        <v>1.4</v>
      </c>
      <c r="S32" s="31">
        <v>0.22</v>
      </c>
      <c r="T32" s="32">
        <v>0.01</v>
      </c>
      <c r="U32" s="24">
        <f t="shared" si="8"/>
        <v>409166.86160133302</v>
      </c>
    </row>
    <row r="33" spans="1:21" s="5" customFormat="1" ht="60" customHeight="1" outlineLevel="1">
      <c r="A33" s="9">
        <v>28</v>
      </c>
      <c r="B33" s="17">
        <v>30412004006</v>
      </c>
      <c r="C33" s="17" t="s">
        <v>61</v>
      </c>
      <c r="D33" s="17" t="s">
        <v>64</v>
      </c>
      <c r="E33" s="9" t="s">
        <v>43</v>
      </c>
      <c r="F33" s="43">
        <v>1266.8699999999999</v>
      </c>
      <c r="G33" s="46">
        <f t="shared" si="0"/>
        <v>5.2</v>
      </c>
      <c r="H33" s="47">
        <f t="shared" si="1"/>
        <v>4.1059999999999999</v>
      </c>
      <c r="I33" s="47">
        <f t="shared" si="2"/>
        <v>0.05</v>
      </c>
      <c r="J33" s="47">
        <f t="shared" si="3"/>
        <v>0</v>
      </c>
      <c r="K33" s="47">
        <f t="shared" si="4"/>
        <v>0</v>
      </c>
      <c r="L33" s="47">
        <f t="shared" si="5"/>
        <v>9.3559999999999999</v>
      </c>
      <c r="M33" s="47">
        <f t="shared" si="6"/>
        <v>11852.835719999999</v>
      </c>
      <c r="N33" s="8"/>
      <c r="O33" s="10">
        <f t="shared" si="7"/>
        <v>9.3559999999999999</v>
      </c>
      <c r="P33" s="48">
        <f>架空层安装工程!$P$23</f>
        <v>3.8</v>
      </c>
      <c r="Q33" s="49">
        <f>架空层安装工程!$Q$23</f>
        <v>0.02</v>
      </c>
      <c r="R33" s="48">
        <f>架空层安装工程!$R$23</f>
        <v>5.2</v>
      </c>
      <c r="S33" s="50">
        <f>架空层安装工程!$S$23</f>
        <v>0.23</v>
      </c>
      <c r="T33" s="12">
        <f>架空层安装工程!$T$23</f>
        <v>0.05</v>
      </c>
      <c r="U33" s="10">
        <f t="shared" si="8"/>
        <v>11852.835719999999</v>
      </c>
    </row>
    <row r="34" spans="1:21" s="5" customFormat="1" ht="60" customHeight="1" outlineLevel="1">
      <c r="A34" s="9">
        <v>29</v>
      </c>
      <c r="B34" s="17">
        <v>30412004004</v>
      </c>
      <c r="C34" s="17" t="s">
        <v>61</v>
      </c>
      <c r="D34" s="17" t="s">
        <v>293</v>
      </c>
      <c r="E34" s="9" t="s">
        <v>43</v>
      </c>
      <c r="F34" s="43">
        <v>1100.89333333333</v>
      </c>
      <c r="G34" s="46">
        <f t="shared" si="0"/>
        <v>2.1</v>
      </c>
      <c r="H34" s="47">
        <f t="shared" si="1"/>
        <v>3.0354000000000001</v>
      </c>
      <c r="I34" s="47">
        <f t="shared" si="2"/>
        <v>0.02</v>
      </c>
      <c r="J34" s="47">
        <f t="shared" si="3"/>
        <v>0</v>
      </c>
      <c r="K34" s="47">
        <f t="shared" si="4"/>
        <v>0</v>
      </c>
      <c r="L34" s="47">
        <f t="shared" si="5"/>
        <v>5.1554000000000002</v>
      </c>
      <c r="M34" s="47">
        <f t="shared" si="6"/>
        <v>5675.54549066665</v>
      </c>
      <c r="N34" s="8"/>
      <c r="O34" s="10">
        <f t="shared" si="7"/>
        <v>5.1554000000000002</v>
      </c>
      <c r="P34" s="48">
        <f>公共区域安装工程!$P$22</f>
        <v>2.77</v>
      </c>
      <c r="Q34" s="49">
        <f>公共区域安装工程!$Q$22</f>
        <v>0.02</v>
      </c>
      <c r="R34" s="48">
        <f>公共区域安装工程!$R$22</f>
        <v>2.1</v>
      </c>
      <c r="S34" s="50">
        <f>公共区域安装工程!$S$22</f>
        <v>0.21</v>
      </c>
      <c r="T34" s="12">
        <f>公共区域安装工程!$T$22</f>
        <v>0.02</v>
      </c>
      <c r="U34" s="10">
        <f t="shared" si="8"/>
        <v>5675.54549066665</v>
      </c>
    </row>
    <row r="35" spans="1:21" s="5" customFormat="1" ht="60" customHeight="1" outlineLevel="1">
      <c r="A35" s="9">
        <v>30</v>
      </c>
      <c r="B35" s="17">
        <v>30412004005</v>
      </c>
      <c r="C35" s="17" t="s">
        <v>61</v>
      </c>
      <c r="D35" s="17" t="s">
        <v>294</v>
      </c>
      <c r="E35" s="9" t="s">
        <v>43</v>
      </c>
      <c r="F35" s="43">
        <v>1253.5333333333299</v>
      </c>
      <c r="G35" s="46">
        <f t="shared" si="0"/>
        <v>1.4</v>
      </c>
      <c r="H35" s="47">
        <f t="shared" si="1"/>
        <v>3.9735999999999998</v>
      </c>
      <c r="I35" s="47">
        <f t="shared" si="2"/>
        <v>0.01</v>
      </c>
      <c r="J35" s="47">
        <f t="shared" si="3"/>
        <v>0</v>
      </c>
      <c r="K35" s="47">
        <f t="shared" si="4"/>
        <v>0</v>
      </c>
      <c r="L35" s="47">
        <f t="shared" si="5"/>
        <v>5.3836000000000004</v>
      </c>
      <c r="M35" s="47">
        <f t="shared" si="6"/>
        <v>6748.5220533333104</v>
      </c>
      <c r="N35" s="8"/>
      <c r="O35" s="10">
        <f t="shared" si="7"/>
        <v>5.3836000000000004</v>
      </c>
      <c r="P35" s="48">
        <f>$P$32</f>
        <v>3.68</v>
      </c>
      <c r="Q35" s="49">
        <f>$Q$32</f>
        <v>0.02</v>
      </c>
      <c r="R35" s="48">
        <f>$R$32</f>
        <v>1.4</v>
      </c>
      <c r="S35" s="50">
        <f>$S$32</f>
        <v>0.22</v>
      </c>
      <c r="T35" s="12">
        <f>$T$32</f>
        <v>0.01</v>
      </c>
      <c r="U35" s="10">
        <f t="shared" si="8"/>
        <v>6748.5220533333104</v>
      </c>
    </row>
    <row r="36" spans="1:21" s="5" customFormat="1">
      <c r="A36" s="9"/>
      <c r="B36" s="17"/>
      <c r="C36" s="17" t="s">
        <v>391</v>
      </c>
      <c r="D36" s="17"/>
      <c r="E36" s="9"/>
      <c r="F36" s="43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</row>
    <row r="37" spans="1:21" s="5" customFormat="1" ht="60" customHeight="1" outlineLevel="1">
      <c r="A37" s="22">
        <v>31</v>
      </c>
      <c r="B37" s="23">
        <v>30413014009</v>
      </c>
      <c r="C37" s="23" t="s">
        <v>58</v>
      </c>
      <c r="D37" s="23" t="s">
        <v>392</v>
      </c>
      <c r="E37" s="22" t="s">
        <v>38</v>
      </c>
      <c r="F37" s="44">
        <v>201</v>
      </c>
      <c r="G37" s="45">
        <f t="shared" ref="G37:G45" si="9">R37*$R$3</f>
        <v>6.31</v>
      </c>
      <c r="H37" s="26">
        <f t="shared" ref="H37:H45" si="10">P37*(1+Q37)*$P$3+S37*$S$3</f>
        <v>15.74</v>
      </c>
      <c r="I37" s="26">
        <f t="shared" ref="I37:I45" si="11">T37*$T$3</f>
        <v>0</v>
      </c>
      <c r="J37" s="26">
        <f t="shared" ref="J37:J45" si="12">(G37+H37+I37)*$J$3</f>
        <v>0</v>
      </c>
      <c r="K37" s="26">
        <f t="shared" ref="K37:K45" si="13">(G37+H37+I37+J37)*$K$3</f>
        <v>0</v>
      </c>
      <c r="L37" s="26">
        <f t="shared" ref="L37:L45" si="14">G37+H37+I37+J37+K37</f>
        <v>22.05</v>
      </c>
      <c r="M37" s="26">
        <f t="shared" ref="M37:M45" si="15">F37*L37</f>
        <v>4432.05</v>
      </c>
      <c r="N37" s="28"/>
      <c r="O37" s="24">
        <f t="shared" ref="O37:O45" si="16">P37*(1+Q37)+R37+S37+T37</f>
        <v>22.05</v>
      </c>
      <c r="P37" s="29">
        <v>14.62</v>
      </c>
      <c r="Q37" s="30">
        <v>0</v>
      </c>
      <c r="R37" s="29">
        <v>6.31</v>
      </c>
      <c r="S37" s="31">
        <v>1.1200000000000001</v>
      </c>
      <c r="T37" s="32">
        <v>0</v>
      </c>
      <c r="U37" s="24">
        <f t="shared" ref="U37:U45" si="17">F37*O37</f>
        <v>4432.05</v>
      </c>
    </row>
    <row r="38" spans="1:21" s="5" customFormat="1" ht="60" customHeight="1" outlineLevel="1">
      <c r="A38" s="9">
        <v>32</v>
      </c>
      <c r="B38" s="17">
        <v>30413014010</v>
      </c>
      <c r="C38" s="17" t="s">
        <v>58</v>
      </c>
      <c r="D38" s="17" t="s">
        <v>392</v>
      </c>
      <c r="E38" s="9" t="s">
        <v>38</v>
      </c>
      <c r="F38" s="43">
        <v>84.6666666666667</v>
      </c>
      <c r="G38" s="46">
        <f t="shared" si="9"/>
        <v>6.31</v>
      </c>
      <c r="H38" s="47">
        <f t="shared" si="10"/>
        <v>15.74</v>
      </c>
      <c r="I38" s="47">
        <f t="shared" si="11"/>
        <v>0</v>
      </c>
      <c r="J38" s="47">
        <f t="shared" si="12"/>
        <v>0</v>
      </c>
      <c r="K38" s="47">
        <f t="shared" si="13"/>
        <v>0</v>
      </c>
      <c r="L38" s="47">
        <f t="shared" si="14"/>
        <v>22.05</v>
      </c>
      <c r="M38" s="47">
        <f t="shared" si="15"/>
        <v>1866.9</v>
      </c>
      <c r="N38" s="8"/>
      <c r="O38" s="10">
        <f t="shared" si="16"/>
        <v>22.05</v>
      </c>
      <c r="P38" s="48">
        <f>$P$37</f>
        <v>14.62</v>
      </c>
      <c r="Q38" s="49">
        <f>$Q$37</f>
        <v>0</v>
      </c>
      <c r="R38" s="48">
        <f>$R$37</f>
        <v>6.31</v>
      </c>
      <c r="S38" s="50">
        <f>$S$37</f>
        <v>1.1200000000000001</v>
      </c>
      <c r="T38" s="12">
        <f>$T$37</f>
        <v>0</v>
      </c>
      <c r="U38" s="10">
        <f t="shared" si="17"/>
        <v>1866.9</v>
      </c>
    </row>
    <row r="39" spans="1:21" s="5" customFormat="1" ht="60" customHeight="1" outlineLevel="1">
      <c r="A39" s="22">
        <v>33</v>
      </c>
      <c r="B39" s="23">
        <v>30413014011</v>
      </c>
      <c r="C39" s="23" t="s">
        <v>58</v>
      </c>
      <c r="D39" s="23" t="s">
        <v>393</v>
      </c>
      <c r="E39" s="22" t="s">
        <v>38</v>
      </c>
      <c r="F39" s="44">
        <v>117.666666666667</v>
      </c>
      <c r="G39" s="45">
        <f t="shared" si="9"/>
        <v>6.31</v>
      </c>
      <c r="H39" s="26">
        <f t="shared" si="10"/>
        <v>15.74</v>
      </c>
      <c r="I39" s="26">
        <f t="shared" si="11"/>
        <v>0</v>
      </c>
      <c r="J39" s="26">
        <f t="shared" si="12"/>
        <v>0</v>
      </c>
      <c r="K39" s="26">
        <f t="shared" si="13"/>
        <v>0</v>
      </c>
      <c r="L39" s="26">
        <f t="shared" si="14"/>
        <v>22.05</v>
      </c>
      <c r="M39" s="26">
        <f t="shared" si="15"/>
        <v>2594.5500000000102</v>
      </c>
      <c r="N39" s="28"/>
      <c r="O39" s="24">
        <f t="shared" si="16"/>
        <v>22.05</v>
      </c>
      <c r="P39" s="29">
        <v>14.62</v>
      </c>
      <c r="Q39" s="30">
        <v>0</v>
      </c>
      <c r="R39" s="29">
        <v>6.31</v>
      </c>
      <c r="S39" s="31">
        <v>1.1200000000000001</v>
      </c>
      <c r="T39" s="32">
        <v>0</v>
      </c>
      <c r="U39" s="24">
        <f t="shared" si="17"/>
        <v>2594.5500000000102</v>
      </c>
    </row>
    <row r="40" spans="1:21" s="5" customFormat="1" ht="60" customHeight="1" outlineLevel="1">
      <c r="A40" s="22">
        <v>34</v>
      </c>
      <c r="B40" s="23">
        <v>30413014012</v>
      </c>
      <c r="C40" s="23" t="s">
        <v>58</v>
      </c>
      <c r="D40" s="23" t="s">
        <v>394</v>
      </c>
      <c r="E40" s="22" t="s">
        <v>38</v>
      </c>
      <c r="F40" s="44">
        <v>33</v>
      </c>
      <c r="G40" s="45">
        <f t="shared" si="9"/>
        <v>6.31</v>
      </c>
      <c r="H40" s="26">
        <f t="shared" si="10"/>
        <v>15.74</v>
      </c>
      <c r="I40" s="26">
        <f t="shared" si="11"/>
        <v>0</v>
      </c>
      <c r="J40" s="26">
        <f t="shared" si="12"/>
        <v>0</v>
      </c>
      <c r="K40" s="26">
        <f t="shared" si="13"/>
        <v>0</v>
      </c>
      <c r="L40" s="26">
        <f t="shared" si="14"/>
        <v>22.05</v>
      </c>
      <c r="M40" s="26">
        <f t="shared" si="15"/>
        <v>727.65</v>
      </c>
      <c r="N40" s="28"/>
      <c r="O40" s="24">
        <f t="shared" si="16"/>
        <v>22.05</v>
      </c>
      <c r="P40" s="29">
        <v>14.62</v>
      </c>
      <c r="Q40" s="30">
        <v>0</v>
      </c>
      <c r="R40" s="29">
        <v>6.31</v>
      </c>
      <c r="S40" s="31">
        <v>1.1200000000000001</v>
      </c>
      <c r="T40" s="32">
        <v>0</v>
      </c>
      <c r="U40" s="24">
        <f t="shared" si="17"/>
        <v>727.65</v>
      </c>
    </row>
    <row r="41" spans="1:21" s="5" customFormat="1" ht="60" customHeight="1" outlineLevel="1">
      <c r="A41" s="9">
        <v>35</v>
      </c>
      <c r="B41" s="17">
        <v>30413013008</v>
      </c>
      <c r="C41" s="17" t="s">
        <v>299</v>
      </c>
      <c r="D41" s="17" t="s">
        <v>300</v>
      </c>
      <c r="E41" s="9" t="s">
        <v>38</v>
      </c>
      <c r="F41" s="43">
        <v>150.666666666667</v>
      </c>
      <c r="G41" s="46">
        <f t="shared" si="9"/>
        <v>12</v>
      </c>
      <c r="H41" s="47">
        <f t="shared" si="10"/>
        <v>29</v>
      </c>
      <c r="I41" s="47">
        <f t="shared" si="11"/>
        <v>0</v>
      </c>
      <c r="J41" s="47">
        <f t="shared" si="12"/>
        <v>0</v>
      </c>
      <c r="K41" s="47">
        <f t="shared" si="13"/>
        <v>0</v>
      </c>
      <c r="L41" s="47">
        <f t="shared" si="14"/>
        <v>41</v>
      </c>
      <c r="M41" s="47">
        <f t="shared" si="15"/>
        <v>6177.3333333333503</v>
      </c>
      <c r="N41" s="8"/>
      <c r="O41" s="10">
        <f t="shared" si="16"/>
        <v>41</v>
      </c>
      <c r="P41" s="48">
        <f>样板房安装工程!P41</f>
        <v>27</v>
      </c>
      <c r="Q41" s="49">
        <f>样板房安装工程!Q41</f>
        <v>0</v>
      </c>
      <c r="R41" s="48">
        <f>样板房安装工程!R41</f>
        <v>12</v>
      </c>
      <c r="S41" s="50">
        <f>样板房安装工程!S41</f>
        <v>2</v>
      </c>
      <c r="T41" s="12">
        <f>样板房安装工程!T41</f>
        <v>0</v>
      </c>
      <c r="U41" s="10">
        <f t="shared" si="17"/>
        <v>6177.3333333333503</v>
      </c>
    </row>
    <row r="42" spans="1:21" s="5" customFormat="1" ht="60" customHeight="1" outlineLevel="1">
      <c r="A42" s="22">
        <v>36</v>
      </c>
      <c r="B42" s="23">
        <v>30502003001</v>
      </c>
      <c r="C42" s="23" t="s">
        <v>301</v>
      </c>
      <c r="D42" s="23" t="s">
        <v>395</v>
      </c>
      <c r="E42" s="22" t="s">
        <v>43</v>
      </c>
      <c r="F42" s="44">
        <v>6817.96</v>
      </c>
      <c r="G42" s="45">
        <f t="shared" si="9"/>
        <v>0.8</v>
      </c>
      <c r="H42" s="26">
        <f t="shared" si="10"/>
        <v>2.6</v>
      </c>
      <c r="I42" s="26">
        <f t="shared" si="11"/>
        <v>0.1</v>
      </c>
      <c r="J42" s="26">
        <f t="shared" si="12"/>
        <v>0</v>
      </c>
      <c r="K42" s="26">
        <f t="shared" si="13"/>
        <v>0</v>
      </c>
      <c r="L42" s="26">
        <f t="shared" si="14"/>
        <v>3.5</v>
      </c>
      <c r="M42" s="26">
        <f t="shared" si="15"/>
        <v>23862.86</v>
      </c>
      <c r="N42" s="28"/>
      <c r="O42" s="24">
        <f t="shared" si="16"/>
        <v>3.5</v>
      </c>
      <c r="P42" s="29">
        <v>2.5</v>
      </c>
      <c r="Q42" s="30">
        <v>0</v>
      </c>
      <c r="R42" s="29">
        <v>0.8</v>
      </c>
      <c r="S42" s="31">
        <v>0.1</v>
      </c>
      <c r="T42" s="32">
        <v>0.1</v>
      </c>
      <c r="U42" s="24">
        <f t="shared" si="17"/>
        <v>23862.86</v>
      </c>
    </row>
    <row r="43" spans="1:21" s="5" customFormat="1" ht="60" customHeight="1" outlineLevel="1">
      <c r="A43" s="9">
        <v>37</v>
      </c>
      <c r="B43" s="17">
        <v>30502003002</v>
      </c>
      <c r="C43" s="17" t="s">
        <v>303</v>
      </c>
      <c r="D43" s="17" t="s">
        <v>304</v>
      </c>
      <c r="E43" s="9" t="s">
        <v>43</v>
      </c>
      <c r="F43" s="43">
        <v>1970.6033333333301</v>
      </c>
      <c r="G43" s="46">
        <f t="shared" si="9"/>
        <v>1.73</v>
      </c>
      <c r="H43" s="47">
        <f t="shared" si="10"/>
        <v>3.18</v>
      </c>
      <c r="I43" s="47">
        <f t="shared" si="11"/>
        <v>0.02</v>
      </c>
      <c r="J43" s="47">
        <f t="shared" si="12"/>
        <v>0</v>
      </c>
      <c r="K43" s="47">
        <f t="shared" si="13"/>
        <v>0</v>
      </c>
      <c r="L43" s="47">
        <f t="shared" si="14"/>
        <v>4.93</v>
      </c>
      <c r="M43" s="47">
        <f t="shared" si="15"/>
        <v>9715.0744333333205</v>
      </c>
      <c r="N43" s="8"/>
      <c r="O43" s="10">
        <f t="shared" si="16"/>
        <v>4.93</v>
      </c>
      <c r="P43" s="48">
        <f>样板房安装工程!P43</f>
        <v>3</v>
      </c>
      <c r="Q43" s="49">
        <f>样板房安装工程!Q43</f>
        <v>0.02</v>
      </c>
      <c r="R43" s="48">
        <f>样板房安装工程!R43</f>
        <v>1.73</v>
      </c>
      <c r="S43" s="50">
        <f>样板房安装工程!S43</f>
        <v>0.12</v>
      </c>
      <c r="T43" s="12">
        <f>样板房安装工程!T43</f>
        <v>0.02</v>
      </c>
      <c r="U43" s="10">
        <f t="shared" si="17"/>
        <v>9715.0744333333205</v>
      </c>
    </row>
    <row r="44" spans="1:21" s="5" customFormat="1" ht="60" customHeight="1" outlineLevel="1">
      <c r="A44" s="9">
        <v>38</v>
      </c>
      <c r="B44" s="17">
        <v>30502003003</v>
      </c>
      <c r="C44" s="17" t="s">
        <v>301</v>
      </c>
      <c r="D44" s="17" t="s">
        <v>395</v>
      </c>
      <c r="E44" s="9" t="s">
        <v>43</v>
      </c>
      <c r="F44" s="43">
        <v>86.293333333333294</v>
      </c>
      <c r="G44" s="46">
        <f t="shared" si="9"/>
        <v>0.8</v>
      </c>
      <c r="H44" s="47">
        <f t="shared" si="10"/>
        <v>2.6</v>
      </c>
      <c r="I44" s="47">
        <f t="shared" si="11"/>
        <v>0.1</v>
      </c>
      <c r="J44" s="47">
        <f t="shared" si="12"/>
        <v>0</v>
      </c>
      <c r="K44" s="47">
        <f t="shared" si="13"/>
        <v>0</v>
      </c>
      <c r="L44" s="47">
        <f t="shared" si="14"/>
        <v>3.5</v>
      </c>
      <c r="M44" s="47">
        <f t="shared" si="15"/>
        <v>302.02666666666698</v>
      </c>
      <c r="N44" s="8"/>
      <c r="O44" s="10">
        <f t="shared" si="16"/>
        <v>3.5</v>
      </c>
      <c r="P44" s="48">
        <f>$P$42</f>
        <v>2.5</v>
      </c>
      <c r="Q44" s="49">
        <f>$Q$42</f>
        <v>0</v>
      </c>
      <c r="R44" s="48">
        <f>$R$42</f>
        <v>0.8</v>
      </c>
      <c r="S44" s="50">
        <f>$S$42</f>
        <v>0.1</v>
      </c>
      <c r="T44" s="12">
        <f>$T$42</f>
        <v>0.1</v>
      </c>
      <c r="U44" s="10">
        <f t="shared" si="17"/>
        <v>302.02666666666698</v>
      </c>
    </row>
    <row r="45" spans="1:21" s="5" customFormat="1" ht="60" customHeight="1" outlineLevel="1">
      <c r="A45" s="9">
        <v>39</v>
      </c>
      <c r="B45" s="17">
        <v>30502003004</v>
      </c>
      <c r="C45" s="17" t="s">
        <v>303</v>
      </c>
      <c r="D45" s="17" t="s">
        <v>304</v>
      </c>
      <c r="E45" s="9" t="s">
        <v>43</v>
      </c>
      <c r="F45" s="43">
        <v>23.313333333333301</v>
      </c>
      <c r="G45" s="46">
        <f t="shared" si="9"/>
        <v>1.73</v>
      </c>
      <c r="H45" s="47">
        <f t="shared" si="10"/>
        <v>3.18</v>
      </c>
      <c r="I45" s="47">
        <f t="shared" si="11"/>
        <v>0.02</v>
      </c>
      <c r="J45" s="47">
        <f t="shared" si="12"/>
        <v>0</v>
      </c>
      <c r="K45" s="47">
        <f t="shared" si="13"/>
        <v>0</v>
      </c>
      <c r="L45" s="47">
        <f t="shared" si="14"/>
        <v>4.93</v>
      </c>
      <c r="M45" s="47">
        <f t="shared" si="15"/>
        <v>114.934733333333</v>
      </c>
      <c r="N45" s="8"/>
      <c r="O45" s="10">
        <f t="shared" si="16"/>
        <v>4.93</v>
      </c>
      <c r="P45" s="48">
        <f>样板房安装工程!$P$43</f>
        <v>3</v>
      </c>
      <c r="Q45" s="49">
        <f>样板房安装工程!$Q$43</f>
        <v>0.02</v>
      </c>
      <c r="R45" s="48">
        <f>样板房安装工程!$R$43</f>
        <v>1.73</v>
      </c>
      <c r="S45" s="50">
        <f>样板房安装工程!$S$43</f>
        <v>0.12</v>
      </c>
      <c r="T45" s="12">
        <f>样板房安装工程!$T$43</f>
        <v>0.02</v>
      </c>
      <c r="U45" s="10">
        <f t="shared" si="17"/>
        <v>114.934733333333</v>
      </c>
    </row>
    <row r="46" spans="1:21" s="5" customFormat="1">
      <c r="A46" s="9"/>
      <c r="B46" s="17"/>
      <c r="C46" s="17" t="s">
        <v>396</v>
      </c>
      <c r="D46" s="17"/>
      <c r="E46" s="9"/>
      <c r="F46" s="43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</row>
    <row r="47" spans="1:21" s="5" customFormat="1" ht="48" customHeight="1" outlineLevel="1">
      <c r="A47" s="22">
        <v>40</v>
      </c>
      <c r="B47" s="23">
        <v>31003006001</v>
      </c>
      <c r="C47" s="23" t="s">
        <v>397</v>
      </c>
      <c r="D47" s="23" t="s">
        <v>398</v>
      </c>
      <c r="E47" s="22" t="s">
        <v>214</v>
      </c>
      <c r="F47" s="44">
        <v>301.33333333333297</v>
      </c>
      <c r="G47" s="45">
        <f t="shared" ref="G47:G63" si="18">R47*$R$3</f>
        <v>60</v>
      </c>
      <c r="H47" s="26">
        <f t="shared" ref="H47:H63" si="19">P47*(1+Q47)*$P$3+S47*$S$3</f>
        <v>10</v>
      </c>
      <c r="I47" s="26">
        <f t="shared" ref="I47:I63" si="20">T47*$T$3</f>
        <v>0</v>
      </c>
      <c r="J47" s="26">
        <f t="shared" ref="J47:J63" si="21">(G47+H47+I47)*$J$3</f>
        <v>0</v>
      </c>
      <c r="K47" s="26">
        <f t="shared" ref="K47:K63" si="22">(G47+H47+I47+J47)*$K$3</f>
        <v>0</v>
      </c>
      <c r="L47" s="26">
        <f t="shared" ref="L47:L63" si="23">G47+H47+I47+J47+K47</f>
        <v>70</v>
      </c>
      <c r="M47" s="26">
        <f t="shared" ref="M47:M63" si="24">F47*L47</f>
        <v>21093.333333333299</v>
      </c>
      <c r="N47" s="28"/>
      <c r="O47" s="24">
        <f t="shared" ref="O47:O63" si="25">P47*(1+Q47)+R47+S47+T47</f>
        <v>70</v>
      </c>
      <c r="P47" s="29"/>
      <c r="Q47" s="30">
        <v>0</v>
      </c>
      <c r="R47" s="29">
        <v>60</v>
      </c>
      <c r="S47" s="31">
        <v>10</v>
      </c>
      <c r="T47" s="32">
        <v>0</v>
      </c>
      <c r="U47" s="24">
        <f t="shared" ref="U47:U63" si="26">F47*O47</f>
        <v>21093.333333333299</v>
      </c>
    </row>
    <row r="48" spans="1:21" s="5" customFormat="1" ht="48" customHeight="1" outlineLevel="1">
      <c r="A48" s="22">
        <v>41</v>
      </c>
      <c r="B48" s="23">
        <v>31003010001</v>
      </c>
      <c r="C48" s="23" t="s">
        <v>217</v>
      </c>
      <c r="D48" s="23" t="s">
        <v>399</v>
      </c>
      <c r="E48" s="22" t="s">
        <v>38</v>
      </c>
      <c r="F48" s="44">
        <v>117.666666666667</v>
      </c>
      <c r="G48" s="45">
        <f t="shared" si="18"/>
        <v>90</v>
      </c>
      <c r="H48" s="26">
        <f t="shared" si="19"/>
        <v>35</v>
      </c>
      <c r="I48" s="26">
        <f t="shared" si="20"/>
        <v>0</v>
      </c>
      <c r="J48" s="26">
        <f t="shared" si="21"/>
        <v>0</v>
      </c>
      <c r="K48" s="26">
        <f t="shared" si="22"/>
        <v>0</v>
      </c>
      <c r="L48" s="26">
        <f t="shared" si="23"/>
        <v>125</v>
      </c>
      <c r="M48" s="26">
        <f t="shared" si="24"/>
        <v>14708.333333333399</v>
      </c>
      <c r="N48" s="28"/>
      <c r="O48" s="24">
        <f t="shared" si="25"/>
        <v>125</v>
      </c>
      <c r="P48" s="29"/>
      <c r="Q48" s="30">
        <v>0</v>
      </c>
      <c r="R48" s="29">
        <v>90</v>
      </c>
      <c r="S48" s="31">
        <v>35</v>
      </c>
      <c r="T48" s="32">
        <v>0</v>
      </c>
      <c r="U48" s="24">
        <f t="shared" si="26"/>
        <v>14708.333333333399</v>
      </c>
    </row>
    <row r="49" spans="1:21" s="5" customFormat="1" ht="48" customHeight="1" outlineLevel="1">
      <c r="A49" s="22">
        <v>42</v>
      </c>
      <c r="B49" s="23">
        <v>31003010002</v>
      </c>
      <c r="C49" s="23" t="s">
        <v>217</v>
      </c>
      <c r="D49" s="23" t="s">
        <v>400</v>
      </c>
      <c r="E49" s="22" t="s">
        <v>38</v>
      </c>
      <c r="F49" s="44">
        <v>183.666666666667</v>
      </c>
      <c r="G49" s="45">
        <f t="shared" si="18"/>
        <v>90</v>
      </c>
      <c r="H49" s="26">
        <f t="shared" si="19"/>
        <v>35</v>
      </c>
      <c r="I49" s="26">
        <f t="shared" si="20"/>
        <v>0</v>
      </c>
      <c r="J49" s="26">
        <f t="shared" si="21"/>
        <v>0</v>
      </c>
      <c r="K49" s="26">
        <f t="shared" si="22"/>
        <v>0</v>
      </c>
      <c r="L49" s="26">
        <f t="shared" si="23"/>
        <v>125</v>
      </c>
      <c r="M49" s="26">
        <f t="shared" si="24"/>
        <v>22958.333333333401</v>
      </c>
      <c r="N49" s="28"/>
      <c r="O49" s="24">
        <f t="shared" si="25"/>
        <v>125</v>
      </c>
      <c r="P49" s="29"/>
      <c r="Q49" s="30">
        <v>0</v>
      </c>
      <c r="R49" s="29">
        <v>90</v>
      </c>
      <c r="S49" s="31">
        <v>35</v>
      </c>
      <c r="T49" s="32">
        <v>0</v>
      </c>
      <c r="U49" s="24">
        <f t="shared" si="26"/>
        <v>22958.333333333401</v>
      </c>
    </row>
    <row r="50" spans="1:21" s="5" customFormat="1" ht="48" customHeight="1" outlineLevel="1">
      <c r="A50" s="22">
        <v>43</v>
      </c>
      <c r="B50" s="23">
        <v>31003003001</v>
      </c>
      <c r="C50" s="23" t="s">
        <v>221</v>
      </c>
      <c r="D50" s="23" t="s">
        <v>401</v>
      </c>
      <c r="E50" s="22" t="s">
        <v>214</v>
      </c>
      <c r="F50" s="44">
        <v>334.33333333333297</v>
      </c>
      <c r="G50" s="45">
        <f t="shared" si="18"/>
        <v>90</v>
      </c>
      <c r="H50" s="26">
        <f t="shared" si="19"/>
        <v>12</v>
      </c>
      <c r="I50" s="26">
        <f t="shared" si="20"/>
        <v>0</v>
      </c>
      <c r="J50" s="26">
        <f t="shared" si="21"/>
        <v>0</v>
      </c>
      <c r="K50" s="26">
        <f t="shared" si="22"/>
        <v>0</v>
      </c>
      <c r="L50" s="26">
        <f t="shared" si="23"/>
        <v>102</v>
      </c>
      <c r="M50" s="26">
        <f t="shared" si="24"/>
        <v>34102</v>
      </c>
      <c r="N50" s="28"/>
      <c r="O50" s="24">
        <f t="shared" si="25"/>
        <v>102</v>
      </c>
      <c r="P50" s="29"/>
      <c r="Q50" s="30">
        <v>0</v>
      </c>
      <c r="R50" s="29">
        <v>90</v>
      </c>
      <c r="S50" s="31">
        <v>12</v>
      </c>
      <c r="T50" s="32">
        <v>0</v>
      </c>
      <c r="U50" s="24">
        <f t="shared" si="26"/>
        <v>34102</v>
      </c>
    </row>
    <row r="51" spans="1:21" s="5" customFormat="1" ht="48" customHeight="1" outlineLevel="1">
      <c r="A51" s="22">
        <v>44</v>
      </c>
      <c r="B51" s="23">
        <v>31003004001</v>
      </c>
      <c r="C51" s="23" t="s">
        <v>313</v>
      </c>
      <c r="D51" s="23" t="s">
        <v>402</v>
      </c>
      <c r="E51" s="22" t="s">
        <v>214</v>
      </c>
      <c r="F51" s="44">
        <v>117.666666666667</v>
      </c>
      <c r="G51" s="45">
        <f t="shared" si="18"/>
        <v>60</v>
      </c>
      <c r="H51" s="26">
        <f t="shared" si="19"/>
        <v>40</v>
      </c>
      <c r="I51" s="26">
        <f t="shared" si="20"/>
        <v>0</v>
      </c>
      <c r="J51" s="26">
        <f t="shared" si="21"/>
        <v>0</v>
      </c>
      <c r="K51" s="26">
        <f t="shared" si="22"/>
        <v>0</v>
      </c>
      <c r="L51" s="26">
        <f t="shared" si="23"/>
        <v>100</v>
      </c>
      <c r="M51" s="26">
        <f t="shared" si="24"/>
        <v>11766.666666666701</v>
      </c>
      <c r="N51" s="28"/>
      <c r="O51" s="24">
        <f t="shared" si="25"/>
        <v>100</v>
      </c>
      <c r="P51" s="29"/>
      <c r="Q51" s="30">
        <v>0</v>
      </c>
      <c r="R51" s="29">
        <v>60</v>
      </c>
      <c r="S51" s="31">
        <v>40</v>
      </c>
      <c r="T51" s="32">
        <v>0</v>
      </c>
      <c r="U51" s="24">
        <f t="shared" si="26"/>
        <v>11766.666666666701</v>
      </c>
    </row>
    <row r="52" spans="1:21" s="5" customFormat="1" ht="60" customHeight="1" outlineLevel="1">
      <c r="A52" s="22">
        <v>45</v>
      </c>
      <c r="B52" s="23">
        <v>31003014001</v>
      </c>
      <c r="C52" s="23" t="s">
        <v>315</v>
      </c>
      <c r="D52" s="23" t="s">
        <v>403</v>
      </c>
      <c r="E52" s="22" t="s">
        <v>46</v>
      </c>
      <c r="F52" s="44">
        <v>334.33333333333297</v>
      </c>
      <c r="G52" s="45">
        <f t="shared" si="18"/>
        <v>18</v>
      </c>
      <c r="H52" s="26">
        <f t="shared" si="19"/>
        <v>5</v>
      </c>
      <c r="I52" s="26">
        <f t="shared" si="20"/>
        <v>0</v>
      </c>
      <c r="J52" s="26">
        <f t="shared" si="21"/>
        <v>0</v>
      </c>
      <c r="K52" s="26">
        <f t="shared" si="22"/>
        <v>0</v>
      </c>
      <c r="L52" s="26">
        <f t="shared" si="23"/>
        <v>23</v>
      </c>
      <c r="M52" s="26">
        <f t="shared" si="24"/>
        <v>7689.6666666666597</v>
      </c>
      <c r="N52" s="28"/>
      <c r="O52" s="24">
        <f t="shared" si="25"/>
        <v>23</v>
      </c>
      <c r="P52" s="29"/>
      <c r="Q52" s="30">
        <v>0</v>
      </c>
      <c r="R52" s="29">
        <v>18</v>
      </c>
      <c r="S52" s="31">
        <v>5</v>
      </c>
      <c r="T52" s="32">
        <v>0</v>
      </c>
      <c r="U52" s="24">
        <f t="shared" si="26"/>
        <v>7689.6666666666597</v>
      </c>
    </row>
    <row r="53" spans="1:21" s="5" customFormat="1" ht="60" customHeight="1" outlineLevel="1">
      <c r="A53" s="22">
        <v>46</v>
      </c>
      <c r="B53" s="23">
        <v>31003014002</v>
      </c>
      <c r="C53" s="23" t="s">
        <v>315</v>
      </c>
      <c r="D53" s="23" t="s">
        <v>404</v>
      </c>
      <c r="E53" s="22" t="s">
        <v>46</v>
      </c>
      <c r="F53" s="44">
        <v>301.33333333333297</v>
      </c>
      <c r="G53" s="45">
        <f t="shared" si="18"/>
        <v>25</v>
      </c>
      <c r="H53" s="26">
        <f t="shared" si="19"/>
        <v>1.5</v>
      </c>
      <c r="I53" s="26">
        <f t="shared" si="20"/>
        <v>0.2</v>
      </c>
      <c r="J53" s="26">
        <f t="shared" si="21"/>
        <v>0</v>
      </c>
      <c r="K53" s="26">
        <f t="shared" si="22"/>
        <v>0</v>
      </c>
      <c r="L53" s="26">
        <f t="shared" si="23"/>
        <v>26.7</v>
      </c>
      <c r="M53" s="26">
        <f t="shared" si="24"/>
        <v>8045.5999999999904</v>
      </c>
      <c r="N53" s="28"/>
      <c r="O53" s="24">
        <f t="shared" si="25"/>
        <v>26.7</v>
      </c>
      <c r="P53" s="29"/>
      <c r="Q53" s="30">
        <v>0</v>
      </c>
      <c r="R53" s="29">
        <v>25</v>
      </c>
      <c r="S53" s="31">
        <v>1.5</v>
      </c>
      <c r="T53" s="32">
        <v>0.2</v>
      </c>
      <c r="U53" s="24">
        <f t="shared" si="26"/>
        <v>8045.5999999999904</v>
      </c>
    </row>
    <row r="54" spans="1:21" s="5" customFormat="1" ht="60" customHeight="1" outlineLevel="1">
      <c r="A54" s="22">
        <v>47</v>
      </c>
      <c r="B54" s="23">
        <v>31003014003</v>
      </c>
      <c r="C54" s="23" t="s">
        <v>315</v>
      </c>
      <c r="D54" s="23" t="s">
        <v>405</v>
      </c>
      <c r="E54" s="22" t="s">
        <v>46</v>
      </c>
      <c r="F54" s="44">
        <v>183.666666666667</v>
      </c>
      <c r="G54" s="45">
        <f t="shared" si="18"/>
        <v>25</v>
      </c>
      <c r="H54" s="26">
        <f t="shared" si="19"/>
        <v>1.5</v>
      </c>
      <c r="I54" s="26">
        <f t="shared" si="20"/>
        <v>0.2</v>
      </c>
      <c r="J54" s="26">
        <f t="shared" si="21"/>
        <v>0</v>
      </c>
      <c r="K54" s="26">
        <f t="shared" si="22"/>
        <v>0</v>
      </c>
      <c r="L54" s="26">
        <f t="shared" si="23"/>
        <v>26.7</v>
      </c>
      <c r="M54" s="26">
        <f t="shared" si="24"/>
        <v>4903.9000000000096</v>
      </c>
      <c r="N54" s="28"/>
      <c r="O54" s="24">
        <f t="shared" si="25"/>
        <v>26.7</v>
      </c>
      <c r="P54" s="29"/>
      <c r="Q54" s="30">
        <v>0</v>
      </c>
      <c r="R54" s="29">
        <v>25</v>
      </c>
      <c r="S54" s="31">
        <v>1.5</v>
      </c>
      <c r="T54" s="32">
        <v>0.2</v>
      </c>
      <c r="U54" s="24">
        <f t="shared" si="26"/>
        <v>4903.9000000000096</v>
      </c>
    </row>
    <row r="55" spans="1:21" s="5" customFormat="1" ht="60" customHeight="1" outlineLevel="1">
      <c r="A55" s="22">
        <v>48</v>
      </c>
      <c r="B55" s="23">
        <v>31003014004</v>
      </c>
      <c r="C55" s="23" t="s">
        <v>315</v>
      </c>
      <c r="D55" s="23" t="s">
        <v>406</v>
      </c>
      <c r="E55" s="22" t="s">
        <v>46</v>
      </c>
      <c r="F55" s="44">
        <v>117.666666666667</v>
      </c>
      <c r="G55" s="45">
        <f t="shared" si="18"/>
        <v>18</v>
      </c>
      <c r="H55" s="26">
        <f t="shared" si="19"/>
        <v>5</v>
      </c>
      <c r="I55" s="26">
        <f t="shared" si="20"/>
        <v>0</v>
      </c>
      <c r="J55" s="26">
        <f t="shared" si="21"/>
        <v>0</v>
      </c>
      <c r="K55" s="26">
        <f t="shared" si="22"/>
        <v>0</v>
      </c>
      <c r="L55" s="26">
        <f t="shared" si="23"/>
        <v>23</v>
      </c>
      <c r="M55" s="26">
        <f t="shared" si="24"/>
        <v>2706.3333333333399</v>
      </c>
      <c r="N55" s="28"/>
      <c r="O55" s="24">
        <f t="shared" si="25"/>
        <v>23</v>
      </c>
      <c r="P55" s="29"/>
      <c r="Q55" s="30">
        <v>0</v>
      </c>
      <c r="R55" s="29">
        <v>18</v>
      </c>
      <c r="S55" s="31">
        <v>5</v>
      </c>
      <c r="T55" s="32">
        <v>0</v>
      </c>
      <c r="U55" s="24">
        <f t="shared" si="26"/>
        <v>2706.3333333333399</v>
      </c>
    </row>
    <row r="56" spans="1:21" s="5" customFormat="1" ht="60" customHeight="1" outlineLevel="1">
      <c r="A56" s="22">
        <v>49</v>
      </c>
      <c r="B56" s="23">
        <v>31003014005</v>
      </c>
      <c r="C56" s="23" t="s">
        <v>320</v>
      </c>
      <c r="D56" s="23" t="s">
        <v>407</v>
      </c>
      <c r="E56" s="22" t="s">
        <v>46</v>
      </c>
      <c r="F56" s="44">
        <v>117.666666666667</v>
      </c>
      <c r="G56" s="45">
        <f t="shared" si="18"/>
        <v>55</v>
      </c>
      <c r="H56" s="26">
        <f t="shared" si="19"/>
        <v>20</v>
      </c>
      <c r="I56" s="26">
        <f t="shared" si="20"/>
        <v>0</v>
      </c>
      <c r="J56" s="26">
        <f t="shared" si="21"/>
        <v>0</v>
      </c>
      <c r="K56" s="26">
        <f t="shared" si="22"/>
        <v>0</v>
      </c>
      <c r="L56" s="26">
        <f t="shared" si="23"/>
        <v>75</v>
      </c>
      <c r="M56" s="26">
        <f t="shared" si="24"/>
        <v>8825.0000000000291</v>
      </c>
      <c r="N56" s="28"/>
      <c r="O56" s="24">
        <f t="shared" si="25"/>
        <v>75</v>
      </c>
      <c r="P56" s="29"/>
      <c r="Q56" s="30">
        <v>0</v>
      </c>
      <c r="R56" s="29">
        <v>55</v>
      </c>
      <c r="S56" s="31">
        <v>20</v>
      </c>
      <c r="T56" s="32">
        <v>0</v>
      </c>
      <c r="U56" s="24">
        <f t="shared" si="26"/>
        <v>8825.0000000000291</v>
      </c>
    </row>
    <row r="57" spans="1:21" s="5" customFormat="1" ht="48" customHeight="1" outlineLevel="1">
      <c r="A57" s="22">
        <v>50</v>
      </c>
      <c r="B57" s="23">
        <v>31002001001</v>
      </c>
      <c r="C57" s="23" t="s">
        <v>227</v>
      </c>
      <c r="D57" s="23" t="s">
        <v>408</v>
      </c>
      <c r="E57" s="22" t="s">
        <v>46</v>
      </c>
      <c r="F57" s="44">
        <v>235.333333333333</v>
      </c>
      <c r="G57" s="45">
        <f t="shared" si="18"/>
        <v>167.09</v>
      </c>
      <c r="H57" s="26">
        <f t="shared" si="19"/>
        <v>0</v>
      </c>
      <c r="I57" s="26">
        <f t="shared" si="20"/>
        <v>12.03</v>
      </c>
      <c r="J57" s="26">
        <f t="shared" si="21"/>
        <v>0</v>
      </c>
      <c r="K57" s="26">
        <f t="shared" si="22"/>
        <v>0</v>
      </c>
      <c r="L57" s="26">
        <f t="shared" si="23"/>
        <v>179.12</v>
      </c>
      <c r="M57" s="26">
        <f t="shared" si="24"/>
        <v>42152.906666666597</v>
      </c>
      <c r="N57" s="28"/>
      <c r="O57" s="24">
        <f t="shared" si="25"/>
        <v>179.12</v>
      </c>
      <c r="P57" s="29"/>
      <c r="Q57" s="30">
        <v>0</v>
      </c>
      <c r="R57" s="29">
        <v>167.09</v>
      </c>
      <c r="S57" s="31">
        <v>0</v>
      </c>
      <c r="T57" s="32">
        <v>12.03</v>
      </c>
      <c r="U57" s="24">
        <f t="shared" si="26"/>
        <v>42152.906666666597</v>
      </c>
    </row>
    <row r="58" spans="1:21" s="5" customFormat="1" ht="84" customHeight="1" outlineLevel="1">
      <c r="A58" s="9">
        <v>51</v>
      </c>
      <c r="B58" s="17">
        <v>31001008001</v>
      </c>
      <c r="C58" s="17" t="s">
        <v>207</v>
      </c>
      <c r="D58" s="17" t="s">
        <v>208</v>
      </c>
      <c r="E58" s="9" t="s">
        <v>43</v>
      </c>
      <c r="F58" s="43">
        <v>883.64666666666699</v>
      </c>
      <c r="G58" s="46">
        <f t="shared" si="18"/>
        <v>24</v>
      </c>
      <c r="H58" s="47">
        <f t="shared" si="19"/>
        <v>16.27</v>
      </c>
      <c r="I58" s="47">
        <f t="shared" si="20"/>
        <v>0.23</v>
      </c>
      <c r="J58" s="47">
        <f t="shared" si="21"/>
        <v>0</v>
      </c>
      <c r="K58" s="47">
        <f t="shared" si="22"/>
        <v>0</v>
      </c>
      <c r="L58" s="47">
        <f t="shared" si="23"/>
        <v>40.5</v>
      </c>
      <c r="M58" s="47">
        <f t="shared" si="24"/>
        <v>35787.69</v>
      </c>
      <c r="N58" s="8"/>
      <c r="O58" s="10">
        <f t="shared" si="25"/>
        <v>40.5</v>
      </c>
      <c r="P58" s="48">
        <f>样板房安装工程!$P$46</f>
        <v>15</v>
      </c>
      <c r="Q58" s="49">
        <f>样板房安装工程!$Q$46</f>
        <v>0</v>
      </c>
      <c r="R58" s="48">
        <f>样板房安装工程!$R$46</f>
        <v>24</v>
      </c>
      <c r="S58" s="50">
        <f>样板房安装工程!$S$46</f>
        <v>1.27</v>
      </c>
      <c r="T58" s="12">
        <f>样板房安装工程!$T$46</f>
        <v>0.23</v>
      </c>
      <c r="U58" s="10">
        <f t="shared" si="26"/>
        <v>35787.69</v>
      </c>
    </row>
    <row r="59" spans="1:21" s="5" customFormat="1" ht="84" customHeight="1" outlineLevel="1">
      <c r="A59" s="9">
        <v>52</v>
      </c>
      <c r="B59" s="17">
        <v>31001008002</v>
      </c>
      <c r="C59" s="17" t="s">
        <v>207</v>
      </c>
      <c r="D59" s="17" t="s">
        <v>209</v>
      </c>
      <c r="E59" s="9" t="s">
        <v>43</v>
      </c>
      <c r="F59" s="43">
        <v>743.49</v>
      </c>
      <c r="G59" s="46">
        <f t="shared" si="18"/>
        <v>55</v>
      </c>
      <c r="H59" s="47">
        <f t="shared" si="19"/>
        <v>28</v>
      </c>
      <c r="I59" s="47">
        <f t="shared" si="20"/>
        <v>3</v>
      </c>
      <c r="J59" s="47">
        <f t="shared" si="21"/>
        <v>0</v>
      </c>
      <c r="K59" s="47">
        <f t="shared" si="22"/>
        <v>0</v>
      </c>
      <c r="L59" s="47">
        <f t="shared" si="23"/>
        <v>86</v>
      </c>
      <c r="M59" s="47">
        <f t="shared" si="24"/>
        <v>63940.14</v>
      </c>
      <c r="N59" s="8"/>
      <c r="O59" s="10">
        <f t="shared" si="25"/>
        <v>86</v>
      </c>
      <c r="P59" s="48">
        <f>样板房安装工程!$P$47</f>
        <v>25</v>
      </c>
      <c r="Q59" s="49">
        <f>样板房安装工程!$Q$47</f>
        <v>0</v>
      </c>
      <c r="R59" s="48">
        <f>样板房安装工程!$R$47</f>
        <v>55</v>
      </c>
      <c r="S59" s="50">
        <f>样板房安装工程!$S$47</f>
        <v>3</v>
      </c>
      <c r="T59" s="12">
        <f>样板房安装工程!$T$47</f>
        <v>3</v>
      </c>
      <c r="U59" s="10">
        <f t="shared" si="26"/>
        <v>63940.14</v>
      </c>
    </row>
    <row r="60" spans="1:21" s="5" customFormat="1" ht="84" customHeight="1" outlineLevel="1">
      <c r="A60" s="9">
        <v>53</v>
      </c>
      <c r="B60" s="17">
        <v>31001008003</v>
      </c>
      <c r="C60" s="17" t="s">
        <v>207</v>
      </c>
      <c r="D60" s="17" t="s">
        <v>210</v>
      </c>
      <c r="E60" s="9" t="s">
        <v>43</v>
      </c>
      <c r="F60" s="43">
        <v>268.99666666666701</v>
      </c>
      <c r="G60" s="46">
        <f t="shared" si="18"/>
        <v>30</v>
      </c>
      <c r="H60" s="47">
        <f t="shared" si="19"/>
        <v>38.119999999999997</v>
      </c>
      <c r="I60" s="47">
        <f t="shared" si="20"/>
        <v>0.38</v>
      </c>
      <c r="J60" s="47">
        <f t="shared" si="21"/>
        <v>0</v>
      </c>
      <c r="K60" s="47">
        <f t="shared" si="22"/>
        <v>0</v>
      </c>
      <c r="L60" s="47">
        <f t="shared" si="23"/>
        <v>68.5</v>
      </c>
      <c r="M60" s="47">
        <f t="shared" si="24"/>
        <v>18426.2716666667</v>
      </c>
      <c r="N60" s="8"/>
      <c r="O60" s="10">
        <f t="shared" si="25"/>
        <v>68.5</v>
      </c>
      <c r="P60" s="48">
        <f>样板房安装工程!$P$48</f>
        <v>36</v>
      </c>
      <c r="Q60" s="49">
        <f>样板房安装工程!$Q$48</f>
        <v>0</v>
      </c>
      <c r="R60" s="48">
        <f>样板房安装工程!$R$48</f>
        <v>30</v>
      </c>
      <c r="S60" s="50">
        <f>样板房安装工程!$S$48</f>
        <v>2.12</v>
      </c>
      <c r="T60" s="12">
        <f>样板房安装工程!$T$48</f>
        <v>0.38</v>
      </c>
      <c r="U60" s="10">
        <f t="shared" si="26"/>
        <v>18426.2716666667</v>
      </c>
    </row>
    <row r="61" spans="1:21" s="5" customFormat="1" ht="84" customHeight="1" outlineLevel="1">
      <c r="A61" s="9">
        <v>54</v>
      </c>
      <c r="B61" s="17">
        <v>31001008004</v>
      </c>
      <c r="C61" s="17" t="s">
        <v>207</v>
      </c>
      <c r="D61" s="17" t="s">
        <v>208</v>
      </c>
      <c r="E61" s="9" t="s">
        <v>43</v>
      </c>
      <c r="F61" s="43">
        <v>11.98</v>
      </c>
      <c r="G61" s="46">
        <f t="shared" si="18"/>
        <v>24</v>
      </c>
      <c r="H61" s="47">
        <f t="shared" si="19"/>
        <v>16.27</v>
      </c>
      <c r="I61" s="47">
        <f t="shared" si="20"/>
        <v>0.23</v>
      </c>
      <c r="J61" s="47">
        <f t="shared" si="21"/>
        <v>0</v>
      </c>
      <c r="K61" s="47">
        <f t="shared" si="22"/>
        <v>0</v>
      </c>
      <c r="L61" s="47">
        <f t="shared" si="23"/>
        <v>40.5</v>
      </c>
      <c r="M61" s="47">
        <f t="shared" si="24"/>
        <v>485.19</v>
      </c>
      <c r="N61" s="8"/>
      <c r="O61" s="10">
        <f t="shared" si="25"/>
        <v>40.5</v>
      </c>
      <c r="P61" s="48">
        <f>样板房安装工程!$P$46</f>
        <v>15</v>
      </c>
      <c r="Q61" s="49">
        <f>样板房安装工程!$Q$46</f>
        <v>0</v>
      </c>
      <c r="R61" s="48">
        <f>样板房安装工程!$R$46</f>
        <v>24</v>
      </c>
      <c r="S61" s="50">
        <f>样板房安装工程!$S$46</f>
        <v>1.27</v>
      </c>
      <c r="T61" s="12">
        <f>样板房安装工程!$T$46</f>
        <v>0.23</v>
      </c>
      <c r="U61" s="10">
        <f t="shared" si="26"/>
        <v>485.19</v>
      </c>
    </row>
    <row r="62" spans="1:21" s="5" customFormat="1" ht="84" customHeight="1" outlineLevel="1">
      <c r="A62" s="9">
        <v>55</v>
      </c>
      <c r="B62" s="17">
        <v>31001008005</v>
      </c>
      <c r="C62" s="17" t="s">
        <v>207</v>
      </c>
      <c r="D62" s="17" t="s">
        <v>209</v>
      </c>
      <c r="E62" s="9" t="s">
        <v>43</v>
      </c>
      <c r="F62" s="43">
        <v>5.7666666666666702</v>
      </c>
      <c r="G62" s="46">
        <f t="shared" si="18"/>
        <v>55</v>
      </c>
      <c r="H62" s="47">
        <f t="shared" si="19"/>
        <v>28</v>
      </c>
      <c r="I62" s="47">
        <f t="shared" si="20"/>
        <v>3</v>
      </c>
      <c r="J62" s="47">
        <f t="shared" si="21"/>
        <v>0</v>
      </c>
      <c r="K62" s="47">
        <f t="shared" si="22"/>
        <v>0</v>
      </c>
      <c r="L62" s="47">
        <f t="shared" si="23"/>
        <v>86</v>
      </c>
      <c r="M62" s="47">
        <f t="shared" si="24"/>
        <v>495.93333333333402</v>
      </c>
      <c r="N62" s="8"/>
      <c r="O62" s="10">
        <f t="shared" si="25"/>
        <v>86</v>
      </c>
      <c r="P62" s="48">
        <f>样板房安装工程!$P$47</f>
        <v>25</v>
      </c>
      <c r="Q62" s="49">
        <f>样板房安装工程!$Q$47</f>
        <v>0</v>
      </c>
      <c r="R62" s="48">
        <f>样板房安装工程!$R$47</f>
        <v>55</v>
      </c>
      <c r="S62" s="50">
        <f>样板房安装工程!$S$47</f>
        <v>3</v>
      </c>
      <c r="T62" s="12">
        <f>样板房安装工程!$T$47</f>
        <v>3</v>
      </c>
      <c r="U62" s="10">
        <f t="shared" si="26"/>
        <v>495.93333333333402</v>
      </c>
    </row>
    <row r="63" spans="1:21" s="5" customFormat="1" ht="84" customHeight="1" outlineLevel="1">
      <c r="A63" s="9">
        <v>56</v>
      </c>
      <c r="B63" s="17">
        <v>31001008006</v>
      </c>
      <c r="C63" s="17" t="s">
        <v>207</v>
      </c>
      <c r="D63" s="17" t="s">
        <v>210</v>
      </c>
      <c r="E63" s="9" t="s">
        <v>43</v>
      </c>
      <c r="F63" s="43">
        <v>2.6333333333333302</v>
      </c>
      <c r="G63" s="46">
        <f t="shared" si="18"/>
        <v>30</v>
      </c>
      <c r="H63" s="47">
        <f t="shared" si="19"/>
        <v>38.119999999999997</v>
      </c>
      <c r="I63" s="47">
        <f t="shared" si="20"/>
        <v>0.38</v>
      </c>
      <c r="J63" s="47">
        <f t="shared" si="21"/>
        <v>0</v>
      </c>
      <c r="K63" s="47">
        <f t="shared" si="22"/>
        <v>0</v>
      </c>
      <c r="L63" s="47">
        <f t="shared" si="23"/>
        <v>68.5</v>
      </c>
      <c r="M63" s="47">
        <f t="shared" si="24"/>
        <v>180.38333333333301</v>
      </c>
      <c r="N63" s="8"/>
      <c r="O63" s="10">
        <f t="shared" si="25"/>
        <v>68.5</v>
      </c>
      <c r="P63" s="48">
        <f>样板房安装工程!$P$48</f>
        <v>36</v>
      </c>
      <c r="Q63" s="49">
        <f>样板房安装工程!$Q$48</f>
        <v>0</v>
      </c>
      <c r="R63" s="48">
        <f>样板房安装工程!$R$48</f>
        <v>30</v>
      </c>
      <c r="S63" s="50">
        <f>样板房安装工程!$S$48</f>
        <v>2.12</v>
      </c>
      <c r="T63" s="12">
        <f>样板房安装工程!$T$48</f>
        <v>0.38</v>
      </c>
      <c r="U63" s="10">
        <f t="shared" si="26"/>
        <v>180.38333333333301</v>
      </c>
    </row>
    <row r="64" spans="1:21" ht="24.95" customHeight="1">
      <c r="A64" s="51"/>
      <c r="B64" s="52" t="s">
        <v>119</v>
      </c>
      <c r="C64" s="52"/>
      <c r="D64" s="52"/>
      <c r="E64" s="53" t="s">
        <v>120</v>
      </c>
      <c r="F64" s="53"/>
      <c r="G64" s="54"/>
      <c r="H64" s="54"/>
      <c r="I64" s="54"/>
      <c r="J64" s="54"/>
      <c r="K64" s="54"/>
      <c r="L64" s="54"/>
      <c r="M64" s="55">
        <f>SUM(M4:M63)</f>
        <v>1593156.47876267</v>
      </c>
      <c r="N64" s="19"/>
      <c r="O64" s="19"/>
      <c r="P64" s="19"/>
      <c r="Q64" s="19"/>
      <c r="R64" s="19"/>
      <c r="S64" s="19"/>
      <c r="T64" s="19"/>
      <c r="U64" s="19"/>
    </row>
    <row r="65" spans="1:21" ht="24.95" customHeight="1">
      <c r="A65" s="51"/>
      <c r="B65" s="52" t="s">
        <v>121</v>
      </c>
      <c r="C65" s="52"/>
      <c r="D65" s="52"/>
      <c r="E65" s="53" t="s">
        <v>120</v>
      </c>
      <c r="F65" s="53"/>
      <c r="G65" s="54"/>
      <c r="H65" s="54"/>
      <c r="I65" s="54"/>
      <c r="J65" s="54"/>
      <c r="K65" s="54"/>
      <c r="L65" s="54"/>
      <c r="M65" s="55">
        <f>$M$64*0.09</f>
        <v>143384.08308864001</v>
      </c>
      <c r="N65" s="19"/>
      <c r="O65" s="19"/>
      <c r="P65" s="19"/>
      <c r="Q65" s="19"/>
      <c r="R65" s="19"/>
      <c r="S65" s="19"/>
      <c r="T65" s="19"/>
      <c r="U65" s="19"/>
    </row>
    <row r="66" spans="1:21" ht="24.95" customHeight="1">
      <c r="A66" s="51"/>
      <c r="B66" s="52" t="s">
        <v>3</v>
      </c>
      <c r="C66" s="52"/>
      <c r="D66" s="52"/>
      <c r="E66" s="53" t="s">
        <v>120</v>
      </c>
      <c r="F66" s="53"/>
      <c r="G66" s="54"/>
      <c r="H66" s="54"/>
      <c r="I66" s="54"/>
      <c r="J66" s="54"/>
      <c r="K66" s="54"/>
      <c r="L66" s="54"/>
      <c r="M66" s="55">
        <f>$M$64+$M$65</f>
        <v>1736540.5618513101</v>
      </c>
      <c r="N66" s="19"/>
      <c r="O66" s="19"/>
      <c r="P66" s="19"/>
      <c r="Q66" s="19"/>
      <c r="R66" s="19"/>
      <c r="S66" s="19"/>
      <c r="T66" s="19"/>
      <c r="U66" s="19"/>
    </row>
  </sheetData>
  <autoFilter ref="A2:GKM66" xr:uid="{00000000-0009-0000-0000-000005000000}"/>
  <mergeCells count="13">
    <mergeCell ref="A1:M1"/>
    <mergeCell ref="O1:U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96" orientation="landscape" r:id="rId1"/>
  <headerFooter>
    <oddFooter>&amp;C第 &amp;P 页，共 &amp;N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W24"/>
  <sheetViews>
    <sheetView view="pageBreakPreview" zoomScaleNormal="100" workbookViewId="0">
      <pane xSplit="5" ySplit="3" topLeftCell="F19" activePane="bottomRight" state="frozen"/>
      <selection pane="topRight"/>
      <selection pane="bottomLeft"/>
      <selection pane="bottomRight" activeCell="O22" sqref="O22"/>
    </sheetView>
  </sheetViews>
  <sheetFormatPr defaultColWidth="9" defaultRowHeight="12" outlineLevelRow="2"/>
  <cols>
    <col min="1" max="1" width="5.5" style="5" customWidth="1"/>
    <col min="2" max="2" width="10.5" style="5" customWidth="1"/>
    <col min="3" max="3" width="16.125" style="5" customWidth="1"/>
    <col min="4" max="4" width="26" style="5" customWidth="1"/>
    <col min="5" max="5" width="5.75" style="5" customWidth="1"/>
    <col min="6" max="6" width="11.75" style="6" customWidth="1"/>
    <col min="7" max="8" width="9.25" style="6" customWidth="1"/>
    <col min="9" max="11" width="9.25" style="5" customWidth="1"/>
    <col min="12" max="12" width="11.375" style="5" customWidth="1"/>
    <col min="13" max="15" width="11.75" style="5" customWidth="1"/>
    <col min="16" max="23" width="9" style="5" customWidth="1"/>
    <col min="24" max="24" width="9" style="7" customWidth="1"/>
    <col min="25" max="16384" width="9" style="7"/>
  </cols>
  <sheetData>
    <row r="1" spans="1:23" ht="18.75" customHeight="1">
      <c r="A1" s="116" t="s">
        <v>409</v>
      </c>
      <c r="B1" s="103"/>
      <c r="C1" s="103"/>
      <c r="D1" s="103"/>
      <c r="E1" s="103"/>
      <c r="F1" s="103"/>
      <c r="G1" s="103"/>
      <c r="H1" s="103"/>
      <c r="I1" s="103"/>
      <c r="J1" s="103"/>
      <c r="K1" s="103"/>
      <c r="L1" s="103"/>
      <c r="M1" s="97"/>
      <c r="N1" s="39"/>
      <c r="O1" s="39"/>
      <c r="P1" s="10"/>
      <c r="Q1" s="102" t="s">
        <v>16</v>
      </c>
      <c r="R1" s="103"/>
      <c r="S1" s="103"/>
      <c r="T1" s="103"/>
      <c r="U1" s="103"/>
      <c r="V1" s="103"/>
      <c r="W1" s="97"/>
    </row>
    <row r="2" spans="1:23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17" t="s">
        <v>410</v>
      </c>
      <c r="O2" s="118"/>
      <c r="P2" s="10"/>
      <c r="Q2" s="10" t="s">
        <v>29</v>
      </c>
      <c r="R2" s="12" t="s">
        <v>30</v>
      </c>
      <c r="S2" s="13" t="s">
        <v>31</v>
      </c>
      <c r="T2" s="12" t="s">
        <v>22</v>
      </c>
      <c r="U2" s="12" t="s">
        <v>32</v>
      </c>
      <c r="V2" s="12" t="s">
        <v>24</v>
      </c>
      <c r="W2" s="10" t="s">
        <v>33</v>
      </c>
    </row>
    <row r="3" spans="1:23" s="5" customFormat="1" ht="18.95" customHeigh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5" t="s">
        <v>27</v>
      </c>
      <c r="O3" s="40" t="s">
        <v>411</v>
      </c>
      <c r="P3" s="10"/>
      <c r="Q3" s="16"/>
      <c r="R3" s="16">
        <f>架空层安装工程!$P$3</f>
        <v>1</v>
      </c>
      <c r="S3" s="16"/>
      <c r="T3" s="16">
        <f>架空层安装工程!$R$3</f>
        <v>1</v>
      </c>
      <c r="U3" s="16">
        <f>架空层安装工程!$S$3</f>
        <v>1</v>
      </c>
      <c r="V3" s="16">
        <f>架空层安装工程!$T$3</f>
        <v>1</v>
      </c>
      <c r="W3" s="16"/>
    </row>
    <row r="4" spans="1:23" s="5" customFormat="1">
      <c r="A4" s="9"/>
      <c r="B4" s="17" t="s">
        <v>2</v>
      </c>
      <c r="C4" s="17"/>
      <c r="D4" s="17"/>
      <c r="E4" s="9"/>
      <c r="F4" s="10"/>
      <c r="G4" s="10"/>
      <c r="H4" s="10"/>
      <c r="I4" s="19"/>
      <c r="J4" s="19"/>
      <c r="K4" s="19"/>
      <c r="L4" s="19"/>
      <c r="M4" s="19"/>
      <c r="N4" s="20"/>
      <c r="O4" s="20"/>
      <c r="P4" s="21"/>
      <c r="Q4" s="19"/>
      <c r="R4" s="19"/>
      <c r="S4" s="19"/>
      <c r="T4" s="19"/>
      <c r="U4" s="19"/>
      <c r="V4" s="19"/>
      <c r="W4" s="19"/>
    </row>
    <row r="5" spans="1:23" s="5" customFormat="1" outlineLevel="1">
      <c r="A5" s="9"/>
      <c r="B5" s="17"/>
      <c r="C5" s="17" t="s">
        <v>412</v>
      </c>
      <c r="D5" s="17"/>
      <c r="E5" s="9"/>
      <c r="F5" s="10"/>
      <c r="G5" s="10"/>
      <c r="H5" s="10"/>
      <c r="I5" s="19"/>
      <c r="J5" s="19"/>
      <c r="K5" s="19"/>
      <c r="L5" s="19"/>
      <c r="M5" s="19"/>
      <c r="N5" s="20"/>
      <c r="O5" s="20"/>
      <c r="P5" s="21"/>
      <c r="Q5" s="19"/>
      <c r="R5" s="19"/>
      <c r="S5" s="19"/>
      <c r="T5" s="19"/>
      <c r="U5" s="19"/>
      <c r="V5" s="19"/>
      <c r="W5" s="19"/>
    </row>
    <row r="6" spans="1:23" s="5" customFormat="1" ht="84" customHeight="1" outlineLevel="2">
      <c r="A6" s="22">
        <v>1</v>
      </c>
      <c r="B6" s="23">
        <v>30904008001</v>
      </c>
      <c r="C6" s="23" t="s">
        <v>413</v>
      </c>
      <c r="D6" s="23" t="s">
        <v>414</v>
      </c>
      <c r="E6" s="22" t="s">
        <v>69</v>
      </c>
      <c r="F6" s="24">
        <v>2</v>
      </c>
      <c r="G6" s="25">
        <f t="shared" ref="G6:G21" si="0">T6*$T$3</f>
        <v>30</v>
      </c>
      <c r="H6" s="26">
        <f t="shared" ref="H6:H21" si="1">R6*(1+S6)*$R$3+U6*$U$3</f>
        <v>108</v>
      </c>
      <c r="I6" s="26">
        <f t="shared" ref="I6:I21" si="2">V6*$V$3</f>
        <v>0</v>
      </c>
      <c r="J6" s="26">
        <f t="shared" ref="J6:J21" si="3">(G6+H6+I6)*$J$3</f>
        <v>0</v>
      </c>
      <c r="K6" s="26">
        <f t="shared" ref="K6:K21" si="4">(G6+H6+I6+J6)*$K$3</f>
        <v>0</v>
      </c>
      <c r="L6" s="26">
        <f t="shared" ref="L6:L21" si="5">G6+H6+I6+J6+K6</f>
        <v>138</v>
      </c>
      <c r="M6" s="26">
        <f t="shared" ref="M6:M21" si="6">F6*L6</f>
        <v>276</v>
      </c>
      <c r="N6" s="27">
        <v>142.1</v>
      </c>
      <c r="O6" s="27">
        <f>N6*F6</f>
        <v>284.2</v>
      </c>
      <c r="P6" s="28"/>
      <c r="Q6" s="24">
        <v>138</v>
      </c>
      <c r="R6" s="29">
        <v>100</v>
      </c>
      <c r="S6" s="30">
        <v>0</v>
      </c>
      <c r="T6" s="29">
        <v>30</v>
      </c>
      <c r="U6" s="31">
        <v>8</v>
      </c>
      <c r="V6" s="32">
        <v>0</v>
      </c>
      <c r="W6" s="24">
        <f t="shared" ref="W6:W21" si="7">F6*Q6</f>
        <v>276</v>
      </c>
    </row>
    <row r="7" spans="1:23" s="5" customFormat="1" ht="84" customHeight="1" outlineLevel="2">
      <c r="A7" s="22">
        <v>2</v>
      </c>
      <c r="B7" s="23">
        <v>30904007001</v>
      </c>
      <c r="C7" s="23" t="s">
        <v>415</v>
      </c>
      <c r="D7" s="23" t="s">
        <v>416</v>
      </c>
      <c r="E7" s="22" t="s">
        <v>46</v>
      </c>
      <c r="F7" s="24">
        <v>2</v>
      </c>
      <c r="G7" s="25">
        <f t="shared" si="0"/>
        <v>15</v>
      </c>
      <c r="H7" s="26">
        <f t="shared" si="1"/>
        <v>235</v>
      </c>
      <c r="I7" s="26">
        <f t="shared" si="2"/>
        <v>0</v>
      </c>
      <c r="J7" s="26">
        <f t="shared" si="3"/>
        <v>0</v>
      </c>
      <c r="K7" s="26">
        <f t="shared" si="4"/>
        <v>0</v>
      </c>
      <c r="L7" s="26">
        <f t="shared" si="5"/>
        <v>250</v>
      </c>
      <c r="M7" s="26">
        <f t="shared" si="6"/>
        <v>500</v>
      </c>
      <c r="N7" s="27">
        <v>298.04000000000002</v>
      </c>
      <c r="O7" s="27">
        <f t="shared" ref="O7:O21" si="8">N7*F7</f>
        <v>596.08000000000004</v>
      </c>
      <c r="P7" s="28"/>
      <c r="Q7" s="24">
        <v>250</v>
      </c>
      <c r="R7" s="29">
        <v>230</v>
      </c>
      <c r="S7" s="30">
        <v>0</v>
      </c>
      <c r="T7" s="29">
        <v>15</v>
      </c>
      <c r="U7" s="31">
        <v>5</v>
      </c>
      <c r="V7" s="32">
        <v>0</v>
      </c>
      <c r="W7" s="24">
        <f t="shared" si="7"/>
        <v>500</v>
      </c>
    </row>
    <row r="8" spans="1:23" s="5" customFormat="1" ht="84" customHeight="1" outlineLevel="2">
      <c r="A8" s="22">
        <v>3</v>
      </c>
      <c r="B8" s="23">
        <v>30904007003</v>
      </c>
      <c r="C8" s="23" t="s">
        <v>417</v>
      </c>
      <c r="D8" s="23" t="s">
        <v>418</v>
      </c>
      <c r="E8" s="22" t="s">
        <v>46</v>
      </c>
      <c r="F8" s="24">
        <v>6</v>
      </c>
      <c r="G8" s="25">
        <f t="shared" si="0"/>
        <v>25</v>
      </c>
      <c r="H8" s="26">
        <f t="shared" si="1"/>
        <v>118</v>
      </c>
      <c r="I8" s="26">
        <f t="shared" si="2"/>
        <v>0</v>
      </c>
      <c r="J8" s="26">
        <f t="shared" si="3"/>
        <v>0</v>
      </c>
      <c r="K8" s="26">
        <f t="shared" si="4"/>
        <v>0</v>
      </c>
      <c r="L8" s="26">
        <f t="shared" si="5"/>
        <v>143</v>
      </c>
      <c r="M8" s="26">
        <f t="shared" si="6"/>
        <v>858</v>
      </c>
      <c r="N8" s="27">
        <v>160.25</v>
      </c>
      <c r="O8" s="27">
        <f t="shared" si="8"/>
        <v>961.5</v>
      </c>
      <c r="P8" s="28"/>
      <c r="Q8" s="24">
        <v>143</v>
      </c>
      <c r="R8" s="29">
        <v>110</v>
      </c>
      <c r="S8" s="30">
        <v>0</v>
      </c>
      <c r="T8" s="29">
        <v>25</v>
      </c>
      <c r="U8" s="31">
        <v>8</v>
      </c>
      <c r="V8" s="32">
        <v>0</v>
      </c>
      <c r="W8" s="24">
        <f t="shared" si="7"/>
        <v>858</v>
      </c>
    </row>
    <row r="9" spans="1:23" s="5" customFormat="1" ht="84" customHeight="1" outlineLevel="2">
      <c r="A9" s="22">
        <v>4</v>
      </c>
      <c r="B9" s="23">
        <v>30904001001</v>
      </c>
      <c r="C9" s="23" t="s">
        <v>419</v>
      </c>
      <c r="D9" s="23" t="s">
        <v>420</v>
      </c>
      <c r="E9" s="22" t="s">
        <v>46</v>
      </c>
      <c r="F9" s="24">
        <v>26</v>
      </c>
      <c r="G9" s="25">
        <f t="shared" si="0"/>
        <v>15</v>
      </c>
      <c r="H9" s="26">
        <f t="shared" si="1"/>
        <v>44</v>
      </c>
      <c r="I9" s="26">
        <f t="shared" si="2"/>
        <v>0</v>
      </c>
      <c r="J9" s="26">
        <f t="shared" si="3"/>
        <v>0</v>
      </c>
      <c r="K9" s="26">
        <f t="shared" si="4"/>
        <v>0</v>
      </c>
      <c r="L9" s="26">
        <f t="shared" si="5"/>
        <v>59</v>
      </c>
      <c r="M9" s="26">
        <f t="shared" si="6"/>
        <v>1534</v>
      </c>
      <c r="N9" s="27">
        <v>64.260000000000005</v>
      </c>
      <c r="O9" s="27">
        <f t="shared" si="8"/>
        <v>1670.76</v>
      </c>
      <c r="P9" s="28"/>
      <c r="Q9" s="24">
        <v>59</v>
      </c>
      <c r="R9" s="29">
        <v>40</v>
      </c>
      <c r="S9" s="30">
        <v>0</v>
      </c>
      <c r="T9" s="29">
        <v>15</v>
      </c>
      <c r="U9" s="31">
        <v>4</v>
      </c>
      <c r="V9" s="32">
        <v>0</v>
      </c>
      <c r="W9" s="24">
        <f t="shared" si="7"/>
        <v>1534</v>
      </c>
    </row>
    <row r="10" spans="1:23" s="5" customFormat="1" ht="84" customHeight="1" outlineLevel="2">
      <c r="A10" s="22">
        <v>5</v>
      </c>
      <c r="B10" s="23">
        <v>30904005001</v>
      </c>
      <c r="C10" s="23" t="s">
        <v>421</v>
      </c>
      <c r="D10" s="23" t="s">
        <v>422</v>
      </c>
      <c r="E10" s="22" t="s">
        <v>46</v>
      </c>
      <c r="F10" s="24">
        <v>5</v>
      </c>
      <c r="G10" s="25">
        <f t="shared" si="0"/>
        <v>5</v>
      </c>
      <c r="H10" s="26">
        <f t="shared" si="1"/>
        <v>16.5</v>
      </c>
      <c r="I10" s="26">
        <f t="shared" si="2"/>
        <v>0</v>
      </c>
      <c r="J10" s="26">
        <f t="shared" si="3"/>
        <v>0</v>
      </c>
      <c r="K10" s="26">
        <f t="shared" si="4"/>
        <v>0</v>
      </c>
      <c r="L10" s="26">
        <f t="shared" si="5"/>
        <v>21.5</v>
      </c>
      <c r="M10" s="26">
        <f t="shared" si="6"/>
        <v>107.5</v>
      </c>
      <c r="N10" s="27">
        <v>22.79</v>
      </c>
      <c r="O10" s="27">
        <f t="shared" si="8"/>
        <v>113.95</v>
      </c>
      <c r="P10" s="28"/>
      <c r="Q10" s="24">
        <v>21.5</v>
      </c>
      <c r="R10" s="29">
        <v>15</v>
      </c>
      <c r="S10" s="30">
        <v>0</v>
      </c>
      <c r="T10" s="29">
        <v>5</v>
      </c>
      <c r="U10" s="31">
        <v>1.5</v>
      </c>
      <c r="V10" s="32">
        <v>0</v>
      </c>
      <c r="W10" s="24">
        <f t="shared" si="7"/>
        <v>107.5</v>
      </c>
    </row>
    <row r="11" spans="1:23" s="5" customFormat="1" ht="84" customHeight="1" outlineLevel="2">
      <c r="A11" s="22">
        <v>6</v>
      </c>
      <c r="B11" s="23">
        <v>30904003001</v>
      </c>
      <c r="C11" s="23" t="s">
        <v>423</v>
      </c>
      <c r="D11" s="23" t="s">
        <v>424</v>
      </c>
      <c r="E11" s="22" t="s">
        <v>46</v>
      </c>
      <c r="F11" s="24">
        <v>5</v>
      </c>
      <c r="G11" s="25">
        <f t="shared" si="0"/>
        <v>15</v>
      </c>
      <c r="H11" s="26">
        <f t="shared" si="1"/>
        <v>65</v>
      </c>
      <c r="I11" s="26">
        <f t="shared" si="2"/>
        <v>0</v>
      </c>
      <c r="J11" s="26">
        <f t="shared" si="3"/>
        <v>0</v>
      </c>
      <c r="K11" s="26">
        <f t="shared" si="4"/>
        <v>0</v>
      </c>
      <c r="L11" s="26">
        <f t="shared" si="5"/>
        <v>80</v>
      </c>
      <c r="M11" s="26">
        <f t="shared" si="6"/>
        <v>400</v>
      </c>
      <c r="N11" s="27">
        <v>85.09</v>
      </c>
      <c r="O11" s="27">
        <f t="shared" si="8"/>
        <v>425.45</v>
      </c>
      <c r="P11" s="28"/>
      <c r="Q11" s="24">
        <v>80</v>
      </c>
      <c r="R11" s="29">
        <v>60</v>
      </c>
      <c r="S11" s="30">
        <v>0</v>
      </c>
      <c r="T11" s="29">
        <v>15</v>
      </c>
      <c r="U11" s="31">
        <v>5</v>
      </c>
      <c r="V11" s="32">
        <v>0</v>
      </c>
      <c r="W11" s="24">
        <f t="shared" si="7"/>
        <v>400</v>
      </c>
    </row>
    <row r="12" spans="1:23" s="5" customFormat="1" ht="84" customHeight="1" outlineLevel="2">
      <c r="A12" s="22">
        <v>7</v>
      </c>
      <c r="B12" s="23">
        <v>30904003002</v>
      </c>
      <c r="C12" s="23" t="s">
        <v>423</v>
      </c>
      <c r="D12" s="23" t="s">
        <v>425</v>
      </c>
      <c r="E12" s="22" t="s">
        <v>46</v>
      </c>
      <c r="F12" s="24">
        <v>12</v>
      </c>
      <c r="G12" s="25">
        <f t="shared" si="0"/>
        <v>15</v>
      </c>
      <c r="H12" s="26">
        <f t="shared" si="1"/>
        <v>65</v>
      </c>
      <c r="I12" s="26">
        <f t="shared" si="2"/>
        <v>0</v>
      </c>
      <c r="J12" s="26">
        <f t="shared" si="3"/>
        <v>0</v>
      </c>
      <c r="K12" s="26">
        <f t="shared" si="4"/>
        <v>0</v>
      </c>
      <c r="L12" s="26">
        <f t="shared" si="5"/>
        <v>80</v>
      </c>
      <c r="M12" s="26">
        <f t="shared" si="6"/>
        <v>960</v>
      </c>
      <c r="N12" s="27">
        <v>85.09</v>
      </c>
      <c r="O12" s="27">
        <f t="shared" si="8"/>
        <v>1021.08</v>
      </c>
      <c r="P12" s="28"/>
      <c r="Q12" s="24">
        <v>80</v>
      </c>
      <c r="R12" s="29">
        <v>60</v>
      </c>
      <c r="S12" s="30">
        <v>0</v>
      </c>
      <c r="T12" s="29">
        <v>15</v>
      </c>
      <c r="U12" s="31">
        <v>5</v>
      </c>
      <c r="V12" s="32">
        <v>0</v>
      </c>
      <c r="W12" s="24">
        <f t="shared" si="7"/>
        <v>960</v>
      </c>
    </row>
    <row r="13" spans="1:23" s="5" customFormat="1" ht="84" customHeight="1" outlineLevel="2">
      <c r="A13" s="22">
        <v>8</v>
      </c>
      <c r="B13" s="23">
        <v>30904004001</v>
      </c>
      <c r="C13" s="23" t="s">
        <v>426</v>
      </c>
      <c r="D13" s="23" t="s">
        <v>427</v>
      </c>
      <c r="E13" s="22" t="s">
        <v>46</v>
      </c>
      <c r="F13" s="24">
        <v>5</v>
      </c>
      <c r="G13" s="25">
        <f t="shared" si="0"/>
        <v>18</v>
      </c>
      <c r="H13" s="26">
        <f t="shared" si="1"/>
        <v>86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104</v>
      </c>
      <c r="M13" s="26">
        <f t="shared" si="6"/>
        <v>520</v>
      </c>
      <c r="N13" s="27">
        <v>113.57</v>
      </c>
      <c r="O13" s="27">
        <f t="shared" si="8"/>
        <v>567.85</v>
      </c>
      <c r="P13" s="28"/>
      <c r="Q13" s="24">
        <v>104</v>
      </c>
      <c r="R13" s="29">
        <v>80</v>
      </c>
      <c r="S13" s="30">
        <v>0</v>
      </c>
      <c r="T13" s="29">
        <v>18</v>
      </c>
      <c r="U13" s="31">
        <v>6</v>
      </c>
      <c r="V13" s="32">
        <v>0</v>
      </c>
      <c r="W13" s="24">
        <f t="shared" si="7"/>
        <v>520</v>
      </c>
    </row>
    <row r="14" spans="1:23" s="5" customFormat="1" ht="84" customHeight="1" outlineLevel="2">
      <c r="A14" s="22">
        <v>9</v>
      </c>
      <c r="B14" s="23">
        <v>30904005002</v>
      </c>
      <c r="C14" s="23" t="s">
        <v>428</v>
      </c>
      <c r="D14" s="23" t="s">
        <v>429</v>
      </c>
      <c r="E14" s="22" t="s">
        <v>46</v>
      </c>
      <c r="F14" s="24">
        <v>5</v>
      </c>
      <c r="G14" s="25">
        <f t="shared" si="0"/>
        <v>10</v>
      </c>
      <c r="H14" s="26">
        <f t="shared" si="1"/>
        <v>38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6">
        <f t="shared" si="5"/>
        <v>48</v>
      </c>
      <c r="M14" s="26">
        <f t="shared" si="6"/>
        <v>240</v>
      </c>
      <c r="N14" s="27">
        <v>50.49</v>
      </c>
      <c r="O14" s="27">
        <f t="shared" si="8"/>
        <v>252.45</v>
      </c>
      <c r="P14" s="28"/>
      <c r="Q14" s="24">
        <v>48</v>
      </c>
      <c r="R14" s="29">
        <v>35</v>
      </c>
      <c r="S14" s="30">
        <v>0</v>
      </c>
      <c r="T14" s="29">
        <v>10</v>
      </c>
      <c r="U14" s="31">
        <v>3</v>
      </c>
      <c r="V14" s="32">
        <v>0</v>
      </c>
      <c r="W14" s="24">
        <f t="shared" si="7"/>
        <v>240</v>
      </c>
    </row>
    <row r="15" spans="1:23" s="5" customFormat="1" ht="84" customHeight="1" outlineLevel="2">
      <c r="A15" s="22">
        <v>10</v>
      </c>
      <c r="B15" s="23">
        <v>30904007004</v>
      </c>
      <c r="C15" s="23" t="s">
        <v>417</v>
      </c>
      <c r="D15" s="23" t="s">
        <v>430</v>
      </c>
      <c r="E15" s="22" t="s">
        <v>46</v>
      </c>
      <c r="F15" s="24">
        <v>2</v>
      </c>
      <c r="G15" s="25">
        <f t="shared" si="0"/>
        <v>25</v>
      </c>
      <c r="H15" s="26">
        <f t="shared" si="1"/>
        <v>118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143</v>
      </c>
      <c r="M15" s="26">
        <f t="shared" si="6"/>
        <v>286</v>
      </c>
      <c r="N15" s="27">
        <v>158.07</v>
      </c>
      <c r="O15" s="27">
        <f t="shared" si="8"/>
        <v>316.14</v>
      </c>
      <c r="P15" s="28"/>
      <c r="Q15" s="24">
        <v>143</v>
      </c>
      <c r="R15" s="29">
        <v>110</v>
      </c>
      <c r="S15" s="30">
        <v>0</v>
      </c>
      <c r="T15" s="29">
        <v>25</v>
      </c>
      <c r="U15" s="31">
        <v>8</v>
      </c>
      <c r="V15" s="32">
        <v>0</v>
      </c>
      <c r="W15" s="24">
        <f t="shared" si="7"/>
        <v>286</v>
      </c>
    </row>
    <row r="16" spans="1:23" s="5" customFormat="1" ht="84" customHeight="1" outlineLevel="2">
      <c r="A16" s="22">
        <v>11</v>
      </c>
      <c r="B16" s="23">
        <v>30904006001</v>
      </c>
      <c r="C16" s="23" t="s">
        <v>431</v>
      </c>
      <c r="D16" s="23" t="s">
        <v>432</v>
      </c>
      <c r="E16" s="22" t="s">
        <v>46</v>
      </c>
      <c r="F16" s="24">
        <v>10</v>
      </c>
      <c r="G16" s="25">
        <f t="shared" si="0"/>
        <v>8</v>
      </c>
      <c r="H16" s="26">
        <f t="shared" si="1"/>
        <v>28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6">
        <f t="shared" si="5"/>
        <v>36</v>
      </c>
      <c r="M16" s="26">
        <f t="shared" si="6"/>
        <v>360</v>
      </c>
      <c r="N16" s="27">
        <v>43.04</v>
      </c>
      <c r="O16" s="27">
        <f t="shared" si="8"/>
        <v>430.4</v>
      </c>
      <c r="P16" s="28"/>
      <c r="Q16" s="24">
        <v>36</v>
      </c>
      <c r="R16" s="29">
        <v>25</v>
      </c>
      <c r="S16" s="30">
        <v>0</v>
      </c>
      <c r="T16" s="29">
        <v>8</v>
      </c>
      <c r="U16" s="31">
        <v>3</v>
      </c>
      <c r="V16" s="32">
        <v>0</v>
      </c>
      <c r="W16" s="24">
        <f t="shared" si="7"/>
        <v>360</v>
      </c>
    </row>
    <row r="17" spans="1:23" s="5" customFormat="1" ht="84" customHeight="1" outlineLevel="2">
      <c r="A17" s="22">
        <v>12</v>
      </c>
      <c r="B17" s="23">
        <v>30412001001</v>
      </c>
      <c r="C17" s="23" t="s">
        <v>177</v>
      </c>
      <c r="D17" s="23" t="s">
        <v>433</v>
      </c>
      <c r="E17" s="22" t="s">
        <v>43</v>
      </c>
      <c r="F17" s="24">
        <v>578.69000000000005</v>
      </c>
      <c r="G17" s="25">
        <f t="shared" si="0"/>
        <v>3.5</v>
      </c>
      <c r="H17" s="26">
        <f t="shared" si="1"/>
        <v>8.01</v>
      </c>
      <c r="I17" s="26">
        <f t="shared" si="2"/>
        <v>0</v>
      </c>
      <c r="J17" s="26">
        <f t="shared" si="3"/>
        <v>0</v>
      </c>
      <c r="K17" s="26">
        <f t="shared" si="4"/>
        <v>0</v>
      </c>
      <c r="L17" s="26">
        <f t="shared" si="5"/>
        <v>11.51</v>
      </c>
      <c r="M17" s="26">
        <f t="shared" si="6"/>
        <v>6660.7219000000005</v>
      </c>
      <c r="N17" s="27">
        <v>11.91</v>
      </c>
      <c r="O17" s="27">
        <f t="shared" si="8"/>
        <v>6892.1979000000001</v>
      </c>
      <c r="P17" s="28"/>
      <c r="Q17" s="24">
        <v>11.51</v>
      </c>
      <c r="R17" s="29">
        <v>7</v>
      </c>
      <c r="S17" s="30">
        <v>0.03</v>
      </c>
      <c r="T17" s="29">
        <v>3.5</v>
      </c>
      <c r="U17" s="31">
        <v>0.8</v>
      </c>
      <c r="V17" s="32">
        <v>0</v>
      </c>
      <c r="W17" s="24">
        <f t="shared" si="7"/>
        <v>6660.7219000000005</v>
      </c>
    </row>
    <row r="18" spans="1:23" s="5" customFormat="1" ht="96" customHeight="1" outlineLevel="2">
      <c r="A18" s="22">
        <v>13</v>
      </c>
      <c r="B18" s="23">
        <v>30412004004</v>
      </c>
      <c r="C18" s="23" t="s">
        <v>434</v>
      </c>
      <c r="D18" s="23" t="s">
        <v>435</v>
      </c>
      <c r="E18" s="22" t="s">
        <v>43</v>
      </c>
      <c r="F18" s="24">
        <v>487.82</v>
      </c>
      <c r="G18" s="25">
        <f t="shared" si="0"/>
        <v>2</v>
      </c>
      <c r="H18" s="26">
        <f t="shared" si="1"/>
        <v>2.8499999999999996</v>
      </c>
      <c r="I18" s="26">
        <f t="shared" si="2"/>
        <v>0</v>
      </c>
      <c r="J18" s="26">
        <f t="shared" si="3"/>
        <v>0</v>
      </c>
      <c r="K18" s="26">
        <f t="shared" si="4"/>
        <v>0</v>
      </c>
      <c r="L18" s="26">
        <f t="shared" si="5"/>
        <v>4.8499999999999996</v>
      </c>
      <c r="M18" s="26">
        <f t="shared" si="6"/>
        <v>2365.9269999999997</v>
      </c>
      <c r="N18" s="27">
        <v>5.54</v>
      </c>
      <c r="O18" s="27">
        <f t="shared" si="8"/>
        <v>2702.5228000000002</v>
      </c>
      <c r="P18" s="28"/>
      <c r="Q18" s="24">
        <v>4.8499999999999996</v>
      </c>
      <c r="R18" s="29">
        <v>2.5</v>
      </c>
      <c r="S18" s="30">
        <v>0.02</v>
      </c>
      <c r="T18" s="29">
        <v>2</v>
      </c>
      <c r="U18" s="31">
        <v>0.3</v>
      </c>
      <c r="V18" s="32">
        <v>0</v>
      </c>
      <c r="W18" s="24">
        <f t="shared" si="7"/>
        <v>2365.9269999999997</v>
      </c>
    </row>
    <row r="19" spans="1:23" s="5" customFormat="1" ht="96" customHeight="1" outlineLevel="2">
      <c r="A19" s="22">
        <v>14</v>
      </c>
      <c r="B19" s="23">
        <v>30412004006</v>
      </c>
      <c r="C19" s="23" t="s">
        <v>434</v>
      </c>
      <c r="D19" s="23" t="s">
        <v>436</v>
      </c>
      <c r="E19" s="22" t="s">
        <v>43</v>
      </c>
      <c r="F19" s="24">
        <v>226.54</v>
      </c>
      <c r="G19" s="25">
        <f t="shared" si="0"/>
        <v>2</v>
      </c>
      <c r="H19" s="26">
        <f t="shared" si="1"/>
        <v>2.8499999999999996</v>
      </c>
      <c r="I19" s="26">
        <f t="shared" si="2"/>
        <v>0</v>
      </c>
      <c r="J19" s="26">
        <f t="shared" si="3"/>
        <v>0</v>
      </c>
      <c r="K19" s="26">
        <f t="shared" si="4"/>
        <v>0</v>
      </c>
      <c r="L19" s="26">
        <f t="shared" si="5"/>
        <v>4.8499999999999996</v>
      </c>
      <c r="M19" s="26">
        <f t="shared" si="6"/>
        <v>1098.7189999999998</v>
      </c>
      <c r="N19" s="27">
        <v>6.93</v>
      </c>
      <c r="O19" s="27">
        <f t="shared" si="8"/>
        <v>1569.9222</v>
      </c>
      <c r="P19" s="28"/>
      <c r="Q19" s="24">
        <v>4.8499999999999996</v>
      </c>
      <c r="R19" s="29">
        <v>2.5</v>
      </c>
      <c r="S19" s="30">
        <v>0.02</v>
      </c>
      <c r="T19" s="29">
        <v>2</v>
      </c>
      <c r="U19" s="31">
        <v>0.3</v>
      </c>
      <c r="V19" s="32">
        <v>0</v>
      </c>
      <c r="W19" s="24">
        <f t="shared" si="7"/>
        <v>1098.7189999999998</v>
      </c>
    </row>
    <row r="20" spans="1:23" s="5" customFormat="1" ht="72" customHeight="1" outlineLevel="2">
      <c r="A20" s="22">
        <v>15</v>
      </c>
      <c r="B20" s="23">
        <v>30412006001</v>
      </c>
      <c r="C20" s="23" t="s">
        <v>437</v>
      </c>
      <c r="D20" s="23" t="s">
        <v>438</v>
      </c>
      <c r="E20" s="22" t="s">
        <v>46</v>
      </c>
      <c r="F20" s="24">
        <v>80</v>
      </c>
      <c r="G20" s="25">
        <f t="shared" si="0"/>
        <v>2.5</v>
      </c>
      <c r="H20" s="26">
        <f t="shared" si="1"/>
        <v>6.5</v>
      </c>
      <c r="I20" s="26">
        <f t="shared" si="2"/>
        <v>0</v>
      </c>
      <c r="J20" s="26">
        <f t="shared" si="3"/>
        <v>0</v>
      </c>
      <c r="K20" s="26">
        <f t="shared" si="4"/>
        <v>0</v>
      </c>
      <c r="L20" s="26">
        <f t="shared" si="5"/>
        <v>9</v>
      </c>
      <c r="M20" s="26">
        <f t="shared" si="6"/>
        <v>720</v>
      </c>
      <c r="N20" s="27">
        <v>10.15</v>
      </c>
      <c r="O20" s="27">
        <f t="shared" si="8"/>
        <v>812</v>
      </c>
      <c r="P20" s="28"/>
      <c r="Q20" s="24">
        <v>9</v>
      </c>
      <c r="R20" s="29">
        <v>6</v>
      </c>
      <c r="S20" s="30">
        <v>0</v>
      </c>
      <c r="T20" s="29">
        <v>2.5</v>
      </c>
      <c r="U20" s="31">
        <v>0.5</v>
      </c>
      <c r="V20" s="32">
        <v>0</v>
      </c>
      <c r="W20" s="24">
        <f t="shared" si="7"/>
        <v>720</v>
      </c>
    </row>
    <row r="21" spans="1:23" s="5" customFormat="1" ht="84" customHeight="1" outlineLevel="2">
      <c r="A21" s="22">
        <v>16</v>
      </c>
      <c r="B21" s="23">
        <v>30412004011</v>
      </c>
      <c r="C21" s="23" t="s">
        <v>439</v>
      </c>
      <c r="D21" s="23" t="s">
        <v>440</v>
      </c>
      <c r="E21" s="22" t="s">
        <v>43</v>
      </c>
      <c r="F21" s="24">
        <v>50</v>
      </c>
      <c r="G21" s="25">
        <f t="shared" si="0"/>
        <v>20</v>
      </c>
      <c r="H21" s="26">
        <f t="shared" si="1"/>
        <v>0</v>
      </c>
      <c r="I21" s="26">
        <f t="shared" si="2"/>
        <v>2.5</v>
      </c>
      <c r="J21" s="26">
        <f t="shared" si="3"/>
        <v>0</v>
      </c>
      <c r="K21" s="26">
        <f t="shared" si="4"/>
        <v>0</v>
      </c>
      <c r="L21" s="26">
        <f t="shared" si="5"/>
        <v>22.5</v>
      </c>
      <c r="M21" s="26">
        <f t="shared" si="6"/>
        <v>1125</v>
      </c>
      <c r="N21" s="27">
        <v>25.5</v>
      </c>
      <c r="O21" s="27">
        <f t="shared" si="8"/>
        <v>1275</v>
      </c>
      <c r="P21" s="28"/>
      <c r="Q21" s="24">
        <f t="shared" ref="Q21" si="9">R21*(1+S21)+T21+U21+V21</f>
        <v>22.5</v>
      </c>
      <c r="R21" s="29">
        <v>0</v>
      </c>
      <c r="S21" s="30">
        <v>0</v>
      </c>
      <c r="T21" s="29">
        <v>20</v>
      </c>
      <c r="U21" s="31">
        <v>0</v>
      </c>
      <c r="V21" s="32">
        <v>2.5</v>
      </c>
      <c r="W21" s="24">
        <f t="shared" si="7"/>
        <v>1125</v>
      </c>
    </row>
    <row r="22" spans="1:23" ht="21" customHeight="1">
      <c r="A22" s="33"/>
      <c r="B22" s="34" t="s">
        <v>119</v>
      </c>
      <c r="C22" s="34"/>
      <c r="D22" s="34"/>
      <c r="E22" s="35" t="s">
        <v>120</v>
      </c>
      <c r="F22" s="35"/>
      <c r="G22" s="36"/>
      <c r="H22" s="36"/>
      <c r="I22" s="36"/>
      <c r="J22" s="36"/>
      <c r="K22" s="36"/>
      <c r="L22" s="36"/>
      <c r="M22" s="37">
        <f>SUM(M4:M21)</f>
        <v>18011.867899999997</v>
      </c>
      <c r="N22" s="38"/>
      <c r="O22" s="41">
        <f>SUM(O4:O21)</f>
        <v>19891.502899999999</v>
      </c>
      <c r="P22" s="21"/>
      <c r="Q22" s="19"/>
      <c r="R22" s="19"/>
      <c r="S22" s="19"/>
      <c r="T22" s="19"/>
      <c r="U22" s="19"/>
      <c r="V22" s="19"/>
      <c r="W22" s="19"/>
    </row>
    <row r="23" spans="1:23" ht="21" customHeight="1">
      <c r="A23" s="33"/>
      <c r="B23" s="34" t="s">
        <v>121</v>
      </c>
      <c r="C23" s="34"/>
      <c r="D23" s="34"/>
      <c r="E23" s="35" t="s">
        <v>120</v>
      </c>
      <c r="F23" s="35"/>
      <c r="G23" s="36"/>
      <c r="H23" s="36"/>
      <c r="I23" s="36"/>
      <c r="J23" s="36"/>
      <c r="K23" s="36"/>
      <c r="L23" s="36"/>
      <c r="M23" s="37">
        <f>M22*0.09</f>
        <v>1621.0681109999998</v>
      </c>
      <c r="N23" s="38"/>
      <c r="O23" s="41">
        <f>O22*0.09</f>
        <v>1790.235261</v>
      </c>
      <c r="P23" s="21"/>
      <c r="Q23" s="19"/>
      <c r="R23" s="19"/>
      <c r="S23" s="19"/>
      <c r="T23" s="19"/>
      <c r="U23" s="19"/>
      <c r="V23" s="19"/>
      <c r="W23" s="19"/>
    </row>
    <row r="24" spans="1:23" ht="21" customHeight="1">
      <c r="A24" s="33"/>
      <c r="B24" s="34" t="s">
        <v>3</v>
      </c>
      <c r="C24" s="34"/>
      <c r="D24" s="34"/>
      <c r="E24" s="35" t="s">
        <v>120</v>
      </c>
      <c r="F24" s="35"/>
      <c r="G24" s="36"/>
      <c r="H24" s="36"/>
      <c r="I24" s="36"/>
      <c r="J24" s="36"/>
      <c r="K24" s="36"/>
      <c r="L24" s="36"/>
      <c r="M24" s="37">
        <f>M22+M23</f>
        <v>19632.936010999998</v>
      </c>
      <c r="N24" s="38"/>
      <c r="O24" s="41">
        <f>O22+O23</f>
        <v>21681.738161000001</v>
      </c>
      <c r="P24" s="21"/>
      <c r="Q24" s="19"/>
      <c r="R24" s="19"/>
      <c r="S24" s="19"/>
      <c r="T24" s="19"/>
      <c r="U24" s="19"/>
      <c r="V24" s="19"/>
      <c r="W24" s="19"/>
    </row>
  </sheetData>
  <autoFilter ref="A2:W24" xr:uid="{00000000-0009-0000-0000-000006000000}"/>
  <mergeCells count="14">
    <mergeCell ref="A1:M1"/>
    <mergeCell ref="Q1:W1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4" orientation="landscape" r:id="rId1"/>
  <headerFooter>
    <oddFooter>&amp;C第 &amp;P 页，共 &amp;N 页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W20"/>
  <sheetViews>
    <sheetView tabSelected="1" view="pageBreakPreview" zoomScaleNormal="100" workbookViewId="0">
      <pane xSplit="5" ySplit="3" topLeftCell="F14" activePane="bottomRight" state="frozen"/>
      <selection pane="topRight"/>
      <selection pane="bottomLeft"/>
      <selection pane="bottomRight" activeCell="N23" sqref="N23"/>
    </sheetView>
  </sheetViews>
  <sheetFormatPr defaultColWidth="9" defaultRowHeight="12" outlineLevelRow="1"/>
  <cols>
    <col min="1" max="1" width="4.625" style="5" customWidth="1"/>
    <col min="2" max="2" width="10.875" style="5" customWidth="1"/>
    <col min="3" max="3" width="14.25" style="5" customWidth="1"/>
    <col min="4" max="4" width="27.625" style="5" customWidth="1"/>
    <col min="5" max="5" width="5.625" style="5" customWidth="1"/>
    <col min="6" max="6" width="11.75" style="6" customWidth="1"/>
    <col min="7" max="8" width="8.5" style="6" customWidth="1"/>
    <col min="9" max="11" width="8.5" style="5" customWidth="1"/>
    <col min="12" max="12" width="8.375" style="5" customWidth="1"/>
    <col min="13" max="13" width="11.5" style="5" customWidth="1"/>
    <col min="14" max="14" width="9.375" style="5" customWidth="1"/>
    <col min="15" max="15" width="12.625" style="5" customWidth="1"/>
    <col min="16" max="23" width="9" style="5" customWidth="1"/>
    <col min="24" max="24" width="9" style="7" customWidth="1"/>
    <col min="25" max="16384" width="9" style="7"/>
  </cols>
  <sheetData>
    <row r="1" spans="1:23" ht="18.75" customHeight="1">
      <c r="A1" s="98" t="s">
        <v>441</v>
      </c>
      <c r="B1" s="109"/>
      <c r="C1" s="109"/>
      <c r="D1" s="109"/>
      <c r="E1" s="109"/>
      <c r="F1" s="119"/>
      <c r="G1" s="119"/>
      <c r="H1" s="119"/>
      <c r="I1" s="109"/>
      <c r="J1" s="109"/>
      <c r="K1" s="109"/>
      <c r="L1" s="109"/>
      <c r="M1" s="109"/>
      <c r="P1" s="8"/>
      <c r="Q1" s="111" t="s">
        <v>16</v>
      </c>
      <c r="R1" s="112"/>
      <c r="S1" s="112"/>
      <c r="T1" s="112"/>
      <c r="U1" s="112"/>
      <c r="V1" s="112"/>
      <c r="W1" s="113"/>
    </row>
    <row r="2" spans="1:23" ht="24" customHeight="1">
      <c r="A2" s="104" t="s">
        <v>1</v>
      </c>
      <c r="B2" s="104" t="s">
        <v>17</v>
      </c>
      <c r="C2" s="106" t="s">
        <v>18</v>
      </c>
      <c r="D2" s="107" t="s">
        <v>19</v>
      </c>
      <c r="E2" s="107" t="s">
        <v>20</v>
      </c>
      <c r="F2" s="107" t="s">
        <v>21</v>
      </c>
      <c r="G2" s="107" t="s">
        <v>22</v>
      </c>
      <c r="H2" s="107" t="s">
        <v>23</v>
      </c>
      <c r="I2" s="107" t="s">
        <v>24</v>
      </c>
      <c r="J2" s="10" t="s">
        <v>25</v>
      </c>
      <c r="K2" s="10" t="s">
        <v>26</v>
      </c>
      <c r="L2" s="107" t="s">
        <v>27</v>
      </c>
      <c r="M2" s="107" t="s">
        <v>28</v>
      </c>
      <c r="N2" s="120" t="s">
        <v>410</v>
      </c>
      <c r="O2" s="120"/>
      <c r="P2" s="11"/>
      <c r="Q2" s="10" t="s">
        <v>29</v>
      </c>
      <c r="R2" s="12" t="s">
        <v>30</v>
      </c>
      <c r="S2" s="13" t="s">
        <v>31</v>
      </c>
      <c r="T2" s="12" t="s">
        <v>22</v>
      </c>
      <c r="U2" s="12" t="s">
        <v>32</v>
      </c>
      <c r="V2" s="12" t="s">
        <v>24</v>
      </c>
      <c r="W2" s="10" t="s">
        <v>33</v>
      </c>
    </row>
    <row r="3" spans="1:23" s="5" customFormat="1" ht="17.100000000000001" customHeight="1">
      <c r="A3" s="105"/>
      <c r="B3" s="105"/>
      <c r="C3" s="105"/>
      <c r="D3" s="105"/>
      <c r="E3" s="105"/>
      <c r="F3" s="105"/>
      <c r="G3" s="105"/>
      <c r="H3" s="105"/>
      <c r="I3" s="105"/>
      <c r="J3" s="14">
        <v>0</v>
      </c>
      <c r="K3" s="14">
        <v>0</v>
      </c>
      <c r="L3" s="105"/>
      <c r="M3" s="105"/>
      <c r="N3" s="15" t="s">
        <v>27</v>
      </c>
      <c r="O3" s="15" t="s">
        <v>411</v>
      </c>
      <c r="P3" s="11"/>
      <c r="Q3" s="16"/>
      <c r="R3" s="16">
        <f>架空层安装工程!$P$3</f>
        <v>1</v>
      </c>
      <c r="S3" s="16"/>
      <c r="T3" s="16">
        <f>架空层安装工程!$R$3</f>
        <v>1</v>
      </c>
      <c r="U3" s="16">
        <f>架空层安装工程!$S$3</f>
        <v>1</v>
      </c>
      <c r="V3" s="16">
        <f>架空层安装工程!$T$3</f>
        <v>1</v>
      </c>
      <c r="W3" s="16"/>
    </row>
    <row r="4" spans="1:23" s="5" customFormat="1">
      <c r="A4" s="9"/>
      <c r="B4" s="17"/>
      <c r="C4" s="17" t="s">
        <v>442</v>
      </c>
      <c r="D4" s="17"/>
      <c r="E4" s="9"/>
      <c r="F4" s="10"/>
      <c r="G4" s="10"/>
      <c r="H4" s="18"/>
      <c r="I4" s="19"/>
      <c r="J4" s="19"/>
      <c r="K4" s="19"/>
      <c r="L4" s="19"/>
      <c r="M4" s="19"/>
      <c r="N4" s="20"/>
      <c r="O4" s="20"/>
      <c r="P4" s="21"/>
      <c r="Q4" s="19"/>
      <c r="R4" s="19"/>
      <c r="S4" s="19"/>
      <c r="T4" s="19"/>
      <c r="U4" s="19"/>
      <c r="V4" s="19"/>
      <c r="W4" s="19"/>
    </row>
    <row r="5" spans="1:23" s="5" customFormat="1" ht="156" customHeight="1" outlineLevel="1">
      <c r="A5" s="22">
        <v>2</v>
      </c>
      <c r="B5" s="23">
        <v>30901001002</v>
      </c>
      <c r="C5" s="23" t="s">
        <v>443</v>
      </c>
      <c r="D5" s="23" t="s">
        <v>444</v>
      </c>
      <c r="E5" s="22" t="s">
        <v>43</v>
      </c>
      <c r="F5" s="24">
        <v>11</v>
      </c>
      <c r="G5" s="25">
        <f t="shared" ref="G5:G17" si="0">T5*$T$3</f>
        <v>18</v>
      </c>
      <c r="H5" s="26">
        <f t="shared" ref="H5:H17" si="1">R5*(1+S5)*$R$3+U5*$U$3</f>
        <v>111</v>
      </c>
      <c r="I5" s="26">
        <f t="shared" ref="I5:I17" si="2">V5*$V$3</f>
        <v>0</v>
      </c>
      <c r="J5" s="26">
        <f t="shared" ref="J5:J17" si="3">(G5+H5+I5)*$J$3</f>
        <v>0</v>
      </c>
      <c r="K5" s="26">
        <f t="shared" ref="K5:K17" si="4">(G5+H5+I5+J5)*$K$3</f>
        <v>0</v>
      </c>
      <c r="L5" s="26">
        <f t="shared" ref="L5:L17" si="5">G5+H5+I5+J5+K5</f>
        <v>129</v>
      </c>
      <c r="M5" s="26">
        <f t="shared" ref="M5:M17" si="6">F5*L5</f>
        <v>1419</v>
      </c>
      <c r="N5" s="27">
        <v>129.47</v>
      </c>
      <c r="O5" s="27">
        <f>N5*F5</f>
        <v>1424.17</v>
      </c>
      <c r="P5" s="28"/>
      <c r="Q5" s="24">
        <v>129</v>
      </c>
      <c r="R5" s="29">
        <v>100</v>
      </c>
      <c r="S5" s="30">
        <v>0.03</v>
      </c>
      <c r="T5" s="29">
        <v>18</v>
      </c>
      <c r="U5" s="31">
        <v>8</v>
      </c>
      <c r="V5" s="32">
        <v>0</v>
      </c>
      <c r="W5" s="24">
        <f t="shared" ref="W5:W17" si="7">F5*Q5</f>
        <v>1419</v>
      </c>
    </row>
    <row r="6" spans="1:23" s="5" customFormat="1" ht="156" customHeight="1" outlineLevel="1">
      <c r="A6" s="22">
        <v>3</v>
      </c>
      <c r="B6" s="23">
        <v>30901001003</v>
      </c>
      <c r="C6" s="23" t="s">
        <v>443</v>
      </c>
      <c r="D6" s="23" t="s">
        <v>445</v>
      </c>
      <c r="E6" s="22" t="s">
        <v>43</v>
      </c>
      <c r="F6" s="24">
        <v>41</v>
      </c>
      <c r="G6" s="25">
        <f t="shared" si="0"/>
        <v>14</v>
      </c>
      <c r="H6" s="26">
        <f t="shared" si="1"/>
        <v>80.16</v>
      </c>
      <c r="I6" s="26">
        <f t="shared" si="2"/>
        <v>0</v>
      </c>
      <c r="J6" s="26">
        <f t="shared" si="3"/>
        <v>0</v>
      </c>
      <c r="K6" s="26">
        <f t="shared" si="4"/>
        <v>0</v>
      </c>
      <c r="L6" s="26">
        <f t="shared" si="5"/>
        <v>94.16</v>
      </c>
      <c r="M6" s="26">
        <f t="shared" si="6"/>
        <v>3860.56</v>
      </c>
      <c r="N6" s="27">
        <v>93.12</v>
      </c>
      <c r="O6" s="27">
        <f t="shared" ref="O6:O17" si="8">N6*F6</f>
        <v>3817.92</v>
      </c>
      <c r="P6" s="28"/>
      <c r="Q6" s="24">
        <v>94.16</v>
      </c>
      <c r="R6" s="29">
        <v>72</v>
      </c>
      <c r="S6" s="30">
        <v>0.03</v>
      </c>
      <c r="T6" s="29">
        <v>14</v>
      </c>
      <c r="U6" s="31">
        <v>6</v>
      </c>
      <c r="V6" s="32">
        <v>0</v>
      </c>
      <c r="W6" s="24">
        <f t="shared" si="7"/>
        <v>3860.56</v>
      </c>
    </row>
    <row r="7" spans="1:23" s="5" customFormat="1" ht="156" customHeight="1" outlineLevel="1">
      <c r="A7" s="22">
        <v>4</v>
      </c>
      <c r="B7" s="23">
        <v>30901001004</v>
      </c>
      <c r="C7" s="23" t="s">
        <v>443</v>
      </c>
      <c r="D7" s="23" t="s">
        <v>446</v>
      </c>
      <c r="E7" s="22" t="s">
        <v>43</v>
      </c>
      <c r="F7" s="24">
        <v>54</v>
      </c>
      <c r="G7" s="25">
        <f t="shared" si="0"/>
        <v>12</v>
      </c>
      <c r="H7" s="26">
        <f t="shared" si="1"/>
        <v>62.68</v>
      </c>
      <c r="I7" s="26">
        <f t="shared" si="2"/>
        <v>0</v>
      </c>
      <c r="J7" s="26">
        <f t="shared" si="3"/>
        <v>0</v>
      </c>
      <c r="K7" s="26">
        <f t="shared" si="4"/>
        <v>0</v>
      </c>
      <c r="L7" s="26">
        <f t="shared" si="5"/>
        <v>74.680000000000007</v>
      </c>
      <c r="M7" s="26">
        <f t="shared" si="6"/>
        <v>4032.7200000000003</v>
      </c>
      <c r="N7" s="27">
        <v>76.52</v>
      </c>
      <c r="O7" s="27">
        <f t="shared" si="8"/>
        <v>4132.08</v>
      </c>
      <c r="P7" s="28"/>
      <c r="Q7" s="24">
        <v>74.680000000000007</v>
      </c>
      <c r="R7" s="29">
        <v>56</v>
      </c>
      <c r="S7" s="30">
        <v>0.03</v>
      </c>
      <c r="T7" s="29">
        <v>12</v>
      </c>
      <c r="U7" s="31">
        <v>5</v>
      </c>
      <c r="V7" s="32">
        <v>0</v>
      </c>
      <c r="W7" s="24">
        <f t="shared" si="7"/>
        <v>4032.7200000000003</v>
      </c>
    </row>
    <row r="8" spans="1:23" s="5" customFormat="1" ht="156" customHeight="1" outlineLevel="1">
      <c r="A8" s="22">
        <v>5</v>
      </c>
      <c r="B8" s="23">
        <v>30901001005</v>
      </c>
      <c r="C8" s="23" t="s">
        <v>443</v>
      </c>
      <c r="D8" s="23" t="s">
        <v>447</v>
      </c>
      <c r="E8" s="22" t="s">
        <v>43</v>
      </c>
      <c r="F8" s="24">
        <v>28</v>
      </c>
      <c r="G8" s="25">
        <f t="shared" si="0"/>
        <v>10</v>
      </c>
      <c r="H8" s="26">
        <f t="shared" si="1"/>
        <v>51.88</v>
      </c>
      <c r="I8" s="26">
        <f t="shared" si="2"/>
        <v>0</v>
      </c>
      <c r="J8" s="26">
        <f t="shared" si="3"/>
        <v>0</v>
      </c>
      <c r="K8" s="26">
        <f t="shared" si="4"/>
        <v>0</v>
      </c>
      <c r="L8" s="26">
        <f t="shared" si="5"/>
        <v>61.88</v>
      </c>
      <c r="M8" s="26">
        <f t="shared" si="6"/>
        <v>1732.64</v>
      </c>
      <c r="N8" s="27">
        <v>62.58</v>
      </c>
      <c r="O8" s="27">
        <f t="shared" si="8"/>
        <v>1752.24</v>
      </c>
      <c r="P8" s="28"/>
      <c r="Q8" s="24">
        <v>61.88</v>
      </c>
      <c r="R8" s="29">
        <v>46</v>
      </c>
      <c r="S8" s="30">
        <v>0.03</v>
      </c>
      <c r="T8" s="29">
        <v>10</v>
      </c>
      <c r="U8" s="31">
        <v>4.5</v>
      </c>
      <c r="V8" s="32">
        <v>0</v>
      </c>
      <c r="W8" s="24">
        <f t="shared" si="7"/>
        <v>1732.64</v>
      </c>
    </row>
    <row r="9" spans="1:23" s="5" customFormat="1" ht="156" customHeight="1" outlineLevel="1">
      <c r="A9" s="22">
        <v>6</v>
      </c>
      <c r="B9" s="23">
        <v>30901001006</v>
      </c>
      <c r="C9" s="23" t="s">
        <v>443</v>
      </c>
      <c r="D9" s="23" t="s">
        <v>448</v>
      </c>
      <c r="E9" s="22" t="s">
        <v>43</v>
      </c>
      <c r="F9" s="24">
        <v>83</v>
      </c>
      <c r="G9" s="25">
        <f t="shared" si="0"/>
        <v>22</v>
      </c>
      <c r="H9" s="26">
        <f t="shared" si="1"/>
        <v>30.9</v>
      </c>
      <c r="I9" s="26">
        <f t="shared" si="2"/>
        <v>0.5</v>
      </c>
      <c r="J9" s="26">
        <f t="shared" si="3"/>
        <v>0</v>
      </c>
      <c r="K9" s="26">
        <f t="shared" si="4"/>
        <v>0</v>
      </c>
      <c r="L9" s="26">
        <f t="shared" si="5"/>
        <v>53.4</v>
      </c>
      <c r="M9" s="26">
        <f t="shared" si="6"/>
        <v>4432.2</v>
      </c>
      <c r="N9" s="27">
        <v>66.14</v>
      </c>
      <c r="O9" s="27">
        <f t="shared" si="8"/>
        <v>5489.62</v>
      </c>
      <c r="P9" s="28"/>
      <c r="Q9" s="24">
        <f t="shared" ref="Q9:Q14" si="9">R9*(1+S9)+T9+U9+V9</f>
        <v>53.4</v>
      </c>
      <c r="R9" s="29">
        <v>30</v>
      </c>
      <c r="S9" s="30">
        <v>0.03</v>
      </c>
      <c r="T9" s="29">
        <v>22</v>
      </c>
      <c r="U9" s="31">
        <v>0</v>
      </c>
      <c r="V9" s="32">
        <v>0.5</v>
      </c>
      <c r="W9" s="24">
        <f t="shared" si="7"/>
        <v>4432.2</v>
      </c>
    </row>
    <row r="10" spans="1:23" s="5" customFormat="1" ht="156" customHeight="1" outlineLevel="1">
      <c r="A10" s="22">
        <v>7</v>
      </c>
      <c r="B10" s="23">
        <v>30901001007</v>
      </c>
      <c r="C10" s="23" t="s">
        <v>443</v>
      </c>
      <c r="D10" s="23" t="s">
        <v>449</v>
      </c>
      <c r="E10" s="22" t="s">
        <v>43</v>
      </c>
      <c r="F10" s="24">
        <v>38</v>
      </c>
      <c r="G10" s="25">
        <f t="shared" si="0"/>
        <v>20</v>
      </c>
      <c r="H10" s="26">
        <f t="shared" si="1"/>
        <v>22.66</v>
      </c>
      <c r="I10" s="26">
        <f t="shared" si="2"/>
        <v>0.5</v>
      </c>
      <c r="J10" s="26">
        <f t="shared" si="3"/>
        <v>0</v>
      </c>
      <c r="K10" s="26">
        <f t="shared" si="4"/>
        <v>0</v>
      </c>
      <c r="L10" s="26">
        <f t="shared" si="5"/>
        <v>43.16</v>
      </c>
      <c r="M10" s="26">
        <f t="shared" si="6"/>
        <v>1640.08</v>
      </c>
      <c r="N10" s="27">
        <v>54.99</v>
      </c>
      <c r="O10" s="27">
        <f t="shared" si="8"/>
        <v>2089.62</v>
      </c>
      <c r="P10" s="28"/>
      <c r="Q10" s="24">
        <f t="shared" si="9"/>
        <v>43.16</v>
      </c>
      <c r="R10" s="29">
        <v>22</v>
      </c>
      <c r="S10" s="30">
        <v>0.03</v>
      </c>
      <c r="T10" s="29">
        <v>20</v>
      </c>
      <c r="U10" s="31">
        <v>0</v>
      </c>
      <c r="V10" s="32">
        <v>0.5</v>
      </c>
      <c r="W10" s="24">
        <f t="shared" si="7"/>
        <v>1640.08</v>
      </c>
    </row>
    <row r="11" spans="1:23" s="5" customFormat="1" ht="156" customHeight="1" outlineLevel="1">
      <c r="A11" s="22">
        <v>8</v>
      </c>
      <c r="B11" s="23">
        <v>30901001008</v>
      </c>
      <c r="C11" s="23" t="s">
        <v>443</v>
      </c>
      <c r="D11" s="23" t="s">
        <v>450</v>
      </c>
      <c r="E11" s="22" t="s">
        <v>43</v>
      </c>
      <c r="F11" s="24">
        <v>175</v>
      </c>
      <c r="G11" s="25">
        <f t="shared" si="0"/>
        <v>18</v>
      </c>
      <c r="H11" s="26">
        <f t="shared" si="1"/>
        <v>18.54</v>
      </c>
      <c r="I11" s="26">
        <f t="shared" si="2"/>
        <v>0.5</v>
      </c>
      <c r="J11" s="26">
        <f t="shared" si="3"/>
        <v>0</v>
      </c>
      <c r="K11" s="26">
        <f t="shared" si="4"/>
        <v>0</v>
      </c>
      <c r="L11" s="26">
        <f t="shared" si="5"/>
        <v>37.04</v>
      </c>
      <c r="M11" s="26">
        <f t="shared" si="6"/>
        <v>6482</v>
      </c>
      <c r="N11" s="27">
        <v>54.5</v>
      </c>
      <c r="O11" s="27">
        <f t="shared" si="8"/>
        <v>9537.5</v>
      </c>
      <c r="P11" s="28"/>
      <c r="Q11" s="24">
        <f t="shared" si="9"/>
        <v>37.04</v>
      </c>
      <c r="R11" s="29">
        <v>18</v>
      </c>
      <c r="S11" s="30">
        <v>0.03</v>
      </c>
      <c r="T11" s="29">
        <v>18</v>
      </c>
      <c r="U11" s="31">
        <v>0</v>
      </c>
      <c r="V11" s="32">
        <v>0.5</v>
      </c>
      <c r="W11" s="24">
        <f t="shared" si="7"/>
        <v>6482</v>
      </c>
    </row>
    <row r="12" spans="1:23" s="5" customFormat="1" ht="156" customHeight="1" outlineLevel="1">
      <c r="A12" s="22">
        <v>9</v>
      </c>
      <c r="B12" s="23">
        <v>30901001009</v>
      </c>
      <c r="C12" s="23" t="s">
        <v>443</v>
      </c>
      <c r="D12" s="23" t="s">
        <v>451</v>
      </c>
      <c r="E12" s="22" t="s">
        <v>43</v>
      </c>
      <c r="F12" s="24">
        <v>420</v>
      </c>
      <c r="G12" s="25">
        <f t="shared" si="0"/>
        <v>15</v>
      </c>
      <c r="H12" s="26">
        <f t="shared" si="1"/>
        <v>14.42</v>
      </c>
      <c r="I12" s="26">
        <f t="shared" si="2"/>
        <v>0.5</v>
      </c>
      <c r="J12" s="26">
        <f t="shared" si="3"/>
        <v>0</v>
      </c>
      <c r="K12" s="26">
        <f t="shared" si="4"/>
        <v>0</v>
      </c>
      <c r="L12" s="26">
        <f t="shared" si="5"/>
        <v>29.92</v>
      </c>
      <c r="M12" s="26">
        <f t="shared" si="6"/>
        <v>12566.4</v>
      </c>
      <c r="N12" s="27">
        <v>38.89</v>
      </c>
      <c r="O12" s="27">
        <f t="shared" si="8"/>
        <v>16333.8</v>
      </c>
      <c r="P12" s="28"/>
      <c r="Q12" s="24">
        <f t="shared" si="9"/>
        <v>29.92</v>
      </c>
      <c r="R12" s="29">
        <v>14</v>
      </c>
      <c r="S12" s="30">
        <v>0.03</v>
      </c>
      <c r="T12" s="29">
        <v>15</v>
      </c>
      <c r="U12" s="31">
        <v>0</v>
      </c>
      <c r="V12" s="32">
        <v>0.5</v>
      </c>
      <c r="W12" s="24">
        <f t="shared" si="7"/>
        <v>12566.4</v>
      </c>
    </row>
    <row r="13" spans="1:23" s="5" customFormat="1" ht="84" customHeight="1" outlineLevel="1">
      <c r="A13" s="22">
        <v>10</v>
      </c>
      <c r="B13" s="23">
        <v>31301005003</v>
      </c>
      <c r="C13" s="23" t="s">
        <v>263</v>
      </c>
      <c r="D13" s="23" t="s">
        <v>452</v>
      </c>
      <c r="E13" s="22" t="s">
        <v>265</v>
      </c>
      <c r="F13" s="24">
        <v>425</v>
      </c>
      <c r="G13" s="25">
        <f t="shared" si="0"/>
        <v>5</v>
      </c>
      <c r="H13" s="26">
        <f t="shared" si="1"/>
        <v>20</v>
      </c>
      <c r="I13" s="26">
        <f t="shared" si="2"/>
        <v>0</v>
      </c>
      <c r="J13" s="26">
        <f t="shared" si="3"/>
        <v>0</v>
      </c>
      <c r="K13" s="26">
        <f t="shared" si="4"/>
        <v>0</v>
      </c>
      <c r="L13" s="26">
        <f t="shared" si="5"/>
        <v>25</v>
      </c>
      <c r="M13" s="26">
        <f t="shared" si="6"/>
        <v>10625</v>
      </c>
      <c r="N13" s="27">
        <v>29.87</v>
      </c>
      <c r="O13" s="27">
        <f t="shared" si="8"/>
        <v>12694.75</v>
      </c>
      <c r="P13" s="28"/>
      <c r="Q13" s="24">
        <v>25</v>
      </c>
      <c r="R13" s="29">
        <v>18</v>
      </c>
      <c r="S13" s="30">
        <v>0</v>
      </c>
      <c r="T13" s="29">
        <v>5</v>
      </c>
      <c r="U13" s="31">
        <v>2</v>
      </c>
      <c r="V13" s="32">
        <v>0</v>
      </c>
      <c r="W13" s="24">
        <f t="shared" si="7"/>
        <v>10625</v>
      </c>
    </row>
    <row r="14" spans="1:23" s="5" customFormat="1" ht="84" customHeight="1" outlineLevel="1">
      <c r="A14" s="22">
        <v>14</v>
      </c>
      <c r="B14" s="23">
        <v>31002001005</v>
      </c>
      <c r="C14" s="23" t="s">
        <v>453</v>
      </c>
      <c r="D14" s="23" t="s">
        <v>454</v>
      </c>
      <c r="E14" s="22" t="s">
        <v>46</v>
      </c>
      <c r="F14" s="24">
        <v>3</v>
      </c>
      <c r="G14" s="25">
        <f t="shared" si="0"/>
        <v>25.06</v>
      </c>
      <c r="H14" s="26">
        <f t="shared" si="1"/>
        <v>46</v>
      </c>
      <c r="I14" s="26">
        <f t="shared" si="2"/>
        <v>0</v>
      </c>
      <c r="J14" s="26">
        <f t="shared" si="3"/>
        <v>0</v>
      </c>
      <c r="K14" s="26">
        <f t="shared" si="4"/>
        <v>0</v>
      </c>
      <c r="L14" s="26">
        <f t="shared" si="5"/>
        <v>71.06</v>
      </c>
      <c r="M14" s="26">
        <f t="shared" si="6"/>
        <v>213.18</v>
      </c>
      <c r="N14" s="27">
        <v>67.709999999999994</v>
      </c>
      <c r="O14" s="27">
        <f t="shared" si="8"/>
        <v>203.13</v>
      </c>
      <c r="P14" s="28"/>
      <c r="Q14" s="24">
        <f t="shared" si="9"/>
        <v>71.06</v>
      </c>
      <c r="R14" s="29">
        <v>34</v>
      </c>
      <c r="S14" s="30">
        <v>0</v>
      </c>
      <c r="T14" s="29">
        <v>25.06</v>
      </c>
      <c r="U14" s="31">
        <v>12</v>
      </c>
      <c r="V14" s="32">
        <v>0</v>
      </c>
      <c r="W14" s="24">
        <f t="shared" si="7"/>
        <v>213.18</v>
      </c>
    </row>
    <row r="15" spans="1:23" s="5" customFormat="1" ht="96" customHeight="1" outlineLevel="1">
      <c r="A15" s="22">
        <v>15</v>
      </c>
      <c r="B15" s="23">
        <v>31002001023</v>
      </c>
      <c r="C15" s="23" t="s">
        <v>455</v>
      </c>
      <c r="D15" s="23" t="s">
        <v>456</v>
      </c>
      <c r="E15" s="22" t="s">
        <v>46</v>
      </c>
      <c r="F15" s="24">
        <v>2</v>
      </c>
      <c r="G15" s="25">
        <f t="shared" si="0"/>
        <v>15</v>
      </c>
      <c r="H15" s="26">
        <f t="shared" si="1"/>
        <v>116</v>
      </c>
      <c r="I15" s="26">
        <f t="shared" si="2"/>
        <v>0</v>
      </c>
      <c r="J15" s="26">
        <f t="shared" si="3"/>
        <v>0</v>
      </c>
      <c r="K15" s="26">
        <f t="shared" si="4"/>
        <v>0</v>
      </c>
      <c r="L15" s="26">
        <f t="shared" si="5"/>
        <v>131</v>
      </c>
      <c r="M15" s="26">
        <f t="shared" si="6"/>
        <v>262</v>
      </c>
      <c r="N15" s="27">
        <v>137.91999999999999</v>
      </c>
      <c r="O15" s="27">
        <f t="shared" si="8"/>
        <v>275.83999999999997</v>
      </c>
      <c r="P15" s="28"/>
      <c r="Q15" s="24">
        <v>131</v>
      </c>
      <c r="R15" s="29">
        <v>110</v>
      </c>
      <c r="S15" s="30">
        <v>0</v>
      </c>
      <c r="T15" s="29">
        <v>15</v>
      </c>
      <c r="U15" s="31">
        <v>6</v>
      </c>
      <c r="V15" s="32">
        <v>0</v>
      </c>
      <c r="W15" s="24">
        <f t="shared" si="7"/>
        <v>262</v>
      </c>
    </row>
    <row r="16" spans="1:23" s="5" customFormat="1" ht="96" customHeight="1" outlineLevel="1">
      <c r="A16" s="22">
        <v>29</v>
      </c>
      <c r="B16" s="23">
        <v>30902007003</v>
      </c>
      <c r="C16" s="23" t="s">
        <v>457</v>
      </c>
      <c r="D16" s="23" t="s">
        <v>458</v>
      </c>
      <c r="E16" s="22" t="s">
        <v>46</v>
      </c>
      <c r="F16" s="24">
        <v>213</v>
      </c>
      <c r="G16" s="25">
        <f t="shared" si="0"/>
        <v>6</v>
      </c>
      <c r="H16" s="26">
        <f t="shared" si="1"/>
        <v>20</v>
      </c>
      <c r="I16" s="26">
        <f t="shared" si="2"/>
        <v>0</v>
      </c>
      <c r="J16" s="26">
        <f t="shared" si="3"/>
        <v>0</v>
      </c>
      <c r="K16" s="26">
        <f t="shared" si="4"/>
        <v>0</v>
      </c>
      <c r="L16" s="26">
        <f t="shared" si="5"/>
        <v>26</v>
      </c>
      <c r="M16" s="26">
        <f t="shared" si="6"/>
        <v>5538</v>
      </c>
      <c r="N16" s="27">
        <v>27.97</v>
      </c>
      <c r="O16" s="27">
        <f t="shared" si="8"/>
        <v>5957.61</v>
      </c>
      <c r="P16" s="28"/>
      <c r="Q16" s="24">
        <v>26</v>
      </c>
      <c r="R16" s="29">
        <v>18</v>
      </c>
      <c r="S16" s="30">
        <v>0</v>
      </c>
      <c r="T16" s="29">
        <v>6</v>
      </c>
      <c r="U16" s="31">
        <v>2</v>
      </c>
      <c r="V16" s="32">
        <v>0</v>
      </c>
      <c r="W16" s="24">
        <f t="shared" si="7"/>
        <v>5538</v>
      </c>
    </row>
    <row r="17" spans="1:23" s="5" customFormat="1" ht="96" customHeight="1" outlineLevel="1">
      <c r="A17" s="22">
        <v>30</v>
      </c>
      <c r="B17" s="23">
        <v>30902007004</v>
      </c>
      <c r="C17" s="23" t="s">
        <v>457</v>
      </c>
      <c r="D17" s="23" t="s">
        <v>459</v>
      </c>
      <c r="E17" s="22" t="s">
        <v>46</v>
      </c>
      <c r="F17" s="24">
        <v>2</v>
      </c>
      <c r="G17" s="25">
        <f t="shared" si="0"/>
        <v>6</v>
      </c>
      <c r="H17" s="26">
        <f t="shared" si="1"/>
        <v>20</v>
      </c>
      <c r="I17" s="26">
        <f t="shared" si="2"/>
        <v>0</v>
      </c>
      <c r="J17" s="26">
        <f t="shared" si="3"/>
        <v>0</v>
      </c>
      <c r="K17" s="26">
        <f t="shared" si="4"/>
        <v>0</v>
      </c>
      <c r="L17" s="26">
        <f t="shared" si="5"/>
        <v>26</v>
      </c>
      <c r="M17" s="26">
        <f t="shared" si="6"/>
        <v>52</v>
      </c>
      <c r="N17" s="27">
        <v>27.97</v>
      </c>
      <c r="O17" s="27">
        <f t="shared" si="8"/>
        <v>55.94</v>
      </c>
      <c r="P17" s="28"/>
      <c r="Q17" s="24">
        <v>26</v>
      </c>
      <c r="R17" s="29">
        <v>18</v>
      </c>
      <c r="S17" s="30">
        <v>0</v>
      </c>
      <c r="T17" s="29">
        <v>6</v>
      </c>
      <c r="U17" s="31">
        <v>2</v>
      </c>
      <c r="V17" s="32">
        <v>0</v>
      </c>
      <c r="W17" s="24">
        <f t="shared" si="7"/>
        <v>52</v>
      </c>
    </row>
    <row r="18" spans="1:23" ht="29.1" customHeight="1">
      <c r="A18" s="33"/>
      <c r="B18" s="34" t="s">
        <v>119</v>
      </c>
      <c r="C18" s="34"/>
      <c r="D18" s="34"/>
      <c r="E18" s="35" t="s">
        <v>120</v>
      </c>
      <c r="F18" s="35"/>
      <c r="G18" s="36"/>
      <c r="H18" s="36"/>
      <c r="I18" s="36"/>
      <c r="J18" s="36"/>
      <c r="K18" s="36"/>
      <c r="L18" s="36"/>
      <c r="M18" s="37">
        <f>SUM(M4:M17)</f>
        <v>52855.78</v>
      </c>
      <c r="N18" s="38"/>
      <c r="O18" s="38">
        <f>SUM(O4:O17)</f>
        <v>63764.22</v>
      </c>
      <c r="P18" s="21"/>
      <c r="Q18" s="19"/>
      <c r="R18" s="19"/>
      <c r="S18" s="19"/>
      <c r="T18" s="19"/>
      <c r="U18" s="19"/>
      <c r="V18" s="19"/>
      <c r="W18" s="19"/>
    </row>
    <row r="19" spans="1:23" ht="29.1" customHeight="1">
      <c r="A19" s="33"/>
      <c r="B19" s="34" t="s">
        <v>121</v>
      </c>
      <c r="C19" s="34"/>
      <c r="D19" s="34"/>
      <c r="E19" s="35" t="s">
        <v>120</v>
      </c>
      <c r="F19" s="35"/>
      <c r="G19" s="36"/>
      <c r="H19" s="36"/>
      <c r="I19" s="36"/>
      <c r="J19" s="36"/>
      <c r="K19" s="36"/>
      <c r="L19" s="36"/>
      <c r="M19" s="37">
        <f>M18*0.09</f>
        <v>4757.0201999999999</v>
      </c>
      <c r="N19" s="38"/>
      <c r="O19" s="38">
        <f>O18*0.09</f>
        <v>5738.7798000000003</v>
      </c>
      <c r="P19" s="19"/>
      <c r="Q19" s="19"/>
      <c r="R19" s="19"/>
      <c r="S19" s="19"/>
      <c r="T19" s="19"/>
      <c r="U19" s="19"/>
      <c r="V19" s="19"/>
      <c r="W19" s="19"/>
    </row>
    <row r="20" spans="1:23" ht="29.1" customHeight="1">
      <c r="A20" s="33"/>
      <c r="B20" s="34" t="s">
        <v>3</v>
      </c>
      <c r="C20" s="34"/>
      <c r="D20" s="34"/>
      <c r="E20" s="35" t="s">
        <v>120</v>
      </c>
      <c r="F20" s="35"/>
      <c r="G20" s="36"/>
      <c r="H20" s="36"/>
      <c r="I20" s="36"/>
      <c r="J20" s="36"/>
      <c r="K20" s="36"/>
      <c r="L20" s="36"/>
      <c r="M20" s="37">
        <f>M18+M19</f>
        <v>57612.800199999998</v>
      </c>
      <c r="N20" s="38"/>
      <c r="O20" s="38">
        <f>O18+O19</f>
        <v>69502.999800000005</v>
      </c>
      <c r="P20" s="19"/>
      <c r="Q20" s="19"/>
      <c r="R20" s="19"/>
      <c r="S20" s="19"/>
      <c r="T20" s="19"/>
      <c r="U20" s="19"/>
      <c r="V20" s="19"/>
      <c r="W20" s="19"/>
    </row>
  </sheetData>
  <autoFilter ref="A2:W20" xr:uid="{00000000-0009-0000-0000-000007000000}"/>
  <mergeCells count="14">
    <mergeCell ref="A1:M1"/>
    <mergeCell ref="Q1:W1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L2:L3"/>
    <mergeCell ref="M2:M3"/>
  </mergeCells>
  <phoneticPr fontId="20" type="noConversion"/>
  <printOptions horizontalCentered="1"/>
  <pageMargins left="0.39305555555555599" right="0.39305555555555599" top="0.39305555555555599" bottom="0.59027777777777801" header="7.8472222222222193E-2" footer="0.196527777777778"/>
  <pageSetup paperSize="9" scale="89" orientation="landscape" r:id="rId1"/>
  <headerFooter>
    <oddFooter>&amp;C第 &amp;P 页，共 &amp;N 页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view="pageBreakPreview" zoomScaleNormal="100" workbookViewId="0">
      <selection activeCell="I8" sqref="I8"/>
    </sheetView>
  </sheetViews>
  <sheetFormatPr defaultColWidth="8.75" defaultRowHeight="13.5"/>
  <cols>
    <col min="2" max="2" width="22.25" style="1" customWidth="1"/>
    <col min="3" max="3" width="30.5" style="1" customWidth="1"/>
    <col min="4" max="4" width="11" style="1" customWidth="1"/>
  </cols>
  <sheetData>
    <row r="1" spans="1:4" ht="30" customHeight="1">
      <c r="A1" s="121" t="s">
        <v>460</v>
      </c>
      <c r="B1" s="122"/>
      <c r="C1" s="122"/>
      <c r="D1" s="122"/>
    </row>
    <row r="2" spans="1:4" ht="30" customHeight="1">
      <c r="A2" s="2" t="s">
        <v>1</v>
      </c>
      <c r="B2" s="2" t="s">
        <v>461</v>
      </c>
      <c r="C2" s="2" t="s">
        <v>462</v>
      </c>
      <c r="D2" s="2" t="s">
        <v>6</v>
      </c>
    </row>
    <row r="3" spans="1:4" ht="30" customHeight="1">
      <c r="A3" s="3">
        <v>1</v>
      </c>
      <c r="B3" s="4" t="s">
        <v>463</v>
      </c>
      <c r="C3" s="4" t="s">
        <v>464</v>
      </c>
      <c r="D3" s="4"/>
    </row>
    <row r="4" spans="1:4" ht="30" customHeight="1">
      <c r="A4" s="3">
        <v>2</v>
      </c>
      <c r="B4" s="4" t="s">
        <v>465</v>
      </c>
      <c r="C4" s="4" t="s">
        <v>466</v>
      </c>
      <c r="D4" s="4"/>
    </row>
    <row r="5" spans="1:4" ht="30" customHeight="1">
      <c r="A5" s="3">
        <v>3</v>
      </c>
      <c r="B5" s="4" t="s">
        <v>467</v>
      </c>
      <c r="C5" s="4" t="s">
        <v>464</v>
      </c>
      <c r="D5" s="4"/>
    </row>
    <row r="6" spans="1:4" ht="30" customHeight="1">
      <c r="A6" s="3">
        <v>4</v>
      </c>
      <c r="B6" s="4" t="s">
        <v>468</v>
      </c>
      <c r="C6" s="4" t="s">
        <v>464</v>
      </c>
      <c r="D6" s="4"/>
    </row>
    <row r="7" spans="1:4" ht="30" customHeight="1">
      <c r="A7" s="3">
        <v>5</v>
      </c>
      <c r="B7" s="4" t="s">
        <v>469</v>
      </c>
      <c r="C7" s="4" t="s">
        <v>466</v>
      </c>
      <c r="D7" s="4"/>
    </row>
    <row r="8" spans="1:4" ht="30" customHeight="1">
      <c r="A8" s="3">
        <v>6</v>
      </c>
      <c r="B8" s="4" t="s">
        <v>470</v>
      </c>
      <c r="C8" s="4" t="s">
        <v>466</v>
      </c>
      <c r="D8" s="4"/>
    </row>
    <row r="9" spans="1:4" ht="30" customHeight="1">
      <c r="A9" s="3">
        <v>7</v>
      </c>
      <c r="B9" s="4" t="s">
        <v>471</v>
      </c>
      <c r="C9" s="4" t="s">
        <v>466</v>
      </c>
      <c r="D9" s="4"/>
    </row>
    <row r="10" spans="1:4" ht="30" customHeight="1">
      <c r="A10" s="3">
        <v>8</v>
      </c>
      <c r="B10" s="4" t="s">
        <v>472</v>
      </c>
      <c r="C10" s="4" t="s">
        <v>466</v>
      </c>
      <c r="D10" s="4"/>
    </row>
    <row r="11" spans="1:4" ht="30" customHeight="1">
      <c r="A11" s="3">
        <v>9</v>
      </c>
      <c r="B11" s="4" t="s">
        <v>473</v>
      </c>
      <c r="C11" s="4" t="s">
        <v>464</v>
      </c>
      <c r="D11" s="4"/>
    </row>
    <row r="12" spans="1:4" ht="30" customHeight="1">
      <c r="A12" s="3">
        <v>10</v>
      </c>
      <c r="B12" s="4" t="s">
        <v>474</v>
      </c>
      <c r="C12" s="4" t="s">
        <v>464</v>
      </c>
      <c r="D12" s="4"/>
    </row>
    <row r="13" spans="1:4" ht="30" customHeight="1">
      <c r="A13" s="3">
        <v>11</v>
      </c>
      <c r="B13" s="4" t="s">
        <v>475</v>
      </c>
      <c r="C13" s="4" t="s">
        <v>464</v>
      </c>
      <c r="D13" s="4"/>
    </row>
    <row r="14" spans="1:4" ht="30" customHeight="1">
      <c r="A14" s="3">
        <v>12</v>
      </c>
      <c r="B14" s="4" t="s">
        <v>476</v>
      </c>
      <c r="C14" s="4" t="s">
        <v>464</v>
      </c>
      <c r="D14" s="4"/>
    </row>
    <row r="15" spans="1:4" ht="30" customHeight="1">
      <c r="A15" s="3">
        <v>13</v>
      </c>
      <c r="B15" s="4" t="s">
        <v>477</v>
      </c>
      <c r="C15" s="4" t="s">
        <v>464</v>
      </c>
      <c r="D15" s="4"/>
    </row>
  </sheetData>
  <mergeCells count="1">
    <mergeCell ref="A1:D1"/>
  </mergeCells>
  <phoneticPr fontId="20" type="noConversion"/>
  <printOptions horizontalCentered="1"/>
  <pageMargins left="0.75138888888888899" right="0.75138888888888899" top="1" bottom="1" header="0.5" footer="0.5"/>
  <pageSetup paperSize="9" orientation="portrait" r:id="rId1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16</vt:i4>
      </vt:variant>
    </vt:vector>
  </HeadingPairs>
  <TitlesOfParts>
    <vt:vector size="25" baseType="lpstr">
      <vt:lpstr>汇总表</vt:lpstr>
      <vt:lpstr>架空层安装工程</vt:lpstr>
      <vt:lpstr>会所售楼部安装工程</vt:lpstr>
      <vt:lpstr>样板房安装工程</vt:lpstr>
      <vt:lpstr>公共区域安装工程</vt:lpstr>
      <vt:lpstr>户内交标安装工程</vt:lpstr>
      <vt:lpstr>会所售楼处消防电工程</vt:lpstr>
      <vt:lpstr>会所售楼处消防水工程</vt:lpstr>
      <vt:lpstr>项目甲供清单</vt:lpstr>
      <vt:lpstr>公共区域安装工程!Print_Area</vt:lpstr>
      <vt:lpstr>户内交标安装工程!Print_Area</vt:lpstr>
      <vt:lpstr>会所售楼部安装工程!Print_Area</vt:lpstr>
      <vt:lpstr>会所售楼处消防电工程!Print_Area</vt:lpstr>
      <vt:lpstr>会所售楼处消防水工程!Print_Area</vt:lpstr>
      <vt:lpstr>架空层安装工程!Print_Area</vt:lpstr>
      <vt:lpstr>样板房安装工程!Print_Area</vt:lpstr>
      <vt:lpstr>公共区域安装工程!Print_Titles</vt:lpstr>
      <vt:lpstr>户内交标安装工程!Print_Titles</vt:lpstr>
      <vt:lpstr>汇总表!Print_Titles</vt:lpstr>
      <vt:lpstr>会所售楼部安装工程!Print_Titles</vt:lpstr>
      <vt:lpstr>会所售楼处消防电工程!Print_Titles</vt:lpstr>
      <vt:lpstr>会所售楼处消防水工程!Print_Titles</vt:lpstr>
      <vt:lpstr>架空层安装工程!Print_Titles</vt:lpstr>
      <vt:lpstr>项目甲供清单!Print_Titles</vt:lpstr>
      <vt:lpstr>样板房安装工程!Print_Titles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LCT</dc:creator>
  <cp:lastModifiedBy>guangwan</cp:lastModifiedBy>
  <dcterms:created xsi:type="dcterms:W3CDTF">2023-05-12T11:15:00Z</dcterms:created>
  <dcterms:modified xsi:type="dcterms:W3CDTF">2026-08-25T07:25:49Z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E7AB81D37970402C826C02F770FF4A02_12</vt:lpwstr>
  </property>
  <property fmtid="{D5CDD505-2E9C-101B-9397-08002B2CF9AE}" pid="4" name="CalculationRule">
    <vt:i4>0</vt:i4>
  </property>
</Properties>
</file>