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cost-estimation\清单数据资料\AI学习清单\岁宝壹品苑办公室装修清单\"/>
    </mc:Choice>
  </mc:AlternateContent>
  <bookViews>
    <workbookView windowWidth="27945" windowHeight="12255" firstSheet="2" activeTab="1"/>
  </bookViews>
  <sheets>
    <sheet name="报价汇总-装修工程" sheetId="2" r:id="rId1"/>
    <sheet name="不含空调消防清单" sheetId="1" r:id="rId2"/>
    <sheet name="报价汇总-空调消防" sheetId="4" r:id="rId3"/>
    <sheet name="空调消防清单" sheetId="3" r:id="rId4"/>
    <sheet name="材料设备参考品牌" sheetId="5" r:id="rId5"/>
  </sheets>
  <definedNames>
    <definedName name="_xlnm._FilterDatabase" localSheetId="1" hidden="1">不含空调消防清单!$A$1:$U$108</definedName>
    <definedName name="_xlnm._FilterDatabase" localSheetId="3" hidden="1">空调消防清单!$A$1:$U$39</definedName>
    <definedName name="_xlnm.Print_Area" localSheetId="1">不含空调消防清单!$A$1:$H$108</definedName>
    <definedName name="_xlnm.Print_Titles" localSheetId="1">不含空调消防清单!$1:$2</definedName>
    <definedName name="_xlnm.Print_Area" localSheetId="0">'报价汇总-装修工程'!$A$1:$F$20</definedName>
    <definedName name="_xlnm.Print_Titles" localSheetId="0">'报价汇总-装修工程'!$1:$2</definedName>
    <definedName name="_xlnm.Print_Area" localSheetId="3">空调消防清单!$A$1:$H$39</definedName>
    <definedName name="_xlnm.Print_Titles" localSheetId="3">空调消防清单!$1:$2</definedName>
    <definedName name="_xlnm.Print_Area" localSheetId="2">'报价汇总-空调消防'!$A$1:$F$8</definedName>
    <definedName name="_xlnm.Print_Titles" localSheetId="2">'报价汇总-空调消防'!$1:$2</definedName>
    <definedName name="_xlnm.Print_Titles" localSheetId="4">材料设备参考品牌!$1:$2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<sst xmlns="http://schemas.openxmlformats.org/spreadsheetml/2006/main" count="558" uniqueCount="302">
  <si>
    <t>岁宝壹品苑D栋3206办公室装修汇总
装修工程</t>
  </si>
  <si>
    <t>序号</t>
  </si>
  <si>
    <t>名称</t>
  </si>
  <si>
    <t>金额（元）</t>
  </si>
  <si>
    <t>面积（㎡）</t>
  </si>
  <si>
    <t>单方价格（元/㎡）</t>
  </si>
  <si>
    <t>备注</t>
  </si>
  <si>
    <t>一</t>
  </si>
  <si>
    <t>装饰工程</t>
  </si>
  <si>
    <t>成本</t>
  </si>
  <si>
    <t>（一）</t>
  </si>
  <si>
    <t>隔墙工程</t>
  </si>
  <si>
    <t>装饰</t>
  </si>
  <si>
    <t>（二）</t>
  </si>
  <si>
    <t>地面工程</t>
  </si>
  <si>
    <t>空调</t>
  </si>
  <si>
    <t>（三）</t>
  </si>
  <si>
    <t>天花工程</t>
  </si>
  <si>
    <t>消防</t>
  </si>
  <si>
    <t>（四）</t>
  </si>
  <si>
    <t>墙面工程</t>
  </si>
  <si>
    <t>合计</t>
  </si>
  <si>
    <t>（五）</t>
  </si>
  <si>
    <t>固定家具及门窗工程</t>
  </si>
  <si>
    <t>二</t>
  </si>
  <si>
    <t>安装工程</t>
  </si>
  <si>
    <t>强电工程</t>
  </si>
  <si>
    <t>弱电工程</t>
  </si>
  <si>
    <t>三</t>
  </si>
  <si>
    <t>其他工程</t>
  </si>
  <si>
    <t>四</t>
  </si>
  <si>
    <t>小计：一+二+三</t>
  </si>
  <si>
    <t>五</t>
  </si>
  <si>
    <t>管理费</t>
  </si>
  <si>
    <t>六</t>
  </si>
  <si>
    <t>税金</t>
  </si>
  <si>
    <t>七</t>
  </si>
  <si>
    <t>装饰合计=四+五+六</t>
  </si>
  <si>
    <t>八</t>
  </si>
  <si>
    <t>消防空调</t>
  </si>
  <si>
    <t>九</t>
  </si>
  <si>
    <t>总计:
（装饰+消防空调）</t>
  </si>
  <si>
    <t>十</t>
  </si>
  <si>
    <t>施工图、效果图设计费</t>
  </si>
  <si>
    <t>十一</t>
  </si>
  <si>
    <t>共计:九+十</t>
  </si>
  <si>
    <t>岁宝壹品苑D栋3206办公室装修清单（不含空调消防）</t>
  </si>
  <si>
    <t>项目名称</t>
  </si>
  <si>
    <t>项目特征</t>
  </si>
  <si>
    <t>单位</t>
  </si>
  <si>
    <t>工程量</t>
  </si>
  <si>
    <t>综合单价（不含税）</t>
  </si>
  <si>
    <t>合价</t>
  </si>
  <si>
    <t>主材费</t>
  </si>
  <si>
    <t>主材损耗率</t>
  </si>
  <si>
    <t>人工费</t>
  </si>
  <si>
    <t>辅材费</t>
  </si>
  <si>
    <t>机械费</t>
  </si>
  <si>
    <t>成本价</t>
  </si>
  <si>
    <t>成本合计</t>
  </si>
  <si>
    <t>拆除原有砖墙
（200mm厚）</t>
  </si>
  <si>
    <t>1、人工拆除
2、机械设备
3、防护措施
4、垃圾清理装袋</t>
  </si>
  <si>
    <t>㎡</t>
  </si>
  <si>
    <t>横梁槽钢加固</t>
  </si>
  <si>
    <t>1、原墙面开门洞后横梁槽钢加固</t>
  </si>
  <si>
    <t>m</t>
  </si>
  <si>
    <t>水泥砂浆修补</t>
  </si>
  <si>
    <t>1、门洞侧边水泥砂浆修补</t>
  </si>
  <si>
    <t>12mm阻燃夹板封边</t>
  </si>
  <si>
    <t>1、原墙面开门洞后12mm阻燃夹板封边</t>
  </si>
  <si>
    <t>轻钢龙骨隔墙</t>
  </si>
  <si>
    <t>双层双面轻钢龙骨隔墙
1、墙厚120mm;
2、75mm轻钢龙骨；
3、50mm厚，48kg/m3的吸音棉；
4、12mm阻燃夹板+9.5mm厚石膏板</t>
  </si>
  <si>
    <t>轻钢龙骨</t>
  </si>
  <si>
    <t>1、天地龙骨
2、竖龙骨
3、穿心龙骨
4、其他辅材</t>
  </si>
  <si>
    <t>50mm厚吸音棉</t>
  </si>
  <si>
    <t>1、50mm厚，48kg/m3的吸音棉</t>
  </si>
  <si>
    <t>12mm阻燃夹板</t>
  </si>
  <si>
    <t>1、单层12mm阻燃夹板打底</t>
  </si>
  <si>
    <t>9.5mm厚石膏板</t>
  </si>
  <si>
    <t>1、双面单层9.5mm厚石膏板</t>
  </si>
  <si>
    <t>GL-01 10mm厚钢化玻璃隔断
（总裁办公室、大门处）</t>
  </si>
  <si>
    <t>1、GL-01 10mm厚钢化玻璃;
2、玻璃胶收口</t>
  </si>
  <si>
    <t>不锈钢包边
（总裁办公室、大门处）</t>
  </si>
  <si>
    <t>1、MT-01不锈钢
2、12mm厚阻燃夹板</t>
  </si>
  <si>
    <t>钢化玻璃隔断上方封板</t>
  </si>
  <si>
    <t>双层双面钢结构龙骨隔墙
1、墙厚120mm;
2、钢结构龙骨；
3、50mm厚，48kg/m3的吸音棉；
4、12mm厚阻燃夹板+9.5mm厚石膏板</t>
  </si>
  <si>
    <t>钢结构龙骨</t>
  </si>
  <si>
    <t>1、钢结构龙骨
2、刷防锈漆
3、其他辅材</t>
  </si>
  <si>
    <t>隐藏式折叠门上方钢结构加固封板</t>
  </si>
  <si>
    <t>100mm厚陶粒拌混泥土垫层</t>
  </si>
  <si>
    <t>1、100mm厚陶粒拌混泥土垫层</t>
  </si>
  <si>
    <t>地面岩板</t>
  </si>
  <si>
    <t>1、CT-01岩板9mm厚
2、规格：800*1600
3、专用胶泥结合层，厚度包干，后期不因厚度调整价格；</t>
  </si>
  <si>
    <t>美缝</t>
  </si>
  <si>
    <t>1、专业美缝剂美缝</t>
  </si>
  <si>
    <t>5mm厚不锈钢地面收口条</t>
  </si>
  <si>
    <t>1、5mm厚不锈钢收口条</t>
  </si>
  <si>
    <t>石膏板跌级天花吊顶</t>
  </si>
  <si>
    <t>1、吊顶形式：平级+跌级吊顶
2、基层：轻钢龙骨+双层9.5mm厚石膏板
3.含各种灯具、检修口、风口开口</t>
  </si>
  <si>
    <t>1、轻钢龙骨吊顶
2、其他辅材</t>
  </si>
  <si>
    <t>1、12mm阻燃夹板</t>
  </si>
  <si>
    <t>天花板缝贴纸带刮平整</t>
  </si>
  <si>
    <t>天花挂耐水腻子</t>
  </si>
  <si>
    <t>1、耐水腻子2道，含打磨、修补</t>
  </si>
  <si>
    <t>天棚乳胶漆</t>
  </si>
  <si>
    <t>1、面层：PT-01无机白色涂料一底二面</t>
  </si>
  <si>
    <t>天花灯槽</t>
  </si>
  <si>
    <t>1、规格：100*100*100mm天花灯槽
2、基层：轻钢龙骨
3、面层：12mm厚阻燃夹板+9.5mm厚石膏板</t>
  </si>
  <si>
    <t>窗帘盒</t>
  </si>
  <si>
    <t>1、基层：钢结构龙骨+阻燃板基层
2、面层：9.5mm厚石膏板</t>
  </si>
  <si>
    <t>窗帘</t>
  </si>
  <si>
    <t>1、成品窗帘</t>
  </si>
  <si>
    <t>电动窗帘电机</t>
  </si>
  <si>
    <t>1、电动窗帘电机
2、含各种辅材</t>
  </si>
  <si>
    <t>台</t>
  </si>
  <si>
    <t>墙面缝贴纸带刮平整</t>
  </si>
  <si>
    <t>墙面挂耐水腻子</t>
  </si>
  <si>
    <t>耐水腻子2道，含打磨、修补</t>
  </si>
  <si>
    <t>墙面乳胶漆PT-01</t>
  </si>
  <si>
    <t>墙面艺术涂料PT-02</t>
  </si>
  <si>
    <t>1、面层：PT-02艺术涂料一底二面</t>
  </si>
  <si>
    <t>木饰面饰面</t>
  </si>
  <si>
    <t>1、面层：木饰面饰面
2、基层：12mm厚阻燃夹板</t>
  </si>
  <si>
    <t>logo招牌
（背景墙）</t>
  </si>
  <si>
    <t>1、面层：成品定制</t>
  </si>
  <si>
    <t>套</t>
  </si>
  <si>
    <t>MT-01 1.2mm厚不锈钢踢脚线</t>
  </si>
  <si>
    <t>1、规格尺寸：50mm高
2、面层：MT-01 1.2mm厚不锈钢
3、基层：轻钢龙骨+12mm厚阻燃夹板</t>
  </si>
  <si>
    <t>墙面灯槽</t>
  </si>
  <si>
    <t>1、规格：100*50mm灯槽
2、基层：轻钢龙骨
3、面层：12mm厚阻燃夹板+9.5mm厚石膏板</t>
  </si>
  <si>
    <t>岩板墙饰面
（前台处）</t>
  </si>
  <si>
    <t>1、面层：CT-02成品岩板6mm厚
2、基层：12mm厚阻燃夹板</t>
  </si>
  <si>
    <t>前台岩板置物台</t>
  </si>
  <si>
    <t>1、规格尺寸：1200*300*150mm
2、面层：CT-02岩板
3、基层：钢结构龙骨+12mm厚阻燃夹板</t>
  </si>
  <si>
    <t>玻璃磨砂膜</t>
  </si>
  <si>
    <t>1.基层清理
2.提供及安装玻璃磨砂膜</t>
  </si>
  <si>
    <t>门禁系统安装</t>
  </si>
  <si>
    <t>1、门洞尺寸：1600*2500mm
2、门洞开口及修补加固
3、玻璃门保护性拆除及拆除后重新安装</t>
  </si>
  <si>
    <t>项</t>
  </si>
  <si>
    <t>玻璃双开门</t>
  </si>
  <si>
    <t>1、10mm厚钢化玻璃门
2、门洞尺寸：1625mm*2800mm
3、含门锁.不锈钢扶手五金等制作安装</t>
  </si>
  <si>
    <t>樘</t>
  </si>
  <si>
    <t>扶手</t>
  </si>
  <si>
    <t>副</t>
  </si>
  <si>
    <t>门夹</t>
  </si>
  <si>
    <t>地弹簧</t>
  </si>
  <si>
    <t>木饰面单开门</t>
  </si>
  <si>
    <t>1、木饰面单开门
2、门洞尺寸：800mm*2400mm
3、含门套、门锁五金、门吸等制作安装</t>
  </si>
  <si>
    <t>门锁</t>
  </si>
  <si>
    <t>个</t>
  </si>
  <si>
    <t>合页</t>
  </si>
  <si>
    <t>门吸</t>
  </si>
  <si>
    <t>拉手</t>
  </si>
  <si>
    <t>木饰面双开门
（总裁办公室）</t>
  </si>
  <si>
    <t>1、木饰面双开门
2、门洞尺寸：1700mm*2800mm
3、含门套、门锁五金、门吸等制作安装</t>
  </si>
  <si>
    <t>隔断旋转门WD-01
（大会议室）</t>
  </si>
  <si>
    <t>1、隔断旋转门（5扇门）
2、门洞尺寸：4250mm*3000mm
3、含门套、门锁五金、导轨等制作安装</t>
  </si>
  <si>
    <t>移门导轨</t>
  </si>
  <si>
    <t>隐藏拉手</t>
  </si>
  <si>
    <t>柜顶封板
（总经理办公室）</t>
  </si>
  <si>
    <t>1、12mm厚阻燃夹板+9.5mm厚石膏板
2、轻钢龙骨</t>
  </si>
  <si>
    <t>m2</t>
  </si>
  <si>
    <t>储藏室柜</t>
  </si>
  <si>
    <t>1、规格尺寸：2000*2800*400mm
2、木饰面板柜体；
3、按平面投影面积计算,综合考虑柜体尺寸及内部做法；
4、含包边、饰面、柜体五金、抽屉及其他所需材料安装施工；
5、满足设计图纸、招标要求及国家有关现行施工及验收规范要求</t>
  </si>
  <si>
    <t>总裁办公室柜</t>
  </si>
  <si>
    <t>1、规格尺寸：3530*600*2800
2、木饰面板柜体；
3、按平面投影面积计算,综合考虑柜体尺寸及内部做法；
4、含包边、饰面、柜体五金、抽屉及其他所需材料安装施工；
5、满足设计图纸、招标要求及国家有关现行施工及验收规范要求</t>
  </si>
  <si>
    <t>岩板墙饰面
（总裁办公室柜）</t>
  </si>
  <si>
    <t>1、面层：CT-03成品岩板6mm厚
2、基层：12mm厚阻燃夹板</t>
  </si>
  <si>
    <t>强电部分(不含照明灯具及开关插座)</t>
  </si>
  <si>
    <r>
      <rPr>
        <sz val="10"/>
        <rFont val="黑体"/>
        <charset val="134"/>
      </rPr>
      <t>1、成天泰2.5、4平方国标电源线；
2、照明线用wdz-byj-2.5m</t>
    </r>
    <r>
      <rPr>
        <sz val="10"/>
        <rFont val="宋体"/>
        <charset val="134"/>
      </rPr>
      <t>²</t>
    </r>
    <r>
      <rPr>
        <sz val="10"/>
        <rFont val="黑体"/>
        <charset val="134"/>
      </rPr>
      <t>,每路线负荷220V/2500W;
3、插座线用wdz-byj-4m</t>
    </r>
    <r>
      <rPr>
        <sz val="10"/>
        <rFont val="宋体"/>
        <charset val="134"/>
      </rPr>
      <t>²</t>
    </r>
    <r>
      <rPr>
        <sz val="10"/>
        <rFont val="黑体"/>
        <charset val="134"/>
      </rPr>
      <t>,每路线负荷
220V/4000W
4、含人工及镀锌金属线管</t>
    </r>
  </si>
  <si>
    <t>强电配电箱移位</t>
  </si>
  <si>
    <t>弱电配电箱移位</t>
  </si>
  <si>
    <t>装饰吊灯</t>
  </si>
  <si>
    <t>1、名称:定制装饰吊灯
2、规格:2400*350mm
3、安装形式:吊装
4、其他:满足设计及施工要求</t>
  </si>
  <si>
    <t>总总裁办公室吊灯</t>
  </si>
  <si>
    <t>1、名称:装饰吊灯
2、规格:
3、安装形式:吊装
4、其他:满足设计及施工要求</t>
  </si>
  <si>
    <t>装饰筒灯</t>
  </si>
  <si>
    <t>1、名称:筒灯
2、规格:
3、安装形式:嵌入式
4、其他:满足设计及施工要求</t>
  </si>
  <si>
    <t>装饰明装筒灯</t>
  </si>
  <si>
    <t>1、名称:明装筒灯
2、规格:
3、安装形式:吊装
4、其他:满足设计及施工要求</t>
  </si>
  <si>
    <t>可调节射灯</t>
  </si>
  <si>
    <t>1、名称:可调节射灯
2、规格:
3、安装形式:嵌入式
4、其他:满足设计及施工要求</t>
  </si>
  <si>
    <t>磁吸灯</t>
  </si>
  <si>
    <t>1、名称:磁吸灯
2、规格:
3、安装形式:嵌入式
4、其他:满足设计及施工要求</t>
  </si>
  <si>
    <t>天花灯带</t>
  </si>
  <si>
    <t>1、led灯带</t>
  </si>
  <si>
    <t>墙面灯带</t>
  </si>
  <si>
    <t>照明开关</t>
  </si>
  <si>
    <t>(1)名称:各种开关
(2)安装方式:距地1.3米安装
(3)其他:满足设计及施工要求</t>
  </si>
  <si>
    <t>插座</t>
  </si>
  <si>
    <t>(1)名称:单相二.三孔普通插座
(2)规格:250V 10A 安全型
(3)安装方式:详见图纸
(4)其他:满足设计及施工要求</t>
  </si>
  <si>
    <t>窗户自动开关器</t>
  </si>
  <si>
    <t>1、窗户自动开关器</t>
  </si>
  <si>
    <t>弱电部分（含信号线、网线，不含信号插座）</t>
  </si>
  <si>
    <t>1、紧定式镀锌电线管
2、信号线、网线
3、智能模块</t>
  </si>
  <si>
    <t>网络插座</t>
  </si>
  <si>
    <t>垃圾清运费</t>
  </si>
  <si>
    <t>1.将垃圾运至物业指定小区内装修垃圾存放点。2.物业运至外部垃圾厂。（含物业收取的垃圾外运费）</t>
  </si>
  <si>
    <t>建筑面积266.31㎡</t>
  </si>
  <si>
    <t>安全文明施工费</t>
  </si>
  <si>
    <t>保洁交付</t>
  </si>
  <si>
    <t>材料搬运费</t>
  </si>
  <si>
    <t>安全生产责任险</t>
  </si>
  <si>
    <t>甲醛处理</t>
  </si>
  <si>
    <t>现场成品保护</t>
  </si>
  <si>
    <t>1.根据物业标准，电梯厅，过道地面、墙面全屋做成品保护</t>
  </si>
  <si>
    <t>小计</t>
  </si>
  <si>
    <t>岁宝壹品苑D栋3206办公室装修汇总
空调消防</t>
  </si>
  <si>
    <t>合计：一+二</t>
  </si>
  <si>
    <t>合计=三+四+五</t>
  </si>
  <si>
    <t>岁宝壹品苑D栋3206办公室装修清单
空调消防</t>
  </si>
  <si>
    <t>空调工程</t>
  </si>
  <si>
    <t>空调风机盘管2P</t>
  </si>
  <si>
    <t>1、包含铝合金风口、空调管道、帆布、钢结构支架等</t>
  </si>
  <si>
    <t>消防改造</t>
  </si>
  <si>
    <t>火灾自动报警系统</t>
  </si>
  <si>
    <t>探测器拆除、安装</t>
  </si>
  <si>
    <t>1.名称：感烟
2.型号.规格：</t>
  </si>
  <si>
    <t>探测器新增、安装</t>
  </si>
  <si>
    <t>1.规格型号:感烟
2.其它：符合规范和设计要求</t>
  </si>
  <si>
    <t>消防广播拆除、安装</t>
  </si>
  <si>
    <t>1.名称：消防广播
2.型号.规格：</t>
  </si>
  <si>
    <t>电气配管</t>
  </si>
  <si>
    <t>1.型号规格：JDG20
2.敷设形式：综合考虑
3.含接线盒
4.根据现场情况改造到位</t>
  </si>
  <si>
    <t>米</t>
  </si>
  <si>
    <t>金属软管</t>
  </si>
  <si>
    <t>1.型号规格：φ20
2.敷设形式：综合考虑</t>
  </si>
  <si>
    <t>电气配线</t>
  </si>
  <si>
    <t>1.名称:阻燃屏蔽双绞线
2.型号规格：ZR-RVS-2*1.5mm
3.敷设方式：穿管及线槽敷设</t>
  </si>
  <si>
    <t>报警系统调试</t>
  </si>
  <si>
    <t>1、仅限我司施工
的项目</t>
  </si>
  <si>
    <t>编程入网、系统接驳</t>
  </si>
  <si>
    <t>1、由大厦原消防施工单位负责，物业统一收费</t>
  </si>
  <si>
    <t>不足4000元的按最低4000元计算。超过4000元的按建筑面积30元/㎡计算。</t>
  </si>
  <si>
    <t>自动喷淋灭火系统</t>
  </si>
  <si>
    <t>保护性拆除明装喷头</t>
  </si>
  <si>
    <t>1.名称：上喷头保护性拆除
2.型号.规格：</t>
  </si>
  <si>
    <t>明装喷头</t>
  </si>
  <si>
    <t>1.名称：明装喷头
2.型号.规格：
3.其它：符合规范和设计要求</t>
  </si>
  <si>
    <t>管网支吊架</t>
  </si>
  <si>
    <t>1、含钢制作、安装</t>
  </si>
  <si>
    <t>KG</t>
  </si>
  <si>
    <t>大红油漆（含人工及天那水）</t>
  </si>
  <si>
    <t>1、含油漆、天那水、人工</t>
  </si>
  <si>
    <t>桶</t>
  </si>
  <si>
    <t>消防喷淋管 DN25</t>
  </si>
  <si>
    <t>1.安装部位：室内
2.介质:喷淋给水
3.材质、规格:内外壁热镀锌钢管DN25  
4.连接方式:螺纹连接 含管件
5.其他要求:满足施工图纸技术规范要求</t>
  </si>
  <si>
    <t>消防喷淋管 DN32</t>
  </si>
  <si>
    <t>1.安装部位：室内
2.介质:喷淋给水
3.材质、规格:内外壁热镀锌钢管DN32 
4.连接方式:螺纹连接 含管件
5.其他要求:满足施工图纸技术规范要求</t>
  </si>
  <si>
    <t>消防喷淋管 DN40</t>
  </si>
  <si>
    <t>1.安装部位：室内
2.介质:喷淋给水
3.材质、规格:内外壁热镀锌钢管DN40 
4.连接方式:螺纹连接 含管件
5.其他要求:满足施工图纸技术规范要求</t>
  </si>
  <si>
    <t>消防喷淋管 DN50</t>
  </si>
  <si>
    <t>1.安装部位：室内
2.介质:喷淋给水
3.材质、规格:内外壁热镀锌钢管DN50
4.连接方式:螺纹连接 含管件
5.其他要求:满足施工图纸技术规范要求</t>
  </si>
  <si>
    <t>喷淋管网排水费</t>
  </si>
  <si>
    <t>1、含管网排水费及人工</t>
  </si>
  <si>
    <t>喷淋管网试压</t>
  </si>
  <si>
    <t>1、管网冲洗、试压、调试</t>
  </si>
  <si>
    <t>机械排烟系统</t>
  </si>
  <si>
    <t>镀锌风管拆除、移位</t>
  </si>
  <si>
    <t>镀锌风管新增、安装</t>
  </si>
  <si>
    <t>1.风管的制作与安装
2.法兰、支架的制作、防锈与安装固定</t>
  </si>
  <si>
    <t>风管防火包裹</t>
  </si>
  <si>
    <t>280℃防火阀拆除、安装</t>
  </si>
  <si>
    <t>1.型号：防火阀280℃
2.包含设备及辅材安装费
3.包含电源线接驳</t>
  </si>
  <si>
    <t>常开百叶风口</t>
  </si>
  <si>
    <t>1、规格：成品铝框架百叶风口供货及安装
2、包含但不限于编制说明、图纸、技术要求中的相关内容及完成该项目的一切所需</t>
  </si>
  <si>
    <t>排烟系统调试</t>
  </si>
  <si>
    <t>其他</t>
  </si>
  <si>
    <t>消防报验</t>
  </si>
  <si>
    <t>含相关部门收取的报验费用。</t>
  </si>
  <si>
    <t>综合专业设计出图</t>
  </si>
  <si>
    <t>3206材料设备参考品牌</t>
  </si>
  <si>
    <t>专业</t>
  </si>
  <si>
    <t>材料名称</t>
  </si>
  <si>
    <t>中高档品牌，报两三个品牌</t>
  </si>
  <si>
    <t>地砖</t>
  </si>
  <si>
    <t>玛格罗兰、简一</t>
  </si>
  <si>
    <t>岩板（800*1600）</t>
  </si>
  <si>
    <t>伊诺、玛格罗兰</t>
  </si>
  <si>
    <t>木饰面</t>
  </si>
  <si>
    <t>定制</t>
  </si>
  <si>
    <t>不锈钢</t>
  </si>
  <si>
    <t>国产优质</t>
  </si>
  <si>
    <t>石膏板</t>
  </si>
  <si>
    <t>深耐福</t>
  </si>
  <si>
    <t>夹板、阻燃板</t>
  </si>
  <si>
    <t>艺术漆</t>
  </si>
  <si>
    <t>乳胶漆</t>
  </si>
  <si>
    <t>立邦</t>
  </si>
  <si>
    <t>腻子</t>
  </si>
  <si>
    <t>安装</t>
  </si>
  <si>
    <t>照明，强电用线</t>
  </si>
  <si>
    <t>南洋</t>
  </si>
  <si>
    <t>灯具（射灯、筒灯）</t>
  </si>
  <si>
    <t>三雄、欧普</t>
  </si>
  <si>
    <t>LED灯带</t>
  </si>
  <si>
    <t>公牛</t>
  </si>
  <si>
    <t>信号线、网线</t>
  </si>
  <si>
    <t>海康</t>
  </si>
  <si>
    <t>空调风机盘管</t>
  </si>
  <si>
    <t>麦克维尔</t>
  </si>
  <si>
    <t>国产杜亚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</si>
</sst>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0.00_ "/>
  </numFmts>
  <fonts count="40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6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sz val="16"/>
      <color theme="1"/>
      <name val="宋体"/>
      <charset val="134"/>
      <scheme val="minor"/>
    </font>
    <font>
      <sz val="10"/>
      <name val="黑体"/>
      <charset val="134"/>
    </font>
    <font>
      <sz val="10"/>
      <color theme="1"/>
      <name val="黑体"/>
      <charset val="134"/>
    </font>
    <font>
      <sz val="11"/>
      <color theme="1"/>
      <name val="黑体"/>
      <charset val="134"/>
    </font>
    <font>
      <b/>
      <sz val="16"/>
      <name val="黑体"/>
      <charset val="134"/>
    </font>
    <font>
      <b/>
      <sz val="10"/>
      <name val="黑体"/>
      <charset val="134"/>
    </font>
    <font>
      <b/>
      <sz val="10"/>
      <color theme="1"/>
      <name val="黑体"/>
      <charset val="134"/>
    </font>
    <font>
      <sz val="10"/>
      <color rgb="FF000000"/>
      <name val="黑体"/>
      <charset val="134"/>
    </font>
    <font>
      <sz val="9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9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11" applyNumberFormat="0" applyAlignment="0" applyProtection="0">
      <alignment vertical="center"/>
    </xf>
    <xf numFmtId="0" fontId="27" fillId="5" borderId="12" applyNumberFormat="0" applyAlignment="0" applyProtection="0">
      <alignment vertical="center"/>
    </xf>
    <xf numFmtId="0" fontId="28" fillId="5" borderId="11" applyNumberFormat="0" applyAlignment="0" applyProtection="0">
      <alignment vertical="center"/>
    </xf>
    <xf numFmtId="0" fontId="29" fillId="6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7" fillId="0" borderId="0">
      <alignment vertical="center"/>
    </xf>
    <xf numFmtId="43" fontId="38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7" fillId="0" borderId="0"/>
    <xf numFmtId="0" fontId="37" fillId="0" borderId="0"/>
    <xf numFmtId="9" fontId="38" fillId="0" borderId="0" applyFont="0" applyFill="0" applyBorder="0" applyAlignment="0" applyProtection="0">
      <alignment vertical="center"/>
    </xf>
    <xf numFmtId="0" fontId="37" fillId="0" borderId="0"/>
    <xf numFmtId="0" fontId="37" fillId="0" borderId="0"/>
    <xf numFmtId="0" fontId="39" fillId="0" borderId="0"/>
    <xf numFmtId="0" fontId="0" fillId="0" borderId="0">
      <alignment vertical="center"/>
    </xf>
    <xf numFmtId="0" fontId="37" fillId="0" borderId="0"/>
  </cellStyleXfs>
  <cellXfs count="13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0" fontId="2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176" fontId="3" fillId="0" borderId="0" xfId="0" applyNumberFormat="1" applyFont="1" applyAlignment="1" applyProtection="1">
      <alignment horizontal="center" vertical="center" wrapText="1"/>
      <protection locked="0"/>
    </xf>
    <xf numFmtId="177" fontId="3" fillId="0" borderId="0" xfId="0" applyNumberFormat="1" applyFont="1" applyAlignment="1" applyProtection="1">
      <alignment horizontal="center" vertical="center" wrapText="1"/>
    </xf>
    <xf numFmtId="10" fontId="3" fillId="0" borderId="0" xfId="0" applyNumberFormat="1" applyFont="1" applyAlignment="1" applyProtection="1">
      <alignment horizontal="center" vertical="center" wrapText="1"/>
    </xf>
    <xf numFmtId="177" fontId="3" fillId="0" borderId="0" xfId="0" applyNumberFormat="1" applyFont="1" applyAlignment="1" applyProtection="1">
      <alignment horizontal="center" vertical="center" wrapText="1"/>
      <protection locked="0"/>
    </xf>
    <xf numFmtId="10" fontId="3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4" fillId="0" borderId="0" xfId="0" applyNumberFormat="1" applyFont="1" applyAlignment="1" applyProtection="1">
      <alignment horizontal="center" vertical="center" wrapText="1"/>
    </xf>
    <xf numFmtId="10" fontId="4" fillId="0" borderId="0" xfId="0" applyNumberFormat="1" applyFont="1" applyAlignment="1" applyProtection="1">
      <alignment horizontal="center" vertical="center" wrapText="1"/>
    </xf>
    <xf numFmtId="177" fontId="4" fillId="0" borderId="0" xfId="0" applyNumberFormat="1" applyFont="1" applyAlignment="1" applyProtection="1">
      <alignment horizontal="center" vertical="center" wrapText="1"/>
      <protection locked="0"/>
    </xf>
    <xf numFmtId="10" fontId="4" fillId="0" borderId="0" xfId="0" applyNumberFormat="1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176" fontId="3" fillId="0" borderId="1" xfId="0" applyNumberFormat="1" applyFont="1" applyBorder="1" applyAlignment="1" applyProtection="1">
      <alignment horizontal="center" vertical="center" wrapText="1"/>
      <protection locked="0"/>
    </xf>
    <xf numFmtId="177" fontId="4" fillId="0" borderId="1" xfId="0" applyNumberFormat="1" applyFont="1" applyBorder="1" applyAlignment="1" applyProtection="1">
      <alignment horizontal="center" vertical="center" wrapText="1"/>
    </xf>
    <xf numFmtId="10" fontId="4" fillId="0" borderId="1" xfId="0" applyNumberFormat="1" applyFont="1" applyBorder="1" applyAlignment="1" applyProtection="1">
      <alignment horizontal="center" vertical="center" wrapText="1"/>
    </xf>
    <xf numFmtId="177" fontId="4" fillId="0" borderId="1" xfId="0" applyNumberFormat="1" applyFont="1" applyBorder="1" applyAlignment="1" applyProtection="1">
      <alignment horizontal="center" vertical="center" wrapText="1"/>
      <protection locked="0"/>
    </xf>
    <xf numFmtId="10" fontId="4" fillId="0" borderId="1" xfId="0" applyNumberFormat="1" applyFont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177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left" vertical="center" wrapText="1"/>
      <protection locked="0"/>
    </xf>
    <xf numFmtId="176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8" fillId="0" borderId="1" xfId="0" applyNumberFormat="1" applyFont="1" applyFill="1" applyBorder="1" applyAlignment="1" applyProtection="1">
      <alignment horizontal="center" vertical="center" wrapText="1"/>
    </xf>
    <xf numFmtId="10" fontId="8" fillId="0" borderId="1" xfId="3" applyNumberFormat="1" applyFont="1" applyFill="1" applyBorder="1" applyAlignment="1" applyProtection="1">
      <alignment horizontal="center" vertical="center" wrapText="1"/>
    </xf>
    <xf numFmtId="177" fontId="1" fillId="0" borderId="1" xfId="0" applyNumberFormat="1" applyFont="1" applyFill="1" applyBorder="1" applyAlignment="1" applyProtection="1">
      <alignment horizontal="center" vertical="center" wrapText="1"/>
    </xf>
    <xf numFmtId="177" fontId="3" fillId="0" borderId="0" xfId="0" applyNumberFormat="1" applyFont="1" applyFill="1" applyAlignment="1" applyProtection="1">
      <alignment horizontal="center" vertical="center" wrapText="1"/>
      <protection locked="0"/>
    </xf>
    <xf numFmtId="10" fontId="3" fillId="0" borderId="0" xfId="0" applyNumberFormat="1" applyFont="1" applyFill="1" applyAlignment="1" applyProtection="1">
      <alignment horizontal="center" vertical="center" wrapText="1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176" fontId="6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58" applyFont="1" applyFill="1" applyBorder="1" applyAlignment="1">
      <alignment horizontal="left" vertical="center" wrapText="1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1" xfId="58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59" applyFont="1" applyFill="1" applyBorder="1" applyAlignment="1" applyProtection="1">
      <alignment vertical="center" wrapText="1"/>
    </xf>
    <xf numFmtId="176" fontId="6" fillId="0" borderId="1" xfId="0" applyNumberFormat="1" applyFont="1" applyBorder="1" applyAlignment="1" applyProtection="1">
      <alignment horizontal="center" vertical="center" wrapText="1"/>
    </xf>
    <xf numFmtId="9" fontId="6" fillId="0" borderId="1" xfId="0" applyNumberFormat="1" applyFont="1" applyBorder="1" applyAlignment="1" applyProtection="1">
      <alignment horizontal="left" vertical="center" wrapText="1"/>
      <protection locked="0"/>
    </xf>
    <xf numFmtId="176" fontId="4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>
      <alignment vertical="center" wrapText="1"/>
    </xf>
    <xf numFmtId="177" fontId="4" fillId="0" borderId="0" xfId="0" applyNumberFormat="1" applyFont="1" applyAlignment="1">
      <alignment vertical="center" wrapText="1"/>
    </xf>
    <xf numFmtId="177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177" fontId="9" fillId="0" borderId="3" xfId="0" applyNumberFormat="1" applyFont="1" applyBorder="1" applyAlignment="1">
      <alignment horizontal="center" vertical="center" wrapText="1"/>
    </xf>
    <xf numFmtId="177" fontId="9" fillId="0" borderId="4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177" fontId="7" fillId="0" borderId="6" xfId="0" applyNumberFormat="1" applyFont="1" applyBorder="1" applyAlignment="1">
      <alignment horizontal="center" vertical="center" wrapText="1"/>
    </xf>
    <xf numFmtId="177" fontId="7" fillId="0" borderId="7" xfId="0" applyNumberFormat="1" applyFont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>
      <alignment vertical="center"/>
    </xf>
    <xf numFmtId="0" fontId="10" fillId="0" borderId="0" xfId="0" applyFont="1" applyFill="1" applyAlignment="1" applyProtection="1">
      <alignment horizontal="center" vertical="center"/>
      <protection locked="0"/>
    </xf>
    <xf numFmtId="0" fontId="10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Alignment="1" applyProtection="1">
      <alignment horizontal="left" vertical="center" wrapText="1"/>
      <protection locked="0"/>
    </xf>
    <xf numFmtId="176" fontId="10" fillId="0" borderId="0" xfId="0" applyNumberFormat="1" applyFont="1" applyFill="1" applyAlignment="1" applyProtection="1">
      <alignment horizontal="center" vertical="center" wrapText="1"/>
      <protection locked="0"/>
    </xf>
    <xf numFmtId="177" fontId="10" fillId="0" borderId="0" xfId="0" applyNumberFormat="1" applyFont="1" applyFill="1" applyAlignment="1" applyProtection="1">
      <alignment horizontal="center" vertical="center" wrapText="1"/>
    </xf>
    <xf numFmtId="177" fontId="10" fillId="0" borderId="0" xfId="0" applyNumberFormat="1" applyFont="1" applyFill="1" applyAlignment="1" applyProtection="1">
      <alignment horizontal="center" vertical="center"/>
    </xf>
    <xf numFmtId="10" fontId="10" fillId="0" borderId="0" xfId="0" applyNumberFormat="1" applyFont="1" applyFill="1" applyAlignment="1" applyProtection="1">
      <alignment horizontal="center" vertical="center"/>
    </xf>
    <xf numFmtId="177" fontId="10" fillId="0" borderId="0" xfId="0" applyNumberFormat="1" applyFont="1" applyFill="1" applyAlignment="1" applyProtection="1">
      <alignment horizontal="center" vertical="center" wrapText="1"/>
      <protection locked="0"/>
    </xf>
    <xf numFmtId="10" fontId="10" fillId="0" borderId="0" xfId="0" applyNumberFormat="1" applyFont="1" applyFill="1" applyAlignment="1" applyProtection="1">
      <alignment horizontal="center" vertical="center" wrapText="1"/>
      <protection locked="0"/>
    </xf>
    <xf numFmtId="0" fontId="13" fillId="0" borderId="0" xfId="0" applyFont="1" applyFill="1" applyAlignment="1" applyProtection="1">
      <alignment horizontal="center" vertical="center"/>
      <protection locked="0"/>
    </xf>
    <xf numFmtId="0" fontId="13" fillId="0" borderId="0" xfId="0" applyFont="1" applyFill="1" applyAlignment="1" applyProtection="1">
      <alignment horizontal="center" vertical="center" wrapText="1"/>
      <protection locked="0"/>
    </xf>
    <xf numFmtId="0" fontId="14" fillId="0" borderId="0" xfId="0" applyFont="1" applyFill="1" applyAlignment="1" applyProtection="1">
      <alignment horizontal="left" vertical="center" wrapText="1"/>
      <protection locked="0"/>
    </xf>
    <xf numFmtId="177" fontId="11" fillId="0" borderId="0" xfId="0" applyNumberFormat="1" applyFont="1" applyFill="1" applyAlignment="1" applyProtection="1">
      <alignment horizontal="center" vertical="center" wrapText="1"/>
    </xf>
    <xf numFmtId="177" fontId="11" fillId="0" borderId="0" xfId="0" applyNumberFormat="1" applyFont="1" applyFill="1" applyAlignment="1" applyProtection="1">
      <alignment horizontal="center" vertical="center"/>
    </xf>
    <xf numFmtId="10" fontId="11" fillId="0" borderId="0" xfId="0" applyNumberFormat="1" applyFont="1" applyFill="1" applyAlignment="1" applyProtection="1">
      <alignment horizontal="center" vertical="center"/>
    </xf>
    <xf numFmtId="177" fontId="11" fillId="0" borderId="0" xfId="0" applyNumberFormat="1" applyFont="1" applyFill="1" applyAlignment="1" applyProtection="1">
      <alignment horizontal="center" vertical="center" wrapText="1"/>
      <protection locked="0"/>
    </xf>
    <xf numFmtId="10" fontId="11" fillId="0" borderId="0" xfId="0" applyNumberFormat="1" applyFont="1" applyFill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 applyProtection="1">
      <alignment horizontal="center" vertical="center"/>
      <protection locked="0"/>
    </xf>
    <xf numFmtId="0" fontId="10" fillId="0" borderId="1" xfId="0" applyFont="1" applyFill="1" applyBorder="1" applyAlignment="1" applyProtection="1">
      <alignment horizontal="center" vertical="center" wrapText="1"/>
      <protection locked="0"/>
    </xf>
    <xf numFmtId="176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11" fillId="0" borderId="1" xfId="0" applyNumberFormat="1" applyFont="1" applyFill="1" applyBorder="1" applyAlignment="1" applyProtection="1">
      <alignment horizontal="center" vertical="center" wrapText="1"/>
    </xf>
    <xf numFmtId="177" fontId="11" fillId="0" borderId="1" xfId="0" applyNumberFormat="1" applyFont="1" applyFill="1" applyBorder="1" applyAlignment="1" applyProtection="1">
      <alignment horizontal="center" vertical="center"/>
    </xf>
    <xf numFmtId="10" fontId="11" fillId="0" borderId="1" xfId="0" applyNumberFormat="1" applyFont="1" applyFill="1" applyBorder="1" applyAlignment="1" applyProtection="1">
      <alignment horizontal="center" vertical="center"/>
    </xf>
    <xf numFmtId="177" fontId="11" fillId="0" borderId="1" xfId="0" applyNumberFormat="1" applyFont="1" applyFill="1" applyBorder="1" applyAlignment="1" applyProtection="1">
      <alignment horizontal="center" vertical="center" wrapText="1"/>
      <protection locked="0"/>
    </xf>
    <xf numFmtId="10" fontId="1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1" xfId="0" applyFont="1" applyFill="1" applyBorder="1" applyAlignment="1" applyProtection="1">
      <alignment horizontal="center" vertical="center"/>
      <protection locked="0"/>
    </xf>
    <xf numFmtId="0" fontId="15" fillId="0" borderId="1" xfId="0" applyFont="1" applyFill="1" applyBorder="1" applyAlignment="1" applyProtection="1">
      <alignment vertical="center" wrapText="1"/>
      <protection locked="0"/>
    </xf>
    <xf numFmtId="0" fontId="15" fillId="0" borderId="1" xfId="0" applyFont="1" applyFill="1" applyBorder="1" applyAlignment="1" applyProtection="1">
      <alignment horizontal="left" vertical="center" wrapText="1"/>
      <protection locked="0"/>
    </xf>
    <xf numFmtId="0" fontId="15" fillId="0" borderId="1" xfId="0" applyFont="1" applyFill="1" applyBorder="1" applyAlignment="1" applyProtection="1">
      <alignment horizontal="center" vertical="center" wrapText="1"/>
      <protection locked="0"/>
    </xf>
    <xf numFmtId="177" fontId="1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Fill="1" applyAlignment="1" applyProtection="1">
      <alignment horizontal="center" vertical="center"/>
      <protection locked="0"/>
    </xf>
    <xf numFmtId="0" fontId="14" fillId="0" borderId="1" xfId="0" applyFont="1" applyFill="1" applyBorder="1" applyAlignment="1" applyProtection="1">
      <alignment horizontal="center" vertical="center"/>
      <protection locked="0"/>
    </xf>
    <xf numFmtId="0" fontId="14" fillId="0" borderId="1" xfId="0" applyFont="1" applyFill="1" applyBorder="1" applyAlignment="1" applyProtection="1">
      <alignment horizontal="left" vertical="center" wrapText="1"/>
      <protection locked="0"/>
    </xf>
    <xf numFmtId="0" fontId="14" fillId="0" borderId="1" xfId="0" applyFont="1" applyFill="1" applyBorder="1" applyAlignment="1" applyProtection="1">
      <alignment horizontal="center" vertical="center" wrapText="1"/>
      <protection locked="0"/>
    </xf>
    <xf numFmtId="176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 applyProtection="1">
      <alignment horizontal="left" vertical="center" wrapText="1"/>
      <protection locked="0"/>
    </xf>
    <xf numFmtId="177" fontId="16" fillId="0" borderId="1" xfId="0" applyNumberFormat="1" applyFont="1" applyFill="1" applyBorder="1" applyAlignment="1" applyProtection="1">
      <alignment horizontal="center" vertical="center" wrapText="1"/>
    </xf>
    <xf numFmtId="177" fontId="16" fillId="0" borderId="1" xfId="0" applyNumberFormat="1" applyFont="1" applyFill="1" applyBorder="1" applyAlignment="1" applyProtection="1">
      <alignment horizontal="center" vertical="center"/>
    </xf>
    <xf numFmtId="10" fontId="16" fillId="0" borderId="1" xfId="3" applyNumberFormat="1" applyFont="1" applyFill="1" applyBorder="1" applyAlignment="1" applyProtection="1">
      <alignment horizontal="center" vertical="center" wrapText="1"/>
    </xf>
    <xf numFmtId="177" fontId="10" fillId="0" borderId="1" xfId="0" applyNumberFormat="1" applyFont="1" applyFill="1" applyBorder="1" applyAlignment="1" applyProtection="1">
      <alignment horizontal="center" vertical="center"/>
    </xf>
    <xf numFmtId="177" fontId="11" fillId="0" borderId="0" xfId="0" applyNumberFormat="1" applyFont="1" applyFill="1" applyAlignment="1" applyProtection="1">
      <alignment horizontal="center" vertical="center"/>
      <protection locked="0"/>
    </xf>
    <xf numFmtId="10" fontId="11" fillId="0" borderId="0" xfId="0" applyNumberFormat="1" applyFont="1" applyFill="1" applyAlignment="1" applyProtection="1">
      <alignment horizontal="center" vertical="center"/>
      <protection locked="0"/>
    </xf>
    <xf numFmtId="177" fontId="11" fillId="0" borderId="0" xfId="0" applyNumberFormat="1" applyFont="1" applyFill="1" applyAlignment="1">
      <alignment horizontal="center" vertical="center"/>
    </xf>
    <xf numFmtId="10" fontId="10" fillId="0" borderId="0" xfId="0" applyNumberFormat="1" applyFont="1" applyFill="1" applyAlignment="1" applyProtection="1">
      <alignment horizontal="center" vertical="center"/>
      <protection locked="0"/>
    </xf>
    <xf numFmtId="177" fontId="10" fillId="0" borderId="0" xfId="0" applyNumberFormat="1" applyFont="1" applyFill="1" applyAlignment="1" applyProtection="1">
      <alignment horizontal="center" vertical="center"/>
      <protection locked="0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176" fontId="17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10" fillId="0" borderId="0" xfId="0" applyNumberFormat="1" applyFont="1" applyFill="1" applyAlignment="1">
      <alignment horizontal="center" vertical="center" wrapText="1"/>
    </xf>
    <xf numFmtId="176" fontId="14" fillId="0" borderId="1" xfId="0" applyNumberFormat="1" applyFont="1" applyFill="1" applyBorder="1" applyAlignment="1" applyProtection="1">
      <alignment horizontal="center" vertical="center" wrapText="1"/>
    </xf>
    <xf numFmtId="9" fontId="14" fillId="0" borderId="1" xfId="0" applyNumberFormat="1" applyFont="1" applyFill="1" applyBorder="1" applyAlignment="1" applyProtection="1">
      <alignment horizontal="left" vertical="center" wrapText="1"/>
      <protection locked="0"/>
    </xf>
    <xf numFmtId="176" fontId="11" fillId="0" borderId="0" xfId="0" applyNumberFormat="1" applyFont="1" applyFill="1" applyAlignment="1" applyProtection="1">
      <alignment horizontal="center" vertical="center" wrapText="1"/>
      <protection locked="0"/>
    </xf>
    <xf numFmtId="177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177" fontId="4" fillId="0" borderId="6" xfId="0" applyNumberFormat="1" applyFont="1" applyBorder="1" applyAlignment="1">
      <alignment horizontal="center" vertical="center" wrapText="1"/>
    </xf>
    <xf numFmtId="177" fontId="4" fillId="0" borderId="7" xfId="0" applyNumberFormat="1" applyFont="1" applyBorder="1" applyAlignment="1">
      <alignment horizontal="center" vertical="center" wrapText="1"/>
    </xf>
    <xf numFmtId="10" fontId="4" fillId="0" borderId="0" xfId="3" applyNumberFormat="1" applyFont="1" applyAlignment="1">
      <alignment horizontal="center" vertical="center" wrapText="1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千位分隔 5" xfId="50"/>
    <cellStyle name="常规 3 10 2" xfId="51"/>
    <cellStyle name="常规 9" xfId="52"/>
    <cellStyle name="常规_沈阳万科柜体报价单070328 2" xfId="53"/>
    <cellStyle name="百分比 2" xfId="54"/>
    <cellStyle name="常规 10 2" xfId="55"/>
    <cellStyle name="常规_沈阳万科柜体报价单070328" xfId="56"/>
    <cellStyle name="Normal" xfId="57"/>
    <cellStyle name="常规 2" xfId="58"/>
    <cellStyle name="0,0_x000d__x000a_NA_x000d__x000a_" xfId="5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24130</xdr:colOff>
      <xdr:row>0</xdr:row>
      <xdr:rowOff>144780</xdr:rowOff>
    </xdr:from>
    <xdr:to>
      <xdr:col>1</xdr:col>
      <xdr:colOff>965200</xdr:colOff>
      <xdr:row>0</xdr:row>
      <xdr:rowOff>753745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130" y="144780"/>
          <a:ext cx="1703070" cy="6089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114935</xdr:colOff>
      <xdr:row>0</xdr:row>
      <xdr:rowOff>46355</xdr:rowOff>
    </xdr:from>
    <xdr:to>
      <xdr:col>1</xdr:col>
      <xdr:colOff>1099820</xdr:colOff>
      <xdr:row>0</xdr:row>
      <xdr:rowOff>602615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935" y="46355"/>
          <a:ext cx="1544955" cy="5562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24130</xdr:colOff>
      <xdr:row>0</xdr:row>
      <xdr:rowOff>144780</xdr:rowOff>
    </xdr:from>
    <xdr:to>
      <xdr:col>1</xdr:col>
      <xdr:colOff>965200</xdr:colOff>
      <xdr:row>0</xdr:row>
      <xdr:rowOff>753745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130" y="144780"/>
          <a:ext cx="1703070" cy="6089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114935</xdr:colOff>
      <xdr:row>0</xdr:row>
      <xdr:rowOff>46355</xdr:rowOff>
    </xdr:from>
    <xdr:to>
      <xdr:col>1</xdr:col>
      <xdr:colOff>1099820</xdr:colOff>
      <xdr:row>0</xdr:row>
      <xdr:rowOff>602615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935" y="46355"/>
          <a:ext cx="1544955" cy="556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view="pageBreakPreview" zoomScaleNormal="100" workbookViewId="0">
      <pane xSplit="2" ySplit="2" topLeftCell="C3" activePane="bottomRight" state="frozen"/>
      <selection/>
      <selection pane="topRight"/>
      <selection pane="bottomLeft"/>
      <selection pane="bottomRight" activeCell="L7" sqref="L7"/>
    </sheetView>
  </sheetViews>
  <sheetFormatPr defaultColWidth="9" defaultRowHeight="12"/>
  <cols>
    <col min="1" max="1" width="10" style="8" customWidth="1"/>
    <col min="2" max="2" width="22" style="59" customWidth="1"/>
    <col min="3" max="3" width="17.5583333333333" style="60" customWidth="1"/>
    <col min="4" max="5" width="13.775" style="60" customWidth="1"/>
    <col min="6" max="6" width="13.4416666666667" style="60" customWidth="1"/>
    <col min="7" max="7" width="14.1083333333333" style="127" customWidth="1"/>
    <col min="8" max="8" width="10.125" style="127"/>
    <col min="9" max="11" width="9" style="127"/>
    <col min="12" max="15" width="9" style="128"/>
    <col min="16" max="16384" width="9" style="62"/>
  </cols>
  <sheetData>
    <row r="1" ht="63" customHeight="1" spans="1:8">
      <c r="A1" s="63"/>
      <c r="B1" s="64" t="s">
        <v>0</v>
      </c>
      <c r="C1" s="65"/>
      <c r="D1" s="65"/>
      <c r="E1" s="65"/>
      <c r="F1" s="66"/>
    </row>
    <row r="2" ht="27" customHeight="1" spans="1:8">
      <c r="A2" s="67" t="s">
        <v>1</v>
      </c>
      <c r="B2" s="68" t="s">
        <v>2</v>
      </c>
      <c r="C2" s="69" t="s">
        <v>3</v>
      </c>
      <c r="D2" s="70" t="s">
        <v>4</v>
      </c>
      <c r="E2" s="70" t="s">
        <v>5</v>
      </c>
      <c r="F2" s="71" t="s">
        <v>6</v>
      </c>
    </row>
    <row r="3" ht="24" customHeight="1" spans="1:8">
      <c r="A3" s="67" t="s">
        <v>7</v>
      </c>
      <c r="B3" s="68" t="s">
        <v>8</v>
      </c>
      <c r="C3" s="69">
        <f>不含空调消防清单!G3</f>
        <v>317676.81411</v>
      </c>
      <c r="D3" s="70"/>
      <c r="E3" s="70"/>
      <c r="F3" s="71"/>
      <c r="G3" s="127" t="s">
        <v>9</v>
      </c>
    </row>
    <row r="4" ht="24" customHeight="1" spans="1:8">
      <c r="A4" s="129" t="s">
        <v>10</v>
      </c>
      <c r="B4" s="130" t="s">
        <v>11</v>
      </c>
      <c r="C4" s="131">
        <f>不含空调消防清单!G4</f>
        <v>24078.48879</v>
      </c>
      <c r="D4" s="132"/>
      <c r="E4" s="132"/>
      <c r="F4" s="133"/>
      <c r="G4" s="127" t="s">
        <v>12</v>
      </c>
      <c r="H4" s="127">
        <v>346675.70951</v>
      </c>
    </row>
    <row r="5" ht="24" customHeight="1" spans="1:8">
      <c r="A5" s="129" t="s">
        <v>13</v>
      </c>
      <c r="B5" s="130" t="s">
        <v>14</v>
      </c>
      <c r="C5" s="131">
        <f>不含空调消防清单!G26</f>
        <v>137887.9985</v>
      </c>
      <c r="D5" s="132"/>
      <c r="E5" s="132"/>
      <c r="F5" s="133"/>
      <c r="G5" s="127" t="s">
        <v>15</v>
      </c>
      <c r="H5" s="127">
        <v>30000</v>
      </c>
    </row>
    <row r="6" ht="24" customHeight="1" spans="1:8">
      <c r="A6" s="129" t="s">
        <v>16</v>
      </c>
      <c r="B6" s="130" t="s">
        <v>17</v>
      </c>
      <c r="C6" s="131">
        <f>不含空调消防清单!G31</f>
        <v>53883.9043</v>
      </c>
      <c r="D6" s="132"/>
      <c r="E6" s="132"/>
      <c r="F6" s="133"/>
      <c r="G6" s="127" t="s">
        <v>18</v>
      </c>
      <c r="H6" s="127">
        <v>17789.3</v>
      </c>
    </row>
    <row r="7" ht="24" customHeight="1" spans="1:8">
      <c r="A7" s="129" t="s">
        <v>19</v>
      </c>
      <c r="B7" s="130" t="s">
        <v>20</v>
      </c>
      <c r="C7" s="131">
        <f>不含空调消防清单!G43</f>
        <v>59987.48677</v>
      </c>
      <c r="D7" s="132"/>
      <c r="E7" s="132"/>
      <c r="F7" s="133"/>
      <c r="G7" s="127" t="s">
        <v>21</v>
      </c>
      <c r="H7" s="127">
        <f>SUM(H4:H6)</f>
        <v>394465.00951</v>
      </c>
    </row>
    <row r="8" ht="24" customHeight="1" spans="1:8">
      <c r="A8" s="129" t="s">
        <v>22</v>
      </c>
      <c r="B8" s="130" t="s">
        <v>23</v>
      </c>
      <c r="C8" s="131">
        <f>不含空调消防清单!G55</f>
        <v>41838.93575</v>
      </c>
      <c r="D8" s="132"/>
      <c r="E8" s="132"/>
      <c r="F8" s="133"/>
      <c r="H8" s="127">
        <f>C13+C14+'报价汇总-空调消防'!C5+'报价汇总-空调消防'!C6</f>
        <v>475364.9765655</v>
      </c>
    </row>
    <row r="9" ht="24" customHeight="1" spans="1:8">
      <c r="A9" s="67" t="s">
        <v>24</v>
      </c>
      <c r="B9" s="68" t="s">
        <v>25</v>
      </c>
      <c r="C9" s="69">
        <f>不含空调消防清单!G78</f>
        <v>44640.75</v>
      </c>
      <c r="D9" s="70"/>
      <c r="E9" s="70"/>
      <c r="F9" s="71"/>
      <c r="H9" s="134">
        <f>(H8-H7)/H7</f>
        <v>0.205087815408502</v>
      </c>
    </row>
    <row r="10" ht="24" customHeight="1" spans="1:8">
      <c r="A10" s="129" t="s">
        <v>10</v>
      </c>
      <c r="B10" s="130" t="s">
        <v>26</v>
      </c>
      <c r="C10" s="131">
        <f>不含空调消防清单!G79</f>
        <v>38883.45</v>
      </c>
      <c r="D10" s="132"/>
      <c r="E10" s="132"/>
      <c r="F10" s="133"/>
    </row>
    <row r="11" ht="24" customHeight="1" spans="1:8">
      <c r="A11" s="129" t="s">
        <v>13</v>
      </c>
      <c r="B11" s="130" t="s">
        <v>27</v>
      </c>
      <c r="C11" s="131">
        <f>不含空调消防清单!G94</f>
        <v>5757.3</v>
      </c>
      <c r="D11" s="132"/>
      <c r="E11" s="132"/>
      <c r="F11" s="133"/>
    </row>
    <row r="12" ht="24" customHeight="1" spans="1:8">
      <c r="A12" s="67" t="s">
        <v>28</v>
      </c>
      <c r="B12" s="68" t="s">
        <v>29</v>
      </c>
      <c r="C12" s="69">
        <f>不含空调消防清单!G97</f>
        <v>27090.75</v>
      </c>
      <c r="D12" s="70"/>
      <c r="E12" s="70"/>
      <c r="F12" s="71"/>
    </row>
    <row r="13" ht="24" customHeight="1" spans="1:8">
      <c r="A13" s="67" t="s">
        <v>30</v>
      </c>
      <c r="B13" s="68" t="s">
        <v>31</v>
      </c>
      <c r="C13" s="69">
        <f>C3+C9+C12</f>
        <v>389408.31411</v>
      </c>
      <c r="D13" s="70"/>
      <c r="E13" s="70"/>
      <c r="F13" s="71"/>
    </row>
    <row r="14" ht="24" customHeight="1" spans="1:8">
      <c r="A14" s="67" t="s">
        <v>32</v>
      </c>
      <c r="B14" s="68" t="s">
        <v>33</v>
      </c>
      <c r="C14" s="69">
        <f>不含空调消防清单!G106</f>
        <v>19470.4157055</v>
      </c>
      <c r="D14" s="70"/>
      <c r="E14" s="70"/>
      <c r="F14" s="71"/>
    </row>
    <row r="15" ht="24" customHeight="1" spans="1:8">
      <c r="A15" s="67" t="s">
        <v>34</v>
      </c>
      <c r="B15" s="68" t="s">
        <v>35</v>
      </c>
      <c r="C15" s="69">
        <f>不含空调消防清单!G107</f>
        <v>36799.085683395</v>
      </c>
      <c r="D15" s="70"/>
      <c r="E15" s="70"/>
      <c r="F15" s="71"/>
    </row>
    <row r="16" ht="24" customHeight="1" spans="1:8">
      <c r="A16" s="67" t="s">
        <v>36</v>
      </c>
      <c r="B16" s="68" t="s">
        <v>37</v>
      </c>
      <c r="C16" s="69">
        <f>C13+C14+C15</f>
        <v>445677.815498895</v>
      </c>
      <c r="D16" s="70">
        <v>156.78</v>
      </c>
      <c r="E16" s="70">
        <f t="shared" ref="E16:E20" si="0">C16/D16</f>
        <v>2842.6955957322</v>
      </c>
      <c r="F16" s="71"/>
    </row>
    <row r="17" s="62" customFormat="1" ht="22" customHeight="1" spans="1:15">
      <c r="A17" s="67" t="s">
        <v>38</v>
      </c>
      <c r="B17" s="68" t="s">
        <v>39</v>
      </c>
      <c r="C17" s="69">
        <f>'报价汇总-空调消防'!C8</f>
        <v>72470.0089575</v>
      </c>
      <c r="D17" s="70">
        <v>156.78</v>
      </c>
      <c r="E17" s="70">
        <f t="shared" si="0"/>
        <v>462.240138777268</v>
      </c>
      <c r="F17" s="71"/>
      <c r="G17" s="127"/>
      <c r="H17" s="127"/>
      <c r="I17" s="127"/>
      <c r="J17" s="127"/>
      <c r="K17" s="127"/>
      <c r="L17" s="128"/>
      <c r="M17" s="128"/>
      <c r="N17" s="128"/>
      <c r="O17" s="128"/>
    </row>
    <row r="18" s="62" customFormat="1" ht="32" customHeight="1" spans="1:15">
      <c r="A18" s="67" t="s">
        <v>40</v>
      </c>
      <c r="B18" s="68" t="s">
        <v>41</v>
      </c>
      <c r="C18" s="69">
        <f>C16+C17</f>
        <v>518147.824456395</v>
      </c>
      <c r="D18" s="70">
        <v>156.78</v>
      </c>
      <c r="E18" s="70">
        <f t="shared" si="0"/>
        <v>3304.93573450947</v>
      </c>
      <c r="F18" s="71"/>
      <c r="G18" s="127"/>
      <c r="H18" s="127"/>
      <c r="I18" s="127"/>
      <c r="J18" s="127"/>
      <c r="K18" s="127"/>
      <c r="L18" s="128"/>
      <c r="M18" s="128"/>
      <c r="N18" s="128"/>
      <c r="O18" s="128"/>
    </row>
    <row r="19" s="62" customFormat="1" ht="32" customHeight="1" spans="1:15">
      <c r="A19" s="67" t="s">
        <v>42</v>
      </c>
      <c r="B19" s="68" t="s">
        <v>43</v>
      </c>
      <c r="C19" s="69">
        <v>-24000</v>
      </c>
      <c r="D19" s="70"/>
      <c r="E19" s="70"/>
      <c r="F19" s="71"/>
      <c r="G19" s="127"/>
      <c r="H19" s="127"/>
      <c r="I19" s="127"/>
      <c r="J19" s="127"/>
      <c r="K19" s="127"/>
      <c r="L19" s="128"/>
      <c r="M19" s="128"/>
      <c r="N19" s="128"/>
      <c r="O19" s="128"/>
    </row>
    <row r="20" s="62" customFormat="1" ht="30" customHeight="1" spans="1:15">
      <c r="A20" s="67" t="s">
        <v>44</v>
      </c>
      <c r="B20" s="68" t="s">
        <v>45</v>
      </c>
      <c r="C20" s="69">
        <f>C18+C19</f>
        <v>494147.824456395</v>
      </c>
      <c r="D20" s="70">
        <v>156.78</v>
      </c>
      <c r="E20" s="70">
        <f t="shared" si="0"/>
        <v>3151.8549844138</v>
      </c>
      <c r="F20" s="71"/>
      <c r="G20" s="127"/>
      <c r="H20" s="127"/>
      <c r="I20" s="127"/>
      <c r="J20" s="127"/>
      <c r="K20" s="127"/>
      <c r="L20" s="128"/>
      <c r="M20" s="128"/>
      <c r="N20" s="128"/>
      <c r="O20" s="128"/>
    </row>
  </sheetData>
  <mergeCells count="1">
    <mergeCell ref="B1:F1"/>
  </mergeCells>
  <printOptions horizontalCentered="1"/>
  <pageMargins left="0.590277777777778" right="0.590277777777778" top="0.590277777777778" bottom="0.590277777777778" header="0.196527777777778" footer="0.196527777777778"/>
  <pageSetup paperSize="9" orientation="portrait" horizontalDpi="600"/>
  <headerFooter>
    <oddFooter>&amp;C第 &amp;P 页，共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E112"/>
  <sheetViews>
    <sheetView tabSelected="1" view="pageBreakPreview" zoomScaleNormal="100" workbookViewId="0">
      <pane xSplit="4" ySplit="2" topLeftCell="E3" activePane="bottomRight" state="frozen"/>
      <selection/>
      <selection pane="topRight"/>
      <selection pane="bottomLeft"/>
      <selection pane="bottomRight" activeCell="S5" sqref="S5"/>
    </sheetView>
  </sheetViews>
  <sheetFormatPr defaultColWidth="8.99166666666667" defaultRowHeight="12"/>
  <cols>
    <col min="1" max="1" width="7.35" style="75" customWidth="1"/>
    <col min="2" max="2" width="17.5666666666667" style="76" customWidth="1"/>
    <col min="3" max="3" width="27.6583333333333" style="77" customWidth="1"/>
    <col min="4" max="4" width="5.48333333333333" style="76" customWidth="1"/>
    <col min="5" max="5" width="12.225" style="78" customWidth="1"/>
    <col min="6" max="6" width="12.8916666666667" style="78" customWidth="1"/>
    <col min="7" max="7" width="13.1833333333333" style="78" customWidth="1"/>
    <col min="8" max="8" width="15.625" style="76" customWidth="1"/>
    <col min="9" max="9" width="12.8916666666667" style="79"/>
    <col min="10" max="10" width="12.7416666666667" style="80" hidden="1" customWidth="1"/>
    <col min="11" max="11" width="8.99166666666667" style="81" hidden="1" customWidth="1"/>
    <col min="12" max="14" width="8.99166666666667" style="80" hidden="1" customWidth="1"/>
    <col min="15" max="15" width="9.66666666666667" style="80" customWidth="1"/>
    <col min="16" max="16" width="9.66666666666667" style="79" customWidth="1"/>
    <col min="17" max="17" width="10.775" style="82"/>
    <col min="18" max="18" width="11.6083333333333" style="83"/>
    <col min="19" max="21" width="8.99166666666667" style="82"/>
    <col min="22" max="22" width="13.775" style="82" customWidth="1"/>
    <col min="23" max="30" width="8.99166666666667" style="82"/>
    <col min="31" max="31" width="8.99166666666667" style="75"/>
    <col min="32" max="16384" width="8.99166666666667" style="72"/>
  </cols>
  <sheetData>
    <row r="1" s="72" customFormat="1" ht="57" customHeight="1" spans="1:31">
      <c r="A1" s="84" t="s">
        <v>46</v>
      </c>
      <c r="B1" s="85"/>
      <c r="C1" s="86"/>
      <c r="D1" s="85"/>
      <c r="E1" s="85"/>
      <c r="F1" s="85"/>
      <c r="G1" s="85"/>
      <c r="H1" s="85"/>
      <c r="I1" s="87">
        <f>G108</f>
        <v>445677.815498895</v>
      </c>
      <c r="J1" s="88"/>
      <c r="K1" s="89"/>
      <c r="L1" s="88"/>
      <c r="M1" s="88"/>
      <c r="N1" s="88"/>
      <c r="O1" s="88"/>
      <c r="P1" s="87"/>
      <c r="Q1" s="90">
        <v>1</v>
      </c>
      <c r="R1" s="91"/>
      <c r="S1" s="87">
        <f t="shared" ref="S1:U1" si="0">$Q$1</f>
        <v>1</v>
      </c>
      <c r="T1" s="87">
        <f t="shared" si="0"/>
        <v>1</v>
      </c>
      <c r="U1" s="87">
        <f t="shared" si="0"/>
        <v>1</v>
      </c>
      <c r="V1" s="82">
        <f>'报价汇总-装修工程'!G17</f>
        <v>0</v>
      </c>
      <c r="W1" s="82"/>
      <c r="X1" s="82"/>
      <c r="Y1" s="82"/>
      <c r="Z1" s="82"/>
      <c r="AA1" s="82"/>
      <c r="AB1" s="82"/>
      <c r="AC1" s="82"/>
      <c r="AD1" s="82"/>
      <c r="AE1" s="75"/>
    </row>
    <row r="2" s="72" customFormat="1" ht="24" spans="1:31">
      <c r="A2" s="92" t="s">
        <v>1</v>
      </c>
      <c r="B2" s="93" t="s">
        <v>47</v>
      </c>
      <c r="C2" s="93" t="s">
        <v>48</v>
      </c>
      <c r="D2" s="93" t="s">
        <v>49</v>
      </c>
      <c r="E2" s="94" t="s">
        <v>50</v>
      </c>
      <c r="F2" s="94" t="s">
        <v>51</v>
      </c>
      <c r="G2" s="94" t="s">
        <v>52</v>
      </c>
      <c r="H2" s="93" t="s">
        <v>6</v>
      </c>
      <c r="I2" s="95" t="s">
        <v>51</v>
      </c>
      <c r="J2" s="96" t="s">
        <v>53</v>
      </c>
      <c r="K2" s="97" t="s">
        <v>54</v>
      </c>
      <c r="L2" s="96" t="s">
        <v>55</v>
      </c>
      <c r="M2" s="96" t="s">
        <v>56</v>
      </c>
      <c r="N2" s="96" t="s">
        <v>57</v>
      </c>
      <c r="O2" s="96" t="s">
        <v>21</v>
      </c>
      <c r="P2" s="95" t="s">
        <v>58</v>
      </c>
      <c r="Q2" s="98" t="s">
        <v>53</v>
      </c>
      <c r="R2" s="99" t="s">
        <v>54</v>
      </c>
      <c r="S2" s="98" t="s">
        <v>55</v>
      </c>
      <c r="T2" s="98" t="s">
        <v>56</v>
      </c>
      <c r="U2" s="98" t="s">
        <v>57</v>
      </c>
      <c r="V2" s="95" t="s">
        <v>59</v>
      </c>
      <c r="W2" s="82"/>
      <c r="X2" s="82"/>
      <c r="Y2" s="82"/>
      <c r="Z2" s="82"/>
      <c r="AA2" s="82"/>
      <c r="AB2" s="82"/>
      <c r="AC2" s="82"/>
      <c r="AD2" s="82"/>
      <c r="AE2" s="75"/>
    </row>
    <row r="3" s="73" customFormat="1" ht="26" customHeight="1" spans="1:31">
      <c r="A3" s="100" t="s">
        <v>7</v>
      </c>
      <c r="B3" s="101" t="s">
        <v>8</v>
      </c>
      <c r="C3" s="102"/>
      <c r="D3" s="103"/>
      <c r="E3" s="104"/>
      <c r="F3" s="104"/>
      <c r="G3" s="104">
        <f>SUBTOTAL(9,G4:G77)</f>
        <v>317676.81411</v>
      </c>
      <c r="H3" s="104"/>
      <c r="I3" s="95"/>
      <c r="J3" s="96"/>
      <c r="K3" s="97"/>
      <c r="L3" s="96"/>
      <c r="M3" s="96"/>
      <c r="N3" s="96"/>
      <c r="O3" s="96"/>
      <c r="P3" s="87"/>
      <c r="Q3" s="90"/>
      <c r="R3" s="91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105"/>
    </row>
    <row r="4" s="72" customFormat="1" ht="21" customHeight="1" spans="1:31">
      <c r="A4" s="106" t="s">
        <v>10</v>
      </c>
      <c r="B4" s="107" t="s">
        <v>11</v>
      </c>
      <c r="C4" s="107"/>
      <c r="D4" s="108"/>
      <c r="E4" s="109"/>
      <c r="F4" s="109"/>
      <c r="G4" s="109">
        <f>SUBTOTAL(9,G5:G25)</f>
        <v>24078.48879</v>
      </c>
      <c r="H4" s="108"/>
      <c r="I4" s="95"/>
      <c r="J4" s="96"/>
      <c r="K4" s="97"/>
      <c r="L4" s="96"/>
      <c r="M4" s="96"/>
      <c r="N4" s="96"/>
      <c r="O4" s="96"/>
      <c r="P4" s="87"/>
      <c r="Q4" s="90"/>
      <c r="R4" s="91"/>
      <c r="S4" s="90"/>
      <c r="T4" s="90"/>
      <c r="U4" s="90"/>
      <c r="V4" s="82"/>
      <c r="W4" s="82"/>
      <c r="X4" s="82"/>
      <c r="Y4" s="82"/>
      <c r="Z4" s="82"/>
      <c r="AA4" s="82"/>
      <c r="AB4" s="82"/>
      <c r="AC4" s="82"/>
      <c r="AD4" s="82"/>
      <c r="AE4" s="75"/>
    </row>
    <row r="5" s="72" customFormat="1" ht="48" outlineLevel="1" spans="1:31">
      <c r="A5" s="92">
        <v>1.1</v>
      </c>
      <c r="B5" s="93" t="s">
        <v>60</v>
      </c>
      <c r="C5" s="110" t="s">
        <v>61</v>
      </c>
      <c r="D5" s="93" t="s">
        <v>62</v>
      </c>
      <c r="E5" s="94">
        <f>0.9*2.8*2+1.63*0.4</f>
        <v>5.692</v>
      </c>
      <c r="F5" s="94">
        <f t="shared" ref="F5:F8" si="1">I5</f>
        <v>100</v>
      </c>
      <c r="G5" s="94">
        <f t="shared" ref="G5:G8" si="2">F5*E5</f>
        <v>569.2</v>
      </c>
      <c r="H5" s="93"/>
      <c r="I5" s="111">
        <f t="shared" ref="I5:I8" si="3">J5+J5*K5+L5+M5+N5</f>
        <v>100</v>
      </c>
      <c r="J5" s="112">
        <f t="shared" ref="J5:J25" si="4">Q5*$Q$1</f>
        <v>0</v>
      </c>
      <c r="K5" s="113">
        <f t="shared" ref="K5:K8" si="5">R5</f>
        <v>0</v>
      </c>
      <c r="L5" s="112">
        <f t="shared" ref="L5:L25" si="6">S5*$S$1</f>
        <v>70</v>
      </c>
      <c r="M5" s="114">
        <f t="shared" ref="M5:M25" si="7">T5*$T$1</f>
        <v>30</v>
      </c>
      <c r="N5" s="114">
        <f t="shared" ref="N5:N25" si="8">U5*$U$1</f>
        <v>0</v>
      </c>
      <c r="O5" s="114">
        <f t="shared" ref="O5:O8" si="9">E5*I5</f>
        <v>569.2</v>
      </c>
      <c r="P5" s="90">
        <f t="shared" ref="P5:P8" si="10">Q5+Q5*R5+S5+T5+U5</f>
        <v>100</v>
      </c>
      <c r="Q5" s="115"/>
      <c r="R5" s="116"/>
      <c r="S5" s="115">
        <v>70</v>
      </c>
      <c r="T5" s="115">
        <v>30</v>
      </c>
      <c r="U5" s="115"/>
      <c r="V5" s="90">
        <f t="shared" ref="V5:V8" si="11">E5*P5</f>
        <v>569.2</v>
      </c>
      <c r="W5" s="82"/>
      <c r="X5" s="82"/>
      <c r="Y5" s="82"/>
      <c r="Z5" s="82"/>
      <c r="AA5" s="82"/>
      <c r="AB5" s="82"/>
      <c r="AC5" s="82"/>
      <c r="AD5" s="82"/>
      <c r="AE5" s="75"/>
    </row>
    <row r="6" s="72" customFormat="1" ht="34" customHeight="1" outlineLevel="1" spans="1:31">
      <c r="A6" s="92">
        <v>1.2</v>
      </c>
      <c r="B6" s="93" t="s">
        <v>63</v>
      </c>
      <c r="C6" s="110" t="s">
        <v>64</v>
      </c>
      <c r="D6" s="93" t="s">
        <v>65</v>
      </c>
      <c r="E6" s="94">
        <v>3.4</v>
      </c>
      <c r="F6" s="94">
        <f t="shared" si="1"/>
        <v>500</v>
      </c>
      <c r="G6" s="94">
        <f t="shared" si="2"/>
        <v>1700</v>
      </c>
      <c r="H6" s="93"/>
      <c r="I6" s="111">
        <f t="shared" si="3"/>
        <v>500</v>
      </c>
      <c r="J6" s="112">
        <f t="shared" si="4"/>
        <v>300</v>
      </c>
      <c r="K6" s="113">
        <f t="shared" si="5"/>
        <v>0</v>
      </c>
      <c r="L6" s="112">
        <f t="shared" si="6"/>
        <v>200</v>
      </c>
      <c r="M6" s="114">
        <f t="shared" si="7"/>
        <v>0</v>
      </c>
      <c r="N6" s="114">
        <f t="shared" si="8"/>
        <v>0</v>
      </c>
      <c r="O6" s="114">
        <f t="shared" si="9"/>
        <v>1700</v>
      </c>
      <c r="P6" s="90">
        <f t="shared" si="10"/>
        <v>500</v>
      </c>
      <c r="Q6" s="115">
        <v>300</v>
      </c>
      <c r="R6" s="116"/>
      <c r="S6" s="115">
        <v>200</v>
      </c>
      <c r="T6" s="115"/>
      <c r="U6" s="115"/>
      <c r="V6" s="90">
        <f t="shared" si="11"/>
        <v>1700</v>
      </c>
      <c r="W6" s="82"/>
      <c r="X6" s="82"/>
      <c r="Y6" s="82"/>
      <c r="Z6" s="82"/>
      <c r="AA6" s="82"/>
      <c r="AB6" s="82"/>
      <c r="AC6" s="82"/>
      <c r="AD6" s="82"/>
      <c r="AE6" s="75"/>
    </row>
    <row r="7" s="72" customFormat="1" ht="34" customHeight="1" outlineLevel="1" spans="1:31">
      <c r="A7" s="92">
        <v>1.3</v>
      </c>
      <c r="B7" s="93" t="s">
        <v>66</v>
      </c>
      <c r="C7" s="110" t="s">
        <v>67</v>
      </c>
      <c r="D7" s="93" t="s">
        <v>65</v>
      </c>
      <c r="E7" s="94">
        <f>(2.8*2+3.4)</f>
        <v>9</v>
      </c>
      <c r="F7" s="94">
        <f t="shared" si="1"/>
        <v>31.12</v>
      </c>
      <c r="G7" s="94">
        <f t="shared" si="2"/>
        <v>280.08</v>
      </c>
      <c r="H7" s="93"/>
      <c r="I7" s="111">
        <f t="shared" si="3"/>
        <v>31.12</v>
      </c>
      <c r="J7" s="112">
        <f t="shared" si="4"/>
        <v>6</v>
      </c>
      <c r="K7" s="113">
        <f t="shared" si="5"/>
        <v>0.02</v>
      </c>
      <c r="L7" s="112">
        <f t="shared" si="6"/>
        <v>25</v>
      </c>
      <c r="M7" s="114">
        <f t="shared" si="7"/>
        <v>0</v>
      </c>
      <c r="N7" s="114">
        <f t="shared" si="8"/>
        <v>0</v>
      </c>
      <c r="O7" s="114">
        <f t="shared" si="9"/>
        <v>280.08</v>
      </c>
      <c r="P7" s="90">
        <f t="shared" si="10"/>
        <v>31.12</v>
      </c>
      <c r="Q7" s="117">
        <f>12*0.5</f>
        <v>6</v>
      </c>
      <c r="R7" s="118">
        <v>0.02</v>
      </c>
      <c r="S7" s="119">
        <v>25</v>
      </c>
      <c r="T7" s="115"/>
      <c r="U7" s="115"/>
      <c r="V7" s="90">
        <f t="shared" si="11"/>
        <v>280.08</v>
      </c>
      <c r="W7" s="82"/>
      <c r="X7" s="82"/>
      <c r="Y7" s="82"/>
      <c r="Z7" s="82"/>
      <c r="AA7" s="82"/>
      <c r="AB7" s="82"/>
      <c r="AC7" s="82"/>
      <c r="AD7" s="82"/>
      <c r="AE7" s="75"/>
    </row>
    <row r="8" s="72" customFormat="1" ht="34" customHeight="1" outlineLevel="1" spans="1:31">
      <c r="A8" s="92">
        <v>1.4</v>
      </c>
      <c r="B8" s="93" t="s">
        <v>68</v>
      </c>
      <c r="C8" s="110" t="s">
        <v>69</v>
      </c>
      <c r="D8" s="93" t="s">
        <v>65</v>
      </c>
      <c r="E8" s="94">
        <f>(2.8*2+3.4)</f>
        <v>9</v>
      </c>
      <c r="F8" s="94">
        <f t="shared" si="1"/>
        <v>25.6</v>
      </c>
      <c r="G8" s="94">
        <f t="shared" si="2"/>
        <v>230.4</v>
      </c>
      <c r="H8" s="93"/>
      <c r="I8" s="111">
        <f t="shared" si="3"/>
        <v>25.6</v>
      </c>
      <c r="J8" s="112">
        <f t="shared" si="4"/>
        <v>5.6</v>
      </c>
      <c r="K8" s="113">
        <f t="shared" si="5"/>
        <v>0</v>
      </c>
      <c r="L8" s="112">
        <f t="shared" si="6"/>
        <v>20</v>
      </c>
      <c r="M8" s="114">
        <f t="shared" si="7"/>
        <v>0</v>
      </c>
      <c r="N8" s="114">
        <f t="shared" si="8"/>
        <v>0</v>
      </c>
      <c r="O8" s="114">
        <f t="shared" si="9"/>
        <v>230.4</v>
      </c>
      <c r="P8" s="90">
        <f t="shared" si="10"/>
        <v>25.6</v>
      </c>
      <c r="Q8" s="115">
        <f>28*0.2</f>
        <v>5.6</v>
      </c>
      <c r="R8" s="116"/>
      <c r="S8" s="115">
        <v>20</v>
      </c>
      <c r="T8" s="115"/>
      <c r="U8" s="115"/>
      <c r="V8" s="90">
        <f t="shared" si="11"/>
        <v>230.4</v>
      </c>
      <c r="W8" s="82"/>
      <c r="X8" s="82"/>
      <c r="Y8" s="82"/>
      <c r="Z8" s="82"/>
      <c r="AA8" s="82"/>
      <c r="AB8" s="82"/>
      <c r="AC8" s="82"/>
      <c r="AD8" s="82"/>
      <c r="AE8" s="75"/>
    </row>
    <row r="9" s="72" customFormat="1" ht="66" customHeight="1" outlineLevel="1" spans="1:31">
      <c r="A9" s="92">
        <v>2</v>
      </c>
      <c r="B9" s="93" t="s">
        <v>70</v>
      </c>
      <c r="C9" s="110" t="s">
        <v>71</v>
      </c>
      <c r="D9" s="93" t="s">
        <v>62</v>
      </c>
      <c r="E9" s="94">
        <f t="shared" ref="E9:E12" si="12">3.81*(2+0.57+6.23+0.75+2+0.35+0.6+4.93)-0.7*2.4</f>
        <v>64.7283</v>
      </c>
      <c r="F9" s="94"/>
      <c r="G9" s="94"/>
      <c r="H9" s="93"/>
      <c r="I9" s="111">
        <f t="shared" ref="I9:I12" si="13">J9+J9*K9+L9+M9+N9</f>
        <v>0</v>
      </c>
      <c r="J9" s="112">
        <f t="shared" si="4"/>
        <v>0</v>
      </c>
      <c r="K9" s="113">
        <f t="shared" ref="K9:K12" si="14">R9</f>
        <v>0</v>
      </c>
      <c r="L9" s="112">
        <f t="shared" si="6"/>
        <v>0</v>
      </c>
      <c r="M9" s="114">
        <f t="shared" si="7"/>
        <v>0</v>
      </c>
      <c r="N9" s="114">
        <f t="shared" si="8"/>
        <v>0</v>
      </c>
      <c r="O9" s="114">
        <f t="shared" ref="O9:O12" si="15">E9*I9</f>
        <v>0</v>
      </c>
      <c r="P9" s="90">
        <f t="shared" ref="P9:P12" si="16">Q9+Q9*R9+S9+T9+U9</f>
        <v>0</v>
      </c>
      <c r="Q9" s="115"/>
      <c r="R9" s="116"/>
      <c r="S9" s="115"/>
      <c r="T9" s="115"/>
      <c r="U9" s="115"/>
      <c r="V9" s="90">
        <f t="shared" ref="V9:V12" si="17">E9*P9</f>
        <v>0</v>
      </c>
      <c r="W9" s="82"/>
      <c r="X9" s="82"/>
      <c r="Y9" s="82"/>
      <c r="Z9" s="82"/>
      <c r="AA9" s="82"/>
      <c r="AB9" s="82"/>
      <c r="AC9" s="82"/>
      <c r="AD9" s="82"/>
      <c r="AE9" s="75"/>
    </row>
    <row r="10" s="72" customFormat="1" ht="51" customHeight="1" outlineLevel="1" spans="1:31">
      <c r="A10" s="92">
        <v>2.1</v>
      </c>
      <c r="B10" s="93" t="s">
        <v>72</v>
      </c>
      <c r="C10" s="110" t="s">
        <v>73</v>
      </c>
      <c r="D10" s="93" t="s">
        <v>62</v>
      </c>
      <c r="E10" s="94">
        <f t="shared" si="12"/>
        <v>64.7283</v>
      </c>
      <c r="F10" s="94">
        <f t="shared" ref="F9:F12" si="18">I10</f>
        <v>53.5</v>
      </c>
      <c r="G10" s="94">
        <f t="shared" ref="G9:G12" si="19">F10*E10</f>
        <v>3462.96405</v>
      </c>
      <c r="H10" s="93"/>
      <c r="I10" s="111">
        <f t="shared" si="13"/>
        <v>53.5</v>
      </c>
      <c r="J10" s="112">
        <f t="shared" si="4"/>
        <v>26</v>
      </c>
      <c r="K10" s="113">
        <f t="shared" si="14"/>
        <v>0</v>
      </c>
      <c r="L10" s="112">
        <f t="shared" si="6"/>
        <v>26</v>
      </c>
      <c r="M10" s="114">
        <f t="shared" si="7"/>
        <v>0</v>
      </c>
      <c r="N10" s="114">
        <f t="shared" si="8"/>
        <v>1.5</v>
      </c>
      <c r="O10" s="114">
        <f t="shared" si="15"/>
        <v>3462.96405</v>
      </c>
      <c r="P10" s="90">
        <f t="shared" si="16"/>
        <v>53.5</v>
      </c>
      <c r="Q10" s="115">
        <v>26</v>
      </c>
      <c r="R10" s="116"/>
      <c r="S10" s="115">
        <v>26</v>
      </c>
      <c r="T10" s="115"/>
      <c r="U10" s="115">
        <v>1.5</v>
      </c>
      <c r="V10" s="90">
        <f t="shared" si="17"/>
        <v>3462.96405</v>
      </c>
      <c r="W10" s="82"/>
      <c r="X10" s="82"/>
      <c r="Y10" s="82"/>
      <c r="Z10" s="82"/>
      <c r="AA10" s="82"/>
      <c r="AB10" s="82"/>
      <c r="AC10" s="82"/>
      <c r="AD10" s="82"/>
      <c r="AE10" s="75"/>
    </row>
    <row r="11" s="72" customFormat="1" ht="30" customHeight="1" outlineLevel="1" spans="1:31">
      <c r="A11" s="92">
        <v>2.2</v>
      </c>
      <c r="B11" s="93" t="s">
        <v>74</v>
      </c>
      <c r="C11" s="110" t="s">
        <v>75</v>
      </c>
      <c r="D11" s="93" t="s">
        <v>62</v>
      </c>
      <c r="E11" s="94">
        <f t="shared" si="12"/>
        <v>64.7283</v>
      </c>
      <c r="F11" s="94">
        <f t="shared" si="18"/>
        <v>21.65</v>
      </c>
      <c r="G11" s="94">
        <f t="shared" si="19"/>
        <v>1401.367695</v>
      </c>
      <c r="H11" s="93"/>
      <c r="I11" s="111">
        <f t="shared" si="13"/>
        <v>21.65</v>
      </c>
      <c r="J11" s="112">
        <f t="shared" si="4"/>
        <v>11.65</v>
      </c>
      <c r="K11" s="113">
        <f t="shared" si="14"/>
        <v>0</v>
      </c>
      <c r="L11" s="112">
        <f t="shared" si="6"/>
        <v>10</v>
      </c>
      <c r="M11" s="114">
        <f t="shared" si="7"/>
        <v>0</v>
      </c>
      <c r="N11" s="114">
        <f t="shared" si="8"/>
        <v>0</v>
      </c>
      <c r="O11" s="114">
        <f t="shared" si="15"/>
        <v>1401.367695</v>
      </c>
      <c r="P11" s="90">
        <f t="shared" si="16"/>
        <v>21.65</v>
      </c>
      <c r="Q11" s="115">
        <v>11.65</v>
      </c>
      <c r="R11" s="116"/>
      <c r="S11" s="115">
        <v>10</v>
      </c>
      <c r="T11" s="115"/>
      <c r="U11" s="115"/>
      <c r="V11" s="90">
        <f t="shared" si="17"/>
        <v>1401.367695</v>
      </c>
      <c r="W11" s="82"/>
      <c r="X11" s="82"/>
      <c r="Y11" s="82"/>
      <c r="Z11" s="82"/>
      <c r="AA11" s="82"/>
      <c r="AB11" s="82"/>
      <c r="AC11" s="82"/>
      <c r="AD11" s="82"/>
      <c r="AE11" s="75"/>
    </row>
    <row r="12" s="72" customFormat="1" ht="30" customHeight="1" outlineLevel="1" spans="1:31">
      <c r="A12" s="92">
        <v>2.3</v>
      </c>
      <c r="B12" s="93" t="s">
        <v>76</v>
      </c>
      <c r="C12" s="110" t="s">
        <v>77</v>
      </c>
      <c r="D12" s="93" t="s">
        <v>62</v>
      </c>
      <c r="E12" s="94">
        <f t="shared" si="12"/>
        <v>64.7283</v>
      </c>
      <c r="F12" s="94">
        <f t="shared" si="18"/>
        <v>48.8</v>
      </c>
      <c r="G12" s="94">
        <f t="shared" si="19"/>
        <v>3158.74104</v>
      </c>
      <c r="H12" s="93"/>
      <c r="I12" s="111">
        <f t="shared" si="13"/>
        <v>48.8</v>
      </c>
      <c r="J12" s="112">
        <f t="shared" si="4"/>
        <v>28</v>
      </c>
      <c r="K12" s="113">
        <f t="shared" si="14"/>
        <v>0</v>
      </c>
      <c r="L12" s="112">
        <f t="shared" si="6"/>
        <v>20</v>
      </c>
      <c r="M12" s="114">
        <f t="shared" si="7"/>
        <v>0.8</v>
      </c>
      <c r="N12" s="114">
        <f t="shared" si="8"/>
        <v>0</v>
      </c>
      <c r="O12" s="114">
        <f t="shared" si="15"/>
        <v>3158.74104</v>
      </c>
      <c r="P12" s="90">
        <f t="shared" si="16"/>
        <v>48.8</v>
      </c>
      <c r="Q12" s="115">
        <v>28</v>
      </c>
      <c r="R12" s="116"/>
      <c r="S12" s="115">
        <v>20</v>
      </c>
      <c r="T12" s="115">
        <v>0.8</v>
      </c>
      <c r="U12" s="115"/>
      <c r="V12" s="90">
        <f t="shared" si="17"/>
        <v>3158.74104</v>
      </c>
      <c r="W12" s="82"/>
      <c r="X12" s="82"/>
      <c r="Y12" s="82"/>
      <c r="Z12" s="82"/>
      <c r="AA12" s="82"/>
      <c r="AB12" s="82"/>
      <c r="AC12" s="82"/>
      <c r="AD12" s="82"/>
      <c r="AE12" s="75"/>
    </row>
    <row r="13" s="72" customFormat="1" ht="30" customHeight="1" outlineLevel="1" spans="1:31">
      <c r="A13" s="92">
        <v>2.4</v>
      </c>
      <c r="B13" s="93" t="s">
        <v>78</v>
      </c>
      <c r="C13" s="110" t="s">
        <v>79</v>
      </c>
      <c r="D13" s="93" t="s">
        <v>62</v>
      </c>
      <c r="E13" s="94">
        <f>E10*2.5</f>
        <v>161.82075</v>
      </c>
      <c r="F13" s="94">
        <f t="shared" ref="F13:F20" si="20">I13</f>
        <v>28.3</v>
      </c>
      <c r="G13" s="94">
        <f t="shared" ref="G13:G20" si="21">F13*E13</f>
        <v>4579.527225</v>
      </c>
      <c r="H13" s="93"/>
      <c r="I13" s="111">
        <f t="shared" ref="I13:I20" si="22">J13+J13*K13+L13+M13+N13</f>
        <v>28.3</v>
      </c>
      <c r="J13" s="112">
        <f t="shared" si="4"/>
        <v>7.5</v>
      </c>
      <c r="K13" s="113">
        <f t="shared" ref="K13:K20" si="23">R13</f>
        <v>0</v>
      </c>
      <c r="L13" s="112">
        <f t="shared" si="6"/>
        <v>20</v>
      </c>
      <c r="M13" s="114">
        <f t="shared" si="7"/>
        <v>0.8</v>
      </c>
      <c r="N13" s="114">
        <f t="shared" si="8"/>
        <v>0</v>
      </c>
      <c r="O13" s="114">
        <f t="shared" ref="O13:O21" si="24">E13*I13</f>
        <v>4579.527225</v>
      </c>
      <c r="P13" s="90">
        <f t="shared" ref="P13:P20" si="25">Q13+Q13*R13+S13+T13+U13</f>
        <v>28.3</v>
      </c>
      <c r="Q13" s="115">
        <f>7.5</f>
        <v>7.5</v>
      </c>
      <c r="R13" s="116"/>
      <c r="S13" s="115">
        <v>20</v>
      </c>
      <c r="T13" s="115">
        <v>0.8</v>
      </c>
      <c r="U13" s="115"/>
      <c r="V13" s="90">
        <f t="shared" ref="V13:V20" si="26">E13*P13</f>
        <v>4579.527225</v>
      </c>
      <c r="W13" s="82"/>
      <c r="X13" s="82"/>
      <c r="Y13" s="82"/>
      <c r="Z13" s="82"/>
      <c r="AA13" s="82"/>
      <c r="AB13" s="82"/>
      <c r="AC13" s="82"/>
      <c r="AD13" s="82"/>
      <c r="AE13" s="75"/>
    </row>
    <row r="14" s="72" customFormat="1" ht="52" customHeight="1" outlineLevel="1" spans="1:31">
      <c r="A14" s="92">
        <v>3.1</v>
      </c>
      <c r="B14" s="93" t="s">
        <v>80</v>
      </c>
      <c r="C14" s="110" t="s">
        <v>81</v>
      </c>
      <c r="D14" s="93" t="s">
        <v>62</v>
      </c>
      <c r="E14" s="94">
        <f>2.8*(7.73-0.6-1.7+0.89*2)</f>
        <v>20.188</v>
      </c>
      <c r="F14" s="94">
        <f t="shared" si="20"/>
        <v>181.6</v>
      </c>
      <c r="G14" s="94">
        <f t="shared" si="21"/>
        <v>3666.1408</v>
      </c>
      <c r="H14" s="93"/>
      <c r="I14" s="111">
        <f t="shared" si="22"/>
        <v>181.6</v>
      </c>
      <c r="J14" s="112">
        <f t="shared" si="4"/>
        <v>110</v>
      </c>
      <c r="K14" s="113">
        <f t="shared" si="23"/>
        <v>0.01</v>
      </c>
      <c r="L14" s="112">
        <f t="shared" si="6"/>
        <v>60</v>
      </c>
      <c r="M14" s="114">
        <f t="shared" si="7"/>
        <v>10.5</v>
      </c>
      <c r="N14" s="114">
        <f t="shared" si="8"/>
        <v>0</v>
      </c>
      <c r="O14" s="114">
        <f t="shared" si="24"/>
        <v>3666.1408</v>
      </c>
      <c r="P14" s="90">
        <f t="shared" si="25"/>
        <v>181.6</v>
      </c>
      <c r="Q14" s="82">
        <f>110</f>
        <v>110</v>
      </c>
      <c r="R14" s="83">
        <v>0.01</v>
      </c>
      <c r="S14" s="82">
        <v>60</v>
      </c>
      <c r="T14" s="82">
        <v>10.5</v>
      </c>
      <c r="U14" s="82"/>
      <c r="V14" s="90">
        <f t="shared" si="26"/>
        <v>3666.1408</v>
      </c>
      <c r="W14" s="82"/>
      <c r="X14" s="82"/>
      <c r="Y14" s="82"/>
      <c r="Z14" s="82"/>
      <c r="AA14" s="82"/>
      <c r="AB14" s="82"/>
      <c r="AC14" s="82"/>
      <c r="AD14" s="82"/>
      <c r="AE14" s="75"/>
    </row>
    <row r="15" s="72" customFormat="1" ht="52" customHeight="1" outlineLevel="1" spans="1:31">
      <c r="A15" s="92">
        <v>3.2</v>
      </c>
      <c r="B15" s="93" t="s">
        <v>82</v>
      </c>
      <c r="C15" s="110" t="s">
        <v>83</v>
      </c>
      <c r="D15" s="93" t="s">
        <v>62</v>
      </c>
      <c r="E15" s="94">
        <f>0.2*(7.73-0.6-1.7+2.8*2+3.4+2.8*2)</f>
        <v>4.006</v>
      </c>
      <c r="F15" s="94">
        <f t="shared" si="20"/>
        <v>409.35</v>
      </c>
      <c r="G15" s="94">
        <f t="shared" si="21"/>
        <v>1639.8561</v>
      </c>
      <c r="H15" s="93"/>
      <c r="I15" s="111">
        <f t="shared" si="22"/>
        <v>409.35</v>
      </c>
      <c r="J15" s="112">
        <f t="shared" si="4"/>
        <v>285</v>
      </c>
      <c r="K15" s="113">
        <f t="shared" si="23"/>
        <v>0.01</v>
      </c>
      <c r="L15" s="112">
        <f t="shared" si="6"/>
        <v>90</v>
      </c>
      <c r="M15" s="114">
        <f t="shared" si="7"/>
        <v>31.5</v>
      </c>
      <c r="N15" s="114">
        <f t="shared" si="8"/>
        <v>0</v>
      </c>
      <c r="O15" s="114">
        <f t="shared" si="24"/>
        <v>1639.8561</v>
      </c>
      <c r="P15" s="90">
        <f t="shared" si="25"/>
        <v>409.35</v>
      </c>
      <c r="Q15" s="82">
        <v>285</v>
      </c>
      <c r="R15" s="83">
        <v>0.01</v>
      </c>
      <c r="S15" s="82">
        <f>30+60</f>
        <v>90</v>
      </c>
      <c r="T15" s="82">
        <f>28+3.5</f>
        <v>31.5</v>
      </c>
      <c r="U15" s="82"/>
      <c r="V15" s="90">
        <f t="shared" si="26"/>
        <v>1639.8561</v>
      </c>
      <c r="W15" s="82"/>
      <c r="X15" s="82"/>
      <c r="Y15" s="82"/>
      <c r="Z15" s="82"/>
      <c r="AA15" s="82"/>
      <c r="AB15" s="82"/>
      <c r="AC15" s="82"/>
      <c r="AD15" s="82"/>
      <c r="AE15" s="75"/>
    </row>
    <row r="16" s="72" customFormat="1" ht="76" customHeight="1" outlineLevel="1" spans="1:31">
      <c r="A16" s="92">
        <v>4</v>
      </c>
      <c r="B16" s="93" t="s">
        <v>84</v>
      </c>
      <c r="C16" s="110" t="s">
        <v>85</v>
      </c>
      <c r="D16" s="93" t="s">
        <v>62</v>
      </c>
      <c r="E16" s="94">
        <f>1.31*(7.73-0.6-1.7)</f>
        <v>7.1133</v>
      </c>
      <c r="F16" s="94"/>
      <c r="G16" s="94"/>
      <c r="H16" s="93"/>
      <c r="I16" s="111">
        <f t="shared" si="22"/>
        <v>0</v>
      </c>
      <c r="J16" s="112">
        <f t="shared" si="4"/>
        <v>0</v>
      </c>
      <c r="K16" s="113">
        <f t="shared" si="23"/>
        <v>0</v>
      </c>
      <c r="L16" s="112">
        <f t="shared" si="6"/>
        <v>0</v>
      </c>
      <c r="M16" s="114">
        <f t="shared" si="7"/>
        <v>0</v>
      </c>
      <c r="N16" s="114">
        <f t="shared" si="8"/>
        <v>0</v>
      </c>
      <c r="O16" s="114">
        <f t="shared" si="24"/>
        <v>0</v>
      </c>
      <c r="P16" s="90"/>
      <c r="Q16" s="82"/>
      <c r="R16" s="83"/>
      <c r="S16" s="82"/>
      <c r="T16" s="82"/>
      <c r="U16" s="82"/>
      <c r="V16" s="90">
        <f t="shared" si="26"/>
        <v>0</v>
      </c>
      <c r="W16" s="82"/>
      <c r="X16" s="82"/>
      <c r="Y16" s="82"/>
      <c r="Z16" s="82"/>
      <c r="AA16" s="82"/>
      <c r="AB16" s="82"/>
      <c r="AC16" s="82"/>
      <c r="AD16" s="82"/>
      <c r="AE16" s="75"/>
    </row>
    <row r="17" s="72" customFormat="1" ht="51" customHeight="1" outlineLevel="1" spans="1:31">
      <c r="A17" s="92">
        <v>4.1</v>
      </c>
      <c r="B17" s="93" t="s">
        <v>86</v>
      </c>
      <c r="C17" s="110" t="s">
        <v>87</v>
      </c>
      <c r="D17" s="93" t="s">
        <v>62</v>
      </c>
      <c r="E17" s="94">
        <f>E16</f>
        <v>7.1133</v>
      </c>
      <c r="F17" s="94">
        <f t="shared" si="20"/>
        <v>91.5</v>
      </c>
      <c r="G17" s="94">
        <f t="shared" si="21"/>
        <v>650.86695</v>
      </c>
      <c r="H17" s="93"/>
      <c r="I17" s="111">
        <f t="shared" si="22"/>
        <v>91.5</v>
      </c>
      <c r="J17" s="112">
        <f t="shared" si="4"/>
        <v>55</v>
      </c>
      <c r="K17" s="113">
        <f t="shared" si="23"/>
        <v>0</v>
      </c>
      <c r="L17" s="112">
        <f t="shared" si="6"/>
        <v>35</v>
      </c>
      <c r="M17" s="114">
        <f t="shared" si="7"/>
        <v>0</v>
      </c>
      <c r="N17" s="114">
        <f t="shared" si="8"/>
        <v>1.5</v>
      </c>
      <c r="O17" s="114">
        <f t="shared" si="24"/>
        <v>650.86695</v>
      </c>
      <c r="P17" s="90">
        <f t="shared" si="25"/>
        <v>91.5</v>
      </c>
      <c r="Q17" s="115">
        <v>55</v>
      </c>
      <c r="R17" s="116"/>
      <c r="S17" s="115">
        <v>35</v>
      </c>
      <c r="T17" s="115"/>
      <c r="U17" s="115">
        <v>1.5</v>
      </c>
      <c r="V17" s="90">
        <f t="shared" si="26"/>
        <v>650.86695</v>
      </c>
      <c r="W17" s="82"/>
      <c r="X17" s="82"/>
      <c r="Y17" s="82"/>
      <c r="Z17" s="82"/>
      <c r="AA17" s="82"/>
      <c r="AB17" s="82"/>
      <c r="AC17" s="82"/>
      <c r="AD17" s="82"/>
      <c r="AE17" s="75"/>
    </row>
    <row r="18" s="72" customFormat="1" ht="30" customHeight="1" outlineLevel="1" spans="1:31">
      <c r="A18" s="92">
        <v>4.2</v>
      </c>
      <c r="B18" s="93" t="s">
        <v>74</v>
      </c>
      <c r="C18" s="110" t="s">
        <v>75</v>
      </c>
      <c r="D18" s="93" t="s">
        <v>62</v>
      </c>
      <c r="E18" s="94">
        <f>E16</f>
        <v>7.1133</v>
      </c>
      <c r="F18" s="94">
        <f t="shared" si="20"/>
        <v>21.65</v>
      </c>
      <c r="G18" s="94">
        <f t="shared" si="21"/>
        <v>154.002945</v>
      </c>
      <c r="H18" s="93"/>
      <c r="I18" s="111">
        <f t="shared" si="22"/>
        <v>21.65</v>
      </c>
      <c r="J18" s="112">
        <f t="shared" si="4"/>
        <v>11.65</v>
      </c>
      <c r="K18" s="113">
        <f t="shared" si="23"/>
        <v>0</v>
      </c>
      <c r="L18" s="112">
        <f t="shared" si="6"/>
        <v>10</v>
      </c>
      <c r="M18" s="114">
        <f t="shared" si="7"/>
        <v>0</v>
      </c>
      <c r="N18" s="114">
        <f t="shared" si="8"/>
        <v>0</v>
      </c>
      <c r="O18" s="114">
        <f t="shared" si="24"/>
        <v>154.002945</v>
      </c>
      <c r="P18" s="90">
        <f t="shared" si="25"/>
        <v>21.65</v>
      </c>
      <c r="Q18" s="115">
        <v>11.65</v>
      </c>
      <c r="R18" s="116"/>
      <c r="S18" s="115">
        <v>10</v>
      </c>
      <c r="T18" s="115"/>
      <c r="U18" s="115"/>
      <c r="V18" s="90">
        <f t="shared" si="26"/>
        <v>154.002945</v>
      </c>
      <c r="W18" s="82"/>
      <c r="X18" s="82"/>
      <c r="Y18" s="82"/>
      <c r="Z18" s="82"/>
      <c r="AA18" s="82"/>
      <c r="AB18" s="82"/>
      <c r="AC18" s="82"/>
      <c r="AD18" s="82"/>
      <c r="AE18" s="75"/>
    </row>
    <row r="19" s="72" customFormat="1" ht="30" customHeight="1" outlineLevel="1" spans="1:31">
      <c r="A19" s="92">
        <v>4.3</v>
      </c>
      <c r="B19" s="93" t="s">
        <v>76</v>
      </c>
      <c r="C19" s="110" t="s">
        <v>77</v>
      </c>
      <c r="D19" s="93" t="s">
        <v>62</v>
      </c>
      <c r="E19" s="94">
        <f>E16*2</f>
        <v>14.2266</v>
      </c>
      <c r="F19" s="94">
        <f t="shared" si="20"/>
        <v>48.8</v>
      </c>
      <c r="G19" s="94">
        <f t="shared" si="21"/>
        <v>694.25808</v>
      </c>
      <c r="H19" s="93"/>
      <c r="I19" s="111">
        <f t="shared" si="22"/>
        <v>48.8</v>
      </c>
      <c r="J19" s="112">
        <f t="shared" si="4"/>
        <v>28</v>
      </c>
      <c r="K19" s="113">
        <f t="shared" si="23"/>
        <v>0</v>
      </c>
      <c r="L19" s="112">
        <f t="shared" si="6"/>
        <v>20</v>
      </c>
      <c r="M19" s="114">
        <f t="shared" si="7"/>
        <v>0.8</v>
      </c>
      <c r="N19" s="114">
        <f t="shared" si="8"/>
        <v>0</v>
      </c>
      <c r="O19" s="114">
        <f t="shared" si="24"/>
        <v>694.25808</v>
      </c>
      <c r="P19" s="90">
        <f t="shared" si="25"/>
        <v>48.8</v>
      </c>
      <c r="Q19" s="115">
        <v>28</v>
      </c>
      <c r="R19" s="116"/>
      <c r="S19" s="115">
        <v>20</v>
      </c>
      <c r="T19" s="115">
        <v>0.8</v>
      </c>
      <c r="U19" s="115"/>
      <c r="V19" s="90">
        <f t="shared" si="26"/>
        <v>694.25808</v>
      </c>
      <c r="W19" s="82"/>
      <c r="X19" s="82"/>
      <c r="Y19" s="82"/>
      <c r="Z19" s="82"/>
      <c r="AA19" s="82"/>
      <c r="AB19" s="82"/>
      <c r="AC19" s="82"/>
      <c r="AD19" s="82"/>
      <c r="AE19" s="75"/>
    </row>
    <row r="20" s="72" customFormat="1" ht="30" customHeight="1" outlineLevel="1" spans="1:31">
      <c r="A20" s="92">
        <v>4.4</v>
      </c>
      <c r="B20" s="93" t="s">
        <v>78</v>
      </c>
      <c r="C20" s="110" t="s">
        <v>79</v>
      </c>
      <c r="D20" s="93" t="s">
        <v>62</v>
      </c>
      <c r="E20" s="94">
        <f>E16*2</f>
        <v>14.2266</v>
      </c>
      <c r="F20" s="94">
        <f t="shared" si="20"/>
        <v>28.3</v>
      </c>
      <c r="G20" s="94">
        <f t="shared" si="21"/>
        <v>402.61278</v>
      </c>
      <c r="H20" s="93"/>
      <c r="I20" s="111">
        <f t="shared" si="22"/>
        <v>28.3</v>
      </c>
      <c r="J20" s="112">
        <f t="shared" si="4"/>
        <v>7.5</v>
      </c>
      <c r="K20" s="113">
        <f t="shared" si="23"/>
        <v>0</v>
      </c>
      <c r="L20" s="112">
        <f t="shared" si="6"/>
        <v>20</v>
      </c>
      <c r="M20" s="114">
        <f t="shared" si="7"/>
        <v>0.8</v>
      </c>
      <c r="N20" s="114">
        <f t="shared" si="8"/>
        <v>0</v>
      </c>
      <c r="O20" s="114">
        <f t="shared" si="24"/>
        <v>402.61278</v>
      </c>
      <c r="P20" s="90">
        <f t="shared" si="25"/>
        <v>28.3</v>
      </c>
      <c r="Q20" s="115">
        <f>7.5</f>
        <v>7.5</v>
      </c>
      <c r="R20" s="116"/>
      <c r="S20" s="115">
        <v>20</v>
      </c>
      <c r="T20" s="115">
        <v>0.8</v>
      </c>
      <c r="U20" s="115"/>
      <c r="V20" s="90">
        <f t="shared" si="26"/>
        <v>402.61278</v>
      </c>
      <c r="W20" s="82"/>
      <c r="X20" s="82"/>
      <c r="Y20" s="82"/>
      <c r="Z20" s="82"/>
      <c r="AA20" s="82"/>
      <c r="AB20" s="82"/>
      <c r="AC20" s="82"/>
      <c r="AD20" s="82"/>
      <c r="AE20" s="75"/>
    </row>
    <row r="21" s="72" customFormat="1" ht="66" customHeight="1" outlineLevel="1" spans="1:31">
      <c r="A21" s="92">
        <v>5</v>
      </c>
      <c r="B21" s="93" t="s">
        <v>88</v>
      </c>
      <c r="C21" s="110" t="s">
        <v>85</v>
      </c>
      <c r="D21" s="93" t="s">
        <v>62</v>
      </c>
      <c r="E21" s="94">
        <f>1.31*4.25</f>
        <v>5.5675</v>
      </c>
      <c r="F21" s="94"/>
      <c r="G21" s="94"/>
      <c r="H21" s="93"/>
      <c r="I21" s="111">
        <f t="shared" ref="I21:I25" si="27">J21+J21*K21+L21+M21+N21</f>
        <v>171.4</v>
      </c>
      <c r="J21" s="112">
        <f t="shared" si="4"/>
        <v>90</v>
      </c>
      <c r="K21" s="113">
        <f t="shared" ref="K21:K25" si="28">R21</f>
        <v>0.01</v>
      </c>
      <c r="L21" s="112">
        <f t="shared" si="6"/>
        <v>70</v>
      </c>
      <c r="M21" s="114">
        <f t="shared" si="7"/>
        <v>10.5</v>
      </c>
      <c r="N21" s="114">
        <f t="shared" si="8"/>
        <v>0</v>
      </c>
      <c r="O21" s="114">
        <f t="shared" si="24"/>
        <v>954.2695</v>
      </c>
      <c r="P21" s="90">
        <f t="shared" ref="P21:P25" si="29">Q21+Q21*R21+S21+T21+U21</f>
        <v>171.4</v>
      </c>
      <c r="Q21" s="82">
        <f>35*2+10*2</f>
        <v>90</v>
      </c>
      <c r="R21" s="83">
        <v>0.01</v>
      </c>
      <c r="S21" s="82">
        <v>70</v>
      </c>
      <c r="T21" s="82">
        <v>10.5</v>
      </c>
      <c r="U21" s="82"/>
      <c r="V21" s="90">
        <f t="shared" ref="V21:V25" si="30">E21*P21</f>
        <v>954.2695</v>
      </c>
      <c r="W21" s="82"/>
      <c r="X21" s="82"/>
      <c r="Y21" s="82"/>
      <c r="Z21" s="82"/>
      <c r="AA21" s="82"/>
      <c r="AB21" s="82"/>
      <c r="AC21" s="82"/>
      <c r="AD21" s="82"/>
      <c r="AE21" s="75"/>
    </row>
    <row r="22" s="72" customFormat="1" ht="51" customHeight="1" outlineLevel="1" spans="1:31">
      <c r="A22" s="92">
        <v>5.1</v>
      </c>
      <c r="B22" s="93" t="s">
        <v>86</v>
      </c>
      <c r="C22" s="110" t="s">
        <v>87</v>
      </c>
      <c r="D22" s="93" t="s">
        <v>62</v>
      </c>
      <c r="E22" s="94">
        <f>E21</f>
        <v>5.5675</v>
      </c>
      <c r="F22" s="94">
        <f t="shared" ref="F21:F25" si="31">I22</f>
        <v>91.5</v>
      </c>
      <c r="G22" s="94">
        <f t="shared" ref="G21:G25" si="32">F22*E22</f>
        <v>509.42625</v>
      </c>
      <c r="H22" s="93"/>
      <c r="I22" s="111">
        <f t="shared" si="27"/>
        <v>91.5</v>
      </c>
      <c r="J22" s="112">
        <f t="shared" si="4"/>
        <v>55</v>
      </c>
      <c r="K22" s="113">
        <f t="shared" si="28"/>
        <v>0</v>
      </c>
      <c r="L22" s="112">
        <f t="shared" si="6"/>
        <v>35</v>
      </c>
      <c r="M22" s="114">
        <f t="shared" si="7"/>
        <v>0</v>
      </c>
      <c r="N22" s="114">
        <f t="shared" si="8"/>
        <v>1.5</v>
      </c>
      <c r="O22" s="114">
        <f t="shared" ref="O21:O25" si="33">E22*I22</f>
        <v>509.42625</v>
      </c>
      <c r="P22" s="90">
        <f t="shared" si="29"/>
        <v>91.5</v>
      </c>
      <c r="Q22" s="115">
        <v>55</v>
      </c>
      <c r="R22" s="116"/>
      <c r="S22" s="115">
        <f>S17</f>
        <v>35</v>
      </c>
      <c r="T22" s="115"/>
      <c r="U22" s="115">
        <v>1.5</v>
      </c>
      <c r="V22" s="90">
        <f t="shared" si="30"/>
        <v>509.42625</v>
      </c>
      <c r="W22" s="82"/>
      <c r="X22" s="82"/>
      <c r="Y22" s="82"/>
      <c r="Z22" s="82"/>
      <c r="AA22" s="82"/>
      <c r="AB22" s="82"/>
      <c r="AC22" s="82"/>
      <c r="AD22" s="82"/>
      <c r="AE22" s="75"/>
    </row>
    <row r="23" s="72" customFormat="1" ht="30" customHeight="1" outlineLevel="1" spans="1:31">
      <c r="A23" s="92">
        <v>5.2</v>
      </c>
      <c r="B23" s="93" t="s">
        <v>74</v>
      </c>
      <c r="C23" s="110" t="s">
        <v>75</v>
      </c>
      <c r="D23" s="93" t="s">
        <v>62</v>
      </c>
      <c r="E23" s="94">
        <f>E21</f>
        <v>5.5675</v>
      </c>
      <c r="F23" s="94">
        <f t="shared" si="31"/>
        <v>21.65</v>
      </c>
      <c r="G23" s="94">
        <f t="shared" si="32"/>
        <v>120.536375</v>
      </c>
      <c r="H23" s="93"/>
      <c r="I23" s="111">
        <f t="shared" si="27"/>
        <v>21.65</v>
      </c>
      <c r="J23" s="112">
        <f t="shared" si="4"/>
        <v>11.65</v>
      </c>
      <c r="K23" s="113">
        <f t="shared" si="28"/>
        <v>0</v>
      </c>
      <c r="L23" s="112">
        <f t="shared" si="6"/>
        <v>10</v>
      </c>
      <c r="M23" s="114">
        <f t="shared" si="7"/>
        <v>0</v>
      </c>
      <c r="N23" s="114">
        <f t="shared" si="8"/>
        <v>0</v>
      </c>
      <c r="O23" s="114">
        <f t="shared" si="33"/>
        <v>120.536375</v>
      </c>
      <c r="P23" s="90">
        <f t="shared" si="29"/>
        <v>21.65</v>
      </c>
      <c r="Q23" s="115">
        <v>11.65</v>
      </c>
      <c r="R23" s="116"/>
      <c r="S23" s="115">
        <f>S18</f>
        <v>10</v>
      </c>
      <c r="T23" s="115"/>
      <c r="U23" s="115"/>
      <c r="V23" s="90">
        <f t="shared" si="30"/>
        <v>120.536375</v>
      </c>
      <c r="W23" s="82"/>
      <c r="X23" s="82"/>
      <c r="Y23" s="82"/>
      <c r="Z23" s="82"/>
      <c r="AA23" s="82"/>
      <c r="AB23" s="82"/>
      <c r="AC23" s="82"/>
      <c r="AD23" s="82"/>
      <c r="AE23" s="75"/>
    </row>
    <row r="24" s="72" customFormat="1" ht="30" customHeight="1" outlineLevel="1" spans="1:31">
      <c r="A24" s="92">
        <v>5.3</v>
      </c>
      <c r="B24" s="93" t="s">
        <v>76</v>
      </c>
      <c r="C24" s="110" t="s">
        <v>77</v>
      </c>
      <c r="D24" s="93" t="s">
        <v>62</v>
      </c>
      <c r="E24" s="94">
        <f>E21*2</f>
        <v>11.135</v>
      </c>
      <c r="F24" s="94">
        <f t="shared" si="31"/>
        <v>48.8</v>
      </c>
      <c r="G24" s="94">
        <f t="shared" si="32"/>
        <v>543.388</v>
      </c>
      <c r="H24" s="93"/>
      <c r="I24" s="111">
        <f t="shared" si="27"/>
        <v>48.8</v>
      </c>
      <c r="J24" s="112">
        <f t="shared" si="4"/>
        <v>28</v>
      </c>
      <c r="K24" s="113">
        <f t="shared" si="28"/>
        <v>0</v>
      </c>
      <c r="L24" s="112">
        <f t="shared" si="6"/>
        <v>20</v>
      </c>
      <c r="M24" s="114">
        <f t="shared" si="7"/>
        <v>0.8</v>
      </c>
      <c r="N24" s="114">
        <f t="shared" si="8"/>
        <v>0</v>
      </c>
      <c r="O24" s="114">
        <f t="shared" si="33"/>
        <v>543.388</v>
      </c>
      <c r="P24" s="90">
        <f t="shared" si="29"/>
        <v>48.8</v>
      </c>
      <c r="Q24" s="115">
        <v>28</v>
      </c>
      <c r="R24" s="116"/>
      <c r="S24" s="115">
        <f>S19</f>
        <v>20</v>
      </c>
      <c r="T24" s="115">
        <v>0.8</v>
      </c>
      <c r="U24" s="115"/>
      <c r="V24" s="90">
        <f t="shared" si="30"/>
        <v>543.388</v>
      </c>
      <c r="W24" s="82"/>
      <c r="X24" s="82"/>
      <c r="Y24" s="82"/>
      <c r="Z24" s="82"/>
      <c r="AA24" s="82"/>
      <c r="AB24" s="82"/>
      <c r="AC24" s="82"/>
      <c r="AD24" s="82"/>
      <c r="AE24" s="75"/>
    </row>
    <row r="25" s="72" customFormat="1" ht="30" customHeight="1" outlineLevel="1" spans="1:31">
      <c r="A25" s="92">
        <v>5.4</v>
      </c>
      <c r="B25" s="93" t="s">
        <v>78</v>
      </c>
      <c r="C25" s="110" t="s">
        <v>79</v>
      </c>
      <c r="D25" s="93" t="s">
        <v>62</v>
      </c>
      <c r="E25" s="94">
        <f>E21*2</f>
        <v>11.135</v>
      </c>
      <c r="F25" s="94">
        <f t="shared" si="31"/>
        <v>28.3</v>
      </c>
      <c r="G25" s="94">
        <f t="shared" si="32"/>
        <v>315.1205</v>
      </c>
      <c r="H25" s="93"/>
      <c r="I25" s="111">
        <f t="shared" si="27"/>
        <v>28.3</v>
      </c>
      <c r="J25" s="112">
        <f t="shared" si="4"/>
        <v>7.5</v>
      </c>
      <c r="K25" s="113">
        <f t="shared" si="28"/>
        <v>0</v>
      </c>
      <c r="L25" s="112">
        <f t="shared" si="6"/>
        <v>20</v>
      </c>
      <c r="M25" s="114">
        <f t="shared" si="7"/>
        <v>0.8</v>
      </c>
      <c r="N25" s="114">
        <f t="shared" si="8"/>
        <v>0</v>
      </c>
      <c r="O25" s="114">
        <f t="shared" si="33"/>
        <v>315.1205</v>
      </c>
      <c r="P25" s="90">
        <f t="shared" si="29"/>
        <v>28.3</v>
      </c>
      <c r="Q25" s="115">
        <f>7.5</f>
        <v>7.5</v>
      </c>
      <c r="R25" s="116"/>
      <c r="S25" s="115">
        <f>S20</f>
        <v>20</v>
      </c>
      <c r="T25" s="115">
        <v>0.8</v>
      </c>
      <c r="U25" s="115"/>
      <c r="V25" s="90">
        <f t="shared" si="30"/>
        <v>315.1205</v>
      </c>
      <c r="W25" s="82"/>
      <c r="X25" s="82"/>
      <c r="Y25" s="82"/>
      <c r="Z25" s="82"/>
      <c r="AA25" s="82"/>
      <c r="AB25" s="82"/>
      <c r="AC25" s="82"/>
      <c r="AD25" s="82"/>
      <c r="AE25" s="75"/>
    </row>
    <row r="26" s="72" customFormat="1" ht="23" customHeight="1" spans="1:31">
      <c r="A26" s="106" t="s">
        <v>13</v>
      </c>
      <c r="B26" s="107" t="s">
        <v>14</v>
      </c>
      <c r="C26" s="107"/>
      <c r="D26" s="108"/>
      <c r="E26" s="109"/>
      <c r="F26" s="109"/>
      <c r="G26" s="109">
        <f>SUBTOTAL(9,G27:G30)</f>
        <v>137887.9985</v>
      </c>
      <c r="H26" s="108"/>
      <c r="I26" s="95"/>
      <c r="J26" s="96"/>
      <c r="K26" s="97"/>
      <c r="L26" s="96"/>
      <c r="M26" s="96"/>
      <c r="N26" s="96"/>
      <c r="O26" s="96"/>
      <c r="P26" s="87"/>
      <c r="Q26" s="90"/>
      <c r="R26" s="91"/>
      <c r="S26" s="90"/>
      <c r="T26" s="90"/>
      <c r="U26" s="90"/>
      <c r="V26" s="82"/>
      <c r="W26" s="82"/>
      <c r="X26" s="82"/>
      <c r="Y26" s="82"/>
      <c r="Z26" s="82"/>
      <c r="AA26" s="82"/>
      <c r="AB26" s="82"/>
      <c r="AC26" s="82"/>
      <c r="AD26" s="82"/>
      <c r="AE26" s="75"/>
    </row>
    <row r="27" s="72" customFormat="1" ht="30" customHeight="1" outlineLevel="1" spans="1:31">
      <c r="A27" s="92">
        <v>1</v>
      </c>
      <c r="B27" s="120" t="s">
        <v>89</v>
      </c>
      <c r="C27" s="121" t="s">
        <v>90</v>
      </c>
      <c r="D27" s="93" t="s">
        <v>62</v>
      </c>
      <c r="E27" s="94">
        <f>158.91-1.96</f>
        <v>156.95</v>
      </c>
      <c r="F27" s="94">
        <f>I27</f>
        <v>76.93</v>
      </c>
      <c r="G27" s="94">
        <f>F27*E27</f>
        <v>12074.1635</v>
      </c>
      <c r="H27" s="93"/>
      <c r="I27" s="111">
        <f>J27+J27*K27+L27+M27+N27</f>
        <v>76.93</v>
      </c>
      <c r="J27" s="112">
        <f>Q27*$Q$1</f>
        <v>43</v>
      </c>
      <c r="K27" s="113">
        <f>R27</f>
        <v>0.01</v>
      </c>
      <c r="L27" s="112">
        <f>S27*$S$1</f>
        <v>30</v>
      </c>
      <c r="M27" s="114">
        <f>T27*$T$1</f>
        <v>3.5</v>
      </c>
      <c r="N27" s="114">
        <f>U27*$U$1</f>
        <v>0</v>
      </c>
      <c r="O27" s="114">
        <f>E27*I27</f>
        <v>12074.1635</v>
      </c>
      <c r="P27" s="90">
        <f>Q27+Q27*R27+S27+T27+U27</f>
        <v>76.93</v>
      </c>
      <c r="Q27" s="82">
        <v>43</v>
      </c>
      <c r="R27" s="83">
        <v>0.01</v>
      </c>
      <c r="S27" s="82">
        <v>30</v>
      </c>
      <c r="T27" s="82">
        <v>3.5</v>
      </c>
      <c r="U27" s="82">
        <v>0</v>
      </c>
      <c r="V27" s="90">
        <f>E27*P27</f>
        <v>12074.1635</v>
      </c>
      <c r="W27" s="82"/>
      <c r="X27" s="82"/>
      <c r="Y27" s="82"/>
      <c r="Z27" s="82"/>
      <c r="AA27" s="82"/>
      <c r="AB27" s="82"/>
      <c r="AC27" s="82"/>
      <c r="AD27" s="82"/>
      <c r="AE27" s="75"/>
    </row>
    <row r="28" s="72" customFormat="1" ht="48" outlineLevel="1" spans="1:31">
      <c r="A28" s="92">
        <v>2</v>
      </c>
      <c r="B28" s="93" t="s">
        <v>91</v>
      </c>
      <c r="C28" s="110" t="s">
        <v>92</v>
      </c>
      <c r="D28" s="93" t="s">
        <v>62</v>
      </c>
      <c r="E28" s="94">
        <f>7.29+12.13+37.84+26.23+72.43+0.68+0.08+0.2+0.2+0.3-1.96</f>
        <v>155.42</v>
      </c>
      <c r="F28" s="94">
        <f>I28</f>
        <v>789</v>
      </c>
      <c r="G28" s="94">
        <f>F28*E28</f>
        <v>122626.38</v>
      </c>
      <c r="H28" s="93"/>
      <c r="I28" s="111">
        <f>J28+J28*K28+L28+M28+N28</f>
        <v>789</v>
      </c>
      <c r="J28" s="112">
        <f>Q28*$Q$1</f>
        <v>650</v>
      </c>
      <c r="K28" s="113">
        <f>R28</f>
        <v>0.02</v>
      </c>
      <c r="L28" s="112">
        <f>S28*$S$1</f>
        <v>80</v>
      </c>
      <c r="M28" s="114">
        <f>T28*$T$1</f>
        <v>46</v>
      </c>
      <c r="N28" s="114">
        <f>U28*$U$1</f>
        <v>0</v>
      </c>
      <c r="O28" s="114">
        <f>E28*I28</f>
        <v>122626.38</v>
      </c>
      <c r="P28" s="90">
        <f>Q28+Q28*R28+S28+T28+U28</f>
        <v>789</v>
      </c>
      <c r="Q28" s="82">
        <v>650</v>
      </c>
      <c r="R28" s="83">
        <v>0.02</v>
      </c>
      <c r="S28" s="82">
        <v>80</v>
      </c>
      <c r="T28" s="82">
        <v>46</v>
      </c>
      <c r="U28" s="82"/>
      <c r="V28" s="90">
        <f>E28*P28</f>
        <v>122626.38</v>
      </c>
      <c r="W28" s="82"/>
      <c r="X28" s="82"/>
      <c r="Y28" s="82"/>
      <c r="Z28" s="82"/>
      <c r="AA28" s="82"/>
      <c r="AB28" s="82"/>
      <c r="AC28" s="82"/>
      <c r="AD28" s="82"/>
      <c r="AE28" s="75"/>
    </row>
    <row r="29" s="72" customFormat="1" ht="25" customHeight="1" outlineLevel="1" spans="1:31">
      <c r="A29" s="92">
        <v>3</v>
      </c>
      <c r="B29" s="93" t="s">
        <v>93</v>
      </c>
      <c r="C29" s="110" t="s">
        <v>94</v>
      </c>
      <c r="D29" s="93" t="s">
        <v>62</v>
      </c>
      <c r="E29" s="94">
        <f>E28</f>
        <v>155.42</v>
      </c>
      <c r="F29" s="94">
        <f>I29</f>
        <v>20</v>
      </c>
      <c r="G29" s="94">
        <f>F29*E29</f>
        <v>3108.4</v>
      </c>
      <c r="H29" s="93"/>
      <c r="I29" s="111">
        <f>J29+J29*K29+L29+M29+N29</f>
        <v>20</v>
      </c>
      <c r="J29" s="112">
        <f>Q29*$Q$1</f>
        <v>0</v>
      </c>
      <c r="K29" s="113">
        <f>R29</f>
        <v>0.02</v>
      </c>
      <c r="L29" s="112">
        <f>S29*$S$1</f>
        <v>16</v>
      </c>
      <c r="M29" s="114">
        <f>T29*$T$1</f>
        <v>4</v>
      </c>
      <c r="N29" s="114">
        <f>U29*$U$1</f>
        <v>0</v>
      </c>
      <c r="O29" s="114">
        <f>E29*I29</f>
        <v>3108.4</v>
      </c>
      <c r="P29" s="90">
        <f>Q29+Q29*R29+S29+T29+U29</f>
        <v>20</v>
      </c>
      <c r="Q29" s="82"/>
      <c r="R29" s="83">
        <v>0.02</v>
      </c>
      <c r="S29" s="82">
        <v>16</v>
      </c>
      <c r="T29" s="82">
        <v>4</v>
      </c>
      <c r="U29" s="82"/>
      <c r="V29" s="90">
        <f>E29*P29</f>
        <v>3108.4</v>
      </c>
      <c r="W29" s="82"/>
      <c r="X29" s="82"/>
      <c r="Y29" s="82"/>
      <c r="Z29" s="82"/>
      <c r="AA29" s="82"/>
      <c r="AB29" s="82"/>
      <c r="AC29" s="82"/>
      <c r="AD29" s="82"/>
      <c r="AE29" s="75"/>
    </row>
    <row r="30" s="72" customFormat="1" ht="24" outlineLevel="1" spans="1:31">
      <c r="A30" s="92">
        <v>4</v>
      </c>
      <c r="B30" s="93" t="s">
        <v>95</v>
      </c>
      <c r="C30" s="110" t="s">
        <v>96</v>
      </c>
      <c r="D30" s="93" t="s">
        <v>65</v>
      </c>
      <c r="E30" s="94">
        <v>1.63</v>
      </c>
      <c r="F30" s="94">
        <f>I30</f>
        <v>48.5</v>
      </c>
      <c r="G30" s="94">
        <f>F30*E30</f>
        <v>79.055</v>
      </c>
      <c r="H30" s="93"/>
      <c r="I30" s="111">
        <f>J30+J30*K30+L30+M30+N30</f>
        <v>48.5</v>
      </c>
      <c r="J30" s="112">
        <f>Q30*$Q$1</f>
        <v>35</v>
      </c>
      <c r="K30" s="113">
        <f>R30</f>
        <v>0.02</v>
      </c>
      <c r="L30" s="112">
        <f>S30*$S$1</f>
        <v>12</v>
      </c>
      <c r="M30" s="114">
        <f>T30*$T$1</f>
        <v>0.8</v>
      </c>
      <c r="N30" s="114">
        <f>U30*$U$1</f>
        <v>0</v>
      </c>
      <c r="O30" s="114">
        <f>E30*I30</f>
        <v>79.055</v>
      </c>
      <c r="P30" s="90">
        <f>Q30+Q30*R30+S30+T30+U30</f>
        <v>48.5</v>
      </c>
      <c r="Q30" s="82">
        <v>35</v>
      </c>
      <c r="R30" s="83">
        <v>0.02</v>
      </c>
      <c r="S30" s="82">
        <v>12</v>
      </c>
      <c r="T30" s="82">
        <v>0.8</v>
      </c>
      <c r="U30" s="82"/>
      <c r="V30" s="90">
        <f>E30*P30</f>
        <v>79.055</v>
      </c>
      <c r="W30" s="82"/>
      <c r="X30" s="82"/>
      <c r="Y30" s="82"/>
      <c r="Z30" s="82"/>
      <c r="AA30" s="82"/>
      <c r="AB30" s="82"/>
      <c r="AC30" s="82"/>
      <c r="AD30" s="82"/>
      <c r="AE30" s="75"/>
    </row>
    <row r="31" s="72" customFormat="1" ht="19" customHeight="1" spans="1:31">
      <c r="A31" s="106" t="s">
        <v>16</v>
      </c>
      <c r="B31" s="107" t="s">
        <v>17</v>
      </c>
      <c r="C31" s="107"/>
      <c r="D31" s="108"/>
      <c r="E31" s="109"/>
      <c r="F31" s="109"/>
      <c r="G31" s="109">
        <f>SUBTOTAL(9,G32:G42)</f>
        <v>53883.9043</v>
      </c>
      <c r="H31" s="108"/>
      <c r="I31" s="79"/>
      <c r="J31" s="80"/>
      <c r="K31" s="81"/>
      <c r="L31" s="80"/>
      <c r="M31" s="80"/>
      <c r="N31" s="80"/>
      <c r="O31" s="80"/>
      <c r="P31" s="79"/>
      <c r="Q31" s="82"/>
      <c r="R31" s="83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75"/>
    </row>
    <row r="32" s="72" customFormat="1" ht="54" customHeight="1" outlineLevel="1" spans="1:31">
      <c r="A32" s="92">
        <v>1</v>
      </c>
      <c r="B32" s="93" t="s">
        <v>97</v>
      </c>
      <c r="C32" s="110" t="s">
        <v>98</v>
      </c>
      <c r="D32" s="93" t="s">
        <v>62</v>
      </c>
      <c r="E32" s="94">
        <f>7.29+12.13+37.84+26.23+72.43-1.96</f>
        <v>153.96</v>
      </c>
      <c r="F32" s="94"/>
      <c r="G32" s="94"/>
      <c r="H32" s="93"/>
      <c r="I32" s="111">
        <f>J32+J32*K32+L32+M32+N32</f>
        <v>146.2</v>
      </c>
      <c r="J32" s="112">
        <f t="shared" ref="J32:J42" si="34">Q32*$Q$1</f>
        <v>20</v>
      </c>
      <c r="K32" s="113">
        <f>R32</f>
        <v>0.01</v>
      </c>
      <c r="L32" s="112">
        <f t="shared" ref="L32:L42" si="35">S32*$S$1</f>
        <v>100</v>
      </c>
      <c r="M32" s="114">
        <f t="shared" ref="M32:M42" si="36">T32*$T$1</f>
        <v>26</v>
      </c>
      <c r="N32" s="114">
        <f t="shared" ref="N32:N42" si="37">U32*$U$1</f>
        <v>0</v>
      </c>
      <c r="O32" s="114">
        <f>E32*I32</f>
        <v>22508.952</v>
      </c>
      <c r="P32" s="90">
        <f>Q32+Q32*R32+S32+T32+U32</f>
        <v>146.2</v>
      </c>
      <c r="Q32" s="82">
        <v>20</v>
      </c>
      <c r="R32" s="83">
        <v>0.01</v>
      </c>
      <c r="S32" s="82">
        <v>100</v>
      </c>
      <c r="T32" s="82">
        <v>26</v>
      </c>
      <c r="U32" s="82"/>
      <c r="V32" s="90">
        <f>E32*P32</f>
        <v>22508.952</v>
      </c>
      <c r="W32" s="82"/>
      <c r="X32" s="82"/>
      <c r="Y32" s="82"/>
      <c r="Z32" s="82"/>
      <c r="AA32" s="82"/>
      <c r="AB32" s="82"/>
      <c r="AC32" s="82"/>
      <c r="AD32" s="82"/>
      <c r="AE32" s="75"/>
    </row>
    <row r="33" s="72" customFormat="1" ht="51" customHeight="1" outlineLevel="1" spans="1:31">
      <c r="A33" s="92">
        <v>1.1</v>
      </c>
      <c r="B33" s="93" t="s">
        <v>72</v>
      </c>
      <c r="C33" s="110" t="s">
        <v>99</v>
      </c>
      <c r="D33" s="93" t="s">
        <v>62</v>
      </c>
      <c r="E33" s="94">
        <f>E32</f>
        <v>153.96</v>
      </c>
      <c r="F33" s="94">
        <f>I33</f>
        <v>71.5</v>
      </c>
      <c r="G33" s="94">
        <f>F33*E33</f>
        <v>11008.14</v>
      </c>
      <c r="H33" s="93"/>
      <c r="I33" s="111">
        <f>J33+J33*K33+L33+M33+N33</f>
        <v>71.5</v>
      </c>
      <c r="J33" s="112">
        <f t="shared" si="34"/>
        <v>0</v>
      </c>
      <c r="K33" s="113">
        <f>R33</f>
        <v>0</v>
      </c>
      <c r="L33" s="112">
        <f t="shared" si="35"/>
        <v>35</v>
      </c>
      <c r="M33" s="114">
        <f t="shared" si="36"/>
        <v>35</v>
      </c>
      <c r="N33" s="114">
        <f t="shared" si="37"/>
        <v>1.5</v>
      </c>
      <c r="O33" s="114">
        <f>E33*I33</f>
        <v>11008.14</v>
      </c>
      <c r="P33" s="90">
        <f>Q33+Q33*R33+S33+T33+U33</f>
        <v>71.5</v>
      </c>
      <c r="Q33" s="115"/>
      <c r="R33" s="116"/>
      <c r="S33" s="115">
        <v>35</v>
      </c>
      <c r="T33" s="115">
        <v>35</v>
      </c>
      <c r="U33" s="115">
        <v>1.5</v>
      </c>
      <c r="V33" s="90">
        <f>E33*P33</f>
        <v>11008.14</v>
      </c>
      <c r="W33" s="82"/>
      <c r="X33" s="82"/>
      <c r="Y33" s="82"/>
      <c r="Z33" s="82"/>
      <c r="AA33" s="82"/>
      <c r="AB33" s="82"/>
      <c r="AC33" s="82"/>
      <c r="AD33" s="82"/>
      <c r="AE33" s="75"/>
    </row>
    <row r="34" s="72" customFormat="1" ht="30" customHeight="1" outlineLevel="1" spans="1:31">
      <c r="A34" s="92">
        <v>1.2</v>
      </c>
      <c r="B34" s="93" t="s">
        <v>76</v>
      </c>
      <c r="C34" s="110" t="s">
        <v>100</v>
      </c>
      <c r="D34" s="93" t="s">
        <v>62</v>
      </c>
      <c r="E34" s="94">
        <f>E32*0.15</f>
        <v>23.094</v>
      </c>
      <c r="F34" s="94">
        <f>I34</f>
        <v>48.8</v>
      </c>
      <c r="G34" s="94">
        <f>F34*E34</f>
        <v>1126.9872</v>
      </c>
      <c r="H34" s="93"/>
      <c r="I34" s="111">
        <f>J34+J34*K34+L34+M34+N34</f>
        <v>48.8</v>
      </c>
      <c r="J34" s="112">
        <f t="shared" si="34"/>
        <v>28</v>
      </c>
      <c r="K34" s="113">
        <f>R34</f>
        <v>0</v>
      </c>
      <c r="L34" s="112">
        <f t="shared" si="35"/>
        <v>20</v>
      </c>
      <c r="M34" s="114">
        <f t="shared" si="36"/>
        <v>0.8</v>
      </c>
      <c r="N34" s="114">
        <f t="shared" si="37"/>
        <v>0</v>
      </c>
      <c r="O34" s="114">
        <f>E34*I34</f>
        <v>1126.9872</v>
      </c>
      <c r="P34" s="90">
        <f>Q34+Q34*R34+S34+T34+U34</f>
        <v>48.8</v>
      </c>
      <c r="Q34" s="115">
        <v>28</v>
      </c>
      <c r="R34" s="116"/>
      <c r="S34" s="115">
        <v>20</v>
      </c>
      <c r="T34" s="115">
        <v>0.8</v>
      </c>
      <c r="U34" s="115"/>
      <c r="V34" s="90">
        <f>E34*P34</f>
        <v>1126.9872</v>
      </c>
      <c r="W34" s="82"/>
      <c r="X34" s="82"/>
      <c r="Y34" s="82"/>
      <c r="Z34" s="82"/>
      <c r="AA34" s="82"/>
      <c r="AB34" s="82"/>
      <c r="AC34" s="82"/>
      <c r="AD34" s="82"/>
      <c r="AE34" s="75"/>
    </row>
    <row r="35" s="72" customFormat="1" ht="30" customHeight="1" outlineLevel="1" spans="1:31">
      <c r="A35" s="92">
        <v>1.3</v>
      </c>
      <c r="B35" s="93" t="s">
        <v>78</v>
      </c>
      <c r="C35" s="110" t="s">
        <v>79</v>
      </c>
      <c r="D35" s="93" t="s">
        <v>62</v>
      </c>
      <c r="E35" s="94">
        <f>E33*2</f>
        <v>307.92</v>
      </c>
      <c r="F35" s="94">
        <f>I35</f>
        <v>28.3</v>
      </c>
      <c r="G35" s="94">
        <f>F35*E35</f>
        <v>8714.136</v>
      </c>
      <c r="H35" s="93"/>
      <c r="I35" s="111">
        <f>J35+J35*K35+L35+M35+N35</f>
        <v>28.3</v>
      </c>
      <c r="J35" s="112">
        <f t="shared" si="34"/>
        <v>7.5</v>
      </c>
      <c r="K35" s="113">
        <f>R35</f>
        <v>0</v>
      </c>
      <c r="L35" s="112">
        <f t="shared" si="35"/>
        <v>20</v>
      </c>
      <c r="M35" s="114">
        <f t="shared" si="36"/>
        <v>0.8</v>
      </c>
      <c r="N35" s="114">
        <f t="shared" si="37"/>
        <v>0</v>
      </c>
      <c r="O35" s="114">
        <f>E35*I35</f>
        <v>8714.136</v>
      </c>
      <c r="P35" s="90">
        <f>Q35+Q35*R35+S35+T35+U35</f>
        <v>28.3</v>
      </c>
      <c r="Q35" s="115">
        <f>7.5</f>
        <v>7.5</v>
      </c>
      <c r="R35" s="116"/>
      <c r="S35" s="115">
        <v>20</v>
      </c>
      <c r="T35" s="115">
        <v>0.8</v>
      </c>
      <c r="U35" s="115"/>
      <c r="V35" s="90">
        <f>E35*P35</f>
        <v>8714.136</v>
      </c>
      <c r="W35" s="82"/>
      <c r="X35" s="82"/>
      <c r="Y35" s="82"/>
      <c r="Z35" s="82"/>
      <c r="AA35" s="82"/>
      <c r="AB35" s="82"/>
      <c r="AC35" s="82"/>
      <c r="AD35" s="82"/>
      <c r="AE35" s="75"/>
    </row>
    <row r="36" s="72" customFormat="1" ht="30" customHeight="1" outlineLevel="1" spans="1:31">
      <c r="A36" s="92">
        <v>2</v>
      </c>
      <c r="B36" s="93" t="s">
        <v>101</v>
      </c>
      <c r="C36" s="110"/>
      <c r="D36" s="93" t="s">
        <v>62</v>
      </c>
      <c r="E36" s="94">
        <f>E32</f>
        <v>153.96</v>
      </c>
      <c r="F36" s="94">
        <f t="shared" ref="F36:F42" si="38">I36</f>
        <v>8.5</v>
      </c>
      <c r="G36" s="94">
        <f t="shared" ref="G36:G42" si="39">F36*E36</f>
        <v>1308.66</v>
      </c>
      <c r="H36" s="93"/>
      <c r="I36" s="111">
        <f t="shared" ref="I36:I42" si="40">J36+J36*K36+L36+M36+N36</f>
        <v>8.5</v>
      </c>
      <c r="J36" s="112">
        <f t="shared" si="34"/>
        <v>3.5</v>
      </c>
      <c r="K36" s="113">
        <f t="shared" ref="K36:K42" si="41">R36</f>
        <v>0</v>
      </c>
      <c r="L36" s="112">
        <f t="shared" si="35"/>
        <v>5</v>
      </c>
      <c r="M36" s="114">
        <f t="shared" si="36"/>
        <v>0</v>
      </c>
      <c r="N36" s="114">
        <f t="shared" si="37"/>
        <v>0</v>
      </c>
      <c r="O36" s="114">
        <f t="shared" ref="O36:O42" si="42">E36*I36</f>
        <v>1308.66</v>
      </c>
      <c r="P36" s="90">
        <f t="shared" ref="P36:P42" si="43">Q36+Q36*R36+S36+T36+U36</f>
        <v>8.5</v>
      </c>
      <c r="Q36" s="82">
        <v>3.5</v>
      </c>
      <c r="R36" s="83">
        <v>0</v>
      </c>
      <c r="S36" s="82">
        <v>5</v>
      </c>
      <c r="T36" s="82">
        <v>0</v>
      </c>
      <c r="U36" s="82">
        <v>0</v>
      </c>
      <c r="V36" s="90">
        <f t="shared" ref="V36:V42" si="44">E36*P36</f>
        <v>1308.66</v>
      </c>
      <c r="W36" s="82"/>
      <c r="X36" s="82"/>
      <c r="Y36" s="82"/>
      <c r="Z36" s="82"/>
      <c r="AA36" s="82"/>
      <c r="AB36" s="82"/>
      <c r="AC36" s="82"/>
      <c r="AD36" s="82"/>
      <c r="AE36" s="75"/>
    </row>
    <row r="37" s="72" customFormat="1" ht="24" customHeight="1" outlineLevel="1" spans="1:31">
      <c r="A37" s="92">
        <v>3</v>
      </c>
      <c r="B37" s="93" t="s">
        <v>102</v>
      </c>
      <c r="C37" s="110" t="s">
        <v>103</v>
      </c>
      <c r="D37" s="93" t="s">
        <v>62</v>
      </c>
      <c r="E37" s="94">
        <f>153.96+83.5*0.2+22.43*0.4</f>
        <v>179.632</v>
      </c>
      <c r="F37" s="94">
        <f t="shared" si="38"/>
        <v>23.5</v>
      </c>
      <c r="G37" s="94">
        <f t="shared" si="39"/>
        <v>4221.352</v>
      </c>
      <c r="H37" s="93"/>
      <c r="I37" s="111">
        <f t="shared" si="40"/>
        <v>23.5</v>
      </c>
      <c r="J37" s="112">
        <f t="shared" si="34"/>
        <v>3.5</v>
      </c>
      <c r="K37" s="113">
        <f t="shared" si="41"/>
        <v>0</v>
      </c>
      <c r="L37" s="112">
        <f t="shared" si="35"/>
        <v>20</v>
      </c>
      <c r="M37" s="114">
        <f t="shared" si="36"/>
        <v>0</v>
      </c>
      <c r="N37" s="114">
        <f t="shared" si="37"/>
        <v>0</v>
      </c>
      <c r="O37" s="114">
        <f t="shared" si="42"/>
        <v>4221.352</v>
      </c>
      <c r="P37" s="90">
        <f t="shared" si="43"/>
        <v>23.5</v>
      </c>
      <c r="Q37" s="82">
        <v>3.5</v>
      </c>
      <c r="R37" s="83">
        <v>0</v>
      </c>
      <c r="S37" s="82">
        <v>20</v>
      </c>
      <c r="T37" s="82">
        <v>0</v>
      </c>
      <c r="U37" s="82">
        <v>0</v>
      </c>
      <c r="V37" s="90">
        <f t="shared" si="44"/>
        <v>4221.352</v>
      </c>
      <c r="W37" s="82"/>
      <c r="X37" s="82"/>
      <c r="Y37" s="82"/>
      <c r="Z37" s="82"/>
      <c r="AA37" s="82"/>
      <c r="AB37" s="82"/>
      <c r="AC37" s="82"/>
      <c r="AD37" s="82"/>
      <c r="AE37" s="75"/>
    </row>
    <row r="38" s="72" customFormat="1" ht="44" customHeight="1" outlineLevel="1" spans="1:31">
      <c r="A38" s="92">
        <v>4</v>
      </c>
      <c r="B38" s="93" t="s">
        <v>104</v>
      </c>
      <c r="C38" s="110" t="s">
        <v>105</v>
      </c>
      <c r="D38" s="93" t="s">
        <v>62</v>
      </c>
      <c r="E38" s="94">
        <f>E37</f>
        <v>179.632</v>
      </c>
      <c r="F38" s="94">
        <f t="shared" si="38"/>
        <v>13</v>
      </c>
      <c r="G38" s="94">
        <f t="shared" si="39"/>
        <v>2335.216</v>
      </c>
      <c r="H38" s="93"/>
      <c r="I38" s="111">
        <f t="shared" si="40"/>
        <v>13</v>
      </c>
      <c r="J38" s="112">
        <f t="shared" si="34"/>
        <v>3</v>
      </c>
      <c r="K38" s="113">
        <f t="shared" si="41"/>
        <v>0</v>
      </c>
      <c r="L38" s="112">
        <f t="shared" si="35"/>
        <v>10</v>
      </c>
      <c r="M38" s="114">
        <f t="shared" si="36"/>
        <v>0</v>
      </c>
      <c r="N38" s="114">
        <f t="shared" si="37"/>
        <v>0</v>
      </c>
      <c r="O38" s="114">
        <f t="shared" si="42"/>
        <v>2335.216</v>
      </c>
      <c r="P38" s="90">
        <f t="shared" si="43"/>
        <v>13</v>
      </c>
      <c r="Q38" s="82">
        <v>3</v>
      </c>
      <c r="R38" s="83">
        <v>0</v>
      </c>
      <c r="S38" s="82">
        <v>10</v>
      </c>
      <c r="T38" s="82">
        <v>0</v>
      </c>
      <c r="U38" s="82">
        <v>0</v>
      </c>
      <c r="V38" s="90">
        <f t="shared" si="44"/>
        <v>2335.216</v>
      </c>
      <c r="W38" s="82"/>
      <c r="X38" s="82"/>
      <c r="Y38" s="82"/>
      <c r="Z38" s="82"/>
      <c r="AA38" s="82"/>
      <c r="AB38" s="82"/>
      <c r="AC38" s="82"/>
      <c r="AD38" s="82"/>
      <c r="AE38" s="75"/>
    </row>
    <row r="39" s="72" customFormat="1" ht="54" customHeight="1" outlineLevel="1" spans="1:31">
      <c r="A39" s="92">
        <v>5</v>
      </c>
      <c r="B39" s="93" t="s">
        <v>106</v>
      </c>
      <c r="C39" s="110" t="s">
        <v>107</v>
      </c>
      <c r="D39" s="93" t="s">
        <v>65</v>
      </c>
      <c r="E39" s="94">
        <f>9.7+22.68+19.24+31.88</f>
        <v>83.5</v>
      </c>
      <c r="F39" s="94">
        <f t="shared" si="38"/>
        <v>70</v>
      </c>
      <c r="G39" s="94">
        <f t="shared" si="39"/>
        <v>5845</v>
      </c>
      <c r="H39" s="93"/>
      <c r="I39" s="111">
        <f t="shared" si="40"/>
        <v>70</v>
      </c>
      <c r="J39" s="112">
        <f t="shared" si="34"/>
        <v>13.5</v>
      </c>
      <c r="K39" s="113">
        <f t="shared" si="41"/>
        <v>0</v>
      </c>
      <c r="L39" s="112">
        <f t="shared" si="35"/>
        <v>55</v>
      </c>
      <c r="M39" s="114">
        <f t="shared" si="36"/>
        <v>1.5</v>
      </c>
      <c r="N39" s="114">
        <f t="shared" si="37"/>
        <v>0</v>
      </c>
      <c r="O39" s="114">
        <f t="shared" si="42"/>
        <v>5845</v>
      </c>
      <c r="P39" s="90">
        <f t="shared" si="43"/>
        <v>70</v>
      </c>
      <c r="Q39" s="82">
        <f>0.3*(35+10)</f>
        <v>13.5</v>
      </c>
      <c r="R39" s="83"/>
      <c r="S39" s="82">
        <v>55</v>
      </c>
      <c r="T39" s="82">
        <v>1.5</v>
      </c>
      <c r="U39" s="82"/>
      <c r="V39" s="90">
        <f t="shared" si="44"/>
        <v>5845</v>
      </c>
      <c r="W39" s="82"/>
      <c r="X39" s="82"/>
      <c r="Y39" s="82"/>
      <c r="Z39" s="82"/>
      <c r="AA39" s="82"/>
      <c r="AB39" s="82"/>
      <c r="AC39" s="82"/>
      <c r="AD39" s="82"/>
      <c r="AE39" s="75"/>
    </row>
    <row r="40" s="72" customFormat="1" ht="46" customHeight="1" outlineLevel="1" spans="1:31">
      <c r="A40" s="92">
        <v>6</v>
      </c>
      <c r="B40" s="93" t="s">
        <v>108</v>
      </c>
      <c r="C40" s="110" t="s">
        <v>109</v>
      </c>
      <c r="D40" s="93" t="s">
        <v>65</v>
      </c>
      <c r="E40" s="94">
        <f>5.28+5.02+12.13</f>
        <v>22.43</v>
      </c>
      <c r="F40" s="94">
        <f t="shared" si="38"/>
        <v>195.17</v>
      </c>
      <c r="G40" s="94">
        <f t="shared" si="39"/>
        <v>4377.6631</v>
      </c>
      <c r="H40" s="93"/>
      <c r="I40" s="111">
        <f t="shared" si="40"/>
        <v>195.17</v>
      </c>
      <c r="J40" s="112">
        <f t="shared" si="34"/>
        <v>131.67</v>
      </c>
      <c r="K40" s="113">
        <f t="shared" si="41"/>
        <v>0</v>
      </c>
      <c r="L40" s="112">
        <f t="shared" si="35"/>
        <v>55</v>
      </c>
      <c r="M40" s="114">
        <f t="shared" si="36"/>
        <v>8.5</v>
      </c>
      <c r="N40" s="114">
        <f t="shared" si="37"/>
        <v>0</v>
      </c>
      <c r="O40" s="114">
        <f t="shared" si="42"/>
        <v>4377.6631</v>
      </c>
      <c r="P40" s="90">
        <f t="shared" si="43"/>
        <v>195.17</v>
      </c>
      <c r="Q40" s="82">
        <f>4.2*5.7*5.5</f>
        <v>131.67</v>
      </c>
      <c r="R40" s="83"/>
      <c r="S40" s="82">
        <v>55</v>
      </c>
      <c r="T40" s="82">
        <v>8.5</v>
      </c>
      <c r="U40" s="82"/>
      <c r="V40" s="90">
        <f t="shared" si="44"/>
        <v>4377.6631</v>
      </c>
      <c r="W40" s="82"/>
      <c r="X40" s="82"/>
      <c r="Y40" s="82"/>
      <c r="Z40" s="82"/>
      <c r="AA40" s="82"/>
      <c r="AB40" s="82"/>
      <c r="AC40" s="82"/>
      <c r="AD40" s="82"/>
      <c r="AE40" s="75"/>
    </row>
    <row r="41" s="72" customFormat="1" ht="22" customHeight="1" outlineLevel="1" spans="1:31">
      <c r="A41" s="92">
        <v>7</v>
      </c>
      <c r="B41" s="93" t="s">
        <v>110</v>
      </c>
      <c r="C41" s="110" t="s">
        <v>111</v>
      </c>
      <c r="D41" s="93" t="s">
        <v>62</v>
      </c>
      <c r="E41" s="94">
        <f>(5.28+5.02+12.13)*3</f>
        <v>67.29</v>
      </c>
      <c r="F41" s="94">
        <f t="shared" si="38"/>
        <v>75</v>
      </c>
      <c r="G41" s="94">
        <f t="shared" si="39"/>
        <v>5046.75</v>
      </c>
      <c r="H41" s="93"/>
      <c r="I41" s="111">
        <f t="shared" si="40"/>
        <v>75</v>
      </c>
      <c r="J41" s="112">
        <f t="shared" si="34"/>
        <v>68</v>
      </c>
      <c r="K41" s="113">
        <f t="shared" si="41"/>
        <v>0</v>
      </c>
      <c r="L41" s="112">
        <f t="shared" si="35"/>
        <v>5</v>
      </c>
      <c r="M41" s="114">
        <f t="shared" si="36"/>
        <v>1.5</v>
      </c>
      <c r="N41" s="114">
        <f t="shared" si="37"/>
        <v>0.5</v>
      </c>
      <c r="O41" s="114">
        <f t="shared" si="42"/>
        <v>5046.75</v>
      </c>
      <c r="P41" s="90">
        <f t="shared" si="43"/>
        <v>75</v>
      </c>
      <c r="Q41" s="82">
        <v>68</v>
      </c>
      <c r="R41" s="83"/>
      <c r="S41" s="82">
        <v>5</v>
      </c>
      <c r="T41" s="82">
        <v>1.5</v>
      </c>
      <c r="U41" s="82">
        <v>0.5</v>
      </c>
      <c r="V41" s="90">
        <f t="shared" si="44"/>
        <v>5046.75</v>
      </c>
      <c r="W41" s="82"/>
      <c r="X41" s="82"/>
      <c r="Y41" s="82"/>
      <c r="Z41" s="82"/>
      <c r="AA41" s="82"/>
      <c r="AB41" s="82"/>
      <c r="AC41" s="82"/>
      <c r="AD41" s="82"/>
      <c r="AE41" s="75"/>
    </row>
    <row r="42" s="72" customFormat="1" ht="29" customHeight="1" outlineLevel="1" spans="1:31">
      <c r="A42" s="92">
        <v>8</v>
      </c>
      <c r="B42" s="93" t="s">
        <v>112</v>
      </c>
      <c r="C42" s="110" t="s">
        <v>113</v>
      </c>
      <c r="D42" s="93" t="s">
        <v>114</v>
      </c>
      <c r="E42" s="94">
        <v>6</v>
      </c>
      <c r="F42" s="94">
        <f t="shared" si="38"/>
        <v>1650</v>
      </c>
      <c r="G42" s="94">
        <f t="shared" si="39"/>
        <v>9900</v>
      </c>
      <c r="H42" s="93"/>
      <c r="I42" s="111">
        <f t="shared" si="40"/>
        <v>1650</v>
      </c>
      <c r="J42" s="112">
        <f t="shared" si="34"/>
        <v>1300</v>
      </c>
      <c r="K42" s="113">
        <f t="shared" si="41"/>
        <v>0</v>
      </c>
      <c r="L42" s="112">
        <f t="shared" si="35"/>
        <v>300</v>
      </c>
      <c r="M42" s="114">
        <f t="shared" si="36"/>
        <v>35</v>
      </c>
      <c r="N42" s="114">
        <f t="shared" si="37"/>
        <v>15</v>
      </c>
      <c r="O42" s="114">
        <f t="shared" si="42"/>
        <v>9900</v>
      </c>
      <c r="P42" s="90">
        <f t="shared" si="43"/>
        <v>1650</v>
      </c>
      <c r="Q42" s="82">
        <v>1300</v>
      </c>
      <c r="R42" s="83"/>
      <c r="S42" s="82">
        <v>300</v>
      </c>
      <c r="T42" s="82">
        <v>35</v>
      </c>
      <c r="U42" s="82">
        <v>15</v>
      </c>
      <c r="V42" s="90">
        <f t="shared" si="44"/>
        <v>9900</v>
      </c>
      <c r="W42" s="82"/>
      <c r="X42" s="82"/>
      <c r="Y42" s="82"/>
      <c r="Z42" s="82"/>
      <c r="AA42" s="82"/>
      <c r="AB42" s="82"/>
      <c r="AC42" s="82"/>
      <c r="AD42" s="82"/>
      <c r="AE42" s="75"/>
    </row>
    <row r="43" s="72" customFormat="1" ht="25" customHeight="1" spans="1:31">
      <c r="A43" s="106" t="s">
        <v>19</v>
      </c>
      <c r="B43" s="107" t="s">
        <v>20</v>
      </c>
      <c r="C43" s="107"/>
      <c r="D43" s="108"/>
      <c r="E43" s="109"/>
      <c r="F43" s="109"/>
      <c r="G43" s="109">
        <f>SUBTOTAL(9,G44:G54)</f>
        <v>59987.48677</v>
      </c>
      <c r="H43" s="108"/>
      <c r="I43" s="79"/>
      <c r="J43" s="80"/>
      <c r="K43" s="81"/>
      <c r="L43" s="80"/>
      <c r="M43" s="80"/>
      <c r="N43" s="80"/>
      <c r="O43" s="80"/>
      <c r="P43" s="79"/>
      <c r="Q43" s="82"/>
      <c r="R43" s="83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75"/>
    </row>
    <row r="44" s="72" customFormat="1" ht="28" customHeight="1" outlineLevel="1" spans="1:31">
      <c r="A44" s="92">
        <v>1</v>
      </c>
      <c r="B44" s="93" t="s">
        <v>115</v>
      </c>
      <c r="C44" s="110"/>
      <c r="D44" s="93" t="s">
        <v>62</v>
      </c>
      <c r="E44" s="94">
        <f>3*(1.12+1.95+1.55+2+2.34+0.57+4.12+6.37+0.58+0.35+0.2)-0.7*2.4-1.5*2.2+16.8</f>
        <v>75.27</v>
      </c>
      <c r="F44" s="94">
        <f>I44</f>
        <v>8.5</v>
      </c>
      <c r="G44" s="94">
        <f t="shared" ref="G44:G48" si="45">F44*E44</f>
        <v>639.795</v>
      </c>
      <c r="H44" s="93"/>
      <c r="I44" s="111">
        <f t="shared" ref="I44:I54" si="46">J44+J44*K44+L44+M44+N44</f>
        <v>8.5</v>
      </c>
      <c r="J44" s="112">
        <f t="shared" ref="J44:J54" si="47">Q44*$Q$1</f>
        <v>3.5</v>
      </c>
      <c r="K44" s="113">
        <f t="shared" ref="K44:K48" si="48">R44</f>
        <v>0</v>
      </c>
      <c r="L44" s="112">
        <f t="shared" ref="L44:L54" si="49">S44*$S$1</f>
        <v>5</v>
      </c>
      <c r="M44" s="114">
        <f t="shared" ref="M44:M54" si="50">T44*$T$1</f>
        <v>0</v>
      </c>
      <c r="N44" s="114">
        <f t="shared" ref="N44:N54" si="51">U44*$U$1</f>
        <v>0</v>
      </c>
      <c r="O44" s="114">
        <f t="shared" ref="O44:O54" si="52">E44*I44</f>
        <v>639.795</v>
      </c>
      <c r="P44" s="90">
        <f t="shared" ref="P44:P54" si="53">Q44+Q44*R44+S44+T44+U44</f>
        <v>8.5</v>
      </c>
      <c r="Q44" s="82">
        <f>Q36</f>
        <v>3.5</v>
      </c>
      <c r="R44" s="83">
        <f>R36</f>
        <v>0</v>
      </c>
      <c r="S44" s="82">
        <f>S36</f>
        <v>5</v>
      </c>
      <c r="T44" s="82">
        <f>T36</f>
        <v>0</v>
      </c>
      <c r="U44" s="82">
        <v>0</v>
      </c>
      <c r="V44" s="90">
        <f t="shared" ref="V44:V54" si="54">E44*P44</f>
        <v>639.795</v>
      </c>
      <c r="W44" s="82"/>
      <c r="X44" s="82"/>
      <c r="Y44" s="82"/>
      <c r="Z44" s="82"/>
      <c r="AA44" s="82"/>
      <c r="AB44" s="82"/>
      <c r="AC44" s="82"/>
      <c r="AD44" s="82"/>
      <c r="AE44" s="75"/>
    </row>
    <row r="45" s="72" customFormat="1" ht="28" customHeight="1" outlineLevel="1" spans="1:31">
      <c r="A45" s="92">
        <v>2</v>
      </c>
      <c r="B45" s="93" t="s">
        <v>116</v>
      </c>
      <c r="C45" s="110" t="s">
        <v>117</v>
      </c>
      <c r="D45" s="93" t="s">
        <v>62</v>
      </c>
      <c r="E45" s="94">
        <f>E44</f>
        <v>75.27</v>
      </c>
      <c r="F45" s="94">
        <f>I45</f>
        <v>23.5</v>
      </c>
      <c r="G45" s="94">
        <f t="shared" si="45"/>
        <v>1768.845</v>
      </c>
      <c r="H45" s="93"/>
      <c r="I45" s="111">
        <f t="shared" si="46"/>
        <v>23.5</v>
      </c>
      <c r="J45" s="112">
        <f t="shared" si="47"/>
        <v>3.5</v>
      </c>
      <c r="K45" s="113">
        <f t="shared" si="48"/>
        <v>0</v>
      </c>
      <c r="L45" s="112">
        <f t="shared" si="49"/>
        <v>20</v>
      </c>
      <c r="M45" s="114">
        <f t="shared" si="50"/>
        <v>0</v>
      </c>
      <c r="N45" s="114">
        <f t="shared" si="51"/>
        <v>0</v>
      </c>
      <c r="O45" s="114">
        <f t="shared" si="52"/>
        <v>1768.845</v>
      </c>
      <c r="P45" s="90">
        <f t="shared" si="53"/>
        <v>23.5</v>
      </c>
      <c r="Q45" s="82">
        <f>Q37</f>
        <v>3.5</v>
      </c>
      <c r="R45" s="83">
        <f>R37</f>
        <v>0</v>
      </c>
      <c r="S45" s="82">
        <f>S37</f>
        <v>20</v>
      </c>
      <c r="T45" s="82">
        <f>T37</f>
        <v>0</v>
      </c>
      <c r="U45" s="82">
        <v>0</v>
      </c>
      <c r="V45" s="90">
        <f t="shared" si="54"/>
        <v>1768.845</v>
      </c>
      <c r="W45" s="82"/>
      <c r="X45" s="82"/>
      <c r="Y45" s="82"/>
      <c r="Z45" s="82"/>
      <c r="AA45" s="82"/>
      <c r="AB45" s="82"/>
      <c r="AC45" s="82"/>
      <c r="AD45" s="82"/>
      <c r="AE45" s="75"/>
    </row>
    <row r="46" s="72" customFormat="1" ht="28" customHeight="1" outlineLevel="1" spans="1:31">
      <c r="A46" s="92">
        <v>3</v>
      </c>
      <c r="B46" s="93" t="s">
        <v>118</v>
      </c>
      <c r="C46" s="110" t="s">
        <v>105</v>
      </c>
      <c r="D46" s="93" t="s">
        <v>62</v>
      </c>
      <c r="E46" s="94">
        <f>3*(1.12+1.95+1.55+2+2.34+0.57+4.12+6.37+0.58+0.35+0.2)-0.7*2.4-1.5*2.2</f>
        <v>58.47</v>
      </c>
      <c r="F46" s="94">
        <f t="shared" ref="F46:F48" si="55">I46</f>
        <v>13</v>
      </c>
      <c r="G46" s="94">
        <f t="shared" si="45"/>
        <v>760.11</v>
      </c>
      <c r="H46" s="93"/>
      <c r="I46" s="111">
        <f t="shared" si="46"/>
        <v>13</v>
      </c>
      <c r="J46" s="112">
        <f t="shared" si="47"/>
        <v>3</v>
      </c>
      <c r="K46" s="113">
        <f t="shared" si="48"/>
        <v>0</v>
      </c>
      <c r="L46" s="112">
        <f t="shared" si="49"/>
        <v>10</v>
      </c>
      <c r="M46" s="114">
        <f t="shared" si="50"/>
        <v>0</v>
      </c>
      <c r="N46" s="114">
        <f t="shared" si="51"/>
        <v>0</v>
      </c>
      <c r="O46" s="114">
        <f t="shared" si="52"/>
        <v>760.11</v>
      </c>
      <c r="P46" s="90">
        <f t="shared" si="53"/>
        <v>13</v>
      </c>
      <c r="Q46" s="82">
        <f>Q38</f>
        <v>3</v>
      </c>
      <c r="R46" s="83">
        <f>R38</f>
        <v>0</v>
      </c>
      <c r="S46" s="82">
        <f>S38</f>
        <v>10</v>
      </c>
      <c r="T46" s="82">
        <f>T38</f>
        <v>0</v>
      </c>
      <c r="U46" s="82">
        <v>0</v>
      </c>
      <c r="V46" s="90">
        <f t="shared" si="54"/>
        <v>760.11</v>
      </c>
      <c r="W46" s="82"/>
      <c r="X46" s="82"/>
      <c r="Y46" s="82"/>
      <c r="Z46" s="82"/>
      <c r="AA46" s="82"/>
      <c r="AB46" s="82"/>
      <c r="AC46" s="82"/>
      <c r="AD46" s="82"/>
      <c r="AE46" s="75"/>
    </row>
    <row r="47" s="72" customFormat="1" ht="67" customHeight="1" outlineLevel="1" spans="1:31">
      <c r="A47" s="92">
        <v>4</v>
      </c>
      <c r="B47" s="93" t="s">
        <v>119</v>
      </c>
      <c r="C47" s="110" t="s">
        <v>120</v>
      </c>
      <c r="D47" s="93" t="s">
        <v>62</v>
      </c>
      <c r="E47" s="94">
        <f>3*5.6</f>
        <v>16.8</v>
      </c>
      <c r="F47" s="94">
        <f t="shared" si="55"/>
        <v>318.25</v>
      </c>
      <c r="G47" s="94">
        <f t="shared" si="45"/>
        <v>5346.6</v>
      </c>
      <c r="H47" s="93"/>
      <c r="I47" s="111">
        <f t="shared" si="46"/>
        <v>318.25</v>
      </c>
      <c r="J47" s="112">
        <f t="shared" si="47"/>
        <v>275</v>
      </c>
      <c r="K47" s="113">
        <f t="shared" si="48"/>
        <v>0.03</v>
      </c>
      <c r="L47" s="112">
        <f t="shared" si="49"/>
        <v>35</v>
      </c>
      <c r="M47" s="114">
        <f t="shared" si="50"/>
        <v>0</v>
      </c>
      <c r="N47" s="114">
        <f t="shared" si="51"/>
        <v>0</v>
      </c>
      <c r="O47" s="114">
        <f t="shared" si="52"/>
        <v>5346.6</v>
      </c>
      <c r="P47" s="90">
        <f t="shared" si="53"/>
        <v>318.25</v>
      </c>
      <c r="Q47" s="82">
        <v>275</v>
      </c>
      <c r="R47" s="83">
        <v>0.03</v>
      </c>
      <c r="S47" s="82">
        <v>35</v>
      </c>
      <c r="T47" s="82"/>
      <c r="U47" s="82"/>
      <c r="V47" s="90">
        <f t="shared" si="54"/>
        <v>5346.6</v>
      </c>
      <c r="W47" s="82"/>
      <c r="X47" s="82"/>
      <c r="Y47" s="82"/>
      <c r="Z47" s="82"/>
      <c r="AA47" s="82"/>
      <c r="AB47" s="82"/>
      <c r="AC47" s="82"/>
      <c r="AD47" s="82"/>
      <c r="AE47" s="75"/>
    </row>
    <row r="48" s="72" customFormat="1" ht="67" customHeight="1" outlineLevel="1" spans="1:31">
      <c r="A48" s="92">
        <v>5</v>
      </c>
      <c r="B48" s="93" t="s">
        <v>121</v>
      </c>
      <c r="C48" s="110" t="s">
        <v>122</v>
      </c>
      <c r="D48" s="93" t="s">
        <v>62</v>
      </c>
      <c r="E48" s="94">
        <f>3*(2+0.25+1.82+1+1+0.15*2+0.6*2+0.6*3+0.6*2+0.12+6.23+0.35+0.6+4.93*2+1.9)-0.7*2.4</f>
        <v>87.21</v>
      </c>
      <c r="F48" s="94">
        <f t="shared" si="55"/>
        <v>385.7</v>
      </c>
      <c r="G48" s="94">
        <f t="shared" si="45"/>
        <v>33636.897</v>
      </c>
      <c r="H48" s="93"/>
      <c r="I48" s="111">
        <f t="shared" si="46"/>
        <v>385.7</v>
      </c>
      <c r="J48" s="112">
        <f t="shared" si="47"/>
        <v>320</v>
      </c>
      <c r="K48" s="113">
        <f t="shared" si="48"/>
        <v>0.03</v>
      </c>
      <c r="L48" s="112">
        <f t="shared" si="49"/>
        <v>55</v>
      </c>
      <c r="M48" s="114">
        <f t="shared" si="50"/>
        <v>0.8</v>
      </c>
      <c r="N48" s="114">
        <f t="shared" si="51"/>
        <v>0.3</v>
      </c>
      <c r="O48" s="114">
        <f t="shared" si="52"/>
        <v>33636.897</v>
      </c>
      <c r="P48" s="90">
        <f t="shared" si="53"/>
        <v>385.7</v>
      </c>
      <c r="Q48" s="82">
        <v>320</v>
      </c>
      <c r="R48" s="83">
        <v>0.03</v>
      </c>
      <c r="S48" s="82">
        <v>55</v>
      </c>
      <c r="T48" s="82">
        <v>0.8</v>
      </c>
      <c r="U48" s="82">
        <v>0.3</v>
      </c>
      <c r="V48" s="90">
        <f t="shared" si="54"/>
        <v>33636.897</v>
      </c>
      <c r="W48" s="82"/>
      <c r="X48" s="82"/>
      <c r="Y48" s="82"/>
      <c r="Z48" s="82"/>
      <c r="AA48" s="82"/>
      <c r="AB48" s="82"/>
      <c r="AC48" s="82"/>
      <c r="AD48" s="82"/>
      <c r="AE48" s="75"/>
    </row>
    <row r="49" s="72" customFormat="1" ht="40" customHeight="1" outlineLevel="1" spans="1:31">
      <c r="A49" s="92">
        <v>6</v>
      </c>
      <c r="B49" s="93" t="s">
        <v>123</v>
      </c>
      <c r="C49" s="110" t="s">
        <v>124</v>
      </c>
      <c r="D49" s="93" t="s">
        <v>125</v>
      </c>
      <c r="E49" s="94">
        <v>1</v>
      </c>
      <c r="F49" s="94">
        <f t="shared" ref="F49:F52" si="56">I49</f>
        <v>2000</v>
      </c>
      <c r="G49" s="94">
        <f t="shared" ref="G49:G52" si="57">F49*E49</f>
        <v>2000</v>
      </c>
      <c r="H49" s="93"/>
      <c r="I49" s="111">
        <f t="shared" si="46"/>
        <v>2000</v>
      </c>
      <c r="J49" s="112">
        <f t="shared" si="47"/>
        <v>2000</v>
      </c>
      <c r="K49" s="113">
        <f t="shared" ref="K49:K52" si="58">R49</f>
        <v>0</v>
      </c>
      <c r="L49" s="112">
        <f t="shared" si="49"/>
        <v>0</v>
      </c>
      <c r="M49" s="114">
        <f t="shared" si="50"/>
        <v>0</v>
      </c>
      <c r="N49" s="114">
        <f t="shared" si="51"/>
        <v>0</v>
      </c>
      <c r="O49" s="114">
        <f t="shared" si="52"/>
        <v>2000</v>
      </c>
      <c r="P49" s="90">
        <f t="shared" si="53"/>
        <v>2000</v>
      </c>
      <c r="Q49" s="82">
        <v>2000</v>
      </c>
      <c r="R49" s="83"/>
      <c r="S49" s="82"/>
      <c r="T49" s="82"/>
      <c r="U49" s="82"/>
      <c r="V49" s="90">
        <f t="shared" si="54"/>
        <v>2000</v>
      </c>
      <c r="W49" s="82"/>
      <c r="X49" s="82"/>
      <c r="Y49" s="82"/>
      <c r="Z49" s="82"/>
      <c r="AA49" s="82"/>
      <c r="AB49" s="82"/>
      <c r="AC49" s="82"/>
      <c r="AD49" s="82"/>
      <c r="AE49" s="75"/>
    </row>
    <row r="50" s="72" customFormat="1" ht="48" outlineLevel="1" spans="1:31">
      <c r="A50" s="92">
        <v>7</v>
      </c>
      <c r="B50" s="93" t="s">
        <v>126</v>
      </c>
      <c r="C50" s="110" t="s">
        <v>127</v>
      </c>
      <c r="D50" s="93" t="s">
        <v>65</v>
      </c>
      <c r="E50" s="94">
        <f>1.12+1.54+2+2.34+0.57-0.7+2+1.82+0.6+0.3+0.3+0.6+0.12+0.6+0.6+0.3+0.6+4.12-1.5+6.37+4.93+0.6+0.34+6.23-0.7+0.57+0.12+0.35+0.6+4.93</f>
        <v>41.67</v>
      </c>
      <c r="F50" s="94">
        <f t="shared" si="56"/>
        <v>44.831</v>
      </c>
      <c r="G50" s="94">
        <f t="shared" si="57"/>
        <v>1868.10777</v>
      </c>
      <c r="H50" s="93"/>
      <c r="I50" s="111">
        <f t="shared" si="46"/>
        <v>44.831</v>
      </c>
      <c r="J50" s="112">
        <f t="shared" si="47"/>
        <v>23.1</v>
      </c>
      <c r="K50" s="113">
        <f t="shared" si="58"/>
        <v>0.01</v>
      </c>
      <c r="L50" s="112">
        <f t="shared" si="49"/>
        <v>18</v>
      </c>
      <c r="M50" s="114">
        <f t="shared" si="50"/>
        <v>3.5</v>
      </c>
      <c r="N50" s="114">
        <f t="shared" si="51"/>
        <v>0</v>
      </c>
      <c r="O50" s="114">
        <f t="shared" si="52"/>
        <v>1868.10777</v>
      </c>
      <c r="P50" s="90">
        <f t="shared" si="53"/>
        <v>44.831</v>
      </c>
      <c r="Q50" s="82">
        <f>0.06*360+1.5</f>
        <v>23.1</v>
      </c>
      <c r="R50" s="83">
        <v>0.01</v>
      </c>
      <c r="S50" s="82">
        <v>18</v>
      </c>
      <c r="T50" s="82">
        <v>3.5</v>
      </c>
      <c r="U50" s="82"/>
      <c r="V50" s="90">
        <f t="shared" si="54"/>
        <v>1868.10777</v>
      </c>
      <c r="W50" s="82"/>
      <c r="X50" s="82"/>
      <c r="Y50" s="82"/>
      <c r="Z50" s="82"/>
      <c r="AA50" s="82"/>
      <c r="AB50" s="82"/>
      <c r="AC50" s="82"/>
      <c r="AD50" s="82"/>
      <c r="AE50" s="75"/>
    </row>
    <row r="51" s="72" customFormat="1" ht="48" outlineLevel="1" spans="1:31">
      <c r="A51" s="92">
        <v>8</v>
      </c>
      <c r="B51" s="93" t="s">
        <v>128</v>
      </c>
      <c r="C51" s="110" t="s">
        <v>129</v>
      </c>
      <c r="D51" s="93" t="s">
        <v>65</v>
      </c>
      <c r="E51" s="94">
        <f>3*2</f>
        <v>6</v>
      </c>
      <c r="F51" s="94">
        <f t="shared" si="56"/>
        <v>65.1</v>
      </c>
      <c r="G51" s="94">
        <f t="shared" si="57"/>
        <v>390.6</v>
      </c>
      <c r="H51" s="93"/>
      <c r="I51" s="111">
        <f t="shared" si="46"/>
        <v>65.1</v>
      </c>
      <c r="J51" s="112">
        <f t="shared" si="47"/>
        <v>10</v>
      </c>
      <c r="K51" s="113">
        <f t="shared" si="58"/>
        <v>0.01</v>
      </c>
      <c r="L51" s="112">
        <f t="shared" si="49"/>
        <v>55</v>
      </c>
      <c r="M51" s="114">
        <f t="shared" si="50"/>
        <v>0</v>
      </c>
      <c r="N51" s="114">
        <f t="shared" si="51"/>
        <v>0</v>
      </c>
      <c r="O51" s="114">
        <f t="shared" si="52"/>
        <v>390.6</v>
      </c>
      <c r="P51" s="90">
        <f t="shared" si="53"/>
        <v>65.1</v>
      </c>
      <c r="Q51" s="82">
        <f>(35+15)*0.2</f>
        <v>10</v>
      </c>
      <c r="R51" s="83">
        <v>0.01</v>
      </c>
      <c r="S51" s="82">
        <v>55</v>
      </c>
      <c r="T51" s="82"/>
      <c r="U51" s="82"/>
      <c r="V51" s="90">
        <f t="shared" si="54"/>
        <v>390.6</v>
      </c>
      <c r="W51" s="82"/>
      <c r="X51" s="82"/>
      <c r="Y51" s="82"/>
      <c r="Z51" s="82"/>
      <c r="AA51" s="82"/>
      <c r="AB51" s="82"/>
      <c r="AC51" s="82"/>
      <c r="AD51" s="82"/>
      <c r="AE51" s="75"/>
    </row>
    <row r="52" s="72" customFormat="1" ht="36" customHeight="1" outlineLevel="1" spans="1:31">
      <c r="A52" s="92">
        <v>9</v>
      </c>
      <c r="B52" s="93" t="s">
        <v>130</v>
      </c>
      <c r="C52" s="110" t="s">
        <v>131</v>
      </c>
      <c r="D52" s="93" t="s">
        <v>62</v>
      </c>
      <c r="E52" s="94">
        <f>(1.8+1.4)*3</f>
        <v>9.6</v>
      </c>
      <c r="F52" s="94">
        <f t="shared" si="56"/>
        <v>1266</v>
      </c>
      <c r="G52" s="94">
        <f t="shared" si="57"/>
        <v>12153.6</v>
      </c>
      <c r="H52" s="93"/>
      <c r="I52" s="111">
        <f t="shared" si="46"/>
        <v>1266</v>
      </c>
      <c r="J52" s="112">
        <f t="shared" si="47"/>
        <v>1100</v>
      </c>
      <c r="K52" s="113">
        <f t="shared" si="58"/>
        <v>0</v>
      </c>
      <c r="L52" s="112">
        <f t="shared" si="49"/>
        <v>120</v>
      </c>
      <c r="M52" s="114">
        <f t="shared" si="50"/>
        <v>46</v>
      </c>
      <c r="N52" s="114">
        <f t="shared" si="51"/>
        <v>0</v>
      </c>
      <c r="O52" s="114">
        <f t="shared" si="52"/>
        <v>12153.6</v>
      </c>
      <c r="P52" s="90">
        <f t="shared" si="53"/>
        <v>1266</v>
      </c>
      <c r="Q52" s="82">
        <v>1100</v>
      </c>
      <c r="R52" s="83"/>
      <c r="S52" s="119">
        <v>120</v>
      </c>
      <c r="T52" s="119">
        <v>46</v>
      </c>
      <c r="U52" s="82"/>
      <c r="V52" s="90">
        <f t="shared" si="54"/>
        <v>12153.6</v>
      </c>
      <c r="W52" s="82"/>
      <c r="X52" s="82"/>
      <c r="Y52" s="82"/>
      <c r="Z52" s="82"/>
      <c r="AA52" s="82"/>
      <c r="AB52" s="82"/>
      <c r="AC52" s="82"/>
      <c r="AD52" s="82"/>
      <c r="AE52" s="75"/>
    </row>
    <row r="53" s="72" customFormat="1" ht="57" customHeight="1" outlineLevel="1" spans="1:31">
      <c r="A53" s="92">
        <v>10</v>
      </c>
      <c r="B53" s="93" t="s">
        <v>132</v>
      </c>
      <c r="C53" s="110" t="s">
        <v>133</v>
      </c>
      <c r="D53" s="93" t="s">
        <v>65</v>
      </c>
      <c r="E53" s="94">
        <v>1.4</v>
      </c>
      <c r="F53" s="94">
        <f t="shared" ref="F53:F58" si="59">I53</f>
        <v>655</v>
      </c>
      <c r="G53" s="94">
        <f t="shared" ref="G53:G58" si="60">F53*E53</f>
        <v>917</v>
      </c>
      <c r="H53" s="93"/>
      <c r="I53" s="111">
        <f t="shared" si="46"/>
        <v>655</v>
      </c>
      <c r="J53" s="112">
        <f t="shared" si="47"/>
        <v>495</v>
      </c>
      <c r="K53" s="113">
        <f t="shared" ref="K53:K58" si="61">R53</f>
        <v>0</v>
      </c>
      <c r="L53" s="112">
        <f t="shared" si="49"/>
        <v>135</v>
      </c>
      <c r="M53" s="114">
        <f t="shared" si="50"/>
        <v>25</v>
      </c>
      <c r="N53" s="114">
        <f t="shared" si="51"/>
        <v>0</v>
      </c>
      <c r="O53" s="114">
        <f t="shared" si="52"/>
        <v>917</v>
      </c>
      <c r="P53" s="90">
        <f t="shared" si="53"/>
        <v>655</v>
      </c>
      <c r="Q53" s="82">
        <f>0.45*1100</f>
        <v>495</v>
      </c>
      <c r="R53" s="83"/>
      <c r="S53" s="82">
        <f>80+55</f>
        <v>135</v>
      </c>
      <c r="T53" s="82">
        <v>25</v>
      </c>
      <c r="U53" s="82"/>
      <c r="V53" s="90">
        <f t="shared" si="54"/>
        <v>917</v>
      </c>
      <c r="W53" s="82"/>
      <c r="X53" s="82"/>
      <c r="Y53" s="82"/>
      <c r="Z53" s="82"/>
      <c r="AA53" s="82"/>
      <c r="AB53" s="82"/>
      <c r="AC53" s="82"/>
      <c r="AD53" s="82"/>
      <c r="AE53" s="75"/>
    </row>
    <row r="54" s="72" customFormat="1" ht="42" customHeight="1" outlineLevel="1" spans="1:31">
      <c r="A54" s="92">
        <v>11</v>
      </c>
      <c r="B54" s="93" t="s">
        <v>134</v>
      </c>
      <c r="C54" s="110" t="s">
        <v>135</v>
      </c>
      <c r="D54" s="93" t="s">
        <v>62</v>
      </c>
      <c r="E54" s="94">
        <f>(7.73+0.89*2)*0.8</f>
        <v>7.608</v>
      </c>
      <c r="F54" s="94">
        <f t="shared" si="59"/>
        <v>66.5</v>
      </c>
      <c r="G54" s="94">
        <f t="shared" si="60"/>
        <v>505.932</v>
      </c>
      <c r="H54" s="93"/>
      <c r="I54" s="111">
        <f t="shared" si="46"/>
        <v>66.5</v>
      </c>
      <c r="J54" s="112">
        <f t="shared" si="47"/>
        <v>50</v>
      </c>
      <c r="K54" s="113">
        <f t="shared" si="61"/>
        <v>0</v>
      </c>
      <c r="L54" s="112">
        <f t="shared" si="49"/>
        <v>15</v>
      </c>
      <c r="M54" s="114">
        <f t="shared" si="50"/>
        <v>1.5</v>
      </c>
      <c r="N54" s="114">
        <f t="shared" si="51"/>
        <v>0</v>
      </c>
      <c r="O54" s="114">
        <f t="shared" si="52"/>
        <v>505.932</v>
      </c>
      <c r="P54" s="90">
        <f t="shared" si="53"/>
        <v>66.5</v>
      </c>
      <c r="Q54" s="82">
        <v>50</v>
      </c>
      <c r="R54" s="83"/>
      <c r="S54" s="82">
        <v>15</v>
      </c>
      <c r="T54" s="82">
        <v>1.5</v>
      </c>
      <c r="U54" s="82"/>
      <c r="V54" s="90">
        <f t="shared" si="54"/>
        <v>505.932</v>
      </c>
      <c r="W54" s="82"/>
      <c r="X54" s="82"/>
      <c r="Y54" s="82"/>
      <c r="Z54" s="82"/>
      <c r="AA54" s="82"/>
      <c r="AB54" s="82"/>
      <c r="AC54" s="82"/>
      <c r="AD54" s="82"/>
      <c r="AE54" s="75"/>
    </row>
    <row r="55" s="72" customFormat="1" ht="36" customHeight="1" spans="1:31">
      <c r="A55" s="106" t="s">
        <v>22</v>
      </c>
      <c r="B55" s="107" t="s">
        <v>23</v>
      </c>
      <c r="C55" s="107"/>
      <c r="D55" s="108"/>
      <c r="E55" s="109"/>
      <c r="F55" s="109"/>
      <c r="G55" s="109">
        <f>SUBTOTAL(9,G56:G77)</f>
        <v>41838.93575</v>
      </c>
      <c r="H55" s="108"/>
      <c r="I55" s="79"/>
      <c r="J55" s="80"/>
      <c r="K55" s="81"/>
      <c r="L55" s="80"/>
      <c r="M55" s="80"/>
      <c r="N55" s="80"/>
      <c r="O55" s="80"/>
      <c r="P55" s="79"/>
      <c r="Q55" s="82"/>
      <c r="R55" s="83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75"/>
    </row>
    <row r="56" s="72" customFormat="1" ht="56" customHeight="1" outlineLevel="1" spans="1:31">
      <c r="A56" s="92">
        <v>1</v>
      </c>
      <c r="B56" s="93" t="s">
        <v>136</v>
      </c>
      <c r="C56" s="110" t="s">
        <v>137</v>
      </c>
      <c r="D56" s="93" t="s">
        <v>138</v>
      </c>
      <c r="E56" s="94">
        <v>1</v>
      </c>
      <c r="F56" s="94">
        <f t="shared" si="59"/>
        <v>2050</v>
      </c>
      <c r="G56" s="94">
        <f t="shared" si="60"/>
        <v>2050</v>
      </c>
      <c r="H56" s="93"/>
      <c r="I56" s="111">
        <f t="shared" ref="I56:I58" si="62">J56+J56*K56+L56+M56+N56</f>
        <v>2050</v>
      </c>
      <c r="J56" s="112">
        <f t="shared" ref="J56:J77" si="63">Q56*$Q$1</f>
        <v>1200</v>
      </c>
      <c r="K56" s="113">
        <f t="shared" si="61"/>
        <v>0</v>
      </c>
      <c r="L56" s="112">
        <f t="shared" ref="L56:L77" si="64">S56*$S$1</f>
        <v>800</v>
      </c>
      <c r="M56" s="114">
        <f t="shared" ref="M56:M77" si="65">T56*$T$1</f>
        <v>50</v>
      </c>
      <c r="N56" s="114">
        <f t="shared" ref="N56:N77" si="66">U56*$U$1</f>
        <v>0</v>
      </c>
      <c r="O56" s="114">
        <f t="shared" ref="O56:O58" si="67">E56*I56</f>
        <v>2050</v>
      </c>
      <c r="P56" s="90">
        <f t="shared" ref="P56:P58" si="68">Q56+Q56*R56+S56+T56+U56</f>
        <v>2050</v>
      </c>
      <c r="Q56" s="82">
        <v>1200</v>
      </c>
      <c r="R56" s="83"/>
      <c r="S56" s="82">
        <v>800</v>
      </c>
      <c r="T56" s="82">
        <v>50</v>
      </c>
      <c r="U56" s="82"/>
      <c r="V56" s="90">
        <f t="shared" ref="V56:V58" si="69">E56*P56</f>
        <v>2050</v>
      </c>
      <c r="W56" s="82"/>
      <c r="X56" s="82"/>
      <c r="Y56" s="82"/>
      <c r="Z56" s="82"/>
      <c r="AA56" s="82"/>
      <c r="AB56" s="82"/>
      <c r="AC56" s="82"/>
      <c r="AD56" s="82"/>
      <c r="AE56" s="75"/>
    </row>
    <row r="57" s="72" customFormat="1" ht="55" customHeight="1" outlineLevel="1" spans="1:31">
      <c r="A57" s="92">
        <v>2.1</v>
      </c>
      <c r="B57" s="93" t="s">
        <v>139</v>
      </c>
      <c r="C57" s="110" t="s">
        <v>140</v>
      </c>
      <c r="D57" s="93" t="s">
        <v>141</v>
      </c>
      <c r="E57" s="94">
        <v>1</v>
      </c>
      <c r="F57" s="94">
        <f t="shared" si="59"/>
        <v>941</v>
      </c>
      <c r="G57" s="94">
        <f t="shared" si="60"/>
        <v>941</v>
      </c>
      <c r="H57" s="93"/>
      <c r="I57" s="111">
        <f t="shared" si="62"/>
        <v>941</v>
      </c>
      <c r="J57" s="112">
        <f t="shared" si="63"/>
        <v>546</v>
      </c>
      <c r="K57" s="113">
        <f t="shared" si="61"/>
        <v>0</v>
      </c>
      <c r="L57" s="112">
        <f t="shared" si="64"/>
        <v>360</v>
      </c>
      <c r="M57" s="114">
        <f t="shared" si="65"/>
        <v>35</v>
      </c>
      <c r="N57" s="114">
        <f t="shared" si="66"/>
        <v>0</v>
      </c>
      <c r="O57" s="114">
        <f t="shared" ref="O57:O65" si="70">E57*I57</f>
        <v>941</v>
      </c>
      <c r="P57" s="90">
        <f t="shared" si="68"/>
        <v>941</v>
      </c>
      <c r="Q57" s="119">
        <f>120*1.625*2.8</f>
        <v>546</v>
      </c>
      <c r="R57" s="118"/>
      <c r="S57" s="119">
        <f>180*2</f>
        <v>360</v>
      </c>
      <c r="T57" s="119">
        <f>35</f>
        <v>35</v>
      </c>
      <c r="U57" s="82"/>
      <c r="V57" s="90">
        <f t="shared" si="69"/>
        <v>941</v>
      </c>
      <c r="W57" s="82"/>
      <c r="X57" s="82"/>
      <c r="Y57" s="82"/>
      <c r="Z57" s="82"/>
      <c r="AA57" s="82"/>
      <c r="AB57" s="82"/>
      <c r="AC57" s="82"/>
      <c r="AD57" s="82"/>
      <c r="AE57" s="75"/>
    </row>
    <row r="58" s="72" customFormat="1" ht="27" customHeight="1" outlineLevel="1" spans="1:31">
      <c r="A58" s="92">
        <v>2.2</v>
      </c>
      <c r="B58" s="93" t="s">
        <v>142</v>
      </c>
      <c r="C58" s="110"/>
      <c r="D58" s="93" t="s">
        <v>143</v>
      </c>
      <c r="E58" s="94">
        <v>2</v>
      </c>
      <c r="F58" s="94">
        <f t="shared" si="59"/>
        <v>150</v>
      </c>
      <c r="G58" s="94">
        <f t="shared" si="60"/>
        <v>300</v>
      </c>
      <c r="H58" s="93"/>
      <c r="I58" s="111">
        <v>150</v>
      </c>
      <c r="J58" s="112">
        <f t="shared" si="63"/>
        <v>150</v>
      </c>
      <c r="K58" s="113">
        <f t="shared" si="61"/>
        <v>0</v>
      </c>
      <c r="L58" s="112">
        <f t="shared" si="64"/>
        <v>0</v>
      </c>
      <c r="M58" s="114">
        <f t="shared" si="65"/>
        <v>0</v>
      </c>
      <c r="N58" s="114">
        <f t="shared" si="66"/>
        <v>0</v>
      </c>
      <c r="O58" s="114">
        <f t="shared" si="67"/>
        <v>300</v>
      </c>
      <c r="P58" s="90">
        <f t="shared" si="68"/>
        <v>150</v>
      </c>
      <c r="Q58" s="119">
        <v>150</v>
      </c>
      <c r="R58" s="118"/>
      <c r="S58" s="119"/>
      <c r="T58" s="119"/>
      <c r="U58" s="82"/>
      <c r="V58" s="90">
        <f t="shared" si="69"/>
        <v>300</v>
      </c>
      <c r="W58" s="82"/>
      <c r="X58" s="82"/>
      <c r="Y58" s="82"/>
      <c r="Z58" s="82"/>
      <c r="AA58" s="82"/>
      <c r="AB58" s="82"/>
      <c r="AC58" s="82"/>
      <c r="AD58" s="82"/>
      <c r="AE58" s="75"/>
    </row>
    <row r="59" s="72" customFormat="1" ht="27" customHeight="1" outlineLevel="1" spans="1:31">
      <c r="A59" s="92">
        <v>2.3</v>
      </c>
      <c r="B59" s="93" t="s">
        <v>144</v>
      </c>
      <c r="C59" s="110"/>
      <c r="D59" s="93" t="s">
        <v>143</v>
      </c>
      <c r="E59" s="94">
        <v>2</v>
      </c>
      <c r="F59" s="94">
        <f t="shared" ref="F59:F65" si="71">I59</f>
        <v>45</v>
      </c>
      <c r="G59" s="94">
        <f t="shared" ref="G59:G65" si="72">F59*E59</f>
        <v>90</v>
      </c>
      <c r="H59" s="93"/>
      <c r="I59" s="111">
        <v>45</v>
      </c>
      <c r="J59" s="112">
        <f t="shared" si="63"/>
        <v>45</v>
      </c>
      <c r="K59" s="113">
        <f t="shared" ref="K59:K65" si="73">R59</f>
        <v>0</v>
      </c>
      <c r="L59" s="112">
        <f t="shared" si="64"/>
        <v>0</v>
      </c>
      <c r="M59" s="114">
        <f t="shared" si="65"/>
        <v>0</v>
      </c>
      <c r="N59" s="114">
        <f t="shared" si="66"/>
        <v>0</v>
      </c>
      <c r="O59" s="114">
        <f t="shared" si="70"/>
        <v>90</v>
      </c>
      <c r="P59" s="90">
        <f t="shared" ref="P59:P65" si="74">Q59+Q59*R59+S59+T59+U59</f>
        <v>45</v>
      </c>
      <c r="Q59" s="119">
        <v>45</v>
      </c>
      <c r="R59" s="118"/>
      <c r="S59" s="119"/>
      <c r="T59" s="119"/>
      <c r="U59" s="82"/>
      <c r="V59" s="90">
        <f t="shared" ref="V59:V65" si="75">E59*P59</f>
        <v>90</v>
      </c>
      <c r="W59" s="82"/>
      <c r="X59" s="82"/>
      <c r="Y59" s="82"/>
      <c r="Z59" s="82"/>
      <c r="AA59" s="82"/>
      <c r="AB59" s="82"/>
      <c r="AC59" s="82"/>
      <c r="AD59" s="82"/>
      <c r="AE59" s="75"/>
    </row>
    <row r="60" s="72" customFormat="1" ht="27" customHeight="1" outlineLevel="1" spans="1:31">
      <c r="A60" s="92">
        <v>2.3</v>
      </c>
      <c r="B60" s="93" t="s">
        <v>145</v>
      </c>
      <c r="C60" s="110"/>
      <c r="D60" s="93" t="s">
        <v>143</v>
      </c>
      <c r="E60" s="94">
        <v>2</v>
      </c>
      <c r="F60" s="94">
        <f t="shared" si="71"/>
        <v>450</v>
      </c>
      <c r="G60" s="122">
        <f t="shared" si="72"/>
        <v>900</v>
      </c>
      <c r="H60" s="93"/>
      <c r="I60" s="111">
        <v>450</v>
      </c>
      <c r="J60" s="112">
        <f t="shared" si="63"/>
        <v>450</v>
      </c>
      <c r="K60" s="113">
        <f t="shared" si="73"/>
        <v>0</v>
      </c>
      <c r="L60" s="112">
        <f t="shared" si="64"/>
        <v>0</v>
      </c>
      <c r="M60" s="114">
        <f t="shared" si="65"/>
        <v>0</v>
      </c>
      <c r="N60" s="114">
        <f t="shared" si="66"/>
        <v>0</v>
      </c>
      <c r="O60" s="114">
        <f t="shared" si="70"/>
        <v>900</v>
      </c>
      <c r="P60" s="90">
        <f t="shared" si="74"/>
        <v>450</v>
      </c>
      <c r="Q60" s="119">
        <v>450</v>
      </c>
      <c r="R60" s="118"/>
      <c r="S60" s="119"/>
      <c r="T60" s="119"/>
      <c r="U60" s="82"/>
      <c r="V60" s="90">
        <f t="shared" si="75"/>
        <v>900</v>
      </c>
      <c r="W60" s="82"/>
      <c r="X60" s="82"/>
      <c r="Y60" s="82"/>
      <c r="Z60" s="82"/>
      <c r="AA60" s="82"/>
      <c r="AB60" s="82"/>
      <c r="AC60" s="82"/>
      <c r="AD60" s="82"/>
      <c r="AE60" s="75"/>
    </row>
    <row r="61" s="72" customFormat="1" ht="48" outlineLevel="1" spans="1:31">
      <c r="A61" s="92">
        <v>3.1</v>
      </c>
      <c r="B61" s="93" t="s">
        <v>146</v>
      </c>
      <c r="C61" s="110" t="s">
        <v>147</v>
      </c>
      <c r="D61" s="93" t="s">
        <v>141</v>
      </c>
      <c r="E61" s="94">
        <v>1</v>
      </c>
      <c r="F61" s="94">
        <f t="shared" si="71"/>
        <v>1847</v>
      </c>
      <c r="G61" s="94">
        <f t="shared" si="72"/>
        <v>1847</v>
      </c>
      <c r="H61" s="93"/>
      <c r="I61" s="111">
        <f>J61+J61*K61+L61+M61+N61</f>
        <v>1847</v>
      </c>
      <c r="J61" s="112">
        <f t="shared" si="63"/>
        <v>1632</v>
      </c>
      <c r="K61" s="113">
        <f t="shared" si="73"/>
        <v>0</v>
      </c>
      <c r="L61" s="112">
        <f t="shared" si="64"/>
        <v>180</v>
      </c>
      <c r="M61" s="114">
        <f t="shared" si="65"/>
        <v>35</v>
      </c>
      <c r="N61" s="114">
        <f t="shared" si="66"/>
        <v>0</v>
      </c>
      <c r="O61" s="114">
        <f t="shared" si="70"/>
        <v>1847</v>
      </c>
      <c r="P61" s="90">
        <f t="shared" si="74"/>
        <v>1847</v>
      </c>
      <c r="Q61" s="119">
        <f>850*0.8*2.4</f>
        <v>1632</v>
      </c>
      <c r="R61" s="118"/>
      <c r="S61" s="119">
        <v>180</v>
      </c>
      <c r="T61" s="82">
        <v>35</v>
      </c>
      <c r="U61" s="82"/>
      <c r="V61" s="90">
        <f t="shared" si="75"/>
        <v>1847</v>
      </c>
      <c r="W61" s="82"/>
      <c r="X61" s="82"/>
      <c r="Y61" s="82"/>
      <c r="Z61" s="82"/>
      <c r="AA61" s="82"/>
      <c r="AB61" s="82"/>
      <c r="AC61" s="82"/>
      <c r="AD61" s="82"/>
      <c r="AE61" s="75"/>
    </row>
    <row r="62" s="72" customFormat="1" ht="27" customHeight="1" outlineLevel="1" spans="1:31">
      <c r="A62" s="92">
        <v>3.2</v>
      </c>
      <c r="B62" s="93" t="s">
        <v>148</v>
      </c>
      <c r="C62" s="110"/>
      <c r="D62" s="93" t="s">
        <v>149</v>
      </c>
      <c r="E62" s="94">
        <v>1</v>
      </c>
      <c r="F62" s="94">
        <f t="shared" si="71"/>
        <v>170</v>
      </c>
      <c r="G62" s="94">
        <f t="shared" si="72"/>
        <v>170</v>
      </c>
      <c r="H62" s="93"/>
      <c r="I62" s="111">
        <v>170</v>
      </c>
      <c r="J62" s="112">
        <f t="shared" si="63"/>
        <v>170</v>
      </c>
      <c r="K62" s="113">
        <f t="shared" si="73"/>
        <v>0</v>
      </c>
      <c r="L62" s="112">
        <f t="shared" si="64"/>
        <v>0</v>
      </c>
      <c r="M62" s="114">
        <f t="shared" si="65"/>
        <v>0</v>
      </c>
      <c r="N62" s="114">
        <f t="shared" si="66"/>
        <v>0</v>
      </c>
      <c r="O62" s="114">
        <f t="shared" si="70"/>
        <v>170</v>
      </c>
      <c r="P62" s="90">
        <f t="shared" si="74"/>
        <v>170</v>
      </c>
      <c r="Q62" s="119">
        <v>170</v>
      </c>
      <c r="R62" s="118"/>
      <c r="S62" s="119"/>
      <c r="T62" s="119"/>
      <c r="U62" s="82"/>
      <c r="V62" s="90">
        <f t="shared" si="75"/>
        <v>170</v>
      </c>
      <c r="W62" s="82"/>
      <c r="X62" s="82"/>
      <c r="Y62" s="82"/>
      <c r="Z62" s="82"/>
      <c r="AA62" s="82"/>
      <c r="AB62" s="82"/>
      <c r="AC62" s="82"/>
      <c r="AD62" s="82"/>
      <c r="AE62" s="75"/>
    </row>
    <row r="63" s="72" customFormat="1" ht="27" customHeight="1" outlineLevel="1" spans="1:31">
      <c r="A63" s="92">
        <v>3.3</v>
      </c>
      <c r="B63" s="93" t="s">
        <v>150</v>
      </c>
      <c r="C63" s="110"/>
      <c r="D63" s="93" t="s">
        <v>149</v>
      </c>
      <c r="E63" s="94">
        <v>3</v>
      </c>
      <c r="F63" s="94">
        <f t="shared" si="71"/>
        <v>25</v>
      </c>
      <c r="G63" s="94">
        <f t="shared" si="72"/>
        <v>75</v>
      </c>
      <c r="H63" s="93"/>
      <c r="I63" s="111">
        <v>25</v>
      </c>
      <c r="J63" s="112">
        <f t="shared" si="63"/>
        <v>25</v>
      </c>
      <c r="K63" s="113">
        <f t="shared" si="73"/>
        <v>0</v>
      </c>
      <c r="L63" s="112">
        <f t="shared" si="64"/>
        <v>0</v>
      </c>
      <c r="M63" s="114">
        <f t="shared" si="65"/>
        <v>0</v>
      </c>
      <c r="N63" s="114">
        <f t="shared" si="66"/>
        <v>0</v>
      </c>
      <c r="O63" s="114">
        <f t="shared" si="70"/>
        <v>75</v>
      </c>
      <c r="P63" s="90">
        <f t="shared" si="74"/>
        <v>25</v>
      </c>
      <c r="Q63" s="119">
        <v>25</v>
      </c>
      <c r="R63" s="118"/>
      <c r="S63" s="119"/>
      <c r="T63" s="119"/>
      <c r="U63" s="82"/>
      <c r="V63" s="90">
        <f t="shared" si="75"/>
        <v>75</v>
      </c>
      <c r="W63" s="82"/>
      <c r="X63" s="82"/>
      <c r="Y63" s="82"/>
      <c r="Z63" s="82"/>
      <c r="AA63" s="82"/>
      <c r="AB63" s="82"/>
      <c r="AC63" s="82"/>
      <c r="AD63" s="82"/>
      <c r="AE63" s="75"/>
    </row>
    <row r="64" s="72" customFormat="1" ht="27" customHeight="1" outlineLevel="1" spans="1:31">
      <c r="A64" s="92">
        <v>3.4</v>
      </c>
      <c r="B64" s="93" t="s">
        <v>151</v>
      </c>
      <c r="C64" s="110"/>
      <c r="D64" s="93" t="s">
        <v>149</v>
      </c>
      <c r="E64" s="94">
        <v>1</v>
      </c>
      <c r="F64" s="94">
        <f t="shared" si="71"/>
        <v>25</v>
      </c>
      <c r="G64" s="94">
        <f t="shared" si="72"/>
        <v>25</v>
      </c>
      <c r="H64" s="93"/>
      <c r="I64" s="111">
        <v>25</v>
      </c>
      <c r="J64" s="112">
        <f t="shared" si="63"/>
        <v>25</v>
      </c>
      <c r="K64" s="113">
        <f t="shared" si="73"/>
        <v>0</v>
      </c>
      <c r="L64" s="112">
        <f t="shared" si="64"/>
        <v>0</v>
      </c>
      <c r="M64" s="114">
        <f t="shared" si="65"/>
        <v>0</v>
      </c>
      <c r="N64" s="114">
        <f t="shared" si="66"/>
        <v>0</v>
      </c>
      <c r="O64" s="114">
        <f t="shared" si="70"/>
        <v>25</v>
      </c>
      <c r="P64" s="90">
        <f t="shared" si="74"/>
        <v>25</v>
      </c>
      <c r="Q64" s="119">
        <v>25</v>
      </c>
      <c r="R64" s="118"/>
      <c r="S64" s="119"/>
      <c r="T64" s="119"/>
      <c r="U64" s="82"/>
      <c r="V64" s="90">
        <f t="shared" si="75"/>
        <v>25</v>
      </c>
      <c r="W64" s="82"/>
      <c r="X64" s="82"/>
      <c r="Y64" s="82"/>
      <c r="Z64" s="82"/>
      <c r="AA64" s="82"/>
      <c r="AB64" s="82"/>
      <c r="AC64" s="82"/>
      <c r="AD64" s="82"/>
      <c r="AE64" s="75"/>
    </row>
    <row r="65" s="72" customFormat="1" ht="27" customHeight="1" outlineLevel="1" spans="1:31">
      <c r="A65" s="92">
        <v>3.5</v>
      </c>
      <c r="B65" s="93" t="s">
        <v>152</v>
      </c>
      <c r="C65" s="110"/>
      <c r="D65" s="93" t="s">
        <v>143</v>
      </c>
      <c r="E65" s="94">
        <v>1</v>
      </c>
      <c r="F65" s="94">
        <f t="shared" si="71"/>
        <v>125</v>
      </c>
      <c r="G65" s="94">
        <f t="shared" si="72"/>
        <v>125</v>
      </c>
      <c r="H65" s="93"/>
      <c r="I65" s="111">
        <v>125</v>
      </c>
      <c r="J65" s="112">
        <f t="shared" si="63"/>
        <v>125</v>
      </c>
      <c r="K65" s="113">
        <f t="shared" si="73"/>
        <v>0</v>
      </c>
      <c r="L65" s="112">
        <f t="shared" si="64"/>
        <v>0</v>
      </c>
      <c r="M65" s="114">
        <f t="shared" si="65"/>
        <v>0</v>
      </c>
      <c r="N65" s="114">
        <f t="shared" si="66"/>
        <v>0</v>
      </c>
      <c r="O65" s="114">
        <f t="shared" si="70"/>
        <v>125</v>
      </c>
      <c r="P65" s="90">
        <f t="shared" si="74"/>
        <v>125</v>
      </c>
      <c r="Q65" s="119">
        <v>125</v>
      </c>
      <c r="R65" s="118"/>
      <c r="S65" s="119"/>
      <c r="T65" s="119"/>
      <c r="U65" s="82"/>
      <c r="V65" s="90">
        <f t="shared" si="75"/>
        <v>125</v>
      </c>
      <c r="W65" s="82"/>
      <c r="X65" s="82"/>
      <c r="Y65" s="82"/>
      <c r="Z65" s="82"/>
      <c r="AA65" s="82"/>
      <c r="AB65" s="82"/>
      <c r="AC65" s="82"/>
      <c r="AD65" s="82"/>
      <c r="AE65" s="75"/>
    </row>
    <row r="66" s="72" customFormat="1" ht="65" customHeight="1" outlineLevel="1" spans="1:31">
      <c r="A66" s="92">
        <v>4.1</v>
      </c>
      <c r="B66" s="93" t="s">
        <v>153</v>
      </c>
      <c r="C66" s="110" t="s">
        <v>154</v>
      </c>
      <c r="D66" s="93" t="s">
        <v>141</v>
      </c>
      <c r="E66" s="94">
        <v>1</v>
      </c>
      <c r="F66" s="94">
        <f t="shared" ref="F66:F77" si="76">I66</f>
        <v>4441</v>
      </c>
      <c r="G66" s="94">
        <f t="shared" ref="G66:G77" si="77">F66*E66</f>
        <v>4441</v>
      </c>
      <c r="H66" s="93"/>
      <c r="I66" s="111">
        <f>J66+J66*K66+L66+M66+N66</f>
        <v>4441</v>
      </c>
      <c r="J66" s="112">
        <f t="shared" si="63"/>
        <v>4046</v>
      </c>
      <c r="K66" s="113">
        <f t="shared" ref="K66:K77" si="78">R66</f>
        <v>0</v>
      </c>
      <c r="L66" s="112">
        <f t="shared" si="64"/>
        <v>360</v>
      </c>
      <c r="M66" s="114">
        <f t="shared" si="65"/>
        <v>35</v>
      </c>
      <c r="N66" s="114">
        <f t="shared" si="66"/>
        <v>0</v>
      </c>
      <c r="O66" s="114">
        <f t="shared" ref="O66:O77" si="79">E66*I66</f>
        <v>4441</v>
      </c>
      <c r="P66" s="90">
        <f t="shared" ref="P66:P77" si="80">Q66+Q66*R66+S66+T66+U66</f>
        <v>4441</v>
      </c>
      <c r="Q66" s="119">
        <f>850*1.7*2.8</f>
        <v>4046</v>
      </c>
      <c r="R66" s="118"/>
      <c r="S66" s="119">
        <f>180*2</f>
        <v>360</v>
      </c>
      <c r="T66" s="82">
        <f>35</f>
        <v>35</v>
      </c>
      <c r="U66" s="82"/>
      <c r="V66" s="90">
        <f t="shared" ref="V66:V77" si="81">E66*P66</f>
        <v>4441</v>
      </c>
      <c r="W66" s="82"/>
      <c r="X66" s="82"/>
      <c r="Y66" s="82"/>
      <c r="Z66" s="82"/>
      <c r="AA66" s="82"/>
      <c r="AB66" s="82"/>
      <c r="AC66" s="82"/>
      <c r="AD66" s="82"/>
      <c r="AE66" s="75"/>
    </row>
    <row r="67" s="72" customFormat="1" ht="27" customHeight="1" outlineLevel="1" spans="1:31">
      <c r="A67" s="92">
        <v>4.2</v>
      </c>
      <c r="B67" s="93" t="s">
        <v>148</v>
      </c>
      <c r="C67" s="110"/>
      <c r="D67" s="93" t="s">
        <v>149</v>
      </c>
      <c r="E67" s="94">
        <v>1</v>
      </c>
      <c r="F67" s="94">
        <f t="shared" si="76"/>
        <v>650</v>
      </c>
      <c r="G67" s="94">
        <f t="shared" si="77"/>
        <v>650</v>
      </c>
      <c r="H67" s="93"/>
      <c r="I67" s="111">
        <v>650</v>
      </c>
      <c r="J67" s="112">
        <f t="shared" si="63"/>
        <v>650</v>
      </c>
      <c r="K67" s="113">
        <f t="shared" si="78"/>
        <v>0</v>
      </c>
      <c r="L67" s="112">
        <f t="shared" si="64"/>
        <v>0</v>
      </c>
      <c r="M67" s="114">
        <f t="shared" si="65"/>
        <v>0</v>
      </c>
      <c r="N67" s="114">
        <f t="shared" si="66"/>
        <v>0</v>
      </c>
      <c r="O67" s="114">
        <f t="shared" si="79"/>
        <v>650</v>
      </c>
      <c r="P67" s="90">
        <f t="shared" si="80"/>
        <v>650</v>
      </c>
      <c r="Q67" s="119">
        <v>650</v>
      </c>
      <c r="R67" s="118"/>
      <c r="S67" s="119"/>
      <c r="T67" s="119"/>
      <c r="U67" s="82"/>
      <c r="V67" s="90">
        <f t="shared" si="81"/>
        <v>650</v>
      </c>
      <c r="W67" s="82"/>
      <c r="X67" s="82"/>
      <c r="Y67" s="82"/>
      <c r="Z67" s="82"/>
      <c r="AA67" s="82"/>
      <c r="AB67" s="82"/>
      <c r="AC67" s="82"/>
      <c r="AD67" s="82"/>
      <c r="AE67" s="75"/>
    </row>
    <row r="68" s="72" customFormat="1" ht="27" customHeight="1" outlineLevel="1" spans="1:31">
      <c r="A68" s="92">
        <v>4.3</v>
      </c>
      <c r="B68" s="93" t="s">
        <v>150</v>
      </c>
      <c r="C68" s="110"/>
      <c r="D68" s="93" t="s">
        <v>149</v>
      </c>
      <c r="E68" s="94">
        <v>6</v>
      </c>
      <c r="F68" s="94">
        <f t="shared" si="76"/>
        <v>25</v>
      </c>
      <c r="G68" s="94">
        <f t="shared" si="77"/>
        <v>150</v>
      </c>
      <c r="H68" s="93"/>
      <c r="I68" s="111">
        <v>25</v>
      </c>
      <c r="J68" s="112">
        <f t="shared" si="63"/>
        <v>25</v>
      </c>
      <c r="K68" s="113">
        <f t="shared" si="78"/>
        <v>0</v>
      </c>
      <c r="L68" s="112">
        <f t="shared" si="64"/>
        <v>0</v>
      </c>
      <c r="M68" s="114">
        <f t="shared" si="65"/>
        <v>0</v>
      </c>
      <c r="N68" s="114">
        <f t="shared" si="66"/>
        <v>0</v>
      </c>
      <c r="O68" s="114">
        <f t="shared" si="79"/>
        <v>150</v>
      </c>
      <c r="P68" s="90">
        <f t="shared" si="80"/>
        <v>25</v>
      </c>
      <c r="Q68" s="119">
        <v>25</v>
      </c>
      <c r="R68" s="118"/>
      <c r="S68" s="119"/>
      <c r="T68" s="119"/>
      <c r="U68" s="82"/>
      <c r="V68" s="90">
        <f t="shared" si="81"/>
        <v>150</v>
      </c>
      <c r="W68" s="82"/>
      <c r="X68" s="82"/>
      <c r="Y68" s="82"/>
      <c r="Z68" s="82"/>
      <c r="AA68" s="82"/>
      <c r="AB68" s="82"/>
      <c r="AC68" s="82"/>
      <c r="AD68" s="82"/>
      <c r="AE68" s="75"/>
    </row>
    <row r="69" s="72" customFormat="1" ht="27" customHeight="1" outlineLevel="1" spans="1:31">
      <c r="A69" s="92">
        <v>4.4</v>
      </c>
      <c r="B69" s="93" t="s">
        <v>151</v>
      </c>
      <c r="C69" s="110"/>
      <c r="D69" s="93" t="s">
        <v>149</v>
      </c>
      <c r="E69" s="94">
        <v>2</v>
      </c>
      <c r="F69" s="94">
        <f t="shared" si="76"/>
        <v>25</v>
      </c>
      <c r="G69" s="94">
        <f t="shared" si="77"/>
        <v>50</v>
      </c>
      <c r="H69" s="93"/>
      <c r="I69" s="111">
        <v>25</v>
      </c>
      <c r="J69" s="112">
        <f t="shared" si="63"/>
        <v>25</v>
      </c>
      <c r="K69" s="113">
        <f t="shared" si="78"/>
        <v>0</v>
      </c>
      <c r="L69" s="112">
        <f t="shared" si="64"/>
        <v>0</v>
      </c>
      <c r="M69" s="114">
        <f t="shared" si="65"/>
        <v>0</v>
      </c>
      <c r="N69" s="114">
        <f t="shared" si="66"/>
        <v>0</v>
      </c>
      <c r="O69" s="114">
        <f t="shared" si="79"/>
        <v>50</v>
      </c>
      <c r="P69" s="90">
        <f t="shared" si="80"/>
        <v>25</v>
      </c>
      <c r="Q69" s="119">
        <v>25</v>
      </c>
      <c r="R69" s="118"/>
      <c r="S69" s="119"/>
      <c r="T69" s="119"/>
      <c r="U69" s="82"/>
      <c r="V69" s="90">
        <f t="shared" si="81"/>
        <v>50</v>
      </c>
      <c r="W69" s="82"/>
      <c r="X69" s="82"/>
      <c r="Y69" s="82"/>
      <c r="Z69" s="82"/>
      <c r="AA69" s="82"/>
      <c r="AB69" s="82"/>
      <c r="AC69" s="82"/>
      <c r="AD69" s="82"/>
      <c r="AE69" s="75"/>
    </row>
    <row r="70" s="72" customFormat="1" ht="27" customHeight="1" outlineLevel="1" spans="1:31">
      <c r="A70" s="92">
        <v>4.5</v>
      </c>
      <c r="B70" s="93" t="s">
        <v>152</v>
      </c>
      <c r="C70" s="110"/>
      <c r="D70" s="93" t="s">
        <v>143</v>
      </c>
      <c r="E70" s="94">
        <v>2</v>
      </c>
      <c r="F70" s="94">
        <f t="shared" si="76"/>
        <v>150</v>
      </c>
      <c r="G70" s="94">
        <f t="shared" si="77"/>
        <v>300</v>
      </c>
      <c r="H70" s="93"/>
      <c r="I70" s="111">
        <v>150</v>
      </c>
      <c r="J70" s="112">
        <f t="shared" si="63"/>
        <v>150</v>
      </c>
      <c r="K70" s="113">
        <f t="shared" si="78"/>
        <v>0</v>
      </c>
      <c r="L70" s="112">
        <f t="shared" si="64"/>
        <v>0</v>
      </c>
      <c r="M70" s="114">
        <f t="shared" si="65"/>
        <v>0</v>
      </c>
      <c r="N70" s="114">
        <f t="shared" si="66"/>
        <v>0</v>
      </c>
      <c r="O70" s="114">
        <f t="shared" si="79"/>
        <v>300</v>
      </c>
      <c r="P70" s="90">
        <f t="shared" si="80"/>
        <v>150</v>
      </c>
      <c r="Q70" s="119">
        <v>150</v>
      </c>
      <c r="R70" s="118"/>
      <c r="S70" s="119"/>
      <c r="T70" s="119"/>
      <c r="U70" s="82"/>
      <c r="V70" s="90">
        <f t="shared" si="81"/>
        <v>300</v>
      </c>
      <c r="W70" s="82"/>
      <c r="X70" s="82"/>
      <c r="Y70" s="82"/>
      <c r="Z70" s="82"/>
      <c r="AA70" s="82"/>
      <c r="AB70" s="82"/>
      <c r="AC70" s="82"/>
      <c r="AD70" s="82"/>
      <c r="AE70" s="75"/>
    </row>
    <row r="71" s="72" customFormat="1" ht="48" outlineLevel="1" spans="1:31">
      <c r="A71" s="92">
        <v>5.1</v>
      </c>
      <c r="B71" s="93" t="s">
        <v>155</v>
      </c>
      <c r="C71" s="110" t="s">
        <v>156</v>
      </c>
      <c r="D71" s="93" t="s">
        <v>62</v>
      </c>
      <c r="E71" s="94">
        <f>4.25*3</f>
        <v>12.75</v>
      </c>
      <c r="F71" s="94">
        <f t="shared" si="76"/>
        <v>449</v>
      </c>
      <c r="G71" s="94">
        <f t="shared" si="77"/>
        <v>5724.75</v>
      </c>
      <c r="H71" s="93"/>
      <c r="I71" s="111">
        <f>J71+J71*K71+L71+M71+N71</f>
        <v>449</v>
      </c>
      <c r="J71" s="112">
        <f t="shared" si="63"/>
        <v>350</v>
      </c>
      <c r="K71" s="113">
        <f t="shared" si="78"/>
        <v>0.01</v>
      </c>
      <c r="L71" s="112">
        <f t="shared" si="64"/>
        <v>85</v>
      </c>
      <c r="M71" s="114">
        <f t="shared" si="65"/>
        <v>10.5</v>
      </c>
      <c r="N71" s="114">
        <f t="shared" si="66"/>
        <v>0</v>
      </c>
      <c r="O71" s="114">
        <f t="shared" si="79"/>
        <v>5724.75</v>
      </c>
      <c r="P71" s="90">
        <f t="shared" si="80"/>
        <v>449</v>
      </c>
      <c r="Q71" s="82">
        <f>350</f>
        <v>350</v>
      </c>
      <c r="R71" s="83">
        <v>0.01</v>
      </c>
      <c r="S71" s="82">
        <v>85</v>
      </c>
      <c r="T71" s="82">
        <v>10.5</v>
      </c>
      <c r="U71" s="82"/>
      <c r="V71" s="90">
        <f t="shared" si="81"/>
        <v>5724.75</v>
      </c>
      <c r="W71" s="82"/>
      <c r="X71" s="82"/>
      <c r="Y71" s="82"/>
      <c r="Z71" s="82"/>
      <c r="AA71" s="82"/>
      <c r="AB71" s="82"/>
      <c r="AC71" s="82"/>
      <c r="AD71" s="82"/>
      <c r="AE71" s="75"/>
    </row>
    <row r="72" s="72" customFormat="1" ht="27" customHeight="1" outlineLevel="1" spans="1:31">
      <c r="A72" s="92">
        <v>5.2</v>
      </c>
      <c r="B72" s="93" t="s">
        <v>157</v>
      </c>
      <c r="C72" s="110"/>
      <c r="D72" s="93" t="s">
        <v>65</v>
      </c>
      <c r="E72" s="94">
        <v>4.25</v>
      </c>
      <c r="F72" s="94">
        <f t="shared" si="76"/>
        <v>86</v>
      </c>
      <c r="G72" s="94">
        <f t="shared" si="77"/>
        <v>365.5</v>
      </c>
      <c r="H72" s="93"/>
      <c r="I72" s="111">
        <v>86</v>
      </c>
      <c r="J72" s="112">
        <f t="shared" si="63"/>
        <v>86</v>
      </c>
      <c r="K72" s="113">
        <f t="shared" si="78"/>
        <v>0</v>
      </c>
      <c r="L72" s="112">
        <f t="shared" si="64"/>
        <v>0</v>
      </c>
      <c r="M72" s="114">
        <f t="shared" si="65"/>
        <v>0</v>
      </c>
      <c r="N72" s="114">
        <f t="shared" si="66"/>
        <v>0</v>
      </c>
      <c r="O72" s="114">
        <f t="shared" si="79"/>
        <v>365.5</v>
      </c>
      <c r="P72" s="90">
        <f t="shared" si="80"/>
        <v>86</v>
      </c>
      <c r="Q72" s="119">
        <v>86</v>
      </c>
      <c r="R72" s="118"/>
      <c r="S72" s="119"/>
      <c r="T72" s="119"/>
      <c r="U72" s="82"/>
      <c r="V72" s="90">
        <f t="shared" si="81"/>
        <v>365.5</v>
      </c>
      <c r="W72" s="82"/>
      <c r="X72" s="82"/>
      <c r="Y72" s="82"/>
      <c r="Z72" s="82"/>
      <c r="AA72" s="82"/>
      <c r="AB72" s="82"/>
      <c r="AC72" s="82"/>
      <c r="AD72" s="82"/>
      <c r="AE72" s="75"/>
    </row>
    <row r="73" s="72" customFormat="1" ht="27" customHeight="1" outlineLevel="1" spans="1:31">
      <c r="A73" s="92">
        <v>5.3</v>
      </c>
      <c r="B73" s="93" t="s">
        <v>158</v>
      </c>
      <c r="C73" s="110"/>
      <c r="D73" s="93" t="s">
        <v>149</v>
      </c>
      <c r="E73" s="94">
        <v>5</v>
      </c>
      <c r="F73" s="94">
        <f t="shared" si="76"/>
        <v>25</v>
      </c>
      <c r="G73" s="94">
        <f t="shared" si="77"/>
        <v>125</v>
      </c>
      <c r="H73" s="93"/>
      <c r="I73" s="111">
        <v>25</v>
      </c>
      <c r="J73" s="112">
        <f t="shared" si="63"/>
        <v>25</v>
      </c>
      <c r="K73" s="113">
        <f t="shared" si="78"/>
        <v>0</v>
      </c>
      <c r="L73" s="112">
        <f t="shared" si="64"/>
        <v>0</v>
      </c>
      <c r="M73" s="114">
        <f t="shared" si="65"/>
        <v>0</v>
      </c>
      <c r="N73" s="114">
        <f t="shared" si="66"/>
        <v>0</v>
      </c>
      <c r="O73" s="114">
        <f t="shared" si="79"/>
        <v>125</v>
      </c>
      <c r="P73" s="90">
        <f t="shared" si="80"/>
        <v>25</v>
      </c>
      <c r="Q73" s="119">
        <v>25</v>
      </c>
      <c r="R73" s="118"/>
      <c r="S73" s="119"/>
      <c r="T73" s="119"/>
      <c r="U73" s="82"/>
      <c r="V73" s="90">
        <f t="shared" si="81"/>
        <v>125</v>
      </c>
      <c r="W73" s="82"/>
      <c r="X73" s="82"/>
      <c r="Y73" s="82"/>
      <c r="Z73" s="82"/>
      <c r="AA73" s="82"/>
      <c r="AB73" s="82"/>
      <c r="AC73" s="82"/>
      <c r="AD73" s="82"/>
      <c r="AE73" s="75"/>
    </row>
    <row r="74" s="72" customFormat="1" ht="45" customHeight="1" outlineLevel="1" spans="1:31">
      <c r="A74" s="92">
        <v>6</v>
      </c>
      <c r="B74" s="93" t="s">
        <v>159</v>
      </c>
      <c r="C74" s="110" t="s">
        <v>160</v>
      </c>
      <c r="D74" s="93" t="s">
        <v>161</v>
      </c>
      <c r="E74" s="94">
        <f>1.31*3.55</f>
        <v>4.6505</v>
      </c>
      <c r="F74" s="94">
        <f t="shared" si="76"/>
        <v>141.5</v>
      </c>
      <c r="G74" s="94">
        <f t="shared" si="77"/>
        <v>658.04575</v>
      </c>
      <c r="H74" s="93"/>
      <c r="I74" s="111">
        <f>J74+J74*K74+L74+M74+N74</f>
        <v>141.5</v>
      </c>
      <c r="J74" s="112">
        <f t="shared" si="63"/>
        <v>45.5</v>
      </c>
      <c r="K74" s="113">
        <f t="shared" si="78"/>
        <v>0</v>
      </c>
      <c r="L74" s="112">
        <f t="shared" si="64"/>
        <v>70</v>
      </c>
      <c r="M74" s="114">
        <f t="shared" si="65"/>
        <v>26</v>
      </c>
      <c r="N74" s="114">
        <f t="shared" si="66"/>
        <v>0</v>
      </c>
      <c r="O74" s="114">
        <f t="shared" si="79"/>
        <v>658.04575</v>
      </c>
      <c r="P74" s="90">
        <f t="shared" si="80"/>
        <v>141.5</v>
      </c>
      <c r="Q74" s="82">
        <f>35+10.5</f>
        <v>45.5</v>
      </c>
      <c r="R74" s="83"/>
      <c r="S74" s="82">
        <f>35+20+15</f>
        <v>70</v>
      </c>
      <c r="T74" s="82">
        <v>26</v>
      </c>
      <c r="U74" s="123"/>
      <c r="V74" s="90">
        <f t="shared" si="81"/>
        <v>658.04575</v>
      </c>
      <c r="W74" s="123"/>
      <c r="X74" s="123"/>
      <c r="Y74" s="123"/>
      <c r="Z74" s="123"/>
      <c r="AA74" s="123"/>
      <c r="AB74" s="123"/>
      <c r="AC74" s="123"/>
      <c r="AD74" s="123"/>
    </row>
    <row r="75" s="72" customFormat="1" ht="102" customHeight="1" outlineLevel="1" spans="1:31">
      <c r="A75" s="92">
        <v>7</v>
      </c>
      <c r="B75" s="93" t="s">
        <v>162</v>
      </c>
      <c r="C75" s="110" t="s">
        <v>163</v>
      </c>
      <c r="D75" s="93" t="s">
        <v>161</v>
      </c>
      <c r="E75" s="94">
        <f>2*2.8</f>
        <v>5.6</v>
      </c>
      <c r="F75" s="94">
        <f t="shared" si="76"/>
        <v>1050</v>
      </c>
      <c r="G75" s="94">
        <f t="shared" si="77"/>
        <v>5880</v>
      </c>
      <c r="H75" s="93"/>
      <c r="I75" s="111">
        <f>J75+J75*K75+L75+M75+N75</f>
        <v>1050</v>
      </c>
      <c r="J75" s="112">
        <f t="shared" si="63"/>
        <v>1050</v>
      </c>
      <c r="K75" s="113">
        <f t="shared" si="78"/>
        <v>0</v>
      </c>
      <c r="L75" s="112">
        <f t="shared" si="64"/>
        <v>0</v>
      </c>
      <c r="M75" s="114">
        <f t="shared" si="65"/>
        <v>0</v>
      </c>
      <c r="N75" s="114">
        <f t="shared" si="66"/>
        <v>0</v>
      </c>
      <c r="O75" s="114">
        <f t="shared" si="79"/>
        <v>5880</v>
      </c>
      <c r="P75" s="90">
        <f t="shared" si="80"/>
        <v>1050</v>
      </c>
      <c r="Q75" s="82">
        <v>1050</v>
      </c>
      <c r="R75" s="83"/>
      <c r="S75" s="82"/>
      <c r="T75" s="82"/>
      <c r="U75" s="82"/>
      <c r="V75" s="90">
        <f t="shared" si="81"/>
        <v>5880</v>
      </c>
      <c r="W75" s="82"/>
      <c r="X75" s="82"/>
      <c r="Y75" s="82"/>
      <c r="Z75" s="82"/>
      <c r="AA75" s="82"/>
      <c r="AB75" s="82"/>
      <c r="AC75" s="82"/>
      <c r="AD75" s="82"/>
      <c r="AE75" s="75"/>
    </row>
    <row r="76" s="72" customFormat="1" ht="96" outlineLevel="1" spans="1:31">
      <c r="A76" s="92">
        <v>8</v>
      </c>
      <c r="B76" s="93" t="s">
        <v>164</v>
      </c>
      <c r="C76" s="110" t="s">
        <v>165</v>
      </c>
      <c r="D76" s="93" t="s">
        <v>161</v>
      </c>
      <c r="E76" s="94">
        <f>3.53*2.8</f>
        <v>9.884</v>
      </c>
      <c r="F76" s="94">
        <f t="shared" si="76"/>
        <v>1250</v>
      </c>
      <c r="G76" s="94">
        <f t="shared" si="77"/>
        <v>12355</v>
      </c>
      <c r="H76" s="93"/>
      <c r="I76" s="111">
        <f>J76+J76*K76+L76+M76+N76</f>
        <v>1250</v>
      </c>
      <c r="J76" s="112">
        <f t="shared" si="63"/>
        <v>1250</v>
      </c>
      <c r="K76" s="113">
        <f t="shared" si="78"/>
        <v>0</v>
      </c>
      <c r="L76" s="112">
        <f t="shared" si="64"/>
        <v>0</v>
      </c>
      <c r="M76" s="114">
        <f t="shared" si="65"/>
        <v>0</v>
      </c>
      <c r="N76" s="114">
        <f t="shared" si="66"/>
        <v>0</v>
      </c>
      <c r="O76" s="114">
        <f t="shared" si="79"/>
        <v>12355</v>
      </c>
      <c r="P76" s="90">
        <f t="shared" si="80"/>
        <v>1250</v>
      </c>
      <c r="Q76" s="82">
        <v>1250</v>
      </c>
      <c r="R76" s="83"/>
      <c r="S76" s="82"/>
      <c r="T76" s="82"/>
      <c r="U76" s="82"/>
      <c r="V76" s="90">
        <f t="shared" si="81"/>
        <v>12355</v>
      </c>
      <c r="W76" s="82"/>
      <c r="X76" s="82"/>
      <c r="Y76" s="82"/>
      <c r="Z76" s="82"/>
      <c r="AA76" s="82"/>
      <c r="AB76" s="82"/>
      <c r="AC76" s="82"/>
      <c r="AD76" s="82"/>
      <c r="AE76" s="75"/>
    </row>
    <row r="77" s="72" customFormat="1" ht="41" customHeight="1" outlineLevel="1" spans="1:31">
      <c r="A77" s="92">
        <v>9</v>
      </c>
      <c r="B77" s="93" t="s">
        <v>166</v>
      </c>
      <c r="C77" s="110" t="s">
        <v>167</v>
      </c>
      <c r="D77" s="93" t="s">
        <v>161</v>
      </c>
      <c r="E77" s="94">
        <f>(0.6+1.2)*2.8</f>
        <v>5.04</v>
      </c>
      <c r="F77" s="94">
        <f t="shared" si="76"/>
        <v>916</v>
      </c>
      <c r="G77" s="94">
        <f t="shared" si="77"/>
        <v>4616.64</v>
      </c>
      <c r="H77" s="93"/>
      <c r="I77" s="111">
        <f>J77+J77*K77+L77+M77+N77</f>
        <v>916</v>
      </c>
      <c r="J77" s="112">
        <f t="shared" si="63"/>
        <v>750</v>
      </c>
      <c r="K77" s="113">
        <f t="shared" si="78"/>
        <v>0</v>
      </c>
      <c r="L77" s="112">
        <f t="shared" si="64"/>
        <v>120</v>
      </c>
      <c r="M77" s="114">
        <f t="shared" si="65"/>
        <v>46</v>
      </c>
      <c r="N77" s="114">
        <f t="shared" si="66"/>
        <v>0</v>
      </c>
      <c r="O77" s="114">
        <f t="shared" si="79"/>
        <v>4616.64</v>
      </c>
      <c r="P77" s="90">
        <f t="shared" si="80"/>
        <v>916</v>
      </c>
      <c r="Q77" s="82">
        <v>750</v>
      </c>
      <c r="R77" s="83"/>
      <c r="S77" s="119">
        <v>120</v>
      </c>
      <c r="T77" s="119">
        <v>46</v>
      </c>
      <c r="U77" s="82"/>
      <c r="V77" s="90">
        <f t="shared" si="81"/>
        <v>4616.64</v>
      </c>
      <c r="W77" s="82"/>
      <c r="X77" s="82"/>
      <c r="Y77" s="82"/>
      <c r="Z77" s="82"/>
      <c r="AA77" s="82"/>
      <c r="AB77" s="82"/>
      <c r="AC77" s="82"/>
      <c r="AD77" s="82"/>
      <c r="AE77" s="75"/>
    </row>
    <row r="78" s="73" customFormat="1" ht="21" customHeight="1" spans="1:31">
      <c r="A78" s="100" t="s">
        <v>24</v>
      </c>
      <c r="B78" s="101" t="s">
        <v>25</v>
      </c>
      <c r="C78" s="102"/>
      <c r="D78" s="103"/>
      <c r="E78" s="104"/>
      <c r="F78" s="104"/>
      <c r="G78" s="104">
        <f>SUBTOTAL(9,G79:G96)</f>
        <v>44640.75</v>
      </c>
      <c r="H78" s="104"/>
      <c r="I78" s="87"/>
      <c r="J78" s="88"/>
      <c r="K78" s="89"/>
      <c r="L78" s="88"/>
      <c r="M78" s="88"/>
      <c r="N78" s="88"/>
      <c r="O78" s="88"/>
      <c r="P78" s="87"/>
      <c r="Q78" s="90"/>
      <c r="R78" s="91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105"/>
    </row>
    <row r="79" s="72" customFormat="1" ht="23" customHeight="1" spans="1:31">
      <c r="A79" s="106" t="s">
        <v>10</v>
      </c>
      <c r="B79" s="107" t="s">
        <v>26</v>
      </c>
      <c r="C79" s="107"/>
      <c r="D79" s="108"/>
      <c r="E79" s="109"/>
      <c r="F79" s="109"/>
      <c r="G79" s="109">
        <f>SUBTOTAL(9,G80:G93)</f>
        <v>38883.45</v>
      </c>
      <c r="H79" s="108"/>
      <c r="I79" s="79"/>
      <c r="J79" s="80"/>
      <c r="K79" s="81"/>
      <c r="L79" s="80"/>
      <c r="M79" s="80"/>
      <c r="N79" s="80"/>
      <c r="O79" s="80"/>
      <c r="P79" s="79"/>
      <c r="Q79" s="82"/>
      <c r="R79" s="83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75"/>
    </row>
    <row r="80" ht="92" customHeight="1" outlineLevel="1" spans="1:31">
      <c r="A80" s="92">
        <v>1</v>
      </c>
      <c r="B80" s="93" t="s">
        <v>168</v>
      </c>
      <c r="C80" s="110" t="s">
        <v>169</v>
      </c>
      <c r="D80" s="93" t="s">
        <v>62</v>
      </c>
      <c r="E80" s="94">
        <v>156.78</v>
      </c>
      <c r="F80" s="94">
        <f t="shared" ref="F80:F86" si="82">I80</f>
        <v>90</v>
      </c>
      <c r="G80" s="94">
        <f t="shared" ref="G80:G86" si="83">F80*E80</f>
        <v>14110.2</v>
      </c>
      <c r="H80" s="93"/>
      <c r="I80" s="111">
        <f t="shared" ref="I80:I86" si="84">J80+J80*K80+L80+M80+N80</f>
        <v>90</v>
      </c>
      <c r="J80" s="112">
        <f t="shared" ref="J80:J93" si="85">Q80*$Q$1</f>
        <v>30</v>
      </c>
      <c r="K80" s="113">
        <f t="shared" ref="K80:K86" si="86">R80</f>
        <v>0</v>
      </c>
      <c r="L80" s="112">
        <f t="shared" ref="L80:L93" si="87">S80*$S$1</f>
        <v>60</v>
      </c>
      <c r="M80" s="114">
        <f t="shared" ref="M80:M93" si="88">T80*$T$1</f>
        <v>0</v>
      </c>
      <c r="N80" s="114">
        <f t="shared" ref="N80:N93" si="89">U80*$U$1</f>
        <v>0</v>
      </c>
      <c r="O80" s="114">
        <f t="shared" ref="O80:O86" si="90">E80*I80</f>
        <v>14110.2</v>
      </c>
      <c r="P80" s="90">
        <f t="shared" ref="P80:P86" si="91">Q80+Q80*R80+S80+T80+U80</f>
        <v>90</v>
      </c>
      <c r="Q80" s="119">
        <v>30</v>
      </c>
      <c r="R80" s="118"/>
      <c r="S80" s="119">
        <v>60</v>
      </c>
      <c r="V80" s="90">
        <f t="shared" ref="V80:V86" si="92">E80*P80</f>
        <v>14110.2</v>
      </c>
    </row>
    <row r="81" ht="35" customHeight="1" outlineLevel="1" spans="1:31">
      <c r="A81" s="92">
        <v>2</v>
      </c>
      <c r="B81" s="93" t="s">
        <v>170</v>
      </c>
      <c r="C81" s="110"/>
      <c r="D81" s="93" t="s">
        <v>149</v>
      </c>
      <c r="E81" s="94">
        <v>1</v>
      </c>
      <c r="F81" s="94">
        <f t="shared" si="82"/>
        <v>800</v>
      </c>
      <c r="G81" s="94">
        <f t="shared" si="83"/>
        <v>800</v>
      </c>
      <c r="H81" s="93"/>
      <c r="I81" s="111">
        <f t="shared" si="84"/>
        <v>800</v>
      </c>
      <c r="J81" s="112">
        <f t="shared" si="85"/>
        <v>0</v>
      </c>
      <c r="K81" s="113">
        <f t="shared" si="86"/>
        <v>0</v>
      </c>
      <c r="L81" s="112">
        <f t="shared" si="87"/>
        <v>800</v>
      </c>
      <c r="M81" s="114">
        <f t="shared" si="88"/>
        <v>0</v>
      </c>
      <c r="N81" s="114">
        <f t="shared" si="89"/>
        <v>0</v>
      </c>
      <c r="O81" s="114">
        <f t="shared" si="90"/>
        <v>800</v>
      </c>
      <c r="P81" s="90">
        <f t="shared" si="91"/>
        <v>800</v>
      </c>
      <c r="S81" s="82">
        <v>800</v>
      </c>
      <c r="V81" s="90">
        <f t="shared" si="92"/>
        <v>800</v>
      </c>
    </row>
    <row r="82" ht="35" customHeight="1" outlineLevel="1" spans="1:31">
      <c r="A82" s="92">
        <v>3</v>
      </c>
      <c r="B82" s="93" t="s">
        <v>171</v>
      </c>
      <c r="C82" s="110"/>
      <c r="D82" s="93" t="s">
        <v>149</v>
      </c>
      <c r="E82" s="94">
        <v>1</v>
      </c>
      <c r="F82" s="94">
        <f t="shared" si="82"/>
        <v>500</v>
      </c>
      <c r="G82" s="94">
        <f t="shared" si="83"/>
        <v>500</v>
      </c>
      <c r="H82" s="93"/>
      <c r="I82" s="111">
        <f t="shared" si="84"/>
        <v>500</v>
      </c>
      <c r="J82" s="112">
        <f t="shared" si="85"/>
        <v>0</v>
      </c>
      <c r="K82" s="113">
        <f t="shared" si="86"/>
        <v>0</v>
      </c>
      <c r="L82" s="112">
        <f t="shared" si="87"/>
        <v>500</v>
      </c>
      <c r="M82" s="114">
        <f t="shared" si="88"/>
        <v>0</v>
      </c>
      <c r="N82" s="114">
        <f t="shared" si="89"/>
        <v>0</v>
      </c>
      <c r="O82" s="114">
        <f t="shared" si="90"/>
        <v>500</v>
      </c>
      <c r="P82" s="90">
        <f t="shared" si="91"/>
        <v>500</v>
      </c>
      <c r="S82" s="82">
        <v>500</v>
      </c>
      <c r="V82" s="90">
        <f t="shared" si="92"/>
        <v>500</v>
      </c>
    </row>
    <row r="83" s="72" customFormat="1" ht="73" customHeight="1" outlineLevel="1" spans="1:31">
      <c r="A83" s="92">
        <v>4</v>
      </c>
      <c r="B83" s="93" t="s">
        <v>172</v>
      </c>
      <c r="C83" s="110" t="s">
        <v>173</v>
      </c>
      <c r="D83" s="93" t="s">
        <v>149</v>
      </c>
      <c r="E83" s="94">
        <v>1</v>
      </c>
      <c r="F83" s="94">
        <f t="shared" si="82"/>
        <v>880</v>
      </c>
      <c r="G83" s="94">
        <f t="shared" si="83"/>
        <v>880</v>
      </c>
      <c r="H83" s="93"/>
      <c r="I83" s="111">
        <f t="shared" si="84"/>
        <v>880</v>
      </c>
      <c r="J83" s="112">
        <f t="shared" si="85"/>
        <v>800</v>
      </c>
      <c r="K83" s="113">
        <f t="shared" si="86"/>
        <v>0</v>
      </c>
      <c r="L83" s="112">
        <f t="shared" si="87"/>
        <v>80</v>
      </c>
      <c r="M83" s="114">
        <f t="shared" si="88"/>
        <v>0</v>
      </c>
      <c r="N83" s="114">
        <f t="shared" si="89"/>
        <v>0</v>
      </c>
      <c r="O83" s="114">
        <f t="shared" si="90"/>
        <v>880</v>
      </c>
      <c r="P83" s="90">
        <f t="shared" si="91"/>
        <v>880</v>
      </c>
      <c r="Q83" s="82">
        <v>800</v>
      </c>
      <c r="R83" s="83"/>
      <c r="S83" s="82">
        <v>80</v>
      </c>
      <c r="T83" s="82"/>
      <c r="U83" s="82"/>
      <c r="V83" s="90">
        <f t="shared" si="92"/>
        <v>880</v>
      </c>
      <c r="W83" s="82"/>
      <c r="X83" s="82"/>
      <c r="Y83" s="82"/>
      <c r="Z83" s="82"/>
      <c r="AA83" s="82"/>
      <c r="AB83" s="82"/>
      <c r="AC83" s="82"/>
      <c r="AD83" s="82"/>
      <c r="AE83" s="75"/>
    </row>
    <row r="84" s="72" customFormat="1" ht="48" customHeight="1" outlineLevel="1" spans="1:31">
      <c r="A84" s="92">
        <v>5</v>
      </c>
      <c r="B84" s="93" t="s">
        <v>174</v>
      </c>
      <c r="C84" s="110" t="s">
        <v>175</v>
      </c>
      <c r="D84" s="93" t="s">
        <v>149</v>
      </c>
      <c r="E84" s="94">
        <v>2</v>
      </c>
      <c r="F84" s="94">
        <f t="shared" si="82"/>
        <v>700</v>
      </c>
      <c r="G84" s="94">
        <f t="shared" si="83"/>
        <v>1400</v>
      </c>
      <c r="H84" s="93"/>
      <c r="I84" s="111">
        <f t="shared" si="84"/>
        <v>700</v>
      </c>
      <c r="J84" s="112">
        <f t="shared" si="85"/>
        <v>650</v>
      </c>
      <c r="K84" s="113">
        <f t="shared" si="86"/>
        <v>0</v>
      </c>
      <c r="L84" s="112">
        <f t="shared" si="87"/>
        <v>50</v>
      </c>
      <c r="M84" s="114">
        <f t="shared" si="88"/>
        <v>0</v>
      </c>
      <c r="N84" s="114">
        <f t="shared" si="89"/>
        <v>0</v>
      </c>
      <c r="O84" s="114">
        <f t="shared" si="90"/>
        <v>1400</v>
      </c>
      <c r="P84" s="90">
        <f t="shared" si="91"/>
        <v>700</v>
      </c>
      <c r="Q84" s="82">
        <v>650</v>
      </c>
      <c r="R84" s="83"/>
      <c r="S84" s="82">
        <v>50</v>
      </c>
      <c r="T84" s="82"/>
      <c r="U84" s="82"/>
      <c r="V84" s="90">
        <f t="shared" si="92"/>
        <v>1400</v>
      </c>
      <c r="W84" s="82"/>
      <c r="X84" s="82"/>
      <c r="Y84" s="82"/>
      <c r="Z84" s="82"/>
      <c r="AA84" s="82"/>
      <c r="AB84" s="82"/>
      <c r="AC84" s="82"/>
      <c r="AD84" s="82"/>
      <c r="AE84" s="75"/>
    </row>
    <row r="85" s="72" customFormat="1" ht="48" outlineLevel="1" spans="1:31">
      <c r="A85" s="92">
        <v>6</v>
      </c>
      <c r="B85" s="93" t="s">
        <v>176</v>
      </c>
      <c r="C85" s="110" t="s">
        <v>177</v>
      </c>
      <c r="D85" s="93" t="s">
        <v>149</v>
      </c>
      <c r="E85" s="94">
        <f>3+3+12+9</f>
        <v>27</v>
      </c>
      <c r="F85" s="94">
        <f t="shared" si="82"/>
        <v>95</v>
      </c>
      <c r="G85" s="94">
        <f t="shared" si="83"/>
        <v>2565</v>
      </c>
      <c r="H85" s="93"/>
      <c r="I85" s="111">
        <f t="shared" si="84"/>
        <v>95</v>
      </c>
      <c r="J85" s="112">
        <f t="shared" si="85"/>
        <v>75</v>
      </c>
      <c r="K85" s="113">
        <f t="shared" si="86"/>
        <v>0</v>
      </c>
      <c r="L85" s="112">
        <f t="shared" si="87"/>
        <v>20</v>
      </c>
      <c r="M85" s="114">
        <f t="shared" si="88"/>
        <v>0</v>
      </c>
      <c r="N85" s="114">
        <f t="shared" si="89"/>
        <v>0</v>
      </c>
      <c r="O85" s="114">
        <f t="shared" si="90"/>
        <v>2565</v>
      </c>
      <c r="P85" s="90">
        <f t="shared" si="91"/>
        <v>95</v>
      </c>
      <c r="Q85" s="82">
        <v>75</v>
      </c>
      <c r="R85" s="83"/>
      <c r="S85" s="82">
        <v>20</v>
      </c>
      <c r="T85" s="82"/>
      <c r="U85" s="82"/>
      <c r="V85" s="90">
        <f t="shared" si="92"/>
        <v>2565</v>
      </c>
      <c r="W85" s="82"/>
      <c r="X85" s="82"/>
      <c r="Y85" s="82"/>
      <c r="Z85" s="82"/>
      <c r="AA85" s="82"/>
      <c r="AB85" s="82"/>
      <c r="AC85" s="82"/>
      <c r="AD85" s="82"/>
      <c r="AE85" s="75"/>
    </row>
    <row r="86" s="72" customFormat="1" ht="48" outlineLevel="1" spans="1:31">
      <c r="A86" s="92">
        <v>7</v>
      </c>
      <c r="B86" s="93" t="s">
        <v>178</v>
      </c>
      <c r="C86" s="110" t="s">
        <v>179</v>
      </c>
      <c r="D86" s="93" t="s">
        <v>149</v>
      </c>
      <c r="E86" s="94">
        <v>10</v>
      </c>
      <c r="F86" s="94">
        <f t="shared" si="82"/>
        <v>85</v>
      </c>
      <c r="G86" s="94">
        <f t="shared" si="83"/>
        <v>850</v>
      </c>
      <c r="H86" s="93"/>
      <c r="I86" s="111">
        <f t="shared" si="84"/>
        <v>85</v>
      </c>
      <c r="J86" s="112">
        <f t="shared" si="85"/>
        <v>65</v>
      </c>
      <c r="K86" s="113">
        <f t="shared" si="86"/>
        <v>0</v>
      </c>
      <c r="L86" s="112">
        <f t="shared" si="87"/>
        <v>20</v>
      </c>
      <c r="M86" s="114">
        <f t="shared" si="88"/>
        <v>0</v>
      </c>
      <c r="N86" s="114">
        <f t="shared" si="89"/>
        <v>0</v>
      </c>
      <c r="O86" s="114">
        <f t="shared" si="90"/>
        <v>850</v>
      </c>
      <c r="P86" s="90">
        <f t="shared" si="91"/>
        <v>85</v>
      </c>
      <c r="Q86" s="82">
        <v>65</v>
      </c>
      <c r="R86" s="83"/>
      <c r="S86" s="82">
        <v>20</v>
      </c>
      <c r="T86" s="82"/>
      <c r="U86" s="82"/>
      <c r="V86" s="90">
        <f t="shared" si="92"/>
        <v>850</v>
      </c>
      <c r="W86" s="82"/>
      <c r="X86" s="82"/>
      <c r="Y86" s="82"/>
      <c r="Z86" s="82"/>
      <c r="AA86" s="82"/>
      <c r="AB86" s="82"/>
      <c r="AC86" s="82"/>
      <c r="AD86" s="82"/>
      <c r="AE86" s="75"/>
    </row>
    <row r="87" s="72" customFormat="1" ht="48" outlineLevel="1" spans="1:31">
      <c r="A87" s="92">
        <v>8</v>
      </c>
      <c r="B87" s="93" t="s">
        <v>180</v>
      </c>
      <c r="C87" s="110" t="s">
        <v>181</v>
      </c>
      <c r="D87" s="93" t="s">
        <v>149</v>
      </c>
      <c r="E87" s="94">
        <f>3+6</f>
        <v>9</v>
      </c>
      <c r="F87" s="94">
        <f t="shared" ref="F87:F93" si="93">I87</f>
        <v>155</v>
      </c>
      <c r="G87" s="94">
        <f t="shared" ref="G87:G93" si="94">F87*E87</f>
        <v>1395</v>
      </c>
      <c r="H87" s="93"/>
      <c r="I87" s="111">
        <f t="shared" ref="I87:I93" si="95">J87+J87*K87+L87+M87+N87</f>
        <v>155</v>
      </c>
      <c r="J87" s="112">
        <f t="shared" si="85"/>
        <v>135</v>
      </c>
      <c r="K87" s="113">
        <f t="shared" ref="K87:K93" si="96">R87</f>
        <v>0</v>
      </c>
      <c r="L87" s="112">
        <f t="shared" si="87"/>
        <v>20</v>
      </c>
      <c r="M87" s="114">
        <f t="shared" si="88"/>
        <v>0</v>
      </c>
      <c r="N87" s="114">
        <f t="shared" si="89"/>
        <v>0</v>
      </c>
      <c r="O87" s="114">
        <f t="shared" ref="O87:O93" si="97">E87*I87</f>
        <v>1395</v>
      </c>
      <c r="P87" s="90">
        <f t="shared" ref="P87:P93" si="98">Q87+Q87*R87+S87+T87+U87</f>
        <v>155</v>
      </c>
      <c r="Q87" s="119">
        <v>135</v>
      </c>
      <c r="R87" s="118"/>
      <c r="S87" s="119">
        <v>20</v>
      </c>
      <c r="T87" s="82"/>
      <c r="U87" s="82"/>
      <c r="V87" s="90">
        <f t="shared" ref="V87:V93" si="99">E87*P87</f>
        <v>1395</v>
      </c>
      <c r="W87" s="82"/>
      <c r="X87" s="82"/>
      <c r="Y87" s="82"/>
      <c r="Z87" s="82"/>
      <c r="AA87" s="82"/>
      <c r="AB87" s="82"/>
      <c r="AC87" s="82"/>
      <c r="AD87" s="82"/>
      <c r="AE87" s="75"/>
    </row>
    <row r="88" s="72" customFormat="1" ht="48" outlineLevel="1" spans="1:31">
      <c r="A88" s="92">
        <v>9</v>
      </c>
      <c r="B88" s="93" t="s">
        <v>182</v>
      </c>
      <c r="C88" s="110" t="s">
        <v>183</v>
      </c>
      <c r="D88" s="93" t="s">
        <v>65</v>
      </c>
      <c r="E88" s="94">
        <f>18.5+18.5+12.5</f>
        <v>49.5</v>
      </c>
      <c r="F88" s="94">
        <f t="shared" si="93"/>
        <v>103.333333333333</v>
      </c>
      <c r="G88" s="94">
        <f t="shared" si="94"/>
        <v>5115</v>
      </c>
      <c r="H88" s="93"/>
      <c r="I88" s="111">
        <f t="shared" si="95"/>
        <v>103.333333333333</v>
      </c>
      <c r="J88" s="112">
        <f t="shared" si="85"/>
        <v>83.3333333333333</v>
      </c>
      <c r="K88" s="113">
        <f t="shared" si="96"/>
        <v>0</v>
      </c>
      <c r="L88" s="112">
        <f t="shared" si="87"/>
        <v>20</v>
      </c>
      <c r="M88" s="114">
        <f t="shared" si="88"/>
        <v>0</v>
      </c>
      <c r="N88" s="114">
        <f t="shared" si="89"/>
        <v>0</v>
      </c>
      <c r="O88" s="114">
        <f t="shared" si="97"/>
        <v>5115</v>
      </c>
      <c r="P88" s="90">
        <f t="shared" si="98"/>
        <v>103.333333333333</v>
      </c>
      <c r="Q88" s="119">
        <f>50/0.6</f>
        <v>83.3333333333333</v>
      </c>
      <c r="R88" s="118"/>
      <c r="S88" s="119">
        <v>20</v>
      </c>
      <c r="T88" s="82"/>
      <c r="U88" s="82"/>
      <c r="V88" s="90">
        <f t="shared" si="99"/>
        <v>5115</v>
      </c>
      <c r="W88" s="82"/>
      <c r="X88" s="82"/>
      <c r="Y88" s="82"/>
      <c r="Z88" s="82"/>
      <c r="AA88" s="82"/>
      <c r="AB88" s="82"/>
      <c r="AC88" s="82"/>
      <c r="AD88" s="82"/>
      <c r="AE88" s="75"/>
    </row>
    <row r="89" ht="19" customHeight="1" outlineLevel="1" spans="1:31">
      <c r="A89" s="92">
        <v>10</v>
      </c>
      <c r="B89" s="93" t="s">
        <v>184</v>
      </c>
      <c r="C89" s="110" t="s">
        <v>185</v>
      </c>
      <c r="D89" s="93" t="s">
        <v>65</v>
      </c>
      <c r="E89" s="94">
        <f>E39</f>
        <v>83.5</v>
      </c>
      <c r="F89" s="94">
        <f t="shared" si="93"/>
        <v>35.5</v>
      </c>
      <c r="G89" s="94">
        <f t="shared" si="94"/>
        <v>2964.25</v>
      </c>
      <c r="H89" s="93"/>
      <c r="I89" s="111">
        <f t="shared" si="95"/>
        <v>35.5</v>
      </c>
      <c r="J89" s="112">
        <f t="shared" si="85"/>
        <v>23.5</v>
      </c>
      <c r="K89" s="113">
        <f t="shared" si="96"/>
        <v>0</v>
      </c>
      <c r="L89" s="112">
        <f t="shared" si="87"/>
        <v>12</v>
      </c>
      <c r="M89" s="114">
        <f t="shared" si="88"/>
        <v>0</v>
      </c>
      <c r="N89" s="114">
        <f t="shared" si="89"/>
        <v>0</v>
      </c>
      <c r="O89" s="114">
        <f t="shared" si="97"/>
        <v>2964.25</v>
      </c>
      <c r="P89" s="90">
        <f t="shared" si="98"/>
        <v>35.5</v>
      </c>
      <c r="Q89" s="82">
        <v>23.5</v>
      </c>
      <c r="S89" s="82">
        <v>12</v>
      </c>
      <c r="V89" s="90">
        <f t="shared" si="99"/>
        <v>2964.25</v>
      </c>
    </row>
    <row r="90" ht="19" customHeight="1" outlineLevel="1" spans="1:31">
      <c r="A90" s="92">
        <v>11</v>
      </c>
      <c r="B90" s="93" t="s">
        <v>186</v>
      </c>
      <c r="C90" s="110" t="s">
        <v>185</v>
      </c>
      <c r="D90" s="93" t="s">
        <v>65</v>
      </c>
      <c r="E90" s="94">
        <v>6</v>
      </c>
      <c r="F90" s="94">
        <f t="shared" si="93"/>
        <v>35.5</v>
      </c>
      <c r="G90" s="94">
        <f t="shared" si="94"/>
        <v>213</v>
      </c>
      <c r="H90" s="93"/>
      <c r="I90" s="111">
        <f t="shared" si="95"/>
        <v>35.5</v>
      </c>
      <c r="J90" s="112">
        <f t="shared" si="85"/>
        <v>23.5</v>
      </c>
      <c r="K90" s="113">
        <f t="shared" si="96"/>
        <v>0</v>
      </c>
      <c r="L90" s="112">
        <f t="shared" si="87"/>
        <v>12</v>
      </c>
      <c r="M90" s="114">
        <f t="shared" si="88"/>
        <v>0</v>
      </c>
      <c r="N90" s="114">
        <f t="shared" si="89"/>
        <v>0</v>
      </c>
      <c r="O90" s="114">
        <f t="shared" si="97"/>
        <v>213</v>
      </c>
      <c r="P90" s="90">
        <f t="shared" si="98"/>
        <v>35.5</v>
      </c>
      <c r="Q90" s="82">
        <v>23.5</v>
      </c>
      <c r="S90" s="82">
        <v>12</v>
      </c>
      <c r="V90" s="90">
        <f t="shared" si="99"/>
        <v>213</v>
      </c>
    </row>
    <row r="91" s="74" customFormat="1" ht="52" customHeight="1" outlineLevel="1" spans="1:31">
      <c r="A91" s="92">
        <v>12</v>
      </c>
      <c r="B91" s="93" t="s">
        <v>187</v>
      </c>
      <c r="C91" s="110" t="s">
        <v>188</v>
      </c>
      <c r="D91" s="93" t="s">
        <v>149</v>
      </c>
      <c r="E91" s="94">
        <v>8</v>
      </c>
      <c r="F91" s="94">
        <f t="shared" si="93"/>
        <v>27</v>
      </c>
      <c r="G91" s="94">
        <f t="shared" si="94"/>
        <v>216</v>
      </c>
      <c r="H91" s="93"/>
      <c r="I91" s="111">
        <f t="shared" si="95"/>
        <v>27</v>
      </c>
      <c r="J91" s="112">
        <f t="shared" si="85"/>
        <v>17</v>
      </c>
      <c r="K91" s="113">
        <f t="shared" si="96"/>
        <v>0</v>
      </c>
      <c r="L91" s="112">
        <f t="shared" si="87"/>
        <v>10</v>
      </c>
      <c r="M91" s="114">
        <f t="shared" si="88"/>
        <v>0</v>
      </c>
      <c r="N91" s="114">
        <f t="shared" si="89"/>
        <v>0</v>
      </c>
      <c r="O91" s="114">
        <f t="shared" si="97"/>
        <v>216</v>
      </c>
      <c r="P91" s="90">
        <f t="shared" si="98"/>
        <v>27</v>
      </c>
      <c r="Q91" s="82">
        <v>17</v>
      </c>
      <c r="R91" s="83"/>
      <c r="S91" s="82">
        <v>10</v>
      </c>
      <c r="T91" s="82"/>
      <c r="U91" s="82"/>
      <c r="V91" s="90">
        <f t="shared" si="99"/>
        <v>216</v>
      </c>
      <c r="W91" s="82"/>
      <c r="X91" s="82"/>
      <c r="Y91" s="82"/>
      <c r="Z91" s="82"/>
      <c r="AA91" s="82"/>
      <c r="AB91" s="82"/>
      <c r="AC91" s="82"/>
      <c r="AD91" s="82"/>
      <c r="AE91" s="75"/>
    </row>
    <row r="92" s="74" customFormat="1" ht="52" customHeight="1" outlineLevel="1" spans="1:31">
      <c r="A92" s="92">
        <v>13</v>
      </c>
      <c r="B92" s="93" t="s">
        <v>189</v>
      </c>
      <c r="C92" s="110" t="s">
        <v>190</v>
      </c>
      <c r="D92" s="93" t="s">
        <v>149</v>
      </c>
      <c r="E92" s="94">
        <v>27</v>
      </c>
      <c r="F92" s="94">
        <f t="shared" si="93"/>
        <v>25</v>
      </c>
      <c r="G92" s="94">
        <f t="shared" si="94"/>
        <v>675</v>
      </c>
      <c r="H92" s="93"/>
      <c r="I92" s="111">
        <f t="shared" si="95"/>
        <v>25</v>
      </c>
      <c r="J92" s="112">
        <f t="shared" si="85"/>
        <v>15</v>
      </c>
      <c r="K92" s="113">
        <f t="shared" si="96"/>
        <v>0</v>
      </c>
      <c r="L92" s="112">
        <f t="shared" si="87"/>
        <v>10</v>
      </c>
      <c r="M92" s="114">
        <f t="shared" si="88"/>
        <v>0</v>
      </c>
      <c r="N92" s="114">
        <f t="shared" si="89"/>
        <v>0</v>
      </c>
      <c r="O92" s="114">
        <f t="shared" si="97"/>
        <v>675</v>
      </c>
      <c r="P92" s="90">
        <f t="shared" si="98"/>
        <v>25</v>
      </c>
      <c r="Q92" s="82">
        <v>15</v>
      </c>
      <c r="R92" s="83"/>
      <c r="S92" s="82">
        <v>10</v>
      </c>
      <c r="T92" s="82"/>
      <c r="U92" s="82"/>
      <c r="V92" s="90">
        <f t="shared" si="99"/>
        <v>675</v>
      </c>
      <c r="W92" s="82"/>
      <c r="X92" s="82"/>
      <c r="Y92" s="82"/>
      <c r="Z92" s="82"/>
      <c r="AA92" s="82"/>
      <c r="AB92" s="82"/>
      <c r="AC92" s="82"/>
      <c r="AD92" s="82"/>
      <c r="AE92" s="75"/>
    </row>
    <row r="93" s="74" customFormat="1" ht="19" customHeight="1" outlineLevel="1" spans="1:31">
      <c r="A93" s="92">
        <v>14</v>
      </c>
      <c r="B93" s="93" t="s">
        <v>191</v>
      </c>
      <c r="C93" s="110" t="s">
        <v>192</v>
      </c>
      <c r="D93" s="93" t="s">
        <v>149</v>
      </c>
      <c r="E93" s="94">
        <v>9</v>
      </c>
      <c r="F93" s="94">
        <f t="shared" si="93"/>
        <v>800</v>
      </c>
      <c r="G93" s="94">
        <f t="shared" si="94"/>
        <v>7200</v>
      </c>
      <c r="H93" s="93"/>
      <c r="I93" s="111">
        <f t="shared" si="95"/>
        <v>800</v>
      </c>
      <c r="J93" s="112">
        <f t="shared" si="85"/>
        <v>800</v>
      </c>
      <c r="K93" s="113">
        <f t="shared" si="96"/>
        <v>0</v>
      </c>
      <c r="L93" s="112">
        <f t="shared" si="87"/>
        <v>0</v>
      </c>
      <c r="M93" s="114">
        <f t="shared" si="88"/>
        <v>0</v>
      </c>
      <c r="N93" s="114">
        <f t="shared" si="89"/>
        <v>0</v>
      </c>
      <c r="O93" s="114">
        <f t="shared" si="97"/>
        <v>7200</v>
      </c>
      <c r="P93" s="90">
        <f t="shared" si="98"/>
        <v>800</v>
      </c>
      <c r="Q93" s="119">
        <v>800</v>
      </c>
      <c r="R93" s="118">
        <v>0</v>
      </c>
      <c r="S93" s="119">
        <v>0</v>
      </c>
      <c r="T93" s="119">
        <v>0</v>
      </c>
      <c r="U93" s="82"/>
      <c r="V93" s="90">
        <f t="shared" si="99"/>
        <v>7200</v>
      </c>
      <c r="W93" s="82"/>
      <c r="X93" s="82"/>
      <c r="Y93" s="82"/>
      <c r="Z93" s="82"/>
      <c r="AA93" s="82"/>
      <c r="AB93" s="82"/>
      <c r="AC93" s="82"/>
      <c r="AD93" s="82"/>
      <c r="AE93" s="75"/>
    </row>
    <row r="94" s="72" customFormat="1" ht="27" customHeight="1" spans="1:31">
      <c r="A94" s="106" t="s">
        <v>13</v>
      </c>
      <c r="B94" s="107" t="s">
        <v>27</v>
      </c>
      <c r="C94" s="107"/>
      <c r="D94" s="108"/>
      <c r="E94" s="109"/>
      <c r="F94" s="109"/>
      <c r="G94" s="109">
        <f>SUBTOTAL(9,G95:G96)</f>
        <v>5757.3</v>
      </c>
      <c r="H94" s="108"/>
      <c r="I94" s="79"/>
      <c r="J94" s="80"/>
      <c r="K94" s="81"/>
      <c r="L94" s="80"/>
      <c r="M94" s="80"/>
      <c r="N94" s="80"/>
      <c r="O94" s="80"/>
      <c r="P94" s="79"/>
      <c r="Q94" s="82"/>
      <c r="R94" s="83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75"/>
    </row>
    <row r="95" ht="36" outlineLevel="1" spans="1:31">
      <c r="A95" s="92">
        <v>1</v>
      </c>
      <c r="B95" s="93" t="s">
        <v>193</v>
      </c>
      <c r="C95" s="110" t="s">
        <v>194</v>
      </c>
      <c r="D95" s="93" t="s">
        <v>62</v>
      </c>
      <c r="E95" s="94">
        <v>156.78</v>
      </c>
      <c r="F95" s="94">
        <f t="shared" ref="F95:F104" si="100">I95</f>
        <v>35</v>
      </c>
      <c r="G95" s="94">
        <f>F95*E95</f>
        <v>5487.3</v>
      </c>
      <c r="H95" s="93"/>
      <c r="I95" s="111">
        <f>J95+J95*K95+L95+M95+N95</f>
        <v>35</v>
      </c>
      <c r="J95" s="112">
        <f>Q95*$Q$1</f>
        <v>10</v>
      </c>
      <c r="K95" s="113">
        <f>R95</f>
        <v>0</v>
      </c>
      <c r="L95" s="112">
        <f>S95*$S$1</f>
        <v>25</v>
      </c>
      <c r="M95" s="114">
        <f>T95*$T$1</f>
        <v>0</v>
      </c>
      <c r="N95" s="114">
        <f>U95*$U$1</f>
        <v>0</v>
      </c>
      <c r="O95" s="114">
        <f>E95*I95</f>
        <v>5487.3</v>
      </c>
      <c r="P95" s="90">
        <f>Q95+Q95*R95+S95+T95+U95</f>
        <v>35</v>
      </c>
      <c r="Q95" s="82">
        <v>10</v>
      </c>
      <c r="R95" s="83">
        <v>0</v>
      </c>
      <c r="S95" s="82">
        <v>25</v>
      </c>
      <c r="T95" s="82">
        <v>0</v>
      </c>
      <c r="V95" s="90">
        <f>E95*P95</f>
        <v>5487.3</v>
      </c>
    </row>
    <row r="96" ht="23" customHeight="1" outlineLevel="1" spans="1:31">
      <c r="A96" s="92">
        <v>2</v>
      </c>
      <c r="B96" s="93" t="s">
        <v>195</v>
      </c>
      <c r="C96" s="110"/>
      <c r="D96" s="93" t="s">
        <v>149</v>
      </c>
      <c r="E96" s="94">
        <v>9</v>
      </c>
      <c r="F96" s="94">
        <f t="shared" si="100"/>
        <v>30</v>
      </c>
      <c r="G96" s="94">
        <f>F96*E96</f>
        <v>270</v>
      </c>
      <c r="H96" s="93"/>
      <c r="I96" s="111">
        <f>J96+J96*K96+L96+M96+N96</f>
        <v>30</v>
      </c>
      <c r="J96" s="112">
        <f>Q96*$Q$1</f>
        <v>20</v>
      </c>
      <c r="K96" s="113">
        <f>R96</f>
        <v>0</v>
      </c>
      <c r="L96" s="112">
        <f>S96*$S$1</f>
        <v>10</v>
      </c>
      <c r="M96" s="114">
        <f>T96*$T$1</f>
        <v>0</v>
      </c>
      <c r="N96" s="114">
        <f>U96*$U$1</f>
        <v>0</v>
      </c>
      <c r="O96" s="114">
        <f>E96*I96</f>
        <v>270</v>
      </c>
      <c r="P96" s="90">
        <f>Q96+Q96*R96+S96+T96+U96</f>
        <v>30</v>
      </c>
      <c r="Q96" s="82">
        <v>20</v>
      </c>
      <c r="R96" s="83">
        <v>0</v>
      </c>
      <c r="S96" s="82">
        <v>10</v>
      </c>
      <c r="T96" s="82">
        <v>0</v>
      </c>
      <c r="V96" s="90">
        <f>E96*P96</f>
        <v>270</v>
      </c>
    </row>
    <row r="97" s="73" customFormat="1" ht="23" customHeight="1" spans="1:31">
      <c r="A97" s="100" t="s">
        <v>28</v>
      </c>
      <c r="B97" s="101" t="s">
        <v>29</v>
      </c>
      <c r="C97" s="102"/>
      <c r="D97" s="103"/>
      <c r="E97" s="104"/>
      <c r="F97" s="104"/>
      <c r="G97" s="104">
        <f>SUBTOTAL(9,G98:G104)</f>
        <v>27090.75</v>
      </c>
      <c r="H97" s="104"/>
      <c r="I97" s="87"/>
      <c r="J97" s="88"/>
      <c r="K97" s="89"/>
      <c r="L97" s="88"/>
      <c r="M97" s="88"/>
      <c r="N97" s="88"/>
      <c r="O97" s="88"/>
      <c r="P97" s="87"/>
      <c r="Q97" s="90"/>
      <c r="R97" s="91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105"/>
    </row>
    <row r="98" s="73" customFormat="1" ht="48" customHeight="1" outlineLevel="1" spans="1:31">
      <c r="A98" s="92">
        <v>1</v>
      </c>
      <c r="B98" s="93" t="s">
        <v>196</v>
      </c>
      <c r="C98" s="110" t="s">
        <v>197</v>
      </c>
      <c r="D98" s="93" t="s">
        <v>62</v>
      </c>
      <c r="E98" s="94">
        <v>266.31</v>
      </c>
      <c r="F98" s="94">
        <f t="shared" si="100"/>
        <v>30</v>
      </c>
      <c r="G98" s="94">
        <f t="shared" ref="G98:G104" si="101">F98*E98</f>
        <v>7989.3</v>
      </c>
      <c r="H98" s="93" t="s">
        <v>198</v>
      </c>
      <c r="I98" s="111">
        <v>30</v>
      </c>
      <c r="J98" s="112">
        <f t="shared" ref="J98:J104" si="102">Q98*$Q$1</f>
        <v>30</v>
      </c>
      <c r="K98" s="113">
        <f t="shared" ref="K98:K104" si="103">R98</f>
        <v>0</v>
      </c>
      <c r="L98" s="112">
        <f t="shared" ref="L98:L104" si="104">S98*$S$1</f>
        <v>0</v>
      </c>
      <c r="M98" s="114">
        <f t="shared" ref="M98:M104" si="105">T98*$T$1</f>
        <v>0</v>
      </c>
      <c r="N98" s="114">
        <f t="shared" ref="N98:N104" si="106">U98*$U$1</f>
        <v>0</v>
      </c>
      <c r="O98" s="114">
        <f t="shared" ref="O98:O104" si="107">E98*I98</f>
        <v>7989.3</v>
      </c>
      <c r="P98" s="90">
        <f t="shared" ref="P98:P104" si="108">Q98+Q98*R98+S98+T98+U98</f>
        <v>30</v>
      </c>
      <c r="Q98" s="82">
        <v>30</v>
      </c>
      <c r="R98" s="83"/>
      <c r="S98" s="82"/>
      <c r="T98" s="82"/>
      <c r="U98" s="82"/>
      <c r="V98" s="90">
        <f t="shared" ref="V98:V104" si="109">E98*P98</f>
        <v>7989.3</v>
      </c>
      <c r="W98" s="82"/>
      <c r="X98" s="82"/>
      <c r="Y98" s="82"/>
      <c r="Z98" s="82"/>
      <c r="AA98" s="82"/>
      <c r="AB98" s="82"/>
      <c r="AC98" s="82"/>
      <c r="AD98" s="82"/>
      <c r="AE98" s="75"/>
    </row>
    <row r="99" s="73" customFormat="1" ht="30" customHeight="1" outlineLevel="1" spans="1:31">
      <c r="A99" s="92">
        <v>2</v>
      </c>
      <c r="B99" s="93" t="s">
        <v>199</v>
      </c>
      <c r="C99" s="110"/>
      <c r="D99" s="93" t="s">
        <v>62</v>
      </c>
      <c r="E99" s="94">
        <f>E98</f>
        <v>266.31</v>
      </c>
      <c r="F99" s="94">
        <f t="shared" si="100"/>
        <v>15</v>
      </c>
      <c r="G99" s="94">
        <f t="shared" si="101"/>
        <v>3994.65</v>
      </c>
      <c r="H99" s="93" t="str">
        <f>H98</f>
        <v>建筑面积266.31㎡</v>
      </c>
      <c r="I99" s="111">
        <v>15</v>
      </c>
      <c r="J99" s="112">
        <f t="shared" si="102"/>
        <v>15</v>
      </c>
      <c r="K99" s="113">
        <f t="shared" si="103"/>
        <v>0</v>
      </c>
      <c r="L99" s="112">
        <f t="shared" si="104"/>
        <v>0</v>
      </c>
      <c r="M99" s="114">
        <f t="shared" si="105"/>
        <v>0</v>
      </c>
      <c r="N99" s="114">
        <f t="shared" si="106"/>
        <v>0</v>
      </c>
      <c r="O99" s="114">
        <f t="shared" si="107"/>
        <v>3994.65</v>
      </c>
      <c r="P99" s="90">
        <f t="shared" si="108"/>
        <v>15</v>
      </c>
      <c r="Q99" s="82">
        <v>15</v>
      </c>
      <c r="R99" s="83"/>
      <c r="S99" s="82"/>
      <c r="T99" s="82"/>
      <c r="U99" s="82"/>
      <c r="V99" s="90">
        <f t="shared" si="109"/>
        <v>3994.65</v>
      </c>
      <c r="W99" s="82"/>
      <c r="X99" s="82"/>
      <c r="Y99" s="82"/>
      <c r="Z99" s="82"/>
      <c r="AA99" s="82"/>
      <c r="AB99" s="82"/>
      <c r="AC99" s="82"/>
      <c r="AD99" s="82"/>
      <c r="AE99" s="75"/>
    </row>
    <row r="100" s="73" customFormat="1" ht="30" customHeight="1" outlineLevel="1" spans="1:31">
      <c r="A100" s="92">
        <v>3</v>
      </c>
      <c r="B100" s="93" t="s">
        <v>200</v>
      </c>
      <c r="C100" s="110"/>
      <c r="D100" s="93" t="s">
        <v>62</v>
      </c>
      <c r="E100" s="94">
        <v>156.78</v>
      </c>
      <c r="F100" s="94">
        <f t="shared" si="100"/>
        <v>10</v>
      </c>
      <c r="G100" s="94">
        <f t="shared" si="101"/>
        <v>1567.8</v>
      </c>
      <c r="H100" s="93"/>
      <c r="I100" s="111">
        <v>10</v>
      </c>
      <c r="J100" s="112">
        <f t="shared" si="102"/>
        <v>10</v>
      </c>
      <c r="K100" s="113">
        <f t="shared" si="103"/>
        <v>0</v>
      </c>
      <c r="L100" s="112">
        <f t="shared" si="104"/>
        <v>0</v>
      </c>
      <c r="M100" s="114">
        <f t="shared" si="105"/>
        <v>0</v>
      </c>
      <c r="N100" s="114">
        <f t="shared" si="106"/>
        <v>0</v>
      </c>
      <c r="O100" s="114">
        <f t="shared" si="107"/>
        <v>1567.8</v>
      </c>
      <c r="P100" s="90">
        <f t="shared" si="108"/>
        <v>10</v>
      </c>
      <c r="Q100" s="82">
        <v>10</v>
      </c>
      <c r="R100" s="83"/>
      <c r="S100" s="82"/>
      <c r="T100" s="82"/>
      <c r="U100" s="82"/>
      <c r="V100" s="90">
        <f t="shared" si="109"/>
        <v>1567.8</v>
      </c>
      <c r="W100" s="82"/>
      <c r="X100" s="82"/>
      <c r="Y100" s="82"/>
      <c r="Z100" s="82"/>
      <c r="AA100" s="82"/>
      <c r="AB100" s="82"/>
      <c r="AC100" s="82"/>
      <c r="AD100" s="82"/>
      <c r="AE100" s="75"/>
    </row>
    <row r="101" s="73" customFormat="1" ht="30" customHeight="1" outlineLevel="1" spans="1:31">
      <c r="A101" s="92">
        <v>4</v>
      </c>
      <c r="B101" s="93" t="s">
        <v>201</v>
      </c>
      <c r="C101" s="110"/>
      <c r="D101" s="93" t="s">
        <v>62</v>
      </c>
      <c r="E101" s="94">
        <v>156.78</v>
      </c>
      <c r="F101" s="94">
        <f t="shared" si="100"/>
        <v>30</v>
      </c>
      <c r="G101" s="94">
        <f t="shared" si="101"/>
        <v>4703.4</v>
      </c>
      <c r="H101" s="93"/>
      <c r="I101" s="111">
        <v>30</v>
      </c>
      <c r="J101" s="112">
        <f t="shared" si="102"/>
        <v>30</v>
      </c>
      <c r="K101" s="113">
        <f t="shared" si="103"/>
        <v>0</v>
      </c>
      <c r="L101" s="112">
        <f t="shared" si="104"/>
        <v>0</v>
      </c>
      <c r="M101" s="114">
        <f t="shared" si="105"/>
        <v>0</v>
      </c>
      <c r="N101" s="114">
        <f t="shared" si="106"/>
        <v>0</v>
      </c>
      <c r="O101" s="114">
        <f t="shared" si="107"/>
        <v>4703.4</v>
      </c>
      <c r="P101" s="90">
        <f t="shared" si="108"/>
        <v>30</v>
      </c>
      <c r="Q101" s="82">
        <v>30</v>
      </c>
      <c r="R101" s="83"/>
      <c r="S101" s="82"/>
      <c r="T101" s="82"/>
      <c r="U101" s="82"/>
      <c r="V101" s="90">
        <f t="shared" si="109"/>
        <v>4703.4</v>
      </c>
      <c r="W101" s="82"/>
      <c r="X101" s="82"/>
      <c r="Y101" s="82"/>
      <c r="Z101" s="82"/>
      <c r="AA101" s="82"/>
      <c r="AB101" s="82"/>
      <c r="AC101" s="82"/>
      <c r="AD101" s="82"/>
      <c r="AE101" s="75"/>
    </row>
    <row r="102" s="73" customFormat="1" ht="30" customHeight="1" outlineLevel="1" spans="1:31">
      <c r="A102" s="92">
        <v>5</v>
      </c>
      <c r="B102" s="93" t="s">
        <v>202</v>
      </c>
      <c r="C102" s="110"/>
      <c r="D102" s="93" t="s">
        <v>138</v>
      </c>
      <c r="E102" s="94">
        <v>1</v>
      </c>
      <c r="F102" s="94">
        <f t="shared" si="100"/>
        <v>1200</v>
      </c>
      <c r="G102" s="94">
        <f t="shared" si="101"/>
        <v>1200</v>
      </c>
      <c r="H102" s="93"/>
      <c r="I102" s="111">
        <v>1200</v>
      </c>
      <c r="J102" s="112">
        <f t="shared" si="102"/>
        <v>1200</v>
      </c>
      <c r="K102" s="113">
        <f t="shared" si="103"/>
        <v>0</v>
      </c>
      <c r="L102" s="112">
        <f t="shared" si="104"/>
        <v>0</v>
      </c>
      <c r="M102" s="114">
        <f t="shared" si="105"/>
        <v>0</v>
      </c>
      <c r="N102" s="114">
        <f t="shared" si="106"/>
        <v>0</v>
      </c>
      <c r="O102" s="114">
        <f t="shared" si="107"/>
        <v>1200</v>
      </c>
      <c r="P102" s="90">
        <f t="shared" si="108"/>
        <v>1200</v>
      </c>
      <c r="Q102" s="82">
        <v>1200</v>
      </c>
      <c r="R102" s="83"/>
      <c r="S102" s="82"/>
      <c r="T102" s="82"/>
      <c r="U102" s="82"/>
      <c r="V102" s="90">
        <f t="shared" si="109"/>
        <v>1200</v>
      </c>
      <c r="W102" s="82"/>
      <c r="X102" s="82"/>
      <c r="Y102" s="82"/>
      <c r="Z102" s="82"/>
      <c r="AA102" s="82"/>
      <c r="AB102" s="82"/>
      <c r="AC102" s="82"/>
      <c r="AD102" s="82"/>
      <c r="AE102" s="75"/>
    </row>
    <row r="103" s="73" customFormat="1" ht="30" customHeight="1" outlineLevel="1" spans="1:31">
      <c r="A103" s="92">
        <v>6</v>
      </c>
      <c r="B103" s="93" t="s">
        <v>203</v>
      </c>
      <c r="C103" s="110"/>
      <c r="D103" s="93" t="s">
        <v>62</v>
      </c>
      <c r="E103" s="94">
        <v>156.78</v>
      </c>
      <c r="F103" s="94">
        <f t="shared" si="100"/>
        <v>20</v>
      </c>
      <c r="G103" s="94">
        <f t="shared" si="101"/>
        <v>3135.6</v>
      </c>
      <c r="H103" s="93"/>
      <c r="I103" s="111">
        <v>20</v>
      </c>
      <c r="J103" s="112">
        <f t="shared" si="102"/>
        <v>20</v>
      </c>
      <c r="K103" s="113">
        <f t="shared" si="103"/>
        <v>0</v>
      </c>
      <c r="L103" s="112">
        <f t="shared" si="104"/>
        <v>0</v>
      </c>
      <c r="M103" s="114">
        <f t="shared" si="105"/>
        <v>0</v>
      </c>
      <c r="N103" s="114">
        <f t="shared" si="106"/>
        <v>0</v>
      </c>
      <c r="O103" s="114">
        <f t="shared" si="107"/>
        <v>3135.6</v>
      </c>
      <c r="P103" s="90">
        <f t="shared" si="108"/>
        <v>20</v>
      </c>
      <c r="Q103" s="82">
        <v>20</v>
      </c>
      <c r="R103" s="83"/>
      <c r="S103" s="82"/>
      <c r="T103" s="82"/>
      <c r="U103" s="82"/>
      <c r="V103" s="90">
        <f t="shared" si="109"/>
        <v>3135.6</v>
      </c>
      <c r="W103" s="82"/>
      <c r="X103" s="82"/>
      <c r="Y103" s="82"/>
      <c r="Z103" s="82"/>
      <c r="AA103" s="82"/>
      <c r="AB103" s="82"/>
      <c r="AC103" s="82"/>
      <c r="AD103" s="82"/>
      <c r="AE103" s="75"/>
    </row>
    <row r="104" s="73" customFormat="1" ht="30" customHeight="1" outlineLevel="1" spans="1:31">
      <c r="A104" s="92">
        <v>7</v>
      </c>
      <c r="B104" s="93" t="s">
        <v>204</v>
      </c>
      <c r="C104" s="110" t="s">
        <v>205</v>
      </c>
      <c r="D104" s="93" t="s">
        <v>138</v>
      </c>
      <c r="E104" s="94">
        <v>1</v>
      </c>
      <c r="F104" s="94">
        <f t="shared" si="100"/>
        <v>4500</v>
      </c>
      <c r="G104" s="94">
        <f t="shared" si="101"/>
        <v>4500</v>
      </c>
      <c r="H104" s="93"/>
      <c r="I104" s="111">
        <v>4500</v>
      </c>
      <c r="J104" s="112">
        <f t="shared" si="102"/>
        <v>4500</v>
      </c>
      <c r="K104" s="113">
        <f t="shared" si="103"/>
        <v>0</v>
      </c>
      <c r="L104" s="112">
        <f t="shared" si="104"/>
        <v>0</v>
      </c>
      <c r="M104" s="114">
        <f t="shared" si="105"/>
        <v>0</v>
      </c>
      <c r="N104" s="114">
        <f t="shared" si="106"/>
        <v>0</v>
      </c>
      <c r="O104" s="114">
        <f t="shared" si="107"/>
        <v>4500</v>
      </c>
      <c r="P104" s="90">
        <f t="shared" si="108"/>
        <v>4500</v>
      </c>
      <c r="Q104" s="82">
        <v>4500</v>
      </c>
      <c r="R104" s="83"/>
      <c r="S104" s="82"/>
      <c r="T104" s="82"/>
      <c r="U104" s="82"/>
      <c r="V104" s="90">
        <f t="shared" si="109"/>
        <v>4500</v>
      </c>
      <c r="W104" s="82"/>
      <c r="X104" s="82"/>
      <c r="Y104" s="82"/>
      <c r="Z104" s="82"/>
      <c r="AA104" s="82"/>
      <c r="AB104" s="82"/>
      <c r="AC104" s="82"/>
      <c r="AD104" s="82"/>
      <c r="AE104" s="75"/>
    </row>
    <row r="105" ht="30" customHeight="1" spans="1:31">
      <c r="A105" s="106" t="s">
        <v>30</v>
      </c>
      <c r="B105" s="108" t="s">
        <v>206</v>
      </c>
      <c r="C105" s="107"/>
      <c r="D105" s="108" t="s">
        <v>138</v>
      </c>
      <c r="E105" s="109">
        <v>1</v>
      </c>
      <c r="F105" s="109"/>
      <c r="G105" s="124">
        <f>G3+G78+G97</f>
        <v>389408.31411</v>
      </c>
      <c r="H105" s="93"/>
      <c r="I105" s="79">
        <f>SUBTOTAL(9,G3:G104)</f>
        <v>389408.31411</v>
      </c>
      <c r="O105" s="80">
        <f>SUBTOTAL(9,O3:O104)</f>
        <v>412871.53561</v>
      </c>
      <c r="V105" s="80">
        <f>SUBTOTAL(9,V3:V104)</f>
        <v>412871.53561</v>
      </c>
    </row>
    <row r="106" ht="30" customHeight="1" spans="1:31">
      <c r="A106" s="106" t="s">
        <v>32</v>
      </c>
      <c r="B106" s="108" t="s">
        <v>33</v>
      </c>
      <c r="C106" s="125">
        <v>0.05</v>
      </c>
      <c r="D106" s="108" t="s">
        <v>138</v>
      </c>
      <c r="E106" s="109">
        <v>1</v>
      </c>
      <c r="F106" s="109"/>
      <c r="G106" s="124">
        <f>G105*C106</f>
        <v>19470.4157055</v>
      </c>
      <c r="H106" s="93"/>
    </row>
    <row r="107" ht="30" customHeight="1" spans="1:31">
      <c r="A107" s="106" t="s">
        <v>34</v>
      </c>
      <c r="B107" s="108" t="s">
        <v>35</v>
      </c>
      <c r="C107" s="125">
        <v>0.09</v>
      </c>
      <c r="D107" s="108" t="s">
        <v>138</v>
      </c>
      <c r="E107" s="109">
        <v>1</v>
      </c>
      <c r="F107" s="109"/>
      <c r="G107" s="124">
        <f>(G105+G106)*C107</f>
        <v>36799.085683395</v>
      </c>
      <c r="H107" s="93"/>
    </row>
    <row r="108" ht="30" customHeight="1" spans="1:31">
      <c r="A108" s="106" t="s">
        <v>36</v>
      </c>
      <c r="B108" s="108" t="s">
        <v>21</v>
      </c>
      <c r="C108" s="125"/>
      <c r="D108" s="108" t="s">
        <v>138</v>
      </c>
      <c r="E108" s="109">
        <v>1</v>
      </c>
      <c r="F108" s="109"/>
      <c r="G108" s="124">
        <f>G107+G106+G105</f>
        <v>445677.815498895</v>
      </c>
      <c r="H108" s="93"/>
    </row>
    <row r="112" spans="1:31">
      <c r="E112" s="126"/>
      <c r="F112" s="126"/>
    </row>
  </sheetData>
  <sheetProtection selectLockedCells="1"/>
  <autoFilter xmlns:etc="http://www.wps.cn/officeDocument/2017/etCustomData" ref="A1:U108" etc:filterBottomFollowUsedRange="0">
    <extLst/>
  </autoFilter>
  <mergeCells count="1">
    <mergeCell ref="A1:H1"/>
  </mergeCells>
  <printOptions horizontalCentered="1"/>
  <pageMargins left="0.590277777777778" right="0.590277777777778" top="0.590277777777778" bottom="0.590277777777778" header="0.196527777777778" footer="0.196527777777778"/>
  <pageSetup paperSize="9" scale="78" orientation="portrait" horizontalDpi="600"/>
  <headerFooter>
    <oddFooter>&amp;C第 &amp;P 页，共 &amp;N 页</oddFooter>
  </headerFooter>
  <ignoredErrors>
    <ignoredError sqref="F42 Q50:Q51 Q39:Q40 F95:F96 F80:F83 F87 F75 F51 F49 F44:F46 F37:F40 F89:F93" unlocked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view="pageBreakPreview" zoomScaleNormal="100" workbookViewId="0">
      <pane xSplit="2" ySplit="2" topLeftCell="C3" activePane="bottomRight" state="frozen"/>
      <selection/>
      <selection pane="topRight"/>
      <selection pane="bottomLeft"/>
      <selection pane="bottomRight" activeCell="K17" sqref="K17"/>
    </sheetView>
  </sheetViews>
  <sheetFormatPr defaultColWidth="9" defaultRowHeight="12" outlineLevelRow="7" outlineLevelCol="5"/>
  <cols>
    <col min="1" max="1" width="10" style="8" customWidth="1"/>
    <col min="2" max="2" width="22" style="59" customWidth="1"/>
    <col min="3" max="3" width="17.5583333333333" style="60" customWidth="1"/>
    <col min="4" max="5" width="13.775" style="60" customWidth="1"/>
    <col min="6" max="6" width="13.4416666666667" style="60" customWidth="1"/>
    <col min="7" max="7" width="14.1083333333333" style="60" customWidth="1"/>
    <col min="8" max="11" width="9" style="60"/>
    <col min="12" max="15" width="9" style="61"/>
    <col min="16" max="16384" width="9" style="62"/>
  </cols>
  <sheetData>
    <row r="1" ht="63" customHeight="1" spans="1:6">
      <c r="A1" s="63"/>
      <c r="B1" s="64" t="s">
        <v>207</v>
      </c>
      <c r="C1" s="65"/>
      <c r="D1" s="65"/>
      <c r="E1" s="65"/>
      <c r="F1" s="66"/>
    </row>
    <row r="2" ht="27" customHeight="1" spans="1:6">
      <c r="A2" s="67" t="s">
        <v>1</v>
      </c>
      <c r="B2" s="68" t="s">
        <v>2</v>
      </c>
      <c r="C2" s="69" t="s">
        <v>3</v>
      </c>
      <c r="D2" s="70" t="s">
        <v>4</v>
      </c>
      <c r="E2" s="70" t="s">
        <v>5</v>
      </c>
      <c r="F2" s="71" t="s">
        <v>6</v>
      </c>
    </row>
    <row r="3" ht="30" customHeight="1" spans="1:6">
      <c r="A3" s="67" t="s">
        <v>7</v>
      </c>
      <c r="B3" s="68" t="str">
        <f>空调消防清单!B3</f>
        <v>空调工程</v>
      </c>
      <c r="C3" s="69">
        <f>空调消防清单!G3</f>
        <v>31500</v>
      </c>
      <c r="D3" s="70"/>
      <c r="E3" s="70"/>
      <c r="F3" s="71"/>
    </row>
    <row r="4" ht="30" customHeight="1" spans="1:6">
      <c r="A4" s="67" t="s">
        <v>24</v>
      </c>
      <c r="B4" s="68" t="str">
        <f>空调消防清单!B5</f>
        <v>消防改造</v>
      </c>
      <c r="C4" s="69">
        <f>空调消防清单!G5</f>
        <v>31820.235</v>
      </c>
      <c r="D4" s="70"/>
      <c r="E4" s="70"/>
      <c r="F4" s="71"/>
    </row>
    <row r="5" ht="30" customHeight="1" spans="1:6">
      <c r="A5" s="67" t="s">
        <v>28</v>
      </c>
      <c r="B5" s="68" t="s">
        <v>208</v>
      </c>
      <c r="C5" s="69">
        <f>C3+C4</f>
        <v>63320.235</v>
      </c>
      <c r="D5" s="70"/>
      <c r="E5" s="70"/>
      <c r="F5" s="71"/>
    </row>
    <row r="6" ht="30" customHeight="1" spans="1:6">
      <c r="A6" s="67" t="s">
        <v>30</v>
      </c>
      <c r="B6" s="68" t="s">
        <v>33</v>
      </c>
      <c r="C6" s="69">
        <f>空调消防清单!G37</f>
        <v>3166.01175</v>
      </c>
      <c r="D6" s="70"/>
      <c r="E6" s="70"/>
      <c r="F6" s="71"/>
    </row>
    <row r="7" ht="30" customHeight="1" spans="1:6">
      <c r="A7" s="67" t="s">
        <v>32</v>
      </c>
      <c r="B7" s="68" t="s">
        <v>35</v>
      </c>
      <c r="C7" s="69">
        <f>空调消防清单!G38</f>
        <v>5983.7622075</v>
      </c>
      <c r="D7" s="70"/>
      <c r="E7" s="70"/>
      <c r="F7" s="71"/>
    </row>
    <row r="8" ht="30" customHeight="1" spans="1:6">
      <c r="A8" s="67" t="s">
        <v>34</v>
      </c>
      <c r="B8" s="68" t="s">
        <v>209</v>
      </c>
      <c r="C8" s="69">
        <f>C5+C6+C7</f>
        <v>72470.0089575</v>
      </c>
      <c r="D8" s="70">
        <v>156.78</v>
      </c>
      <c r="E8" s="70">
        <f>C8/D8</f>
        <v>462.240138777268</v>
      </c>
      <c r="F8" s="71"/>
    </row>
  </sheetData>
  <mergeCells count="1">
    <mergeCell ref="B1:F1"/>
  </mergeCells>
  <printOptions horizontalCentered="1"/>
  <pageMargins left="0.590277777777778" right="0.590277777777778" top="0.590277777777778" bottom="0.590277777777778" header="0.196527777777778" footer="0.196527777777778"/>
  <pageSetup paperSize="9" orientation="portrait" horizontalDpi="600"/>
  <headerFooter>
    <oddFooter>&amp;C第 &amp;P 页，共 &amp;N 页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E43"/>
  <sheetViews>
    <sheetView view="pageBreakPreview" zoomScaleNormal="100" workbookViewId="0">
      <pane xSplit="4" ySplit="2" topLeftCell="E3" activePane="bottomRight" state="frozen"/>
      <selection/>
      <selection pane="topRight"/>
      <selection pane="bottomLeft"/>
      <selection pane="bottomRight" activeCell="T10" sqref="T10"/>
    </sheetView>
  </sheetViews>
  <sheetFormatPr defaultColWidth="8.99166666666667" defaultRowHeight="12"/>
  <cols>
    <col min="1" max="1" width="7.35" style="10" customWidth="1"/>
    <col min="2" max="2" width="17.5666666666667" style="11" customWidth="1"/>
    <col min="3" max="3" width="27.6583333333333" style="12" customWidth="1"/>
    <col min="4" max="4" width="5.48333333333333" style="11" customWidth="1"/>
    <col min="5" max="5" width="12.225" style="13" customWidth="1"/>
    <col min="6" max="6" width="12.8916666666667" style="13" customWidth="1"/>
    <col min="7" max="7" width="13.1833333333333" style="13" customWidth="1"/>
    <col min="8" max="8" width="16.225" style="11" customWidth="1"/>
    <col min="9" max="9" width="12.8916666666667" style="14"/>
    <col min="10" max="10" width="12.7416666666667" style="14" hidden="1" customWidth="1"/>
    <col min="11" max="11" width="8.99166666666667" style="15" hidden="1" customWidth="1"/>
    <col min="12" max="14" width="8.99166666666667" style="14" hidden="1" customWidth="1"/>
    <col min="15" max="16" width="9.66666666666667" style="14" customWidth="1"/>
    <col min="17" max="17" width="10.775" style="16"/>
    <col min="18" max="18" width="11.6083333333333" style="17"/>
    <col min="19" max="21" width="8.99166666666667" style="16"/>
    <col min="22" max="22" width="11.625" style="16" customWidth="1"/>
    <col min="23" max="25" width="8.99166666666667" style="16"/>
    <col min="26" max="31" width="8.99166666666667" style="10"/>
    <col min="32" max="16384" width="8.99166666666667" style="7"/>
  </cols>
  <sheetData>
    <row r="1" s="7" customFormat="1" ht="67" customHeight="1" spans="1:31">
      <c r="A1" s="18" t="s">
        <v>210</v>
      </c>
      <c r="B1" s="18"/>
      <c r="C1" s="19"/>
      <c r="D1" s="18"/>
      <c r="E1" s="18"/>
      <c r="F1" s="18"/>
      <c r="G1" s="18"/>
      <c r="H1" s="18"/>
      <c r="I1" s="20">
        <f>G39</f>
        <v>72470.0089575</v>
      </c>
      <c r="J1" s="20"/>
      <c r="K1" s="21"/>
      <c r="L1" s="20"/>
      <c r="M1" s="20"/>
      <c r="N1" s="20"/>
      <c r="O1" s="20"/>
      <c r="P1" s="20"/>
      <c r="Q1" s="22">
        <f>不含空调消防清单!Q1</f>
        <v>1</v>
      </c>
      <c r="R1" s="23"/>
      <c r="S1" s="20">
        <f>不含空调消防清单!S1</f>
        <v>1</v>
      </c>
      <c r="T1" s="20">
        <f>不含空调消防清单!T1</f>
        <v>1</v>
      </c>
      <c r="U1" s="20">
        <f>不含空调消防清单!U1</f>
        <v>1</v>
      </c>
      <c r="V1" s="16"/>
      <c r="W1" s="16"/>
      <c r="X1" s="16"/>
      <c r="Y1" s="16"/>
      <c r="Z1" s="10"/>
      <c r="AA1" s="10"/>
      <c r="AB1" s="10"/>
      <c r="AC1" s="10"/>
      <c r="AD1" s="10"/>
      <c r="AE1" s="10"/>
    </row>
    <row r="2" s="7" customFormat="1" ht="24" spans="1:31">
      <c r="A2" s="24" t="s">
        <v>1</v>
      </c>
      <c r="B2" s="25" t="s">
        <v>47</v>
      </c>
      <c r="C2" s="25" t="s">
        <v>48</v>
      </c>
      <c r="D2" s="25" t="s">
        <v>49</v>
      </c>
      <c r="E2" s="26" t="s">
        <v>50</v>
      </c>
      <c r="F2" s="26" t="s">
        <v>51</v>
      </c>
      <c r="G2" s="26" t="s">
        <v>52</v>
      </c>
      <c r="H2" s="25" t="s">
        <v>6</v>
      </c>
      <c r="I2" s="27" t="s">
        <v>51</v>
      </c>
      <c r="J2" s="27" t="s">
        <v>53</v>
      </c>
      <c r="K2" s="28" t="s">
        <v>54</v>
      </c>
      <c r="L2" s="27" t="s">
        <v>55</v>
      </c>
      <c r="M2" s="27" t="s">
        <v>56</v>
      </c>
      <c r="N2" s="27" t="s">
        <v>57</v>
      </c>
      <c r="O2" s="27" t="s">
        <v>21</v>
      </c>
      <c r="P2" s="27" t="s">
        <v>58</v>
      </c>
      <c r="Q2" s="29" t="s">
        <v>53</v>
      </c>
      <c r="R2" s="30" t="s">
        <v>54</v>
      </c>
      <c r="S2" s="29" t="s">
        <v>55</v>
      </c>
      <c r="T2" s="29" t="s">
        <v>56</v>
      </c>
      <c r="U2" s="29" t="s">
        <v>57</v>
      </c>
      <c r="V2" s="27" t="s">
        <v>59</v>
      </c>
      <c r="W2" s="16"/>
      <c r="X2" s="16"/>
      <c r="Y2" s="16"/>
      <c r="Z2" s="10"/>
      <c r="AA2" s="10"/>
      <c r="AB2" s="10"/>
      <c r="AC2" s="10"/>
      <c r="AD2" s="10"/>
      <c r="AE2" s="10"/>
    </row>
    <row r="3" s="8" customFormat="1" ht="19" customHeight="1" spans="1:31">
      <c r="A3" s="31" t="s">
        <v>7</v>
      </c>
      <c r="B3" s="32" t="s">
        <v>211</v>
      </c>
      <c r="C3" s="33"/>
      <c r="D3" s="34"/>
      <c r="E3" s="35"/>
      <c r="F3" s="35"/>
      <c r="G3" s="35">
        <f>SUBTOTAL(9,G4:G4)</f>
        <v>31500</v>
      </c>
      <c r="H3" s="35"/>
      <c r="I3" s="20"/>
      <c r="J3" s="20"/>
      <c r="K3" s="21"/>
      <c r="L3" s="20"/>
      <c r="M3" s="20"/>
      <c r="N3" s="20"/>
      <c r="O3" s="20"/>
      <c r="P3" s="20"/>
      <c r="Q3" s="22"/>
      <c r="R3" s="23"/>
      <c r="S3" s="22"/>
      <c r="T3" s="22"/>
      <c r="U3" s="22"/>
      <c r="V3" s="22"/>
      <c r="W3" s="22"/>
      <c r="X3" s="22"/>
      <c r="Y3" s="22"/>
      <c r="Z3" s="36"/>
      <c r="AA3" s="36"/>
      <c r="AB3" s="36"/>
      <c r="AC3" s="36"/>
      <c r="AD3" s="36"/>
      <c r="AE3" s="36"/>
    </row>
    <row r="4" s="9" customFormat="1" ht="34" customHeight="1" outlineLevel="1" spans="1:31">
      <c r="A4" s="37">
        <v>1</v>
      </c>
      <c r="B4" s="38" t="s">
        <v>212</v>
      </c>
      <c r="C4" s="39" t="s">
        <v>213</v>
      </c>
      <c r="D4" s="38" t="s">
        <v>114</v>
      </c>
      <c r="E4" s="40">
        <v>5</v>
      </c>
      <c r="F4" s="40">
        <f>I4</f>
        <v>6300</v>
      </c>
      <c r="G4" s="40">
        <f>F4*E4</f>
        <v>31500</v>
      </c>
      <c r="H4" s="38"/>
      <c r="I4" s="41">
        <f>J4+J4*K4+L4+M4+N4</f>
        <v>6300</v>
      </c>
      <c r="J4" s="41">
        <f>Q4*$Q$1</f>
        <v>6300</v>
      </c>
      <c r="K4" s="42">
        <f>R4</f>
        <v>0</v>
      </c>
      <c r="L4" s="41">
        <f>S4*$S$1</f>
        <v>0</v>
      </c>
      <c r="M4" s="43">
        <f>T4*$T$1</f>
        <v>0</v>
      </c>
      <c r="N4" s="43">
        <f>U4*$U$1</f>
        <v>0</v>
      </c>
      <c r="O4" s="43">
        <f>E4*I4</f>
        <v>31500</v>
      </c>
      <c r="P4" s="44">
        <f>Q4+Q4*R4+S4+T4+U4</f>
        <v>6300</v>
      </c>
      <c r="Q4" s="44">
        <v>6300</v>
      </c>
      <c r="R4" s="45"/>
      <c r="S4" s="44"/>
      <c r="T4" s="44"/>
      <c r="U4" s="44"/>
      <c r="V4" s="44">
        <f>E4*P4</f>
        <v>31500</v>
      </c>
      <c r="W4" s="44"/>
      <c r="X4" s="44"/>
      <c r="Y4" s="44"/>
      <c r="Z4" s="46"/>
      <c r="AA4" s="46"/>
      <c r="AB4" s="46"/>
      <c r="AC4" s="46"/>
      <c r="AD4" s="46"/>
      <c r="AE4" s="46"/>
    </row>
    <row r="5" s="8" customFormat="1" ht="19" customHeight="1" spans="1:31">
      <c r="A5" s="31" t="s">
        <v>24</v>
      </c>
      <c r="B5" s="32" t="s">
        <v>214</v>
      </c>
      <c r="C5" s="33"/>
      <c r="D5" s="34"/>
      <c r="E5" s="35"/>
      <c r="F5" s="35"/>
      <c r="G5" s="35">
        <f>SUBTOTAL(9,G7:G35)</f>
        <v>31820.235</v>
      </c>
      <c r="H5" s="35"/>
      <c r="I5" s="20"/>
      <c r="J5" s="20"/>
      <c r="K5" s="21"/>
      <c r="L5" s="20"/>
      <c r="M5" s="20"/>
      <c r="N5" s="20"/>
      <c r="O5" s="20"/>
      <c r="P5" s="20"/>
      <c r="Q5" s="22"/>
      <c r="R5" s="23"/>
      <c r="S5" s="22"/>
      <c r="T5" s="22"/>
      <c r="U5" s="22"/>
      <c r="V5" s="22"/>
      <c r="W5" s="22"/>
      <c r="X5" s="22"/>
      <c r="Y5" s="22"/>
      <c r="Z5" s="36"/>
      <c r="AA5" s="36"/>
      <c r="AB5" s="36"/>
      <c r="AC5" s="36"/>
      <c r="AD5" s="36"/>
      <c r="AE5" s="36"/>
    </row>
    <row r="6" s="7" customFormat="1" ht="25" customHeight="1" spans="1:31">
      <c r="A6" s="47" t="s">
        <v>10</v>
      </c>
      <c r="B6" s="48" t="s">
        <v>215</v>
      </c>
      <c r="C6" s="48"/>
      <c r="D6" s="49"/>
      <c r="E6" s="50"/>
      <c r="F6" s="50"/>
      <c r="G6" s="50"/>
      <c r="H6" s="49"/>
      <c r="I6" s="14"/>
      <c r="J6" s="14"/>
      <c r="K6" s="15"/>
      <c r="L6" s="14"/>
      <c r="M6" s="14"/>
      <c r="N6" s="14"/>
      <c r="O6" s="14"/>
      <c r="P6" s="14"/>
      <c r="Q6" s="16"/>
      <c r="R6" s="17"/>
      <c r="S6" s="16"/>
      <c r="T6" s="16"/>
      <c r="U6" s="16"/>
      <c r="V6" s="16"/>
      <c r="W6" s="16"/>
      <c r="X6" s="16"/>
      <c r="Y6" s="16"/>
      <c r="Z6" s="10"/>
      <c r="AA6" s="10"/>
      <c r="AB6" s="10"/>
      <c r="AC6" s="10"/>
      <c r="AD6" s="10"/>
      <c r="AE6" s="10"/>
    </row>
    <row r="7" customFormat="1" ht="34" customHeight="1" outlineLevel="1" spans="1:31">
      <c r="A7" s="24">
        <v>1</v>
      </c>
      <c r="B7" s="25" t="s">
        <v>216</v>
      </c>
      <c r="C7" s="51" t="s">
        <v>217</v>
      </c>
      <c r="D7" s="25" t="s">
        <v>125</v>
      </c>
      <c r="E7" s="26">
        <v>3</v>
      </c>
      <c r="F7" s="26">
        <f>I7</f>
        <v>191.4</v>
      </c>
      <c r="G7" s="26">
        <f>F7*E7</f>
        <v>574.2</v>
      </c>
      <c r="H7" s="25"/>
      <c r="I7" s="41">
        <v>191.4</v>
      </c>
      <c r="J7" s="41">
        <f t="shared" ref="J7:J14" si="0">Q7*$Q$1</f>
        <v>0</v>
      </c>
      <c r="K7" s="42">
        <f t="shared" ref="K7:K13" si="1">R7</f>
        <v>0</v>
      </c>
      <c r="L7" s="41">
        <f t="shared" ref="L7:L14" si="2">S7*$S$1</f>
        <v>0</v>
      </c>
      <c r="M7" s="43">
        <f t="shared" ref="M7:M14" si="3">T7*$T$1</f>
        <v>0</v>
      </c>
      <c r="N7" s="43">
        <f t="shared" ref="N7:N14" si="4">U7*$U$1</f>
        <v>0</v>
      </c>
      <c r="O7" s="43">
        <f t="shared" ref="O7:O13" si="5">E7*I7</f>
        <v>574.2</v>
      </c>
      <c r="P7" s="44">
        <f t="shared" ref="P7:P14" si="6">Q7+Q7*R7+S7+T7+U7</f>
        <v>0</v>
      </c>
      <c r="Q7" s="16"/>
      <c r="R7" s="17"/>
      <c r="S7" s="16"/>
      <c r="T7" s="16"/>
      <c r="U7" s="16"/>
      <c r="V7" s="44">
        <f t="shared" ref="V7:V14" si="7">E7*P7</f>
        <v>0</v>
      </c>
      <c r="W7" s="16"/>
      <c r="X7" s="16"/>
      <c r="Y7" s="16"/>
      <c r="Z7" s="10"/>
      <c r="AA7" s="10"/>
      <c r="AB7" s="10"/>
      <c r="AC7" s="10"/>
      <c r="AD7" s="10"/>
      <c r="AE7" s="10"/>
    </row>
    <row r="8" customFormat="1" ht="34" customHeight="1" outlineLevel="1" spans="1:31">
      <c r="A8" s="24">
        <v>2</v>
      </c>
      <c r="B8" s="25" t="s">
        <v>218</v>
      </c>
      <c r="C8" s="52" t="s">
        <v>219</v>
      </c>
      <c r="D8" s="25" t="s">
        <v>125</v>
      </c>
      <c r="E8" s="26">
        <v>3</v>
      </c>
      <c r="F8" s="26">
        <f t="shared" ref="F8:F15" si="8">I8</f>
        <v>261</v>
      </c>
      <c r="G8" s="26">
        <f t="shared" ref="G8:G25" si="9">F8*E8</f>
        <v>783</v>
      </c>
      <c r="H8" s="25"/>
      <c r="I8" s="41">
        <v>261</v>
      </c>
      <c r="J8" s="41">
        <f t="shared" si="0"/>
        <v>0</v>
      </c>
      <c r="K8" s="42">
        <f t="shared" si="1"/>
        <v>0</v>
      </c>
      <c r="L8" s="41">
        <f t="shared" si="2"/>
        <v>0</v>
      </c>
      <c r="M8" s="43">
        <f t="shared" si="3"/>
        <v>0</v>
      </c>
      <c r="N8" s="43">
        <f t="shared" si="4"/>
        <v>0</v>
      </c>
      <c r="O8" s="43">
        <f t="shared" si="5"/>
        <v>783</v>
      </c>
      <c r="P8" s="44">
        <f t="shared" si="6"/>
        <v>0</v>
      </c>
      <c r="Q8" s="16"/>
      <c r="R8" s="17"/>
      <c r="S8" s="16"/>
      <c r="T8" s="16"/>
      <c r="U8" s="16"/>
      <c r="V8" s="44">
        <f t="shared" si="7"/>
        <v>0</v>
      </c>
      <c r="W8" s="16"/>
      <c r="X8" s="16"/>
      <c r="Y8" s="16"/>
      <c r="Z8" s="10"/>
      <c r="AA8" s="10"/>
      <c r="AB8" s="10"/>
      <c r="AC8" s="10"/>
      <c r="AD8" s="10"/>
      <c r="AE8" s="10"/>
    </row>
    <row r="9" customFormat="1" ht="34" customHeight="1" outlineLevel="1" spans="1:31">
      <c r="A9" s="24">
        <v>3</v>
      </c>
      <c r="B9" s="25" t="s">
        <v>220</v>
      </c>
      <c r="C9" s="51" t="s">
        <v>221</v>
      </c>
      <c r="D9" s="25" t="s">
        <v>125</v>
      </c>
      <c r="E9" s="26">
        <v>1</v>
      </c>
      <c r="F9" s="26">
        <f t="shared" si="8"/>
        <v>191.4</v>
      </c>
      <c r="G9" s="26">
        <f t="shared" si="9"/>
        <v>191.4</v>
      </c>
      <c r="H9" s="25"/>
      <c r="I9" s="41">
        <v>191.4</v>
      </c>
      <c r="J9" s="41">
        <f t="shared" si="0"/>
        <v>0</v>
      </c>
      <c r="K9" s="42">
        <f t="shared" si="1"/>
        <v>0</v>
      </c>
      <c r="L9" s="41">
        <f t="shared" si="2"/>
        <v>0</v>
      </c>
      <c r="M9" s="43">
        <f t="shared" si="3"/>
        <v>0</v>
      </c>
      <c r="N9" s="43">
        <f t="shared" si="4"/>
        <v>0</v>
      </c>
      <c r="O9" s="43">
        <f t="shared" si="5"/>
        <v>191.4</v>
      </c>
      <c r="P9" s="44">
        <f t="shared" si="6"/>
        <v>0</v>
      </c>
      <c r="Q9" s="16"/>
      <c r="R9" s="17"/>
      <c r="S9" s="16"/>
      <c r="T9" s="16"/>
      <c r="U9" s="16"/>
      <c r="V9" s="44">
        <f t="shared" si="7"/>
        <v>0</v>
      </c>
      <c r="W9" s="16"/>
      <c r="X9" s="16"/>
      <c r="Y9" s="16"/>
      <c r="Z9" s="10"/>
      <c r="AA9" s="10"/>
      <c r="AB9" s="10"/>
      <c r="AC9" s="10"/>
      <c r="AD9" s="10"/>
      <c r="AE9" s="10"/>
    </row>
    <row r="10" customFormat="1" ht="34" customHeight="1" outlineLevel="1" spans="1:31">
      <c r="A10" s="24">
        <v>4</v>
      </c>
      <c r="B10" s="25" t="s">
        <v>222</v>
      </c>
      <c r="C10" s="52" t="s">
        <v>223</v>
      </c>
      <c r="D10" s="25" t="s">
        <v>224</v>
      </c>
      <c r="E10" s="26">
        <v>25</v>
      </c>
      <c r="F10" s="26">
        <f t="shared" si="8"/>
        <v>24.36</v>
      </c>
      <c r="G10" s="26">
        <f t="shared" si="9"/>
        <v>609</v>
      </c>
      <c r="H10" s="25"/>
      <c r="I10" s="41">
        <v>24.36</v>
      </c>
      <c r="J10" s="41">
        <f t="shared" si="0"/>
        <v>0</v>
      </c>
      <c r="K10" s="42">
        <f t="shared" si="1"/>
        <v>0</v>
      </c>
      <c r="L10" s="41">
        <f t="shared" si="2"/>
        <v>0</v>
      </c>
      <c r="M10" s="43">
        <f t="shared" si="3"/>
        <v>0</v>
      </c>
      <c r="N10" s="43">
        <f t="shared" si="4"/>
        <v>0</v>
      </c>
      <c r="O10" s="43">
        <f t="shared" si="5"/>
        <v>609</v>
      </c>
      <c r="P10" s="44">
        <f t="shared" si="6"/>
        <v>0</v>
      </c>
      <c r="Q10" s="16"/>
      <c r="R10" s="17"/>
      <c r="S10" s="16"/>
      <c r="T10" s="16"/>
      <c r="U10" s="16"/>
      <c r="V10" s="44">
        <f t="shared" si="7"/>
        <v>0</v>
      </c>
      <c r="W10" s="16"/>
      <c r="X10" s="16"/>
      <c r="Y10" s="16"/>
      <c r="Z10" s="10"/>
      <c r="AA10" s="10"/>
      <c r="AB10" s="10"/>
      <c r="AC10" s="10"/>
      <c r="AD10" s="10"/>
      <c r="AE10" s="10"/>
    </row>
    <row r="11" customFormat="1" ht="34" customHeight="1" outlineLevel="1" spans="1:31">
      <c r="A11" s="24">
        <v>5</v>
      </c>
      <c r="B11" s="25" t="s">
        <v>225</v>
      </c>
      <c r="C11" s="52" t="s">
        <v>226</v>
      </c>
      <c r="D11" s="25" t="s">
        <v>224</v>
      </c>
      <c r="E11" s="26">
        <v>3</v>
      </c>
      <c r="F11" s="26">
        <f t="shared" si="8"/>
        <v>10.44</v>
      </c>
      <c r="G11" s="26">
        <f t="shared" si="9"/>
        <v>31.32</v>
      </c>
      <c r="H11" s="25"/>
      <c r="I11" s="41">
        <v>10.44</v>
      </c>
      <c r="J11" s="41">
        <f t="shared" si="0"/>
        <v>0</v>
      </c>
      <c r="K11" s="42">
        <f t="shared" si="1"/>
        <v>0</v>
      </c>
      <c r="L11" s="41">
        <f t="shared" si="2"/>
        <v>0</v>
      </c>
      <c r="M11" s="43">
        <f t="shared" si="3"/>
        <v>0</v>
      </c>
      <c r="N11" s="43">
        <f t="shared" si="4"/>
        <v>0</v>
      </c>
      <c r="O11" s="43">
        <f t="shared" si="5"/>
        <v>31.32</v>
      </c>
      <c r="P11" s="44">
        <f t="shared" si="6"/>
        <v>0</v>
      </c>
      <c r="Q11" s="16"/>
      <c r="R11" s="17"/>
      <c r="S11" s="16"/>
      <c r="T11" s="16"/>
      <c r="U11" s="16"/>
      <c r="V11" s="44">
        <f t="shared" si="7"/>
        <v>0</v>
      </c>
      <c r="W11" s="16"/>
      <c r="X11" s="16"/>
      <c r="Y11" s="16"/>
      <c r="Z11" s="10"/>
      <c r="AA11" s="10"/>
      <c r="AB11" s="10"/>
      <c r="AC11" s="10"/>
      <c r="AD11" s="10"/>
      <c r="AE11" s="10"/>
    </row>
    <row r="12" customFormat="1" ht="44" customHeight="1" outlineLevel="1" spans="1:31">
      <c r="A12" s="24">
        <v>6</v>
      </c>
      <c r="B12" s="53" t="s">
        <v>227</v>
      </c>
      <c r="C12" s="52" t="s">
        <v>228</v>
      </c>
      <c r="D12" s="25" t="s">
        <v>224</v>
      </c>
      <c r="E12" s="26">
        <v>45</v>
      </c>
      <c r="F12" s="26">
        <f t="shared" si="8"/>
        <v>6.96</v>
      </c>
      <c r="G12" s="26">
        <f t="shared" si="9"/>
        <v>313.2</v>
      </c>
      <c r="H12" s="25"/>
      <c r="I12" s="41">
        <v>6.96</v>
      </c>
      <c r="J12" s="41">
        <f t="shared" si="0"/>
        <v>0</v>
      </c>
      <c r="K12" s="42">
        <f t="shared" si="1"/>
        <v>0</v>
      </c>
      <c r="L12" s="41">
        <f t="shared" si="2"/>
        <v>0</v>
      </c>
      <c r="M12" s="43">
        <f t="shared" si="3"/>
        <v>0</v>
      </c>
      <c r="N12" s="43">
        <f t="shared" si="4"/>
        <v>0</v>
      </c>
      <c r="O12" s="43">
        <f t="shared" si="5"/>
        <v>313.2</v>
      </c>
      <c r="P12" s="44">
        <f t="shared" si="6"/>
        <v>0</v>
      </c>
      <c r="Q12" s="16"/>
      <c r="R12" s="17"/>
      <c r="S12" s="16"/>
      <c r="T12" s="16"/>
      <c r="U12" s="16"/>
      <c r="V12" s="44">
        <f t="shared" si="7"/>
        <v>0</v>
      </c>
      <c r="W12" s="16"/>
      <c r="X12" s="16"/>
      <c r="Y12" s="16"/>
      <c r="Z12" s="10"/>
      <c r="AA12" s="10"/>
      <c r="AB12" s="10"/>
      <c r="AC12" s="10"/>
      <c r="AD12" s="10"/>
      <c r="AE12" s="10"/>
    </row>
    <row r="13" customFormat="1" ht="34" customHeight="1" outlineLevel="1" spans="1:31">
      <c r="A13" s="24">
        <v>7</v>
      </c>
      <c r="B13" s="25" t="s">
        <v>229</v>
      </c>
      <c r="C13" s="52" t="s">
        <v>230</v>
      </c>
      <c r="D13" s="25" t="s">
        <v>138</v>
      </c>
      <c r="E13" s="26">
        <v>1</v>
      </c>
      <c r="F13" s="26">
        <f t="shared" si="8"/>
        <v>1000</v>
      </c>
      <c r="G13" s="26">
        <f t="shared" si="9"/>
        <v>1000</v>
      </c>
      <c r="H13" s="25"/>
      <c r="I13" s="41">
        <v>1000</v>
      </c>
      <c r="J13" s="41">
        <f t="shared" si="0"/>
        <v>0</v>
      </c>
      <c r="K13" s="42">
        <f t="shared" si="1"/>
        <v>0</v>
      </c>
      <c r="L13" s="41">
        <f t="shared" si="2"/>
        <v>0</v>
      </c>
      <c r="M13" s="43">
        <f t="shared" si="3"/>
        <v>0</v>
      </c>
      <c r="N13" s="43">
        <f t="shared" si="4"/>
        <v>0</v>
      </c>
      <c r="O13" s="43">
        <f t="shared" si="5"/>
        <v>1000</v>
      </c>
      <c r="P13" s="44">
        <f t="shared" si="6"/>
        <v>0</v>
      </c>
      <c r="Q13" s="16"/>
      <c r="R13" s="17"/>
      <c r="S13" s="16"/>
      <c r="T13" s="16"/>
      <c r="U13" s="16"/>
      <c r="V13" s="44">
        <f t="shared" si="7"/>
        <v>0</v>
      </c>
      <c r="W13" s="16"/>
      <c r="X13" s="16"/>
      <c r="Y13" s="16"/>
      <c r="Z13" s="10"/>
      <c r="AA13" s="10"/>
      <c r="AB13" s="10"/>
      <c r="AC13" s="10"/>
      <c r="AD13" s="10"/>
      <c r="AE13" s="10"/>
    </row>
    <row r="14" s="8" customFormat="1" ht="57" customHeight="1" outlineLevel="1" spans="1:31">
      <c r="A14" s="24">
        <v>8</v>
      </c>
      <c r="B14" s="25" t="s">
        <v>231</v>
      </c>
      <c r="C14" s="52" t="s">
        <v>232</v>
      </c>
      <c r="D14" s="25" t="s">
        <v>62</v>
      </c>
      <c r="E14" s="26">
        <v>266.31</v>
      </c>
      <c r="F14" s="26">
        <f t="shared" si="8"/>
        <v>30</v>
      </c>
      <c r="G14" s="26">
        <f t="shared" si="9"/>
        <v>7989.3</v>
      </c>
      <c r="H14" s="52" t="s">
        <v>233</v>
      </c>
      <c r="I14" s="41">
        <v>30</v>
      </c>
      <c r="J14" s="41">
        <f t="shared" si="0"/>
        <v>0</v>
      </c>
      <c r="K14" s="42">
        <f t="shared" ref="K14:K39" si="10">R14</f>
        <v>0</v>
      </c>
      <c r="L14" s="41">
        <f t="shared" si="2"/>
        <v>20</v>
      </c>
      <c r="M14" s="43">
        <f t="shared" si="3"/>
        <v>0</v>
      </c>
      <c r="N14" s="43">
        <f t="shared" si="4"/>
        <v>0</v>
      </c>
      <c r="O14" s="43">
        <f t="shared" ref="O14:O39" si="11">E14*I14</f>
        <v>7989.3</v>
      </c>
      <c r="P14" s="44">
        <f t="shared" si="6"/>
        <v>20</v>
      </c>
      <c r="Q14" s="16"/>
      <c r="R14" s="17"/>
      <c r="S14" s="16">
        <v>20</v>
      </c>
      <c r="T14" s="16"/>
      <c r="U14" s="16"/>
      <c r="V14" s="44">
        <f t="shared" si="7"/>
        <v>5326.2</v>
      </c>
      <c r="W14" s="16"/>
      <c r="X14" s="16"/>
      <c r="Y14" s="16"/>
      <c r="Z14" s="10"/>
      <c r="AA14" s="10"/>
      <c r="AB14" s="10"/>
      <c r="AC14" s="10"/>
      <c r="AD14" s="10"/>
      <c r="AE14" s="10"/>
    </row>
    <row r="15" s="7" customFormat="1" ht="25" customHeight="1" spans="1:31">
      <c r="A15" s="47" t="s">
        <v>13</v>
      </c>
      <c r="B15" s="48" t="s">
        <v>234</v>
      </c>
      <c r="C15" s="48"/>
      <c r="D15" s="49"/>
      <c r="E15" s="50"/>
      <c r="F15" s="50"/>
      <c r="G15" s="26">
        <f t="shared" si="9"/>
        <v>0</v>
      </c>
      <c r="H15" s="49"/>
      <c r="I15" s="14"/>
      <c r="J15" s="14"/>
      <c r="K15" s="15"/>
      <c r="L15" s="14"/>
      <c r="M15" s="14"/>
      <c r="N15" s="14"/>
      <c r="O15" s="14"/>
      <c r="P15" s="14"/>
      <c r="Q15" s="16"/>
      <c r="R15" s="17"/>
      <c r="S15" s="16"/>
      <c r="T15" s="16"/>
      <c r="U15" s="16"/>
      <c r="V15" s="16"/>
      <c r="W15" s="16"/>
      <c r="X15" s="16"/>
      <c r="Y15" s="16"/>
      <c r="Z15" s="10"/>
      <c r="AA15" s="10"/>
      <c r="AB15" s="10"/>
      <c r="AC15" s="10"/>
      <c r="AD15" s="10"/>
      <c r="AE15" s="10"/>
    </row>
    <row r="16" customFormat="1" ht="37" customHeight="1" outlineLevel="1" spans="1:31">
      <c r="A16" s="24">
        <v>1</v>
      </c>
      <c r="B16" s="25" t="s">
        <v>235</v>
      </c>
      <c r="C16" s="52" t="s">
        <v>236</v>
      </c>
      <c r="D16" s="25" t="s">
        <v>149</v>
      </c>
      <c r="E16" s="26">
        <v>16</v>
      </c>
      <c r="F16" s="26">
        <f t="shared" ref="F14:F39" si="12">I16</f>
        <v>174</v>
      </c>
      <c r="G16" s="26">
        <f t="shared" si="9"/>
        <v>2784</v>
      </c>
      <c r="H16" s="25"/>
      <c r="I16" s="41">
        <v>174</v>
      </c>
      <c r="J16" s="41">
        <f t="shared" ref="J16:J25" si="13">Q16*$Q$1</f>
        <v>0</v>
      </c>
      <c r="K16" s="42">
        <f t="shared" si="10"/>
        <v>0</v>
      </c>
      <c r="L16" s="41">
        <f t="shared" ref="L16:L25" si="14">S16*$S$1</f>
        <v>0</v>
      </c>
      <c r="M16" s="43">
        <f t="shared" ref="M16:M25" si="15">T16*$T$1</f>
        <v>0</v>
      </c>
      <c r="N16" s="43">
        <f t="shared" ref="N16:N25" si="16">U16*$U$1</f>
        <v>0</v>
      </c>
      <c r="O16" s="43">
        <f t="shared" si="11"/>
        <v>2784</v>
      </c>
      <c r="P16" s="44">
        <f t="shared" ref="P16:P25" si="17">Q16+Q16*R16+S16+T16+U16</f>
        <v>0</v>
      </c>
      <c r="Q16" s="16"/>
      <c r="R16" s="17"/>
      <c r="S16" s="16"/>
      <c r="T16" s="16"/>
      <c r="U16" s="16"/>
      <c r="V16" s="44">
        <f t="shared" ref="V16:V25" si="18">E16*P16</f>
        <v>0</v>
      </c>
      <c r="W16" s="16"/>
      <c r="X16" s="16"/>
      <c r="Y16" s="16"/>
      <c r="Z16" s="10"/>
      <c r="AA16" s="10"/>
      <c r="AB16" s="10"/>
      <c r="AC16" s="10"/>
      <c r="AD16" s="10"/>
      <c r="AE16" s="10"/>
    </row>
    <row r="17" customFormat="1" ht="37" customHeight="1" outlineLevel="1" spans="1:31">
      <c r="A17" s="24">
        <v>2</v>
      </c>
      <c r="B17" s="25" t="s">
        <v>237</v>
      </c>
      <c r="C17" s="52" t="s">
        <v>238</v>
      </c>
      <c r="D17" s="25" t="s">
        <v>149</v>
      </c>
      <c r="E17" s="26">
        <v>17</v>
      </c>
      <c r="F17" s="26">
        <f t="shared" si="12"/>
        <v>217.5</v>
      </c>
      <c r="G17" s="26">
        <f t="shared" si="9"/>
        <v>3697.5</v>
      </c>
      <c r="H17" s="25"/>
      <c r="I17" s="41">
        <v>217.5</v>
      </c>
      <c r="J17" s="41">
        <f t="shared" si="13"/>
        <v>0</v>
      </c>
      <c r="K17" s="42">
        <f t="shared" si="10"/>
        <v>0</v>
      </c>
      <c r="L17" s="41">
        <f t="shared" si="14"/>
        <v>0</v>
      </c>
      <c r="M17" s="43">
        <f t="shared" si="15"/>
        <v>0</v>
      </c>
      <c r="N17" s="43">
        <f t="shared" si="16"/>
        <v>0</v>
      </c>
      <c r="O17" s="43">
        <f t="shared" si="11"/>
        <v>3697.5</v>
      </c>
      <c r="P17" s="44">
        <f t="shared" si="17"/>
        <v>0</v>
      </c>
      <c r="Q17" s="16"/>
      <c r="R17" s="17"/>
      <c r="S17" s="16"/>
      <c r="T17" s="16"/>
      <c r="U17" s="16"/>
      <c r="V17" s="44">
        <f t="shared" si="18"/>
        <v>0</v>
      </c>
      <c r="W17" s="16"/>
      <c r="X17" s="16"/>
      <c r="Y17" s="16"/>
      <c r="Z17" s="10"/>
      <c r="AA17" s="10"/>
      <c r="AB17" s="10"/>
      <c r="AC17" s="10"/>
      <c r="AD17" s="10"/>
      <c r="AE17" s="10"/>
    </row>
    <row r="18" customFormat="1" ht="37" customHeight="1" outlineLevel="1" spans="1:31">
      <c r="A18" s="24">
        <v>3</v>
      </c>
      <c r="B18" s="25" t="s">
        <v>239</v>
      </c>
      <c r="C18" s="52" t="s">
        <v>240</v>
      </c>
      <c r="D18" s="25" t="s">
        <v>241</v>
      </c>
      <c r="E18" s="26">
        <v>15</v>
      </c>
      <c r="F18" s="26">
        <f t="shared" si="12"/>
        <v>21.75</v>
      </c>
      <c r="G18" s="26">
        <f t="shared" si="9"/>
        <v>326.25</v>
      </c>
      <c r="H18" s="25"/>
      <c r="I18" s="41">
        <v>21.75</v>
      </c>
      <c r="J18" s="41">
        <f t="shared" si="13"/>
        <v>0</v>
      </c>
      <c r="K18" s="42">
        <f t="shared" si="10"/>
        <v>0</v>
      </c>
      <c r="L18" s="41">
        <f t="shared" si="14"/>
        <v>0</v>
      </c>
      <c r="M18" s="43">
        <f t="shared" si="15"/>
        <v>0</v>
      </c>
      <c r="N18" s="43">
        <f t="shared" si="16"/>
        <v>0</v>
      </c>
      <c r="O18" s="43">
        <f t="shared" si="11"/>
        <v>326.25</v>
      </c>
      <c r="P18" s="44">
        <f t="shared" si="17"/>
        <v>0</v>
      </c>
      <c r="Q18" s="16"/>
      <c r="R18" s="17"/>
      <c r="S18" s="16"/>
      <c r="T18" s="16"/>
      <c r="U18" s="16"/>
      <c r="V18" s="44">
        <f t="shared" si="18"/>
        <v>0</v>
      </c>
      <c r="W18" s="16"/>
      <c r="X18" s="16"/>
      <c r="Y18" s="16"/>
      <c r="Z18" s="10"/>
      <c r="AA18" s="10"/>
      <c r="AB18" s="10"/>
      <c r="AC18" s="10"/>
      <c r="AD18" s="10"/>
      <c r="AE18" s="10"/>
    </row>
    <row r="19" customFormat="1" ht="37" customHeight="1" outlineLevel="1" spans="1:31">
      <c r="A19" s="24">
        <v>4</v>
      </c>
      <c r="B19" s="25" t="s">
        <v>242</v>
      </c>
      <c r="C19" s="52" t="s">
        <v>243</v>
      </c>
      <c r="D19" s="25" t="s">
        <v>244</v>
      </c>
      <c r="E19" s="26">
        <v>1</v>
      </c>
      <c r="F19" s="26">
        <f t="shared" si="12"/>
        <v>435</v>
      </c>
      <c r="G19" s="26">
        <f t="shared" si="9"/>
        <v>435</v>
      </c>
      <c r="H19" s="25"/>
      <c r="I19" s="41">
        <v>435</v>
      </c>
      <c r="J19" s="41">
        <f t="shared" si="13"/>
        <v>0</v>
      </c>
      <c r="K19" s="42">
        <f t="shared" si="10"/>
        <v>0</v>
      </c>
      <c r="L19" s="41">
        <f t="shared" si="14"/>
        <v>0</v>
      </c>
      <c r="M19" s="43">
        <f t="shared" si="15"/>
        <v>0</v>
      </c>
      <c r="N19" s="43">
        <f t="shared" si="16"/>
        <v>0</v>
      </c>
      <c r="O19" s="43">
        <f t="shared" si="11"/>
        <v>435</v>
      </c>
      <c r="P19" s="44">
        <f t="shared" si="17"/>
        <v>0</v>
      </c>
      <c r="Q19" s="16"/>
      <c r="R19" s="17"/>
      <c r="S19" s="16"/>
      <c r="T19" s="16"/>
      <c r="U19" s="16"/>
      <c r="V19" s="44">
        <f t="shared" si="18"/>
        <v>0</v>
      </c>
      <c r="W19" s="16"/>
      <c r="X19" s="16"/>
      <c r="Y19" s="16"/>
      <c r="Z19" s="10"/>
      <c r="AA19" s="10"/>
      <c r="AB19" s="10"/>
      <c r="AC19" s="10"/>
      <c r="AD19" s="10"/>
      <c r="AE19" s="10"/>
    </row>
    <row r="20" customFormat="1" ht="37" customHeight="1" outlineLevel="1" spans="1:31">
      <c r="A20" s="24">
        <v>5</v>
      </c>
      <c r="B20" s="25" t="s">
        <v>245</v>
      </c>
      <c r="C20" s="52" t="s">
        <v>246</v>
      </c>
      <c r="D20" s="25" t="s">
        <v>224</v>
      </c>
      <c r="E20" s="26">
        <v>16.5</v>
      </c>
      <c r="F20" s="26">
        <f t="shared" si="12"/>
        <v>50.46</v>
      </c>
      <c r="G20" s="26">
        <f t="shared" si="9"/>
        <v>832.59</v>
      </c>
      <c r="H20" s="25"/>
      <c r="I20" s="41">
        <v>50.46</v>
      </c>
      <c r="J20" s="41">
        <f t="shared" si="13"/>
        <v>0</v>
      </c>
      <c r="K20" s="42">
        <f t="shared" si="10"/>
        <v>0</v>
      </c>
      <c r="L20" s="41">
        <f t="shared" si="14"/>
        <v>0</v>
      </c>
      <c r="M20" s="43">
        <f t="shared" si="15"/>
        <v>0</v>
      </c>
      <c r="N20" s="43">
        <f t="shared" si="16"/>
        <v>0</v>
      </c>
      <c r="O20" s="43">
        <f t="shared" si="11"/>
        <v>832.59</v>
      </c>
      <c r="P20" s="44">
        <f t="shared" si="17"/>
        <v>0</v>
      </c>
      <c r="Q20" s="16"/>
      <c r="R20" s="17"/>
      <c r="S20" s="16"/>
      <c r="T20" s="16"/>
      <c r="U20" s="16"/>
      <c r="V20" s="44">
        <f t="shared" si="18"/>
        <v>0</v>
      </c>
      <c r="W20" s="16"/>
      <c r="X20" s="16"/>
      <c r="Y20" s="16"/>
      <c r="Z20" s="10"/>
      <c r="AA20" s="10"/>
      <c r="AB20" s="10"/>
      <c r="AC20" s="10"/>
      <c r="AD20" s="10"/>
      <c r="AE20" s="10"/>
    </row>
    <row r="21" customFormat="1" ht="37" customHeight="1" outlineLevel="1" spans="1:31">
      <c r="A21" s="24">
        <v>6</v>
      </c>
      <c r="B21" s="25" t="s">
        <v>247</v>
      </c>
      <c r="C21" s="52" t="s">
        <v>248</v>
      </c>
      <c r="D21" s="25" t="s">
        <v>224</v>
      </c>
      <c r="E21" s="26">
        <v>8.5</v>
      </c>
      <c r="F21" s="26">
        <f t="shared" si="12"/>
        <v>56.55</v>
      </c>
      <c r="G21" s="26">
        <f t="shared" si="9"/>
        <v>480.675</v>
      </c>
      <c r="H21" s="25"/>
      <c r="I21" s="41">
        <v>56.55</v>
      </c>
      <c r="J21" s="41">
        <f t="shared" si="13"/>
        <v>0</v>
      </c>
      <c r="K21" s="42">
        <f t="shared" si="10"/>
        <v>0</v>
      </c>
      <c r="L21" s="41">
        <f t="shared" si="14"/>
        <v>0</v>
      </c>
      <c r="M21" s="43">
        <f t="shared" si="15"/>
        <v>0</v>
      </c>
      <c r="N21" s="43">
        <f t="shared" si="16"/>
        <v>0</v>
      </c>
      <c r="O21" s="43">
        <f t="shared" si="11"/>
        <v>480.675</v>
      </c>
      <c r="P21" s="44">
        <f t="shared" si="17"/>
        <v>0</v>
      </c>
      <c r="Q21" s="16"/>
      <c r="R21" s="17"/>
      <c r="S21" s="16"/>
      <c r="T21" s="16"/>
      <c r="U21" s="16"/>
      <c r="V21" s="44">
        <f t="shared" si="18"/>
        <v>0</v>
      </c>
      <c r="W21" s="16"/>
      <c r="X21" s="16"/>
      <c r="Y21" s="16"/>
      <c r="Z21" s="10"/>
      <c r="AA21" s="10"/>
      <c r="AB21" s="10"/>
      <c r="AC21" s="10"/>
      <c r="AD21" s="10"/>
      <c r="AE21" s="10"/>
    </row>
    <row r="22" customFormat="1" ht="37" customHeight="1" outlineLevel="1" spans="1:31">
      <c r="A22" s="24">
        <v>7</v>
      </c>
      <c r="B22" s="25" t="s">
        <v>249</v>
      </c>
      <c r="C22" s="52" t="s">
        <v>250</v>
      </c>
      <c r="D22" s="25" t="s">
        <v>224</v>
      </c>
      <c r="E22" s="26">
        <v>3.5</v>
      </c>
      <c r="F22" s="26">
        <f t="shared" si="12"/>
        <v>65.25</v>
      </c>
      <c r="G22" s="26">
        <f t="shared" si="9"/>
        <v>228.375</v>
      </c>
      <c r="H22" s="25"/>
      <c r="I22" s="41">
        <v>65.25</v>
      </c>
      <c r="J22" s="41">
        <f t="shared" si="13"/>
        <v>0</v>
      </c>
      <c r="K22" s="42">
        <f t="shared" si="10"/>
        <v>0</v>
      </c>
      <c r="L22" s="41">
        <f t="shared" si="14"/>
        <v>0</v>
      </c>
      <c r="M22" s="43">
        <f t="shared" si="15"/>
        <v>0</v>
      </c>
      <c r="N22" s="43">
        <f t="shared" si="16"/>
        <v>0</v>
      </c>
      <c r="O22" s="43">
        <f t="shared" si="11"/>
        <v>228.375</v>
      </c>
      <c r="P22" s="44">
        <f t="shared" si="17"/>
        <v>0</v>
      </c>
      <c r="Q22" s="16"/>
      <c r="R22" s="17"/>
      <c r="S22" s="16"/>
      <c r="T22" s="16"/>
      <c r="U22" s="16"/>
      <c r="V22" s="44">
        <f t="shared" si="18"/>
        <v>0</v>
      </c>
      <c r="W22" s="16"/>
      <c r="X22" s="16"/>
      <c r="Y22" s="16"/>
      <c r="Z22" s="10"/>
      <c r="AA22" s="10"/>
      <c r="AB22" s="10"/>
      <c r="AC22" s="10"/>
      <c r="AD22" s="10"/>
      <c r="AE22" s="10"/>
    </row>
    <row r="23" customFormat="1" ht="37" customHeight="1" outlineLevel="1" spans="1:31">
      <c r="A23" s="24">
        <v>8</v>
      </c>
      <c r="B23" s="25" t="s">
        <v>251</v>
      </c>
      <c r="C23" s="52" t="s">
        <v>252</v>
      </c>
      <c r="D23" s="25" t="s">
        <v>224</v>
      </c>
      <c r="E23" s="26">
        <v>2.5</v>
      </c>
      <c r="F23" s="26">
        <f t="shared" si="12"/>
        <v>80.91</v>
      </c>
      <c r="G23" s="26">
        <f t="shared" si="9"/>
        <v>202.275</v>
      </c>
      <c r="H23" s="25"/>
      <c r="I23" s="41">
        <v>80.91</v>
      </c>
      <c r="J23" s="41">
        <f t="shared" si="13"/>
        <v>0</v>
      </c>
      <c r="K23" s="42">
        <f t="shared" si="10"/>
        <v>0</v>
      </c>
      <c r="L23" s="41">
        <f t="shared" si="14"/>
        <v>0</v>
      </c>
      <c r="M23" s="43">
        <f t="shared" si="15"/>
        <v>0</v>
      </c>
      <c r="N23" s="43">
        <f t="shared" si="16"/>
        <v>0</v>
      </c>
      <c r="O23" s="43">
        <f t="shared" si="11"/>
        <v>202.275</v>
      </c>
      <c r="P23" s="44">
        <f t="shared" si="17"/>
        <v>0</v>
      </c>
      <c r="Q23" s="16"/>
      <c r="R23" s="17"/>
      <c r="S23" s="16"/>
      <c r="T23" s="16"/>
      <c r="U23" s="16"/>
      <c r="V23" s="44">
        <f t="shared" si="18"/>
        <v>0</v>
      </c>
      <c r="W23" s="16"/>
      <c r="X23" s="16"/>
      <c r="Y23" s="16"/>
      <c r="Z23" s="10"/>
      <c r="AA23" s="10"/>
      <c r="AB23" s="10"/>
      <c r="AC23" s="10"/>
      <c r="AD23" s="10"/>
      <c r="AE23" s="10"/>
    </row>
    <row r="24" customFormat="1" ht="37" customHeight="1" outlineLevel="1" spans="1:31">
      <c r="A24" s="24">
        <v>9</v>
      </c>
      <c r="B24" s="25" t="s">
        <v>253</v>
      </c>
      <c r="C24" s="52" t="s">
        <v>254</v>
      </c>
      <c r="D24" s="25" t="s">
        <v>138</v>
      </c>
      <c r="E24" s="26">
        <v>1</v>
      </c>
      <c r="F24" s="26">
        <f t="shared" si="12"/>
        <v>800</v>
      </c>
      <c r="G24" s="26">
        <f t="shared" si="9"/>
        <v>800</v>
      </c>
      <c r="H24" s="25"/>
      <c r="I24" s="41">
        <v>800</v>
      </c>
      <c r="J24" s="41">
        <f t="shared" si="13"/>
        <v>0</v>
      </c>
      <c r="K24" s="42">
        <f t="shared" si="10"/>
        <v>0</v>
      </c>
      <c r="L24" s="41">
        <f t="shared" si="14"/>
        <v>0</v>
      </c>
      <c r="M24" s="43">
        <f t="shared" si="15"/>
        <v>0</v>
      </c>
      <c r="N24" s="43">
        <f t="shared" si="16"/>
        <v>0</v>
      </c>
      <c r="O24" s="43">
        <f t="shared" si="11"/>
        <v>800</v>
      </c>
      <c r="P24" s="44">
        <f t="shared" si="17"/>
        <v>0</v>
      </c>
      <c r="Q24" s="16"/>
      <c r="R24" s="17"/>
      <c r="S24" s="16"/>
      <c r="T24" s="16"/>
      <c r="U24" s="16"/>
      <c r="V24" s="44">
        <f t="shared" si="18"/>
        <v>0</v>
      </c>
      <c r="W24" s="16"/>
      <c r="X24" s="16"/>
      <c r="Y24" s="16"/>
      <c r="Z24" s="10"/>
      <c r="AA24" s="10"/>
      <c r="AB24" s="10"/>
      <c r="AC24" s="10"/>
      <c r="AD24" s="10"/>
      <c r="AE24" s="10"/>
    </row>
    <row r="25" customFormat="1" ht="37" customHeight="1" outlineLevel="1" spans="1:31">
      <c r="A25" s="24">
        <v>10</v>
      </c>
      <c r="B25" s="25" t="s">
        <v>255</v>
      </c>
      <c r="C25" s="52" t="s">
        <v>256</v>
      </c>
      <c r="D25" s="25" t="s">
        <v>138</v>
      </c>
      <c r="E25" s="26">
        <v>1</v>
      </c>
      <c r="F25" s="26">
        <f t="shared" si="12"/>
        <v>870</v>
      </c>
      <c r="G25" s="26">
        <f t="shared" si="9"/>
        <v>870</v>
      </c>
      <c r="H25" s="25"/>
      <c r="I25" s="41">
        <v>870</v>
      </c>
      <c r="J25" s="41">
        <f t="shared" si="13"/>
        <v>0</v>
      </c>
      <c r="K25" s="42">
        <f t="shared" si="10"/>
        <v>0</v>
      </c>
      <c r="L25" s="41">
        <f t="shared" si="14"/>
        <v>0</v>
      </c>
      <c r="M25" s="43">
        <f t="shared" si="15"/>
        <v>0</v>
      </c>
      <c r="N25" s="43">
        <f t="shared" si="16"/>
        <v>0</v>
      </c>
      <c r="O25" s="43">
        <f t="shared" si="11"/>
        <v>870</v>
      </c>
      <c r="P25" s="44">
        <f t="shared" si="17"/>
        <v>0</v>
      </c>
      <c r="Q25" s="16"/>
      <c r="R25" s="17"/>
      <c r="S25" s="16"/>
      <c r="T25" s="16"/>
      <c r="U25" s="16"/>
      <c r="V25" s="44">
        <f t="shared" si="18"/>
        <v>0</v>
      </c>
      <c r="W25" s="16"/>
      <c r="X25" s="16"/>
      <c r="Y25" s="16"/>
      <c r="Z25" s="10"/>
      <c r="AA25" s="10"/>
      <c r="AB25" s="10"/>
      <c r="AC25" s="10"/>
      <c r="AD25" s="10"/>
      <c r="AE25" s="10"/>
    </row>
    <row r="26" s="7" customFormat="1" ht="25" customHeight="1" spans="1:31">
      <c r="A26" s="47" t="s">
        <v>16</v>
      </c>
      <c r="B26" s="48" t="s">
        <v>257</v>
      </c>
      <c r="C26" s="48"/>
      <c r="D26" s="49"/>
      <c r="E26" s="50"/>
      <c r="F26" s="50"/>
      <c r="G26" s="50"/>
      <c r="H26" s="49"/>
      <c r="I26" s="14"/>
      <c r="J26" s="14"/>
      <c r="K26" s="15"/>
      <c r="L26" s="14"/>
      <c r="M26" s="14"/>
      <c r="N26" s="14"/>
      <c r="O26" s="14"/>
      <c r="P26" s="14"/>
      <c r="Q26" s="16"/>
      <c r="R26" s="17"/>
      <c r="S26" s="16"/>
      <c r="T26" s="16"/>
      <c r="U26" s="16"/>
      <c r="V26" s="16"/>
      <c r="W26" s="16"/>
      <c r="X26" s="16"/>
      <c r="Y26" s="16"/>
      <c r="Z26" s="10"/>
      <c r="AA26" s="10"/>
      <c r="AB26" s="10"/>
      <c r="AC26" s="10"/>
      <c r="AD26" s="10"/>
      <c r="AE26" s="10"/>
    </row>
    <row r="27" customFormat="1" ht="32" customHeight="1" outlineLevel="1" spans="1:31">
      <c r="A27" s="24">
        <v>1</v>
      </c>
      <c r="B27" s="25" t="s">
        <v>258</v>
      </c>
      <c r="C27" s="52"/>
      <c r="D27" s="25" t="s">
        <v>62</v>
      </c>
      <c r="E27" s="26">
        <v>5.5</v>
      </c>
      <c r="F27" s="26">
        <f t="shared" ref="F27:F32" si="19">I27</f>
        <v>156.6</v>
      </c>
      <c r="G27" s="26">
        <f t="shared" ref="G27:G32" si="20">F27*E27</f>
        <v>861.3</v>
      </c>
      <c r="H27" s="25"/>
      <c r="I27" s="41">
        <v>156.6</v>
      </c>
      <c r="J27" s="41">
        <f t="shared" ref="J27:J32" si="21">Q27*$Q$1</f>
        <v>0</v>
      </c>
      <c r="K27" s="42">
        <f t="shared" ref="K27:K32" si="22">R27</f>
        <v>0</v>
      </c>
      <c r="L27" s="41">
        <f t="shared" ref="L27:L32" si="23">S27*$S$1</f>
        <v>0</v>
      </c>
      <c r="M27" s="43">
        <f t="shared" ref="M27:M32" si="24">T27*$T$1</f>
        <v>0</v>
      </c>
      <c r="N27" s="43">
        <f t="shared" ref="N27:N32" si="25">U27*$U$1</f>
        <v>0</v>
      </c>
      <c r="O27" s="43">
        <f t="shared" ref="O27:O32" si="26">E27*I27</f>
        <v>861.3</v>
      </c>
      <c r="P27" s="44">
        <f t="shared" ref="P27:P32" si="27">Q27+Q27*R27+S27+T27+U27</f>
        <v>0</v>
      </c>
      <c r="Q27" s="16"/>
      <c r="R27" s="17"/>
      <c r="S27" s="16"/>
      <c r="T27" s="16"/>
      <c r="U27" s="16"/>
      <c r="V27" s="44">
        <f t="shared" ref="V27:V32" si="28">E27*P27</f>
        <v>0</v>
      </c>
      <c r="W27" s="16"/>
      <c r="X27" s="16"/>
      <c r="Y27" s="16"/>
      <c r="Z27" s="10"/>
      <c r="AA27" s="10"/>
      <c r="AB27" s="10"/>
      <c r="AC27" s="10"/>
      <c r="AD27" s="10"/>
      <c r="AE27" s="10"/>
    </row>
    <row r="28" customFormat="1" ht="50" customHeight="1" outlineLevel="1" spans="1:31">
      <c r="A28" s="24">
        <v>2</v>
      </c>
      <c r="B28" s="25" t="s">
        <v>259</v>
      </c>
      <c r="C28" s="54" t="s">
        <v>260</v>
      </c>
      <c r="D28" s="25" t="s">
        <v>62</v>
      </c>
      <c r="E28" s="26">
        <v>1.5</v>
      </c>
      <c r="F28" s="26">
        <f t="shared" si="19"/>
        <v>147.9</v>
      </c>
      <c r="G28" s="26">
        <f t="shared" si="20"/>
        <v>221.85</v>
      </c>
      <c r="H28" s="25"/>
      <c r="I28" s="41">
        <v>147.9</v>
      </c>
      <c r="J28" s="41">
        <f t="shared" si="21"/>
        <v>0</v>
      </c>
      <c r="K28" s="42">
        <f t="shared" si="22"/>
        <v>0</v>
      </c>
      <c r="L28" s="41">
        <f t="shared" si="23"/>
        <v>0</v>
      </c>
      <c r="M28" s="43">
        <f t="shared" si="24"/>
        <v>0</v>
      </c>
      <c r="N28" s="43">
        <f t="shared" si="25"/>
        <v>0</v>
      </c>
      <c r="O28" s="43">
        <f t="shared" si="26"/>
        <v>221.85</v>
      </c>
      <c r="P28" s="44">
        <f t="shared" si="27"/>
        <v>0</v>
      </c>
      <c r="Q28" s="16"/>
      <c r="R28" s="17"/>
      <c r="S28" s="16"/>
      <c r="T28" s="16"/>
      <c r="U28" s="16"/>
      <c r="V28" s="44">
        <f t="shared" si="28"/>
        <v>0</v>
      </c>
      <c r="W28" s="16"/>
      <c r="X28" s="16"/>
      <c r="Y28" s="16"/>
      <c r="Z28" s="10"/>
      <c r="AA28" s="10"/>
      <c r="AB28" s="10"/>
      <c r="AC28" s="10"/>
      <c r="AD28" s="10"/>
      <c r="AE28" s="10"/>
    </row>
    <row r="29" customFormat="1" ht="26" customHeight="1" outlineLevel="1" spans="1:31">
      <c r="A29" s="24">
        <v>3</v>
      </c>
      <c r="B29" s="25" t="s">
        <v>261</v>
      </c>
      <c r="C29" s="52"/>
      <c r="D29" s="25" t="s">
        <v>62</v>
      </c>
      <c r="E29" s="26">
        <f>E27+E28</f>
        <v>7</v>
      </c>
      <c r="F29" s="26">
        <f t="shared" si="19"/>
        <v>87</v>
      </c>
      <c r="G29" s="26">
        <f t="shared" si="20"/>
        <v>609</v>
      </c>
      <c r="H29" s="25"/>
      <c r="I29" s="41">
        <v>87</v>
      </c>
      <c r="J29" s="41">
        <f t="shared" si="21"/>
        <v>0</v>
      </c>
      <c r="K29" s="42">
        <f t="shared" si="22"/>
        <v>0</v>
      </c>
      <c r="L29" s="41">
        <f t="shared" si="23"/>
        <v>0</v>
      </c>
      <c r="M29" s="43">
        <f t="shared" si="24"/>
        <v>0</v>
      </c>
      <c r="N29" s="43">
        <f t="shared" si="25"/>
        <v>0</v>
      </c>
      <c r="O29" s="43">
        <f t="shared" si="26"/>
        <v>609</v>
      </c>
      <c r="P29" s="44">
        <f t="shared" si="27"/>
        <v>0</v>
      </c>
      <c r="Q29" s="16"/>
      <c r="R29" s="17"/>
      <c r="S29" s="16"/>
      <c r="T29" s="16"/>
      <c r="U29" s="16"/>
      <c r="V29" s="44">
        <f t="shared" si="28"/>
        <v>0</v>
      </c>
      <c r="W29" s="16"/>
      <c r="X29" s="16"/>
      <c r="Y29" s="16"/>
      <c r="Z29" s="10"/>
      <c r="AA29" s="10"/>
      <c r="AB29" s="10"/>
      <c r="AC29" s="10"/>
      <c r="AD29" s="10"/>
      <c r="AE29" s="10"/>
    </row>
    <row r="30" customFormat="1" ht="48" customHeight="1" outlineLevel="1" spans="1:31">
      <c r="A30" s="24">
        <v>4</v>
      </c>
      <c r="B30" s="25" t="s">
        <v>262</v>
      </c>
      <c r="C30" s="52" t="s">
        <v>263</v>
      </c>
      <c r="D30" s="25" t="s">
        <v>125</v>
      </c>
      <c r="E30" s="26">
        <v>1</v>
      </c>
      <c r="F30" s="26">
        <f t="shared" si="19"/>
        <v>870</v>
      </c>
      <c r="G30" s="26">
        <f t="shared" si="20"/>
        <v>870</v>
      </c>
      <c r="H30" s="25"/>
      <c r="I30" s="41">
        <v>870</v>
      </c>
      <c r="J30" s="41">
        <f t="shared" si="21"/>
        <v>0</v>
      </c>
      <c r="K30" s="42">
        <f t="shared" si="22"/>
        <v>0</v>
      </c>
      <c r="L30" s="41">
        <f t="shared" si="23"/>
        <v>0</v>
      </c>
      <c r="M30" s="43">
        <f t="shared" si="24"/>
        <v>0</v>
      </c>
      <c r="N30" s="43">
        <f t="shared" si="25"/>
        <v>0</v>
      </c>
      <c r="O30" s="43">
        <f t="shared" si="26"/>
        <v>870</v>
      </c>
      <c r="P30" s="44">
        <f t="shared" si="27"/>
        <v>0</v>
      </c>
      <c r="Q30" s="16"/>
      <c r="R30" s="17"/>
      <c r="S30" s="16"/>
      <c r="T30" s="16"/>
      <c r="U30" s="16"/>
      <c r="V30" s="44">
        <f t="shared" si="28"/>
        <v>0</v>
      </c>
      <c r="W30" s="16"/>
      <c r="X30" s="16"/>
      <c r="Y30" s="16"/>
      <c r="Z30" s="10"/>
      <c r="AA30" s="10"/>
      <c r="AB30" s="10"/>
      <c r="AC30" s="10"/>
      <c r="AD30" s="10"/>
      <c r="AE30" s="10"/>
    </row>
    <row r="31" customFormat="1" ht="72" customHeight="1" outlineLevel="1" spans="1:31">
      <c r="A31" s="24">
        <v>5</v>
      </c>
      <c r="B31" s="25" t="s">
        <v>264</v>
      </c>
      <c r="C31" s="55" t="s">
        <v>265</v>
      </c>
      <c r="D31" s="25" t="s">
        <v>149</v>
      </c>
      <c r="E31" s="26">
        <v>5</v>
      </c>
      <c r="F31" s="26">
        <f t="shared" si="19"/>
        <v>348</v>
      </c>
      <c r="G31" s="26">
        <f t="shared" si="20"/>
        <v>1740</v>
      </c>
      <c r="H31" s="25"/>
      <c r="I31" s="41">
        <v>348</v>
      </c>
      <c r="J31" s="41">
        <f t="shared" si="21"/>
        <v>0</v>
      </c>
      <c r="K31" s="42">
        <f t="shared" si="22"/>
        <v>0</v>
      </c>
      <c r="L31" s="41">
        <f t="shared" si="23"/>
        <v>0</v>
      </c>
      <c r="M31" s="43">
        <f t="shared" si="24"/>
        <v>0</v>
      </c>
      <c r="N31" s="43">
        <f t="shared" si="25"/>
        <v>0</v>
      </c>
      <c r="O31" s="43">
        <f t="shared" si="26"/>
        <v>1740</v>
      </c>
      <c r="P31" s="44">
        <f t="shared" si="27"/>
        <v>0</v>
      </c>
      <c r="Q31" s="16"/>
      <c r="R31" s="17"/>
      <c r="S31" s="16"/>
      <c r="T31" s="16"/>
      <c r="U31" s="16"/>
      <c r="V31" s="44">
        <f t="shared" si="28"/>
        <v>0</v>
      </c>
      <c r="W31" s="16"/>
      <c r="X31" s="16"/>
      <c r="Y31" s="16"/>
      <c r="Z31" s="10"/>
      <c r="AA31" s="10"/>
      <c r="AB31" s="10"/>
      <c r="AC31" s="10"/>
      <c r="AD31" s="10"/>
      <c r="AE31" s="10"/>
    </row>
    <row r="32" customFormat="1" ht="32" customHeight="1" outlineLevel="1" spans="1:31">
      <c r="A32" s="24">
        <v>6</v>
      </c>
      <c r="B32" s="25" t="s">
        <v>266</v>
      </c>
      <c r="C32" s="52"/>
      <c r="D32" s="25" t="s">
        <v>138</v>
      </c>
      <c r="E32" s="26">
        <v>1</v>
      </c>
      <c r="F32" s="26">
        <f t="shared" si="19"/>
        <v>1500</v>
      </c>
      <c r="G32" s="26">
        <f t="shared" si="20"/>
        <v>1500</v>
      </c>
      <c r="H32" s="25"/>
      <c r="I32" s="41">
        <v>1500</v>
      </c>
      <c r="J32" s="41">
        <f t="shared" si="21"/>
        <v>0</v>
      </c>
      <c r="K32" s="42">
        <f t="shared" si="22"/>
        <v>0</v>
      </c>
      <c r="L32" s="41">
        <f t="shared" si="23"/>
        <v>0</v>
      </c>
      <c r="M32" s="43">
        <f t="shared" si="24"/>
        <v>0</v>
      </c>
      <c r="N32" s="43">
        <f t="shared" si="25"/>
        <v>0</v>
      </c>
      <c r="O32" s="43">
        <f t="shared" si="26"/>
        <v>1500</v>
      </c>
      <c r="P32" s="44">
        <f t="shared" si="27"/>
        <v>0</v>
      </c>
      <c r="Q32" s="16"/>
      <c r="R32" s="17"/>
      <c r="S32" s="16"/>
      <c r="T32" s="16"/>
      <c r="U32" s="16"/>
      <c r="V32" s="44">
        <f t="shared" si="28"/>
        <v>0</v>
      </c>
      <c r="W32" s="16"/>
      <c r="X32" s="16"/>
      <c r="Y32" s="16"/>
      <c r="Z32" s="10"/>
      <c r="AA32" s="10"/>
      <c r="AB32" s="10"/>
      <c r="AC32" s="10"/>
      <c r="AD32" s="10"/>
      <c r="AE32" s="10"/>
    </row>
    <row r="33" s="7" customFormat="1" ht="25" customHeight="1" spans="1:31">
      <c r="A33" s="47" t="s">
        <v>19</v>
      </c>
      <c r="B33" s="48" t="s">
        <v>267</v>
      </c>
      <c r="C33" s="48"/>
      <c r="D33" s="49"/>
      <c r="E33" s="50"/>
      <c r="F33" s="50"/>
      <c r="G33" s="50"/>
      <c r="H33" s="49"/>
      <c r="I33" s="14"/>
      <c r="J33" s="14"/>
      <c r="K33" s="15"/>
      <c r="L33" s="14"/>
      <c r="M33" s="14"/>
      <c r="N33" s="14"/>
      <c r="O33" s="14"/>
      <c r="P33" s="14"/>
      <c r="Q33" s="16"/>
      <c r="R33" s="17"/>
      <c r="S33" s="16"/>
      <c r="T33" s="16"/>
      <c r="U33" s="16"/>
      <c r="V33" s="16"/>
      <c r="W33" s="16"/>
      <c r="X33" s="16"/>
      <c r="Y33" s="16"/>
      <c r="Z33" s="10"/>
      <c r="AA33" s="10"/>
      <c r="AB33" s="10"/>
      <c r="AC33" s="10"/>
      <c r="AD33" s="10"/>
      <c r="AE33" s="10"/>
    </row>
    <row r="34" s="8" customFormat="1" ht="27" customHeight="1" outlineLevel="1" spans="1:31">
      <c r="A34" s="24">
        <v>1</v>
      </c>
      <c r="B34" s="25" t="s">
        <v>268</v>
      </c>
      <c r="C34" s="52" t="s">
        <v>269</v>
      </c>
      <c r="D34" s="25" t="s">
        <v>138</v>
      </c>
      <c r="E34" s="26">
        <v>1</v>
      </c>
      <c r="F34" s="26">
        <f>I34</f>
        <v>3000</v>
      </c>
      <c r="G34" s="26">
        <f>F34*E34</f>
        <v>3000</v>
      </c>
      <c r="H34" s="25"/>
      <c r="I34" s="41">
        <v>3000</v>
      </c>
      <c r="J34" s="41">
        <f>Q34*$Q$1</f>
        <v>0</v>
      </c>
      <c r="K34" s="42">
        <f>R34</f>
        <v>0</v>
      </c>
      <c r="L34" s="41">
        <f>S34*$S$1</f>
        <v>0</v>
      </c>
      <c r="M34" s="43">
        <f>T34*$T$1</f>
        <v>0</v>
      </c>
      <c r="N34" s="43">
        <f>U34*$U$1</f>
        <v>0</v>
      </c>
      <c r="O34" s="43">
        <f>E34*I34</f>
        <v>3000</v>
      </c>
      <c r="P34" s="44">
        <f>Q34+Q34*R34+S34+T34+U34</f>
        <v>0</v>
      </c>
      <c r="Q34" s="16"/>
      <c r="R34" s="17"/>
      <c r="S34" s="16"/>
      <c r="T34" s="16"/>
      <c r="U34" s="16"/>
      <c r="V34" s="44">
        <f>E34*P34</f>
        <v>0</v>
      </c>
      <c r="W34" s="16"/>
      <c r="X34" s="16"/>
      <c r="Y34" s="16"/>
      <c r="Z34" s="10"/>
      <c r="AA34" s="10"/>
      <c r="AB34" s="10"/>
      <c r="AC34" s="10"/>
      <c r="AD34" s="10"/>
      <c r="AE34" s="10"/>
    </row>
    <row r="35" s="8" customFormat="1" ht="27" customHeight="1" outlineLevel="1" spans="1:31">
      <c r="A35" s="24">
        <v>2</v>
      </c>
      <c r="B35" s="25" t="s">
        <v>270</v>
      </c>
      <c r="C35" s="52"/>
      <c r="D35" s="25" t="s">
        <v>125</v>
      </c>
      <c r="E35" s="26">
        <v>1</v>
      </c>
      <c r="F35" s="26">
        <f>I35</f>
        <v>870</v>
      </c>
      <c r="G35" s="26">
        <f>F35*E35</f>
        <v>870</v>
      </c>
      <c r="H35" s="25"/>
      <c r="I35" s="41">
        <v>870</v>
      </c>
      <c r="J35" s="41"/>
      <c r="K35" s="42"/>
      <c r="L35" s="41"/>
      <c r="M35" s="43"/>
      <c r="N35" s="43"/>
      <c r="O35" s="43"/>
      <c r="P35" s="44">
        <f>Q35+Q35*R35+S35+T35+U35</f>
        <v>0</v>
      </c>
      <c r="Q35" s="16"/>
      <c r="R35" s="17"/>
      <c r="S35" s="16"/>
      <c r="T35" s="16"/>
      <c r="U35" s="16"/>
      <c r="V35" s="44">
        <f>E35*P35</f>
        <v>0</v>
      </c>
      <c r="W35" s="16"/>
      <c r="X35" s="16"/>
      <c r="Y35" s="16"/>
      <c r="Z35" s="10"/>
      <c r="AA35" s="10"/>
      <c r="AB35" s="10"/>
      <c r="AC35" s="10"/>
      <c r="AD35" s="10"/>
      <c r="AE35" s="10"/>
    </row>
    <row r="36" ht="30" customHeight="1" spans="1:31">
      <c r="A36" s="47" t="s">
        <v>28</v>
      </c>
      <c r="B36" s="49" t="s">
        <v>206</v>
      </c>
      <c r="C36" s="48"/>
      <c r="D36" s="49" t="s">
        <v>138</v>
      </c>
      <c r="E36" s="50">
        <v>1</v>
      </c>
      <c r="F36" s="50"/>
      <c r="G36" s="56">
        <f>G3+G5</f>
        <v>63320.235</v>
      </c>
      <c r="H36" s="25"/>
      <c r="I36" s="14">
        <f>SUBTOTAL(9,G3:G35)</f>
        <v>63320.235</v>
      </c>
    </row>
    <row r="37" ht="30" customHeight="1" spans="1:31">
      <c r="A37" s="47" t="s">
        <v>30</v>
      </c>
      <c r="B37" s="49" t="s">
        <v>33</v>
      </c>
      <c r="C37" s="57">
        <f>不含空调消防清单!C106</f>
        <v>0.05</v>
      </c>
      <c r="D37" s="49" t="s">
        <v>138</v>
      </c>
      <c r="E37" s="50">
        <v>1</v>
      </c>
      <c r="F37" s="50"/>
      <c r="G37" s="56">
        <f>G36*C37</f>
        <v>3166.01175</v>
      </c>
      <c r="H37" s="25"/>
    </row>
    <row r="38" ht="30" customHeight="1" spans="1:31">
      <c r="A38" s="47" t="s">
        <v>32</v>
      </c>
      <c r="B38" s="49" t="s">
        <v>35</v>
      </c>
      <c r="C38" s="57">
        <f>不含空调消防清单!C107</f>
        <v>0.09</v>
      </c>
      <c r="D38" s="49" t="s">
        <v>138</v>
      </c>
      <c r="E38" s="50">
        <v>1</v>
      </c>
      <c r="F38" s="50"/>
      <c r="G38" s="56">
        <f>(G36+G37)*C38</f>
        <v>5983.7622075</v>
      </c>
      <c r="H38" s="25"/>
    </row>
    <row r="39" ht="30" customHeight="1" spans="1:31">
      <c r="A39" s="47" t="s">
        <v>34</v>
      </c>
      <c r="B39" s="49" t="s">
        <v>21</v>
      </c>
      <c r="C39" s="57"/>
      <c r="D39" s="49" t="s">
        <v>138</v>
      </c>
      <c r="E39" s="50">
        <v>1</v>
      </c>
      <c r="F39" s="50"/>
      <c r="G39" s="56">
        <f>G38+G37+G36</f>
        <v>72470.0089575</v>
      </c>
      <c r="H39" s="25"/>
    </row>
    <row r="43" spans="1:31">
      <c r="E43" s="58"/>
      <c r="F43" s="58"/>
    </row>
  </sheetData>
  <sheetProtection selectLockedCells="1"/>
  <autoFilter xmlns:etc="http://www.wps.cn/officeDocument/2017/etCustomData" ref="A1:U39" etc:filterBottomFollowUsedRange="0">
    <extLst/>
  </autoFilter>
  <mergeCells count="1">
    <mergeCell ref="A1:H1"/>
  </mergeCells>
  <printOptions horizontalCentered="1"/>
  <pageMargins left="0.590277777777778" right="0.590277777777778" top="0.590277777777778" bottom="0.590277777777778" header="0.196527777777778" footer="0.196527777777778"/>
  <pageSetup paperSize="9" scale="78" orientation="portrait" horizontalDpi="600"/>
  <headerFooter>
    <oddFooter>&amp;C第 &amp;P 页，共 &amp;N 页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view="pageBreakPreview" zoomScaleNormal="100" workbookViewId="0">
      <pane xSplit="3" ySplit="2" topLeftCell="D3" activePane="bottomRight" state="frozen"/>
      <selection/>
      <selection pane="topRight"/>
      <selection pane="bottomLeft"/>
      <selection pane="bottomRight" activeCell="I10" sqref="I10"/>
    </sheetView>
  </sheetViews>
  <sheetFormatPr defaultColWidth="9" defaultRowHeight="12" outlineLevelCol="4"/>
  <cols>
    <col min="1" max="1" width="6" style="1" customWidth="1"/>
    <col min="2" max="2" width="12.75" style="1" customWidth="1"/>
    <col min="3" max="3" width="17.3833333333333" style="1" customWidth="1"/>
    <col min="4" max="4" width="24.3333333333333" style="1" customWidth="1"/>
    <col min="5" max="5" width="14.125" style="1" customWidth="1"/>
    <col min="6" max="14" width="9" style="1"/>
    <col min="15" max="17" width="9" style="2"/>
    <col min="18" max="16384" width="9" style="3"/>
  </cols>
  <sheetData>
    <row r="1" ht="28" customHeight="1" spans="1:5">
      <c r="A1" s="4" t="s">
        <v>271</v>
      </c>
      <c r="B1" s="4"/>
      <c r="C1" s="4"/>
      <c r="D1" s="4"/>
      <c r="E1" s="4"/>
    </row>
    <row r="2" ht="33" customHeight="1" spans="1:5">
      <c r="A2" s="5" t="s">
        <v>1</v>
      </c>
      <c r="B2" s="5" t="s">
        <v>272</v>
      </c>
      <c r="C2" s="5" t="s">
        <v>273</v>
      </c>
      <c r="D2" s="5" t="s">
        <v>274</v>
      </c>
      <c r="E2" s="5" t="s">
        <v>6</v>
      </c>
    </row>
    <row r="3" ht="24" customHeight="1" spans="1:5">
      <c r="A3" s="6">
        <v>1</v>
      </c>
      <c r="B3" s="6" t="s">
        <v>12</v>
      </c>
      <c r="C3" s="5" t="s">
        <v>275</v>
      </c>
      <c r="D3" s="5" t="s">
        <v>276</v>
      </c>
      <c r="E3" s="6"/>
    </row>
    <row r="4" ht="24" customHeight="1" spans="1:5">
      <c r="A4" s="6">
        <v>2</v>
      </c>
      <c r="B4" s="6" t="s">
        <v>12</v>
      </c>
      <c r="C4" s="5" t="s">
        <v>277</v>
      </c>
      <c r="D4" s="5" t="s">
        <v>278</v>
      </c>
      <c r="E4" s="6"/>
    </row>
    <row r="5" ht="32" customHeight="1" spans="1:5">
      <c r="A5" s="6">
        <v>3</v>
      </c>
      <c r="B5" s="6" t="s">
        <v>12</v>
      </c>
      <c r="C5" s="5" t="s">
        <v>279</v>
      </c>
      <c r="D5" s="5" t="s">
        <v>280</v>
      </c>
      <c r="E5" s="6"/>
    </row>
    <row r="6" ht="24" customHeight="1" spans="1:5">
      <c r="A6" s="6">
        <v>4</v>
      </c>
      <c r="B6" s="6" t="s">
        <v>12</v>
      </c>
      <c r="C6" s="5" t="s">
        <v>281</v>
      </c>
      <c r="D6" s="5" t="s">
        <v>282</v>
      </c>
      <c r="E6" s="6"/>
    </row>
    <row r="7" ht="24" customHeight="1" spans="1:5">
      <c r="A7" s="6">
        <v>5</v>
      </c>
      <c r="B7" s="6" t="s">
        <v>12</v>
      </c>
      <c r="C7" s="5" t="s">
        <v>283</v>
      </c>
      <c r="D7" s="5" t="s">
        <v>284</v>
      </c>
      <c r="E7" s="6"/>
    </row>
    <row r="8" ht="24" customHeight="1" spans="1:5">
      <c r="A8" s="6">
        <v>6</v>
      </c>
      <c r="B8" s="6" t="s">
        <v>12</v>
      </c>
      <c r="C8" s="5" t="s">
        <v>285</v>
      </c>
      <c r="D8" s="5" t="s">
        <v>284</v>
      </c>
      <c r="E8" s="6"/>
    </row>
    <row r="9" ht="24" customHeight="1" spans="1:5">
      <c r="A9" s="6">
        <v>7</v>
      </c>
      <c r="B9" s="6" t="s">
        <v>12</v>
      </c>
      <c r="C9" s="5" t="s">
        <v>286</v>
      </c>
      <c r="D9" s="5" t="str">
        <f>D6</f>
        <v>国产优质</v>
      </c>
      <c r="E9" s="6"/>
    </row>
    <row r="10" ht="24" customHeight="1" spans="1:5">
      <c r="A10" s="6">
        <v>8</v>
      </c>
      <c r="B10" s="6" t="s">
        <v>12</v>
      </c>
      <c r="C10" s="5" t="s">
        <v>287</v>
      </c>
      <c r="D10" s="5" t="s">
        <v>288</v>
      </c>
      <c r="E10" s="6"/>
    </row>
    <row r="11" ht="24" customHeight="1" spans="1:5">
      <c r="A11" s="6">
        <v>9</v>
      </c>
      <c r="B11" s="6" t="s">
        <v>12</v>
      </c>
      <c r="C11" s="5" t="s">
        <v>289</v>
      </c>
      <c r="D11" s="5" t="s">
        <v>288</v>
      </c>
      <c r="E11" s="6"/>
    </row>
    <row r="12" ht="24" customHeight="1" spans="1:5">
      <c r="A12" s="6">
        <v>10</v>
      </c>
      <c r="B12" s="6" t="s">
        <v>290</v>
      </c>
      <c r="C12" s="5" t="s">
        <v>291</v>
      </c>
      <c r="D12" s="5" t="s">
        <v>292</v>
      </c>
      <c r="E12" s="6"/>
    </row>
    <row r="13" ht="24" customHeight="1" spans="1:5">
      <c r="A13" s="6">
        <v>11</v>
      </c>
      <c r="B13" s="6" t="s">
        <v>290</v>
      </c>
      <c r="C13" s="5" t="s">
        <v>293</v>
      </c>
      <c r="D13" s="5" t="s">
        <v>294</v>
      </c>
      <c r="E13" s="6"/>
    </row>
    <row r="14" ht="24" customHeight="1" spans="1:5">
      <c r="A14" s="6">
        <v>12</v>
      </c>
      <c r="B14" s="6" t="s">
        <v>290</v>
      </c>
      <c r="C14" s="5" t="s">
        <v>295</v>
      </c>
      <c r="D14" s="5" t="s">
        <v>294</v>
      </c>
      <c r="E14" s="6"/>
    </row>
    <row r="15" ht="24" customHeight="1" spans="1:5">
      <c r="A15" s="6">
        <v>13</v>
      </c>
      <c r="B15" s="6" t="s">
        <v>290</v>
      </c>
      <c r="C15" s="5" t="s">
        <v>187</v>
      </c>
      <c r="D15" s="5" t="s">
        <v>296</v>
      </c>
      <c r="E15" s="6"/>
    </row>
    <row r="16" ht="24" customHeight="1" spans="1:5">
      <c r="A16" s="6">
        <v>14</v>
      </c>
      <c r="B16" s="6" t="s">
        <v>290</v>
      </c>
      <c r="C16" s="5" t="s">
        <v>189</v>
      </c>
      <c r="D16" s="5" t="s">
        <v>296</v>
      </c>
      <c r="E16" s="6"/>
    </row>
    <row r="17" ht="33" customHeight="1" spans="1:5">
      <c r="A17" s="6">
        <v>15</v>
      </c>
      <c r="B17" s="6" t="s">
        <v>290</v>
      </c>
      <c r="C17" s="5" t="s">
        <v>195</v>
      </c>
      <c r="D17" s="5" t="s">
        <v>296</v>
      </c>
      <c r="E17" s="6"/>
    </row>
    <row r="18" ht="33" customHeight="1" spans="1:5">
      <c r="A18" s="6">
        <v>16</v>
      </c>
      <c r="B18" s="6" t="s">
        <v>290</v>
      </c>
      <c r="C18" s="5" t="s">
        <v>297</v>
      </c>
      <c r="D18" s="5" t="s">
        <v>298</v>
      </c>
      <c r="E18" s="6"/>
    </row>
    <row r="19" ht="24" customHeight="1" spans="1:5">
      <c r="A19" s="6">
        <v>17</v>
      </c>
      <c r="B19" s="6" t="s">
        <v>15</v>
      </c>
      <c r="C19" s="5" t="s">
        <v>299</v>
      </c>
      <c r="D19" s="5" t="s">
        <v>300</v>
      </c>
      <c r="E19" s="6"/>
    </row>
    <row r="20" ht="24" customHeight="1" spans="1:5">
      <c r="A20" s="6">
        <v>18</v>
      </c>
      <c r="B20" s="6" t="s">
        <v>290</v>
      </c>
      <c r="C20" s="6" t="s">
        <v>112</v>
      </c>
      <c r="D20" s="5" t="s">
        <v>301</v>
      </c>
      <c r="E20" s="6"/>
    </row>
  </sheetData>
  <mergeCells count="1">
    <mergeCell ref="A1:E1"/>
  </mergeCells>
  <printOptions horizontalCentered="1"/>
  <pageMargins left="0.751388888888889" right="0.751388888888889" top="1" bottom="1" header="0.5" footer="0.5"/>
  <pageSetup paperSize="9" orientation="portrait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报价汇总-装修工程</vt:lpstr>
      <vt:lpstr>不含空调消防清单</vt:lpstr>
      <vt:lpstr>报价汇总-空调消防</vt:lpstr>
      <vt:lpstr>空调消防清单</vt:lpstr>
      <vt:lpstr>材料设备参考品牌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10856</dc:creator>
  <cp:lastModifiedBy>叶渭淋</cp:lastModifiedBy>
  <dcterms:created xsi:type="dcterms:W3CDTF">2024-06-15T05:53:00Z</dcterms:created>
  <dcterms:modified xsi:type="dcterms:W3CDTF">2026-08-04T06:39:35Z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F83351AAFCD440B4A13C284EC5F9BE7E_13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