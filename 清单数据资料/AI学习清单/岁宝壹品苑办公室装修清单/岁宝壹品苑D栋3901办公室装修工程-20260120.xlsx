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firstSheet="2" activeTab="1"/>
  </bookViews>
  <sheets>
    <sheet name="报价汇总-装修工程" sheetId="2" r:id="rId1"/>
    <sheet name="不含空调消防清单" sheetId="1" r:id="rId2"/>
    <sheet name="报价汇总-空调消防" sheetId="4" r:id="rId3"/>
    <sheet name="空调消防清单" sheetId="3" r:id="rId4"/>
    <sheet name="材料设备参考品牌" sheetId="5" r:id="rId5"/>
  </sheets>
  <definedNames>
    <definedName name="_xlnm._FilterDatabase" localSheetId="1" hidden="1">不含空调消防清单!$A$1:$U$95</definedName>
    <definedName name="_xlnm._FilterDatabase" localSheetId="3" hidden="1">空调消防清单!$A$1:$U$40</definedName>
    <definedName name="_xlnm.Print_Area" localSheetId="1">不含空调消防清单!$A$1:$H$95</definedName>
    <definedName name="_xlnm.Print_Titles" localSheetId="1">不含空调消防清单!$1:$2</definedName>
    <definedName name="_xlnm.Print_Area" localSheetId="0">'报价汇总-装修工程'!$A$1:$F$18</definedName>
    <definedName name="_xlnm.Print_Titles" localSheetId="0">'报价汇总-装修工程'!$1:$2</definedName>
    <definedName name="_xlnm.Print_Area" localSheetId="3">空调消防清单!$A$1:$H$40</definedName>
    <definedName name="_xlnm.Print_Titles" localSheetId="3">空调消防清单!$1:$2</definedName>
    <definedName name="_xlnm.Print_Area" localSheetId="2">'报价汇总-空调消防'!$A$1:$F$8</definedName>
    <definedName name="_xlnm.Print_Titles" localSheetId="2">'报价汇总-空调消防'!$1:$2</definedName>
    <definedName name="_xlnm.Print_Titles" localSheetId="4">材料设备参考品牌!$1:$2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<sst xmlns="http://schemas.openxmlformats.org/spreadsheetml/2006/main" count="521" uniqueCount="288">
  <si>
    <t>岁宝壹品苑D栋3901办公室装修汇总
装修工程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</si>
  <si>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</si>
  <si>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</si>
  <si>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</si>
  <si>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</si>
  <si>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</si>
  <si>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</si>
  <si>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</si>
  <si>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</si>
  <si>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成本</t>
  </si>
  <si>
    <t>（一）</t>
  </si>
  <si>
    <t>隔墙工程</t>
  </si>
  <si>
    <t>装饰</t>
  </si>
  <si>
    <t>（二）</t>
  </si>
  <si>
    <t>地面工程</t>
  </si>
  <si>
    <t>空调</t>
  </si>
  <si>
    <t>（三）</t>
  </si>
  <si>
    <t>天花工程</t>
  </si>
  <si>
    <t>消防</t>
  </si>
  <si>
    <t>（四）</t>
  </si>
  <si>
    <t>墙面工程</t>
  </si>
  <si>
    <t>合计</t>
  </si>
  <si>
    <t>（五）</t>
  </si>
  <si>
    <t>固定家具及门窗工程</t>
  </si>
  <si>
    <t>二</t>
  </si>
  <si>
    <t>安装工程</t>
  </si>
  <si>
    <t>强电工程</t>
  </si>
  <si>
    <t>弱电工程</t>
  </si>
  <si>
    <t>三</t>
  </si>
  <si>
    <t>其他工程</t>
  </si>
  <si>
    <t>四</t>
  </si>
  <si>
    <t>小计：一+二+三</t>
  </si>
  <si>
    <t>五</t>
  </si>
  <si>
    <t>管理费</t>
  </si>
  <si>
    <t>六</t>
  </si>
  <si>
    <t>税金</t>
  </si>
  <si>
    <t>七</t>
  </si>
  <si>
    <t>装饰合计=四+五+六
（不含消防空调）</t>
  </si>
  <si>
    <t>建筑面积319.15㎡</t>
  </si>
  <si>
    <t>八</t>
  </si>
  <si>
    <t>消防空调</t>
  </si>
  <si>
    <t>九</t>
  </si>
  <si>
    <t>总计:
（装饰+消防空调）</t>
  </si>
  <si>
    <t>岁宝壹品苑D栋3901办公室装修清单
（不含空调消防）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</si>
  <si>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</si>
  <si>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</si>
  <si>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</si>
  <si>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</si>
  <si>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</si>
  <si>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</si>
  <si>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</si>
  <si>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</si>
  <si>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</si>
  <si>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</si>
  <si>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</si>
  <si>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成本价</t>
  </si>
  <si>
    <t>成本合计</t>
  </si>
  <si>
    <t>拆除原有砖墙
（150mm厚）</t>
  </si>
  <si>
    <t>1、人工拆除
2、机械设备
3、防护措施
4、垃圾清理装袋</t>
  </si>
  <si>
    <t>㎡</t>
  </si>
  <si>
    <t>门洞顶部横梁槽钢加固</t>
  </si>
  <si>
    <t>1、原墙面开门洞后横梁槽钢加固</t>
  </si>
  <si>
    <t>m</t>
  </si>
  <si>
    <t>门洞侧边水泥砂浆修补</t>
  </si>
  <si>
    <t>1、门洞侧边水泥砂浆修补</t>
  </si>
  <si>
    <t>门洞侧边12mm阻燃夹板封边</t>
  </si>
  <si>
    <t>1、原墙面开门洞后12mm阻燃夹板封边</t>
  </si>
  <si>
    <t>新建轻质砖墙-旧门洞封堵
（150mm厚）</t>
  </si>
  <si>
    <t>1、成品砂浆、15#轻质砖
2、完成面150mm厚</t>
  </si>
  <si>
    <t>内墙水泥砂浆抹灰</t>
  </si>
  <si>
    <t>1、基层墙体：砌体墙、混凝土墙
2、厚度：20mm
3、做法：墙面基层清理，不同界面交接处、阴角转角处、管线开槽处，挂镀锌电焊网，公区人流通道等局部砌体墙满挂镀锌电焊网，面层压入1道耐碱网格布，水泥砂浆找平、压实抹光；</t>
  </si>
  <si>
    <t>轻钢龙骨隔墙</t>
  </si>
  <si>
    <t>双层双面轻钢龙骨隔墙
1、墙厚120mm;
2、75mm轻钢龙骨；
3、50mm厚，48kg/m3的吸音棉；
4、12mm阻燃夹板+9.5mm厚石膏板</t>
  </si>
  <si>
    <t>轻钢龙骨</t>
  </si>
  <si>
    <t>1、天地龙骨
2、竖龙骨
3、穿心龙骨
4、其他辅材</t>
  </si>
  <si>
    <t>50mm厚吸音棉</t>
  </si>
  <si>
    <t>1、50mm厚，48kg/m3的吸音棉</t>
  </si>
  <si>
    <t>12mm阻燃夹板</t>
  </si>
  <si>
    <t>1、双面单层12mm阻燃夹板打底</t>
  </si>
  <si>
    <t>9.5mm厚石膏板</t>
  </si>
  <si>
    <t>1、双面单层9.5mm厚石膏板</t>
  </si>
  <si>
    <t>GL-01 中空钢化玻璃隔断（含免漆板隔断）</t>
  </si>
  <si>
    <t>1、GL-01 5+5mm钢化玻璃;
2、铝框包边
3、五金配件等制作安装</t>
  </si>
  <si>
    <t>钢化玻璃隔断上方封板</t>
  </si>
  <si>
    <t>双层双面钢结构龙骨隔墙
1、墙厚120mm;
2、钢结构龙骨；
3、50mm厚，48kg/m3的吸音棉；
4、12mm厚阻燃夹板+9.5mm厚石膏板</t>
  </si>
  <si>
    <t>钢结构龙骨</t>
  </si>
  <si>
    <t>1、钢结构龙骨
2、刷防锈漆
3、其他辅材</t>
  </si>
  <si>
    <t>1、单层12mm阻燃夹板打底</t>
  </si>
  <si>
    <t>100mm厚陶粒拌混泥土垫层</t>
  </si>
  <si>
    <t>1、100mm厚陶粒拌混泥土垫层</t>
  </si>
  <si>
    <t>地面块料</t>
  </si>
  <si>
    <t>1、CT-01灰色地砖
2、瓷砖规格：750*1500
3、瓷砖专用胶泥结合层，厚度包干，后期不因厚度调整价格；
4、白水泥擦缝</t>
  </si>
  <si>
    <t>美缝</t>
  </si>
  <si>
    <t>1、专业美缝剂美缝</t>
  </si>
  <si>
    <t>地面架空层</t>
  </si>
  <si>
    <t>1、100mm高
2、500*500mm架空地板</t>
  </si>
  <si>
    <t>地面地毯</t>
  </si>
  <si>
    <t>1、规格尺寸：500*500
2、地毯专用胶，厚度包干，后期不因厚度调整价格；</t>
  </si>
  <si>
    <t>原天棚喷乳胶漆PT-02
(含墙体上部)</t>
  </si>
  <si>
    <t>1、面层：PT-02深色涂料两遍
2、包含各种管道</t>
  </si>
  <si>
    <t>办公室高晶硅钙板吊顶</t>
  </si>
  <si>
    <t>1、吊顶形式：平级
2、基层：轻钢龙骨+高晶硅钙板
3.含各种灯具、检修口、风口开口</t>
  </si>
  <si>
    <t>石膏板天花吊顶</t>
  </si>
  <si>
    <t>1、吊顶形式：平级+跌级吊顶
2、基层：轻钢龙骨+双层9.5mm厚石膏板
3.含各种灯具、检修口、风口开口</t>
  </si>
  <si>
    <t>1、轻钢龙骨吊顶
2、其他辅材</t>
  </si>
  <si>
    <t>1、12mm阻燃夹板</t>
  </si>
  <si>
    <t>天花板缝贴纸带刮平整</t>
  </si>
  <si>
    <t>天花挂耐水腻子</t>
  </si>
  <si>
    <t>1、耐水腻子2道，含打磨、修补</t>
  </si>
  <si>
    <t>天棚乳胶漆</t>
  </si>
  <si>
    <t>1、面层：PT-01无机白色涂料一底二面</t>
  </si>
  <si>
    <t>天花灯槽</t>
  </si>
  <si>
    <t>1、规格：100*100*100mm天花灯槽
2、基层：轻钢龙骨
3、面层：12mm厚阻燃夹板+9.5mm厚石膏板</t>
  </si>
  <si>
    <t>窗帘盒</t>
  </si>
  <si>
    <t>1、基层：钢结构龙骨+阻燃板基层
2、面层：9.5mm厚石膏板</t>
  </si>
  <si>
    <t>窗帘</t>
  </si>
  <si>
    <t>1、成品窗帘</t>
  </si>
  <si>
    <t>墙面缝贴纸带刮平整</t>
  </si>
  <si>
    <t>墙面挂耐水腻子</t>
  </si>
  <si>
    <t>耐水腻子2道，含打磨、修补</t>
  </si>
  <si>
    <t>墙面乳胶漆PT-01</t>
  </si>
  <si>
    <t>会议室白色烤漆玻璃饰面</t>
  </si>
  <si>
    <t>1、面层：白色烤漆玻璃
2、基层：12mm厚阻燃夹板</t>
  </si>
  <si>
    <t>MT-01 1.2mm厚不锈钢踢脚线</t>
  </si>
  <si>
    <t>1、规格尺寸：50mm高
2、面层：MT-01 1.2mm厚不锈钢
3、基层：轻钢龙骨+12mm厚阻燃夹板</t>
  </si>
  <si>
    <t>岩板墙饰面
（前台处）</t>
  </si>
  <si>
    <t>1、面层：CT-02成品岩板9mm厚
2、基层：12mm厚阻燃夹板</t>
  </si>
  <si>
    <t>门禁系统安装</t>
  </si>
  <si>
    <t>1、门洞尺寸：1600*2500mm
2、门洞开口及修补加固
3、玻璃门保护性拆除及拆除后重新安装</t>
  </si>
  <si>
    <t>项</t>
  </si>
  <si>
    <t>玻璃双开门</t>
  </si>
  <si>
    <t>1、10mm厚钢化玻璃门
2、门洞尺寸：1700mm*2800mm
3、含门锁.不锈钢扶手五金等制作安装</t>
  </si>
  <si>
    <t>樘</t>
  </si>
  <si>
    <t>扶手</t>
  </si>
  <si>
    <t>副</t>
  </si>
  <si>
    <t>门夹</t>
  </si>
  <si>
    <t>地弹簧</t>
  </si>
  <si>
    <t>玻璃单开门</t>
  </si>
  <si>
    <t>1、10mm厚钢化玻璃门
2、门洞尺寸：1000mm*2800mm
3、含门锁.不锈钢扶手五金等制作安装</t>
  </si>
  <si>
    <t>木饰面单开门</t>
  </si>
  <si>
    <t>1、木饰面单开门
2、门洞尺寸：850mm*2800mm
3、含门套、门锁五金、门吸等制作安装</t>
  </si>
  <si>
    <t>门锁</t>
  </si>
  <si>
    <t>个</t>
  </si>
  <si>
    <t>合页</t>
  </si>
  <si>
    <t>门吸</t>
  </si>
  <si>
    <t>拉手</t>
  </si>
  <si>
    <t>拉丝不锈钢装饰门套</t>
  </si>
  <si>
    <t>1、规格：150*20mm
2、基层：12mm厚阻燃夹板
3、面层：1mm厚拉丝不锈钢</t>
  </si>
  <si>
    <t>休闲室地柜</t>
  </si>
  <si>
    <t>1、规格尺寸：2150*450*850mm
2、木饰面板柜体，人造石台面；
3、按平面投影面积计算,综合考虑柜体尺寸及内部做法；
4、含包边、饰面、柜体五金、抽屉及其他所需材料安装施工；
5、满足设计图纸、招标要求及国家有关现行施工及验收规范要求</t>
  </si>
  <si>
    <t>休闲室吊柜</t>
  </si>
  <si>
    <t>1、规格尺寸：2150*350*1250mm
2、木饰面板柜体；
3、按平面投影面积计算,综合考虑柜体尺寸及内部做法；
4、含包边、饰面、柜体五金、抽屉及其他所需材料安装施工；
5、满足设计图纸、招标要求及国家有关现行施工及验收规范要求</t>
  </si>
  <si>
    <t>强电部分(不含照明灯具及开关插座)</t>
  </si>
  <si>
    <r>
      <rPr>
        <sz val="10"/>
        <rFont val="黑体"/>
        <charset val="134"/>
      </rPr>
      <t>1、成天泰2.5、4平方国标电源线；
2、照明线用wdz-byj-2.5m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,每路线负荷220V/2500W;
3、插座线用wdz-byj-4m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
220V/4000W
4、含人工及镀锌金属线管</t>
    </r>
  </si>
  <si>
    <t>强电配电箱移位</t>
  </si>
  <si>
    <t>弱电配电箱移位</t>
  </si>
  <si>
    <t>开放办公室装饰吊灯</t>
  </si>
  <si>
    <t>1、名称:定制装饰吊灯
2、规格:4800*150mm
3、安装形式:吊装
4、其他:满足设计及施工要求</t>
  </si>
  <si>
    <t>总总裁办公室吊灯</t>
  </si>
  <si>
    <t>1、名称:装饰吊灯
2、规格:
3、安装形式:吊装
4、其他:满足设计及施工要求</t>
  </si>
  <si>
    <t>装饰筒灯</t>
  </si>
  <si>
    <t>1、名称:筒灯
2、规格:
3、安装形式:嵌入式
4、其他:满足设计及施工要求</t>
  </si>
  <si>
    <t>装饰明装筒灯</t>
  </si>
  <si>
    <t>1、名称:明装筒灯
2、规格:
3、安装形式:吊装
4、其他:满足设计及施工要求</t>
  </si>
  <si>
    <t>可调节射灯</t>
  </si>
  <si>
    <t>1、名称:可调节射灯
2、规格:
3、安装形式:嵌入式
4、其他:满足设计及施工要求</t>
  </si>
  <si>
    <t>磁吸灯</t>
  </si>
  <si>
    <t>1、名称:磁吸灯
2、规格:
3、安装形式:嵌入式
4、其他:满足设计及施工要求</t>
  </si>
  <si>
    <t>天花灯带</t>
  </si>
  <si>
    <t>1、led灯带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</si>
  <si>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</si>
  <si>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</si>
  <si>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</si>
  <si>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</si>
  <si>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窗户自动开关器</t>
  </si>
  <si>
    <t>1、窗户自动开关器</t>
  </si>
  <si>
    <t>弱电部分（含信号线、网线，不含信号插座）</t>
  </si>
  <si>
    <t>1、紧定式镀锌电线管
2、信号线、网线
3、智能模块</t>
  </si>
  <si>
    <t>网络插座</t>
  </si>
  <si>
    <t>垃圾清运费</t>
  </si>
  <si>
    <t>1.将垃圾运至物业指定小区内装修垃圾存放点。2.物业运至外部垃圾厂。（含物业收取的垃圾外运费）</t>
  </si>
  <si>
    <t>安全文明施工费</t>
  </si>
  <si>
    <t>保洁交付</t>
  </si>
  <si>
    <t>材料搬运费</t>
  </si>
  <si>
    <t>安全生产责任险</t>
  </si>
  <si>
    <t>甲醛处理</t>
  </si>
  <si>
    <t>现场成品保护</t>
  </si>
  <si>
    <t>1.根据物业标准，电梯厅，过道地面、墙面全屋做成品保护</t>
  </si>
  <si>
    <t>小计</t>
  </si>
  <si>
    <t>岁宝壹品苑D栋3901办公室装修汇总
空调消防</t>
  </si>
  <si>
    <t>合计：一+二</t>
  </si>
  <si>
    <t>合计=三+四+五</t>
  </si>
  <si>
    <t>岁宝壹品苑D栋3901办公室装修清单
空调消防</t>
  </si>
  <si>
    <t>空调工程</t>
  </si>
  <si>
    <t>空调风机盘管1P</t>
  </si>
  <si>
    <t>1、包含铝合金风口、空调管道、帆布、钢结构支架等</t>
  </si>
  <si>
    <t>台</t>
  </si>
  <si>
    <t>空调风机盘管2P</t>
  </si>
  <si>
    <t>消防改造</t>
  </si>
  <si>
    <t>火灾自动报警系统</t>
  </si>
  <si>
    <t>探测器拆除、安装</t>
  </si>
  <si>
    <t>1.名称：感烟
2.型号.规格：</t>
  </si>
  <si>
    <t>套</t>
  </si>
  <si>
    <t>探测器新增、安装</t>
  </si>
  <si>
    <t>1.规格型号:感烟
2.其它：符合规范和设计要求</t>
  </si>
  <si>
    <t>消防广播拆除、安装</t>
  </si>
  <si>
    <t>1.名称：消防广播
2.型号.规格：</t>
  </si>
  <si>
    <t>电气配管</t>
  </si>
  <si>
    <t>1.型号规格：JDG20
2.敷设形式：综合考虑
3.含接线盒
4.根据现场情况改造到位</t>
  </si>
  <si>
    <t>米</t>
  </si>
  <si>
    <t>金属软管</t>
  </si>
  <si>
    <t>1.型号规格：φ20
2.敷设形式：综合考虑</t>
  </si>
  <si>
    <t>电气配线</t>
  </si>
  <si>
    <t>1.名称:阻燃屏蔽双绞线
2.型号规格：ZR-RVS-2*1.5mm
3.敷设方式：穿管及线槽敷设</t>
  </si>
  <si>
    <t>报警系统调试</t>
  </si>
  <si>
    <t>1、仅限我司施工
的项目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</si>
  <si>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</si>
  <si>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</si>
  <si>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</si>
  <si>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自动喷淋灭火系统</t>
  </si>
  <si>
    <t>保护性拆除明装喷头</t>
  </si>
  <si>
    <t>1.名称：上喷头保护性拆除
2.型号.规格：</t>
  </si>
  <si>
    <t>明装喷头</t>
  </si>
  <si>
    <t>1.名称：明装喷头
2.型号.规格：
3.其它：符合规范和设计要求</t>
  </si>
  <si>
    <t>管网支吊架</t>
  </si>
  <si>
    <t>1、含钢制作、安装</t>
  </si>
  <si>
    <t>KG</t>
  </si>
  <si>
    <t>大红油漆（含人工及天那水）</t>
  </si>
  <si>
    <t>1、含油漆、天那水、人工</t>
  </si>
  <si>
    <t>桶</t>
  </si>
  <si>
    <t>消防喷淋管 DN25</t>
  </si>
  <si>
    <t>1.安装部位：室内
2.介质:喷淋给水
3.材质、规格:内外壁热镀锌钢管DN25  
4.连接方式:螺纹连接 含管件
5.其他要求:满足施工图纸技术规范要求</t>
  </si>
  <si>
    <t>消防喷淋管 DN32</t>
  </si>
  <si>
    <t>1.安装部位：室内
2.介质:喷淋给水
3.材质、规格:内外壁热镀锌钢管DN32 
4.连接方式:螺纹连接 含管件
5.其他要求:满足施工图纸技术规范要求</t>
  </si>
  <si>
    <t>消防喷淋管 DN40</t>
  </si>
  <si>
    <t>1.安装部位：室内
2.介质:喷淋给水
3.材质、规格:内外壁热镀锌钢管DN40 
4.连接方式:螺纹连接 含管件
5.其他要求:满足施工图纸技术规范要求</t>
  </si>
  <si>
    <t>消防喷淋管 DN50</t>
  </si>
  <si>
    <t>1.安装部位：室内
2.介质:喷淋给水
3.材质、规格:内外壁热镀锌钢管DN50
4.连接方式:螺纹连接 含管件
5.其他要求:满足施工图纸技术规范要求</t>
  </si>
  <si>
    <t>喷淋管网排水费</t>
  </si>
  <si>
    <t>1、含管网排水费及人工</t>
  </si>
  <si>
    <t>喷淋管网试压</t>
  </si>
  <si>
    <t>1、管网冲洗、试压、调试</t>
  </si>
  <si>
    <t>机械排烟系统</t>
  </si>
  <si>
    <t>镀锌风管拆除、移位</t>
  </si>
  <si>
    <t>镀锌风管新增、安装</t>
  </si>
  <si>
    <t>1.风管的制作与安装
2.法兰、支架的制作、防锈与安装固定</t>
  </si>
  <si>
    <t>风管防火包裹</t>
  </si>
  <si>
    <t>280℃防火阀拆除、安装</t>
  </si>
  <si>
    <t>1.型号：防火阀280℃
2.包含设备及辅材安装费
3.包含电源线接驳</t>
  </si>
  <si>
    <t>常开百叶风口</t>
  </si>
  <si>
    <t>1、规格：成品铝框架百叶风口供货及安装
2、包含但不限于编制说明、图纸、技术要求中的相关内容及完成该项目的一切所需</t>
  </si>
  <si>
    <t>排烟系统调试</t>
  </si>
  <si>
    <t>其他</t>
  </si>
  <si>
    <t>消防报验</t>
  </si>
  <si>
    <t>含相关部门收取的报验费用。</t>
  </si>
  <si>
    <t>综合专业设计出图</t>
  </si>
  <si>
    <t>3901材料设备参考品牌</t>
  </si>
  <si>
    <t>专业</t>
  </si>
  <si>
    <t>材料名称</t>
  </si>
  <si>
    <t>中高档品牌，报两三个品牌</t>
  </si>
  <si>
    <t>地砖</t>
  </si>
  <si>
    <t>玛格罗兰、简一</t>
  </si>
  <si>
    <t>岩板（800*1600）</t>
  </si>
  <si>
    <t>伊诺、玛格罗兰</t>
  </si>
  <si>
    <t>木饰面</t>
  </si>
  <si>
    <t>定制</t>
  </si>
  <si>
    <t>不锈钢</t>
  </si>
  <si>
    <t>国产优质</t>
  </si>
  <si>
    <t>石膏板</t>
  </si>
  <si>
    <t>深耐福</t>
  </si>
  <si>
    <t>夹板、阻燃板</t>
  </si>
  <si>
    <t>艺术漆</t>
  </si>
  <si>
    <t>乳胶漆</t>
  </si>
  <si>
    <t>立邦</t>
  </si>
  <si>
    <t>腻子</t>
  </si>
  <si>
    <t>安装</t>
  </si>
  <si>
    <t>照明，强电用线</t>
  </si>
  <si>
    <t>南洋</t>
  </si>
  <si>
    <t>灯具（射灯、筒灯）</t>
  </si>
  <si>
    <t>三雄、欧普</t>
  </si>
  <si>
    <t>LED灯带</t>
  </si>
  <si>
    <t>公牛</t>
  </si>
  <si>
    <t>信号线、网线</t>
  </si>
  <si>
    <t>海康</t>
  </si>
  <si>
    <t>空调风机盘管</t>
  </si>
  <si>
    <t>麦克维尔</t>
  </si>
  <si>
    <t>电动窗帘电机</t>
  </si>
  <si>
    <t>国产杜亚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</si>
</sst>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5">
    <font>
      <sz val="11"/>
      <color theme="1"/>
      <name val="宋体"/>
      <charset val="134"/>
      <scheme val="minor"/>
    </font>
    <font>
      <sz val="10"/>
      <name val="黑体"/>
      <charset val="134"/>
    </font>
    <font>
      <b/>
      <sz val="16"/>
      <name val="黑体"/>
      <charset val="134"/>
    </font>
    <font>
      <sz val="10"/>
      <color theme="1"/>
      <name val="黑体"/>
      <charset val="134"/>
    </font>
    <font>
      <sz val="11"/>
      <color theme="1"/>
      <name val="黑体"/>
      <charset val="134"/>
    </font>
    <font>
      <b/>
      <sz val="10"/>
      <name val="黑体"/>
      <charset val="134"/>
    </font>
    <font>
      <b/>
      <sz val="10"/>
      <color theme="1"/>
      <name val="黑体"/>
      <charset val="134"/>
    </font>
    <font>
      <sz val="10"/>
      <color rgb="FF000000"/>
      <name val="黑体"/>
      <charset val="134"/>
    </font>
    <font>
      <sz val="16"/>
      <color theme="1"/>
      <name val="黑体"/>
      <charset val="134"/>
    </font>
    <font>
      <sz val="10"/>
      <name val="宋体"/>
      <charset val="134"/>
      <scheme val="minor"/>
    </font>
    <font>
      <sz val="9"/>
      <name val="黑体"/>
      <charset val="134"/>
    </font>
    <font>
      <b/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9" fontId="32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3" fillId="0" borderId="0"/>
    <xf numFmtId="0" fontId="0" fillId="0" borderId="0">
      <alignment vertical="center"/>
    </xf>
    <xf numFmtId="0" fontId="31" fillId="0" borderId="0"/>
  </cellStyleXfs>
  <cellXfs count="1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7" fontId="1" fillId="0" borderId="0" xfId="0" applyNumberFormat="1" applyFont="1" applyAlignment="1" applyProtection="1">
      <alignment horizontal="center" vertical="center" wrapText="1"/>
    </xf>
    <xf numFmtId="10" fontId="1" fillId="0" borderId="0" xfId="0" applyNumberFormat="1" applyFont="1" applyAlignment="1" applyProtection="1">
      <alignment horizontal="center" vertical="center" wrapText="1"/>
    </xf>
    <xf numFmtId="177" fontId="1" fillId="0" borderId="0" xfId="0" applyNumberFormat="1" applyFont="1" applyAlignment="1" applyProtection="1">
      <alignment horizontal="center" vertical="center" wrapText="1"/>
      <protection locked="0"/>
    </xf>
    <xf numFmtId="10" fontId="1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77" fontId="3" fillId="0" borderId="0" xfId="0" applyNumberFormat="1" applyFont="1" applyAlignment="1" applyProtection="1">
      <alignment horizontal="center" vertical="center" wrapText="1"/>
    </xf>
    <xf numFmtId="10" fontId="3" fillId="0" borderId="0" xfId="0" applyNumberFormat="1" applyFont="1" applyAlignment="1" applyProtection="1">
      <alignment horizontal="center" vertical="center" wrapText="1"/>
    </xf>
    <xf numFmtId="177" fontId="3" fillId="0" borderId="0" xfId="0" applyNumberFormat="1" applyFont="1" applyAlignment="1" applyProtection="1">
      <alignment horizontal="center" vertical="center" wrapText="1"/>
      <protection locked="0"/>
    </xf>
    <xf numFmtId="10" fontId="3" fillId="0" borderId="0" xfId="0" applyNumberFormat="1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Alignment="1" applyProtection="1">
      <alignment horizontal="center" vertical="center" wrapText="1"/>
    </xf>
    <xf numFmtId="10" fontId="3" fillId="0" borderId="1" xfId="0" applyNumberFormat="1" applyFont="1" applyBorder="1" applyAlignment="1" applyProtection="1">
      <alignment horizontal="center" vertical="center" wrapText="1"/>
    </xf>
    <xf numFmtId="177" fontId="3" fillId="0" borderId="1" xfId="0" applyNumberFormat="1" applyFont="1" applyBorder="1" applyAlignment="1" applyProtection="1">
      <alignment horizontal="center" vertical="center" wrapText="1"/>
      <protection locked="0"/>
    </xf>
    <xf numFmtId="10" fontId="3" fillId="0" borderId="1" xfId="0" applyNumberFormat="1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177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10" fontId="7" fillId="0" borderId="1" xfId="3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77" fontId="1" fillId="0" borderId="0" xfId="0" applyNumberFormat="1" applyFont="1" applyFill="1" applyAlignment="1" applyProtection="1">
      <alignment horizontal="center" vertical="center" wrapText="1"/>
      <protection locked="0"/>
    </xf>
    <xf numFmtId="10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58" applyFont="1" applyFill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58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59" applyFont="1" applyFill="1" applyBorder="1" applyAlignment="1" applyProtection="1">
      <alignment vertical="center" wrapText="1"/>
    </xf>
    <xf numFmtId="176" fontId="5" fillId="0" borderId="1" xfId="0" applyNumberFormat="1" applyFont="1" applyBorder="1" applyAlignment="1" applyProtection="1">
      <alignment horizontal="center" vertical="center" wrapText="1"/>
    </xf>
    <xf numFmtId="9" fontId="5" fillId="0" borderId="1" xfId="0" applyNumberFormat="1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 wrapText="1"/>
    </xf>
    <xf numFmtId="177" fontId="3" fillId="0" borderId="0" xfId="0" applyNumberFormat="1" applyFont="1" applyAlignment="1">
      <alignment vertical="center" wrapText="1"/>
    </xf>
    <xf numFmtId="177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6" xfId="0" applyNumberFormat="1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  <xf numFmtId="176" fontId="1" fillId="0" borderId="0" xfId="0" applyNumberFormat="1" applyFont="1" applyFill="1" applyAlignment="1" applyProtection="1">
      <alignment horizontal="center" vertical="center" wrapText="1"/>
      <protection locked="0"/>
    </xf>
    <xf numFmtId="177" fontId="1" fillId="0" borderId="0" xfId="0" applyNumberFormat="1" applyFont="1" applyFill="1" applyAlignment="1" applyProtection="1">
      <alignment horizontal="center" vertical="center" wrapText="1"/>
    </xf>
    <xf numFmtId="177" fontId="1" fillId="0" borderId="0" xfId="0" applyNumberFormat="1" applyFont="1" applyFill="1" applyAlignment="1" applyProtection="1">
      <alignment horizontal="center" vertical="center"/>
    </xf>
    <xf numFmtId="10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left" vertical="center" wrapText="1"/>
      <protection locked="0"/>
    </xf>
    <xf numFmtId="177" fontId="3" fillId="0" borderId="0" xfId="0" applyNumberFormat="1" applyFont="1" applyFill="1" applyAlignment="1" applyProtection="1">
      <alignment horizontal="center" vertical="center" wrapText="1"/>
    </xf>
    <xf numFmtId="177" fontId="3" fillId="0" borderId="0" xfId="0" applyNumberFormat="1" applyFont="1" applyFill="1" applyAlignment="1" applyProtection="1">
      <alignment horizontal="center" vertical="center"/>
    </xf>
    <xf numFmtId="10" fontId="3" fillId="0" borderId="0" xfId="0" applyNumberFormat="1" applyFont="1" applyFill="1" applyAlignment="1" applyProtection="1">
      <alignment horizontal="center" vertical="center"/>
    </xf>
    <xf numFmtId="177" fontId="3" fillId="0" borderId="0" xfId="0" applyNumberFormat="1" applyFont="1" applyFill="1" applyAlignment="1" applyProtection="1">
      <alignment horizontal="center" vertical="center" wrapText="1"/>
      <protection locked="0"/>
    </xf>
    <xf numFmtId="10" fontId="3" fillId="0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 vertical="center"/>
    </xf>
    <xf numFmtId="10" fontId="3" fillId="0" borderId="1" xfId="0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177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7" fillId="0" borderId="1" xfId="0" applyNumberFormat="1" applyFont="1" applyFill="1" applyBorder="1" applyAlignment="1" applyProtection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Alignment="1" applyProtection="1">
      <alignment horizontal="center" vertical="center"/>
      <protection locked="0"/>
    </xf>
    <xf numFmtId="10" fontId="3" fillId="0" borderId="0" xfId="0" applyNumberFormat="1" applyFont="1" applyFill="1" applyAlignment="1" applyProtection="1">
      <alignment horizontal="center" vertical="center"/>
      <protection locked="0"/>
    </xf>
    <xf numFmtId="177" fontId="3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 applyProtection="1">
      <alignment horizontal="center" vertical="center"/>
      <protection locked="0"/>
    </xf>
    <xf numFmtId="177" fontId="1" fillId="0" borderId="0" xfId="0" applyNumberFormat="1" applyFont="1" applyFill="1" applyAlignment="1" applyProtection="1">
      <alignment horizontal="center" vertical="center"/>
      <protection locked="0"/>
    </xf>
    <xf numFmtId="177" fontId="9" fillId="0" borderId="0" xfId="0" applyNumberFormat="1" applyFont="1" applyFill="1" applyBorder="1" applyAlignment="1" applyProtection="1">
      <alignment horizontal="center" vertical="center"/>
      <protection locked="0"/>
    </xf>
    <xf numFmtId="1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7" fontId="9" fillId="0" borderId="0" xfId="0" applyNumberFormat="1" applyFont="1" applyAlignment="1" applyProtection="1">
      <alignment horizontal="center" vertical="center"/>
      <protection locked="0"/>
    </xf>
    <xf numFmtId="10" fontId="9" fillId="0" borderId="0" xfId="0" applyNumberFormat="1" applyFont="1" applyAlignment="1" applyProtection="1">
      <alignment horizontal="center" vertical="center"/>
      <protection locked="0"/>
    </xf>
    <xf numFmtId="176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3" fillId="0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0" fontId="3" fillId="0" borderId="0" xfId="3" applyNumberFormat="1" applyFont="1" applyAlignment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  <cellStyle name="常规 2" xfId="58"/>
    <cellStyle name="0,0_x000d__x000a_NA_x000d__x000a_" xfId="5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I16" sqref="I16"/>
    </sheetView>
  </sheetViews>
  <sheetFormatPr defaultColWidth="9" defaultRowHeight="12"/>
  <cols>
    <col min="1" max="1" width="10" style="8" customWidth="1"/>
    <col min="2" max="2" width="22" style="59" customWidth="1"/>
    <col min="3" max="3" width="17.5583333333333" style="60" customWidth="1"/>
    <col min="4" max="5" width="13.775" style="60" customWidth="1"/>
    <col min="6" max="6" width="13.4416666666667" style="60" customWidth="1"/>
    <col min="7" max="7" width="14.1083333333333" style="119" customWidth="1"/>
    <col min="8" max="8" width="10.125" style="119"/>
    <col min="9" max="11" width="9" style="119"/>
    <col min="12" max="15" width="9" style="120"/>
    <col min="16" max="16384" width="9" style="62"/>
  </cols>
  <sheetData>
    <row r="1" ht="63" customHeight="1" spans="1:8">
      <c r="A1" s="63"/>
      <c r="B1" s="121" t="s">
        <v>0</v>
      </c>
      <c r="C1" s="122"/>
      <c r="D1" s="122"/>
      <c r="E1" s="122"/>
      <c r="F1" s="123"/>
    </row>
    <row r="2" ht="27" customHeight="1" spans="1:8">
      <c r="A2" s="67" t="s">
        <v>1</v>
      </c>
      <c r="B2" s="68" t="s">
        <v>2</v>
      </c>
      <c r="C2" s="69" t="s">
        <v>3</v>
      </c>
      <c r="D2" s="70" t="s">
        <v>4</v>
      </c>
      <c r="E2" s="70" t="s">
        <v>5</v>
      </c>
      <c r="F2" s="71" t="s">
        <v>6</v>
      </c>
    </row>
    <row r="3" ht="24" customHeight="1" spans="1:8">
      <c r="A3" s="67" t="s">
        <v>7</v>
      </c>
      <c r="B3" s="68" t="s">
        <v>8</v>
      </c>
      <c r="C3" s="69">
        <f>不含空调消防清单!G3</f>
        <v>169645.067894</v>
      </c>
      <c r="D3" s="70"/>
      <c r="E3" s="70"/>
      <c r="F3" s="71"/>
      <c r="G3" s="119" t="s">
        <v>9</v>
      </c>
    </row>
    <row r="4" ht="24" customHeight="1" spans="1:8">
      <c r="A4" s="124" t="s">
        <v>10</v>
      </c>
      <c r="B4" s="125" t="s">
        <v>11</v>
      </c>
      <c r="C4" s="126">
        <f>不含空调消防清单!G4</f>
        <v>53466.41088</v>
      </c>
      <c r="D4" s="127"/>
      <c r="E4" s="127"/>
      <c r="F4" s="128"/>
      <c r="G4" s="119" t="s">
        <v>12</v>
      </c>
      <c r="H4" s="119">
        <f>不含空调消防清单!G92</f>
        <v>239782.419560667</v>
      </c>
    </row>
    <row r="5" ht="24" customHeight="1" spans="1:8">
      <c r="A5" s="124" t="s">
        <v>13</v>
      </c>
      <c r="B5" s="125" t="s">
        <v>14</v>
      </c>
      <c r="C5" s="126">
        <f>不含空调消防清单!G22</f>
        <v>34168.4209</v>
      </c>
      <c r="D5" s="127"/>
      <c r="E5" s="127"/>
      <c r="F5" s="128"/>
      <c r="G5" s="119" t="s">
        <v>15</v>
      </c>
      <c r="H5" s="119">
        <v>48600</v>
      </c>
    </row>
    <row r="6" ht="24" customHeight="1" spans="1:8">
      <c r="A6" s="124" t="s">
        <v>16</v>
      </c>
      <c r="B6" s="125" t="s">
        <v>17</v>
      </c>
      <c r="C6" s="126">
        <f>不含空调消防清单!G28</f>
        <v>37942.384784</v>
      </c>
      <c r="D6" s="127"/>
      <c r="E6" s="127"/>
      <c r="F6" s="128"/>
      <c r="G6" s="119" t="s">
        <v>18</v>
      </c>
      <c r="H6" s="119">
        <v>12500</v>
      </c>
    </row>
    <row r="7" ht="24" customHeight="1" spans="1:8">
      <c r="A7" s="124" t="s">
        <v>19</v>
      </c>
      <c r="B7" s="125" t="s">
        <v>20</v>
      </c>
      <c r="C7" s="126">
        <f>不含空调消防清单!G41</f>
        <v>21072.01483</v>
      </c>
      <c r="D7" s="127"/>
      <c r="E7" s="127"/>
      <c r="F7" s="128"/>
      <c r="G7" s="119" t="s">
        <v>21</v>
      </c>
      <c r="H7" s="119">
        <f>SUM(H4:H6)</f>
        <v>300882.419560667</v>
      </c>
    </row>
    <row r="8" ht="24" customHeight="1" spans="1:8">
      <c r="A8" s="124" t="s">
        <v>22</v>
      </c>
      <c r="B8" s="125" t="s">
        <v>23</v>
      </c>
      <c r="C8" s="126">
        <f>不含空调消防清单!G48</f>
        <v>22995.8365</v>
      </c>
      <c r="D8" s="127"/>
      <c r="E8" s="127"/>
      <c r="F8" s="128"/>
      <c r="H8" s="119">
        <f>C13+C14+'报价汇总-空调消防'!C5+'报价汇总-空调消防'!C6</f>
        <v>344019.41122029</v>
      </c>
    </row>
    <row r="9" ht="24" customHeight="1" spans="1:8">
      <c r="A9" s="67" t="s">
        <v>24</v>
      </c>
      <c r="B9" s="68" t="s">
        <v>25</v>
      </c>
      <c r="C9" s="69">
        <f>不含空调消防清单!G66</f>
        <v>45325.2016666667</v>
      </c>
      <c r="D9" s="70"/>
      <c r="E9" s="70"/>
      <c r="F9" s="71"/>
      <c r="H9" s="129">
        <f>(H8-H7)/H7</f>
        <v>0.143368268982315</v>
      </c>
    </row>
    <row r="10" ht="24" customHeight="1" spans="1:8">
      <c r="A10" s="124" t="s">
        <v>10</v>
      </c>
      <c r="B10" s="125" t="s">
        <v>26</v>
      </c>
      <c r="C10" s="126">
        <f>不含空调消防清单!G67</f>
        <v>37343.6016666667</v>
      </c>
      <c r="D10" s="127"/>
      <c r="E10" s="127"/>
      <c r="F10" s="128"/>
    </row>
    <row r="11" ht="24" customHeight="1" spans="1:8">
      <c r="A11" s="124" t="s">
        <v>13</v>
      </c>
      <c r="B11" s="125" t="s">
        <v>27</v>
      </c>
      <c r="C11" s="126">
        <f>不含空调消防清单!G81</f>
        <v>7981.6</v>
      </c>
      <c r="D11" s="127"/>
      <c r="E11" s="127"/>
      <c r="F11" s="128"/>
    </row>
    <row r="12" ht="24" customHeight="1" spans="1:8">
      <c r="A12" s="67" t="s">
        <v>28</v>
      </c>
      <c r="B12" s="68" t="s">
        <v>29</v>
      </c>
      <c r="C12" s="69">
        <f>不含空调消防清单!G84</f>
        <v>24812.15</v>
      </c>
      <c r="D12" s="70"/>
      <c r="E12" s="70"/>
      <c r="F12" s="71"/>
    </row>
    <row r="13" ht="24" customHeight="1" spans="1:8">
      <c r="A13" s="67" t="s">
        <v>30</v>
      </c>
      <c r="B13" s="68" t="s">
        <v>31</v>
      </c>
      <c r="C13" s="69">
        <f>C3+C9+C12</f>
        <v>239782.419560667</v>
      </c>
      <c r="D13" s="70"/>
      <c r="E13" s="70"/>
      <c r="F13" s="71"/>
    </row>
    <row r="14" ht="24" customHeight="1" spans="1:8">
      <c r="A14" s="67" t="s">
        <v>32</v>
      </c>
      <c r="B14" s="68" t="s">
        <v>33</v>
      </c>
      <c r="C14" s="69">
        <f>不含空调消防清单!G93</f>
        <v>8392.38468462333</v>
      </c>
      <c r="D14" s="70"/>
      <c r="E14" s="70"/>
      <c r="F14" s="71"/>
    </row>
    <row r="15" ht="24" customHeight="1" spans="1:8">
      <c r="A15" s="67" t="s">
        <v>34</v>
      </c>
      <c r="B15" s="68" t="s">
        <v>35</v>
      </c>
      <c r="C15" s="69">
        <v>0</v>
      </c>
      <c r="D15" s="70"/>
      <c r="E15" s="70"/>
      <c r="F15" s="71"/>
    </row>
    <row r="16" ht="36" customHeight="1" spans="1:8">
      <c r="A16" s="67" t="s">
        <v>36</v>
      </c>
      <c r="B16" s="68" t="s">
        <v>37</v>
      </c>
      <c r="C16" s="69">
        <f>C13+C14+C15</f>
        <v>248174.80424529</v>
      </c>
      <c r="D16" s="70">
        <f>193.06+0.7</f>
        <v>193.76</v>
      </c>
      <c r="E16" s="70">
        <f>C16/D16</f>
        <v>1280.83610778948</v>
      </c>
      <c r="F16" s="38" t="s">
        <v>38</v>
      </c>
    </row>
    <row r="17" s="62" customFormat="1" ht="36" customHeight="1" spans="1:15">
      <c r="A17" s="67" t="s">
        <v>39</v>
      </c>
      <c r="B17" s="68" t="s">
        <v>40</v>
      </c>
      <c r="C17" s="69">
        <f>'报价汇总-空调消防'!C8</f>
        <v>95844.606975</v>
      </c>
      <c r="D17" s="70">
        <f>$D$16</f>
        <v>193.76</v>
      </c>
      <c r="E17" s="70">
        <f t="shared" ref="E16:E20" si="0">C17/D17</f>
        <v>494.656311803262</v>
      </c>
      <c r="F17" s="71"/>
      <c r="G17" s="119"/>
      <c r="H17" s="119"/>
      <c r="I17" s="119"/>
      <c r="J17" s="119"/>
      <c r="K17" s="119"/>
      <c r="L17" s="120"/>
      <c r="M17" s="120"/>
      <c r="N17" s="120"/>
      <c r="O17" s="120"/>
    </row>
    <row r="18" s="62" customFormat="1" ht="36" customHeight="1" spans="1:15">
      <c r="A18" s="67" t="s">
        <v>41</v>
      </c>
      <c r="B18" s="68" t="s">
        <v>42</v>
      </c>
      <c r="C18" s="69">
        <f>C16+C17</f>
        <v>344019.41122029</v>
      </c>
      <c r="D18" s="70">
        <f>$D$16</f>
        <v>193.76</v>
      </c>
      <c r="E18" s="70">
        <f t="shared" si="0"/>
        <v>1775.49241959274</v>
      </c>
      <c r="F18" s="38" t="str">
        <f>F16</f>
        <v>建筑面积319.15㎡</v>
      </c>
      <c r="G18" s="119"/>
      <c r="H18" s="119"/>
      <c r="I18" s="119"/>
      <c r="J18" s="119"/>
      <c r="K18" s="119"/>
      <c r="L18" s="120"/>
      <c r="M18" s="120"/>
      <c r="N18" s="120"/>
      <c r="O18" s="120"/>
    </row>
    <row r="19" s="62" customFormat="1" ht="36" customHeight="1" spans="1:15">
      <c r="A19" s="67"/>
      <c r="B19" s="68"/>
      <c r="C19" s="69"/>
      <c r="D19" s="70"/>
      <c r="E19" s="70"/>
      <c r="F19" s="71"/>
      <c r="G19" s="119"/>
      <c r="H19" s="119"/>
      <c r="I19" s="119"/>
      <c r="J19" s="119"/>
      <c r="K19" s="119"/>
      <c r="L19" s="120"/>
      <c r="M19" s="120"/>
      <c r="N19" s="120"/>
      <c r="O19" s="120"/>
    </row>
    <row r="20" s="62" customFormat="1" ht="30" customHeight="1" spans="1:15">
      <c r="A20" s="67"/>
      <c r="B20" s="68"/>
      <c r="C20" s="69"/>
      <c r="D20" s="70"/>
      <c r="E20" s="70"/>
      <c r="F20" s="71"/>
      <c r="G20" s="119"/>
      <c r="H20" s="119"/>
      <c r="I20" s="119"/>
      <c r="J20" s="119"/>
      <c r="K20" s="119"/>
      <c r="L20" s="120"/>
      <c r="M20" s="120"/>
      <c r="N20" s="120"/>
      <c r="O20" s="120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ignoredErrors>
    <ignoredError sqref="F18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99"/>
  <sheetViews>
    <sheetView tabSelected="1"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W23" sqref="W23"/>
    </sheetView>
  </sheetViews>
  <sheetFormatPr defaultColWidth="8.99166666666667" defaultRowHeight="12"/>
  <cols>
    <col min="1" max="1" width="7.35" style="46" customWidth="1"/>
    <col min="2" max="2" width="17.5666666666667" style="74" customWidth="1"/>
    <col min="3" max="3" width="27.6583333333333" style="75" customWidth="1"/>
    <col min="4" max="4" width="5.48333333333333" style="74" customWidth="1"/>
    <col min="5" max="5" width="12.225" style="76" customWidth="1"/>
    <col min="6" max="6" width="12.8916666666667" style="76" customWidth="1"/>
    <col min="7" max="7" width="13.1833333333333" style="76" customWidth="1"/>
    <col min="8" max="8" width="15.625" style="74" customWidth="1"/>
    <col min="9" max="9" width="12.8916666666667" style="77"/>
    <col min="10" max="10" width="12.7416666666667" style="78" hidden="1" customWidth="1" outlineLevel="1"/>
    <col min="11" max="11" width="8.99166666666667" style="79" hidden="1" customWidth="1" outlineLevel="1"/>
    <col min="12" max="14" width="8.99166666666667" style="78" hidden="1" customWidth="1" outlineLevel="1"/>
    <col min="15" max="15" width="9.66666666666667" style="78" hidden="1" customWidth="1" outlineLevel="1"/>
    <col min="16" max="16" width="9.66666666666667" style="77" customWidth="1" collapsed="1"/>
    <col min="17" max="17" width="10.775" style="44"/>
    <col min="18" max="18" width="11.6083333333333" style="45"/>
    <col min="19" max="21" width="8.99166666666667" style="44"/>
    <col min="22" max="22" width="13.775" style="44" customWidth="1"/>
    <col min="23" max="30" width="8.99166666666667" style="44"/>
    <col min="31" max="31" width="8.99166666666667" style="46"/>
    <col min="32" max="16384" width="8.99166666666667" style="1"/>
  </cols>
  <sheetData>
    <row r="1" s="1" customFormat="1" ht="57" customHeight="1" spans="1:31">
      <c r="A1" s="80" t="s">
        <v>43</v>
      </c>
      <c r="B1" s="80"/>
      <c r="C1" s="81"/>
      <c r="D1" s="80"/>
      <c r="E1" s="80"/>
      <c r="F1" s="80"/>
      <c r="G1" s="80"/>
      <c r="H1" s="80"/>
      <c r="I1" s="82">
        <f>G95</f>
        <v>248174.80424529</v>
      </c>
      <c r="J1" s="83"/>
      <c r="K1" s="84"/>
      <c r="L1" s="83"/>
      <c r="M1" s="83"/>
      <c r="N1" s="83"/>
      <c r="O1" s="83"/>
      <c r="P1" s="82"/>
      <c r="Q1" s="85">
        <v>1</v>
      </c>
      <c r="R1" s="86"/>
      <c r="S1" s="82">
        <v>1</v>
      </c>
      <c r="T1" s="82">
        <f t="shared" ref="S1:U1" si="0">$Q$1</f>
        <v>1</v>
      </c>
      <c r="U1" s="82">
        <f t="shared" si="0"/>
        <v>1</v>
      </c>
      <c r="V1" s="44">
        <f>'报价汇总-装修工程'!G17</f>
        <v>0</v>
      </c>
      <c r="W1" s="44"/>
      <c r="X1" s="44"/>
      <c r="Y1" s="44"/>
      <c r="Z1" s="44"/>
      <c r="AA1" s="44"/>
      <c r="AB1" s="44"/>
      <c r="AC1" s="44"/>
      <c r="AD1" s="44"/>
      <c r="AE1" s="46"/>
    </row>
    <row r="2" s="1" customFormat="1" ht="24" spans="1:31">
      <c r="A2" s="37" t="s">
        <v>1</v>
      </c>
      <c r="B2" s="38" t="s">
        <v>44</v>
      </c>
      <c r="C2" s="38" t="s">
        <v>45</v>
      </c>
      <c r="D2" s="38" t="s">
        <v>46</v>
      </c>
      <c r="E2" s="40" t="s">
        <v>47</v>
      </c>
      <c r="F2" s="40" t="s">
        <v>48</v>
      </c>
      <c r="G2" s="40" t="s">
        <v>49</v>
      </c>
      <c r="H2" s="38" t="s">
        <v>6</v>
      </c>
      <c r="I2" s="87" t="s">
        <v>48</v>
      </c>
      <c r="J2" s="88" t="s">
        <v>50</v>
      </c>
      <c r="K2" s="89" t="s">
        <v>51</v>
      </c>
      <c r="L2" s="88" t="s">
        <v>52</v>
      </c>
      <c r="M2" s="88" t="s">
        <v>53</v>
      </c>
      <c r="N2" s="88" t="s">
        <v>54</v>
      </c>
      <c r="O2" s="88" t="s">
        <v>21</v>
      </c>
      <c r="P2" s="87" t="s">
        <v>55</v>
      </c>
      <c r="Q2" s="90" t="s">
        <v>50</v>
      </c>
      <c r="R2" s="91" t="s">
        <v>51</v>
      </c>
      <c r="S2" s="90" t="s">
        <v>52</v>
      </c>
      <c r="T2" s="90" t="s">
        <v>53</v>
      </c>
      <c r="U2" s="90" t="s">
        <v>54</v>
      </c>
      <c r="V2" s="87" t="s">
        <v>56</v>
      </c>
      <c r="W2" s="44"/>
      <c r="X2" s="44"/>
      <c r="Y2" s="44"/>
      <c r="Z2" s="44"/>
      <c r="AA2" s="44"/>
      <c r="AB2" s="44"/>
      <c r="AC2" s="44"/>
      <c r="AD2" s="44"/>
      <c r="AE2" s="46"/>
    </row>
    <row r="3" s="72" customFormat="1" ht="26" customHeight="1" spans="1:31">
      <c r="A3" s="92" t="s">
        <v>7</v>
      </c>
      <c r="B3" s="93" t="s">
        <v>8</v>
      </c>
      <c r="C3" s="94"/>
      <c r="D3" s="95"/>
      <c r="E3" s="96"/>
      <c r="F3" s="96"/>
      <c r="G3" s="96">
        <f>SUBTOTAL(9,G4:G65)</f>
        <v>169645.067894</v>
      </c>
      <c r="H3" s="96"/>
      <c r="I3" s="87"/>
      <c r="J3" s="88"/>
      <c r="K3" s="89"/>
      <c r="L3" s="88"/>
      <c r="M3" s="88"/>
      <c r="N3" s="88"/>
      <c r="O3" s="88"/>
      <c r="P3" s="82"/>
      <c r="Q3" s="85"/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97"/>
    </row>
    <row r="4" s="1" customFormat="1" ht="21" customHeight="1" spans="1:31">
      <c r="A4" s="98" t="s">
        <v>10</v>
      </c>
      <c r="B4" s="99" t="s">
        <v>11</v>
      </c>
      <c r="C4" s="99"/>
      <c r="D4" s="100"/>
      <c r="E4" s="101"/>
      <c r="F4" s="101"/>
      <c r="G4" s="101">
        <f>SUBTOTAL(9,G5:G21)</f>
        <v>53466.41088</v>
      </c>
      <c r="H4" s="100"/>
      <c r="I4" s="87"/>
      <c r="J4" s="88"/>
      <c r="K4" s="89"/>
      <c r="L4" s="88"/>
      <c r="M4" s="88"/>
      <c r="N4" s="88"/>
      <c r="O4" s="88"/>
      <c r="P4" s="82"/>
      <c r="Q4" s="85"/>
      <c r="R4" s="86"/>
      <c r="S4" s="85"/>
      <c r="T4" s="85"/>
      <c r="U4" s="85"/>
      <c r="V4" s="44"/>
      <c r="W4" s="44"/>
      <c r="X4" s="44"/>
      <c r="Y4" s="44"/>
      <c r="Z4" s="44"/>
      <c r="AA4" s="44"/>
      <c r="AB4" s="44"/>
      <c r="AC4" s="44"/>
      <c r="AD4" s="44"/>
      <c r="AE4" s="46"/>
    </row>
    <row r="5" s="1" customFormat="1" ht="48" outlineLevel="1" spans="1:31">
      <c r="A5" s="37">
        <v>1</v>
      </c>
      <c r="B5" s="38" t="s">
        <v>57</v>
      </c>
      <c r="C5" s="39" t="s">
        <v>58</v>
      </c>
      <c r="D5" s="38" t="s">
        <v>59</v>
      </c>
      <c r="E5" s="40">
        <f>(1.7+1)*2.8</f>
        <v>7.56</v>
      </c>
      <c r="F5" s="40">
        <f t="shared" ref="F5:F10" si="1">I5</f>
        <v>100</v>
      </c>
      <c r="G5" s="40">
        <f t="shared" ref="G5:G10" si="2">F5*E5</f>
        <v>756</v>
      </c>
      <c r="H5" s="38"/>
      <c r="I5" s="41">
        <f t="shared" ref="I5:I10" si="3">J5+J5*K5+L5+M5+N5</f>
        <v>100</v>
      </c>
      <c r="J5" s="102">
        <f t="shared" ref="J5:J16" si="4">Q5*$Q$1</f>
        <v>0</v>
      </c>
      <c r="K5" s="42">
        <f t="shared" ref="K5:K10" si="5">R5</f>
        <v>0</v>
      </c>
      <c r="L5" s="102">
        <f t="shared" ref="L5:L16" si="6">S5*$S$1</f>
        <v>70</v>
      </c>
      <c r="M5" s="103">
        <f t="shared" ref="M5:M16" si="7">T5*$T$1</f>
        <v>30</v>
      </c>
      <c r="N5" s="103">
        <f t="shared" ref="N5:N16" si="8">U5*$U$1</f>
        <v>0</v>
      </c>
      <c r="O5" s="103">
        <f t="shared" ref="O5:O10" si="9">E5*I5</f>
        <v>756</v>
      </c>
      <c r="P5" s="85">
        <f t="shared" ref="P5:P10" si="10">Q5+Q5*R5+S5+T5+U5</f>
        <v>100</v>
      </c>
      <c r="Q5" s="104"/>
      <c r="R5" s="105"/>
      <c r="S5" s="104">
        <v>70</v>
      </c>
      <c r="T5" s="104">
        <v>30</v>
      </c>
      <c r="U5" s="104"/>
      <c r="V5" s="85">
        <f t="shared" ref="V5:V10" si="11">E5*P5</f>
        <v>756</v>
      </c>
      <c r="W5" s="44"/>
      <c r="X5" s="44"/>
      <c r="Y5" s="44"/>
      <c r="Z5" s="44"/>
      <c r="AA5" s="44"/>
      <c r="AB5" s="44"/>
      <c r="AC5" s="44"/>
      <c r="AD5" s="44"/>
      <c r="AE5" s="46"/>
    </row>
    <row r="6" s="1" customFormat="1" ht="34" customHeight="1" outlineLevel="1" spans="1:31">
      <c r="A6" s="37">
        <v>2</v>
      </c>
      <c r="B6" s="38" t="s">
        <v>60</v>
      </c>
      <c r="C6" s="39" t="s">
        <v>61</v>
      </c>
      <c r="D6" s="38" t="s">
        <v>62</v>
      </c>
      <c r="E6" s="40">
        <f>1.7+1+0.2*4</f>
        <v>3.5</v>
      </c>
      <c r="F6" s="40">
        <f t="shared" si="1"/>
        <v>500</v>
      </c>
      <c r="G6" s="40">
        <f t="shared" si="2"/>
        <v>1750</v>
      </c>
      <c r="H6" s="38"/>
      <c r="I6" s="41">
        <f t="shared" si="3"/>
        <v>500</v>
      </c>
      <c r="J6" s="102">
        <f t="shared" si="4"/>
        <v>300</v>
      </c>
      <c r="K6" s="42">
        <f t="shared" si="5"/>
        <v>0</v>
      </c>
      <c r="L6" s="102">
        <f t="shared" si="6"/>
        <v>200</v>
      </c>
      <c r="M6" s="103">
        <f t="shared" si="7"/>
        <v>0</v>
      </c>
      <c r="N6" s="103">
        <f t="shared" si="8"/>
        <v>0</v>
      </c>
      <c r="O6" s="103">
        <f t="shared" si="9"/>
        <v>1750</v>
      </c>
      <c r="P6" s="85">
        <f t="shared" si="10"/>
        <v>500</v>
      </c>
      <c r="Q6" s="104">
        <v>300</v>
      </c>
      <c r="R6" s="105"/>
      <c r="S6" s="104">
        <v>200</v>
      </c>
      <c r="T6" s="104"/>
      <c r="U6" s="104"/>
      <c r="V6" s="85">
        <f t="shared" si="11"/>
        <v>1750</v>
      </c>
      <c r="W6" s="44"/>
      <c r="X6" s="44"/>
      <c r="Y6" s="44"/>
      <c r="Z6" s="44"/>
      <c r="AA6" s="44"/>
      <c r="AB6" s="44"/>
      <c r="AC6" s="44"/>
      <c r="AD6" s="44"/>
      <c r="AE6" s="46"/>
    </row>
    <row r="7" s="1" customFormat="1" ht="34" customHeight="1" outlineLevel="1" spans="1:31">
      <c r="A7" s="37">
        <v>3</v>
      </c>
      <c r="B7" s="38" t="s">
        <v>63</v>
      </c>
      <c r="C7" s="39" t="s">
        <v>64</v>
      </c>
      <c r="D7" s="38" t="s">
        <v>62</v>
      </c>
      <c r="E7" s="40">
        <f t="shared" ref="E7:E9" si="12">(2.8*4+3.5)</f>
        <v>14.7</v>
      </c>
      <c r="F7" s="40">
        <f t="shared" si="1"/>
        <v>41.12</v>
      </c>
      <c r="G7" s="40">
        <f t="shared" si="2"/>
        <v>604.464</v>
      </c>
      <c r="H7" s="38"/>
      <c r="I7" s="41">
        <f t="shared" si="3"/>
        <v>41.12</v>
      </c>
      <c r="J7" s="102">
        <f t="shared" si="4"/>
        <v>6</v>
      </c>
      <c r="K7" s="42">
        <f t="shared" si="5"/>
        <v>0.02</v>
      </c>
      <c r="L7" s="102">
        <f t="shared" si="6"/>
        <v>35</v>
      </c>
      <c r="M7" s="103">
        <f t="shared" si="7"/>
        <v>0</v>
      </c>
      <c r="N7" s="103">
        <f t="shared" si="8"/>
        <v>0</v>
      </c>
      <c r="O7" s="103">
        <f t="shared" si="9"/>
        <v>604.464</v>
      </c>
      <c r="P7" s="85">
        <f t="shared" si="10"/>
        <v>41.12</v>
      </c>
      <c r="Q7" s="106">
        <f>12*0.5</f>
        <v>6</v>
      </c>
      <c r="R7" s="107">
        <v>0.02</v>
      </c>
      <c r="S7" s="108">
        <v>35</v>
      </c>
      <c r="T7" s="104"/>
      <c r="U7" s="104"/>
      <c r="V7" s="85">
        <f t="shared" si="11"/>
        <v>604.464</v>
      </c>
      <c r="W7" s="44"/>
      <c r="X7" s="44"/>
      <c r="Y7" s="44"/>
      <c r="Z7" s="44"/>
      <c r="AA7" s="44"/>
      <c r="AB7" s="44"/>
      <c r="AC7" s="44"/>
      <c r="AD7" s="44"/>
      <c r="AE7" s="46"/>
    </row>
    <row r="8" s="1" customFormat="1" ht="34" customHeight="1" outlineLevel="1" spans="1:31">
      <c r="A8" s="37">
        <v>4</v>
      </c>
      <c r="B8" s="38" t="s">
        <v>65</v>
      </c>
      <c r="C8" s="39" t="s">
        <v>66</v>
      </c>
      <c r="D8" s="38" t="s">
        <v>62</v>
      </c>
      <c r="E8" s="40">
        <f t="shared" si="12"/>
        <v>14.7</v>
      </c>
      <c r="F8" s="40">
        <f t="shared" si="1"/>
        <v>25.6</v>
      </c>
      <c r="G8" s="40">
        <f t="shared" si="2"/>
        <v>376.32</v>
      </c>
      <c r="H8" s="38"/>
      <c r="I8" s="41">
        <f t="shared" si="3"/>
        <v>25.6</v>
      </c>
      <c r="J8" s="102">
        <f t="shared" si="4"/>
        <v>5.6</v>
      </c>
      <c r="K8" s="42">
        <f t="shared" si="5"/>
        <v>0</v>
      </c>
      <c r="L8" s="102">
        <f t="shared" si="6"/>
        <v>20</v>
      </c>
      <c r="M8" s="103">
        <f t="shared" si="7"/>
        <v>0</v>
      </c>
      <c r="N8" s="103">
        <f t="shared" si="8"/>
        <v>0</v>
      </c>
      <c r="O8" s="103">
        <f t="shared" si="9"/>
        <v>376.32</v>
      </c>
      <c r="P8" s="85">
        <f t="shared" si="10"/>
        <v>25.6</v>
      </c>
      <c r="Q8" s="104">
        <f>28*0.2</f>
        <v>5.6</v>
      </c>
      <c r="R8" s="105"/>
      <c r="S8" s="104">
        <v>20</v>
      </c>
      <c r="T8" s="104"/>
      <c r="U8" s="104"/>
      <c r="V8" s="85">
        <f t="shared" si="11"/>
        <v>376.32</v>
      </c>
      <c r="W8" s="44"/>
      <c r="X8" s="44"/>
      <c r="Y8" s="44"/>
      <c r="Z8" s="44"/>
      <c r="AA8" s="44"/>
      <c r="AB8" s="44"/>
      <c r="AC8" s="44"/>
      <c r="AD8" s="44"/>
      <c r="AE8" s="46"/>
    </row>
    <row r="9" s="1" customFormat="1" ht="50" customHeight="1" outlineLevel="1" spans="1:31">
      <c r="A9" s="37">
        <v>5</v>
      </c>
      <c r="B9" s="38" t="s">
        <v>67</v>
      </c>
      <c r="C9" s="39" t="s">
        <v>68</v>
      </c>
      <c r="D9" s="38" t="s">
        <v>59</v>
      </c>
      <c r="E9" s="40">
        <f>1.5*2.2*2</f>
        <v>6.6</v>
      </c>
      <c r="F9" s="40">
        <f t="shared" si="1"/>
        <v>98.4</v>
      </c>
      <c r="G9" s="40">
        <f t="shared" si="2"/>
        <v>649.44</v>
      </c>
      <c r="H9" s="38"/>
      <c r="I9" s="41">
        <f t="shared" si="3"/>
        <v>98.4</v>
      </c>
      <c r="J9" s="102">
        <f t="shared" si="4"/>
        <v>42.9</v>
      </c>
      <c r="K9" s="42">
        <f t="shared" si="5"/>
        <v>0</v>
      </c>
      <c r="L9" s="102">
        <f t="shared" si="6"/>
        <v>45</v>
      </c>
      <c r="M9" s="103">
        <f t="shared" si="7"/>
        <v>10</v>
      </c>
      <c r="N9" s="103">
        <f t="shared" si="8"/>
        <v>0.5</v>
      </c>
      <c r="O9" s="103">
        <f t="shared" si="9"/>
        <v>649.44</v>
      </c>
      <c r="P9" s="85">
        <f t="shared" si="10"/>
        <v>98.4</v>
      </c>
      <c r="Q9" s="109">
        <f>286*0.15</f>
        <v>42.9</v>
      </c>
      <c r="R9" s="110">
        <v>0</v>
      </c>
      <c r="S9" s="109">
        <v>45</v>
      </c>
      <c r="T9" s="109">
        <v>10</v>
      </c>
      <c r="U9" s="109">
        <v>0.5</v>
      </c>
      <c r="V9" s="85">
        <f t="shared" si="11"/>
        <v>649.44</v>
      </c>
      <c r="W9" s="44"/>
      <c r="X9" s="44"/>
      <c r="Y9" s="44"/>
      <c r="Z9" s="44"/>
      <c r="AA9" s="44"/>
      <c r="AB9" s="44"/>
      <c r="AC9" s="44"/>
      <c r="AD9" s="44"/>
      <c r="AE9" s="46"/>
    </row>
    <row r="10" s="1" customFormat="1" ht="34" customHeight="1" outlineLevel="1" spans="1:31">
      <c r="A10" s="37">
        <v>6</v>
      </c>
      <c r="B10" s="38" t="s">
        <v>69</v>
      </c>
      <c r="C10" s="39" t="s">
        <v>70</v>
      </c>
      <c r="D10" s="38" t="s">
        <v>59</v>
      </c>
      <c r="E10" s="40">
        <f>3.93*(30.85+5.6)-(1+1.7)*2.8+6.6</f>
        <v>142.2885</v>
      </c>
      <c r="F10" s="40">
        <f t="shared" si="1"/>
        <v>39</v>
      </c>
      <c r="G10" s="40">
        <f t="shared" si="2"/>
        <v>5549.2515</v>
      </c>
      <c r="H10" s="38"/>
      <c r="I10" s="41">
        <f t="shared" si="3"/>
        <v>39</v>
      </c>
      <c r="J10" s="102">
        <f t="shared" si="4"/>
        <v>0</v>
      </c>
      <c r="K10" s="42">
        <f t="shared" si="5"/>
        <v>0.01</v>
      </c>
      <c r="L10" s="102">
        <f t="shared" si="6"/>
        <v>30</v>
      </c>
      <c r="M10" s="103">
        <f t="shared" si="7"/>
        <v>8.5</v>
      </c>
      <c r="N10" s="103">
        <f t="shared" si="8"/>
        <v>0.5</v>
      </c>
      <c r="O10" s="103">
        <f t="shared" si="9"/>
        <v>5549.2515</v>
      </c>
      <c r="P10" s="85">
        <f t="shared" si="10"/>
        <v>39</v>
      </c>
      <c r="Q10" s="109"/>
      <c r="R10" s="110">
        <v>0.01</v>
      </c>
      <c r="S10" s="109">
        <v>30</v>
      </c>
      <c r="T10" s="109">
        <v>8.5</v>
      </c>
      <c r="U10" s="109">
        <v>0.5</v>
      </c>
      <c r="V10" s="85">
        <f t="shared" si="11"/>
        <v>5549.2515</v>
      </c>
      <c r="W10" s="44"/>
      <c r="X10" s="44"/>
      <c r="Y10" s="44"/>
      <c r="Z10" s="44"/>
      <c r="AA10" s="44"/>
      <c r="AB10" s="44"/>
      <c r="AC10" s="44"/>
      <c r="AD10" s="44"/>
      <c r="AE10" s="46"/>
    </row>
    <row r="11" s="1" customFormat="1" ht="66" customHeight="1" outlineLevel="1" spans="1:31">
      <c r="A11" s="37">
        <v>7</v>
      </c>
      <c r="B11" s="38" t="s">
        <v>71</v>
      </c>
      <c r="C11" s="39" t="s">
        <v>72</v>
      </c>
      <c r="D11" s="38" t="s">
        <v>59</v>
      </c>
      <c r="E11" s="40">
        <f>E12</f>
        <v>141.1207</v>
      </c>
      <c r="F11" s="40"/>
      <c r="G11" s="40"/>
      <c r="H11" s="38"/>
      <c r="I11" s="41">
        <f t="shared" ref="I11:I16" si="13">J11+J11*K11+L11+M11+N11</f>
        <v>0</v>
      </c>
      <c r="J11" s="102">
        <f t="shared" si="4"/>
        <v>0</v>
      </c>
      <c r="K11" s="42">
        <f t="shared" ref="K11:K16" si="14">R11</f>
        <v>0</v>
      </c>
      <c r="L11" s="102">
        <f t="shared" si="6"/>
        <v>0</v>
      </c>
      <c r="M11" s="103">
        <f t="shared" si="7"/>
        <v>0</v>
      </c>
      <c r="N11" s="103">
        <f t="shared" si="8"/>
        <v>0</v>
      </c>
      <c r="O11" s="103">
        <f t="shared" ref="O11:O16" si="15">E11*I11</f>
        <v>0</v>
      </c>
      <c r="P11" s="85">
        <f t="shared" ref="P11:P16" si="16">Q11+Q11*R11+S11+T11+U11</f>
        <v>0</v>
      </c>
      <c r="Q11" s="104"/>
      <c r="R11" s="105"/>
      <c r="S11" s="104"/>
      <c r="T11" s="104"/>
      <c r="U11" s="104"/>
      <c r="V11" s="85">
        <f t="shared" ref="V11:V16" si="17">E11*P11</f>
        <v>0</v>
      </c>
      <c r="W11" s="44"/>
      <c r="X11" s="44"/>
      <c r="Y11" s="44"/>
      <c r="Z11" s="44"/>
      <c r="AA11" s="44"/>
      <c r="AB11" s="44"/>
      <c r="AC11" s="44"/>
      <c r="AD11" s="44"/>
      <c r="AE11" s="46"/>
    </row>
    <row r="12" s="1" customFormat="1" ht="51" customHeight="1" outlineLevel="1" spans="1:31">
      <c r="A12" s="37">
        <v>7.1</v>
      </c>
      <c r="B12" s="38" t="s">
        <v>73</v>
      </c>
      <c r="C12" s="39" t="s">
        <v>74</v>
      </c>
      <c r="D12" s="38" t="s">
        <v>59</v>
      </c>
      <c r="E12" s="40">
        <f>3.93*(1.17+2.56+11.05+7.5+5.07+5.07+5.17)-0.85*2.8*2-0.66*2.8</f>
        <v>141.1207</v>
      </c>
      <c r="F12" s="40">
        <f t="shared" ref="F11:F16" si="18">I12</f>
        <v>53.5</v>
      </c>
      <c r="G12" s="40">
        <f t="shared" ref="G11:G16" si="19">F12*E12</f>
        <v>7549.95745</v>
      </c>
      <c r="H12" s="38"/>
      <c r="I12" s="41">
        <f t="shared" si="13"/>
        <v>53.5</v>
      </c>
      <c r="J12" s="102">
        <f t="shared" si="4"/>
        <v>26</v>
      </c>
      <c r="K12" s="42">
        <f t="shared" si="14"/>
        <v>0</v>
      </c>
      <c r="L12" s="102">
        <f t="shared" si="6"/>
        <v>26</v>
      </c>
      <c r="M12" s="103">
        <f t="shared" si="7"/>
        <v>0</v>
      </c>
      <c r="N12" s="103">
        <f t="shared" si="8"/>
        <v>1.5</v>
      </c>
      <c r="O12" s="103">
        <f t="shared" si="15"/>
        <v>7549.95745</v>
      </c>
      <c r="P12" s="85">
        <f t="shared" si="16"/>
        <v>53.5</v>
      </c>
      <c r="Q12" s="104">
        <v>26</v>
      </c>
      <c r="R12" s="105"/>
      <c r="S12" s="104">
        <v>26</v>
      </c>
      <c r="T12" s="104"/>
      <c r="U12" s="104">
        <v>1.5</v>
      </c>
      <c r="V12" s="85">
        <f t="shared" si="17"/>
        <v>7549.95745</v>
      </c>
      <c r="W12" s="44"/>
      <c r="X12" s="44"/>
      <c r="Y12" s="44"/>
      <c r="Z12" s="44"/>
      <c r="AA12" s="44"/>
      <c r="AB12" s="44"/>
      <c r="AC12" s="44"/>
      <c r="AD12" s="44"/>
      <c r="AE12" s="46"/>
    </row>
    <row r="13" s="1" customFormat="1" ht="30" customHeight="1" outlineLevel="1" spans="1:31">
      <c r="A13" s="37">
        <v>7.2</v>
      </c>
      <c r="B13" s="38" t="s">
        <v>75</v>
      </c>
      <c r="C13" s="39" t="s">
        <v>76</v>
      </c>
      <c r="D13" s="38" t="s">
        <v>59</v>
      </c>
      <c r="E13" s="40">
        <f>E12</f>
        <v>141.1207</v>
      </c>
      <c r="F13" s="40">
        <f t="shared" si="18"/>
        <v>21.65</v>
      </c>
      <c r="G13" s="40">
        <f t="shared" si="19"/>
        <v>3055.263155</v>
      </c>
      <c r="H13" s="38"/>
      <c r="I13" s="41">
        <f t="shared" si="13"/>
        <v>21.65</v>
      </c>
      <c r="J13" s="102">
        <f t="shared" si="4"/>
        <v>11.65</v>
      </c>
      <c r="K13" s="42">
        <f t="shared" si="14"/>
        <v>0</v>
      </c>
      <c r="L13" s="102">
        <f t="shared" si="6"/>
        <v>10</v>
      </c>
      <c r="M13" s="103">
        <f t="shared" si="7"/>
        <v>0</v>
      </c>
      <c r="N13" s="103">
        <f t="shared" si="8"/>
        <v>0</v>
      </c>
      <c r="O13" s="103">
        <f t="shared" si="15"/>
        <v>3055.263155</v>
      </c>
      <c r="P13" s="85">
        <f t="shared" si="16"/>
        <v>21.65</v>
      </c>
      <c r="Q13" s="104">
        <v>11.65</v>
      </c>
      <c r="R13" s="105"/>
      <c r="S13" s="104">
        <v>10</v>
      </c>
      <c r="T13" s="104"/>
      <c r="U13" s="104"/>
      <c r="V13" s="85">
        <f t="shared" si="17"/>
        <v>3055.263155</v>
      </c>
      <c r="W13" s="44"/>
      <c r="X13" s="44"/>
      <c r="Y13" s="44"/>
      <c r="Z13" s="44"/>
      <c r="AA13" s="44"/>
      <c r="AB13" s="44"/>
      <c r="AC13" s="44"/>
      <c r="AD13" s="44"/>
      <c r="AE13" s="46"/>
    </row>
    <row r="14" s="1" customFormat="1" ht="30" customHeight="1" outlineLevel="1" spans="1:31">
      <c r="A14" s="37">
        <v>7.3</v>
      </c>
      <c r="B14" s="38" t="s">
        <v>77</v>
      </c>
      <c r="C14" s="39" t="s">
        <v>78</v>
      </c>
      <c r="D14" s="38" t="s">
        <v>59</v>
      </c>
      <c r="E14" s="40">
        <f>E12*2</f>
        <v>282.2414</v>
      </c>
      <c r="F14" s="40">
        <f t="shared" si="18"/>
        <v>50.8</v>
      </c>
      <c r="G14" s="40">
        <f t="shared" si="19"/>
        <v>14337.86312</v>
      </c>
      <c r="H14" s="38"/>
      <c r="I14" s="41">
        <f t="shared" si="13"/>
        <v>50.8</v>
      </c>
      <c r="J14" s="102">
        <f t="shared" si="4"/>
        <v>28</v>
      </c>
      <c r="K14" s="42">
        <f t="shared" si="14"/>
        <v>0</v>
      </c>
      <c r="L14" s="102">
        <f t="shared" si="6"/>
        <v>22</v>
      </c>
      <c r="M14" s="103">
        <f t="shared" si="7"/>
        <v>0.8</v>
      </c>
      <c r="N14" s="103">
        <f t="shared" si="8"/>
        <v>0</v>
      </c>
      <c r="O14" s="103">
        <f t="shared" si="15"/>
        <v>14337.86312</v>
      </c>
      <c r="P14" s="85">
        <f t="shared" si="16"/>
        <v>50.8</v>
      </c>
      <c r="Q14" s="104">
        <v>28</v>
      </c>
      <c r="R14" s="105"/>
      <c r="S14" s="104">
        <v>22</v>
      </c>
      <c r="T14" s="104">
        <v>0.8</v>
      </c>
      <c r="U14" s="104"/>
      <c r="V14" s="85">
        <f t="shared" si="17"/>
        <v>14337.86312</v>
      </c>
      <c r="W14" s="44"/>
      <c r="X14" s="44"/>
      <c r="Y14" s="44"/>
      <c r="Z14" s="44"/>
      <c r="AA14" s="44"/>
      <c r="AB14" s="44"/>
      <c r="AC14" s="44"/>
      <c r="AD14" s="44"/>
      <c r="AE14" s="46"/>
    </row>
    <row r="15" s="1" customFormat="1" ht="30" customHeight="1" outlineLevel="1" spans="1:31">
      <c r="A15" s="37">
        <v>7.4</v>
      </c>
      <c r="B15" s="38" t="s">
        <v>79</v>
      </c>
      <c r="C15" s="39" t="s">
        <v>80</v>
      </c>
      <c r="D15" s="38" t="s">
        <v>59</v>
      </c>
      <c r="E15" s="40">
        <f>E12*2</f>
        <v>282.2414</v>
      </c>
      <c r="F15" s="40">
        <f t="shared" si="18"/>
        <v>26.3</v>
      </c>
      <c r="G15" s="40">
        <f t="shared" si="19"/>
        <v>7422.94882</v>
      </c>
      <c r="H15" s="38"/>
      <c r="I15" s="41">
        <f t="shared" si="13"/>
        <v>26.3</v>
      </c>
      <c r="J15" s="102">
        <f t="shared" si="4"/>
        <v>7.5</v>
      </c>
      <c r="K15" s="42">
        <f t="shared" si="14"/>
        <v>0</v>
      </c>
      <c r="L15" s="102">
        <f t="shared" si="6"/>
        <v>18</v>
      </c>
      <c r="M15" s="103">
        <f t="shared" si="7"/>
        <v>0.8</v>
      </c>
      <c r="N15" s="103">
        <f t="shared" si="8"/>
        <v>0</v>
      </c>
      <c r="O15" s="103">
        <f t="shared" si="15"/>
        <v>7422.94882</v>
      </c>
      <c r="P15" s="85">
        <f t="shared" si="16"/>
        <v>26.3</v>
      </c>
      <c r="Q15" s="104">
        <f>7.5</f>
        <v>7.5</v>
      </c>
      <c r="R15" s="105"/>
      <c r="S15" s="104">
        <v>18</v>
      </c>
      <c r="T15" s="104">
        <v>0.8</v>
      </c>
      <c r="U15" s="104"/>
      <c r="V15" s="85">
        <f t="shared" si="17"/>
        <v>7422.94882</v>
      </c>
      <c r="W15" s="44"/>
      <c r="X15" s="44"/>
      <c r="Y15" s="44"/>
      <c r="Z15" s="44"/>
      <c r="AA15" s="44"/>
      <c r="AB15" s="44"/>
      <c r="AC15" s="44"/>
      <c r="AD15" s="44"/>
      <c r="AE15" s="46"/>
    </row>
    <row r="16" s="1" customFormat="1" ht="52" customHeight="1" outlineLevel="1" spans="1:31">
      <c r="A16" s="37">
        <v>8</v>
      </c>
      <c r="B16" s="38" t="s">
        <v>81</v>
      </c>
      <c r="C16" s="39" t="s">
        <v>82</v>
      </c>
      <c r="D16" s="38" t="s">
        <v>59</v>
      </c>
      <c r="E16" s="40">
        <f>2.8*(8.97+3)-0.85*2.8*4</f>
        <v>23.996</v>
      </c>
      <c r="F16" s="40">
        <f t="shared" si="18"/>
        <v>325</v>
      </c>
      <c r="G16" s="40">
        <f t="shared" si="19"/>
        <v>7798.7</v>
      </c>
      <c r="H16" s="38"/>
      <c r="I16" s="41">
        <f t="shared" si="13"/>
        <v>325</v>
      </c>
      <c r="J16" s="102">
        <f t="shared" si="4"/>
        <v>300</v>
      </c>
      <c r="K16" s="42">
        <f t="shared" si="14"/>
        <v>0.01</v>
      </c>
      <c r="L16" s="102">
        <f t="shared" si="6"/>
        <v>10</v>
      </c>
      <c r="M16" s="103">
        <f t="shared" si="7"/>
        <v>10.5</v>
      </c>
      <c r="N16" s="103">
        <f t="shared" si="8"/>
        <v>1.5</v>
      </c>
      <c r="O16" s="103">
        <f t="shared" si="15"/>
        <v>7798.7</v>
      </c>
      <c r="P16" s="85">
        <f t="shared" si="16"/>
        <v>325</v>
      </c>
      <c r="Q16" s="44">
        <v>300</v>
      </c>
      <c r="R16" s="45">
        <v>0.01</v>
      </c>
      <c r="S16" s="44">
        <v>10</v>
      </c>
      <c r="T16" s="44">
        <v>10.5</v>
      </c>
      <c r="U16" s="44">
        <v>1.5</v>
      </c>
      <c r="V16" s="85">
        <f t="shared" si="17"/>
        <v>7798.7</v>
      </c>
      <c r="W16" s="44"/>
      <c r="X16" s="44"/>
      <c r="Y16" s="44"/>
      <c r="Z16" s="44"/>
      <c r="AA16" s="44"/>
      <c r="AB16" s="44"/>
      <c r="AC16" s="44"/>
      <c r="AD16" s="44"/>
      <c r="AE16" s="46"/>
    </row>
    <row r="17" s="1" customFormat="1" ht="76" customHeight="1" outlineLevel="1" spans="1:31">
      <c r="A17" s="37">
        <v>9</v>
      </c>
      <c r="B17" s="38" t="s">
        <v>83</v>
      </c>
      <c r="C17" s="39" t="s">
        <v>84</v>
      </c>
      <c r="D17" s="38" t="s">
        <v>59</v>
      </c>
      <c r="E17" s="40">
        <f>E18</f>
        <v>13.5261</v>
      </c>
      <c r="F17" s="40"/>
      <c r="G17" s="40"/>
      <c r="H17" s="38"/>
      <c r="I17" s="41"/>
      <c r="J17" s="102"/>
      <c r="K17" s="42"/>
      <c r="L17" s="102"/>
      <c r="M17" s="103"/>
      <c r="N17" s="103"/>
      <c r="O17" s="103"/>
      <c r="P17" s="85"/>
      <c r="Q17" s="44"/>
      <c r="R17" s="45"/>
      <c r="S17" s="44"/>
      <c r="T17" s="44"/>
      <c r="U17" s="44"/>
      <c r="V17" s="85"/>
      <c r="W17" s="44"/>
      <c r="X17" s="44"/>
      <c r="Y17" s="44"/>
      <c r="Z17" s="44"/>
      <c r="AA17" s="44"/>
      <c r="AB17" s="44"/>
      <c r="AC17" s="44"/>
      <c r="AD17" s="44"/>
      <c r="AE17" s="46"/>
    </row>
    <row r="18" s="1" customFormat="1" ht="51" customHeight="1" outlineLevel="1" spans="1:31">
      <c r="A18" s="37">
        <v>9.1</v>
      </c>
      <c r="B18" s="38" t="s">
        <v>85</v>
      </c>
      <c r="C18" s="39" t="s">
        <v>86</v>
      </c>
      <c r="D18" s="38" t="s">
        <v>59</v>
      </c>
      <c r="E18" s="40">
        <f>1.13*(8.97+3)</f>
        <v>13.5261</v>
      </c>
      <c r="F18" s="40">
        <f>I18</f>
        <v>91.5</v>
      </c>
      <c r="G18" s="40">
        <f>F18*E18</f>
        <v>1237.63815</v>
      </c>
      <c r="H18" s="38"/>
      <c r="I18" s="41">
        <f>J18+J18*K18+L18+M18+N18</f>
        <v>91.5</v>
      </c>
      <c r="J18" s="102">
        <f>Q18*$Q$1</f>
        <v>55</v>
      </c>
      <c r="K18" s="42">
        <f>R18</f>
        <v>0</v>
      </c>
      <c r="L18" s="102">
        <f>S18*$S$1</f>
        <v>35</v>
      </c>
      <c r="M18" s="103">
        <f>T18*$T$1</f>
        <v>0</v>
      </c>
      <c r="N18" s="103">
        <f>U18*$U$1</f>
        <v>1.5</v>
      </c>
      <c r="O18" s="103">
        <f>E18*I18</f>
        <v>1237.63815</v>
      </c>
      <c r="P18" s="85">
        <f>Q18+Q18*R18+S18+T18+U18</f>
        <v>91.5</v>
      </c>
      <c r="Q18" s="104">
        <v>55</v>
      </c>
      <c r="R18" s="105"/>
      <c r="S18" s="104">
        <v>35</v>
      </c>
      <c r="T18" s="104"/>
      <c r="U18" s="104">
        <v>1.5</v>
      </c>
      <c r="V18" s="85">
        <f>E18*P18</f>
        <v>1237.63815</v>
      </c>
      <c r="W18" s="44"/>
      <c r="X18" s="44"/>
      <c r="Y18" s="44"/>
      <c r="Z18" s="44"/>
      <c r="AA18" s="44"/>
      <c r="AB18" s="44"/>
      <c r="AC18" s="44"/>
      <c r="AD18" s="44"/>
      <c r="AE18" s="46"/>
    </row>
    <row r="19" s="1" customFormat="1" ht="30" customHeight="1" outlineLevel="1" spans="1:31">
      <c r="A19" s="37">
        <v>9.2</v>
      </c>
      <c r="B19" s="38" t="s">
        <v>75</v>
      </c>
      <c r="C19" s="39" t="s">
        <v>76</v>
      </c>
      <c r="D19" s="38" t="s">
        <v>59</v>
      </c>
      <c r="E19" s="40">
        <f>E18</f>
        <v>13.5261</v>
      </c>
      <c r="F19" s="40">
        <f>I19</f>
        <v>21.65</v>
      </c>
      <c r="G19" s="40">
        <f>F19*E19</f>
        <v>292.840065</v>
      </c>
      <c r="H19" s="38"/>
      <c r="I19" s="41">
        <f>J19+J19*K19+L19+M19+N19</f>
        <v>21.65</v>
      </c>
      <c r="J19" s="102">
        <f>Q19*$Q$1</f>
        <v>11.65</v>
      </c>
      <c r="K19" s="42">
        <f>R19</f>
        <v>0</v>
      </c>
      <c r="L19" s="102">
        <f>S19*$S$1</f>
        <v>10</v>
      </c>
      <c r="M19" s="103">
        <f>T19*$T$1</f>
        <v>0</v>
      </c>
      <c r="N19" s="103">
        <f>U19*$U$1</f>
        <v>0</v>
      </c>
      <c r="O19" s="103">
        <f>E19*I19</f>
        <v>292.840065</v>
      </c>
      <c r="P19" s="85">
        <f>Q19+Q19*R19+S19+T19+U19</f>
        <v>21.65</v>
      </c>
      <c r="Q19" s="104">
        <v>11.65</v>
      </c>
      <c r="R19" s="105"/>
      <c r="S19" s="104">
        <v>10</v>
      </c>
      <c r="T19" s="104"/>
      <c r="U19" s="104"/>
      <c r="V19" s="85">
        <f>E19*P19</f>
        <v>292.840065</v>
      </c>
      <c r="W19" s="44"/>
      <c r="X19" s="44"/>
      <c r="Y19" s="44"/>
      <c r="Z19" s="44"/>
      <c r="AA19" s="44"/>
      <c r="AB19" s="44"/>
      <c r="AC19" s="44"/>
      <c r="AD19" s="44"/>
      <c r="AE19" s="46"/>
    </row>
    <row r="20" s="1" customFormat="1" ht="30" customHeight="1" outlineLevel="1" spans="1:31">
      <c r="A20" s="37">
        <v>9.3</v>
      </c>
      <c r="B20" s="38" t="s">
        <v>77</v>
      </c>
      <c r="C20" s="39" t="s">
        <v>87</v>
      </c>
      <c r="D20" s="38" t="s">
        <v>59</v>
      </c>
      <c r="E20" s="40">
        <f>E18*2</f>
        <v>27.0522</v>
      </c>
      <c r="F20" s="40">
        <f>I20</f>
        <v>50.8</v>
      </c>
      <c r="G20" s="40">
        <f>F20*E20</f>
        <v>1374.25176</v>
      </c>
      <c r="H20" s="38"/>
      <c r="I20" s="41">
        <f>J20+J20*K20+L20+M20+N20</f>
        <v>50.8</v>
      </c>
      <c r="J20" s="102">
        <f>Q20*$Q$1</f>
        <v>28</v>
      </c>
      <c r="K20" s="42">
        <f>R20</f>
        <v>0</v>
      </c>
      <c r="L20" s="102">
        <f>S20*$S$1</f>
        <v>22</v>
      </c>
      <c r="M20" s="103">
        <f>T20*$T$1</f>
        <v>0.8</v>
      </c>
      <c r="N20" s="103">
        <f>U20*$U$1</f>
        <v>0</v>
      </c>
      <c r="O20" s="103">
        <f>E20*I20</f>
        <v>1374.25176</v>
      </c>
      <c r="P20" s="85">
        <f>Q20+Q20*R20+S20+T20+U20</f>
        <v>50.8</v>
      </c>
      <c r="Q20" s="104">
        <v>28</v>
      </c>
      <c r="R20" s="105"/>
      <c r="S20" s="104">
        <v>22</v>
      </c>
      <c r="T20" s="104">
        <v>0.8</v>
      </c>
      <c r="U20" s="104"/>
      <c r="V20" s="85">
        <f>E20*P20</f>
        <v>1374.25176</v>
      </c>
      <c r="W20" s="44"/>
      <c r="X20" s="44"/>
      <c r="Y20" s="44"/>
      <c r="Z20" s="44"/>
      <c r="AA20" s="44"/>
      <c r="AB20" s="44"/>
      <c r="AC20" s="44"/>
      <c r="AD20" s="44"/>
      <c r="AE20" s="46"/>
    </row>
    <row r="21" s="1" customFormat="1" ht="30" customHeight="1" outlineLevel="1" spans="1:31">
      <c r="A21" s="37">
        <v>9.4</v>
      </c>
      <c r="B21" s="38" t="s">
        <v>79</v>
      </c>
      <c r="C21" s="39" t="s">
        <v>80</v>
      </c>
      <c r="D21" s="38" t="s">
        <v>59</v>
      </c>
      <c r="E21" s="40">
        <f>E18*2</f>
        <v>27.0522</v>
      </c>
      <c r="F21" s="40">
        <f>I21</f>
        <v>26.3</v>
      </c>
      <c r="G21" s="40">
        <f>F21*E21</f>
        <v>711.47286</v>
      </c>
      <c r="H21" s="38"/>
      <c r="I21" s="41">
        <f>J21+J21*K21+L21+M21+N21</f>
        <v>26.3</v>
      </c>
      <c r="J21" s="102">
        <f>Q21*$Q$1</f>
        <v>7.5</v>
      </c>
      <c r="K21" s="42">
        <f>R21</f>
        <v>0</v>
      </c>
      <c r="L21" s="102">
        <f>S21*$S$1</f>
        <v>18</v>
      </c>
      <c r="M21" s="103">
        <f>T21*$T$1</f>
        <v>0.8</v>
      </c>
      <c r="N21" s="103">
        <f>U21*$U$1</f>
        <v>0</v>
      </c>
      <c r="O21" s="103">
        <f>E21*I21</f>
        <v>711.47286</v>
      </c>
      <c r="P21" s="85">
        <f>Q21+Q21*R21+S21+T21+U21</f>
        <v>26.3</v>
      </c>
      <c r="Q21" s="104">
        <f>7.5</f>
        <v>7.5</v>
      </c>
      <c r="R21" s="105"/>
      <c r="S21" s="104">
        <f>$S$15</f>
        <v>18</v>
      </c>
      <c r="T21" s="104">
        <v>0.8</v>
      </c>
      <c r="U21" s="104"/>
      <c r="V21" s="85">
        <f>E21*P21</f>
        <v>711.47286</v>
      </c>
      <c r="W21" s="44"/>
      <c r="X21" s="44"/>
      <c r="Y21" s="44"/>
      <c r="Z21" s="44"/>
      <c r="AA21" s="44"/>
      <c r="AB21" s="44"/>
      <c r="AC21" s="44"/>
      <c r="AD21" s="44"/>
      <c r="AE21" s="46"/>
    </row>
    <row r="22" s="1" customFormat="1" ht="23" customHeight="1" spans="1:31">
      <c r="A22" s="98" t="s">
        <v>13</v>
      </c>
      <c r="B22" s="99" t="s">
        <v>14</v>
      </c>
      <c r="C22" s="99"/>
      <c r="D22" s="100"/>
      <c r="E22" s="101"/>
      <c r="F22" s="101"/>
      <c r="G22" s="101">
        <f>SUBTOTAL(9,G23:G27)</f>
        <v>34168.4209</v>
      </c>
      <c r="H22" s="100"/>
      <c r="I22" s="87"/>
      <c r="J22" s="88"/>
      <c r="K22" s="89"/>
      <c r="L22" s="88"/>
      <c r="M22" s="88"/>
      <c r="N22" s="88"/>
      <c r="O22" s="88"/>
      <c r="P22" s="82"/>
      <c r="Q22" s="85"/>
      <c r="R22" s="86"/>
      <c r="S22" s="85"/>
      <c r="T22" s="85"/>
      <c r="U22" s="85"/>
      <c r="V22" s="44"/>
      <c r="W22" s="44"/>
      <c r="X22" s="44"/>
      <c r="Y22" s="44"/>
      <c r="Z22" s="44"/>
      <c r="AA22" s="44"/>
      <c r="AB22" s="44"/>
      <c r="AC22" s="44"/>
      <c r="AD22" s="44"/>
      <c r="AE22" s="46"/>
    </row>
    <row r="23" s="1" customFormat="1" ht="30" customHeight="1" outlineLevel="1" spans="1:31">
      <c r="A23" s="37">
        <v>1</v>
      </c>
      <c r="B23" s="111" t="s">
        <v>88</v>
      </c>
      <c r="C23" s="112" t="s">
        <v>89</v>
      </c>
      <c r="D23" s="38" t="s">
        <v>59</v>
      </c>
      <c r="E23" s="40">
        <v>35.33</v>
      </c>
      <c r="F23" s="40">
        <f t="shared" ref="F23:F27" si="20">I23</f>
        <v>76.93</v>
      </c>
      <c r="G23" s="40">
        <f>F23*E23</f>
        <v>2717.9369</v>
      </c>
      <c r="H23" s="38"/>
      <c r="I23" s="41">
        <f t="shared" ref="I23:I27" si="21">J23+J23*K23+L23+M23+N23</f>
        <v>76.93</v>
      </c>
      <c r="J23" s="102">
        <f t="shared" ref="J23:J27" si="22">Q23*$Q$1</f>
        <v>43</v>
      </c>
      <c r="K23" s="42">
        <f t="shared" ref="K23:K27" si="23">R23</f>
        <v>0.01</v>
      </c>
      <c r="L23" s="102">
        <f t="shared" ref="L23:L27" si="24">S23*$S$1</f>
        <v>30</v>
      </c>
      <c r="M23" s="103">
        <f t="shared" ref="M23:M27" si="25">T23*$T$1</f>
        <v>3.5</v>
      </c>
      <c r="N23" s="103">
        <f t="shared" ref="N23:N27" si="26">U23*$U$1</f>
        <v>0</v>
      </c>
      <c r="O23" s="103">
        <f t="shared" ref="O23:O27" si="27">E23*I23</f>
        <v>2717.9369</v>
      </c>
      <c r="P23" s="85">
        <f t="shared" ref="P23:P27" si="28">Q23+Q23*R23+S23+T23+U23</f>
        <v>76.93</v>
      </c>
      <c r="Q23" s="44">
        <v>43</v>
      </c>
      <c r="R23" s="45">
        <v>0.01</v>
      </c>
      <c r="S23" s="44">
        <v>30</v>
      </c>
      <c r="T23" s="44">
        <v>3.5</v>
      </c>
      <c r="U23" s="44">
        <v>0</v>
      </c>
      <c r="V23" s="85">
        <f t="shared" ref="V23:V27" si="29">E23*P23</f>
        <v>2717.9369</v>
      </c>
      <c r="W23" s="44"/>
      <c r="X23" s="44"/>
      <c r="Y23" s="44"/>
      <c r="Z23" s="44"/>
      <c r="AA23" s="44"/>
      <c r="AB23" s="44"/>
      <c r="AC23" s="44"/>
      <c r="AD23" s="44"/>
      <c r="AE23" s="46"/>
    </row>
    <row r="24" s="1" customFormat="1" ht="60" outlineLevel="1" spans="1:31">
      <c r="A24" s="37">
        <v>2</v>
      </c>
      <c r="B24" s="38" t="s">
        <v>90</v>
      </c>
      <c r="C24" s="39" t="s">
        <v>91</v>
      </c>
      <c r="D24" s="38" t="s">
        <v>59</v>
      </c>
      <c r="E24" s="40">
        <v>35.33</v>
      </c>
      <c r="F24" s="40">
        <f t="shared" si="20"/>
        <v>142.3</v>
      </c>
      <c r="G24" s="40">
        <f>F24*E24</f>
        <v>5027.459</v>
      </c>
      <c r="H24" s="38"/>
      <c r="I24" s="41">
        <f t="shared" si="21"/>
        <v>142.3</v>
      </c>
      <c r="J24" s="102">
        <f t="shared" si="22"/>
        <v>65</v>
      </c>
      <c r="K24" s="42">
        <f t="shared" si="23"/>
        <v>0.02</v>
      </c>
      <c r="L24" s="102">
        <f t="shared" si="24"/>
        <v>60</v>
      </c>
      <c r="M24" s="103">
        <f t="shared" si="25"/>
        <v>16</v>
      </c>
      <c r="N24" s="103">
        <f t="shared" si="26"/>
        <v>0</v>
      </c>
      <c r="O24" s="103">
        <f t="shared" si="27"/>
        <v>5027.459</v>
      </c>
      <c r="P24" s="85">
        <f t="shared" si="28"/>
        <v>142.3</v>
      </c>
      <c r="Q24" s="113">
        <v>65</v>
      </c>
      <c r="R24" s="114">
        <v>0.02</v>
      </c>
      <c r="S24" s="113">
        <v>60</v>
      </c>
      <c r="T24" s="113">
        <v>16</v>
      </c>
      <c r="U24" s="44"/>
      <c r="V24" s="85">
        <f t="shared" si="29"/>
        <v>5027.459</v>
      </c>
      <c r="W24" s="44"/>
      <c r="X24" s="44"/>
      <c r="Y24" s="44"/>
      <c r="Z24" s="44"/>
      <c r="AA24" s="44"/>
      <c r="AB24" s="44"/>
      <c r="AC24" s="44"/>
      <c r="AD24" s="44"/>
      <c r="AE24" s="46"/>
    </row>
    <row r="25" s="1" customFormat="1" ht="25" customHeight="1" outlineLevel="1" spans="1:31">
      <c r="A25" s="37">
        <v>3</v>
      </c>
      <c r="B25" s="38" t="s">
        <v>92</v>
      </c>
      <c r="C25" s="39" t="s">
        <v>93</v>
      </c>
      <c r="D25" s="38" t="s">
        <v>59</v>
      </c>
      <c r="E25" s="40">
        <v>35.33</v>
      </c>
      <c r="F25" s="40">
        <v>0</v>
      </c>
      <c r="G25" s="40">
        <f t="shared" ref="G25:G30" si="30">F25*E25</f>
        <v>0</v>
      </c>
      <c r="H25" s="38"/>
      <c r="I25" s="41">
        <f t="shared" si="21"/>
        <v>20</v>
      </c>
      <c r="J25" s="102">
        <f t="shared" si="22"/>
        <v>0</v>
      </c>
      <c r="K25" s="42">
        <f t="shared" si="23"/>
        <v>0.02</v>
      </c>
      <c r="L25" s="102">
        <f t="shared" si="24"/>
        <v>16</v>
      </c>
      <c r="M25" s="103">
        <f t="shared" si="25"/>
        <v>4</v>
      </c>
      <c r="N25" s="103">
        <f t="shared" si="26"/>
        <v>0</v>
      </c>
      <c r="O25" s="103">
        <f t="shared" si="27"/>
        <v>706.6</v>
      </c>
      <c r="P25" s="85">
        <f t="shared" si="28"/>
        <v>20</v>
      </c>
      <c r="Q25" s="44"/>
      <c r="R25" s="45">
        <v>0.02</v>
      </c>
      <c r="S25" s="44">
        <v>16</v>
      </c>
      <c r="T25" s="44">
        <v>4</v>
      </c>
      <c r="U25" s="44"/>
      <c r="V25" s="85">
        <f t="shared" si="29"/>
        <v>706.6</v>
      </c>
      <c r="W25" s="44"/>
      <c r="X25" s="44"/>
      <c r="Y25" s="44"/>
      <c r="Z25" s="44"/>
      <c r="AA25" s="44"/>
      <c r="AB25" s="44"/>
      <c r="AC25" s="44"/>
      <c r="AD25" s="44"/>
      <c r="AE25" s="46"/>
    </row>
    <row r="26" s="1" customFormat="1" ht="24" outlineLevel="1" spans="1:31">
      <c r="A26" s="37">
        <v>4</v>
      </c>
      <c r="B26" s="38" t="s">
        <v>94</v>
      </c>
      <c r="C26" s="39" t="s">
        <v>95</v>
      </c>
      <c r="D26" s="38" t="s">
        <v>59</v>
      </c>
      <c r="E26" s="40">
        <f>54.41+18.93+4.79+13.74+12.77+11.76+20.26+6.09</f>
        <v>142.75</v>
      </c>
      <c r="F26" s="40">
        <f t="shared" si="20"/>
        <v>128.75</v>
      </c>
      <c r="G26" s="40">
        <f t="shared" si="30"/>
        <v>18379.0625</v>
      </c>
      <c r="H26" s="38"/>
      <c r="I26" s="41">
        <f t="shared" si="21"/>
        <v>128.75</v>
      </c>
      <c r="J26" s="102">
        <f t="shared" si="22"/>
        <v>125</v>
      </c>
      <c r="K26" s="42">
        <f t="shared" si="23"/>
        <v>0.03</v>
      </c>
      <c r="L26" s="102">
        <f t="shared" si="24"/>
        <v>0</v>
      </c>
      <c r="M26" s="103">
        <f t="shared" si="25"/>
        <v>0</v>
      </c>
      <c r="N26" s="103">
        <f t="shared" si="26"/>
        <v>0</v>
      </c>
      <c r="O26" s="103">
        <f t="shared" si="27"/>
        <v>18379.0625</v>
      </c>
      <c r="P26" s="85">
        <f t="shared" si="28"/>
        <v>128.75</v>
      </c>
      <c r="Q26" s="44">
        <v>125</v>
      </c>
      <c r="R26" s="45">
        <v>0.03</v>
      </c>
      <c r="S26" s="44">
        <v>0</v>
      </c>
      <c r="T26" s="44">
        <v>0</v>
      </c>
      <c r="U26" s="44"/>
      <c r="V26" s="85">
        <f t="shared" si="29"/>
        <v>18379.0625</v>
      </c>
      <c r="W26" s="44"/>
      <c r="X26" s="44"/>
      <c r="Y26" s="44"/>
      <c r="Z26" s="44"/>
      <c r="AA26" s="44"/>
      <c r="AB26" s="44"/>
      <c r="AC26" s="44"/>
      <c r="AD26" s="44"/>
      <c r="AE26" s="46"/>
    </row>
    <row r="27" s="1" customFormat="1" ht="36" outlineLevel="1" spans="1:31">
      <c r="A27" s="37">
        <v>5</v>
      </c>
      <c r="B27" s="38" t="s">
        <v>96</v>
      </c>
      <c r="C27" s="39" t="s">
        <v>97</v>
      </c>
      <c r="D27" s="38" t="s">
        <v>59</v>
      </c>
      <c r="E27" s="40">
        <f>E26</f>
        <v>142.75</v>
      </c>
      <c r="F27" s="40">
        <f t="shared" si="20"/>
        <v>56.35</v>
      </c>
      <c r="G27" s="40">
        <f t="shared" si="30"/>
        <v>8043.9625</v>
      </c>
      <c r="H27" s="38"/>
      <c r="I27" s="41">
        <f t="shared" si="21"/>
        <v>56.35</v>
      </c>
      <c r="J27" s="102">
        <f t="shared" si="22"/>
        <v>45</v>
      </c>
      <c r="K27" s="42">
        <f t="shared" si="23"/>
        <v>0.03</v>
      </c>
      <c r="L27" s="102">
        <f t="shared" si="24"/>
        <v>5</v>
      </c>
      <c r="M27" s="103">
        <f t="shared" si="25"/>
        <v>5</v>
      </c>
      <c r="N27" s="103">
        <f t="shared" si="26"/>
        <v>0</v>
      </c>
      <c r="O27" s="103">
        <f t="shared" si="27"/>
        <v>8043.9625</v>
      </c>
      <c r="P27" s="85">
        <f t="shared" si="28"/>
        <v>56.35</v>
      </c>
      <c r="Q27" s="44">
        <v>45</v>
      </c>
      <c r="R27" s="45">
        <v>0.03</v>
      </c>
      <c r="S27" s="44">
        <v>5</v>
      </c>
      <c r="T27" s="44">
        <v>5</v>
      </c>
      <c r="U27" s="44"/>
      <c r="V27" s="85">
        <f t="shared" si="29"/>
        <v>8043.9625</v>
      </c>
      <c r="W27" s="44"/>
      <c r="X27" s="44"/>
      <c r="Y27" s="44"/>
      <c r="Z27" s="44"/>
      <c r="AA27" s="44"/>
      <c r="AB27" s="44"/>
      <c r="AC27" s="44"/>
      <c r="AD27" s="44"/>
      <c r="AE27" s="46"/>
    </row>
    <row r="28" s="1" customFormat="1" ht="19" customHeight="1" spans="1:31">
      <c r="A28" s="98" t="s">
        <v>16</v>
      </c>
      <c r="B28" s="99" t="s">
        <v>17</v>
      </c>
      <c r="C28" s="99"/>
      <c r="D28" s="100"/>
      <c r="E28" s="101"/>
      <c r="F28" s="101"/>
      <c r="G28" s="101">
        <f>SUBTOTAL(9,G29:G40)</f>
        <v>37942.384784</v>
      </c>
      <c r="H28" s="100"/>
      <c r="I28" s="77"/>
      <c r="J28" s="78"/>
      <c r="K28" s="79"/>
      <c r="L28" s="78"/>
      <c r="M28" s="78"/>
      <c r="N28" s="78"/>
      <c r="O28" s="78"/>
      <c r="P28" s="77"/>
      <c r="Q28" s="44"/>
      <c r="R28" s="45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6"/>
    </row>
    <row r="29" s="1" customFormat="1" ht="54" customHeight="1" outlineLevel="1" spans="1:31">
      <c r="A29" s="37">
        <v>1</v>
      </c>
      <c r="B29" s="38" t="s">
        <v>98</v>
      </c>
      <c r="C29" s="39" t="s">
        <v>99</v>
      </c>
      <c r="D29" s="38" t="s">
        <v>59</v>
      </c>
      <c r="E29" s="40">
        <f>45.22+1.13*(26.95-13.47)</f>
        <v>60.4524</v>
      </c>
      <c r="F29" s="40">
        <f>I29</f>
        <v>20.16</v>
      </c>
      <c r="G29" s="40">
        <f t="shared" si="30"/>
        <v>1218.720384</v>
      </c>
      <c r="H29" s="38"/>
      <c r="I29" s="41">
        <f>J29+J29*K29+L29+M29+N29</f>
        <v>20.16</v>
      </c>
      <c r="J29" s="102">
        <f>Q29*$Q$1</f>
        <v>8</v>
      </c>
      <c r="K29" s="42">
        <f>R29</f>
        <v>0.02</v>
      </c>
      <c r="L29" s="102">
        <f>S29*$S$1</f>
        <v>10</v>
      </c>
      <c r="M29" s="103">
        <f>T29*$T$1</f>
        <v>0.5</v>
      </c>
      <c r="N29" s="103">
        <f>U29*$U$1</f>
        <v>1.5</v>
      </c>
      <c r="O29" s="103">
        <f>E29*I29</f>
        <v>1218.720384</v>
      </c>
      <c r="P29" s="85">
        <f>Q29+Q29*R29+S29+T29+U29</f>
        <v>20.16</v>
      </c>
      <c r="Q29" s="44">
        <v>8</v>
      </c>
      <c r="R29" s="45">
        <v>0.02</v>
      </c>
      <c r="S29" s="44">
        <v>10</v>
      </c>
      <c r="T29" s="44">
        <v>0.5</v>
      </c>
      <c r="U29" s="44">
        <v>1.5</v>
      </c>
      <c r="V29" s="85">
        <f>E29*P29</f>
        <v>1218.720384</v>
      </c>
      <c r="W29" s="44"/>
      <c r="X29" s="44"/>
      <c r="Y29" s="44"/>
      <c r="Z29" s="44"/>
      <c r="AA29" s="44"/>
      <c r="AB29" s="44"/>
      <c r="AC29" s="44"/>
      <c r="AD29" s="44"/>
      <c r="AE29" s="46"/>
    </row>
    <row r="30" s="1" customFormat="1" ht="54" customHeight="1" outlineLevel="1" spans="1:31">
      <c r="A30" s="37">
        <v>2</v>
      </c>
      <c r="B30" s="38" t="s">
        <v>100</v>
      </c>
      <c r="C30" s="39" t="s">
        <v>101</v>
      </c>
      <c r="D30" s="38" t="s">
        <v>59</v>
      </c>
      <c r="E30" s="40">
        <f>20.26</f>
        <v>20.26</v>
      </c>
      <c r="F30" s="40">
        <f>I30</f>
        <v>128.3</v>
      </c>
      <c r="G30" s="40">
        <f t="shared" si="30"/>
        <v>2599.358</v>
      </c>
      <c r="H30" s="38"/>
      <c r="I30" s="41">
        <f>J30+J30*K30+L30+M30+N30</f>
        <v>128.3</v>
      </c>
      <c r="J30" s="102">
        <f>Q30*$Q$1</f>
        <v>65</v>
      </c>
      <c r="K30" s="42">
        <f>R30</f>
        <v>0.02</v>
      </c>
      <c r="L30" s="102">
        <f>S30*$S$1</f>
        <v>60</v>
      </c>
      <c r="M30" s="103">
        <f>T30*$T$1</f>
        <v>0.5</v>
      </c>
      <c r="N30" s="103">
        <f>U30*$U$1</f>
        <v>1.5</v>
      </c>
      <c r="O30" s="103">
        <f>E30*I30</f>
        <v>2599.358</v>
      </c>
      <c r="P30" s="85">
        <f>Q30+Q30*R30+S30+T30+U30</f>
        <v>128.3</v>
      </c>
      <c r="Q30" s="44">
        <v>65</v>
      </c>
      <c r="R30" s="45">
        <v>0.02</v>
      </c>
      <c r="S30" s="44">
        <v>60</v>
      </c>
      <c r="T30" s="44">
        <v>0.5</v>
      </c>
      <c r="U30" s="44">
        <v>1.5</v>
      </c>
      <c r="V30" s="85">
        <f>E30*P30</f>
        <v>2599.358</v>
      </c>
      <c r="W30" s="44"/>
      <c r="X30" s="44"/>
      <c r="Y30" s="44"/>
      <c r="Z30" s="44"/>
      <c r="AA30" s="44"/>
      <c r="AB30" s="44"/>
      <c r="AC30" s="44"/>
      <c r="AD30" s="44"/>
      <c r="AE30" s="46"/>
    </row>
    <row r="31" s="1" customFormat="1" ht="54" customHeight="1" outlineLevel="1" spans="1:31">
      <c r="A31" s="37">
        <v>3</v>
      </c>
      <c r="B31" s="38" t="s">
        <v>102</v>
      </c>
      <c r="C31" s="39" t="s">
        <v>103</v>
      </c>
      <c r="D31" s="38" t="s">
        <v>59</v>
      </c>
      <c r="E31" s="40"/>
      <c r="F31" s="40"/>
      <c r="G31" s="40"/>
      <c r="H31" s="38"/>
      <c r="I31" s="41"/>
      <c r="J31" s="102"/>
      <c r="K31" s="42"/>
      <c r="L31" s="102"/>
      <c r="M31" s="103"/>
      <c r="N31" s="103"/>
      <c r="O31" s="103"/>
      <c r="P31" s="85"/>
      <c r="Q31" s="44"/>
      <c r="R31" s="45"/>
      <c r="S31" s="44"/>
      <c r="T31" s="44"/>
      <c r="U31" s="44"/>
      <c r="V31" s="85"/>
      <c r="W31" s="44"/>
      <c r="X31" s="44"/>
      <c r="Y31" s="44"/>
      <c r="Z31" s="44"/>
      <c r="AA31" s="44"/>
      <c r="AB31" s="44"/>
      <c r="AC31" s="44"/>
      <c r="AD31" s="44"/>
      <c r="AE31" s="46"/>
    </row>
    <row r="32" s="1" customFormat="1" ht="51" customHeight="1" outlineLevel="1" spans="1:31">
      <c r="A32" s="37">
        <v>3.1</v>
      </c>
      <c r="B32" s="38" t="s">
        <v>73</v>
      </c>
      <c r="C32" s="39" t="s">
        <v>104</v>
      </c>
      <c r="D32" s="38" t="s">
        <v>59</v>
      </c>
      <c r="E32" s="40">
        <f>54.41-45.22+35.33+18.93+4.79+13.74+12.77+11.76+6.09</f>
        <v>112.6</v>
      </c>
      <c r="F32" s="40">
        <f>I32</f>
        <v>71.5</v>
      </c>
      <c r="G32" s="40">
        <f>F32*E32</f>
        <v>8050.9</v>
      </c>
      <c r="H32" s="38"/>
      <c r="I32" s="41">
        <f>J32+J32*K32+L32+M32+N32</f>
        <v>71.5</v>
      </c>
      <c r="J32" s="102">
        <f t="shared" ref="J31:J41" si="31">Q32*$Q$1</f>
        <v>0</v>
      </c>
      <c r="K32" s="42">
        <f>R32</f>
        <v>0</v>
      </c>
      <c r="L32" s="102">
        <f t="shared" ref="L31:L41" si="32">S32*$S$1</f>
        <v>35</v>
      </c>
      <c r="M32" s="103">
        <f t="shared" ref="M31:M41" si="33">T32*$T$1</f>
        <v>35</v>
      </c>
      <c r="N32" s="103">
        <f t="shared" ref="N31:N41" si="34">U32*$U$1</f>
        <v>1.5</v>
      </c>
      <c r="O32" s="103">
        <f>E32*I32</f>
        <v>8050.9</v>
      </c>
      <c r="P32" s="85">
        <f>Q32+Q32*R32+S32+T32+U32</f>
        <v>71.5</v>
      </c>
      <c r="Q32" s="104"/>
      <c r="R32" s="105"/>
      <c r="S32" s="104">
        <v>35</v>
      </c>
      <c r="T32" s="104">
        <v>35</v>
      </c>
      <c r="U32" s="104">
        <v>1.5</v>
      </c>
      <c r="V32" s="85">
        <f>E32*P32</f>
        <v>8050.9</v>
      </c>
      <c r="W32" s="44"/>
      <c r="X32" s="44"/>
      <c r="Y32" s="44"/>
      <c r="Z32" s="44"/>
      <c r="AA32" s="44"/>
      <c r="AB32" s="44"/>
      <c r="AC32" s="44"/>
      <c r="AD32" s="44"/>
      <c r="AE32" s="46"/>
    </row>
    <row r="33" s="1" customFormat="1" ht="30" customHeight="1" outlineLevel="1" spans="1:31">
      <c r="A33" s="37">
        <v>3.2</v>
      </c>
      <c r="B33" s="38" t="s">
        <v>77</v>
      </c>
      <c r="C33" s="39" t="s">
        <v>105</v>
      </c>
      <c r="D33" s="38" t="s">
        <v>59</v>
      </c>
      <c r="E33" s="40">
        <f>E32</f>
        <v>112.6</v>
      </c>
      <c r="F33" s="40">
        <f>I33</f>
        <v>48.8</v>
      </c>
      <c r="G33" s="40">
        <f>F33*E33</f>
        <v>5494.88</v>
      </c>
      <c r="H33" s="38"/>
      <c r="I33" s="41">
        <f>J33+J33*K33+L33+M33+N33</f>
        <v>48.8</v>
      </c>
      <c r="J33" s="102">
        <f t="shared" si="31"/>
        <v>28</v>
      </c>
      <c r="K33" s="42">
        <f>R33</f>
        <v>0</v>
      </c>
      <c r="L33" s="102">
        <f t="shared" si="32"/>
        <v>20</v>
      </c>
      <c r="M33" s="103">
        <f t="shared" si="33"/>
        <v>0.8</v>
      </c>
      <c r="N33" s="103">
        <f t="shared" si="34"/>
        <v>0</v>
      </c>
      <c r="O33" s="103">
        <f>E33*I33</f>
        <v>5494.88</v>
      </c>
      <c r="P33" s="85">
        <f>Q33+Q33*R33+S33+T33+U33</f>
        <v>48.8</v>
      </c>
      <c r="Q33" s="104">
        <v>28</v>
      </c>
      <c r="R33" s="105"/>
      <c r="S33" s="104">
        <v>20</v>
      </c>
      <c r="T33" s="104">
        <v>0.8</v>
      </c>
      <c r="U33" s="104"/>
      <c r="V33" s="85">
        <f>E33*P33</f>
        <v>5494.88</v>
      </c>
      <c r="W33" s="44"/>
      <c r="X33" s="44"/>
      <c r="Y33" s="44"/>
      <c r="Z33" s="44"/>
      <c r="AA33" s="44"/>
      <c r="AB33" s="44"/>
      <c r="AC33" s="44"/>
      <c r="AD33" s="44"/>
      <c r="AE33" s="46"/>
    </row>
    <row r="34" s="1" customFormat="1" ht="30" customHeight="1" outlineLevel="1" spans="1:31">
      <c r="A34" s="37">
        <v>3.3</v>
      </c>
      <c r="B34" s="38" t="s">
        <v>79</v>
      </c>
      <c r="C34" s="39" t="s">
        <v>80</v>
      </c>
      <c r="D34" s="38" t="s">
        <v>59</v>
      </c>
      <c r="E34" s="40">
        <f>E32</f>
        <v>112.6</v>
      </c>
      <c r="F34" s="40">
        <f>I34</f>
        <v>26.3</v>
      </c>
      <c r="G34" s="40">
        <f>F34*E34</f>
        <v>2961.38</v>
      </c>
      <c r="H34" s="38"/>
      <c r="I34" s="41">
        <f>J34+J34*K34+L34+M34+N34</f>
        <v>26.3</v>
      </c>
      <c r="J34" s="102">
        <f t="shared" si="31"/>
        <v>7.5</v>
      </c>
      <c r="K34" s="42">
        <f>R34</f>
        <v>0</v>
      </c>
      <c r="L34" s="102">
        <f t="shared" si="32"/>
        <v>18</v>
      </c>
      <c r="M34" s="103">
        <f t="shared" si="33"/>
        <v>0.8</v>
      </c>
      <c r="N34" s="103">
        <f t="shared" si="34"/>
        <v>0</v>
      </c>
      <c r="O34" s="103">
        <f>E34*I34</f>
        <v>2961.38</v>
      </c>
      <c r="P34" s="85">
        <f>Q34+Q34*R34+S34+T34+U34</f>
        <v>26.3</v>
      </c>
      <c r="Q34" s="104">
        <f>7.5</f>
        <v>7.5</v>
      </c>
      <c r="R34" s="105"/>
      <c r="S34" s="104">
        <f>$S$15</f>
        <v>18</v>
      </c>
      <c r="T34" s="104">
        <v>0.8</v>
      </c>
      <c r="U34" s="104"/>
      <c r="V34" s="85">
        <f>E34*P34</f>
        <v>2961.38</v>
      </c>
      <c r="W34" s="44"/>
      <c r="X34" s="44"/>
      <c r="Y34" s="44"/>
      <c r="Z34" s="44"/>
      <c r="AA34" s="44"/>
      <c r="AB34" s="44"/>
      <c r="AC34" s="44"/>
      <c r="AD34" s="44"/>
      <c r="AE34" s="46"/>
    </row>
    <row r="35" s="1" customFormat="1" ht="30" customHeight="1" outlineLevel="1" spans="1:31">
      <c r="A35" s="37">
        <v>4</v>
      </c>
      <c r="B35" s="38" t="s">
        <v>106</v>
      </c>
      <c r="C35" s="39"/>
      <c r="D35" s="38" t="s">
        <v>59</v>
      </c>
      <c r="E35" s="40">
        <f>54.41-45.22+35.33+18.93+4.79+13.74+12.77+11.76+20.26+6.09+1.13*13.47</f>
        <v>148.0811</v>
      </c>
      <c r="F35" s="40">
        <f t="shared" ref="F35:F41" si="35">I35</f>
        <v>8.5</v>
      </c>
      <c r="G35" s="40">
        <f t="shared" ref="G35:G41" si="36">F35*E35</f>
        <v>1258.68935</v>
      </c>
      <c r="H35" s="38"/>
      <c r="I35" s="41">
        <f t="shared" ref="I35:I41" si="37">J35+J35*K35+L35+M35+N35</f>
        <v>8.5</v>
      </c>
      <c r="J35" s="102">
        <f t="shared" si="31"/>
        <v>3.5</v>
      </c>
      <c r="K35" s="42">
        <f t="shared" ref="K35:K41" si="38">R35</f>
        <v>0</v>
      </c>
      <c r="L35" s="102">
        <f t="shared" si="32"/>
        <v>5</v>
      </c>
      <c r="M35" s="103">
        <f t="shared" si="33"/>
        <v>0</v>
      </c>
      <c r="N35" s="103">
        <f t="shared" si="34"/>
        <v>0</v>
      </c>
      <c r="O35" s="103">
        <f t="shared" ref="O35:O41" si="39">E35*I35</f>
        <v>1258.68935</v>
      </c>
      <c r="P35" s="85">
        <f t="shared" ref="P35:P41" si="40">Q35+Q35*R35+S35+T35+U35</f>
        <v>8.5</v>
      </c>
      <c r="Q35" s="44">
        <v>3.5</v>
      </c>
      <c r="R35" s="45">
        <v>0</v>
      </c>
      <c r="S35" s="44">
        <v>5</v>
      </c>
      <c r="T35" s="44">
        <v>0</v>
      </c>
      <c r="U35" s="44">
        <v>0</v>
      </c>
      <c r="V35" s="85">
        <f t="shared" ref="V35:V41" si="41">E35*P35</f>
        <v>1258.68935</v>
      </c>
      <c r="W35" s="44"/>
      <c r="X35" s="44"/>
      <c r="Y35" s="44"/>
      <c r="Z35" s="44"/>
      <c r="AA35" s="44"/>
      <c r="AB35" s="44"/>
      <c r="AC35" s="44"/>
      <c r="AD35" s="44"/>
      <c r="AE35" s="46"/>
    </row>
    <row r="36" s="1" customFormat="1" ht="24" customHeight="1" outlineLevel="1" spans="1:31">
      <c r="A36" s="37">
        <v>5</v>
      </c>
      <c r="B36" s="38" t="s">
        <v>107</v>
      </c>
      <c r="C36" s="39" t="s">
        <v>108</v>
      </c>
      <c r="D36" s="38" t="s">
        <v>59</v>
      </c>
      <c r="E36" s="40">
        <f>E35</f>
        <v>148.0811</v>
      </c>
      <c r="F36" s="40">
        <f t="shared" si="35"/>
        <v>21.5</v>
      </c>
      <c r="G36" s="40">
        <f t="shared" si="36"/>
        <v>3183.74365</v>
      </c>
      <c r="H36" s="38"/>
      <c r="I36" s="41">
        <f t="shared" si="37"/>
        <v>21.5</v>
      </c>
      <c r="J36" s="102">
        <f t="shared" si="31"/>
        <v>3.5</v>
      </c>
      <c r="K36" s="42">
        <f t="shared" si="38"/>
        <v>0</v>
      </c>
      <c r="L36" s="102">
        <f t="shared" si="32"/>
        <v>18</v>
      </c>
      <c r="M36" s="103">
        <f t="shared" si="33"/>
        <v>0</v>
      </c>
      <c r="N36" s="103">
        <f t="shared" si="34"/>
        <v>0</v>
      </c>
      <c r="O36" s="103">
        <f t="shared" si="39"/>
        <v>3183.74365</v>
      </c>
      <c r="P36" s="85">
        <f t="shared" si="40"/>
        <v>21.5</v>
      </c>
      <c r="Q36" s="44">
        <v>3.5</v>
      </c>
      <c r="R36" s="45">
        <v>0</v>
      </c>
      <c r="S36" s="44">
        <v>18</v>
      </c>
      <c r="T36" s="44">
        <v>0</v>
      </c>
      <c r="U36" s="44">
        <v>0</v>
      </c>
      <c r="V36" s="85">
        <f t="shared" si="41"/>
        <v>3183.74365</v>
      </c>
      <c r="W36" s="44"/>
      <c r="X36" s="44"/>
      <c r="Y36" s="44"/>
      <c r="Z36" s="44"/>
      <c r="AA36" s="44"/>
      <c r="AB36" s="44"/>
      <c r="AC36" s="44"/>
      <c r="AD36" s="44"/>
      <c r="AE36" s="46"/>
    </row>
    <row r="37" s="1" customFormat="1" ht="44" customHeight="1" outlineLevel="1" spans="1:31">
      <c r="A37" s="37">
        <v>6</v>
      </c>
      <c r="B37" s="38" t="s">
        <v>109</v>
      </c>
      <c r="C37" s="39" t="s">
        <v>110</v>
      </c>
      <c r="D37" s="38" t="s">
        <v>59</v>
      </c>
      <c r="E37" s="40">
        <f>E35</f>
        <v>148.0811</v>
      </c>
      <c r="F37" s="40">
        <f t="shared" si="35"/>
        <v>13</v>
      </c>
      <c r="G37" s="40">
        <f t="shared" si="36"/>
        <v>1925.0543</v>
      </c>
      <c r="H37" s="38"/>
      <c r="I37" s="41">
        <f t="shared" si="37"/>
        <v>13</v>
      </c>
      <c r="J37" s="102">
        <f t="shared" si="31"/>
        <v>3</v>
      </c>
      <c r="K37" s="42">
        <f t="shared" si="38"/>
        <v>0</v>
      </c>
      <c r="L37" s="102">
        <f t="shared" si="32"/>
        <v>10</v>
      </c>
      <c r="M37" s="103">
        <f t="shared" si="33"/>
        <v>0</v>
      </c>
      <c r="N37" s="103">
        <f t="shared" si="34"/>
        <v>0</v>
      </c>
      <c r="O37" s="103">
        <f t="shared" si="39"/>
        <v>1925.0543</v>
      </c>
      <c r="P37" s="85">
        <f t="shared" si="40"/>
        <v>13</v>
      </c>
      <c r="Q37" s="44">
        <v>3</v>
      </c>
      <c r="R37" s="45">
        <v>0</v>
      </c>
      <c r="S37" s="44">
        <v>10</v>
      </c>
      <c r="T37" s="44">
        <v>0</v>
      </c>
      <c r="U37" s="44">
        <v>0</v>
      </c>
      <c r="V37" s="85">
        <f t="shared" si="41"/>
        <v>1925.0543</v>
      </c>
      <c r="W37" s="44"/>
      <c r="X37" s="44"/>
      <c r="Y37" s="44"/>
      <c r="Z37" s="44"/>
      <c r="AA37" s="44"/>
      <c r="AB37" s="44"/>
      <c r="AC37" s="44"/>
      <c r="AD37" s="44"/>
      <c r="AE37" s="46"/>
    </row>
    <row r="38" s="1" customFormat="1" ht="54" customHeight="1" outlineLevel="1" spans="1:31">
      <c r="A38" s="37">
        <v>7</v>
      </c>
      <c r="B38" s="38" t="s">
        <v>111</v>
      </c>
      <c r="C38" s="39" t="s">
        <v>112</v>
      </c>
      <c r="D38" s="38" t="s">
        <v>62</v>
      </c>
      <c r="E38" s="40">
        <f>3.08+8.66+9.7</f>
        <v>21.44</v>
      </c>
      <c r="F38" s="40">
        <f t="shared" si="35"/>
        <v>70</v>
      </c>
      <c r="G38" s="40">
        <f t="shared" si="36"/>
        <v>1500.8</v>
      </c>
      <c r="H38" s="38"/>
      <c r="I38" s="41">
        <f t="shared" si="37"/>
        <v>70</v>
      </c>
      <c r="J38" s="102">
        <f t="shared" si="31"/>
        <v>13.5</v>
      </c>
      <c r="K38" s="42">
        <f t="shared" si="38"/>
        <v>0</v>
      </c>
      <c r="L38" s="102">
        <f t="shared" si="32"/>
        <v>55</v>
      </c>
      <c r="M38" s="103">
        <f t="shared" si="33"/>
        <v>1.5</v>
      </c>
      <c r="N38" s="103">
        <f t="shared" si="34"/>
        <v>0</v>
      </c>
      <c r="O38" s="103">
        <f t="shared" si="39"/>
        <v>1500.8</v>
      </c>
      <c r="P38" s="85">
        <f t="shared" si="40"/>
        <v>70</v>
      </c>
      <c r="Q38" s="44">
        <f>0.3*(35+10)</f>
        <v>13.5</v>
      </c>
      <c r="R38" s="45"/>
      <c r="S38" s="44">
        <v>55</v>
      </c>
      <c r="T38" s="44">
        <v>1.5</v>
      </c>
      <c r="U38" s="44"/>
      <c r="V38" s="85">
        <f t="shared" si="41"/>
        <v>1500.8</v>
      </c>
      <c r="W38" s="44"/>
      <c r="X38" s="44"/>
      <c r="Y38" s="44"/>
      <c r="Z38" s="44"/>
      <c r="AA38" s="44"/>
      <c r="AB38" s="44"/>
      <c r="AC38" s="44"/>
      <c r="AD38" s="44"/>
      <c r="AE38" s="46"/>
    </row>
    <row r="39" s="1" customFormat="1" ht="46" customHeight="1" outlineLevel="1" spans="1:31">
      <c r="A39" s="37">
        <v>8</v>
      </c>
      <c r="B39" s="38" t="s">
        <v>113</v>
      </c>
      <c r="C39" s="39" t="s">
        <v>114</v>
      </c>
      <c r="D39" s="38" t="s">
        <v>62</v>
      </c>
      <c r="E39" s="40">
        <f>10.68+3.4+2.4+2.85+3.48+2.68+5.28</f>
        <v>30.77</v>
      </c>
      <c r="F39" s="40">
        <f t="shared" si="35"/>
        <v>171.23</v>
      </c>
      <c r="G39" s="40">
        <f t="shared" si="36"/>
        <v>5268.7471</v>
      </c>
      <c r="H39" s="38"/>
      <c r="I39" s="41">
        <f t="shared" si="37"/>
        <v>171.23</v>
      </c>
      <c r="J39" s="102">
        <f t="shared" si="31"/>
        <v>107.73</v>
      </c>
      <c r="K39" s="42">
        <f t="shared" si="38"/>
        <v>0</v>
      </c>
      <c r="L39" s="102">
        <f t="shared" si="32"/>
        <v>55</v>
      </c>
      <c r="M39" s="103">
        <f t="shared" si="33"/>
        <v>8.5</v>
      </c>
      <c r="N39" s="103">
        <f t="shared" si="34"/>
        <v>0</v>
      </c>
      <c r="O39" s="103">
        <f t="shared" si="39"/>
        <v>5268.7471</v>
      </c>
      <c r="P39" s="85">
        <f t="shared" si="40"/>
        <v>171.23</v>
      </c>
      <c r="Q39" s="44">
        <f>4.2*5.7*4.5</f>
        <v>107.73</v>
      </c>
      <c r="R39" s="45"/>
      <c r="S39" s="44">
        <v>55</v>
      </c>
      <c r="T39" s="44">
        <v>8.5</v>
      </c>
      <c r="U39" s="44"/>
      <c r="V39" s="85">
        <f t="shared" si="41"/>
        <v>5268.7471</v>
      </c>
      <c r="W39" s="44"/>
      <c r="X39" s="44"/>
      <c r="Y39" s="44"/>
      <c r="Z39" s="44"/>
      <c r="AA39" s="44"/>
      <c r="AB39" s="44"/>
      <c r="AC39" s="44"/>
      <c r="AD39" s="44"/>
      <c r="AE39" s="46"/>
    </row>
    <row r="40" s="1" customFormat="1" ht="22" customHeight="1" outlineLevel="1" spans="1:31">
      <c r="A40" s="37">
        <v>9</v>
      </c>
      <c r="B40" s="38" t="s">
        <v>115</v>
      </c>
      <c r="C40" s="39" t="s">
        <v>116</v>
      </c>
      <c r="D40" s="38" t="s">
        <v>59</v>
      </c>
      <c r="E40" s="40">
        <f>(10.68+3.4+2.4+2.85+3.48+2.68+5.28)*2.8</f>
        <v>86.156</v>
      </c>
      <c r="F40" s="40">
        <f t="shared" si="35"/>
        <v>52</v>
      </c>
      <c r="G40" s="40">
        <f t="shared" si="36"/>
        <v>4480.112</v>
      </c>
      <c r="H40" s="38"/>
      <c r="I40" s="41">
        <f t="shared" si="37"/>
        <v>52</v>
      </c>
      <c r="J40" s="102">
        <f t="shared" si="31"/>
        <v>45</v>
      </c>
      <c r="K40" s="42">
        <f t="shared" si="38"/>
        <v>0</v>
      </c>
      <c r="L40" s="102">
        <f t="shared" si="32"/>
        <v>5</v>
      </c>
      <c r="M40" s="103">
        <f t="shared" si="33"/>
        <v>1.5</v>
      </c>
      <c r="N40" s="103">
        <f t="shared" si="34"/>
        <v>0.5</v>
      </c>
      <c r="O40" s="103">
        <f t="shared" si="39"/>
        <v>4480.112</v>
      </c>
      <c r="P40" s="85">
        <f t="shared" si="40"/>
        <v>52</v>
      </c>
      <c r="Q40" s="44">
        <v>45</v>
      </c>
      <c r="R40" s="45"/>
      <c r="S40" s="44">
        <v>5</v>
      </c>
      <c r="T40" s="44">
        <v>1.5</v>
      </c>
      <c r="U40" s="44">
        <v>0.5</v>
      </c>
      <c r="V40" s="85">
        <f t="shared" si="41"/>
        <v>4480.112</v>
      </c>
      <c r="W40" s="44"/>
      <c r="X40" s="44"/>
      <c r="Y40" s="44"/>
      <c r="Z40" s="44"/>
      <c r="AA40" s="44"/>
      <c r="AB40" s="44"/>
      <c r="AC40" s="44"/>
      <c r="AD40" s="44"/>
      <c r="AE40" s="46"/>
    </row>
    <row r="41" s="1" customFormat="1" ht="25" customHeight="1" spans="1:31">
      <c r="A41" s="98" t="s">
        <v>19</v>
      </c>
      <c r="B41" s="99" t="s">
        <v>20</v>
      </c>
      <c r="C41" s="99"/>
      <c r="D41" s="100"/>
      <c r="E41" s="101"/>
      <c r="F41" s="101"/>
      <c r="G41" s="101">
        <f>SUBTOTAL(9,G42:G47)</f>
        <v>21072.01483</v>
      </c>
      <c r="H41" s="100"/>
      <c r="I41" s="77"/>
      <c r="J41" s="78"/>
      <c r="K41" s="79"/>
      <c r="L41" s="78"/>
      <c r="M41" s="78"/>
      <c r="N41" s="78"/>
      <c r="O41" s="78"/>
      <c r="P41" s="77"/>
      <c r="Q41" s="44"/>
      <c r="R41" s="45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6"/>
    </row>
    <row r="42" s="1" customFormat="1" ht="28" customHeight="1" outlineLevel="1" spans="1:31">
      <c r="A42" s="37">
        <v>1</v>
      </c>
      <c r="B42" s="38" t="s">
        <v>117</v>
      </c>
      <c r="C42" s="39"/>
      <c r="D42" s="38" t="s">
        <v>59</v>
      </c>
      <c r="E42" s="40">
        <f>3*(13.11+14.71+6.33+29.8+1.05+5.17+5.07*4+7.5+7.4)-0.85*2.8*4-0.66*2.8*2-(1+1.7)*2.8+1.5*2.2*2</f>
        <v>301.874</v>
      </c>
      <c r="F42" s="40">
        <f t="shared" ref="F42:F47" si="42">I42</f>
        <v>8.5</v>
      </c>
      <c r="G42" s="40">
        <f t="shared" ref="G42:G47" si="43">F42*E42</f>
        <v>2565.929</v>
      </c>
      <c r="H42" s="38"/>
      <c r="I42" s="41">
        <f t="shared" ref="I42:I47" si="44">J42+J42*K42+L42+M42+N42</f>
        <v>8.5</v>
      </c>
      <c r="J42" s="102">
        <f t="shared" ref="J42:J47" si="45">Q42*$Q$1</f>
        <v>3.5</v>
      </c>
      <c r="K42" s="42">
        <f t="shared" ref="K42:K47" si="46">R42</f>
        <v>0</v>
      </c>
      <c r="L42" s="102">
        <f t="shared" ref="L42:L47" si="47">S42*$S$1</f>
        <v>5</v>
      </c>
      <c r="M42" s="103">
        <f t="shared" ref="M42:M47" si="48">T42*$T$1</f>
        <v>0</v>
      </c>
      <c r="N42" s="103">
        <f t="shared" ref="N42:N47" si="49">U42*$U$1</f>
        <v>0</v>
      </c>
      <c r="O42" s="103">
        <f t="shared" ref="O42:O47" si="50">E42*I42</f>
        <v>2565.929</v>
      </c>
      <c r="P42" s="85">
        <f t="shared" ref="P42:P47" si="51">Q42+Q42*R42+S42+T42+U42</f>
        <v>8.5</v>
      </c>
      <c r="Q42" s="44">
        <f>Q35</f>
        <v>3.5</v>
      </c>
      <c r="R42" s="45">
        <f>R35</f>
        <v>0</v>
      </c>
      <c r="S42" s="44">
        <f>S35</f>
        <v>5</v>
      </c>
      <c r="T42" s="44">
        <f>T35</f>
        <v>0</v>
      </c>
      <c r="U42" s="44">
        <v>0</v>
      </c>
      <c r="V42" s="85">
        <f t="shared" ref="V42:V47" si="52">E42*P42</f>
        <v>2565.929</v>
      </c>
      <c r="W42" s="44"/>
      <c r="X42" s="44"/>
      <c r="Y42" s="44"/>
      <c r="Z42" s="44"/>
      <c r="AA42" s="44"/>
      <c r="AB42" s="44"/>
      <c r="AC42" s="44"/>
      <c r="AD42" s="44"/>
      <c r="AE42" s="46"/>
    </row>
    <row r="43" s="1" customFormat="1" ht="28" customHeight="1" outlineLevel="1" spans="1:31">
      <c r="A43" s="37">
        <v>2</v>
      </c>
      <c r="B43" s="38" t="s">
        <v>118</v>
      </c>
      <c r="C43" s="39" t="s">
        <v>119</v>
      </c>
      <c r="D43" s="38" t="s">
        <v>59</v>
      </c>
      <c r="E43" s="40">
        <f>E42</f>
        <v>301.874</v>
      </c>
      <c r="F43" s="40">
        <f t="shared" si="42"/>
        <v>21.5</v>
      </c>
      <c r="G43" s="40">
        <f t="shared" si="43"/>
        <v>6490.291</v>
      </c>
      <c r="H43" s="38"/>
      <c r="I43" s="41">
        <f t="shared" si="44"/>
        <v>21.5</v>
      </c>
      <c r="J43" s="102">
        <f t="shared" si="45"/>
        <v>3.5</v>
      </c>
      <c r="K43" s="42">
        <f t="shared" si="46"/>
        <v>0</v>
      </c>
      <c r="L43" s="102">
        <f t="shared" si="47"/>
        <v>18</v>
      </c>
      <c r="M43" s="103">
        <f t="shared" si="48"/>
        <v>0</v>
      </c>
      <c r="N43" s="103">
        <f t="shared" si="49"/>
        <v>0</v>
      </c>
      <c r="O43" s="103">
        <f t="shared" si="50"/>
        <v>6490.291</v>
      </c>
      <c r="P43" s="85">
        <f t="shared" si="51"/>
        <v>21.5</v>
      </c>
      <c r="Q43" s="44">
        <f>Q36</f>
        <v>3.5</v>
      </c>
      <c r="R43" s="45">
        <f>R36</f>
        <v>0</v>
      </c>
      <c r="S43" s="44">
        <f>S36</f>
        <v>18</v>
      </c>
      <c r="T43" s="44">
        <f>T36</f>
        <v>0</v>
      </c>
      <c r="U43" s="44">
        <v>0</v>
      </c>
      <c r="V43" s="85">
        <f t="shared" si="52"/>
        <v>6490.291</v>
      </c>
      <c r="W43" s="44"/>
      <c r="X43" s="44"/>
      <c r="Y43" s="44"/>
      <c r="Z43" s="44"/>
      <c r="AA43" s="44"/>
      <c r="AB43" s="44"/>
      <c r="AC43" s="44"/>
      <c r="AD43" s="44"/>
      <c r="AE43" s="46"/>
    </row>
    <row r="44" s="1" customFormat="1" ht="28" customHeight="1" outlineLevel="1" spans="1:31">
      <c r="A44" s="37">
        <v>3</v>
      </c>
      <c r="B44" s="38" t="s">
        <v>120</v>
      </c>
      <c r="C44" s="39" t="s">
        <v>110</v>
      </c>
      <c r="D44" s="38" t="s">
        <v>59</v>
      </c>
      <c r="E44" s="40">
        <f>E42</f>
        <v>301.874</v>
      </c>
      <c r="F44" s="40">
        <f t="shared" si="42"/>
        <v>13</v>
      </c>
      <c r="G44" s="40">
        <f t="shared" si="43"/>
        <v>3924.362</v>
      </c>
      <c r="H44" s="38"/>
      <c r="I44" s="41">
        <f t="shared" si="44"/>
        <v>13</v>
      </c>
      <c r="J44" s="102">
        <f t="shared" si="45"/>
        <v>3</v>
      </c>
      <c r="K44" s="42">
        <f t="shared" si="46"/>
        <v>0</v>
      </c>
      <c r="L44" s="102">
        <f t="shared" si="47"/>
        <v>10</v>
      </c>
      <c r="M44" s="103">
        <f t="shared" si="48"/>
        <v>0</v>
      </c>
      <c r="N44" s="103">
        <f t="shared" si="49"/>
        <v>0</v>
      </c>
      <c r="O44" s="103">
        <f t="shared" si="50"/>
        <v>3924.362</v>
      </c>
      <c r="P44" s="85">
        <f t="shared" si="51"/>
        <v>13</v>
      </c>
      <c r="Q44" s="44">
        <f>Q37</f>
        <v>3</v>
      </c>
      <c r="R44" s="45">
        <f>R37</f>
        <v>0</v>
      </c>
      <c r="S44" s="44">
        <f>S37</f>
        <v>10</v>
      </c>
      <c r="T44" s="44">
        <f>T37</f>
        <v>0</v>
      </c>
      <c r="U44" s="44">
        <v>0</v>
      </c>
      <c r="V44" s="85">
        <f t="shared" si="52"/>
        <v>3924.362</v>
      </c>
      <c r="W44" s="44"/>
      <c r="X44" s="44"/>
      <c r="Y44" s="44"/>
      <c r="Z44" s="44"/>
      <c r="AA44" s="44"/>
      <c r="AB44" s="44"/>
      <c r="AC44" s="44"/>
      <c r="AD44" s="44"/>
      <c r="AE44" s="46"/>
    </row>
    <row r="45" s="1" customFormat="1" ht="67" customHeight="1" outlineLevel="1" spans="1:31">
      <c r="A45" s="37">
        <v>4</v>
      </c>
      <c r="B45" s="38" t="s">
        <v>121</v>
      </c>
      <c r="C45" s="39" t="s">
        <v>122</v>
      </c>
      <c r="D45" s="38" t="s">
        <v>59</v>
      </c>
      <c r="E45" s="40">
        <f>2.4*1.35</f>
        <v>3.24</v>
      </c>
      <c r="F45" s="40">
        <v>0</v>
      </c>
      <c r="G45" s="40">
        <f t="shared" si="43"/>
        <v>0</v>
      </c>
      <c r="H45" s="38"/>
      <c r="I45" s="41">
        <f t="shared" si="44"/>
        <v>329.05</v>
      </c>
      <c r="J45" s="102">
        <f t="shared" si="45"/>
        <v>265</v>
      </c>
      <c r="K45" s="42">
        <f t="shared" si="46"/>
        <v>0.03</v>
      </c>
      <c r="L45" s="102">
        <f t="shared" si="47"/>
        <v>55</v>
      </c>
      <c r="M45" s="103">
        <f t="shared" si="48"/>
        <v>0.8</v>
      </c>
      <c r="N45" s="103">
        <f t="shared" si="49"/>
        <v>0.3</v>
      </c>
      <c r="O45" s="103">
        <f t="shared" si="50"/>
        <v>1066.122</v>
      </c>
      <c r="P45" s="85">
        <f t="shared" si="51"/>
        <v>329.05</v>
      </c>
      <c r="Q45" s="44">
        <v>265</v>
      </c>
      <c r="R45" s="45">
        <v>0.03</v>
      </c>
      <c r="S45" s="44">
        <v>55</v>
      </c>
      <c r="T45" s="44">
        <v>0.8</v>
      </c>
      <c r="U45" s="44">
        <v>0.3</v>
      </c>
      <c r="V45" s="85">
        <f t="shared" si="52"/>
        <v>1066.122</v>
      </c>
      <c r="W45" s="44"/>
      <c r="X45" s="44"/>
      <c r="Y45" s="44"/>
      <c r="Z45" s="44"/>
      <c r="AA45" s="44"/>
      <c r="AB45" s="44"/>
      <c r="AC45" s="44"/>
      <c r="AD45" s="44"/>
      <c r="AE45" s="46"/>
    </row>
    <row r="46" s="1" customFormat="1" ht="48" outlineLevel="1" spans="1:31">
      <c r="A46" s="37">
        <v>5</v>
      </c>
      <c r="B46" s="38" t="s">
        <v>123</v>
      </c>
      <c r="C46" s="39" t="s">
        <v>124</v>
      </c>
      <c r="D46" s="38" t="s">
        <v>62</v>
      </c>
      <c r="E46" s="40">
        <f>(13.11+14.71+6.33+29.8+1.05+5.17+5.07*4+7.5+7.4)-0.85*4-0.66*2-(1+1.7)+1.5*2</f>
        <v>100.93</v>
      </c>
      <c r="F46" s="40">
        <f t="shared" si="42"/>
        <v>44.831</v>
      </c>
      <c r="G46" s="40">
        <f t="shared" si="43"/>
        <v>4524.79283</v>
      </c>
      <c r="H46" s="38"/>
      <c r="I46" s="41">
        <f t="shared" si="44"/>
        <v>44.831</v>
      </c>
      <c r="J46" s="102">
        <f t="shared" si="45"/>
        <v>23.1</v>
      </c>
      <c r="K46" s="42">
        <f t="shared" si="46"/>
        <v>0.01</v>
      </c>
      <c r="L46" s="102">
        <f t="shared" si="47"/>
        <v>18</v>
      </c>
      <c r="M46" s="103">
        <f t="shared" si="48"/>
        <v>3.5</v>
      </c>
      <c r="N46" s="103">
        <f t="shared" si="49"/>
        <v>0</v>
      </c>
      <c r="O46" s="103">
        <f t="shared" si="50"/>
        <v>4524.79283</v>
      </c>
      <c r="P46" s="85">
        <f t="shared" si="51"/>
        <v>44.831</v>
      </c>
      <c r="Q46" s="44">
        <f>0.06*360+1.5</f>
        <v>23.1</v>
      </c>
      <c r="R46" s="45">
        <v>0.01</v>
      </c>
      <c r="S46" s="44">
        <v>18</v>
      </c>
      <c r="T46" s="44">
        <v>3.5</v>
      </c>
      <c r="U46" s="44"/>
      <c r="V46" s="85">
        <f t="shared" si="52"/>
        <v>4524.79283</v>
      </c>
      <c r="W46" s="44"/>
      <c r="X46" s="44"/>
      <c r="Y46" s="44"/>
      <c r="Z46" s="44"/>
      <c r="AA46" s="44"/>
      <c r="AB46" s="44"/>
      <c r="AC46" s="44"/>
      <c r="AD46" s="44"/>
      <c r="AE46" s="46"/>
    </row>
    <row r="47" s="1" customFormat="1" ht="36" customHeight="1" outlineLevel="1" spans="1:31">
      <c r="A47" s="37">
        <v>6</v>
      </c>
      <c r="B47" s="38" t="s">
        <v>125</v>
      </c>
      <c r="C47" s="39" t="s">
        <v>126</v>
      </c>
      <c r="D47" s="38" t="s">
        <v>59</v>
      </c>
      <c r="E47" s="40">
        <f>3.08*3</f>
        <v>9.24</v>
      </c>
      <c r="F47" s="40">
        <f t="shared" si="42"/>
        <v>386</v>
      </c>
      <c r="G47" s="40">
        <f t="shared" si="43"/>
        <v>3566.64</v>
      </c>
      <c r="H47" s="38"/>
      <c r="I47" s="41">
        <f t="shared" si="44"/>
        <v>386</v>
      </c>
      <c r="J47" s="102">
        <f t="shared" si="45"/>
        <v>220</v>
      </c>
      <c r="K47" s="42">
        <f t="shared" si="46"/>
        <v>0</v>
      </c>
      <c r="L47" s="102">
        <f t="shared" si="47"/>
        <v>120</v>
      </c>
      <c r="M47" s="103">
        <f t="shared" si="48"/>
        <v>46</v>
      </c>
      <c r="N47" s="103">
        <f t="shared" si="49"/>
        <v>0</v>
      </c>
      <c r="O47" s="103">
        <f t="shared" si="50"/>
        <v>3566.64</v>
      </c>
      <c r="P47" s="85">
        <f t="shared" si="51"/>
        <v>386</v>
      </c>
      <c r="Q47" s="44">
        <v>220</v>
      </c>
      <c r="R47" s="45"/>
      <c r="S47" s="108">
        <v>120</v>
      </c>
      <c r="T47" s="108">
        <v>46</v>
      </c>
      <c r="U47" s="44"/>
      <c r="V47" s="85">
        <f t="shared" si="52"/>
        <v>3566.64</v>
      </c>
      <c r="W47" s="44"/>
      <c r="X47" s="44"/>
      <c r="Y47" s="44"/>
      <c r="Z47" s="44"/>
      <c r="AA47" s="44"/>
      <c r="AB47" s="44"/>
      <c r="AC47" s="44"/>
      <c r="AD47" s="44"/>
      <c r="AE47" s="46"/>
    </row>
    <row r="48" s="1" customFormat="1" ht="36" customHeight="1" spans="1:31">
      <c r="A48" s="98" t="s">
        <v>22</v>
      </c>
      <c r="B48" s="99" t="s">
        <v>23</v>
      </c>
      <c r="C48" s="99"/>
      <c r="D48" s="100"/>
      <c r="E48" s="101"/>
      <c r="F48" s="101"/>
      <c r="G48" s="101">
        <f>SUBTOTAL(9,G49:G65)</f>
        <v>22995.8365</v>
      </c>
      <c r="H48" s="100"/>
      <c r="I48" s="77"/>
      <c r="J48" s="78"/>
      <c r="K48" s="79"/>
      <c r="L48" s="78"/>
      <c r="M48" s="78"/>
      <c r="N48" s="78"/>
      <c r="O48" s="78"/>
      <c r="P48" s="77"/>
      <c r="Q48" s="44"/>
      <c r="R48" s="45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6"/>
    </row>
    <row r="49" s="1" customFormat="1" ht="56" customHeight="1" outlineLevel="1" spans="1:31">
      <c r="A49" s="37">
        <v>1</v>
      </c>
      <c r="B49" s="38" t="s">
        <v>127</v>
      </c>
      <c r="C49" s="39" t="s">
        <v>128</v>
      </c>
      <c r="D49" s="38" t="s">
        <v>129</v>
      </c>
      <c r="E49" s="40">
        <v>1</v>
      </c>
      <c r="F49" s="40">
        <f>I49</f>
        <v>2050</v>
      </c>
      <c r="G49" s="40">
        <f>F49*E49</f>
        <v>2050</v>
      </c>
      <c r="H49" s="38"/>
      <c r="I49" s="41">
        <f t="shared" ref="I49:I51" si="53">J49+J49*K49+L49+M49+N49</f>
        <v>2050</v>
      </c>
      <c r="J49" s="102">
        <f t="shared" ref="J49:J57" si="54">Q49*$Q$1</f>
        <v>1200</v>
      </c>
      <c r="K49" s="42">
        <f>R49</f>
        <v>0</v>
      </c>
      <c r="L49" s="102">
        <f t="shared" ref="L49:L57" si="55">S49*$S$1</f>
        <v>800</v>
      </c>
      <c r="M49" s="103">
        <f t="shared" ref="M49:M57" si="56">T49*$T$1</f>
        <v>50</v>
      </c>
      <c r="N49" s="103">
        <f t="shared" ref="N49:N57" si="57">U49*$U$1</f>
        <v>0</v>
      </c>
      <c r="O49" s="103">
        <f t="shared" ref="O49:O51" si="58">E49*I49</f>
        <v>2050</v>
      </c>
      <c r="P49" s="85">
        <f t="shared" ref="P49:P51" si="59">Q49+Q49*R49+S49+T49+U49</f>
        <v>2050</v>
      </c>
      <c r="Q49" s="44">
        <v>1200</v>
      </c>
      <c r="R49" s="45"/>
      <c r="S49" s="44">
        <v>800</v>
      </c>
      <c r="T49" s="44">
        <v>50</v>
      </c>
      <c r="U49" s="44"/>
      <c r="V49" s="85">
        <f t="shared" ref="V49:V51" si="60">E49*P49</f>
        <v>2050</v>
      </c>
      <c r="W49" s="44"/>
      <c r="X49" s="44"/>
      <c r="Y49" s="44"/>
      <c r="Z49" s="44"/>
      <c r="AA49" s="44"/>
      <c r="AB49" s="44"/>
      <c r="AC49" s="44"/>
      <c r="AD49" s="44"/>
      <c r="AE49" s="46"/>
    </row>
    <row r="50" s="1" customFormat="1" ht="55" customHeight="1" outlineLevel="1" spans="1:31">
      <c r="A50" s="37">
        <v>2.1</v>
      </c>
      <c r="B50" s="38" t="s">
        <v>130</v>
      </c>
      <c r="C50" s="39" t="s">
        <v>131</v>
      </c>
      <c r="D50" s="38" t="s">
        <v>132</v>
      </c>
      <c r="E50" s="40">
        <v>1</v>
      </c>
      <c r="F50" s="40">
        <f>I50</f>
        <v>966.2</v>
      </c>
      <c r="G50" s="40">
        <f>F50*E50</f>
        <v>966.2</v>
      </c>
      <c r="H50" s="38"/>
      <c r="I50" s="41">
        <f t="shared" si="53"/>
        <v>966.2</v>
      </c>
      <c r="J50" s="102">
        <f t="shared" si="54"/>
        <v>571.2</v>
      </c>
      <c r="K50" s="42">
        <f>R50</f>
        <v>0</v>
      </c>
      <c r="L50" s="102">
        <f t="shared" si="55"/>
        <v>360</v>
      </c>
      <c r="M50" s="103">
        <f t="shared" si="56"/>
        <v>35</v>
      </c>
      <c r="N50" s="103">
        <f t="shared" si="57"/>
        <v>0</v>
      </c>
      <c r="O50" s="103">
        <f t="shared" ref="O50:O57" si="61">E50*I50</f>
        <v>966.2</v>
      </c>
      <c r="P50" s="85">
        <f t="shared" si="59"/>
        <v>966.2</v>
      </c>
      <c r="Q50" s="108">
        <f>120*1.7*2.8</f>
        <v>571.2</v>
      </c>
      <c r="R50" s="107"/>
      <c r="S50" s="108">
        <f>180*2</f>
        <v>360</v>
      </c>
      <c r="T50" s="108">
        <f>35</f>
        <v>35</v>
      </c>
      <c r="U50" s="44"/>
      <c r="V50" s="85">
        <f t="shared" si="60"/>
        <v>966.2</v>
      </c>
      <c r="W50" s="44"/>
      <c r="X50" s="44"/>
      <c r="Y50" s="44"/>
      <c r="Z50" s="44"/>
      <c r="AA50" s="44"/>
      <c r="AB50" s="44"/>
      <c r="AC50" s="44"/>
      <c r="AD50" s="44"/>
      <c r="AE50" s="46"/>
    </row>
    <row r="51" s="1" customFormat="1" ht="27" customHeight="1" outlineLevel="1" spans="1:31">
      <c r="A51" s="37">
        <v>2.2</v>
      </c>
      <c r="B51" s="38" t="s">
        <v>133</v>
      </c>
      <c r="C51" s="39"/>
      <c r="D51" s="38" t="s">
        <v>134</v>
      </c>
      <c r="E51" s="40">
        <v>2</v>
      </c>
      <c r="F51" s="40">
        <f>I51</f>
        <v>150</v>
      </c>
      <c r="G51" s="40">
        <f>F51*E51</f>
        <v>300</v>
      </c>
      <c r="H51" s="38"/>
      <c r="I51" s="41">
        <v>150</v>
      </c>
      <c r="J51" s="102">
        <f t="shared" si="54"/>
        <v>150</v>
      </c>
      <c r="K51" s="42">
        <f>R51</f>
        <v>0</v>
      </c>
      <c r="L51" s="102">
        <f t="shared" si="55"/>
        <v>0</v>
      </c>
      <c r="M51" s="103">
        <f t="shared" si="56"/>
        <v>0</v>
      </c>
      <c r="N51" s="103">
        <f t="shared" si="57"/>
        <v>0</v>
      </c>
      <c r="O51" s="103">
        <f t="shared" si="58"/>
        <v>300</v>
      </c>
      <c r="P51" s="85">
        <f t="shared" si="59"/>
        <v>150</v>
      </c>
      <c r="Q51" s="108">
        <v>150</v>
      </c>
      <c r="R51" s="107"/>
      <c r="S51" s="108"/>
      <c r="T51" s="108"/>
      <c r="U51" s="44"/>
      <c r="V51" s="85">
        <f t="shared" si="60"/>
        <v>300</v>
      </c>
      <c r="W51" s="44"/>
      <c r="X51" s="44"/>
      <c r="Y51" s="44"/>
      <c r="Z51" s="44"/>
      <c r="AA51" s="44"/>
      <c r="AB51" s="44"/>
      <c r="AC51" s="44"/>
      <c r="AD51" s="44"/>
      <c r="AE51" s="46"/>
    </row>
    <row r="52" s="1" customFormat="1" ht="27" customHeight="1" outlineLevel="1" spans="1:31">
      <c r="A52" s="37">
        <v>2.3</v>
      </c>
      <c r="B52" s="38" t="s">
        <v>135</v>
      </c>
      <c r="C52" s="39"/>
      <c r="D52" s="38" t="s">
        <v>134</v>
      </c>
      <c r="E52" s="40">
        <v>4</v>
      </c>
      <c r="F52" s="40">
        <f t="shared" ref="F52:F57" si="62">I52</f>
        <v>45</v>
      </c>
      <c r="G52" s="40">
        <f t="shared" ref="G52:G57" si="63">F52*E52</f>
        <v>180</v>
      </c>
      <c r="H52" s="38"/>
      <c r="I52" s="41">
        <v>45</v>
      </c>
      <c r="J52" s="102">
        <f t="shared" si="54"/>
        <v>45</v>
      </c>
      <c r="K52" s="42">
        <f t="shared" ref="K52:K57" si="64">R52</f>
        <v>0</v>
      </c>
      <c r="L52" s="102">
        <f t="shared" si="55"/>
        <v>0</v>
      </c>
      <c r="M52" s="103">
        <f t="shared" si="56"/>
        <v>0</v>
      </c>
      <c r="N52" s="103">
        <f t="shared" si="57"/>
        <v>0</v>
      </c>
      <c r="O52" s="103">
        <f t="shared" si="61"/>
        <v>180</v>
      </c>
      <c r="P52" s="85">
        <f t="shared" ref="P52:P57" si="65">Q52+Q52*R52+S52+T52+U52</f>
        <v>45</v>
      </c>
      <c r="Q52" s="108">
        <v>45</v>
      </c>
      <c r="R52" s="107"/>
      <c r="S52" s="108"/>
      <c r="T52" s="108"/>
      <c r="U52" s="44"/>
      <c r="V52" s="85">
        <f t="shared" ref="V52:V57" si="66">E52*P52</f>
        <v>180</v>
      </c>
      <c r="W52" s="44"/>
      <c r="X52" s="44"/>
      <c r="Y52" s="44"/>
      <c r="Z52" s="44"/>
      <c r="AA52" s="44"/>
      <c r="AB52" s="44"/>
      <c r="AC52" s="44"/>
      <c r="AD52" s="44"/>
      <c r="AE52" s="46"/>
    </row>
    <row r="53" s="1" customFormat="1" ht="27" customHeight="1" outlineLevel="1" spans="1:31">
      <c r="A53" s="37">
        <v>2.3</v>
      </c>
      <c r="B53" s="38" t="s">
        <v>136</v>
      </c>
      <c r="C53" s="39"/>
      <c r="D53" s="38" t="s">
        <v>134</v>
      </c>
      <c r="E53" s="40">
        <v>2</v>
      </c>
      <c r="F53" s="40">
        <f t="shared" si="62"/>
        <v>450</v>
      </c>
      <c r="G53" s="115">
        <f t="shared" si="63"/>
        <v>900</v>
      </c>
      <c r="H53" s="38"/>
      <c r="I53" s="41">
        <v>450</v>
      </c>
      <c r="J53" s="102">
        <f t="shared" si="54"/>
        <v>450</v>
      </c>
      <c r="K53" s="42">
        <f t="shared" si="64"/>
        <v>0</v>
      </c>
      <c r="L53" s="102">
        <f t="shared" si="55"/>
        <v>0</v>
      </c>
      <c r="M53" s="103">
        <f t="shared" si="56"/>
        <v>0</v>
      </c>
      <c r="N53" s="103">
        <f t="shared" si="57"/>
        <v>0</v>
      </c>
      <c r="O53" s="103">
        <f t="shared" si="61"/>
        <v>900</v>
      </c>
      <c r="P53" s="85">
        <f t="shared" si="65"/>
        <v>450</v>
      </c>
      <c r="Q53" s="108">
        <v>450</v>
      </c>
      <c r="R53" s="107"/>
      <c r="S53" s="108"/>
      <c r="T53" s="108"/>
      <c r="U53" s="44"/>
      <c r="V53" s="85">
        <f t="shared" si="66"/>
        <v>900</v>
      </c>
      <c r="W53" s="44"/>
      <c r="X53" s="44"/>
      <c r="Y53" s="44"/>
      <c r="Z53" s="44"/>
      <c r="AA53" s="44"/>
      <c r="AB53" s="44"/>
      <c r="AC53" s="44"/>
      <c r="AD53" s="44"/>
      <c r="AE53" s="46"/>
    </row>
    <row r="54" s="1" customFormat="1" ht="55" customHeight="1" outlineLevel="1" spans="1:31">
      <c r="A54" s="37">
        <v>3.1</v>
      </c>
      <c r="B54" s="38" t="s">
        <v>137</v>
      </c>
      <c r="C54" s="39" t="s">
        <v>138</v>
      </c>
      <c r="D54" s="38" t="s">
        <v>132</v>
      </c>
      <c r="E54" s="40">
        <v>1</v>
      </c>
      <c r="F54" s="40">
        <f t="shared" si="62"/>
        <v>533.5</v>
      </c>
      <c r="G54" s="40">
        <f t="shared" si="63"/>
        <v>533.5</v>
      </c>
      <c r="H54" s="38"/>
      <c r="I54" s="41">
        <f>J54+J54*K54+L54+M54+N54</f>
        <v>533.5</v>
      </c>
      <c r="J54" s="102">
        <f t="shared" si="54"/>
        <v>336</v>
      </c>
      <c r="K54" s="42">
        <f t="shared" si="64"/>
        <v>0</v>
      </c>
      <c r="L54" s="102">
        <f t="shared" si="55"/>
        <v>180</v>
      </c>
      <c r="M54" s="103">
        <f t="shared" si="56"/>
        <v>17.5</v>
      </c>
      <c r="N54" s="103">
        <f t="shared" si="57"/>
        <v>0</v>
      </c>
      <c r="O54" s="103">
        <f t="shared" si="61"/>
        <v>533.5</v>
      </c>
      <c r="P54" s="85">
        <f t="shared" si="65"/>
        <v>533.5</v>
      </c>
      <c r="Q54" s="108">
        <f>120*1*2.8</f>
        <v>336</v>
      </c>
      <c r="R54" s="107"/>
      <c r="S54" s="108">
        <f>180</f>
        <v>180</v>
      </c>
      <c r="T54" s="108">
        <f>17.5</f>
        <v>17.5</v>
      </c>
      <c r="U54" s="44"/>
      <c r="V54" s="85">
        <f t="shared" si="66"/>
        <v>533.5</v>
      </c>
      <c r="W54" s="44"/>
      <c r="X54" s="44"/>
      <c r="Y54" s="44"/>
      <c r="Z54" s="44"/>
      <c r="AA54" s="44"/>
      <c r="AB54" s="44"/>
      <c r="AC54" s="44"/>
      <c r="AD54" s="44"/>
      <c r="AE54" s="46"/>
    </row>
    <row r="55" s="1" customFormat="1" ht="27" customHeight="1" outlineLevel="1" spans="1:31">
      <c r="A55" s="37">
        <v>3.2</v>
      </c>
      <c r="B55" s="38" t="s">
        <v>133</v>
      </c>
      <c r="C55" s="39"/>
      <c r="D55" s="38" t="s">
        <v>134</v>
      </c>
      <c r="E55" s="40">
        <v>1</v>
      </c>
      <c r="F55" s="40">
        <f t="shared" si="62"/>
        <v>150</v>
      </c>
      <c r="G55" s="40">
        <f t="shared" si="63"/>
        <v>150</v>
      </c>
      <c r="H55" s="38"/>
      <c r="I55" s="41">
        <v>150</v>
      </c>
      <c r="J55" s="102">
        <f t="shared" si="54"/>
        <v>150</v>
      </c>
      <c r="K55" s="42">
        <f t="shared" si="64"/>
        <v>0</v>
      </c>
      <c r="L55" s="102">
        <f t="shared" si="55"/>
        <v>0</v>
      </c>
      <c r="M55" s="103">
        <f t="shared" si="56"/>
        <v>0</v>
      </c>
      <c r="N55" s="103">
        <f t="shared" si="57"/>
        <v>0</v>
      </c>
      <c r="O55" s="103">
        <f t="shared" si="61"/>
        <v>150</v>
      </c>
      <c r="P55" s="85">
        <f t="shared" si="65"/>
        <v>150</v>
      </c>
      <c r="Q55" s="108">
        <v>150</v>
      </c>
      <c r="R55" s="107"/>
      <c r="S55" s="108"/>
      <c r="T55" s="108"/>
      <c r="U55" s="44"/>
      <c r="V55" s="85">
        <f t="shared" si="66"/>
        <v>150</v>
      </c>
      <c r="W55" s="44"/>
      <c r="X55" s="44"/>
      <c r="Y55" s="44"/>
      <c r="Z55" s="44"/>
      <c r="AA55" s="44"/>
      <c r="AB55" s="44"/>
      <c r="AC55" s="44"/>
      <c r="AD55" s="44"/>
      <c r="AE55" s="46"/>
    </row>
    <row r="56" s="1" customFormat="1" ht="27" customHeight="1" outlineLevel="1" spans="1:31">
      <c r="A56" s="37">
        <v>3.3</v>
      </c>
      <c r="B56" s="38" t="s">
        <v>135</v>
      </c>
      <c r="C56" s="39"/>
      <c r="D56" s="38" t="s">
        <v>134</v>
      </c>
      <c r="E56" s="40">
        <v>2</v>
      </c>
      <c r="F56" s="40">
        <f t="shared" si="62"/>
        <v>45</v>
      </c>
      <c r="G56" s="40">
        <f t="shared" si="63"/>
        <v>90</v>
      </c>
      <c r="H56" s="38"/>
      <c r="I56" s="41">
        <v>45</v>
      </c>
      <c r="J56" s="102">
        <f t="shared" si="54"/>
        <v>45</v>
      </c>
      <c r="K56" s="42">
        <f t="shared" si="64"/>
        <v>0</v>
      </c>
      <c r="L56" s="102">
        <f t="shared" si="55"/>
        <v>0</v>
      </c>
      <c r="M56" s="103">
        <f t="shared" si="56"/>
        <v>0</v>
      </c>
      <c r="N56" s="103">
        <f t="shared" si="57"/>
        <v>0</v>
      </c>
      <c r="O56" s="103">
        <f t="shared" si="61"/>
        <v>90</v>
      </c>
      <c r="P56" s="85">
        <f t="shared" si="65"/>
        <v>45</v>
      </c>
      <c r="Q56" s="108">
        <v>45</v>
      </c>
      <c r="R56" s="107"/>
      <c r="S56" s="108"/>
      <c r="T56" s="108"/>
      <c r="U56" s="44"/>
      <c r="V56" s="85">
        <f t="shared" si="66"/>
        <v>90</v>
      </c>
      <c r="W56" s="44"/>
      <c r="X56" s="44"/>
      <c r="Y56" s="44"/>
      <c r="Z56" s="44"/>
      <c r="AA56" s="44"/>
      <c r="AB56" s="44"/>
      <c r="AC56" s="44"/>
      <c r="AD56" s="44"/>
      <c r="AE56" s="46"/>
    </row>
    <row r="57" s="1" customFormat="1" ht="27" customHeight="1" outlineLevel="1" spans="1:31">
      <c r="A57" s="37">
        <v>3.4</v>
      </c>
      <c r="B57" s="38" t="s">
        <v>136</v>
      </c>
      <c r="C57" s="39"/>
      <c r="D57" s="38" t="s">
        <v>134</v>
      </c>
      <c r="E57" s="40">
        <v>1</v>
      </c>
      <c r="F57" s="40">
        <f t="shared" si="62"/>
        <v>450</v>
      </c>
      <c r="G57" s="115">
        <f t="shared" si="63"/>
        <v>450</v>
      </c>
      <c r="H57" s="38"/>
      <c r="I57" s="41">
        <v>450</v>
      </c>
      <c r="J57" s="102">
        <f t="shared" si="54"/>
        <v>450</v>
      </c>
      <c r="K57" s="42">
        <f t="shared" si="64"/>
        <v>0</v>
      </c>
      <c r="L57" s="102">
        <f t="shared" si="55"/>
        <v>0</v>
      </c>
      <c r="M57" s="103">
        <f t="shared" si="56"/>
        <v>0</v>
      </c>
      <c r="N57" s="103">
        <f t="shared" si="57"/>
        <v>0</v>
      </c>
      <c r="O57" s="103">
        <f t="shared" si="61"/>
        <v>450</v>
      </c>
      <c r="P57" s="85">
        <f t="shared" si="65"/>
        <v>450</v>
      </c>
      <c r="Q57" s="108">
        <v>450</v>
      </c>
      <c r="R57" s="107"/>
      <c r="S57" s="108"/>
      <c r="T57" s="108"/>
      <c r="U57" s="44"/>
      <c r="V57" s="85">
        <f t="shared" si="66"/>
        <v>450</v>
      </c>
      <c r="W57" s="44"/>
      <c r="X57" s="44"/>
      <c r="Y57" s="44"/>
      <c r="Z57" s="44"/>
      <c r="AA57" s="44"/>
      <c r="AB57" s="44"/>
      <c r="AC57" s="44"/>
      <c r="AD57" s="44"/>
      <c r="AE57" s="46"/>
    </row>
    <row r="58" s="1" customFormat="1" ht="48" outlineLevel="1" spans="1:31">
      <c r="A58" s="37">
        <v>4.1</v>
      </c>
      <c r="B58" s="38" t="s">
        <v>139</v>
      </c>
      <c r="C58" s="39" t="s">
        <v>140</v>
      </c>
      <c r="D58" s="38" t="s">
        <v>132</v>
      </c>
      <c r="E58" s="40">
        <v>7</v>
      </c>
      <c r="F58" s="40">
        <f t="shared" ref="F58:F65" si="67">I58</f>
        <v>1286</v>
      </c>
      <c r="G58" s="40">
        <f t="shared" ref="G58:G65" si="68">F58*E58</f>
        <v>9002</v>
      </c>
      <c r="H58" s="38"/>
      <c r="I58" s="41">
        <f>J58+J58*K58+L58+M58+N58</f>
        <v>1286</v>
      </c>
      <c r="J58" s="102">
        <f t="shared" ref="J58:J65" si="69">Q58*$Q$1</f>
        <v>1071</v>
      </c>
      <c r="K58" s="42">
        <f t="shared" ref="K58:K65" si="70">R58</f>
        <v>0</v>
      </c>
      <c r="L58" s="102">
        <f t="shared" ref="L58:L65" si="71">S58*$S$1</f>
        <v>180</v>
      </c>
      <c r="M58" s="103">
        <f t="shared" ref="M58:M65" si="72">T58*$T$1</f>
        <v>35</v>
      </c>
      <c r="N58" s="103">
        <f t="shared" ref="N58:N65" si="73">U58*$U$1</f>
        <v>0</v>
      </c>
      <c r="O58" s="103">
        <f t="shared" ref="O58:O65" si="74">E58*I58</f>
        <v>9002</v>
      </c>
      <c r="P58" s="85">
        <f t="shared" ref="P58:P65" si="75">Q58+Q58*R58+S58+T58+U58</f>
        <v>1286</v>
      </c>
      <c r="Q58" s="108">
        <f>450*0.85*2.8</f>
        <v>1071</v>
      </c>
      <c r="R58" s="107"/>
      <c r="S58" s="108">
        <v>180</v>
      </c>
      <c r="T58" s="44">
        <v>35</v>
      </c>
      <c r="U58" s="44"/>
      <c r="V58" s="85">
        <f t="shared" ref="V58:V65" si="76">E58*P58</f>
        <v>9002</v>
      </c>
      <c r="W58" s="44"/>
      <c r="X58" s="44"/>
      <c r="Y58" s="44"/>
      <c r="Z58" s="44"/>
      <c r="AA58" s="44"/>
      <c r="AB58" s="44"/>
      <c r="AC58" s="44"/>
      <c r="AD58" s="44"/>
      <c r="AE58" s="46"/>
    </row>
    <row r="59" s="1" customFormat="1" ht="27" customHeight="1" outlineLevel="1" spans="1:31">
      <c r="A59" s="37">
        <v>4.2</v>
      </c>
      <c r="B59" s="38" t="s">
        <v>141</v>
      </c>
      <c r="C59" s="39"/>
      <c r="D59" s="38" t="s">
        <v>142</v>
      </c>
      <c r="E59" s="40">
        <v>7</v>
      </c>
      <c r="F59" s="40">
        <f t="shared" si="67"/>
        <v>170</v>
      </c>
      <c r="G59" s="40">
        <f t="shared" si="68"/>
        <v>1190</v>
      </c>
      <c r="H59" s="38"/>
      <c r="I59" s="41">
        <v>170</v>
      </c>
      <c r="J59" s="102">
        <f t="shared" si="69"/>
        <v>170</v>
      </c>
      <c r="K59" s="42">
        <f t="shared" si="70"/>
        <v>0</v>
      </c>
      <c r="L59" s="102">
        <f t="shared" si="71"/>
        <v>0</v>
      </c>
      <c r="M59" s="103">
        <f t="shared" si="72"/>
        <v>0</v>
      </c>
      <c r="N59" s="103">
        <f t="shared" si="73"/>
        <v>0</v>
      </c>
      <c r="O59" s="103">
        <f t="shared" si="74"/>
        <v>1190</v>
      </c>
      <c r="P59" s="85">
        <f t="shared" si="75"/>
        <v>170</v>
      </c>
      <c r="Q59" s="108">
        <v>170</v>
      </c>
      <c r="R59" s="107"/>
      <c r="S59" s="108"/>
      <c r="T59" s="108"/>
      <c r="U59" s="44"/>
      <c r="V59" s="85">
        <f t="shared" si="76"/>
        <v>1190</v>
      </c>
      <c r="W59" s="44"/>
      <c r="X59" s="44"/>
      <c r="Y59" s="44"/>
      <c r="Z59" s="44"/>
      <c r="AA59" s="44"/>
      <c r="AB59" s="44"/>
      <c r="AC59" s="44"/>
      <c r="AD59" s="44"/>
      <c r="AE59" s="46"/>
    </row>
    <row r="60" s="1" customFormat="1" ht="27" customHeight="1" outlineLevel="1" spans="1:31">
      <c r="A60" s="37">
        <v>4.3</v>
      </c>
      <c r="B60" s="38" t="s">
        <v>143</v>
      </c>
      <c r="C60" s="39"/>
      <c r="D60" s="38" t="s">
        <v>142</v>
      </c>
      <c r="E60" s="40">
        <f>3*7</f>
        <v>21</v>
      </c>
      <c r="F60" s="40">
        <f t="shared" si="67"/>
        <v>25</v>
      </c>
      <c r="G60" s="40">
        <f t="shared" si="68"/>
        <v>525</v>
      </c>
      <c r="H60" s="38"/>
      <c r="I60" s="41">
        <v>25</v>
      </c>
      <c r="J60" s="102">
        <f t="shared" si="69"/>
        <v>10.5</v>
      </c>
      <c r="K60" s="42">
        <f t="shared" si="70"/>
        <v>0</v>
      </c>
      <c r="L60" s="102">
        <f t="shared" si="71"/>
        <v>0</v>
      </c>
      <c r="M60" s="103">
        <f t="shared" si="72"/>
        <v>0</v>
      </c>
      <c r="N60" s="103">
        <f t="shared" si="73"/>
        <v>0</v>
      </c>
      <c r="O60" s="103">
        <f t="shared" si="74"/>
        <v>525</v>
      </c>
      <c r="P60" s="85">
        <f t="shared" si="75"/>
        <v>10.5</v>
      </c>
      <c r="Q60" s="108">
        <v>10.5</v>
      </c>
      <c r="R60" s="107"/>
      <c r="S60" s="108"/>
      <c r="T60" s="108"/>
      <c r="U60" s="44"/>
      <c r="V60" s="85">
        <f t="shared" si="76"/>
        <v>220.5</v>
      </c>
      <c r="W60" s="44"/>
      <c r="X60" s="44"/>
      <c r="Y60" s="44"/>
      <c r="Z60" s="44"/>
      <c r="AA60" s="44"/>
      <c r="AB60" s="44"/>
      <c r="AC60" s="44"/>
      <c r="AD60" s="44"/>
      <c r="AE60" s="46"/>
    </row>
    <row r="61" s="1" customFormat="1" ht="27" customHeight="1" outlineLevel="1" spans="1:31">
      <c r="A61" s="37">
        <v>4.4</v>
      </c>
      <c r="B61" s="38" t="s">
        <v>144</v>
      </c>
      <c r="C61" s="39"/>
      <c r="D61" s="38" t="s">
        <v>142</v>
      </c>
      <c r="E61" s="40">
        <v>7</v>
      </c>
      <c r="F61" s="40">
        <f t="shared" si="67"/>
        <v>25</v>
      </c>
      <c r="G61" s="40">
        <f t="shared" si="68"/>
        <v>175</v>
      </c>
      <c r="H61" s="38"/>
      <c r="I61" s="41">
        <v>25</v>
      </c>
      <c r="J61" s="102">
        <f t="shared" si="69"/>
        <v>15</v>
      </c>
      <c r="K61" s="42">
        <f t="shared" si="70"/>
        <v>0</v>
      </c>
      <c r="L61" s="102">
        <f t="shared" si="71"/>
        <v>0</v>
      </c>
      <c r="M61" s="103">
        <f t="shared" si="72"/>
        <v>0</v>
      </c>
      <c r="N61" s="103">
        <f t="shared" si="73"/>
        <v>0</v>
      </c>
      <c r="O61" s="103">
        <f t="shared" si="74"/>
        <v>175</v>
      </c>
      <c r="P61" s="85">
        <f t="shared" si="75"/>
        <v>15</v>
      </c>
      <c r="Q61" s="108">
        <v>15</v>
      </c>
      <c r="R61" s="107"/>
      <c r="S61" s="108"/>
      <c r="T61" s="108"/>
      <c r="U61" s="44"/>
      <c r="V61" s="85">
        <f t="shared" si="76"/>
        <v>105</v>
      </c>
      <c r="W61" s="44"/>
      <c r="X61" s="44"/>
      <c r="Y61" s="44"/>
      <c r="Z61" s="44"/>
      <c r="AA61" s="44"/>
      <c r="AB61" s="44"/>
      <c r="AC61" s="44"/>
      <c r="AD61" s="44"/>
      <c r="AE61" s="46"/>
    </row>
    <row r="62" s="1" customFormat="1" ht="27" customHeight="1" outlineLevel="1" spans="1:31">
      <c r="A62" s="37">
        <v>4.5</v>
      </c>
      <c r="B62" s="38" t="s">
        <v>145</v>
      </c>
      <c r="C62" s="39"/>
      <c r="D62" s="38" t="s">
        <v>134</v>
      </c>
      <c r="E62" s="40">
        <v>7</v>
      </c>
      <c r="F62" s="40">
        <f t="shared" si="67"/>
        <v>125</v>
      </c>
      <c r="G62" s="40">
        <f t="shared" si="68"/>
        <v>875</v>
      </c>
      <c r="H62" s="38"/>
      <c r="I62" s="41">
        <v>125</v>
      </c>
      <c r="J62" s="102">
        <f t="shared" si="69"/>
        <v>125</v>
      </c>
      <c r="K62" s="42">
        <f t="shared" si="70"/>
        <v>0</v>
      </c>
      <c r="L62" s="102">
        <f t="shared" si="71"/>
        <v>0</v>
      </c>
      <c r="M62" s="103">
        <f t="shared" si="72"/>
        <v>0</v>
      </c>
      <c r="N62" s="103">
        <f t="shared" si="73"/>
        <v>0</v>
      </c>
      <c r="O62" s="103">
        <f t="shared" si="74"/>
        <v>875</v>
      </c>
      <c r="P62" s="85">
        <f t="shared" si="75"/>
        <v>125</v>
      </c>
      <c r="Q62" s="108">
        <v>125</v>
      </c>
      <c r="R62" s="107"/>
      <c r="S62" s="108"/>
      <c r="T62" s="108"/>
      <c r="U62" s="44"/>
      <c r="V62" s="85">
        <f t="shared" si="76"/>
        <v>875</v>
      </c>
      <c r="W62" s="44"/>
      <c r="X62" s="44"/>
      <c r="Y62" s="44"/>
      <c r="Z62" s="44"/>
      <c r="AA62" s="44"/>
      <c r="AB62" s="44"/>
      <c r="AC62" s="44"/>
      <c r="AD62" s="44"/>
      <c r="AE62" s="46"/>
    </row>
    <row r="63" s="1" customFormat="1" ht="72" customHeight="1" outlineLevel="1" spans="1:31">
      <c r="A63" s="37">
        <v>5</v>
      </c>
      <c r="B63" s="38" t="s">
        <v>146</v>
      </c>
      <c r="C63" s="39" t="s">
        <v>147</v>
      </c>
      <c r="D63" s="38" t="s">
        <v>59</v>
      </c>
      <c r="E63" s="40">
        <f>0.19*(2.8*4+1+1.7)</f>
        <v>2.641</v>
      </c>
      <c r="F63" s="40">
        <f t="shared" si="67"/>
        <v>426.5</v>
      </c>
      <c r="G63" s="40">
        <f t="shared" si="68"/>
        <v>1126.3865</v>
      </c>
      <c r="H63" s="38"/>
      <c r="I63" s="41">
        <f>J63+J63*K63+L63+M63+N63</f>
        <v>426.5</v>
      </c>
      <c r="J63" s="102">
        <f t="shared" si="69"/>
        <v>350</v>
      </c>
      <c r="K63" s="42">
        <f t="shared" si="70"/>
        <v>0.03</v>
      </c>
      <c r="L63" s="102">
        <f t="shared" si="71"/>
        <v>55</v>
      </c>
      <c r="M63" s="103">
        <f t="shared" si="72"/>
        <v>10.5</v>
      </c>
      <c r="N63" s="103">
        <f t="shared" si="73"/>
        <v>0.5</v>
      </c>
      <c r="O63" s="103">
        <f t="shared" si="74"/>
        <v>1126.3865</v>
      </c>
      <c r="P63" s="85">
        <f t="shared" si="75"/>
        <v>426.5</v>
      </c>
      <c r="Q63" s="44">
        <v>350</v>
      </c>
      <c r="R63" s="45">
        <v>0.03</v>
      </c>
      <c r="S63" s="44">
        <v>55</v>
      </c>
      <c r="T63" s="44">
        <v>10.5</v>
      </c>
      <c r="U63" s="44">
        <v>0.5</v>
      </c>
      <c r="V63" s="85">
        <f t="shared" si="76"/>
        <v>1126.3865</v>
      </c>
      <c r="W63" s="44"/>
      <c r="X63" s="44"/>
      <c r="Y63" s="44"/>
      <c r="Z63" s="44"/>
      <c r="AA63" s="44"/>
      <c r="AB63" s="44"/>
      <c r="AC63" s="44"/>
      <c r="AD63" s="44"/>
      <c r="AE63" s="46"/>
    </row>
    <row r="64" s="1" customFormat="1" ht="102" customHeight="1" outlineLevel="1" spans="1:31">
      <c r="A64" s="37">
        <v>6</v>
      </c>
      <c r="B64" s="38" t="s">
        <v>148</v>
      </c>
      <c r="C64" s="39" t="s">
        <v>149</v>
      </c>
      <c r="D64" s="38" t="s">
        <v>59</v>
      </c>
      <c r="E64" s="40">
        <f>2.15*0.85</f>
        <v>1.8275</v>
      </c>
      <c r="F64" s="40">
        <f t="shared" si="67"/>
        <v>1350</v>
      </c>
      <c r="G64" s="40">
        <f t="shared" si="68"/>
        <v>2467.125</v>
      </c>
      <c r="H64" s="38"/>
      <c r="I64" s="41">
        <f>J64+J64*K64+L64+M64+N64</f>
        <v>1350</v>
      </c>
      <c r="J64" s="102">
        <f t="shared" si="69"/>
        <v>1350</v>
      </c>
      <c r="K64" s="42">
        <f t="shared" si="70"/>
        <v>0</v>
      </c>
      <c r="L64" s="102">
        <f t="shared" si="71"/>
        <v>0</v>
      </c>
      <c r="M64" s="103">
        <f t="shared" si="72"/>
        <v>0</v>
      </c>
      <c r="N64" s="103">
        <f t="shared" si="73"/>
        <v>0</v>
      </c>
      <c r="O64" s="103">
        <f t="shared" si="74"/>
        <v>2467.125</v>
      </c>
      <c r="P64" s="85">
        <f t="shared" si="75"/>
        <v>1350</v>
      </c>
      <c r="Q64" s="44">
        <v>1350</v>
      </c>
      <c r="R64" s="45"/>
      <c r="S64" s="44"/>
      <c r="T64" s="44"/>
      <c r="U64" s="44"/>
      <c r="V64" s="85">
        <f t="shared" si="76"/>
        <v>2467.125</v>
      </c>
      <c r="W64" s="44"/>
      <c r="X64" s="44"/>
      <c r="Y64" s="44"/>
      <c r="Z64" s="44"/>
      <c r="AA64" s="44"/>
      <c r="AB64" s="44"/>
      <c r="AC64" s="44"/>
      <c r="AD64" s="44"/>
      <c r="AE64" s="46"/>
    </row>
    <row r="65" s="1" customFormat="1" ht="102" customHeight="1" outlineLevel="1" spans="1:31">
      <c r="A65" s="37">
        <v>7</v>
      </c>
      <c r="B65" s="38" t="s">
        <v>150</v>
      </c>
      <c r="C65" s="39" t="s">
        <v>151</v>
      </c>
      <c r="D65" s="38" t="s">
        <v>59</v>
      </c>
      <c r="E65" s="40">
        <f>2.15*1.25</f>
        <v>2.6875</v>
      </c>
      <c r="F65" s="40">
        <f t="shared" si="67"/>
        <v>750</v>
      </c>
      <c r="G65" s="40">
        <f t="shared" si="68"/>
        <v>2015.625</v>
      </c>
      <c r="H65" s="38"/>
      <c r="I65" s="41">
        <f>J65+J65*K65+L65+M65+N65</f>
        <v>750</v>
      </c>
      <c r="J65" s="102">
        <f t="shared" si="69"/>
        <v>750</v>
      </c>
      <c r="K65" s="42">
        <f t="shared" si="70"/>
        <v>0</v>
      </c>
      <c r="L65" s="102">
        <f t="shared" si="71"/>
        <v>0</v>
      </c>
      <c r="M65" s="103">
        <f t="shared" si="72"/>
        <v>0</v>
      </c>
      <c r="N65" s="103">
        <f t="shared" si="73"/>
        <v>0</v>
      </c>
      <c r="O65" s="103">
        <f t="shared" si="74"/>
        <v>2015.625</v>
      </c>
      <c r="P65" s="85">
        <f t="shared" si="75"/>
        <v>750</v>
      </c>
      <c r="Q65" s="44">
        <v>750</v>
      </c>
      <c r="R65" s="45"/>
      <c r="S65" s="44"/>
      <c r="T65" s="44"/>
      <c r="U65" s="44"/>
      <c r="V65" s="85">
        <f t="shared" si="76"/>
        <v>2015.625</v>
      </c>
      <c r="W65" s="44"/>
      <c r="X65" s="44"/>
      <c r="Y65" s="44"/>
      <c r="Z65" s="44"/>
      <c r="AA65" s="44"/>
      <c r="AB65" s="44"/>
      <c r="AC65" s="44"/>
      <c r="AD65" s="44"/>
      <c r="AE65" s="46"/>
    </row>
    <row r="66" s="72" customFormat="1" ht="21" customHeight="1" spans="1:31">
      <c r="A66" s="92" t="s">
        <v>24</v>
      </c>
      <c r="B66" s="93" t="s">
        <v>25</v>
      </c>
      <c r="C66" s="94"/>
      <c r="D66" s="95"/>
      <c r="E66" s="96"/>
      <c r="F66" s="96"/>
      <c r="G66" s="96">
        <f>SUBTOTAL(9,G67:G83)</f>
        <v>45325.2016666667</v>
      </c>
      <c r="H66" s="96"/>
      <c r="I66" s="82"/>
      <c r="J66" s="83"/>
      <c r="K66" s="84"/>
      <c r="L66" s="83"/>
      <c r="M66" s="83"/>
      <c r="N66" s="83"/>
      <c r="O66" s="83"/>
      <c r="P66" s="82"/>
      <c r="Q66" s="85"/>
      <c r="R66" s="86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97"/>
    </row>
    <row r="67" s="1" customFormat="1" ht="23" customHeight="1" spans="1:31">
      <c r="A67" s="98" t="s">
        <v>10</v>
      </c>
      <c r="B67" s="99" t="s">
        <v>26</v>
      </c>
      <c r="C67" s="99"/>
      <c r="D67" s="100"/>
      <c r="E67" s="101"/>
      <c r="F67" s="101"/>
      <c r="G67" s="101">
        <f>SUBTOTAL(9,G68:G80)</f>
        <v>37343.6016666667</v>
      </c>
      <c r="H67" s="100"/>
      <c r="I67" s="77"/>
      <c r="J67" s="78"/>
      <c r="K67" s="79"/>
      <c r="L67" s="78"/>
      <c r="M67" s="78"/>
      <c r="N67" s="78"/>
      <c r="O67" s="78"/>
      <c r="P67" s="77"/>
      <c r="Q67" s="44"/>
      <c r="R67" s="45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6"/>
    </row>
    <row r="68" ht="92" customHeight="1" outlineLevel="1" spans="1:31">
      <c r="A68" s="37">
        <v>1</v>
      </c>
      <c r="B68" s="38" t="s">
        <v>152</v>
      </c>
      <c r="C68" s="39" t="s">
        <v>153</v>
      </c>
      <c r="D68" s="38" t="s">
        <v>59</v>
      </c>
      <c r="E68" s="40">
        <f>'报价汇总-装修工程'!D16</f>
        <v>193.76</v>
      </c>
      <c r="F68" s="40">
        <f t="shared" ref="F68:F80" si="77">I68</f>
        <v>85</v>
      </c>
      <c r="G68" s="40">
        <f t="shared" ref="G68:G80" si="78">F68*E68</f>
        <v>16469.6</v>
      </c>
      <c r="H68" s="38"/>
      <c r="I68" s="41">
        <f t="shared" ref="I68:I80" si="79">J68+J68*K68+L68+M68+N68</f>
        <v>85</v>
      </c>
      <c r="J68" s="102">
        <f t="shared" ref="J68:J81" si="80">Q68*$Q$1</f>
        <v>25</v>
      </c>
      <c r="K68" s="42">
        <f t="shared" ref="K68:K80" si="81">R68</f>
        <v>0</v>
      </c>
      <c r="L68" s="102">
        <f t="shared" ref="L68:L81" si="82">S68*$S$1</f>
        <v>60</v>
      </c>
      <c r="M68" s="103">
        <f t="shared" ref="M68:M81" si="83">T68*$T$1</f>
        <v>0</v>
      </c>
      <c r="N68" s="103">
        <f t="shared" ref="N68:N81" si="84">U68*$U$1</f>
        <v>0</v>
      </c>
      <c r="O68" s="103">
        <f t="shared" ref="O68:O80" si="85">E68*I68</f>
        <v>16469.6</v>
      </c>
      <c r="P68" s="85">
        <f t="shared" ref="P68:P80" si="86">Q68+Q68*R68+S68+T68+U68</f>
        <v>85</v>
      </c>
      <c r="Q68" s="108">
        <v>25</v>
      </c>
      <c r="R68" s="107"/>
      <c r="S68" s="108">
        <v>60</v>
      </c>
      <c r="V68" s="85">
        <f t="shared" ref="V68:V80" si="87">E68*P68</f>
        <v>16469.6</v>
      </c>
    </row>
    <row r="69" ht="35" customHeight="1" outlineLevel="1" spans="1:31">
      <c r="A69" s="37">
        <v>2</v>
      </c>
      <c r="B69" s="38" t="s">
        <v>154</v>
      </c>
      <c r="C69" s="39"/>
      <c r="D69" s="38" t="s">
        <v>142</v>
      </c>
      <c r="E69" s="40">
        <v>1</v>
      </c>
      <c r="F69" s="40">
        <f t="shared" si="77"/>
        <v>800</v>
      </c>
      <c r="G69" s="40">
        <f t="shared" si="78"/>
        <v>800</v>
      </c>
      <c r="H69" s="38"/>
      <c r="I69" s="41">
        <f t="shared" si="79"/>
        <v>800</v>
      </c>
      <c r="J69" s="102">
        <f t="shared" si="80"/>
        <v>0</v>
      </c>
      <c r="K69" s="42">
        <f t="shared" si="81"/>
        <v>0</v>
      </c>
      <c r="L69" s="102">
        <f t="shared" si="82"/>
        <v>800</v>
      </c>
      <c r="M69" s="103">
        <f t="shared" si="83"/>
        <v>0</v>
      </c>
      <c r="N69" s="103">
        <f t="shared" si="84"/>
        <v>0</v>
      </c>
      <c r="O69" s="103">
        <f t="shared" si="85"/>
        <v>800</v>
      </c>
      <c r="P69" s="85">
        <f t="shared" si="86"/>
        <v>800</v>
      </c>
      <c r="S69" s="44">
        <v>800</v>
      </c>
      <c r="V69" s="85">
        <f t="shared" si="87"/>
        <v>800</v>
      </c>
    </row>
    <row r="70" ht="35" customHeight="1" outlineLevel="1" spans="1:31">
      <c r="A70" s="37">
        <v>3</v>
      </c>
      <c r="B70" s="38" t="s">
        <v>155</v>
      </c>
      <c r="C70" s="39"/>
      <c r="D70" s="38" t="s">
        <v>142</v>
      </c>
      <c r="E70" s="40">
        <v>1</v>
      </c>
      <c r="F70" s="40">
        <f t="shared" si="77"/>
        <v>500</v>
      </c>
      <c r="G70" s="40">
        <f t="shared" si="78"/>
        <v>500</v>
      </c>
      <c r="H70" s="38"/>
      <c r="I70" s="41">
        <f t="shared" si="79"/>
        <v>500</v>
      </c>
      <c r="J70" s="102">
        <f t="shared" si="80"/>
        <v>0</v>
      </c>
      <c r="K70" s="42">
        <f t="shared" si="81"/>
        <v>0</v>
      </c>
      <c r="L70" s="102">
        <f t="shared" si="82"/>
        <v>500</v>
      </c>
      <c r="M70" s="103">
        <f t="shared" si="83"/>
        <v>0</v>
      </c>
      <c r="N70" s="103">
        <f t="shared" si="84"/>
        <v>0</v>
      </c>
      <c r="O70" s="103">
        <f t="shared" si="85"/>
        <v>500</v>
      </c>
      <c r="P70" s="85">
        <f t="shared" si="86"/>
        <v>500</v>
      </c>
      <c r="S70" s="44">
        <v>500</v>
      </c>
      <c r="V70" s="85">
        <f t="shared" si="87"/>
        <v>500</v>
      </c>
    </row>
    <row r="71" s="1" customFormat="1" ht="73" customHeight="1" outlineLevel="1" spans="1:31">
      <c r="A71" s="37">
        <v>4</v>
      </c>
      <c r="B71" s="38" t="s">
        <v>156</v>
      </c>
      <c r="C71" s="39" t="s">
        <v>157</v>
      </c>
      <c r="D71" s="38" t="s">
        <v>142</v>
      </c>
      <c r="E71" s="40">
        <v>3</v>
      </c>
      <c r="F71" s="40">
        <f t="shared" si="77"/>
        <v>880</v>
      </c>
      <c r="G71" s="40">
        <f t="shared" si="78"/>
        <v>2640</v>
      </c>
      <c r="H71" s="38"/>
      <c r="I71" s="41">
        <f t="shared" si="79"/>
        <v>880</v>
      </c>
      <c r="J71" s="102">
        <f t="shared" si="80"/>
        <v>800</v>
      </c>
      <c r="K71" s="42">
        <f t="shared" si="81"/>
        <v>0</v>
      </c>
      <c r="L71" s="102">
        <f t="shared" si="82"/>
        <v>80</v>
      </c>
      <c r="M71" s="103">
        <f t="shared" si="83"/>
        <v>0</v>
      </c>
      <c r="N71" s="103">
        <f t="shared" si="84"/>
        <v>0</v>
      </c>
      <c r="O71" s="103">
        <f t="shared" si="85"/>
        <v>2640</v>
      </c>
      <c r="P71" s="85">
        <f t="shared" si="86"/>
        <v>880</v>
      </c>
      <c r="Q71" s="44">
        <v>800</v>
      </c>
      <c r="R71" s="45"/>
      <c r="S71" s="44">
        <v>80</v>
      </c>
      <c r="T71" s="44"/>
      <c r="U71" s="44"/>
      <c r="V71" s="85">
        <f t="shared" si="87"/>
        <v>2640</v>
      </c>
      <c r="W71" s="44"/>
      <c r="X71" s="44"/>
      <c r="Y71" s="44"/>
      <c r="Z71" s="44"/>
      <c r="AA71" s="44"/>
      <c r="AB71" s="44"/>
      <c r="AC71" s="44"/>
      <c r="AD71" s="44"/>
      <c r="AE71" s="46"/>
    </row>
    <row r="72" s="1" customFormat="1" ht="48" customHeight="1" outlineLevel="1" spans="1:31">
      <c r="A72" s="37">
        <v>5</v>
      </c>
      <c r="B72" s="38" t="s">
        <v>158</v>
      </c>
      <c r="C72" s="39" t="s">
        <v>159</v>
      </c>
      <c r="D72" s="38" t="s">
        <v>142</v>
      </c>
      <c r="E72" s="40">
        <v>1</v>
      </c>
      <c r="F72" s="40">
        <f t="shared" si="77"/>
        <v>700</v>
      </c>
      <c r="G72" s="40">
        <f t="shared" si="78"/>
        <v>700</v>
      </c>
      <c r="H72" s="38"/>
      <c r="I72" s="41">
        <f t="shared" si="79"/>
        <v>700</v>
      </c>
      <c r="J72" s="102">
        <f t="shared" si="80"/>
        <v>650</v>
      </c>
      <c r="K72" s="42">
        <f t="shared" si="81"/>
        <v>0</v>
      </c>
      <c r="L72" s="102">
        <f t="shared" si="82"/>
        <v>50</v>
      </c>
      <c r="M72" s="103">
        <f t="shared" si="83"/>
        <v>0</v>
      </c>
      <c r="N72" s="103">
        <f t="shared" si="84"/>
        <v>0</v>
      </c>
      <c r="O72" s="103">
        <f t="shared" si="85"/>
        <v>700</v>
      </c>
      <c r="P72" s="85">
        <f t="shared" si="86"/>
        <v>700</v>
      </c>
      <c r="Q72" s="44">
        <v>650</v>
      </c>
      <c r="R72" s="45"/>
      <c r="S72" s="44">
        <v>50</v>
      </c>
      <c r="T72" s="44"/>
      <c r="U72" s="44"/>
      <c r="V72" s="85">
        <f t="shared" si="87"/>
        <v>700</v>
      </c>
      <c r="W72" s="44"/>
      <c r="X72" s="44"/>
      <c r="Y72" s="44"/>
      <c r="Z72" s="44"/>
      <c r="AA72" s="44"/>
      <c r="AB72" s="44"/>
      <c r="AC72" s="44"/>
      <c r="AD72" s="44"/>
      <c r="AE72" s="46"/>
    </row>
    <row r="73" s="1" customFormat="1" ht="48" outlineLevel="1" spans="1:31">
      <c r="A73" s="37">
        <v>6</v>
      </c>
      <c r="B73" s="38" t="s">
        <v>160</v>
      </c>
      <c r="C73" s="39" t="s">
        <v>161</v>
      </c>
      <c r="D73" s="38" t="s">
        <v>142</v>
      </c>
      <c r="E73" s="40">
        <f>3+3+12+9</f>
        <v>27</v>
      </c>
      <c r="F73" s="40">
        <f t="shared" si="77"/>
        <v>95</v>
      </c>
      <c r="G73" s="40">
        <f t="shared" si="78"/>
        <v>2565</v>
      </c>
      <c r="H73" s="38"/>
      <c r="I73" s="41">
        <f t="shared" si="79"/>
        <v>95</v>
      </c>
      <c r="J73" s="102">
        <f t="shared" si="80"/>
        <v>75</v>
      </c>
      <c r="K73" s="42">
        <f t="shared" si="81"/>
        <v>0</v>
      </c>
      <c r="L73" s="102">
        <f t="shared" si="82"/>
        <v>20</v>
      </c>
      <c r="M73" s="103">
        <f t="shared" si="83"/>
        <v>0</v>
      </c>
      <c r="N73" s="103">
        <f t="shared" si="84"/>
        <v>0</v>
      </c>
      <c r="O73" s="103">
        <f t="shared" si="85"/>
        <v>2565</v>
      </c>
      <c r="P73" s="85">
        <f t="shared" si="86"/>
        <v>95</v>
      </c>
      <c r="Q73" s="44">
        <v>75</v>
      </c>
      <c r="R73" s="45"/>
      <c r="S73" s="44">
        <v>20</v>
      </c>
      <c r="T73" s="44"/>
      <c r="U73" s="44"/>
      <c r="V73" s="85">
        <f t="shared" si="87"/>
        <v>2565</v>
      </c>
      <c r="W73" s="44"/>
      <c r="X73" s="44"/>
      <c r="Y73" s="44"/>
      <c r="Z73" s="44"/>
      <c r="AA73" s="44"/>
      <c r="AB73" s="44"/>
      <c r="AC73" s="44"/>
      <c r="AD73" s="44"/>
      <c r="AE73" s="46"/>
    </row>
    <row r="74" s="1" customFormat="1" ht="48" outlineLevel="1" spans="1:31">
      <c r="A74" s="37">
        <v>7</v>
      </c>
      <c r="B74" s="38" t="s">
        <v>162</v>
      </c>
      <c r="C74" s="39" t="s">
        <v>163</v>
      </c>
      <c r="D74" s="38" t="s">
        <v>142</v>
      </c>
      <c r="E74" s="40">
        <v>12</v>
      </c>
      <c r="F74" s="40">
        <f t="shared" si="77"/>
        <v>85</v>
      </c>
      <c r="G74" s="40">
        <f t="shared" si="78"/>
        <v>1020</v>
      </c>
      <c r="H74" s="38"/>
      <c r="I74" s="41">
        <f t="shared" si="79"/>
        <v>85</v>
      </c>
      <c r="J74" s="102">
        <f t="shared" si="80"/>
        <v>65</v>
      </c>
      <c r="K74" s="42">
        <f t="shared" si="81"/>
        <v>0</v>
      </c>
      <c r="L74" s="102">
        <f t="shared" si="82"/>
        <v>20</v>
      </c>
      <c r="M74" s="103">
        <f t="shared" si="83"/>
        <v>0</v>
      </c>
      <c r="N74" s="103">
        <f t="shared" si="84"/>
        <v>0</v>
      </c>
      <c r="O74" s="103">
        <f t="shared" si="85"/>
        <v>1020</v>
      </c>
      <c r="P74" s="85">
        <f t="shared" si="86"/>
        <v>85</v>
      </c>
      <c r="Q74" s="44">
        <v>65</v>
      </c>
      <c r="R74" s="45"/>
      <c r="S74" s="44">
        <v>20</v>
      </c>
      <c r="T74" s="44"/>
      <c r="U74" s="44"/>
      <c r="V74" s="85">
        <f t="shared" si="87"/>
        <v>1020</v>
      </c>
      <c r="W74" s="44"/>
      <c r="X74" s="44"/>
      <c r="Y74" s="44"/>
      <c r="Z74" s="44"/>
      <c r="AA74" s="44"/>
      <c r="AB74" s="44"/>
      <c r="AC74" s="44"/>
      <c r="AD74" s="44"/>
      <c r="AE74" s="46"/>
    </row>
    <row r="75" s="1" customFormat="1" ht="48" outlineLevel="1" spans="1:31">
      <c r="A75" s="37">
        <v>8</v>
      </c>
      <c r="B75" s="38" t="s">
        <v>164</v>
      </c>
      <c r="C75" s="39" t="s">
        <v>165</v>
      </c>
      <c r="D75" s="38" t="s">
        <v>142</v>
      </c>
      <c r="E75" s="40">
        <v>6</v>
      </c>
      <c r="F75" s="40">
        <f t="shared" si="77"/>
        <v>155</v>
      </c>
      <c r="G75" s="40">
        <f t="shared" si="78"/>
        <v>930</v>
      </c>
      <c r="H75" s="38"/>
      <c r="I75" s="41">
        <f t="shared" si="79"/>
        <v>155</v>
      </c>
      <c r="J75" s="102">
        <f t="shared" si="80"/>
        <v>135</v>
      </c>
      <c r="K75" s="42">
        <f t="shared" si="81"/>
        <v>0</v>
      </c>
      <c r="L75" s="102">
        <f t="shared" si="82"/>
        <v>20</v>
      </c>
      <c r="M75" s="103">
        <f t="shared" si="83"/>
        <v>0</v>
      </c>
      <c r="N75" s="103">
        <f t="shared" si="84"/>
        <v>0</v>
      </c>
      <c r="O75" s="103">
        <f t="shared" si="85"/>
        <v>930</v>
      </c>
      <c r="P75" s="85">
        <f t="shared" si="86"/>
        <v>155</v>
      </c>
      <c r="Q75" s="108">
        <v>135</v>
      </c>
      <c r="R75" s="107"/>
      <c r="S75" s="108">
        <v>20</v>
      </c>
      <c r="T75" s="44"/>
      <c r="U75" s="44"/>
      <c r="V75" s="85">
        <f t="shared" si="87"/>
        <v>930</v>
      </c>
      <c r="W75" s="44"/>
      <c r="X75" s="44"/>
      <c r="Y75" s="44"/>
      <c r="Z75" s="44"/>
      <c r="AA75" s="44"/>
      <c r="AB75" s="44"/>
      <c r="AC75" s="44"/>
      <c r="AD75" s="44"/>
      <c r="AE75" s="46"/>
    </row>
    <row r="76" s="1" customFormat="1" ht="48" outlineLevel="1" spans="1:31">
      <c r="A76" s="37">
        <v>9</v>
      </c>
      <c r="B76" s="38" t="s">
        <v>166</v>
      </c>
      <c r="C76" s="39" t="s">
        <v>167</v>
      </c>
      <c r="D76" s="38" t="s">
        <v>62</v>
      </c>
      <c r="E76" s="40">
        <f>9.5+15</f>
        <v>24.5</v>
      </c>
      <c r="F76" s="40">
        <f t="shared" si="77"/>
        <v>103.333333333333</v>
      </c>
      <c r="G76" s="40">
        <f t="shared" si="78"/>
        <v>2531.66666666667</v>
      </c>
      <c r="H76" s="38"/>
      <c r="I76" s="41">
        <f t="shared" si="79"/>
        <v>103.333333333333</v>
      </c>
      <c r="J76" s="102">
        <f t="shared" si="80"/>
        <v>83.3333333333333</v>
      </c>
      <c r="K76" s="42">
        <f t="shared" si="81"/>
        <v>0</v>
      </c>
      <c r="L76" s="102">
        <f t="shared" si="82"/>
        <v>20</v>
      </c>
      <c r="M76" s="103">
        <f t="shared" si="83"/>
        <v>0</v>
      </c>
      <c r="N76" s="103">
        <f t="shared" si="84"/>
        <v>0</v>
      </c>
      <c r="O76" s="103">
        <f t="shared" si="85"/>
        <v>2531.66666666667</v>
      </c>
      <c r="P76" s="85">
        <f t="shared" si="86"/>
        <v>103.333333333333</v>
      </c>
      <c r="Q76" s="108">
        <f>50/0.6</f>
        <v>83.3333333333333</v>
      </c>
      <c r="R76" s="107"/>
      <c r="S76" s="108">
        <v>20</v>
      </c>
      <c r="T76" s="44"/>
      <c r="U76" s="44"/>
      <c r="V76" s="85">
        <f t="shared" si="87"/>
        <v>2531.66666666667</v>
      </c>
      <c r="W76" s="44"/>
      <c r="X76" s="44"/>
      <c r="Y76" s="44"/>
      <c r="Z76" s="44"/>
      <c r="AA76" s="44"/>
      <c r="AB76" s="44"/>
      <c r="AC76" s="44"/>
      <c r="AD76" s="44"/>
      <c r="AE76" s="46"/>
    </row>
    <row r="77" ht="19" customHeight="1" outlineLevel="1" spans="1:31">
      <c r="A77" s="37">
        <v>10</v>
      </c>
      <c r="B77" s="38" t="s">
        <v>168</v>
      </c>
      <c r="C77" s="39" t="s">
        <v>169</v>
      </c>
      <c r="D77" s="38" t="s">
        <v>62</v>
      </c>
      <c r="E77" s="40">
        <f>E39</f>
        <v>30.77</v>
      </c>
      <c r="F77" s="40">
        <f t="shared" si="77"/>
        <v>35.5</v>
      </c>
      <c r="G77" s="40">
        <f t="shared" si="78"/>
        <v>1092.335</v>
      </c>
      <c r="H77" s="38"/>
      <c r="I77" s="41">
        <f t="shared" si="79"/>
        <v>35.5</v>
      </c>
      <c r="J77" s="102">
        <f t="shared" si="80"/>
        <v>23.5</v>
      </c>
      <c r="K77" s="42">
        <f t="shared" si="81"/>
        <v>0</v>
      </c>
      <c r="L77" s="102">
        <f t="shared" si="82"/>
        <v>12</v>
      </c>
      <c r="M77" s="103">
        <f t="shared" si="83"/>
        <v>0</v>
      </c>
      <c r="N77" s="103">
        <f t="shared" si="84"/>
        <v>0</v>
      </c>
      <c r="O77" s="103">
        <f t="shared" si="85"/>
        <v>1092.335</v>
      </c>
      <c r="P77" s="85">
        <f t="shared" si="86"/>
        <v>35.5</v>
      </c>
      <c r="Q77" s="44">
        <v>23.5</v>
      </c>
      <c r="S77" s="44">
        <v>12</v>
      </c>
      <c r="V77" s="85">
        <f t="shared" si="87"/>
        <v>1092.335</v>
      </c>
    </row>
    <row r="78" s="73" customFormat="1" ht="52" customHeight="1" outlineLevel="1" spans="1:31">
      <c r="A78" s="37">
        <v>12</v>
      </c>
      <c r="B78" s="38" t="s">
        <v>170</v>
      </c>
      <c r="C78" s="39" t="s">
        <v>171</v>
      </c>
      <c r="D78" s="38" t="s">
        <v>142</v>
      </c>
      <c r="E78" s="40">
        <v>10</v>
      </c>
      <c r="F78" s="40">
        <f t="shared" si="77"/>
        <v>27</v>
      </c>
      <c r="G78" s="40">
        <f t="shared" si="78"/>
        <v>270</v>
      </c>
      <c r="H78" s="38"/>
      <c r="I78" s="41">
        <f t="shared" si="79"/>
        <v>27</v>
      </c>
      <c r="J78" s="102">
        <f t="shared" si="80"/>
        <v>17</v>
      </c>
      <c r="K78" s="42">
        <f t="shared" si="81"/>
        <v>0</v>
      </c>
      <c r="L78" s="102">
        <f t="shared" si="82"/>
        <v>10</v>
      </c>
      <c r="M78" s="103">
        <f t="shared" si="83"/>
        <v>0</v>
      </c>
      <c r="N78" s="103">
        <f t="shared" si="84"/>
        <v>0</v>
      </c>
      <c r="O78" s="103">
        <f t="shared" si="85"/>
        <v>270</v>
      </c>
      <c r="P78" s="85">
        <f t="shared" si="86"/>
        <v>27</v>
      </c>
      <c r="Q78" s="44">
        <v>17</v>
      </c>
      <c r="R78" s="45"/>
      <c r="S78" s="44">
        <v>10</v>
      </c>
      <c r="T78" s="44"/>
      <c r="U78" s="44"/>
      <c r="V78" s="85">
        <f t="shared" si="87"/>
        <v>270</v>
      </c>
      <c r="W78" s="44"/>
      <c r="X78" s="44"/>
      <c r="Y78" s="44"/>
      <c r="Z78" s="44"/>
      <c r="AA78" s="44"/>
      <c r="AB78" s="44"/>
      <c r="AC78" s="44"/>
      <c r="AD78" s="44"/>
      <c r="AE78" s="46"/>
    </row>
    <row r="79" s="73" customFormat="1" ht="52" customHeight="1" outlineLevel="1" spans="1:31">
      <c r="A79" s="37">
        <v>13</v>
      </c>
      <c r="B79" s="38" t="s">
        <v>172</v>
      </c>
      <c r="C79" s="39" t="s">
        <v>173</v>
      </c>
      <c r="D79" s="38" t="s">
        <v>142</v>
      </c>
      <c r="E79" s="40">
        <f>30*3+31</f>
        <v>121</v>
      </c>
      <c r="F79" s="40">
        <f t="shared" si="77"/>
        <v>25</v>
      </c>
      <c r="G79" s="40">
        <f t="shared" si="78"/>
        <v>3025</v>
      </c>
      <c r="H79" s="38"/>
      <c r="I79" s="41">
        <f t="shared" si="79"/>
        <v>25</v>
      </c>
      <c r="J79" s="102">
        <f t="shared" si="80"/>
        <v>15</v>
      </c>
      <c r="K79" s="42">
        <f t="shared" si="81"/>
        <v>0</v>
      </c>
      <c r="L79" s="102">
        <f t="shared" si="82"/>
        <v>10</v>
      </c>
      <c r="M79" s="103">
        <f t="shared" si="83"/>
        <v>0</v>
      </c>
      <c r="N79" s="103">
        <f t="shared" si="84"/>
        <v>0</v>
      </c>
      <c r="O79" s="103">
        <f t="shared" si="85"/>
        <v>3025</v>
      </c>
      <c r="P79" s="85">
        <f t="shared" si="86"/>
        <v>25</v>
      </c>
      <c r="Q79" s="44">
        <v>15</v>
      </c>
      <c r="R79" s="45"/>
      <c r="S79" s="44">
        <v>10</v>
      </c>
      <c r="T79" s="44"/>
      <c r="U79" s="44"/>
      <c r="V79" s="85">
        <f t="shared" si="87"/>
        <v>3025</v>
      </c>
      <c r="W79" s="44"/>
      <c r="X79" s="44"/>
      <c r="Y79" s="44"/>
      <c r="Z79" s="44"/>
      <c r="AA79" s="44"/>
      <c r="AB79" s="44"/>
      <c r="AC79" s="44"/>
      <c r="AD79" s="44"/>
      <c r="AE79" s="46"/>
    </row>
    <row r="80" s="73" customFormat="1" ht="19" customHeight="1" outlineLevel="1" spans="1:31">
      <c r="A80" s="37">
        <v>14</v>
      </c>
      <c r="B80" s="38" t="s">
        <v>174</v>
      </c>
      <c r="C80" s="39" t="s">
        <v>175</v>
      </c>
      <c r="D80" s="38" t="s">
        <v>142</v>
      </c>
      <c r="E80" s="40">
        <v>6</v>
      </c>
      <c r="F80" s="40">
        <f t="shared" si="77"/>
        <v>800</v>
      </c>
      <c r="G80" s="40">
        <f t="shared" si="78"/>
        <v>4800</v>
      </c>
      <c r="H80" s="38"/>
      <c r="I80" s="41">
        <f t="shared" si="79"/>
        <v>800</v>
      </c>
      <c r="J80" s="102">
        <f t="shared" si="80"/>
        <v>800</v>
      </c>
      <c r="K80" s="42">
        <f t="shared" si="81"/>
        <v>0</v>
      </c>
      <c r="L80" s="102">
        <f t="shared" si="82"/>
        <v>0</v>
      </c>
      <c r="M80" s="103">
        <f t="shared" si="83"/>
        <v>0</v>
      </c>
      <c r="N80" s="103">
        <f t="shared" si="84"/>
        <v>0</v>
      </c>
      <c r="O80" s="103">
        <f t="shared" si="85"/>
        <v>4800</v>
      </c>
      <c r="P80" s="85">
        <f t="shared" si="86"/>
        <v>800</v>
      </c>
      <c r="Q80" s="108">
        <v>800</v>
      </c>
      <c r="R80" s="107">
        <v>0</v>
      </c>
      <c r="S80" s="108">
        <v>0</v>
      </c>
      <c r="T80" s="108">
        <v>0</v>
      </c>
      <c r="U80" s="44"/>
      <c r="V80" s="85">
        <f t="shared" si="87"/>
        <v>4800</v>
      </c>
      <c r="W80" s="44"/>
      <c r="X80" s="44"/>
      <c r="Y80" s="44"/>
      <c r="Z80" s="44"/>
      <c r="AA80" s="44"/>
      <c r="AB80" s="44"/>
      <c r="AC80" s="44"/>
      <c r="AD80" s="44"/>
      <c r="AE80" s="46"/>
    </row>
    <row r="81" s="1" customFormat="1" ht="27" customHeight="1" spans="1:31">
      <c r="A81" s="98" t="s">
        <v>13</v>
      </c>
      <c r="B81" s="99" t="s">
        <v>27</v>
      </c>
      <c r="C81" s="99"/>
      <c r="D81" s="100"/>
      <c r="E81" s="101"/>
      <c r="F81" s="101"/>
      <c r="G81" s="101">
        <f>SUBTOTAL(9,G82:G83)</f>
        <v>7981.6</v>
      </c>
      <c r="H81" s="100"/>
      <c r="I81" s="77"/>
      <c r="J81" s="78"/>
      <c r="K81" s="79"/>
      <c r="L81" s="78"/>
      <c r="M81" s="78"/>
      <c r="N81" s="78"/>
      <c r="O81" s="78"/>
      <c r="P81" s="77"/>
      <c r="Q81" s="44"/>
      <c r="R81" s="45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6"/>
    </row>
    <row r="82" ht="36" outlineLevel="1" spans="1:31">
      <c r="A82" s="37">
        <v>1</v>
      </c>
      <c r="B82" s="38" t="s">
        <v>176</v>
      </c>
      <c r="C82" s="39" t="s">
        <v>177</v>
      </c>
      <c r="D82" s="38" t="s">
        <v>59</v>
      </c>
      <c r="E82" s="40">
        <f>'报价汇总-装修工程'!D16</f>
        <v>193.76</v>
      </c>
      <c r="F82" s="40">
        <f t="shared" ref="F82:F91" si="88">I82</f>
        <v>35</v>
      </c>
      <c r="G82" s="40">
        <f>F82*E82</f>
        <v>6781.6</v>
      </c>
      <c r="H82" s="38"/>
      <c r="I82" s="41">
        <f>J82+J82*K82+L82+M82+N82</f>
        <v>35</v>
      </c>
      <c r="J82" s="102">
        <f>Q82*$Q$1</f>
        <v>10</v>
      </c>
      <c r="K82" s="42">
        <f>R82</f>
        <v>0</v>
      </c>
      <c r="L82" s="102">
        <f>S82*$S$1</f>
        <v>25</v>
      </c>
      <c r="M82" s="103">
        <f>T82*$T$1</f>
        <v>0</v>
      </c>
      <c r="N82" s="103">
        <f>U82*$U$1</f>
        <v>0</v>
      </c>
      <c r="O82" s="103">
        <f>E82*I82</f>
        <v>6781.6</v>
      </c>
      <c r="P82" s="85">
        <f>Q82+Q82*R82+S82+T82+U82</f>
        <v>35</v>
      </c>
      <c r="Q82" s="44">
        <v>10</v>
      </c>
      <c r="R82" s="45">
        <v>0</v>
      </c>
      <c r="S82" s="44">
        <v>25</v>
      </c>
      <c r="T82" s="44">
        <v>0</v>
      </c>
      <c r="V82" s="85">
        <f>E82*P82</f>
        <v>6781.6</v>
      </c>
    </row>
    <row r="83" ht="23" customHeight="1" outlineLevel="1" spans="1:31">
      <c r="A83" s="37">
        <v>2</v>
      </c>
      <c r="B83" s="38" t="s">
        <v>178</v>
      </c>
      <c r="C83" s="39"/>
      <c r="D83" s="38" t="s">
        <v>142</v>
      </c>
      <c r="E83" s="40">
        <v>40</v>
      </c>
      <c r="F83" s="40">
        <f t="shared" si="88"/>
        <v>30</v>
      </c>
      <c r="G83" s="40">
        <f>F83*E83</f>
        <v>1200</v>
      </c>
      <c r="H83" s="38"/>
      <c r="I83" s="41">
        <f>J83+J83*K83+L83+M83+N83</f>
        <v>30</v>
      </c>
      <c r="J83" s="102">
        <f>Q83*$Q$1</f>
        <v>20</v>
      </c>
      <c r="K83" s="42">
        <f>R83</f>
        <v>0</v>
      </c>
      <c r="L83" s="102">
        <f>S83*$S$1</f>
        <v>10</v>
      </c>
      <c r="M83" s="103">
        <f>T83*$T$1</f>
        <v>0</v>
      </c>
      <c r="N83" s="103">
        <f>U83*$U$1</f>
        <v>0</v>
      </c>
      <c r="O83" s="103">
        <f>E83*I83</f>
        <v>1200</v>
      </c>
      <c r="P83" s="85">
        <f>Q83+Q83*R83+S83+T83+U83</f>
        <v>30</v>
      </c>
      <c r="Q83" s="44">
        <v>20</v>
      </c>
      <c r="R83" s="45">
        <v>0</v>
      </c>
      <c r="S83" s="44">
        <v>10</v>
      </c>
      <c r="T83" s="44">
        <v>0</v>
      </c>
      <c r="V83" s="85">
        <f>E83*P83</f>
        <v>1200</v>
      </c>
    </row>
    <row r="84" s="72" customFormat="1" ht="23" customHeight="1" spans="1:31">
      <c r="A84" s="92" t="s">
        <v>28</v>
      </c>
      <c r="B84" s="93" t="s">
        <v>29</v>
      </c>
      <c r="C84" s="94"/>
      <c r="D84" s="95"/>
      <c r="E84" s="96"/>
      <c r="F84" s="96"/>
      <c r="G84" s="96">
        <f>SUBTOTAL(9,G85:G91)</f>
        <v>24812.15</v>
      </c>
      <c r="H84" s="96"/>
      <c r="I84" s="82"/>
      <c r="J84" s="83"/>
      <c r="K84" s="84"/>
      <c r="L84" s="83"/>
      <c r="M84" s="83"/>
      <c r="N84" s="83"/>
      <c r="O84" s="83"/>
      <c r="P84" s="82"/>
      <c r="Q84" s="85"/>
      <c r="R84" s="86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97"/>
    </row>
    <row r="85" s="72" customFormat="1" ht="48" customHeight="1" outlineLevel="1" spans="1:31">
      <c r="A85" s="37">
        <v>1</v>
      </c>
      <c r="B85" s="38" t="s">
        <v>179</v>
      </c>
      <c r="C85" s="39" t="s">
        <v>180</v>
      </c>
      <c r="D85" s="38" t="s">
        <v>59</v>
      </c>
      <c r="E85" s="40">
        <v>319.15</v>
      </c>
      <c r="F85" s="40">
        <f t="shared" si="88"/>
        <v>30</v>
      </c>
      <c r="G85" s="40">
        <f t="shared" ref="G85:G91" si="89">F85*E85</f>
        <v>9574.5</v>
      </c>
      <c r="H85" s="38" t="str">
        <f>'报价汇总-装修工程'!F16</f>
        <v>建筑面积319.15㎡</v>
      </c>
      <c r="I85" s="41">
        <v>30</v>
      </c>
      <c r="J85" s="102">
        <f t="shared" ref="J85:J91" si="90">Q85*$Q$1</f>
        <v>30</v>
      </c>
      <c r="K85" s="42">
        <f t="shared" ref="K85:K91" si="91">R85</f>
        <v>0</v>
      </c>
      <c r="L85" s="102">
        <f t="shared" ref="L85:L91" si="92">S85*$S$1</f>
        <v>0</v>
      </c>
      <c r="M85" s="103">
        <f t="shared" ref="M85:M91" si="93">T85*$T$1</f>
        <v>0</v>
      </c>
      <c r="N85" s="103">
        <f t="shared" ref="N85:N91" si="94">U85*$U$1</f>
        <v>0</v>
      </c>
      <c r="O85" s="103">
        <f t="shared" ref="O85:O91" si="95">E85*I85</f>
        <v>9574.5</v>
      </c>
      <c r="P85" s="85">
        <f t="shared" ref="P85:P91" si="96">Q85+Q85*R85+S85+T85+U85</f>
        <v>30</v>
      </c>
      <c r="Q85" s="44">
        <v>30</v>
      </c>
      <c r="R85" s="45"/>
      <c r="S85" s="44"/>
      <c r="T85" s="44"/>
      <c r="U85" s="44"/>
      <c r="V85" s="85">
        <f t="shared" ref="V85:V91" si="97">E85*P85</f>
        <v>9574.5</v>
      </c>
      <c r="W85" s="44"/>
      <c r="X85" s="44"/>
      <c r="Y85" s="44"/>
      <c r="Z85" s="44"/>
      <c r="AA85" s="44"/>
      <c r="AB85" s="44"/>
      <c r="AC85" s="44"/>
      <c r="AD85" s="44"/>
      <c r="AE85" s="46"/>
    </row>
    <row r="86" s="72" customFormat="1" ht="30" customHeight="1" outlineLevel="1" spans="1:31">
      <c r="A86" s="37">
        <v>2</v>
      </c>
      <c r="B86" s="38" t="s">
        <v>181</v>
      </c>
      <c r="C86" s="39"/>
      <c r="D86" s="38" t="s">
        <v>59</v>
      </c>
      <c r="E86" s="40">
        <f>E85</f>
        <v>319.15</v>
      </c>
      <c r="F86" s="40">
        <f t="shared" si="88"/>
        <v>15</v>
      </c>
      <c r="G86" s="40">
        <f t="shared" si="89"/>
        <v>4787.25</v>
      </c>
      <c r="H86" s="38" t="str">
        <f>H85</f>
        <v>建筑面积319.15㎡</v>
      </c>
      <c r="I86" s="41">
        <v>15</v>
      </c>
      <c r="J86" s="102">
        <f t="shared" si="90"/>
        <v>15</v>
      </c>
      <c r="K86" s="42">
        <f t="shared" si="91"/>
        <v>0</v>
      </c>
      <c r="L86" s="102">
        <f t="shared" si="92"/>
        <v>0</v>
      </c>
      <c r="M86" s="103">
        <f t="shared" si="93"/>
        <v>0</v>
      </c>
      <c r="N86" s="103">
        <f t="shared" si="94"/>
        <v>0</v>
      </c>
      <c r="O86" s="103">
        <f t="shared" si="95"/>
        <v>4787.25</v>
      </c>
      <c r="P86" s="85">
        <f t="shared" si="96"/>
        <v>15</v>
      </c>
      <c r="Q86" s="44">
        <v>15</v>
      </c>
      <c r="R86" s="45"/>
      <c r="S86" s="44"/>
      <c r="T86" s="44"/>
      <c r="U86" s="44"/>
      <c r="V86" s="85">
        <f t="shared" si="97"/>
        <v>4787.25</v>
      </c>
      <c r="W86" s="44"/>
      <c r="X86" s="44"/>
      <c r="Y86" s="44"/>
      <c r="Z86" s="44"/>
      <c r="AA86" s="44"/>
      <c r="AB86" s="44"/>
      <c r="AC86" s="44"/>
      <c r="AD86" s="44"/>
      <c r="AE86" s="46"/>
    </row>
    <row r="87" s="72" customFormat="1" ht="30" customHeight="1" outlineLevel="1" spans="1:31">
      <c r="A87" s="37">
        <v>3</v>
      </c>
      <c r="B87" s="38" t="s">
        <v>182</v>
      </c>
      <c r="C87" s="39"/>
      <c r="D87" s="38" t="s">
        <v>59</v>
      </c>
      <c r="E87" s="40">
        <f>'报价汇总-装修工程'!D16</f>
        <v>193.76</v>
      </c>
      <c r="F87" s="40">
        <f t="shared" si="88"/>
        <v>10</v>
      </c>
      <c r="G87" s="40">
        <f t="shared" si="89"/>
        <v>1937.6</v>
      </c>
      <c r="H87" s="38"/>
      <c r="I87" s="41">
        <v>10</v>
      </c>
      <c r="J87" s="102">
        <f t="shared" si="90"/>
        <v>10</v>
      </c>
      <c r="K87" s="42">
        <f t="shared" si="91"/>
        <v>0</v>
      </c>
      <c r="L87" s="102">
        <f t="shared" si="92"/>
        <v>0</v>
      </c>
      <c r="M87" s="103">
        <f t="shared" si="93"/>
        <v>0</v>
      </c>
      <c r="N87" s="103">
        <f t="shared" si="94"/>
        <v>0</v>
      </c>
      <c r="O87" s="103">
        <f t="shared" si="95"/>
        <v>1937.6</v>
      </c>
      <c r="P87" s="85">
        <f t="shared" si="96"/>
        <v>10</v>
      </c>
      <c r="Q87" s="44">
        <v>10</v>
      </c>
      <c r="R87" s="45"/>
      <c r="S87" s="44"/>
      <c r="T87" s="44"/>
      <c r="U87" s="44"/>
      <c r="V87" s="85">
        <f t="shared" si="97"/>
        <v>1937.6</v>
      </c>
      <c r="W87" s="44"/>
      <c r="X87" s="44"/>
      <c r="Y87" s="44"/>
      <c r="Z87" s="44"/>
      <c r="AA87" s="44"/>
      <c r="AB87" s="44"/>
      <c r="AC87" s="44"/>
      <c r="AD87" s="44"/>
      <c r="AE87" s="46"/>
    </row>
    <row r="88" s="72" customFormat="1" ht="30" customHeight="1" outlineLevel="1" spans="1:31">
      <c r="A88" s="37">
        <v>4</v>
      </c>
      <c r="B88" s="38" t="s">
        <v>183</v>
      </c>
      <c r="C88" s="39"/>
      <c r="D88" s="38" t="s">
        <v>59</v>
      </c>
      <c r="E88" s="40">
        <f>E87</f>
        <v>193.76</v>
      </c>
      <c r="F88" s="40">
        <f t="shared" si="88"/>
        <v>30</v>
      </c>
      <c r="G88" s="40">
        <f t="shared" si="89"/>
        <v>5812.8</v>
      </c>
      <c r="H88" s="38"/>
      <c r="I88" s="41">
        <v>30</v>
      </c>
      <c r="J88" s="102">
        <f t="shared" si="90"/>
        <v>30</v>
      </c>
      <c r="K88" s="42">
        <f t="shared" si="91"/>
        <v>0</v>
      </c>
      <c r="L88" s="102">
        <f t="shared" si="92"/>
        <v>0</v>
      </c>
      <c r="M88" s="103">
        <f t="shared" si="93"/>
        <v>0</v>
      </c>
      <c r="N88" s="103">
        <f t="shared" si="94"/>
        <v>0</v>
      </c>
      <c r="O88" s="103">
        <f t="shared" si="95"/>
        <v>5812.8</v>
      </c>
      <c r="P88" s="85">
        <f t="shared" si="96"/>
        <v>30</v>
      </c>
      <c r="Q88" s="44">
        <v>30</v>
      </c>
      <c r="R88" s="45"/>
      <c r="S88" s="44"/>
      <c r="T88" s="44"/>
      <c r="U88" s="44"/>
      <c r="V88" s="85">
        <f t="shared" si="97"/>
        <v>5812.8</v>
      </c>
      <c r="W88" s="44"/>
      <c r="X88" s="44"/>
      <c r="Y88" s="44"/>
      <c r="Z88" s="44"/>
      <c r="AA88" s="44"/>
      <c r="AB88" s="44"/>
      <c r="AC88" s="44"/>
      <c r="AD88" s="44"/>
      <c r="AE88" s="46"/>
    </row>
    <row r="89" s="72" customFormat="1" ht="30" customHeight="1" outlineLevel="1" spans="1:31">
      <c r="A89" s="37">
        <v>5</v>
      </c>
      <c r="B89" s="38" t="s">
        <v>184</v>
      </c>
      <c r="C89" s="39"/>
      <c r="D89" s="38" t="s">
        <v>129</v>
      </c>
      <c r="E89" s="40">
        <v>1</v>
      </c>
      <c r="F89" s="40">
        <f t="shared" si="88"/>
        <v>1200</v>
      </c>
      <c r="G89" s="40">
        <f t="shared" si="89"/>
        <v>1200</v>
      </c>
      <c r="H89" s="38"/>
      <c r="I89" s="41">
        <v>1200</v>
      </c>
      <c r="J89" s="102">
        <f t="shared" si="90"/>
        <v>1200</v>
      </c>
      <c r="K89" s="42">
        <f t="shared" si="91"/>
        <v>0</v>
      </c>
      <c r="L89" s="102">
        <f t="shared" si="92"/>
        <v>0</v>
      </c>
      <c r="M89" s="103">
        <f t="shared" si="93"/>
        <v>0</v>
      </c>
      <c r="N89" s="103">
        <f t="shared" si="94"/>
        <v>0</v>
      </c>
      <c r="O89" s="103">
        <f t="shared" si="95"/>
        <v>1200</v>
      </c>
      <c r="P89" s="85">
        <f t="shared" si="96"/>
        <v>1200</v>
      </c>
      <c r="Q89" s="44">
        <v>1200</v>
      </c>
      <c r="R89" s="45"/>
      <c r="S89" s="44"/>
      <c r="T89" s="44"/>
      <c r="U89" s="44"/>
      <c r="V89" s="85">
        <f t="shared" si="97"/>
        <v>1200</v>
      </c>
      <c r="W89" s="44"/>
      <c r="X89" s="44"/>
      <c r="Y89" s="44"/>
      <c r="Z89" s="44"/>
      <c r="AA89" s="44"/>
      <c r="AB89" s="44"/>
      <c r="AC89" s="44"/>
      <c r="AD89" s="44"/>
      <c r="AE89" s="46"/>
    </row>
    <row r="90" s="72" customFormat="1" ht="30" customHeight="1" outlineLevel="1" spans="1:31">
      <c r="A90" s="37">
        <v>6</v>
      </c>
      <c r="B90" s="38" t="s">
        <v>185</v>
      </c>
      <c r="C90" s="39"/>
      <c r="D90" s="38" t="s">
        <v>59</v>
      </c>
      <c r="E90" s="40">
        <f>E87</f>
        <v>193.76</v>
      </c>
      <c r="F90" s="40">
        <v>0</v>
      </c>
      <c r="G90" s="40">
        <f t="shared" si="89"/>
        <v>0</v>
      </c>
      <c r="H90" s="38"/>
      <c r="I90" s="41">
        <v>20</v>
      </c>
      <c r="J90" s="102">
        <f t="shared" si="90"/>
        <v>20</v>
      </c>
      <c r="K90" s="42">
        <f t="shared" si="91"/>
        <v>0</v>
      </c>
      <c r="L90" s="102">
        <f t="shared" si="92"/>
        <v>0</v>
      </c>
      <c r="M90" s="103">
        <f t="shared" si="93"/>
        <v>0</v>
      </c>
      <c r="N90" s="103">
        <f t="shared" si="94"/>
        <v>0</v>
      </c>
      <c r="O90" s="103">
        <f t="shared" si="95"/>
        <v>3875.2</v>
      </c>
      <c r="P90" s="85">
        <f t="shared" si="96"/>
        <v>20</v>
      </c>
      <c r="Q90" s="44">
        <v>20</v>
      </c>
      <c r="R90" s="45"/>
      <c r="S90" s="44"/>
      <c r="T90" s="44"/>
      <c r="U90" s="44"/>
      <c r="V90" s="85">
        <f t="shared" si="97"/>
        <v>3875.2</v>
      </c>
      <c r="W90" s="44"/>
      <c r="X90" s="44"/>
      <c r="Y90" s="44"/>
      <c r="Z90" s="44"/>
      <c r="AA90" s="44"/>
      <c r="AB90" s="44"/>
      <c r="AC90" s="44"/>
      <c r="AD90" s="44"/>
      <c r="AE90" s="46"/>
    </row>
    <row r="91" s="72" customFormat="1" ht="30" customHeight="1" outlineLevel="1" spans="1:31">
      <c r="A91" s="37">
        <v>7</v>
      </c>
      <c r="B91" s="38" t="s">
        <v>186</v>
      </c>
      <c r="C91" s="39" t="s">
        <v>187</v>
      </c>
      <c r="D91" s="38" t="s">
        <v>129</v>
      </c>
      <c r="E91" s="40">
        <v>1</v>
      </c>
      <c r="F91" s="40">
        <f t="shared" si="88"/>
        <v>1500</v>
      </c>
      <c r="G91" s="40">
        <f t="shared" si="89"/>
        <v>1500</v>
      </c>
      <c r="H91" s="38"/>
      <c r="I91" s="41">
        <v>1500</v>
      </c>
      <c r="J91" s="102">
        <f t="shared" si="90"/>
        <v>1500</v>
      </c>
      <c r="K91" s="42">
        <f t="shared" si="91"/>
        <v>0</v>
      </c>
      <c r="L91" s="102">
        <f t="shared" si="92"/>
        <v>0</v>
      </c>
      <c r="M91" s="103">
        <f t="shared" si="93"/>
        <v>0</v>
      </c>
      <c r="N91" s="103">
        <f t="shared" si="94"/>
        <v>0</v>
      </c>
      <c r="O91" s="103">
        <f t="shared" si="95"/>
        <v>1500</v>
      </c>
      <c r="P91" s="85">
        <f t="shared" si="96"/>
        <v>1500</v>
      </c>
      <c r="Q91" s="44">
        <v>1500</v>
      </c>
      <c r="R91" s="45"/>
      <c r="S91" s="44"/>
      <c r="T91" s="44"/>
      <c r="U91" s="44"/>
      <c r="V91" s="85">
        <f t="shared" si="97"/>
        <v>1500</v>
      </c>
      <c r="W91" s="44"/>
      <c r="X91" s="44"/>
      <c r="Y91" s="44"/>
      <c r="Z91" s="44"/>
      <c r="AA91" s="44"/>
      <c r="AB91" s="44"/>
      <c r="AC91" s="44"/>
      <c r="AD91" s="44"/>
      <c r="AE91" s="46"/>
    </row>
    <row r="92" ht="30" customHeight="1" spans="1:31">
      <c r="A92" s="98" t="s">
        <v>30</v>
      </c>
      <c r="B92" s="100" t="s">
        <v>188</v>
      </c>
      <c r="C92" s="99"/>
      <c r="D92" s="100" t="s">
        <v>129</v>
      </c>
      <c r="E92" s="101">
        <v>1</v>
      </c>
      <c r="F92" s="101"/>
      <c r="G92" s="116">
        <f>G3+G66+G84</f>
        <v>239782.419560667</v>
      </c>
      <c r="H92" s="38"/>
      <c r="I92" s="77">
        <f>SUBTOTAL(9,G3:G91)</f>
        <v>239782.419560667</v>
      </c>
      <c r="O92" s="78">
        <f>SUBTOTAL(9,O3:O91)</f>
        <v>245430.341560667</v>
      </c>
      <c r="V92" s="78">
        <f>SUBTOTAL(9,V3:V91)</f>
        <v>245055.841560667</v>
      </c>
    </row>
    <row r="93" ht="30" customHeight="1" spans="1:31">
      <c r="A93" s="98" t="s">
        <v>32</v>
      </c>
      <c r="B93" s="100" t="s">
        <v>33</v>
      </c>
      <c r="C93" s="117">
        <v>0.035</v>
      </c>
      <c r="D93" s="100" t="s">
        <v>129</v>
      </c>
      <c r="E93" s="101">
        <v>1</v>
      </c>
      <c r="F93" s="101"/>
      <c r="G93" s="116">
        <f>G92*C93</f>
        <v>8392.38468462333</v>
      </c>
      <c r="H93" s="38"/>
    </row>
    <row r="94" ht="30" customHeight="1" spans="1:31">
      <c r="A94" s="98" t="s">
        <v>34</v>
      </c>
      <c r="B94" s="100" t="s">
        <v>35</v>
      </c>
      <c r="C94" s="117">
        <v>0.09</v>
      </c>
      <c r="D94" s="100" t="s">
        <v>129</v>
      </c>
      <c r="E94" s="101">
        <v>1</v>
      </c>
      <c r="F94" s="101"/>
      <c r="G94" s="116">
        <v>0</v>
      </c>
      <c r="H94" s="38"/>
    </row>
    <row r="95" ht="30" customHeight="1" spans="1:31">
      <c r="A95" s="98" t="s">
        <v>36</v>
      </c>
      <c r="B95" s="100" t="s">
        <v>21</v>
      </c>
      <c r="C95" s="117"/>
      <c r="D95" s="100" t="s">
        <v>129</v>
      </c>
      <c r="E95" s="101">
        <v>1</v>
      </c>
      <c r="F95" s="101"/>
      <c r="G95" s="116">
        <f>G94+G93+G92</f>
        <v>248174.80424529</v>
      </c>
      <c r="H95" s="38"/>
    </row>
    <row r="99" spans="5:6">
      <c r="E99" s="118"/>
      <c r="F99" s="118"/>
    </row>
  </sheetData>
  <sheetProtection selectLockedCells="1"/>
  <autoFilter xmlns:etc="http://www.wps.cn/officeDocument/2017/etCustomData" ref="A1:U95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Q46 Q38 F82:F83 F68:F71 F75 F64 F42:F44 F36:F39 F77:F80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D28" sqref="D28"/>
    </sheetView>
  </sheetViews>
  <sheetFormatPr defaultColWidth="9" defaultRowHeight="12" outlineLevelRow="7" outlineLevelCol="5"/>
  <cols>
    <col min="1" max="1" width="10" style="8" customWidth="1"/>
    <col min="2" max="2" width="22" style="59" customWidth="1"/>
    <col min="3" max="3" width="17.5583333333333" style="60" customWidth="1"/>
    <col min="4" max="5" width="13.775" style="60" customWidth="1"/>
    <col min="6" max="6" width="13.4416666666667" style="60" customWidth="1"/>
    <col min="7" max="7" width="14.1083333333333" style="60" customWidth="1"/>
    <col min="8" max="11" width="9" style="60"/>
    <col min="12" max="15" width="9" style="61"/>
    <col min="16" max="16384" width="9" style="62"/>
  </cols>
  <sheetData>
    <row r="1" ht="63" customHeight="1" spans="1:6">
      <c r="A1" s="63"/>
      <c r="B1" s="64" t="s">
        <v>189</v>
      </c>
      <c r="C1" s="65"/>
      <c r="D1" s="65"/>
      <c r="E1" s="65"/>
      <c r="F1" s="66"/>
    </row>
    <row r="2" ht="27" customHeight="1" spans="1:6">
      <c r="A2" s="67" t="s">
        <v>1</v>
      </c>
      <c r="B2" s="68" t="s">
        <v>2</v>
      </c>
      <c r="C2" s="69" t="s">
        <v>3</v>
      </c>
      <c r="D2" s="70" t="s">
        <v>4</v>
      </c>
      <c r="E2" s="70" t="s">
        <v>5</v>
      </c>
      <c r="F2" s="71" t="s">
        <v>6</v>
      </c>
    </row>
    <row r="3" ht="30" customHeight="1" spans="1:6">
      <c r="A3" s="67" t="s">
        <v>7</v>
      </c>
      <c r="B3" s="68" t="str">
        <f>空调消防清单!B3</f>
        <v>空调工程</v>
      </c>
      <c r="C3" s="69">
        <f>空调消防清单!G3</f>
        <v>66000</v>
      </c>
      <c r="D3" s="70"/>
      <c r="E3" s="70"/>
      <c r="F3" s="71"/>
    </row>
    <row r="4" ht="30" customHeight="1" spans="1:6">
      <c r="A4" s="67" t="s">
        <v>24</v>
      </c>
      <c r="B4" s="68" t="str">
        <f>空调消防清单!B6</f>
        <v>消防改造</v>
      </c>
      <c r="C4" s="69">
        <f>空调消防清单!G6</f>
        <v>26603.485</v>
      </c>
      <c r="D4" s="70"/>
      <c r="E4" s="70"/>
      <c r="F4" s="71"/>
    </row>
    <row r="5" ht="30" customHeight="1" spans="1:6">
      <c r="A5" s="67" t="s">
        <v>28</v>
      </c>
      <c r="B5" s="68" t="s">
        <v>190</v>
      </c>
      <c r="C5" s="69">
        <f>C3+C4</f>
        <v>92603.485</v>
      </c>
      <c r="D5" s="70"/>
      <c r="E5" s="70"/>
      <c r="F5" s="71"/>
    </row>
    <row r="6" ht="30" customHeight="1" spans="1:6">
      <c r="A6" s="67" t="s">
        <v>30</v>
      </c>
      <c r="B6" s="68" t="s">
        <v>33</v>
      </c>
      <c r="C6" s="69">
        <f>空调消防清单!G38</f>
        <v>3241.121975</v>
      </c>
      <c r="D6" s="70"/>
      <c r="E6" s="70"/>
      <c r="F6" s="71"/>
    </row>
    <row r="7" ht="30" customHeight="1" spans="1:6">
      <c r="A7" s="67" t="s">
        <v>32</v>
      </c>
      <c r="B7" s="68" t="s">
        <v>35</v>
      </c>
      <c r="C7" s="69">
        <f>空调消防清单!G39</f>
        <v>0</v>
      </c>
      <c r="D7" s="70"/>
      <c r="E7" s="70"/>
      <c r="F7" s="71"/>
    </row>
    <row r="8" ht="30" customHeight="1" spans="1:6">
      <c r="A8" s="67" t="s">
        <v>34</v>
      </c>
      <c r="B8" s="68" t="s">
        <v>191</v>
      </c>
      <c r="C8" s="69">
        <f>C5+C6+C7</f>
        <v>95844.606975</v>
      </c>
      <c r="D8" s="70">
        <v>156.78</v>
      </c>
      <c r="E8" s="70">
        <f>C8/D8</f>
        <v>611.331847014925</v>
      </c>
      <c r="F8" s="71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44"/>
  <sheetViews>
    <sheetView view="pageBreakPreview" zoomScaleNormal="100" workbookViewId="0">
      <pane xSplit="4" ySplit="2" topLeftCell="E31" activePane="bottomRight" state="frozen"/>
      <selection/>
      <selection pane="topRight"/>
      <selection pane="bottomLeft"/>
      <selection pane="bottomRight" activeCell="E46" sqref="E46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8916666666667" style="14"/>
    <col min="10" max="10" width="12.7416666666667" style="14" hidden="1" customWidth="1"/>
    <col min="11" max="11" width="8.99166666666667" style="15" hidden="1" customWidth="1"/>
    <col min="12" max="14" width="8.99166666666667" style="14" hidden="1" customWidth="1"/>
    <col min="15" max="16" width="9.66666666666667" style="14" customWidth="1"/>
    <col min="17" max="17" width="10.775" style="16"/>
    <col min="18" max="18" width="11.6083333333333" style="17"/>
    <col min="19" max="21" width="8.99166666666667" style="16"/>
    <col min="22" max="22" width="11.625" style="16" customWidth="1"/>
    <col min="23" max="25" width="8.99166666666667" style="16"/>
    <col min="26" max="31" width="8.99166666666667" style="10"/>
    <col min="32" max="16384" width="8.99166666666667" style="7"/>
  </cols>
  <sheetData>
    <row r="1" s="7" customFormat="1" ht="67" customHeight="1" spans="1:31">
      <c r="A1" s="18" t="s">
        <v>192</v>
      </c>
      <c r="B1" s="18"/>
      <c r="C1" s="19"/>
      <c r="D1" s="18"/>
      <c r="E1" s="18"/>
      <c r="F1" s="18"/>
      <c r="G1" s="18"/>
      <c r="H1" s="18"/>
      <c r="I1" s="20">
        <f>G40</f>
        <v>95844.606975</v>
      </c>
      <c r="J1" s="20"/>
      <c r="K1" s="21"/>
      <c r="L1" s="20"/>
      <c r="M1" s="20"/>
      <c r="N1" s="20"/>
      <c r="O1" s="20">
        <f>G6</f>
        <v>26603.485</v>
      </c>
      <c r="P1" s="20"/>
      <c r="Q1" s="22">
        <f>不含空调消防清单!Q1</f>
        <v>1</v>
      </c>
      <c r="R1" s="23"/>
      <c r="S1" s="20">
        <f>不含空调消防清单!S1</f>
        <v>1</v>
      </c>
      <c r="T1" s="20">
        <f>不含空调消防清单!T1</f>
        <v>1</v>
      </c>
      <c r="U1" s="20">
        <f>不含空调消防清单!U1</f>
        <v>1</v>
      </c>
      <c r="V1" s="16"/>
      <c r="W1" s="16"/>
      <c r="X1" s="16"/>
      <c r="Y1" s="16"/>
      <c r="Z1" s="10"/>
      <c r="AA1" s="10"/>
      <c r="AB1" s="10"/>
      <c r="AC1" s="10"/>
      <c r="AD1" s="10"/>
      <c r="AE1" s="10"/>
    </row>
    <row r="2" s="7" customFormat="1" ht="24" spans="1:31">
      <c r="A2" s="24" t="s">
        <v>1</v>
      </c>
      <c r="B2" s="25" t="s">
        <v>44</v>
      </c>
      <c r="C2" s="25" t="s">
        <v>45</v>
      </c>
      <c r="D2" s="25" t="s">
        <v>46</v>
      </c>
      <c r="E2" s="26" t="s">
        <v>47</v>
      </c>
      <c r="F2" s="26" t="s">
        <v>48</v>
      </c>
      <c r="G2" s="26" t="s">
        <v>49</v>
      </c>
      <c r="H2" s="25" t="s">
        <v>6</v>
      </c>
      <c r="I2" s="27" t="s">
        <v>48</v>
      </c>
      <c r="J2" s="27" t="s">
        <v>50</v>
      </c>
      <c r="K2" s="28" t="s">
        <v>51</v>
      </c>
      <c r="L2" s="27" t="s">
        <v>52</v>
      </c>
      <c r="M2" s="27" t="s">
        <v>53</v>
      </c>
      <c r="N2" s="27" t="s">
        <v>54</v>
      </c>
      <c r="O2" s="27" t="s">
        <v>21</v>
      </c>
      <c r="P2" s="27" t="s">
        <v>55</v>
      </c>
      <c r="Q2" s="29" t="s">
        <v>50</v>
      </c>
      <c r="R2" s="30" t="s">
        <v>51</v>
      </c>
      <c r="S2" s="29" t="s">
        <v>52</v>
      </c>
      <c r="T2" s="29" t="s">
        <v>53</v>
      </c>
      <c r="U2" s="29" t="s">
        <v>54</v>
      </c>
      <c r="V2" s="27" t="s">
        <v>56</v>
      </c>
      <c r="W2" s="16"/>
      <c r="X2" s="16"/>
      <c r="Y2" s="16"/>
      <c r="Z2" s="10"/>
      <c r="AA2" s="10"/>
      <c r="AB2" s="10"/>
      <c r="AC2" s="10"/>
      <c r="AD2" s="10"/>
      <c r="AE2" s="10"/>
    </row>
    <row r="3" s="8" customFormat="1" ht="19" customHeight="1" spans="1:31">
      <c r="A3" s="31" t="s">
        <v>7</v>
      </c>
      <c r="B3" s="32" t="s">
        <v>193</v>
      </c>
      <c r="C3" s="33"/>
      <c r="D3" s="34"/>
      <c r="E3" s="35"/>
      <c r="F3" s="35"/>
      <c r="G3" s="35">
        <f>SUBTOTAL(9,G4:G5)</f>
        <v>66000</v>
      </c>
      <c r="H3" s="35"/>
      <c r="I3" s="20"/>
      <c r="J3" s="20"/>
      <c r="K3" s="21"/>
      <c r="L3" s="20"/>
      <c r="M3" s="20"/>
      <c r="N3" s="20"/>
      <c r="O3" s="20"/>
      <c r="P3" s="20"/>
      <c r="Q3" s="22"/>
      <c r="R3" s="23"/>
      <c r="S3" s="22"/>
      <c r="T3" s="22"/>
      <c r="U3" s="22"/>
      <c r="V3" s="22"/>
      <c r="W3" s="22"/>
      <c r="X3" s="22"/>
      <c r="Y3" s="22"/>
      <c r="Z3" s="36"/>
      <c r="AA3" s="36"/>
      <c r="AB3" s="36"/>
      <c r="AC3" s="36"/>
      <c r="AD3" s="36"/>
      <c r="AE3" s="36"/>
    </row>
    <row r="4" s="1" customFormat="1" ht="34" customHeight="1" outlineLevel="1" spans="1:31">
      <c r="A4" s="37">
        <v>1</v>
      </c>
      <c r="B4" s="38" t="s">
        <v>194</v>
      </c>
      <c r="C4" s="39" t="s">
        <v>195</v>
      </c>
      <c r="D4" s="38" t="s">
        <v>196</v>
      </c>
      <c r="E4" s="40">
        <v>7</v>
      </c>
      <c r="F4" s="40">
        <v>7200</v>
      </c>
      <c r="G4" s="40">
        <f>F4*E4</f>
        <v>50400</v>
      </c>
      <c r="H4" s="38"/>
      <c r="I4" s="41">
        <f>J4+J4*K4+L4+M4+N4</f>
        <v>6000</v>
      </c>
      <c r="J4" s="41">
        <f>Q4*$Q$1</f>
        <v>6000</v>
      </c>
      <c r="K4" s="42">
        <f>R4</f>
        <v>0</v>
      </c>
      <c r="L4" s="41">
        <f>S4*$S$1</f>
        <v>0</v>
      </c>
      <c r="M4" s="43">
        <f>T4*$T$1</f>
        <v>0</v>
      </c>
      <c r="N4" s="43">
        <f>U4*$U$1</f>
        <v>0</v>
      </c>
      <c r="O4" s="43">
        <f>E4*I4</f>
        <v>42000</v>
      </c>
      <c r="P4" s="44">
        <f>Q4+Q4*R4+S4+T4+U4</f>
        <v>6000</v>
      </c>
      <c r="Q4" s="44">
        <v>6000</v>
      </c>
      <c r="R4" s="45"/>
      <c r="S4" s="44"/>
      <c r="T4" s="44"/>
      <c r="U4" s="44"/>
      <c r="V4" s="44">
        <f>E4*P4</f>
        <v>42000</v>
      </c>
      <c r="W4" s="44"/>
      <c r="X4" s="44"/>
      <c r="Y4" s="44"/>
      <c r="Z4" s="46"/>
      <c r="AA4" s="46"/>
      <c r="AB4" s="46"/>
      <c r="AC4" s="46"/>
      <c r="AD4" s="46"/>
      <c r="AE4" s="46"/>
    </row>
    <row r="5" s="1" customFormat="1" ht="34" customHeight="1" outlineLevel="1" spans="1:31">
      <c r="A5" s="37">
        <v>1</v>
      </c>
      <c r="B5" s="38" t="s">
        <v>197</v>
      </c>
      <c r="C5" s="39" t="s">
        <v>195</v>
      </c>
      <c r="D5" s="38" t="s">
        <v>196</v>
      </c>
      <c r="E5" s="40">
        <v>2</v>
      </c>
      <c r="F5" s="40">
        <v>7800</v>
      </c>
      <c r="G5" s="40">
        <f>F5*E5</f>
        <v>15600</v>
      </c>
      <c r="H5" s="38"/>
      <c r="I5" s="41">
        <f>J5+J5*K5+L5+M5+N5</f>
        <v>6300</v>
      </c>
      <c r="J5" s="41">
        <f>Q5*$Q$1</f>
        <v>6300</v>
      </c>
      <c r="K5" s="42">
        <f>R5</f>
        <v>0</v>
      </c>
      <c r="L5" s="41">
        <f>S5*$S$1</f>
        <v>0</v>
      </c>
      <c r="M5" s="43">
        <f>T5*$T$1</f>
        <v>0</v>
      </c>
      <c r="N5" s="43">
        <f>U5*$U$1</f>
        <v>0</v>
      </c>
      <c r="O5" s="43">
        <f>E5*I5</f>
        <v>12600</v>
      </c>
      <c r="P5" s="44">
        <f>Q5+Q5*R5+S5+T5+U5</f>
        <v>6300</v>
      </c>
      <c r="Q5" s="44">
        <v>6300</v>
      </c>
      <c r="R5" s="45"/>
      <c r="S5" s="44"/>
      <c r="T5" s="44"/>
      <c r="U5" s="44"/>
      <c r="V5" s="44">
        <f>E5*P5</f>
        <v>12600</v>
      </c>
      <c r="W5" s="44"/>
      <c r="X5" s="44"/>
      <c r="Y5" s="44"/>
      <c r="Z5" s="46"/>
      <c r="AA5" s="46"/>
      <c r="AB5" s="46"/>
      <c r="AC5" s="46"/>
      <c r="AD5" s="46"/>
      <c r="AE5" s="46"/>
    </row>
    <row r="6" s="8" customFormat="1" ht="19" customHeight="1" spans="1:31">
      <c r="A6" s="31" t="s">
        <v>24</v>
      </c>
      <c r="B6" s="32" t="s">
        <v>198</v>
      </c>
      <c r="C6" s="33"/>
      <c r="D6" s="34"/>
      <c r="E6" s="35"/>
      <c r="F6" s="35"/>
      <c r="G6" s="35">
        <f>SUBTOTAL(9,G8:G36)</f>
        <v>26603.485</v>
      </c>
      <c r="H6" s="35"/>
      <c r="I6" s="20"/>
      <c r="J6" s="20"/>
      <c r="K6" s="21"/>
      <c r="L6" s="20"/>
      <c r="M6" s="20"/>
      <c r="N6" s="20"/>
      <c r="O6" s="20"/>
      <c r="P6" s="20"/>
      <c r="Q6" s="22"/>
      <c r="R6" s="23"/>
      <c r="S6" s="22"/>
      <c r="T6" s="22"/>
      <c r="U6" s="22"/>
      <c r="V6" s="22"/>
      <c r="W6" s="22"/>
      <c r="X6" s="22"/>
      <c r="Y6" s="22"/>
      <c r="Z6" s="36"/>
      <c r="AA6" s="36"/>
      <c r="AB6" s="36"/>
      <c r="AC6" s="36"/>
      <c r="AD6" s="36"/>
      <c r="AE6" s="36"/>
    </row>
    <row r="7" s="7" customFormat="1" ht="25" customHeight="1" spans="1:31">
      <c r="A7" s="47" t="s">
        <v>10</v>
      </c>
      <c r="B7" s="48" t="s">
        <v>199</v>
      </c>
      <c r="C7" s="48"/>
      <c r="D7" s="49"/>
      <c r="E7" s="50"/>
      <c r="F7" s="50"/>
      <c r="G7" s="50"/>
      <c r="H7" s="49"/>
      <c r="I7" s="14"/>
      <c r="J7" s="14"/>
      <c r="K7" s="15"/>
      <c r="L7" s="14"/>
      <c r="M7" s="14"/>
      <c r="N7" s="14"/>
      <c r="O7" s="14"/>
      <c r="P7" s="14"/>
      <c r="Q7" s="16"/>
      <c r="R7" s="17"/>
      <c r="S7" s="16"/>
      <c r="T7" s="16"/>
      <c r="U7" s="16"/>
      <c r="V7" s="16"/>
      <c r="W7" s="16"/>
      <c r="X7" s="16"/>
      <c r="Y7" s="16"/>
      <c r="Z7" s="10"/>
      <c r="AA7" s="10"/>
      <c r="AB7" s="10"/>
      <c r="AC7" s="10"/>
      <c r="AD7" s="10"/>
      <c r="AE7" s="10"/>
    </row>
    <row r="8" s="9" customFormat="1" ht="34" customHeight="1" outlineLevel="1" spans="1:31">
      <c r="A8" s="24">
        <v>1</v>
      </c>
      <c r="B8" s="25" t="s">
        <v>200</v>
      </c>
      <c r="C8" s="51" t="s">
        <v>201</v>
      </c>
      <c r="D8" s="25" t="s">
        <v>202</v>
      </c>
      <c r="E8" s="26">
        <v>3</v>
      </c>
      <c r="F8" s="26">
        <f>I8</f>
        <v>191.4</v>
      </c>
      <c r="G8" s="26">
        <f>F8*E8</f>
        <v>574.2</v>
      </c>
      <c r="H8" s="25"/>
      <c r="I8" s="41">
        <v>191.4</v>
      </c>
      <c r="J8" s="41">
        <f t="shared" ref="J8:J15" si="0">Q8*$Q$1</f>
        <v>0</v>
      </c>
      <c r="K8" s="42">
        <f t="shared" ref="K8:K14" si="1">R8</f>
        <v>0</v>
      </c>
      <c r="L8" s="41">
        <f t="shared" ref="L8:L15" si="2">S8*$S$1</f>
        <v>0</v>
      </c>
      <c r="M8" s="43">
        <f t="shared" ref="M8:M15" si="3">T8*$T$1</f>
        <v>0</v>
      </c>
      <c r="N8" s="43">
        <f t="shared" ref="N8:N15" si="4">U8*$U$1</f>
        <v>0</v>
      </c>
      <c r="O8" s="43">
        <f t="shared" ref="O8:O14" si="5">E8*I8</f>
        <v>574.2</v>
      </c>
      <c r="P8" s="44">
        <f t="shared" ref="P8:P15" si="6">Q8+Q8*R8+S8+T8+U8</f>
        <v>0</v>
      </c>
      <c r="Q8" s="16"/>
      <c r="R8" s="17"/>
      <c r="S8" s="16"/>
      <c r="T8" s="16"/>
      <c r="U8" s="16"/>
      <c r="V8" s="44">
        <f t="shared" ref="V8:V15" si="7">E8*P8</f>
        <v>0</v>
      </c>
      <c r="W8" s="16"/>
      <c r="X8" s="16"/>
      <c r="Y8" s="16"/>
      <c r="Z8" s="10"/>
      <c r="AA8" s="10"/>
      <c r="AB8" s="10"/>
      <c r="AC8" s="10"/>
      <c r="AD8" s="10"/>
      <c r="AE8" s="10"/>
    </row>
    <row r="9" s="9" customFormat="1" ht="34" customHeight="1" outlineLevel="1" spans="1:31">
      <c r="A9" s="24">
        <v>2</v>
      </c>
      <c r="B9" s="25" t="s">
        <v>203</v>
      </c>
      <c r="C9" s="52" t="s">
        <v>204</v>
      </c>
      <c r="D9" s="25" t="s">
        <v>202</v>
      </c>
      <c r="E9" s="26">
        <v>3</v>
      </c>
      <c r="F9" s="26">
        <f t="shared" ref="F9:F16" si="8">I9</f>
        <v>261</v>
      </c>
      <c r="G9" s="26">
        <f t="shared" ref="G9:G26" si="9">F9*E9</f>
        <v>783</v>
      </c>
      <c r="H9" s="25"/>
      <c r="I9" s="41">
        <v>261</v>
      </c>
      <c r="J9" s="41">
        <f t="shared" si="0"/>
        <v>0</v>
      </c>
      <c r="K9" s="42">
        <f t="shared" si="1"/>
        <v>0</v>
      </c>
      <c r="L9" s="41">
        <f t="shared" si="2"/>
        <v>0</v>
      </c>
      <c r="M9" s="43">
        <f t="shared" si="3"/>
        <v>0</v>
      </c>
      <c r="N9" s="43">
        <f t="shared" si="4"/>
        <v>0</v>
      </c>
      <c r="O9" s="43">
        <f t="shared" si="5"/>
        <v>783</v>
      </c>
      <c r="P9" s="44">
        <f t="shared" si="6"/>
        <v>0</v>
      </c>
      <c r="Q9" s="16"/>
      <c r="R9" s="17"/>
      <c r="S9" s="16"/>
      <c r="T9" s="16"/>
      <c r="U9" s="16"/>
      <c r="V9" s="44">
        <f t="shared" si="7"/>
        <v>0</v>
      </c>
      <c r="W9" s="16"/>
      <c r="X9" s="16"/>
      <c r="Y9" s="16"/>
      <c r="Z9" s="10"/>
      <c r="AA9" s="10"/>
      <c r="AB9" s="10"/>
      <c r="AC9" s="10"/>
      <c r="AD9" s="10"/>
      <c r="AE9" s="10"/>
    </row>
    <row r="10" s="9" customFormat="1" ht="34" customHeight="1" outlineLevel="1" spans="1:31">
      <c r="A10" s="24">
        <v>3</v>
      </c>
      <c r="B10" s="25" t="s">
        <v>205</v>
      </c>
      <c r="C10" s="51" t="s">
        <v>206</v>
      </c>
      <c r="D10" s="25" t="s">
        <v>202</v>
      </c>
      <c r="E10" s="26">
        <v>1</v>
      </c>
      <c r="F10" s="26">
        <f t="shared" si="8"/>
        <v>191.4</v>
      </c>
      <c r="G10" s="26">
        <f t="shared" si="9"/>
        <v>191.4</v>
      </c>
      <c r="H10" s="25"/>
      <c r="I10" s="41">
        <v>191.4</v>
      </c>
      <c r="J10" s="41">
        <f t="shared" si="0"/>
        <v>0</v>
      </c>
      <c r="K10" s="42">
        <f t="shared" si="1"/>
        <v>0</v>
      </c>
      <c r="L10" s="41">
        <f t="shared" si="2"/>
        <v>0</v>
      </c>
      <c r="M10" s="43">
        <f t="shared" si="3"/>
        <v>0</v>
      </c>
      <c r="N10" s="43">
        <f t="shared" si="4"/>
        <v>0</v>
      </c>
      <c r="O10" s="43">
        <f t="shared" si="5"/>
        <v>191.4</v>
      </c>
      <c r="P10" s="44">
        <f t="shared" si="6"/>
        <v>0</v>
      </c>
      <c r="Q10" s="16"/>
      <c r="R10" s="17"/>
      <c r="S10" s="16"/>
      <c r="T10" s="16"/>
      <c r="U10" s="16"/>
      <c r="V10" s="44">
        <f t="shared" si="7"/>
        <v>0</v>
      </c>
      <c r="W10" s="16"/>
      <c r="X10" s="16"/>
      <c r="Y10" s="16"/>
      <c r="Z10" s="10"/>
      <c r="AA10" s="10"/>
      <c r="AB10" s="10"/>
      <c r="AC10" s="10"/>
      <c r="AD10" s="10"/>
      <c r="AE10" s="10"/>
    </row>
    <row r="11" s="9" customFormat="1" ht="34" customHeight="1" outlineLevel="1" spans="1:31">
      <c r="A11" s="24">
        <v>4</v>
      </c>
      <c r="B11" s="25" t="s">
        <v>207</v>
      </c>
      <c r="C11" s="52" t="s">
        <v>208</v>
      </c>
      <c r="D11" s="25" t="s">
        <v>209</v>
      </c>
      <c r="E11" s="26">
        <v>20</v>
      </c>
      <c r="F11" s="26">
        <f t="shared" si="8"/>
        <v>24.36</v>
      </c>
      <c r="G11" s="26">
        <f t="shared" si="9"/>
        <v>487.2</v>
      </c>
      <c r="H11" s="25"/>
      <c r="I11" s="41">
        <v>24.36</v>
      </c>
      <c r="J11" s="41">
        <f t="shared" si="0"/>
        <v>0</v>
      </c>
      <c r="K11" s="42">
        <f t="shared" si="1"/>
        <v>0</v>
      </c>
      <c r="L11" s="41">
        <f t="shared" si="2"/>
        <v>0</v>
      </c>
      <c r="M11" s="43">
        <f t="shared" si="3"/>
        <v>0</v>
      </c>
      <c r="N11" s="43">
        <f t="shared" si="4"/>
        <v>0</v>
      </c>
      <c r="O11" s="43">
        <f t="shared" si="5"/>
        <v>487.2</v>
      </c>
      <c r="P11" s="44">
        <f t="shared" si="6"/>
        <v>0</v>
      </c>
      <c r="Q11" s="16"/>
      <c r="R11" s="17"/>
      <c r="S11" s="16"/>
      <c r="T11" s="16"/>
      <c r="U11" s="16"/>
      <c r="V11" s="44">
        <f t="shared" si="7"/>
        <v>0</v>
      </c>
      <c r="W11" s="16"/>
      <c r="X11" s="16"/>
      <c r="Y11" s="16"/>
      <c r="Z11" s="10"/>
      <c r="AA11" s="10"/>
      <c r="AB11" s="10"/>
      <c r="AC11" s="10"/>
      <c r="AD11" s="10"/>
      <c r="AE11" s="10"/>
    </row>
    <row r="12" s="9" customFormat="1" ht="34" customHeight="1" outlineLevel="1" spans="1:31">
      <c r="A12" s="24">
        <v>5</v>
      </c>
      <c r="B12" s="25" t="s">
        <v>210</v>
      </c>
      <c r="C12" s="52" t="s">
        <v>211</v>
      </c>
      <c r="D12" s="25" t="s">
        <v>209</v>
      </c>
      <c r="E12" s="26">
        <v>3</v>
      </c>
      <c r="F12" s="26">
        <f t="shared" si="8"/>
        <v>10.44</v>
      </c>
      <c r="G12" s="26">
        <f t="shared" si="9"/>
        <v>31.32</v>
      </c>
      <c r="H12" s="25"/>
      <c r="I12" s="41">
        <v>10.44</v>
      </c>
      <c r="J12" s="41">
        <f t="shared" si="0"/>
        <v>0</v>
      </c>
      <c r="K12" s="42">
        <f t="shared" si="1"/>
        <v>0</v>
      </c>
      <c r="L12" s="41">
        <f t="shared" si="2"/>
        <v>0</v>
      </c>
      <c r="M12" s="43">
        <f t="shared" si="3"/>
        <v>0</v>
      </c>
      <c r="N12" s="43">
        <f t="shared" si="4"/>
        <v>0</v>
      </c>
      <c r="O12" s="43">
        <f t="shared" si="5"/>
        <v>31.32</v>
      </c>
      <c r="P12" s="44">
        <f t="shared" si="6"/>
        <v>0</v>
      </c>
      <c r="Q12" s="16"/>
      <c r="R12" s="17"/>
      <c r="S12" s="16"/>
      <c r="T12" s="16"/>
      <c r="U12" s="16"/>
      <c r="V12" s="44">
        <f t="shared" si="7"/>
        <v>0</v>
      </c>
      <c r="W12" s="16"/>
      <c r="X12" s="16"/>
      <c r="Y12" s="16"/>
      <c r="Z12" s="10"/>
      <c r="AA12" s="10"/>
      <c r="AB12" s="10"/>
      <c r="AC12" s="10"/>
      <c r="AD12" s="10"/>
      <c r="AE12" s="10"/>
    </row>
    <row r="13" s="9" customFormat="1" ht="44" customHeight="1" outlineLevel="1" spans="1:31">
      <c r="A13" s="24">
        <v>6</v>
      </c>
      <c r="B13" s="53" t="s">
        <v>212</v>
      </c>
      <c r="C13" s="52" t="s">
        <v>213</v>
      </c>
      <c r="D13" s="25" t="s">
        <v>209</v>
      </c>
      <c r="E13" s="26">
        <v>40</v>
      </c>
      <c r="F13" s="26">
        <f t="shared" si="8"/>
        <v>6.96</v>
      </c>
      <c r="G13" s="26">
        <f t="shared" si="9"/>
        <v>278.4</v>
      </c>
      <c r="H13" s="25"/>
      <c r="I13" s="41">
        <v>6.96</v>
      </c>
      <c r="J13" s="41">
        <f t="shared" si="0"/>
        <v>0</v>
      </c>
      <c r="K13" s="42">
        <f t="shared" si="1"/>
        <v>0</v>
      </c>
      <c r="L13" s="41">
        <f t="shared" si="2"/>
        <v>0</v>
      </c>
      <c r="M13" s="43">
        <f t="shared" si="3"/>
        <v>0</v>
      </c>
      <c r="N13" s="43">
        <f t="shared" si="4"/>
        <v>0</v>
      </c>
      <c r="O13" s="43">
        <f t="shared" si="5"/>
        <v>278.4</v>
      </c>
      <c r="P13" s="44">
        <f t="shared" si="6"/>
        <v>0</v>
      </c>
      <c r="Q13" s="16"/>
      <c r="R13" s="17"/>
      <c r="S13" s="16"/>
      <c r="T13" s="16"/>
      <c r="U13" s="16"/>
      <c r="V13" s="44">
        <f t="shared" si="7"/>
        <v>0</v>
      </c>
      <c r="W13" s="16"/>
      <c r="X13" s="16"/>
      <c r="Y13" s="16"/>
      <c r="Z13" s="10"/>
      <c r="AA13" s="10"/>
      <c r="AB13" s="10"/>
      <c r="AC13" s="10"/>
      <c r="AD13" s="10"/>
      <c r="AE13" s="10"/>
    </row>
    <row r="14" s="9" customFormat="1" ht="34" customHeight="1" outlineLevel="1" spans="1:31">
      <c r="A14" s="24">
        <v>7</v>
      </c>
      <c r="B14" s="25" t="s">
        <v>214</v>
      </c>
      <c r="C14" s="52" t="s">
        <v>215</v>
      </c>
      <c r="D14" s="25" t="s">
        <v>129</v>
      </c>
      <c r="E14" s="26">
        <v>1</v>
      </c>
      <c r="F14" s="26">
        <f t="shared" si="8"/>
        <v>800</v>
      </c>
      <c r="G14" s="26">
        <f t="shared" si="9"/>
        <v>800</v>
      </c>
      <c r="H14" s="25"/>
      <c r="I14" s="41">
        <v>800</v>
      </c>
      <c r="J14" s="41">
        <f t="shared" si="0"/>
        <v>0</v>
      </c>
      <c r="K14" s="42">
        <f t="shared" si="1"/>
        <v>0</v>
      </c>
      <c r="L14" s="41">
        <f t="shared" si="2"/>
        <v>0</v>
      </c>
      <c r="M14" s="43">
        <f t="shared" si="3"/>
        <v>0</v>
      </c>
      <c r="N14" s="43">
        <f t="shared" si="4"/>
        <v>0</v>
      </c>
      <c r="O14" s="43">
        <f t="shared" si="5"/>
        <v>800</v>
      </c>
      <c r="P14" s="44">
        <f t="shared" si="6"/>
        <v>0</v>
      </c>
      <c r="Q14" s="16"/>
      <c r="R14" s="17"/>
      <c r="S14" s="16"/>
      <c r="T14" s="16"/>
      <c r="U14" s="16"/>
      <c r="V14" s="44">
        <f t="shared" si="7"/>
        <v>0</v>
      </c>
      <c r="W14" s="16"/>
      <c r="X14" s="16"/>
      <c r="Y14" s="16"/>
      <c r="Z14" s="10"/>
      <c r="AA14" s="10"/>
      <c r="AB14" s="10"/>
      <c r="AC14" s="10"/>
      <c r="AD14" s="10"/>
      <c r="AE14" s="10"/>
    </row>
    <row r="15" s="8" customFormat="1" ht="57" customHeight="1" outlineLevel="1" spans="1:31">
      <c r="A15" s="24">
        <v>8</v>
      </c>
      <c r="B15" s="25" t="s">
        <v>216</v>
      </c>
      <c r="C15" s="52" t="s">
        <v>217</v>
      </c>
      <c r="D15" s="25" t="s">
        <v>59</v>
      </c>
      <c r="E15" s="26">
        <f>不含空调消防清单!E85</f>
        <v>319.15</v>
      </c>
      <c r="F15" s="26">
        <f t="shared" si="8"/>
        <v>30</v>
      </c>
      <c r="G15" s="26">
        <f t="shared" si="9"/>
        <v>9574.5</v>
      </c>
      <c r="H15" s="52" t="s">
        <v>218</v>
      </c>
      <c r="I15" s="41">
        <v>30</v>
      </c>
      <c r="J15" s="41">
        <f t="shared" si="0"/>
        <v>0</v>
      </c>
      <c r="K15" s="42">
        <f t="shared" ref="K15:K40" si="10">R15</f>
        <v>0</v>
      </c>
      <c r="L15" s="41">
        <f t="shared" si="2"/>
        <v>20</v>
      </c>
      <c r="M15" s="43">
        <f t="shared" si="3"/>
        <v>0</v>
      </c>
      <c r="N15" s="43">
        <f t="shared" si="4"/>
        <v>0</v>
      </c>
      <c r="O15" s="43">
        <f t="shared" ref="O15:O40" si="11">E15*I15</f>
        <v>9574.5</v>
      </c>
      <c r="P15" s="44">
        <f t="shared" si="6"/>
        <v>20</v>
      </c>
      <c r="Q15" s="16"/>
      <c r="R15" s="17"/>
      <c r="S15" s="16">
        <v>20</v>
      </c>
      <c r="T15" s="16"/>
      <c r="U15" s="16"/>
      <c r="V15" s="44">
        <f t="shared" si="7"/>
        <v>6383</v>
      </c>
      <c r="W15" s="16"/>
      <c r="X15" s="16"/>
      <c r="Y15" s="16"/>
      <c r="Z15" s="10"/>
      <c r="AA15" s="10"/>
      <c r="AB15" s="10"/>
      <c r="AC15" s="10"/>
      <c r="AD15" s="10"/>
      <c r="AE15" s="10"/>
    </row>
    <row r="16" s="7" customFormat="1" ht="25" customHeight="1" spans="1:31">
      <c r="A16" s="47" t="s">
        <v>13</v>
      </c>
      <c r="B16" s="48" t="s">
        <v>219</v>
      </c>
      <c r="C16" s="48"/>
      <c r="D16" s="49"/>
      <c r="E16" s="50"/>
      <c r="F16" s="50"/>
      <c r="G16" s="26">
        <f t="shared" si="9"/>
        <v>0</v>
      </c>
      <c r="H16" s="49"/>
      <c r="I16" s="14"/>
      <c r="J16" s="14"/>
      <c r="K16" s="15"/>
      <c r="L16" s="14"/>
      <c r="M16" s="14"/>
      <c r="N16" s="14"/>
      <c r="O16" s="14"/>
      <c r="P16" s="14"/>
      <c r="Q16" s="16"/>
      <c r="R16" s="17"/>
      <c r="S16" s="16"/>
      <c r="T16" s="16"/>
      <c r="U16" s="16"/>
      <c r="V16" s="16"/>
      <c r="W16" s="16"/>
      <c r="X16" s="16"/>
      <c r="Y16" s="16"/>
      <c r="Z16" s="10"/>
      <c r="AA16" s="10"/>
      <c r="AB16" s="10"/>
      <c r="AC16" s="10"/>
      <c r="AD16" s="10"/>
      <c r="AE16" s="10"/>
    </row>
    <row r="17" s="9" customFormat="1" ht="37" customHeight="1" outlineLevel="1" spans="1:31">
      <c r="A17" s="24">
        <v>1</v>
      </c>
      <c r="B17" s="25" t="s">
        <v>220</v>
      </c>
      <c r="C17" s="52" t="s">
        <v>221</v>
      </c>
      <c r="D17" s="25" t="s">
        <v>142</v>
      </c>
      <c r="E17" s="26">
        <v>10</v>
      </c>
      <c r="F17" s="26">
        <f t="shared" ref="F15:F40" si="12">I17</f>
        <v>174</v>
      </c>
      <c r="G17" s="26">
        <f t="shared" si="9"/>
        <v>1740</v>
      </c>
      <c r="H17" s="25"/>
      <c r="I17" s="41">
        <v>174</v>
      </c>
      <c r="J17" s="41">
        <f t="shared" ref="J17:J26" si="13">Q17*$Q$1</f>
        <v>0</v>
      </c>
      <c r="K17" s="42">
        <f t="shared" si="10"/>
        <v>0</v>
      </c>
      <c r="L17" s="41">
        <f t="shared" ref="L17:L26" si="14">S17*$S$1</f>
        <v>0</v>
      </c>
      <c r="M17" s="43">
        <f t="shared" ref="M17:M26" si="15">T17*$T$1</f>
        <v>0</v>
      </c>
      <c r="N17" s="43">
        <f t="shared" ref="N17:N26" si="16">U17*$U$1</f>
        <v>0</v>
      </c>
      <c r="O17" s="43">
        <f t="shared" si="11"/>
        <v>1740</v>
      </c>
      <c r="P17" s="44">
        <f t="shared" ref="P17:P26" si="17">Q17+Q17*R17+S17+T17+U17</f>
        <v>0</v>
      </c>
      <c r="Q17" s="16"/>
      <c r="R17" s="17"/>
      <c r="S17" s="16"/>
      <c r="T17" s="16"/>
      <c r="U17" s="16"/>
      <c r="V17" s="44">
        <f t="shared" ref="V17:V26" si="18">E17*P17</f>
        <v>0</v>
      </c>
      <c r="W17" s="16"/>
      <c r="X17" s="16"/>
      <c r="Y17" s="16"/>
      <c r="Z17" s="10"/>
      <c r="AA17" s="10"/>
      <c r="AB17" s="10"/>
      <c r="AC17" s="10"/>
      <c r="AD17" s="10"/>
      <c r="AE17" s="10"/>
    </row>
    <row r="18" s="9" customFormat="1" ht="37" customHeight="1" outlineLevel="1" spans="1:31">
      <c r="A18" s="24">
        <v>2</v>
      </c>
      <c r="B18" s="25" t="s">
        <v>222</v>
      </c>
      <c r="C18" s="52" t="s">
        <v>223</v>
      </c>
      <c r="D18" s="25" t="s">
        <v>142</v>
      </c>
      <c r="E18" s="26">
        <v>12</v>
      </c>
      <c r="F18" s="26">
        <f t="shared" si="12"/>
        <v>217.5</v>
      </c>
      <c r="G18" s="26">
        <f t="shared" si="9"/>
        <v>2610</v>
      </c>
      <c r="H18" s="25"/>
      <c r="I18" s="41">
        <v>217.5</v>
      </c>
      <c r="J18" s="41">
        <f t="shared" si="13"/>
        <v>0</v>
      </c>
      <c r="K18" s="42">
        <f t="shared" si="10"/>
        <v>0</v>
      </c>
      <c r="L18" s="41">
        <f t="shared" si="14"/>
        <v>0</v>
      </c>
      <c r="M18" s="43">
        <f t="shared" si="15"/>
        <v>0</v>
      </c>
      <c r="N18" s="43">
        <f t="shared" si="16"/>
        <v>0</v>
      </c>
      <c r="O18" s="43">
        <f t="shared" si="11"/>
        <v>2610</v>
      </c>
      <c r="P18" s="44">
        <f t="shared" si="17"/>
        <v>0</v>
      </c>
      <c r="Q18" s="16"/>
      <c r="R18" s="17"/>
      <c r="S18" s="16"/>
      <c r="T18" s="16"/>
      <c r="U18" s="16"/>
      <c r="V18" s="44">
        <f t="shared" si="18"/>
        <v>0</v>
      </c>
      <c r="W18" s="16"/>
      <c r="X18" s="16"/>
      <c r="Y18" s="16"/>
      <c r="Z18" s="10"/>
      <c r="AA18" s="10"/>
      <c r="AB18" s="10"/>
      <c r="AC18" s="10"/>
      <c r="AD18" s="10"/>
      <c r="AE18" s="10"/>
    </row>
    <row r="19" s="9" customFormat="1" ht="37" customHeight="1" outlineLevel="1" spans="1:31">
      <c r="A19" s="24">
        <v>3</v>
      </c>
      <c r="B19" s="25" t="s">
        <v>224</v>
      </c>
      <c r="C19" s="52" t="s">
        <v>225</v>
      </c>
      <c r="D19" s="25" t="s">
        <v>226</v>
      </c>
      <c r="E19" s="26">
        <v>12</v>
      </c>
      <c r="F19" s="26">
        <f t="shared" si="12"/>
        <v>21.75</v>
      </c>
      <c r="G19" s="26">
        <f t="shared" si="9"/>
        <v>261</v>
      </c>
      <c r="H19" s="25"/>
      <c r="I19" s="41">
        <v>21.75</v>
      </c>
      <c r="J19" s="41">
        <f t="shared" si="13"/>
        <v>0</v>
      </c>
      <c r="K19" s="42">
        <f t="shared" si="10"/>
        <v>0</v>
      </c>
      <c r="L19" s="41">
        <f t="shared" si="14"/>
        <v>0</v>
      </c>
      <c r="M19" s="43">
        <f t="shared" si="15"/>
        <v>0</v>
      </c>
      <c r="N19" s="43">
        <f t="shared" si="16"/>
        <v>0</v>
      </c>
      <c r="O19" s="43">
        <f t="shared" si="11"/>
        <v>261</v>
      </c>
      <c r="P19" s="44">
        <f t="shared" si="17"/>
        <v>0</v>
      </c>
      <c r="Q19" s="16"/>
      <c r="R19" s="17"/>
      <c r="S19" s="16"/>
      <c r="T19" s="16"/>
      <c r="U19" s="16"/>
      <c r="V19" s="44">
        <f t="shared" si="18"/>
        <v>0</v>
      </c>
      <c r="W19" s="16"/>
      <c r="X19" s="16"/>
      <c r="Y19" s="16"/>
      <c r="Z19" s="10"/>
      <c r="AA19" s="10"/>
      <c r="AB19" s="10"/>
      <c r="AC19" s="10"/>
      <c r="AD19" s="10"/>
      <c r="AE19" s="10"/>
    </row>
    <row r="20" s="9" customFormat="1" ht="37" customHeight="1" outlineLevel="1" spans="1:31">
      <c r="A20" s="24">
        <v>4</v>
      </c>
      <c r="B20" s="25" t="s">
        <v>227</v>
      </c>
      <c r="C20" s="52" t="s">
        <v>228</v>
      </c>
      <c r="D20" s="25" t="s">
        <v>229</v>
      </c>
      <c r="E20" s="26">
        <v>1</v>
      </c>
      <c r="F20" s="26">
        <f t="shared" si="12"/>
        <v>435</v>
      </c>
      <c r="G20" s="26">
        <f t="shared" si="9"/>
        <v>435</v>
      </c>
      <c r="H20" s="25"/>
      <c r="I20" s="41">
        <v>435</v>
      </c>
      <c r="J20" s="41">
        <f t="shared" si="13"/>
        <v>0</v>
      </c>
      <c r="K20" s="42">
        <f t="shared" si="10"/>
        <v>0</v>
      </c>
      <c r="L20" s="41">
        <f t="shared" si="14"/>
        <v>0</v>
      </c>
      <c r="M20" s="43">
        <f t="shared" si="15"/>
        <v>0</v>
      </c>
      <c r="N20" s="43">
        <f t="shared" si="16"/>
        <v>0</v>
      </c>
      <c r="O20" s="43">
        <f t="shared" si="11"/>
        <v>435</v>
      </c>
      <c r="P20" s="44">
        <f t="shared" si="17"/>
        <v>0</v>
      </c>
      <c r="Q20" s="16"/>
      <c r="R20" s="17"/>
      <c r="S20" s="16"/>
      <c r="T20" s="16"/>
      <c r="U20" s="16"/>
      <c r="V20" s="44">
        <f t="shared" si="18"/>
        <v>0</v>
      </c>
      <c r="W20" s="16"/>
      <c r="X20" s="16"/>
      <c r="Y20" s="16"/>
      <c r="Z20" s="10"/>
      <c r="AA20" s="10"/>
      <c r="AB20" s="10"/>
      <c r="AC20" s="10"/>
      <c r="AD20" s="10"/>
      <c r="AE20" s="10"/>
    </row>
    <row r="21" s="9" customFormat="1" ht="37" customHeight="1" outlineLevel="1" spans="1:31">
      <c r="A21" s="24">
        <v>5</v>
      </c>
      <c r="B21" s="25" t="s">
        <v>230</v>
      </c>
      <c r="C21" s="52" t="s">
        <v>231</v>
      </c>
      <c r="D21" s="25" t="s">
        <v>209</v>
      </c>
      <c r="E21" s="26">
        <v>16.5</v>
      </c>
      <c r="F21" s="26">
        <f t="shared" si="12"/>
        <v>50.46</v>
      </c>
      <c r="G21" s="26">
        <f t="shared" si="9"/>
        <v>832.59</v>
      </c>
      <c r="H21" s="25"/>
      <c r="I21" s="41">
        <v>50.46</v>
      </c>
      <c r="J21" s="41">
        <f t="shared" si="13"/>
        <v>0</v>
      </c>
      <c r="K21" s="42">
        <f t="shared" si="10"/>
        <v>0</v>
      </c>
      <c r="L21" s="41">
        <f t="shared" si="14"/>
        <v>0</v>
      </c>
      <c r="M21" s="43">
        <f t="shared" si="15"/>
        <v>0</v>
      </c>
      <c r="N21" s="43">
        <f t="shared" si="16"/>
        <v>0</v>
      </c>
      <c r="O21" s="43">
        <f t="shared" si="11"/>
        <v>832.59</v>
      </c>
      <c r="P21" s="44">
        <f t="shared" si="17"/>
        <v>0</v>
      </c>
      <c r="Q21" s="16"/>
      <c r="R21" s="17"/>
      <c r="S21" s="16"/>
      <c r="T21" s="16"/>
      <c r="U21" s="16"/>
      <c r="V21" s="44">
        <f t="shared" si="18"/>
        <v>0</v>
      </c>
      <c r="W21" s="16"/>
      <c r="X21" s="16"/>
      <c r="Y21" s="16"/>
      <c r="Z21" s="10"/>
      <c r="AA21" s="10"/>
      <c r="AB21" s="10"/>
      <c r="AC21" s="10"/>
      <c r="AD21" s="10"/>
      <c r="AE21" s="10"/>
    </row>
    <row r="22" s="9" customFormat="1" ht="37" customHeight="1" outlineLevel="1" spans="1:31">
      <c r="A22" s="24">
        <v>6</v>
      </c>
      <c r="B22" s="25" t="s">
        <v>232</v>
      </c>
      <c r="C22" s="52" t="s">
        <v>233</v>
      </c>
      <c r="D22" s="25" t="s">
        <v>209</v>
      </c>
      <c r="E22" s="26">
        <v>8.5</v>
      </c>
      <c r="F22" s="26">
        <f t="shared" si="12"/>
        <v>56.55</v>
      </c>
      <c r="G22" s="26">
        <f t="shared" si="9"/>
        <v>480.675</v>
      </c>
      <c r="H22" s="25"/>
      <c r="I22" s="41">
        <v>56.55</v>
      </c>
      <c r="J22" s="41">
        <f t="shared" si="13"/>
        <v>0</v>
      </c>
      <c r="K22" s="42">
        <f t="shared" si="10"/>
        <v>0</v>
      </c>
      <c r="L22" s="41">
        <f t="shared" si="14"/>
        <v>0</v>
      </c>
      <c r="M22" s="43">
        <f t="shared" si="15"/>
        <v>0</v>
      </c>
      <c r="N22" s="43">
        <f t="shared" si="16"/>
        <v>0</v>
      </c>
      <c r="O22" s="43">
        <f t="shared" si="11"/>
        <v>480.675</v>
      </c>
      <c r="P22" s="44">
        <f t="shared" si="17"/>
        <v>0</v>
      </c>
      <c r="Q22" s="16"/>
      <c r="R22" s="17"/>
      <c r="S22" s="16"/>
      <c r="T22" s="16"/>
      <c r="U22" s="16"/>
      <c r="V22" s="44">
        <f t="shared" si="18"/>
        <v>0</v>
      </c>
      <c r="W22" s="16"/>
      <c r="X22" s="16"/>
      <c r="Y22" s="16"/>
      <c r="Z22" s="10"/>
      <c r="AA22" s="10"/>
      <c r="AB22" s="10"/>
      <c r="AC22" s="10"/>
      <c r="AD22" s="10"/>
      <c r="AE22" s="10"/>
    </row>
    <row r="23" s="9" customFormat="1" ht="37" customHeight="1" outlineLevel="1" spans="1:31">
      <c r="A23" s="24">
        <v>7</v>
      </c>
      <c r="B23" s="25" t="s">
        <v>234</v>
      </c>
      <c r="C23" s="52" t="s">
        <v>235</v>
      </c>
      <c r="D23" s="25" t="s">
        <v>209</v>
      </c>
      <c r="E23" s="26">
        <v>3.5</v>
      </c>
      <c r="F23" s="26">
        <f t="shared" si="12"/>
        <v>65.25</v>
      </c>
      <c r="G23" s="26">
        <f t="shared" si="9"/>
        <v>228.375</v>
      </c>
      <c r="H23" s="25"/>
      <c r="I23" s="41">
        <v>65.25</v>
      </c>
      <c r="J23" s="41">
        <f t="shared" si="13"/>
        <v>0</v>
      </c>
      <c r="K23" s="42">
        <f t="shared" si="10"/>
        <v>0</v>
      </c>
      <c r="L23" s="41">
        <f t="shared" si="14"/>
        <v>0</v>
      </c>
      <c r="M23" s="43">
        <f t="shared" si="15"/>
        <v>0</v>
      </c>
      <c r="N23" s="43">
        <f t="shared" si="16"/>
        <v>0</v>
      </c>
      <c r="O23" s="43">
        <f t="shared" si="11"/>
        <v>228.375</v>
      </c>
      <c r="P23" s="44">
        <f t="shared" si="17"/>
        <v>0</v>
      </c>
      <c r="Q23" s="16"/>
      <c r="R23" s="17"/>
      <c r="S23" s="16"/>
      <c r="T23" s="16"/>
      <c r="U23" s="16"/>
      <c r="V23" s="44">
        <f t="shared" si="18"/>
        <v>0</v>
      </c>
      <c r="W23" s="16"/>
      <c r="X23" s="16"/>
      <c r="Y23" s="16"/>
      <c r="Z23" s="10"/>
      <c r="AA23" s="10"/>
      <c r="AB23" s="10"/>
      <c r="AC23" s="10"/>
      <c r="AD23" s="10"/>
      <c r="AE23" s="10"/>
    </row>
    <row r="24" s="9" customFormat="1" ht="37" customHeight="1" outlineLevel="1" spans="1:31">
      <c r="A24" s="24">
        <v>8</v>
      </c>
      <c r="B24" s="25" t="s">
        <v>236</v>
      </c>
      <c r="C24" s="52" t="s">
        <v>237</v>
      </c>
      <c r="D24" s="25" t="s">
        <v>209</v>
      </c>
      <c r="E24" s="26">
        <v>2.5</v>
      </c>
      <c r="F24" s="26">
        <f t="shared" si="12"/>
        <v>80.91</v>
      </c>
      <c r="G24" s="26">
        <f t="shared" si="9"/>
        <v>202.275</v>
      </c>
      <c r="H24" s="25"/>
      <c r="I24" s="41">
        <v>80.91</v>
      </c>
      <c r="J24" s="41">
        <f t="shared" si="13"/>
        <v>0</v>
      </c>
      <c r="K24" s="42">
        <f t="shared" si="10"/>
        <v>0</v>
      </c>
      <c r="L24" s="41">
        <f t="shared" si="14"/>
        <v>0</v>
      </c>
      <c r="M24" s="43">
        <f t="shared" si="15"/>
        <v>0</v>
      </c>
      <c r="N24" s="43">
        <f t="shared" si="16"/>
        <v>0</v>
      </c>
      <c r="O24" s="43">
        <f t="shared" si="11"/>
        <v>202.275</v>
      </c>
      <c r="P24" s="44">
        <f t="shared" si="17"/>
        <v>0</v>
      </c>
      <c r="Q24" s="16"/>
      <c r="R24" s="17"/>
      <c r="S24" s="16"/>
      <c r="T24" s="16"/>
      <c r="U24" s="16"/>
      <c r="V24" s="44">
        <f t="shared" si="18"/>
        <v>0</v>
      </c>
      <c r="W24" s="16"/>
      <c r="X24" s="16"/>
      <c r="Y24" s="16"/>
      <c r="Z24" s="10"/>
      <c r="AA24" s="10"/>
      <c r="AB24" s="10"/>
      <c r="AC24" s="10"/>
      <c r="AD24" s="10"/>
      <c r="AE24" s="10"/>
    </row>
    <row r="25" s="9" customFormat="1" ht="37" customHeight="1" outlineLevel="1" spans="1:31">
      <c r="A25" s="24">
        <v>9</v>
      </c>
      <c r="B25" s="25" t="s">
        <v>238</v>
      </c>
      <c r="C25" s="52" t="s">
        <v>239</v>
      </c>
      <c r="D25" s="25" t="s">
        <v>129</v>
      </c>
      <c r="E25" s="26">
        <v>1</v>
      </c>
      <c r="F25" s="26">
        <f t="shared" si="12"/>
        <v>800</v>
      </c>
      <c r="G25" s="26">
        <f t="shared" si="9"/>
        <v>800</v>
      </c>
      <c r="H25" s="25"/>
      <c r="I25" s="41">
        <v>800</v>
      </c>
      <c r="J25" s="41">
        <f t="shared" si="13"/>
        <v>0</v>
      </c>
      <c r="K25" s="42">
        <f t="shared" si="10"/>
        <v>0</v>
      </c>
      <c r="L25" s="41">
        <f t="shared" si="14"/>
        <v>0</v>
      </c>
      <c r="M25" s="43">
        <f t="shared" si="15"/>
        <v>0</v>
      </c>
      <c r="N25" s="43">
        <f t="shared" si="16"/>
        <v>0</v>
      </c>
      <c r="O25" s="43">
        <f t="shared" si="11"/>
        <v>800</v>
      </c>
      <c r="P25" s="44">
        <f t="shared" si="17"/>
        <v>0</v>
      </c>
      <c r="Q25" s="16"/>
      <c r="R25" s="17"/>
      <c r="S25" s="16"/>
      <c r="T25" s="16"/>
      <c r="U25" s="16"/>
      <c r="V25" s="44">
        <f t="shared" si="18"/>
        <v>0</v>
      </c>
      <c r="W25" s="16"/>
      <c r="X25" s="16"/>
      <c r="Y25" s="16"/>
      <c r="Z25" s="10"/>
      <c r="AA25" s="10"/>
      <c r="AB25" s="10"/>
      <c r="AC25" s="10"/>
      <c r="AD25" s="10"/>
      <c r="AE25" s="10"/>
    </row>
    <row r="26" s="9" customFormat="1" ht="37" customHeight="1" outlineLevel="1" spans="1:31">
      <c r="A26" s="24">
        <v>10</v>
      </c>
      <c r="B26" s="25" t="s">
        <v>240</v>
      </c>
      <c r="C26" s="52" t="s">
        <v>241</v>
      </c>
      <c r="D26" s="25" t="s">
        <v>129</v>
      </c>
      <c r="E26" s="26">
        <v>1</v>
      </c>
      <c r="F26" s="26">
        <f t="shared" si="12"/>
        <v>870</v>
      </c>
      <c r="G26" s="26">
        <f t="shared" si="9"/>
        <v>870</v>
      </c>
      <c r="H26" s="25"/>
      <c r="I26" s="41">
        <v>870</v>
      </c>
      <c r="J26" s="41">
        <f t="shared" si="13"/>
        <v>0</v>
      </c>
      <c r="K26" s="42">
        <f t="shared" si="10"/>
        <v>0</v>
      </c>
      <c r="L26" s="41">
        <f t="shared" si="14"/>
        <v>0</v>
      </c>
      <c r="M26" s="43">
        <f t="shared" si="15"/>
        <v>0</v>
      </c>
      <c r="N26" s="43">
        <f t="shared" si="16"/>
        <v>0</v>
      </c>
      <c r="O26" s="43">
        <f t="shared" si="11"/>
        <v>870</v>
      </c>
      <c r="P26" s="44">
        <f t="shared" si="17"/>
        <v>0</v>
      </c>
      <c r="Q26" s="16"/>
      <c r="R26" s="17"/>
      <c r="S26" s="16"/>
      <c r="T26" s="16"/>
      <c r="U26" s="16"/>
      <c r="V26" s="44">
        <f t="shared" si="18"/>
        <v>0</v>
      </c>
      <c r="W26" s="16"/>
      <c r="X26" s="16"/>
      <c r="Y26" s="16"/>
      <c r="Z26" s="10"/>
      <c r="AA26" s="10"/>
      <c r="AB26" s="10"/>
      <c r="AC26" s="10"/>
      <c r="AD26" s="10"/>
      <c r="AE26" s="10"/>
    </row>
    <row r="27" s="7" customFormat="1" ht="25" customHeight="1" spans="1:31">
      <c r="A27" s="47" t="s">
        <v>16</v>
      </c>
      <c r="B27" s="48" t="s">
        <v>242</v>
      </c>
      <c r="C27" s="48"/>
      <c r="D27" s="49"/>
      <c r="E27" s="50"/>
      <c r="F27" s="50"/>
      <c r="G27" s="50"/>
      <c r="H27" s="49"/>
      <c r="I27" s="14"/>
      <c r="J27" s="14"/>
      <c r="K27" s="15"/>
      <c r="L27" s="14"/>
      <c r="M27" s="14"/>
      <c r="N27" s="14"/>
      <c r="O27" s="14"/>
      <c r="P27" s="14"/>
      <c r="Q27" s="16"/>
      <c r="R27" s="17"/>
      <c r="S27" s="16"/>
      <c r="T27" s="16"/>
      <c r="U27" s="16"/>
      <c r="V27" s="16"/>
      <c r="W27" s="16"/>
      <c r="X27" s="16"/>
      <c r="Y27" s="16"/>
      <c r="Z27" s="10"/>
      <c r="AA27" s="10"/>
      <c r="AB27" s="10"/>
      <c r="AC27" s="10"/>
      <c r="AD27" s="10"/>
      <c r="AE27" s="10"/>
    </row>
    <row r="28" s="9" customFormat="1" ht="32" customHeight="1" outlineLevel="1" spans="1:31">
      <c r="A28" s="24">
        <v>1</v>
      </c>
      <c r="B28" s="25" t="s">
        <v>243</v>
      </c>
      <c r="C28" s="52"/>
      <c r="D28" s="25" t="s">
        <v>59</v>
      </c>
      <c r="E28" s="26">
        <v>4.5</v>
      </c>
      <c r="F28" s="26">
        <f t="shared" ref="F28:F33" si="19">I28</f>
        <v>156.6</v>
      </c>
      <c r="G28" s="26">
        <f t="shared" ref="G28:G33" si="20">F28*E28</f>
        <v>704.7</v>
      </c>
      <c r="H28" s="25"/>
      <c r="I28" s="41">
        <v>156.6</v>
      </c>
      <c r="J28" s="41">
        <f t="shared" ref="J28:J33" si="21">Q28*$Q$1</f>
        <v>0</v>
      </c>
      <c r="K28" s="42">
        <f t="shared" ref="K28:K33" si="22">R28</f>
        <v>0</v>
      </c>
      <c r="L28" s="41">
        <f t="shared" ref="L28:L33" si="23">S28*$S$1</f>
        <v>0</v>
      </c>
      <c r="M28" s="43">
        <f t="shared" ref="M28:M33" si="24">T28*$T$1</f>
        <v>0</v>
      </c>
      <c r="N28" s="43">
        <f t="shared" ref="N28:N33" si="25">U28*$U$1</f>
        <v>0</v>
      </c>
      <c r="O28" s="43">
        <f t="shared" ref="O28:O33" si="26">E28*I28</f>
        <v>704.7</v>
      </c>
      <c r="P28" s="44">
        <f t="shared" ref="P28:P33" si="27">Q28+Q28*R28+S28+T28+U28</f>
        <v>0</v>
      </c>
      <c r="Q28" s="16"/>
      <c r="R28" s="17"/>
      <c r="S28" s="16"/>
      <c r="T28" s="16"/>
      <c r="U28" s="16"/>
      <c r="V28" s="44">
        <f t="shared" ref="V28:V33" si="28">E28*P28</f>
        <v>0</v>
      </c>
      <c r="W28" s="16"/>
      <c r="X28" s="16"/>
      <c r="Y28" s="16"/>
      <c r="Z28" s="10"/>
      <c r="AA28" s="10"/>
      <c r="AB28" s="10"/>
      <c r="AC28" s="10"/>
      <c r="AD28" s="10"/>
      <c r="AE28" s="10"/>
    </row>
    <row r="29" s="9" customFormat="1" ht="50" customHeight="1" outlineLevel="1" spans="1:31">
      <c r="A29" s="24">
        <v>2</v>
      </c>
      <c r="B29" s="25" t="s">
        <v>244</v>
      </c>
      <c r="C29" s="54" t="s">
        <v>245</v>
      </c>
      <c r="D29" s="25" t="s">
        <v>59</v>
      </c>
      <c r="E29" s="26">
        <v>1.5</v>
      </c>
      <c r="F29" s="26">
        <f t="shared" si="19"/>
        <v>147.9</v>
      </c>
      <c r="G29" s="26">
        <f t="shared" si="20"/>
        <v>221.85</v>
      </c>
      <c r="H29" s="25"/>
      <c r="I29" s="41">
        <v>147.9</v>
      </c>
      <c r="J29" s="41">
        <f t="shared" si="21"/>
        <v>0</v>
      </c>
      <c r="K29" s="42">
        <f t="shared" si="22"/>
        <v>0</v>
      </c>
      <c r="L29" s="41">
        <f t="shared" si="23"/>
        <v>0</v>
      </c>
      <c r="M29" s="43">
        <f t="shared" si="24"/>
        <v>0</v>
      </c>
      <c r="N29" s="43">
        <f t="shared" si="25"/>
        <v>0</v>
      </c>
      <c r="O29" s="43">
        <f t="shared" si="26"/>
        <v>221.85</v>
      </c>
      <c r="P29" s="44">
        <f t="shared" si="27"/>
        <v>0</v>
      </c>
      <c r="Q29" s="16"/>
      <c r="R29" s="17"/>
      <c r="S29" s="16"/>
      <c r="T29" s="16"/>
      <c r="U29" s="16"/>
      <c r="V29" s="44">
        <f t="shared" si="28"/>
        <v>0</v>
      </c>
      <c r="W29" s="16"/>
      <c r="X29" s="16"/>
      <c r="Y29" s="16"/>
      <c r="Z29" s="10"/>
      <c r="AA29" s="10"/>
      <c r="AB29" s="10"/>
      <c r="AC29" s="10"/>
      <c r="AD29" s="10"/>
      <c r="AE29" s="10"/>
    </row>
    <row r="30" s="9" customFormat="1" ht="26" customHeight="1" outlineLevel="1" spans="1:31">
      <c r="A30" s="24">
        <v>3</v>
      </c>
      <c r="B30" s="25" t="s">
        <v>246</v>
      </c>
      <c r="C30" s="52"/>
      <c r="D30" s="25" t="s">
        <v>59</v>
      </c>
      <c r="E30" s="26">
        <v>3</v>
      </c>
      <c r="F30" s="26">
        <f t="shared" si="19"/>
        <v>87</v>
      </c>
      <c r="G30" s="26">
        <f t="shared" si="20"/>
        <v>261</v>
      </c>
      <c r="H30" s="25"/>
      <c r="I30" s="41">
        <v>87</v>
      </c>
      <c r="J30" s="41">
        <f t="shared" si="21"/>
        <v>0</v>
      </c>
      <c r="K30" s="42">
        <f t="shared" si="22"/>
        <v>0</v>
      </c>
      <c r="L30" s="41">
        <f t="shared" si="23"/>
        <v>0</v>
      </c>
      <c r="M30" s="43">
        <f t="shared" si="24"/>
        <v>0</v>
      </c>
      <c r="N30" s="43">
        <f t="shared" si="25"/>
        <v>0</v>
      </c>
      <c r="O30" s="43">
        <f t="shared" si="26"/>
        <v>261</v>
      </c>
      <c r="P30" s="44">
        <f t="shared" si="27"/>
        <v>0</v>
      </c>
      <c r="Q30" s="16"/>
      <c r="R30" s="17"/>
      <c r="S30" s="16"/>
      <c r="T30" s="16"/>
      <c r="U30" s="16"/>
      <c r="V30" s="44">
        <f t="shared" si="28"/>
        <v>0</v>
      </c>
      <c r="W30" s="16"/>
      <c r="X30" s="16"/>
      <c r="Y30" s="16"/>
      <c r="Z30" s="10"/>
      <c r="AA30" s="10"/>
      <c r="AB30" s="10"/>
      <c r="AC30" s="10"/>
      <c r="AD30" s="10"/>
      <c r="AE30" s="10"/>
    </row>
    <row r="31" s="9" customFormat="1" ht="48" customHeight="1" outlineLevel="1" spans="1:31">
      <c r="A31" s="24">
        <v>4</v>
      </c>
      <c r="B31" s="25" t="s">
        <v>247</v>
      </c>
      <c r="C31" s="52" t="s">
        <v>248</v>
      </c>
      <c r="D31" s="25" t="s">
        <v>202</v>
      </c>
      <c r="E31" s="26">
        <v>1</v>
      </c>
      <c r="F31" s="26">
        <f t="shared" si="19"/>
        <v>870</v>
      </c>
      <c r="G31" s="26">
        <f t="shared" si="20"/>
        <v>870</v>
      </c>
      <c r="H31" s="25"/>
      <c r="I31" s="41">
        <v>870</v>
      </c>
      <c r="J31" s="41">
        <f t="shared" si="21"/>
        <v>0</v>
      </c>
      <c r="K31" s="42">
        <f t="shared" si="22"/>
        <v>0</v>
      </c>
      <c r="L31" s="41">
        <f t="shared" si="23"/>
        <v>0</v>
      </c>
      <c r="M31" s="43">
        <f t="shared" si="24"/>
        <v>0</v>
      </c>
      <c r="N31" s="43">
        <f t="shared" si="25"/>
        <v>0</v>
      </c>
      <c r="O31" s="43">
        <f t="shared" si="26"/>
        <v>870</v>
      </c>
      <c r="P31" s="44">
        <f t="shared" si="27"/>
        <v>0</v>
      </c>
      <c r="Q31" s="16"/>
      <c r="R31" s="17"/>
      <c r="S31" s="16"/>
      <c r="T31" s="16"/>
      <c r="U31" s="16"/>
      <c r="V31" s="44">
        <f t="shared" si="28"/>
        <v>0</v>
      </c>
      <c r="W31" s="16"/>
      <c r="X31" s="16"/>
      <c r="Y31" s="16"/>
      <c r="Z31" s="10"/>
      <c r="AA31" s="10"/>
      <c r="AB31" s="10"/>
      <c r="AC31" s="10"/>
      <c r="AD31" s="10"/>
      <c r="AE31" s="10"/>
    </row>
    <row r="32" s="9" customFormat="1" ht="72" customHeight="1" outlineLevel="1" spans="1:31">
      <c r="A32" s="24">
        <v>5</v>
      </c>
      <c r="B32" s="25" t="s">
        <v>249</v>
      </c>
      <c r="C32" s="55" t="s">
        <v>250</v>
      </c>
      <c r="D32" s="25" t="s">
        <v>142</v>
      </c>
      <c r="E32" s="26">
        <v>2</v>
      </c>
      <c r="F32" s="26">
        <f t="shared" si="19"/>
        <v>348</v>
      </c>
      <c r="G32" s="26">
        <f t="shared" si="20"/>
        <v>696</v>
      </c>
      <c r="H32" s="25"/>
      <c r="I32" s="41">
        <v>348</v>
      </c>
      <c r="J32" s="41">
        <f t="shared" si="21"/>
        <v>0</v>
      </c>
      <c r="K32" s="42">
        <f t="shared" si="22"/>
        <v>0</v>
      </c>
      <c r="L32" s="41">
        <f t="shared" si="23"/>
        <v>0</v>
      </c>
      <c r="M32" s="43">
        <f t="shared" si="24"/>
        <v>0</v>
      </c>
      <c r="N32" s="43">
        <f t="shared" si="25"/>
        <v>0</v>
      </c>
      <c r="O32" s="43">
        <f t="shared" si="26"/>
        <v>696</v>
      </c>
      <c r="P32" s="44">
        <f t="shared" si="27"/>
        <v>0</v>
      </c>
      <c r="Q32" s="16"/>
      <c r="R32" s="17"/>
      <c r="S32" s="16"/>
      <c r="T32" s="16"/>
      <c r="U32" s="16"/>
      <c r="V32" s="44">
        <f t="shared" si="28"/>
        <v>0</v>
      </c>
      <c r="W32" s="16"/>
      <c r="X32" s="16"/>
      <c r="Y32" s="16"/>
      <c r="Z32" s="10"/>
      <c r="AA32" s="10"/>
      <c r="AB32" s="10"/>
      <c r="AC32" s="10"/>
      <c r="AD32" s="10"/>
      <c r="AE32" s="10"/>
    </row>
    <row r="33" s="9" customFormat="1" ht="32" customHeight="1" outlineLevel="1" spans="1:31">
      <c r="A33" s="24">
        <v>6</v>
      </c>
      <c r="B33" s="25" t="s">
        <v>251</v>
      </c>
      <c r="C33" s="52"/>
      <c r="D33" s="25" t="s">
        <v>129</v>
      </c>
      <c r="E33" s="26">
        <v>1</v>
      </c>
      <c r="F33" s="26">
        <f t="shared" si="19"/>
        <v>800</v>
      </c>
      <c r="G33" s="26">
        <f t="shared" si="20"/>
        <v>800</v>
      </c>
      <c r="H33" s="25"/>
      <c r="I33" s="41">
        <v>800</v>
      </c>
      <c r="J33" s="41">
        <f t="shared" si="21"/>
        <v>0</v>
      </c>
      <c r="K33" s="42">
        <f t="shared" si="22"/>
        <v>0</v>
      </c>
      <c r="L33" s="41">
        <f t="shared" si="23"/>
        <v>0</v>
      </c>
      <c r="M33" s="43">
        <f t="shared" si="24"/>
        <v>0</v>
      </c>
      <c r="N33" s="43">
        <f t="shared" si="25"/>
        <v>0</v>
      </c>
      <c r="O33" s="43">
        <v>1000</v>
      </c>
      <c r="P33" s="44">
        <f t="shared" si="27"/>
        <v>0</v>
      </c>
      <c r="Q33" s="16"/>
      <c r="R33" s="17"/>
      <c r="S33" s="16"/>
      <c r="T33" s="16"/>
      <c r="U33" s="16"/>
      <c r="V33" s="44">
        <f t="shared" si="28"/>
        <v>0</v>
      </c>
      <c r="W33" s="16"/>
      <c r="X33" s="16"/>
      <c r="Y33" s="16"/>
      <c r="Z33" s="10"/>
      <c r="AA33" s="10"/>
      <c r="AB33" s="10"/>
      <c r="AC33" s="10"/>
      <c r="AD33" s="10"/>
      <c r="AE33" s="10"/>
    </row>
    <row r="34" s="7" customFormat="1" ht="25" customHeight="1" spans="1:31">
      <c r="A34" s="47" t="s">
        <v>19</v>
      </c>
      <c r="B34" s="48" t="s">
        <v>252</v>
      </c>
      <c r="C34" s="48"/>
      <c r="D34" s="49"/>
      <c r="E34" s="50"/>
      <c r="F34" s="50"/>
      <c r="G34" s="50"/>
      <c r="H34" s="49"/>
      <c r="I34" s="14"/>
      <c r="J34" s="14"/>
      <c r="K34" s="15"/>
      <c r="L34" s="14"/>
      <c r="M34" s="14"/>
      <c r="N34" s="14"/>
      <c r="O34" s="14"/>
      <c r="P34" s="14"/>
      <c r="Q34" s="16"/>
      <c r="R34" s="17"/>
      <c r="S34" s="16"/>
      <c r="T34" s="16"/>
      <c r="U34" s="16"/>
      <c r="V34" s="16"/>
      <c r="W34" s="16"/>
      <c r="X34" s="16"/>
      <c r="Y34" s="16"/>
      <c r="Z34" s="10"/>
      <c r="AA34" s="10"/>
      <c r="AB34" s="10"/>
      <c r="AC34" s="10"/>
      <c r="AD34" s="10"/>
      <c r="AE34" s="10"/>
    </row>
    <row r="35" s="8" customFormat="1" ht="27" customHeight="1" outlineLevel="1" spans="1:31">
      <c r="A35" s="24">
        <v>1</v>
      </c>
      <c r="B35" s="25" t="s">
        <v>253</v>
      </c>
      <c r="C35" s="52" t="s">
        <v>254</v>
      </c>
      <c r="D35" s="25" t="s">
        <v>129</v>
      </c>
      <c r="E35" s="26">
        <v>1</v>
      </c>
      <c r="F35" s="26">
        <f>I35</f>
        <v>1000</v>
      </c>
      <c r="G35" s="26">
        <f>F35*E35</f>
        <v>1000</v>
      </c>
      <c r="H35" s="25"/>
      <c r="I35" s="41">
        <v>1000</v>
      </c>
      <c r="J35" s="41">
        <f>Q35*$Q$1</f>
        <v>0</v>
      </c>
      <c r="K35" s="42">
        <f>R35</f>
        <v>0</v>
      </c>
      <c r="L35" s="41">
        <f>S35*$S$1</f>
        <v>0</v>
      </c>
      <c r="M35" s="43">
        <f>T35*$T$1</f>
        <v>0</v>
      </c>
      <c r="N35" s="43">
        <f>U35*$U$1</f>
        <v>0</v>
      </c>
      <c r="O35" s="43">
        <v>1500</v>
      </c>
      <c r="P35" s="44">
        <f>Q35+Q35*R35+S35+T35+U35</f>
        <v>0</v>
      </c>
      <c r="Q35" s="16"/>
      <c r="R35" s="17"/>
      <c r="S35" s="16"/>
      <c r="T35" s="16"/>
      <c r="U35" s="16"/>
      <c r="V35" s="44">
        <f>E35*P35</f>
        <v>0</v>
      </c>
      <c r="W35" s="16"/>
      <c r="X35" s="16"/>
      <c r="Y35" s="16"/>
      <c r="Z35" s="10"/>
      <c r="AA35" s="10"/>
      <c r="AB35" s="10"/>
      <c r="AC35" s="10"/>
      <c r="AD35" s="10"/>
      <c r="AE35" s="10"/>
    </row>
    <row r="36" s="8" customFormat="1" ht="27" customHeight="1" outlineLevel="1" spans="1:31">
      <c r="A36" s="24">
        <v>2</v>
      </c>
      <c r="B36" s="25" t="s">
        <v>255</v>
      </c>
      <c r="C36" s="52"/>
      <c r="D36" s="25" t="s">
        <v>202</v>
      </c>
      <c r="E36" s="26">
        <v>1</v>
      </c>
      <c r="F36" s="26">
        <f>I36</f>
        <v>870</v>
      </c>
      <c r="G36" s="26">
        <f>F36*E36</f>
        <v>870</v>
      </c>
      <c r="H36" s="25"/>
      <c r="I36" s="41">
        <v>870</v>
      </c>
      <c r="J36" s="41"/>
      <c r="K36" s="42"/>
      <c r="L36" s="41"/>
      <c r="M36" s="43"/>
      <c r="N36" s="43"/>
      <c r="O36" s="43"/>
      <c r="P36" s="44">
        <f>Q36+Q36*R36+S36+T36+U36</f>
        <v>0</v>
      </c>
      <c r="Q36" s="16"/>
      <c r="R36" s="17"/>
      <c r="S36" s="16"/>
      <c r="T36" s="16"/>
      <c r="U36" s="16"/>
      <c r="V36" s="44">
        <f>E36*P36</f>
        <v>0</v>
      </c>
      <c r="W36" s="16"/>
      <c r="X36" s="16"/>
      <c r="Y36" s="16"/>
      <c r="Z36" s="10"/>
      <c r="AA36" s="10"/>
      <c r="AB36" s="10"/>
      <c r="AC36" s="10"/>
      <c r="AD36" s="10"/>
      <c r="AE36" s="10"/>
    </row>
    <row r="37" ht="30" customHeight="1" spans="1:31">
      <c r="A37" s="47" t="s">
        <v>28</v>
      </c>
      <c r="B37" s="49" t="s">
        <v>188</v>
      </c>
      <c r="C37" s="48"/>
      <c r="D37" s="49" t="s">
        <v>129</v>
      </c>
      <c r="E37" s="50">
        <v>1</v>
      </c>
      <c r="F37" s="50"/>
      <c r="G37" s="56">
        <f>G3+G6</f>
        <v>92603.485</v>
      </c>
      <c r="H37" s="25"/>
      <c r="I37" s="14">
        <f>SUBTOTAL(9,G3:G36)</f>
        <v>92603.485</v>
      </c>
    </row>
    <row r="38" ht="30" customHeight="1" spans="1:31">
      <c r="A38" s="47" t="s">
        <v>30</v>
      </c>
      <c r="B38" s="49" t="s">
        <v>33</v>
      </c>
      <c r="C38" s="57">
        <f>不含空调消防清单!C93</f>
        <v>0.035</v>
      </c>
      <c r="D38" s="49" t="s">
        <v>129</v>
      </c>
      <c r="E38" s="50">
        <v>1</v>
      </c>
      <c r="F38" s="50"/>
      <c r="G38" s="56">
        <f>G37*C38</f>
        <v>3241.121975</v>
      </c>
      <c r="H38" s="25"/>
    </row>
    <row r="39" ht="30" customHeight="1" spans="1:31">
      <c r="A39" s="47" t="s">
        <v>32</v>
      </c>
      <c r="B39" s="49" t="s">
        <v>35</v>
      </c>
      <c r="C39" s="57">
        <f>不含空调消防清单!C94</f>
        <v>0.09</v>
      </c>
      <c r="D39" s="49" t="s">
        <v>129</v>
      </c>
      <c r="E39" s="50">
        <v>1</v>
      </c>
      <c r="F39" s="50"/>
      <c r="G39" s="56">
        <v>0</v>
      </c>
      <c r="H39" s="25"/>
    </row>
    <row r="40" ht="30" customHeight="1" spans="1:31">
      <c r="A40" s="47" t="s">
        <v>34</v>
      </c>
      <c r="B40" s="49" t="s">
        <v>21</v>
      </c>
      <c r="C40" s="57"/>
      <c r="D40" s="49" t="s">
        <v>129</v>
      </c>
      <c r="E40" s="50">
        <v>1</v>
      </c>
      <c r="F40" s="50"/>
      <c r="G40" s="56">
        <f>G39+G38+G37</f>
        <v>95844.606975</v>
      </c>
      <c r="H40" s="25"/>
    </row>
    <row r="44" spans="1:31">
      <c r="E44" s="58"/>
      <c r="F44" s="58"/>
    </row>
  </sheetData>
  <sheetProtection selectLockedCells="1"/>
  <autoFilter xmlns:etc="http://www.wps.cn/officeDocument/2017/etCustomData" ref="A1:U40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view="pageBreakPreview" zoomScaleNormal="100" workbookViewId="0">
      <pane xSplit="3" ySplit="2" topLeftCell="D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2" outlineLevelCol="4"/>
  <cols>
    <col min="1" max="1" width="6" style="1" customWidth="1"/>
    <col min="2" max="2" width="12.75" style="1" customWidth="1"/>
    <col min="3" max="3" width="17.3833333333333" style="1" customWidth="1"/>
    <col min="4" max="4" width="24.3333333333333" style="1" customWidth="1"/>
    <col min="5" max="5" width="14.125" style="1" customWidth="1"/>
    <col min="6" max="14" width="9" style="1"/>
    <col min="15" max="17" width="9" style="2"/>
    <col min="18" max="16384" width="9" style="3"/>
  </cols>
  <sheetData>
    <row r="1" ht="28" customHeight="1" spans="1:5">
      <c r="A1" s="4" t="s">
        <v>256</v>
      </c>
      <c r="B1" s="4"/>
      <c r="C1" s="4"/>
      <c r="D1" s="4"/>
      <c r="E1" s="4"/>
    </row>
    <row r="2" ht="33" customHeight="1" spans="1:5">
      <c r="A2" s="5" t="s">
        <v>1</v>
      </c>
      <c r="B2" s="5" t="s">
        <v>257</v>
      </c>
      <c r="C2" s="5" t="s">
        <v>258</v>
      </c>
      <c r="D2" s="5" t="s">
        <v>259</v>
      </c>
      <c r="E2" s="5" t="s">
        <v>6</v>
      </c>
    </row>
    <row r="3" ht="24" customHeight="1" spans="1:5">
      <c r="A3" s="6">
        <v>1</v>
      </c>
      <c r="B3" s="6" t="s">
        <v>12</v>
      </c>
      <c r="C3" s="5" t="s">
        <v>260</v>
      </c>
      <c r="D3" s="5" t="s">
        <v>261</v>
      </c>
      <c r="E3" s="6"/>
    </row>
    <row r="4" ht="24" customHeight="1" spans="1:5">
      <c r="A4" s="6">
        <v>2</v>
      </c>
      <c r="B4" s="6" t="s">
        <v>12</v>
      </c>
      <c r="C4" s="5" t="s">
        <v>262</v>
      </c>
      <c r="D4" s="5" t="s">
        <v>263</v>
      </c>
      <c r="E4" s="6"/>
    </row>
    <row r="5" ht="32" customHeight="1" spans="1:5">
      <c r="A5" s="6">
        <v>3</v>
      </c>
      <c r="B5" s="6" t="s">
        <v>12</v>
      </c>
      <c r="C5" s="5" t="s">
        <v>264</v>
      </c>
      <c r="D5" s="5" t="s">
        <v>265</v>
      </c>
      <c r="E5" s="6"/>
    </row>
    <row r="6" ht="24" customHeight="1" spans="1:5">
      <c r="A6" s="6">
        <v>4</v>
      </c>
      <c r="B6" s="6" t="s">
        <v>12</v>
      </c>
      <c r="C6" s="5" t="s">
        <v>266</v>
      </c>
      <c r="D6" s="5" t="s">
        <v>267</v>
      </c>
      <c r="E6" s="6"/>
    </row>
    <row r="7" ht="24" customHeight="1" spans="1:5">
      <c r="A7" s="6">
        <v>5</v>
      </c>
      <c r="B7" s="6" t="s">
        <v>12</v>
      </c>
      <c r="C7" s="5" t="s">
        <v>268</v>
      </c>
      <c r="D7" s="5" t="s">
        <v>269</v>
      </c>
      <c r="E7" s="6"/>
    </row>
    <row r="8" ht="24" customHeight="1" spans="1:5">
      <c r="A8" s="6">
        <v>6</v>
      </c>
      <c r="B8" s="6" t="s">
        <v>12</v>
      </c>
      <c r="C8" s="5" t="s">
        <v>270</v>
      </c>
      <c r="D8" s="5" t="s">
        <v>269</v>
      </c>
      <c r="E8" s="6"/>
    </row>
    <row r="9" ht="24" customHeight="1" spans="1:5">
      <c r="A9" s="6">
        <v>7</v>
      </c>
      <c r="B9" s="6" t="s">
        <v>12</v>
      </c>
      <c r="C9" s="5" t="s">
        <v>271</v>
      </c>
      <c r="D9" s="5" t="str">
        <f>D6</f>
        <v>国产优质</v>
      </c>
      <c r="E9" s="6"/>
    </row>
    <row r="10" ht="24" customHeight="1" spans="1:5">
      <c r="A10" s="6">
        <v>8</v>
      </c>
      <c r="B10" s="6" t="s">
        <v>12</v>
      </c>
      <c r="C10" s="5" t="s">
        <v>272</v>
      </c>
      <c r="D10" s="5" t="s">
        <v>273</v>
      </c>
      <c r="E10" s="6"/>
    </row>
    <row r="11" ht="24" customHeight="1" spans="1:5">
      <c r="A11" s="6">
        <v>9</v>
      </c>
      <c r="B11" s="6" t="s">
        <v>12</v>
      </c>
      <c r="C11" s="5" t="s">
        <v>274</v>
      </c>
      <c r="D11" s="5" t="s">
        <v>273</v>
      </c>
      <c r="E11" s="6"/>
    </row>
    <row r="12" ht="24" customHeight="1" spans="1:5">
      <c r="A12" s="6">
        <v>10</v>
      </c>
      <c r="B12" s="6" t="s">
        <v>275</v>
      </c>
      <c r="C12" s="5" t="s">
        <v>276</v>
      </c>
      <c r="D12" s="5" t="s">
        <v>277</v>
      </c>
      <c r="E12" s="6"/>
    </row>
    <row r="13" ht="24" customHeight="1" spans="1:5">
      <c r="A13" s="6">
        <v>11</v>
      </c>
      <c r="B13" s="6" t="s">
        <v>275</v>
      </c>
      <c r="C13" s="5" t="s">
        <v>278</v>
      </c>
      <c r="D13" s="5" t="s">
        <v>279</v>
      </c>
      <c r="E13" s="6"/>
    </row>
    <row r="14" ht="24" customHeight="1" spans="1:5">
      <c r="A14" s="6">
        <v>12</v>
      </c>
      <c r="B14" s="6" t="s">
        <v>275</v>
      </c>
      <c r="C14" s="5" t="s">
        <v>280</v>
      </c>
      <c r="D14" s="5" t="s">
        <v>279</v>
      </c>
      <c r="E14" s="6"/>
    </row>
    <row r="15" ht="24" customHeight="1" spans="1:5">
      <c r="A15" s="6">
        <v>13</v>
      </c>
      <c r="B15" s="6" t="s">
        <v>275</v>
      </c>
      <c r="C15" s="5" t="s">
        <v>170</v>
      </c>
      <c r="D15" s="5" t="s">
        <v>281</v>
      </c>
      <c r="E15" s="6"/>
    </row>
    <row r="16" ht="24" customHeight="1" spans="1:5">
      <c r="A16" s="6">
        <v>14</v>
      </c>
      <c r="B16" s="6" t="s">
        <v>275</v>
      </c>
      <c r="C16" s="5" t="s">
        <v>172</v>
      </c>
      <c r="D16" s="5" t="s">
        <v>281</v>
      </c>
      <c r="E16" s="6"/>
    </row>
    <row r="17" ht="33" customHeight="1" spans="1:5">
      <c r="A17" s="6">
        <v>15</v>
      </c>
      <c r="B17" s="6" t="s">
        <v>275</v>
      </c>
      <c r="C17" s="5" t="s">
        <v>178</v>
      </c>
      <c r="D17" s="5" t="s">
        <v>281</v>
      </c>
      <c r="E17" s="6"/>
    </row>
    <row r="18" ht="33" customHeight="1" spans="1:5">
      <c r="A18" s="6">
        <v>16</v>
      </c>
      <c r="B18" s="6" t="s">
        <v>275</v>
      </c>
      <c r="C18" s="5" t="s">
        <v>282</v>
      </c>
      <c r="D18" s="5" t="s">
        <v>283</v>
      </c>
      <c r="E18" s="6"/>
    </row>
    <row r="19" ht="24" customHeight="1" spans="1:5">
      <c r="A19" s="6">
        <v>17</v>
      </c>
      <c r="B19" s="6" t="s">
        <v>15</v>
      </c>
      <c r="C19" s="5" t="s">
        <v>284</v>
      </c>
      <c r="D19" s="5" t="s">
        <v>285</v>
      </c>
      <c r="E19" s="6"/>
    </row>
    <row r="20" ht="24" customHeight="1" spans="1:5">
      <c r="A20" s="6">
        <v>18</v>
      </c>
      <c r="B20" s="6" t="s">
        <v>275</v>
      </c>
      <c r="C20" s="6" t="s">
        <v>286</v>
      </c>
      <c r="D20" s="5" t="s">
        <v>287</v>
      </c>
      <c r="E20" s="6"/>
    </row>
  </sheetData>
  <mergeCells count="1">
    <mergeCell ref="A1:E1"/>
  </mergeCells>
  <printOptions horizontalCentered="1"/>
  <pageMargins left="0.751388888888889" right="0.751388888888889" top="1" bottom="1" header="0.5" footer="0.5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报价汇总-装修工程</vt:lpstr>
      <vt:lpstr>不含空调消防清单</vt:lpstr>
      <vt:lpstr>报价汇总-空调消防</vt:lpstr>
      <vt:lpstr>空调消防清单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F83351AAFCD440B4A13C284EC5F9BE7E_13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