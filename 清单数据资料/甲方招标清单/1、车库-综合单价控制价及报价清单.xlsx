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甲方招标清单\"/>
    </mc:Choice>
  </mc:AlternateContent>
  <bookViews>
    <workbookView windowWidth="27945" windowHeight="12255"/>
  </bookViews>
  <sheets>
    <sheet name="车库装饰工程量清单-综合单价控制价" sheetId="1" r:id="rId1"/>
  </sheets>
  <externalReferences>
    <externalReference r:id="rId2"/>
  </externalReferences>
  <definedNames>
    <definedName name="_xlnm._FilterDatabase" localSheetId="0" hidden="1">'车库装饰工程量清单-综合单价控制价'!$A$3:$W$87</definedName>
    <definedName name="A">EVALUATE(SUBSTITUTE(SUBSTITUTE(#REF!,"[","*ISTEXT(""["),"]","]"")"))</definedName>
    <definedName name="_____ngk1109" localSheetId="0" hidden="1">{#N/A,#N/A,FALSE,"估價單  (3)"}</definedName>
    <definedName name="___ngk1109" localSheetId="0" hidden="1">{#N/A,#N/A,FALSE,"估價單  (3)"}</definedName>
    <definedName name="___________________N81020" localSheetId="0">[1]地梁!#REF!</definedName>
    <definedName name="dw" localSheetId="0">#REF!</definedName>
    <definedName name="_xlnm.Print_Titles" localSheetId="0">'车库装饰工程量清单-综合单价控制价'!$1:$3</definedName>
    <definedName name="_xlnm.Print_Area" localSheetId="0">'车库装饰工程量清单-综合单价控制价'!$A$1:$M$87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<sst xmlns="http://schemas.openxmlformats.org/spreadsheetml/2006/main" count="533" uniqueCount="245">
  <si>
    <t>珠海丹田海德项目装修工程量清单</t>
  </si>
  <si>
    <t>序号</t>
  </si>
  <si>
    <t>项目名称</t>
  </si>
  <si>
    <t>项目特征</t>
  </si>
  <si>
    <t>单价包含工作内容</t>
  </si>
  <si>
    <t>工程量计算规则及依据</t>
  </si>
  <si>
    <t>单位</t>
  </si>
  <si>
    <t>合计工程量</t>
  </si>
  <si>
    <t>不含税基准价</t>
  </si>
  <si>
    <t>下浮率</t>
  </si>
  <si>
    <t>投标报价</t>
  </si>
  <si>
    <t>甲供材</t>
  </si>
  <si>
    <t>备注</t>
  </si>
  <si>
    <t>外报清单综合单价</t>
  </si>
  <si>
    <t>与H列基准价对比</t>
  </si>
  <si>
    <t>综合单价（不含税）</t>
  </si>
  <si>
    <t>不含税报价单价</t>
  </si>
  <si>
    <t>合价（不含税）</t>
  </si>
  <si>
    <t>一</t>
  </si>
  <si>
    <t>坡道装饰</t>
  </si>
  <si>
    <t>墙柱面工程</t>
  </si>
  <si>
    <t>PT-01 涂料</t>
  </si>
  <si>
    <t>1.PT-01 涂料一道;
2.内墙涂料一道;
3.封闭底涂料一道;
4.刮腻子两遍;
5.包含完成该项内容所有工作及费用并满足设计图纸、规范等要求;</t>
  </si>
  <si>
    <t>1.操作平台搭设、清扫、补缝、满刮腻子或嵌补缝腻子、板缝贴自粘胶带、磨砂纸、阴阳角塑料条等全部操作过程。
2.清扫、配料、喷、刷浆成活。
3.门窗洞口等部位的二次收口工作、嵌缝修补，完工清理、成品保护。</t>
  </si>
  <si>
    <t>执行《GB/T50854-2024房屋建筑与装饰工程工程量计算标准》，按设计图示尺寸
以面积计算。</t>
  </si>
  <si>
    <t>m2</t>
  </si>
  <si>
    <t>/</t>
  </si>
  <si>
    <t>差:+17.66元 (+88.3%) 来源:地库</t>
  </si>
  <si>
    <t>PT-02 涂料</t>
  </si>
  <si>
    <t>1.PT-01 涂料一道;
2.内墙涂料一道;
3.封闭底涂料一道;
4.刮腻子两遍;
5.含成品U型收口条
6.包含完成该项内容所有工作及费用并满足设计图纸、规范等要求;</t>
  </si>
  <si>
    <t>差:+14.66元 (+63.7%) 来源:地库</t>
  </si>
  <si>
    <t>PT-05 涂料</t>
  </si>
  <si>
    <t>1.PT-05 涂料(包含PT-01线条);
2.一底两面无机涂料饰面层(颜色以图纸标注为准）;
3.2mm厚无机涂料配套的腻子粉调浆满批并打磨平整;
4.包含完成该项内容所有工作及费用并满足设计图纸、规范等要求;</t>
  </si>
  <si>
    <t>CH-03a 地坪漆踢脚线：H100mm</t>
  </si>
  <si>
    <t>1.CH-03a 地坪漆踢脚线：H100mm;
2.包含完成该项内容所有工作及费用并满足设计图纸、规范等要求;</t>
  </si>
  <si>
    <t>1.施工机械进出场、材料采购、场内外运输、基层处理、测量放线；
2.涂刷环氧底漆、环氧耐磨层打磨处理、环氧腻子层、面漆施工；
3.裂缝处理；
4.完工后垃圾清运至甲方指定地点、冬雨季及暗室施工，降效，配合其他分包施工，地坪平整度检测、附着力测试等检测、成品保护及其他完成该项工作的措施、安全文明施工等。</t>
  </si>
  <si>
    <t>执行《GB/T50854-2024房屋建筑与装饰工程工程量计算标准》，按设计图示尺寸
以中心线长度计算。</t>
  </si>
  <si>
    <t>m</t>
  </si>
  <si>
    <t>差:+5.43元 (+38.2%) 来源:地库</t>
  </si>
  <si>
    <t>CH-03a 地坪漆踢脚线：H50mm</t>
  </si>
  <si>
    <t>1.CH-03a 地坪漆踢脚线：H50mm;
2.包含完成该项内容所有工作及费用并满足设计图纸、规范等要求;</t>
  </si>
  <si>
    <t>差:+4.01元 (+35.8%) 来源:地库</t>
  </si>
  <si>
    <t>MT-02 金属饰面</t>
  </si>
  <si>
    <t>1.MT-02 金属饰面 1.2mm厚拉丝不锈钢（防指纹处理）;
2.10mm玻镁板、50*50*5mm镀锌方通;
3.包含完成该项内容所有工作及费用并满足设计图纸、规范等要求;</t>
  </si>
  <si>
    <t>具体工作内容除详见项目特征外，且不限于以下内容:1.包含材料的下车、场内运输；2.清理基层、找标高、弹线定位、安装预埋件及龙骨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</si>
  <si>
    <t>执行《GB/T50854-2024房屋建筑与装饰工程工程量计算标准》，按设计图示饰面外围尺寸
以面积计算。 扣除门窗洞口面积，不扣除单个面积≤0.3㎡的孔洞所占面积。</t>
  </si>
  <si>
    <t>差:+242.87元 (+56.5%) 来源:地库</t>
  </si>
  <si>
    <t>玻镁板封墙</t>
  </si>
  <si>
    <t>1.玻镁板封墙
2.10mm玻镁板、50*50*5mm镀锌方通;
3.包含完成该项内容所有工作及费用并满足设计图纸、规范等要求;</t>
  </si>
  <si>
    <t>差:+33.07元 (+13.8%) 来源:地库</t>
  </si>
  <si>
    <t>AM-01a 铝格栅</t>
  </si>
  <si>
    <t>1.AM-01a 铝格栅 2.5mm厚;
2.铝格栅规格：30*120*2.5@130mm;
3.阳极氧化处理;
4.按要求做加固处理，含必要的骨架;
5.包含完成该项内容所有工作及费用并满足设计图纸、规范等要求;</t>
  </si>
  <si>
    <t>包含但不限于完成本项工作所需的施工准备、材料采购、卸车倒运（含二次或多次倒运）、材料保管、材料检测、制作安装、人工、机械、管理费、措施费用、洞口开洞及预留、成品保护、竣工清理、安全文明施工、样板间施工等全部费用，同时要负责配合机电点位定位、灯具、空调送回风口、排烟风口、喷淋定位、广播等开洞工作。</t>
  </si>
  <si>
    <t>差:+611.09元 (+177.1%) 来源:地库</t>
  </si>
  <si>
    <t>天花工程</t>
  </si>
  <si>
    <t>玻镁板吊顶（含刷白）</t>
  </si>
  <si>
    <t>1.双层10mm玻镁板刷白(按投影面积计算);
2.50*50*5镀锌方通基层、150*150*10mm镀锌钢板;
3.包含完成该项内容所有工作及费用并满足设计图纸、规范等要求;</t>
  </si>
  <si>
    <t>1.基层清理。
2.弹线定位、排版。
3.吊杆及连接件安装调平、收口及密封处理。
4.材料切割处理找平、石膏板安装及调整，打胶密封与清理.
5.收口及其他处理：检修口等制作安装、收边收口、配合预留安装、机电等专业孔洞及孔洞收口处理。
6.其他：指定地点到工作面的场内运输以及二次倒运、施工垃圾清运到指定地点、成品及半成品保护、场内安全文明施工、脚手架搭设等为完成本项工作内容的所有措施费用。</t>
  </si>
  <si>
    <t>依据经承包人确认的施工部位,按设计图示尺寸以平方米计算。</t>
  </si>
  <si>
    <t>差:+57.81元 (+20.2%) 来源:地库</t>
  </si>
  <si>
    <t>玻镁板吊顶</t>
  </si>
  <si>
    <t>1.双层10mm玻镁板吊顶(按投影面积计算);
2.50*50*5镀锌方通基层;
3.包含完成该项内容所有工作及费用并满足设计图纸、规范等要求;</t>
  </si>
  <si>
    <t>差:+52.56元 (+20.2%) 来源:地库</t>
  </si>
  <si>
    <t>MT-02金属凹槽 100mm宽</t>
  </si>
  <si>
    <t>1.100mm宽金属凹槽 1.2mm厚拉丝不锈钢（防指纹处理）;
2.镀锌方通规格：50*50*5mm;
3.双层10mm玻镁板;
4.展开面：400mm;
5.包含完成该项内容所有工作及费用并满足设计图纸、规范等要求;</t>
  </si>
  <si>
    <t>自现有现场条件下按照合同约定范围、图纸（含设计变更）及甲方要求内容以及规范、标准、相关做法等要求完成并达到总包合同全部目标的全部工作内容。</t>
  </si>
  <si>
    <t>依据经承包人确认的施工部位,按设计图示尺寸以延长米计算。</t>
  </si>
  <si>
    <t>差:+288.06元 (+149.0%) 来源:地库</t>
  </si>
  <si>
    <t>1.MT-02金属饰面 1.2mm厚拉丝不锈钢（防指纹处理）;
2.50*50*5镀锌方通、30*13*3镀锌方通、10mm玻镁板;
3.包含完成该项内容所有工作及费用并满足设计图纸、规范等要求;</t>
  </si>
  <si>
    <t>差:+229.83元 (+38.8%) 来源:地库</t>
  </si>
  <si>
    <t>AM-01a 铝格栅吊顶</t>
  </si>
  <si>
    <t>1.AM-01a 铝格栅吊顶 2.5mm厚
2.包含但不限于钢龙骨;
3.铝格栅专用龙骨，Ø8钢筋吊杆，双向吊点中距900，与角钢焊接;
4.铝格栅规格：30*120*2.5@130mm;
5.阳极氧化处理;
6.包含完成该项内容所有工作及费用并满足设计图纸、规范等要求;</t>
  </si>
  <si>
    <t>差:+485.79元 (+97.8%) 来源:地库</t>
  </si>
  <si>
    <t>AM-01 铝格栅吊顶</t>
  </si>
  <si>
    <t>1.AM-01 铝格栅吊顶 2.0mm厚
2.铝格栅规格：20*30*2.0@60mm;
3.阳极氧化处理;
4.包含完成该项内容所有工作及费用并满足设计图纸、规范等要求;</t>
  </si>
  <si>
    <t>差:+134.86元 (+24.3%) 来源:地库</t>
  </si>
  <si>
    <t>AM-01b 造型铝板</t>
  </si>
  <si>
    <t>1.AM-01b 铝板造型天花 2.0mm厚;
2.50*50*5镀锌方通基层、10mm玻镁板
3.氟碳喷涂处理;
4.按投影面积计算、包含完成该项内容所有工作及费用并满足设计图纸、规范等要求;</t>
  </si>
  <si>
    <t>按设计图示尺寸以水平投影面积计算。不扣除间壁墙、检查口、附墙烟囱、柱垛和管道所占面积,扣除单个&gt;0.3m3的孔洞、非密拼吊顶空隙所占的面积、独立柱及与天棚相连的窗帘盒所占的面积。</t>
  </si>
  <si>
    <t>差:-9.32元 (-1.4%) 来源:地库</t>
  </si>
  <si>
    <t>AM-01b 铝板</t>
  </si>
  <si>
    <t>1.AM-01b 铝板天花 2.0mm厚铝板;
2.50*50*5镀锌方通基层、10mm玻镁板
3.氟碳喷涂处理;
4.按投影面积计算、包含完成该项内容所有工作及费用并满足设计图纸、规范等要求;</t>
  </si>
  <si>
    <t>差:+5.68元 (+0.9%) 来源:地库</t>
  </si>
  <si>
    <t>AM-02 铝板</t>
  </si>
  <si>
    <t>1.AM-02 铝板天花 2.0mm厚;
2.50*50*5镀锌方通基层、10mm玻镁板
3.氟碳喷涂处理;
4.按投影面积计算、包含完成该项内容所有工作及费用并满足设计图纸、规范等要求;</t>
  </si>
  <si>
    <t>UP-01 防火软膜</t>
  </si>
  <si>
    <t>1.UP-01 防火软膜;
2.按投影面积计算;
3.包含完成该项内容所有工作及费用并满足设计图纸、规范等要求;</t>
  </si>
  <si>
    <t>差:+141.15元 (+60.8%) 来源:地库</t>
  </si>
  <si>
    <t>超白磨砂亚克力</t>
  </si>
  <si>
    <t>1.5mm超白磨砂亚克力;
2.包含完成该项内容所有工作及费用并满足设计图纸、规范等要求;</t>
  </si>
  <si>
    <t>差:+43.08元 (+17.2%) 来源:地库</t>
  </si>
  <si>
    <t>PT-01 原顶涂料</t>
  </si>
  <si>
    <t>1.PT-01 原顶涂料
2.一底两面无机涂料饰面层(颜色以图纸标注为准）;
3.2mm厚无机涂料配套的腻子粉调浆满批并打磨平整;
4.包含完成该项内容所有工作及费用并满足设计图纸、规范等要求;</t>
  </si>
  <si>
    <t>包括但不限于材料计划、采购、卸车倒运、保管、检验试验费、测量放线，包含四周阴角找平直、含天棚四周阴角找平直，打磨，简易脚手架搭拆及操作平台、升降机，基层清理、打磨平整、底层找补、满刮涂料（含阴阳角塑料条）、涂料打磨、补遗处理、配合其他分包施工、完工后场清、成品保护、保修等直到达到竣工交付标准的全部工作内容。包括所有为完成工作所需的小型机具；包括所有为完成工作所需的附属工作；包括但不限于以上内容。</t>
  </si>
  <si>
    <t>执行《GB/T50854-2024房屋建筑与装饰工程工程量计算标准》，按设计图示尺寸以面积计算。扣除0.3平方米以上洞口的面积；梁侧面及檐口天棚并入天棚计算；以设计图纸和技术交底为基础</t>
  </si>
  <si>
    <t>1.PT-05 涂料（包含PT-01线条）;
2.一底两面无机涂料饰面层(颜色以图纸标注为准）;
3.2mm厚无机涂料配套的腻子粉调浆满批并打磨平整;
4.包含完成该项内容所有工作及费用并满足设计图纸、规范等要求;</t>
  </si>
  <si>
    <t>AM-02 L型铝板灯槽(450宽)</t>
  </si>
  <si>
    <t>1.L型铝板灯槽 2.0mm厚（展开面：1500mm）;
2.氟碳喷涂处理;
3.双层10mm玻镁板基底;
4.镀锌方通规格：50*50*5mm;
5.包含完成该项内容所有工作及费用并满足设计图纸、规范等要求;</t>
  </si>
  <si>
    <t>差:+96.78元 (+18.0%) 来源:地库</t>
  </si>
  <si>
    <t>AM-02 L型铝板灯槽(650宽)</t>
  </si>
  <si>
    <t>1.L型铝板灯槽 2.0mm厚（展开面：1900mm）;
2.氟碳喷涂处理;
3.双层10mm玻镁板基底;
4.镀锌方通规格：50*50*5mm;
5.包含完成该项内容所有工作及费用并满足设计图纸、规范等要求;</t>
  </si>
  <si>
    <t>差:+92.98元 (+17.2%) 来源:地库</t>
  </si>
  <si>
    <t>AM-02 L型铝板灯槽(850宽)</t>
  </si>
  <si>
    <t>1.L型铝板灯槽 2.0mm厚（展开面：2300mm）;
2.氟碳喷涂处理;
3.双层10mm玻镁板基底;
4.镀锌方通规格：50*50*5mm;
5.包含完成该项内容所有工作及费用并满足设计图纸、规范等要求;</t>
  </si>
  <si>
    <t>差:+41.88元 (+7.1%) 来源:地库</t>
  </si>
  <si>
    <t>AM-02 铝板灯槽</t>
  </si>
  <si>
    <t>1.AM-02 铝板灯槽 2.0mm厚（高250mm*宽80mm）;
2.氟碳喷涂处理;
3.5mm超白亚克力
4.吊件、10mm丝杆、20*40*3镀锌方通、50*50*5镀锌角钢
5.吊件具体高度及距离以现场为准
6.包含完成该项内容所有工作及费用并满足设计图纸、规范等要求;</t>
  </si>
  <si>
    <t>差:-23.94元 (-6.2%) 来源:地库</t>
  </si>
  <si>
    <t>地库装饰</t>
  </si>
  <si>
    <t>PT-07 涂料</t>
  </si>
  <si>
    <t>1.PT-07 涂料一道;
2.内墙涂料一道;
3.封闭底涂料一道;
4.刮腻子两遍;
5.包含完成该项内容所有工作及费用并满足设计图纸、规范等要求;</t>
  </si>
  <si>
    <t>玻镁板墙面</t>
  </si>
  <si>
    <t>1.玻镁板墙面;
2.9mm阻燃夹板+10mm玻镁板;
3.镀锌方通50*50*5mm;
4.包含完成该项内容所有工作及费用并满足设计图纸、规范等要求;</t>
  </si>
  <si>
    <t>ST-04 石材湿贴</t>
  </si>
  <si>
    <t>1.ST-04 石材湿贴 25厚;
2.石材专用胶、双层10mm玻镁板;
3.50*50*5镀锌方通
4.石材六面防水、防污处理、背筋;
5.包含完成该项内容所有工作及费用并满足设计图纸、规范等要求;</t>
  </si>
  <si>
    <t>执行《GB/T50854-2024房屋建筑与装饰工程工程量计算标准》，按设计图示镶贴后外围面积计算</t>
  </si>
  <si>
    <t>差:-6.22元 (-0.8%) 来源:地库</t>
  </si>
  <si>
    <t>ST-04a 石材湿贴</t>
  </si>
  <si>
    <t>1.ST-04a 石材湿贴 25厚（毛面）;
2.石材专用胶、双层10mm玻镁板;
3.50*50*5镀锌方通
4.石材六面防水、防污处理、背筋;
5.包含完成该项内容所有工作及费用并满足设计图纸、规范等要求;</t>
  </si>
  <si>
    <t>差:+138.21元 (+18.9%) 来源:地库</t>
  </si>
  <si>
    <t>ST-04 石材干挂</t>
  </si>
  <si>
    <t>1.ST-04 石材干挂 25厚;
2.不锈钢石材挂件;
3.30*30*3镀锌方通
4.石材六面防水、防污处理、背筋;
5.包含完成该项内容所有工作及费用并满足设计图纸、规范等要求;</t>
  </si>
  <si>
    <t>差:+97.65元 (+13.7%) 来源:地库</t>
  </si>
  <si>
    <t>ST-04a 石材干挂</t>
  </si>
  <si>
    <t>1.ST-04a 石材湿贴 25厚（毛面）;
2.不锈钢石材挂件;
3.30*30*3镀锌方通;
4.石材拉槽、六面防水、防污处理、背筋;
5.包含完成该项内容所有工作及费用并满足设计图纸、规范等要求;</t>
  </si>
  <si>
    <t>差:+247.80元 (+34.8%) 来源:地库</t>
  </si>
  <si>
    <t>CT-03 瓷砖600*600mm</t>
  </si>
  <si>
    <t>1.CT-03 瓷砖600*600mm;
2.瓷砖专用胶;
3.水泥砂浆找平层;
4.包含完成该项内容所有工作及费用并满足设计图纸、规范等要求;</t>
  </si>
  <si>
    <t>具体工作内容除详见项目特征外，且不限于以下内容:1.包含材料的下车、场内运输；2.清理基层、找标高、弹线定位；3.安装墙体内防火、隔声等填充材料，配合预留机电管线设备接口；4.安装面层；5.清理面板，拼缝，刮嵌缝腻子，安装粘结层；6.完工清理及成品保护、配合留设墙面机电预留等末端设备等全部内容；包含开槽、开灯孔、检修口、窗帘盒、脚手架租赁搭设、升降机租赁等工序。</t>
  </si>
  <si>
    <t>差:-29.30元 (-19.9%) 来源:地库</t>
  </si>
  <si>
    <t>MT-02 50宽金属线条（展开面：120mm）</t>
  </si>
  <si>
    <t>1.MT-02 50宽金属线条 1.2mm厚拉丝不锈钢（防指纹处理）
2.展开面：120mm;
3.包含完成该项内容所有工作及费用并满足设计图纸、规范等要求;</t>
  </si>
  <si>
    <t>包含但不限于完成本项工作所需的施工准备、材料采购、卸车倒运（含二次或多次倒运）、材料保管、材料检测、瓷缝剂填缝、制作安装、人工、机械、管理费、措施费用、洞口开洞及预留、成品保护、竣工清理、安全文明施工、样板间施工等全部费用。</t>
  </si>
  <si>
    <t>按设计图示尺寸以中心线长度计算。</t>
  </si>
  <si>
    <t>差:+9.69元 (+12.9%) 来源:地库</t>
  </si>
  <si>
    <t>MT-02 10宽金属线条（展开面：65mm）</t>
  </si>
  <si>
    <t>1.MT-02 10宽金属线条 1.2mm厚拉丝不锈钢（防指纹处理）;
2.展开面：65mm
3.包含完成该项内容所有工作及费用并满足设计图纸、规范等要求;</t>
  </si>
  <si>
    <t>差:+6.65元 (+13.3%) 来源:地库</t>
  </si>
  <si>
    <t>MT-02 瓷砖位金属收口线条（展开面：55mm）</t>
  </si>
  <si>
    <t>1.MT-02 瓷砖位金属收口线条 1.2mm厚拉丝不锈钢（防指纹处理）;
2.展开面：55mm
3.包含完成该项内容所有工作及费用并满足设计图纸、规范等要求;</t>
  </si>
  <si>
    <t>差:-6.45元 (-11.1%) 来源:地库</t>
  </si>
  <si>
    <t>1.MT-02 金属饰面 1.2mm厚拉丝不锈钢（防指纹处理）;
2.30*30*3镀锌方通支架;
3.双层10mm玻镁板基底;
4.包含完成该项内容所有工作及费用并满足设计图纸、规范等要求;</t>
  </si>
  <si>
    <t>MT-01 暗装金属踢脚</t>
  </si>
  <si>
    <t>1.MT-01 暗装金属踢脚 H50mm（展开面：80mm）
2.10mm玻镁板
3.包含完成该项内容所有工作及费用并满足设计图纸、规范等要求;</t>
  </si>
  <si>
    <t>按设计图示尺寸以长度计算。</t>
  </si>
  <si>
    <t>差:+3.45元 (+5.7%) 来源:地库</t>
  </si>
  <si>
    <t>AM-03 铝板造型天花</t>
  </si>
  <si>
    <t>1.AM-03 铝板造型天花 2.5mm厚;
2.50*50*5镀锌方通基层、10mm玻镁板
3.氟碳喷涂处理;
4.按投影面积计算、包含完成该项内容所有工作及费用并满足设计图纸、规范等要求;</t>
  </si>
  <si>
    <t>差:+33.18元 (+5.2%) 来源:地库</t>
  </si>
  <si>
    <t>玻镁板侧板</t>
  </si>
  <si>
    <t>1.双层玻镁板侧板;
2.按投影面积计算、包含完成该项内容所有工作及费用并满足设计图纸、规范等要求;</t>
  </si>
  <si>
    <t>差:+50.98元 (+21.2%) 来源:地库</t>
  </si>
  <si>
    <t>AM-03 铝板天花</t>
  </si>
  <si>
    <t>1.AM-03 铝板天花 2.0mm厚;
2.10mm玻镁板;
3.60系轻钢龙骨、Ø8全螺吊杆;
4.氟碳喷涂处理;
5.按投影面积计算、包含完成该项内容所有工作及费用并满足设计图纸、规范等要求;</t>
  </si>
  <si>
    <t>差:-30.82元 (-4.8%) 来源:地库</t>
  </si>
  <si>
    <t>AM-02 铝板天花（防火卷帘收口）</t>
  </si>
  <si>
    <t>1.AM-02 铝板天花 2.0mm厚（防火卷帘收口）;
2.氟碳喷涂处理;
3.30*30*3镀锌方通、10mm玻镁板;
4.包含完成该项内容所有工作及费用并满足设计图纸、规范等要求;</t>
  </si>
  <si>
    <t>差:-98.02元 (-13.9%) 来源:地库</t>
  </si>
  <si>
    <t>PT-01 原顶涂料（投影面计算）</t>
  </si>
  <si>
    <t>1.PT-01 原顶涂料（投影面计算）;
2.一底两面无机涂料饰面层(颜色以图纸标注为准）;
3.2mm厚无机涂料配套的腻子粉调浆满批并打磨平整;
4.包含完成该项内容所有工作及费用并满足设计图纸、规范等要求;</t>
  </si>
  <si>
    <t>其它工程</t>
  </si>
  <si>
    <t>消防栓暗门：800*2210mm</t>
  </si>
  <si>
    <t>1.消防栓暗门：800*2210mm;
2.10mm玻镁板基底;
3.包含一切安装所需的配件及辅材，不包含涂料;</t>
  </si>
  <si>
    <t>以最终验收合格的工程量计算</t>
  </si>
  <si>
    <t>樘</t>
  </si>
  <si>
    <t>差:+45.37元 (+4.7%) 来源:地库</t>
  </si>
  <si>
    <t>消防栓石材暗门：700*2150mm</t>
  </si>
  <si>
    <t>1.消防栓石材暗门：700*2150mm;
2.大理石石材ST-04/ST-04a干挂;
3.石材加工;
4.包含一切安装所需的配件及辅材;</t>
  </si>
  <si>
    <t>差:+610.67元 (+51.5%) 来源:地库</t>
  </si>
  <si>
    <t>消防栓石材暗门：800*2210mm</t>
  </si>
  <si>
    <t>1.消防栓石材暗门：800*2210mm;
2.大理石石材ST-04/ST-04a干挂;
3.石材加工;
4.包含一切安装所需的配件及辅材;</t>
  </si>
  <si>
    <t>差:+579.18元 (+37.9%) 来源:地库</t>
  </si>
  <si>
    <t>工具间石材暗门：1300*2200mm</t>
  </si>
  <si>
    <t>1.工具间石材暗门：1300*2200mm;
2.大理石石材ST-04/ST-04a干挂;
3.石材加工;
4.包含一切安装所需的配件及辅材;</t>
  </si>
  <si>
    <t>差:+1020.89元 (+42.7%) 来源:地库</t>
  </si>
  <si>
    <t>电井门石材暗门：900*2210mm</t>
  </si>
  <si>
    <t>1.电井门石材暗门：900*2210mm;
2.大理石石材ST-04/ST-04a干挂;
3.石材加工;
4.包含一切安装所需的配件及辅材;</t>
  </si>
  <si>
    <t>差:+717.62元 (+43.4%) 来源:地库</t>
  </si>
  <si>
    <t>电井门石材暗门：1000*2210mm</t>
  </si>
  <si>
    <t>1.电井门石材暗门：1000*2210mm；
2.大理石石材ST-04/ST-04a干挂；
3.石材加工；
4.包含一切安装所需的配件及辅材；</t>
  </si>
  <si>
    <t>差:+751.06元 (+39.8%) 来源:地库</t>
  </si>
  <si>
    <t>双开电井暗门：1300*2210mm</t>
  </si>
  <si>
    <t>1.双开电井暗门：1300*2210mm；
2.10mm玻镁板基底;
3.包含一切安装所需的配件及辅材，不包含涂料；</t>
  </si>
  <si>
    <t>差:-754.18元 (-31.5%) 来源:地库</t>
  </si>
  <si>
    <t>双开电井石材暗门：1300*2210mm</t>
  </si>
  <si>
    <t>1.双开电井石材暗门：1300*2210mm；
2.大理石石材ST-04/ST-04a干挂；
3.石材加工；
4.包含一切安装所需的配件及辅材；</t>
  </si>
  <si>
    <t>差:+1031.39元 (+43.1%) 来源:地库</t>
  </si>
  <si>
    <t>护角：H900mm</t>
  </si>
  <si>
    <t>1.护角：H900mm
2.包含完成该项内容所有工作及费用并满足设计图纸、规范等要求;</t>
  </si>
  <si>
    <t>套</t>
  </si>
  <si>
    <t>差:+18.72元 (+73.4%) 来源:地库</t>
  </si>
  <si>
    <t>防撞杆</t>
  </si>
  <si>
    <t>1.防撞杆
2.MT-02a 金属饰面
3.包含完成该项内容所有工作及费用并满足设计图纸、规范等要求;</t>
  </si>
  <si>
    <t>差:+28.37元 (+24.4%) 来源:地库</t>
  </si>
  <si>
    <t>坡道安装工程</t>
  </si>
  <si>
    <t>LT.1 明装LED线形灯</t>
  </si>
  <si>
    <t>1、名称：明装LED线形灯
2、规格型号：型号：CEB0512B-B/J、色温：4000K、功率：26W、显指：Ra＞90
3、包含完成该项内容所有工作及费用并满足设计图纸、规范等要求;</t>
  </si>
  <si>
    <t>结合施工图纸及施工方案，根据GB/T50856-2024通用安装工程工程量计算规范，以最终验收合格的工程量计算。</t>
  </si>
  <si>
    <t>差:+71.45元 (+81.7%) 来源:地库</t>
  </si>
  <si>
    <t>LT.3b 天花嵌入式射灯</t>
  </si>
  <si>
    <t>1、名称：天花嵌入式射灯
2、规格型号：型号：PAK564151、名称：色温：4000K、功率：20W、显指：Ra＞90
3、包含完成该项内容所有工作及费用并满足设计图纸、规范等要求;</t>
  </si>
  <si>
    <t>差:+99.45元 (+141.1%) 来源:地库</t>
  </si>
  <si>
    <t>T.8 地灯</t>
  </si>
  <si>
    <t>1、名称：地灯
2、规格型号：型号：PAK520036、色温：4000K、功率：3W、显指：Ra＞90
3、包含完成该项内容所有工作及费用并满足设计图纸、规范等要求;</t>
  </si>
  <si>
    <t>差:+68.15元 (+73.3%) 来源:地库</t>
  </si>
  <si>
    <t>地库电气工程</t>
  </si>
  <si>
    <t>差:+58.45元 (+58.2%) 来源:地库</t>
  </si>
  <si>
    <t>LT.2 吊装筒灯（含吊杆）</t>
  </si>
  <si>
    <t>1、名称：吊装筒灯（含吊杆）
2、规格型号：型号：CEAM316-A、色温：4000K、功率：15W、显指：Ra≥90
3、包含完成该项内容所有工作及费用并满足设计图纸、规范等要求;</t>
  </si>
  <si>
    <t>差:-59.05元 (-33.9%) 来源:地库</t>
  </si>
  <si>
    <t>LT.3 轨道射灯</t>
  </si>
  <si>
    <t>1、名称：轨道射灯
2、规格型号：型号：PAK564151、名称：色温：4000K、功率：10W、显指：Ra＞90
3、包含轨道、驱动及完成该项内容所有工作及费用并满足设计图纸、规范等要求;</t>
  </si>
  <si>
    <t>差:+65.75元 (+63.1%) 来源:地库</t>
  </si>
  <si>
    <t>LT.4 嵌入式筒灯</t>
  </si>
  <si>
    <t>1、名称：嵌入式筒灯
2、规格型号：型号：CEJ61075F01 、色温：3000K、功率：9W、光束角：50°
3、包含完成该项内容所有工作及费用并满足设计图纸、规范等要求;</t>
  </si>
  <si>
    <t>差:+56.85元 (+97.8%) 来源:地库</t>
  </si>
  <si>
    <t>LT.6 洗墙灯</t>
  </si>
  <si>
    <t>1、名称：洗墙灯
2、规格型号：、色温：4000K、功率：4W、输入电压：DC24V、光效：85 lm/W
3、包含完成该项内容所有工作及费用并满足设计图纸、规范等要求;</t>
  </si>
  <si>
    <t>差:-28.95元 (-16.4%) 来源:地库</t>
  </si>
  <si>
    <t>LT.7 壁灯</t>
  </si>
  <si>
    <t>1、名称：壁灯
2、规格型号：色温：4000K、功率：7W、显指：Ra＞90
3、包含完成该项内容所有工作及费用并满足设计图纸、规范等要求;</t>
  </si>
  <si>
    <t>差:-72.95元 (-40.0%) 来源:地库</t>
  </si>
  <si>
    <t>T.1 LED软灯带</t>
  </si>
  <si>
    <t>1、名称：LED软灯带
2、规格型号：型号：PAK544189、色温：4000K、功率：3W、光束角：120°
3.其他:含驱动电源、灯具安装
4.包含完成该项内容所有工作及费用并满足设计图纸、规范等要求;</t>
  </si>
  <si>
    <t>差:-12.80元 (-26.7%) 来源:地库</t>
  </si>
  <si>
    <t>T.2 LED硬灯条</t>
  </si>
  <si>
    <t>1、名称：LED硬灯条
2、规格型号：型号：PAK544351、名称：色温：4000K、功率：7.2W、光束角：120°
3.其他:含驱动电源、灯具安装
4.包含完成该项内容所有工作及费用并满足设计图纸、规范等要求;</t>
  </si>
  <si>
    <t>差:-26.25元 (-43.9%) 来源:地库</t>
  </si>
  <si>
    <t>感应开关</t>
  </si>
  <si>
    <t>1、名称：感应开关
2、包含完成该项内容所有工作及费用并满足设计图纸、规范等要求;</t>
  </si>
  <si>
    <t>个</t>
  </si>
  <si>
    <t>差:-10.75元 (-20.7%) 来源:地库</t>
  </si>
  <si>
    <t>五孔单相暗插座</t>
  </si>
  <si>
    <t>1、名称：五孔单相暗插座
2、包含完成该项内容所有工作及费用并满足设计图纸、规范等要求;</t>
  </si>
  <si>
    <t>差:-5.25元 (-17.5%) 来源:地库</t>
  </si>
  <si>
    <t>地库给排水工程</t>
  </si>
  <si>
    <t>洗手盆及龙头</t>
  </si>
  <si>
    <t>1、名称：洗手盆及龙头
2、洗手盆、龙头安装，包括角阀、不锈钢软管、下水管等所需材料
3、规格型号：洗手盆：和成：LF3530S/LF616K、龙头：和成：AF6013H、角阀：和成：FE0014
4、包含完成该项内容所有工作及费用并满足设计图纸、规范等要求;</t>
  </si>
  <si>
    <t>差:+223.80元 (+21.7%) 来源:地库</t>
  </si>
  <si>
    <t>地漏</t>
  </si>
  <si>
    <t>1、名称：地漏
2、规格型号：和成：BA30086
3、包含完成该项内容所有工作及费用并满足设计图纸、规范等要求;</t>
  </si>
  <si>
    <t>差:+22.35元 (+33.2%) 来源:地库</t>
  </si>
  <si>
    <t>不含税合计</t>
  </si>
  <si>
    <t>税金9%</t>
  </si>
  <si>
    <t>含税合计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</si>
</sst>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3" formatCode="\$#,##0_);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#,##0.00_ "/>
    <numFmt numFmtId="178" formatCode="0.00_ "/>
  </numFmts>
  <fonts count="28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theme="1"/>
      <name val="宋体"/>
      <charset val="134"/>
    </font>
    <font>
      <b/>
      <sz val="10"/>
      <name val="宋体"/>
      <charset val="134"/>
    </font>
    <font>
      <b/>
      <sz val="14"/>
      <color rgb="FFFF0000"/>
      <name val="宋体"/>
      <charset val="134"/>
    </font>
    <font>
      <b/>
      <sz val="10"/>
      <color rgb="FFFF0000"/>
      <name val="宋体"/>
      <charset val="134"/>
    </font>
    <font>
      <sz val="10"/>
      <name val="宋体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2" borderId="6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7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6" fillId="0" borderId="0">
      <alignment vertical="center"/>
    </xf>
    <xf numFmtId="0" fontId="17" fillId="3" borderId="9">
      <alignment vertical="center"/>
    </xf>
    <xf numFmtId="0" fontId="18" fillId="4" borderId="10">
      <alignment vertical="center"/>
    </xf>
    <xf numFmtId="0" fontId="19" fillId="4" borderId="9">
      <alignment vertical="center"/>
    </xf>
    <xf numFmtId="0" fontId="20" fillId="5" borderId="11">
      <alignment vertical="center"/>
    </xf>
    <xf numFmtId="0" fontId="21" fillId="0" borderId="12">
      <alignment vertical="center"/>
    </xf>
    <xf numFmtId="0" fontId="22" fillId="0" borderId="13">
      <alignment vertical="center"/>
    </xf>
    <xf numFmtId="0" fontId="23" fillId="6" borderId="0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7" fillId="11" borderId="0">
      <alignment vertical="center"/>
    </xf>
    <xf numFmtId="0" fontId="26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</cellStyleXfs>
  <cellXfs count="5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right" vertical="center" wrapText="1"/>
    </xf>
    <xf numFmtId="177" fontId="1" fillId="0" borderId="0" xfId="0" applyNumberFormat="1" applyFont="1" applyAlignment="1">
      <alignment horizontal="right" vertical="center" wrapText="1"/>
    </xf>
    <xf numFmtId="177" fontId="1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78" fontId="6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49" fontId="4" fillId="0" borderId="1" xfId="0" applyNumberFormat="1" applyFont="1" applyBorder="1" applyAlignment="1">
      <alignment horizontal="center" vertical="center" wrapText="1"/>
    </xf>
    <xf numFmtId="178" fontId="2" fillId="0" borderId="0" xfId="0" applyNumberFormat="1" applyFont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0" fontId="2" fillId="0" borderId="4" xfId="3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23" fontId="1" fillId="0" borderId="1" xfId="0" applyNumberFormat="1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right" vertical="center" wrapText="1"/>
    </xf>
    <xf numFmtId="0" fontId="0" fillId="0" borderId="5" xfId="0" applyBorder="1"/>
    <xf numFmtId="178" fontId="1" fillId="0" borderId="1" xfId="0" applyNumberFormat="1" applyFont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vertical="center" wrapText="1"/>
    </xf>
    <xf numFmtId="178" fontId="3" fillId="0" borderId="1" xfId="0" applyNumberFormat="1" applyFont="1" applyBorder="1" applyAlignment="1">
      <alignment horizontal="right" vertical="center" wrapText="1"/>
    </xf>
    <xf numFmtId="178" fontId="1" fillId="0" borderId="0" xfId="0" applyNumberFormat="1" applyFont="1"/>
    <xf numFmtId="0" fontId="2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176" fontId="3" fillId="0" borderId="4" xfId="0" applyNumberFormat="1" applyFont="1" applyBorder="1" applyAlignment="1">
      <alignment vertical="center" wrapText="1"/>
    </xf>
    <xf numFmtId="178" fontId="3" fillId="0" borderId="4" xfId="0" applyNumberFormat="1" applyFont="1" applyBorder="1" applyAlignment="1">
      <alignment horizontal="right" vertical="center" wrapText="1"/>
    </xf>
    <xf numFmtId="178" fontId="1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178" fontId="1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right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var\mobile\Containers\Data\Application\D753FB2C-B1E0-412A-8FD6-CBBA790881A2\Documents\WpsQingCache_\204093671\o\LOCAL-F50BC614-E946-4D5D-A2E9-1EA9E1A6E1E5\n\C:\&#22478;&#24066;&#20844;&#21496;\&#25307;&#26631;&#25511;&#21046;&#20215;\&#23792;&#23578;&#19977;&#26399;&#20027;&#20307;\&#23792;&#23578;&#19977;&#26399;&#25511;&#21046;&#20215;\&#25511;&#21046;&#20215;&#25253;&#32929;&#20221;\&#22686;&#20540;&#31246;&#27169;&#24335;\&#29664;&#28023;&#20844;&#21496;\&#21313;&#23383;&#38376;&#22269;&#38469;&#31038;&#21306;\&#20998;&#39033;&#24037;&#31243;\&#20027;&#20307;\&#32511;&#27915;&#28286;\0&#12289;&#21326;&#21457;&#32511;&#27915;&#28286;&#20027;&#20307;&#24314;&#23433;&#24037;&#31243;&#25307;&#26631;&#25511;&#21046;&#20215;2015.08.07&#65288;&#26681;&#25454;&#20844;&#21496;&#39046;&#23548;&#35201;&#27714;&#22312;20150728&#29256;&#26412;&#30340;&#22522;&#30784;&#19978;+3%25&#65289;\&#21508;&#24037;&#31243;&#25991;&#26723;\&#21335;&#28023;&#31048;&#31119;&#21335;&#28286;&#21322;&#23707;\&#27915;&#27004;\A12b&#23627;&#22411;\A12b&#23627;&#22411;&#32467;&#26500;&#24037;&#31243;&#37327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备注"/>
      <sheetName val="管桩"/>
      <sheetName val="承台基础"/>
      <sheetName val="地梁"/>
      <sheetName val="异柱"/>
      <sheetName val="矩柱"/>
      <sheetName val="构造柱"/>
      <sheetName val="电梯井壁"/>
      <sheetName val="直梁"/>
      <sheetName val="圈梁"/>
      <sheetName val="楼板"/>
      <sheetName val="挑檐"/>
      <sheetName val="栏板"/>
      <sheetName val="空调板"/>
      <sheetName val="雨篷"/>
      <sheetName val="梯板"/>
      <sheetName val="门窗表"/>
      <sheetName val="骨浆计算式(备)"/>
      <sheetName val="计算式明细"/>
      <sheetName val="墙面工程"/>
      <sheetName val="PUR资料库"/>
      <sheetName val="#REF!"/>
      <sheetName val="sum(Flooring )"/>
      <sheetName val="汇总表"/>
      <sheetName val="工程量表"/>
      <sheetName val="2清单编制说明"/>
      <sheetName val="底板"/>
      <sheetName val="单位库"/>
      <sheetName val="清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/>
    <pageSetUpPr fitToPage="1"/>
  </sheetPr>
  <dimension ref="A1:AA112"/>
  <sheetViews>
    <sheetView tabSelected="1" view="pageBreakPreview" zoomScaleNormal="100" workbookViewId="0">
      <pane ySplit="3" topLeftCell="A4" activePane="bottomLeft" state="frozen"/>
      <selection/>
      <selection pane="bottomLeft" activeCell="K7" sqref="K7"/>
    </sheetView>
  </sheetViews>
  <sheetFormatPr defaultColWidth="9.64166666666667" defaultRowHeight="12"/>
  <cols>
    <col min="1" max="1" width="6.98333333333333" style="5" customWidth="1"/>
    <col min="2" max="2" width="16.75" style="6" customWidth="1"/>
    <col min="3" max="3" width="28.125" style="5" customWidth="1"/>
    <col min="4" max="4" width="30.875" style="5" hidden="1" customWidth="1"/>
    <col min="5" max="5" width="27.625" style="5" hidden="1" customWidth="1"/>
    <col min="6" max="6" width="6.09166666666667" style="5" customWidth="1"/>
    <col min="7" max="7" width="12.375" style="7" customWidth="1"/>
    <col min="8" max="10" width="12.8166666666667" style="7" customWidth="1"/>
    <col min="11" max="11" width="16.2333333333333" style="8" customWidth="1"/>
    <col min="12" max="12" width="9.375" style="9" customWidth="1"/>
    <col min="13" max="13" width="8.75" style="10" customWidth="1"/>
    <col min="14" max="14" width="7.375" style="11" customWidth="1"/>
    <col min="15" max="15" width="9" style="12" customWidth="1"/>
    <col min="16" max="16" width="14.375" style="12" customWidth="1"/>
    <col min="17" max="17" width="10" style="12" customWidth="1"/>
    <col min="18" max="18" width="10" style="13" customWidth="1"/>
    <col min="19" max="19" width="10.5416666666667" style="13" customWidth="1"/>
    <col min="20" max="26" width="10" style="13" customWidth="1"/>
    <col min="27" max="27" width="10" style="14" customWidth="1"/>
    <col min="28" max="14635" width="10" style="1" customWidth="1"/>
    <col min="14636" max="16384" width="9.64166666666667" style="1" customWidth="1"/>
  </cols>
  <sheetData>
    <row r="1" s="1" customFormat="1" ht="44" customHeight="1" spans="1:27">
      <c r="A1" s="15" t="s">
        <v>0</v>
      </c>
      <c r="N1" s="16"/>
      <c r="O1" s="12"/>
      <c r="P1" s="12"/>
      <c r="Q1" s="12"/>
      <c r="R1" s="13"/>
      <c r="S1" s="13"/>
      <c r="T1" s="13"/>
      <c r="U1" s="13"/>
      <c r="V1" s="13"/>
      <c r="W1" s="13"/>
      <c r="X1" s="13"/>
      <c r="Y1" s="13"/>
      <c r="Z1" s="13"/>
      <c r="AA1" s="14"/>
    </row>
    <row r="2" s="1" customFormat="1" ht="44" customHeight="1" spans="1:27">
      <c r="A2" s="17" t="s">
        <v>1</v>
      </c>
      <c r="B2" s="17" t="s">
        <v>2</v>
      </c>
      <c r="C2" s="17" t="s">
        <v>3</v>
      </c>
      <c r="D2" s="17" t="s">
        <v>4</v>
      </c>
      <c r="E2" s="17" t="s">
        <v>5</v>
      </c>
      <c r="F2" s="17" t="s">
        <v>6</v>
      </c>
      <c r="G2" s="18" t="s">
        <v>7</v>
      </c>
      <c r="H2" s="19" t="s">
        <v>8</v>
      </c>
      <c r="I2" s="19" t="s">
        <v>9</v>
      </c>
      <c r="J2" s="19" t="s">
        <v>10</v>
      </c>
      <c r="K2" s="20"/>
      <c r="L2" s="17" t="s">
        <v>11</v>
      </c>
      <c r="M2" s="17" t="s">
        <v>12</v>
      </c>
      <c r="N2" s="16"/>
      <c r="O2" s="12" t="s">
        <v>13</v>
      </c>
      <c r="P2" s="12" t="s">
        <v>14</v>
      </c>
      <c r="Q2" s="12"/>
      <c r="R2" s="13"/>
      <c r="S2" s="13"/>
      <c r="T2" s="13"/>
      <c r="U2" s="13"/>
      <c r="V2" s="13"/>
      <c r="W2" s="13"/>
      <c r="X2" s="13"/>
      <c r="Y2" s="13"/>
      <c r="Z2" s="13"/>
      <c r="AA2" s="14"/>
    </row>
    <row r="3" s="2" customFormat="1" ht="41" customHeight="1" spans="1:27">
      <c r="A3" s="21"/>
      <c r="B3" s="21"/>
      <c r="C3" s="21"/>
      <c r="D3" s="21"/>
      <c r="E3" s="21"/>
      <c r="F3" s="21"/>
      <c r="G3" s="21"/>
      <c r="H3" s="22" t="s">
        <v>15</v>
      </c>
      <c r="I3" s="21"/>
      <c r="J3" s="22" t="s">
        <v>16</v>
      </c>
      <c r="K3" s="17" t="s">
        <v>17</v>
      </c>
      <c r="L3" s="21"/>
      <c r="M3" s="21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 s="2" customFormat="1" spans="1:27">
      <c r="A4" s="17" t="s">
        <v>18</v>
      </c>
      <c r="B4" s="17" t="s">
        <v>19</v>
      </c>
      <c r="C4" s="17"/>
      <c r="D4" s="17"/>
      <c r="E4" s="17"/>
      <c r="F4" s="17"/>
      <c r="G4" s="24"/>
      <c r="H4" s="24"/>
      <c r="I4" s="25">
        <v>0</v>
      </c>
      <c r="J4" s="24"/>
      <c r="K4" s="26"/>
      <c r="L4" s="27"/>
      <c r="M4" s="17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 s="3" customFormat="1" outlineLevel="1" spans="1:27">
      <c r="A5" s="28"/>
      <c r="B5" s="28" t="s">
        <v>20</v>
      </c>
      <c r="C5" s="29"/>
      <c r="D5" s="29"/>
      <c r="E5" s="29"/>
      <c r="F5" s="30"/>
      <c r="G5" s="31"/>
      <c r="H5" s="26"/>
      <c r="I5" s="32"/>
      <c r="J5" s="26"/>
      <c r="K5" s="26"/>
      <c r="L5" s="27"/>
      <c r="M5" s="33"/>
      <c r="N5" s="13"/>
      <c r="O5" s="34"/>
      <c r="P5" s="34"/>
      <c r="Q5" s="34"/>
      <c r="R5" s="35"/>
      <c r="S5" s="35"/>
      <c r="T5" s="35"/>
      <c r="U5" s="35"/>
      <c r="V5" s="35"/>
      <c r="W5" s="35"/>
      <c r="X5" s="35"/>
      <c r="Y5" s="35"/>
      <c r="Z5" s="35"/>
      <c r="AA5" s="36"/>
    </row>
    <row r="6" s="3" customFormat="1" ht="72" customHeight="1" outlineLevel="2" spans="1:27">
      <c r="A6" s="28">
        <v>1</v>
      </c>
      <c r="B6" s="37" t="s">
        <v>21</v>
      </c>
      <c r="C6" s="38" t="s">
        <v>22</v>
      </c>
      <c r="D6" s="38" t="s">
        <v>23</v>
      </c>
      <c r="E6" s="38" t="s">
        <v>24</v>
      </c>
      <c r="F6" s="37" t="s">
        <v>25</v>
      </c>
      <c r="G6" s="39">
        <v>404.39</v>
      </c>
      <c r="H6" s="40">
        <v>20</v>
      </c>
      <c r="I6" s="32"/>
      <c r="J6" s="40">
        <f t="shared" ref="J6:J13" si="0">H6*(1-$I$4)</f>
        <v>20</v>
      </c>
      <c r="K6" s="26">
        <f t="shared" ref="K6:K13" si="1">G6*J6</f>
        <v>8087.8</v>
      </c>
      <c r="L6" s="27" t="s">
        <v>26</v>
      </c>
      <c r="M6" s="33"/>
      <c r="N6" s="12"/>
      <c r="O6" s="34">
        <v>37.6585</v>
      </c>
      <c r="P6" s="34" t="s">
        <v>27</v>
      </c>
      <c r="Q6" s="34"/>
      <c r="R6" s="35"/>
      <c r="S6" s="35"/>
      <c r="T6" s="35"/>
      <c r="U6" s="35"/>
      <c r="V6" s="35"/>
      <c r="W6" s="35"/>
      <c r="X6" s="35"/>
      <c r="Y6" s="35"/>
      <c r="Z6" s="35"/>
      <c r="AA6" s="36"/>
    </row>
    <row r="7" s="4" customFormat="1" ht="84" customHeight="1" outlineLevel="2" spans="1:27">
      <c r="A7" s="28">
        <f t="shared" ref="A7:A13" si="2">A6+1</f>
        <v>2</v>
      </c>
      <c r="B7" s="37" t="s">
        <v>28</v>
      </c>
      <c r="C7" s="38" t="s">
        <v>29</v>
      </c>
      <c r="D7" s="38" t="s">
        <v>23</v>
      </c>
      <c r="E7" s="38" t="s">
        <v>24</v>
      </c>
      <c r="F7" s="37" t="s">
        <v>25</v>
      </c>
      <c r="G7" s="39">
        <v>1120.88</v>
      </c>
      <c r="H7" s="40">
        <v>23</v>
      </c>
      <c r="I7" s="32"/>
      <c r="J7" s="40">
        <f t="shared" si="0"/>
        <v>23</v>
      </c>
      <c r="K7" s="26">
        <f t="shared" si="1"/>
        <v>25780.24</v>
      </c>
      <c r="L7" s="27" t="s">
        <v>26</v>
      </c>
      <c r="M7" s="33"/>
      <c r="N7" s="12"/>
      <c r="O7" s="34">
        <v>37.6585</v>
      </c>
      <c r="P7" s="12" t="s">
        <v>30</v>
      </c>
      <c r="Q7" s="34"/>
      <c r="R7" s="13"/>
      <c r="S7" s="35"/>
      <c r="T7" s="35"/>
      <c r="U7" s="35"/>
      <c r="V7" s="13"/>
      <c r="W7" s="35"/>
      <c r="X7" s="13"/>
      <c r="Y7" s="13"/>
      <c r="Z7" s="13"/>
      <c r="AA7" s="41"/>
    </row>
    <row r="8" s="4" customFormat="1" ht="84" customHeight="1" outlineLevel="2" spans="1:27">
      <c r="A8" s="28">
        <f t="shared" si="2"/>
        <v>3</v>
      </c>
      <c r="B8" s="37" t="s">
        <v>31</v>
      </c>
      <c r="C8" s="38" t="s">
        <v>32</v>
      </c>
      <c r="D8" s="38" t="s">
        <v>23</v>
      </c>
      <c r="E8" s="38" t="s">
        <v>24</v>
      </c>
      <c r="F8" s="37" t="s">
        <v>25</v>
      </c>
      <c r="G8" s="39">
        <v>277.82</v>
      </c>
      <c r="H8" s="40">
        <v>20</v>
      </c>
      <c r="I8" s="32"/>
      <c r="J8" s="40">
        <f t="shared" si="0"/>
        <v>20</v>
      </c>
      <c r="K8" s="26">
        <f t="shared" si="1"/>
        <v>5556.4</v>
      </c>
      <c r="L8" s="27" t="s">
        <v>26</v>
      </c>
      <c r="M8" s="33"/>
      <c r="N8" s="12"/>
      <c r="O8" s="34">
        <v>37.6585</v>
      </c>
      <c r="P8" s="12" t="s">
        <v>27</v>
      </c>
      <c r="Q8" s="34"/>
      <c r="R8" s="13"/>
      <c r="S8" s="35"/>
      <c r="T8" s="35"/>
      <c r="U8" s="35"/>
      <c r="V8" s="13"/>
      <c r="W8" s="35"/>
      <c r="X8" s="13"/>
      <c r="Y8" s="13"/>
      <c r="Z8" s="13"/>
      <c r="AA8" s="41"/>
    </row>
    <row r="9" s="4" customFormat="1" ht="108" customHeight="1" outlineLevel="2" spans="1:27">
      <c r="A9" s="28">
        <f t="shared" si="2"/>
        <v>4</v>
      </c>
      <c r="B9" s="37" t="s">
        <v>33</v>
      </c>
      <c r="C9" s="38" t="s">
        <v>34</v>
      </c>
      <c r="D9" s="38" t="s">
        <v>35</v>
      </c>
      <c r="E9" s="38" t="s">
        <v>36</v>
      </c>
      <c r="F9" s="37" t="s">
        <v>37</v>
      </c>
      <c r="G9" s="39">
        <v>11.18</v>
      </c>
      <c r="H9" s="40">
        <v>14.2</v>
      </c>
      <c r="I9" s="32"/>
      <c r="J9" s="40">
        <f t="shared" si="0"/>
        <v>14.2</v>
      </c>
      <c r="K9" s="26">
        <f t="shared" si="1"/>
        <v>158.756</v>
      </c>
      <c r="L9" s="27" t="s">
        <v>26</v>
      </c>
      <c r="M9" s="33"/>
      <c r="N9" s="12"/>
      <c r="O9" s="34">
        <v>19.6295</v>
      </c>
      <c r="P9" s="12" t="s">
        <v>38</v>
      </c>
      <c r="Q9" s="34"/>
      <c r="R9" s="13"/>
      <c r="S9" s="35"/>
      <c r="T9" s="35"/>
      <c r="U9" s="35"/>
      <c r="V9" s="13"/>
      <c r="W9" s="35"/>
      <c r="X9" s="13"/>
      <c r="Y9" s="13"/>
      <c r="Z9" s="13"/>
      <c r="AA9" s="41"/>
    </row>
    <row r="10" s="4" customFormat="1" ht="108" customHeight="1" outlineLevel="2" spans="1:27">
      <c r="A10" s="28">
        <f t="shared" si="2"/>
        <v>5</v>
      </c>
      <c r="B10" s="37" t="s">
        <v>39</v>
      </c>
      <c r="C10" s="38" t="s">
        <v>40</v>
      </c>
      <c r="D10" s="38" t="s">
        <v>35</v>
      </c>
      <c r="E10" s="38" t="s">
        <v>36</v>
      </c>
      <c r="F10" s="37" t="s">
        <v>37</v>
      </c>
      <c r="G10" s="39">
        <v>369.95</v>
      </c>
      <c r="H10" s="40">
        <v>11.2</v>
      </c>
      <c r="I10" s="32"/>
      <c r="J10" s="40">
        <f t="shared" si="0"/>
        <v>11.2</v>
      </c>
      <c r="K10" s="26">
        <f t="shared" si="1"/>
        <v>4143.44</v>
      </c>
      <c r="L10" s="27" t="s">
        <v>26</v>
      </c>
      <c r="M10" s="33"/>
      <c r="N10" s="12"/>
      <c r="O10" s="34">
        <v>15.2075</v>
      </c>
      <c r="P10" s="12" t="s">
        <v>41</v>
      </c>
      <c r="Q10" s="34"/>
      <c r="R10" s="13"/>
      <c r="S10" s="35"/>
      <c r="T10" s="35"/>
      <c r="U10" s="35"/>
      <c r="V10" s="13"/>
      <c r="W10" s="35"/>
      <c r="X10" s="13"/>
      <c r="Y10" s="13"/>
      <c r="Z10" s="13"/>
      <c r="AA10" s="41"/>
    </row>
    <row r="11" s="4" customFormat="1" ht="120" customHeight="1" outlineLevel="2" spans="1:27">
      <c r="A11" s="28">
        <f t="shared" si="2"/>
        <v>6</v>
      </c>
      <c r="B11" s="37" t="s">
        <v>42</v>
      </c>
      <c r="C11" s="38" t="s">
        <v>43</v>
      </c>
      <c r="D11" s="38" t="s">
        <v>44</v>
      </c>
      <c r="E11" s="38" t="s">
        <v>45</v>
      </c>
      <c r="F11" s="37" t="s">
        <v>25</v>
      </c>
      <c r="G11" s="39">
        <v>29.83</v>
      </c>
      <c r="H11" s="40">
        <v>430</v>
      </c>
      <c r="I11" s="32"/>
      <c r="J11" s="40">
        <f t="shared" si="0"/>
        <v>430</v>
      </c>
      <c r="K11" s="26">
        <f t="shared" si="1"/>
        <v>12826.9</v>
      </c>
      <c r="L11" s="27" t="s">
        <v>26</v>
      </c>
      <c r="M11" s="33"/>
      <c r="N11" s="12"/>
      <c r="O11" s="34">
        <v>672.87</v>
      </c>
      <c r="P11" s="12" t="s">
        <v>46</v>
      </c>
      <c r="Q11" s="34"/>
      <c r="R11" s="13"/>
      <c r="S11" s="35"/>
      <c r="T11" s="35"/>
      <c r="U11" s="35"/>
      <c r="V11" s="13"/>
      <c r="W11" s="35"/>
      <c r="X11" s="13"/>
      <c r="Y11" s="13"/>
      <c r="Z11" s="13"/>
      <c r="AA11" s="41"/>
    </row>
    <row r="12" s="4" customFormat="1" ht="120" customHeight="1" outlineLevel="2" spans="1:27">
      <c r="A12" s="28">
        <f t="shared" si="2"/>
        <v>7</v>
      </c>
      <c r="B12" s="37" t="s">
        <v>47</v>
      </c>
      <c r="C12" s="38" t="s">
        <v>48</v>
      </c>
      <c r="D12" s="38" t="s">
        <v>44</v>
      </c>
      <c r="E12" s="38" t="s">
        <v>45</v>
      </c>
      <c r="F12" s="37" t="s">
        <v>25</v>
      </c>
      <c r="G12" s="39">
        <v>129.11</v>
      </c>
      <c r="H12" s="40">
        <v>240</v>
      </c>
      <c r="I12" s="32"/>
      <c r="J12" s="40">
        <f t="shared" si="0"/>
        <v>240</v>
      </c>
      <c r="K12" s="26">
        <f t="shared" si="1"/>
        <v>30986.4</v>
      </c>
      <c r="L12" s="27" t="s">
        <v>26</v>
      </c>
      <c r="M12" s="33"/>
      <c r="N12" s="12"/>
      <c r="O12" s="34">
        <v>273.075</v>
      </c>
      <c r="P12" s="12" t="s">
        <v>49</v>
      </c>
      <c r="Q12" s="34"/>
      <c r="R12" s="13"/>
      <c r="S12" s="35"/>
      <c r="T12" s="35"/>
      <c r="U12" s="35"/>
      <c r="V12" s="13"/>
      <c r="W12" s="35"/>
      <c r="X12" s="13"/>
      <c r="Y12" s="13"/>
      <c r="Z12" s="13"/>
      <c r="AA12" s="41"/>
    </row>
    <row r="13" s="4" customFormat="1" ht="96" customHeight="1" outlineLevel="2" spans="1:27">
      <c r="A13" s="28">
        <f t="shared" si="2"/>
        <v>8</v>
      </c>
      <c r="B13" s="37" t="s">
        <v>50</v>
      </c>
      <c r="C13" s="38" t="s">
        <v>51</v>
      </c>
      <c r="D13" s="38" t="s">
        <v>52</v>
      </c>
      <c r="E13" s="38" t="s">
        <v>45</v>
      </c>
      <c r="F13" s="37" t="s">
        <v>25</v>
      </c>
      <c r="G13" s="39">
        <v>95.1</v>
      </c>
      <c r="H13" s="40">
        <v>345</v>
      </c>
      <c r="I13" s="32"/>
      <c r="J13" s="40">
        <f t="shared" si="0"/>
        <v>345</v>
      </c>
      <c r="K13" s="26">
        <f t="shared" si="1"/>
        <v>32809.5</v>
      </c>
      <c r="L13" s="27" t="s">
        <v>26</v>
      </c>
      <c r="M13" s="33"/>
      <c r="N13" s="12"/>
      <c r="O13" s="34">
        <v>956.087</v>
      </c>
      <c r="P13" s="12" t="s">
        <v>53</v>
      </c>
      <c r="Q13" s="34"/>
      <c r="R13" s="13"/>
      <c r="S13" s="35"/>
      <c r="T13" s="35"/>
      <c r="U13" s="35"/>
      <c r="V13" s="13"/>
      <c r="W13" s="35"/>
      <c r="X13" s="13"/>
      <c r="Y13" s="13"/>
      <c r="Z13" s="13"/>
      <c r="AA13" s="41"/>
    </row>
    <row r="14" s="3" customFormat="1" outlineLevel="1" spans="1:27">
      <c r="A14" s="28"/>
      <c r="B14" s="37" t="s">
        <v>54</v>
      </c>
      <c r="C14" s="38"/>
      <c r="D14" s="38"/>
      <c r="E14" s="38"/>
      <c r="F14" s="37"/>
      <c r="G14" s="39"/>
      <c r="H14" s="40"/>
      <c r="I14" s="32"/>
      <c r="J14" s="40"/>
      <c r="K14" s="26"/>
      <c r="L14" s="27"/>
      <c r="M14" s="33"/>
      <c r="N14" s="13"/>
      <c r="O14" s="34"/>
      <c r="P14" s="34"/>
      <c r="Q14" s="34"/>
      <c r="R14" s="35"/>
      <c r="S14" s="35"/>
      <c r="T14" s="35"/>
      <c r="U14" s="35"/>
      <c r="V14" s="35"/>
      <c r="W14" s="35"/>
      <c r="X14" s="35"/>
      <c r="Y14" s="35"/>
      <c r="Z14" s="35"/>
      <c r="AA14" s="36"/>
    </row>
    <row r="15" s="3" customFormat="1" ht="144" customHeight="1" outlineLevel="2" spans="1:27">
      <c r="A15" s="28">
        <v>1</v>
      </c>
      <c r="B15" s="37" t="s">
        <v>55</v>
      </c>
      <c r="C15" s="38" t="s">
        <v>56</v>
      </c>
      <c r="D15" s="38" t="s">
        <v>57</v>
      </c>
      <c r="E15" s="38" t="s">
        <v>58</v>
      </c>
      <c r="F15" s="37" t="s">
        <v>25</v>
      </c>
      <c r="G15" s="39">
        <v>24.92</v>
      </c>
      <c r="H15" s="40">
        <v>285.7</v>
      </c>
      <c r="I15" s="32"/>
      <c r="J15" s="40">
        <f t="shared" ref="J15:J31" si="3">H15*(1-$I$4)</f>
        <v>285.7</v>
      </c>
      <c r="K15" s="26">
        <f t="shared" ref="K15:K31" si="4">G15*J15</f>
        <v>7119.644</v>
      </c>
      <c r="L15" s="27" t="s">
        <v>26</v>
      </c>
      <c r="M15" s="33"/>
      <c r="N15" s="12"/>
      <c r="O15" s="34">
        <v>343.508</v>
      </c>
      <c r="P15" s="34" t="s">
        <v>59</v>
      </c>
      <c r="Q15" s="34"/>
      <c r="R15" s="35"/>
      <c r="S15" s="35"/>
      <c r="T15" s="35"/>
      <c r="U15" s="35"/>
      <c r="V15" s="35"/>
      <c r="W15" s="35"/>
      <c r="X15" s="35"/>
      <c r="Y15" s="35"/>
      <c r="Z15" s="35"/>
      <c r="AA15" s="36"/>
    </row>
    <row r="16" s="3" customFormat="1" ht="144" customHeight="1" outlineLevel="2" spans="1:27">
      <c r="A16" s="28">
        <f t="shared" ref="A16:A31" si="5">A15+1</f>
        <v>2</v>
      </c>
      <c r="B16" s="37" t="s">
        <v>60</v>
      </c>
      <c r="C16" s="38" t="s">
        <v>61</v>
      </c>
      <c r="D16" s="38" t="s">
        <v>57</v>
      </c>
      <c r="E16" s="38" t="s">
        <v>58</v>
      </c>
      <c r="F16" s="37" t="s">
        <v>25</v>
      </c>
      <c r="G16" s="39">
        <v>6.83</v>
      </c>
      <c r="H16" s="40">
        <v>260.7</v>
      </c>
      <c r="I16" s="32"/>
      <c r="J16" s="40">
        <f t="shared" si="3"/>
        <v>260.7</v>
      </c>
      <c r="K16" s="26">
        <f t="shared" si="4"/>
        <v>1780.581</v>
      </c>
      <c r="L16" s="27" t="s">
        <v>26</v>
      </c>
      <c r="M16" s="33"/>
      <c r="N16" s="12"/>
      <c r="O16" s="34">
        <v>313.258</v>
      </c>
      <c r="P16" s="34" t="s">
        <v>62</v>
      </c>
      <c r="Q16" s="34"/>
      <c r="R16" s="35"/>
      <c r="S16" s="35"/>
      <c r="T16" s="35"/>
      <c r="U16" s="35"/>
      <c r="V16" s="35"/>
      <c r="W16" s="35"/>
      <c r="X16" s="35"/>
      <c r="Y16" s="35"/>
      <c r="Z16" s="35"/>
      <c r="AA16" s="36"/>
    </row>
    <row r="17" s="4" customFormat="1" ht="84" customHeight="1" outlineLevel="2" spans="1:27">
      <c r="A17" s="28">
        <f t="shared" si="5"/>
        <v>3</v>
      </c>
      <c r="B17" s="37" t="s">
        <v>63</v>
      </c>
      <c r="C17" s="38" t="s">
        <v>64</v>
      </c>
      <c r="D17" s="38" t="s">
        <v>65</v>
      </c>
      <c r="E17" s="38" t="s">
        <v>66</v>
      </c>
      <c r="F17" s="37" t="s">
        <v>37</v>
      </c>
      <c r="G17" s="39">
        <v>12.57</v>
      </c>
      <c r="H17" s="40">
        <v>193.3</v>
      </c>
      <c r="I17" s="32"/>
      <c r="J17" s="40">
        <f t="shared" si="3"/>
        <v>193.3</v>
      </c>
      <c r="K17" s="26">
        <f t="shared" si="4"/>
        <v>2429.781</v>
      </c>
      <c r="L17" s="27" t="s">
        <v>26</v>
      </c>
      <c r="M17" s="33"/>
      <c r="N17" s="12"/>
      <c r="O17" s="34">
        <v>481.3567</v>
      </c>
      <c r="P17" s="12" t="s">
        <v>67</v>
      </c>
      <c r="Q17" s="34"/>
      <c r="R17" s="13"/>
      <c r="S17" s="35"/>
      <c r="T17" s="35"/>
      <c r="U17" s="35"/>
      <c r="V17" s="13"/>
      <c r="W17" s="35"/>
      <c r="X17" s="13"/>
      <c r="Y17" s="13"/>
      <c r="Z17" s="13"/>
      <c r="AA17" s="41"/>
    </row>
    <row r="18" s="4" customFormat="1" ht="144" customHeight="1" outlineLevel="2" spans="1:27">
      <c r="A18" s="28">
        <f t="shared" si="5"/>
        <v>4</v>
      </c>
      <c r="B18" s="37" t="s">
        <v>42</v>
      </c>
      <c r="C18" s="38" t="s">
        <v>68</v>
      </c>
      <c r="D18" s="38" t="s">
        <v>57</v>
      </c>
      <c r="E18" s="38" t="s">
        <v>58</v>
      </c>
      <c r="F18" s="37" t="s">
        <v>25</v>
      </c>
      <c r="G18" s="39">
        <v>53.51</v>
      </c>
      <c r="H18" s="40">
        <v>593</v>
      </c>
      <c r="I18" s="32"/>
      <c r="J18" s="40">
        <f t="shared" si="3"/>
        <v>593</v>
      </c>
      <c r="K18" s="26">
        <f t="shared" si="4"/>
        <v>31731.43</v>
      </c>
      <c r="L18" s="27" t="s">
        <v>26</v>
      </c>
      <c r="M18" s="33"/>
      <c r="N18" s="12"/>
      <c r="O18" s="34">
        <v>822.8275</v>
      </c>
      <c r="P18" s="12" t="s">
        <v>69</v>
      </c>
      <c r="Q18" s="34"/>
      <c r="R18" s="13"/>
      <c r="S18" s="35"/>
      <c r="T18" s="35"/>
      <c r="U18" s="35"/>
      <c r="V18" s="13"/>
      <c r="W18" s="35"/>
      <c r="X18" s="13"/>
      <c r="Y18" s="13"/>
      <c r="Z18" s="13"/>
      <c r="AA18" s="41"/>
    </row>
    <row r="19" s="4" customFormat="1" ht="144" customHeight="1" outlineLevel="2" spans="1:27">
      <c r="A19" s="28">
        <f t="shared" si="5"/>
        <v>5</v>
      </c>
      <c r="B19" s="37" t="s">
        <v>70</v>
      </c>
      <c r="C19" s="38" t="s">
        <v>71</v>
      </c>
      <c r="D19" s="38" t="s">
        <v>57</v>
      </c>
      <c r="E19" s="38" t="s">
        <v>58</v>
      </c>
      <c r="F19" s="37" t="s">
        <v>25</v>
      </c>
      <c r="G19" s="39">
        <v>24.92</v>
      </c>
      <c r="H19" s="40">
        <v>496.7</v>
      </c>
      <c r="I19" s="32"/>
      <c r="J19" s="40">
        <f t="shared" si="3"/>
        <v>496.7</v>
      </c>
      <c r="K19" s="26">
        <f t="shared" si="4"/>
        <v>12377.764</v>
      </c>
      <c r="L19" s="27" t="s">
        <v>26</v>
      </c>
      <c r="M19" s="33"/>
      <c r="N19" s="13"/>
      <c r="O19" s="34">
        <v>982.487</v>
      </c>
      <c r="P19" s="12" t="s">
        <v>72</v>
      </c>
      <c r="Q19" s="34"/>
      <c r="R19" s="13"/>
      <c r="S19" s="35"/>
      <c r="T19" s="35"/>
      <c r="U19" s="35"/>
      <c r="V19" s="13"/>
      <c r="W19" s="35"/>
      <c r="X19" s="13"/>
      <c r="Y19" s="13"/>
      <c r="Z19" s="13"/>
      <c r="AA19" s="41"/>
    </row>
    <row r="20" s="4" customFormat="1" ht="144" customHeight="1" outlineLevel="2" spans="1:27">
      <c r="A20" s="28">
        <f t="shared" si="5"/>
        <v>6</v>
      </c>
      <c r="B20" s="37" t="s">
        <v>73</v>
      </c>
      <c r="C20" s="38" t="s">
        <v>74</v>
      </c>
      <c r="D20" s="38" t="s">
        <v>57</v>
      </c>
      <c r="E20" s="38" t="s">
        <v>58</v>
      </c>
      <c r="F20" s="37" t="s">
        <v>25</v>
      </c>
      <c r="G20" s="39">
        <v>47.11</v>
      </c>
      <c r="H20" s="40">
        <v>555.7</v>
      </c>
      <c r="I20" s="32"/>
      <c r="J20" s="40">
        <f t="shared" si="3"/>
        <v>555.7</v>
      </c>
      <c r="K20" s="26">
        <f t="shared" si="4"/>
        <v>26179.027</v>
      </c>
      <c r="L20" s="27" t="s">
        <v>26</v>
      </c>
      <c r="M20" s="33"/>
      <c r="N20" s="13"/>
      <c r="O20" s="34">
        <v>690.558</v>
      </c>
      <c r="P20" s="12" t="s">
        <v>75</v>
      </c>
      <c r="Q20" s="34"/>
      <c r="R20" s="13"/>
      <c r="S20" s="35"/>
      <c r="T20" s="35"/>
      <c r="U20" s="35"/>
      <c r="V20" s="13"/>
      <c r="W20" s="35"/>
      <c r="X20" s="13"/>
      <c r="Y20" s="13"/>
      <c r="Z20" s="13"/>
      <c r="AA20" s="41"/>
    </row>
    <row r="21" s="4" customFormat="1" ht="144" customHeight="1" outlineLevel="2" spans="1:27">
      <c r="A21" s="28">
        <f t="shared" si="5"/>
        <v>7</v>
      </c>
      <c r="B21" s="37" t="s">
        <v>76</v>
      </c>
      <c r="C21" s="38" t="s">
        <v>77</v>
      </c>
      <c r="D21" s="38" t="s">
        <v>57</v>
      </c>
      <c r="E21" s="38" t="s">
        <v>78</v>
      </c>
      <c r="F21" s="37" t="s">
        <v>25</v>
      </c>
      <c r="G21" s="39">
        <v>3.08</v>
      </c>
      <c r="H21" s="40">
        <v>643</v>
      </c>
      <c r="I21" s="32"/>
      <c r="J21" s="40">
        <f t="shared" si="3"/>
        <v>643</v>
      </c>
      <c r="K21" s="26">
        <f t="shared" si="4"/>
        <v>1980.44</v>
      </c>
      <c r="L21" s="27" t="s">
        <v>26</v>
      </c>
      <c r="M21" s="33"/>
      <c r="N21" s="13"/>
      <c r="O21" s="34">
        <v>633.6825</v>
      </c>
      <c r="P21" s="12" t="s">
        <v>79</v>
      </c>
      <c r="Q21" s="34"/>
      <c r="R21" s="13"/>
      <c r="S21" s="35"/>
      <c r="T21" s="35"/>
      <c r="U21" s="35"/>
      <c r="V21" s="13"/>
      <c r="W21" s="35"/>
      <c r="X21" s="13"/>
      <c r="Y21" s="13"/>
      <c r="Z21" s="13"/>
      <c r="AA21" s="41"/>
    </row>
    <row r="22" s="4" customFormat="1" ht="144" customHeight="1" outlineLevel="2" spans="1:27">
      <c r="A22" s="28">
        <f t="shared" si="5"/>
        <v>8</v>
      </c>
      <c r="B22" s="37" t="s">
        <v>80</v>
      </c>
      <c r="C22" s="38" t="s">
        <v>81</v>
      </c>
      <c r="D22" s="38" t="s">
        <v>57</v>
      </c>
      <c r="E22" s="38" t="s">
        <v>78</v>
      </c>
      <c r="F22" s="37" t="s">
        <v>25</v>
      </c>
      <c r="G22" s="39">
        <v>27.75</v>
      </c>
      <c r="H22" s="40">
        <v>628</v>
      </c>
      <c r="I22" s="32"/>
      <c r="J22" s="40">
        <f t="shared" si="3"/>
        <v>628</v>
      </c>
      <c r="K22" s="26">
        <f t="shared" si="4"/>
        <v>17427</v>
      </c>
      <c r="L22" s="27" t="s">
        <v>26</v>
      </c>
      <c r="M22" s="33"/>
      <c r="N22" s="13"/>
      <c r="O22" s="34">
        <v>633.6825</v>
      </c>
      <c r="P22" s="12" t="s">
        <v>82</v>
      </c>
      <c r="Q22" s="34"/>
      <c r="R22" s="13"/>
      <c r="S22" s="35"/>
      <c r="T22" s="35"/>
      <c r="U22" s="35"/>
      <c r="V22" s="13"/>
      <c r="W22" s="35"/>
      <c r="X22" s="13"/>
      <c r="Y22" s="13"/>
      <c r="Z22" s="13"/>
      <c r="AA22" s="41"/>
    </row>
    <row r="23" s="4" customFormat="1" ht="144" customHeight="1" outlineLevel="2" spans="1:27">
      <c r="A23" s="28">
        <f t="shared" si="5"/>
        <v>9</v>
      </c>
      <c r="B23" s="37" t="s">
        <v>83</v>
      </c>
      <c r="C23" s="38" t="s">
        <v>84</v>
      </c>
      <c r="D23" s="38" t="s">
        <v>57</v>
      </c>
      <c r="E23" s="38" t="s">
        <v>78</v>
      </c>
      <c r="F23" s="37" t="s">
        <v>25</v>
      </c>
      <c r="G23" s="39">
        <v>0.89</v>
      </c>
      <c r="H23" s="40">
        <v>628</v>
      </c>
      <c r="I23" s="32"/>
      <c r="J23" s="40">
        <f t="shared" si="3"/>
        <v>628</v>
      </c>
      <c r="K23" s="26">
        <f t="shared" si="4"/>
        <v>558.92</v>
      </c>
      <c r="L23" s="27" t="s">
        <v>26</v>
      </c>
      <c r="M23" s="33"/>
      <c r="N23" s="13"/>
      <c r="O23" s="34">
        <v>633.6825</v>
      </c>
      <c r="P23" s="12" t="s">
        <v>82</v>
      </c>
      <c r="Q23" s="34"/>
      <c r="R23" s="13"/>
      <c r="S23" s="35"/>
      <c r="T23" s="35"/>
      <c r="U23" s="35"/>
      <c r="V23" s="13"/>
      <c r="W23" s="35"/>
      <c r="X23" s="13"/>
      <c r="Y23" s="13"/>
      <c r="Z23" s="13"/>
      <c r="AA23" s="41"/>
    </row>
    <row r="24" s="4" customFormat="1" ht="48" customHeight="1" outlineLevel="2" spans="1:27">
      <c r="A24" s="28">
        <f t="shared" si="5"/>
        <v>10</v>
      </c>
      <c r="B24" s="37" t="s">
        <v>85</v>
      </c>
      <c r="C24" s="38" t="s">
        <v>86</v>
      </c>
      <c r="D24" s="38" t="s">
        <v>65</v>
      </c>
      <c r="E24" s="38" t="s">
        <v>58</v>
      </c>
      <c r="F24" s="37" t="s">
        <v>25</v>
      </c>
      <c r="G24" s="39">
        <v>45.45</v>
      </c>
      <c r="H24" s="40">
        <v>232.3</v>
      </c>
      <c r="I24" s="32"/>
      <c r="J24" s="40">
        <f t="shared" si="3"/>
        <v>232.3</v>
      </c>
      <c r="K24" s="26">
        <f t="shared" si="4"/>
        <v>10558.035</v>
      </c>
      <c r="L24" s="27" t="s">
        <v>26</v>
      </c>
      <c r="M24" s="33"/>
      <c r="N24" s="13"/>
      <c r="O24" s="34">
        <v>373.45</v>
      </c>
      <c r="P24" s="12" t="s">
        <v>87</v>
      </c>
      <c r="Q24" s="34"/>
      <c r="R24" s="13"/>
      <c r="S24" s="35"/>
      <c r="T24" s="35"/>
      <c r="U24" s="35"/>
      <c r="V24" s="13"/>
      <c r="W24" s="35"/>
      <c r="X24" s="13"/>
      <c r="Y24" s="13"/>
      <c r="Z24" s="13"/>
      <c r="AA24" s="41"/>
    </row>
    <row r="25" s="4" customFormat="1" ht="48" customHeight="1" outlineLevel="2" spans="1:27">
      <c r="A25" s="28">
        <f t="shared" si="5"/>
        <v>11</v>
      </c>
      <c r="B25" s="37" t="s">
        <v>88</v>
      </c>
      <c r="C25" s="38" t="s">
        <v>89</v>
      </c>
      <c r="D25" s="38" t="s">
        <v>65</v>
      </c>
      <c r="E25" s="38" t="s">
        <v>58</v>
      </c>
      <c r="F25" s="37" t="s">
        <v>25</v>
      </c>
      <c r="G25" s="39">
        <v>2.1</v>
      </c>
      <c r="H25" s="40">
        <v>251</v>
      </c>
      <c r="I25" s="32"/>
      <c r="J25" s="40">
        <f t="shared" si="3"/>
        <v>251</v>
      </c>
      <c r="K25" s="26">
        <f t="shared" si="4"/>
        <v>527.1</v>
      </c>
      <c r="L25" s="27" t="s">
        <v>26</v>
      </c>
      <c r="M25" s="33"/>
      <c r="N25" s="13"/>
      <c r="O25" s="34">
        <v>294.085</v>
      </c>
      <c r="P25" s="12" t="s">
        <v>90</v>
      </c>
      <c r="Q25" s="34"/>
      <c r="R25" s="13"/>
      <c r="S25" s="35"/>
      <c r="T25" s="35"/>
      <c r="U25" s="35"/>
      <c r="V25" s="13"/>
      <c r="W25" s="35"/>
      <c r="X25" s="13"/>
      <c r="Y25" s="13"/>
      <c r="Z25" s="13"/>
      <c r="AA25" s="41"/>
    </row>
    <row r="26" s="4" customFormat="1" ht="120" customHeight="1" outlineLevel="2" spans="1:27">
      <c r="A26" s="28">
        <f t="shared" si="5"/>
        <v>12</v>
      </c>
      <c r="B26" s="37" t="s">
        <v>91</v>
      </c>
      <c r="C26" s="38" t="s">
        <v>92</v>
      </c>
      <c r="D26" s="38" t="s">
        <v>93</v>
      </c>
      <c r="E26" s="38" t="s">
        <v>94</v>
      </c>
      <c r="F26" s="37" t="s">
        <v>25</v>
      </c>
      <c r="G26" s="39">
        <v>1076.68</v>
      </c>
      <c r="H26" s="40">
        <v>20</v>
      </c>
      <c r="I26" s="32"/>
      <c r="J26" s="40">
        <f t="shared" si="3"/>
        <v>20</v>
      </c>
      <c r="K26" s="26">
        <f t="shared" si="4"/>
        <v>21533.6</v>
      </c>
      <c r="L26" s="27" t="s">
        <v>26</v>
      </c>
      <c r="M26" s="33"/>
      <c r="N26" s="12"/>
      <c r="O26" s="34">
        <v>37.6585</v>
      </c>
      <c r="P26" s="12" t="s">
        <v>27</v>
      </c>
      <c r="Q26" s="34"/>
      <c r="R26" s="13"/>
      <c r="S26" s="35"/>
      <c r="T26" s="35"/>
      <c r="U26" s="35"/>
      <c r="V26" s="13"/>
      <c r="W26" s="35"/>
      <c r="X26" s="13"/>
      <c r="Y26" s="13"/>
      <c r="Z26" s="13"/>
      <c r="AA26" s="41"/>
    </row>
    <row r="27" s="4" customFormat="1" ht="120" customHeight="1" outlineLevel="2" spans="1:27">
      <c r="A27" s="28">
        <f t="shared" si="5"/>
        <v>13</v>
      </c>
      <c r="B27" s="37" t="s">
        <v>31</v>
      </c>
      <c r="C27" s="38" t="s">
        <v>95</v>
      </c>
      <c r="D27" s="38" t="s">
        <v>93</v>
      </c>
      <c r="E27" s="38" t="s">
        <v>94</v>
      </c>
      <c r="F27" s="37" t="s">
        <v>25</v>
      </c>
      <c r="G27" s="39">
        <v>2.94</v>
      </c>
      <c r="H27" s="40">
        <v>23</v>
      </c>
      <c r="I27" s="32"/>
      <c r="J27" s="40">
        <f t="shared" si="3"/>
        <v>23</v>
      </c>
      <c r="K27" s="26">
        <f t="shared" si="4"/>
        <v>67.62</v>
      </c>
      <c r="L27" s="27" t="s">
        <v>26</v>
      </c>
      <c r="M27" s="33"/>
      <c r="N27" s="12"/>
      <c r="O27" s="34">
        <v>37.6585</v>
      </c>
      <c r="P27" s="12" t="s">
        <v>30</v>
      </c>
      <c r="Q27" s="34"/>
      <c r="R27" s="13"/>
      <c r="S27" s="35"/>
      <c r="T27" s="35"/>
      <c r="U27" s="35"/>
      <c r="V27" s="13"/>
      <c r="W27" s="35"/>
      <c r="X27" s="13"/>
      <c r="Y27" s="13"/>
      <c r="Z27" s="13"/>
      <c r="AA27" s="41"/>
    </row>
    <row r="28" s="4" customFormat="1" ht="72" customHeight="1" outlineLevel="2" spans="1:27">
      <c r="A28" s="28">
        <f t="shared" si="5"/>
        <v>14</v>
      </c>
      <c r="B28" s="37" t="s">
        <v>96</v>
      </c>
      <c r="C28" s="38" t="s">
        <v>97</v>
      </c>
      <c r="D28" s="38" t="s">
        <v>65</v>
      </c>
      <c r="E28" s="38" t="s">
        <v>58</v>
      </c>
      <c r="F28" s="37" t="s">
        <v>25</v>
      </c>
      <c r="G28" s="39">
        <v>38.86</v>
      </c>
      <c r="H28" s="40">
        <v>536.9</v>
      </c>
      <c r="I28" s="32"/>
      <c r="J28" s="40">
        <f t="shared" si="3"/>
        <v>536.9</v>
      </c>
      <c r="K28" s="26">
        <f t="shared" si="4"/>
        <v>20863.934</v>
      </c>
      <c r="L28" s="27" t="s">
        <v>26</v>
      </c>
      <c r="M28" s="33"/>
      <c r="N28" s="13"/>
      <c r="O28" s="34">
        <v>633.6825</v>
      </c>
      <c r="P28" s="12" t="s">
        <v>98</v>
      </c>
      <c r="Q28" s="34"/>
      <c r="R28" s="13"/>
      <c r="S28" s="35"/>
      <c r="T28" s="35"/>
      <c r="U28" s="35"/>
      <c r="V28" s="13"/>
      <c r="W28" s="35"/>
      <c r="X28" s="13"/>
      <c r="Y28" s="13"/>
      <c r="Z28" s="13"/>
      <c r="AA28" s="41"/>
    </row>
    <row r="29" s="4" customFormat="1" ht="72" customHeight="1" outlineLevel="2" spans="1:27">
      <c r="A29" s="28">
        <f t="shared" si="5"/>
        <v>15</v>
      </c>
      <c r="B29" s="37" t="s">
        <v>99</v>
      </c>
      <c r="C29" s="38" t="s">
        <v>100</v>
      </c>
      <c r="D29" s="38" t="s">
        <v>65</v>
      </c>
      <c r="E29" s="38" t="s">
        <v>58</v>
      </c>
      <c r="F29" s="37" t="s">
        <v>25</v>
      </c>
      <c r="G29" s="39">
        <v>4.46</v>
      </c>
      <c r="H29" s="40">
        <v>540.7</v>
      </c>
      <c r="I29" s="32"/>
      <c r="J29" s="40">
        <f t="shared" si="3"/>
        <v>540.7</v>
      </c>
      <c r="K29" s="26">
        <f t="shared" si="4"/>
        <v>2411.522</v>
      </c>
      <c r="L29" s="27" t="s">
        <v>26</v>
      </c>
      <c r="M29" s="33"/>
      <c r="N29" s="13"/>
      <c r="O29" s="34">
        <v>633.6825</v>
      </c>
      <c r="P29" s="12" t="s">
        <v>101</v>
      </c>
      <c r="Q29" s="34"/>
      <c r="R29" s="13"/>
      <c r="S29" s="35"/>
      <c r="T29" s="35"/>
      <c r="U29" s="35"/>
      <c r="V29" s="13"/>
      <c r="W29" s="35"/>
      <c r="X29" s="13"/>
      <c r="Y29" s="13"/>
      <c r="Z29" s="13"/>
      <c r="AA29" s="41"/>
    </row>
    <row r="30" s="4" customFormat="1" ht="72" customHeight="1" outlineLevel="2" spans="1:27">
      <c r="A30" s="28">
        <f t="shared" si="5"/>
        <v>16</v>
      </c>
      <c r="B30" s="37" t="s">
        <v>102</v>
      </c>
      <c r="C30" s="38" t="s">
        <v>103</v>
      </c>
      <c r="D30" s="38" t="s">
        <v>65</v>
      </c>
      <c r="E30" s="38" t="s">
        <v>58</v>
      </c>
      <c r="F30" s="37" t="s">
        <v>25</v>
      </c>
      <c r="G30" s="39">
        <v>5.84</v>
      </c>
      <c r="H30" s="40">
        <v>591.8</v>
      </c>
      <c r="I30" s="32"/>
      <c r="J30" s="40">
        <f t="shared" si="3"/>
        <v>591.8</v>
      </c>
      <c r="K30" s="26">
        <f t="shared" si="4"/>
        <v>3456.112</v>
      </c>
      <c r="L30" s="27" t="s">
        <v>26</v>
      </c>
      <c r="M30" s="33"/>
      <c r="N30" s="13"/>
      <c r="O30" s="34">
        <v>633.6825</v>
      </c>
      <c r="P30" s="12" t="s">
        <v>104</v>
      </c>
      <c r="Q30" s="34"/>
      <c r="R30" s="13"/>
      <c r="S30" s="35"/>
      <c r="T30" s="35"/>
      <c r="U30" s="35"/>
      <c r="V30" s="13"/>
      <c r="W30" s="35"/>
      <c r="X30" s="13"/>
      <c r="Y30" s="13"/>
      <c r="Z30" s="13"/>
      <c r="AA30" s="41"/>
    </row>
    <row r="31" s="4" customFormat="1" ht="108" customHeight="1" outlineLevel="2" spans="1:27">
      <c r="A31" s="28">
        <f t="shared" si="5"/>
        <v>17</v>
      </c>
      <c r="B31" s="37" t="s">
        <v>105</v>
      </c>
      <c r="C31" s="38" t="s">
        <v>106</v>
      </c>
      <c r="D31" s="38" t="s">
        <v>65</v>
      </c>
      <c r="E31" s="38" t="s">
        <v>66</v>
      </c>
      <c r="F31" s="37" t="s">
        <v>37</v>
      </c>
      <c r="G31" s="39">
        <v>273.18</v>
      </c>
      <c r="H31" s="40">
        <v>387</v>
      </c>
      <c r="I31" s="32"/>
      <c r="J31" s="40">
        <f t="shared" si="3"/>
        <v>387</v>
      </c>
      <c r="K31" s="26">
        <f t="shared" si="4"/>
        <v>105720.66</v>
      </c>
      <c r="L31" s="27" t="s">
        <v>26</v>
      </c>
      <c r="M31" s="33"/>
      <c r="N31" s="13"/>
      <c r="O31" s="34">
        <v>363.06325</v>
      </c>
      <c r="P31" s="12" t="s">
        <v>107</v>
      </c>
      <c r="Q31" s="34"/>
      <c r="R31" s="13"/>
      <c r="S31" s="35"/>
      <c r="T31" s="35"/>
      <c r="U31" s="35"/>
      <c r="V31" s="13"/>
      <c r="W31" s="35"/>
      <c r="X31" s="13"/>
      <c r="Y31" s="13"/>
      <c r="Z31" s="13"/>
      <c r="AA31" s="41"/>
    </row>
    <row r="32" s="2" customFormat="1" spans="1:27">
      <c r="A32" s="17" t="s">
        <v>18</v>
      </c>
      <c r="B32" s="17" t="s">
        <v>108</v>
      </c>
      <c r="C32" s="38"/>
      <c r="D32" s="38"/>
      <c r="E32" s="38"/>
      <c r="F32" s="37"/>
      <c r="G32" s="39"/>
      <c r="H32" s="40"/>
      <c r="I32" s="32"/>
      <c r="J32" s="40"/>
      <c r="K32" s="26"/>
      <c r="L32" s="27"/>
      <c r="M32" s="33"/>
      <c r="N32" s="23"/>
      <c r="O32" s="34"/>
      <c r="P32" s="23"/>
      <c r="Q32" s="34"/>
      <c r="R32" s="23"/>
      <c r="S32" s="35"/>
      <c r="T32" s="35"/>
      <c r="U32" s="35"/>
      <c r="V32" s="23"/>
      <c r="W32" s="35"/>
      <c r="X32" s="23"/>
      <c r="Y32" s="23"/>
      <c r="Z32" s="23"/>
      <c r="AA32" s="23"/>
    </row>
    <row r="33" s="3" customFormat="1" outlineLevel="1" spans="1:27">
      <c r="A33" s="28"/>
      <c r="B33" s="37" t="s">
        <v>20</v>
      </c>
      <c r="C33" s="38"/>
      <c r="D33" s="38"/>
      <c r="E33" s="38"/>
      <c r="F33" s="37"/>
      <c r="G33" s="39"/>
      <c r="H33" s="40"/>
      <c r="I33" s="32"/>
      <c r="J33" s="40"/>
      <c r="K33" s="26"/>
      <c r="L33" s="27"/>
      <c r="M33" s="33"/>
      <c r="N33" s="13"/>
      <c r="O33" s="34"/>
      <c r="P33" s="34"/>
      <c r="Q33" s="34"/>
      <c r="R33" s="35"/>
      <c r="S33" s="35"/>
      <c r="T33" s="35"/>
      <c r="U33" s="35"/>
      <c r="V33" s="35"/>
      <c r="W33" s="35"/>
      <c r="X33" s="35"/>
      <c r="Y33" s="35"/>
      <c r="Z33" s="35"/>
      <c r="AA33" s="36"/>
    </row>
    <row r="34" s="3" customFormat="1" ht="72" customHeight="1" outlineLevel="2" spans="1:27">
      <c r="A34" s="28">
        <v>1</v>
      </c>
      <c r="B34" s="37" t="s">
        <v>21</v>
      </c>
      <c r="C34" s="38" t="s">
        <v>22</v>
      </c>
      <c r="D34" s="38" t="s">
        <v>23</v>
      </c>
      <c r="E34" s="38" t="s">
        <v>24</v>
      </c>
      <c r="F34" s="37" t="s">
        <v>25</v>
      </c>
      <c r="G34" s="39">
        <v>2409.04</v>
      </c>
      <c r="H34" s="40">
        <v>20</v>
      </c>
      <c r="I34" s="32"/>
      <c r="J34" s="40">
        <f t="shared" ref="J34:J48" si="6">H34*(1-$I$4)</f>
        <v>20</v>
      </c>
      <c r="K34" s="26">
        <f t="shared" ref="K34:K48" si="7">G34*J34</f>
        <v>48180.8</v>
      </c>
      <c r="L34" s="27" t="s">
        <v>26</v>
      </c>
      <c r="M34" s="33"/>
      <c r="N34" s="12"/>
      <c r="O34" s="34">
        <v>37.6585</v>
      </c>
      <c r="P34" s="34" t="s">
        <v>27</v>
      </c>
      <c r="Q34" s="34"/>
      <c r="R34" s="35"/>
      <c r="S34" s="35"/>
      <c r="T34" s="35"/>
      <c r="U34" s="35"/>
      <c r="V34" s="35"/>
      <c r="W34" s="35"/>
      <c r="X34" s="35"/>
      <c r="Y34" s="35"/>
      <c r="Z34" s="35"/>
      <c r="AA34" s="36"/>
    </row>
    <row r="35" s="4" customFormat="1" ht="84" customHeight="1" outlineLevel="2" spans="1:27">
      <c r="A35" s="28">
        <f>A34+1</f>
        <v>2</v>
      </c>
      <c r="B35" s="37" t="s">
        <v>28</v>
      </c>
      <c r="C35" s="38" t="s">
        <v>29</v>
      </c>
      <c r="D35" s="38" t="s">
        <v>23</v>
      </c>
      <c r="E35" s="38" t="s">
        <v>24</v>
      </c>
      <c r="F35" s="37" t="s">
        <v>25</v>
      </c>
      <c r="G35" s="39">
        <v>5902.18</v>
      </c>
      <c r="H35" s="40">
        <v>23</v>
      </c>
      <c r="I35" s="32"/>
      <c r="J35" s="40">
        <f t="shared" si="6"/>
        <v>23</v>
      </c>
      <c r="K35" s="26">
        <f t="shared" si="7"/>
        <v>135750.14</v>
      </c>
      <c r="L35" s="27" t="s">
        <v>26</v>
      </c>
      <c r="M35" s="33"/>
      <c r="N35" s="12"/>
      <c r="O35" s="34">
        <v>37.6585</v>
      </c>
      <c r="P35" s="12" t="s">
        <v>30</v>
      </c>
      <c r="Q35" s="34"/>
      <c r="R35" s="13"/>
      <c r="S35" s="35"/>
      <c r="T35" s="35"/>
      <c r="U35" s="35"/>
      <c r="V35" s="13"/>
      <c r="W35" s="35"/>
      <c r="X35" s="13"/>
      <c r="Y35" s="13"/>
      <c r="Z35" s="13"/>
      <c r="AA35" s="41"/>
    </row>
    <row r="36" s="4" customFormat="1" ht="72" customHeight="1" outlineLevel="2" spans="1:27">
      <c r="A36" s="28">
        <f>A35+1</f>
        <v>3</v>
      </c>
      <c r="B36" s="37" t="s">
        <v>109</v>
      </c>
      <c r="C36" s="38" t="s">
        <v>110</v>
      </c>
      <c r="D36" s="38" t="s">
        <v>23</v>
      </c>
      <c r="E36" s="38" t="s">
        <v>24</v>
      </c>
      <c r="F36" s="37" t="s">
        <v>25</v>
      </c>
      <c r="G36" s="39">
        <v>120.96</v>
      </c>
      <c r="H36" s="40">
        <v>23</v>
      </c>
      <c r="I36" s="32"/>
      <c r="J36" s="40">
        <f t="shared" si="6"/>
        <v>23</v>
      </c>
      <c r="K36" s="26">
        <f t="shared" si="7"/>
        <v>2782.08</v>
      </c>
      <c r="L36" s="27" t="s">
        <v>26</v>
      </c>
      <c r="M36" s="33"/>
      <c r="N36" s="12"/>
      <c r="O36" s="34">
        <v>37.6585</v>
      </c>
      <c r="P36" s="12" t="s">
        <v>30</v>
      </c>
      <c r="Q36" s="34"/>
      <c r="R36" s="13"/>
      <c r="S36" s="35"/>
      <c r="T36" s="35"/>
      <c r="U36" s="35"/>
      <c r="V36" s="13"/>
      <c r="W36" s="35"/>
      <c r="X36" s="13"/>
      <c r="Y36" s="13"/>
      <c r="Z36" s="13"/>
      <c r="AA36" s="41"/>
    </row>
    <row r="37" s="4" customFormat="1" ht="120" customHeight="1" outlineLevel="2" spans="1:27">
      <c r="A37" s="28">
        <f>A35+1</f>
        <v>3</v>
      </c>
      <c r="B37" s="37" t="s">
        <v>111</v>
      </c>
      <c r="C37" s="38" t="s">
        <v>112</v>
      </c>
      <c r="D37" s="38" t="s">
        <v>44</v>
      </c>
      <c r="E37" s="38" t="s">
        <v>45</v>
      </c>
      <c r="F37" s="37" t="s">
        <v>25</v>
      </c>
      <c r="G37" s="39">
        <v>89.13</v>
      </c>
      <c r="H37" s="40">
        <v>240</v>
      </c>
      <c r="I37" s="32"/>
      <c r="J37" s="40">
        <f t="shared" si="6"/>
        <v>240</v>
      </c>
      <c r="K37" s="26">
        <f t="shared" si="7"/>
        <v>21391.2</v>
      </c>
      <c r="L37" s="27" t="s">
        <v>26</v>
      </c>
      <c r="M37" s="33"/>
      <c r="N37" s="12"/>
      <c r="O37" s="34">
        <v>273.075</v>
      </c>
      <c r="P37" s="12" t="s">
        <v>49</v>
      </c>
      <c r="Q37" s="34"/>
      <c r="R37" s="13"/>
      <c r="S37" s="35"/>
      <c r="T37" s="35"/>
      <c r="U37" s="35"/>
      <c r="V37" s="13"/>
      <c r="W37" s="35"/>
      <c r="X37" s="13"/>
      <c r="Y37" s="13"/>
      <c r="Z37" s="13"/>
      <c r="AA37" s="41"/>
    </row>
    <row r="38" s="4" customFormat="1" ht="120" customHeight="1" outlineLevel="2" spans="1:27">
      <c r="A38" s="28">
        <f t="shared" ref="A38:A48" si="8">A37+1</f>
        <v>4</v>
      </c>
      <c r="B38" s="37" t="s">
        <v>113</v>
      </c>
      <c r="C38" s="38" t="s">
        <v>114</v>
      </c>
      <c r="D38" s="38" t="s">
        <v>44</v>
      </c>
      <c r="E38" s="38" t="s">
        <v>115</v>
      </c>
      <c r="F38" s="37" t="s">
        <v>25</v>
      </c>
      <c r="G38" s="39">
        <v>188.06</v>
      </c>
      <c r="H38" s="40">
        <v>732</v>
      </c>
      <c r="I38" s="32"/>
      <c r="J38" s="40">
        <f t="shared" si="6"/>
        <v>732</v>
      </c>
      <c r="K38" s="26">
        <f t="shared" si="7"/>
        <v>137659.92</v>
      </c>
      <c r="L38" s="27" t="s">
        <v>26</v>
      </c>
      <c r="M38" s="33"/>
      <c r="N38" s="12"/>
      <c r="O38" s="34">
        <v>725.78</v>
      </c>
      <c r="P38" s="12" t="s">
        <v>116</v>
      </c>
      <c r="Q38" s="34"/>
      <c r="R38" s="13"/>
      <c r="S38" s="35"/>
      <c r="T38" s="35"/>
      <c r="U38" s="35"/>
      <c r="V38" s="13"/>
      <c r="W38" s="35"/>
      <c r="X38" s="13"/>
      <c r="Y38" s="13"/>
      <c r="Z38" s="13"/>
      <c r="AA38" s="41"/>
    </row>
    <row r="39" s="4" customFormat="1" ht="120" customHeight="1" outlineLevel="2" spans="1:27">
      <c r="A39" s="28">
        <f t="shared" si="8"/>
        <v>5</v>
      </c>
      <c r="B39" s="37" t="s">
        <v>117</v>
      </c>
      <c r="C39" s="38" t="s">
        <v>118</v>
      </c>
      <c r="D39" s="38" t="s">
        <v>44</v>
      </c>
      <c r="E39" s="38" t="s">
        <v>115</v>
      </c>
      <c r="F39" s="37" t="s">
        <v>25</v>
      </c>
      <c r="G39" s="39">
        <v>53.17</v>
      </c>
      <c r="H39" s="40">
        <v>732</v>
      </c>
      <c r="I39" s="32"/>
      <c r="J39" s="40">
        <f t="shared" si="6"/>
        <v>732</v>
      </c>
      <c r="K39" s="26">
        <f t="shared" si="7"/>
        <v>38920.44</v>
      </c>
      <c r="L39" s="27" t="s">
        <v>26</v>
      </c>
      <c r="M39" s="33"/>
      <c r="N39" s="12"/>
      <c r="O39" s="34">
        <v>870.21</v>
      </c>
      <c r="P39" s="12" t="s">
        <v>119</v>
      </c>
      <c r="Q39" s="34"/>
      <c r="R39" s="13"/>
      <c r="S39" s="35"/>
      <c r="T39" s="35"/>
      <c r="U39" s="35"/>
      <c r="V39" s="13"/>
      <c r="W39" s="35"/>
      <c r="X39" s="13"/>
      <c r="Y39" s="13"/>
      <c r="Z39" s="13"/>
      <c r="AA39" s="41"/>
    </row>
    <row r="40" s="4" customFormat="1" ht="120" customHeight="1" outlineLevel="2" spans="1:27">
      <c r="A40" s="28">
        <f t="shared" si="8"/>
        <v>6</v>
      </c>
      <c r="B40" s="37" t="s">
        <v>120</v>
      </c>
      <c r="C40" s="38" t="s">
        <v>121</v>
      </c>
      <c r="D40" s="38" t="s">
        <v>44</v>
      </c>
      <c r="E40" s="38" t="s">
        <v>115</v>
      </c>
      <c r="F40" s="37" t="s">
        <v>25</v>
      </c>
      <c r="G40" s="39">
        <v>112.73</v>
      </c>
      <c r="H40" s="40">
        <v>712</v>
      </c>
      <c r="I40" s="32"/>
      <c r="J40" s="40">
        <f t="shared" si="6"/>
        <v>712</v>
      </c>
      <c r="K40" s="26">
        <f t="shared" si="7"/>
        <v>80263.76</v>
      </c>
      <c r="L40" s="27" t="s">
        <v>26</v>
      </c>
      <c r="M40" s="33"/>
      <c r="N40" s="12"/>
      <c r="O40" s="34">
        <v>809.655</v>
      </c>
      <c r="P40" s="12" t="s">
        <v>122</v>
      </c>
      <c r="Q40" s="34"/>
      <c r="R40" s="13"/>
      <c r="S40" s="35"/>
      <c r="T40" s="35"/>
      <c r="U40" s="35"/>
      <c r="V40" s="13"/>
      <c r="W40" s="35"/>
      <c r="X40" s="13"/>
      <c r="Y40" s="13"/>
      <c r="Z40" s="13"/>
      <c r="AA40" s="41"/>
    </row>
    <row r="41" s="4" customFormat="1" ht="120" customHeight="1" outlineLevel="2" spans="1:27">
      <c r="A41" s="28">
        <f t="shared" si="8"/>
        <v>7</v>
      </c>
      <c r="B41" s="37" t="s">
        <v>123</v>
      </c>
      <c r="C41" s="38" t="s">
        <v>124</v>
      </c>
      <c r="D41" s="38" t="s">
        <v>44</v>
      </c>
      <c r="E41" s="38" t="s">
        <v>115</v>
      </c>
      <c r="F41" s="37" t="s">
        <v>25</v>
      </c>
      <c r="G41" s="39">
        <v>34.01</v>
      </c>
      <c r="H41" s="40">
        <v>712</v>
      </c>
      <c r="I41" s="32"/>
      <c r="J41" s="40">
        <f t="shared" si="6"/>
        <v>712</v>
      </c>
      <c r="K41" s="26">
        <f t="shared" si="7"/>
        <v>24215.12</v>
      </c>
      <c r="L41" s="27" t="s">
        <v>26</v>
      </c>
      <c r="M41" s="33"/>
      <c r="N41" s="12"/>
      <c r="O41" s="34">
        <v>959.805</v>
      </c>
      <c r="P41" s="12" t="s">
        <v>125</v>
      </c>
      <c r="Q41" s="34"/>
      <c r="R41" s="13"/>
      <c r="S41" s="35"/>
      <c r="T41" s="35"/>
      <c r="U41" s="35"/>
      <c r="V41" s="13"/>
      <c r="W41" s="35"/>
      <c r="X41" s="13"/>
      <c r="Y41" s="13"/>
      <c r="Z41" s="13"/>
      <c r="AA41" s="41"/>
    </row>
    <row r="42" s="4" customFormat="1" ht="108" customHeight="1" outlineLevel="2" spans="1:27">
      <c r="A42" s="28">
        <f t="shared" si="8"/>
        <v>8</v>
      </c>
      <c r="B42" s="37" t="s">
        <v>126</v>
      </c>
      <c r="C42" s="38" t="s">
        <v>127</v>
      </c>
      <c r="D42" s="38" t="s">
        <v>128</v>
      </c>
      <c r="E42" s="38" t="s">
        <v>115</v>
      </c>
      <c r="F42" s="37" t="s">
        <v>25</v>
      </c>
      <c r="G42" s="39">
        <v>27.16</v>
      </c>
      <c r="H42" s="40">
        <v>147</v>
      </c>
      <c r="I42" s="32"/>
      <c r="J42" s="40">
        <f t="shared" si="6"/>
        <v>147</v>
      </c>
      <c r="K42" s="26">
        <f t="shared" si="7"/>
        <v>3992.52</v>
      </c>
      <c r="L42" s="27" t="s">
        <v>26</v>
      </c>
      <c r="M42" s="33"/>
      <c r="N42" s="12"/>
      <c r="O42" s="34">
        <v>117.7</v>
      </c>
      <c r="P42" s="12" t="s">
        <v>129</v>
      </c>
      <c r="Q42" s="34"/>
      <c r="R42" s="13"/>
      <c r="S42" s="35"/>
      <c r="T42" s="35"/>
      <c r="U42" s="35"/>
      <c r="V42" s="13"/>
      <c r="W42" s="35"/>
      <c r="X42" s="13"/>
      <c r="Y42" s="13"/>
      <c r="Z42" s="13"/>
      <c r="AA42" s="41"/>
    </row>
    <row r="43" s="4" customFormat="1" ht="72" customHeight="1" outlineLevel="2" spans="1:27">
      <c r="A43" s="28">
        <f t="shared" si="8"/>
        <v>9</v>
      </c>
      <c r="B43" s="37" t="s">
        <v>130</v>
      </c>
      <c r="C43" s="38" t="s">
        <v>131</v>
      </c>
      <c r="D43" s="38" t="s">
        <v>132</v>
      </c>
      <c r="E43" s="38" t="s">
        <v>133</v>
      </c>
      <c r="F43" s="37" t="s">
        <v>37</v>
      </c>
      <c r="G43" s="39">
        <v>33.3</v>
      </c>
      <c r="H43" s="40">
        <v>75</v>
      </c>
      <c r="I43" s="32"/>
      <c r="J43" s="40">
        <f t="shared" si="6"/>
        <v>75</v>
      </c>
      <c r="K43" s="26">
        <f t="shared" si="7"/>
        <v>2497.5</v>
      </c>
      <c r="L43" s="27" t="s">
        <v>26</v>
      </c>
      <c r="M43" s="33"/>
      <c r="N43" s="13"/>
      <c r="O43" s="34">
        <v>84.6945</v>
      </c>
      <c r="P43" s="12" t="s">
        <v>134</v>
      </c>
      <c r="Q43" s="34"/>
      <c r="R43" s="13"/>
      <c r="S43" s="35"/>
      <c r="T43" s="35"/>
      <c r="U43" s="35"/>
      <c r="V43" s="13"/>
      <c r="W43" s="35"/>
      <c r="X43" s="13"/>
      <c r="Y43" s="13"/>
      <c r="Z43" s="13"/>
      <c r="AA43" s="41"/>
    </row>
    <row r="44" s="4" customFormat="1" ht="72" customHeight="1" outlineLevel="2" spans="1:27">
      <c r="A44" s="28">
        <f t="shared" si="8"/>
        <v>10</v>
      </c>
      <c r="B44" s="37" t="s">
        <v>135</v>
      </c>
      <c r="C44" s="38" t="s">
        <v>136</v>
      </c>
      <c r="D44" s="38" t="s">
        <v>132</v>
      </c>
      <c r="E44" s="38" t="s">
        <v>133</v>
      </c>
      <c r="F44" s="37" t="s">
        <v>37</v>
      </c>
      <c r="G44" s="39">
        <v>157.54</v>
      </c>
      <c r="H44" s="40">
        <v>50</v>
      </c>
      <c r="I44" s="32"/>
      <c r="J44" s="40">
        <f t="shared" si="6"/>
        <v>50</v>
      </c>
      <c r="K44" s="26">
        <f t="shared" si="7"/>
        <v>7877</v>
      </c>
      <c r="L44" s="27" t="s">
        <v>26</v>
      </c>
      <c r="M44" s="33"/>
      <c r="N44" s="12"/>
      <c r="O44" s="34">
        <v>56.65275</v>
      </c>
      <c r="P44" s="12" t="s">
        <v>137</v>
      </c>
      <c r="Q44" s="34"/>
      <c r="R44" s="13"/>
      <c r="S44" s="35"/>
      <c r="T44" s="35"/>
      <c r="U44" s="35"/>
      <c r="V44" s="13"/>
      <c r="W44" s="35"/>
      <c r="X44" s="13"/>
      <c r="Y44" s="13"/>
      <c r="Z44" s="13"/>
      <c r="AA44" s="41"/>
    </row>
    <row r="45" s="4" customFormat="1" ht="72" customHeight="1" outlineLevel="2" spans="1:27">
      <c r="A45" s="28">
        <f t="shared" si="8"/>
        <v>11</v>
      </c>
      <c r="B45" s="37" t="s">
        <v>138</v>
      </c>
      <c r="C45" s="38" t="s">
        <v>139</v>
      </c>
      <c r="D45" s="38" t="s">
        <v>132</v>
      </c>
      <c r="E45" s="38" t="s">
        <v>133</v>
      </c>
      <c r="F45" s="37" t="s">
        <v>37</v>
      </c>
      <c r="G45" s="39">
        <v>20.67</v>
      </c>
      <c r="H45" s="40">
        <v>58</v>
      </c>
      <c r="I45" s="32"/>
      <c r="J45" s="40">
        <f t="shared" si="6"/>
        <v>58</v>
      </c>
      <c r="K45" s="26">
        <f t="shared" si="7"/>
        <v>1198.86</v>
      </c>
      <c r="L45" s="27" t="s">
        <v>26</v>
      </c>
      <c r="M45" s="33"/>
      <c r="N45" s="12"/>
      <c r="O45" s="34">
        <v>51.55425</v>
      </c>
      <c r="P45" s="12" t="s">
        <v>140</v>
      </c>
      <c r="Q45" s="34"/>
      <c r="R45" s="13"/>
      <c r="S45" s="35"/>
      <c r="T45" s="35"/>
      <c r="U45" s="35"/>
      <c r="V45" s="13"/>
      <c r="W45" s="35"/>
      <c r="X45" s="13"/>
      <c r="Y45" s="13"/>
      <c r="Z45" s="13"/>
      <c r="AA45" s="41"/>
    </row>
    <row r="46" s="4" customFormat="1" ht="120" customHeight="1" outlineLevel="2" spans="1:27">
      <c r="A46" s="28">
        <f t="shared" si="8"/>
        <v>12</v>
      </c>
      <c r="B46" s="37" t="s">
        <v>42</v>
      </c>
      <c r="C46" s="38" t="s">
        <v>141</v>
      </c>
      <c r="D46" s="38" t="s">
        <v>44</v>
      </c>
      <c r="E46" s="38" t="s">
        <v>45</v>
      </c>
      <c r="F46" s="37" t="s">
        <v>25</v>
      </c>
      <c r="G46" s="39">
        <v>6.67</v>
      </c>
      <c r="H46" s="40">
        <v>430</v>
      </c>
      <c r="I46" s="32"/>
      <c r="J46" s="40">
        <f t="shared" si="6"/>
        <v>430</v>
      </c>
      <c r="K46" s="26">
        <f t="shared" si="7"/>
        <v>2868.1</v>
      </c>
      <c r="L46" s="27" t="s">
        <v>26</v>
      </c>
      <c r="M46" s="33"/>
      <c r="N46" s="12"/>
      <c r="O46" s="34">
        <v>672.87</v>
      </c>
      <c r="P46" s="12" t="s">
        <v>46</v>
      </c>
      <c r="Q46" s="34"/>
      <c r="R46" s="13"/>
      <c r="S46" s="35"/>
      <c r="T46" s="35"/>
      <c r="U46" s="35"/>
      <c r="V46" s="13"/>
      <c r="W46" s="35"/>
      <c r="X46" s="13"/>
      <c r="Y46" s="13"/>
      <c r="Z46" s="13"/>
      <c r="AA46" s="41"/>
    </row>
    <row r="47" s="4" customFormat="1" ht="108" customHeight="1" outlineLevel="2" spans="1:27">
      <c r="A47" s="28">
        <f t="shared" si="8"/>
        <v>13</v>
      </c>
      <c r="B47" s="37" t="s">
        <v>39</v>
      </c>
      <c r="C47" s="38" t="s">
        <v>40</v>
      </c>
      <c r="D47" s="38" t="s">
        <v>35</v>
      </c>
      <c r="E47" s="38" t="s">
        <v>36</v>
      </c>
      <c r="F47" s="37" t="s">
        <v>37</v>
      </c>
      <c r="G47" s="39">
        <v>2490.45</v>
      </c>
      <c r="H47" s="40">
        <v>11.2</v>
      </c>
      <c r="I47" s="32"/>
      <c r="J47" s="40">
        <f t="shared" si="6"/>
        <v>11.2</v>
      </c>
      <c r="K47" s="26">
        <f t="shared" si="7"/>
        <v>27893.04</v>
      </c>
      <c r="L47" s="27" t="s">
        <v>26</v>
      </c>
      <c r="M47" s="33"/>
      <c r="N47" s="12"/>
      <c r="O47" s="34">
        <v>15.2075</v>
      </c>
      <c r="P47" s="12" t="s">
        <v>41</v>
      </c>
      <c r="Q47" s="34"/>
      <c r="R47" s="13"/>
      <c r="S47" s="35"/>
      <c r="T47" s="35"/>
      <c r="U47" s="35"/>
      <c r="V47" s="13"/>
      <c r="W47" s="35"/>
      <c r="X47" s="13"/>
      <c r="Y47" s="13"/>
      <c r="Z47" s="13"/>
      <c r="AA47" s="41"/>
    </row>
    <row r="48" s="4" customFormat="1" ht="72" customHeight="1" outlineLevel="2" spans="1:27">
      <c r="A48" s="28">
        <f t="shared" si="8"/>
        <v>14</v>
      </c>
      <c r="B48" s="37" t="s">
        <v>142</v>
      </c>
      <c r="C48" s="38" t="s">
        <v>143</v>
      </c>
      <c r="D48" s="38" t="s">
        <v>132</v>
      </c>
      <c r="E48" s="38" t="s">
        <v>144</v>
      </c>
      <c r="F48" s="37" t="s">
        <v>37</v>
      </c>
      <c r="G48" s="39">
        <v>180.05</v>
      </c>
      <c r="H48" s="40">
        <v>60.85</v>
      </c>
      <c r="I48" s="32"/>
      <c r="J48" s="40">
        <f t="shared" si="6"/>
        <v>60.85</v>
      </c>
      <c r="K48" s="26">
        <f t="shared" si="7"/>
        <v>10956.0425</v>
      </c>
      <c r="L48" s="27" t="s">
        <v>26</v>
      </c>
      <c r="M48" s="33"/>
      <c r="N48" s="12"/>
      <c r="O48" s="34">
        <v>64.3005</v>
      </c>
      <c r="P48" s="12" t="s">
        <v>145</v>
      </c>
      <c r="Q48" s="34"/>
      <c r="R48" s="13"/>
      <c r="S48" s="35"/>
      <c r="T48" s="35"/>
      <c r="U48" s="35"/>
      <c r="V48" s="13"/>
      <c r="W48" s="35"/>
      <c r="X48" s="13"/>
      <c r="Y48" s="13"/>
      <c r="Z48" s="13"/>
      <c r="AA48" s="41"/>
    </row>
    <row r="49" s="3" customFormat="1" outlineLevel="1" spans="1:27">
      <c r="A49" s="28"/>
      <c r="B49" s="37" t="s">
        <v>54</v>
      </c>
      <c r="C49" s="38"/>
      <c r="D49" s="38"/>
      <c r="E49" s="38"/>
      <c r="F49" s="37"/>
      <c r="G49" s="39"/>
      <c r="H49" s="40"/>
      <c r="I49" s="32"/>
      <c r="J49" s="40"/>
      <c r="K49" s="26"/>
      <c r="L49" s="27"/>
      <c r="M49" s="33"/>
      <c r="N49" s="13"/>
      <c r="O49" s="34"/>
      <c r="P49" s="34"/>
      <c r="Q49" s="34"/>
      <c r="R49" s="35"/>
      <c r="S49" s="35"/>
      <c r="T49" s="35"/>
      <c r="U49" s="35"/>
      <c r="V49" s="35"/>
      <c r="W49" s="35"/>
      <c r="X49" s="35"/>
      <c r="Y49" s="35"/>
      <c r="Z49" s="35"/>
      <c r="AA49" s="36"/>
    </row>
    <row r="50" s="4" customFormat="1" ht="144" customHeight="1" outlineLevel="2" spans="1:27">
      <c r="A50" s="28">
        <v>1</v>
      </c>
      <c r="B50" s="37" t="s">
        <v>146</v>
      </c>
      <c r="C50" s="38" t="s">
        <v>147</v>
      </c>
      <c r="D50" s="38" t="s">
        <v>57</v>
      </c>
      <c r="E50" s="38" t="s">
        <v>78</v>
      </c>
      <c r="F50" s="37" t="s">
        <v>25</v>
      </c>
      <c r="G50" s="39">
        <v>336.53</v>
      </c>
      <c r="H50" s="40">
        <v>643</v>
      </c>
      <c r="I50" s="32"/>
      <c r="J50" s="40">
        <f t="shared" ref="J50:J55" si="9">H50*(1-$I$4)</f>
        <v>643</v>
      </c>
      <c r="K50" s="26">
        <f t="shared" ref="K50:K55" si="10">G50*J50</f>
        <v>216388.79</v>
      </c>
      <c r="L50" s="27" t="s">
        <v>26</v>
      </c>
      <c r="M50" s="33"/>
      <c r="N50" s="13"/>
      <c r="O50" s="34">
        <v>676.17825</v>
      </c>
      <c r="P50" s="12" t="s">
        <v>148</v>
      </c>
      <c r="Q50" s="34"/>
      <c r="R50" s="13"/>
      <c r="S50" s="35"/>
      <c r="T50" s="35"/>
      <c r="U50" s="35"/>
      <c r="V50" s="13"/>
      <c r="W50" s="35"/>
      <c r="X50" s="13"/>
      <c r="Y50" s="13"/>
      <c r="Z50" s="13"/>
      <c r="AA50" s="41"/>
    </row>
    <row r="51" s="4" customFormat="1" ht="48" customHeight="1" outlineLevel="2" spans="1:27">
      <c r="A51" s="28">
        <v>2</v>
      </c>
      <c r="B51" s="37" t="s">
        <v>149</v>
      </c>
      <c r="C51" s="38" t="s">
        <v>150</v>
      </c>
      <c r="D51" s="38" t="s">
        <v>65</v>
      </c>
      <c r="E51" s="38" t="s">
        <v>58</v>
      </c>
      <c r="F51" s="37" t="s">
        <v>25</v>
      </c>
      <c r="G51" s="39">
        <v>207.84</v>
      </c>
      <c r="H51" s="40">
        <v>240</v>
      </c>
      <c r="I51" s="32"/>
      <c r="J51" s="40">
        <f t="shared" si="9"/>
        <v>240</v>
      </c>
      <c r="K51" s="26">
        <f t="shared" si="10"/>
        <v>49881.6</v>
      </c>
      <c r="L51" s="27" t="s">
        <v>26</v>
      </c>
      <c r="M51" s="33"/>
      <c r="N51" s="13"/>
      <c r="O51" s="34">
        <v>290.9775</v>
      </c>
      <c r="P51" s="12" t="s">
        <v>151</v>
      </c>
      <c r="Q51" s="34"/>
      <c r="R51" s="13"/>
      <c r="S51" s="35"/>
      <c r="T51" s="35"/>
      <c r="U51" s="35"/>
      <c r="V51" s="13"/>
      <c r="W51" s="35"/>
      <c r="X51" s="13"/>
      <c r="Y51" s="13"/>
      <c r="Z51" s="13"/>
      <c r="AA51" s="41"/>
    </row>
    <row r="52" s="4" customFormat="1" ht="144" customHeight="1" outlineLevel="2" spans="1:27">
      <c r="A52" s="28">
        <v>3</v>
      </c>
      <c r="B52" s="37" t="s">
        <v>152</v>
      </c>
      <c r="C52" s="38" t="s">
        <v>153</v>
      </c>
      <c r="D52" s="38" t="s">
        <v>57</v>
      </c>
      <c r="E52" s="38" t="s">
        <v>78</v>
      </c>
      <c r="F52" s="37" t="s">
        <v>25</v>
      </c>
      <c r="G52" s="39">
        <v>501.82</v>
      </c>
      <c r="H52" s="40">
        <v>637</v>
      </c>
      <c r="I52" s="32"/>
      <c r="J52" s="40">
        <f t="shared" si="9"/>
        <v>637</v>
      </c>
      <c r="K52" s="26">
        <f t="shared" si="10"/>
        <v>319659.34</v>
      </c>
      <c r="L52" s="27" t="s">
        <v>26</v>
      </c>
      <c r="M52" s="33"/>
      <c r="N52" s="13"/>
      <c r="O52" s="34">
        <v>606.1825</v>
      </c>
      <c r="P52" s="12" t="s">
        <v>154</v>
      </c>
      <c r="Q52" s="34"/>
      <c r="R52" s="13"/>
      <c r="S52" s="35"/>
      <c r="T52" s="35"/>
      <c r="U52" s="35"/>
      <c r="V52" s="13"/>
      <c r="W52" s="35"/>
      <c r="X52" s="13"/>
      <c r="Y52" s="13"/>
      <c r="Z52" s="13"/>
      <c r="AA52" s="41"/>
    </row>
    <row r="53" s="4" customFormat="1" ht="144" customHeight="1" outlineLevel="2" spans="1:27">
      <c r="A53" s="28">
        <v>4</v>
      </c>
      <c r="B53" s="37" t="s">
        <v>155</v>
      </c>
      <c r="C53" s="38" t="s">
        <v>156</v>
      </c>
      <c r="D53" s="38" t="s">
        <v>57</v>
      </c>
      <c r="E53" s="38" t="s">
        <v>78</v>
      </c>
      <c r="F53" s="37" t="s">
        <v>25</v>
      </c>
      <c r="G53" s="39">
        <v>149.64</v>
      </c>
      <c r="H53" s="40">
        <v>704.2</v>
      </c>
      <c r="I53" s="32"/>
      <c r="J53" s="40">
        <f t="shared" si="9"/>
        <v>704.2</v>
      </c>
      <c r="K53" s="26">
        <f t="shared" si="10"/>
        <v>105376.488</v>
      </c>
      <c r="L53" s="27" t="s">
        <v>26</v>
      </c>
      <c r="M53" s="33"/>
      <c r="N53" s="13"/>
      <c r="O53" s="34">
        <v>606.1825</v>
      </c>
      <c r="P53" s="12" t="s">
        <v>157</v>
      </c>
      <c r="Q53" s="34"/>
      <c r="R53" s="13"/>
      <c r="S53" s="35"/>
      <c r="T53" s="35"/>
      <c r="U53" s="35"/>
      <c r="V53" s="13"/>
      <c r="W53" s="35"/>
      <c r="X53" s="13"/>
      <c r="Y53" s="13"/>
      <c r="Z53" s="13"/>
      <c r="AA53" s="41"/>
    </row>
    <row r="54" s="4" customFormat="1" ht="108" customHeight="1" outlineLevel="2" spans="1:27">
      <c r="A54" s="28">
        <v>5</v>
      </c>
      <c r="B54" s="37" t="s">
        <v>105</v>
      </c>
      <c r="C54" s="38" t="s">
        <v>106</v>
      </c>
      <c r="D54" s="38" t="s">
        <v>65</v>
      </c>
      <c r="E54" s="38" t="s">
        <v>66</v>
      </c>
      <c r="F54" s="37" t="s">
        <v>37</v>
      </c>
      <c r="G54" s="39">
        <v>1407.58</v>
      </c>
      <c r="H54" s="40">
        <v>387</v>
      </c>
      <c r="I54" s="32"/>
      <c r="J54" s="40">
        <f t="shared" si="9"/>
        <v>387</v>
      </c>
      <c r="K54" s="26">
        <f t="shared" si="10"/>
        <v>544733.46</v>
      </c>
      <c r="L54" s="27" t="s">
        <v>26</v>
      </c>
      <c r="M54" s="33"/>
      <c r="N54" s="12"/>
      <c r="O54" s="34">
        <v>363.06325</v>
      </c>
      <c r="P54" s="12" t="s">
        <v>107</v>
      </c>
      <c r="Q54" s="34"/>
      <c r="R54" s="13"/>
      <c r="S54" s="35"/>
      <c r="T54" s="35"/>
      <c r="U54" s="35"/>
      <c r="V54" s="13"/>
      <c r="W54" s="35"/>
      <c r="X54" s="13"/>
      <c r="Y54" s="13"/>
      <c r="Z54" s="13"/>
      <c r="AA54" s="41"/>
    </row>
    <row r="55" s="4" customFormat="1" ht="120" customHeight="1" outlineLevel="2" spans="1:27">
      <c r="A55" s="28">
        <v>6</v>
      </c>
      <c r="B55" s="37" t="s">
        <v>158</v>
      </c>
      <c r="C55" s="38" t="s">
        <v>159</v>
      </c>
      <c r="D55" s="38" t="s">
        <v>93</v>
      </c>
      <c r="E55" s="38" t="s">
        <v>94</v>
      </c>
      <c r="F55" s="37" t="s">
        <v>25</v>
      </c>
      <c r="G55" s="39">
        <v>9294.66</v>
      </c>
      <c r="H55" s="40">
        <v>20</v>
      </c>
      <c r="I55" s="32"/>
      <c r="J55" s="40">
        <f t="shared" si="9"/>
        <v>20</v>
      </c>
      <c r="K55" s="26">
        <f t="shared" si="10"/>
        <v>185893.2</v>
      </c>
      <c r="L55" s="27" t="s">
        <v>26</v>
      </c>
      <c r="M55" s="33"/>
      <c r="N55" s="12"/>
      <c r="O55" s="34">
        <v>37.6585</v>
      </c>
      <c r="P55" s="12" t="s">
        <v>27</v>
      </c>
      <c r="Q55" s="34"/>
      <c r="R55" s="13"/>
      <c r="S55" s="35"/>
      <c r="T55" s="35"/>
      <c r="U55" s="35"/>
      <c r="V55" s="13"/>
      <c r="W55" s="35"/>
      <c r="X55" s="13"/>
      <c r="Y55" s="13"/>
      <c r="Z55" s="13"/>
      <c r="AA55" s="41"/>
    </row>
    <row r="56" s="3" customFormat="1" outlineLevel="1" spans="1:27">
      <c r="A56" s="28"/>
      <c r="B56" s="37" t="s">
        <v>160</v>
      </c>
      <c r="C56" s="38"/>
      <c r="D56" s="38"/>
      <c r="E56" s="38"/>
      <c r="F56" s="37"/>
      <c r="G56" s="39"/>
      <c r="H56" s="40"/>
      <c r="I56" s="32"/>
      <c r="J56" s="40"/>
      <c r="K56" s="26"/>
      <c r="L56" s="27"/>
      <c r="M56" s="33"/>
      <c r="N56" s="13"/>
      <c r="O56" s="34"/>
      <c r="P56" s="34"/>
      <c r="Q56" s="34"/>
      <c r="R56" s="35"/>
      <c r="S56" s="35"/>
      <c r="T56" s="35"/>
      <c r="U56" s="35"/>
      <c r="V56" s="35"/>
      <c r="W56" s="35"/>
      <c r="X56" s="35"/>
      <c r="Y56" s="35"/>
      <c r="Z56" s="35"/>
      <c r="AA56" s="36"/>
    </row>
    <row r="57" s="4" customFormat="1" ht="48" customHeight="1" outlineLevel="2" spans="1:27">
      <c r="A57" s="28">
        <v>1</v>
      </c>
      <c r="B57" s="37" t="s">
        <v>161</v>
      </c>
      <c r="C57" s="38" t="s">
        <v>162</v>
      </c>
      <c r="D57" s="38" t="s">
        <v>65</v>
      </c>
      <c r="E57" s="38" t="s">
        <v>163</v>
      </c>
      <c r="F57" s="37" t="s">
        <v>164</v>
      </c>
      <c r="G57" s="39">
        <v>3</v>
      </c>
      <c r="H57" s="40">
        <v>965</v>
      </c>
      <c r="I57" s="32"/>
      <c r="J57" s="40">
        <f t="shared" ref="J57:J66" si="11">H57*(1-$I$4)</f>
        <v>965</v>
      </c>
      <c r="K57" s="26">
        <f t="shared" ref="K57:K66" si="12">G57*J57</f>
        <v>2895</v>
      </c>
      <c r="L57" s="27" t="s">
        <v>26</v>
      </c>
      <c r="M57" s="33"/>
      <c r="N57" s="12"/>
      <c r="O57" s="34">
        <v>1010.36803210325</v>
      </c>
      <c r="P57" s="12" t="s">
        <v>165</v>
      </c>
      <c r="Q57" s="34"/>
      <c r="R57" s="13"/>
      <c r="S57" s="35"/>
      <c r="T57" s="35"/>
      <c r="U57" s="35"/>
      <c r="V57" s="13"/>
      <c r="W57" s="35"/>
      <c r="X57" s="13"/>
      <c r="Y57" s="13"/>
      <c r="Z57" s="13"/>
      <c r="AA57" s="41"/>
    </row>
    <row r="58" s="4" customFormat="1" ht="48" customHeight="1" outlineLevel="2" spans="1:27">
      <c r="A58" s="28">
        <f t="shared" ref="A58:A66" si="13">A57+1</f>
        <v>2</v>
      </c>
      <c r="B58" s="37" t="s">
        <v>166</v>
      </c>
      <c r="C58" s="38" t="s">
        <v>167</v>
      </c>
      <c r="D58" s="38" t="s">
        <v>65</v>
      </c>
      <c r="E58" s="38" t="s">
        <v>163</v>
      </c>
      <c r="F58" s="37" t="s">
        <v>164</v>
      </c>
      <c r="G58" s="39">
        <v>2</v>
      </c>
      <c r="H58" s="40">
        <v>1185</v>
      </c>
      <c r="I58" s="32"/>
      <c r="J58" s="40">
        <f t="shared" si="11"/>
        <v>1185</v>
      </c>
      <c r="K58" s="26">
        <f t="shared" si="12"/>
        <v>2370</v>
      </c>
      <c r="L58" s="27" t="s">
        <v>26</v>
      </c>
      <c r="M58" s="33"/>
      <c r="N58" s="12"/>
      <c r="O58" s="34">
        <v>1795.67301940915</v>
      </c>
      <c r="P58" s="12" t="s">
        <v>168</v>
      </c>
      <c r="Q58" s="34"/>
      <c r="R58" s="13"/>
      <c r="S58" s="35"/>
      <c r="T58" s="35"/>
      <c r="U58" s="35"/>
      <c r="V58" s="13"/>
      <c r="W58" s="35"/>
      <c r="X58" s="13"/>
      <c r="Y58" s="13"/>
      <c r="Z58" s="13"/>
      <c r="AA58" s="41"/>
    </row>
    <row r="59" s="4" customFormat="1" ht="48" customHeight="1" outlineLevel="2" spans="1:27">
      <c r="A59" s="28">
        <f t="shared" si="13"/>
        <v>3</v>
      </c>
      <c r="B59" s="37" t="s">
        <v>169</v>
      </c>
      <c r="C59" s="38" t="s">
        <v>170</v>
      </c>
      <c r="D59" s="38" t="s">
        <v>65</v>
      </c>
      <c r="E59" s="38" t="s">
        <v>163</v>
      </c>
      <c r="F59" s="37" t="s">
        <v>164</v>
      </c>
      <c r="G59" s="39">
        <v>7</v>
      </c>
      <c r="H59" s="40">
        <v>1530</v>
      </c>
      <c r="I59" s="32"/>
      <c r="J59" s="40">
        <f t="shared" si="11"/>
        <v>1530</v>
      </c>
      <c r="K59" s="26">
        <f t="shared" si="12"/>
        <v>10710</v>
      </c>
      <c r="L59" s="27" t="s">
        <v>26</v>
      </c>
      <c r="M59" s="33"/>
      <c r="N59" s="12"/>
      <c r="O59" s="34">
        <v>2109.18003210325</v>
      </c>
      <c r="P59" s="12" t="s">
        <v>171</v>
      </c>
      <c r="Q59" s="34"/>
      <c r="R59" s="13"/>
      <c r="S59" s="35"/>
      <c r="T59" s="35"/>
      <c r="U59" s="35"/>
      <c r="V59" s="13"/>
      <c r="W59" s="35"/>
      <c r="X59" s="13"/>
      <c r="Y59" s="13"/>
      <c r="Z59" s="13"/>
      <c r="AA59" s="41"/>
    </row>
    <row r="60" s="4" customFormat="1" ht="48" customHeight="1" outlineLevel="2" spans="1:27">
      <c r="A60" s="28">
        <f t="shared" si="13"/>
        <v>4</v>
      </c>
      <c r="B60" s="37" t="s">
        <v>172</v>
      </c>
      <c r="C60" s="38" t="s">
        <v>173</v>
      </c>
      <c r="D60" s="38" t="s">
        <v>65</v>
      </c>
      <c r="E60" s="38" t="s">
        <v>163</v>
      </c>
      <c r="F60" s="37" t="s">
        <v>164</v>
      </c>
      <c r="G60" s="39">
        <v>2</v>
      </c>
      <c r="H60" s="40">
        <v>2390</v>
      </c>
      <c r="I60" s="32"/>
      <c r="J60" s="40">
        <f t="shared" si="11"/>
        <v>2390</v>
      </c>
      <c r="K60" s="26">
        <f t="shared" si="12"/>
        <v>4780</v>
      </c>
      <c r="L60" s="27" t="s">
        <v>26</v>
      </c>
      <c r="M60" s="33"/>
      <c r="N60" s="12"/>
      <c r="O60" s="34">
        <v>3410.88975781408</v>
      </c>
      <c r="P60" s="12" t="s">
        <v>174</v>
      </c>
      <c r="Q60" s="34"/>
      <c r="R60" s="13"/>
      <c r="S60" s="35"/>
      <c r="T60" s="35"/>
      <c r="U60" s="35"/>
      <c r="V60" s="13"/>
      <c r="W60" s="35"/>
      <c r="X60" s="13"/>
      <c r="Y60" s="13"/>
      <c r="Z60" s="13"/>
      <c r="AA60" s="41"/>
    </row>
    <row r="61" s="4" customFormat="1" ht="48" customHeight="1" outlineLevel="2" spans="1:27">
      <c r="A61" s="28">
        <f t="shared" si="13"/>
        <v>5</v>
      </c>
      <c r="B61" s="37" t="s">
        <v>175</v>
      </c>
      <c r="C61" s="38" t="s">
        <v>176</v>
      </c>
      <c r="D61" s="38" t="s">
        <v>65</v>
      </c>
      <c r="E61" s="38" t="s">
        <v>163</v>
      </c>
      <c r="F61" s="37" t="s">
        <v>164</v>
      </c>
      <c r="G61" s="39">
        <v>5</v>
      </c>
      <c r="H61" s="40">
        <v>1655</v>
      </c>
      <c r="I61" s="32"/>
      <c r="J61" s="40">
        <f t="shared" si="11"/>
        <v>1655</v>
      </c>
      <c r="K61" s="26">
        <f t="shared" si="12"/>
        <v>8275</v>
      </c>
      <c r="L61" s="27" t="s">
        <v>26</v>
      </c>
      <c r="M61" s="33"/>
      <c r="N61" s="12"/>
      <c r="O61" s="34">
        <v>2372.62128611615</v>
      </c>
      <c r="P61" s="12" t="s">
        <v>177</v>
      </c>
      <c r="Q61" s="34"/>
      <c r="R61" s="13"/>
      <c r="S61" s="35"/>
      <c r="T61" s="35"/>
      <c r="U61" s="35"/>
      <c r="V61" s="13"/>
      <c r="W61" s="35"/>
      <c r="X61" s="13"/>
      <c r="Y61" s="13"/>
      <c r="Z61" s="13"/>
      <c r="AA61" s="41"/>
    </row>
    <row r="62" s="4" customFormat="1" ht="48" customHeight="1" outlineLevel="2" spans="1:27">
      <c r="A62" s="28">
        <f t="shared" si="13"/>
        <v>6</v>
      </c>
      <c r="B62" s="37" t="s">
        <v>178</v>
      </c>
      <c r="C62" s="38" t="s">
        <v>179</v>
      </c>
      <c r="D62" s="38" t="s">
        <v>65</v>
      </c>
      <c r="E62" s="38" t="s">
        <v>163</v>
      </c>
      <c r="F62" s="37" t="s">
        <v>164</v>
      </c>
      <c r="G62" s="39">
        <v>1</v>
      </c>
      <c r="H62" s="40">
        <v>1885</v>
      </c>
      <c r="I62" s="32"/>
      <c r="J62" s="40">
        <f t="shared" si="11"/>
        <v>1885</v>
      </c>
      <c r="K62" s="26">
        <f t="shared" si="12"/>
        <v>1885</v>
      </c>
      <c r="L62" s="27" t="s">
        <v>26</v>
      </c>
      <c r="M62" s="33"/>
      <c r="N62" s="12"/>
      <c r="O62" s="34">
        <v>2636.06254012906</v>
      </c>
      <c r="P62" s="12" t="s">
        <v>180</v>
      </c>
      <c r="Q62" s="34"/>
      <c r="R62" s="13"/>
      <c r="S62" s="35"/>
      <c r="T62" s="35"/>
      <c r="U62" s="35"/>
      <c r="V62" s="13"/>
      <c r="W62" s="35"/>
      <c r="X62" s="13"/>
      <c r="Y62" s="13"/>
      <c r="Z62" s="13"/>
      <c r="AA62" s="41"/>
    </row>
    <row r="63" s="4" customFormat="1" ht="48" customHeight="1" outlineLevel="2" spans="1:27">
      <c r="A63" s="28">
        <f t="shared" si="13"/>
        <v>7</v>
      </c>
      <c r="B63" s="37" t="s">
        <v>181</v>
      </c>
      <c r="C63" s="38" t="s">
        <v>182</v>
      </c>
      <c r="D63" s="38" t="s">
        <v>65</v>
      </c>
      <c r="E63" s="38" t="s">
        <v>163</v>
      </c>
      <c r="F63" s="37" t="s">
        <v>164</v>
      </c>
      <c r="G63" s="39">
        <v>1</v>
      </c>
      <c r="H63" s="40">
        <v>2395</v>
      </c>
      <c r="I63" s="32"/>
      <c r="J63" s="40">
        <f t="shared" si="11"/>
        <v>2395</v>
      </c>
      <c r="K63" s="26">
        <f t="shared" si="12"/>
        <v>2395</v>
      </c>
      <c r="L63" s="27" t="s">
        <v>26</v>
      </c>
      <c r="M63" s="33"/>
      <c r="N63" s="12"/>
      <c r="O63" s="34">
        <v>1640.81680216777</v>
      </c>
      <c r="P63" s="12" t="s">
        <v>183</v>
      </c>
      <c r="Q63" s="34"/>
      <c r="R63" s="13"/>
      <c r="S63" s="35"/>
      <c r="T63" s="35"/>
      <c r="U63" s="35"/>
      <c r="V63" s="13"/>
      <c r="W63" s="35"/>
      <c r="X63" s="13"/>
      <c r="Y63" s="13"/>
      <c r="Z63" s="13"/>
      <c r="AA63" s="41"/>
    </row>
    <row r="64" s="4" customFormat="1" ht="48" customHeight="1" outlineLevel="2" spans="1:27">
      <c r="A64" s="28">
        <f t="shared" si="13"/>
        <v>8</v>
      </c>
      <c r="B64" s="37" t="s">
        <v>184</v>
      </c>
      <c r="C64" s="38" t="s">
        <v>185</v>
      </c>
      <c r="D64" s="38" t="s">
        <v>65</v>
      </c>
      <c r="E64" s="38" t="s">
        <v>163</v>
      </c>
      <c r="F64" s="37" t="s">
        <v>164</v>
      </c>
      <c r="G64" s="39">
        <v>2</v>
      </c>
      <c r="H64" s="40">
        <v>2395</v>
      </c>
      <c r="I64" s="32"/>
      <c r="J64" s="40">
        <f t="shared" si="11"/>
        <v>2395</v>
      </c>
      <c r="K64" s="26">
        <f t="shared" si="12"/>
        <v>4790</v>
      </c>
      <c r="L64" s="27" t="s">
        <v>26</v>
      </c>
      <c r="M64" s="33"/>
      <c r="N64" s="12"/>
      <c r="O64" s="34">
        <v>3426.38630216777</v>
      </c>
      <c r="P64" s="12" t="s">
        <v>186</v>
      </c>
      <c r="Q64" s="34"/>
      <c r="R64" s="13"/>
      <c r="S64" s="35"/>
      <c r="T64" s="35"/>
      <c r="U64" s="35"/>
      <c r="V64" s="13"/>
      <c r="W64" s="35"/>
      <c r="X64" s="13"/>
      <c r="Y64" s="13"/>
      <c r="Z64" s="13"/>
      <c r="AA64" s="41"/>
    </row>
    <row r="65" s="4" customFormat="1" ht="48" customHeight="1" outlineLevel="2" spans="1:27">
      <c r="A65" s="28">
        <f t="shared" si="13"/>
        <v>9</v>
      </c>
      <c r="B65" s="37" t="s">
        <v>187</v>
      </c>
      <c r="C65" s="38" t="s">
        <v>188</v>
      </c>
      <c r="D65" s="38" t="s">
        <v>65</v>
      </c>
      <c r="E65" s="38" t="s">
        <v>163</v>
      </c>
      <c r="F65" s="37" t="s">
        <v>189</v>
      </c>
      <c r="G65" s="39">
        <v>339</v>
      </c>
      <c r="H65" s="40">
        <v>25.5</v>
      </c>
      <c r="I65" s="32"/>
      <c r="J65" s="40">
        <f t="shared" si="11"/>
        <v>25.5</v>
      </c>
      <c r="K65" s="26">
        <f t="shared" si="12"/>
        <v>8644.5</v>
      </c>
      <c r="L65" s="27" t="s">
        <v>26</v>
      </c>
      <c r="M65" s="33"/>
      <c r="N65" s="12"/>
      <c r="O65" s="34">
        <v>44.22</v>
      </c>
      <c r="P65" s="12" t="s">
        <v>190</v>
      </c>
      <c r="Q65" s="34"/>
      <c r="R65" s="13"/>
      <c r="S65" s="35"/>
      <c r="T65" s="35"/>
      <c r="U65" s="35"/>
      <c r="V65" s="13"/>
      <c r="W65" s="35"/>
      <c r="X65" s="13"/>
      <c r="Y65" s="13"/>
      <c r="Z65" s="13"/>
      <c r="AA65" s="41"/>
    </row>
    <row r="66" s="4" customFormat="1" ht="48" customHeight="1" outlineLevel="2" spans="1:27">
      <c r="A66" s="28">
        <f t="shared" si="13"/>
        <v>10</v>
      </c>
      <c r="B66" s="37" t="s">
        <v>191</v>
      </c>
      <c r="C66" s="38" t="s">
        <v>192</v>
      </c>
      <c r="D66" s="38" t="s">
        <v>65</v>
      </c>
      <c r="E66" s="38" t="s">
        <v>163</v>
      </c>
      <c r="F66" s="37" t="s">
        <v>189</v>
      </c>
      <c r="G66" s="39">
        <v>108</v>
      </c>
      <c r="H66" s="40">
        <v>116.5</v>
      </c>
      <c r="I66" s="32"/>
      <c r="J66" s="40">
        <f t="shared" si="11"/>
        <v>116.5</v>
      </c>
      <c r="K66" s="26">
        <f t="shared" si="12"/>
        <v>12582</v>
      </c>
      <c r="L66" s="27" t="s">
        <v>26</v>
      </c>
      <c r="M66" s="33"/>
      <c r="N66" s="12"/>
      <c r="O66" s="34">
        <v>144.87</v>
      </c>
      <c r="P66" s="12" t="s">
        <v>193</v>
      </c>
      <c r="Q66" s="34"/>
      <c r="R66" s="13"/>
      <c r="S66" s="35"/>
      <c r="T66" s="35"/>
      <c r="U66" s="35"/>
      <c r="V66" s="13"/>
      <c r="W66" s="35"/>
      <c r="X66" s="13"/>
      <c r="Y66" s="13"/>
      <c r="Z66" s="13"/>
      <c r="AA66" s="41"/>
    </row>
    <row r="67" s="2" customFormat="1" spans="1:27">
      <c r="A67" s="17" t="s">
        <v>18</v>
      </c>
      <c r="B67" s="17" t="s">
        <v>194</v>
      </c>
      <c r="C67" s="38"/>
      <c r="D67" s="38"/>
      <c r="E67" s="38"/>
      <c r="F67" s="37"/>
      <c r="G67" s="39"/>
      <c r="H67" s="40"/>
      <c r="I67" s="32"/>
      <c r="J67" s="40"/>
      <c r="K67" s="26"/>
      <c r="L67" s="27"/>
      <c r="M67" s="33"/>
      <c r="N67" s="23"/>
      <c r="O67" s="34"/>
      <c r="P67" s="23"/>
      <c r="Q67" s="34"/>
      <c r="R67" s="23"/>
      <c r="S67" s="35"/>
      <c r="T67" s="35"/>
      <c r="U67" s="35"/>
      <c r="V67" s="23"/>
      <c r="W67" s="35"/>
      <c r="X67" s="23"/>
      <c r="Y67" s="23"/>
      <c r="Z67" s="23"/>
      <c r="AA67" s="23"/>
    </row>
    <row r="68" s="4" customFormat="1" ht="60" customHeight="1" outlineLevel="2" spans="1:27">
      <c r="A68" s="28">
        <v>1</v>
      </c>
      <c r="B68" s="37" t="s">
        <v>195</v>
      </c>
      <c r="C68" s="38" t="s">
        <v>196</v>
      </c>
      <c r="D68" s="38" t="s">
        <v>65</v>
      </c>
      <c r="E68" s="38" t="s">
        <v>197</v>
      </c>
      <c r="F68" s="37" t="s">
        <v>189</v>
      </c>
      <c r="G68" s="39">
        <v>150</v>
      </c>
      <c r="H68" s="40">
        <v>87.5</v>
      </c>
      <c r="I68" s="32"/>
      <c r="J68" s="40">
        <f>H68*(1-$I$4)</f>
        <v>87.5</v>
      </c>
      <c r="K68" s="26">
        <f>G68*J68</f>
        <v>13125</v>
      </c>
      <c r="L68" s="27" t="s">
        <v>26</v>
      </c>
      <c r="M68" s="33"/>
      <c r="N68" s="13"/>
      <c r="O68" s="34">
        <v>158.95</v>
      </c>
      <c r="P68" s="12" t="s">
        <v>198</v>
      </c>
      <c r="Q68" s="34"/>
      <c r="R68" s="13"/>
      <c r="S68" s="35"/>
      <c r="T68" s="35"/>
      <c r="U68" s="35"/>
      <c r="V68" s="13"/>
      <c r="W68" s="35"/>
      <c r="X68" s="13"/>
      <c r="Y68" s="13"/>
      <c r="Z68" s="13"/>
      <c r="AA68" s="41"/>
    </row>
    <row r="69" s="4" customFormat="1" ht="60" customHeight="1" outlineLevel="2" spans="1:27">
      <c r="A69" s="28">
        <v>2</v>
      </c>
      <c r="B69" s="37" t="s">
        <v>199</v>
      </c>
      <c r="C69" s="38" t="s">
        <v>200</v>
      </c>
      <c r="D69" s="38" t="s">
        <v>65</v>
      </c>
      <c r="E69" s="38" t="s">
        <v>197</v>
      </c>
      <c r="F69" s="37" t="s">
        <v>189</v>
      </c>
      <c r="G69" s="39">
        <v>14</v>
      </c>
      <c r="H69" s="40">
        <v>70.5</v>
      </c>
      <c r="I69" s="32"/>
      <c r="J69" s="40">
        <f>H69*(1-$I$4)</f>
        <v>70.5</v>
      </c>
      <c r="K69" s="26">
        <f>G69*J69</f>
        <v>987</v>
      </c>
      <c r="L69" s="27" t="s">
        <v>26</v>
      </c>
      <c r="M69" s="33"/>
      <c r="N69" s="13"/>
      <c r="O69" s="34">
        <v>169.95</v>
      </c>
      <c r="P69" s="12" t="s">
        <v>201</v>
      </c>
      <c r="Q69" s="34"/>
      <c r="R69" s="13"/>
      <c r="S69" s="35"/>
      <c r="T69" s="35"/>
      <c r="U69" s="35"/>
      <c r="V69" s="13"/>
      <c r="W69" s="35"/>
      <c r="X69" s="13"/>
      <c r="Y69" s="13"/>
      <c r="Z69" s="13"/>
      <c r="AA69" s="41"/>
    </row>
    <row r="70" s="3" customFormat="1" ht="60" customHeight="1" outlineLevel="2" spans="1:27">
      <c r="A70" s="28">
        <v>3</v>
      </c>
      <c r="B70" s="37" t="s">
        <v>202</v>
      </c>
      <c r="C70" s="38" t="s">
        <v>203</v>
      </c>
      <c r="D70" s="38" t="s">
        <v>65</v>
      </c>
      <c r="E70" s="38" t="s">
        <v>197</v>
      </c>
      <c r="F70" s="37" t="s">
        <v>189</v>
      </c>
      <c r="G70" s="39">
        <v>59</v>
      </c>
      <c r="H70" s="40">
        <v>93</v>
      </c>
      <c r="I70" s="32"/>
      <c r="J70" s="40">
        <f>H70*(1-$I$4)</f>
        <v>93</v>
      </c>
      <c r="K70" s="26">
        <f>G70*J70</f>
        <v>5487</v>
      </c>
      <c r="L70" s="27" t="s">
        <v>26</v>
      </c>
      <c r="M70" s="33"/>
      <c r="N70" s="13"/>
      <c r="O70" s="34">
        <v>161.15</v>
      </c>
      <c r="P70" s="34" t="s">
        <v>204</v>
      </c>
      <c r="Q70" s="34"/>
      <c r="R70" s="35"/>
      <c r="S70" s="35"/>
      <c r="T70" s="35"/>
      <c r="U70" s="35"/>
      <c r="V70" s="35"/>
      <c r="W70" s="35"/>
      <c r="X70" s="35"/>
      <c r="Y70" s="35"/>
      <c r="Z70" s="35"/>
      <c r="AA70" s="36"/>
    </row>
    <row r="71" s="2" customFormat="1" spans="1:27">
      <c r="A71" s="17" t="s">
        <v>18</v>
      </c>
      <c r="B71" s="17" t="s">
        <v>205</v>
      </c>
      <c r="C71" s="38"/>
      <c r="D71" s="38"/>
      <c r="E71" s="38"/>
      <c r="F71" s="37"/>
      <c r="G71" s="39"/>
      <c r="H71" s="40"/>
      <c r="I71" s="32"/>
      <c r="J71" s="40"/>
      <c r="K71" s="26"/>
      <c r="L71" s="27"/>
      <c r="M71" s="33"/>
      <c r="N71" s="23"/>
      <c r="O71" s="34"/>
      <c r="P71" s="23"/>
      <c r="Q71" s="34"/>
      <c r="R71" s="23"/>
      <c r="S71" s="35"/>
      <c r="T71" s="35"/>
      <c r="U71" s="35"/>
      <c r="V71" s="23"/>
      <c r="W71" s="35"/>
      <c r="X71" s="23"/>
      <c r="Y71" s="23"/>
      <c r="Z71" s="23"/>
      <c r="AA71" s="23"/>
    </row>
    <row r="72" s="4" customFormat="1" ht="60" customHeight="1" outlineLevel="2" spans="1:27">
      <c r="A72" s="28">
        <v>1</v>
      </c>
      <c r="B72" s="37" t="s">
        <v>195</v>
      </c>
      <c r="C72" s="38" t="s">
        <v>196</v>
      </c>
      <c r="D72" s="38" t="s">
        <v>65</v>
      </c>
      <c r="E72" s="38" t="s">
        <v>197</v>
      </c>
      <c r="F72" s="37" t="s">
        <v>189</v>
      </c>
      <c r="G72" s="39">
        <v>510</v>
      </c>
      <c r="H72" s="40">
        <v>100.5</v>
      </c>
      <c r="I72" s="32"/>
      <c r="J72" s="40">
        <f t="shared" ref="J72:J81" si="14">H72*(1-$I$4)</f>
        <v>100.5</v>
      </c>
      <c r="K72" s="26">
        <f t="shared" ref="K72:K81" si="15">G72*J72</f>
        <v>51255</v>
      </c>
      <c r="L72" s="27" t="s">
        <v>26</v>
      </c>
      <c r="M72" s="33"/>
      <c r="N72" s="13"/>
      <c r="O72" s="34">
        <v>158.95</v>
      </c>
      <c r="P72" s="12" t="s">
        <v>206</v>
      </c>
      <c r="Q72" s="34"/>
      <c r="R72" s="13"/>
      <c r="S72" s="35"/>
      <c r="T72" s="35"/>
      <c r="U72" s="35"/>
      <c r="V72" s="13"/>
      <c r="W72" s="35"/>
      <c r="X72" s="13"/>
      <c r="Y72" s="13"/>
      <c r="Z72" s="13"/>
      <c r="AA72" s="41"/>
    </row>
    <row r="73" s="3" customFormat="1" ht="60" customHeight="1" outlineLevel="2" spans="1:27">
      <c r="A73" s="28">
        <v>2</v>
      </c>
      <c r="B73" s="37" t="s">
        <v>207</v>
      </c>
      <c r="C73" s="38" t="s">
        <v>208</v>
      </c>
      <c r="D73" s="38" t="s">
        <v>65</v>
      </c>
      <c r="E73" s="38" t="s">
        <v>197</v>
      </c>
      <c r="F73" s="37" t="s">
        <v>189</v>
      </c>
      <c r="G73" s="39">
        <v>306</v>
      </c>
      <c r="H73" s="40">
        <v>174</v>
      </c>
      <c r="I73" s="32"/>
      <c r="J73" s="40">
        <f t="shared" si="14"/>
        <v>174</v>
      </c>
      <c r="K73" s="26">
        <f t="shared" si="15"/>
        <v>53244</v>
      </c>
      <c r="L73" s="27" t="s">
        <v>26</v>
      </c>
      <c r="M73" s="33"/>
      <c r="N73" s="13"/>
      <c r="O73" s="34">
        <v>114.95</v>
      </c>
      <c r="P73" s="34" t="s">
        <v>209</v>
      </c>
      <c r="Q73" s="34"/>
      <c r="R73" s="35"/>
      <c r="S73" s="35"/>
      <c r="T73" s="35"/>
      <c r="U73" s="35"/>
      <c r="V73" s="35"/>
      <c r="W73" s="35"/>
      <c r="X73" s="35"/>
      <c r="Y73" s="35"/>
      <c r="Z73" s="35"/>
      <c r="AA73" s="36"/>
    </row>
    <row r="74" s="4" customFormat="1" ht="60" customHeight="1" outlineLevel="2" spans="1:27">
      <c r="A74" s="28">
        <v>3</v>
      </c>
      <c r="B74" s="37" t="s">
        <v>210</v>
      </c>
      <c r="C74" s="38" t="s">
        <v>211</v>
      </c>
      <c r="D74" s="38" t="s">
        <v>65</v>
      </c>
      <c r="E74" s="38" t="s">
        <v>197</v>
      </c>
      <c r="F74" s="37" t="s">
        <v>189</v>
      </c>
      <c r="G74" s="39">
        <v>212</v>
      </c>
      <c r="H74" s="40">
        <v>104.2</v>
      </c>
      <c r="I74" s="32"/>
      <c r="J74" s="40">
        <f t="shared" si="14"/>
        <v>104.2</v>
      </c>
      <c r="K74" s="26">
        <f t="shared" si="15"/>
        <v>22090.4</v>
      </c>
      <c r="L74" s="27" t="s">
        <v>26</v>
      </c>
      <c r="M74" s="33"/>
      <c r="N74" s="13"/>
      <c r="O74" s="34">
        <v>169.95</v>
      </c>
      <c r="P74" s="12" t="s">
        <v>212</v>
      </c>
      <c r="Q74" s="34"/>
      <c r="R74" s="13"/>
      <c r="S74" s="35"/>
      <c r="T74" s="35"/>
      <c r="U74" s="35"/>
      <c r="V74" s="13"/>
      <c r="W74" s="35"/>
      <c r="X74" s="13"/>
      <c r="Y74" s="13"/>
      <c r="Z74" s="13"/>
      <c r="AA74" s="41"/>
    </row>
    <row r="75" s="4" customFormat="1" ht="60" customHeight="1" outlineLevel="2" spans="1:27">
      <c r="A75" s="28">
        <v>4</v>
      </c>
      <c r="B75" s="37" t="s">
        <v>213</v>
      </c>
      <c r="C75" s="38" t="s">
        <v>214</v>
      </c>
      <c r="D75" s="38" t="s">
        <v>65</v>
      </c>
      <c r="E75" s="38" t="s">
        <v>197</v>
      </c>
      <c r="F75" s="37" t="s">
        <v>189</v>
      </c>
      <c r="G75" s="39">
        <v>4</v>
      </c>
      <c r="H75" s="40">
        <v>58.1</v>
      </c>
      <c r="I75" s="32"/>
      <c r="J75" s="40">
        <f t="shared" si="14"/>
        <v>58.1</v>
      </c>
      <c r="K75" s="26">
        <f t="shared" si="15"/>
        <v>232.4</v>
      </c>
      <c r="L75" s="27" t="s">
        <v>26</v>
      </c>
      <c r="M75" s="33"/>
      <c r="N75" s="13"/>
      <c r="O75" s="34">
        <v>114.95</v>
      </c>
      <c r="P75" s="12" t="s">
        <v>215</v>
      </c>
      <c r="Q75" s="34"/>
      <c r="R75" s="13"/>
      <c r="S75" s="35"/>
      <c r="T75" s="35"/>
      <c r="U75" s="35"/>
      <c r="V75" s="13"/>
      <c r="W75" s="35"/>
      <c r="X75" s="13"/>
      <c r="Y75" s="13"/>
      <c r="Z75" s="13"/>
      <c r="AA75" s="41"/>
    </row>
    <row r="76" s="4" customFormat="1" ht="60" customHeight="1" outlineLevel="2" spans="1:27">
      <c r="A76" s="28">
        <v>5</v>
      </c>
      <c r="B76" s="37" t="s">
        <v>216</v>
      </c>
      <c r="C76" s="38" t="s">
        <v>217</v>
      </c>
      <c r="D76" s="38" t="s">
        <v>65</v>
      </c>
      <c r="E76" s="38" t="s">
        <v>197</v>
      </c>
      <c r="F76" s="37" t="s">
        <v>37</v>
      </c>
      <c r="G76" s="39">
        <v>155.23</v>
      </c>
      <c r="H76" s="40">
        <v>176.9</v>
      </c>
      <c r="I76" s="32"/>
      <c r="J76" s="40">
        <f t="shared" si="14"/>
        <v>176.9</v>
      </c>
      <c r="K76" s="26">
        <f t="shared" si="15"/>
        <v>27460.187</v>
      </c>
      <c r="L76" s="27" t="s">
        <v>26</v>
      </c>
      <c r="M76" s="33"/>
      <c r="N76" s="13"/>
      <c r="O76" s="34">
        <v>147.95</v>
      </c>
      <c r="P76" s="12" t="s">
        <v>218</v>
      </c>
      <c r="Q76" s="34"/>
      <c r="R76" s="13"/>
      <c r="S76" s="35"/>
      <c r="T76" s="35"/>
      <c r="U76" s="35"/>
      <c r="V76" s="13"/>
      <c r="W76" s="35"/>
      <c r="X76" s="13"/>
      <c r="Y76" s="13"/>
      <c r="Z76" s="13"/>
      <c r="AA76" s="41"/>
    </row>
    <row r="77" s="4" customFormat="1" ht="60" customHeight="1" outlineLevel="2" spans="1:27">
      <c r="A77" s="28">
        <v>6</v>
      </c>
      <c r="B77" s="37" t="s">
        <v>219</v>
      </c>
      <c r="C77" s="38" t="s">
        <v>220</v>
      </c>
      <c r="D77" s="38" t="s">
        <v>65</v>
      </c>
      <c r="E77" s="38" t="s">
        <v>197</v>
      </c>
      <c r="F77" s="37" t="s">
        <v>189</v>
      </c>
      <c r="G77" s="39">
        <v>12</v>
      </c>
      <c r="H77" s="40">
        <v>182.4</v>
      </c>
      <c r="I77" s="32"/>
      <c r="J77" s="40">
        <f t="shared" si="14"/>
        <v>182.4</v>
      </c>
      <c r="K77" s="26">
        <f t="shared" si="15"/>
        <v>2188.8</v>
      </c>
      <c r="L77" s="27" t="s">
        <v>26</v>
      </c>
      <c r="M77" s="33"/>
      <c r="N77" s="13"/>
      <c r="O77" s="34">
        <v>109.45</v>
      </c>
      <c r="P77" s="12" t="s">
        <v>221</v>
      </c>
      <c r="Q77" s="34"/>
      <c r="R77" s="13"/>
      <c r="S77" s="35"/>
      <c r="T77" s="35"/>
      <c r="U77" s="35"/>
      <c r="V77" s="13"/>
      <c r="W77" s="35"/>
      <c r="X77" s="13"/>
      <c r="Y77" s="13"/>
      <c r="Z77" s="13"/>
      <c r="AA77" s="41"/>
    </row>
    <row r="78" s="4" customFormat="1" ht="72" customHeight="1" outlineLevel="2" spans="1:27">
      <c r="A78" s="28">
        <v>7</v>
      </c>
      <c r="B78" s="37" t="s">
        <v>222</v>
      </c>
      <c r="C78" s="38" t="s">
        <v>223</v>
      </c>
      <c r="D78" s="38" t="s">
        <v>65</v>
      </c>
      <c r="E78" s="38" t="s">
        <v>197</v>
      </c>
      <c r="F78" s="37" t="s">
        <v>37</v>
      </c>
      <c r="G78" s="39">
        <v>263.08</v>
      </c>
      <c r="H78" s="40">
        <v>48</v>
      </c>
      <c r="I78" s="32"/>
      <c r="J78" s="40">
        <f t="shared" si="14"/>
        <v>48</v>
      </c>
      <c r="K78" s="26">
        <f t="shared" si="15"/>
        <v>12627.84</v>
      </c>
      <c r="L78" s="27" t="s">
        <v>26</v>
      </c>
      <c r="M78" s="33"/>
      <c r="N78" s="13"/>
      <c r="O78" s="34">
        <v>35.2</v>
      </c>
      <c r="P78" s="12" t="s">
        <v>224</v>
      </c>
      <c r="Q78" s="34"/>
      <c r="R78" s="13"/>
      <c r="S78" s="35"/>
      <c r="T78" s="35"/>
      <c r="U78" s="35"/>
      <c r="V78" s="13"/>
      <c r="W78" s="35"/>
      <c r="X78" s="13"/>
      <c r="Y78" s="13"/>
      <c r="Z78" s="13"/>
      <c r="AA78" s="41"/>
    </row>
    <row r="79" s="4" customFormat="1" ht="72" customHeight="1" outlineLevel="2" spans="1:27">
      <c r="A79" s="28">
        <v>8</v>
      </c>
      <c r="B79" s="37" t="s">
        <v>225</v>
      </c>
      <c r="C79" s="38" t="s">
        <v>226</v>
      </c>
      <c r="D79" s="38" t="s">
        <v>65</v>
      </c>
      <c r="E79" s="38" t="s">
        <v>197</v>
      </c>
      <c r="F79" s="37" t="s">
        <v>37</v>
      </c>
      <c r="G79" s="39">
        <v>484.73</v>
      </c>
      <c r="H79" s="40">
        <v>59.8</v>
      </c>
      <c r="I79" s="32"/>
      <c r="J79" s="40">
        <f t="shared" si="14"/>
        <v>59.8</v>
      </c>
      <c r="K79" s="26">
        <f t="shared" si="15"/>
        <v>28986.854</v>
      </c>
      <c r="L79" s="27" t="s">
        <v>26</v>
      </c>
      <c r="M79" s="33"/>
      <c r="N79" s="13"/>
      <c r="O79" s="34">
        <v>33.55</v>
      </c>
      <c r="P79" s="12" t="s">
        <v>227</v>
      </c>
      <c r="Q79" s="34"/>
      <c r="R79" s="13"/>
      <c r="S79" s="35"/>
      <c r="T79" s="35"/>
      <c r="U79" s="35"/>
      <c r="V79" s="13"/>
      <c r="W79" s="35"/>
      <c r="X79" s="13"/>
      <c r="Y79" s="13"/>
      <c r="Z79" s="13"/>
      <c r="AA79" s="41"/>
    </row>
    <row r="80" s="4" customFormat="1" ht="48" customHeight="1" outlineLevel="2" spans="1:27">
      <c r="A80" s="28">
        <v>9</v>
      </c>
      <c r="B80" s="37" t="s">
        <v>228</v>
      </c>
      <c r="C80" s="38" t="s">
        <v>229</v>
      </c>
      <c r="D80" s="38" t="s">
        <v>65</v>
      </c>
      <c r="E80" s="38" t="s">
        <v>197</v>
      </c>
      <c r="F80" s="37" t="s">
        <v>230</v>
      </c>
      <c r="G80" s="39">
        <v>142</v>
      </c>
      <c r="H80" s="40">
        <v>52</v>
      </c>
      <c r="I80" s="32"/>
      <c r="J80" s="40">
        <f t="shared" si="14"/>
        <v>52</v>
      </c>
      <c r="K80" s="26">
        <f t="shared" si="15"/>
        <v>7384</v>
      </c>
      <c r="L80" s="27" t="s">
        <v>26</v>
      </c>
      <c r="M80" s="33"/>
      <c r="N80" s="13"/>
      <c r="O80" s="34">
        <v>41.25</v>
      </c>
      <c r="P80" s="12" t="s">
        <v>231</v>
      </c>
      <c r="Q80" s="34"/>
      <c r="R80" s="13"/>
      <c r="S80" s="35"/>
      <c r="T80" s="35"/>
      <c r="U80" s="35"/>
      <c r="V80" s="13"/>
      <c r="W80" s="35"/>
      <c r="X80" s="13"/>
      <c r="Y80" s="13"/>
      <c r="Z80" s="13"/>
      <c r="AA80" s="41"/>
    </row>
    <row r="81" s="4" customFormat="1" ht="48" customHeight="1" outlineLevel="2" spans="1:27">
      <c r="A81" s="28">
        <v>10</v>
      </c>
      <c r="B81" s="37" t="s">
        <v>232</v>
      </c>
      <c r="C81" s="38" t="s">
        <v>233</v>
      </c>
      <c r="D81" s="38" t="s">
        <v>65</v>
      </c>
      <c r="E81" s="38" t="s">
        <v>197</v>
      </c>
      <c r="F81" s="37" t="s">
        <v>230</v>
      </c>
      <c r="G81" s="39">
        <v>38</v>
      </c>
      <c r="H81" s="40">
        <v>30</v>
      </c>
      <c r="I81" s="32"/>
      <c r="J81" s="40">
        <f t="shared" si="14"/>
        <v>30</v>
      </c>
      <c r="K81" s="26">
        <f t="shared" si="15"/>
        <v>1140</v>
      </c>
      <c r="L81" s="27" t="s">
        <v>26</v>
      </c>
      <c r="M81" s="33"/>
      <c r="N81" s="13"/>
      <c r="O81" s="34">
        <v>24.75</v>
      </c>
      <c r="P81" s="12" t="s">
        <v>234</v>
      </c>
      <c r="Q81" s="34"/>
      <c r="R81" s="13"/>
      <c r="S81" s="35"/>
      <c r="T81" s="35"/>
      <c r="U81" s="35"/>
      <c r="V81" s="13"/>
      <c r="W81" s="35"/>
      <c r="X81" s="13"/>
      <c r="Y81" s="13"/>
      <c r="Z81" s="13"/>
      <c r="AA81" s="41"/>
    </row>
    <row r="82" s="2" customFormat="1" ht="15" customHeight="1" spans="1:27">
      <c r="A82" s="17" t="s">
        <v>18</v>
      </c>
      <c r="B82" s="17" t="s">
        <v>235</v>
      </c>
      <c r="C82" s="38"/>
      <c r="D82" s="38"/>
      <c r="E82" s="38"/>
      <c r="F82" s="37"/>
      <c r="G82" s="39"/>
      <c r="H82" s="40"/>
      <c r="I82" s="32"/>
      <c r="J82" s="40"/>
      <c r="K82" s="26"/>
      <c r="L82" s="27"/>
      <c r="M82" s="33"/>
      <c r="N82" s="23"/>
      <c r="O82" s="34"/>
      <c r="P82" s="23"/>
      <c r="Q82" s="34"/>
      <c r="R82" s="23"/>
      <c r="S82" s="35"/>
      <c r="T82" s="35"/>
      <c r="U82" s="35"/>
      <c r="V82" s="23"/>
      <c r="W82" s="35"/>
      <c r="X82" s="23"/>
      <c r="Y82" s="23"/>
      <c r="Z82" s="23"/>
      <c r="AA82" s="23"/>
    </row>
    <row r="83" s="4" customFormat="1" ht="96" customHeight="1" outlineLevel="2" spans="1:27">
      <c r="A83" s="28">
        <v>1</v>
      </c>
      <c r="B83" s="37" t="s">
        <v>236</v>
      </c>
      <c r="C83" s="38" t="s">
        <v>237</v>
      </c>
      <c r="D83" s="38" t="s">
        <v>65</v>
      </c>
      <c r="E83" s="38" t="s">
        <v>197</v>
      </c>
      <c r="F83" s="37" t="s">
        <v>189</v>
      </c>
      <c r="G83" s="39">
        <v>2</v>
      </c>
      <c r="H83" s="40">
        <v>1033.5</v>
      </c>
      <c r="I83" s="32"/>
      <c r="J83" s="40">
        <f>H83*(1-$I$4)</f>
        <v>1033.5</v>
      </c>
      <c r="K83" s="26">
        <f>G83*J83</f>
        <v>2067</v>
      </c>
      <c r="L83" s="27" t="s">
        <v>26</v>
      </c>
      <c r="M83" s="33"/>
      <c r="N83" s="13"/>
      <c r="O83" s="34">
        <v>1257.3</v>
      </c>
      <c r="P83" s="12" t="s">
        <v>238</v>
      </c>
      <c r="Q83" s="34"/>
      <c r="R83" s="13"/>
      <c r="S83" s="35"/>
      <c r="T83" s="35"/>
      <c r="U83" s="35"/>
      <c r="V83" s="13"/>
      <c r="W83" s="35"/>
      <c r="X83" s="13"/>
      <c r="Y83" s="13"/>
      <c r="Z83" s="13"/>
      <c r="AA83" s="41"/>
    </row>
    <row r="84" s="3" customFormat="1" ht="61" customHeight="1" outlineLevel="2" spans="1:27">
      <c r="A84" s="28">
        <v>2</v>
      </c>
      <c r="B84" s="37" t="s">
        <v>239</v>
      </c>
      <c r="C84" s="38" t="s">
        <v>240</v>
      </c>
      <c r="D84" s="38" t="s">
        <v>65</v>
      </c>
      <c r="E84" s="38" t="s">
        <v>197</v>
      </c>
      <c r="F84" s="37" t="s">
        <v>189</v>
      </c>
      <c r="G84" s="39">
        <v>1</v>
      </c>
      <c r="H84" s="40">
        <v>67.3</v>
      </c>
      <c r="I84" s="32"/>
      <c r="J84" s="40">
        <f>H84*(1-$I$4)</f>
        <v>67.3</v>
      </c>
      <c r="K84" s="26">
        <f>G84*J84</f>
        <v>67.3</v>
      </c>
      <c r="L84" s="27" t="s">
        <v>26</v>
      </c>
      <c r="M84" s="33"/>
      <c r="N84" s="13"/>
      <c r="O84" s="34">
        <v>89.65</v>
      </c>
      <c r="P84" s="34" t="s">
        <v>241</v>
      </c>
      <c r="Q84" s="34"/>
      <c r="R84" s="35"/>
      <c r="S84" s="35"/>
      <c r="T84" s="35"/>
      <c r="U84" s="35"/>
      <c r="V84" s="35"/>
      <c r="W84" s="35"/>
      <c r="X84" s="35"/>
      <c r="Y84" s="35"/>
      <c r="Z84" s="35"/>
      <c r="AA84" s="36"/>
    </row>
    <row r="85" s="2" customFormat="1" ht="20" customHeight="1" spans="1:27">
      <c r="A85" s="42"/>
      <c r="B85" s="43" t="s">
        <v>242</v>
      </c>
      <c r="C85" s="44"/>
      <c r="D85" s="44"/>
      <c r="E85" s="44"/>
      <c r="F85" s="43"/>
      <c r="G85" s="45"/>
      <c r="H85" s="46"/>
      <c r="I85" s="32"/>
      <c r="J85" s="40"/>
      <c r="K85" s="47">
        <f>SUM(K6:K84)</f>
        <v>2643121.2875</v>
      </c>
      <c r="L85" s="48"/>
      <c r="M85" s="49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20" customHeight="1" spans="1:27">
      <c r="A86" s="50"/>
      <c r="B86" s="28" t="s">
        <v>243</v>
      </c>
      <c r="C86" s="50"/>
      <c r="D86" s="50"/>
      <c r="E86" s="50"/>
      <c r="F86" s="50"/>
      <c r="G86" s="31"/>
      <c r="H86" s="31"/>
      <c r="I86" s="31"/>
      <c r="J86" s="40"/>
      <c r="K86" s="51">
        <f>+K85*0.09</f>
        <v>237880.915875</v>
      </c>
      <c r="L86" s="52"/>
      <c r="M86" s="53"/>
    </row>
    <row r="87" ht="20" customHeight="1" spans="1:27">
      <c r="A87" s="50"/>
      <c r="B87" s="28" t="s">
        <v>244</v>
      </c>
      <c r="C87" s="50"/>
      <c r="D87" s="50"/>
      <c r="E87" s="50"/>
      <c r="F87" s="50"/>
      <c r="G87" s="31"/>
      <c r="H87" s="31"/>
      <c r="I87" s="31"/>
      <c r="J87" s="40"/>
      <c r="K87" s="51">
        <f>+K85+K86</f>
        <v>2881002.203375</v>
      </c>
      <c r="L87" s="52"/>
      <c r="M87" s="53"/>
    </row>
    <row r="88" spans="1:27">
      <c r="J88" s="8"/>
      <c r="K88" s="9"/>
      <c r="L88" s="10"/>
      <c r="N88" s="13"/>
    </row>
    <row r="89" spans="1:27">
      <c r="J89" s="8"/>
      <c r="K89" s="9"/>
      <c r="L89" s="10"/>
      <c r="N89" s="13"/>
    </row>
    <row r="90" spans="1:27">
      <c r="J90" s="8"/>
      <c r="K90" s="9"/>
      <c r="L90" s="10"/>
      <c r="N90" s="13"/>
    </row>
    <row r="91" spans="1:27">
      <c r="J91" s="8"/>
      <c r="K91" s="9"/>
      <c r="L91" s="10"/>
      <c r="N91" s="13"/>
    </row>
    <row r="92" spans="1:27">
      <c r="J92" s="8"/>
      <c r="K92" s="9"/>
      <c r="L92" s="10"/>
      <c r="N92" s="13"/>
    </row>
    <row r="93" spans="1:27">
      <c r="J93" s="8"/>
      <c r="K93" s="9"/>
      <c r="L93" s="10"/>
      <c r="N93" s="13"/>
    </row>
    <row r="94" spans="1:27">
      <c r="J94" s="8"/>
      <c r="K94" s="9"/>
      <c r="L94" s="10"/>
      <c r="N94" s="13"/>
    </row>
    <row r="95" spans="1:27">
      <c r="J95" s="8"/>
      <c r="K95" s="9"/>
      <c r="L95" s="10"/>
      <c r="N95" s="13"/>
    </row>
    <row r="96" spans="1:27">
      <c r="J96" s="8"/>
      <c r="K96" s="9"/>
      <c r="L96" s="10"/>
      <c r="N96" s="13"/>
    </row>
    <row r="97" spans="10:14">
      <c r="J97" s="8"/>
      <c r="K97" s="9"/>
      <c r="L97" s="10"/>
      <c r="N97" s="13"/>
    </row>
    <row r="98" spans="10:14">
      <c r="J98" s="8"/>
      <c r="K98" s="9"/>
      <c r="L98" s="10"/>
      <c r="N98" s="13"/>
    </row>
    <row r="99" spans="10:14">
      <c r="J99" s="8"/>
      <c r="K99" s="9"/>
      <c r="L99" s="10"/>
      <c r="N99" s="13"/>
    </row>
    <row r="100" spans="10:14">
      <c r="J100" s="8"/>
      <c r="K100" s="9"/>
      <c r="L100" s="10"/>
      <c r="N100" s="13"/>
    </row>
    <row r="101" spans="10:14">
      <c r="J101" s="8"/>
      <c r="K101" s="9"/>
      <c r="L101" s="10"/>
      <c r="N101" s="13"/>
    </row>
    <row r="102" spans="10:14">
      <c r="J102" s="8"/>
      <c r="K102" s="9"/>
      <c r="L102" s="10"/>
      <c r="N102" s="13"/>
    </row>
    <row r="103" spans="10:14">
      <c r="J103" s="8"/>
      <c r="K103" s="9"/>
      <c r="L103" s="10"/>
      <c r="N103" s="13"/>
    </row>
    <row r="104" spans="10:14">
      <c r="J104" s="8"/>
      <c r="K104" s="9"/>
      <c r="L104" s="10"/>
      <c r="N104" s="13"/>
    </row>
    <row r="105" spans="10:14">
      <c r="J105" s="8"/>
      <c r="K105" s="9"/>
      <c r="L105" s="10"/>
      <c r="N105" s="13"/>
    </row>
    <row r="106" spans="10:14">
      <c r="J106" s="8"/>
      <c r="K106" s="9"/>
      <c r="L106" s="10"/>
      <c r="N106" s="13"/>
    </row>
    <row r="107" spans="10:14">
      <c r="J107" s="8"/>
      <c r="K107" s="9"/>
      <c r="L107" s="10"/>
      <c r="N107" s="13"/>
    </row>
    <row r="108" spans="10:14">
      <c r="J108" s="8"/>
      <c r="K108" s="9"/>
      <c r="L108" s="10"/>
      <c r="N108" s="13"/>
    </row>
    <row r="109" spans="10:14">
      <c r="J109" s="8"/>
      <c r="K109" s="9"/>
      <c r="L109" s="10"/>
      <c r="N109" s="13"/>
    </row>
    <row r="110" spans="10:14">
      <c r="J110" s="8"/>
      <c r="K110" s="9"/>
      <c r="L110" s="10"/>
      <c r="N110" s="13"/>
    </row>
    <row r="111" spans="10:14">
      <c r="J111" s="8"/>
      <c r="K111" s="9"/>
      <c r="L111" s="10"/>
      <c r="N111" s="13"/>
    </row>
    <row r="112" spans="10:14">
      <c r="J112" s="8"/>
      <c r="K112" s="9"/>
      <c r="L112" s="10"/>
      <c r="N112" s="13"/>
    </row>
  </sheetData>
  <autoFilter xmlns:etc="http://www.wps.cn/officeDocument/2017/etCustomData" ref="A3:W87" etc:filterBottomFollowUsedRange="0">
    <extLst/>
  </autoFilter>
  <mergeCells count="13">
    <mergeCell ref="A1:M1"/>
    <mergeCell ref="J2:K2"/>
    <mergeCell ref="A2:A3"/>
    <mergeCell ref="B2:B3"/>
    <mergeCell ref="C2:C3"/>
    <mergeCell ref="D2:D3"/>
    <mergeCell ref="E2:E3"/>
    <mergeCell ref="F2:F3"/>
    <mergeCell ref="G2:G3"/>
    <mergeCell ref="I2:I3"/>
    <mergeCell ref="I4:I85"/>
    <mergeCell ref="L2:L3"/>
    <mergeCell ref="M2:M3"/>
  </mergeCells>
  <conditionalFormatting sqref="B5">
    <cfRule type="duplicateValues" dxfId="0" priority="5"/>
  </conditionalFormatting>
  <conditionalFormatting sqref="B32">
    <cfRule type="duplicateValues" dxfId="0" priority="4"/>
  </conditionalFormatting>
  <conditionalFormatting sqref="B67">
    <cfRule type="duplicateValues" dxfId="0" priority="3"/>
  </conditionalFormatting>
  <conditionalFormatting sqref="B71">
    <cfRule type="duplicateValues" dxfId="0" priority="2"/>
  </conditionalFormatting>
  <conditionalFormatting sqref="B82">
    <cfRule type="duplicateValues" dxfId="0" priority="1"/>
  </conditionalFormatting>
  <conditionalFormatting sqref="B2 B4">
    <cfRule type="duplicateValues" dxfId="0" priority="6"/>
  </conditionalFormatting>
  <printOptions horizontalCentered="1"/>
  <pageMargins left="0.393055555555556" right="0.393055555555556" top="0.235416666666667" bottom="0.15625" header="0.55" footer="0.235416666666667"/>
  <pageSetup paperSize="9" scale="99" fitToHeight="0" orientation="landscape" blackAndWhite="1" horizontalDpi="600"/>
  <headerFooter>
    <oddFooter>&amp;C第 &amp;P 页，共 &amp;N 页</oddFooter>
  </headerFooter>
  <rowBreaks count="1" manualBreakCount="1">
    <brk id="20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车库装饰工程量清单-综合单价控制价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DYJ</dc:creator>
  <cp:lastModifiedBy>叶渭淋</cp:lastModifiedBy>
  <dcterms:created xsi:type="dcterms:W3CDTF">2026-08-05T00:59:00Z</dcterms:created>
  <dcterms:modified xsi:type="dcterms:W3CDTF">2026-08-06T01:43:33Z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EAABD470B23A4A8A86CDAF989CD3F8AB_11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