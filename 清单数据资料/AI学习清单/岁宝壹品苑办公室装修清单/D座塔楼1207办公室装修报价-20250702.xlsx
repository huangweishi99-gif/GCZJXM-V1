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AI学习清单\岁宝壹品苑办公室装修清单\"/>
    </mc:Choice>
  </mc:AlternateContent>
  <bookViews>
    <workbookView windowWidth="27945" windowHeight="11805" firstSheet="1" activeTab="1"/>
  </bookViews>
  <sheets>
    <sheet name="1207报价汇总" sheetId="4" r:id="rId1"/>
    <sheet name="1207清单" sheetId="5" r:id="rId2"/>
    <sheet name="1207空调消防清单" sheetId="6" r:id="rId3"/>
    <sheet name="材料设备参考品牌" sheetId="3" r:id="rId4"/>
  </sheets>
  <externalReferences>
    <externalReference r:id="rId5"/>
  </externalReferences>
  <definedNames>
    <definedName name="_xlnm._FilterDatabase" localSheetId="1" hidden="1">'1207清单'!$A$1:$Y$52</definedName>
    <definedName name="_xlnm._FilterDatabase" localSheetId="2" hidden="1">'1207空调消防清单'!$A$1:$T$39</definedName>
    <definedName name="_xlnm.Print_Titles" localSheetId="3">材料设备参考品牌!$1:$2</definedName>
    <definedName name="_xlnm.Print_Area" localSheetId="0">'1207报价汇总'!$A$1:$F$11</definedName>
    <definedName name="_xlnm.Print_Titles" localSheetId="0">'1207报价汇总'!$1:$2</definedName>
    <definedName name="_xlnm.Print_Area" localSheetId="1">'1207清单'!$A$1:$H$52</definedName>
    <definedName name="_xlnm.Print_Titles" localSheetId="1">'1207清单'!$1:$2</definedName>
    <definedName name="_xlnm.Print_Area" localSheetId="2">'1207空调消防清单'!$A$1:$H$39</definedName>
    <definedName name="_xlnm.Print_Titles" localSheetId="2">'1207空调消防清单'!$1:$2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<sst xmlns="http://schemas.openxmlformats.org/spreadsheetml/2006/main" count="367" uniqueCount="216">
  <si>
    <t>岁宝壹品苑D栋1207办公室装修汇总</t>
  </si>
  <si>
    <t>序号</t>
  </si>
  <si>
    <t>名称</t>
  </si>
  <si>
    <t>金额（元）</t>
  </si>
  <si>
    <t>面积（㎡）</t>
  </si>
  <si>
    <t>单方价格（元/㎡）</t>
  </si>
  <si>
    <t>备注</t>
  </si>
  <si>
    <t>一</t>
  </si>
  <si>
    <t>装饰工程</t>
  </si>
  <si>
    <t>装饰成本</t>
  </si>
  <si>
    <t>二</t>
  </si>
  <si>
    <t>安装工程</t>
  </si>
  <si>
    <t>空调成本</t>
  </si>
  <si>
    <t>三</t>
  </si>
  <si>
    <t>其他工程</t>
  </si>
  <si>
    <t>消防成本</t>
  </si>
  <si>
    <t>四</t>
  </si>
  <si>
    <t>装饰工程小计：一+二+三</t>
  </si>
  <si>
    <t>五</t>
  </si>
  <si>
    <t>空调消防工程</t>
  </si>
  <si>
    <t>成本合计</t>
  </si>
  <si>
    <t>六</t>
  </si>
  <si>
    <t>小计：四+五</t>
  </si>
  <si>
    <t>七</t>
  </si>
  <si>
    <t>管理费</t>
  </si>
  <si>
    <t>八</t>
  </si>
  <si>
    <t>税金</t>
  </si>
  <si>
    <t>九</t>
  </si>
  <si>
    <t>含税合计=六+七+八</t>
  </si>
  <si>
    <t>岁宝壹品苑D座塔楼1207办公室装修清单</t>
  </si>
  <si>
    <t>项目名称</t>
  </si>
  <si>
    <t>项目特征</t>
  </si>
  <si>
    <t>单位</t>
  </si>
  <si>
    <t>工程量</t>
  </si>
  <si>
    <t>综合单价（不含税）</t>
  </si>
  <si>
    <t>合价</t>
  </si>
  <si>
    <t>主材费</t>
  </si>
  <si>
    <t>主材损耗率</t>
  </si>
  <si>
    <t>人工费</t>
  </si>
  <si>
    <t>辅材费</t>
  </si>
  <si>
    <t>机械费</t>
  </si>
  <si>
    <t>利润</t>
  </si>
  <si>
    <t>合计</t>
  </si>
  <si>
    <t>成本价</t>
  </si>
  <si>
    <t>(一)</t>
  </si>
  <si>
    <t>地面工程</t>
  </si>
  <si>
    <t>地面架空层</t>
  </si>
  <si>
    <t>1、100mm高
2、500*500mm架空地板</t>
  </si>
  <si>
    <t>㎡</t>
  </si>
  <si>
    <t>地面地毯</t>
  </si>
  <si>
    <t>1、规格尺寸：500*500
2、地毯专用胶，厚度包干，后期不因厚度调整价格；</t>
  </si>
  <si>
    <t>(二)</t>
  </si>
  <si>
    <t>天花工程</t>
  </si>
  <si>
    <t>原天棚喷深色乳胶漆
(含墙体上部)</t>
  </si>
  <si>
    <t>1、面层：深色涂料两遍
2、包含各种管道</t>
  </si>
  <si>
    <t>(三)</t>
  </si>
  <si>
    <t>墙面工程</t>
  </si>
  <si>
    <t>轻钢龙骨隔墙</t>
  </si>
  <si>
    <t>双层双面轻钢龙骨隔墙
1、墙厚120mm;
2、75mm轻钢龙骨；
3、50mm厚，48kg/m3的吸音棉；
4、12mm阻燃夹板+9.5mm厚石膏板</t>
  </si>
  <si>
    <t>轻钢龙骨</t>
  </si>
  <si>
    <t>1、天地龙骨
2、竖龙骨
3、穿心龙骨
4、其他辅材</t>
  </si>
  <si>
    <t>50mm厚吸音棉</t>
  </si>
  <si>
    <t>1、50mm厚，48kg/m3的吸音棉</t>
  </si>
  <si>
    <t>12mm阻燃夹板</t>
  </si>
  <si>
    <t>1、单层12mm阻燃夹板打底</t>
  </si>
  <si>
    <t>9.5mm厚石膏板</t>
  </si>
  <si>
    <t>1、双面单层9.5mm厚石膏板</t>
  </si>
  <si>
    <t>钢化玻璃隔断上方封板</t>
  </si>
  <si>
    <t>双层双面钢结构龙骨隔墙
1、墙厚120mm;
2、钢结构龙骨；
3、50mm厚，48kg/m3的吸音棉；
4、12mm厚阻燃夹板+9.5mm厚石膏板</t>
  </si>
  <si>
    <t>钢结构龙骨</t>
  </si>
  <si>
    <t>1、钢结构龙骨
2、刷防锈漆
3、其他辅材</t>
  </si>
  <si>
    <t>GL-01 10mm厚钢化玻璃隔断</t>
  </si>
  <si>
    <t>1、GL-01 10mm厚钢化玻璃;
2、玻璃胶收口</t>
  </si>
  <si>
    <t>铝合金包边</t>
  </si>
  <si>
    <t>1、铝合金包边
2、12mm厚阻燃夹板</t>
  </si>
  <si>
    <t>墙体抹灰</t>
  </si>
  <si>
    <t>1、12mm-15mm水泥砂浆压光找平；</t>
  </si>
  <si>
    <t>墙面缝贴纸带刮平整</t>
  </si>
  <si>
    <t>1.贴纸带刮平整</t>
  </si>
  <si>
    <t>墙面挂耐水腻子</t>
  </si>
  <si>
    <t>1、耐水腻子2道，含打磨、修补</t>
  </si>
  <si>
    <t>墙面乳胶漆PT-01</t>
  </si>
  <si>
    <t>1、面层：PT-01无机白色涂料一底二面</t>
  </si>
  <si>
    <t>铝合金踢脚线</t>
  </si>
  <si>
    <t>1、规格尺寸：50mm高
2、面层：铝合金不锈钢
3、基层：轻钢龙骨+12mm厚阻燃夹板</t>
  </si>
  <si>
    <t>m</t>
  </si>
  <si>
    <t>窗户自动开关器</t>
  </si>
  <si>
    <t>1、窗户自动开关器</t>
  </si>
  <si>
    <t>套</t>
  </si>
  <si>
    <t>玻璃单开门
（无框）</t>
  </si>
  <si>
    <t>1、10mm厚钢化玻璃门
2、门洞尺寸：900mm*2800mm
4、含门锁.不锈钢扶手五金等制作安装</t>
  </si>
  <si>
    <t>樘</t>
  </si>
  <si>
    <t>扶手</t>
  </si>
  <si>
    <t>副</t>
  </si>
  <si>
    <t>门夹</t>
  </si>
  <si>
    <t>地弹簧</t>
  </si>
  <si>
    <t>机电工程</t>
  </si>
  <si>
    <t>强电部分(不含照明灯具及开关插座)</t>
  </si>
  <si>
    <t>1、成天泰2.5、4平方国标电源线；
2、照明线用wdz-byj-2.5m²,每路线负荷220V/2500W;
3、插座线用wdz-byj-4m²,每路线负荷
220V/4000W
4、含人工及镀锌金属线管</t>
  </si>
  <si>
    <t>装饰明装筒灯</t>
  </si>
  <si>
    <t>1、名称:明装筒灯
2、规格:
3、安装形式:吊装
4、其他:满足设计及施工要求</t>
  </si>
  <si>
    <t>个</t>
  </si>
  <si>
    <t>磁吸灯</t>
  </si>
  <si>
    <t>1、名称:磁吸灯
2、规格:
3、安装形式:嵌入式
4、其他:满足设计及施工要求</t>
  </si>
  <si>
    <t>照明开关</t>
  </si>
  <si>
    <t>(1)名称:各种开关
(2)安装方式:距地1.3米安装
(3)其他:满足设计及施工要求</t>
  </si>
  <si>
    <t>插座</t>
  </si>
  <si>
    <t>(1)名称:单相二.三孔普通插座
(2)规格:250V 10A 安全型
(3)安装方式:详见图纸
(4)其他:满足设计及施工要求</t>
  </si>
  <si>
    <t>弱电部分（包含信号线、网线）</t>
  </si>
  <si>
    <t>1、紧定式镀锌电线管
2、信号线、网线
3、数据插座、路由器</t>
  </si>
  <si>
    <t>网络插座</t>
  </si>
  <si>
    <t>(1)名称:网络插座
(2)安装方式:
(3)其他:满足设计及施工要求</t>
  </si>
  <si>
    <t>门禁系统安装</t>
  </si>
  <si>
    <t>1、门洞尺寸：1500*2200mm
2、门洞开口及修补加固
3、玻璃门保护性拆除及拆除后重新安装</t>
  </si>
  <si>
    <t>项</t>
  </si>
  <si>
    <t>垃圾清运费</t>
  </si>
  <si>
    <t>1.将垃圾运至物业指定小区内装修垃圾存放点。2.物业运至外部垃圾厂。（含物业收取的垃圾外运费）</t>
  </si>
  <si>
    <t>建筑面积111.96平㎡</t>
  </si>
  <si>
    <t>安全文明施工费</t>
  </si>
  <si>
    <t>保洁交付</t>
  </si>
  <si>
    <t>材料搬运费</t>
  </si>
  <si>
    <t>安全生产责任险</t>
  </si>
  <si>
    <t>现场成品保护</t>
  </si>
  <si>
    <t>1.根据物业标准，电梯厅，过道地面、墙面全屋做成品保护</t>
  </si>
  <si>
    <t>小计：一+二+三</t>
  </si>
  <si>
    <t>管理费：四*5%</t>
  </si>
  <si>
    <t>税金：（四+五）*9%</t>
  </si>
  <si>
    <t>含税合计：四+五+六</t>
  </si>
  <si>
    <t>岁宝壹品苑D栋1207办公室装修清单
空调消防</t>
  </si>
  <si>
    <t>空调工程</t>
  </si>
  <si>
    <t>空调风机盘管1P</t>
  </si>
  <si>
    <t>1、包含铝合金风口、空调管道、帆布、钢结构支架等</t>
  </si>
  <si>
    <t>台</t>
  </si>
  <si>
    <t>空调风机盘管2P</t>
  </si>
  <si>
    <t>消防改造</t>
  </si>
  <si>
    <t>（一）</t>
  </si>
  <si>
    <t>火灾自动报警系统</t>
  </si>
  <si>
    <t>探测器拆除、安装</t>
  </si>
  <si>
    <t>1、含配合装修</t>
  </si>
  <si>
    <t>探测器新增、安装</t>
  </si>
  <si>
    <t>1、含设备增加及配合装修</t>
  </si>
  <si>
    <t>消防广播拆除、安装</t>
  </si>
  <si>
    <t>增加镀锌线管φ20(含配件)</t>
  </si>
  <si>
    <t>1、国标</t>
  </si>
  <si>
    <t>米</t>
  </si>
  <si>
    <t>增加金属软管￠ 16（含配件）</t>
  </si>
  <si>
    <t>增加ZR-RVS-2x1.5mm² 电线</t>
  </si>
  <si>
    <t>报警系统调试</t>
  </si>
  <si>
    <t>1、仅限我司施工
的项目</t>
  </si>
  <si>
    <t>编程入网、系统接驳</t>
  </si>
  <si>
    <t>1、由大厦原消防施工单位负责，物业统一收费</t>
  </si>
  <si>
    <t>不足4000元的按最低4000元计算。超过4000元的按建筑面积30元/㎡计算。</t>
  </si>
  <si>
    <t>（二）</t>
  </si>
  <si>
    <t>自动喷淋灭火系统</t>
  </si>
  <si>
    <t>喷头拆除、安装</t>
  </si>
  <si>
    <t>喷头新增、安装</t>
  </si>
  <si>
    <t>1、含设备增加</t>
  </si>
  <si>
    <t>管网支吊架</t>
  </si>
  <si>
    <t>KG</t>
  </si>
  <si>
    <t>大红油漆（含人工及天那水）</t>
  </si>
  <si>
    <t>1、含油漆、天那水、人工</t>
  </si>
  <si>
    <t>桶</t>
  </si>
  <si>
    <t>新增镀锌水管DN25</t>
  </si>
  <si>
    <t>1、含材料以及人工安装费用</t>
  </si>
  <si>
    <t>新增镀锌水管DN32</t>
  </si>
  <si>
    <t>新增镀锌水管DN40</t>
  </si>
  <si>
    <t>新增镀锌水管DN50</t>
  </si>
  <si>
    <t>喷淋管网排水费</t>
  </si>
  <si>
    <t>1、含管网排水费
及人工</t>
  </si>
  <si>
    <t>喷淋管网试压</t>
  </si>
  <si>
    <t>1、管网冲洗、试
压、调试</t>
  </si>
  <si>
    <t>（三）</t>
  </si>
  <si>
    <t>机械排烟系统</t>
  </si>
  <si>
    <t>镀锌风管拆除、移位</t>
  </si>
  <si>
    <t>含配合装修</t>
  </si>
  <si>
    <t>镀锌风管新增、安装</t>
  </si>
  <si>
    <t>含材料增加及
配合装修</t>
  </si>
  <si>
    <t>风管防火包裹</t>
  </si>
  <si>
    <t>常开百叶风 口</t>
  </si>
  <si>
    <t>含设备增加及
配合装修</t>
  </si>
  <si>
    <t>排烟系统调试</t>
  </si>
  <si>
    <t>（四）</t>
  </si>
  <si>
    <t>其他</t>
  </si>
  <si>
    <t>消防报验</t>
  </si>
  <si>
    <t>含相关部门收取的报验费用。</t>
  </si>
  <si>
    <t>综合专业设计出图</t>
  </si>
  <si>
    <t>小计</t>
  </si>
  <si>
    <t>材料设备参考品牌</t>
  </si>
  <si>
    <t>专业</t>
  </si>
  <si>
    <t>材料名称</t>
  </si>
  <si>
    <t>品牌</t>
  </si>
  <si>
    <t>装饰</t>
  </si>
  <si>
    <t>地砖</t>
  </si>
  <si>
    <t>东鹏、马可罗兰</t>
  </si>
  <si>
    <t>墙砖</t>
  </si>
  <si>
    <t>方块地毯</t>
  </si>
  <si>
    <t>国产</t>
  </si>
  <si>
    <t>500*500mm架空地板</t>
  </si>
  <si>
    <t>深圳沈飞</t>
  </si>
  <si>
    <t>石膏板</t>
  </si>
  <si>
    <t>泰山、深耐福</t>
  </si>
  <si>
    <t>乳胶漆</t>
  </si>
  <si>
    <t>立邦</t>
  </si>
  <si>
    <t>腻子</t>
  </si>
  <si>
    <t>安装</t>
  </si>
  <si>
    <t>照明，强电用线</t>
  </si>
  <si>
    <t>南洋、成天泰</t>
  </si>
  <si>
    <t>筒灯</t>
  </si>
  <si>
    <t>佛山照明</t>
  </si>
  <si>
    <t>LED灯带</t>
  </si>
  <si>
    <t>公牛</t>
  </si>
  <si>
    <t>信号线、网线</t>
  </si>
  <si>
    <t>海康</t>
  </si>
  <si>
    <t>空调</t>
  </si>
  <si>
    <t>空调风机盘管</t>
  </si>
  <si>
    <t>麦克维尔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</si>
</sst>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6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9" fontId="31" fillId="0" borderId="0" applyFont="0" applyFill="0" applyBorder="0" applyAlignment="0" applyProtection="0">
      <alignment vertical="center"/>
    </xf>
    <xf numFmtId="0" fontId="30" fillId="0" borderId="0"/>
    <xf numFmtId="0" fontId="30" fillId="0" borderId="0"/>
  </cellStyleXfs>
  <cellXfs count="10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76" fontId="3" fillId="0" borderId="0" xfId="0" applyNumberFormat="1" applyFont="1" applyAlignment="1" applyProtection="1">
      <alignment horizontal="center" vertical="center" wrapText="1"/>
      <protection locked="0"/>
    </xf>
    <xf numFmtId="177" fontId="3" fillId="0" borderId="0" xfId="0" applyNumberFormat="1" applyFont="1" applyAlignment="1" applyProtection="1">
      <alignment horizontal="center" vertical="center"/>
    </xf>
    <xf numFmtId="10" fontId="3" fillId="0" borderId="0" xfId="0" applyNumberFormat="1" applyFont="1" applyAlignment="1" applyProtection="1">
      <alignment horizontal="center" vertical="center"/>
    </xf>
    <xf numFmtId="177" fontId="3" fillId="0" borderId="0" xfId="0" applyNumberFormat="1" applyFont="1" applyAlignment="1" applyProtection="1">
      <alignment horizontal="center" vertical="center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177" fontId="3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4" fillId="0" borderId="0" xfId="0" applyNumberFormat="1" applyFont="1" applyAlignment="1" applyProtection="1">
      <alignment horizontal="center" vertical="center"/>
    </xf>
    <xf numFmtId="10" fontId="4" fillId="0" borderId="0" xfId="0" applyNumberFormat="1" applyFont="1" applyAlignment="1" applyProtection="1">
      <alignment horizontal="center" vertical="center"/>
    </xf>
    <xf numFmtId="177" fontId="4" fillId="0" borderId="0" xfId="0" applyNumberFormat="1" applyFont="1" applyAlignment="1" applyProtection="1">
      <alignment horizontal="center" vertical="center"/>
      <protection locked="0"/>
    </xf>
    <xf numFmtId="10" fontId="4" fillId="0" borderId="0" xfId="0" applyNumberFormat="1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7" fontId="4" fillId="0" borderId="1" xfId="0" applyNumberFormat="1" applyFont="1" applyBorder="1" applyAlignment="1" applyProtection="1">
      <alignment horizontal="center" vertical="center"/>
    </xf>
    <xf numFmtId="10" fontId="4" fillId="0" borderId="1" xfId="0" applyNumberFormat="1" applyFont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177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8" fillId="0" borderId="1" xfId="0" applyNumberFormat="1" applyFont="1" applyFill="1" applyBorder="1" applyAlignment="1" applyProtection="1">
      <alignment horizontal="center" vertical="center"/>
    </xf>
    <xf numFmtId="10" fontId="8" fillId="0" borderId="1" xfId="3" applyNumberFormat="1" applyFont="1" applyFill="1" applyBorder="1" applyAlignment="1" applyProtection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3" fillId="0" borderId="0" xfId="0" applyNumberFormat="1" applyFont="1" applyFill="1" applyAlignment="1" applyProtection="1">
      <alignment horizontal="center" vertical="center"/>
      <protection locked="0"/>
    </xf>
    <xf numFmtId="10" fontId="3" fillId="0" borderId="0" xfId="0" applyNumberFormat="1" applyFont="1" applyFill="1" applyAlignment="1" applyProtection="1">
      <alignment horizontal="center" vertical="center"/>
      <protection locked="0"/>
    </xf>
    <xf numFmtId="177" fontId="3" fillId="0" borderId="0" xfId="0" applyNumberFormat="1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</xf>
    <xf numFmtId="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9" fontId="6" fillId="0" borderId="1" xfId="0" applyNumberFormat="1" applyFont="1" applyBorder="1" applyAlignment="1" applyProtection="1">
      <alignment horizontal="left" vertical="center" wrapText="1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7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4" fillId="0" borderId="0" xfId="3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0" fontId="8" fillId="0" borderId="1" xfId="3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77" fontId="1" fillId="0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left" vertical="center" wrapText="1"/>
    </xf>
    <xf numFmtId="10" fontId="4" fillId="0" borderId="0" xfId="3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77" fontId="4" fillId="0" borderId="0" xfId="0" applyNumberFormat="1" applyFont="1" applyAlignment="1">
      <alignment vertical="center" wrapText="1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 wrapText="1"/>
    </xf>
    <xf numFmtId="177" fontId="7" fillId="0" borderId="7" xfId="0" applyNumberFormat="1" applyFont="1" applyBorder="1" applyAlignment="1">
      <alignment horizontal="center" vertical="center" wrapText="1"/>
    </xf>
    <xf numFmtId="177" fontId="7" fillId="0" borderId="8" xfId="0" applyNumberFormat="1" applyFont="1" applyBorder="1" applyAlignment="1">
      <alignment horizontal="center" vertical="center" wrapText="1"/>
    </xf>
    <xf numFmtId="10" fontId="4" fillId="0" borderId="0" xfId="3" applyNumberFormat="1" applyFont="1" applyAlignment="1">
      <alignment horizontal="center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5" xfId="50"/>
    <cellStyle name="常规 3 10 2" xfId="51"/>
    <cellStyle name="常规 9" xfId="52"/>
    <cellStyle name="常规_沈阳万科柜体报价单070328 2" xfId="53"/>
    <cellStyle name="百分比 2" xfId="54"/>
    <cellStyle name="常规 10 2" xfId="55"/>
    <cellStyle name="常规_沈阳万科柜体报价单070328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191135</xdr:colOff>
      <xdr:row>0</xdr:row>
      <xdr:rowOff>31115</xdr:rowOff>
    </xdr:from>
    <xdr:to>
      <xdr:col>1</xdr:col>
      <xdr:colOff>1191895</xdr:colOff>
      <xdr:row>0</xdr:row>
      <xdr:rowOff>587375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35" y="31115"/>
          <a:ext cx="154241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&#24231;&#22612;&#27004;1207&#21150;&#20844;&#23460;&#35013;&#20462;&#25253;&#20215;-20250702-&#25991;&#264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207报价汇总"/>
      <sheetName val="1207清单"/>
      <sheetName val="1207空调消防清单"/>
      <sheetName val="材料设备参考品牌"/>
    </sheetNames>
    <sheetDataSet>
      <sheetData sheetId="0"/>
      <sheetData sheetId="1">
        <row r="3">
          <cell r="G3">
            <v>51372.00051412</v>
          </cell>
        </row>
        <row r="32">
          <cell r="G32">
            <v>18591.2393333333</v>
          </cell>
        </row>
        <row r="41">
          <cell r="G41">
            <v>9903</v>
          </cell>
        </row>
        <row r="50">
          <cell r="G50">
            <v>3993.31199237267</v>
          </cell>
        </row>
        <row r="51">
          <cell r="G51">
            <v>0</v>
          </cell>
        </row>
      </sheetData>
      <sheetData sheetId="2">
        <row r="36">
          <cell r="G36">
            <v>32688.58</v>
          </cell>
        </row>
        <row r="37">
          <cell r="G37">
            <v>1634.429</v>
          </cell>
        </row>
        <row r="38">
          <cell r="G38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13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H13" sqref="H13"/>
    </sheetView>
  </sheetViews>
  <sheetFormatPr defaultColWidth="9" defaultRowHeight="12" outlineLevelCol="7"/>
  <cols>
    <col min="1" max="1" width="10" style="8" customWidth="1"/>
    <col min="2" max="2" width="22" style="92" customWidth="1"/>
    <col min="3" max="3" width="17.5583333333333" style="93" customWidth="1"/>
    <col min="4" max="5" width="13.775" style="93" customWidth="1"/>
    <col min="6" max="6" width="13.4416666666667" style="93" customWidth="1"/>
    <col min="7" max="7" width="11.5" style="67" customWidth="1"/>
    <col min="8" max="9" width="10.125" style="67"/>
    <col min="10" max="10" width="9" style="67"/>
    <col min="11" max="11" width="10.125" style="93"/>
    <col min="12" max="15" width="9" style="94"/>
    <col min="16" max="16384" width="9" style="95"/>
  </cols>
  <sheetData>
    <row r="1" ht="63" customHeight="1" spans="1:8">
      <c r="A1" s="96"/>
      <c r="B1" s="97" t="s">
        <v>0</v>
      </c>
      <c r="C1" s="98"/>
      <c r="D1" s="98"/>
      <c r="E1" s="98"/>
      <c r="F1" s="99"/>
    </row>
    <row r="2" ht="27" customHeight="1" spans="1:8">
      <c r="A2" s="100" t="s">
        <v>1</v>
      </c>
      <c r="B2" s="87" t="s">
        <v>2</v>
      </c>
      <c r="C2" s="101" t="s">
        <v>3</v>
      </c>
      <c r="D2" s="102" t="s">
        <v>4</v>
      </c>
      <c r="E2" s="102" t="s">
        <v>5</v>
      </c>
      <c r="F2" s="103" t="s">
        <v>6</v>
      </c>
    </row>
    <row r="3" ht="24" customHeight="1" spans="1:8">
      <c r="A3" s="100" t="s">
        <v>7</v>
      </c>
      <c r="B3" s="87" t="s">
        <v>8</v>
      </c>
      <c r="C3" s="101">
        <f>'[1]1207清单'!G3</f>
        <v>51372.00051412</v>
      </c>
      <c r="D3" s="102"/>
      <c r="E3" s="102"/>
      <c r="F3" s="103"/>
      <c r="G3" s="67" t="s">
        <v>9</v>
      </c>
      <c r="H3" s="67">
        <v>58828.3425506667</v>
      </c>
    </row>
    <row r="4" ht="24" customHeight="1" spans="1:8">
      <c r="A4" s="100" t="s">
        <v>10</v>
      </c>
      <c r="B4" s="87" t="s">
        <v>11</v>
      </c>
      <c r="C4" s="101">
        <f>'[1]1207清单'!G32</f>
        <v>18591.2393333333</v>
      </c>
      <c r="D4" s="102"/>
      <c r="E4" s="102"/>
      <c r="F4" s="103"/>
      <c r="G4" s="67" t="s">
        <v>12</v>
      </c>
      <c r="H4" s="67">
        <f>6000*3</f>
        <v>18000</v>
      </c>
    </row>
    <row r="5" ht="24" customHeight="1" spans="1:8">
      <c r="A5" s="100" t="s">
        <v>13</v>
      </c>
      <c r="B5" s="87" t="s">
        <v>14</v>
      </c>
      <c r="C5" s="101">
        <f>'[1]1207清单'!G41</f>
        <v>9903</v>
      </c>
      <c r="D5" s="102"/>
      <c r="E5" s="102"/>
      <c r="F5" s="103"/>
      <c r="G5" s="67" t="s">
        <v>15</v>
      </c>
      <c r="H5" s="67">
        <f>12*170+4000+3000</f>
        <v>9040</v>
      </c>
    </row>
    <row r="6" ht="24" customHeight="1" spans="1:8">
      <c r="A6" s="100" t="s">
        <v>16</v>
      </c>
      <c r="B6" s="87" t="s">
        <v>17</v>
      </c>
      <c r="C6" s="101">
        <f>SUM(C3:C5)</f>
        <v>79866.2398474533</v>
      </c>
      <c r="D6" s="102">
        <v>66.62</v>
      </c>
      <c r="E6" s="102">
        <f>C6/D6</f>
        <v>1198.83278065826</v>
      </c>
      <c r="F6" s="103"/>
    </row>
    <row r="7" ht="24" customHeight="1" spans="1:8">
      <c r="A7" s="100" t="s">
        <v>18</v>
      </c>
      <c r="B7" s="87" t="s">
        <v>19</v>
      </c>
      <c r="C7" s="101">
        <f>'[1]1207空调消防清单'!G36</f>
        <v>32688.58</v>
      </c>
      <c r="D7" s="102"/>
      <c r="E7" s="102"/>
      <c r="F7" s="103"/>
      <c r="G7" s="67" t="s">
        <v>20</v>
      </c>
      <c r="H7" s="67">
        <f>SUM(H3:H5)</f>
        <v>85868.3425506667</v>
      </c>
    </row>
    <row r="8" ht="24" customHeight="1" spans="1:8">
      <c r="A8" s="100" t="s">
        <v>21</v>
      </c>
      <c r="B8" s="87" t="s">
        <v>22</v>
      </c>
      <c r="C8" s="101">
        <f>C6+C7</f>
        <v>112554.819847453</v>
      </c>
      <c r="D8" s="102">
        <v>66.62</v>
      </c>
      <c r="E8" s="102">
        <f>C8/D8</f>
        <v>1689.50495117762</v>
      </c>
      <c r="F8" s="103"/>
      <c r="H8" s="67">
        <f>C8+C9</f>
        <v>118182.560839826</v>
      </c>
    </row>
    <row r="9" ht="24" customHeight="1" spans="1:8">
      <c r="A9" s="100" t="s">
        <v>23</v>
      </c>
      <c r="B9" s="87" t="s">
        <v>24</v>
      </c>
      <c r="C9" s="101">
        <f>'[1]1207清单'!G50+'[1]1207空调消防清单'!G37</f>
        <v>5627.74099237267</v>
      </c>
      <c r="D9" s="102"/>
      <c r="E9" s="102"/>
      <c r="F9" s="103"/>
      <c r="H9" s="104">
        <f>(H8-H7)/H7</f>
        <v>0.376322837139802</v>
      </c>
    </row>
    <row r="10" ht="24" customHeight="1" spans="1:8">
      <c r="A10" s="100" t="s">
        <v>25</v>
      </c>
      <c r="B10" s="87" t="s">
        <v>26</v>
      </c>
      <c r="C10" s="101">
        <f>'[1]1207清单'!G51+'[1]1207空调消防清单'!G38</f>
        <v>0</v>
      </c>
      <c r="D10" s="102"/>
      <c r="E10" s="102"/>
      <c r="F10" s="103"/>
    </row>
    <row r="11" ht="24" customHeight="1" spans="1:8">
      <c r="A11" s="100" t="s">
        <v>27</v>
      </c>
      <c r="B11" s="87" t="s">
        <v>28</v>
      </c>
      <c r="C11" s="101">
        <f>C8+C9+C10</f>
        <v>118182.560839826</v>
      </c>
      <c r="D11" s="102">
        <v>66.62</v>
      </c>
      <c r="E11" s="102">
        <f>C11/D11</f>
        <v>1773.9801987365</v>
      </c>
      <c r="F11" s="103"/>
    </row>
    <row r="13" spans="1:8">
      <c r="C13" s="67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outlinePr summaryBelow="0"/>
  </sheetPr>
  <dimension ref="A1:AF57"/>
  <sheetViews>
    <sheetView tabSelected="1" view="pageBreakPreview" zoomScaleNormal="100" workbookViewId="0">
      <pane xSplit="6" ySplit="2" topLeftCell="G37" activePane="bottomRight" state="frozen"/>
      <selection/>
      <selection pane="topRight"/>
      <selection pane="bottomLeft"/>
      <selection pane="bottomRight" activeCell="U37" sqref="U37"/>
    </sheetView>
  </sheetViews>
  <sheetFormatPr defaultColWidth="8.99166666666667" defaultRowHeight="12"/>
  <cols>
    <col min="1" max="1" width="7.10833333333333" style="8" customWidth="1"/>
    <col min="2" max="2" width="19.0666666666667" style="57" customWidth="1"/>
    <col min="3" max="3" width="31.525" style="58" customWidth="1"/>
    <col min="4" max="4" width="5.48333333333333" style="8" customWidth="1"/>
    <col min="5" max="5" width="11.4416666666667" style="59" customWidth="1"/>
    <col min="6" max="6" width="11.6666666666667" style="59" customWidth="1"/>
    <col min="7" max="7" width="13.1833333333333" style="59" customWidth="1"/>
    <col min="8" max="8" width="15" style="59" customWidth="1"/>
    <col min="9" max="9" width="10.6666666666667" style="59" customWidth="1"/>
    <col min="10" max="12" width="10.6666666666667" style="59" hidden="1" customWidth="1"/>
    <col min="13" max="15" width="8.99166666666667" style="59" hidden="1" customWidth="1"/>
    <col min="16" max="16" width="9.5" style="59" hidden="1" customWidth="1"/>
    <col min="17" max="17" width="8.99166666666667" style="59" hidden="1" customWidth="1"/>
    <col min="18" max="18" width="12" style="59" customWidth="1"/>
    <col min="19" max="19" width="9.66666666666667" style="59" customWidth="1"/>
    <col min="20" max="20" width="11.8916666666667" style="59" customWidth="1"/>
    <col min="21" max="21" width="11.8916666666667" style="60" customWidth="1"/>
    <col min="22" max="24" width="8.99166666666667" style="59"/>
    <col min="25" max="25" width="11.5" style="59" customWidth="1"/>
    <col min="26" max="16384" width="8.99166666666667" style="8"/>
  </cols>
  <sheetData>
    <row r="1" s="8" customFormat="1" ht="50" customHeight="1" spans="1:25">
      <c r="A1" s="61" t="s">
        <v>29</v>
      </c>
      <c r="B1" s="61"/>
      <c r="C1" s="61"/>
      <c r="D1" s="61"/>
      <c r="E1" s="61"/>
      <c r="F1" s="61"/>
      <c r="G1" s="61"/>
      <c r="H1" s="61"/>
      <c r="I1" s="59"/>
      <c r="J1" s="59"/>
      <c r="K1" s="59"/>
      <c r="L1" s="59"/>
      <c r="M1" s="59"/>
      <c r="N1" s="59"/>
      <c r="O1" s="62"/>
      <c r="P1" s="62"/>
      <c r="Q1" s="62"/>
      <c r="R1" s="59">
        <f>R52</f>
        <v>61769.7596782</v>
      </c>
      <c r="S1" s="59"/>
      <c r="T1" s="59">
        <v>1</v>
      </c>
      <c r="U1" s="60"/>
      <c r="V1" s="59">
        <f t="shared" ref="V1:X1" si="0">$T$1</f>
        <v>1</v>
      </c>
      <c r="W1" s="59">
        <f t="shared" si="0"/>
        <v>1</v>
      </c>
      <c r="X1" s="59">
        <f t="shared" si="0"/>
        <v>1</v>
      </c>
      <c r="Y1" s="59">
        <f>Y52</f>
        <v>61769.7596782</v>
      </c>
    </row>
    <row r="2" s="8" customFormat="1" ht="33" customHeight="1" spans="1:25">
      <c r="A2" s="63" t="s">
        <v>1</v>
      </c>
      <c r="B2" s="64" t="s">
        <v>30</v>
      </c>
      <c r="C2" s="64" t="s">
        <v>31</v>
      </c>
      <c r="D2" s="63" t="s">
        <v>32</v>
      </c>
      <c r="E2" s="65" t="s">
        <v>33</v>
      </c>
      <c r="F2" s="66" t="s">
        <v>34</v>
      </c>
      <c r="G2" s="65" t="s">
        <v>35</v>
      </c>
      <c r="H2" s="65" t="s">
        <v>6</v>
      </c>
      <c r="I2" s="67" t="s">
        <v>34</v>
      </c>
      <c r="J2" s="59" t="s">
        <v>36</v>
      </c>
      <c r="K2" s="59" t="s">
        <v>37</v>
      </c>
      <c r="L2" s="59" t="s">
        <v>38</v>
      </c>
      <c r="M2" s="59" t="s">
        <v>39</v>
      </c>
      <c r="N2" s="59" t="s">
        <v>40</v>
      </c>
      <c r="O2" s="59" t="s">
        <v>24</v>
      </c>
      <c r="P2" s="59" t="s">
        <v>41</v>
      </c>
      <c r="Q2" s="59" t="s">
        <v>26</v>
      </c>
      <c r="R2" s="59" t="s">
        <v>42</v>
      </c>
      <c r="S2" s="59" t="s">
        <v>43</v>
      </c>
      <c r="T2" s="23" t="s">
        <v>36</v>
      </c>
      <c r="U2" s="24" t="s">
        <v>37</v>
      </c>
      <c r="V2" s="23" t="s">
        <v>38</v>
      </c>
      <c r="W2" s="23" t="s">
        <v>39</v>
      </c>
      <c r="X2" s="23" t="s">
        <v>40</v>
      </c>
      <c r="Y2" s="23" t="s">
        <v>20</v>
      </c>
    </row>
    <row r="3" s="8" customFormat="1" ht="24" customHeight="1" spans="1:25">
      <c r="A3" s="68" t="s">
        <v>7</v>
      </c>
      <c r="B3" s="69" t="s">
        <v>8</v>
      </c>
      <c r="C3" s="70"/>
      <c r="D3" s="68"/>
      <c r="E3" s="71"/>
      <c r="F3" s="71"/>
      <c r="G3" s="71">
        <f>SUBTOTAL(9,G5:G31)</f>
        <v>35924.475884</v>
      </c>
      <c r="H3" s="71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0"/>
      <c r="V3" s="59"/>
      <c r="W3" s="59"/>
      <c r="X3" s="59"/>
      <c r="Y3" s="59"/>
    </row>
    <row r="4" s="8" customFormat="1" ht="28" customHeight="1" outlineLevel="1" spans="1:25">
      <c r="A4" s="72" t="s">
        <v>44</v>
      </c>
      <c r="B4" s="73" t="s">
        <v>45</v>
      </c>
      <c r="C4" s="74"/>
      <c r="D4" s="72"/>
      <c r="E4" s="75"/>
      <c r="F4" s="75"/>
      <c r="G4" s="75"/>
      <c r="H4" s="75"/>
      <c r="I4" s="59"/>
      <c r="J4" s="76">
        <f>T4*$T$1</f>
        <v>0</v>
      </c>
      <c r="K4" s="77">
        <f>U4</f>
        <v>0</v>
      </c>
      <c r="L4" s="76">
        <f>V4*$V$1</f>
        <v>0</v>
      </c>
      <c r="M4" s="78">
        <f>W4*$W$1</f>
        <v>0</v>
      </c>
      <c r="N4" s="78">
        <f>X4*$X$1</f>
        <v>0</v>
      </c>
      <c r="O4" s="59"/>
      <c r="P4" s="59"/>
      <c r="Q4" s="59"/>
      <c r="R4" s="59"/>
      <c r="S4" s="59"/>
      <c r="T4" s="59"/>
      <c r="U4" s="60"/>
      <c r="V4" s="59"/>
      <c r="W4" s="59"/>
      <c r="X4" s="59"/>
      <c r="Y4" s="59"/>
    </row>
    <row r="5" s="8" customFormat="1" ht="28" customHeight="1" outlineLevel="1" spans="1:25">
      <c r="A5" s="63">
        <v>1</v>
      </c>
      <c r="B5" s="64" t="s">
        <v>46</v>
      </c>
      <c r="C5" s="79" t="s">
        <v>47</v>
      </c>
      <c r="D5" s="63" t="s">
        <v>48</v>
      </c>
      <c r="E5" s="65">
        <v>65.66</v>
      </c>
      <c r="F5" s="65">
        <f>I5</f>
        <v>126.25</v>
      </c>
      <c r="G5" s="65">
        <f>F5*E5</f>
        <v>8289.575</v>
      </c>
      <c r="H5" s="65"/>
      <c r="I5" s="76">
        <f>J5+J5*K5+L5+M5+N5+O5+P5+Q5</f>
        <v>126.25</v>
      </c>
      <c r="J5" s="76">
        <f>T5*$T$1</f>
        <v>125</v>
      </c>
      <c r="K5" s="77">
        <f>U5</f>
        <v>0.01</v>
      </c>
      <c r="L5" s="76">
        <f>V5*$V$1</f>
        <v>0</v>
      </c>
      <c r="M5" s="78">
        <f>W5*$W$1</f>
        <v>0</v>
      </c>
      <c r="N5" s="78">
        <f>X5*$X$1</f>
        <v>0</v>
      </c>
      <c r="O5" s="76">
        <f>(J5+J5*K5+L5+M5+N5)*$O$1</f>
        <v>0</v>
      </c>
      <c r="P5" s="76">
        <f>(J5+J5*K5+L5+M5+N5+O5)*$P$1</f>
        <v>0</v>
      </c>
      <c r="Q5" s="76">
        <f>(J5+J5*K5+L5+M5+N5+O5+P5)*$Q$1</f>
        <v>0</v>
      </c>
      <c r="R5" s="78">
        <f>E5*I5</f>
        <v>8289.575</v>
      </c>
      <c r="S5" s="80">
        <f>T5+T5*U5+V5+W5+X5</f>
        <v>126.25</v>
      </c>
      <c r="T5" s="16">
        <v>125</v>
      </c>
      <c r="U5" s="17">
        <v>0.01</v>
      </c>
      <c r="V5" s="16">
        <v>0</v>
      </c>
      <c r="W5" s="16">
        <v>0</v>
      </c>
      <c r="X5" s="16">
        <v>0</v>
      </c>
      <c r="Y5" s="59">
        <f>S5*E5</f>
        <v>8289.575</v>
      </c>
    </row>
    <row r="6" s="8" customFormat="1" ht="52" customHeight="1" outlineLevel="1" spans="1:25">
      <c r="A6" s="63">
        <v>2</v>
      </c>
      <c r="B6" s="64" t="s">
        <v>49</v>
      </c>
      <c r="C6" s="79" t="s">
        <v>50</v>
      </c>
      <c r="D6" s="63" t="s">
        <v>48</v>
      </c>
      <c r="E6" s="65">
        <f>42.68+0.1*2+0.3+9.27+12.69</f>
        <v>65.14</v>
      </c>
      <c r="F6" s="65">
        <f t="shared" ref="F6:F14" si="1">I6</f>
        <v>71.5</v>
      </c>
      <c r="G6" s="65">
        <f t="shared" ref="G6:G14" si="2">F6*E6</f>
        <v>4657.51</v>
      </c>
      <c r="H6" s="65"/>
      <c r="I6" s="76">
        <f t="shared" ref="I6:I22" si="3">J6+J6*K6+L6+M6+N6+O6+P6+Q6</f>
        <v>71.5</v>
      </c>
      <c r="J6" s="76">
        <f>T6*$T$1</f>
        <v>60</v>
      </c>
      <c r="K6" s="77">
        <f t="shared" ref="K6:K22" si="4">U6</f>
        <v>0.025</v>
      </c>
      <c r="L6" s="76">
        <f>V6*$V$1</f>
        <v>5</v>
      </c>
      <c r="M6" s="78">
        <f>W6*$W$1</f>
        <v>5</v>
      </c>
      <c r="N6" s="78">
        <f>X6*$X$1</f>
        <v>0</v>
      </c>
      <c r="O6" s="76">
        <f>(J6+J6*K6+L6+M6+N6)*$O$1</f>
        <v>0</v>
      </c>
      <c r="P6" s="76">
        <f>(J6+J6*K6+L6+M6+N6+O6)*$P$1</f>
        <v>0</v>
      </c>
      <c r="Q6" s="76">
        <f>(J6+J6*K6+L6+M6+N6+O6+P6)*$Q$1</f>
        <v>0</v>
      </c>
      <c r="R6" s="78">
        <f t="shared" ref="R6:R22" si="5">E6*I6</f>
        <v>4657.51</v>
      </c>
      <c r="S6" s="80">
        <f t="shared" ref="S6:S22" si="6">T6+T6*U6+V6+W6+X6</f>
        <v>71.5</v>
      </c>
      <c r="T6" s="59">
        <v>60</v>
      </c>
      <c r="U6" s="17">
        <v>0.025</v>
      </c>
      <c r="V6" s="16">
        <v>5</v>
      </c>
      <c r="W6" s="16">
        <v>5</v>
      </c>
      <c r="X6" s="16">
        <v>0</v>
      </c>
      <c r="Y6" s="59">
        <f t="shared" ref="Y6:Y22" si="7">S6*E6</f>
        <v>4657.51</v>
      </c>
    </row>
    <row r="7" s="8" customFormat="1" ht="22" customHeight="1" outlineLevel="1" spans="1:25">
      <c r="A7" s="72" t="s">
        <v>51</v>
      </c>
      <c r="B7" s="73" t="s">
        <v>52</v>
      </c>
      <c r="C7" s="81"/>
      <c r="D7" s="72"/>
      <c r="E7" s="75"/>
      <c r="F7" s="75"/>
      <c r="G7" s="75"/>
      <c r="H7" s="75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60"/>
      <c r="V7" s="59"/>
      <c r="W7" s="59"/>
      <c r="X7" s="59"/>
      <c r="Y7" s="59"/>
    </row>
    <row r="8" s="8" customFormat="1" ht="31" customHeight="1" outlineLevel="1" spans="1:25">
      <c r="A8" s="63">
        <v>1</v>
      </c>
      <c r="B8" s="64" t="s">
        <v>53</v>
      </c>
      <c r="C8" s="79" t="s">
        <v>54</v>
      </c>
      <c r="D8" s="63" t="s">
        <v>48</v>
      </c>
      <c r="E8" s="65">
        <f>65.66+(41.58-8.67+6.1+6.34*2+3.27*2)*1.31</f>
        <v>141.9413</v>
      </c>
      <c r="F8" s="65">
        <f t="shared" si="1"/>
        <v>20.16</v>
      </c>
      <c r="G8" s="65">
        <f t="shared" si="2"/>
        <v>2861.536608</v>
      </c>
      <c r="H8" s="65"/>
      <c r="I8" s="76">
        <f t="shared" si="3"/>
        <v>20.16</v>
      </c>
      <c r="J8" s="76">
        <f t="shared" ref="J8:J47" si="8">T8*$T$1</f>
        <v>8</v>
      </c>
      <c r="K8" s="77">
        <f t="shared" si="4"/>
        <v>0.02</v>
      </c>
      <c r="L8" s="76">
        <f t="shared" ref="L8:L47" si="9">V8*$V$1</f>
        <v>10</v>
      </c>
      <c r="M8" s="78">
        <f t="shared" ref="M8:M47" si="10">W8*$W$1</f>
        <v>0.5</v>
      </c>
      <c r="N8" s="78">
        <f t="shared" ref="N8:N47" si="11">X8*$X$1</f>
        <v>1.5</v>
      </c>
      <c r="O8" s="76">
        <f>(J8+J8*K8+L8+M8+N8)*$O$1</f>
        <v>0</v>
      </c>
      <c r="P8" s="76">
        <f>(J8+J8*K8+L8+M8+N8+O8)*$P$1</f>
        <v>0</v>
      </c>
      <c r="Q8" s="76">
        <f>(J8+J8*K8+L8+M8+N8+O8+P8)*$Q$1</f>
        <v>0</v>
      </c>
      <c r="R8" s="78">
        <f t="shared" si="5"/>
        <v>2861.536608</v>
      </c>
      <c r="S8" s="80">
        <f t="shared" si="6"/>
        <v>20.16</v>
      </c>
      <c r="T8" s="16">
        <v>8</v>
      </c>
      <c r="U8" s="17">
        <v>0.02</v>
      </c>
      <c r="V8" s="16">
        <v>10</v>
      </c>
      <c r="W8" s="16">
        <v>0.5</v>
      </c>
      <c r="X8" s="16">
        <v>1.5</v>
      </c>
      <c r="Y8" s="59">
        <f t="shared" si="7"/>
        <v>2861.536608</v>
      </c>
    </row>
    <row r="9" s="8" customFormat="1" ht="28" customHeight="1" outlineLevel="1" spans="1:25">
      <c r="A9" s="72" t="s">
        <v>55</v>
      </c>
      <c r="B9" s="73" t="s">
        <v>56</v>
      </c>
      <c r="C9" s="74"/>
      <c r="D9" s="72"/>
      <c r="E9" s="75"/>
      <c r="F9" s="75"/>
      <c r="G9" s="75"/>
      <c r="H9" s="75"/>
      <c r="I9" s="59"/>
      <c r="J9" s="76">
        <f t="shared" si="8"/>
        <v>0</v>
      </c>
      <c r="K9" s="77">
        <f t="shared" si="4"/>
        <v>0</v>
      </c>
      <c r="L9" s="76">
        <f t="shared" si="9"/>
        <v>0</v>
      </c>
      <c r="M9" s="78">
        <f t="shared" si="10"/>
        <v>0</v>
      </c>
      <c r="N9" s="78">
        <f t="shared" si="11"/>
        <v>0</v>
      </c>
      <c r="O9" s="59"/>
      <c r="P9" s="59"/>
      <c r="Q9" s="59"/>
      <c r="R9" s="59"/>
      <c r="S9" s="59"/>
      <c r="T9" s="59"/>
      <c r="U9" s="60"/>
      <c r="V9" s="16"/>
      <c r="W9" s="16"/>
      <c r="X9" s="16"/>
      <c r="Y9" s="59"/>
    </row>
    <row r="10" s="8" customFormat="1" ht="66" customHeight="1" outlineLevel="1" spans="1:25">
      <c r="A10" s="63">
        <v>1</v>
      </c>
      <c r="B10" s="64" t="s">
        <v>57</v>
      </c>
      <c r="C10" s="79" t="s">
        <v>58</v>
      </c>
      <c r="D10" s="63" t="s">
        <v>48</v>
      </c>
      <c r="E10" s="65">
        <f>3.27*3.81</f>
        <v>12.4587</v>
      </c>
      <c r="F10" s="65"/>
      <c r="G10" s="65"/>
      <c r="H10" s="65"/>
      <c r="I10" s="76">
        <f t="shared" si="3"/>
        <v>0</v>
      </c>
      <c r="J10" s="76">
        <f t="shared" si="8"/>
        <v>0</v>
      </c>
      <c r="K10" s="77">
        <f t="shared" si="4"/>
        <v>0</v>
      </c>
      <c r="L10" s="76">
        <f t="shared" si="9"/>
        <v>0</v>
      </c>
      <c r="M10" s="78">
        <f t="shared" si="10"/>
        <v>0</v>
      </c>
      <c r="N10" s="78">
        <f t="shared" si="11"/>
        <v>0</v>
      </c>
      <c r="O10" s="76">
        <f t="shared" ref="O10:O31" si="12">(J10+J10*K10+L10+M10+N10)*$O$1</f>
        <v>0</v>
      </c>
      <c r="P10" s="76">
        <f t="shared" ref="P10:P31" si="13">(J10+J10*K10+L10+M10+N10+O10)*$P$1</f>
        <v>0</v>
      </c>
      <c r="Q10" s="76">
        <f t="shared" ref="Q10:Q31" si="14">(J10+J10*K10+L10+M10+N10+O10+P10)*$Q$1</f>
        <v>0</v>
      </c>
      <c r="R10" s="78">
        <f t="shared" si="5"/>
        <v>0</v>
      </c>
      <c r="S10" s="80">
        <f t="shared" si="6"/>
        <v>0</v>
      </c>
      <c r="T10" s="23"/>
      <c r="U10" s="24"/>
      <c r="V10" s="23"/>
      <c r="W10" s="23"/>
      <c r="X10" s="23"/>
      <c r="Y10" s="59">
        <f t="shared" si="7"/>
        <v>0</v>
      </c>
    </row>
    <row r="11" s="8" customFormat="1" ht="28" customHeight="1" outlineLevel="1" spans="1:25">
      <c r="A11" s="63">
        <v>1.1</v>
      </c>
      <c r="B11" s="64" t="s">
        <v>59</v>
      </c>
      <c r="C11" s="79" t="s">
        <v>60</v>
      </c>
      <c r="D11" s="63" t="s">
        <v>48</v>
      </c>
      <c r="E11" s="65">
        <f>E10</f>
        <v>12.4587</v>
      </c>
      <c r="F11" s="65">
        <f t="shared" si="1"/>
        <v>53.5</v>
      </c>
      <c r="G11" s="65">
        <f t="shared" si="2"/>
        <v>666.54045</v>
      </c>
      <c r="H11" s="65"/>
      <c r="I11" s="76">
        <f t="shared" si="3"/>
        <v>53.5</v>
      </c>
      <c r="J11" s="76">
        <f t="shared" si="8"/>
        <v>26</v>
      </c>
      <c r="K11" s="77">
        <f t="shared" si="4"/>
        <v>0</v>
      </c>
      <c r="L11" s="76">
        <f t="shared" si="9"/>
        <v>26</v>
      </c>
      <c r="M11" s="78">
        <f t="shared" si="10"/>
        <v>0</v>
      </c>
      <c r="N11" s="78">
        <f t="shared" si="11"/>
        <v>1.5</v>
      </c>
      <c r="O11" s="76">
        <f t="shared" si="12"/>
        <v>0</v>
      </c>
      <c r="P11" s="76">
        <f t="shared" si="13"/>
        <v>0</v>
      </c>
      <c r="Q11" s="76">
        <f t="shared" si="14"/>
        <v>0</v>
      </c>
      <c r="R11" s="78">
        <f t="shared" si="5"/>
        <v>666.54045</v>
      </c>
      <c r="S11" s="80">
        <f t="shared" si="6"/>
        <v>53.5</v>
      </c>
      <c r="T11" s="59">
        <v>26</v>
      </c>
      <c r="U11" s="17"/>
      <c r="V11" s="16">
        <v>26</v>
      </c>
      <c r="W11" s="16"/>
      <c r="X11" s="16">
        <v>1.5</v>
      </c>
      <c r="Y11" s="59">
        <f t="shared" si="7"/>
        <v>666.54045</v>
      </c>
    </row>
    <row r="12" s="8" customFormat="1" ht="43" customHeight="1" outlineLevel="1" spans="1:25">
      <c r="A12" s="63">
        <v>1.2</v>
      </c>
      <c r="B12" s="64" t="s">
        <v>61</v>
      </c>
      <c r="C12" s="79" t="s">
        <v>62</v>
      </c>
      <c r="D12" s="63" t="s">
        <v>48</v>
      </c>
      <c r="E12" s="65">
        <f>E10</f>
        <v>12.4587</v>
      </c>
      <c r="F12" s="65">
        <f t="shared" si="1"/>
        <v>21.65</v>
      </c>
      <c r="G12" s="65">
        <f t="shared" si="2"/>
        <v>269.730855</v>
      </c>
      <c r="H12" s="65"/>
      <c r="I12" s="76">
        <f t="shared" si="3"/>
        <v>21.65</v>
      </c>
      <c r="J12" s="76">
        <f t="shared" si="8"/>
        <v>11.65</v>
      </c>
      <c r="K12" s="77">
        <f t="shared" si="4"/>
        <v>0</v>
      </c>
      <c r="L12" s="76">
        <f t="shared" si="9"/>
        <v>10</v>
      </c>
      <c r="M12" s="78">
        <f t="shared" si="10"/>
        <v>0</v>
      </c>
      <c r="N12" s="78">
        <f t="shared" si="11"/>
        <v>0</v>
      </c>
      <c r="O12" s="76">
        <f t="shared" si="12"/>
        <v>0</v>
      </c>
      <c r="P12" s="76">
        <f t="shared" si="13"/>
        <v>0</v>
      </c>
      <c r="Q12" s="76">
        <f t="shared" si="14"/>
        <v>0</v>
      </c>
      <c r="R12" s="78">
        <f t="shared" si="5"/>
        <v>269.730855</v>
      </c>
      <c r="S12" s="80">
        <f t="shared" si="6"/>
        <v>21.65</v>
      </c>
      <c r="T12" s="16">
        <v>11.65</v>
      </c>
      <c r="U12" s="17"/>
      <c r="V12" s="16">
        <v>10</v>
      </c>
      <c r="W12" s="16"/>
      <c r="X12" s="16"/>
      <c r="Y12" s="59">
        <f t="shared" si="7"/>
        <v>269.730855</v>
      </c>
    </row>
    <row r="13" s="8" customFormat="1" ht="28" customHeight="1" outlineLevel="1" spans="1:25">
      <c r="A13" s="63">
        <v>1.3</v>
      </c>
      <c r="B13" s="64" t="s">
        <v>63</v>
      </c>
      <c r="C13" s="79" t="s">
        <v>64</v>
      </c>
      <c r="D13" s="63" t="s">
        <v>48</v>
      </c>
      <c r="E13" s="65">
        <f>E10*2</f>
        <v>24.9174</v>
      </c>
      <c r="F13" s="65">
        <f t="shared" si="1"/>
        <v>48.8</v>
      </c>
      <c r="G13" s="65">
        <f t="shared" si="2"/>
        <v>1215.96912</v>
      </c>
      <c r="H13" s="65"/>
      <c r="I13" s="76">
        <f t="shared" si="3"/>
        <v>48.8</v>
      </c>
      <c r="J13" s="76">
        <f t="shared" si="8"/>
        <v>28</v>
      </c>
      <c r="K13" s="77">
        <f t="shared" si="4"/>
        <v>0</v>
      </c>
      <c r="L13" s="76">
        <f t="shared" si="9"/>
        <v>20</v>
      </c>
      <c r="M13" s="78">
        <f t="shared" si="10"/>
        <v>0.8</v>
      </c>
      <c r="N13" s="78">
        <f t="shared" si="11"/>
        <v>0</v>
      </c>
      <c r="O13" s="76">
        <f t="shared" si="12"/>
        <v>0</v>
      </c>
      <c r="P13" s="76">
        <f t="shared" si="13"/>
        <v>0</v>
      </c>
      <c r="Q13" s="76">
        <f t="shared" si="14"/>
        <v>0</v>
      </c>
      <c r="R13" s="78">
        <f t="shared" si="5"/>
        <v>1215.96912</v>
      </c>
      <c r="S13" s="80">
        <f t="shared" si="6"/>
        <v>48.8</v>
      </c>
      <c r="T13" s="59">
        <v>28</v>
      </c>
      <c r="U13" s="17"/>
      <c r="V13" s="16">
        <v>20</v>
      </c>
      <c r="W13" s="16">
        <v>0.8</v>
      </c>
      <c r="X13" s="16"/>
      <c r="Y13" s="59">
        <f t="shared" si="7"/>
        <v>1215.96912</v>
      </c>
    </row>
    <row r="14" s="8" customFormat="1" ht="43" customHeight="1" outlineLevel="1" spans="1:25">
      <c r="A14" s="63">
        <v>1.4</v>
      </c>
      <c r="B14" s="64" t="s">
        <v>65</v>
      </c>
      <c r="C14" s="79" t="s">
        <v>66</v>
      </c>
      <c r="D14" s="63" t="s">
        <v>48</v>
      </c>
      <c r="E14" s="65">
        <f>E10*2</f>
        <v>24.9174</v>
      </c>
      <c r="F14" s="65">
        <f t="shared" si="1"/>
        <v>28.3</v>
      </c>
      <c r="G14" s="65">
        <f t="shared" si="2"/>
        <v>705.16242</v>
      </c>
      <c r="H14" s="65"/>
      <c r="I14" s="76">
        <f t="shared" si="3"/>
        <v>28.3</v>
      </c>
      <c r="J14" s="76">
        <f t="shared" si="8"/>
        <v>7.5</v>
      </c>
      <c r="K14" s="77">
        <f t="shared" si="4"/>
        <v>0</v>
      </c>
      <c r="L14" s="76">
        <f t="shared" si="9"/>
        <v>20</v>
      </c>
      <c r="M14" s="78">
        <f t="shared" si="10"/>
        <v>0.8</v>
      </c>
      <c r="N14" s="78">
        <f t="shared" si="11"/>
        <v>0</v>
      </c>
      <c r="O14" s="76">
        <f t="shared" si="12"/>
        <v>0</v>
      </c>
      <c r="P14" s="76">
        <f t="shared" si="13"/>
        <v>0</v>
      </c>
      <c r="Q14" s="76">
        <f t="shared" si="14"/>
        <v>0</v>
      </c>
      <c r="R14" s="78">
        <f t="shared" si="5"/>
        <v>705.16242</v>
      </c>
      <c r="S14" s="80">
        <f t="shared" si="6"/>
        <v>28.3</v>
      </c>
      <c r="T14" s="16">
        <v>7.5</v>
      </c>
      <c r="U14" s="17"/>
      <c r="V14" s="16">
        <v>20</v>
      </c>
      <c r="W14" s="16">
        <v>0.8</v>
      </c>
      <c r="X14" s="16"/>
      <c r="Y14" s="59">
        <f t="shared" si="7"/>
        <v>705.16242</v>
      </c>
    </row>
    <row r="15" s="8" customFormat="1" ht="66" customHeight="1" outlineLevel="1" spans="1:25">
      <c r="A15" s="63">
        <v>2</v>
      </c>
      <c r="B15" s="64" t="s">
        <v>67</v>
      </c>
      <c r="C15" s="79" t="s">
        <v>68</v>
      </c>
      <c r="D15" s="63" t="s">
        <v>48</v>
      </c>
      <c r="E15" s="65">
        <f>6.35*1.31</f>
        <v>8.3185</v>
      </c>
      <c r="F15" s="65"/>
      <c r="G15" s="65"/>
      <c r="H15" s="65"/>
      <c r="I15" s="76">
        <f t="shared" si="3"/>
        <v>0</v>
      </c>
      <c r="J15" s="76">
        <f t="shared" si="8"/>
        <v>0</v>
      </c>
      <c r="K15" s="77">
        <f t="shared" si="4"/>
        <v>0</v>
      </c>
      <c r="L15" s="76">
        <f t="shared" si="9"/>
        <v>0</v>
      </c>
      <c r="M15" s="78">
        <f t="shared" si="10"/>
        <v>0</v>
      </c>
      <c r="N15" s="78">
        <f t="shared" si="11"/>
        <v>0</v>
      </c>
      <c r="O15" s="76">
        <f t="shared" si="12"/>
        <v>0</v>
      </c>
      <c r="P15" s="76">
        <f t="shared" si="13"/>
        <v>0</v>
      </c>
      <c r="Q15" s="76">
        <f t="shared" si="14"/>
        <v>0</v>
      </c>
      <c r="R15" s="78">
        <f t="shared" si="5"/>
        <v>0</v>
      </c>
      <c r="S15" s="80">
        <f t="shared" si="6"/>
        <v>0</v>
      </c>
      <c r="T15" s="23"/>
      <c r="U15" s="24"/>
      <c r="V15" s="23"/>
      <c r="W15" s="23"/>
      <c r="X15" s="23"/>
      <c r="Y15" s="59">
        <f t="shared" si="7"/>
        <v>0</v>
      </c>
    </row>
    <row r="16" s="8" customFormat="1" ht="28" customHeight="1" outlineLevel="1" spans="1:25">
      <c r="A16" s="63">
        <v>2.1</v>
      </c>
      <c r="B16" s="64" t="s">
        <v>69</v>
      </c>
      <c r="C16" s="79" t="s">
        <v>70</v>
      </c>
      <c r="D16" s="63" t="s">
        <v>48</v>
      </c>
      <c r="E16" s="65">
        <f>E15</f>
        <v>8.3185</v>
      </c>
      <c r="F16" s="65">
        <f t="shared" ref="F16:F22" si="15">I16</f>
        <v>53.5</v>
      </c>
      <c r="G16" s="65">
        <f t="shared" ref="G16:G22" si="16">F16*E16</f>
        <v>445.03975</v>
      </c>
      <c r="H16" s="65"/>
      <c r="I16" s="76">
        <f t="shared" si="3"/>
        <v>53.5</v>
      </c>
      <c r="J16" s="76">
        <f t="shared" si="8"/>
        <v>26</v>
      </c>
      <c r="K16" s="77">
        <f t="shared" si="4"/>
        <v>0</v>
      </c>
      <c r="L16" s="76">
        <f t="shared" si="9"/>
        <v>26</v>
      </c>
      <c r="M16" s="78">
        <f t="shared" si="10"/>
        <v>0</v>
      </c>
      <c r="N16" s="78">
        <f t="shared" si="11"/>
        <v>1.5</v>
      </c>
      <c r="O16" s="76">
        <f t="shared" si="12"/>
        <v>0</v>
      </c>
      <c r="P16" s="76">
        <f t="shared" si="13"/>
        <v>0</v>
      </c>
      <c r="Q16" s="76">
        <f t="shared" si="14"/>
        <v>0</v>
      </c>
      <c r="R16" s="78">
        <f t="shared" si="5"/>
        <v>445.03975</v>
      </c>
      <c r="S16" s="80">
        <f t="shared" si="6"/>
        <v>53.5</v>
      </c>
      <c r="T16" s="59">
        <v>26</v>
      </c>
      <c r="U16" s="17">
        <f>U11</f>
        <v>0</v>
      </c>
      <c r="V16" s="16">
        <f>V11</f>
        <v>26</v>
      </c>
      <c r="W16" s="16">
        <f>W11</f>
        <v>0</v>
      </c>
      <c r="X16" s="16">
        <f>X11</f>
        <v>1.5</v>
      </c>
      <c r="Y16" s="59">
        <f t="shared" si="7"/>
        <v>445.03975</v>
      </c>
    </row>
    <row r="17" s="8" customFormat="1" ht="43" customHeight="1" outlineLevel="1" spans="1:25">
      <c r="A17" s="63">
        <v>2.2</v>
      </c>
      <c r="B17" s="64" t="s">
        <v>61</v>
      </c>
      <c r="C17" s="79" t="s">
        <v>62</v>
      </c>
      <c r="D17" s="63" t="s">
        <v>48</v>
      </c>
      <c r="E17" s="65">
        <f>E15</f>
        <v>8.3185</v>
      </c>
      <c r="F17" s="65">
        <f t="shared" si="15"/>
        <v>21.65</v>
      </c>
      <c r="G17" s="65">
        <f t="shared" si="16"/>
        <v>180.095525</v>
      </c>
      <c r="H17" s="65"/>
      <c r="I17" s="76">
        <f t="shared" si="3"/>
        <v>21.65</v>
      </c>
      <c r="J17" s="76">
        <f t="shared" si="8"/>
        <v>11.65</v>
      </c>
      <c r="K17" s="77">
        <f t="shared" si="4"/>
        <v>0</v>
      </c>
      <c r="L17" s="76">
        <f t="shared" si="9"/>
        <v>10</v>
      </c>
      <c r="M17" s="78">
        <f t="shared" si="10"/>
        <v>0</v>
      </c>
      <c r="N17" s="78">
        <f t="shared" si="11"/>
        <v>0</v>
      </c>
      <c r="O17" s="76">
        <f t="shared" si="12"/>
        <v>0</v>
      </c>
      <c r="P17" s="76">
        <f t="shared" si="13"/>
        <v>0</v>
      </c>
      <c r="Q17" s="76">
        <f t="shared" si="14"/>
        <v>0</v>
      </c>
      <c r="R17" s="78">
        <f t="shared" si="5"/>
        <v>180.095525</v>
      </c>
      <c r="S17" s="80">
        <f t="shared" si="6"/>
        <v>21.65</v>
      </c>
      <c r="T17" s="16">
        <v>11.65</v>
      </c>
      <c r="U17" s="17">
        <f>U12</f>
        <v>0</v>
      </c>
      <c r="V17" s="16">
        <f>V12</f>
        <v>10</v>
      </c>
      <c r="W17" s="16">
        <f>W12</f>
        <v>0</v>
      </c>
      <c r="X17" s="16">
        <f>X12</f>
        <v>0</v>
      </c>
      <c r="Y17" s="59">
        <f t="shared" si="7"/>
        <v>180.095525</v>
      </c>
    </row>
    <row r="18" s="8" customFormat="1" ht="28" customHeight="1" outlineLevel="1" spans="1:25">
      <c r="A18" s="63">
        <v>2.3</v>
      </c>
      <c r="B18" s="64" t="s">
        <v>63</v>
      </c>
      <c r="C18" s="79" t="s">
        <v>64</v>
      </c>
      <c r="D18" s="63" t="s">
        <v>48</v>
      </c>
      <c r="E18" s="65">
        <f>E15*2</f>
        <v>16.637</v>
      </c>
      <c r="F18" s="65">
        <f t="shared" si="15"/>
        <v>48.8</v>
      </c>
      <c r="G18" s="65">
        <f t="shared" si="16"/>
        <v>811.8856</v>
      </c>
      <c r="H18" s="65"/>
      <c r="I18" s="76">
        <f t="shared" si="3"/>
        <v>48.8</v>
      </c>
      <c r="J18" s="76">
        <f t="shared" si="8"/>
        <v>28</v>
      </c>
      <c r="K18" s="77">
        <f t="shared" si="4"/>
        <v>0</v>
      </c>
      <c r="L18" s="76">
        <f t="shared" si="9"/>
        <v>20</v>
      </c>
      <c r="M18" s="78">
        <f t="shared" si="10"/>
        <v>0.8</v>
      </c>
      <c r="N18" s="78">
        <f t="shared" si="11"/>
        <v>0</v>
      </c>
      <c r="O18" s="76">
        <f t="shared" si="12"/>
        <v>0</v>
      </c>
      <c r="P18" s="76">
        <f t="shared" si="13"/>
        <v>0</v>
      </c>
      <c r="Q18" s="76">
        <f t="shared" si="14"/>
        <v>0</v>
      </c>
      <c r="R18" s="78">
        <f t="shared" si="5"/>
        <v>811.8856</v>
      </c>
      <c r="S18" s="80">
        <f t="shared" si="6"/>
        <v>48.8</v>
      </c>
      <c r="T18" s="59">
        <v>28</v>
      </c>
      <c r="U18" s="17">
        <f>U13</f>
        <v>0</v>
      </c>
      <c r="V18" s="16">
        <f>V13</f>
        <v>20</v>
      </c>
      <c r="W18" s="16">
        <f>W13</f>
        <v>0.8</v>
      </c>
      <c r="X18" s="16">
        <f>X13</f>
        <v>0</v>
      </c>
      <c r="Y18" s="59">
        <f t="shared" si="7"/>
        <v>811.8856</v>
      </c>
    </row>
    <row r="19" s="8" customFormat="1" ht="43" customHeight="1" outlineLevel="1" spans="1:25">
      <c r="A19" s="63">
        <v>2.4</v>
      </c>
      <c r="B19" s="64" t="s">
        <v>65</v>
      </c>
      <c r="C19" s="79" t="s">
        <v>66</v>
      </c>
      <c r="D19" s="63" t="s">
        <v>48</v>
      </c>
      <c r="E19" s="65">
        <f>E15*2</f>
        <v>16.637</v>
      </c>
      <c r="F19" s="65">
        <f t="shared" si="15"/>
        <v>28.3</v>
      </c>
      <c r="G19" s="65">
        <f t="shared" si="16"/>
        <v>470.8271</v>
      </c>
      <c r="H19" s="65"/>
      <c r="I19" s="76">
        <f t="shared" si="3"/>
        <v>28.3</v>
      </c>
      <c r="J19" s="76">
        <f t="shared" si="8"/>
        <v>7.5</v>
      </c>
      <c r="K19" s="77">
        <f t="shared" si="4"/>
        <v>0</v>
      </c>
      <c r="L19" s="76">
        <f t="shared" si="9"/>
        <v>20</v>
      </c>
      <c r="M19" s="78">
        <f t="shared" si="10"/>
        <v>0.8</v>
      </c>
      <c r="N19" s="78">
        <f t="shared" si="11"/>
        <v>0</v>
      </c>
      <c r="O19" s="76">
        <f t="shared" si="12"/>
        <v>0</v>
      </c>
      <c r="P19" s="76">
        <f t="shared" si="13"/>
        <v>0</v>
      </c>
      <c r="Q19" s="76">
        <f t="shared" si="14"/>
        <v>0</v>
      </c>
      <c r="R19" s="78">
        <f t="shared" si="5"/>
        <v>470.8271</v>
      </c>
      <c r="S19" s="80">
        <f t="shared" si="6"/>
        <v>28.3</v>
      </c>
      <c r="T19" s="16">
        <v>7.5</v>
      </c>
      <c r="U19" s="17">
        <f>U14</f>
        <v>0</v>
      </c>
      <c r="V19" s="16">
        <f>V14</f>
        <v>20</v>
      </c>
      <c r="W19" s="16">
        <f>W14</f>
        <v>0.8</v>
      </c>
      <c r="X19" s="16">
        <f>X14</f>
        <v>0</v>
      </c>
      <c r="Y19" s="59">
        <f t="shared" si="7"/>
        <v>470.8271</v>
      </c>
    </row>
    <row r="20" s="8" customFormat="1" ht="42" customHeight="1" outlineLevel="1" spans="1:25">
      <c r="A20" s="63">
        <v>3</v>
      </c>
      <c r="B20" s="64" t="s">
        <v>71</v>
      </c>
      <c r="C20" s="79" t="s">
        <v>72</v>
      </c>
      <c r="D20" s="63" t="s">
        <v>48</v>
      </c>
      <c r="E20" s="65">
        <f>6.34*2.8</f>
        <v>17.752</v>
      </c>
      <c r="F20" s="65">
        <f t="shared" si="15"/>
        <v>201.6</v>
      </c>
      <c r="G20" s="65">
        <f t="shared" si="16"/>
        <v>3578.8032</v>
      </c>
      <c r="H20" s="65"/>
      <c r="I20" s="76">
        <f t="shared" si="3"/>
        <v>201.6</v>
      </c>
      <c r="J20" s="76">
        <f t="shared" si="8"/>
        <v>110</v>
      </c>
      <c r="K20" s="77">
        <f t="shared" si="4"/>
        <v>0.01</v>
      </c>
      <c r="L20" s="76">
        <f t="shared" si="9"/>
        <v>80</v>
      </c>
      <c r="M20" s="78">
        <f t="shared" si="10"/>
        <v>10.5</v>
      </c>
      <c r="N20" s="78">
        <f t="shared" si="11"/>
        <v>0</v>
      </c>
      <c r="O20" s="76">
        <f t="shared" si="12"/>
        <v>0</v>
      </c>
      <c r="P20" s="76">
        <f t="shared" si="13"/>
        <v>0</v>
      </c>
      <c r="Q20" s="76">
        <f t="shared" si="14"/>
        <v>0</v>
      </c>
      <c r="R20" s="78">
        <f t="shared" si="5"/>
        <v>3578.8032</v>
      </c>
      <c r="S20" s="80">
        <f t="shared" si="6"/>
        <v>201.6</v>
      </c>
      <c r="T20" s="59">
        <v>110</v>
      </c>
      <c r="U20" s="17">
        <v>0.01</v>
      </c>
      <c r="V20" s="16">
        <v>80</v>
      </c>
      <c r="W20" s="16">
        <v>10.5</v>
      </c>
      <c r="X20" s="16"/>
      <c r="Y20" s="59">
        <f t="shared" si="7"/>
        <v>3578.8032</v>
      </c>
    </row>
    <row r="21" s="8" customFormat="1" ht="43" customHeight="1" outlineLevel="1" spans="1:25">
      <c r="A21" s="63">
        <v>4</v>
      </c>
      <c r="B21" s="64" t="s">
        <v>73</v>
      </c>
      <c r="C21" s="79" t="s">
        <v>74</v>
      </c>
      <c r="D21" s="63" t="s">
        <v>48</v>
      </c>
      <c r="E21" s="65">
        <f>0.15*(2.8*2+6.34)</f>
        <v>1.791</v>
      </c>
      <c r="F21" s="65">
        <f t="shared" si="15"/>
        <v>308.35</v>
      </c>
      <c r="G21" s="65">
        <f t="shared" si="16"/>
        <v>552.25485</v>
      </c>
      <c r="H21" s="65"/>
      <c r="I21" s="76">
        <f t="shared" si="3"/>
        <v>308.35</v>
      </c>
      <c r="J21" s="76">
        <f t="shared" si="8"/>
        <v>185</v>
      </c>
      <c r="K21" s="77">
        <f t="shared" si="4"/>
        <v>0.01</v>
      </c>
      <c r="L21" s="76">
        <f t="shared" si="9"/>
        <v>90</v>
      </c>
      <c r="M21" s="78">
        <f t="shared" si="10"/>
        <v>31.5</v>
      </c>
      <c r="N21" s="78">
        <f t="shared" si="11"/>
        <v>0</v>
      </c>
      <c r="O21" s="76">
        <f t="shared" si="12"/>
        <v>0</v>
      </c>
      <c r="P21" s="76">
        <f t="shared" si="13"/>
        <v>0</v>
      </c>
      <c r="Q21" s="76">
        <f t="shared" si="14"/>
        <v>0</v>
      </c>
      <c r="R21" s="78">
        <f t="shared" si="5"/>
        <v>552.25485</v>
      </c>
      <c r="S21" s="80">
        <f t="shared" si="6"/>
        <v>308.35</v>
      </c>
      <c r="T21" s="16">
        <v>185</v>
      </c>
      <c r="U21" s="17">
        <v>0.01</v>
      </c>
      <c r="V21" s="16">
        <v>90</v>
      </c>
      <c r="W21" s="16">
        <v>31.5</v>
      </c>
      <c r="X21" s="16"/>
      <c r="Y21" s="59">
        <f t="shared" si="7"/>
        <v>552.25485</v>
      </c>
    </row>
    <row r="22" s="8" customFormat="1" ht="28" customHeight="1" outlineLevel="1" spans="1:25">
      <c r="A22" s="63">
        <v>5</v>
      </c>
      <c r="B22" s="64" t="s">
        <v>75</v>
      </c>
      <c r="C22" s="79" t="s">
        <v>76</v>
      </c>
      <c r="D22" s="63" t="s">
        <v>48</v>
      </c>
      <c r="E22" s="65">
        <f>3.81*(11.85+0.8*2+0.61+2.68+3.71+4.03+0.51)-1.5*2.2</f>
        <v>91.9119</v>
      </c>
      <c r="F22" s="65">
        <f t="shared" si="15"/>
        <v>37.24</v>
      </c>
      <c r="G22" s="65">
        <f t="shared" si="16"/>
        <v>3422.799156</v>
      </c>
      <c r="H22" s="65"/>
      <c r="I22" s="76">
        <f t="shared" si="3"/>
        <v>37.24</v>
      </c>
      <c r="J22" s="76">
        <f t="shared" si="8"/>
        <v>12</v>
      </c>
      <c r="K22" s="77">
        <f t="shared" si="4"/>
        <v>0.02</v>
      </c>
      <c r="L22" s="76">
        <f t="shared" si="9"/>
        <v>25</v>
      </c>
      <c r="M22" s="78">
        <f t="shared" si="10"/>
        <v>0</v>
      </c>
      <c r="N22" s="78">
        <f t="shared" si="11"/>
        <v>0</v>
      </c>
      <c r="O22" s="76">
        <f t="shared" si="12"/>
        <v>0</v>
      </c>
      <c r="P22" s="76">
        <f t="shared" si="13"/>
        <v>0</v>
      </c>
      <c r="Q22" s="76">
        <f t="shared" si="14"/>
        <v>0</v>
      </c>
      <c r="R22" s="78">
        <f t="shared" si="5"/>
        <v>3422.799156</v>
      </c>
      <c r="S22" s="80">
        <f t="shared" si="6"/>
        <v>37.24</v>
      </c>
      <c r="T22" s="59">
        <v>12</v>
      </c>
      <c r="U22" s="17">
        <v>0.02</v>
      </c>
      <c r="V22" s="16">
        <v>25</v>
      </c>
      <c r="W22" s="16"/>
      <c r="X22" s="16"/>
      <c r="Y22" s="59">
        <f t="shared" si="7"/>
        <v>3422.799156</v>
      </c>
    </row>
    <row r="23" s="8" customFormat="1" ht="43" customHeight="1" outlineLevel="1" spans="1:25">
      <c r="A23" s="63">
        <v>6</v>
      </c>
      <c r="B23" s="64" t="s">
        <v>77</v>
      </c>
      <c r="C23" s="79" t="s">
        <v>78</v>
      </c>
      <c r="D23" s="63" t="s">
        <v>48</v>
      </c>
      <c r="E23" s="65">
        <f>3.27*3.81*2+6.34*1.31*2</f>
        <v>41.5282</v>
      </c>
      <c r="F23" s="65">
        <f t="shared" ref="F23:F31" si="17">I23</f>
        <v>8.5</v>
      </c>
      <c r="G23" s="65">
        <f t="shared" ref="G23:G31" si="18">F23*E23</f>
        <v>352.9897</v>
      </c>
      <c r="H23" s="65"/>
      <c r="I23" s="76">
        <f t="shared" ref="I23:I31" si="19">J23+J23*K23+L23+M23+N23+O23+P23+Q23</f>
        <v>8.5</v>
      </c>
      <c r="J23" s="76">
        <f t="shared" si="8"/>
        <v>3.5</v>
      </c>
      <c r="K23" s="77">
        <f t="shared" ref="K23:K35" si="20">U23</f>
        <v>0</v>
      </c>
      <c r="L23" s="76">
        <f t="shared" si="9"/>
        <v>5</v>
      </c>
      <c r="M23" s="78">
        <f t="shared" si="10"/>
        <v>0</v>
      </c>
      <c r="N23" s="78">
        <f t="shared" si="11"/>
        <v>0</v>
      </c>
      <c r="O23" s="76">
        <f t="shared" si="12"/>
        <v>0</v>
      </c>
      <c r="P23" s="76">
        <f t="shared" si="13"/>
        <v>0</v>
      </c>
      <c r="Q23" s="76">
        <f t="shared" si="14"/>
        <v>0</v>
      </c>
      <c r="R23" s="78">
        <f t="shared" ref="R23:R31" si="21">E23*I23</f>
        <v>352.9897</v>
      </c>
      <c r="S23" s="80">
        <f t="shared" ref="S23:S31" si="22">T23+T23*U23+V23+W23+X23</f>
        <v>8.5</v>
      </c>
      <c r="T23" s="16">
        <v>3.5</v>
      </c>
      <c r="U23" s="17">
        <v>0</v>
      </c>
      <c r="V23" s="16">
        <v>5</v>
      </c>
      <c r="W23" s="16">
        <v>0</v>
      </c>
      <c r="X23" s="16">
        <v>0</v>
      </c>
      <c r="Y23" s="59">
        <f t="shared" ref="Y23:Y26" si="23">S23*E23</f>
        <v>352.9897</v>
      </c>
    </row>
    <row r="24" s="8" customFormat="1" ht="43" customHeight="1" outlineLevel="1" spans="1:25">
      <c r="A24" s="63">
        <v>7</v>
      </c>
      <c r="B24" s="64" t="s">
        <v>79</v>
      </c>
      <c r="C24" s="79" t="s">
        <v>80</v>
      </c>
      <c r="D24" s="63" t="s">
        <v>48</v>
      </c>
      <c r="E24" s="65">
        <f>3.81*(11.85+0.8*2+0.61+2.68+3.71+4.03+0.51)-1.5*2.2+3.27*3.81*2+1.31*6.34*2</f>
        <v>133.4401</v>
      </c>
      <c r="F24" s="65">
        <f t="shared" si="17"/>
        <v>23.5</v>
      </c>
      <c r="G24" s="65">
        <f t="shared" si="18"/>
        <v>3135.84235</v>
      </c>
      <c r="H24" s="65"/>
      <c r="I24" s="76">
        <f t="shared" si="19"/>
        <v>23.5</v>
      </c>
      <c r="J24" s="76">
        <f t="shared" si="8"/>
        <v>3.5</v>
      </c>
      <c r="K24" s="77">
        <f t="shared" si="20"/>
        <v>0</v>
      </c>
      <c r="L24" s="76">
        <f t="shared" si="9"/>
        <v>20</v>
      </c>
      <c r="M24" s="78">
        <f t="shared" si="10"/>
        <v>0</v>
      </c>
      <c r="N24" s="78">
        <f t="shared" si="11"/>
        <v>0</v>
      </c>
      <c r="O24" s="76">
        <f t="shared" si="12"/>
        <v>0</v>
      </c>
      <c r="P24" s="76">
        <f t="shared" si="13"/>
        <v>0</v>
      </c>
      <c r="Q24" s="76">
        <f t="shared" si="14"/>
        <v>0</v>
      </c>
      <c r="R24" s="78">
        <f t="shared" si="21"/>
        <v>3135.84235</v>
      </c>
      <c r="S24" s="80">
        <f t="shared" si="22"/>
        <v>23.5</v>
      </c>
      <c r="T24" s="16">
        <v>3.5</v>
      </c>
      <c r="U24" s="17">
        <v>0</v>
      </c>
      <c r="V24" s="16">
        <v>20</v>
      </c>
      <c r="W24" s="16">
        <v>0</v>
      </c>
      <c r="X24" s="16">
        <v>0</v>
      </c>
      <c r="Y24" s="59">
        <f t="shared" si="23"/>
        <v>3135.84235</v>
      </c>
    </row>
    <row r="25" s="8" customFormat="1" ht="43" customHeight="1" outlineLevel="1" spans="1:25">
      <c r="A25" s="63">
        <v>8</v>
      </c>
      <c r="B25" s="64" t="s">
        <v>81</v>
      </c>
      <c r="C25" s="79" t="s">
        <v>82</v>
      </c>
      <c r="D25" s="63" t="s">
        <v>48</v>
      </c>
      <c r="E25" s="65">
        <f>2.8*(11.85+0.8*2+0.61+2.68+3.71+4.03+0.51)-1.5*2.2+3.27*2.8*2</f>
        <v>84.984</v>
      </c>
      <c r="F25" s="65">
        <f t="shared" si="17"/>
        <v>13</v>
      </c>
      <c r="G25" s="65">
        <f t="shared" si="18"/>
        <v>1104.792</v>
      </c>
      <c r="H25" s="65"/>
      <c r="I25" s="76">
        <f t="shared" si="19"/>
        <v>13</v>
      </c>
      <c r="J25" s="76">
        <f t="shared" si="8"/>
        <v>3</v>
      </c>
      <c r="K25" s="77">
        <f t="shared" si="20"/>
        <v>0</v>
      </c>
      <c r="L25" s="76">
        <f t="shared" si="9"/>
        <v>10</v>
      </c>
      <c r="M25" s="78">
        <f t="shared" si="10"/>
        <v>0</v>
      </c>
      <c r="N25" s="78">
        <f t="shared" si="11"/>
        <v>0</v>
      </c>
      <c r="O25" s="76">
        <f t="shared" si="12"/>
        <v>0</v>
      </c>
      <c r="P25" s="76">
        <f t="shared" si="13"/>
        <v>0</v>
      </c>
      <c r="Q25" s="76">
        <f t="shared" si="14"/>
        <v>0</v>
      </c>
      <c r="R25" s="78">
        <f t="shared" si="21"/>
        <v>1104.792</v>
      </c>
      <c r="S25" s="80">
        <f t="shared" si="22"/>
        <v>13</v>
      </c>
      <c r="T25" s="16">
        <v>3</v>
      </c>
      <c r="U25" s="17">
        <v>0</v>
      </c>
      <c r="V25" s="16">
        <v>10</v>
      </c>
      <c r="W25" s="16">
        <v>0</v>
      </c>
      <c r="X25" s="16">
        <v>0</v>
      </c>
      <c r="Y25" s="59">
        <f t="shared" si="23"/>
        <v>1104.792</v>
      </c>
    </row>
    <row r="26" s="8" customFormat="1" ht="43" customHeight="1" outlineLevel="1" spans="1:25">
      <c r="A26" s="63">
        <v>9</v>
      </c>
      <c r="B26" s="64" t="s">
        <v>83</v>
      </c>
      <c r="C26" s="79" t="s">
        <v>84</v>
      </c>
      <c r="D26" s="63" t="s">
        <v>85</v>
      </c>
      <c r="E26" s="65">
        <f>11.85+0.8*2+0.61+2.68+3.71+4.03+0.51-1.5+3.27*2</f>
        <v>30.03</v>
      </c>
      <c r="F26" s="65">
        <f t="shared" si="17"/>
        <v>30.74</v>
      </c>
      <c r="G26" s="65">
        <f t="shared" si="18"/>
        <v>923.1222</v>
      </c>
      <c r="H26" s="65"/>
      <c r="I26" s="82">
        <f t="shared" si="19"/>
        <v>30.74</v>
      </c>
      <c r="J26" s="76">
        <f t="shared" si="8"/>
        <v>12</v>
      </c>
      <c r="K26" s="77">
        <f t="shared" si="20"/>
        <v>0.02</v>
      </c>
      <c r="L26" s="76">
        <f t="shared" si="9"/>
        <v>15</v>
      </c>
      <c r="M26" s="78">
        <f t="shared" si="10"/>
        <v>3.5</v>
      </c>
      <c r="N26" s="78">
        <f t="shared" si="11"/>
        <v>0</v>
      </c>
      <c r="O26" s="76">
        <f t="shared" si="12"/>
        <v>0</v>
      </c>
      <c r="P26" s="76">
        <f t="shared" si="13"/>
        <v>0</v>
      </c>
      <c r="Q26" s="76">
        <f t="shared" si="14"/>
        <v>0</v>
      </c>
      <c r="R26" s="78">
        <f t="shared" si="21"/>
        <v>923.1222</v>
      </c>
      <c r="S26" s="80">
        <f t="shared" si="22"/>
        <v>30.74</v>
      </c>
      <c r="T26" s="83">
        <v>12</v>
      </c>
      <c r="U26" s="17">
        <v>0.02</v>
      </c>
      <c r="V26" s="83">
        <v>15</v>
      </c>
      <c r="W26" s="83">
        <v>3.5</v>
      </c>
      <c r="X26" s="16">
        <v>0</v>
      </c>
      <c r="Y26" s="59">
        <f t="shared" si="23"/>
        <v>923.1222</v>
      </c>
    </row>
    <row r="27" s="8" customFormat="1" ht="43" customHeight="1" outlineLevel="1" spans="1:25">
      <c r="A27" s="63">
        <v>10</v>
      </c>
      <c r="B27" s="64" t="s">
        <v>86</v>
      </c>
      <c r="C27" s="79" t="s">
        <v>87</v>
      </c>
      <c r="D27" s="63" t="s">
        <v>88</v>
      </c>
      <c r="E27" s="65">
        <v>0</v>
      </c>
      <c r="F27" s="65">
        <f t="shared" si="17"/>
        <v>800</v>
      </c>
      <c r="G27" s="65">
        <f t="shared" si="18"/>
        <v>0</v>
      </c>
      <c r="H27" s="65"/>
      <c r="I27" s="76">
        <f t="shared" si="19"/>
        <v>800</v>
      </c>
      <c r="J27" s="76">
        <f t="shared" si="8"/>
        <v>800</v>
      </c>
      <c r="K27" s="77">
        <f t="shared" si="20"/>
        <v>0</v>
      </c>
      <c r="L27" s="76">
        <f t="shared" si="9"/>
        <v>0</v>
      </c>
      <c r="M27" s="78">
        <f t="shared" si="10"/>
        <v>0</v>
      </c>
      <c r="N27" s="78">
        <f t="shared" si="11"/>
        <v>0</v>
      </c>
      <c r="O27" s="76">
        <f t="shared" si="12"/>
        <v>0</v>
      </c>
      <c r="P27" s="76">
        <f t="shared" si="13"/>
        <v>0</v>
      </c>
      <c r="Q27" s="76">
        <f t="shared" si="14"/>
        <v>0</v>
      </c>
      <c r="R27" s="78">
        <f t="shared" si="21"/>
        <v>0</v>
      </c>
      <c r="S27" s="80">
        <f t="shared" si="22"/>
        <v>800</v>
      </c>
      <c r="T27" s="16">
        <v>800</v>
      </c>
      <c r="U27" s="17"/>
      <c r="V27" s="16"/>
      <c r="W27" s="16"/>
      <c r="X27" s="59"/>
      <c r="Y27" s="59"/>
    </row>
    <row r="28" s="8" customFormat="1" ht="43" customHeight="1" outlineLevel="1" spans="1:25">
      <c r="A28" s="63">
        <v>11.1</v>
      </c>
      <c r="B28" s="64" t="s">
        <v>89</v>
      </c>
      <c r="C28" s="79" t="s">
        <v>90</v>
      </c>
      <c r="D28" s="63" t="s">
        <v>91</v>
      </c>
      <c r="E28" s="65">
        <v>2</v>
      </c>
      <c r="F28" s="65">
        <f t="shared" si="17"/>
        <v>550</v>
      </c>
      <c r="G28" s="65">
        <f t="shared" si="18"/>
        <v>1100</v>
      </c>
      <c r="H28" s="65"/>
      <c r="I28" s="76">
        <f t="shared" si="19"/>
        <v>550</v>
      </c>
      <c r="J28" s="76">
        <f t="shared" si="8"/>
        <v>315</v>
      </c>
      <c r="K28" s="77">
        <f t="shared" si="20"/>
        <v>0</v>
      </c>
      <c r="L28" s="76">
        <f t="shared" si="9"/>
        <v>200</v>
      </c>
      <c r="M28" s="78">
        <f t="shared" si="10"/>
        <v>35</v>
      </c>
      <c r="N28" s="78">
        <f t="shared" si="11"/>
        <v>0</v>
      </c>
      <c r="O28" s="76">
        <f t="shared" si="12"/>
        <v>0</v>
      </c>
      <c r="P28" s="76">
        <f t="shared" si="13"/>
        <v>0</v>
      </c>
      <c r="Q28" s="76">
        <f t="shared" si="14"/>
        <v>0</v>
      </c>
      <c r="R28" s="78">
        <f t="shared" si="21"/>
        <v>1100</v>
      </c>
      <c r="S28" s="80">
        <f t="shared" si="22"/>
        <v>550</v>
      </c>
      <c r="T28" s="44">
        <f>125*0.9*2.8</f>
        <v>315</v>
      </c>
      <c r="U28" s="45"/>
      <c r="V28" s="44">
        <v>200</v>
      </c>
      <c r="W28" s="44">
        <f>35</f>
        <v>35</v>
      </c>
      <c r="X28" s="59"/>
      <c r="Y28" s="59">
        <f>S28*E28</f>
        <v>1100</v>
      </c>
    </row>
    <row r="29" s="8" customFormat="1" ht="26" customHeight="1" outlineLevel="1" spans="1:25">
      <c r="A29" s="63">
        <v>11.2</v>
      </c>
      <c r="B29" s="64" t="s">
        <v>92</v>
      </c>
      <c r="C29" s="79"/>
      <c r="D29" s="63" t="s">
        <v>93</v>
      </c>
      <c r="E29" s="65">
        <v>2</v>
      </c>
      <c r="F29" s="65">
        <f t="shared" si="17"/>
        <v>150</v>
      </c>
      <c r="G29" s="65">
        <f t="shared" si="18"/>
        <v>300</v>
      </c>
      <c r="H29" s="65"/>
      <c r="I29" s="76">
        <f t="shared" si="19"/>
        <v>150</v>
      </c>
      <c r="J29" s="76">
        <f t="shared" si="8"/>
        <v>150</v>
      </c>
      <c r="K29" s="77">
        <f t="shared" si="20"/>
        <v>0</v>
      </c>
      <c r="L29" s="76">
        <f t="shared" si="9"/>
        <v>0</v>
      </c>
      <c r="M29" s="78">
        <f t="shared" si="10"/>
        <v>0</v>
      </c>
      <c r="N29" s="78">
        <f t="shared" si="11"/>
        <v>0</v>
      </c>
      <c r="O29" s="76">
        <f t="shared" si="12"/>
        <v>0</v>
      </c>
      <c r="P29" s="76">
        <f t="shared" si="13"/>
        <v>0</v>
      </c>
      <c r="Q29" s="76">
        <f t="shared" si="14"/>
        <v>0</v>
      </c>
      <c r="R29" s="78">
        <f t="shared" si="21"/>
        <v>300</v>
      </c>
      <c r="S29" s="80">
        <f t="shared" si="22"/>
        <v>150</v>
      </c>
      <c r="T29" s="44">
        <v>150</v>
      </c>
      <c r="U29" s="45"/>
      <c r="V29" s="44"/>
      <c r="W29" s="44"/>
      <c r="X29" s="59"/>
      <c r="Y29" s="59">
        <f>S29*E29</f>
        <v>300</v>
      </c>
    </row>
    <row r="30" s="8" customFormat="1" ht="26" customHeight="1" outlineLevel="1" spans="1:25">
      <c r="A30" s="63">
        <v>11.3</v>
      </c>
      <c r="B30" s="64" t="s">
        <v>94</v>
      </c>
      <c r="C30" s="79"/>
      <c r="D30" s="63" t="s">
        <v>93</v>
      </c>
      <c r="E30" s="65">
        <v>4</v>
      </c>
      <c r="F30" s="65">
        <f t="shared" si="17"/>
        <v>45</v>
      </c>
      <c r="G30" s="65">
        <f t="shared" si="18"/>
        <v>180</v>
      </c>
      <c r="H30" s="65"/>
      <c r="I30" s="76">
        <f t="shared" si="19"/>
        <v>45</v>
      </c>
      <c r="J30" s="76">
        <f t="shared" si="8"/>
        <v>45</v>
      </c>
      <c r="K30" s="77">
        <f t="shared" si="20"/>
        <v>0</v>
      </c>
      <c r="L30" s="76">
        <f t="shared" si="9"/>
        <v>0</v>
      </c>
      <c r="M30" s="78">
        <f t="shared" si="10"/>
        <v>0</v>
      </c>
      <c r="N30" s="78">
        <f t="shared" si="11"/>
        <v>0</v>
      </c>
      <c r="O30" s="76">
        <f t="shared" si="12"/>
        <v>0</v>
      </c>
      <c r="P30" s="76">
        <f t="shared" si="13"/>
        <v>0</v>
      </c>
      <c r="Q30" s="76">
        <f t="shared" si="14"/>
        <v>0</v>
      </c>
      <c r="R30" s="78">
        <f t="shared" si="21"/>
        <v>180</v>
      </c>
      <c r="S30" s="80">
        <f t="shared" si="22"/>
        <v>45</v>
      </c>
      <c r="T30" s="44">
        <v>45</v>
      </c>
      <c r="U30" s="45"/>
      <c r="V30" s="44"/>
      <c r="W30" s="44"/>
      <c r="X30" s="59"/>
      <c r="Y30" s="59">
        <f>S30*E30</f>
        <v>180</v>
      </c>
    </row>
    <row r="31" s="8" customFormat="1" ht="26" customHeight="1" outlineLevel="1" spans="1:25">
      <c r="A31" s="63">
        <v>11.4</v>
      </c>
      <c r="B31" s="64" t="s">
        <v>95</v>
      </c>
      <c r="C31" s="79"/>
      <c r="D31" s="63" t="s">
        <v>93</v>
      </c>
      <c r="E31" s="65">
        <v>2</v>
      </c>
      <c r="F31" s="65">
        <f t="shared" si="17"/>
        <v>350</v>
      </c>
      <c r="G31" s="65">
        <f t="shared" si="18"/>
        <v>700</v>
      </c>
      <c r="H31" s="65"/>
      <c r="I31" s="76">
        <f t="shared" si="19"/>
        <v>350</v>
      </c>
      <c r="J31" s="76">
        <f t="shared" si="8"/>
        <v>350</v>
      </c>
      <c r="K31" s="77">
        <f t="shared" si="20"/>
        <v>0</v>
      </c>
      <c r="L31" s="76">
        <f t="shared" si="9"/>
        <v>0</v>
      </c>
      <c r="M31" s="78">
        <f t="shared" si="10"/>
        <v>0</v>
      </c>
      <c r="N31" s="78">
        <f t="shared" si="11"/>
        <v>0</v>
      </c>
      <c r="O31" s="76">
        <f t="shared" si="12"/>
        <v>0</v>
      </c>
      <c r="P31" s="76">
        <f t="shared" si="13"/>
        <v>0</v>
      </c>
      <c r="Q31" s="76">
        <f t="shared" si="14"/>
        <v>0</v>
      </c>
      <c r="R31" s="78">
        <f t="shared" si="21"/>
        <v>700</v>
      </c>
      <c r="S31" s="80">
        <f t="shared" si="22"/>
        <v>350</v>
      </c>
      <c r="T31" s="44">
        <v>350</v>
      </c>
      <c r="U31" s="45"/>
      <c r="V31" s="44"/>
      <c r="W31" s="44"/>
      <c r="X31" s="59"/>
      <c r="Y31" s="59">
        <f>S31*E31</f>
        <v>700</v>
      </c>
    </row>
    <row r="32" s="8" customFormat="1" ht="24" customHeight="1" spans="1:25">
      <c r="A32" s="68" t="s">
        <v>10</v>
      </c>
      <c r="B32" s="69" t="s">
        <v>96</v>
      </c>
      <c r="C32" s="70"/>
      <c r="D32" s="68"/>
      <c r="E32" s="71"/>
      <c r="F32" s="71"/>
      <c r="G32" s="71">
        <f>SUBTOTAL(9,G33:G40)</f>
        <v>13000.8666666667</v>
      </c>
      <c r="H32" s="71"/>
      <c r="I32" s="59"/>
      <c r="J32" s="59">
        <f t="shared" si="8"/>
        <v>0</v>
      </c>
      <c r="K32" s="77">
        <f t="shared" si="20"/>
        <v>0</v>
      </c>
      <c r="L32" s="59">
        <f t="shared" si="9"/>
        <v>0</v>
      </c>
      <c r="M32" s="59">
        <f t="shared" si="10"/>
        <v>0</v>
      </c>
      <c r="N32" s="59">
        <f t="shared" si="11"/>
        <v>0</v>
      </c>
      <c r="O32" s="59"/>
      <c r="P32" s="59"/>
      <c r="Q32" s="59"/>
      <c r="R32" s="59"/>
      <c r="S32" s="59"/>
      <c r="T32" s="59"/>
      <c r="U32" s="60"/>
      <c r="V32" s="59"/>
      <c r="W32" s="59"/>
      <c r="X32" s="59"/>
      <c r="Y32" s="59"/>
    </row>
    <row r="33" ht="84" customHeight="1" outlineLevel="1" spans="1:32">
      <c r="A33" s="63">
        <v>1</v>
      </c>
      <c r="B33" s="64" t="s">
        <v>97</v>
      </c>
      <c r="C33" s="79" t="s">
        <v>98</v>
      </c>
      <c r="D33" s="63" t="s">
        <v>48</v>
      </c>
      <c r="E33" s="65">
        <v>66.62</v>
      </c>
      <c r="F33" s="65">
        <f>I33</f>
        <v>100</v>
      </c>
      <c r="G33" s="65">
        <f>F33*E33</f>
        <v>6662</v>
      </c>
      <c r="H33" s="65"/>
      <c r="I33" s="76">
        <f>J33+J33*K33+L33+M33+N33+O33+P33+Q33</f>
        <v>100</v>
      </c>
      <c r="J33" s="76">
        <f t="shared" si="8"/>
        <v>30</v>
      </c>
      <c r="K33" s="77">
        <f t="shared" si="20"/>
        <v>0</v>
      </c>
      <c r="L33" s="76">
        <f t="shared" si="9"/>
        <v>70</v>
      </c>
      <c r="M33" s="78">
        <f t="shared" si="10"/>
        <v>0</v>
      </c>
      <c r="N33" s="78">
        <f t="shared" si="11"/>
        <v>0</v>
      </c>
      <c r="O33" s="76">
        <f t="shared" ref="O33:O47" si="24">(J33+J33*K33+L33+M33+N33)*$O$1</f>
        <v>0</v>
      </c>
      <c r="P33" s="76">
        <f t="shared" ref="P33:P47" si="25">(J33+J33*K33+L33+M33+N33+O33)*$P$1</f>
        <v>0</v>
      </c>
      <c r="Q33" s="76">
        <f t="shared" ref="Q33:Q47" si="26">(J33+J33*K33+L33+M33+N33+O33+P33)*$Q$1</f>
        <v>0</v>
      </c>
      <c r="R33" s="78">
        <f>E33*I33</f>
        <v>6662</v>
      </c>
      <c r="S33" s="80">
        <f>T33+T33*U33+V33+W33+X33</f>
        <v>100</v>
      </c>
      <c r="T33" s="59">
        <v>30</v>
      </c>
      <c r="V33" s="59">
        <v>70</v>
      </c>
      <c r="Y33" s="59">
        <f>S33*E33</f>
        <v>6662</v>
      </c>
    </row>
    <row r="34" ht="48" outlineLevel="1" spans="1:32">
      <c r="A34" s="63">
        <v>2</v>
      </c>
      <c r="B34" s="64" t="s">
        <v>99</v>
      </c>
      <c r="C34" s="79" t="s">
        <v>100</v>
      </c>
      <c r="D34" s="63" t="s">
        <v>101</v>
      </c>
      <c r="E34" s="65">
        <v>14</v>
      </c>
      <c r="F34" s="65">
        <f>I34</f>
        <v>75</v>
      </c>
      <c r="G34" s="65">
        <f>F34*E34</f>
        <v>1050</v>
      </c>
      <c r="H34" s="65"/>
      <c r="I34" s="76">
        <f>J34+J34*K34+L34+M34+N34+O34+P34+Q34</f>
        <v>75</v>
      </c>
      <c r="J34" s="76">
        <f t="shared" si="8"/>
        <v>55</v>
      </c>
      <c r="K34" s="77">
        <f t="shared" si="20"/>
        <v>0</v>
      </c>
      <c r="L34" s="76">
        <f t="shared" si="9"/>
        <v>20</v>
      </c>
      <c r="M34" s="78">
        <f t="shared" si="10"/>
        <v>0</v>
      </c>
      <c r="N34" s="78">
        <f t="shared" si="11"/>
        <v>0</v>
      </c>
      <c r="O34" s="76">
        <f t="shared" si="24"/>
        <v>0</v>
      </c>
      <c r="P34" s="76">
        <f t="shared" si="25"/>
        <v>0</v>
      </c>
      <c r="Q34" s="76">
        <f t="shared" si="26"/>
        <v>0</v>
      </c>
      <c r="R34" s="78">
        <f>E34*I34</f>
        <v>1050</v>
      </c>
      <c r="S34" s="80">
        <f>T34+T34*U34+V34+W34+X34</f>
        <v>75</v>
      </c>
      <c r="T34" s="59">
        <v>55</v>
      </c>
      <c r="V34" s="59">
        <v>20</v>
      </c>
      <c r="Y34" s="59">
        <f>S34*E34</f>
        <v>1050</v>
      </c>
    </row>
    <row r="35" customFormat="1" ht="48" outlineLevel="1" spans="1:32">
      <c r="A35" s="63">
        <v>3</v>
      </c>
      <c r="B35" s="64" t="s">
        <v>102</v>
      </c>
      <c r="C35" s="79" t="s">
        <v>103</v>
      </c>
      <c r="D35" s="63" t="s">
        <v>85</v>
      </c>
      <c r="E35" s="65">
        <f>1.6*2</f>
        <v>3.2</v>
      </c>
      <c r="F35" s="65">
        <f>I35</f>
        <v>103.333333333333</v>
      </c>
      <c r="G35" s="65">
        <f t="shared" ref="G35:G40" si="27">F35*E35</f>
        <v>330.666666666667</v>
      </c>
      <c r="H35" s="65"/>
      <c r="I35" s="76">
        <f t="shared" ref="I35:I40" si="28">J35+J35*K35+L35+M35+N35+O35+P35+Q35</f>
        <v>103.333333333333</v>
      </c>
      <c r="J35" s="76">
        <f t="shared" si="8"/>
        <v>83.3333333333333</v>
      </c>
      <c r="K35" s="77">
        <f t="shared" si="20"/>
        <v>0</v>
      </c>
      <c r="L35" s="76">
        <f t="shared" si="9"/>
        <v>20</v>
      </c>
      <c r="M35" s="78">
        <f t="shared" si="10"/>
        <v>0</v>
      </c>
      <c r="N35" s="78">
        <f t="shared" si="11"/>
        <v>0</v>
      </c>
      <c r="O35" s="76">
        <f t="shared" si="24"/>
        <v>0</v>
      </c>
      <c r="P35" s="76">
        <f t="shared" si="25"/>
        <v>0</v>
      </c>
      <c r="Q35" s="76">
        <f t="shared" si="26"/>
        <v>0</v>
      </c>
      <c r="R35" s="78">
        <f t="shared" ref="R35:R40" si="29">E35*I35</f>
        <v>330.666666666667</v>
      </c>
      <c r="S35" s="80">
        <f t="shared" ref="S35:S40" si="30">T35+T35*U35+V35+W35+X35</f>
        <v>103.333333333333</v>
      </c>
      <c r="T35" s="16">
        <f>50/0.6</f>
        <v>83.3333333333333</v>
      </c>
      <c r="U35" s="17"/>
      <c r="V35" s="16">
        <v>20</v>
      </c>
      <c r="W35" s="59"/>
      <c r="X35" s="59"/>
      <c r="Y35" s="59">
        <f t="shared" ref="Y35:Y40" si="31">S35*E35</f>
        <v>330.666666666667</v>
      </c>
      <c r="Z35" s="8"/>
      <c r="AA35" s="8"/>
      <c r="AB35" s="8"/>
      <c r="AC35" s="8"/>
      <c r="AD35" s="8"/>
      <c r="AE35" s="8"/>
    </row>
    <row r="36" customFormat="1" ht="36" outlineLevel="1" spans="1:32">
      <c r="A36" s="63">
        <v>4</v>
      </c>
      <c r="B36" s="64" t="s">
        <v>104</v>
      </c>
      <c r="C36" s="79" t="s">
        <v>105</v>
      </c>
      <c r="D36" s="63" t="s">
        <v>101</v>
      </c>
      <c r="E36" s="65">
        <v>3</v>
      </c>
      <c r="F36" s="65">
        <f>I36</f>
        <v>27</v>
      </c>
      <c r="G36" s="65">
        <f t="shared" si="27"/>
        <v>81</v>
      </c>
      <c r="H36" s="65"/>
      <c r="I36" s="76">
        <f t="shared" si="28"/>
        <v>27</v>
      </c>
      <c r="J36" s="76">
        <f t="shared" si="8"/>
        <v>17</v>
      </c>
      <c r="K36" s="77">
        <f t="shared" ref="K36:K48" si="32">U36</f>
        <v>0</v>
      </c>
      <c r="L36" s="76">
        <f t="shared" si="9"/>
        <v>10</v>
      </c>
      <c r="M36" s="78">
        <f t="shared" si="10"/>
        <v>0</v>
      </c>
      <c r="N36" s="78">
        <f t="shared" si="11"/>
        <v>0</v>
      </c>
      <c r="O36" s="76">
        <f t="shared" si="24"/>
        <v>0</v>
      </c>
      <c r="P36" s="76">
        <f t="shared" si="25"/>
        <v>0</v>
      </c>
      <c r="Q36" s="76">
        <f t="shared" si="26"/>
        <v>0</v>
      </c>
      <c r="R36" s="78">
        <f t="shared" si="29"/>
        <v>81</v>
      </c>
      <c r="S36" s="80">
        <f t="shared" si="30"/>
        <v>27</v>
      </c>
      <c r="T36" s="59">
        <v>17</v>
      </c>
      <c r="U36" s="60"/>
      <c r="V36" s="59">
        <v>10</v>
      </c>
      <c r="W36" s="59"/>
      <c r="X36" s="59"/>
      <c r="Y36" s="59">
        <f t="shared" si="31"/>
        <v>81</v>
      </c>
      <c r="Z36" s="8"/>
      <c r="AA36" s="8"/>
      <c r="AB36" s="8"/>
      <c r="AC36" s="8"/>
      <c r="AD36" s="8"/>
      <c r="AE36" s="8"/>
    </row>
    <row r="37" customFormat="1" ht="48" outlineLevel="1" spans="1:32">
      <c r="A37" s="63">
        <v>5</v>
      </c>
      <c r="B37" s="64" t="s">
        <v>106</v>
      </c>
      <c r="C37" s="79" t="s">
        <v>107</v>
      </c>
      <c r="D37" s="63" t="s">
        <v>101</v>
      </c>
      <c r="E37" s="65">
        <v>22</v>
      </c>
      <c r="F37" s="65">
        <f t="shared" ref="F37:F42" si="33">I37</f>
        <v>25</v>
      </c>
      <c r="G37" s="65">
        <f t="shared" si="27"/>
        <v>550</v>
      </c>
      <c r="H37" s="65"/>
      <c r="I37" s="76">
        <f t="shared" si="28"/>
        <v>25</v>
      </c>
      <c r="J37" s="76">
        <f t="shared" si="8"/>
        <v>15</v>
      </c>
      <c r="K37" s="77">
        <f t="shared" si="32"/>
        <v>0</v>
      </c>
      <c r="L37" s="76">
        <f t="shared" si="9"/>
        <v>10</v>
      </c>
      <c r="M37" s="78">
        <f t="shared" si="10"/>
        <v>0</v>
      </c>
      <c r="N37" s="78">
        <f t="shared" si="11"/>
        <v>0</v>
      </c>
      <c r="O37" s="76">
        <f t="shared" si="24"/>
        <v>0</v>
      </c>
      <c r="P37" s="76">
        <f t="shared" si="25"/>
        <v>0</v>
      </c>
      <c r="Q37" s="76">
        <f t="shared" si="26"/>
        <v>0</v>
      </c>
      <c r="R37" s="78">
        <f t="shared" si="29"/>
        <v>550</v>
      </c>
      <c r="S37" s="80">
        <f t="shared" si="30"/>
        <v>25</v>
      </c>
      <c r="T37" s="59">
        <v>15</v>
      </c>
      <c r="U37" s="60"/>
      <c r="V37" s="59">
        <v>10</v>
      </c>
      <c r="W37" s="59"/>
      <c r="X37" s="59"/>
      <c r="Y37" s="59">
        <f t="shared" si="31"/>
        <v>550</v>
      </c>
      <c r="Z37" s="8"/>
      <c r="AA37" s="8"/>
      <c r="AB37" s="8"/>
      <c r="AC37" s="8"/>
      <c r="AD37" s="8"/>
      <c r="AE37" s="8"/>
    </row>
    <row r="38" ht="49" customHeight="1" outlineLevel="1" spans="1:32">
      <c r="A38" s="63">
        <v>6</v>
      </c>
      <c r="B38" s="84" t="s">
        <v>108</v>
      </c>
      <c r="C38" s="79" t="s">
        <v>109</v>
      </c>
      <c r="D38" s="63" t="s">
        <v>48</v>
      </c>
      <c r="E38" s="65">
        <v>66.62</v>
      </c>
      <c r="F38" s="65">
        <f t="shared" si="33"/>
        <v>60</v>
      </c>
      <c r="G38" s="65">
        <f t="shared" si="27"/>
        <v>3997.2</v>
      </c>
      <c r="H38" s="65"/>
      <c r="I38" s="76">
        <f t="shared" si="28"/>
        <v>60</v>
      </c>
      <c r="J38" s="76">
        <f t="shared" si="8"/>
        <v>20</v>
      </c>
      <c r="K38" s="77">
        <f t="shared" si="32"/>
        <v>0</v>
      </c>
      <c r="L38" s="76">
        <f t="shared" si="9"/>
        <v>40</v>
      </c>
      <c r="M38" s="78">
        <f t="shared" si="10"/>
        <v>0</v>
      </c>
      <c r="N38" s="78">
        <f t="shared" si="11"/>
        <v>0</v>
      </c>
      <c r="O38" s="76">
        <f t="shared" si="24"/>
        <v>0</v>
      </c>
      <c r="P38" s="76">
        <f t="shared" si="25"/>
        <v>0</v>
      </c>
      <c r="Q38" s="76">
        <f t="shared" si="26"/>
        <v>0</v>
      </c>
      <c r="R38" s="78">
        <f t="shared" si="29"/>
        <v>3997.2</v>
      </c>
      <c r="S38" s="80">
        <f t="shared" si="30"/>
        <v>60</v>
      </c>
      <c r="T38" s="59">
        <v>20</v>
      </c>
      <c r="V38" s="59">
        <v>40</v>
      </c>
      <c r="Y38" s="59">
        <f t="shared" si="31"/>
        <v>3997.2</v>
      </c>
    </row>
    <row r="39" s="7" customFormat="1" ht="39" customHeight="1" outlineLevel="1" spans="1:32">
      <c r="A39" s="63">
        <v>7</v>
      </c>
      <c r="B39" s="64" t="s">
        <v>110</v>
      </c>
      <c r="C39" s="79" t="s">
        <v>111</v>
      </c>
      <c r="D39" s="63" t="s">
        <v>101</v>
      </c>
      <c r="E39" s="65">
        <v>11</v>
      </c>
      <c r="F39" s="65">
        <f t="shared" si="33"/>
        <v>30</v>
      </c>
      <c r="G39" s="65">
        <f t="shared" si="27"/>
        <v>330</v>
      </c>
      <c r="H39" s="65"/>
      <c r="I39" s="76">
        <f t="shared" si="28"/>
        <v>30</v>
      </c>
      <c r="J39" s="76">
        <f t="shared" si="8"/>
        <v>20</v>
      </c>
      <c r="K39" s="77">
        <f t="shared" si="32"/>
        <v>0</v>
      </c>
      <c r="L39" s="76">
        <f t="shared" si="9"/>
        <v>10</v>
      </c>
      <c r="M39" s="78">
        <f t="shared" si="10"/>
        <v>0</v>
      </c>
      <c r="N39" s="78">
        <f t="shared" si="11"/>
        <v>0</v>
      </c>
      <c r="O39" s="76">
        <f t="shared" si="24"/>
        <v>0</v>
      </c>
      <c r="P39" s="76">
        <f t="shared" si="25"/>
        <v>0</v>
      </c>
      <c r="Q39" s="76">
        <f t="shared" si="26"/>
        <v>0</v>
      </c>
      <c r="R39" s="78">
        <f t="shared" si="29"/>
        <v>330</v>
      </c>
      <c r="S39" s="80">
        <f t="shared" si="30"/>
        <v>30</v>
      </c>
      <c r="T39" s="59">
        <v>20</v>
      </c>
      <c r="U39" s="60"/>
      <c r="V39" s="59">
        <v>10</v>
      </c>
      <c r="W39" s="59"/>
      <c r="X39" s="59"/>
      <c r="Y39" s="59">
        <f t="shared" si="31"/>
        <v>330</v>
      </c>
      <c r="Z39" s="8"/>
      <c r="AA39" s="8"/>
      <c r="AB39" s="8"/>
      <c r="AC39" s="8"/>
      <c r="AD39" s="8"/>
      <c r="AE39" s="8"/>
      <c r="AF39" s="8"/>
    </row>
    <row r="40" s="7" customFormat="1" ht="47" customHeight="1" outlineLevel="1" spans="1:32">
      <c r="A40" s="63">
        <v>8</v>
      </c>
      <c r="B40" s="64" t="s">
        <v>112</v>
      </c>
      <c r="C40" s="79" t="s">
        <v>113</v>
      </c>
      <c r="D40" s="63" t="s">
        <v>114</v>
      </c>
      <c r="E40" s="65">
        <v>0</v>
      </c>
      <c r="F40" s="65">
        <f t="shared" si="33"/>
        <v>2050</v>
      </c>
      <c r="G40" s="65">
        <f t="shared" si="27"/>
        <v>0</v>
      </c>
      <c r="H40" s="65"/>
      <c r="I40" s="82">
        <f t="shared" si="28"/>
        <v>2050</v>
      </c>
      <c r="J40" s="76">
        <f t="shared" si="8"/>
        <v>1200</v>
      </c>
      <c r="K40" s="77">
        <f t="shared" si="32"/>
        <v>0</v>
      </c>
      <c r="L40" s="76">
        <f t="shared" si="9"/>
        <v>800</v>
      </c>
      <c r="M40" s="78">
        <f t="shared" si="10"/>
        <v>50</v>
      </c>
      <c r="N40" s="78">
        <f t="shared" si="11"/>
        <v>0</v>
      </c>
      <c r="O40" s="76">
        <f t="shared" si="24"/>
        <v>0</v>
      </c>
      <c r="P40" s="76">
        <f t="shared" si="25"/>
        <v>0</v>
      </c>
      <c r="Q40" s="76">
        <f t="shared" si="26"/>
        <v>0</v>
      </c>
      <c r="R40" s="78">
        <f t="shared" si="29"/>
        <v>0</v>
      </c>
      <c r="S40" s="80">
        <f t="shared" si="30"/>
        <v>2050</v>
      </c>
      <c r="T40" s="44">
        <v>1200</v>
      </c>
      <c r="U40" s="45"/>
      <c r="V40" s="44">
        <v>800</v>
      </c>
      <c r="W40" s="44">
        <v>50</v>
      </c>
      <c r="X40" s="59"/>
      <c r="Y40" s="59">
        <f t="shared" si="31"/>
        <v>0</v>
      </c>
      <c r="Z40" s="8"/>
      <c r="AA40" s="8"/>
      <c r="AB40" s="8"/>
      <c r="AC40" s="8"/>
      <c r="AD40" s="8"/>
      <c r="AE40" s="8"/>
      <c r="AF40" s="8"/>
    </row>
    <row r="41" s="8" customFormat="1" ht="24" customHeight="1" spans="1:32">
      <c r="A41" s="68" t="s">
        <v>13</v>
      </c>
      <c r="B41" s="69" t="s">
        <v>14</v>
      </c>
      <c r="C41" s="70"/>
      <c r="D41" s="68"/>
      <c r="E41" s="71"/>
      <c r="F41" s="71"/>
      <c r="G41" s="71">
        <f>SUBTOTAL(9,G42:G48)</f>
        <v>9903</v>
      </c>
      <c r="H41" s="71"/>
      <c r="I41" s="59"/>
      <c r="J41" s="76">
        <f t="shared" si="8"/>
        <v>0</v>
      </c>
      <c r="K41" s="77">
        <f t="shared" si="32"/>
        <v>0</v>
      </c>
      <c r="L41" s="76">
        <f t="shared" si="9"/>
        <v>0</v>
      </c>
      <c r="M41" s="78">
        <f t="shared" si="10"/>
        <v>0</v>
      </c>
      <c r="N41" s="78">
        <f t="shared" si="11"/>
        <v>0</v>
      </c>
      <c r="O41" s="76">
        <f t="shared" si="24"/>
        <v>0</v>
      </c>
      <c r="P41" s="76">
        <f t="shared" si="25"/>
        <v>0</v>
      </c>
      <c r="Q41" s="76">
        <f t="shared" si="26"/>
        <v>0</v>
      </c>
      <c r="R41" s="78">
        <f t="shared" ref="R41:R47" si="34">E41*I41</f>
        <v>0</v>
      </c>
      <c r="S41" s="80"/>
      <c r="T41" s="59"/>
      <c r="U41" s="60"/>
      <c r="V41" s="59"/>
      <c r="W41" s="59"/>
      <c r="X41" s="59"/>
      <c r="Y41" s="59"/>
    </row>
    <row r="42" s="8" customFormat="1" ht="48" customHeight="1" outlineLevel="1" spans="1:32">
      <c r="A42" s="25">
        <v>1</v>
      </c>
      <c r="B42" s="26" t="s">
        <v>115</v>
      </c>
      <c r="C42" s="52" t="s">
        <v>116</v>
      </c>
      <c r="D42" s="26" t="s">
        <v>48</v>
      </c>
      <c r="E42" s="27">
        <v>111.96</v>
      </c>
      <c r="F42" s="27">
        <f t="shared" si="33"/>
        <v>30</v>
      </c>
      <c r="G42" s="27">
        <f t="shared" ref="G41:G47" si="35">F42*E42</f>
        <v>3358.8</v>
      </c>
      <c r="H42" s="26" t="s">
        <v>117</v>
      </c>
      <c r="I42" s="41">
        <v>30</v>
      </c>
      <c r="J42" s="76">
        <f t="shared" si="8"/>
        <v>30</v>
      </c>
      <c r="K42" s="77">
        <f t="shared" si="32"/>
        <v>0</v>
      </c>
      <c r="L42" s="76">
        <f t="shared" si="9"/>
        <v>0</v>
      </c>
      <c r="M42" s="78">
        <f t="shared" si="10"/>
        <v>0</v>
      </c>
      <c r="N42" s="78">
        <f t="shared" si="11"/>
        <v>0</v>
      </c>
      <c r="O42" s="76">
        <f t="shared" si="24"/>
        <v>0</v>
      </c>
      <c r="P42" s="76">
        <f t="shared" si="25"/>
        <v>0</v>
      </c>
      <c r="Q42" s="76">
        <f t="shared" si="26"/>
        <v>0</v>
      </c>
      <c r="R42" s="78">
        <f t="shared" si="34"/>
        <v>3358.8</v>
      </c>
      <c r="S42" s="80">
        <f t="shared" ref="S42:S47" si="36">T42+T42*U42+V42+W42+X42</f>
        <v>30</v>
      </c>
      <c r="T42" s="16">
        <v>30</v>
      </c>
      <c r="U42" s="17"/>
      <c r="V42" s="16"/>
      <c r="W42" s="18"/>
      <c r="X42" s="18"/>
      <c r="Y42" s="59">
        <f t="shared" ref="Y42:Y47" si="37">S42*E42</f>
        <v>3358.8</v>
      </c>
      <c r="Z42" s="18"/>
      <c r="AA42" s="10"/>
      <c r="AB42" s="10"/>
      <c r="AC42" s="10"/>
      <c r="AD42" s="10"/>
      <c r="AE42" s="10"/>
      <c r="AF42" s="10"/>
    </row>
    <row r="43" s="8" customFormat="1" ht="30" customHeight="1" outlineLevel="1" spans="1:32">
      <c r="A43" s="25">
        <v>2</v>
      </c>
      <c r="B43" s="26" t="s">
        <v>118</v>
      </c>
      <c r="C43" s="52"/>
      <c r="D43" s="26" t="s">
        <v>48</v>
      </c>
      <c r="E43" s="27">
        <v>111.96</v>
      </c>
      <c r="F43" s="27">
        <f t="shared" ref="F41:F47" si="38">I43</f>
        <v>15</v>
      </c>
      <c r="G43" s="27">
        <f t="shared" si="35"/>
        <v>1679.4</v>
      </c>
      <c r="H43" s="26" t="s">
        <v>117</v>
      </c>
      <c r="I43" s="41">
        <v>15</v>
      </c>
      <c r="J43" s="76">
        <f t="shared" si="8"/>
        <v>15</v>
      </c>
      <c r="K43" s="77">
        <f t="shared" si="32"/>
        <v>0</v>
      </c>
      <c r="L43" s="76">
        <f t="shared" si="9"/>
        <v>0</v>
      </c>
      <c r="M43" s="78">
        <f t="shared" si="10"/>
        <v>0</v>
      </c>
      <c r="N43" s="78">
        <f t="shared" si="11"/>
        <v>0</v>
      </c>
      <c r="O43" s="76">
        <f t="shared" si="24"/>
        <v>0</v>
      </c>
      <c r="P43" s="76">
        <f t="shared" si="25"/>
        <v>0</v>
      </c>
      <c r="Q43" s="76">
        <f t="shared" si="26"/>
        <v>0</v>
      </c>
      <c r="R43" s="78">
        <f t="shared" si="34"/>
        <v>1679.4</v>
      </c>
      <c r="S43" s="80">
        <f t="shared" si="36"/>
        <v>15</v>
      </c>
      <c r="T43" s="16">
        <v>15</v>
      </c>
      <c r="U43" s="17"/>
      <c r="V43" s="16"/>
      <c r="W43" s="18"/>
      <c r="X43" s="18"/>
      <c r="Y43" s="59">
        <f t="shared" si="37"/>
        <v>1679.4</v>
      </c>
      <c r="Z43" s="18"/>
      <c r="AA43" s="10"/>
      <c r="AB43" s="10"/>
      <c r="AC43" s="10"/>
      <c r="AD43" s="10"/>
      <c r="AE43" s="10"/>
      <c r="AF43" s="10"/>
    </row>
    <row r="44" s="8" customFormat="1" ht="30" customHeight="1" outlineLevel="1" spans="1:32">
      <c r="A44" s="25">
        <v>3</v>
      </c>
      <c r="B44" s="26" t="s">
        <v>119</v>
      </c>
      <c r="C44" s="52"/>
      <c r="D44" s="26" t="s">
        <v>48</v>
      </c>
      <c r="E44" s="27">
        <v>66.62</v>
      </c>
      <c r="F44" s="27">
        <f t="shared" si="38"/>
        <v>10</v>
      </c>
      <c r="G44" s="27">
        <f t="shared" si="35"/>
        <v>666.2</v>
      </c>
      <c r="H44" s="26"/>
      <c r="I44" s="41">
        <v>10</v>
      </c>
      <c r="J44" s="76">
        <f t="shared" si="8"/>
        <v>10</v>
      </c>
      <c r="K44" s="77">
        <f t="shared" si="32"/>
        <v>0</v>
      </c>
      <c r="L44" s="76">
        <f t="shared" si="9"/>
        <v>0</v>
      </c>
      <c r="M44" s="78">
        <f t="shared" si="10"/>
        <v>0</v>
      </c>
      <c r="N44" s="78">
        <f t="shared" si="11"/>
        <v>0</v>
      </c>
      <c r="O44" s="76">
        <f t="shared" si="24"/>
        <v>0</v>
      </c>
      <c r="P44" s="76">
        <f t="shared" si="25"/>
        <v>0</v>
      </c>
      <c r="Q44" s="76">
        <f t="shared" si="26"/>
        <v>0</v>
      </c>
      <c r="R44" s="78">
        <f t="shared" si="34"/>
        <v>666.2</v>
      </c>
      <c r="S44" s="80">
        <f t="shared" si="36"/>
        <v>10</v>
      </c>
      <c r="T44" s="16">
        <v>10</v>
      </c>
      <c r="U44" s="17"/>
      <c r="V44" s="16"/>
      <c r="W44" s="18"/>
      <c r="X44" s="18"/>
      <c r="Y44" s="59">
        <f t="shared" si="37"/>
        <v>666.2</v>
      </c>
      <c r="Z44" s="18"/>
      <c r="AA44" s="10"/>
      <c r="AB44" s="10"/>
      <c r="AC44" s="10"/>
      <c r="AD44" s="10"/>
      <c r="AE44" s="10"/>
      <c r="AF44" s="10"/>
    </row>
    <row r="45" s="8" customFormat="1" ht="30" customHeight="1" outlineLevel="1" spans="1:32">
      <c r="A45" s="25">
        <v>4</v>
      </c>
      <c r="B45" s="26" t="s">
        <v>120</v>
      </c>
      <c r="C45" s="52"/>
      <c r="D45" s="26" t="s">
        <v>48</v>
      </c>
      <c r="E45" s="27">
        <v>66.62</v>
      </c>
      <c r="F45" s="27">
        <f t="shared" si="38"/>
        <v>30</v>
      </c>
      <c r="G45" s="27">
        <f t="shared" si="35"/>
        <v>1998.6</v>
      </c>
      <c r="H45" s="26"/>
      <c r="I45" s="41">
        <v>30</v>
      </c>
      <c r="J45" s="76">
        <f t="shared" si="8"/>
        <v>30</v>
      </c>
      <c r="K45" s="77">
        <f t="shared" si="32"/>
        <v>0</v>
      </c>
      <c r="L45" s="76">
        <f t="shared" si="9"/>
        <v>0</v>
      </c>
      <c r="M45" s="78">
        <f t="shared" si="10"/>
        <v>0</v>
      </c>
      <c r="N45" s="78">
        <f t="shared" si="11"/>
        <v>0</v>
      </c>
      <c r="O45" s="76">
        <f t="shared" si="24"/>
        <v>0</v>
      </c>
      <c r="P45" s="76">
        <f t="shared" si="25"/>
        <v>0</v>
      </c>
      <c r="Q45" s="76">
        <f t="shared" si="26"/>
        <v>0</v>
      </c>
      <c r="R45" s="78">
        <f t="shared" si="34"/>
        <v>1998.6</v>
      </c>
      <c r="S45" s="80">
        <f t="shared" si="36"/>
        <v>30</v>
      </c>
      <c r="T45" s="16">
        <v>30</v>
      </c>
      <c r="U45" s="17"/>
      <c r="V45" s="16"/>
      <c r="W45" s="18"/>
      <c r="X45" s="18"/>
      <c r="Y45" s="59">
        <f t="shared" si="37"/>
        <v>1998.6</v>
      </c>
      <c r="Z45" s="18"/>
      <c r="AA45" s="10"/>
      <c r="AB45" s="10"/>
      <c r="AC45" s="10"/>
      <c r="AD45" s="10"/>
      <c r="AE45" s="10"/>
      <c r="AF45" s="10"/>
    </row>
    <row r="46" s="8" customFormat="1" ht="30" customHeight="1" outlineLevel="1" spans="1:32">
      <c r="A46" s="25">
        <v>5</v>
      </c>
      <c r="B46" s="26" t="s">
        <v>121</v>
      </c>
      <c r="C46" s="52"/>
      <c r="D46" s="26" t="s">
        <v>114</v>
      </c>
      <c r="E46" s="27">
        <v>1</v>
      </c>
      <c r="F46" s="27">
        <f t="shared" si="38"/>
        <v>1200</v>
      </c>
      <c r="G46" s="27">
        <f t="shared" si="35"/>
        <v>1200</v>
      </c>
      <c r="H46" s="26"/>
      <c r="I46" s="41">
        <v>1200</v>
      </c>
      <c r="J46" s="76">
        <f t="shared" si="8"/>
        <v>1200</v>
      </c>
      <c r="K46" s="77">
        <f t="shared" si="32"/>
        <v>0</v>
      </c>
      <c r="L46" s="76">
        <f t="shared" si="9"/>
        <v>0</v>
      </c>
      <c r="M46" s="78">
        <f t="shared" si="10"/>
        <v>0</v>
      </c>
      <c r="N46" s="78">
        <f t="shared" si="11"/>
        <v>0</v>
      </c>
      <c r="O46" s="76">
        <f t="shared" si="24"/>
        <v>0</v>
      </c>
      <c r="P46" s="76">
        <f t="shared" si="25"/>
        <v>0</v>
      </c>
      <c r="Q46" s="76">
        <f t="shared" si="26"/>
        <v>0</v>
      </c>
      <c r="R46" s="78">
        <f t="shared" si="34"/>
        <v>1200</v>
      </c>
      <c r="S46" s="80">
        <f t="shared" si="36"/>
        <v>1200</v>
      </c>
      <c r="T46" s="16">
        <v>1200</v>
      </c>
      <c r="U46" s="17"/>
      <c r="V46" s="16"/>
      <c r="W46" s="18"/>
      <c r="X46" s="18"/>
      <c r="Y46" s="59">
        <f t="shared" si="37"/>
        <v>1200</v>
      </c>
      <c r="Z46" s="18"/>
      <c r="AA46" s="10"/>
      <c r="AB46" s="10"/>
      <c r="AC46" s="10"/>
      <c r="AD46" s="10"/>
      <c r="AE46" s="10"/>
      <c r="AF46" s="10"/>
    </row>
    <row r="47" s="8" customFormat="1" ht="33" customHeight="1" outlineLevel="1" spans="1:32">
      <c r="A47" s="25">
        <v>6</v>
      </c>
      <c r="B47" s="26" t="s">
        <v>122</v>
      </c>
      <c r="C47" s="52" t="s">
        <v>123</v>
      </c>
      <c r="D47" s="26" t="s">
        <v>114</v>
      </c>
      <c r="E47" s="27">
        <v>1</v>
      </c>
      <c r="F47" s="27">
        <v>1000</v>
      </c>
      <c r="G47" s="27">
        <f t="shared" si="35"/>
        <v>1000</v>
      </c>
      <c r="H47" s="26"/>
      <c r="I47" s="41">
        <v>1000</v>
      </c>
      <c r="J47" s="76">
        <f t="shared" si="8"/>
        <v>1000</v>
      </c>
      <c r="K47" s="77">
        <f t="shared" si="32"/>
        <v>0</v>
      </c>
      <c r="L47" s="76">
        <f t="shared" si="9"/>
        <v>0</v>
      </c>
      <c r="M47" s="78">
        <f t="shared" si="10"/>
        <v>0</v>
      </c>
      <c r="N47" s="78">
        <f t="shared" si="11"/>
        <v>0</v>
      </c>
      <c r="O47" s="76">
        <f t="shared" si="24"/>
        <v>0</v>
      </c>
      <c r="P47" s="76">
        <f t="shared" si="25"/>
        <v>0</v>
      </c>
      <c r="Q47" s="76">
        <f t="shared" si="26"/>
        <v>0</v>
      </c>
      <c r="R47" s="78">
        <f t="shared" si="34"/>
        <v>1000</v>
      </c>
      <c r="S47" s="80">
        <f t="shared" si="36"/>
        <v>1000</v>
      </c>
      <c r="T47" s="16">
        <v>1000</v>
      </c>
      <c r="U47" s="17"/>
      <c r="V47" s="16"/>
      <c r="W47" s="18"/>
      <c r="X47" s="18"/>
      <c r="Y47" s="59">
        <f t="shared" si="37"/>
        <v>1000</v>
      </c>
      <c r="Z47" s="18"/>
      <c r="AA47" s="10"/>
      <c r="AB47" s="10"/>
      <c r="AC47" s="10"/>
      <c r="AD47" s="10"/>
      <c r="AE47" s="10"/>
      <c r="AF47" s="10"/>
    </row>
    <row r="48" s="8" customFormat="1" ht="24" customHeight="1" outlineLevel="1" spans="1:32">
      <c r="A48" s="25"/>
      <c r="B48" s="26"/>
      <c r="C48" s="52"/>
      <c r="D48" s="26"/>
      <c r="E48" s="27"/>
      <c r="F48" s="27"/>
      <c r="G48" s="27"/>
      <c r="H48" s="26"/>
      <c r="I48" s="85"/>
      <c r="J48" s="76"/>
      <c r="K48" s="77"/>
      <c r="L48" s="76"/>
      <c r="M48" s="78"/>
      <c r="N48" s="78"/>
      <c r="O48" s="76"/>
      <c r="P48" s="76"/>
      <c r="Q48" s="76"/>
      <c r="R48" s="78"/>
      <c r="S48" s="80"/>
      <c r="T48" s="16"/>
      <c r="U48" s="17"/>
      <c r="V48" s="16"/>
      <c r="W48" s="18"/>
      <c r="X48" s="18"/>
      <c r="Y48" s="18"/>
      <c r="Z48" s="18"/>
      <c r="AA48" s="10"/>
      <c r="AB48" s="10"/>
      <c r="AC48" s="10"/>
      <c r="AD48" s="10"/>
      <c r="AE48" s="10"/>
      <c r="AF48" s="10"/>
    </row>
    <row r="49" ht="29" customHeight="1" spans="1:25">
      <c r="A49" s="86" t="s">
        <v>16</v>
      </c>
      <c r="B49" s="87" t="s">
        <v>124</v>
      </c>
      <c r="C49" s="88"/>
      <c r="D49" s="86" t="s">
        <v>114</v>
      </c>
      <c r="E49" s="89">
        <v>1</v>
      </c>
      <c r="F49" s="89"/>
      <c r="G49" s="89">
        <f>SUBTOTAL(9,G3:G48)</f>
        <v>58828.3425506667</v>
      </c>
      <c r="H49" s="89"/>
      <c r="R49" s="89">
        <f>SUBTOTAL(9,R3:R48)</f>
        <v>58828.3425506667</v>
      </c>
      <c r="Y49" s="89">
        <f>SUBTOTAL(9,Y3:Y48)</f>
        <v>58828.3425506667</v>
      </c>
    </row>
    <row r="50" ht="29" customHeight="1" spans="1:25">
      <c r="A50" s="86" t="s">
        <v>18</v>
      </c>
      <c r="B50" s="87" t="s">
        <v>125</v>
      </c>
      <c r="C50" s="54">
        <v>0.05</v>
      </c>
      <c r="D50" s="86" t="s">
        <v>114</v>
      </c>
      <c r="E50" s="89">
        <v>1</v>
      </c>
      <c r="F50" s="89"/>
      <c r="G50" s="89">
        <f>G49*$C$50</f>
        <v>2941.41712753333</v>
      </c>
      <c r="H50" s="89"/>
      <c r="R50" s="89">
        <f>R49*$C$50</f>
        <v>2941.41712753333</v>
      </c>
      <c r="Y50" s="89">
        <f>Y49*$C$50</f>
        <v>2941.41712753333</v>
      </c>
    </row>
    <row r="51" ht="29" customHeight="1" spans="1:25">
      <c r="A51" s="86" t="s">
        <v>21</v>
      </c>
      <c r="B51" s="87" t="s">
        <v>126</v>
      </c>
      <c r="C51" s="54">
        <v>0</v>
      </c>
      <c r="D51" s="86" t="s">
        <v>114</v>
      </c>
      <c r="E51" s="89">
        <v>1</v>
      </c>
      <c r="F51" s="89"/>
      <c r="G51" s="89">
        <f>(G49+G50)*$C$51</f>
        <v>0</v>
      </c>
      <c r="H51" s="89"/>
      <c r="R51" s="89">
        <f>(R49+R50)*$C$51</f>
        <v>0</v>
      </c>
      <c r="Y51" s="89">
        <f>(Y49+Y50)*$C$51</f>
        <v>0</v>
      </c>
    </row>
    <row r="52" ht="28" customHeight="1" spans="1:25">
      <c r="A52" s="86" t="s">
        <v>23</v>
      </c>
      <c r="B52" s="87" t="s">
        <v>127</v>
      </c>
      <c r="C52" s="90"/>
      <c r="D52" s="86" t="s">
        <v>114</v>
      </c>
      <c r="E52" s="89">
        <v>1</v>
      </c>
      <c r="F52" s="89"/>
      <c r="G52" s="89">
        <f>G50+G49+G51</f>
        <v>61769.7596782</v>
      </c>
      <c r="H52" s="65"/>
      <c r="R52" s="89">
        <f>R50+R49+R51</f>
        <v>61769.7596782</v>
      </c>
      <c r="Y52" s="89">
        <f>Y50+Y49+Y51</f>
        <v>61769.7596782</v>
      </c>
    </row>
    <row r="57" spans="1:25">
      <c r="G57" s="91"/>
    </row>
  </sheetData>
  <autoFilter xmlns:etc="http://www.wps.cn/officeDocument/2017/etCustomData" ref="A1:Y52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80" orientation="portrait" horizontalDpi="600"/>
  <headerFooter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outlinePr summaryBelow="0"/>
  </sheetPr>
  <dimension ref="A1:AD43"/>
  <sheetViews>
    <sheetView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G39" sqref="G39"/>
    </sheetView>
  </sheetViews>
  <sheetFormatPr defaultColWidth="8.99166666666667" defaultRowHeight="12"/>
  <cols>
    <col min="1" max="1" width="7.35" style="10" customWidth="1"/>
    <col min="2" max="2" width="17.5666666666667" style="11" customWidth="1"/>
    <col min="3" max="3" width="27.6583333333333" style="12" customWidth="1"/>
    <col min="4" max="4" width="5.48333333333333" style="11" customWidth="1"/>
    <col min="5" max="5" width="12.225" style="13" customWidth="1"/>
    <col min="6" max="6" width="12.8916666666667" style="13" customWidth="1"/>
    <col min="7" max="7" width="13.1833333333333" style="13" customWidth="1"/>
    <col min="8" max="8" width="16.225" style="11" customWidth="1"/>
    <col min="9" max="9" width="12.8916666666667" style="14"/>
    <col min="10" max="10" width="12.7416666666667" style="14" hidden="1" customWidth="1"/>
    <col min="11" max="11" width="8.99166666666667" style="15" hidden="1" customWidth="1"/>
    <col min="12" max="14" width="8.99166666666667" style="14" hidden="1" customWidth="1"/>
    <col min="15" max="15" width="9.66666666666667" style="14" hidden="1" customWidth="1"/>
    <col min="16" max="16" width="10.775" style="16"/>
    <col min="17" max="17" width="11.6083333333333" style="17"/>
    <col min="18" max="20" width="8.99166666666667" style="16"/>
    <col min="21" max="24" width="8.99166666666667" style="18"/>
    <col min="25" max="30" width="8.99166666666667" style="10"/>
    <col min="31" max="16384" width="8.99166666666667" style="7"/>
  </cols>
  <sheetData>
    <row r="1" s="7" customFormat="1" ht="67" customHeight="1" spans="1:30">
      <c r="A1" s="19" t="s">
        <v>128</v>
      </c>
      <c r="B1" s="19"/>
      <c r="C1" s="20"/>
      <c r="D1" s="19"/>
      <c r="E1" s="19"/>
      <c r="F1" s="19"/>
      <c r="G1" s="19"/>
      <c r="H1" s="19"/>
      <c r="I1" s="21">
        <f>G39</f>
        <v>28905.009</v>
      </c>
      <c r="J1" s="21"/>
      <c r="K1" s="22"/>
      <c r="L1" s="21"/>
      <c r="M1" s="21"/>
      <c r="N1" s="21"/>
      <c r="O1" s="21"/>
      <c r="P1" s="23">
        <f>'1207清单'!$T$1</f>
        <v>1</v>
      </c>
      <c r="Q1" s="24"/>
      <c r="R1" s="21">
        <f>'1207清单'!$V$1</f>
        <v>1</v>
      </c>
      <c r="S1" s="21">
        <f>'1207清单'!$W$1</f>
        <v>1</v>
      </c>
      <c r="T1" s="21">
        <f>'1207清单'!$X$1</f>
        <v>1</v>
      </c>
      <c r="U1" s="18"/>
      <c r="V1" s="18"/>
      <c r="W1" s="18"/>
      <c r="X1" s="18"/>
      <c r="Y1" s="10"/>
      <c r="Z1" s="10"/>
      <c r="AA1" s="10"/>
      <c r="AB1" s="10"/>
      <c r="AC1" s="10"/>
      <c r="AD1" s="10"/>
    </row>
    <row r="2" s="7" customFormat="1" ht="24" spans="1:30">
      <c r="A2" s="25" t="s">
        <v>1</v>
      </c>
      <c r="B2" s="26" t="s">
        <v>30</v>
      </c>
      <c r="C2" s="26" t="s">
        <v>31</v>
      </c>
      <c r="D2" s="26" t="s">
        <v>32</v>
      </c>
      <c r="E2" s="27" t="s">
        <v>33</v>
      </c>
      <c r="F2" s="27" t="s">
        <v>34</v>
      </c>
      <c r="G2" s="27" t="s">
        <v>35</v>
      </c>
      <c r="H2" s="26" t="s">
        <v>6</v>
      </c>
      <c r="I2" s="28" t="s">
        <v>43</v>
      </c>
      <c r="J2" s="28" t="s">
        <v>36</v>
      </c>
      <c r="K2" s="29" t="s">
        <v>37</v>
      </c>
      <c r="L2" s="28" t="s">
        <v>38</v>
      </c>
      <c r="M2" s="28" t="s">
        <v>39</v>
      </c>
      <c r="N2" s="28" t="s">
        <v>40</v>
      </c>
      <c r="O2" s="28" t="s">
        <v>42</v>
      </c>
      <c r="P2" s="23" t="s">
        <v>36</v>
      </c>
      <c r="Q2" s="24" t="s">
        <v>37</v>
      </c>
      <c r="R2" s="23" t="s">
        <v>38</v>
      </c>
      <c r="S2" s="23" t="s">
        <v>39</v>
      </c>
      <c r="T2" s="23" t="s">
        <v>40</v>
      </c>
      <c r="U2" s="18"/>
      <c r="V2" s="18"/>
      <c r="W2" s="18"/>
      <c r="X2" s="18"/>
      <c r="Y2" s="10"/>
      <c r="Z2" s="10"/>
      <c r="AA2" s="10"/>
      <c r="AB2" s="10"/>
      <c r="AC2" s="10"/>
      <c r="AD2" s="10"/>
    </row>
    <row r="3" s="8" customFormat="1" ht="19" customHeight="1" spans="1:30">
      <c r="A3" s="30" t="s">
        <v>7</v>
      </c>
      <c r="B3" s="31" t="s">
        <v>129</v>
      </c>
      <c r="C3" s="32"/>
      <c r="D3" s="33"/>
      <c r="E3" s="34"/>
      <c r="F3" s="34"/>
      <c r="G3" s="34">
        <f>SUBTOTAL(9,G4:G4)</f>
        <v>12000</v>
      </c>
      <c r="H3" s="34"/>
      <c r="I3" s="21"/>
      <c r="J3" s="21"/>
      <c r="K3" s="22"/>
      <c r="L3" s="21"/>
      <c r="M3" s="21"/>
      <c r="N3" s="21"/>
      <c r="O3" s="21"/>
      <c r="P3" s="23"/>
      <c r="Q3" s="24"/>
      <c r="R3" s="23"/>
      <c r="S3" s="23"/>
      <c r="T3" s="23"/>
      <c r="U3" s="35"/>
      <c r="V3" s="35"/>
      <c r="W3" s="35"/>
      <c r="X3" s="35"/>
      <c r="Y3" s="36"/>
      <c r="Z3" s="36"/>
      <c r="AA3" s="36"/>
      <c r="AB3" s="36"/>
      <c r="AC3" s="36"/>
      <c r="AD3" s="36"/>
    </row>
    <row r="4" s="9" customFormat="1" ht="34" customHeight="1" outlineLevel="1" spans="1:30">
      <c r="A4" s="37">
        <v>1</v>
      </c>
      <c r="B4" s="38" t="s">
        <v>130</v>
      </c>
      <c r="C4" s="39" t="s">
        <v>131</v>
      </c>
      <c r="D4" s="38" t="s">
        <v>132</v>
      </c>
      <c r="E4" s="40">
        <v>2</v>
      </c>
      <c r="F4" s="40">
        <f>I4</f>
        <v>6000</v>
      </c>
      <c r="G4" s="40">
        <f>F4*E4</f>
        <v>12000</v>
      </c>
      <c r="H4" s="38"/>
      <c r="I4" s="41">
        <f>J4+J4*K4+L4+M4+N4</f>
        <v>6000</v>
      </c>
      <c r="J4" s="41">
        <f>P4*$P$1</f>
        <v>6000</v>
      </c>
      <c r="K4" s="42">
        <f>Q4</f>
        <v>0</v>
      </c>
      <c r="L4" s="41">
        <f>R4*$R$1</f>
        <v>0</v>
      </c>
      <c r="M4" s="43">
        <f>S4*$S$1</f>
        <v>0</v>
      </c>
      <c r="N4" s="43">
        <f>T4*$T$1</f>
        <v>0</v>
      </c>
      <c r="O4" s="43">
        <f>E4*I4</f>
        <v>12000</v>
      </c>
      <c r="P4" s="44">
        <v>6000</v>
      </c>
      <c r="Q4" s="45"/>
      <c r="R4" s="44"/>
      <c r="S4" s="44"/>
      <c r="T4" s="44"/>
      <c r="U4" s="46"/>
      <c r="V4" s="46"/>
      <c r="W4" s="46"/>
      <c r="X4" s="46"/>
      <c r="Y4" s="47"/>
      <c r="Z4" s="47"/>
      <c r="AA4" s="47"/>
      <c r="AB4" s="47"/>
      <c r="AC4" s="47"/>
      <c r="AD4" s="47"/>
    </row>
    <row r="5" s="9" customFormat="1" ht="34" customHeight="1" outlineLevel="1" spans="1:30">
      <c r="A5" s="37">
        <v>1</v>
      </c>
      <c r="B5" s="38" t="s">
        <v>133</v>
      </c>
      <c r="C5" s="39" t="s">
        <v>131</v>
      </c>
      <c r="D5" s="38" t="s">
        <v>132</v>
      </c>
      <c r="E5" s="40">
        <v>1</v>
      </c>
      <c r="F5" s="40">
        <f>I5</f>
        <v>6300</v>
      </c>
      <c r="G5" s="40">
        <f>F5*E5</f>
        <v>6300</v>
      </c>
      <c r="H5" s="38"/>
      <c r="I5" s="41">
        <f>J5+J5*K5+L5+M5+N5</f>
        <v>6300</v>
      </c>
      <c r="J5" s="41">
        <f>P5*$P$1</f>
        <v>6300</v>
      </c>
      <c r="K5" s="42">
        <f>Q5</f>
        <v>0</v>
      </c>
      <c r="L5" s="41">
        <f>R5*$R$1</f>
        <v>0</v>
      </c>
      <c r="M5" s="43">
        <f>S5*$S$1</f>
        <v>0</v>
      </c>
      <c r="N5" s="43">
        <f>T5*$T$1</f>
        <v>0</v>
      </c>
      <c r="O5" s="43">
        <f>E5*I5</f>
        <v>6300</v>
      </c>
      <c r="P5" s="44">
        <v>6300</v>
      </c>
      <c r="Q5" s="45"/>
      <c r="R5" s="44"/>
      <c r="S5" s="44"/>
      <c r="T5" s="44"/>
      <c r="U5" s="46"/>
      <c r="V5" s="46"/>
      <c r="W5" s="46"/>
      <c r="X5" s="46"/>
      <c r="Y5" s="47"/>
      <c r="Z5" s="47"/>
      <c r="AA5" s="47"/>
      <c r="AB5" s="47"/>
      <c r="AC5" s="47"/>
      <c r="AD5" s="47"/>
    </row>
    <row r="6" s="8" customFormat="1" ht="19" customHeight="1" spans="1:30">
      <c r="A6" s="30" t="s">
        <v>10</v>
      </c>
      <c r="B6" s="31" t="s">
        <v>134</v>
      </c>
      <c r="C6" s="32"/>
      <c r="D6" s="33"/>
      <c r="E6" s="34"/>
      <c r="F6" s="34"/>
      <c r="G6" s="34">
        <f>SUBTOTAL(9,G8:G35)</f>
        <v>15528.58</v>
      </c>
      <c r="H6" s="34"/>
      <c r="I6" s="21">
        <f>12*170+4000+3000</f>
        <v>9040</v>
      </c>
      <c r="J6" s="21"/>
      <c r="K6" s="22"/>
      <c r="L6" s="21"/>
      <c r="M6" s="21"/>
      <c r="N6" s="21"/>
      <c r="O6" s="21"/>
      <c r="P6" s="23"/>
      <c r="Q6" s="24"/>
      <c r="R6" s="23"/>
      <c r="S6" s="23"/>
      <c r="T6" s="23"/>
      <c r="U6" s="35"/>
      <c r="V6" s="35"/>
      <c r="W6" s="35"/>
      <c r="X6" s="35"/>
      <c r="Y6" s="36"/>
      <c r="Z6" s="36"/>
      <c r="AA6" s="36"/>
      <c r="AB6" s="36"/>
      <c r="AC6" s="36"/>
      <c r="AD6" s="36"/>
    </row>
    <row r="7" s="7" customFormat="1" ht="25" customHeight="1" spans="1:30">
      <c r="A7" s="48" t="s">
        <v>135</v>
      </c>
      <c r="B7" s="49" t="s">
        <v>136</v>
      </c>
      <c r="C7" s="49"/>
      <c r="D7" s="50"/>
      <c r="E7" s="51"/>
      <c r="F7" s="51"/>
      <c r="G7" s="51"/>
      <c r="H7" s="50"/>
      <c r="I7" s="14"/>
      <c r="J7" s="14"/>
      <c r="K7" s="15"/>
      <c r="L7" s="14"/>
      <c r="M7" s="14"/>
      <c r="N7" s="14"/>
      <c r="O7" s="14"/>
      <c r="P7" s="16"/>
      <c r="Q7" s="17"/>
      <c r="R7" s="16"/>
      <c r="S7" s="16"/>
      <c r="T7" s="16"/>
      <c r="U7" s="18"/>
      <c r="V7" s="18"/>
      <c r="W7" s="18"/>
      <c r="X7" s="18"/>
      <c r="Y7" s="10"/>
      <c r="Z7" s="10"/>
      <c r="AA7" s="10"/>
      <c r="AB7" s="10"/>
      <c r="AC7" s="10"/>
      <c r="AD7" s="10"/>
    </row>
    <row r="8" customFormat="1" ht="34" customHeight="1" outlineLevel="1" spans="1:30">
      <c r="A8" s="25">
        <v>1</v>
      </c>
      <c r="B8" s="26" t="s">
        <v>137</v>
      </c>
      <c r="C8" s="52" t="s">
        <v>138</v>
      </c>
      <c r="D8" s="26" t="s">
        <v>88</v>
      </c>
      <c r="E8" s="27">
        <v>2</v>
      </c>
      <c r="F8" s="27">
        <f t="shared" ref="F6:F15" si="0">I8</f>
        <v>191.4</v>
      </c>
      <c r="G8" s="27">
        <f t="shared" ref="G6:G26" si="1">F8*E8</f>
        <v>382.8</v>
      </c>
      <c r="H8" s="26"/>
      <c r="I8" s="41">
        <v>191.4</v>
      </c>
      <c r="J8" s="41">
        <f t="shared" ref="J8:J15" si="2">P8*$P$1</f>
        <v>0</v>
      </c>
      <c r="K8" s="42">
        <f t="shared" ref="K6:K15" si="3">Q8</f>
        <v>0</v>
      </c>
      <c r="L8" s="41">
        <f t="shared" ref="L8:L15" si="4">R8*$R$1</f>
        <v>0</v>
      </c>
      <c r="M8" s="43">
        <f t="shared" ref="M8:M15" si="5">S8*$S$1</f>
        <v>0</v>
      </c>
      <c r="N8" s="43">
        <f t="shared" ref="N8:N15" si="6">T8*$T$1</f>
        <v>0</v>
      </c>
      <c r="O8" s="43">
        <f t="shared" ref="O6:O15" si="7">E8*I8</f>
        <v>382.8</v>
      </c>
      <c r="P8" s="16"/>
      <c r="Q8" s="17"/>
      <c r="R8" s="16"/>
      <c r="S8" s="16"/>
      <c r="T8" s="16"/>
      <c r="U8" s="18"/>
      <c r="V8" s="18"/>
      <c r="W8" s="18"/>
      <c r="X8" s="18"/>
      <c r="Y8" s="10"/>
      <c r="Z8" s="10"/>
      <c r="AA8" s="10"/>
      <c r="AB8" s="10"/>
      <c r="AC8" s="10"/>
      <c r="AD8" s="10"/>
    </row>
    <row r="9" customFormat="1" ht="34" customHeight="1" outlineLevel="1" spans="1:30">
      <c r="A9" s="25">
        <v>2</v>
      </c>
      <c r="B9" s="26" t="s">
        <v>139</v>
      </c>
      <c r="C9" s="52" t="s">
        <v>140</v>
      </c>
      <c r="D9" s="26" t="s">
        <v>88</v>
      </c>
      <c r="E9" s="27">
        <v>1</v>
      </c>
      <c r="F9" s="27">
        <f t="shared" si="0"/>
        <v>261</v>
      </c>
      <c r="G9" s="27">
        <f t="shared" si="1"/>
        <v>261</v>
      </c>
      <c r="H9" s="26"/>
      <c r="I9" s="41">
        <v>261</v>
      </c>
      <c r="J9" s="41">
        <f t="shared" si="2"/>
        <v>0</v>
      </c>
      <c r="K9" s="42">
        <f t="shared" si="3"/>
        <v>0</v>
      </c>
      <c r="L9" s="41">
        <f t="shared" si="4"/>
        <v>0</v>
      </c>
      <c r="M9" s="43">
        <f t="shared" si="5"/>
        <v>0</v>
      </c>
      <c r="N9" s="43">
        <f t="shared" si="6"/>
        <v>0</v>
      </c>
      <c r="O9" s="43">
        <f t="shared" si="7"/>
        <v>261</v>
      </c>
      <c r="P9" s="16"/>
      <c r="Q9" s="17"/>
      <c r="R9" s="16"/>
      <c r="S9" s="16"/>
      <c r="T9" s="16"/>
      <c r="U9" s="18"/>
      <c r="V9" s="18"/>
      <c r="W9" s="18"/>
      <c r="X9" s="18"/>
      <c r="Y9" s="10"/>
      <c r="Z9" s="10"/>
      <c r="AA9" s="10"/>
      <c r="AB9" s="10"/>
      <c r="AC9" s="10"/>
      <c r="AD9" s="10"/>
    </row>
    <row r="10" customFormat="1" ht="34" customHeight="1" outlineLevel="1" spans="1:30">
      <c r="A10" s="25">
        <v>3</v>
      </c>
      <c r="B10" s="26" t="s">
        <v>141</v>
      </c>
      <c r="C10" s="52" t="s">
        <v>140</v>
      </c>
      <c r="D10" s="26" t="s">
        <v>88</v>
      </c>
      <c r="E10" s="27">
        <v>1</v>
      </c>
      <c r="F10" s="27">
        <f t="shared" si="0"/>
        <v>191.4</v>
      </c>
      <c r="G10" s="27">
        <f t="shared" si="1"/>
        <v>191.4</v>
      </c>
      <c r="H10" s="26"/>
      <c r="I10" s="41">
        <v>191.4</v>
      </c>
      <c r="J10" s="41">
        <f t="shared" si="2"/>
        <v>0</v>
      </c>
      <c r="K10" s="42">
        <f t="shared" si="3"/>
        <v>0</v>
      </c>
      <c r="L10" s="41">
        <f t="shared" si="4"/>
        <v>0</v>
      </c>
      <c r="M10" s="43">
        <f t="shared" si="5"/>
        <v>0</v>
      </c>
      <c r="N10" s="43">
        <f t="shared" si="6"/>
        <v>0</v>
      </c>
      <c r="O10" s="43">
        <f t="shared" si="7"/>
        <v>191.4</v>
      </c>
      <c r="P10" s="16"/>
      <c r="Q10" s="17"/>
      <c r="R10" s="16"/>
      <c r="S10" s="16"/>
      <c r="T10" s="16"/>
      <c r="U10" s="18"/>
      <c r="V10" s="18"/>
      <c r="W10" s="18"/>
      <c r="X10" s="18"/>
      <c r="Y10" s="10"/>
      <c r="Z10" s="10"/>
      <c r="AA10" s="10"/>
      <c r="AB10" s="10"/>
      <c r="AC10" s="10"/>
      <c r="AD10" s="10"/>
    </row>
    <row r="11" customFormat="1" ht="34" customHeight="1" outlineLevel="1" spans="1:30">
      <c r="A11" s="25">
        <v>4</v>
      </c>
      <c r="B11" s="26" t="s">
        <v>142</v>
      </c>
      <c r="C11" s="52" t="s">
        <v>143</v>
      </c>
      <c r="D11" s="26" t="s">
        <v>144</v>
      </c>
      <c r="E11" s="27">
        <v>5</v>
      </c>
      <c r="F11" s="27">
        <f t="shared" si="0"/>
        <v>24.36</v>
      </c>
      <c r="G11" s="27">
        <f t="shared" si="1"/>
        <v>121.8</v>
      </c>
      <c r="H11" s="26"/>
      <c r="I11" s="41">
        <v>24.36</v>
      </c>
      <c r="J11" s="41">
        <f t="shared" si="2"/>
        <v>0</v>
      </c>
      <c r="K11" s="42">
        <f t="shared" si="3"/>
        <v>0</v>
      </c>
      <c r="L11" s="41">
        <f t="shared" si="4"/>
        <v>0</v>
      </c>
      <c r="M11" s="43">
        <f t="shared" si="5"/>
        <v>0</v>
      </c>
      <c r="N11" s="43">
        <f t="shared" si="6"/>
        <v>0</v>
      </c>
      <c r="O11" s="43">
        <f t="shared" si="7"/>
        <v>121.8</v>
      </c>
      <c r="P11" s="16"/>
      <c r="Q11" s="17"/>
      <c r="R11" s="16"/>
      <c r="S11" s="16"/>
      <c r="T11" s="16"/>
      <c r="U11" s="18"/>
      <c r="V11" s="18"/>
      <c r="W11" s="18"/>
      <c r="X11" s="18"/>
      <c r="Y11" s="10"/>
      <c r="Z11" s="10"/>
      <c r="AA11" s="10"/>
      <c r="AB11" s="10"/>
      <c r="AC11" s="10"/>
      <c r="AD11" s="10"/>
    </row>
    <row r="12" customFormat="1" ht="34" customHeight="1" outlineLevel="1" spans="1:30">
      <c r="A12" s="25">
        <v>5</v>
      </c>
      <c r="B12" s="26" t="s">
        <v>145</v>
      </c>
      <c r="C12" s="52" t="s">
        <v>143</v>
      </c>
      <c r="D12" s="26" t="s">
        <v>144</v>
      </c>
      <c r="E12" s="27">
        <v>3</v>
      </c>
      <c r="F12" s="27">
        <f t="shared" si="0"/>
        <v>10.44</v>
      </c>
      <c r="G12" s="27">
        <f t="shared" si="1"/>
        <v>31.32</v>
      </c>
      <c r="H12" s="26"/>
      <c r="I12" s="41">
        <v>10.44</v>
      </c>
      <c r="J12" s="41">
        <f t="shared" si="2"/>
        <v>0</v>
      </c>
      <c r="K12" s="42">
        <f t="shared" si="3"/>
        <v>0</v>
      </c>
      <c r="L12" s="41">
        <f t="shared" si="4"/>
        <v>0</v>
      </c>
      <c r="M12" s="43">
        <f t="shared" si="5"/>
        <v>0</v>
      </c>
      <c r="N12" s="43">
        <f t="shared" si="6"/>
        <v>0</v>
      </c>
      <c r="O12" s="43">
        <f t="shared" si="7"/>
        <v>31.32</v>
      </c>
      <c r="P12" s="16"/>
      <c r="Q12" s="17"/>
      <c r="R12" s="16"/>
      <c r="S12" s="16"/>
      <c r="T12" s="16"/>
      <c r="U12" s="18"/>
      <c r="V12" s="18"/>
      <c r="W12" s="18"/>
      <c r="X12" s="18"/>
      <c r="Y12" s="10"/>
      <c r="Z12" s="10"/>
      <c r="AA12" s="10"/>
      <c r="AB12" s="10"/>
      <c r="AC12" s="10"/>
      <c r="AD12" s="10"/>
    </row>
    <row r="13" customFormat="1" ht="34" customHeight="1" outlineLevel="1" spans="1:30">
      <c r="A13" s="25">
        <v>6</v>
      </c>
      <c r="B13" s="26" t="s">
        <v>146</v>
      </c>
      <c r="C13" s="52" t="s">
        <v>143</v>
      </c>
      <c r="D13" s="26" t="s">
        <v>144</v>
      </c>
      <c r="E13" s="27">
        <v>30</v>
      </c>
      <c r="F13" s="27">
        <f t="shared" si="0"/>
        <v>6.96</v>
      </c>
      <c r="G13" s="27">
        <f t="shared" si="1"/>
        <v>208.8</v>
      </c>
      <c r="H13" s="26"/>
      <c r="I13" s="41">
        <v>6.96</v>
      </c>
      <c r="J13" s="41">
        <f t="shared" si="2"/>
        <v>0</v>
      </c>
      <c r="K13" s="42">
        <f t="shared" si="3"/>
        <v>0</v>
      </c>
      <c r="L13" s="41">
        <f t="shared" si="4"/>
        <v>0</v>
      </c>
      <c r="M13" s="43">
        <f t="shared" si="5"/>
        <v>0</v>
      </c>
      <c r="N13" s="43">
        <f t="shared" si="6"/>
        <v>0</v>
      </c>
      <c r="O13" s="43">
        <f t="shared" si="7"/>
        <v>208.8</v>
      </c>
      <c r="P13" s="16"/>
      <c r="Q13" s="17"/>
      <c r="R13" s="16"/>
      <c r="S13" s="16"/>
      <c r="T13" s="16"/>
      <c r="U13" s="18"/>
      <c r="V13" s="18"/>
      <c r="W13" s="18"/>
      <c r="X13" s="18"/>
      <c r="Y13" s="10"/>
      <c r="Z13" s="10"/>
      <c r="AA13" s="10"/>
      <c r="AB13" s="10"/>
      <c r="AC13" s="10"/>
      <c r="AD13" s="10"/>
    </row>
    <row r="14" customFormat="1" ht="34" customHeight="1" outlineLevel="1" spans="1:30">
      <c r="A14" s="25">
        <v>7</v>
      </c>
      <c r="B14" s="26" t="s">
        <v>147</v>
      </c>
      <c r="C14" s="52" t="s">
        <v>148</v>
      </c>
      <c r="D14" s="26" t="s">
        <v>114</v>
      </c>
      <c r="E14" s="27">
        <v>1</v>
      </c>
      <c r="F14" s="27">
        <f t="shared" si="0"/>
        <v>1000</v>
      </c>
      <c r="G14" s="27">
        <f t="shared" si="1"/>
        <v>1000</v>
      </c>
      <c r="H14" s="26"/>
      <c r="I14" s="41">
        <v>1000</v>
      </c>
      <c r="J14" s="41">
        <f t="shared" si="2"/>
        <v>0</v>
      </c>
      <c r="K14" s="42">
        <f t="shared" si="3"/>
        <v>0</v>
      </c>
      <c r="L14" s="41">
        <f t="shared" si="4"/>
        <v>0</v>
      </c>
      <c r="M14" s="43">
        <f t="shared" si="5"/>
        <v>0</v>
      </c>
      <c r="N14" s="43">
        <f t="shared" si="6"/>
        <v>0</v>
      </c>
      <c r="O14" s="43">
        <f t="shared" si="7"/>
        <v>1000</v>
      </c>
      <c r="P14" s="16"/>
      <c r="Q14" s="17"/>
      <c r="R14" s="16"/>
      <c r="S14" s="16"/>
      <c r="T14" s="16"/>
      <c r="U14" s="18"/>
      <c r="V14" s="18"/>
      <c r="W14" s="18"/>
      <c r="X14" s="18"/>
      <c r="Y14" s="10"/>
      <c r="Z14" s="10"/>
      <c r="AA14" s="10"/>
      <c r="AB14" s="10"/>
      <c r="AC14" s="10"/>
      <c r="AD14" s="10"/>
    </row>
    <row r="15" s="8" customFormat="1" ht="63" customHeight="1" outlineLevel="1" spans="1:30">
      <c r="A15" s="25">
        <v>8</v>
      </c>
      <c r="B15" s="26" t="s">
        <v>149</v>
      </c>
      <c r="C15" s="52" t="s">
        <v>150</v>
      </c>
      <c r="D15" s="26" t="s">
        <v>114</v>
      </c>
      <c r="E15" s="27">
        <v>1</v>
      </c>
      <c r="F15" s="27">
        <v>4000</v>
      </c>
      <c r="G15" s="27">
        <f t="shared" si="1"/>
        <v>4000</v>
      </c>
      <c r="H15" s="52" t="s">
        <v>151</v>
      </c>
      <c r="I15" s="41">
        <v>35.5</v>
      </c>
      <c r="J15" s="41">
        <f t="shared" si="2"/>
        <v>0</v>
      </c>
      <c r="K15" s="42">
        <f t="shared" si="3"/>
        <v>0</v>
      </c>
      <c r="L15" s="41">
        <f t="shared" si="4"/>
        <v>30</v>
      </c>
      <c r="M15" s="43">
        <f t="shared" si="5"/>
        <v>0</v>
      </c>
      <c r="N15" s="43">
        <f t="shared" si="6"/>
        <v>0</v>
      </c>
      <c r="O15" s="43">
        <f t="shared" si="7"/>
        <v>35.5</v>
      </c>
      <c r="P15" s="16"/>
      <c r="Q15" s="17"/>
      <c r="R15" s="16">
        <v>30</v>
      </c>
      <c r="S15" s="16"/>
      <c r="T15" s="16"/>
      <c r="U15" s="18"/>
      <c r="V15" s="18"/>
      <c r="W15" s="18"/>
      <c r="X15" s="18"/>
      <c r="Y15" s="10"/>
      <c r="Z15" s="10"/>
      <c r="AA15" s="10"/>
      <c r="AB15" s="10"/>
      <c r="AC15" s="10"/>
      <c r="AD15" s="10"/>
    </row>
    <row r="16" s="7" customFormat="1" ht="25" customHeight="1" spans="1:30">
      <c r="A16" s="48" t="s">
        <v>152</v>
      </c>
      <c r="B16" s="49" t="s">
        <v>153</v>
      </c>
      <c r="C16" s="49"/>
      <c r="D16" s="50"/>
      <c r="E16" s="51"/>
      <c r="F16" s="51"/>
      <c r="G16" s="27"/>
      <c r="H16" s="50"/>
      <c r="I16" s="14"/>
      <c r="J16" s="14"/>
      <c r="K16" s="15"/>
      <c r="L16" s="14"/>
      <c r="M16" s="14"/>
      <c r="N16" s="14"/>
      <c r="O16" s="14"/>
      <c r="P16" s="16"/>
      <c r="Q16" s="17"/>
      <c r="R16" s="16"/>
      <c r="S16" s="16"/>
      <c r="T16" s="16"/>
      <c r="U16" s="18"/>
      <c r="V16" s="18"/>
      <c r="W16" s="18"/>
      <c r="X16" s="18"/>
      <c r="Y16" s="10"/>
      <c r="Z16" s="10"/>
      <c r="AA16" s="10"/>
      <c r="AB16" s="10"/>
      <c r="AC16" s="10"/>
      <c r="AD16" s="10"/>
    </row>
    <row r="17" customFormat="1" ht="37" customHeight="1" outlineLevel="1" spans="1:30">
      <c r="A17" s="25">
        <v>1</v>
      </c>
      <c r="B17" s="26" t="s">
        <v>154</v>
      </c>
      <c r="C17" s="52" t="s">
        <v>138</v>
      </c>
      <c r="D17" s="26" t="s">
        <v>101</v>
      </c>
      <c r="E17" s="27">
        <v>8</v>
      </c>
      <c r="F17" s="27">
        <f t="shared" ref="F17:F26" si="8">I17</f>
        <v>174</v>
      </c>
      <c r="G17" s="27">
        <f t="shared" si="1"/>
        <v>1392</v>
      </c>
      <c r="H17" s="26"/>
      <c r="I17" s="41">
        <v>174</v>
      </c>
      <c r="J17" s="41">
        <f t="shared" ref="J17:J26" si="9">P17*$P$1</f>
        <v>0</v>
      </c>
      <c r="K17" s="42">
        <f t="shared" ref="K17:K26" si="10">Q17</f>
        <v>0</v>
      </c>
      <c r="L17" s="41">
        <f t="shared" ref="L17:L26" si="11">R17*$R$1</f>
        <v>0</v>
      </c>
      <c r="M17" s="43">
        <f t="shared" ref="M17:M26" si="12">S17*$S$1</f>
        <v>0</v>
      </c>
      <c r="N17" s="43">
        <f t="shared" ref="N17:N26" si="13">T17*$T$1</f>
        <v>0</v>
      </c>
      <c r="O17" s="43">
        <f t="shared" ref="O17:O26" si="14">E17*I17</f>
        <v>1392</v>
      </c>
      <c r="P17" s="16"/>
      <c r="Q17" s="17"/>
      <c r="R17" s="16"/>
      <c r="S17" s="16"/>
      <c r="T17" s="16"/>
      <c r="U17" s="18"/>
      <c r="V17" s="18"/>
      <c r="W17" s="18"/>
      <c r="X17" s="18"/>
      <c r="Y17" s="10"/>
      <c r="Z17" s="10"/>
      <c r="AA17" s="10"/>
      <c r="AB17" s="10"/>
      <c r="AC17" s="10"/>
      <c r="AD17" s="10"/>
    </row>
    <row r="18" customFormat="1" ht="37" customHeight="1" outlineLevel="1" spans="1:30">
      <c r="A18" s="25">
        <v>2</v>
      </c>
      <c r="B18" s="26" t="s">
        <v>155</v>
      </c>
      <c r="C18" s="52" t="s">
        <v>156</v>
      </c>
      <c r="D18" s="26" t="s">
        <v>101</v>
      </c>
      <c r="E18" s="27">
        <v>1</v>
      </c>
      <c r="F18" s="27">
        <f t="shared" si="8"/>
        <v>217.5</v>
      </c>
      <c r="G18" s="27">
        <f t="shared" si="1"/>
        <v>217.5</v>
      </c>
      <c r="H18" s="26"/>
      <c r="I18" s="41">
        <v>217.5</v>
      </c>
      <c r="J18" s="41">
        <f t="shared" si="9"/>
        <v>0</v>
      </c>
      <c r="K18" s="42">
        <f t="shared" si="10"/>
        <v>0</v>
      </c>
      <c r="L18" s="41">
        <f t="shared" si="11"/>
        <v>0</v>
      </c>
      <c r="M18" s="43">
        <f t="shared" si="12"/>
        <v>0</v>
      </c>
      <c r="N18" s="43">
        <f t="shared" si="13"/>
        <v>0</v>
      </c>
      <c r="O18" s="43">
        <f t="shared" si="14"/>
        <v>217.5</v>
      </c>
      <c r="P18" s="16"/>
      <c r="Q18" s="17"/>
      <c r="R18" s="16"/>
      <c r="S18" s="16"/>
      <c r="T18" s="16"/>
      <c r="U18" s="18"/>
      <c r="V18" s="18"/>
      <c r="W18" s="18"/>
      <c r="X18" s="18"/>
      <c r="Y18" s="10"/>
      <c r="Z18" s="10"/>
      <c r="AA18" s="10"/>
      <c r="AB18" s="10"/>
      <c r="AC18" s="10"/>
      <c r="AD18" s="10"/>
    </row>
    <row r="19" customFormat="1" ht="37" customHeight="1" outlineLevel="1" spans="1:30">
      <c r="A19" s="25">
        <v>3</v>
      </c>
      <c r="B19" s="26" t="s">
        <v>157</v>
      </c>
      <c r="C19" s="52" t="s">
        <v>138</v>
      </c>
      <c r="D19" s="26" t="s">
        <v>158</v>
      </c>
      <c r="E19" s="27">
        <v>12</v>
      </c>
      <c r="F19" s="27">
        <f t="shared" si="8"/>
        <v>21.75</v>
      </c>
      <c r="G19" s="27">
        <f t="shared" si="1"/>
        <v>261</v>
      </c>
      <c r="H19" s="26"/>
      <c r="I19" s="41">
        <v>21.75</v>
      </c>
      <c r="J19" s="41">
        <f t="shared" si="9"/>
        <v>0</v>
      </c>
      <c r="K19" s="42">
        <f t="shared" si="10"/>
        <v>0</v>
      </c>
      <c r="L19" s="41">
        <f t="shared" si="11"/>
        <v>0</v>
      </c>
      <c r="M19" s="43">
        <f t="shared" si="12"/>
        <v>0</v>
      </c>
      <c r="N19" s="43">
        <f t="shared" si="13"/>
        <v>0</v>
      </c>
      <c r="O19" s="43">
        <f t="shared" si="14"/>
        <v>261</v>
      </c>
      <c r="P19" s="16"/>
      <c r="Q19" s="17"/>
      <c r="R19" s="16"/>
      <c r="S19" s="16"/>
      <c r="T19" s="16"/>
      <c r="U19" s="18"/>
      <c r="V19" s="18"/>
      <c r="W19" s="18"/>
      <c r="X19" s="18"/>
      <c r="Y19" s="10"/>
      <c r="Z19" s="10"/>
      <c r="AA19" s="10"/>
      <c r="AB19" s="10"/>
      <c r="AC19" s="10"/>
      <c r="AD19" s="10"/>
    </row>
    <row r="20" customFormat="1" ht="37" customHeight="1" outlineLevel="1" spans="1:30">
      <c r="A20" s="25">
        <v>4</v>
      </c>
      <c r="B20" s="26" t="s">
        <v>159</v>
      </c>
      <c r="C20" s="52" t="s">
        <v>160</v>
      </c>
      <c r="D20" s="26" t="s">
        <v>161</v>
      </c>
      <c r="E20" s="27">
        <v>0.5</v>
      </c>
      <c r="F20" s="27">
        <f t="shared" si="8"/>
        <v>435</v>
      </c>
      <c r="G20" s="27">
        <f t="shared" si="1"/>
        <v>217.5</v>
      </c>
      <c r="H20" s="26"/>
      <c r="I20" s="41">
        <v>435</v>
      </c>
      <c r="J20" s="41">
        <f t="shared" si="9"/>
        <v>0</v>
      </c>
      <c r="K20" s="42">
        <f t="shared" si="10"/>
        <v>0</v>
      </c>
      <c r="L20" s="41">
        <f t="shared" si="11"/>
        <v>0</v>
      </c>
      <c r="M20" s="43">
        <f t="shared" si="12"/>
        <v>0</v>
      </c>
      <c r="N20" s="43">
        <f t="shared" si="13"/>
        <v>0</v>
      </c>
      <c r="O20" s="43">
        <f t="shared" si="14"/>
        <v>217.5</v>
      </c>
      <c r="P20" s="16"/>
      <c r="Q20" s="17"/>
      <c r="R20" s="16"/>
      <c r="S20" s="16"/>
      <c r="T20" s="16"/>
      <c r="U20" s="18"/>
      <c r="V20" s="18"/>
      <c r="W20" s="18"/>
      <c r="X20" s="18"/>
      <c r="Y20" s="10"/>
      <c r="Z20" s="10"/>
      <c r="AA20" s="10"/>
      <c r="AB20" s="10"/>
      <c r="AC20" s="10"/>
      <c r="AD20" s="10"/>
    </row>
    <row r="21" customFormat="1" ht="37" customHeight="1" outlineLevel="1" spans="1:30">
      <c r="A21" s="25">
        <v>5</v>
      </c>
      <c r="B21" s="26" t="s">
        <v>162</v>
      </c>
      <c r="C21" s="52" t="s">
        <v>163</v>
      </c>
      <c r="D21" s="26" t="s">
        <v>144</v>
      </c>
      <c r="E21" s="27">
        <v>5</v>
      </c>
      <c r="F21" s="27">
        <f t="shared" si="8"/>
        <v>50.46</v>
      </c>
      <c r="G21" s="27">
        <f t="shared" si="1"/>
        <v>252.3</v>
      </c>
      <c r="H21" s="26"/>
      <c r="I21" s="41">
        <v>50.46</v>
      </c>
      <c r="J21" s="41">
        <f t="shared" si="9"/>
        <v>0</v>
      </c>
      <c r="K21" s="42">
        <f t="shared" si="10"/>
        <v>0</v>
      </c>
      <c r="L21" s="41">
        <f t="shared" si="11"/>
        <v>0</v>
      </c>
      <c r="M21" s="43">
        <f t="shared" si="12"/>
        <v>0</v>
      </c>
      <c r="N21" s="43">
        <f t="shared" si="13"/>
        <v>0</v>
      </c>
      <c r="O21" s="43">
        <f t="shared" si="14"/>
        <v>252.3</v>
      </c>
      <c r="P21" s="16"/>
      <c r="Q21" s="17"/>
      <c r="R21" s="16"/>
      <c r="S21" s="16"/>
      <c r="T21" s="16"/>
      <c r="U21" s="18"/>
      <c r="V21" s="18"/>
      <c r="W21" s="18"/>
      <c r="X21" s="18"/>
      <c r="Y21" s="10"/>
      <c r="Z21" s="10"/>
      <c r="AA21" s="10"/>
      <c r="AB21" s="10"/>
      <c r="AC21" s="10"/>
      <c r="AD21" s="10"/>
    </row>
    <row r="22" customFormat="1" ht="37" customHeight="1" outlineLevel="1" spans="1:30">
      <c r="A22" s="25">
        <v>6</v>
      </c>
      <c r="B22" s="26" t="s">
        <v>164</v>
      </c>
      <c r="C22" s="52" t="s">
        <v>163</v>
      </c>
      <c r="D22" s="26" t="s">
        <v>144</v>
      </c>
      <c r="E22" s="27">
        <v>3</v>
      </c>
      <c r="F22" s="27">
        <f t="shared" si="8"/>
        <v>56.55</v>
      </c>
      <c r="G22" s="27">
        <f t="shared" si="1"/>
        <v>169.65</v>
      </c>
      <c r="H22" s="26"/>
      <c r="I22" s="41">
        <v>56.55</v>
      </c>
      <c r="J22" s="41">
        <f t="shared" si="9"/>
        <v>0</v>
      </c>
      <c r="K22" s="42">
        <f t="shared" si="10"/>
        <v>0</v>
      </c>
      <c r="L22" s="41">
        <f t="shared" si="11"/>
        <v>0</v>
      </c>
      <c r="M22" s="43">
        <f t="shared" si="12"/>
        <v>0</v>
      </c>
      <c r="N22" s="43">
        <f t="shared" si="13"/>
        <v>0</v>
      </c>
      <c r="O22" s="43">
        <f t="shared" si="14"/>
        <v>169.65</v>
      </c>
      <c r="P22" s="16"/>
      <c r="Q22" s="17"/>
      <c r="R22" s="16"/>
      <c r="S22" s="16"/>
      <c r="T22" s="16"/>
      <c r="U22" s="18"/>
      <c r="V22" s="18"/>
      <c r="W22" s="18"/>
      <c r="X22" s="18"/>
      <c r="Y22" s="10"/>
      <c r="Z22" s="10"/>
      <c r="AA22" s="10"/>
      <c r="AB22" s="10"/>
      <c r="AC22" s="10"/>
      <c r="AD22" s="10"/>
    </row>
    <row r="23" customFormat="1" ht="37" customHeight="1" outlineLevel="1" spans="1:30">
      <c r="A23" s="25">
        <v>7</v>
      </c>
      <c r="B23" s="26" t="s">
        <v>165</v>
      </c>
      <c r="C23" s="52" t="s">
        <v>163</v>
      </c>
      <c r="D23" s="26" t="s">
        <v>144</v>
      </c>
      <c r="E23" s="27">
        <v>1</v>
      </c>
      <c r="F23" s="27">
        <f t="shared" si="8"/>
        <v>65.25</v>
      </c>
      <c r="G23" s="27">
        <f t="shared" si="1"/>
        <v>65.25</v>
      </c>
      <c r="H23" s="26"/>
      <c r="I23" s="41">
        <v>65.25</v>
      </c>
      <c r="J23" s="41">
        <f t="shared" si="9"/>
        <v>0</v>
      </c>
      <c r="K23" s="42">
        <f t="shared" si="10"/>
        <v>0</v>
      </c>
      <c r="L23" s="41">
        <f t="shared" si="11"/>
        <v>0</v>
      </c>
      <c r="M23" s="43">
        <f t="shared" si="12"/>
        <v>0</v>
      </c>
      <c r="N23" s="43">
        <f t="shared" si="13"/>
        <v>0</v>
      </c>
      <c r="O23" s="43">
        <f t="shared" si="14"/>
        <v>65.25</v>
      </c>
      <c r="P23" s="16"/>
      <c r="Q23" s="17"/>
      <c r="R23" s="16"/>
      <c r="S23" s="16"/>
      <c r="T23" s="16"/>
      <c r="U23" s="18"/>
      <c r="V23" s="18"/>
      <c r="W23" s="18"/>
      <c r="X23" s="18"/>
      <c r="Y23" s="10"/>
      <c r="Z23" s="10"/>
      <c r="AA23" s="10"/>
      <c r="AB23" s="10"/>
      <c r="AC23" s="10"/>
      <c r="AD23" s="10"/>
    </row>
    <row r="24" customFormat="1" ht="37" customHeight="1" outlineLevel="1" spans="1:30">
      <c r="A24" s="25">
        <v>8</v>
      </c>
      <c r="B24" s="26" t="s">
        <v>166</v>
      </c>
      <c r="C24" s="52" t="s">
        <v>163</v>
      </c>
      <c r="D24" s="26" t="s">
        <v>144</v>
      </c>
      <c r="E24" s="27">
        <v>1</v>
      </c>
      <c r="F24" s="27">
        <f t="shared" si="8"/>
        <v>80.91</v>
      </c>
      <c r="G24" s="27">
        <f t="shared" si="1"/>
        <v>80.91</v>
      </c>
      <c r="H24" s="26"/>
      <c r="I24" s="41">
        <v>80.91</v>
      </c>
      <c r="J24" s="41">
        <f t="shared" si="9"/>
        <v>0</v>
      </c>
      <c r="K24" s="42">
        <f t="shared" si="10"/>
        <v>0</v>
      </c>
      <c r="L24" s="41">
        <f t="shared" si="11"/>
        <v>0</v>
      </c>
      <c r="M24" s="43">
        <f t="shared" si="12"/>
        <v>0</v>
      </c>
      <c r="N24" s="43">
        <f t="shared" si="13"/>
        <v>0</v>
      </c>
      <c r="O24" s="43">
        <f t="shared" si="14"/>
        <v>80.91</v>
      </c>
      <c r="P24" s="16"/>
      <c r="Q24" s="17"/>
      <c r="R24" s="16"/>
      <c r="S24" s="16"/>
      <c r="T24" s="16"/>
      <c r="U24" s="18"/>
      <c r="V24" s="18"/>
      <c r="W24" s="18"/>
      <c r="X24" s="18"/>
      <c r="Y24" s="10"/>
      <c r="Z24" s="10"/>
      <c r="AA24" s="10"/>
      <c r="AB24" s="10"/>
      <c r="AC24" s="10"/>
      <c r="AD24" s="10"/>
    </row>
    <row r="25" customFormat="1" ht="37" customHeight="1" outlineLevel="1" spans="1:30">
      <c r="A25" s="25">
        <v>9</v>
      </c>
      <c r="B25" s="26" t="s">
        <v>167</v>
      </c>
      <c r="C25" s="52" t="s">
        <v>168</v>
      </c>
      <c r="D25" s="26" t="s">
        <v>114</v>
      </c>
      <c r="E25" s="27">
        <v>1</v>
      </c>
      <c r="F25" s="27">
        <f t="shared" si="8"/>
        <v>800</v>
      </c>
      <c r="G25" s="27">
        <f t="shared" si="1"/>
        <v>800</v>
      </c>
      <c r="H25" s="26"/>
      <c r="I25" s="41">
        <v>800</v>
      </c>
      <c r="J25" s="41">
        <f t="shared" si="9"/>
        <v>0</v>
      </c>
      <c r="K25" s="42">
        <f t="shared" si="10"/>
        <v>0</v>
      </c>
      <c r="L25" s="41">
        <f t="shared" si="11"/>
        <v>0</v>
      </c>
      <c r="M25" s="43">
        <f t="shared" si="12"/>
        <v>0</v>
      </c>
      <c r="N25" s="43">
        <f t="shared" si="13"/>
        <v>0</v>
      </c>
      <c r="O25" s="43">
        <f t="shared" si="14"/>
        <v>800</v>
      </c>
      <c r="P25" s="16"/>
      <c r="Q25" s="17"/>
      <c r="R25" s="16"/>
      <c r="S25" s="16"/>
      <c r="T25" s="16"/>
      <c r="U25" s="18"/>
      <c r="V25" s="18"/>
      <c r="W25" s="18"/>
      <c r="X25" s="18"/>
      <c r="Y25" s="10"/>
      <c r="Z25" s="10"/>
      <c r="AA25" s="10"/>
      <c r="AB25" s="10"/>
      <c r="AC25" s="10"/>
      <c r="AD25" s="10"/>
    </row>
    <row r="26" customFormat="1" ht="37" customHeight="1" outlineLevel="1" spans="1:30">
      <c r="A26" s="25">
        <v>10</v>
      </c>
      <c r="B26" s="26" t="s">
        <v>169</v>
      </c>
      <c r="C26" s="52" t="s">
        <v>170</v>
      </c>
      <c r="D26" s="26" t="s">
        <v>114</v>
      </c>
      <c r="E26" s="27">
        <v>1</v>
      </c>
      <c r="F26" s="27">
        <f t="shared" si="8"/>
        <v>870</v>
      </c>
      <c r="G26" s="27">
        <f t="shared" si="1"/>
        <v>870</v>
      </c>
      <c r="H26" s="26"/>
      <c r="I26" s="41">
        <v>870</v>
      </c>
      <c r="J26" s="41">
        <f t="shared" si="9"/>
        <v>0</v>
      </c>
      <c r="K26" s="42">
        <f t="shared" si="10"/>
        <v>0</v>
      </c>
      <c r="L26" s="41">
        <f t="shared" si="11"/>
        <v>0</v>
      </c>
      <c r="M26" s="43">
        <f t="shared" si="12"/>
        <v>0</v>
      </c>
      <c r="N26" s="43">
        <f t="shared" si="13"/>
        <v>0</v>
      </c>
      <c r="O26" s="43">
        <f t="shared" si="14"/>
        <v>870</v>
      </c>
      <c r="P26" s="16"/>
      <c r="Q26" s="17"/>
      <c r="R26" s="16"/>
      <c r="S26" s="16"/>
      <c r="T26" s="16"/>
      <c r="U26" s="18"/>
      <c r="V26" s="18"/>
      <c r="W26" s="18"/>
      <c r="X26" s="18"/>
      <c r="Y26" s="10"/>
      <c r="Z26" s="10"/>
      <c r="AA26" s="10"/>
      <c r="AB26" s="10"/>
      <c r="AC26" s="10"/>
      <c r="AD26" s="10"/>
    </row>
    <row r="27" s="7" customFormat="1" ht="25" customHeight="1" spans="1:30">
      <c r="A27" s="48" t="s">
        <v>171</v>
      </c>
      <c r="B27" s="49" t="s">
        <v>172</v>
      </c>
      <c r="C27" s="49"/>
      <c r="D27" s="50"/>
      <c r="E27" s="51"/>
      <c r="F27" s="51"/>
      <c r="G27" s="51"/>
      <c r="H27" s="50"/>
      <c r="I27" s="14"/>
      <c r="J27" s="14"/>
      <c r="K27" s="15"/>
      <c r="L27" s="14"/>
      <c r="M27" s="14"/>
      <c r="N27" s="14"/>
      <c r="O27" s="14"/>
      <c r="P27" s="16"/>
      <c r="Q27" s="17"/>
      <c r="R27" s="16"/>
      <c r="S27" s="16"/>
      <c r="T27" s="16"/>
      <c r="U27" s="18"/>
      <c r="V27" s="18"/>
      <c r="W27" s="18"/>
      <c r="X27" s="18"/>
      <c r="Y27" s="10"/>
      <c r="Z27" s="10"/>
      <c r="AA27" s="10"/>
      <c r="AB27" s="10"/>
      <c r="AC27" s="10"/>
      <c r="AD27" s="10"/>
    </row>
    <row r="28" customFormat="1" ht="37" customHeight="1" outlineLevel="1" spans="1:30">
      <c r="A28" s="25">
        <v>1</v>
      </c>
      <c r="B28" s="26" t="s">
        <v>173</v>
      </c>
      <c r="C28" s="52" t="s">
        <v>174</v>
      </c>
      <c r="D28" s="26" t="s">
        <v>48</v>
      </c>
      <c r="E28" s="27">
        <v>2.5</v>
      </c>
      <c r="F28" s="27">
        <f>I28</f>
        <v>156.6</v>
      </c>
      <c r="G28" s="27">
        <f>F28*E28</f>
        <v>391.5</v>
      </c>
      <c r="H28" s="26"/>
      <c r="I28" s="41">
        <v>156.6</v>
      </c>
      <c r="J28" s="41">
        <f>P28*$P$1</f>
        <v>0</v>
      </c>
      <c r="K28" s="42">
        <f>Q28</f>
        <v>0</v>
      </c>
      <c r="L28" s="41">
        <f>R28*$R$1</f>
        <v>0</v>
      </c>
      <c r="M28" s="43">
        <f>S28*$S$1</f>
        <v>0</v>
      </c>
      <c r="N28" s="43">
        <f>T28*$T$1</f>
        <v>0</v>
      </c>
      <c r="O28" s="43">
        <f>E28*I28</f>
        <v>391.5</v>
      </c>
      <c r="P28" s="16"/>
      <c r="Q28" s="17"/>
      <c r="R28" s="16"/>
      <c r="S28" s="16"/>
      <c r="T28" s="16"/>
      <c r="U28" s="18"/>
      <c r="V28" s="18"/>
      <c r="W28" s="18"/>
      <c r="X28" s="18"/>
      <c r="Y28" s="10"/>
      <c r="Z28" s="10"/>
      <c r="AA28" s="10"/>
      <c r="AB28" s="10"/>
      <c r="AC28" s="10"/>
      <c r="AD28" s="10"/>
    </row>
    <row r="29" customFormat="1" ht="37" customHeight="1" outlineLevel="1" spans="1:30">
      <c r="A29" s="25">
        <v>2</v>
      </c>
      <c r="B29" s="26" t="s">
        <v>175</v>
      </c>
      <c r="C29" s="52" t="s">
        <v>176</v>
      </c>
      <c r="D29" s="26" t="s">
        <v>48</v>
      </c>
      <c r="E29" s="27">
        <v>1.5</v>
      </c>
      <c r="F29" s="27">
        <f>I29</f>
        <v>147.9</v>
      </c>
      <c r="G29" s="27">
        <f>F29*E29</f>
        <v>221.85</v>
      </c>
      <c r="H29" s="26"/>
      <c r="I29" s="41">
        <v>147.9</v>
      </c>
      <c r="J29" s="41">
        <f>P29*$P$1</f>
        <v>0</v>
      </c>
      <c r="K29" s="42">
        <f>Q29</f>
        <v>0</v>
      </c>
      <c r="L29" s="41">
        <f>R29*$R$1</f>
        <v>0</v>
      </c>
      <c r="M29" s="43">
        <f>S29*$S$1</f>
        <v>0</v>
      </c>
      <c r="N29" s="43">
        <f>T29*$T$1</f>
        <v>0</v>
      </c>
      <c r="O29" s="43">
        <f>E29*I29</f>
        <v>221.85</v>
      </c>
      <c r="P29" s="16"/>
      <c r="Q29" s="17"/>
      <c r="R29" s="16"/>
      <c r="S29" s="16"/>
      <c r="T29" s="16"/>
      <c r="U29" s="18"/>
      <c r="V29" s="18"/>
      <c r="W29" s="18"/>
      <c r="X29" s="18"/>
      <c r="Y29" s="10"/>
      <c r="Z29" s="10"/>
      <c r="AA29" s="10"/>
      <c r="AB29" s="10"/>
      <c r="AC29" s="10"/>
      <c r="AD29" s="10"/>
    </row>
    <row r="30" customFormat="1" ht="37" customHeight="1" outlineLevel="1" spans="1:30">
      <c r="A30" s="25">
        <v>3</v>
      </c>
      <c r="B30" s="26" t="s">
        <v>177</v>
      </c>
      <c r="C30" s="52" t="s">
        <v>176</v>
      </c>
      <c r="D30" s="26" t="s">
        <v>48</v>
      </c>
      <c r="E30" s="27">
        <f>E28+E29</f>
        <v>4</v>
      </c>
      <c r="F30" s="27">
        <f>I30</f>
        <v>87</v>
      </c>
      <c r="G30" s="27">
        <f>F30*E30</f>
        <v>348</v>
      </c>
      <c r="H30" s="26"/>
      <c r="I30" s="41">
        <v>87</v>
      </c>
      <c r="J30" s="41">
        <f>P30*$P$1</f>
        <v>0</v>
      </c>
      <c r="K30" s="42">
        <f>Q30</f>
        <v>0</v>
      </c>
      <c r="L30" s="41">
        <f>R30*$R$1</f>
        <v>0</v>
      </c>
      <c r="M30" s="43">
        <f>S30*$S$1</f>
        <v>0</v>
      </c>
      <c r="N30" s="43">
        <f>T30*$T$1</f>
        <v>0</v>
      </c>
      <c r="O30" s="43">
        <f>E30*I30</f>
        <v>348</v>
      </c>
      <c r="P30" s="16"/>
      <c r="Q30" s="17"/>
      <c r="R30" s="16"/>
      <c r="S30" s="16"/>
      <c r="T30" s="16"/>
      <c r="U30" s="18"/>
      <c r="V30" s="18"/>
      <c r="W30" s="18"/>
      <c r="X30" s="18"/>
      <c r="Y30" s="10"/>
      <c r="Z30" s="10"/>
      <c r="AA30" s="10"/>
      <c r="AB30" s="10"/>
      <c r="AC30" s="10"/>
      <c r="AD30" s="10"/>
    </row>
    <row r="31" customFormat="1" ht="37" customHeight="1" outlineLevel="1" spans="1:30">
      <c r="A31" s="25">
        <v>5</v>
      </c>
      <c r="B31" s="26" t="s">
        <v>178</v>
      </c>
      <c r="C31" s="52" t="s">
        <v>179</v>
      </c>
      <c r="D31" s="26" t="s">
        <v>101</v>
      </c>
      <c r="E31" s="27">
        <v>3</v>
      </c>
      <c r="F31" s="27">
        <f>I31</f>
        <v>348</v>
      </c>
      <c r="G31" s="27">
        <f>F31*E31</f>
        <v>1044</v>
      </c>
      <c r="H31" s="26"/>
      <c r="I31" s="41">
        <v>348</v>
      </c>
      <c r="J31" s="41">
        <f>P31*$P$1</f>
        <v>0</v>
      </c>
      <c r="K31" s="42">
        <f>Q31</f>
        <v>0</v>
      </c>
      <c r="L31" s="41">
        <f>R31*$R$1</f>
        <v>0</v>
      </c>
      <c r="M31" s="43">
        <f>S31*$S$1</f>
        <v>0</v>
      </c>
      <c r="N31" s="43">
        <f>T31*$T$1</f>
        <v>0</v>
      </c>
      <c r="O31" s="43">
        <f>E31*I31</f>
        <v>1044</v>
      </c>
      <c r="P31" s="16"/>
      <c r="Q31" s="17"/>
      <c r="R31" s="16"/>
      <c r="S31" s="16"/>
      <c r="T31" s="16"/>
      <c r="U31" s="18"/>
      <c r="V31" s="18"/>
      <c r="W31" s="18"/>
      <c r="X31" s="18"/>
      <c r="Y31" s="10"/>
      <c r="Z31" s="10"/>
      <c r="AA31" s="10"/>
      <c r="AB31" s="10"/>
      <c r="AC31" s="10"/>
      <c r="AD31" s="10"/>
    </row>
    <row r="32" customFormat="1" ht="30" customHeight="1" outlineLevel="1" spans="1:30">
      <c r="A32" s="25">
        <v>6</v>
      </c>
      <c r="B32" s="26" t="s">
        <v>180</v>
      </c>
      <c r="C32" s="52"/>
      <c r="D32" s="26" t="s">
        <v>114</v>
      </c>
      <c r="E32" s="27">
        <v>0</v>
      </c>
      <c r="F32" s="27">
        <f>I32</f>
        <v>1500</v>
      </c>
      <c r="G32" s="27">
        <f>F32*E32</f>
        <v>0</v>
      </c>
      <c r="H32" s="26"/>
      <c r="I32" s="41">
        <v>1500</v>
      </c>
      <c r="J32" s="41">
        <f>P32*$P$1</f>
        <v>0</v>
      </c>
      <c r="K32" s="42">
        <f>Q32</f>
        <v>0</v>
      </c>
      <c r="L32" s="41">
        <f>R32*$R$1</f>
        <v>0</v>
      </c>
      <c r="M32" s="43">
        <f>S32*$S$1</f>
        <v>0</v>
      </c>
      <c r="N32" s="43">
        <f>T32*$T$1</f>
        <v>0</v>
      </c>
      <c r="O32" s="43">
        <f>E32*I32</f>
        <v>0</v>
      </c>
      <c r="P32" s="16"/>
      <c r="Q32" s="17"/>
      <c r="R32" s="16"/>
      <c r="S32" s="16"/>
      <c r="T32" s="16"/>
      <c r="U32" s="18"/>
      <c r="V32" s="18"/>
      <c r="W32" s="18"/>
      <c r="X32" s="18"/>
      <c r="Y32" s="10"/>
      <c r="Z32" s="10"/>
      <c r="AA32" s="10"/>
      <c r="AB32" s="10"/>
      <c r="AC32" s="10"/>
      <c r="AD32" s="10"/>
    </row>
    <row r="33" s="7" customFormat="1" ht="25" customHeight="1" spans="1:30">
      <c r="A33" s="48" t="s">
        <v>181</v>
      </c>
      <c r="B33" s="49" t="s">
        <v>182</v>
      </c>
      <c r="C33" s="49"/>
      <c r="D33" s="50"/>
      <c r="E33" s="51"/>
      <c r="F33" s="51"/>
      <c r="G33" s="51"/>
      <c r="H33" s="50"/>
      <c r="I33" s="14"/>
      <c r="J33" s="14"/>
      <c r="K33" s="15"/>
      <c r="L33" s="14"/>
      <c r="M33" s="14"/>
      <c r="N33" s="14"/>
      <c r="O33" s="14"/>
      <c r="P33" s="16"/>
      <c r="Q33" s="17"/>
      <c r="R33" s="16"/>
      <c r="S33" s="16"/>
      <c r="T33" s="16"/>
      <c r="U33" s="18"/>
      <c r="V33" s="18"/>
      <c r="W33" s="18"/>
      <c r="X33" s="18"/>
      <c r="Y33" s="10"/>
      <c r="Z33" s="10"/>
      <c r="AA33" s="10"/>
      <c r="AB33" s="10"/>
      <c r="AC33" s="10"/>
      <c r="AD33" s="10"/>
    </row>
    <row r="34" s="8" customFormat="1" ht="27" customHeight="1" outlineLevel="1" spans="1:30">
      <c r="A34" s="25">
        <v>1</v>
      </c>
      <c r="B34" s="26" t="s">
        <v>183</v>
      </c>
      <c r="C34" s="52" t="s">
        <v>184</v>
      </c>
      <c r="D34" s="26" t="s">
        <v>114</v>
      </c>
      <c r="E34" s="27">
        <v>1</v>
      </c>
      <c r="F34" s="27">
        <f>I34</f>
        <v>3000</v>
      </c>
      <c r="G34" s="27">
        <f>F34*E34</f>
        <v>3000</v>
      </c>
      <c r="H34" s="26"/>
      <c r="I34" s="41">
        <v>3000</v>
      </c>
      <c r="J34" s="41">
        <f>P34*$P$1</f>
        <v>0</v>
      </c>
      <c r="K34" s="42">
        <f>Q34</f>
        <v>0</v>
      </c>
      <c r="L34" s="41">
        <f>R34*$R$1</f>
        <v>0</v>
      </c>
      <c r="M34" s="43">
        <f>S34*$S$1</f>
        <v>0</v>
      </c>
      <c r="N34" s="43">
        <f>T34*$T$1</f>
        <v>0</v>
      </c>
      <c r="O34" s="43">
        <f>E34*I34</f>
        <v>3000</v>
      </c>
      <c r="P34" s="16"/>
      <c r="Q34" s="17"/>
      <c r="R34" s="16"/>
      <c r="S34" s="16"/>
      <c r="T34" s="16"/>
      <c r="U34" s="18"/>
      <c r="V34" s="18"/>
      <c r="W34" s="18"/>
      <c r="X34" s="18"/>
      <c r="Y34" s="10"/>
      <c r="Z34" s="10"/>
      <c r="AA34" s="10"/>
      <c r="AB34" s="10"/>
      <c r="AC34" s="10"/>
      <c r="AD34" s="10"/>
    </row>
    <row r="35" s="8" customFormat="1" ht="26" customHeight="1" outlineLevel="1" spans="1:30">
      <c r="A35" s="25">
        <v>2</v>
      </c>
      <c r="B35" s="26" t="s">
        <v>185</v>
      </c>
      <c r="C35" s="52"/>
      <c r="D35" s="26" t="s">
        <v>88</v>
      </c>
      <c r="E35" s="27">
        <v>0</v>
      </c>
      <c r="F35" s="27">
        <f>I35</f>
        <v>870</v>
      </c>
      <c r="G35" s="27">
        <f>F35*E35</f>
        <v>0</v>
      </c>
      <c r="H35" s="26"/>
      <c r="I35" s="41">
        <v>870</v>
      </c>
      <c r="J35" s="41"/>
      <c r="K35" s="42"/>
      <c r="L35" s="41"/>
      <c r="M35" s="43"/>
      <c r="N35" s="43"/>
      <c r="O35" s="43"/>
      <c r="P35" s="16"/>
      <c r="Q35" s="17"/>
      <c r="R35" s="16"/>
      <c r="S35" s="16"/>
      <c r="T35" s="16"/>
      <c r="U35" s="18"/>
      <c r="V35" s="18"/>
      <c r="W35" s="18"/>
      <c r="X35" s="18"/>
      <c r="Y35" s="10"/>
      <c r="Z35" s="10"/>
      <c r="AA35" s="10"/>
      <c r="AB35" s="10"/>
      <c r="AC35" s="10"/>
      <c r="AD35" s="10"/>
    </row>
    <row r="36" ht="30" customHeight="1" spans="1:30">
      <c r="A36" s="48" t="s">
        <v>13</v>
      </c>
      <c r="B36" s="50" t="s">
        <v>186</v>
      </c>
      <c r="C36" s="49"/>
      <c r="D36" s="50" t="s">
        <v>114</v>
      </c>
      <c r="E36" s="51">
        <v>1</v>
      </c>
      <c r="F36" s="51"/>
      <c r="G36" s="53">
        <f>G3+G6</f>
        <v>27528.58</v>
      </c>
      <c r="H36" s="26"/>
      <c r="I36" s="14">
        <f>SUBTOTAL(9,G3:G35)</f>
        <v>33828.58</v>
      </c>
    </row>
    <row r="37" ht="30" customHeight="1" spans="1:30">
      <c r="A37" s="48" t="s">
        <v>16</v>
      </c>
      <c r="B37" s="50" t="s">
        <v>24</v>
      </c>
      <c r="C37" s="54">
        <f>'1207清单'!C50</f>
        <v>0.05</v>
      </c>
      <c r="D37" s="50" t="s">
        <v>114</v>
      </c>
      <c r="E37" s="51">
        <v>1</v>
      </c>
      <c r="F37" s="51"/>
      <c r="G37" s="53">
        <f>G36*C37</f>
        <v>1376.429</v>
      </c>
      <c r="H37" s="26"/>
    </row>
    <row r="38" ht="30" customHeight="1" spans="1:30">
      <c r="A38" s="48" t="s">
        <v>18</v>
      </c>
      <c r="B38" s="50" t="s">
        <v>26</v>
      </c>
      <c r="C38" s="54">
        <f>'1207清单'!C51</f>
        <v>0</v>
      </c>
      <c r="D38" s="50" t="s">
        <v>114</v>
      </c>
      <c r="E38" s="51">
        <v>1</v>
      </c>
      <c r="F38" s="51"/>
      <c r="G38" s="53">
        <f>(G37+G36)*C38</f>
        <v>0</v>
      </c>
      <c r="H38" s="26"/>
    </row>
    <row r="39" ht="30" customHeight="1" spans="1:30">
      <c r="A39" s="48" t="s">
        <v>21</v>
      </c>
      <c r="B39" s="50" t="s">
        <v>42</v>
      </c>
      <c r="C39" s="55"/>
      <c r="D39" s="50" t="s">
        <v>114</v>
      </c>
      <c r="E39" s="51">
        <v>1</v>
      </c>
      <c r="F39" s="51"/>
      <c r="G39" s="53">
        <f>G38+G37+G36</f>
        <v>28905.009</v>
      </c>
      <c r="H39" s="26"/>
    </row>
    <row r="43" spans="1:30">
      <c r="E43" s="56"/>
      <c r="F43" s="56"/>
    </row>
  </sheetData>
  <sheetProtection selectLockedCells="1"/>
  <autoFilter xmlns:etc="http://www.wps.cn/officeDocument/2017/etCustomData" ref="A1:T39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view="pageBreakPreview" zoomScaleNormal="100" workbookViewId="0">
      <pane xSplit="3" ySplit="2" topLeftCell="D3" activePane="bottomRight" state="frozen"/>
      <selection/>
      <selection pane="topRight"/>
      <selection pane="bottomLeft"/>
      <selection pane="bottomRight" activeCell="I13" sqref="I13"/>
    </sheetView>
  </sheetViews>
  <sheetFormatPr defaultColWidth="9" defaultRowHeight="12" outlineLevelCol="4"/>
  <cols>
    <col min="1" max="1" width="6" style="1" customWidth="1"/>
    <col min="2" max="2" width="12.75" style="1" customWidth="1"/>
    <col min="3" max="3" width="17.375" style="1" customWidth="1"/>
    <col min="4" max="4" width="21.375" style="1" customWidth="1"/>
    <col min="5" max="5" width="17.375" style="1" customWidth="1"/>
    <col min="6" max="14" width="9" style="1"/>
    <col min="15" max="17" width="9" style="2"/>
    <col min="18" max="16384" width="9" style="3"/>
  </cols>
  <sheetData>
    <row r="1" ht="28" customHeight="1" spans="1:5">
      <c r="A1" s="4" t="s">
        <v>187</v>
      </c>
      <c r="B1" s="4"/>
      <c r="C1" s="4"/>
      <c r="D1" s="4"/>
      <c r="E1" s="4"/>
    </row>
    <row r="2" ht="33" customHeight="1" spans="1:5">
      <c r="A2" s="5" t="s">
        <v>1</v>
      </c>
      <c r="B2" s="5" t="s">
        <v>188</v>
      </c>
      <c r="C2" s="5" t="s">
        <v>189</v>
      </c>
      <c r="D2" s="5" t="s">
        <v>190</v>
      </c>
      <c r="E2" s="5" t="s">
        <v>6</v>
      </c>
    </row>
    <row r="3" ht="24" customHeight="1" spans="1:5">
      <c r="A3" s="6">
        <v>1</v>
      </c>
      <c r="B3" s="6" t="s">
        <v>191</v>
      </c>
      <c r="C3" s="5" t="s">
        <v>192</v>
      </c>
      <c r="D3" s="5" t="s">
        <v>193</v>
      </c>
      <c r="E3" s="6"/>
    </row>
    <row r="4" ht="24" customHeight="1" spans="1:5">
      <c r="A4" s="6">
        <v>2</v>
      </c>
      <c r="B4" s="6" t="s">
        <v>191</v>
      </c>
      <c r="C4" s="5" t="s">
        <v>194</v>
      </c>
      <c r="D4" s="5" t="s">
        <v>193</v>
      </c>
      <c r="E4" s="6"/>
    </row>
    <row r="5" ht="24" customHeight="1" spans="1:5">
      <c r="A5" s="6">
        <v>3</v>
      </c>
      <c r="B5" s="6" t="s">
        <v>191</v>
      </c>
      <c r="C5" s="5" t="s">
        <v>195</v>
      </c>
      <c r="D5" s="5" t="s">
        <v>196</v>
      </c>
      <c r="E5" s="6"/>
    </row>
    <row r="6" ht="24" customHeight="1" spans="1:5">
      <c r="A6" s="6">
        <v>4</v>
      </c>
      <c r="B6" s="6" t="s">
        <v>191</v>
      </c>
      <c r="C6" s="5" t="s">
        <v>197</v>
      </c>
      <c r="D6" s="5" t="s">
        <v>198</v>
      </c>
      <c r="E6" s="6"/>
    </row>
    <row r="7" ht="24" customHeight="1" spans="1:5">
      <c r="A7" s="6">
        <v>5</v>
      </c>
      <c r="B7" s="6" t="s">
        <v>191</v>
      </c>
      <c r="C7" s="5" t="s">
        <v>199</v>
      </c>
      <c r="D7" s="5" t="s">
        <v>200</v>
      </c>
      <c r="E7" s="6"/>
    </row>
    <row r="8" ht="24" customHeight="1" spans="1:5">
      <c r="A8" s="6">
        <v>6</v>
      </c>
      <c r="B8" s="6" t="s">
        <v>191</v>
      </c>
      <c r="C8" s="5" t="s">
        <v>201</v>
      </c>
      <c r="D8" s="5" t="s">
        <v>202</v>
      </c>
      <c r="E8" s="6"/>
    </row>
    <row r="9" ht="24" customHeight="1" spans="1:5">
      <c r="A9" s="6">
        <v>7</v>
      </c>
      <c r="B9" s="6" t="s">
        <v>191</v>
      </c>
      <c r="C9" s="5" t="s">
        <v>203</v>
      </c>
      <c r="D9" s="5" t="s">
        <v>202</v>
      </c>
      <c r="E9" s="6"/>
    </row>
    <row r="10" ht="24" customHeight="1" spans="1:5">
      <c r="A10" s="6">
        <v>8</v>
      </c>
      <c r="B10" s="6" t="s">
        <v>204</v>
      </c>
      <c r="C10" s="5" t="s">
        <v>205</v>
      </c>
      <c r="D10" s="5" t="s">
        <v>206</v>
      </c>
      <c r="E10" s="6"/>
    </row>
    <row r="11" ht="24" customHeight="1" spans="1:5">
      <c r="A11" s="6">
        <v>9</v>
      </c>
      <c r="B11" s="6" t="s">
        <v>204</v>
      </c>
      <c r="C11" s="5" t="s">
        <v>207</v>
      </c>
      <c r="D11" s="5" t="s">
        <v>208</v>
      </c>
      <c r="E11" s="6"/>
    </row>
    <row r="12" ht="24" customHeight="1" spans="1:5">
      <c r="A12" s="6">
        <v>10</v>
      </c>
      <c r="B12" s="6" t="s">
        <v>204</v>
      </c>
      <c r="C12" s="5" t="s">
        <v>209</v>
      </c>
      <c r="D12" s="5" t="s">
        <v>208</v>
      </c>
      <c r="E12" s="6"/>
    </row>
    <row r="13" ht="24" customHeight="1" spans="1:5">
      <c r="A13" s="6">
        <v>11</v>
      </c>
      <c r="B13" s="6" t="s">
        <v>204</v>
      </c>
      <c r="C13" s="5" t="s">
        <v>104</v>
      </c>
      <c r="D13" s="5" t="s">
        <v>210</v>
      </c>
      <c r="E13" s="6"/>
    </row>
    <row r="14" ht="24" customHeight="1" spans="1:5">
      <c r="A14" s="6">
        <v>12</v>
      </c>
      <c r="B14" s="6" t="s">
        <v>204</v>
      </c>
      <c r="C14" s="5" t="s">
        <v>106</v>
      </c>
      <c r="D14" s="5" t="s">
        <v>210</v>
      </c>
      <c r="E14" s="6"/>
    </row>
    <row r="15" ht="24" customHeight="1" spans="1:5">
      <c r="A15" s="6">
        <v>13</v>
      </c>
      <c r="B15" s="6" t="s">
        <v>204</v>
      </c>
      <c r="C15" s="5" t="s">
        <v>110</v>
      </c>
      <c r="D15" s="5" t="s">
        <v>210</v>
      </c>
      <c r="E15" s="6"/>
    </row>
    <row r="16" ht="24" customHeight="1" spans="1:5">
      <c r="A16" s="6">
        <v>14</v>
      </c>
      <c r="B16" s="6" t="s">
        <v>204</v>
      </c>
      <c r="C16" s="5" t="s">
        <v>211</v>
      </c>
      <c r="D16" s="5" t="s">
        <v>212</v>
      </c>
      <c r="E16" s="6"/>
    </row>
    <row r="17" ht="24" customHeight="1" spans="1:5">
      <c r="A17" s="6">
        <v>15</v>
      </c>
      <c r="B17" s="6" t="s">
        <v>213</v>
      </c>
      <c r="C17" s="5" t="s">
        <v>214</v>
      </c>
      <c r="D17" s="5" t="s">
        <v>215</v>
      </c>
      <c r="E17" s="6"/>
    </row>
  </sheetData>
  <mergeCells count="1">
    <mergeCell ref="A1:E1"/>
  </mergeCells>
  <printOptions horizontalCentered="1"/>
  <pageMargins left="0.751388888888889" right="0.751388888888889" top="1" bottom="1" header="0.5" footer="0.5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1207报价汇总</vt:lpstr>
      <vt:lpstr>1207清单</vt:lpstr>
      <vt:lpstr>1207空调消防清单</vt:lpstr>
      <vt:lpstr>材料设备参考品牌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10856</dc:creator>
  <cp:lastModifiedBy>叶渭淋</cp:lastModifiedBy>
  <dcterms:created xsi:type="dcterms:W3CDTF">2024-06-15T05:53:00Z</dcterms:created>
  <dcterms:modified xsi:type="dcterms:W3CDTF">2026-08-04T06:39:59Z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26E8451F4DB9462D93C68289E7AA4B5D_13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