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850" activeTab="2"/>
  </bookViews>
  <sheets>
    <sheet name="编制说明" sheetId="23" r:id="rId1"/>
    <sheet name="汇总表" sheetId="18" r:id="rId2"/>
    <sheet name="坡道装饰工程量清单" sheetId="17" r:id="rId3"/>
    <sheet name="地库装饰工程量清单" sheetId="26" r:id="rId4"/>
    <sheet name="划线及标识工程量清单" sheetId="28" state="hidden" r:id="rId5"/>
    <sheet name="坡道安装工程" sheetId="22" r:id="rId6"/>
    <sheet name="地库安装工程" sheetId="29" r:id="rId7"/>
  </sheets>
  <externalReferences>
    <externalReference r:id="rId8"/>
  </externalReferences>
  <definedNames>
    <definedName name="_xlnm._FilterDatabase" localSheetId="2" hidden="1">坡道装饰工程量清单!$A$2:$P$33</definedName>
    <definedName name="_xlnm._FilterDatabase" localSheetId="3" hidden="1">地库装饰工程量清单!$A$2:$P$40</definedName>
    <definedName name="_xlnm._FilterDatabase" localSheetId="4" hidden="1">划线及标识工程量清单!$A$2:$P$18</definedName>
    <definedName name="_xlnm.Print_Area" localSheetId="2">坡道装饰工程量清单!$A$1:$O$33</definedName>
    <definedName name="_xlnm.Print_Titles" localSheetId="2">坡道装饰工程量清单!$1:$2</definedName>
    <definedName name="_____ngk1109" localSheetId="2" hidden="1">{#N/A,#N/A,FALSE,"估價單  (3)"}</definedName>
    <definedName name="___ngk1109" localSheetId="2" hidden="1">{#N/A,#N/A,FALSE,"估價單  (3)"}</definedName>
    <definedName name="___________________N81020">[1]地梁!#REF!</definedName>
    <definedName name="_xlnm.Print_Area" localSheetId="5">坡道安装工程!$A$1:$L$9</definedName>
    <definedName name="_xlnm.Print_Titles" localSheetId="5">坡道安装工程!$1:$2</definedName>
    <definedName name="_xlnm.Print_Area" localSheetId="1">汇总表!$A$1:$G$10</definedName>
    <definedName name="dw">#REF!</definedName>
    <definedName name="_xlnm.Print_Area" localSheetId="0">编制说明!$A$1:$A$21</definedName>
    <definedName name="_xlnm.Print_Area" localSheetId="3">地库装饰工程量清单!$A$1:$O$40</definedName>
    <definedName name="_xlnm.Print_Titles" localSheetId="3">地库装饰工程量清单!$1:$2</definedName>
    <definedName name="_____ngk1109" localSheetId="3" hidden="1">{#N/A,#N/A,FALSE,"估價單  (3)"}</definedName>
    <definedName name="___ngk1109" localSheetId="3" hidden="1">{#N/A,#N/A,FALSE,"估價單  (3)"}</definedName>
    <definedName name="_xlnm.Print_Area" localSheetId="4">划线及标识工程量清单!$A$1:$O$18</definedName>
    <definedName name="_xlnm.Print_Titles" localSheetId="4">划线及标识工程量清单!$1:$2</definedName>
    <definedName name="_____ngk1109" localSheetId="4" hidden="1">{#N/A,#N/A,FALSE,"估價單  (3)"}</definedName>
    <definedName name="___ngk1109" localSheetId="4" hidden="1">{#N/A,#N/A,FALSE,"估價單  (3)"}</definedName>
    <definedName name="_xlnm.Print_Area" localSheetId="6">地库安装工程!$A$1:$O$19</definedName>
    <definedName name="_xlnm.Print_Titles" localSheetId="6">地库安装工程!$1:$2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8" name="ID_48D9FBAC357141EAA6DC4F0A56455221"/>
        <xdr:cNvPicPr>
          <a:picLocks noChangeAspect="1"/>
        </xdr:cNvPicPr>
      </xdr:nvPicPr>
      <xdr:blipFill>
        <a:blip r:embed="rId1"/>
        <a:stretch>
          <a:fillRect/>
        </a:stretch>
      </xdr:blipFill>
      <xdr:spPr>
        <a:xfrm>
          <a:off x="18293715" y="8489950"/>
          <a:ext cx="13230225" cy="1704975"/>
        </a:xfrm>
        <a:prstGeom prst="rect">
          <a:avLst/>
        </a:prstGeom>
        <a:noFill/>
        <a:ln w="9525">
          <a:noFill/>
        </a:ln>
      </xdr:spPr>
    </xdr:pic>
  </etc:cellImage>
  <etc:cellImage>
    <xdr:pic>
      <xdr:nvPicPr>
        <xdr:cNvPr id="2" name="ID_804D414A39A44E389CF75EFDA0C8509A"/>
        <xdr:cNvPicPr>
          <a:picLocks noChangeAspect="1"/>
        </xdr:cNvPicPr>
      </xdr:nvPicPr>
      <xdr:blipFill>
        <a:blip r:embed="rId2"/>
        <a:stretch>
          <a:fillRect/>
        </a:stretch>
      </xdr:blipFill>
      <xdr:spPr>
        <a:xfrm>
          <a:off x="12753340" y="22040850"/>
          <a:ext cx="9020175" cy="6591300"/>
        </a:xfrm>
        <a:prstGeom prst="rect">
          <a:avLst/>
        </a:prstGeom>
        <a:noFill/>
        <a:ln w="9525">
          <a:noFill/>
        </a:ln>
      </xdr:spPr>
    </xdr:pic>
  </etc:cellImage>
  <etc:cellImage>
    <xdr:pic>
      <xdr:nvPicPr>
        <xdr:cNvPr id="3" name="ID_775DD9E8F501476888EF6E21280FECA3"/>
        <xdr:cNvPicPr>
          <a:picLocks noChangeAspect="1"/>
        </xdr:cNvPicPr>
      </xdr:nvPicPr>
      <xdr:blipFill>
        <a:blip r:embed="rId3"/>
        <a:stretch>
          <a:fillRect/>
        </a:stretch>
      </xdr:blipFill>
      <xdr:spPr>
        <a:xfrm>
          <a:off x="12522835" y="8216900"/>
          <a:ext cx="6905625" cy="6943725"/>
        </a:xfrm>
        <a:prstGeom prst="rect">
          <a:avLst/>
        </a:prstGeom>
        <a:noFill/>
        <a:ln w="9525">
          <a:noFill/>
        </a:ln>
      </xdr:spPr>
    </xdr:pic>
  </etc:cellImage>
  <etc:cellImage>
    <xdr:pic>
      <xdr:nvPicPr>
        <xdr:cNvPr id="5" name="ID_1BC2F87A82AD473B9EC09261F010DD27"/>
        <xdr:cNvPicPr>
          <a:picLocks noChangeAspect="1"/>
        </xdr:cNvPicPr>
      </xdr:nvPicPr>
      <xdr:blipFill>
        <a:blip r:embed="rId4"/>
        <a:stretch>
          <a:fillRect/>
        </a:stretch>
      </xdr:blipFill>
      <xdr:spPr>
        <a:xfrm>
          <a:off x="12105640" y="3657600"/>
          <a:ext cx="7743825" cy="4962525"/>
        </a:xfrm>
        <a:prstGeom prst="rect">
          <a:avLst/>
        </a:prstGeom>
        <a:noFill/>
        <a:ln w="9525">
          <a:noFill/>
        </a:ln>
      </xdr:spPr>
    </xdr:pic>
  </etc:cellImage>
  <etc:cellImage>
    <xdr:pic>
      <xdr:nvPicPr>
        <xdr:cNvPr id="6" name="ID_694C49779BC14336B1D5102133D742CD"/>
        <xdr:cNvPicPr>
          <a:picLocks noChangeAspect="1"/>
        </xdr:cNvPicPr>
      </xdr:nvPicPr>
      <xdr:blipFill>
        <a:blip r:embed="rId5"/>
        <a:stretch>
          <a:fillRect/>
        </a:stretch>
      </xdr:blipFill>
      <xdr:spPr>
        <a:xfrm>
          <a:off x="11727180" y="13843000"/>
          <a:ext cx="8153400" cy="1990725"/>
        </a:xfrm>
        <a:prstGeom prst="rect">
          <a:avLst/>
        </a:prstGeom>
        <a:noFill/>
        <a:ln w="9525">
          <a:noFill/>
        </a:ln>
      </xdr:spPr>
    </xdr:pic>
  </etc:cellImage>
  <etc:cellImage>
    <xdr:pic>
      <xdr:nvPicPr>
        <xdr:cNvPr id="7" name="ID_5A9B51545E5149F599533FEFAF59B259"/>
        <xdr:cNvPicPr>
          <a:picLocks noChangeAspect="1"/>
        </xdr:cNvPicPr>
      </xdr:nvPicPr>
      <xdr:blipFill>
        <a:blip r:embed="rId6"/>
        <a:stretch>
          <a:fillRect/>
        </a:stretch>
      </xdr:blipFill>
      <xdr:spPr>
        <a:xfrm>
          <a:off x="12753340" y="16033750"/>
          <a:ext cx="11868150" cy="2762250"/>
        </a:xfrm>
        <a:prstGeom prst="rect">
          <a:avLst/>
        </a:prstGeom>
        <a:noFill/>
        <a:ln w="9525">
          <a:noFill/>
        </a:ln>
      </xdr:spPr>
    </xdr:pic>
  </etc:cellImage>
</etc:cellImages>
</file>

<file path=xl/sharedStrings.xml><?xml version="1.0" encoding="utf-8"?>
<sst xmlns="http://schemas.openxmlformats.org/spreadsheetml/2006/main" count="471" uniqueCount="240">
  <si>
    <t>编制说明</t>
  </si>
  <si>
    <t>1、工程概况：</t>
  </si>
  <si>
    <t>1）、工程名称：珠海丹田海德地库项目装修工程</t>
  </si>
  <si>
    <t xml:space="preserve">2）、建设单位：丹田海德公馆 </t>
  </si>
  <si>
    <t>3）、工程内容：地库装修及机电</t>
  </si>
  <si>
    <t>2、编制依据：</t>
  </si>
  <si>
    <t>1）、按建设单位提供的《珠海丹田海德地库施工图2025.12.08》及《珠海丹田海德地库物料书》；</t>
  </si>
  <si>
    <t>3、编制范围：</t>
  </si>
  <si>
    <t>1）、海德公馆地下室-1F~-3F室内装修工程。 包括：一层主入口、次出口、次出口天花、地面、墙面;地下一层、地下二层、地下三层天花、地面、墙面；</t>
  </si>
  <si>
    <t>4、计价说明：</t>
  </si>
  <si>
    <t>1）、综合单价综合考虑人工费、各类材料费（含损耗）、机械费、项目措施费（地下暗室施工费、技术措施费、安全文明施工费、临时设施费）、成品保护费、运输装卸费、材料设备场内二次运输费[在合同总工期内施工过程中因各种因素导致需二次运输作业，搬运距离，自行勘察现场]、材料检测试验费、检测费、调试费、验收费、保险费（不包含甲方已购买保险）、规费、管理费、利润、国家强制性收费、风险责任、施工水电费、克服施工现场苛刻条件及难度费用等除监理费之外的全部费用除非另有约定，结算时该综合单价不调整、税金在汇总单独计算。</t>
  </si>
  <si>
    <t>5、其他说明</t>
  </si>
  <si>
    <t>1）、根据图纸，无广告标识类施工图，本工程不含广告灯箱指引等内容；</t>
  </si>
  <si>
    <t>2）、根据联系单提疑，地库地面划线及标识不在本次预算范围，暂不计算；</t>
  </si>
  <si>
    <t>3）、根据图纸，无拆改或新建砌体图纸，本工程未计算；</t>
  </si>
  <si>
    <t>4）、根据图纸，-1、-2、-3层坡道平面图及立面图部分不完整，墙面面积按该区域延长米乘以墙面高度计算（扣减门窗洞口）；</t>
  </si>
  <si>
    <t>5）、根据联系单提疑，地库涂料墙面砂浆找平及砂浆打底扫毛在总包范围，本预算仅计算墙面大样中腻子与涂料面层；</t>
  </si>
  <si>
    <t>6）、根据图纸，瓷砖地面无做法说明及剖面图，参考石材地面基层做法；</t>
  </si>
  <si>
    <t>7）、根据图纸原顶涂料构造做法中第3.4.5.6点中水泥砂浆打底等按总包已施工考虑，本预算仅计算第1.2点中腻子与涂料面层；</t>
  </si>
  <si>
    <t>8）、根据图纸，已提供做法说明，但未说明底漆、中漆、面漆等漆面厚度及含量；</t>
  </si>
  <si>
    <t>9）、根据图纸，有疑问处已列入联系单提疑；</t>
  </si>
  <si>
    <t>报价汇总表</t>
  </si>
  <si>
    <t>工程名称：珠海丹田海德地库项目装修工程</t>
  </si>
  <si>
    <t>序号</t>
  </si>
  <si>
    <t>户型</t>
  </si>
  <si>
    <t>建筑面积（m2）</t>
  </si>
  <si>
    <t>套数</t>
  </si>
  <si>
    <t>造价
（元）</t>
  </si>
  <si>
    <t>合价(元)</t>
  </si>
  <si>
    <t>坡道装饰</t>
  </si>
  <si>
    <t>地库装饰</t>
  </si>
  <si>
    <t>坡道安装</t>
  </si>
  <si>
    <t>地库安装</t>
  </si>
  <si>
    <t>小计</t>
  </si>
  <si>
    <t>税金（9%）</t>
  </si>
  <si>
    <t>总计</t>
  </si>
  <si>
    <t>珠海丹田海德地库项目装修工程量清单</t>
  </si>
  <si>
    <t>项目名称</t>
  </si>
  <si>
    <t>项目特征</t>
  </si>
  <si>
    <t>单位</t>
  </si>
  <si>
    <t>-1层工程量</t>
  </si>
  <si>
    <t>-2层工程量</t>
  </si>
  <si>
    <t>-3层工程量</t>
  </si>
  <si>
    <t>合计工程量</t>
  </si>
  <si>
    <t>人工</t>
  </si>
  <si>
    <t>主材</t>
  </si>
  <si>
    <t>辅材及机械费</t>
  </si>
  <si>
    <t>管理及利润取费</t>
  </si>
  <si>
    <t>综合单价（不含税）</t>
  </si>
  <si>
    <t>合价（不含税）</t>
  </si>
  <si>
    <t>备注</t>
  </si>
  <si>
    <t>成本单价</t>
  </si>
  <si>
    <t>损耗率</t>
  </si>
  <si>
    <t>辅材</t>
  </si>
  <si>
    <t>机械</t>
  </si>
  <si>
    <t>合价</t>
  </si>
  <si>
    <t>A</t>
  </si>
  <si>
    <t>B</t>
  </si>
  <si>
    <t>C</t>
  </si>
  <si>
    <t>E=A+B+C+D</t>
  </si>
  <si>
    <t>F=E*工程量</t>
  </si>
  <si>
    <t>D=(A+B+C)*费率</t>
  </si>
  <si>
    <t>一</t>
  </si>
  <si>
    <t>坡道</t>
  </si>
  <si>
    <t>墙柱面工程</t>
  </si>
  <si>
    <t>PT-01 涂料</t>
  </si>
  <si>
    <t>1.PT-01 涂料一道;
2.内墙涂料一道;
3.封闭底涂料一道;
4.刮腻子两遍;
5.包含完成该项内容所有工作及费用并满足设计图纸、规范等要求;</t>
  </si>
  <si>
    <t>m2</t>
  </si>
  <si>
    <t>PT-02 涂料</t>
  </si>
  <si>
    <t>1.PT-01 涂料一道;
2.内墙涂料一道;
3.封闭底涂料一道;
4.刮腻子两遍;
5.含成品U型收口条
6.包含完成该项内容所有工作及费用并满足设计图纸、规范等要求;</t>
  </si>
  <si>
    <t>PT-05 涂料</t>
  </si>
  <si>
    <t>1.PT-05 涂料(包含PT-01线条);
2.一底两面无机涂料饰面层(颜色以图纸标注为准）;
3.2mm厚无机涂料配套的腻子粉调浆满批并打磨平整;
4.包含完成该项内容所有工作及费用并满足设计图纸、规范等要求;</t>
  </si>
  <si>
    <t>CH-03a 地坪漆踢脚线：H100mm</t>
  </si>
  <si>
    <t>1.CH-03a 地坪漆踢脚线：H100mm;
2.包含完成该项内容所有工作及费用并满足设计图纸、规范等要求;</t>
  </si>
  <si>
    <t>m</t>
  </si>
  <si>
    <t>CH-03a 地坪漆踢脚线：H50mm</t>
  </si>
  <si>
    <t>1.CH-03a 地坪漆踢脚线：H50mm;
2.包含完成该项内容所有工作及费用并满足设计图纸、规范等要求;</t>
  </si>
  <si>
    <t>MT-02 金属饰面</t>
  </si>
  <si>
    <t>1.MT-02 金属饰面 1.2mm厚拉丝不锈钢（防指纹处理）;
2.10mm玻镁板、50*50*5mm镀锌方通;
3.包含完成该项内容所有工作及费用并满足设计图纸、规范等要求;</t>
  </si>
  <si>
    <t>玻镁板封墙</t>
  </si>
  <si>
    <t>1.玻镁板封墙
2.10mm玻镁板、50*50*5mm镀锌方通;
3.包含完成该项内容所有工作及费用并满足设计图纸、规范等要求;</t>
  </si>
  <si>
    <t>AM-01a 铝格栅</t>
  </si>
  <si>
    <t>1.AM-01a 铝格栅 2.5mm厚;
2.铝格栅规格：30*120*2.5@130mm;
3.阳极氧化处理;
4.按要求做加固处理，含必要的骨架;
5.包含完成该项内容所有工作及费用并满足设计图纸、规范等要求;</t>
  </si>
  <si>
    <t>天花工程</t>
  </si>
  <si>
    <t>玻镁板吊顶（含刷白）</t>
  </si>
  <si>
    <t>1.双层10mm玻镁板刷白(按投影面积计算);
2.50*50*5镀锌方通基层、150*150*10mm镀锌钢板;
3.包含完成该项内容所有工作及费用并满足设计图纸、规范等要求;</t>
  </si>
  <si>
    <t>㎡</t>
  </si>
  <si>
    <t>玻镁板吊顶</t>
  </si>
  <si>
    <t>1.双层10mm玻镁板吊顶(按投影面积计算);
2.50*50*5镀锌方通基层;
3.包含完成该项内容所有工作及费用并满足设计图纸、规范等要求;</t>
  </si>
  <si>
    <t>MT-02金属凹槽 100mm宽</t>
  </si>
  <si>
    <t>1.100mm宽金属凹槽 1.2mm厚拉丝不锈钢（防指纹处理）;
2.镀锌方通规格：50*50*5mm;
3.双层10mm玻镁板;
4.展开面：400mm;
5.包含完成该项内容所有工作及费用并满足设计图纸、规范等要求;</t>
  </si>
  <si>
    <t>1.MT-02金属饰面 1.2mm厚拉丝不锈钢（防指纹处理）;
2.50*50*5镀锌方通、30*13*3镀锌方通、10mm玻镁板;
3.包含完成该项内容所有工作及费用并满足设计图纸、规范等要求;</t>
  </si>
  <si>
    <t>AM-01a 铝格栅吊顶</t>
  </si>
  <si>
    <t>1.AM-01a 铝格栅吊顶 2.5mm厚
2.包含但不限于钢龙骨;
3.铝格栅专用龙骨，Ø8钢筋吊杆，双向吊点中距900，与角钢焊接;
4.铝格栅规格：30*120*2.5@130mm;
5.阳极氧化处理;
6.包含完成该项内容所有工作及费用并满足设计图纸、规范等要求;</t>
  </si>
  <si>
    <t>AM-01 铝格栅吊顶</t>
  </si>
  <si>
    <t>1.AM-01 铝格栅吊顶 2.0mm厚
2.铝格栅规格：20*30*2.0@60mm;
3.阳极氧化处理;
4.包含完成该项内容所有工作及费用并满足设计图纸、规范等要求;</t>
  </si>
  <si>
    <t>AM-01b 造型铝板</t>
  </si>
  <si>
    <t>1.AM-01b 铝板造型天花 2.0mm厚;
2.50*50*5镀锌方通基层、10mm玻镁板
3.氟碳喷涂处理;
4.按投影面积计算、包含完成该项内容所有工作及费用并满足设计图纸、规范等要求;</t>
  </si>
  <si>
    <t>AM-01b 铝板</t>
  </si>
  <si>
    <t>1.AM-01b 铝板天花 2.0mm厚铝板;
2.50*50*5镀锌方通基层、10mm玻镁板
3.氟碳喷涂处理;
4.按投影面积计算、包含完成该项内容所有工作及费用并满足设计图纸、规范等要求;</t>
  </si>
  <si>
    <t>AM-02 铝板</t>
  </si>
  <si>
    <t>1.AM-02 铝板天花 2.0mm厚;
2.50*50*5镀锌方通基层、10mm玻镁板
3.氟碳喷涂处理;
4.按投影面积计算、包含完成该项内容所有工作及费用并满足设计图纸、规范等要求;</t>
  </si>
  <si>
    <t>UP-01 防火软膜</t>
  </si>
  <si>
    <t>1.UP-01 防火软膜;
2.按投影面积计算;
3.包含完成该项内容所有工作及费用并满足设计图纸、规范等要求;</t>
  </si>
  <si>
    <t>超白磨砂亚克力</t>
  </si>
  <si>
    <t>1.5mm超白磨砂亚克力;
2.包含完成该项内容所有工作及费用并满足设计图纸、规范等要求;</t>
  </si>
  <si>
    <t>PT-01 原顶涂料</t>
  </si>
  <si>
    <t>1.PT-01 原顶涂料
2.一底两面无机涂料饰面层(颜色以图纸标注为准）;
3.2mm厚无机涂料配套的腻子粉调浆满批并打磨平整;
4.包含完成该项内容所有工作及费用并满足设计图纸、规范等要求;</t>
  </si>
  <si>
    <t>1.PT-05 涂料（包含PT-01线条）;
2.一底两面无机涂料饰面层(颜色以图纸标注为准）;
3.2mm厚无机涂料配套的腻子粉调浆满批并打磨平整;
4.包含完成该项内容所有工作及费用并满足设计图纸、规范等要求;</t>
  </si>
  <si>
    <t>AM-02 L型铝板灯槽(450宽)</t>
  </si>
  <si>
    <t>1.L型铝板灯槽 2.0mm厚（展开面：1500mm）;
2.氟碳喷涂处理;
3.双层10mm玻镁板基底;
4.镀锌方通规格：50*50*5mm;
5.包含完成该项内容所有工作及费用并满足设计图纸、规范等要求;</t>
  </si>
  <si>
    <t>AM-02 L型铝板灯槽(650宽)</t>
  </si>
  <si>
    <t>1.L型铝板灯槽 2.0mm厚（展开面：1900mm）;
2.氟碳喷涂处理;
3.双层10mm玻镁板基底;
4.镀锌方通规格：50*50*5mm;
5.包含完成该项内容所有工作及费用并满足设计图纸、规范等要求;</t>
  </si>
  <si>
    <t>AM-02 L型铝板灯槽(850宽)</t>
  </si>
  <si>
    <t>1.L型铝板灯槽 2.0mm厚（展开面：2300mm）;
2.氟碳喷涂处理;
3.双层10mm玻镁板基底;
4.镀锌方通规格：50*50*5mm;
5.包含完成该项内容所有工作及费用并满足设计图纸、规范等要求;</t>
  </si>
  <si>
    <t>AM-02 铝板灯槽</t>
  </si>
  <si>
    <t>1.AM-02 铝板灯槽 2.0mm厚（高250mm*宽80mm）;
2.氟碳喷涂处理;
3.5mm超白亚克力
4.吊件、10mm丝杆、20*40*3镀锌方通、50*50*5镀锌角钢
5.吊件具体高度及距离以现场为准
6.包含完成该项内容所有工作及费用并满足设计图纸、规范等要求;</t>
  </si>
  <si>
    <t>二</t>
  </si>
  <si>
    <t>合计</t>
  </si>
  <si>
    <t>地库</t>
  </si>
  <si>
    <t>PT-07 涂料</t>
  </si>
  <si>
    <t>1.PT-07 涂料一道;
2.内墙涂料一道;
3.封闭底涂料一道;
4.刮腻子两遍;
5.包含完成该项内容所有工作及费用并满足设计图纸、规范等要求;</t>
  </si>
  <si>
    <t>玻镁板墙面</t>
  </si>
  <si>
    <t>1.玻镁板墙面;
2.9mm阻燃夹板+10mm玻镁板;
3.镀锌方通50*50*5mm;
4.包含完成该项内容所有工作及费用并满足设计图纸、规范等要求;</t>
  </si>
  <si>
    <t>ST-04 石材湿贴</t>
  </si>
  <si>
    <t>1.ST-04 石材湿贴 25厚;
2.石材专用胶、双层10mm玻镁板;
3.50*50*5镀锌方通
4.石材六面防水、防污处理、背筋;
5.包含完成该项内容所有工作及费用并满足设计图纸、规范等要求;</t>
  </si>
  <si>
    <t>ST-04a 石材湿贴</t>
  </si>
  <si>
    <t>1.ST-04a 石材湿贴 25厚（毛面）;
2.石材专用胶、双层10mm玻镁板;
3.50*50*5镀锌方通
4.石材六面防水、防污处理、背筋;
5.包含完成该项内容所有工作及费用并满足设计图纸、规范等要求;</t>
  </si>
  <si>
    <t>ST-04 石材干挂</t>
  </si>
  <si>
    <t>1.ST-04 石材干挂 25厚;
2.不锈钢石材挂件;
3.30*30*3镀锌方通
4.石材六面防水、防污处理、背筋;
5.包含完成该项内容所有工作及费用并满足设计图纸、规范等要求;</t>
  </si>
  <si>
    <t>ST-04a 石材干挂</t>
  </si>
  <si>
    <t>1.ST-04a 石材湿贴 25厚（毛面）;
2.不锈钢石材挂件;
3.30*30*3镀锌方通;
4.石材拉槽、六面防水、防污处理、背筋;
5.包含完成该项内容所有工作及费用并满足设计图纸、规范等要求;</t>
  </si>
  <si>
    <t>CT-03 瓷砖600*600mm</t>
  </si>
  <si>
    <t>1.CT-03 瓷砖600*600mm;
2.瓷砖专用胶;
3.水泥砂浆找平层;
4.包含完成该项内容所有工作及费用并满足设计图纸、规范等要求;</t>
  </si>
  <si>
    <t>MT-02 50宽金属线条（展开面：120mm）</t>
  </si>
  <si>
    <t>1.MT-02 50宽金属线条 1.2mm厚拉丝不锈钢（防指纹处理）
2.展开面：120mm;
3.包含完成该项内容所有工作及费用并满足设计图纸、规范等要求;</t>
  </si>
  <si>
    <t>MT-02 10宽金属线条（展开面：65mm）</t>
  </si>
  <si>
    <t>1.MT-02 10宽金属线条 1.2mm厚拉丝不锈钢（防指纹处理）;
2.展开面：65mm
3.包含完成该项内容所有工作及费用并满足设计图纸、规范等要求;</t>
  </si>
  <si>
    <t>MT-02 瓷砖位金属收口线条（展开面：55mm）</t>
  </si>
  <si>
    <t>1.MT-02 瓷砖位金属收口线条 1.2mm厚拉丝不锈钢（防指纹处理）;
2.展开面：55mm
3.包含完成该项内容所有工作及费用并满足设计图纸、规范等要求;</t>
  </si>
  <si>
    <t>1.MT-02 金属饰面 1.2mm厚拉丝不锈钢（防指纹处理）;
2.30*30*3镀锌方通支架;
3.双层10mm玻镁板基底;
4.包含完成该项内容所有工作及费用并满足设计图纸、规范等要求;</t>
  </si>
  <si>
    <t>MT-01 暗装金属踢脚</t>
  </si>
  <si>
    <t>1.MT-01 暗装金属踢脚 H50mm（展开面：80mm）
2.10mm玻镁板
3.包含完成该项内容所有工作及费用并满足设计图纸、规范等要求;</t>
  </si>
  <si>
    <t>AM-03 铝板造型天花</t>
  </si>
  <si>
    <t>1.AM-03 铝板造型天花 2.5mm厚;
2.50*50*5镀锌方通基层、10mm玻镁板
3.氟碳喷涂处理;
4.按投影面积计算、包含完成该项内容所有工作及费用并满足设计图纸、规范等要求;</t>
  </si>
  <si>
    <t>玻镁板侧板</t>
  </si>
  <si>
    <t>1.双层玻镁板侧板;
2.按投影面积计算、包含完成该项内容所有工作及费用并满足设计图纸、规范等要求;</t>
  </si>
  <si>
    <t>AM-03 铝板天花</t>
  </si>
  <si>
    <t>1.AM-03 铝板天花 2.0mm厚;
2.10mm玻镁板;
3.60系轻钢龙骨、Ø8全螺吊杆;
4.氟碳喷涂处理;
5.按投影面积计算、包含完成该项内容所有工作及费用并满足设计图纸、规范等要求;</t>
  </si>
  <si>
    <t>AM-02 铝板天花（防火卷帘收口）</t>
  </si>
  <si>
    <t>1.AM-02 铝板天花 2.0mm厚（防火卷帘收口）;
2.氟碳喷涂处理;
3.30*30*3镀锌方通、10mm玻镁板;
4.包含完成该项内容所有工作及费用并满足设计图纸、规范等要求;</t>
  </si>
  <si>
    <t>PT-01 原顶涂料（投影面计算）</t>
  </si>
  <si>
    <t>1.PT-01 原顶涂料（投影面计算）;
2.一底两面无机涂料饰面层(颜色以图纸标注为准）;
3.2mm厚无机涂料配套的腻子粉调浆满批并打磨平整;
4.包含完成该项内容所有工作及费用并满足设计图纸、规范等要求;</t>
  </si>
  <si>
    <t>其它工程</t>
  </si>
  <si>
    <t>消防栓暗门：800*2210mm</t>
  </si>
  <si>
    <t>1.消防栓暗门：800*2210mm;
2.10mm玻镁板基底;
3.包含一切安装所需的配件及辅材，不包含涂料;</t>
  </si>
  <si>
    <t>樘</t>
  </si>
  <si>
    <t>消防栓石材暗门：700*2150mm</t>
  </si>
  <si>
    <t>1.消防栓石材暗门：700*2150mm;
2.大理石石材ST-04/ST-04a干挂;
3.石材加工;
4.包含一切安装所需的配件及辅材;</t>
  </si>
  <si>
    <t>消防栓石材暗门：800*2210mm</t>
  </si>
  <si>
    <t>1.消防栓石材暗门：800*2210mm;
2.大理石石材ST-04/ST-04a干挂;
3.石材加工;
4.包含一切安装所需的配件及辅材;</t>
  </si>
  <si>
    <t>工具间石材暗门：1300*2200mm</t>
  </si>
  <si>
    <t>1.工具间石材暗门：1300*2200mm;
2.大理石石材ST-04/ST-04a干挂;
3.石材加工;
4.包含一切安装所需的配件及辅材;</t>
  </si>
  <si>
    <t>电井门石材暗门：900*2210mm</t>
  </si>
  <si>
    <t>1.电井门石材暗门：900*2210mm;
2.大理石石材ST-04/ST-04a干挂;
3.石材加工;
4.包含一切安装所需的配件及辅材;</t>
  </si>
  <si>
    <t>电井门石材暗门：1000*2210mm</t>
  </si>
  <si>
    <t>1.电井门石材暗门：1000*2210mm；
2.大理石石材ST-04/ST-04a干挂；
3.石材加工；
4.包含一切安装所需的配件及辅材；</t>
  </si>
  <si>
    <t>双开电井暗门：1300*2210mm</t>
  </si>
  <si>
    <t>1.双开电井暗门：1300*2210mm；
2.10mm玻镁板基底;
3.包含一切安装所需的配件及辅材，不包含涂料；</t>
  </si>
  <si>
    <t>双开电井石材暗门：1300*2210mm</t>
  </si>
  <si>
    <t>1.双开电井石材暗门：1300*2210mm；
2.大理石石材ST-04/ST-04a干挂；
3.石材加工；
4.包含一切安装所需的配件及辅材；</t>
  </si>
  <si>
    <t>护角：H900mm</t>
  </si>
  <si>
    <t>1.护角：H900mm
2.包含完成该项内容所有工作及费用并满足设计图纸、规范等要求;</t>
  </si>
  <si>
    <t>套</t>
  </si>
  <si>
    <t>防撞杆</t>
  </si>
  <si>
    <t>1.防撞杆
2.MT-02a 金属饰面
3.包含完成该项内容所有工作及费用并满足设计图纸、规范等要求;</t>
  </si>
  <si>
    <t>计算方式</t>
  </si>
  <si>
    <t>地面划线</t>
  </si>
  <si>
    <t>地面</t>
  </si>
  <si>
    <t>车位划线</t>
  </si>
  <si>
    <t>1.车位划线;
2.包含完成该项内容所有工作及费用并满足设计图纸、规范等要求;</t>
  </si>
  <si>
    <t>参考市场价</t>
  </si>
  <si>
    <t>模型</t>
  </si>
  <si>
    <t>车位编号</t>
  </si>
  <si>
    <t>1.车位编号;
2.包含完成该项内容所有工作及费用并满足设计图纸、规范等要求;</t>
  </si>
  <si>
    <t>个</t>
  </si>
  <si>
    <t>坡道箭头</t>
  </si>
  <si>
    <t>1.坡道箭头;
2.包含完成该项内容所有工作及费用并满足设计图纸、规范等要求;</t>
  </si>
  <si>
    <t>直行箭头</t>
  </si>
  <si>
    <t>1.直行箭头;
2.包含完成该项内容所有工作及费用并满足设计图纸、规范等要求;</t>
  </si>
  <si>
    <t>左（右）转箭头</t>
  </si>
  <si>
    <t>1.左转箭头;
2.包含完成该项内容所有工作及费用并满足设计图纸、规范等要求;</t>
  </si>
  <si>
    <t>直行左（右）转箭头</t>
  </si>
  <si>
    <t>1.直行左转箭头;
2.包含完成该项内容所有工作及费用并满足设计图纸、规范等要求;</t>
  </si>
  <si>
    <t>双向箭头</t>
  </si>
  <si>
    <t>1.双向箭头;
2.包含完成该项内容所有工作及费用并满足设计图纸、规范等要求;</t>
  </si>
  <si>
    <t>掉头箭头</t>
  </si>
  <si>
    <t>1.掉头箭头;
2.包含完成该项内容所有工作及费用并满足设计图纸、规范等要求;</t>
  </si>
  <si>
    <t>斑马线</t>
  </si>
  <si>
    <t>1.斑马线;
2.包含完成该项内容所有工作及费用并满足设计图纸、规范等要求;</t>
  </si>
  <si>
    <t>通道线（中心线）</t>
  </si>
  <si>
    <t>1.通道线（中心线）;
2.包含完成该项内容所有工作及费用并满足设计图纸、规范等要求;</t>
  </si>
  <si>
    <t>通道边线</t>
  </si>
  <si>
    <t>1.通道边线;
2.包含完成该项内容所有工作及费用并满足设计图纸、规范等要求;</t>
  </si>
  <si>
    <t>减速带</t>
  </si>
  <si>
    <t>1.减速带;
2.包含完成该项内容所有工作及费用并满足设计图纸、规范等要求;</t>
  </si>
  <si>
    <t>落客区地面LOGO标识</t>
  </si>
  <si>
    <t>1.落客区地面LOGO标识;
2.包含完成该项内容所有工作及费用并满足设计图纸、规范等要求;</t>
  </si>
  <si>
    <t>工程量合计</t>
  </si>
  <si>
    <t>LT.1 明装LED线形灯</t>
  </si>
  <si>
    <t>1、名称：明装LED线形灯
2、规格型号：型号：CEB0512B-B/J、色温：4000K、功率：26W、显指：Ra＞90
3、包含完成该项内容所有工作及费用并满足设计图纸、规范等要求;</t>
  </si>
  <si>
    <t>LT.3b 天花嵌入式射灯</t>
  </si>
  <si>
    <t>1、名称：天花嵌入式射灯
2、规格型号：型号：PAK564151、名称：色温：4000K、功率：20W、显指：Ra＞90
3、包含完成该项内容所有工作及费用并满足设计图纸、规范等要求;</t>
  </si>
  <si>
    <t>T.8 地灯</t>
  </si>
  <si>
    <t>1、名称：地灯
2、规格型号：型号：PAK520036、色温：4000K、功率：3W、显指：Ra＞90
3、包含完成该项内容所有工作及费用并满足设计图纸、规范等要求;</t>
  </si>
  <si>
    <t>地库电气工程</t>
  </si>
  <si>
    <t>LT.2 吊装筒灯（含吊杆）</t>
  </si>
  <si>
    <t>1、名称：吊装筒灯（含吊杆）
2、规格型号：型号：CEAM316-A、色温：4000K、功率：15W、显指：Ra≥90
3、包含完成该项内容所有工作及费用并满足设计图纸、规范等要求;</t>
  </si>
  <si>
    <t>LT.3 轨道射灯</t>
  </si>
  <si>
    <t>1、名称：轨道射灯
2、规格型号：型号：PAK564151、名称：色温：4000K、功率：10W、显指：Ra＞90
3、包含轨道、驱动及完成该项内容所有工作及费用并满足设计图纸、规范等要求;</t>
  </si>
  <si>
    <t>LT.4 嵌入式筒灯</t>
  </si>
  <si>
    <t>1、名称：嵌入式筒灯
2、规格型号：型号：CEJ61075F01 、色温：3000K、功率：9W、光束角：50°
3、包含完成该项内容所有工作及费用并满足设计图纸、规范等要求;</t>
  </si>
  <si>
    <t>LT.6 洗墙灯</t>
  </si>
  <si>
    <t>1、名称：洗墙灯
2、规格型号：、色温：4000K、功率：4W、输入电压：DC24V、光效：85 lm/W
3、包含完成该项内容所有工作及费用并满足设计图纸、规范等要求;</t>
  </si>
  <si>
    <t>LT.7 壁灯</t>
  </si>
  <si>
    <t>1、名称：壁灯
2、规格型号：色温：4000K、功率：7W、显指：Ra＞90
3、包含完成该项内容所有工作及费用并满足设计图纸、规范等要求;</t>
  </si>
  <si>
    <t>T.1 LED软灯带</t>
  </si>
  <si>
    <t>1、名称：LED软灯带
2、规格型号：型号：PAK544189、色温：4000K、功率：3W、光束角：120°
3.其他:含驱动电源、灯具安装
4.包含完成该项内容所有工作及费用并满足设计图纸、规范等要求;</t>
  </si>
  <si>
    <t>T.2 LED硬灯条</t>
  </si>
  <si>
    <t>1、名称：LED硬灯条
2、规格型号：型号：PAK544351、名称：色温：4000K、功率：7.2W、光束角：120°
3.其他:含驱动电源、灯具安装
4.包含完成该项内容所有工作及费用并满足设计图纸、规范等要求;</t>
  </si>
  <si>
    <t>感应开关</t>
  </si>
  <si>
    <t>1、名称：感应开关
2、包含完成该项内容所有工作及费用并满足设计图纸、规范等要求;</t>
  </si>
  <si>
    <t>五孔单相暗插座</t>
  </si>
  <si>
    <t>1、名称：五孔单相暗插座
2、包含完成该项内容所有工作及费用并满足设计图纸、规范等要求;</t>
  </si>
  <si>
    <t>地库给排水工程</t>
  </si>
  <si>
    <t>洗手盆及龙头</t>
  </si>
  <si>
    <t>1、名称：洗手盆及龙头
2、洗手盆、龙头安装，包括角阀、不锈钢软管、下水管等所需材料
3、规格型号：洗手盆：和成：LF3530S/LF616K、龙头：和成：AF6013H、角阀：和成：FE0014
4、包含完成该项内容所有工作及费用并满足设计图纸、规范等要求;</t>
  </si>
  <si>
    <t>地漏</t>
  </si>
  <si>
    <t>1、名称：地漏
2、规格型号：和成：BA30086
3、包含完成该项内容所有工作及费用并满足设计图纸、规范等要求;</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</si>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</sst>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2][$RMB]General;[Red][DBNum2][$RMB]General"/>
    <numFmt numFmtId="177" formatCode="0.00_);[Red]\(0.00\)"/>
    <numFmt numFmtId="178" formatCode="#,##0.00_ "/>
    <numFmt numFmtId="179" formatCode="0.00_ "/>
  </numFmts>
  <fonts count="62">
    <font>
      <sz val="11"/>
      <color theme="1"/>
      <name val="宋体"/>
      <charset val="134"/>
      <scheme val="minor"/>
    </font>
    <font>
      <sz val="16"/>
      <color indexed="8"/>
      <name val="宋体"/>
      <charset val="134"/>
      <scheme val="major"/>
    </font>
    <font>
      <b/>
      <sz val="9"/>
      <color indexed="8"/>
      <name val="宋体"/>
      <charset val="134"/>
      <scheme val="major"/>
    </font>
    <font>
      <sz val="9"/>
      <color indexed="8"/>
      <name val="宋体"/>
      <charset val="134"/>
      <scheme val="major"/>
    </font>
    <font>
      <sz val="9"/>
      <color theme="1"/>
      <name val="宋体"/>
      <charset val="134"/>
      <scheme val="major"/>
    </font>
    <font>
      <sz val="10"/>
      <color indexed="8"/>
      <name val="宋体"/>
      <charset val="134"/>
      <scheme val="major"/>
    </font>
    <font>
      <b/>
      <sz val="9"/>
      <name val="宋体"/>
      <charset val="134"/>
      <scheme val="major"/>
    </font>
    <font>
      <b/>
      <sz val="18"/>
      <name val="宋体"/>
      <charset val="134"/>
      <scheme val="major"/>
    </font>
    <font>
      <b/>
      <sz val="18"/>
      <color rgb="FFFF0000"/>
      <name val="宋体"/>
      <charset val="134"/>
      <scheme val="major"/>
    </font>
    <font>
      <b/>
      <sz val="10"/>
      <name val="宋体"/>
      <charset val="134"/>
      <scheme val="major"/>
    </font>
    <font>
      <b/>
      <sz val="16"/>
      <color rgb="FFFF0000"/>
      <name val="宋体"/>
      <charset val="134"/>
      <scheme val="major"/>
    </font>
    <font>
      <b/>
      <sz val="10"/>
      <name val="黑体"/>
      <charset val="134"/>
    </font>
    <font>
      <sz val="10"/>
      <color theme="1"/>
      <name val="黑体"/>
      <charset val="134"/>
    </font>
    <font>
      <sz val="11"/>
      <color theme="1"/>
      <name val="黑体"/>
      <charset val="134"/>
    </font>
    <font>
      <b/>
      <sz val="10"/>
      <color indexed="8"/>
      <name val="宋体"/>
      <charset val="134"/>
      <scheme val="major"/>
    </font>
    <font>
      <sz val="9"/>
      <name val="宋体"/>
      <charset val="134"/>
      <scheme val="major"/>
    </font>
    <font>
      <sz val="10"/>
      <color theme="1"/>
      <name val="宋体"/>
      <charset val="134"/>
      <scheme val="minor"/>
    </font>
    <font>
      <sz val="10"/>
      <color theme="1"/>
      <name val="宋体"/>
      <charset val="134"/>
      <scheme val="major"/>
    </font>
    <font>
      <sz val="10"/>
      <name val="黑体"/>
      <charset val="134"/>
    </font>
    <font>
      <sz val="10"/>
      <color theme="1"/>
      <name val="黑体"/>
      <charset val="254"/>
    </font>
    <font>
      <sz val="10"/>
      <color theme="1"/>
      <name val="宋体"/>
      <charset val="134"/>
    </font>
    <font>
      <sz val="10"/>
      <name val="黑体"/>
      <charset val="254"/>
    </font>
    <font>
      <sz val="9"/>
      <color theme="1"/>
      <name val="宋体"/>
      <charset val="134"/>
      <scheme val="minor"/>
    </font>
    <font>
      <sz val="10"/>
      <color rgb="FF00B050"/>
      <name val="黑体"/>
      <charset val="134"/>
    </font>
    <font>
      <sz val="10"/>
      <color rgb="FF00B050"/>
      <name val="宋体"/>
      <charset val="134"/>
      <scheme val="major"/>
    </font>
    <font>
      <sz val="10"/>
      <color rgb="FF00B050"/>
      <name val="宋体"/>
      <charset val="134"/>
    </font>
    <font>
      <b/>
      <sz val="10"/>
      <color rgb="FFFF0000"/>
      <name val="宋体"/>
      <charset val="134"/>
      <scheme val="major"/>
    </font>
    <font>
      <sz val="16"/>
      <color indexed="8"/>
      <name val="宋体"/>
      <charset val="134"/>
    </font>
    <font>
      <b/>
      <sz val="9"/>
      <color indexed="8"/>
      <name val="宋体"/>
      <charset val="134"/>
    </font>
    <font>
      <sz val="9"/>
      <color indexed="8"/>
      <name val="宋体"/>
      <charset val="134"/>
    </font>
    <font>
      <b/>
      <sz val="9"/>
      <name val="宋体"/>
      <charset val="134"/>
    </font>
    <font>
      <b/>
      <sz val="18"/>
      <color indexed="8"/>
      <name val="宋体"/>
      <charset val="134"/>
    </font>
    <font>
      <b/>
      <sz val="14"/>
      <color rgb="FFFF0000"/>
      <name val="宋体"/>
      <charset val="134"/>
    </font>
    <font>
      <b/>
      <sz val="11"/>
      <color indexed="8"/>
      <name val="宋体"/>
      <charset val="134"/>
    </font>
    <font>
      <b/>
      <sz val="10"/>
      <color indexed="8"/>
      <name val="宋体"/>
      <charset val="134"/>
    </font>
    <font>
      <sz val="10"/>
      <color indexed="8"/>
      <name val="宋体"/>
      <charset val="134"/>
    </font>
    <font>
      <b/>
      <sz val="18"/>
      <color rgb="FF000000"/>
      <name val="宋体"/>
      <charset val="134"/>
      <scheme val="major"/>
    </font>
    <font>
      <sz val="12"/>
      <color rgb="FF000000"/>
      <name val="宋体"/>
      <charset val="134"/>
      <scheme val="major"/>
    </font>
    <font>
      <sz val="11"/>
      <color rgb="FF000000"/>
      <name val="宋体"/>
      <charset val="134"/>
      <scheme val="major"/>
    </font>
    <font>
      <sz val="11"/>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name val="Times New Roman"/>
      <charset val="0"/>
    </font>
    <font>
      <sz val="11"/>
      <name val="Times New Roman"/>
      <charset val="0"/>
    </font>
  </fonts>
  <fills count="39">
    <fill>
      <patternFill patternType="none"/>
    </fill>
    <fill>
      <patternFill patternType="gray125"/>
    </fill>
    <fill>
      <patternFill patternType="solid">
        <fgColor rgb="FFFFFF00"/>
        <bgColor indexed="64"/>
      </patternFill>
    </fill>
    <fill>
      <patternFill patternType="solid">
        <fgColor theme="8" tint="0.4"/>
        <bgColor indexed="64"/>
      </patternFill>
    </fill>
    <fill>
      <patternFill patternType="solid">
        <fgColor theme="8" tint="0.6"/>
        <bgColor indexed="64"/>
      </patternFill>
    </fill>
    <fill>
      <patternFill patternType="solid">
        <fgColor theme="6" tint="0.4"/>
        <bgColor indexed="64"/>
      </patternFill>
    </fill>
    <fill>
      <patternFill patternType="solid">
        <fgColor theme="7" tint="0.6"/>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0" fillId="8" borderId="5"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6" applyNumberFormat="0" applyFill="0" applyAlignment="0" applyProtection="0">
      <alignment vertical="center"/>
    </xf>
    <xf numFmtId="0" fontId="46" fillId="0" borderId="6" applyNumberFormat="0" applyFill="0" applyAlignment="0" applyProtection="0">
      <alignment vertical="center"/>
    </xf>
    <xf numFmtId="0" fontId="47" fillId="0" borderId="7" applyNumberFormat="0" applyFill="0" applyAlignment="0" applyProtection="0">
      <alignment vertical="center"/>
    </xf>
    <xf numFmtId="0" fontId="47" fillId="0" borderId="0" applyNumberFormat="0" applyFill="0" applyBorder="0" applyAlignment="0" applyProtection="0">
      <alignment vertical="center"/>
    </xf>
    <xf numFmtId="0" fontId="48" fillId="9" borderId="8" applyNumberFormat="0" applyAlignment="0" applyProtection="0">
      <alignment vertical="center"/>
    </xf>
    <xf numFmtId="0" fontId="49" fillId="10" borderId="9" applyNumberFormat="0" applyAlignment="0" applyProtection="0">
      <alignment vertical="center"/>
    </xf>
    <xf numFmtId="0" fontId="50" fillId="10" borderId="8" applyNumberFormat="0" applyAlignment="0" applyProtection="0">
      <alignment vertical="center"/>
    </xf>
    <xf numFmtId="0" fontId="51" fillId="11" borderId="10" applyNumberFormat="0" applyAlignment="0" applyProtection="0">
      <alignment vertical="center"/>
    </xf>
    <xf numFmtId="0" fontId="52" fillId="0" borderId="11" applyNumberFormat="0" applyFill="0" applyAlignment="0" applyProtection="0">
      <alignment vertical="center"/>
    </xf>
    <xf numFmtId="0" fontId="53" fillId="0" borderId="12" applyNumberFormat="0" applyFill="0" applyAlignment="0" applyProtection="0">
      <alignment vertical="center"/>
    </xf>
    <xf numFmtId="0" fontId="54" fillId="12" borderId="0" applyNumberFormat="0" applyBorder="0" applyAlignment="0" applyProtection="0">
      <alignment vertical="center"/>
    </xf>
    <xf numFmtId="0" fontId="55" fillId="13" borderId="0" applyNumberFormat="0" applyBorder="0" applyAlignment="0" applyProtection="0">
      <alignment vertical="center"/>
    </xf>
    <xf numFmtId="0" fontId="56" fillId="14" borderId="0" applyNumberFormat="0" applyBorder="0" applyAlignment="0" applyProtection="0">
      <alignment vertical="center"/>
    </xf>
    <xf numFmtId="0" fontId="57" fillId="15" borderId="0" applyNumberFormat="0" applyBorder="0" applyAlignment="0" applyProtection="0">
      <alignment vertical="center"/>
    </xf>
    <xf numFmtId="0" fontId="58" fillId="16" borderId="0" applyNumberFormat="0" applyBorder="0" applyAlignment="0" applyProtection="0">
      <alignment vertical="center"/>
    </xf>
    <xf numFmtId="0" fontId="58" fillId="17" borderId="0" applyNumberFormat="0" applyBorder="0" applyAlignment="0" applyProtection="0">
      <alignment vertical="center"/>
    </xf>
    <xf numFmtId="0" fontId="57" fillId="18" borderId="0" applyNumberFormat="0" applyBorder="0" applyAlignment="0" applyProtection="0">
      <alignment vertical="center"/>
    </xf>
    <xf numFmtId="0" fontId="57" fillId="19" borderId="0" applyNumberFormat="0" applyBorder="0" applyAlignment="0" applyProtection="0">
      <alignment vertical="center"/>
    </xf>
    <xf numFmtId="0" fontId="58" fillId="20" borderId="0" applyNumberFormat="0" applyBorder="0" applyAlignment="0" applyProtection="0">
      <alignment vertical="center"/>
    </xf>
    <xf numFmtId="0" fontId="58" fillId="21" borderId="0" applyNumberFormat="0" applyBorder="0" applyAlignment="0" applyProtection="0">
      <alignment vertical="center"/>
    </xf>
    <xf numFmtId="0" fontId="57" fillId="22" borderId="0" applyNumberFormat="0" applyBorder="0" applyAlignment="0" applyProtection="0">
      <alignment vertical="center"/>
    </xf>
    <xf numFmtId="0" fontId="57" fillId="23" borderId="0" applyNumberFormat="0" applyBorder="0" applyAlignment="0" applyProtection="0">
      <alignment vertical="center"/>
    </xf>
    <xf numFmtId="0" fontId="58" fillId="24" borderId="0" applyNumberFormat="0" applyBorder="0" applyAlignment="0" applyProtection="0">
      <alignment vertical="center"/>
    </xf>
    <xf numFmtId="0" fontId="58" fillId="25" borderId="0" applyNumberFormat="0" applyBorder="0" applyAlignment="0" applyProtection="0">
      <alignment vertical="center"/>
    </xf>
    <xf numFmtId="0" fontId="57" fillId="26" borderId="0" applyNumberFormat="0" applyBorder="0" applyAlignment="0" applyProtection="0">
      <alignment vertical="center"/>
    </xf>
    <xf numFmtId="0" fontId="57" fillId="27" borderId="0" applyNumberFormat="0" applyBorder="0" applyAlignment="0" applyProtection="0">
      <alignment vertical="center"/>
    </xf>
    <xf numFmtId="0" fontId="58" fillId="28" borderId="0" applyNumberFormat="0" applyBorder="0" applyAlignment="0" applyProtection="0">
      <alignment vertical="center"/>
    </xf>
    <xf numFmtId="0" fontId="58" fillId="29" borderId="0" applyNumberFormat="0" applyBorder="0" applyAlignment="0" applyProtection="0">
      <alignment vertical="center"/>
    </xf>
    <xf numFmtId="0" fontId="57" fillId="30" borderId="0" applyNumberFormat="0" applyBorder="0" applyAlignment="0" applyProtection="0">
      <alignment vertical="center"/>
    </xf>
    <xf numFmtId="0" fontId="57" fillId="31" borderId="0" applyNumberFormat="0" applyBorder="0" applyAlignment="0" applyProtection="0">
      <alignment vertical="center"/>
    </xf>
    <xf numFmtId="0" fontId="58" fillId="32" borderId="0" applyNumberFormat="0" applyBorder="0" applyAlignment="0" applyProtection="0">
      <alignment vertical="center"/>
    </xf>
    <xf numFmtId="0" fontId="58" fillId="33" borderId="0" applyNumberFormat="0" applyBorder="0" applyAlignment="0" applyProtection="0">
      <alignment vertical="center"/>
    </xf>
    <xf numFmtId="0" fontId="57" fillId="34" borderId="0" applyNumberFormat="0" applyBorder="0" applyAlignment="0" applyProtection="0">
      <alignment vertical="center"/>
    </xf>
    <xf numFmtId="0" fontId="57"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7" fillId="38" borderId="0" applyNumberFormat="0" applyBorder="0" applyAlignment="0" applyProtection="0">
      <alignment vertical="center"/>
    </xf>
    <xf numFmtId="0" fontId="22" fillId="0" borderId="0" applyBorder="0"/>
    <xf numFmtId="0" fontId="59" fillId="0" borderId="0" applyBorder="0"/>
    <xf numFmtId="176" fontId="60" fillId="0" borderId="0" applyBorder="0"/>
    <xf numFmtId="0" fontId="61" fillId="0" borderId="0" applyBorder="0">
      <alignment vertical="center"/>
    </xf>
    <xf numFmtId="0" fontId="0" fillId="0" borderId="0" applyBorder="0">
      <alignment vertical="center"/>
    </xf>
  </cellStyleXfs>
  <cellXfs count="180">
    <xf numFmtId="0" fontId="0" fillId="0" borderId="0" xfId="0">
      <alignment vertical="center"/>
    </xf>
    <xf numFmtId="0" fontId="1" fillId="0" borderId="0" xfId="0" applyFont="1" applyFill="1" applyAlignment="1">
      <alignment vertical="center"/>
    </xf>
    <xf numFmtId="0" fontId="2" fillId="0" borderId="0" xfId="0" applyNumberFormat="1" applyFont="1" applyFill="1" applyAlignment="1">
      <alignment horizontal="center" vertical="center" wrapText="1"/>
    </xf>
    <xf numFmtId="0" fontId="3" fillId="0" borderId="0" xfId="0" applyFont="1" applyFill="1" applyAlignment="1"/>
    <xf numFmtId="0" fontId="4" fillId="0" borderId="0" xfId="0" applyFont="1" applyFill="1" applyAlignment="1">
      <alignment vertical="center"/>
    </xf>
    <xf numFmtId="0" fontId="3" fillId="0" borderId="0" xfId="0" applyFont="1" applyFill="1" applyAlignment="1">
      <alignment vertical="center"/>
    </xf>
    <xf numFmtId="0" fontId="3" fillId="0" borderId="0" xfId="0" applyFont="1" applyFill="1" applyAlignment="1">
      <alignment horizontal="left" vertical="center" wrapText="1"/>
    </xf>
    <xf numFmtId="177" fontId="3" fillId="0" borderId="0" xfId="0" applyNumberFormat="1" applyFont="1" applyFill="1" applyAlignment="1">
      <alignment horizontal="right" vertical="center" wrapText="1"/>
    </xf>
    <xf numFmtId="178" fontId="5" fillId="0" borderId="0" xfId="0" applyNumberFormat="1" applyFont="1" applyFill="1" applyAlignment="1">
      <alignment horizontal="center" vertical="center" wrapText="1"/>
    </xf>
    <xf numFmtId="179" fontId="6" fillId="0" borderId="0" xfId="0" applyNumberFormat="1" applyFont="1" applyFill="1" applyAlignment="1">
      <alignment horizontal="center" vertical="center"/>
    </xf>
    <xf numFmtId="179" fontId="3" fillId="0" borderId="0" xfId="0" applyNumberFormat="1" applyFont="1" applyFill="1" applyAlignment="1">
      <alignment vertical="center"/>
    </xf>
    <xf numFmtId="179" fontId="3" fillId="0" borderId="0" xfId="0" applyNumberFormat="1" applyFont="1" applyFill="1" applyAlignment="1">
      <alignment horizontal="center" vertical="center"/>
    </xf>
    <xf numFmtId="10" fontId="3" fillId="0" borderId="0" xfId="0" applyNumberFormat="1" applyFont="1" applyFill="1" applyAlignment="1">
      <alignment horizontal="center" vertical="center"/>
    </xf>
    <xf numFmtId="0" fontId="7" fillId="0" borderId="0" xfId="0" applyFont="1" applyFill="1" applyAlignment="1">
      <alignment horizontal="center" vertical="center"/>
    </xf>
    <xf numFmtId="0" fontId="7" fillId="0" borderId="0" xfId="0" applyFont="1" applyFill="1" applyAlignment="1">
      <alignment horizontal="left" vertical="center" wrapText="1"/>
    </xf>
    <xf numFmtId="177" fontId="7" fillId="0" borderId="0" xfId="0" applyNumberFormat="1" applyFont="1" applyFill="1" applyAlignment="1">
      <alignment horizontal="right" vertical="center" wrapText="1"/>
    </xf>
    <xf numFmtId="177" fontId="8" fillId="0" borderId="0" xfId="0" applyNumberFormat="1" applyFont="1" applyFill="1" applyAlignment="1">
      <alignment horizontal="right" vertical="center" wrapText="1"/>
    </xf>
    <xf numFmtId="178" fontId="9" fillId="0" borderId="0" xfId="0" applyNumberFormat="1" applyFont="1" applyFill="1" applyAlignment="1">
      <alignment horizontal="center" vertical="center" wrapText="1"/>
    </xf>
    <xf numFmtId="179" fontId="1" fillId="0" borderId="0" xfId="0" applyNumberFormat="1" applyFont="1" applyFill="1" applyAlignment="1">
      <alignment vertical="center"/>
    </xf>
    <xf numFmtId="179" fontId="10" fillId="0" borderId="0" xfId="0" applyNumberFormat="1" applyFont="1" applyFill="1" applyAlignment="1">
      <alignment horizontal="center" vertical="center"/>
    </xf>
    <xf numFmtId="178" fontId="11" fillId="0" borderId="1" xfId="0" applyNumberFormat="1" applyFont="1" applyFill="1" applyBorder="1" applyAlignment="1">
      <alignment horizontal="center" vertical="center"/>
    </xf>
    <xf numFmtId="10" fontId="11" fillId="0" borderId="1" xfId="0" applyNumberFormat="1" applyFont="1" applyFill="1" applyBorder="1" applyAlignment="1">
      <alignment horizontal="center" vertical="center"/>
    </xf>
    <xf numFmtId="0" fontId="2" fillId="0" borderId="2"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79" fontId="2" fillId="0" borderId="0" xfId="0" applyNumberFormat="1" applyFont="1" applyFill="1" applyAlignment="1">
      <alignment horizontal="center" vertical="center" wrapText="1"/>
    </xf>
    <xf numFmtId="0" fontId="2" fillId="0" borderId="3"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wrapText="1"/>
    </xf>
    <xf numFmtId="10" fontId="6" fillId="2" borderId="1" xfId="0" applyNumberFormat="1" applyFont="1" applyFill="1" applyBorder="1" applyAlignment="1" applyProtection="1">
      <alignment horizontal="center" vertical="center" wrapText="1"/>
    </xf>
    <xf numFmtId="178" fontId="12" fillId="0" borderId="1" xfId="0" applyNumberFormat="1" applyFont="1" applyFill="1" applyBorder="1" applyAlignment="1">
      <alignment horizontal="center" vertical="center" wrapText="1"/>
    </xf>
    <xf numFmtId="10" fontId="12" fillId="0" borderId="1" xfId="0" applyNumberFormat="1"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178" fontId="13" fillId="0" borderId="1" xfId="0" applyNumberFormat="1" applyFont="1" applyFill="1" applyBorder="1" applyAlignment="1">
      <alignment horizontal="center" vertical="center" wrapText="1"/>
    </xf>
    <xf numFmtId="10" fontId="13" fillId="0" borderId="1"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179" fontId="2" fillId="3" borderId="1" xfId="0" applyNumberFormat="1" applyFont="1" applyFill="1" applyBorder="1" applyAlignment="1">
      <alignment horizontal="right" vertical="center" wrapText="1"/>
    </xf>
    <xf numFmtId="179" fontId="14" fillId="3" borderId="1" xfId="0" applyNumberFormat="1" applyFont="1" applyFill="1" applyBorder="1" applyAlignment="1">
      <alignment horizontal="center" vertical="center" wrapText="1"/>
    </xf>
    <xf numFmtId="179" fontId="2" fillId="3" borderId="0" xfId="0" applyNumberFormat="1" applyFont="1" applyFill="1" applyAlignment="1">
      <alignment horizontal="center" vertical="center" wrapText="1"/>
    </xf>
    <xf numFmtId="0" fontId="3" fillId="0" borderId="1" xfId="0" applyFont="1" applyFill="1" applyBorder="1" applyAlignment="1">
      <alignment horizontal="center" vertical="center"/>
    </xf>
    <xf numFmtId="0" fontId="15" fillId="0" borderId="1" xfId="0" applyNumberFormat="1" applyFont="1" applyFill="1" applyBorder="1" applyAlignment="1">
      <alignment horizontal="left" vertical="center" wrapText="1"/>
    </xf>
    <xf numFmtId="0" fontId="15" fillId="0" borderId="1" xfId="0" applyFont="1" applyFill="1" applyBorder="1" applyAlignment="1">
      <alignment horizontal="center" vertical="center" wrapText="1"/>
    </xf>
    <xf numFmtId="179" fontId="16" fillId="0" borderId="1" xfId="0" applyNumberFormat="1" applyFont="1" applyFill="1" applyBorder="1" applyAlignment="1">
      <alignment horizontal="center" vertical="center"/>
    </xf>
    <xf numFmtId="179" fontId="17" fillId="0" borderId="1" xfId="0" applyNumberFormat="1" applyFont="1" applyBorder="1" applyAlignment="1">
      <alignment horizontal="center" vertical="center"/>
    </xf>
    <xf numFmtId="177" fontId="17" fillId="0" borderId="1" xfId="0" applyNumberFormat="1" applyFont="1" applyFill="1" applyBorder="1" applyAlignment="1">
      <alignment horizontal="center" vertical="center"/>
    </xf>
    <xf numFmtId="178" fontId="5" fillId="0" borderId="1" xfId="0" applyNumberFormat="1" applyFont="1" applyFill="1" applyBorder="1" applyAlignment="1">
      <alignment horizontal="center" vertical="center" wrapText="1"/>
    </xf>
    <xf numFmtId="179" fontId="3" fillId="0" borderId="1" xfId="0" applyNumberFormat="1" applyFont="1" applyFill="1" applyBorder="1" applyAlignment="1">
      <alignment horizontal="center" vertical="center" wrapText="1"/>
    </xf>
    <xf numFmtId="179" fontId="3" fillId="0" borderId="0" xfId="0" applyNumberFormat="1" applyFont="1" applyFill="1" applyAlignment="1">
      <alignment horizontal="center" vertical="center" wrapText="1"/>
    </xf>
    <xf numFmtId="179" fontId="3" fillId="0" borderId="0" xfId="0" applyNumberFormat="1" applyFont="1" applyFill="1" applyAlignment="1"/>
    <xf numFmtId="179" fontId="17" fillId="0" borderId="1" xfId="51" applyNumberFormat="1" applyFont="1" applyFill="1" applyBorder="1" applyAlignment="1">
      <alignment horizontal="center" vertical="center" wrapText="1"/>
    </xf>
    <xf numFmtId="177" fontId="4" fillId="0" borderId="1" xfId="0" applyNumberFormat="1" applyFont="1" applyFill="1" applyBorder="1">
      <alignment vertical="center"/>
    </xf>
    <xf numFmtId="179" fontId="18" fillId="0" borderId="1" xfId="0" applyNumberFormat="1" applyFont="1" applyFill="1" applyBorder="1" applyAlignment="1" applyProtection="1">
      <alignment horizontal="center" vertical="center"/>
      <protection locked="0"/>
    </xf>
    <xf numFmtId="10" fontId="18" fillId="0" borderId="1" xfId="0" applyNumberFormat="1" applyFont="1" applyFill="1" applyBorder="1" applyAlignment="1" applyProtection="1">
      <alignment horizontal="center" vertical="center"/>
      <protection locked="0"/>
    </xf>
    <xf numFmtId="179" fontId="4" fillId="0" borderId="0" xfId="0" applyNumberFormat="1" applyFont="1" applyFill="1" applyAlignment="1">
      <alignment vertical="center"/>
    </xf>
    <xf numFmtId="179" fontId="19" fillId="0" borderId="1" xfId="0" applyNumberFormat="1" applyFont="1" applyFill="1" applyBorder="1" applyAlignment="1">
      <alignment horizontal="center" vertical="center"/>
    </xf>
    <xf numFmtId="179" fontId="3" fillId="0" borderId="1" xfId="0" applyNumberFormat="1" applyFont="1" applyFill="1" applyBorder="1" applyAlignment="1">
      <alignment horizontal="center" vertical="center"/>
    </xf>
    <xf numFmtId="179" fontId="20" fillId="0" borderId="1" xfId="0" applyNumberFormat="1" applyFont="1" applyFill="1" applyBorder="1" applyAlignment="1">
      <alignment horizontal="center" vertical="center"/>
    </xf>
    <xf numFmtId="10" fontId="20" fillId="0" borderId="1" xfId="0" applyNumberFormat="1" applyFont="1" applyFill="1" applyBorder="1" applyAlignment="1">
      <alignment horizontal="center" vertical="center"/>
    </xf>
    <xf numFmtId="179" fontId="21" fillId="0" borderId="1" xfId="0" applyNumberFormat="1" applyFont="1" applyFill="1" applyBorder="1" applyAlignment="1">
      <alignment horizontal="center" vertical="center"/>
    </xf>
    <xf numFmtId="10" fontId="21" fillId="0" borderId="1" xfId="0" applyNumberFormat="1" applyFont="1" applyFill="1" applyBorder="1" applyAlignment="1">
      <alignment horizontal="center" vertical="center"/>
    </xf>
    <xf numFmtId="10" fontId="3" fillId="0" borderId="1" xfId="0" applyNumberFormat="1" applyFont="1" applyFill="1" applyBorder="1" applyAlignment="1">
      <alignment horizontal="center" vertical="center"/>
    </xf>
    <xf numFmtId="179" fontId="2" fillId="0" borderId="1" xfId="0" applyNumberFormat="1" applyFont="1" applyFill="1" applyBorder="1" applyAlignment="1">
      <alignment horizontal="center" vertical="center" wrapText="1"/>
    </xf>
    <xf numFmtId="10" fontId="2" fillId="0" borderId="1" xfId="0" applyNumberFormat="1" applyFont="1" applyFill="1" applyBorder="1" applyAlignment="1">
      <alignment horizontal="center" vertical="center" wrapText="1"/>
    </xf>
    <xf numFmtId="10" fontId="19" fillId="0" borderId="1" xfId="0" applyNumberFormat="1" applyFont="1" applyFill="1" applyBorder="1" applyAlignment="1">
      <alignment vertical="center"/>
    </xf>
    <xf numFmtId="179" fontId="19" fillId="0" borderId="1" xfId="0" applyNumberFormat="1" applyFont="1" applyFill="1" applyBorder="1" applyAlignment="1">
      <alignment vertical="center"/>
    </xf>
    <xf numFmtId="179" fontId="4" fillId="0" borderId="1" xfId="0" applyNumberFormat="1" applyFont="1" applyFill="1" applyBorder="1" applyAlignment="1">
      <alignment horizontal="center" vertical="center"/>
    </xf>
    <xf numFmtId="10" fontId="4" fillId="0" borderId="1" xfId="0" applyNumberFormat="1" applyFont="1" applyFill="1" applyBorder="1" applyAlignment="1">
      <alignment horizontal="center" vertical="center"/>
    </xf>
    <xf numFmtId="0" fontId="14" fillId="3" borderId="1" xfId="0" applyNumberFormat="1" applyFont="1" applyFill="1" applyBorder="1" applyAlignment="1">
      <alignment horizontal="center" vertical="center" wrapText="1"/>
    </xf>
    <xf numFmtId="179" fontId="14" fillId="3" borderId="1" xfId="0" applyNumberFormat="1" applyFont="1" applyFill="1" applyBorder="1" applyAlignment="1">
      <alignment horizontal="right" vertical="center" wrapText="1"/>
    </xf>
    <xf numFmtId="10" fontId="2" fillId="0" borderId="0" xfId="0" applyNumberFormat="1" applyFont="1" applyFill="1" applyAlignment="1">
      <alignment horizontal="center" vertical="center" wrapText="1"/>
    </xf>
    <xf numFmtId="178" fontId="3" fillId="0" borderId="0" xfId="0" applyNumberFormat="1" applyFont="1" applyFill="1" applyAlignment="1">
      <alignment horizontal="right" vertical="center" wrapText="1"/>
    </xf>
    <xf numFmtId="10" fontId="3" fillId="0" borderId="0" xfId="0" applyNumberFormat="1" applyFont="1" applyFill="1" applyAlignment="1">
      <alignment vertical="center"/>
    </xf>
    <xf numFmtId="178" fontId="7" fillId="0" borderId="0" xfId="0" applyNumberFormat="1" applyFont="1" applyFill="1" applyAlignment="1">
      <alignment horizontal="right" vertical="center" wrapText="1"/>
    </xf>
    <xf numFmtId="0" fontId="10" fillId="0" borderId="0" xfId="0" applyFont="1" applyFill="1" applyAlignment="1">
      <alignment horizontal="center" vertical="center"/>
    </xf>
    <xf numFmtId="0" fontId="2" fillId="3" borderId="0" xfId="0" applyNumberFormat="1" applyFont="1" applyFill="1" applyAlignment="1">
      <alignment horizontal="center" vertical="center" wrapText="1"/>
    </xf>
    <xf numFmtId="0" fontId="3" fillId="0" borderId="0" xfId="0" applyNumberFormat="1" applyFont="1" applyFill="1" applyAlignment="1">
      <alignment vertical="center"/>
    </xf>
    <xf numFmtId="0" fontId="3" fillId="0" borderId="0" xfId="0" applyNumberFormat="1" applyFont="1" applyFill="1" applyAlignment="1">
      <alignment horizontal="center" vertical="center" wrapText="1"/>
    </xf>
    <xf numFmtId="179" fontId="21" fillId="0" borderId="1" xfId="0" applyNumberFormat="1" applyFont="1" applyFill="1" applyBorder="1" applyAlignment="1">
      <alignment vertical="center"/>
    </xf>
    <xf numFmtId="0" fontId="3" fillId="0" borderId="0" xfId="0" applyFont="1" applyFill="1" applyAlignment="1">
      <alignment horizontal="center" vertical="center"/>
    </xf>
    <xf numFmtId="0" fontId="8" fillId="0" borderId="0" xfId="0" applyFont="1" applyFill="1" applyAlignment="1">
      <alignment horizontal="center" vertical="center"/>
    </xf>
    <xf numFmtId="0" fontId="10" fillId="0" borderId="0" xfId="0" applyFont="1" applyFill="1" applyAlignment="1">
      <alignment horizontal="left" vertical="center" wrapText="1"/>
    </xf>
    <xf numFmtId="177" fontId="10" fillId="0" borderId="0" xfId="0" applyNumberFormat="1" applyFont="1" applyFill="1" applyAlignment="1">
      <alignment horizontal="right" vertical="center" wrapText="1"/>
    </xf>
    <xf numFmtId="178" fontId="10" fillId="0" borderId="0" xfId="0" applyNumberFormat="1" applyFont="1" applyFill="1" applyAlignment="1">
      <alignment horizontal="right" vertical="center" wrapText="1"/>
    </xf>
    <xf numFmtId="0" fontId="2" fillId="4" borderId="1" xfId="0" applyNumberFormat="1" applyFont="1" applyFill="1" applyBorder="1" applyAlignment="1">
      <alignment horizontal="center" vertical="center" wrapText="1"/>
    </xf>
    <xf numFmtId="179" fontId="2" fillId="4" borderId="1" xfId="0" applyNumberFormat="1" applyFont="1" applyFill="1" applyBorder="1" applyAlignment="1">
      <alignment horizontal="right"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23" fontId="3" fillId="5" borderId="1" xfId="0" applyNumberFormat="1" applyFont="1" applyFill="1" applyBorder="1" applyAlignment="1" applyProtection="1">
      <alignment horizontal="center" vertical="center" wrapText="1"/>
    </xf>
    <xf numFmtId="179" fontId="3" fillId="5" borderId="1" xfId="0" applyNumberFormat="1" applyFont="1" applyFill="1" applyBorder="1" applyAlignment="1">
      <alignment horizontal="right" vertical="center" wrapText="1"/>
    </xf>
    <xf numFmtId="179" fontId="3" fillId="5" borderId="1" xfId="0" applyNumberFormat="1" applyFont="1" applyFill="1" applyBorder="1" applyAlignment="1">
      <alignment horizontal="center" vertical="center"/>
    </xf>
    <xf numFmtId="0" fontId="4" fillId="0" borderId="0" xfId="0" applyFont="1" applyFill="1" applyAlignment="1">
      <alignment horizontal="center" vertical="center"/>
    </xf>
    <xf numFmtId="179" fontId="22" fillId="0" borderId="1" xfId="0" applyNumberFormat="1" applyFont="1" applyFill="1" applyBorder="1">
      <alignment vertical="center"/>
    </xf>
    <xf numFmtId="179" fontId="4" fillId="0" borderId="1" xfId="0" applyNumberFormat="1" applyFont="1" applyFill="1" applyBorder="1">
      <alignment vertical="center"/>
    </xf>
    <xf numFmtId="177" fontId="3" fillId="0" borderId="1" xfId="0" applyNumberFormat="1" applyFont="1" applyFill="1" applyBorder="1" applyAlignment="1">
      <alignment horizontal="right" vertical="center" wrapText="1"/>
    </xf>
    <xf numFmtId="0" fontId="4" fillId="0" borderId="1" xfId="0" applyFont="1" applyFill="1" applyBorder="1" applyAlignment="1">
      <alignment horizontal="left" vertical="center"/>
    </xf>
    <xf numFmtId="179" fontId="5" fillId="0" borderId="0" xfId="0" applyNumberFormat="1" applyFont="1" applyFill="1" applyAlignment="1">
      <alignment horizontal="center" vertical="center"/>
    </xf>
    <xf numFmtId="10" fontId="5" fillId="0" borderId="0" xfId="0" applyNumberFormat="1" applyFont="1" applyFill="1" applyAlignment="1">
      <alignment horizontal="center" vertical="center"/>
    </xf>
    <xf numFmtId="0" fontId="5" fillId="0" borderId="0" xfId="0" applyFont="1" applyFill="1" applyAlignment="1">
      <alignment horizontal="center" vertical="center"/>
    </xf>
    <xf numFmtId="179" fontId="11" fillId="0" borderId="1" xfId="0" applyNumberFormat="1" applyFont="1" applyFill="1" applyBorder="1" applyAlignment="1">
      <alignment horizontal="center" vertical="center"/>
    </xf>
    <xf numFmtId="0" fontId="14" fillId="0" borderId="0" xfId="0" applyNumberFormat="1" applyFont="1" applyFill="1" applyAlignment="1">
      <alignment horizontal="center" vertical="center" wrapText="1"/>
    </xf>
    <xf numFmtId="179" fontId="12" fillId="0" borderId="1" xfId="0" applyNumberFormat="1" applyFont="1" applyFill="1" applyBorder="1" applyAlignment="1">
      <alignment horizontal="center" vertical="center" wrapText="1"/>
    </xf>
    <xf numFmtId="177" fontId="3" fillId="5" borderId="1" xfId="0" applyNumberFormat="1" applyFont="1" applyFill="1" applyBorder="1" applyAlignment="1">
      <alignment horizontal="right" vertical="center" wrapText="1"/>
    </xf>
    <xf numFmtId="0" fontId="17" fillId="0" borderId="0" xfId="0" applyFont="1" applyFill="1" applyAlignment="1">
      <alignment horizontal="center" vertical="center"/>
    </xf>
    <xf numFmtId="0" fontId="17" fillId="0" borderId="1" xfId="51" applyNumberFormat="1" applyFont="1" applyFill="1" applyBorder="1" applyAlignment="1">
      <alignment horizontal="center" vertical="center" wrapText="1"/>
    </xf>
    <xf numFmtId="177" fontId="4" fillId="0" borderId="1" xfId="0" applyNumberFormat="1" applyFont="1" applyFill="1" applyBorder="1" applyAlignment="1">
      <alignment horizontal="right" vertical="center"/>
    </xf>
    <xf numFmtId="179" fontId="5" fillId="0" borderId="1" xfId="0" applyNumberFormat="1" applyFont="1" applyFill="1" applyBorder="1" applyAlignment="1">
      <alignment horizontal="center" vertical="center"/>
    </xf>
    <xf numFmtId="10" fontId="5" fillId="0" borderId="1" xfId="0" applyNumberFormat="1" applyFont="1" applyFill="1" applyBorder="1" applyAlignment="1">
      <alignment horizontal="center" vertical="center"/>
    </xf>
    <xf numFmtId="0" fontId="5" fillId="0" borderId="1" xfId="0" applyFont="1" applyFill="1" applyBorder="1" applyAlignment="1">
      <alignment horizontal="center" vertical="center"/>
    </xf>
    <xf numFmtId="178" fontId="5" fillId="0" borderId="1" xfId="0" applyNumberFormat="1" applyFont="1" applyFill="1" applyBorder="1" applyAlignment="1">
      <alignment horizontal="center" vertical="center"/>
    </xf>
    <xf numFmtId="179" fontId="23" fillId="0" borderId="1" xfId="0" applyNumberFormat="1" applyFont="1" applyFill="1" applyBorder="1" applyAlignment="1">
      <alignment horizontal="center" vertical="center" wrapText="1"/>
    </xf>
    <xf numFmtId="2" fontId="12" fillId="0" borderId="1" xfId="0" applyNumberFormat="1" applyFont="1" applyFill="1" applyBorder="1" applyAlignment="1">
      <alignment horizontal="center" vertical="center" wrapText="1"/>
    </xf>
    <xf numFmtId="179" fontId="17" fillId="0" borderId="1" xfId="0" applyNumberFormat="1" applyFont="1" applyFill="1" applyBorder="1" applyAlignment="1">
      <alignment horizontal="center" vertical="center"/>
    </xf>
    <xf numFmtId="10" fontId="17" fillId="0" borderId="1" xfId="0" applyNumberFormat="1" applyFont="1" applyFill="1" applyBorder="1" applyAlignment="1">
      <alignment horizontal="center" vertical="center"/>
    </xf>
    <xf numFmtId="0" fontId="17" fillId="0" borderId="1" xfId="0" applyFont="1" applyFill="1" applyBorder="1" applyAlignment="1">
      <alignment horizontal="center" vertical="center"/>
    </xf>
    <xf numFmtId="0" fontId="3" fillId="0" borderId="0" xfId="0" applyNumberFormat="1" applyFont="1" applyFill="1" applyAlignment="1">
      <alignment horizontal="center" vertical="center"/>
    </xf>
    <xf numFmtId="179" fontId="24" fillId="0" borderId="1" xfId="0" applyNumberFormat="1" applyFont="1" applyFill="1" applyBorder="1" applyAlignment="1">
      <alignment horizontal="center" vertical="center"/>
    </xf>
    <xf numFmtId="0" fontId="17" fillId="0" borderId="0" xfId="0" applyNumberFormat="1" applyFont="1" applyFill="1" applyAlignment="1">
      <alignment horizontal="center" vertical="center"/>
    </xf>
    <xf numFmtId="0" fontId="4" fillId="0" borderId="1" xfId="0" applyFont="1" applyFill="1" applyBorder="1" applyAlignment="1">
      <alignment horizontal="left" vertical="center" wrapText="1"/>
    </xf>
    <xf numFmtId="10" fontId="12" fillId="0" borderId="1" xfId="0" applyNumberFormat="1" applyFont="1" applyFill="1" applyBorder="1" applyAlignment="1">
      <alignment horizontal="center" vertical="center"/>
    </xf>
    <xf numFmtId="179" fontId="12" fillId="0" borderId="1" xfId="0" applyNumberFormat="1" applyFont="1" applyFill="1" applyBorder="1" applyAlignment="1">
      <alignment horizontal="center" vertical="center"/>
    </xf>
    <xf numFmtId="179" fontId="25" fillId="0" borderId="1" xfId="0" applyNumberFormat="1" applyFont="1" applyFill="1" applyBorder="1" applyAlignment="1">
      <alignment horizontal="center" vertical="center"/>
    </xf>
    <xf numFmtId="0" fontId="24" fillId="0" borderId="1" xfId="0" applyFont="1" applyFill="1" applyBorder="1" applyAlignment="1">
      <alignment horizontal="center" vertical="center"/>
    </xf>
    <xf numFmtId="179" fontId="14" fillId="0" borderId="1" xfId="0" applyNumberFormat="1" applyFont="1" applyFill="1" applyBorder="1" applyAlignment="1">
      <alignment horizontal="center" vertical="center" wrapText="1"/>
    </xf>
    <xf numFmtId="10" fontId="14"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178" fontId="9" fillId="0" borderId="0" xfId="0" applyNumberFormat="1" applyFont="1" applyFill="1" applyAlignment="1">
      <alignment horizontal="center" vertical="center"/>
    </xf>
    <xf numFmtId="178" fontId="5" fillId="0" borderId="0" xfId="0" applyNumberFormat="1" applyFont="1" applyFill="1" applyAlignment="1">
      <alignment horizontal="center" vertical="center"/>
    </xf>
    <xf numFmtId="178" fontId="3" fillId="0" borderId="0" xfId="0" applyNumberFormat="1" applyFont="1" applyFill="1" applyAlignment="1">
      <alignment vertical="center"/>
    </xf>
    <xf numFmtId="178" fontId="26" fillId="0" borderId="0" xfId="0" applyNumberFormat="1" applyFont="1" applyFill="1" applyAlignment="1">
      <alignment horizontal="center" vertical="center"/>
    </xf>
    <xf numFmtId="178" fontId="14" fillId="0" borderId="0" xfId="0" applyNumberFormat="1" applyFont="1" applyFill="1" applyAlignment="1">
      <alignment horizontal="center" vertical="center" wrapText="1"/>
    </xf>
    <xf numFmtId="178" fontId="2" fillId="0" borderId="0" xfId="0" applyNumberFormat="1" applyFont="1" applyFill="1" applyAlignment="1">
      <alignment horizontal="center" vertical="center" wrapText="1"/>
    </xf>
    <xf numFmtId="178" fontId="17" fillId="0" borderId="0" xfId="0" applyNumberFormat="1" applyFont="1" applyFill="1" applyAlignment="1">
      <alignment horizontal="center" vertical="center"/>
    </xf>
    <xf numFmtId="178" fontId="4" fillId="0" borderId="0" xfId="0" applyNumberFormat="1" applyFont="1" applyFill="1" applyAlignment="1">
      <alignment vertical="center"/>
    </xf>
    <xf numFmtId="178" fontId="3" fillId="0" borderId="0" xfId="0" applyNumberFormat="1" applyFont="1" applyFill="1" applyAlignment="1"/>
    <xf numFmtId="179" fontId="23" fillId="0" borderId="1" xfId="0" applyNumberFormat="1" applyFont="1" applyFill="1" applyBorder="1" applyAlignment="1" applyProtection="1">
      <alignment horizontal="center" vertical="center"/>
      <protection locked="0"/>
    </xf>
    <xf numFmtId="178" fontId="24" fillId="0" borderId="1" xfId="0" applyNumberFormat="1" applyFont="1" applyFill="1" applyBorder="1" applyAlignment="1">
      <alignment horizontal="center" vertical="center"/>
    </xf>
    <xf numFmtId="178" fontId="17" fillId="0" borderId="1" xfId="0" applyNumberFormat="1" applyFont="1" applyFill="1" applyBorder="1" applyAlignment="1">
      <alignment horizontal="center" vertical="center"/>
    </xf>
    <xf numFmtId="179" fontId="4" fillId="0" borderId="1" xfId="51" applyNumberFormat="1" applyFont="1" applyFill="1" applyBorder="1" applyAlignment="1">
      <alignment horizontal="center" vertical="center" wrapText="1"/>
    </xf>
    <xf numFmtId="2" fontId="23" fillId="0" borderId="1" xfId="0" applyNumberFormat="1" applyFont="1" applyFill="1" applyBorder="1" applyAlignment="1">
      <alignment horizontal="center" vertical="center" wrapText="1"/>
    </xf>
    <xf numFmtId="179" fontId="12" fillId="0" borderId="1" xfId="0" applyNumberFormat="1" applyFont="1" applyFill="1" applyBorder="1" applyAlignment="1" applyProtection="1">
      <alignment horizontal="center" vertical="center"/>
      <protection locked="0"/>
    </xf>
    <xf numFmtId="0" fontId="17" fillId="0" borderId="1" xfId="0" applyFont="1" applyFill="1" applyBorder="1" applyAlignment="1">
      <alignment horizontal="left" vertical="center" wrapText="1"/>
    </xf>
    <xf numFmtId="178" fontId="14" fillId="0" borderId="1" xfId="0" applyNumberFormat="1" applyFont="1" applyFill="1" applyBorder="1" applyAlignment="1">
      <alignment horizontal="center" vertical="center" wrapText="1"/>
    </xf>
    <xf numFmtId="177" fontId="27" fillId="0" borderId="0" xfId="0" applyNumberFormat="1" applyFont="1" applyFill="1" applyAlignment="1">
      <alignment vertical="center"/>
    </xf>
    <xf numFmtId="177" fontId="28" fillId="0" borderId="0" xfId="0" applyNumberFormat="1" applyFont="1" applyFill="1" applyAlignment="1">
      <alignment horizontal="center" vertical="center" wrapText="1"/>
    </xf>
    <xf numFmtId="177" fontId="29" fillId="0" borderId="0" xfId="0" applyNumberFormat="1" applyFont="1" applyFill="1" applyAlignment="1">
      <alignment vertical="center"/>
    </xf>
    <xf numFmtId="177" fontId="29" fillId="0" borderId="0" xfId="0" applyNumberFormat="1" applyFont="1" applyFill="1" applyAlignment="1">
      <alignment horizontal="left" vertical="center" wrapText="1"/>
    </xf>
    <xf numFmtId="177" fontId="29" fillId="0" borderId="0" xfId="0" applyNumberFormat="1" applyFont="1" applyFill="1" applyAlignment="1">
      <alignment horizontal="right" vertical="center" wrapText="1"/>
    </xf>
    <xf numFmtId="177" fontId="30" fillId="0" borderId="0" xfId="0" applyNumberFormat="1" applyFont="1" applyFill="1" applyAlignment="1">
      <alignment horizontal="center" vertical="center"/>
    </xf>
    <xf numFmtId="177" fontId="31" fillId="0" borderId="0" xfId="0" applyNumberFormat="1" applyFont="1" applyFill="1" applyAlignment="1">
      <alignment horizontal="center" vertical="center"/>
    </xf>
    <xf numFmtId="177" fontId="31" fillId="0" borderId="0" xfId="0" applyNumberFormat="1" applyFont="1" applyFill="1" applyAlignment="1">
      <alignment horizontal="left" vertical="center" wrapText="1"/>
    </xf>
    <xf numFmtId="177" fontId="31" fillId="0" borderId="0" xfId="0" applyNumberFormat="1" applyFont="1" applyFill="1" applyAlignment="1">
      <alignment horizontal="right" vertical="center" wrapText="1"/>
    </xf>
    <xf numFmtId="177" fontId="32" fillId="0" borderId="0" xfId="0" applyNumberFormat="1" applyFont="1" applyFill="1" applyAlignment="1">
      <alignment horizontal="left" vertical="center"/>
    </xf>
    <xf numFmtId="177" fontId="32" fillId="0" borderId="0" xfId="0" applyNumberFormat="1" applyFont="1" applyFill="1" applyAlignment="1">
      <alignment horizontal="left" vertical="center" wrapText="1"/>
    </xf>
    <xf numFmtId="177" fontId="33" fillId="6" borderId="1" xfId="0" applyNumberFormat="1" applyFont="1" applyFill="1" applyBorder="1" applyAlignment="1">
      <alignment horizontal="center" vertical="center" wrapText="1"/>
    </xf>
    <xf numFmtId="0" fontId="34" fillId="0" borderId="1" xfId="0" applyNumberFormat="1" applyFont="1" applyFill="1" applyBorder="1" applyAlignment="1">
      <alignment horizontal="center" vertical="center" wrapText="1"/>
    </xf>
    <xf numFmtId="177" fontId="35" fillId="0" borderId="1" xfId="0" applyNumberFormat="1" applyFont="1" applyFill="1" applyBorder="1" applyAlignment="1">
      <alignment horizontal="center" vertical="center" wrapText="1"/>
    </xf>
    <xf numFmtId="177" fontId="35" fillId="0" borderId="1" xfId="0" applyNumberFormat="1" applyFont="1" applyFill="1" applyBorder="1" applyAlignment="1" applyProtection="1">
      <alignment horizontal="center" vertical="center" wrapText="1"/>
    </xf>
    <xf numFmtId="177" fontId="35" fillId="0" borderId="1" xfId="0" applyNumberFormat="1" applyFont="1" applyFill="1" applyBorder="1" applyAlignment="1">
      <alignment horizontal="right" vertical="center" wrapText="1"/>
    </xf>
    <xf numFmtId="43" fontId="35" fillId="0" borderId="1" xfId="0" applyNumberFormat="1" applyFont="1" applyFill="1" applyBorder="1" applyAlignment="1">
      <alignment horizontal="right" vertical="center" wrapText="1"/>
    </xf>
    <xf numFmtId="177" fontId="34" fillId="0" borderId="1" xfId="0" applyNumberFormat="1" applyFont="1" applyFill="1" applyBorder="1" applyAlignment="1">
      <alignment horizontal="center" vertical="center" wrapText="1"/>
    </xf>
    <xf numFmtId="177" fontId="34" fillId="7" borderId="1" xfId="0" applyNumberFormat="1" applyFont="1" applyFill="1" applyBorder="1" applyAlignment="1">
      <alignment horizontal="center" vertical="center"/>
    </xf>
    <xf numFmtId="177" fontId="34" fillId="7" borderId="1" xfId="0" applyNumberFormat="1" applyFont="1" applyFill="1" applyBorder="1" applyAlignment="1">
      <alignment horizontal="center" vertical="center" wrapText="1"/>
    </xf>
    <xf numFmtId="177" fontId="34" fillId="7" borderId="1" xfId="0" applyNumberFormat="1" applyFont="1" applyFill="1" applyBorder="1" applyAlignment="1" applyProtection="1">
      <alignment horizontal="center" vertical="center" wrapText="1"/>
    </xf>
    <xf numFmtId="177" fontId="34" fillId="7" borderId="1" xfId="0" applyNumberFormat="1" applyFont="1" applyFill="1" applyBorder="1" applyAlignment="1">
      <alignment horizontal="right" vertical="center" wrapText="1"/>
    </xf>
    <xf numFmtId="43" fontId="34" fillId="7" borderId="1" xfId="0" applyNumberFormat="1" applyFont="1" applyFill="1" applyBorder="1" applyAlignment="1">
      <alignment horizontal="right" vertical="center" wrapText="1"/>
    </xf>
    <xf numFmtId="0" fontId="36" fillId="0" borderId="0" xfId="0" applyFont="1" applyFill="1" applyAlignment="1">
      <alignment horizontal="center" vertical="center" wrapText="1"/>
    </xf>
    <xf numFmtId="0" fontId="37" fillId="0" borderId="2" xfId="0" applyFont="1" applyFill="1" applyBorder="1" applyAlignment="1">
      <alignment vertical="center"/>
    </xf>
    <xf numFmtId="0" fontId="38" fillId="0" borderId="3" xfId="0" applyFont="1" applyFill="1" applyBorder="1" applyAlignment="1">
      <alignment vertical="center"/>
    </xf>
    <xf numFmtId="0" fontId="38" fillId="0" borderId="4" xfId="0" applyFont="1" applyFill="1" applyBorder="1" applyAlignment="1">
      <alignment vertical="center"/>
    </xf>
    <xf numFmtId="0" fontId="38" fillId="0" borderId="4" xfId="0" applyFont="1" applyFill="1" applyBorder="1" applyAlignment="1">
      <alignment vertical="center" wrapText="1"/>
    </xf>
    <xf numFmtId="0" fontId="37" fillId="0" borderId="2" xfId="0" applyFont="1" applyFill="1" applyBorder="1" applyAlignment="1">
      <alignment vertical="center" wrapText="1"/>
    </xf>
    <xf numFmtId="0" fontId="38" fillId="0" borderId="3" xfId="0" applyFont="1" applyFill="1" applyBorder="1" applyAlignment="1">
      <alignment vertical="center" wrapText="1"/>
    </xf>
    <xf numFmtId="178" fontId="38" fillId="0" borderId="3" xfId="0" applyNumberFormat="1" applyFont="1" applyFill="1" applyBorder="1" applyAlignment="1">
      <alignment vertical="center" wrapText="1"/>
    </xf>
    <xf numFmtId="178" fontId="39" fillId="0" borderId="3" xfId="0" applyNumberFormat="1" applyFont="1" applyFill="1" applyBorder="1" applyAlignment="1">
      <alignment vertical="center" wrapText="1"/>
    </xf>
    <xf numFmtId="178" fontId="38" fillId="0" borderId="4" xfId="0" applyNumberFormat="1" applyFont="1" applyFill="1" applyBorder="1" applyAlignment="1">
      <alignmen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常规_光2幕墙清单20100511" xfId="50"/>
    <cellStyle name="常规_常规项目清单比价表" xfId="51"/>
    <cellStyle name="常规_非标箱报价清单珠海万科魅力之城花园9~20#楼" xfId="52"/>
    <cellStyle name="常规 7" xfId="53"/>
  </cellStyles>
  <dxfs count="11">
    <dxf>
      <font>
        <color rgb="FF9C0006"/>
      </font>
      <fill>
        <patternFill patternType="solid">
          <bgColor rgb="FFFFC7CE"/>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ar\mobile\Containers\Data\Application\D753FB2C-B1E0-412A-8FD6-CBBA790881A2\Documents\WpsQingCache_\204093671\o\LOCAL-F50BC614-E946-4D5D-A2E9-1EA9E1A6E1E5\n\C:\&#22478;&#24066;&#20844;&#21496;\&#25307;&#26631;&#25511;&#21046;&#20215;\&#23792;&#23578;&#19977;&#26399;&#20027;&#20307;\&#23792;&#23578;&#19977;&#26399;&#25511;&#21046;&#20215;\&#25511;&#21046;&#20215;&#25253;&#32929;&#20221;\&#22686;&#20540;&#31246;&#27169;&#24335;\&#29664;&#28023;&#20844;&#21496;\&#21313;&#23383;&#38376;&#22269;&#38469;&#31038;&#21306;\&#20998;&#39033;&#24037;&#31243;\&#20027;&#20307;\&#32511;&#27915;&#28286;\0&#12289;&#21326;&#21457;&#32511;&#27915;&#28286;&#20027;&#20307;&#24314;&#23433;&#24037;&#31243;&#25307;&#26631;&#25511;&#21046;&#20215;2015.08.07&#65288;&#26681;&#25454;&#20844;&#21496;&#39046;&#23548;&#35201;&#27714;&#22312;20150728&#29256;&#26412;&#30340;&#22522;&#30784;&#19978;+3%25&#65289;\&#21508;&#24037;&#31243;&#25991;&#26723;\&#21335;&#28023;&#31048;&#31119;&#21335;&#28286;&#21322;&#23707;\&#27915;&#27004;\A12b&#23627;&#22411;\A12b&#23627;&#22411;&#32467;&#26500;&#24037;&#31243;&#3732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备注"/>
      <sheetName val="管桩"/>
      <sheetName val="承台基础"/>
      <sheetName val="地梁"/>
      <sheetName val="异柱"/>
      <sheetName val="矩柱"/>
      <sheetName val="构造柱"/>
      <sheetName val="电梯井壁"/>
      <sheetName val="直梁"/>
      <sheetName val="圈梁"/>
      <sheetName val="楼板"/>
      <sheetName val="挑檐"/>
      <sheetName val="栏板"/>
      <sheetName val="空调板"/>
      <sheetName val="雨篷"/>
      <sheetName val="梯板"/>
      <sheetName val="门窗表"/>
      <sheetName val="骨浆计算式(备)"/>
      <sheetName val="计算式明细"/>
      <sheetName val="墙面工程"/>
      <sheetName val="PUR资料库"/>
      <sheetName val="#REF!"/>
      <sheetName val="sum(Flooring )"/>
      <sheetName val="汇总表"/>
      <sheetName val="工程量表"/>
      <sheetName val="2清单编制说明"/>
      <sheetName val="底板"/>
      <sheetName val="单位库"/>
      <sheetName val="清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view="pageBreakPreview" zoomScaleNormal="100" workbookViewId="0">
      <selection activeCell="E12" sqref="E12"/>
    </sheetView>
  </sheetViews>
  <sheetFormatPr defaultColWidth="9.64166666666667" defaultRowHeight="13.5"/>
  <cols>
    <col min="1" max="1" width="94.6333333333333" customWidth="1"/>
    <col min="5" max="5" width="12.6333333333333"/>
  </cols>
  <sheetData>
    <row r="1" ht="54" customHeight="1" spans="1:1">
      <c r="A1" s="170" t="s">
        <v>0</v>
      </c>
    </row>
    <row r="2" ht="30" customHeight="1" spans="1:1">
      <c r="A2" s="171" t="s">
        <v>1</v>
      </c>
    </row>
    <row r="3" ht="24" customHeight="1" spans="1:1">
      <c r="A3" s="172" t="s">
        <v>2</v>
      </c>
    </row>
    <row r="4" ht="24" customHeight="1" spans="1:1">
      <c r="A4" s="172" t="s">
        <v>3</v>
      </c>
    </row>
    <row r="5" ht="24" customHeight="1" spans="1:1">
      <c r="A5" s="173" t="s">
        <v>4</v>
      </c>
    </row>
    <row r="6" ht="30" customHeight="1" spans="1:1">
      <c r="A6" s="171" t="s">
        <v>5</v>
      </c>
    </row>
    <row r="7" ht="28" customHeight="1" spans="1:1">
      <c r="A7" s="174" t="s">
        <v>6</v>
      </c>
    </row>
    <row r="8" ht="30" customHeight="1" spans="1:1">
      <c r="A8" s="171" t="s">
        <v>7</v>
      </c>
    </row>
    <row r="9" ht="34" customHeight="1" spans="1:1">
      <c r="A9" s="174" t="s">
        <v>8</v>
      </c>
    </row>
    <row r="10" ht="30" customHeight="1" spans="1:1">
      <c r="A10" s="175" t="s">
        <v>9</v>
      </c>
    </row>
    <row r="11" ht="93" customHeight="1" spans="1:1">
      <c r="A11" s="176" t="s">
        <v>10</v>
      </c>
    </row>
    <row r="12" ht="30" customHeight="1" spans="1:1">
      <c r="A12" s="171" t="s">
        <v>11</v>
      </c>
    </row>
    <row r="13" ht="33" customHeight="1" spans="1:1">
      <c r="A13" s="172" t="s">
        <v>12</v>
      </c>
    </row>
    <row r="14" ht="33" customHeight="1" spans="1:1">
      <c r="A14" s="172" t="s">
        <v>13</v>
      </c>
    </row>
    <row r="15" ht="33" customHeight="1" spans="1:1">
      <c r="A15" s="177" t="s">
        <v>14</v>
      </c>
    </row>
    <row r="16" ht="40" customHeight="1" spans="1:1">
      <c r="A16" s="177" t="s">
        <v>15</v>
      </c>
    </row>
    <row r="17" ht="40" customHeight="1" spans="1:1">
      <c r="A17" s="177" t="s">
        <v>16</v>
      </c>
    </row>
    <row r="18" ht="33" customHeight="1" spans="1:1">
      <c r="A18" s="177" t="s">
        <v>17</v>
      </c>
    </row>
    <row r="19" ht="40" customHeight="1" spans="1:1">
      <c r="A19" s="178" t="s">
        <v>18</v>
      </c>
    </row>
    <row r="20" ht="33" customHeight="1" spans="1:1">
      <c r="A20" s="177" t="s">
        <v>19</v>
      </c>
    </row>
    <row r="21" ht="33" customHeight="1" spans="1:1">
      <c r="A21" s="179" t="s">
        <v>20</v>
      </c>
    </row>
  </sheetData>
  <printOptions horizontalCentered="1"/>
  <pageMargins left="0.751388888888889" right="0.751388888888889" top="0.55" bottom="0.590277777777778" header="0.5" footer="0.354166666666667"/>
  <pageSetup paperSize="9" scale="91" orientation="portrait" blackAndWhite="1" horizontalDpi="600"/>
  <headerFooter>
    <oddFooter>&amp;C第 &amp;P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view="pageBreakPreview" zoomScaleNormal="100" workbookViewId="0">
      <pane ySplit="3" topLeftCell="A7" activePane="bottomLeft" state="frozen"/>
      <selection/>
      <selection pane="bottomLeft" activeCell="H17" sqref="H17"/>
    </sheetView>
  </sheetViews>
  <sheetFormatPr defaultColWidth="9.64166666666667" defaultRowHeight="11.25"/>
  <cols>
    <col min="1" max="1" width="6.98333333333333" style="149" customWidth="1"/>
    <col min="2" max="2" width="26.5" style="150" customWidth="1"/>
    <col min="3" max="3" width="12.225" style="149" customWidth="1"/>
    <col min="4" max="4" width="15.75" style="151" customWidth="1"/>
    <col min="5" max="6" width="17.25" style="151" customWidth="1"/>
    <col min="7" max="7" width="16.0666666666667" style="152" customWidth="1"/>
    <col min="8" max="8" width="15.25" style="149" customWidth="1"/>
    <col min="9" max="16384" width="10" style="149"/>
  </cols>
  <sheetData>
    <row r="1" s="147" customFormat="1" ht="51" customHeight="1" spans="1:9">
      <c r="A1" s="153" t="s">
        <v>21</v>
      </c>
      <c r="B1" s="154"/>
      <c r="C1" s="153"/>
      <c r="D1" s="155"/>
      <c r="E1" s="155"/>
      <c r="F1" s="155"/>
      <c r="G1" s="153"/>
    </row>
    <row r="2" s="147" customFormat="1" ht="27" customHeight="1" spans="1:9">
      <c r="A2" s="156" t="s">
        <v>22</v>
      </c>
      <c r="B2" s="157"/>
      <c r="C2" s="156"/>
      <c r="D2" s="157"/>
      <c r="E2" s="157"/>
      <c r="F2" s="157"/>
      <c r="G2" s="156"/>
    </row>
    <row r="3" s="148" customFormat="1" ht="38" customHeight="1" spans="1:9">
      <c r="A3" s="158" t="s">
        <v>23</v>
      </c>
      <c r="B3" s="158" t="s">
        <v>24</v>
      </c>
      <c r="C3" s="158" t="s">
        <v>25</v>
      </c>
      <c r="D3" s="158" t="s">
        <v>26</v>
      </c>
      <c r="E3" s="158" t="s">
        <v>27</v>
      </c>
      <c r="F3" s="158" t="s">
        <v>28</v>
      </c>
      <c r="G3" s="158"/>
    </row>
    <row r="4" s="148" customFormat="1" ht="44" customHeight="1" spans="1:9">
      <c r="A4" s="159">
        <v>1</v>
      </c>
      <c r="B4" s="160" t="s">
        <v>29</v>
      </c>
      <c r="C4" s="161">
        <v>1096.91435</v>
      </c>
      <c r="D4" s="162">
        <v>1</v>
      </c>
      <c r="E4" s="162">
        <f>坡道装饰工程量清单!N33</f>
        <v>546442.355287015</v>
      </c>
      <c r="F4" s="163">
        <f>D4*E4</f>
        <v>546442.355287015</v>
      </c>
      <c r="G4" s="164"/>
    </row>
    <row r="5" s="148" customFormat="1" ht="44" customHeight="1" spans="1:9">
      <c r="A5" s="159">
        <v>2</v>
      </c>
      <c r="B5" s="160" t="s">
        <v>30</v>
      </c>
      <c r="C5" s="161">
        <v>9925.16</v>
      </c>
      <c r="D5" s="162">
        <v>1</v>
      </c>
      <c r="E5" s="162">
        <f>地库装饰工程量清单!N40</f>
        <v>2344307.57421853</v>
      </c>
      <c r="F5" s="163">
        <f t="shared" ref="F4:F7" si="0">D5*E5</f>
        <v>2344307.57421853</v>
      </c>
      <c r="G5" s="164"/>
    </row>
    <row r="6" s="148" customFormat="1" ht="44" customHeight="1" spans="1:9">
      <c r="A6" s="159">
        <v>3</v>
      </c>
      <c r="B6" s="160" t="s">
        <v>31</v>
      </c>
      <c r="C6" s="161">
        <f>C4</f>
        <v>1096.91435</v>
      </c>
      <c r="D6" s="162">
        <v>1</v>
      </c>
      <c r="E6" s="162">
        <f>坡道安装工程!K9</f>
        <v>35729.65</v>
      </c>
      <c r="F6" s="163">
        <f t="shared" si="0"/>
        <v>35729.65</v>
      </c>
      <c r="G6" s="164"/>
    </row>
    <row r="7" s="148" customFormat="1" ht="44" customHeight="1" spans="1:9">
      <c r="A7" s="159">
        <v>4</v>
      </c>
      <c r="B7" s="160" t="s">
        <v>32</v>
      </c>
      <c r="C7" s="161">
        <f>C5</f>
        <v>9925.16</v>
      </c>
      <c r="D7" s="162">
        <v>1</v>
      </c>
      <c r="E7" s="162">
        <f>地库安装工程!N19</f>
        <v>211932.53895</v>
      </c>
      <c r="F7" s="163">
        <f t="shared" si="0"/>
        <v>211932.53895</v>
      </c>
      <c r="G7" s="164"/>
    </row>
    <row r="8" s="148" customFormat="1" ht="44" customHeight="1" spans="1:9">
      <c r="A8" s="159">
        <v>5</v>
      </c>
      <c r="B8" s="160" t="s">
        <v>33</v>
      </c>
      <c r="C8" s="161"/>
      <c r="D8" s="162"/>
      <c r="E8" s="162">
        <f>SUM(E4:E7)</f>
        <v>3138412.11845555</v>
      </c>
      <c r="F8" s="163">
        <f>SUM(F4:F7)</f>
        <v>3138412.11845555</v>
      </c>
      <c r="G8" s="164"/>
    </row>
    <row r="9" s="148" customFormat="1" ht="44" customHeight="1" spans="1:9">
      <c r="A9" s="159">
        <v>6</v>
      </c>
      <c r="B9" s="160" t="s">
        <v>34</v>
      </c>
      <c r="C9" s="161"/>
      <c r="D9" s="162"/>
      <c r="E9" s="162">
        <f>E8*0.09</f>
        <v>282457.090660999</v>
      </c>
      <c r="F9" s="163">
        <f>F8*9%</f>
        <v>282457.090660999</v>
      </c>
      <c r="G9" s="164"/>
    </row>
    <row r="10" s="149" customFormat="1" ht="44" customHeight="1" spans="1:9">
      <c r="A10" s="165"/>
      <c r="B10" s="166" t="s">
        <v>35</v>
      </c>
      <c r="C10" s="167">
        <f>C4+C5</f>
        <v>11022.07435</v>
      </c>
      <c r="D10" s="168"/>
      <c r="E10" s="168">
        <f>E9+E8</f>
        <v>3420869.20911655</v>
      </c>
      <c r="F10" s="169">
        <f>F8+F9</f>
        <v>3420869.20911655</v>
      </c>
      <c r="G10" s="165"/>
      <c r="H10" s="149">
        <f>F10/C10</f>
        <v>310.365281569394</v>
      </c>
      <c r="I10" s="148"/>
    </row>
  </sheetData>
  <mergeCells count="2">
    <mergeCell ref="A1:G1"/>
    <mergeCell ref="A2:G2"/>
  </mergeCells>
  <conditionalFormatting sqref="B3">
    <cfRule type="duplicateValues" dxfId="0" priority="14"/>
  </conditionalFormatting>
  <conditionalFormatting sqref="B4">
    <cfRule type="duplicateValues" dxfId="0" priority="9"/>
  </conditionalFormatting>
  <conditionalFormatting sqref="B5">
    <cfRule type="duplicateValues" dxfId="0" priority="8"/>
  </conditionalFormatting>
  <conditionalFormatting sqref="B7">
    <cfRule type="duplicateValues" dxfId="0" priority="1"/>
  </conditionalFormatting>
  <conditionalFormatting sqref="B10">
    <cfRule type="duplicateValues" dxfId="0" priority="10"/>
  </conditionalFormatting>
  <conditionalFormatting sqref="B6 B8:B9">
    <cfRule type="duplicateValues" dxfId="0" priority="6"/>
  </conditionalFormatting>
  <printOptions horizontalCentered="1"/>
  <pageMargins left="0.751388888888889" right="0.751388888888889" top="1" bottom="1" header="0.5" footer="0.5"/>
  <pageSetup paperSize="9" fitToWidth="0" orientation="landscape" blackAndWhite="1" horizontalDpi="600"/>
  <headerFooter>
    <oddFooter>&amp;C第 &amp;P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AH42"/>
  <sheetViews>
    <sheetView tabSelected="1" view="pageBreakPreview" zoomScaleNormal="100" workbookViewId="0">
      <pane xSplit="7" ySplit="4" topLeftCell="I5" activePane="bottomRight" state="frozen"/>
      <selection/>
      <selection pane="topRight"/>
      <selection pane="bottomLeft"/>
      <selection pane="bottomRight" activeCell="P1" sqref="P1"/>
    </sheetView>
  </sheetViews>
  <sheetFormatPr defaultColWidth="9.64166666666667" defaultRowHeight="12"/>
  <cols>
    <col min="1" max="1" width="6.98333333333333" style="5" customWidth="1"/>
    <col min="2" max="2" width="17" style="6" customWidth="1"/>
    <col min="3" max="3" width="28.75" style="5" customWidth="1"/>
    <col min="4" max="4" width="5.63333333333333" style="5" customWidth="1"/>
    <col min="5" max="7" width="12.3833333333333" style="7" hidden="1" customWidth="1" outlineLevel="1"/>
    <col min="8" max="8" width="12.3833333333333" style="7" customWidth="1" collapsed="1"/>
    <col min="9" max="12" width="12.3833333333333" style="7" customWidth="1" outlineLevel="1"/>
    <col min="13" max="13" width="12.3833333333333" style="7" customWidth="1"/>
    <col min="14" max="14" width="12.6333333333333" style="74" customWidth="1"/>
    <col min="15" max="15" width="12.5" style="9" customWidth="1"/>
    <col min="16" max="16" width="9.63333333333333" style="130" customWidth="1"/>
    <col min="17" max="17" width="7.88333333333333" style="131" customWidth="1"/>
    <col min="18" max="18" width="10.8833333333333" style="131" customWidth="1"/>
    <col min="19" max="19" width="10" style="131"/>
    <col min="20" max="20" width="10" style="101"/>
    <col min="21" max="23" width="10" style="131"/>
    <col min="24" max="24" width="11.6333333333333" style="131" customWidth="1"/>
    <col min="25" max="29" width="10" style="131"/>
    <col min="30" max="34" width="10" style="132"/>
    <col min="35" max="16384" width="10" style="5"/>
  </cols>
  <sheetData>
    <row r="1" s="5" customFormat="1" ht="44" customHeight="1" spans="1:34">
      <c r="A1" s="83" t="s">
        <v>36</v>
      </c>
      <c r="B1" s="84"/>
      <c r="C1" s="77"/>
      <c r="D1" s="77"/>
      <c r="E1" s="85"/>
      <c r="F1" s="85"/>
      <c r="G1" s="85"/>
      <c r="H1" s="85"/>
      <c r="I1" s="85"/>
      <c r="J1" s="85"/>
      <c r="K1" s="85"/>
      <c r="L1" s="85"/>
      <c r="M1" s="85"/>
      <c r="N1" s="86"/>
      <c r="O1" s="77"/>
      <c r="P1" s="133"/>
      <c r="Q1" s="131"/>
      <c r="R1" s="20"/>
      <c r="S1" s="20">
        <v>1</v>
      </c>
      <c r="T1" s="21"/>
      <c r="U1" s="20">
        <v>1</v>
      </c>
      <c r="V1" s="20">
        <v>1</v>
      </c>
      <c r="W1" s="20"/>
      <c r="X1" s="20"/>
      <c r="Y1" s="131"/>
      <c r="Z1" s="131"/>
      <c r="AA1" s="131"/>
      <c r="AB1" s="131"/>
      <c r="AC1" s="131"/>
      <c r="AD1" s="132"/>
      <c r="AE1" s="132"/>
      <c r="AF1" s="132"/>
      <c r="AG1" s="132"/>
      <c r="AH1" s="132"/>
    </row>
    <row r="2" s="2" customFormat="1" ht="25" customHeight="1" spans="1:34">
      <c r="A2" s="22" t="s">
        <v>23</v>
      </c>
      <c r="B2" s="22" t="s">
        <v>37</v>
      </c>
      <c r="C2" s="22" t="s">
        <v>38</v>
      </c>
      <c r="D2" s="22" t="s">
        <v>39</v>
      </c>
      <c r="E2" s="23" t="s">
        <v>40</v>
      </c>
      <c r="F2" s="23" t="s">
        <v>41</v>
      </c>
      <c r="G2" s="23" t="s">
        <v>42</v>
      </c>
      <c r="H2" s="24" t="s">
        <v>43</v>
      </c>
      <c r="I2" s="25" t="s">
        <v>44</v>
      </c>
      <c r="J2" s="25" t="s">
        <v>45</v>
      </c>
      <c r="K2" s="25" t="s">
        <v>46</v>
      </c>
      <c r="L2" s="25" t="s">
        <v>47</v>
      </c>
      <c r="M2" s="25" t="s">
        <v>48</v>
      </c>
      <c r="N2" s="26" t="s">
        <v>49</v>
      </c>
      <c r="O2" s="22" t="s">
        <v>50</v>
      </c>
      <c r="P2" s="134"/>
      <c r="Q2" s="134"/>
      <c r="R2" s="20" t="s">
        <v>51</v>
      </c>
      <c r="S2" s="20" t="s">
        <v>45</v>
      </c>
      <c r="T2" s="21" t="s">
        <v>52</v>
      </c>
      <c r="U2" s="20" t="s">
        <v>44</v>
      </c>
      <c r="V2" s="20" t="s">
        <v>53</v>
      </c>
      <c r="W2" s="20" t="s">
        <v>54</v>
      </c>
      <c r="X2" s="20" t="s">
        <v>55</v>
      </c>
      <c r="Y2" s="134"/>
      <c r="Z2" s="134"/>
      <c r="AA2" s="134"/>
      <c r="AB2" s="134"/>
      <c r="AC2" s="134"/>
      <c r="AD2" s="135"/>
      <c r="AE2" s="135"/>
      <c r="AF2" s="135"/>
      <c r="AG2" s="135"/>
      <c r="AH2" s="135"/>
    </row>
    <row r="3" s="2" customFormat="1" ht="25" customHeight="1" spans="1:34">
      <c r="A3" s="28"/>
      <c r="B3" s="28"/>
      <c r="C3" s="28"/>
      <c r="D3" s="28"/>
      <c r="E3" s="23"/>
      <c r="F3" s="23"/>
      <c r="G3" s="23"/>
      <c r="H3" s="29"/>
      <c r="I3" s="30" t="s">
        <v>56</v>
      </c>
      <c r="J3" s="30" t="s">
        <v>57</v>
      </c>
      <c r="K3" s="30" t="s">
        <v>58</v>
      </c>
      <c r="L3" s="31">
        <v>0.1</v>
      </c>
      <c r="M3" s="30" t="s">
        <v>59</v>
      </c>
      <c r="N3" s="22" t="s">
        <v>60</v>
      </c>
      <c r="O3" s="28"/>
      <c r="P3" s="134"/>
      <c r="Q3" s="134"/>
      <c r="R3" s="32"/>
      <c r="S3" s="32"/>
      <c r="T3" s="33"/>
      <c r="U3" s="32"/>
      <c r="V3" s="32"/>
      <c r="W3" s="32"/>
      <c r="X3" s="32"/>
      <c r="Y3" s="134"/>
      <c r="Z3" s="134"/>
      <c r="AA3" s="134"/>
      <c r="AB3" s="134"/>
      <c r="AC3" s="134"/>
      <c r="AD3" s="135"/>
      <c r="AE3" s="135"/>
      <c r="AF3" s="135"/>
      <c r="AG3" s="135"/>
      <c r="AH3" s="135"/>
    </row>
    <row r="4" s="2" customFormat="1" ht="25" customHeight="1" spans="1:34">
      <c r="A4" s="34"/>
      <c r="B4" s="34"/>
      <c r="C4" s="34"/>
      <c r="D4" s="34"/>
      <c r="E4" s="23"/>
      <c r="F4" s="23"/>
      <c r="G4" s="23"/>
      <c r="H4" s="35"/>
      <c r="I4" s="36"/>
      <c r="J4" s="36"/>
      <c r="K4" s="36"/>
      <c r="L4" s="25" t="s">
        <v>61</v>
      </c>
      <c r="M4" s="36"/>
      <c r="N4" s="34"/>
      <c r="O4" s="34"/>
      <c r="P4" s="134"/>
      <c r="Q4" s="134"/>
      <c r="R4" s="32"/>
      <c r="S4" s="32"/>
      <c r="T4" s="33"/>
      <c r="U4" s="32"/>
      <c r="V4" s="32"/>
      <c r="W4" s="32"/>
      <c r="X4" s="32"/>
      <c r="Y4" s="134"/>
      <c r="Z4" s="134"/>
      <c r="AA4" s="134"/>
      <c r="AB4" s="134"/>
      <c r="AC4" s="134"/>
      <c r="AD4" s="135"/>
      <c r="AE4" s="135"/>
      <c r="AF4" s="135"/>
      <c r="AG4" s="135"/>
      <c r="AH4" s="135"/>
    </row>
    <row r="5" s="2" customFormat="1" ht="25" customHeight="1" spans="1:34">
      <c r="A5" s="87" t="s">
        <v>62</v>
      </c>
      <c r="B5" s="87" t="s">
        <v>63</v>
      </c>
      <c r="C5" s="87"/>
      <c r="D5" s="87"/>
      <c r="E5" s="88"/>
      <c r="F5" s="88"/>
      <c r="G5" s="88"/>
      <c r="H5" s="88"/>
      <c r="I5" s="88"/>
      <c r="J5" s="88"/>
      <c r="K5" s="88"/>
      <c r="L5" s="88"/>
      <c r="M5" s="88"/>
      <c r="N5" s="88">
        <f>N6+N15</f>
        <v>546442.355287015</v>
      </c>
      <c r="O5" s="87"/>
      <c r="P5" s="134"/>
      <c r="Q5" s="134"/>
      <c r="R5" s="32"/>
      <c r="S5" s="32"/>
      <c r="T5" s="33"/>
      <c r="U5" s="32"/>
      <c r="V5" s="32"/>
      <c r="W5" s="32"/>
      <c r="X5" s="32"/>
      <c r="Y5" s="134"/>
      <c r="Z5" s="134"/>
      <c r="AA5" s="134"/>
      <c r="AB5" s="134"/>
      <c r="AC5" s="134"/>
      <c r="AD5" s="135"/>
      <c r="AE5" s="135"/>
      <c r="AF5" s="135"/>
      <c r="AG5" s="135"/>
      <c r="AH5" s="135"/>
    </row>
    <row r="6" s="4" customFormat="1" ht="15" customHeight="1" outlineLevel="1" spans="1:34">
      <c r="A6" s="89"/>
      <c r="B6" s="90" t="s">
        <v>64</v>
      </c>
      <c r="C6" s="91"/>
      <c r="D6" s="92"/>
      <c r="E6" s="106"/>
      <c r="F6" s="106"/>
      <c r="G6" s="106"/>
      <c r="H6" s="106"/>
      <c r="I6" s="106"/>
      <c r="J6" s="106"/>
      <c r="K6" s="106"/>
      <c r="L6" s="106"/>
      <c r="M6" s="106"/>
      <c r="N6" s="106">
        <f>SUM(N7:N14)</f>
        <v>219995.54128794</v>
      </c>
      <c r="O6" s="94"/>
      <c r="P6" s="131"/>
      <c r="Q6" s="136"/>
      <c r="R6" s="32"/>
      <c r="S6" s="32"/>
      <c r="T6" s="33"/>
      <c r="U6" s="32"/>
      <c r="V6" s="32"/>
      <c r="W6" s="32"/>
      <c r="X6" s="32"/>
      <c r="Y6" s="136"/>
      <c r="Z6" s="136"/>
      <c r="AA6" s="136"/>
      <c r="AB6" s="136"/>
      <c r="AC6" s="136"/>
      <c r="AD6" s="137"/>
      <c r="AE6" s="137"/>
      <c r="AF6" s="137"/>
      <c r="AG6" s="137"/>
      <c r="AH6" s="137"/>
    </row>
    <row r="7" s="4" customFormat="1" ht="67.5" outlineLevel="2" spans="1:34">
      <c r="A7" s="43">
        <v>1</v>
      </c>
      <c r="B7" s="44" t="s">
        <v>65</v>
      </c>
      <c r="C7" s="44" t="s">
        <v>66</v>
      </c>
      <c r="D7" s="45" t="s">
        <v>67</v>
      </c>
      <c r="E7" s="54">
        <v>69.06</v>
      </c>
      <c r="F7" s="54">
        <v>234.24842</v>
      </c>
      <c r="G7" s="54">
        <v>101.07512</v>
      </c>
      <c r="H7" s="54">
        <f t="shared" ref="H7:H14" si="0">E7+F7+G7</f>
        <v>404.38354</v>
      </c>
      <c r="I7" s="54">
        <f>U7*$U$1</f>
        <v>22.5</v>
      </c>
      <c r="J7" s="54">
        <f>S7*(1+T7)*$S$1</f>
        <v>5.555</v>
      </c>
      <c r="K7" s="54">
        <f>(V7+W7)*$V$1</f>
        <v>6.18</v>
      </c>
      <c r="L7" s="54">
        <f>+SUM(I7:K7)*$L$3</f>
        <v>3.4235</v>
      </c>
      <c r="M7" s="54">
        <f>SUM(I7:L7)</f>
        <v>37.6585</v>
      </c>
      <c r="N7" s="98">
        <f>H7*M7</f>
        <v>15228.47754109</v>
      </c>
      <c r="O7" s="50"/>
      <c r="P7" s="8"/>
      <c r="Q7" s="136"/>
      <c r="R7" s="32">
        <f>S7+S7*T7+U7+V7+W7</f>
        <v>34.235</v>
      </c>
      <c r="S7" s="32">
        <v>5.5</v>
      </c>
      <c r="T7" s="33">
        <v>0.01</v>
      </c>
      <c r="U7" s="32">
        <v>22.5</v>
      </c>
      <c r="V7" s="32">
        <v>5.98</v>
      </c>
      <c r="W7" s="32">
        <v>0.2</v>
      </c>
      <c r="X7" s="32">
        <f>R7*H7</f>
        <v>13844.0704919</v>
      </c>
      <c r="Y7" s="136"/>
      <c r="Z7" s="136"/>
      <c r="AA7" s="136"/>
      <c r="AB7" s="136"/>
      <c r="AC7" s="136"/>
      <c r="AD7" s="137"/>
      <c r="AE7" s="137"/>
      <c r="AF7" s="137"/>
      <c r="AG7" s="137"/>
      <c r="AH7" s="137"/>
    </row>
    <row r="8" s="3" customFormat="1" ht="78.75" outlineLevel="2" spans="1:34">
      <c r="A8" s="43">
        <f t="shared" ref="A8:A14" si="1">A7+1</f>
        <v>2</v>
      </c>
      <c r="B8" s="44" t="s">
        <v>68</v>
      </c>
      <c r="C8" s="44" t="s">
        <v>69</v>
      </c>
      <c r="D8" s="45" t="s">
        <v>67</v>
      </c>
      <c r="E8" s="54">
        <v>451.5889</v>
      </c>
      <c r="F8" s="54">
        <v>334.6406</v>
      </c>
      <c r="G8" s="54">
        <v>334.6406</v>
      </c>
      <c r="H8" s="54">
        <f t="shared" si="0"/>
        <v>1120.8701</v>
      </c>
      <c r="I8" s="54">
        <f t="shared" ref="I8:I14" si="2">U8*$U$1</f>
        <v>22.5</v>
      </c>
      <c r="J8" s="54">
        <f t="shared" ref="J8:J14" si="3">S8*(1+T8)*$S$1</f>
        <v>5.555</v>
      </c>
      <c r="K8" s="54">
        <f t="shared" ref="K8:K14" si="4">(V8+W8)*$V$1</f>
        <v>6.18</v>
      </c>
      <c r="L8" s="54">
        <f t="shared" ref="L8:L14" si="5">+SUM(I8:K8)*$L$3</f>
        <v>3.4235</v>
      </c>
      <c r="M8" s="54">
        <f t="shared" ref="M8:M14" si="6">SUM(I8:L8)</f>
        <v>37.6585</v>
      </c>
      <c r="N8" s="98">
        <f t="shared" ref="N8:N14" si="7">H8*M8</f>
        <v>42210.28666085</v>
      </c>
      <c r="O8" s="50"/>
      <c r="P8" s="8"/>
      <c r="Q8" s="136"/>
      <c r="R8" s="32">
        <f t="shared" ref="R8:R32" si="8">S8+S8*T8+U8+V8+W8</f>
        <v>34.235</v>
      </c>
      <c r="S8" s="32">
        <v>5.5</v>
      </c>
      <c r="T8" s="33">
        <v>0.01</v>
      </c>
      <c r="U8" s="32">
        <v>22.5</v>
      </c>
      <c r="V8" s="32">
        <v>5.98</v>
      </c>
      <c r="W8" s="32">
        <v>0.2</v>
      </c>
      <c r="X8" s="32">
        <f t="shared" ref="X8:X32" si="9">R8*H8</f>
        <v>38372.9878735</v>
      </c>
      <c r="Y8" s="131"/>
      <c r="Z8" s="131"/>
      <c r="AA8" s="131"/>
      <c r="AB8" s="131"/>
      <c r="AC8" s="131"/>
      <c r="AD8" s="138"/>
      <c r="AE8" s="138"/>
      <c r="AF8" s="138"/>
      <c r="AG8" s="138"/>
      <c r="AH8" s="138"/>
    </row>
    <row r="9" s="3" customFormat="1" ht="59" customHeight="1" outlineLevel="2" spans="1:34">
      <c r="A9" s="43">
        <f t="shared" si="1"/>
        <v>3</v>
      </c>
      <c r="B9" s="44" t="s">
        <v>70</v>
      </c>
      <c r="C9" s="44" t="s">
        <v>71</v>
      </c>
      <c r="D9" s="45" t="s">
        <v>67</v>
      </c>
      <c r="E9" s="54">
        <v>277.8103</v>
      </c>
      <c r="F9" s="54">
        <v>0</v>
      </c>
      <c r="G9" s="54">
        <v>0</v>
      </c>
      <c r="H9" s="54">
        <f t="shared" si="0"/>
        <v>277.8103</v>
      </c>
      <c r="I9" s="54">
        <f t="shared" si="2"/>
        <v>22.5</v>
      </c>
      <c r="J9" s="54">
        <f t="shared" si="3"/>
        <v>5.555</v>
      </c>
      <c r="K9" s="54">
        <f t="shared" si="4"/>
        <v>6.18</v>
      </c>
      <c r="L9" s="54">
        <f t="shared" si="5"/>
        <v>3.4235</v>
      </c>
      <c r="M9" s="54">
        <f t="shared" si="6"/>
        <v>37.6585</v>
      </c>
      <c r="N9" s="98">
        <f t="shared" si="7"/>
        <v>10461.91918255</v>
      </c>
      <c r="O9" s="50"/>
      <c r="P9" s="8"/>
      <c r="Q9" s="136"/>
      <c r="R9" s="32">
        <f t="shared" si="8"/>
        <v>34.235</v>
      </c>
      <c r="S9" s="32">
        <v>5.5</v>
      </c>
      <c r="T9" s="111">
        <v>0.01</v>
      </c>
      <c r="U9" s="32">
        <v>22.5</v>
      </c>
      <c r="V9" s="32">
        <v>5.98</v>
      </c>
      <c r="W9" s="32">
        <v>0.2</v>
      </c>
      <c r="X9" s="32">
        <f t="shared" si="9"/>
        <v>9510.8356205</v>
      </c>
      <c r="Y9" s="131"/>
      <c r="Z9" s="131"/>
      <c r="AA9" s="131"/>
      <c r="AB9" s="131"/>
      <c r="AC9" s="131"/>
      <c r="AD9" s="138"/>
      <c r="AE9" s="138"/>
      <c r="AF9" s="138"/>
      <c r="AG9" s="138"/>
      <c r="AH9" s="138"/>
    </row>
    <row r="10" s="3" customFormat="1" ht="59" customHeight="1" outlineLevel="2" spans="1:34">
      <c r="A10" s="43">
        <f t="shared" si="1"/>
        <v>4</v>
      </c>
      <c r="B10" s="44" t="s">
        <v>72</v>
      </c>
      <c r="C10" s="44" t="s">
        <v>73</v>
      </c>
      <c r="D10" s="45" t="s">
        <v>74</v>
      </c>
      <c r="E10" s="54">
        <v>11.18</v>
      </c>
      <c r="F10" s="54">
        <v>0</v>
      </c>
      <c r="G10" s="54">
        <v>0</v>
      </c>
      <c r="H10" s="54">
        <f t="shared" si="0"/>
        <v>11.18</v>
      </c>
      <c r="I10" s="54">
        <f t="shared" si="2"/>
        <v>12</v>
      </c>
      <c r="J10" s="54">
        <f t="shared" si="3"/>
        <v>4.545</v>
      </c>
      <c r="K10" s="54">
        <f t="shared" si="4"/>
        <v>1.3</v>
      </c>
      <c r="L10" s="54">
        <f t="shared" si="5"/>
        <v>1.7845</v>
      </c>
      <c r="M10" s="54">
        <f t="shared" si="6"/>
        <v>19.6295</v>
      </c>
      <c r="N10" s="98">
        <f t="shared" si="7"/>
        <v>219.45781</v>
      </c>
      <c r="O10" s="50"/>
      <c r="P10" s="8"/>
      <c r="Q10" s="136"/>
      <c r="R10" s="32">
        <f t="shared" si="8"/>
        <v>17.845</v>
      </c>
      <c r="S10" s="113">
        <v>4.5</v>
      </c>
      <c r="T10" s="111">
        <v>0.01</v>
      </c>
      <c r="U10" s="113">
        <v>12</v>
      </c>
      <c r="V10" s="113">
        <v>1.2</v>
      </c>
      <c r="W10" s="113">
        <v>0.1</v>
      </c>
      <c r="X10" s="32">
        <f t="shared" si="9"/>
        <v>199.5071</v>
      </c>
      <c r="Y10" s="131"/>
      <c r="Z10" s="131"/>
      <c r="AA10" s="131"/>
      <c r="AB10" s="131"/>
      <c r="AC10" s="131"/>
      <c r="AD10" s="138"/>
      <c r="AE10" s="138"/>
      <c r="AF10" s="138"/>
      <c r="AG10" s="138"/>
      <c r="AH10" s="138"/>
    </row>
    <row r="11" s="3" customFormat="1" ht="59" customHeight="1" outlineLevel="2" spans="1:34">
      <c r="A11" s="43">
        <f t="shared" si="1"/>
        <v>5</v>
      </c>
      <c r="B11" s="44" t="s">
        <v>75</v>
      </c>
      <c r="C11" s="44" t="s">
        <v>76</v>
      </c>
      <c r="D11" s="45" t="s">
        <v>74</v>
      </c>
      <c r="E11" s="54">
        <v>96.765</v>
      </c>
      <c r="F11" s="54">
        <v>136.588</v>
      </c>
      <c r="G11" s="54">
        <v>136.588</v>
      </c>
      <c r="H11" s="54">
        <f t="shared" si="0"/>
        <v>369.941</v>
      </c>
      <c r="I11" s="54">
        <f t="shared" si="2"/>
        <v>10</v>
      </c>
      <c r="J11" s="54">
        <f t="shared" si="3"/>
        <v>2.525</v>
      </c>
      <c r="K11" s="54">
        <f t="shared" si="4"/>
        <v>1.3</v>
      </c>
      <c r="L11" s="54">
        <f t="shared" si="5"/>
        <v>1.3825</v>
      </c>
      <c r="M11" s="54">
        <f t="shared" si="6"/>
        <v>15.2075</v>
      </c>
      <c r="N11" s="98">
        <f t="shared" si="7"/>
        <v>5625.8777575</v>
      </c>
      <c r="O11" s="50"/>
      <c r="P11" s="8"/>
      <c r="Q11" s="136"/>
      <c r="R11" s="32">
        <f t="shared" si="8"/>
        <v>13.825</v>
      </c>
      <c r="S11" s="113">
        <v>2.5</v>
      </c>
      <c r="T11" s="111">
        <v>0.01</v>
      </c>
      <c r="U11" s="113">
        <v>10</v>
      </c>
      <c r="V11" s="113">
        <v>1.2</v>
      </c>
      <c r="W11" s="113">
        <v>0.1</v>
      </c>
      <c r="X11" s="32">
        <f t="shared" si="9"/>
        <v>5114.434325</v>
      </c>
      <c r="Y11" s="131"/>
      <c r="Z11" s="131"/>
      <c r="AA11" s="131"/>
      <c r="AB11" s="131"/>
      <c r="AC11" s="131"/>
      <c r="AD11" s="138"/>
      <c r="AE11" s="138"/>
      <c r="AF11" s="138"/>
      <c r="AG11" s="138"/>
      <c r="AH11" s="138"/>
    </row>
    <row r="12" s="3" customFormat="1" ht="68" customHeight="1" outlineLevel="2" spans="1:34">
      <c r="A12" s="43">
        <f t="shared" si="1"/>
        <v>6</v>
      </c>
      <c r="B12" s="44" t="s">
        <v>77</v>
      </c>
      <c r="C12" s="44" t="s">
        <v>78</v>
      </c>
      <c r="D12" s="45" t="s">
        <v>67</v>
      </c>
      <c r="E12" s="54">
        <v>29.826685</v>
      </c>
      <c r="F12" s="54">
        <v>0</v>
      </c>
      <c r="G12" s="54">
        <v>0</v>
      </c>
      <c r="H12" s="54">
        <f t="shared" si="0"/>
        <v>29.826685</v>
      </c>
      <c r="I12" s="54">
        <f t="shared" si="2"/>
        <v>85</v>
      </c>
      <c r="J12" s="54">
        <f t="shared" si="3"/>
        <v>454.5</v>
      </c>
      <c r="K12" s="54">
        <f t="shared" si="4"/>
        <v>72.2</v>
      </c>
      <c r="L12" s="54">
        <f t="shared" si="5"/>
        <v>61.17</v>
      </c>
      <c r="M12" s="54">
        <f t="shared" si="6"/>
        <v>672.87</v>
      </c>
      <c r="N12" s="98">
        <f t="shared" si="7"/>
        <v>20069.48153595</v>
      </c>
      <c r="O12" s="50"/>
      <c r="P12" s="8"/>
      <c r="Q12" s="136"/>
      <c r="R12" s="32">
        <f t="shared" si="8"/>
        <v>611.7</v>
      </c>
      <c r="S12" s="139">
        <v>450</v>
      </c>
      <c r="T12" s="123">
        <v>0.01</v>
      </c>
      <c r="U12" s="124">
        <f>20+65</f>
        <v>85</v>
      </c>
      <c r="V12" s="124">
        <f>12.5+25*2+8.5</f>
        <v>71</v>
      </c>
      <c r="W12" s="115">
        <v>1.2</v>
      </c>
      <c r="X12" s="32">
        <f t="shared" si="9"/>
        <v>18244.9832145</v>
      </c>
      <c r="Y12" s="131"/>
      <c r="Z12" s="131"/>
      <c r="AA12" s="131"/>
      <c r="AB12" s="131"/>
      <c r="AC12" s="131"/>
      <c r="AD12" s="138"/>
      <c r="AE12" s="138"/>
      <c r="AF12" s="138"/>
      <c r="AG12" s="138"/>
      <c r="AH12" s="138"/>
    </row>
    <row r="13" s="3" customFormat="1" ht="50" customHeight="1" outlineLevel="2" spans="1:34">
      <c r="A13" s="43">
        <f t="shared" si="1"/>
        <v>7</v>
      </c>
      <c r="B13" s="44" t="s">
        <v>79</v>
      </c>
      <c r="C13" s="44" t="s">
        <v>80</v>
      </c>
      <c r="D13" s="45" t="s">
        <v>67</v>
      </c>
      <c r="E13" s="54">
        <v>129.108</v>
      </c>
      <c r="F13" s="54">
        <v>0</v>
      </c>
      <c r="G13" s="54">
        <v>0</v>
      </c>
      <c r="H13" s="54">
        <f t="shared" si="0"/>
        <v>129.108</v>
      </c>
      <c r="I13" s="54">
        <f t="shared" si="2"/>
        <v>75</v>
      </c>
      <c r="J13" s="54">
        <f t="shared" si="3"/>
        <v>50.5</v>
      </c>
      <c r="K13" s="54">
        <f t="shared" si="4"/>
        <v>122.75</v>
      </c>
      <c r="L13" s="54">
        <f t="shared" si="5"/>
        <v>24.825</v>
      </c>
      <c r="M13" s="54">
        <f t="shared" si="6"/>
        <v>273.075</v>
      </c>
      <c r="N13" s="98">
        <f t="shared" si="7"/>
        <v>35256.1671</v>
      </c>
      <c r="O13" s="50"/>
      <c r="P13" s="8"/>
      <c r="Q13" s="136">
        <f>39.25*0.2</f>
        <v>7.85</v>
      </c>
      <c r="R13" s="32">
        <f t="shared" si="8"/>
        <v>248.25</v>
      </c>
      <c r="S13" s="113">
        <f>25*2</f>
        <v>50</v>
      </c>
      <c r="T13" s="111">
        <v>0.01</v>
      </c>
      <c r="U13" s="113">
        <f>35+20*2</f>
        <v>75</v>
      </c>
      <c r="V13" s="113">
        <f>5.5*20.5+8.5</f>
        <v>121.25</v>
      </c>
      <c r="W13" s="113">
        <v>1.5</v>
      </c>
      <c r="X13" s="32">
        <f t="shared" si="9"/>
        <v>32051.061</v>
      </c>
      <c r="Y13" s="131"/>
      <c r="Z13" s="131"/>
      <c r="AA13" s="131"/>
      <c r="AB13" s="131"/>
      <c r="AC13" s="131"/>
      <c r="AD13" s="138"/>
      <c r="AE13" s="138"/>
      <c r="AF13" s="138"/>
      <c r="AG13" s="138"/>
      <c r="AH13" s="138"/>
    </row>
    <row r="14" s="3" customFormat="1" ht="61" customHeight="1" outlineLevel="2" spans="1:34">
      <c r="A14" s="43">
        <f t="shared" si="1"/>
        <v>8</v>
      </c>
      <c r="B14" s="44" t="s">
        <v>81</v>
      </c>
      <c r="C14" s="44" t="s">
        <v>82</v>
      </c>
      <c r="D14" s="45" t="s">
        <v>67</v>
      </c>
      <c r="E14" s="54">
        <v>95.1</v>
      </c>
      <c r="F14" s="54">
        <v>0</v>
      </c>
      <c r="G14" s="54">
        <v>0</v>
      </c>
      <c r="H14" s="54">
        <f t="shared" si="0"/>
        <v>95.1</v>
      </c>
      <c r="I14" s="54">
        <f t="shared" si="2"/>
        <v>96</v>
      </c>
      <c r="J14" s="54">
        <f t="shared" si="3"/>
        <v>714.07</v>
      </c>
      <c r="K14" s="54">
        <f t="shared" si="4"/>
        <v>59.1</v>
      </c>
      <c r="L14" s="54">
        <f t="shared" si="5"/>
        <v>86.917</v>
      </c>
      <c r="M14" s="54">
        <f t="shared" si="6"/>
        <v>956.087</v>
      </c>
      <c r="N14" s="98">
        <f t="shared" si="7"/>
        <v>90923.8737</v>
      </c>
      <c r="O14" s="50"/>
      <c r="P14" s="8">
        <f>1000/130</f>
        <v>7.69230769230769</v>
      </c>
      <c r="Q14" s="136">
        <f>0.36*255*7.7</f>
        <v>706.86</v>
      </c>
      <c r="R14" s="32">
        <f t="shared" si="8"/>
        <v>869.17</v>
      </c>
      <c r="S14" s="140">
        <v>707</v>
      </c>
      <c r="T14" s="111">
        <v>0.01</v>
      </c>
      <c r="U14" s="113">
        <f>12*8</f>
        <v>96</v>
      </c>
      <c r="V14" s="113">
        <f>1.8*4*8</f>
        <v>57.6</v>
      </c>
      <c r="W14" s="113">
        <v>1.5</v>
      </c>
      <c r="X14" s="32">
        <f t="shared" si="9"/>
        <v>82658.067</v>
      </c>
      <c r="Y14" s="131"/>
      <c r="Z14" s="131"/>
      <c r="AA14" s="131"/>
      <c r="AB14" s="131"/>
      <c r="AC14" s="131"/>
      <c r="AD14" s="138"/>
      <c r="AE14" s="138"/>
      <c r="AF14" s="138"/>
      <c r="AG14" s="138"/>
      <c r="AH14" s="138"/>
    </row>
    <row r="15" s="4" customFormat="1" ht="15" customHeight="1" outlineLevel="1" spans="1:34">
      <c r="A15" s="89"/>
      <c r="B15" s="90" t="s">
        <v>83</v>
      </c>
      <c r="C15" s="91"/>
      <c r="D15" s="92"/>
      <c r="E15" s="106"/>
      <c r="F15" s="106"/>
      <c r="G15" s="106"/>
      <c r="H15" s="106"/>
      <c r="I15" s="106"/>
      <c r="J15" s="106"/>
      <c r="K15" s="106"/>
      <c r="L15" s="106"/>
      <c r="M15" s="106"/>
      <c r="N15" s="106">
        <f>SUM(N16:N32)</f>
        <v>326446.813999075</v>
      </c>
      <c r="O15" s="94"/>
      <c r="P15" s="131"/>
      <c r="Q15" s="136"/>
      <c r="R15" s="32"/>
      <c r="S15" s="141"/>
      <c r="T15" s="117"/>
      <c r="U15" s="141"/>
      <c r="V15" s="141"/>
      <c r="W15" s="141"/>
      <c r="X15" s="32">
        <f t="shared" si="9"/>
        <v>0</v>
      </c>
      <c r="Y15" s="136"/>
      <c r="Z15" s="136"/>
      <c r="AA15" s="136"/>
      <c r="AB15" s="136"/>
      <c r="AC15" s="136"/>
      <c r="AD15" s="137"/>
      <c r="AE15" s="137"/>
      <c r="AF15" s="137"/>
      <c r="AG15" s="137"/>
      <c r="AH15" s="137"/>
    </row>
    <row r="16" s="4" customFormat="1" ht="69" customHeight="1" outlineLevel="2" spans="1:34">
      <c r="A16" s="43">
        <v>1</v>
      </c>
      <c r="B16" s="44" t="s">
        <v>84</v>
      </c>
      <c r="C16" s="44" t="s">
        <v>85</v>
      </c>
      <c r="D16" s="142" t="s">
        <v>86</v>
      </c>
      <c r="E16" s="54">
        <v>24.92</v>
      </c>
      <c r="F16" s="54">
        <v>0</v>
      </c>
      <c r="G16" s="54">
        <v>0</v>
      </c>
      <c r="H16" s="54">
        <f t="shared" ref="H16:H32" si="10">E16+F16+G16</f>
        <v>24.92</v>
      </c>
      <c r="I16" s="54">
        <f>U16*$U$1</f>
        <v>109.5</v>
      </c>
      <c r="J16" s="54">
        <f>S16*(1+T16)*$S$1</f>
        <v>5.05</v>
      </c>
      <c r="K16" s="54">
        <f>(V16+W16)*$V$1</f>
        <v>197.73</v>
      </c>
      <c r="L16" s="54">
        <f t="shared" ref="L16:L32" si="11">+SUM(I16:K16)*$L$3</f>
        <v>31.228</v>
      </c>
      <c r="M16" s="54">
        <f t="shared" ref="M16:M32" si="12">SUM(I16:L16)</f>
        <v>343.508</v>
      </c>
      <c r="N16" s="98">
        <f t="shared" ref="N16:N32" si="13">H16*M16</f>
        <v>8560.21936</v>
      </c>
      <c r="O16" s="50"/>
      <c r="P16" s="8"/>
      <c r="Q16" s="136"/>
      <c r="R16" s="32">
        <f t="shared" si="8"/>
        <v>312.28</v>
      </c>
      <c r="S16" s="141">
        <v>5</v>
      </c>
      <c r="T16" s="117">
        <v>0.01</v>
      </c>
      <c r="U16" s="141">
        <f>50+20*2+19.5</f>
        <v>109.5</v>
      </c>
      <c r="V16" s="141">
        <f>5.5*25.5+25*2+5.98</f>
        <v>196.23</v>
      </c>
      <c r="W16" s="141">
        <v>1.5</v>
      </c>
      <c r="X16" s="32">
        <f t="shared" si="9"/>
        <v>7782.0176</v>
      </c>
      <c r="Y16" s="136"/>
      <c r="Z16" s="136"/>
      <c r="AA16" s="136"/>
      <c r="AB16" s="136"/>
      <c r="AC16" s="136"/>
      <c r="AD16" s="137"/>
      <c r="AE16" s="137"/>
      <c r="AF16" s="137"/>
      <c r="AG16" s="137"/>
      <c r="AH16" s="137"/>
    </row>
    <row r="17" s="4" customFormat="1" ht="54" customHeight="1" outlineLevel="2" spans="1:34">
      <c r="A17" s="43">
        <f>A16+1</f>
        <v>2</v>
      </c>
      <c r="B17" s="44" t="s">
        <v>87</v>
      </c>
      <c r="C17" s="44" t="s">
        <v>88</v>
      </c>
      <c r="D17" s="142" t="s">
        <v>86</v>
      </c>
      <c r="E17" s="54">
        <v>6.8297</v>
      </c>
      <c r="F17" s="54">
        <v>0</v>
      </c>
      <c r="G17" s="54">
        <v>0</v>
      </c>
      <c r="H17" s="54">
        <f t="shared" si="10"/>
        <v>6.8297</v>
      </c>
      <c r="I17" s="54">
        <f t="shared" ref="I17:I32" si="14">U17*$U$1</f>
        <v>109.5</v>
      </c>
      <c r="J17" s="54">
        <f t="shared" ref="J17:J32" si="15">S17*(1+T17)*$S$1</f>
        <v>5.05</v>
      </c>
      <c r="K17" s="54">
        <f t="shared" ref="K17:K32" si="16">(V17+W17)*$V$1</f>
        <v>170.23</v>
      </c>
      <c r="L17" s="54">
        <f t="shared" si="11"/>
        <v>28.478</v>
      </c>
      <c r="M17" s="54">
        <f t="shared" si="12"/>
        <v>313.258</v>
      </c>
      <c r="N17" s="98">
        <f t="shared" si="13"/>
        <v>2139.4581626</v>
      </c>
      <c r="O17" s="50"/>
      <c r="P17" s="8"/>
      <c r="Q17" s="136"/>
      <c r="R17" s="32">
        <f t="shared" si="8"/>
        <v>284.78</v>
      </c>
      <c r="S17" s="141">
        <v>5</v>
      </c>
      <c r="T17" s="117">
        <v>0.01</v>
      </c>
      <c r="U17" s="141">
        <f>50+20*2+19.5</f>
        <v>109.5</v>
      </c>
      <c r="V17" s="141">
        <f>5.5*20.5+25*2+5.98</f>
        <v>168.73</v>
      </c>
      <c r="W17" s="141">
        <v>1.5</v>
      </c>
      <c r="X17" s="32">
        <f t="shared" si="9"/>
        <v>1944.961966</v>
      </c>
      <c r="Y17" s="136"/>
      <c r="Z17" s="136"/>
      <c r="AA17" s="136"/>
      <c r="AB17" s="136"/>
      <c r="AC17" s="136"/>
      <c r="AD17" s="137"/>
      <c r="AE17" s="137"/>
      <c r="AF17" s="137"/>
      <c r="AG17" s="137"/>
      <c r="AH17" s="137"/>
    </row>
    <row r="18" s="3" customFormat="1" ht="66" customHeight="1" outlineLevel="2" spans="1:34">
      <c r="A18" s="43">
        <f>A17+1</f>
        <v>3</v>
      </c>
      <c r="B18" s="44" t="s">
        <v>89</v>
      </c>
      <c r="C18" s="44" t="s">
        <v>90</v>
      </c>
      <c r="D18" s="142" t="s">
        <v>74</v>
      </c>
      <c r="E18" s="54">
        <v>12.57</v>
      </c>
      <c r="F18" s="54">
        <v>0</v>
      </c>
      <c r="G18" s="54">
        <v>0</v>
      </c>
      <c r="H18" s="54">
        <f t="shared" si="10"/>
        <v>12.57</v>
      </c>
      <c r="I18" s="54">
        <f t="shared" si="14"/>
        <v>100</v>
      </c>
      <c r="J18" s="54">
        <f t="shared" si="15"/>
        <v>189.072</v>
      </c>
      <c r="K18" s="54">
        <f t="shared" si="16"/>
        <v>148.525</v>
      </c>
      <c r="L18" s="54">
        <f t="shared" si="11"/>
        <v>43.7597</v>
      </c>
      <c r="M18" s="54">
        <f t="shared" si="12"/>
        <v>481.3567</v>
      </c>
      <c r="N18" s="98">
        <f t="shared" si="13"/>
        <v>6050.653719</v>
      </c>
      <c r="O18" s="50"/>
      <c r="P18" s="8"/>
      <c r="Q18" s="136"/>
      <c r="R18" s="32">
        <f t="shared" si="8"/>
        <v>437.597</v>
      </c>
      <c r="S18" s="140">
        <f>450*0.4+1.2*6</f>
        <v>187.2</v>
      </c>
      <c r="T18" s="111">
        <v>0.01</v>
      </c>
      <c r="U18" s="113">
        <v>100</v>
      </c>
      <c r="V18" s="113">
        <f>7.85*3*5.5+3.5+25*2*0.3</f>
        <v>148.025</v>
      </c>
      <c r="W18" s="113">
        <v>0.5</v>
      </c>
      <c r="X18" s="32">
        <f t="shared" si="9"/>
        <v>5500.59429</v>
      </c>
      <c r="Y18" s="131"/>
      <c r="Z18" s="131"/>
      <c r="AA18" s="131"/>
      <c r="AB18" s="131"/>
      <c r="AC18" s="131"/>
      <c r="AD18" s="138"/>
      <c r="AE18" s="138"/>
      <c r="AF18" s="138"/>
      <c r="AG18" s="138"/>
      <c r="AH18" s="138"/>
    </row>
    <row r="19" s="3" customFormat="1" ht="50" customHeight="1" outlineLevel="2" spans="1:34">
      <c r="A19" s="43">
        <f t="shared" ref="A19:A32" si="17">A18+1</f>
        <v>4</v>
      </c>
      <c r="B19" s="44" t="s">
        <v>77</v>
      </c>
      <c r="C19" s="44" t="s">
        <v>91</v>
      </c>
      <c r="D19" s="142" t="s">
        <v>86</v>
      </c>
      <c r="E19" s="54">
        <v>53.50305</v>
      </c>
      <c r="F19" s="54">
        <v>0</v>
      </c>
      <c r="G19" s="54">
        <v>0</v>
      </c>
      <c r="H19" s="54">
        <f t="shared" si="10"/>
        <v>53.50305</v>
      </c>
      <c r="I19" s="54">
        <f t="shared" si="14"/>
        <v>110</v>
      </c>
      <c r="J19" s="54">
        <f t="shared" si="15"/>
        <v>454.5</v>
      </c>
      <c r="K19" s="54">
        <f t="shared" si="16"/>
        <v>183.525</v>
      </c>
      <c r="L19" s="54">
        <f t="shared" si="11"/>
        <v>74.8025</v>
      </c>
      <c r="M19" s="54">
        <f t="shared" si="12"/>
        <v>822.8275</v>
      </c>
      <c r="N19" s="98">
        <f t="shared" si="13"/>
        <v>44023.780873875</v>
      </c>
      <c r="O19" s="50"/>
      <c r="P19" s="8"/>
      <c r="Q19" s="136"/>
      <c r="R19" s="32">
        <f t="shared" si="8"/>
        <v>748.025</v>
      </c>
      <c r="S19" s="140">
        <v>450</v>
      </c>
      <c r="T19" s="111">
        <v>0.01</v>
      </c>
      <c r="U19" s="113">
        <v>110</v>
      </c>
      <c r="V19" s="113">
        <f t="shared" ref="V19:V24" si="18">7.85*3*5.5+3.5+25*2</f>
        <v>183.025</v>
      </c>
      <c r="W19" s="113">
        <v>0.5</v>
      </c>
      <c r="X19" s="32">
        <f t="shared" si="9"/>
        <v>40021.61897625</v>
      </c>
      <c r="Y19" s="131"/>
      <c r="Z19" s="131"/>
      <c r="AA19" s="131"/>
      <c r="AB19" s="131"/>
      <c r="AC19" s="131"/>
      <c r="AD19" s="138"/>
      <c r="AE19" s="138"/>
      <c r="AF19" s="138"/>
      <c r="AG19" s="138"/>
      <c r="AH19" s="138"/>
    </row>
    <row r="20" s="3" customFormat="1" ht="90" outlineLevel="2" spans="1:34">
      <c r="A20" s="43">
        <f t="shared" si="17"/>
        <v>5</v>
      </c>
      <c r="B20" s="44" t="s">
        <v>92</v>
      </c>
      <c r="C20" s="44" t="s">
        <v>93</v>
      </c>
      <c r="D20" s="142" t="s">
        <v>86</v>
      </c>
      <c r="E20" s="54">
        <v>24.92</v>
      </c>
      <c r="F20" s="54">
        <v>0</v>
      </c>
      <c r="G20" s="54">
        <v>0</v>
      </c>
      <c r="H20" s="54">
        <f t="shared" si="10"/>
        <v>24.92</v>
      </c>
      <c r="I20" s="54">
        <f t="shared" si="14"/>
        <v>120</v>
      </c>
      <c r="J20" s="54">
        <f t="shared" si="15"/>
        <v>714.07</v>
      </c>
      <c r="K20" s="54">
        <f t="shared" si="16"/>
        <v>59.1</v>
      </c>
      <c r="L20" s="54">
        <f t="shared" si="11"/>
        <v>89.317</v>
      </c>
      <c r="M20" s="54">
        <f t="shared" si="12"/>
        <v>982.487</v>
      </c>
      <c r="N20" s="98">
        <f t="shared" si="13"/>
        <v>24483.57604</v>
      </c>
      <c r="O20" s="50"/>
      <c r="P20" s="8">
        <f>1000/130</f>
        <v>7.69230769230769</v>
      </c>
      <c r="Q20" s="136">
        <f>0.36*255*7.7</f>
        <v>706.86</v>
      </c>
      <c r="R20" s="32">
        <f t="shared" si="8"/>
        <v>893.17</v>
      </c>
      <c r="S20" s="140">
        <v>707</v>
      </c>
      <c r="T20" s="111">
        <v>0.01</v>
      </c>
      <c r="U20" s="113">
        <f>15*8</f>
        <v>120</v>
      </c>
      <c r="V20" s="113">
        <f>1.8*4*8</f>
        <v>57.6</v>
      </c>
      <c r="W20" s="113">
        <v>1.5</v>
      </c>
      <c r="X20" s="32">
        <f t="shared" si="9"/>
        <v>22257.7964</v>
      </c>
      <c r="Y20" s="131"/>
      <c r="Z20" s="131"/>
      <c r="AA20" s="131"/>
      <c r="AB20" s="131"/>
      <c r="AC20" s="131"/>
      <c r="AD20" s="138"/>
      <c r="AE20" s="138"/>
      <c r="AF20" s="138"/>
      <c r="AG20" s="138"/>
      <c r="AH20" s="138"/>
    </row>
    <row r="21" s="3" customFormat="1" ht="56.25" outlineLevel="2" spans="1:34">
      <c r="A21" s="43">
        <f t="shared" si="17"/>
        <v>6</v>
      </c>
      <c r="B21" s="44" t="s">
        <v>94</v>
      </c>
      <c r="C21" s="44" t="s">
        <v>95</v>
      </c>
      <c r="D21" s="142" t="s">
        <v>86</v>
      </c>
      <c r="E21" s="54">
        <v>47.1025</v>
      </c>
      <c r="F21" s="54">
        <v>0</v>
      </c>
      <c r="G21" s="54">
        <v>0</v>
      </c>
      <c r="H21" s="54">
        <f t="shared" si="10"/>
        <v>47.1025</v>
      </c>
      <c r="I21" s="54">
        <f t="shared" si="14"/>
        <v>135</v>
      </c>
      <c r="J21" s="54">
        <f t="shared" si="15"/>
        <v>412.08</v>
      </c>
      <c r="K21" s="54">
        <f t="shared" si="16"/>
        <v>80.7</v>
      </c>
      <c r="L21" s="54">
        <f t="shared" si="11"/>
        <v>62.778</v>
      </c>
      <c r="M21" s="54">
        <f t="shared" si="12"/>
        <v>690.558</v>
      </c>
      <c r="N21" s="98">
        <f t="shared" si="13"/>
        <v>32527.008195</v>
      </c>
      <c r="O21" s="50"/>
      <c r="P21" s="131">
        <f>1000/80</f>
        <v>12.5</v>
      </c>
      <c r="Q21" s="136">
        <f>0.1*255*16</f>
        <v>408</v>
      </c>
      <c r="R21" s="32">
        <f t="shared" si="8"/>
        <v>627.78</v>
      </c>
      <c r="S21" s="140">
        <v>408</v>
      </c>
      <c r="T21" s="111">
        <v>0.01</v>
      </c>
      <c r="U21" s="113">
        <v>135</v>
      </c>
      <c r="V21" s="113">
        <f>1.8*4*11</f>
        <v>79.2</v>
      </c>
      <c r="W21" s="113">
        <v>1.5</v>
      </c>
      <c r="X21" s="32">
        <f t="shared" si="9"/>
        <v>29570.00745</v>
      </c>
      <c r="Y21" s="131"/>
      <c r="Z21" s="131"/>
      <c r="AA21" s="131"/>
      <c r="AB21" s="131"/>
      <c r="AC21" s="131"/>
      <c r="AD21" s="138"/>
      <c r="AE21" s="138"/>
      <c r="AF21" s="138"/>
      <c r="AG21" s="138"/>
      <c r="AH21" s="138"/>
    </row>
    <row r="22" s="3" customFormat="1" ht="69" customHeight="1" outlineLevel="2" spans="1:34">
      <c r="A22" s="43">
        <f t="shared" si="17"/>
        <v>7</v>
      </c>
      <c r="B22" s="44" t="s">
        <v>96</v>
      </c>
      <c r="C22" s="44" t="s">
        <v>97</v>
      </c>
      <c r="D22" s="142" t="s">
        <v>86</v>
      </c>
      <c r="E22" s="54">
        <v>3.075</v>
      </c>
      <c r="F22" s="54">
        <v>0</v>
      </c>
      <c r="G22" s="54">
        <v>0</v>
      </c>
      <c r="H22" s="54">
        <f t="shared" si="10"/>
        <v>3.075</v>
      </c>
      <c r="I22" s="54">
        <f t="shared" si="14"/>
        <v>135</v>
      </c>
      <c r="J22" s="54">
        <f t="shared" si="15"/>
        <v>257.55</v>
      </c>
      <c r="K22" s="54">
        <f t="shared" si="16"/>
        <v>183.525</v>
      </c>
      <c r="L22" s="54">
        <f t="shared" si="11"/>
        <v>57.6075</v>
      </c>
      <c r="M22" s="54">
        <f t="shared" si="12"/>
        <v>633.6825</v>
      </c>
      <c r="N22" s="98">
        <f t="shared" si="13"/>
        <v>1948.5736875</v>
      </c>
      <c r="O22" s="50"/>
      <c r="P22" s="131"/>
      <c r="Q22" s="136"/>
      <c r="R22" s="32">
        <f t="shared" si="8"/>
        <v>576.075</v>
      </c>
      <c r="S22" s="140">
        <v>255</v>
      </c>
      <c r="T22" s="111">
        <v>0.01</v>
      </c>
      <c r="U22" s="113">
        <v>135</v>
      </c>
      <c r="V22" s="113">
        <f t="shared" si="18"/>
        <v>183.025</v>
      </c>
      <c r="W22" s="113">
        <v>0.5</v>
      </c>
      <c r="X22" s="32">
        <f t="shared" si="9"/>
        <v>1771.430625</v>
      </c>
      <c r="Y22" s="131"/>
      <c r="Z22" s="131"/>
      <c r="AA22" s="131"/>
      <c r="AB22" s="131"/>
      <c r="AC22" s="131"/>
      <c r="AD22" s="138"/>
      <c r="AE22" s="138"/>
      <c r="AF22" s="138"/>
      <c r="AG22" s="138"/>
      <c r="AH22" s="138"/>
    </row>
    <row r="23" s="3" customFormat="1" ht="68" customHeight="1" outlineLevel="2" spans="1:34">
      <c r="A23" s="43">
        <f t="shared" si="17"/>
        <v>8</v>
      </c>
      <c r="B23" s="44" t="s">
        <v>98</v>
      </c>
      <c r="C23" s="44" t="s">
        <v>99</v>
      </c>
      <c r="D23" s="142" t="s">
        <v>86</v>
      </c>
      <c r="E23" s="54">
        <v>27.74575</v>
      </c>
      <c r="F23" s="54">
        <v>0</v>
      </c>
      <c r="G23" s="54">
        <v>0</v>
      </c>
      <c r="H23" s="54">
        <f t="shared" si="10"/>
        <v>27.74575</v>
      </c>
      <c r="I23" s="54">
        <f t="shared" si="14"/>
        <v>135</v>
      </c>
      <c r="J23" s="54">
        <f t="shared" si="15"/>
        <v>257.55</v>
      </c>
      <c r="K23" s="54">
        <f t="shared" si="16"/>
        <v>183.525</v>
      </c>
      <c r="L23" s="54">
        <f t="shared" si="11"/>
        <v>57.6075</v>
      </c>
      <c r="M23" s="54">
        <f t="shared" si="12"/>
        <v>633.6825</v>
      </c>
      <c r="N23" s="98">
        <f t="shared" si="13"/>
        <v>17581.996224375</v>
      </c>
      <c r="O23" s="50"/>
      <c r="P23" s="131"/>
      <c r="Q23" s="136"/>
      <c r="R23" s="32">
        <f t="shared" si="8"/>
        <v>576.075</v>
      </c>
      <c r="S23" s="140">
        <v>255</v>
      </c>
      <c r="T23" s="111">
        <v>0.01</v>
      </c>
      <c r="U23" s="113">
        <v>135</v>
      </c>
      <c r="V23" s="113">
        <f t="shared" si="18"/>
        <v>183.025</v>
      </c>
      <c r="W23" s="113">
        <v>0.5</v>
      </c>
      <c r="X23" s="32">
        <f t="shared" si="9"/>
        <v>15983.63293125</v>
      </c>
      <c r="Y23" s="131"/>
      <c r="Z23" s="131"/>
      <c r="AA23" s="131"/>
      <c r="AB23" s="131"/>
      <c r="AC23" s="131"/>
      <c r="AD23" s="138"/>
      <c r="AE23" s="138"/>
      <c r="AF23" s="138"/>
      <c r="AG23" s="138"/>
      <c r="AH23" s="138"/>
    </row>
    <row r="24" s="3" customFormat="1" ht="64" customHeight="1" outlineLevel="2" spans="1:34">
      <c r="A24" s="43">
        <f t="shared" si="17"/>
        <v>9</v>
      </c>
      <c r="B24" s="44" t="s">
        <v>100</v>
      </c>
      <c r="C24" s="44" t="s">
        <v>101</v>
      </c>
      <c r="D24" s="142" t="s">
        <v>86</v>
      </c>
      <c r="E24" s="54">
        <v>0.89</v>
      </c>
      <c r="F24" s="54">
        <v>0</v>
      </c>
      <c r="G24" s="54">
        <v>0</v>
      </c>
      <c r="H24" s="54">
        <f t="shared" si="10"/>
        <v>0.89</v>
      </c>
      <c r="I24" s="54">
        <f t="shared" si="14"/>
        <v>135</v>
      </c>
      <c r="J24" s="54">
        <f t="shared" si="15"/>
        <v>257.55</v>
      </c>
      <c r="K24" s="54">
        <f t="shared" si="16"/>
        <v>183.525</v>
      </c>
      <c r="L24" s="54">
        <f t="shared" si="11"/>
        <v>57.6075</v>
      </c>
      <c r="M24" s="54">
        <f t="shared" si="12"/>
        <v>633.6825</v>
      </c>
      <c r="N24" s="98">
        <f t="shared" si="13"/>
        <v>563.977425</v>
      </c>
      <c r="O24" s="50"/>
      <c r="P24" s="131"/>
      <c r="Q24" s="136"/>
      <c r="R24" s="32">
        <f t="shared" si="8"/>
        <v>576.075</v>
      </c>
      <c r="S24" s="140">
        <v>255</v>
      </c>
      <c r="T24" s="111">
        <v>0.01</v>
      </c>
      <c r="U24" s="113">
        <v>135</v>
      </c>
      <c r="V24" s="113">
        <f t="shared" si="18"/>
        <v>183.025</v>
      </c>
      <c r="W24" s="113">
        <v>0.5</v>
      </c>
      <c r="X24" s="32">
        <f t="shared" si="9"/>
        <v>512.70675</v>
      </c>
      <c r="Y24" s="131"/>
      <c r="Z24" s="131"/>
      <c r="AA24" s="131"/>
      <c r="AB24" s="131"/>
      <c r="AC24" s="131"/>
      <c r="AD24" s="138"/>
      <c r="AE24" s="138"/>
      <c r="AF24" s="138"/>
      <c r="AG24" s="138"/>
      <c r="AH24" s="138"/>
    </row>
    <row r="25" s="3" customFormat="1" ht="53" customHeight="1" outlineLevel="2" spans="1:34">
      <c r="A25" s="43">
        <f t="shared" si="17"/>
        <v>10</v>
      </c>
      <c r="B25" s="44" t="s">
        <v>102</v>
      </c>
      <c r="C25" s="44" t="s">
        <v>103</v>
      </c>
      <c r="D25" s="142" t="s">
        <v>86</v>
      </c>
      <c r="E25" s="54">
        <v>45.4425</v>
      </c>
      <c r="F25" s="54">
        <v>0</v>
      </c>
      <c r="G25" s="54">
        <v>0</v>
      </c>
      <c r="H25" s="54">
        <f t="shared" si="10"/>
        <v>45.4425</v>
      </c>
      <c r="I25" s="54">
        <f t="shared" si="14"/>
        <v>80</v>
      </c>
      <c r="J25" s="54">
        <f t="shared" si="15"/>
        <v>222.2</v>
      </c>
      <c r="K25" s="54">
        <f t="shared" si="16"/>
        <v>37.3</v>
      </c>
      <c r="L25" s="54">
        <f t="shared" si="11"/>
        <v>33.95</v>
      </c>
      <c r="M25" s="54">
        <f t="shared" si="12"/>
        <v>373.45</v>
      </c>
      <c r="N25" s="98">
        <f t="shared" si="13"/>
        <v>16970.501625</v>
      </c>
      <c r="O25" s="50"/>
      <c r="P25" s="131"/>
      <c r="Q25" s="121" t="str">
        <f>_xlfn.DISPIMG("ID_5A9B51545E5149F599533FEFAF59B259",1)</f>
        <v>=DISPIMG("ID_5A9B51545E5149F599533FEFAF59B259",1)</v>
      </c>
      <c r="R25" s="32">
        <f t="shared" si="8"/>
        <v>339.5</v>
      </c>
      <c r="S25" s="143">
        <v>220</v>
      </c>
      <c r="T25" s="33">
        <v>0.01</v>
      </c>
      <c r="U25" s="115">
        <v>80</v>
      </c>
      <c r="V25" s="55">
        <f>28.5+8.5</f>
        <v>37</v>
      </c>
      <c r="W25" s="144">
        <v>0.3</v>
      </c>
      <c r="X25" s="32">
        <f t="shared" si="9"/>
        <v>15427.72875</v>
      </c>
      <c r="Y25" s="131"/>
      <c r="Z25" s="131"/>
      <c r="AA25" s="131"/>
      <c r="AB25" s="131"/>
      <c r="AC25" s="131"/>
      <c r="AD25" s="138"/>
      <c r="AE25" s="138"/>
      <c r="AF25" s="138"/>
      <c r="AG25" s="138"/>
      <c r="AH25" s="138"/>
    </row>
    <row r="26" s="3" customFormat="1" ht="53" customHeight="1" outlineLevel="2" spans="1:34">
      <c r="A26" s="43">
        <f t="shared" si="17"/>
        <v>11</v>
      </c>
      <c r="B26" s="44" t="s">
        <v>104</v>
      </c>
      <c r="C26" s="44" t="s">
        <v>105</v>
      </c>
      <c r="D26" s="142" t="s">
        <v>86</v>
      </c>
      <c r="E26" s="54">
        <v>2.0916</v>
      </c>
      <c r="F26" s="54">
        <v>0</v>
      </c>
      <c r="G26" s="54">
        <v>0</v>
      </c>
      <c r="H26" s="54">
        <f t="shared" si="10"/>
        <v>2.0916</v>
      </c>
      <c r="I26" s="54">
        <f t="shared" si="14"/>
        <v>65</v>
      </c>
      <c r="J26" s="54">
        <f t="shared" si="15"/>
        <v>186.85</v>
      </c>
      <c r="K26" s="54">
        <f t="shared" si="16"/>
        <v>15.5</v>
      </c>
      <c r="L26" s="54">
        <f t="shared" si="11"/>
        <v>26.735</v>
      </c>
      <c r="M26" s="54">
        <f t="shared" si="12"/>
        <v>294.085</v>
      </c>
      <c r="N26" s="98">
        <f t="shared" si="13"/>
        <v>615.108186</v>
      </c>
      <c r="O26" s="50"/>
      <c r="P26" s="131"/>
      <c r="Q26" s="136"/>
      <c r="R26" s="32">
        <f t="shared" si="8"/>
        <v>267.35</v>
      </c>
      <c r="S26" s="140">
        <v>185</v>
      </c>
      <c r="T26" s="111">
        <v>0.01</v>
      </c>
      <c r="U26" s="113">
        <v>65</v>
      </c>
      <c r="V26" s="113">
        <v>15</v>
      </c>
      <c r="W26" s="113">
        <v>0.5</v>
      </c>
      <c r="X26" s="32">
        <f t="shared" si="9"/>
        <v>559.18926</v>
      </c>
      <c r="Y26" s="131"/>
      <c r="Z26" s="131"/>
      <c r="AA26" s="131"/>
      <c r="AB26" s="131"/>
      <c r="AC26" s="131"/>
      <c r="AD26" s="138"/>
      <c r="AE26" s="138"/>
      <c r="AF26" s="138"/>
      <c r="AG26" s="138"/>
      <c r="AH26" s="138"/>
    </row>
    <row r="27" s="3" customFormat="1" ht="80" customHeight="1" outlineLevel="2" spans="1:34">
      <c r="A27" s="43">
        <f t="shared" si="17"/>
        <v>12</v>
      </c>
      <c r="B27" s="44" t="s">
        <v>106</v>
      </c>
      <c r="C27" s="44" t="s">
        <v>107</v>
      </c>
      <c r="D27" s="142" t="s">
        <v>86</v>
      </c>
      <c r="E27" s="54">
        <v>452.38495</v>
      </c>
      <c r="F27" s="54">
        <v>312.14345</v>
      </c>
      <c r="G27" s="54">
        <v>312.14345</v>
      </c>
      <c r="H27" s="54">
        <f t="shared" si="10"/>
        <v>1076.67185</v>
      </c>
      <c r="I27" s="54">
        <f t="shared" si="14"/>
        <v>22.5</v>
      </c>
      <c r="J27" s="54">
        <f t="shared" si="15"/>
        <v>5.555</v>
      </c>
      <c r="K27" s="54">
        <f t="shared" si="16"/>
        <v>6.18</v>
      </c>
      <c r="L27" s="54">
        <f t="shared" si="11"/>
        <v>3.4235</v>
      </c>
      <c r="M27" s="54">
        <f t="shared" si="12"/>
        <v>37.6585</v>
      </c>
      <c r="N27" s="98">
        <f t="shared" si="13"/>
        <v>40545.846863225</v>
      </c>
      <c r="O27" s="50"/>
      <c r="P27" s="8"/>
      <c r="Q27" s="136"/>
      <c r="R27" s="32">
        <f t="shared" si="8"/>
        <v>34.235</v>
      </c>
      <c r="S27" s="32">
        <v>5.5</v>
      </c>
      <c r="T27" s="33">
        <v>0.01</v>
      </c>
      <c r="U27" s="32">
        <v>22.5</v>
      </c>
      <c r="V27" s="32">
        <v>5.98</v>
      </c>
      <c r="W27" s="32">
        <v>0.2</v>
      </c>
      <c r="X27" s="32">
        <f t="shared" si="9"/>
        <v>36859.86078475</v>
      </c>
      <c r="Y27" s="131"/>
      <c r="Z27" s="131"/>
      <c r="AA27" s="131"/>
      <c r="AB27" s="131"/>
      <c r="AC27" s="131"/>
      <c r="AD27" s="138"/>
      <c r="AE27" s="138"/>
      <c r="AF27" s="138"/>
      <c r="AG27" s="138"/>
      <c r="AH27" s="138"/>
    </row>
    <row r="28" s="3" customFormat="1" ht="71" customHeight="1" outlineLevel="2" spans="1:34">
      <c r="A28" s="43">
        <f t="shared" si="17"/>
        <v>13</v>
      </c>
      <c r="B28" s="44" t="s">
        <v>70</v>
      </c>
      <c r="C28" s="44" t="s">
        <v>108</v>
      </c>
      <c r="D28" s="142" t="s">
        <v>86</v>
      </c>
      <c r="E28" s="54">
        <v>2.933</v>
      </c>
      <c r="F28" s="54">
        <v>0</v>
      </c>
      <c r="G28" s="54">
        <v>0</v>
      </c>
      <c r="H28" s="54">
        <f t="shared" si="10"/>
        <v>2.933</v>
      </c>
      <c r="I28" s="54">
        <f t="shared" si="14"/>
        <v>22.5</v>
      </c>
      <c r="J28" s="54">
        <f t="shared" si="15"/>
        <v>5.555</v>
      </c>
      <c r="K28" s="54">
        <f t="shared" si="16"/>
        <v>6.18</v>
      </c>
      <c r="L28" s="54">
        <f t="shared" si="11"/>
        <v>3.4235</v>
      </c>
      <c r="M28" s="54">
        <f t="shared" si="12"/>
        <v>37.6585</v>
      </c>
      <c r="N28" s="98">
        <f t="shared" si="13"/>
        <v>110.4523805</v>
      </c>
      <c r="O28" s="50"/>
      <c r="P28" s="8"/>
      <c r="Q28" s="136"/>
      <c r="R28" s="32">
        <f t="shared" si="8"/>
        <v>34.235</v>
      </c>
      <c r="S28" s="32">
        <v>5.5</v>
      </c>
      <c r="T28" s="33">
        <v>0.01</v>
      </c>
      <c r="U28" s="32">
        <v>22.5</v>
      </c>
      <c r="V28" s="32">
        <v>5.98</v>
      </c>
      <c r="W28" s="32">
        <v>0.2</v>
      </c>
      <c r="X28" s="32">
        <f t="shared" si="9"/>
        <v>100.411255</v>
      </c>
      <c r="Y28" s="131"/>
      <c r="Z28" s="131"/>
      <c r="AA28" s="131"/>
      <c r="AB28" s="131"/>
      <c r="AC28" s="131"/>
      <c r="AD28" s="138"/>
      <c r="AE28" s="138"/>
      <c r="AF28" s="138"/>
      <c r="AG28" s="138"/>
      <c r="AH28" s="138"/>
    </row>
    <row r="29" s="3" customFormat="1" ht="72" customHeight="1" outlineLevel="2" spans="1:34">
      <c r="A29" s="43">
        <f t="shared" si="17"/>
        <v>14</v>
      </c>
      <c r="B29" s="145" t="s">
        <v>109</v>
      </c>
      <c r="C29" s="44" t="s">
        <v>110</v>
      </c>
      <c r="D29" s="142" t="s">
        <v>67</v>
      </c>
      <c r="E29" s="54">
        <v>38.86</v>
      </c>
      <c r="F29" s="54">
        <v>0</v>
      </c>
      <c r="G29" s="54">
        <v>0</v>
      </c>
      <c r="H29" s="54">
        <f t="shared" si="10"/>
        <v>38.86</v>
      </c>
      <c r="I29" s="54">
        <f t="shared" si="14"/>
        <v>135</v>
      </c>
      <c r="J29" s="54">
        <f t="shared" si="15"/>
        <v>257.55</v>
      </c>
      <c r="K29" s="54">
        <f t="shared" si="16"/>
        <v>183.525</v>
      </c>
      <c r="L29" s="54">
        <f t="shared" si="11"/>
        <v>57.6075</v>
      </c>
      <c r="M29" s="54">
        <f t="shared" si="12"/>
        <v>633.6825</v>
      </c>
      <c r="N29" s="98">
        <f t="shared" si="13"/>
        <v>24624.90195</v>
      </c>
      <c r="O29" s="50"/>
      <c r="P29" s="131"/>
      <c r="Q29" s="136"/>
      <c r="R29" s="32">
        <f t="shared" si="8"/>
        <v>576.075</v>
      </c>
      <c r="S29" s="140">
        <v>255</v>
      </c>
      <c r="T29" s="111">
        <v>0.01</v>
      </c>
      <c r="U29" s="113">
        <v>135</v>
      </c>
      <c r="V29" s="113">
        <f t="shared" ref="V29:V31" si="19">7.85*3*5.5+3.5+25*2</f>
        <v>183.025</v>
      </c>
      <c r="W29" s="113">
        <v>0.5</v>
      </c>
      <c r="X29" s="32">
        <f t="shared" si="9"/>
        <v>22386.2745</v>
      </c>
      <c r="Y29" s="131"/>
      <c r="Z29" s="131"/>
      <c r="AA29" s="131"/>
      <c r="AB29" s="131"/>
      <c r="AC29" s="131"/>
      <c r="AD29" s="138"/>
      <c r="AE29" s="138"/>
      <c r="AF29" s="138"/>
      <c r="AG29" s="138"/>
      <c r="AH29" s="138"/>
    </row>
    <row r="30" s="3" customFormat="1" ht="72" customHeight="1" outlineLevel="2" spans="1:34">
      <c r="A30" s="43">
        <f t="shared" si="17"/>
        <v>15</v>
      </c>
      <c r="B30" s="145" t="s">
        <v>111</v>
      </c>
      <c r="C30" s="44" t="s">
        <v>112</v>
      </c>
      <c r="D30" s="142" t="s">
        <v>67</v>
      </c>
      <c r="E30" s="54">
        <v>4.459</v>
      </c>
      <c r="F30" s="54">
        <v>0</v>
      </c>
      <c r="G30" s="54">
        <v>0</v>
      </c>
      <c r="H30" s="54">
        <f t="shared" si="10"/>
        <v>4.459</v>
      </c>
      <c r="I30" s="54">
        <f t="shared" si="14"/>
        <v>135</v>
      </c>
      <c r="J30" s="54">
        <f t="shared" si="15"/>
        <v>257.55</v>
      </c>
      <c r="K30" s="54">
        <f t="shared" si="16"/>
        <v>183.525</v>
      </c>
      <c r="L30" s="54">
        <f t="shared" si="11"/>
        <v>57.6075</v>
      </c>
      <c r="M30" s="54">
        <f t="shared" si="12"/>
        <v>633.6825</v>
      </c>
      <c r="N30" s="98">
        <f t="shared" si="13"/>
        <v>2825.5902675</v>
      </c>
      <c r="O30" s="50"/>
      <c r="P30" s="131"/>
      <c r="Q30" s="136"/>
      <c r="R30" s="32">
        <f t="shared" si="8"/>
        <v>576.075</v>
      </c>
      <c r="S30" s="140">
        <v>255</v>
      </c>
      <c r="T30" s="111">
        <v>0.01</v>
      </c>
      <c r="U30" s="113">
        <v>135</v>
      </c>
      <c r="V30" s="113">
        <f t="shared" si="19"/>
        <v>183.025</v>
      </c>
      <c r="W30" s="113">
        <v>0.5</v>
      </c>
      <c r="X30" s="32">
        <f t="shared" si="9"/>
        <v>2568.718425</v>
      </c>
      <c r="Y30" s="131"/>
      <c r="Z30" s="131"/>
      <c r="AA30" s="131"/>
      <c r="AB30" s="131"/>
      <c r="AC30" s="131"/>
      <c r="AD30" s="138"/>
      <c r="AE30" s="138"/>
      <c r="AF30" s="138"/>
      <c r="AG30" s="138"/>
      <c r="AH30" s="138"/>
    </row>
    <row r="31" s="3" customFormat="1" ht="72" customHeight="1" outlineLevel="2" spans="1:34">
      <c r="A31" s="43">
        <f t="shared" si="17"/>
        <v>16</v>
      </c>
      <c r="B31" s="145" t="s">
        <v>113</v>
      </c>
      <c r="C31" s="44" t="s">
        <v>114</v>
      </c>
      <c r="D31" s="142" t="s">
        <v>67</v>
      </c>
      <c r="E31" s="54">
        <v>5.831</v>
      </c>
      <c r="F31" s="54">
        <v>0</v>
      </c>
      <c r="G31" s="54">
        <v>0</v>
      </c>
      <c r="H31" s="54">
        <f t="shared" si="10"/>
        <v>5.831</v>
      </c>
      <c r="I31" s="54">
        <f t="shared" si="14"/>
        <v>135</v>
      </c>
      <c r="J31" s="54">
        <f t="shared" si="15"/>
        <v>257.55</v>
      </c>
      <c r="K31" s="54">
        <f t="shared" si="16"/>
        <v>183.525</v>
      </c>
      <c r="L31" s="54">
        <f t="shared" si="11"/>
        <v>57.6075</v>
      </c>
      <c r="M31" s="54">
        <f t="shared" si="12"/>
        <v>633.6825</v>
      </c>
      <c r="N31" s="98">
        <f t="shared" si="13"/>
        <v>3695.0026575</v>
      </c>
      <c r="O31" s="50"/>
      <c r="P31" s="131"/>
      <c r="Q31" s="136"/>
      <c r="R31" s="32">
        <f t="shared" si="8"/>
        <v>576.075</v>
      </c>
      <c r="S31" s="140">
        <v>255</v>
      </c>
      <c r="T31" s="111">
        <v>0.01</v>
      </c>
      <c r="U31" s="113">
        <v>135</v>
      </c>
      <c r="V31" s="113">
        <f t="shared" si="19"/>
        <v>183.025</v>
      </c>
      <c r="W31" s="113">
        <v>0.5</v>
      </c>
      <c r="X31" s="32">
        <f t="shared" si="9"/>
        <v>3359.093325</v>
      </c>
      <c r="Y31" s="131"/>
      <c r="Z31" s="131"/>
      <c r="AA31" s="131"/>
      <c r="AB31" s="131"/>
      <c r="AC31" s="131"/>
      <c r="AD31" s="138"/>
      <c r="AE31" s="138"/>
      <c r="AF31" s="138"/>
      <c r="AG31" s="138"/>
      <c r="AH31" s="138"/>
    </row>
    <row r="32" s="3" customFormat="1" ht="72" customHeight="1" outlineLevel="2" spans="1:34">
      <c r="A32" s="43">
        <f t="shared" si="17"/>
        <v>17</v>
      </c>
      <c r="B32" s="44" t="s">
        <v>115</v>
      </c>
      <c r="C32" s="44" t="s">
        <v>116</v>
      </c>
      <c r="D32" s="142" t="s">
        <v>74</v>
      </c>
      <c r="E32" s="54">
        <v>0</v>
      </c>
      <c r="F32" s="54">
        <v>136.588</v>
      </c>
      <c r="G32" s="54">
        <v>136.588</v>
      </c>
      <c r="H32" s="54">
        <f t="shared" si="10"/>
        <v>273.176</v>
      </c>
      <c r="I32" s="54">
        <f t="shared" si="14"/>
        <v>55</v>
      </c>
      <c r="J32" s="54">
        <f t="shared" si="15"/>
        <v>167.4075</v>
      </c>
      <c r="K32" s="54">
        <f t="shared" si="16"/>
        <v>107.65</v>
      </c>
      <c r="L32" s="54">
        <f t="shared" si="11"/>
        <v>33.00575</v>
      </c>
      <c r="M32" s="54">
        <f t="shared" si="12"/>
        <v>363.06325</v>
      </c>
      <c r="N32" s="98">
        <f t="shared" si="13"/>
        <v>99180.166382</v>
      </c>
      <c r="O32" s="50"/>
      <c r="P32" s="131"/>
      <c r="Q32" s="121" t="str">
        <f>_xlfn.DISPIMG("ID_804D414A39A44E389CF75EFDA0C8509A",1)</f>
        <v>=DISPIMG("ID_804D414A39A44E389CF75EFDA0C8509A",1)</v>
      </c>
      <c r="R32" s="32">
        <f t="shared" si="8"/>
        <v>330.0575</v>
      </c>
      <c r="S32" s="140">
        <f>255*0.65</f>
        <v>165.75</v>
      </c>
      <c r="T32" s="111">
        <v>0.01</v>
      </c>
      <c r="U32" s="113">
        <v>55</v>
      </c>
      <c r="V32" s="113">
        <f>5.5*7.85*2+5.5+15</f>
        <v>106.85</v>
      </c>
      <c r="W32" s="113">
        <v>0.8</v>
      </c>
      <c r="X32" s="32">
        <f t="shared" si="9"/>
        <v>90163.78762</v>
      </c>
      <c r="Y32" s="131"/>
      <c r="Z32" s="131"/>
      <c r="AA32" s="131"/>
      <c r="AB32" s="131"/>
      <c r="AC32" s="131"/>
      <c r="AD32" s="138"/>
      <c r="AE32" s="138"/>
      <c r="AF32" s="138"/>
      <c r="AG32" s="138"/>
      <c r="AH32" s="138"/>
    </row>
    <row r="33" s="2" customFormat="1" ht="25" customHeight="1" spans="1:34">
      <c r="A33" s="87" t="s">
        <v>117</v>
      </c>
      <c r="B33" s="87" t="s">
        <v>118</v>
      </c>
      <c r="C33" s="87"/>
      <c r="D33" s="87"/>
      <c r="E33" s="87"/>
      <c r="F33" s="87"/>
      <c r="G33" s="87"/>
      <c r="H33" s="87"/>
      <c r="I33" s="87"/>
      <c r="J33" s="87"/>
      <c r="K33" s="87"/>
      <c r="L33" s="87"/>
      <c r="M33" s="87"/>
      <c r="N33" s="88">
        <f>N5</f>
        <v>546442.355287015</v>
      </c>
      <c r="O33" s="87"/>
      <c r="P33" s="134"/>
      <c r="Q33" s="134"/>
      <c r="R33" s="146"/>
      <c r="S33" s="146"/>
      <c r="T33" s="128"/>
      <c r="U33" s="146"/>
      <c r="V33" s="146"/>
      <c r="W33" s="146"/>
      <c r="X33" s="146"/>
      <c r="Y33" s="134"/>
      <c r="Z33" s="134"/>
      <c r="AA33" s="134"/>
      <c r="AB33" s="134"/>
      <c r="AC33" s="134"/>
      <c r="AD33" s="135"/>
      <c r="AE33" s="135"/>
      <c r="AF33" s="135"/>
      <c r="AG33" s="135"/>
      <c r="AH33" s="135"/>
    </row>
    <row r="42" ht="66" customHeight="1"/>
  </sheetData>
  <autoFilter xmlns:etc="http://www.wps.cn/officeDocument/2017/etCustomData" ref="A2:P33" etc:filterBottomFollowUsedRange="0">
    <extLst/>
  </autoFilter>
  <mergeCells count="12">
    <mergeCell ref="A1:O1"/>
    <mergeCell ref="A2:A4"/>
    <mergeCell ref="B2:B4"/>
    <mergeCell ref="C2:C4"/>
    <mergeCell ref="D2:D4"/>
    <mergeCell ref="H2:H4"/>
    <mergeCell ref="I3:I4"/>
    <mergeCell ref="J3:J4"/>
    <mergeCell ref="K3:K4"/>
    <mergeCell ref="M3:M4"/>
    <mergeCell ref="N3:N4"/>
    <mergeCell ref="O2:O4"/>
  </mergeCells>
  <conditionalFormatting sqref="B6">
    <cfRule type="duplicateValues" dxfId="0" priority="148"/>
  </conditionalFormatting>
  <conditionalFormatting sqref="B15">
    <cfRule type="duplicateValues" dxfId="0" priority="145"/>
  </conditionalFormatting>
  <conditionalFormatting sqref="B33">
    <cfRule type="duplicateValues" dxfId="0" priority="31"/>
  </conditionalFormatting>
  <conditionalFormatting sqref="B2 B5">
    <cfRule type="duplicateValues" dxfId="0" priority="160"/>
  </conditionalFormatting>
  <printOptions horizontalCentered="1"/>
  <pageMargins left="0.393055555555556" right="0.393055555555556" top="0.235416666666667" bottom="0.15625" header="0.55" footer="0.235416666666667"/>
  <pageSetup paperSize="9" scale="90" fitToHeight="0" orientation="landscape" blackAndWhite="1" horizontalDpi="600"/>
  <headerFooter>
    <oddFooter>&amp;C第 &amp;P 页，共 &amp;N 页</oddFooter>
  </headerFooter>
  <rowBreaks count="6" manualBreakCount="6">
    <brk id="21" max="14" man="1"/>
    <brk id="33" max="16383" man="1"/>
    <brk id="33" max="16383" man="1"/>
    <brk id="33" max="16383" man="1"/>
    <brk id="33" max="16383" man="1"/>
    <brk id="33"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Z40"/>
  <sheetViews>
    <sheetView view="pageBreakPreview" zoomScaleNormal="100" workbookViewId="0">
      <pane xSplit="7" ySplit="4" topLeftCell="H5" activePane="bottomRight" state="frozen"/>
      <selection/>
      <selection pane="topRight"/>
      <selection pane="bottomLeft"/>
      <selection pane="bottomRight" activeCell="B7" sqref="B7"/>
    </sheetView>
  </sheetViews>
  <sheetFormatPr defaultColWidth="9.64166666666667" defaultRowHeight="12"/>
  <cols>
    <col min="1" max="1" width="6.98333333333333" style="5" customWidth="1"/>
    <col min="2" max="2" width="20.3833333333333" style="6" customWidth="1"/>
    <col min="3" max="3" width="30.1083333333333" style="5" customWidth="1"/>
    <col min="4" max="4" width="5.63333333333333" style="5" customWidth="1"/>
    <col min="5" max="7" width="12.3833333333333" style="7" hidden="1" customWidth="1" outlineLevel="1"/>
    <col min="8" max="8" width="12.3833333333333" style="7" customWidth="1" collapsed="1"/>
    <col min="9" max="11" width="11.6333333333333" style="7" customWidth="1" outlineLevel="1"/>
    <col min="12" max="12" width="12.3833333333333" style="7" customWidth="1" outlineLevel="1"/>
    <col min="13" max="13" width="9.40833333333333" style="7" customWidth="1"/>
    <col min="14" max="14" width="12.6333333333333" style="74" customWidth="1"/>
    <col min="15" max="15" width="11.25" style="9" customWidth="1"/>
    <col min="16" max="16" width="10.1333333333333" style="9" customWidth="1"/>
    <col min="17" max="17" width="11.3833333333333" style="82" customWidth="1"/>
    <col min="18" max="19" width="9.75" style="100" customWidth="1"/>
    <col min="20" max="20" width="10" style="101"/>
    <col min="21" max="23" width="10" style="102"/>
    <col min="24" max="24" width="13.5583333333333" style="102" customWidth="1"/>
    <col min="25" max="26" width="10" style="102"/>
    <col min="27" max="16384" width="10" style="5"/>
  </cols>
  <sheetData>
    <row r="1" s="5" customFormat="1" ht="44" customHeight="1" spans="1:26">
      <c r="A1" s="83" t="s">
        <v>36</v>
      </c>
      <c r="B1" s="84"/>
      <c r="C1" s="77"/>
      <c r="D1" s="77"/>
      <c r="E1" s="85"/>
      <c r="F1" s="85"/>
      <c r="G1" s="85"/>
      <c r="H1" s="85"/>
      <c r="I1" s="85"/>
      <c r="J1" s="85"/>
      <c r="K1" s="85"/>
      <c r="L1" s="85"/>
      <c r="M1" s="85"/>
      <c r="N1" s="86"/>
      <c r="O1" s="77"/>
      <c r="P1" s="77"/>
      <c r="Q1" s="82"/>
      <c r="R1" s="103"/>
      <c r="S1" s="103">
        <v>1</v>
      </c>
      <c r="T1" s="21"/>
      <c r="U1" s="20">
        <v>1</v>
      </c>
      <c r="V1" s="20">
        <v>1</v>
      </c>
      <c r="W1" s="20"/>
      <c r="X1" s="20"/>
      <c r="Y1" s="102"/>
      <c r="Z1" s="102"/>
    </row>
    <row r="2" s="2" customFormat="1" ht="25" customHeight="1" spans="1:26">
      <c r="A2" s="22" t="s">
        <v>23</v>
      </c>
      <c r="B2" s="22" t="s">
        <v>37</v>
      </c>
      <c r="C2" s="22" t="s">
        <v>38</v>
      </c>
      <c r="D2" s="22" t="s">
        <v>39</v>
      </c>
      <c r="E2" s="23" t="s">
        <v>40</v>
      </c>
      <c r="F2" s="23" t="s">
        <v>41</v>
      </c>
      <c r="G2" s="23" t="s">
        <v>42</v>
      </c>
      <c r="H2" s="24" t="s">
        <v>43</v>
      </c>
      <c r="I2" s="25" t="s">
        <v>44</v>
      </c>
      <c r="J2" s="25" t="s">
        <v>45</v>
      </c>
      <c r="K2" s="25" t="s">
        <v>46</v>
      </c>
      <c r="L2" s="25" t="s">
        <v>47</v>
      </c>
      <c r="M2" s="25" t="s">
        <v>48</v>
      </c>
      <c r="N2" s="26" t="s">
        <v>49</v>
      </c>
      <c r="O2" s="22" t="s">
        <v>50</v>
      </c>
      <c r="R2" s="103" t="s">
        <v>51</v>
      </c>
      <c r="S2" s="103" t="s">
        <v>45</v>
      </c>
      <c r="T2" s="21" t="s">
        <v>52</v>
      </c>
      <c r="U2" s="20" t="s">
        <v>44</v>
      </c>
      <c r="V2" s="20" t="s">
        <v>53</v>
      </c>
      <c r="W2" s="20" t="s">
        <v>54</v>
      </c>
      <c r="X2" s="20" t="s">
        <v>55</v>
      </c>
      <c r="Y2" s="104"/>
      <c r="Z2" s="104"/>
    </row>
    <row r="3" s="2" customFormat="1" ht="25" customHeight="1" spans="1:26">
      <c r="A3" s="28"/>
      <c r="B3" s="28"/>
      <c r="C3" s="28"/>
      <c r="D3" s="28"/>
      <c r="E3" s="23"/>
      <c r="F3" s="23"/>
      <c r="G3" s="23"/>
      <c r="H3" s="29"/>
      <c r="I3" s="30" t="s">
        <v>56</v>
      </c>
      <c r="J3" s="30" t="s">
        <v>57</v>
      </c>
      <c r="K3" s="30" t="s">
        <v>58</v>
      </c>
      <c r="L3" s="31">
        <f>坡道装饰工程量清单!$L$3</f>
        <v>0.1</v>
      </c>
      <c r="M3" s="30" t="s">
        <v>59</v>
      </c>
      <c r="N3" s="22" t="s">
        <v>60</v>
      </c>
      <c r="O3" s="28"/>
      <c r="R3" s="105"/>
      <c r="S3" s="105"/>
      <c r="T3" s="33"/>
      <c r="U3" s="32"/>
      <c r="V3" s="32"/>
      <c r="W3" s="32"/>
      <c r="X3" s="32"/>
      <c r="Y3" s="104"/>
      <c r="Z3" s="104"/>
    </row>
    <row r="4" s="2" customFormat="1" ht="25" customHeight="1" spans="1:26">
      <c r="A4" s="34"/>
      <c r="B4" s="34"/>
      <c r="C4" s="34"/>
      <c r="D4" s="34"/>
      <c r="E4" s="23"/>
      <c r="F4" s="23"/>
      <c r="G4" s="23"/>
      <c r="H4" s="35"/>
      <c r="I4" s="36"/>
      <c r="J4" s="36"/>
      <c r="K4" s="36"/>
      <c r="L4" s="25" t="s">
        <v>61</v>
      </c>
      <c r="M4" s="36"/>
      <c r="N4" s="34"/>
      <c r="O4" s="34"/>
      <c r="R4" s="105"/>
      <c r="S4" s="105"/>
      <c r="T4" s="33"/>
      <c r="U4" s="32"/>
      <c r="V4" s="32"/>
      <c r="W4" s="32"/>
      <c r="X4" s="32"/>
      <c r="Y4" s="104"/>
      <c r="Z4" s="104"/>
    </row>
    <row r="5" s="2" customFormat="1" ht="25" customHeight="1" spans="1:26">
      <c r="A5" s="87" t="s">
        <v>62</v>
      </c>
      <c r="B5" s="87" t="s">
        <v>119</v>
      </c>
      <c r="C5" s="87"/>
      <c r="D5" s="87"/>
      <c r="E5" s="88"/>
      <c r="F5" s="88"/>
      <c r="G5" s="88"/>
      <c r="H5" s="88"/>
      <c r="I5" s="88"/>
      <c r="J5" s="88"/>
      <c r="K5" s="88"/>
      <c r="L5" s="88"/>
      <c r="M5" s="88"/>
      <c r="N5" s="88">
        <f>+N6+N22+N29</f>
        <v>2344307.57421853</v>
      </c>
      <c r="O5" s="87"/>
      <c r="R5" s="105"/>
      <c r="S5" s="105"/>
      <c r="T5" s="33"/>
      <c r="U5" s="32"/>
      <c r="V5" s="32"/>
      <c r="W5" s="32"/>
      <c r="X5" s="32"/>
      <c r="Y5" s="104"/>
      <c r="Z5" s="104"/>
    </row>
    <row r="6" s="4" customFormat="1" ht="15" customHeight="1" outlineLevel="1" spans="1:26">
      <c r="A6" s="89"/>
      <c r="B6" s="90" t="s">
        <v>64</v>
      </c>
      <c r="C6" s="91"/>
      <c r="D6" s="92"/>
      <c r="E6" s="106"/>
      <c r="F6" s="106"/>
      <c r="G6" s="106"/>
      <c r="H6" s="106"/>
      <c r="I6" s="106"/>
      <c r="J6" s="106"/>
      <c r="K6" s="106"/>
      <c r="L6" s="106"/>
      <c r="M6" s="106"/>
      <c r="N6" s="106">
        <f>SUM(N7:N21)</f>
        <v>718486.23593175</v>
      </c>
      <c r="O6" s="94"/>
      <c r="P6" s="11"/>
      <c r="Q6" s="95"/>
      <c r="R6" s="105"/>
      <c r="S6" s="105"/>
      <c r="T6" s="33"/>
      <c r="U6" s="32"/>
      <c r="V6" s="32"/>
      <c r="W6" s="32"/>
      <c r="X6" s="32"/>
      <c r="Y6" s="107"/>
      <c r="Z6" s="107"/>
    </row>
    <row r="7" s="4" customFormat="1" ht="66" customHeight="1" outlineLevel="2" spans="1:26">
      <c r="A7" s="43">
        <v>1</v>
      </c>
      <c r="B7" s="44" t="s">
        <v>65</v>
      </c>
      <c r="C7" s="44" t="s">
        <v>66</v>
      </c>
      <c r="D7" s="108" t="s">
        <v>86</v>
      </c>
      <c r="E7" s="109">
        <v>756.449</v>
      </c>
      <c r="F7" s="109">
        <v>802.275</v>
      </c>
      <c r="G7" s="109">
        <v>850.308</v>
      </c>
      <c r="H7" s="54">
        <f t="shared" ref="H7:H21" si="0">E7+F7+G7</f>
        <v>2409.032</v>
      </c>
      <c r="I7" s="54">
        <f>坡道装饰工程量清单!$I$7</f>
        <v>22.5</v>
      </c>
      <c r="J7" s="54">
        <f>坡道装饰工程量清单!$J$7</f>
        <v>5.555</v>
      </c>
      <c r="K7" s="54">
        <f>坡道装饰工程量清单!$K$7</f>
        <v>6.18</v>
      </c>
      <c r="L7" s="54">
        <f t="shared" ref="L6:L21" si="1">+SUM(I7:K7)*$L$3</f>
        <v>3.4235</v>
      </c>
      <c r="M7" s="109">
        <f t="shared" ref="M6:M21" si="2">SUM(I7:L7)</f>
        <v>37.6585</v>
      </c>
      <c r="N7" s="98">
        <f t="shared" ref="N6:N21" si="3">H7*M7</f>
        <v>90720.531572</v>
      </c>
      <c r="O7" s="50"/>
      <c r="P7" s="51"/>
      <c r="Q7" s="82"/>
      <c r="R7" s="105">
        <f>S7+S7*T7+U7+V7+W7</f>
        <v>0</v>
      </c>
      <c r="S7" s="105"/>
      <c r="T7" s="33"/>
      <c r="U7" s="32"/>
      <c r="V7" s="32"/>
      <c r="W7" s="32"/>
      <c r="X7" s="32">
        <f>R7*H7</f>
        <v>0</v>
      </c>
      <c r="Y7" s="107"/>
      <c r="Z7" s="107"/>
    </row>
    <row r="8" s="3" customFormat="1" ht="74" customHeight="1" outlineLevel="2" spans="1:26">
      <c r="A8" s="43">
        <f>A7+1</f>
        <v>2</v>
      </c>
      <c r="B8" s="44" t="s">
        <v>68</v>
      </c>
      <c r="C8" s="44" t="s">
        <v>69</v>
      </c>
      <c r="D8" s="108" t="s">
        <v>86</v>
      </c>
      <c r="E8" s="109">
        <f>1848.398-E9</f>
        <v>1727.438</v>
      </c>
      <c r="F8" s="109">
        <v>1994.297</v>
      </c>
      <c r="G8" s="109">
        <v>2180.445</v>
      </c>
      <c r="H8" s="54">
        <f t="shared" si="0"/>
        <v>5902.18</v>
      </c>
      <c r="I8" s="54">
        <f>坡道装饰工程量清单!$I$7</f>
        <v>22.5</v>
      </c>
      <c r="J8" s="54">
        <f>坡道装饰工程量清单!$J$7</f>
        <v>5.555</v>
      </c>
      <c r="K8" s="54">
        <f>坡道装饰工程量清单!$K$7</f>
        <v>6.18</v>
      </c>
      <c r="L8" s="54">
        <f t="shared" si="1"/>
        <v>3.4235</v>
      </c>
      <c r="M8" s="109">
        <f t="shared" si="2"/>
        <v>37.6585</v>
      </c>
      <c r="N8" s="98">
        <f t="shared" si="3"/>
        <v>222267.24553</v>
      </c>
      <c r="O8" s="50"/>
      <c r="P8" s="51"/>
      <c r="Q8" s="82"/>
      <c r="R8" s="105">
        <f t="shared" ref="R8:R40" si="4">S8+S8*T8+U8+V8+W8</f>
        <v>0</v>
      </c>
      <c r="S8" s="105"/>
      <c r="T8" s="33"/>
      <c r="U8" s="32"/>
      <c r="V8" s="32"/>
      <c r="W8" s="32"/>
      <c r="X8" s="32">
        <f t="shared" ref="X8:X39" si="5">R8*H8</f>
        <v>0</v>
      </c>
      <c r="Y8" s="102"/>
      <c r="Z8" s="102"/>
    </row>
    <row r="9" s="3" customFormat="1" ht="66" customHeight="1" outlineLevel="2" spans="1:26">
      <c r="A9" s="43">
        <f>A8+1</f>
        <v>3</v>
      </c>
      <c r="B9" s="44" t="s">
        <v>120</v>
      </c>
      <c r="C9" s="44" t="s">
        <v>121</v>
      </c>
      <c r="D9" s="108" t="s">
        <v>86</v>
      </c>
      <c r="E9" s="109">
        <f>84*0.6*2.4</f>
        <v>120.96</v>
      </c>
      <c r="F9" s="109">
        <v>0</v>
      </c>
      <c r="G9" s="109">
        <v>0</v>
      </c>
      <c r="H9" s="54">
        <f t="shared" si="0"/>
        <v>120.96</v>
      </c>
      <c r="I9" s="54">
        <f>坡道装饰工程量清单!$I$7</f>
        <v>22.5</v>
      </c>
      <c r="J9" s="54">
        <f>坡道装饰工程量清单!$J$7</f>
        <v>5.555</v>
      </c>
      <c r="K9" s="54">
        <f>坡道装饰工程量清单!$K$7</f>
        <v>6.18</v>
      </c>
      <c r="L9" s="54">
        <f t="shared" si="1"/>
        <v>3.4235</v>
      </c>
      <c r="M9" s="109">
        <f t="shared" si="2"/>
        <v>37.6585</v>
      </c>
      <c r="N9" s="98">
        <f t="shared" si="3"/>
        <v>4555.17216</v>
      </c>
      <c r="O9" s="50"/>
      <c r="P9" s="51"/>
      <c r="Q9" s="82"/>
      <c r="R9" s="105">
        <f t="shared" si="4"/>
        <v>0</v>
      </c>
      <c r="S9" s="110"/>
      <c r="T9" s="111"/>
      <c r="U9" s="112"/>
      <c r="V9" s="112"/>
      <c r="W9" s="112"/>
      <c r="X9" s="32">
        <f t="shared" si="5"/>
        <v>0</v>
      </c>
      <c r="Y9" s="102"/>
      <c r="Z9" s="102"/>
    </row>
    <row r="10" s="3" customFormat="1" ht="63" customHeight="1" outlineLevel="2" spans="1:26">
      <c r="A10" s="43">
        <f>A8+1</f>
        <v>3</v>
      </c>
      <c r="B10" s="44" t="s">
        <v>122</v>
      </c>
      <c r="C10" s="44" t="s">
        <v>123</v>
      </c>
      <c r="D10" s="108" t="s">
        <v>86</v>
      </c>
      <c r="E10" s="109">
        <v>25.014</v>
      </c>
      <c r="F10" s="109">
        <v>24.98</v>
      </c>
      <c r="G10" s="109">
        <v>39.129</v>
      </c>
      <c r="H10" s="54">
        <f t="shared" si="0"/>
        <v>89.123</v>
      </c>
      <c r="I10" s="54">
        <f t="shared" ref="I8:I21" si="6">U10*$U$1</f>
        <v>75</v>
      </c>
      <c r="J10" s="54">
        <f t="shared" ref="J8:J21" si="7">S10*(1+T10)*$S$1</f>
        <v>50.5</v>
      </c>
      <c r="K10" s="54">
        <f t="shared" ref="K8:K21" si="8">(V10+W10)*$V$1</f>
        <v>122.75</v>
      </c>
      <c r="L10" s="54">
        <f t="shared" si="1"/>
        <v>24.825</v>
      </c>
      <c r="M10" s="109">
        <f t="shared" si="2"/>
        <v>273.075</v>
      </c>
      <c r="N10" s="98">
        <f t="shared" si="3"/>
        <v>24337.263225</v>
      </c>
      <c r="O10" s="50"/>
      <c r="P10" s="51"/>
      <c r="Q10" s="82"/>
      <c r="R10" s="105">
        <f t="shared" si="4"/>
        <v>248.25</v>
      </c>
      <c r="S10" s="110">
        <f>25*2</f>
        <v>50</v>
      </c>
      <c r="T10" s="111">
        <v>0.01</v>
      </c>
      <c r="U10" s="113">
        <f>35+20*2</f>
        <v>75</v>
      </c>
      <c r="V10" s="113">
        <f>5.5*20.5+8.5</f>
        <v>121.25</v>
      </c>
      <c r="W10" s="113">
        <v>1.5</v>
      </c>
      <c r="X10" s="32">
        <f t="shared" si="5"/>
        <v>22124.78475</v>
      </c>
      <c r="Y10" s="102"/>
      <c r="Z10" s="102"/>
    </row>
    <row r="11" s="3" customFormat="1" ht="75" customHeight="1" outlineLevel="2" spans="1:26">
      <c r="A11" s="43">
        <f t="shared" ref="A10:A16" si="9">A10+1</f>
        <v>4</v>
      </c>
      <c r="B11" s="44" t="s">
        <v>124</v>
      </c>
      <c r="C11" s="44" t="s">
        <v>125</v>
      </c>
      <c r="D11" s="108" t="s">
        <v>86</v>
      </c>
      <c r="E11" s="109">
        <f>97.137-E13</f>
        <v>60.09</v>
      </c>
      <c r="F11" s="109">
        <f>89.643-F13</f>
        <v>51.019</v>
      </c>
      <c r="G11" s="109">
        <f>114.003-G13</f>
        <v>76.944</v>
      </c>
      <c r="H11" s="54">
        <f t="shared" si="0"/>
        <v>188.053</v>
      </c>
      <c r="I11" s="54">
        <f t="shared" si="6"/>
        <v>125</v>
      </c>
      <c r="J11" s="54">
        <f t="shared" si="7"/>
        <v>454.5</v>
      </c>
      <c r="K11" s="54">
        <f t="shared" si="8"/>
        <v>80.3</v>
      </c>
      <c r="L11" s="54">
        <f t="shared" si="1"/>
        <v>65.98</v>
      </c>
      <c r="M11" s="109">
        <f t="shared" si="2"/>
        <v>725.78</v>
      </c>
      <c r="N11" s="98">
        <f t="shared" si="3"/>
        <v>136485.10634</v>
      </c>
      <c r="O11" s="50"/>
      <c r="P11" s="51"/>
      <c r="Q11" s="82"/>
      <c r="R11" s="105">
        <f t="shared" si="4"/>
        <v>659.8</v>
      </c>
      <c r="S11" s="114">
        <v>450</v>
      </c>
      <c r="T11" s="33">
        <v>0.01</v>
      </c>
      <c r="U11" s="115">
        <f>20*2+85</f>
        <v>125</v>
      </c>
      <c r="V11" s="115">
        <f>25*2+1.5*8+16.8</f>
        <v>78.8</v>
      </c>
      <c r="W11" s="115">
        <v>1.5</v>
      </c>
      <c r="X11" s="32">
        <f t="shared" si="5"/>
        <v>124077.3694</v>
      </c>
      <c r="Y11" s="102"/>
      <c r="Z11" s="102"/>
    </row>
    <row r="12" s="3" customFormat="1" ht="69" customHeight="1" outlineLevel="2" spans="1:26">
      <c r="A12" s="43">
        <f t="shared" si="9"/>
        <v>5</v>
      </c>
      <c r="B12" s="44" t="s">
        <v>126</v>
      </c>
      <c r="C12" s="44" t="s">
        <v>127</v>
      </c>
      <c r="D12" s="108" t="s">
        <v>86</v>
      </c>
      <c r="E12" s="109">
        <f>28.34-E14</f>
        <v>17.001</v>
      </c>
      <c r="F12" s="109">
        <f>25.762-F14</f>
        <v>14.427</v>
      </c>
      <c r="G12" s="109">
        <f>33.071-G14</f>
        <v>21.735</v>
      </c>
      <c r="H12" s="54">
        <f t="shared" si="0"/>
        <v>53.163</v>
      </c>
      <c r="I12" s="54">
        <f t="shared" si="6"/>
        <v>125</v>
      </c>
      <c r="J12" s="54">
        <f t="shared" si="7"/>
        <v>585.8</v>
      </c>
      <c r="K12" s="54">
        <f t="shared" si="8"/>
        <v>80.3</v>
      </c>
      <c r="L12" s="54">
        <f t="shared" si="1"/>
        <v>79.11</v>
      </c>
      <c r="M12" s="109">
        <f t="shared" si="2"/>
        <v>870.21</v>
      </c>
      <c r="N12" s="98">
        <f t="shared" si="3"/>
        <v>46262.97423</v>
      </c>
      <c r="O12" s="50"/>
      <c r="P12" s="51"/>
      <c r="Q12" s="82"/>
      <c r="R12" s="105">
        <f t="shared" si="4"/>
        <v>791.1</v>
      </c>
      <c r="S12" s="114">
        <v>580</v>
      </c>
      <c r="T12" s="33">
        <v>0.01</v>
      </c>
      <c r="U12" s="115">
        <f>20*2+85</f>
        <v>125</v>
      </c>
      <c r="V12" s="115">
        <f>25*2+1.5*8+16.8</f>
        <v>78.8</v>
      </c>
      <c r="W12" s="115">
        <v>1.5</v>
      </c>
      <c r="X12" s="32">
        <f t="shared" si="5"/>
        <v>42057.2493</v>
      </c>
      <c r="Y12" s="102"/>
      <c r="Z12" s="102"/>
    </row>
    <row r="13" s="3" customFormat="1" ht="75" customHeight="1" outlineLevel="2" spans="1:26">
      <c r="A13" s="43">
        <f t="shared" si="9"/>
        <v>6</v>
      </c>
      <c r="B13" s="44" t="s">
        <v>128</v>
      </c>
      <c r="C13" s="44" t="s">
        <v>129</v>
      </c>
      <c r="D13" s="108" t="s">
        <v>86</v>
      </c>
      <c r="E13" s="109">
        <v>37.047</v>
      </c>
      <c r="F13" s="109">
        <v>38.624</v>
      </c>
      <c r="G13" s="109">
        <v>37.059</v>
      </c>
      <c r="H13" s="54">
        <f t="shared" si="0"/>
        <v>112.73</v>
      </c>
      <c r="I13" s="54">
        <f t="shared" si="6"/>
        <v>150</v>
      </c>
      <c r="J13" s="54">
        <f t="shared" si="7"/>
        <v>472.5</v>
      </c>
      <c r="K13" s="54">
        <f t="shared" si="8"/>
        <v>113.55</v>
      </c>
      <c r="L13" s="54">
        <f t="shared" si="1"/>
        <v>73.605</v>
      </c>
      <c r="M13" s="109">
        <f t="shared" si="2"/>
        <v>809.655</v>
      </c>
      <c r="N13" s="98">
        <f t="shared" si="3"/>
        <v>91272.40815</v>
      </c>
      <c r="O13" s="50"/>
      <c r="P13" s="51"/>
      <c r="Q13" s="82"/>
      <c r="R13" s="105">
        <f t="shared" si="4"/>
        <v>736.05</v>
      </c>
      <c r="S13" s="114">
        <v>450</v>
      </c>
      <c r="T13" s="33">
        <v>0.05</v>
      </c>
      <c r="U13" s="115">
        <v>150</v>
      </c>
      <c r="V13" s="115">
        <f>15.5*5.5+4*3.5+4*1+8.5</f>
        <v>111.75</v>
      </c>
      <c r="W13" s="115">
        <v>1.8</v>
      </c>
      <c r="X13" s="32">
        <f t="shared" si="5"/>
        <v>82974.9165</v>
      </c>
      <c r="Y13" s="102"/>
      <c r="Z13" s="102"/>
    </row>
    <row r="14" s="3" customFormat="1" ht="69" customHeight="1" outlineLevel="2" spans="1:26">
      <c r="A14" s="43">
        <f t="shared" si="9"/>
        <v>7</v>
      </c>
      <c r="B14" s="44" t="s">
        <v>130</v>
      </c>
      <c r="C14" s="44" t="s">
        <v>131</v>
      </c>
      <c r="D14" s="108" t="s">
        <v>86</v>
      </c>
      <c r="E14" s="109">
        <v>11.339</v>
      </c>
      <c r="F14" s="109">
        <v>11.335</v>
      </c>
      <c r="G14" s="109">
        <v>11.336</v>
      </c>
      <c r="H14" s="54">
        <f t="shared" si="0"/>
        <v>34.01</v>
      </c>
      <c r="I14" s="54">
        <f t="shared" si="6"/>
        <v>150</v>
      </c>
      <c r="J14" s="54">
        <f t="shared" si="7"/>
        <v>609</v>
      </c>
      <c r="K14" s="54">
        <f t="shared" si="8"/>
        <v>113.55</v>
      </c>
      <c r="L14" s="54">
        <f t="shared" si="1"/>
        <v>87.255</v>
      </c>
      <c r="M14" s="109">
        <f t="shared" si="2"/>
        <v>959.805</v>
      </c>
      <c r="N14" s="98">
        <f t="shared" si="3"/>
        <v>32642.96805</v>
      </c>
      <c r="O14" s="50"/>
      <c r="P14" s="51"/>
      <c r="Q14" s="82" t="str">
        <f>_xlfn.DISPIMG("ID_775DD9E8F501476888EF6E21280FECA3",1)</f>
        <v>=DISPIMG("ID_775DD9E8F501476888EF6E21280FECA3",1)</v>
      </c>
      <c r="R14" s="105">
        <f t="shared" si="4"/>
        <v>872.55</v>
      </c>
      <c r="S14" s="114">
        <v>580</v>
      </c>
      <c r="T14" s="33">
        <v>0.05</v>
      </c>
      <c r="U14" s="115">
        <v>150</v>
      </c>
      <c r="V14" s="115">
        <f>15.5*5.5+4*3.5+4*1+8.5</f>
        <v>111.75</v>
      </c>
      <c r="W14" s="115">
        <v>1.8</v>
      </c>
      <c r="X14" s="32">
        <f t="shared" si="5"/>
        <v>29675.4255</v>
      </c>
      <c r="Y14" s="102"/>
      <c r="Z14" s="102"/>
    </row>
    <row r="15" s="3" customFormat="1" ht="52" customHeight="1" outlineLevel="2" spans="1:26">
      <c r="A15" s="43">
        <f t="shared" si="9"/>
        <v>8</v>
      </c>
      <c r="B15" s="44" t="s">
        <v>132</v>
      </c>
      <c r="C15" s="44" t="s">
        <v>133</v>
      </c>
      <c r="D15" s="108" t="s">
        <v>86</v>
      </c>
      <c r="E15" s="109">
        <v>27.155</v>
      </c>
      <c r="F15" s="109">
        <v>0</v>
      </c>
      <c r="G15" s="109">
        <v>0</v>
      </c>
      <c r="H15" s="54">
        <f t="shared" si="0"/>
        <v>27.155</v>
      </c>
      <c r="I15" s="54">
        <f t="shared" si="6"/>
        <v>45</v>
      </c>
      <c r="J15" s="54">
        <f t="shared" si="7"/>
        <v>45</v>
      </c>
      <c r="K15" s="54">
        <f t="shared" si="8"/>
        <v>17</v>
      </c>
      <c r="L15" s="54">
        <f t="shared" si="1"/>
        <v>10.7</v>
      </c>
      <c r="M15" s="109">
        <f t="shared" si="2"/>
        <v>117.7</v>
      </c>
      <c r="N15" s="98">
        <f t="shared" si="3"/>
        <v>3196.1435</v>
      </c>
      <c r="O15" s="50"/>
      <c r="P15" s="51"/>
      <c r="Q15" s="82"/>
      <c r="R15" s="105">
        <f t="shared" si="4"/>
        <v>107</v>
      </c>
      <c r="S15" s="114">
        <v>45</v>
      </c>
      <c r="T15" s="33">
        <v>0</v>
      </c>
      <c r="U15" s="115">
        <f>45</f>
        <v>45</v>
      </c>
      <c r="V15" s="115">
        <f>16.5</f>
        <v>16.5</v>
      </c>
      <c r="W15" s="115">
        <v>0.5</v>
      </c>
      <c r="X15" s="32">
        <f t="shared" si="5"/>
        <v>2905.585</v>
      </c>
      <c r="Y15" s="102"/>
      <c r="Z15" s="102"/>
    </row>
    <row r="16" s="3" customFormat="1" ht="50" customHeight="1" outlineLevel="2" spans="1:26">
      <c r="A16" s="43">
        <f t="shared" si="9"/>
        <v>9</v>
      </c>
      <c r="B16" s="44" t="s">
        <v>134</v>
      </c>
      <c r="C16" s="44" t="s">
        <v>135</v>
      </c>
      <c r="D16" s="108" t="s">
        <v>74</v>
      </c>
      <c r="E16" s="109">
        <f t="shared" ref="E16:G16" si="10">1.85*6</f>
        <v>11.1</v>
      </c>
      <c r="F16" s="109">
        <f t="shared" si="10"/>
        <v>11.1</v>
      </c>
      <c r="G16" s="109">
        <f t="shared" si="10"/>
        <v>11.1</v>
      </c>
      <c r="H16" s="54">
        <f t="shared" si="0"/>
        <v>33.3</v>
      </c>
      <c r="I16" s="54">
        <f t="shared" si="6"/>
        <v>15</v>
      </c>
      <c r="J16" s="54">
        <f t="shared" si="7"/>
        <v>58.195</v>
      </c>
      <c r="K16" s="54">
        <f t="shared" si="8"/>
        <v>3.8</v>
      </c>
      <c r="L16" s="54">
        <f t="shared" si="1"/>
        <v>7.6995</v>
      </c>
      <c r="M16" s="109">
        <f t="shared" si="2"/>
        <v>84.6945</v>
      </c>
      <c r="N16" s="98">
        <f t="shared" si="3"/>
        <v>2820.32685</v>
      </c>
      <c r="O16" s="50"/>
      <c r="P16" s="82"/>
      <c r="Q16" s="82"/>
      <c r="R16" s="105">
        <f t="shared" si="4"/>
        <v>76.995</v>
      </c>
      <c r="S16" s="114">
        <f>450*0.12+2.5</f>
        <v>56.5</v>
      </c>
      <c r="T16" s="33">
        <v>0.03</v>
      </c>
      <c r="U16" s="115">
        <v>15</v>
      </c>
      <c r="V16" s="115">
        <v>3.5</v>
      </c>
      <c r="W16" s="115">
        <v>0.3</v>
      </c>
      <c r="X16" s="32">
        <f t="shared" si="5"/>
        <v>2563.9335</v>
      </c>
      <c r="Y16" s="102"/>
      <c r="Z16" s="102"/>
    </row>
    <row r="17" s="3" customFormat="1" ht="50" customHeight="1" outlineLevel="2" spans="1:26">
      <c r="A17" s="43">
        <f t="shared" ref="A15:A21" si="11">A16+1</f>
        <v>10</v>
      </c>
      <c r="B17" s="44" t="s">
        <v>136</v>
      </c>
      <c r="C17" s="44" t="s">
        <v>137</v>
      </c>
      <c r="D17" s="108" t="s">
        <v>74</v>
      </c>
      <c r="E17" s="109">
        <f>E21-((515+1505)*3+515+1071)*0.001</f>
        <v>51.032</v>
      </c>
      <c r="F17" s="109">
        <f>F21-((515+1505)*2+(515+1071)*2)*0.001</f>
        <v>47.079</v>
      </c>
      <c r="G17" s="109">
        <f>G21-((515+1505)*3+515+1071)*0.001</f>
        <v>59.426</v>
      </c>
      <c r="H17" s="54">
        <f t="shared" si="0"/>
        <v>157.537</v>
      </c>
      <c r="I17" s="54">
        <f t="shared" si="6"/>
        <v>15</v>
      </c>
      <c r="J17" s="54">
        <f t="shared" si="7"/>
        <v>32.7025</v>
      </c>
      <c r="K17" s="54">
        <f t="shared" si="8"/>
        <v>3.8</v>
      </c>
      <c r="L17" s="54">
        <f t="shared" si="1"/>
        <v>5.15025</v>
      </c>
      <c r="M17" s="109">
        <f t="shared" si="2"/>
        <v>56.65275</v>
      </c>
      <c r="N17" s="98">
        <f t="shared" si="3"/>
        <v>8924.90427675</v>
      </c>
      <c r="O17" s="50"/>
      <c r="P17" s="51"/>
      <c r="Q17" s="82"/>
      <c r="R17" s="105">
        <f t="shared" si="4"/>
        <v>51.5025</v>
      </c>
      <c r="S17" s="114">
        <f>450*0.065+2.5</f>
        <v>31.75</v>
      </c>
      <c r="T17" s="33">
        <v>0.03</v>
      </c>
      <c r="U17" s="115">
        <v>15</v>
      </c>
      <c r="V17" s="115">
        <v>3.5</v>
      </c>
      <c r="W17" s="115">
        <v>0.3</v>
      </c>
      <c r="X17" s="32">
        <f t="shared" si="5"/>
        <v>8113.5493425</v>
      </c>
      <c r="Y17" s="102"/>
      <c r="Z17" s="102"/>
    </row>
    <row r="18" s="3" customFormat="1" ht="50" customHeight="1" outlineLevel="2" spans="1:26">
      <c r="A18" s="43">
        <f t="shared" si="11"/>
        <v>11</v>
      </c>
      <c r="B18" s="44" t="s">
        <v>138</v>
      </c>
      <c r="C18" s="44" t="s">
        <v>139</v>
      </c>
      <c r="D18" s="108" t="s">
        <v>74</v>
      </c>
      <c r="E18" s="109">
        <f>2.45*4+(1.025+0.1+2.675+2.025+0.1+0.4+1.76+0.9+0.36+1.525)</f>
        <v>20.67</v>
      </c>
      <c r="F18" s="109">
        <v>0</v>
      </c>
      <c r="G18" s="109">
        <v>0</v>
      </c>
      <c r="H18" s="54">
        <f t="shared" si="0"/>
        <v>20.67</v>
      </c>
      <c r="I18" s="54">
        <f t="shared" si="6"/>
        <v>15</v>
      </c>
      <c r="J18" s="54">
        <f t="shared" si="7"/>
        <v>28.0675</v>
      </c>
      <c r="K18" s="54">
        <f t="shared" si="8"/>
        <v>3.8</v>
      </c>
      <c r="L18" s="54">
        <f t="shared" si="1"/>
        <v>4.68675</v>
      </c>
      <c r="M18" s="109">
        <f t="shared" si="2"/>
        <v>51.55425</v>
      </c>
      <c r="N18" s="98">
        <f t="shared" si="3"/>
        <v>1065.6263475</v>
      </c>
      <c r="O18" s="50"/>
      <c r="P18" s="51"/>
      <c r="Q18" s="82"/>
      <c r="R18" s="105">
        <f t="shared" si="4"/>
        <v>46.8675</v>
      </c>
      <c r="S18" s="114">
        <f>450*0.055+2.5</f>
        <v>27.25</v>
      </c>
      <c r="T18" s="33">
        <v>0.03</v>
      </c>
      <c r="U18" s="115">
        <v>15</v>
      </c>
      <c r="V18" s="115">
        <v>3.5</v>
      </c>
      <c r="W18" s="115">
        <v>0.3</v>
      </c>
      <c r="X18" s="32">
        <f t="shared" si="5"/>
        <v>968.751225</v>
      </c>
      <c r="Y18" s="102"/>
      <c r="Z18" s="102"/>
    </row>
    <row r="19" s="3" customFormat="1" ht="57" customHeight="1" outlineLevel="2" spans="1:26">
      <c r="A19" s="43">
        <f t="shared" si="11"/>
        <v>12</v>
      </c>
      <c r="B19" s="44" t="s">
        <v>77</v>
      </c>
      <c r="C19" s="44" t="s">
        <v>140</v>
      </c>
      <c r="D19" s="108" t="s">
        <v>86</v>
      </c>
      <c r="E19" s="109">
        <v>2.267</v>
      </c>
      <c r="F19" s="109">
        <v>2.134</v>
      </c>
      <c r="G19" s="109">
        <v>2.265</v>
      </c>
      <c r="H19" s="54">
        <f t="shared" si="0"/>
        <v>6.666</v>
      </c>
      <c r="I19" s="54">
        <f>坡道装饰工程量清单!I12</f>
        <v>85</v>
      </c>
      <c r="J19" s="54">
        <f>坡道装饰工程量清单!J12</f>
        <v>454.5</v>
      </c>
      <c r="K19" s="54">
        <f>坡道装饰工程量清单!K12</f>
        <v>72.2</v>
      </c>
      <c r="L19" s="54">
        <f t="shared" si="1"/>
        <v>61.17</v>
      </c>
      <c r="M19" s="109">
        <f t="shared" si="2"/>
        <v>672.87</v>
      </c>
      <c r="N19" s="98">
        <f t="shared" si="3"/>
        <v>4485.35142</v>
      </c>
      <c r="O19" s="50"/>
      <c r="P19" s="51"/>
      <c r="Q19" s="82"/>
      <c r="R19" s="105">
        <f t="shared" si="4"/>
        <v>0</v>
      </c>
      <c r="S19" s="110"/>
      <c r="T19" s="111"/>
      <c r="U19" s="112"/>
      <c r="V19" s="112"/>
      <c r="W19" s="112"/>
      <c r="X19" s="32">
        <f t="shared" si="5"/>
        <v>0</v>
      </c>
      <c r="Y19" s="102"/>
      <c r="Z19" s="102"/>
    </row>
    <row r="20" s="3" customFormat="1" ht="50" customHeight="1" outlineLevel="2" spans="1:26">
      <c r="A20" s="43">
        <f t="shared" si="11"/>
        <v>13</v>
      </c>
      <c r="B20" s="44" t="s">
        <v>75</v>
      </c>
      <c r="C20" s="44" t="s">
        <v>76</v>
      </c>
      <c r="D20" s="108" t="s">
        <v>74</v>
      </c>
      <c r="E20" s="109">
        <v>773.011</v>
      </c>
      <c r="F20" s="109">
        <v>825.66</v>
      </c>
      <c r="G20" s="109">
        <v>891.777</v>
      </c>
      <c r="H20" s="54">
        <f t="shared" si="0"/>
        <v>2490.448</v>
      </c>
      <c r="I20" s="54">
        <f>坡道装饰工程量清单!I11</f>
        <v>10</v>
      </c>
      <c r="J20" s="54">
        <f>坡道装饰工程量清单!J11</f>
        <v>2.525</v>
      </c>
      <c r="K20" s="54">
        <f>坡道装饰工程量清单!K11</f>
        <v>1.3</v>
      </c>
      <c r="L20" s="54">
        <f t="shared" si="1"/>
        <v>1.3825</v>
      </c>
      <c r="M20" s="109">
        <f t="shared" si="2"/>
        <v>15.2075</v>
      </c>
      <c r="N20" s="98">
        <f t="shared" si="3"/>
        <v>37873.48796</v>
      </c>
      <c r="O20" s="50"/>
      <c r="P20" s="51"/>
      <c r="Q20" s="82"/>
      <c r="R20" s="105">
        <f t="shared" si="4"/>
        <v>0</v>
      </c>
      <c r="S20" s="110"/>
      <c r="T20" s="111"/>
      <c r="U20" s="112"/>
      <c r="V20" s="112"/>
      <c r="W20" s="112"/>
      <c r="X20" s="32">
        <f t="shared" si="5"/>
        <v>0</v>
      </c>
      <c r="Y20" s="102"/>
      <c r="Z20" s="102"/>
    </row>
    <row r="21" s="3" customFormat="1" ht="50" customHeight="1" outlineLevel="2" spans="1:26">
      <c r="A21" s="43">
        <f t="shared" si="11"/>
        <v>14</v>
      </c>
      <c r="B21" s="44" t="s">
        <v>141</v>
      </c>
      <c r="C21" s="44" t="s">
        <v>142</v>
      </c>
      <c r="D21" s="108" t="s">
        <v>74</v>
      </c>
      <c r="E21" s="109">
        <v>58.678</v>
      </c>
      <c r="F21" s="109">
        <v>54.291</v>
      </c>
      <c r="G21" s="109">
        <v>67.072</v>
      </c>
      <c r="H21" s="54">
        <f t="shared" si="0"/>
        <v>180.041</v>
      </c>
      <c r="I21" s="54">
        <f t="shared" si="6"/>
        <v>15</v>
      </c>
      <c r="J21" s="54">
        <f t="shared" si="7"/>
        <v>39.655</v>
      </c>
      <c r="K21" s="54">
        <f t="shared" si="8"/>
        <v>3.8</v>
      </c>
      <c r="L21" s="54">
        <f t="shared" si="1"/>
        <v>5.8455</v>
      </c>
      <c r="M21" s="109">
        <f t="shared" si="2"/>
        <v>64.3005</v>
      </c>
      <c r="N21" s="98">
        <f t="shared" si="3"/>
        <v>11576.7263205</v>
      </c>
      <c r="O21" s="50"/>
      <c r="P21" s="51"/>
      <c r="Q21" s="82"/>
      <c r="R21" s="105">
        <f t="shared" si="4"/>
        <v>58.455</v>
      </c>
      <c r="S21" s="114">
        <f>450*0.08+2.5</f>
        <v>38.5</v>
      </c>
      <c r="T21" s="33">
        <v>0.03</v>
      </c>
      <c r="U21" s="115">
        <v>15</v>
      </c>
      <c r="V21" s="115">
        <v>3.5</v>
      </c>
      <c r="W21" s="115">
        <v>0.3</v>
      </c>
      <c r="X21" s="32">
        <f t="shared" si="5"/>
        <v>10524.296655</v>
      </c>
      <c r="Y21" s="102"/>
      <c r="Z21" s="102"/>
    </row>
    <row r="22" s="4" customFormat="1" ht="15" customHeight="1" outlineLevel="1" spans="1:26">
      <c r="A22" s="89"/>
      <c r="B22" s="90" t="s">
        <v>83</v>
      </c>
      <c r="C22" s="91"/>
      <c r="D22" s="92"/>
      <c r="E22" s="106"/>
      <c r="F22" s="106"/>
      <c r="G22" s="106"/>
      <c r="H22" s="106"/>
      <c r="I22" s="106"/>
      <c r="J22" s="106"/>
      <c r="K22" s="106"/>
      <c r="L22" s="106"/>
      <c r="M22" s="106"/>
      <c r="N22" s="106">
        <f>SUM(N23:N28)</f>
        <v>1543983.55003409</v>
      </c>
      <c r="O22" s="94"/>
      <c r="P22" s="11"/>
      <c r="Q22" s="95"/>
      <c r="R22" s="105"/>
      <c r="S22" s="116"/>
      <c r="T22" s="117"/>
      <c r="U22" s="118"/>
      <c r="V22" s="118"/>
      <c r="W22" s="118"/>
      <c r="X22" s="32"/>
      <c r="Y22" s="107"/>
      <c r="Z22" s="107"/>
    </row>
    <row r="23" s="3" customFormat="1" ht="69" customHeight="1" outlineLevel="2" spans="1:26">
      <c r="A23" s="43">
        <v>1</v>
      </c>
      <c r="B23" s="44" t="s">
        <v>143</v>
      </c>
      <c r="C23" s="44" t="s">
        <v>144</v>
      </c>
      <c r="D23" s="45" t="s">
        <v>67</v>
      </c>
      <c r="E23" s="54">
        <v>114.15</v>
      </c>
      <c r="F23" s="54">
        <v>109.094</v>
      </c>
      <c r="G23" s="54">
        <v>113.278</v>
      </c>
      <c r="H23" s="54">
        <f t="shared" ref="H23:H28" si="12">E23+F23+G23</f>
        <v>336.522</v>
      </c>
      <c r="I23" s="54">
        <f>U23*$U$1</f>
        <v>135</v>
      </c>
      <c r="J23" s="54">
        <f>S23*(1+T23)*$S$1</f>
        <v>296.1825</v>
      </c>
      <c r="K23" s="54">
        <f>(V23+W23)*$V$1</f>
        <v>183.525</v>
      </c>
      <c r="L23" s="54">
        <f t="shared" ref="L23:L28" si="13">+SUM(I23:K23)*$L$3</f>
        <v>61.47075</v>
      </c>
      <c r="M23" s="109">
        <f t="shared" ref="M23:M28" si="14">SUM(I23:L23)</f>
        <v>676.17825</v>
      </c>
      <c r="N23" s="98">
        <f t="shared" ref="N23:N28" si="15">H23*M23</f>
        <v>227548.8570465</v>
      </c>
      <c r="O23" s="50"/>
      <c r="P23" s="119" t="str">
        <f>_xlfn.DISPIMG("ID_694C49779BC14336B1D5102133D742CD",1)</f>
        <v>=DISPIMG("ID_694C49779BC14336B1D5102133D742CD",1)</v>
      </c>
      <c r="Q23" s="82"/>
      <c r="R23" s="105">
        <f t="shared" si="4"/>
        <v>614.7075</v>
      </c>
      <c r="S23" s="120">
        <f>255*1.15</f>
        <v>293.25</v>
      </c>
      <c r="T23" s="111">
        <v>0.01</v>
      </c>
      <c r="U23" s="113">
        <v>135</v>
      </c>
      <c r="V23" s="113">
        <f>7.85*3*5.5+3.5+25*2</f>
        <v>183.025</v>
      </c>
      <c r="W23" s="113">
        <v>0.5</v>
      </c>
      <c r="X23" s="32">
        <f t="shared" si="5"/>
        <v>206862.597315</v>
      </c>
      <c r="Y23" s="102"/>
      <c r="Z23" s="102"/>
    </row>
    <row r="24" s="3" customFormat="1" ht="69" customHeight="1" outlineLevel="2" spans="1:26">
      <c r="A24" s="43">
        <v>2</v>
      </c>
      <c r="B24" s="44" t="s">
        <v>145</v>
      </c>
      <c r="C24" s="44" t="s">
        <v>146</v>
      </c>
      <c r="D24" s="45" t="s">
        <v>67</v>
      </c>
      <c r="E24" s="54">
        <f>1.32*(4.6*2+8.1+4.6*2+7.66+3.7*2+6.91+3.7*2+7.81)</f>
        <v>84.0576</v>
      </c>
      <c r="F24" s="54">
        <f>0.93*(4.6*2+8.1+4.6*2+7.66+3.34*2+6.1+3.7*2+7.81)</f>
        <v>57.7995</v>
      </c>
      <c r="G24" s="54">
        <f>1.03*(4.585*2+8.1+4.585*2+7.638+4.34*2+6.13+3.69*2+7.785)</f>
        <v>65.97459</v>
      </c>
      <c r="H24" s="54">
        <f t="shared" si="12"/>
        <v>207.83169</v>
      </c>
      <c r="I24" s="54">
        <f>U24*$U$1</f>
        <v>75</v>
      </c>
      <c r="J24" s="54">
        <f>S24*(1+T24)*$S$1</f>
        <v>0</v>
      </c>
      <c r="K24" s="54">
        <f>(V24+W24)*$V$1</f>
        <v>189.525</v>
      </c>
      <c r="L24" s="54">
        <f t="shared" si="13"/>
        <v>26.4525</v>
      </c>
      <c r="M24" s="109">
        <f t="shared" si="14"/>
        <v>290.9775</v>
      </c>
      <c r="N24" s="98">
        <f t="shared" si="15"/>
        <v>60474.345576975</v>
      </c>
      <c r="O24" s="50"/>
      <c r="P24" s="11"/>
      <c r="Q24" s="82"/>
      <c r="R24" s="105">
        <f t="shared" si="4"/>
        <v>264.525</v>
      </c>
      <c r="S24" s="110">
        <v>0</v>
      </c>
      <c r="T24" s="111">
        <v>0</v>
      </c>
      <c r="U24" s="112">
        <f>35+20*2</f>
        <v>75</v>
      </c>
      <c r="V24" s="112">
        <f>7.85*3*5.5+25*2+8.5</f>
        <v>188.025</v>
      </c>
      <c r="W24" s="112">
        <v>1.5</v>
      </c>
      <c r="X24" s="32">
        <f t="shared" si="5"/>
        <v>54976.67779725</v>
      </c>
      <c r="Y24" s="102"/>
      <c r="Z24" s="102"/>
    </row>
    <row r="25" s="3" customFormat="1" ht="69" customHeight="1" outlineLevel="2" spans="1:26">
      <c r="A25" s="43">
        <v>3</v>
      </c>
      <c r="B25" s="44" t="s">
        <v>147</v>
      </c>
      <c r="C25" s="44" t="s">
        <v>148</v>
      </c>
      <c r="D25" s="45" t="s">
        <v>67</v>
      </c>
      <c r="E25" s="54">
        <v>177.723</v>
      </c>
      <c r="F25" s="54">
        <v>152.639</v>
      </c>
      <c r="G25" s="54">
        <v>171.45</v>
      </c>
      <c r="H25" s="54">
        <f t="shared" si="12"/>
        <v>501.812</v>
      </c>
      <c r="I25" s="54">
        <f>U25*$U$1</f>
        <v>135</v>
      </c>
      <c r="J25" s="54">
        <f>S25*(1+T25)*$S$1</f>
        <v>257.55</v>
      </c>
      <c r="K25" s="54">
        <f>(V25+W25)*$V$1</f>
        <v>158.525</v>
      </c>
      <c r="L25" s="54">
        <f t="shared" si="13"/>
        <v>55.1075</v>
      </c>
      <c r="M25" s="109">
        <f t="shared" si="14"/>
        <v>606.1825</v>
      </c>
      <c r="N25" s="98">
        <f t="shared" si="15"/>
        <v>304189.65269</v>
      </c>
      <c r="O25" s="50"/>
      <c r="P25" s="11"/>
      <c r="Q25" s="82"/>
      <c r="R25" s="105">
        <f t="shared" si="4"/>
        <v>551.075</v>
      </c>
      <c r="S25" s="120">
        <v>255</v>
      </c>
      <c r="T25" s="111">
        <v>0.01</v>
      </c>
      <c r="U25" s="113">
        <v>135</v>
      </c>
      <c r="V25" s="113">
        <f>7.85*3*5.5+3.5+25</f>
        <v>158.025</v>
      </c>
      <c r="W25" s="113">
        <v>0.5</v>
      </c>
      <c r="X25" s="32">
        <f t="shared" si="5"/>
        <v>276536.0479</v>
      </c>
      <c r="Y25" s="102"/>
      <c r="Z25" s="102"/>
    </row>
    <row r="26" s="3" customFormat="1" ht="69" customHeight="1" outlineLevel="2" spans="1:26">
      <c r="A26" s="43">
        <v>4</v>
      </c>
      <c r="B26" s="44" t="s">
        <v>149</v>
      </c>
      <c r="C26" s="44" t="s">
        <v>150</v>
      </c>
      <c r="D26" s="45" t="s">
        <v>67</v>
      </c>
      <c r="E26" s="54">
        <f>(0.5+0.1)*2*(5.1+5.1+4.6+3.6+4.6+5.1+5.1)</f>
        <v>39.84</v>
      </c>
      <c r="F26" s="54">
        <f>(0.5+0.1)*2*(5.1+5.1+4.6+4.1+3.6+4.6+5.1+4.1+5.1)</f>
        <v>49.68</v>
      </c>
      <c r="G26" s="54">
        <f>(0.5+0.1)*2*(4.6+5.1+4.6+4.1+3.6+5.1+4.6+4.6+5.1+5.1+3.6)</f>
        <v>60.12</v>
      </c>
      <c r="H26" s="54">
        <f t="shared" si="12"/>
        <v>149.64</v>
      </c>
      <c r="I26" s="54">
        <f>U26*$U$1</f>
        <v>135</v>
      </c>
      <c r="J26" s="54">
        <f>S26*(1+T26)*$S$1</f>
        <v>257.55</v>
      </c>
      <c r="K26" s="54">
        <f>(V26+W26)*$V$1</f>
        <v>158.525</v>
      </c>
      <c r="L26" s="54">
        <f t="shared" si="13"/>
        <v>55.1075</v>
      </c>
      <c r="M26" s="109">
        <f t="shared" si="14"/>
        <v>606.1825</v>
      </c>
      <c r="N26" s="98">
        <f t="shared" si="15"/>
        <v>90709.1493</v>
      </c>
      <c r="O26" s="50"/>
      <c r="P26" s="11"/>
      <c r="Q26" s="82"/>
      <c r="R26" s="105">
        <f t="shared" si="4"/>
        <v>551.075</v>
      </c>
      <c r="S26" s="120">
        <v>255</v>
      </c>
      <c r="T26" s="111">
        <v>0.01</v>
      </c>
      <c r="U26" s="113">
        <v>135</v>
      </c>
      <c r="V26" s="113">
        <f>7.85*3*5.5+3.5+25</f>
        <v>158.025</v>
      </c>
      <c r="W26" s="113">
        <v>0.5</v>
      </c>
      <c r="X26" s="32">
        <f t="shared" si="5"/>
        <v>82462.863</v>
      </c>
      <c r="Y26" s="102"/>
      <c r="Z26" s="102"/>
    </row>
    <row r="27" s="3" customFormat="1" ht="69" customHeight="1" outlineLevel="2" spans="1:26">
      <c r="A27" s="43">
        <v>5</v>
      </c>
      <c r="B27" s="44" t="s">
        <v>115</v>
      </c>
      <c r="C27" s="44" t="s">
        <v>116</v>
      </c>
      <c r="D27" s="45" t="s">
        <v>74</v>
      </c>
      <c r="E27" s="54">
        <v>453.839</v>
      </c>
      <c r="F27" s="54">
        <v>460.958</v>
      </c>
      <c r="G27" s="54">
        <v>492.778</v>
      </c>
      <c r="H27" s="54">
        <f t="shared" si="12"/>
        <v>1407.575</v>
      </c>
      <c r="I27" s="54">
        <f>坡道装饰工程量清单!I32</f>
        <v>55</v>
      </c>
      <c r="J27" s="54">
        <f>坡道装饰工程量清单!J32</f>
        <v>167.4075</v>
      </c>
      <c r="K27" s="54">
        <f>坡道装饰工程量清单!K32</f>
        <v>107.65</v>
      </c>
      <c r="L27" s="54">
        <f t="shared" si="13"/>
        <v>33.00575</v>
      </c>
      <c r="M27" s="109">
        <f t="shared" si="14"/>
        <v>363.06325</v>
      </c>
      <c r="N27" s="98">
        <f t="shared" si="15"/>
        <v>511038.75411875</v>
      </c>
      <c r="O27" s="50"/>
      <c r="P27" s="51"/>
      <c r="Q27" s="121" t="str">
        <f>_xlfn.DISPIMG("ID_804D414A39A44E389CF75EFDA0C8509A",1)</f>
        <v>=DISPIMG("ID_804D414A39A44E389CF75EFDA0C8509A",1)</v>
      </c>
      <c r="R27" s="105">
        <f t="shared" si="4"/>
        <v>0</v>
      </c>
      <c r="S27" s="110"/>
      <c r="T27" s="111"/>
      <c r="U27" s="112"/>
      <c r="V27" s="112"/>
      <c r="W27" s="112"/>
      <c r="X27" s="32">
        <f t="shared" si="5"/>
        <v>0</v>
      </c>
      <c r="Y27" s="102"/>
      <c r="Z27" s="102"/>
    </row>
    <row r="28" s="3" customFormat="1" ht="78" customHeight="1" outlineLevel="2" spans="1:26">
      <c r="A28" s="43">
        <v>6</v>
      </c>
      <c r="B28" s="44" t="s">
        <v>151</v>
      </c>
      <c r="C28" s="44" t="s">
        <v>152</v>
      </c>
      <c r="D28" s="45" t="s">
        <v>67</v>
      </c>
      <c r="E28" s="54">
        <f>3172.22-E23-E25+E24</f>
        <v>2964.4046</v>
      </c>
      <c r="F28" s="54">
        <f>3171.825-F23-F25+F24</f>
        <v>2967.8915</v>
      </c>
      <c r="G28" s="54">
        <f>3581.113-G23-G25+G24</f>
        <v>3362.35959</v>
      </c>
      <c r="H28" s="54">
        <f t="shared" si="12"/>
        <v>9294.65569</v>
      </c>
      <c r="I28" s="54">
        <f>坡道装饰工程量清单!I27</f>
        <v>22.5</v>
      </c>
      <c r="J28" s="54">
        <f>坡道装饰工程量清单!J27</f>
        <v>5.555</v>
      </c>
      <c r="K28" s="54">
        <f>坡道装饰工程量清单!K27</f>
        <v>6.18</v>
      </c>
      <c r="L28" s="54">
        <f t="shared" si="13"/>
        <v>3.4235</v>
      </c>
      <c r="M28" s="109">
        <f t="shared" si="14"/>
        <v>37.6585</v>
      </c>
      <c r="N28" s="98">
        <f t="shared" si="15"/>
        <v>350022.791301865</v>
      </c>
      <c r="O28" s="50"/>
      <c r="P28" s="51"/>
      <c r="Q28" s="82"/>
      <c r="R28" s="105">
        <f t="shared" si="4"/>
        <v>0</v>
      </c>
      <c r="S28" s="110"/>
      <c r="T28" s="111"/>
      <c r="U28" s="112"/>
      <c r="V28" s="112"/>
      <c r="W28" s="112"/>
      <c r="X28" s="32">
        <f t="shared" si="5"/>
        <v>0</v>
      </c>
      <c r="Y28" s="102"/>
      <c r="Z28" s="102"/>
    </row>
    <row r="29" s="4" customFormat="1" ht="15" customHeight="1" outlineLevel="1" spans="1:26">
      <c r="A29" s="89"/>
      <c r="B29" s="90" t="s">
        <v>153</v>
      </c>
      <c r="C29" s="91"/>
      <c r="D29" s="92"/>
      <c r="E29" s="106"/>
      <c r="F29" s="106"/>
      <c r="G29" s="106"/>
      <c r="H29" s="106"/>
      <c r="I29" s="106"/>
      <c r="J29" s="106"/>
      <c r="K29" s="106"/>
      <c r="L29" s="106"/>
      <c r="M29" s="106"/>
      <c r="N29" s="106">
        <f>SUM(N30:N39)</f>
        <v>81837.7882526921</v>
      </c>
      <c r="O29" s="94"/>
      <c r="P29" s="11"/>
      <c r="Q29" s="95"/>
      <c r="R29" s="105">
        <f t="shared" si="4"/>
        <v>0</v>
      </c>
      <c r="S29" s="116"/>
      <c r="T29" s="117"/>
      <c r="U29" s="118"/>
      <c r="V29" s="118"/>
      <c r="W29" s="118"/>
      <c r="X29" s="32">
        <f t="shared" si="5"/>
        <v>0</v>
      </c>
      <c r="Y29" s="107"/>
      <c r="Z29" s="107"/>
    </row>
    <row r="30" s="3" customFormat="1" ht="50" customHeight="1" outlineLevel="2" spans="1:26">
      <c r="A30" s="43">
        <v>1</v>
      </c>
      <c r="B30" s="44" t="s">
        <v>154</v>
      </c>
      <c r="C30" s="122" t="s">
        <v>155</v>
      </c>
      <c r="D30" s="45" t="s">
        <v>156</v>
      </c>
      <c r="E30" s="109">
        <v>1</v>
      </c>
      <c r="F30" s="109">
        <v>1</v>
      </c>
      <c r="G30" s="109">
        <v>1</v>
      </c>
      <c r="H30" s="54">
        <f t="shared" ref="H30:H39" si="16">E30+F30+G30</f>
        <v>3</v>
      </c>
      <c r="I30" s="54">
        <f>U30*$U$1</f>
        <v>291.72</v>
      </c>
      <c r="J30" s="54">
        <f>S30*(1+T30)*$S$1</f>
        <v>0</v>
      </c>
      <c r="K30" s="54">
        <f>(V30+W30)*$V$1</f>
        <v>626.796392821133</v>
      </c>
      <c r="L30" s="54">
        <f t="shared" ref="L30:L39" si="17">+SUM(I30:K30)*$L$3</f>
        <v>91.8516392821133</v>
      </c>
      <c r="M30" s="109">
        <f t="shared" ref="M30:M39" si="18">SUM(I30:L30)</f>
        <v>1010.36803210325</v>
      </c>
      <c r="N30" s="98">
        <f t="shared" ref="N30:N39" si="19">H30*M30</f>
        <v>3031.10409630974</v>
      </c>
      <c r="O30" s="50"/>
      <c r="P30" s="51"/>
      <c r="Q30" s="82"/>
      <c r="R30" s="105">
        <f t="shared" si="4"/>
        <v>918.516392821133</v>
      </c>
      <c r="S30" s="60">
        <v>0</v>
      </c>
      <c r="T30" s="123">
        <v>0</v>
      </c>
      <c r="U30" s="124">
        <f>165*0.8*2.21</f>
        <v>291.72</v>
      </c>
      <c r="V30" s="124">
        <f t="shared" ref="V30:V33" si="20">((27.3*5+30*2+25+25+16.5)/(0.87*1.14)+33.5+55)*0.8*2.21</f>
        <v>625.296392821133</v>
      </c>
      <c r="W30" s="60">
        <v>1.5</v>
      </c>
      <c r="X30" s="32">
        <f t="shared" si="5"/>
        <v>2755.5491784634</v>
      </c>
      <c r="Y30" s="102"/>
      <c r="Z30" s="102"/>
    </row>
    <row r="31" s="3" customFormat="1" ht="50" customHeight="1" outlineLevel="2" spans="1:26">
      <c r="A31" s="43">
        <f t="shared" ref="A31:A39" si="21">A30+1</f>
        <v>2</v>
      </c>
      <c r="B31" s="44" t="s">
        <v>157</v>
      </c>
      <c r="C31" s="122" t="s">
        <v>158</v>
      </c>
      <c r="D31" s="45" t="s">
        <v>156</v>
      </c>
      <c r="E31" s="109">
        <v>1</v>
      </c>
      <c r="F31" s="109">
        <v>1</v>
      </c>
      <c r="G31" s="109">
        <v>0</v>
      </c>
      <c r="H31" s="54">
        <f t="shared" si="16"/>
        <v>2</v>
      </c>
      <c r="I31" s="54">
        <f t="shared" ref="I31:I39" si="22">U31*$U$1</f>
        <v>376.25</v>
      </c>
      <c r="J31" s="54">
        <f t="shared" ref="J31:J39" si="23">S31*(1+T31)*$S$1</f>
        <v>722.4</v>
      </c>
      <c r="K31" s="54">
        <f t="shared" ref="K31:K39" si="24">(V31+W31)*$V$1</f>
        <v>533.780017644686</v>
      </c>
      <c r="L31" s="54">
        <f t="shared" si="17"/>
        <v>163.243001764469</v>
      </c>
      <c r="M31" s="109">
        <f t="shared" si="18"/>
        <v>1795.67301940915</v>
      </c>
      <c r="N31" s="98">
        <f t="shared" si="19"/>
        <v>3591.34603881831</v>
      </c>
      <c r="O31" s="50"/>
      <c r="P31" s="51"/>
      <c r="Q31" s="82"/>
      <c r="R31" s="105">
        <f t="shared" si="4"/>
        <v>1632.43001764469</v>
      </c>
      <c r="S31" s="120">
        <f>480*0.7*2.15</f>
        <v>722.4</v>
      </c>
      <c r="T31" s="123">
        <v>0</v>
      </c>
      <c r="U31" s="124">
        <f>250*0.7*2.15</f>
        <v>376.25</v>
      </c>
      <c r="V31" s="124">
        <f>((27.3*5+30*2+25+25+16.5)/(0.87*1.14)+33.5+55)*0.7*2.15</f>
        <v>532.280017644686</v>
      </c>
      <c r="W31" s="60">
        <v>1.5</v>
      </c>
      <c r="X31" s="32">
        <f t="shared" si="5"/>
        <v>3264.86003528937</v>
      </c>
      <c r="Y31" s="102"/>
      <c r="Z31" s="102"/>
    </row>
    <row r="32" s="3" customFormat="1" ht="54" customHeight="1" outlineLevel="2" spans="1:26">
      <c r="A32" s="43">
        <f t="shared" si="21"/>
        <v>3</v>
      </c>
      <c r="B32" s="44" t="s">
        <v>159</v>
      </c>
      <c r="C32" s="122" t="s">
        <v>160</v>
      </c>
      <c r="D32" s="45" t="s">
        <v>156</v>
      </c>
      <c r="E32" s="109">
        <v>3</v>
      </c>
      <c r="F32" s="109">
        <v>3</v>
      </c>
      <c r="G32" s="109">
        <v>1</v>
      </c>
      <c r="H32" s="54">
        <f t="shared" si="16"/>
        <v>7</v>
      </c>
      <c r="I32" s="54">
        <f t="shared" si="22"/>
        <v>442</v>
      </c>
      <c r="J32" s="54">
        <f t="shared" si="23"/>
        <v>848.64</v>
      </c>
      <c r="K32" s="54">
        <f t="shared" si="24"/>
        <v>626.796392821133</v>
      </c>
      <c r="L32" s="54">
        <f t="shared" si="17"/>
        <v>191.743639282113</v>
      </c>
      <c r="M32" s="109">
        <f t="shared" si="18"/>
        <v>2109.18003210325</v>
      </c>
      <c r="N32" s="98">
        <f t="shared" si="19"/>
        <v>14764.2602247227</v>
      </c>
      <c r="O32" s="50"/>
      <c r="P32" s="51"/>
      <c r="Q32" s="82"/>
      <c r="R32" s="105">
        <f t="shared" si="4"/>
        <v>1917.43639282113</v>
      </c>
      <c r="S32" s="120">
        <f>480*0.8*2.21</f>
        <v>848.64</v>
      </c>
      <c r="T32" s="123">
        <v>0</v>
      </c>
      <c r="U32" s="124">
        <f>250*0.8*2.21</f>
        <v>442</v>
      </c>
      <c r="V32" s="124">
        <f t="shared" si="20"/>
        <v>625.296392821133</v>
      </c>
      <c r="W32" s="60">
        <v>1.5</v>
      </c>
      <c r="X32" s="32">
        <f t="shared" si="5"/>
        <v>13422.0547497479</v>
      </c>
      <c r="Y32" s="102"/>
      <c r="Z32" s="102"/>
    </row>
    <row r="33" s="3" customFormat="1" ht="54" customHeight="1" outlineLevel="2" spans="1:26">
      <c r="A33" s="43">
        <f t="shared" si="21"/>
        <v>4</v>
      </c>
      <c r="B33" s="44" t="s">
        <v>161</v>
      </c>
      <c r="C33" s="122" t="s">
        <v>162</v>
      </c>
      <c r="D33" s="45" t="s">
        <v>156</v>
      </c>
      <c r="E33" s="109">
        <v>0</v>
      </c>
      <c r="F33" s="109">
        <v>2</v>
      </c>
      <c r="G33" s="109">
        <v>0</v>
      </c>
      <c r="H33" s="54">
        <f t="shared" si="16"/>
        <v>2</v>
      </c>
      <c r="I33" s="54">
        <f t="shared" si="22"/>
        <v>715</v>
      </c>
      <c r="J33" s="54">
        <f t="shared" si="23"/>
        <v>1372.8</v>
      </c>
      <c r="K33" s="54">
        <f t="shared" si="24"/>
        <v>1013.00887074007</v>
      </c>
      <c r="L33" s="54">
        <f t="shared" si="17"/>
        <v>310.080887074007</v>
      </c>
      <c r="M33" s="109">
        <f t="shared" si="18"/>
        <v>3410.88975781408</v>
      </c>
      <c r="N33" s="98">
        <f t="shared" si="19"/>
        <v>6821.77951562815</v>
      </c>
      <c r="O33" s="50"/>
      <c r="P33" s="51"/>
      <c r="Q33" s="82"/>
      <c r="R33" s="105">
        <f t="shared" si="4"/>
        <v>3100.80887074007</v>
      </c>
      <c r="S33" s="120">
        <f>480*1.3*2.2</f>
        <v>1372.8</v>
      </c>
      <c r="T33" s="123">
        <v>0</v>
      </c>
      <c r="U33" s="124">
        <f>250*1.3*2.2</f>
        <v>715</v>
      </c>
      <c r="V33" s="124">
        <f>((27.3*5+30*2+25+25+16.5)/(0.87*1.14)+33.5+55)*1.3*2.2</f>
        <v>1011.50887074007</v>
      </c>
      <c r="W33" s="60">
        <v>1.5</v>
      </c>
      <c r="X33" s="32">
        <f t="shared" si="5"/>
        <v>6201.61774148014</v>
      </c>
      <c r="Y33" s="102"/>
      <c r="Z33" s="102"/>
    </row>
    <row r="34" s="3" customFormat="1" ht="54" customHeight="1" outlineLevel="2" spans="1:26">
      <c r="A34" s="43">
        <f t="shared" si="21"/>
        <v>5</v>
      </c>
      <c r="B34" s="44" t="s">
        <v>163</v>
      </c>
      <c r="C34" s="122" t="s">
        <v>164</v>
      </c>
      <c r="D34" s="45" t="s">
        <v>156</v>
      </c>
      <c r="E34" s="109">
        <v>2</v>
      </c>
      <c r="F34" s="109">
        <v>2</v>
      </c>
      <c r="G34" s="109">
        <v>1</v>
      </c>
      <c r="H34" s="54">
        <f t="shared" si="16"/>
        <v>5</v>
      </c>
      <c r="I34" s="54">
        <f t="shared" si="22"/>
        <v>497.25</v>
      </c>
      <c r="J34" s="54">
        <f t="shared" si="23"/>
        <v>954.72</v>
      </c>
      <c r="K34" s="54">
        <f t="shared" si="24"/>
        <v>704.958441923775</v>
      </c>
      <c r="L34" s="54">
        <f t="shared" si="17"/>
        <v>215.692844192378</v>
      </c>
      <c r="M34" s="109">
        <f t="shared" si="18"/>
        <v>2372.62128611615</v>
      </c>
      <c r="N34" s="98">
        <f t="shared" si="19"/>
        <v>11863.1064305808</v>
      </c>
      <c r="O34" s="50"/>
      <c r="P34" s="51"/>
      <c r="Q34" s="82"/>
      <c r="R34" s="105">
        <f t="shared" si="4"/>
        <v>2156.92844192378</v>
      </c>
      <c r="S34" s="120">
        <f>480*0.9*2.21</f>
        <v>954.72</v>
      </c>
      <c r="T34" s="123">
        <v>0</v>
      </c>
      <c r="U34" s="124">
        <f>250*0.9*2.21</f>
        <v>497.25</v>
      </c>
      <c r="V34" s="124">
        <f>((27.3*5+30*2+25+25+16.5)/(0.87*1.14)+33.5+55)*0.9*2.21</f>
        <v>703.458441923775</v>
      </c>
      <c r="W34" s="60">
        <v>1.5</v>
      </c>
      <c r="X34" s="32">
        <f t="shared" si="5"/>
        <v>10784.6422096189</v>
      </c>
      <c r="Y34" s="102"/>
      <c r="Z34" s="102"/>
    </row>
    <row r="35" s="3" customFormat="1" ht="54" customHeight="1" outlineLevel="2" spans="1:26">
      <c r="A35" s="43">
        <f t="shared" si="21"/>
        <v>6</v>
      </c>
      <c r="B35" s="44" t="s">
        <v>165</v>
      </c>
      <c r="C35" s="122" t="s">
        <v>166</v>
      </c>
      <c r="D35" s="45" t="s">
        <v>156</v>
      </c>
      <c r="E35" s="109">
        <v>1</v>
      </c>
      <c r="F35" s="109">
        <v>0</v>
      </c>
      <c r="G35" s="109">
        <v>0</v>
      </c>
      <c r="H35" s="54">
        <f t="shared" si="16"/>
        <v>1</v>
      </c>
      <c r="I35" s="54">
        <f t="shared" si="22"/>
        <v>552.5</v>
      </c>
      <c r="J35" s="54">
        <f t="shared" si="23"/>
        <v>1060.8</v>
      </c>
      <c r="K35" s="54">
        <f t="shared" si="24"/>
        <v>783.120491026417</v>
      </c>
      <c r="L35" s="54">
        <f t="shared" si="17"/>
        <v>239.642049102642</v>
      </c>
      <c r="M35" s="109">
        <f t="shared" si="18"/>
        <v>2636.06254012906</v>
      </c>
      <c r="N35" s="98">
        <f t="shared" si="19"/>
        <v>2636.06254012906</v>
      </c>
      <c r="O35" s="50"/>
      <c r="P35" s="51"/>
      <c r="Q35" s="82"/>
      <c r="R35" s="105">
        <f t="shared" si="4"/>
        <v>2396.42049102642</v>
      </c>
      <c r="S35" s="120">
        <f>480*1*2.21</f>
        <v>1060.8</v>
      </c>
      <c r="T35" s="123">
        <v>0</v>
      </c>
      <c r="U35" s="124">
        <f>250*1*2.21</f>
        <v>552.5</v>
      </c>
      <c r="V35" s="124">
        <f>((27.3*5+30*2+25+25+16.5)/(0.87*1.14)+33.5+55)*1*2.21</f>
        <v>781.620491026417</v>
      </c>
      <c r="W35" s="60">
        <v>1.5</v>
      </c>
      <c r="X35" s="32">
        <f t="shared" si="5"/>
        <v>2396.42049102642</v>
      </c>
      <c r="Y35" s="102"/>
      <c r="Z35" s="102"/>
    </row>
    <row r="36" s="3" customFormat="1" ht="50" customHeight="1" outlineLevel="2" spans="1:26">
      <c r="A36" s="43">
        <f t="shared" si="21"/>
        <v>7</v>
      </c>
      <c r="B36" s="44" t="s">
        <v>167</v>
      </c>
      <c r="C36" s="122" t="s">
        <v>168</v>
      </c>
      <c r="D36" s="45" t="s">
        <v>156</v>
      </c>
      <c r="E36" s="109">
        <v>0</v>
      </c>
      <c r="F36" s="109">
        <v>0</v>
      </c>
      <c r="G36" s="109">
        <v>1</v>
      </c>
      <c r="H36" s="54">
        <f t="shared" si="16"/>
        <v>1</v>
      </c>
      <c r="I36" s="54">
        <f t="shared" si="22"/>
        <v>474.045</v>
      </c>
      <c r="J36" s="54">
        <f t="shared" si="23"/>
        <v>0</v>
      </c>
      <c r="K36" s="54">
        <f t="shared" si="24"/>
        <v>1017.60663833434</v>
      </c>
      <c r="L36" s="54">
        <f t="shared" si="17"/>
        <v>149.165163833434</v>
      </c>
      <c r="M36" s="109">
        <f t="shared" si="18"/>
        <v>1640.81680216777</v>
      </c>
      <c r="N36" s="98">
        <f t="shared" si="19"/>
        <v>1640.81680216777</v>
      </c>
      <c r="O36" s="50"/>
      <c r="P36" s="51"/>
      <c r="Q36" s="82"/>
      <c r="R36" s="105">
        <f t="shared" si="4"/>
        <v>1491.65163833434</v>
      </c>
      <c r="S36" s="125">
        <v>0</v>
      </c>
      <c r="T36" s="123">
        <v>0</v>
      </c>
      <c r="U36" s="124">
        <f>165*1.3*2.21</f>
        <v>474.045</v>
      </c>
      <c r="V36" s="124">
        <f>((27.3*5+30*2+25+25+16.5)/(0.87*1.14)+33.5+55)*1.3*2.21</f>
        <v>1016.10663833434</v>
      </c>
      <c r="W36" s="60">
        <v>1.5</v>
      </c>
      <c r="X36" s="32">
        <f t="shared" si="5"/>
        <v>1491.65163833434</v>
      </c>
      <c r="Y36" s="102"/>
      <c r="Z36" s="102"/>
    </row>
    <row r="37" s="3" customFormat="1" ht="53" customHeight="1" outlineLevel="2" spans="1:26">
      <c r="A37" s="43">
        <f t="shared" si="21"/>
        <v>8</v>
      </c>
      <c r="B37" s="44" t="s">
        <v>169</v>
      </c>
      <c r="C37" s="122" t="s">
        <v>170</v>
      </c>
      <c r="D37" s="45" t="s">
        <v>156</v>
      </c>
      <c r="E37" s="109">
        <v>2</v>
      </c>
      <c r="F37" s="109">
        <v>0</v>
      </c>
      <c r="G37" s="109">
        <v>0</v>
      </c>
      <c r="H37" s="54">
        <f t="shared" si="16"/>
        <v>2</v>
      </c>
      <c r="I37" s="54">
        <f t="shared" si="22"/>
        <v>718.25</v>
      </c>
      <c r="J37" s="54">
        <f t="shared" si="23"/>
        <v>1379.04</v>
      </c>
      <c r="K37" s="54">
        <f t="shared" si="24"/>
        <v>1017.60663833434</v>
      </c>
      <c r="L37" s="54">
        <f t="shared" si="17"/>
        <v>311.489663833434</v>
      </c>
      <c r="M37" s="109">
        <f t="shared" si="18"/>
        <v>3426.38630216777</v>
      </c>
      <c r="N37" s="98">
        <f t="shared" si="19"/>
        <v>6852.77260433555</v>
      </c>
      <c r="O37" s="50"/>
      <c r="P37" s="51"/>
      <c r="Q37" s="82"/>
      <c r="R37" s="105">
        <f t="shared" si="4"/>
        <v>3114.89663833434</v>
      </c>
      <c r="S37" s="120">
        <f>480*1.3*2.21</f>
        <v>1379.04</v>
      </c>
      <c r="T37" s="123">
        <v>0</v>
      </c>
      <c r="U37" s="124">
        <f>250*1.3*2.21</f>
        <v>718.25</v>
      </c>
      <c r="V37" s="124">
        <f>((27.3*5+30*2+25+25+16.5)/(0.87*1.14)+33.5+55)*1.3*2.21</f>
        <v>1016.10663833434</v>
      </c>
      <c r="W37" s="60">
        <v>1.5</v>
      </c>
      <c r="X37" s="32">
        <f t="shared" si="5"/>
        <v>6229.79327666868</v>
      </c>
      <c r="Y37" s="102"/>
      <c r="Z37" s="102"/>
    </row>
    <row r="38" s="3" customFormat="1" ht="53" customHeight="1" outlineLevel="2" spans="1:26">
      <c r="A38" s="43">
        <f t="shared" si="21"/>
        <v>9</v>
      </c>
      <c r="B38" s="44" t="s">
        <v>171</v>
      </c>
      <c r="C38" s="122" t="s">
        <v>172</v>
      </c>
      <c r="D38" s="118" t="s">
        <v>173</v>
      </c>
      <c r="E38" s="109">
        <v>96</v>
      </c>
      <c r="F38" s="109">
        <v>114</v>
      </c>
      <c r="G38" s="109">
        <v>129</v>
      </c>
      <c r="H38" s="54">
        <f t="shared" si="16"/>
        <v>339</v>
      </c>
      <c r="I38" s="54">
        <f t="shared" si="22"/>
        <v>8</v>
      </c>
      <c r="J38" s="54">
        <f t="shared" si="23"/>
        <v>32</v>
      </c>
      <c r="K38" s="54">
        <f t="shared" si="24"/>
        <v>0.2</v>
      </c>
      <c r="L38" s="54">
        <f t="shared" si="17"/>
        <v>4.02</v>
      </c>
      <c r="M38" s="109">
        <f t="shared" si="18"/>
        <v>44.22</v>
      </c>
      <c r="N38" s="98">
        <f t="shared" si="19"/>
        <v>14990.58</v>
      </c>
      <c r="O38" s="50"/>
      <c r="P38" s="51"/>
      <c r="Q38" s="82"/>
      <c r="R38" s="105">
        <f t="shared" si="4"/>
        <v>40.2</v>
      </c>
      <c r="S38" s="126">
        <v>32</v>
      </c>
      <c r="T38" s="111">
        <v>0</v>
      </c>
      <c r="U38" s="112">
        <v>8</v>
      </c>
      <c r="V38" s="112">
        <v>0.2</v>
      </c>
      <c r="W38" s="112">
        <v>0</v>
      </c>
      <c r="X38" s="32">
        <f t="shared" si="5"/>
        <v>13627.8</v>
      </c>
      <c r="Y38" s="102"/>
      <c r="Z38" s="102"/>
    </row>
    <row r="39" s="3" customFormat="1" ht="53" customHeight="1" outlineLevel="2" spans="1:26">
      <c r="A39" s="43">
        <f t="shared" si="21"/>
        <v>10</v>
      </c>
      <c r="B39" s="44" t="s">
        <v>174</v>
      </c>
      <c r="C39" s="122" t="s">
        <v>175</v>
      </c>
      <c r="D39" s="118" t="s">
        <v>173</v>
      </c>
      <c r="E39" s="109">
        <v>29</v>
      </c>
      <c r="F39" s="109">
        <v>39</v>
      </c>
      <c r="G39" s="109">
        <v>40</v>
      </c>
      <c r="H39" s="54">
        <f t="shared" si="16"/>
        <v>108</v>
      </c>
      <c r="I39" s="54">
        <f t="shared" si="22"/>
        <v>35</v>
      </c>
      <c r="J39" s="54">
        <f t="shared" si="23"/>
        <v>95</v>
      </c>
      <c r="K39" s="54">
        <f t="shared" si="24"/>
        <v>1.7</v>
      </c>
      <c r="L39" s="54">
        <f t="shared" si="17"/>
        <v>13.17</v>
      </c>
      <c r="M39" s="109">
        <f t="shared" si="18"/>
        <v>144.87</v>
      </c>
      <c r="N39" s="98">
        <f t="shared" si="19"/>
        <v>15645.96</v>
      </c>
      <c r="O39" s="50"/>
      <c r="P39" s="51"/>
      <c r="Q39" s="82"/>
      <c r="R39" s="105">
        <f t="shared" si="4"/>
        <v>131.7</v>
      </c>
      <c r="S39" s="126">
        <v>95</v>
      </c>
      <c r="T39" s="111">
        <v>0</v>
      </c>
      <c r="U39" s="112">
        <v>35</v>
      </c>
      <c r="V39" s="112">
        <v>1.5</v>
      </c>
      <c r="W39" s="112">
        <v>0.2</v>
      </c>
      <c r="X39" s="32">
        <f t="shared" si="5"/>
        <v>14223.6</v>
      </c>
      <c r="Y39" s="102"/>
      <c r="Z39" s="102"/>
    </row>
    <row r="40" s="2" customFormat="1" ht="25" customHeight="1" spans="1:26">
      <c r="A40" s="87" t="s">
        <v>117</v>
      </c>
      <c r="B40" s="87" t="s">
        <v>118</v>
      </c>
      <c r="C40" s="87"/>
      <c r="D40" s="87"/>
      <c r="E40" s="87"/>
      <c r="F40" s="87"/>
      <c r="G40" s="87"/>
      <c r="H40" s="87"/>
      <c r="I40" s="87"/>
      <c r="J40" s="87"/>
      <c r="K40" s="87"/>
      <c r="L40" s="87"/>
      <c r="M40" s="87"/>
      <c r="N40" s="88">
        <f>N5</f>
        <v>2344307.57421853</v>
      </c>
      <c r="O40" s="87"/>
      <c r="R40" s="105"/>
      <c r="S40" s="127"/>
      <c r="T40" s="128"/>
      <c r="U40" s="129"/>
      <c r="V40" s="129"/>
      <c r="W40" s="129"/>
      <c r="X40" s="129"/>
      <c r="Y40" s="104"/>
      <c r="Z40" s="104"/>
    </row>
  </sheetData>
  <autoFilter xmlns:etc="http://www.wps.cn/officeDocument/2017/etCustomData" ref="A2:P40" etc:filterBottomFollowUsedRange="0">
    <extLst/>
  </autoFilter>
  <mergeCells count="12">
    <mergeCell ref="A1:O1"/>
    <mergeCell ref="A2:A4"/>
    <mergeCell ref="B2:B4"/>
    <mergeCell ref="C2:C4"/>
    <mergeCell ref="D2:D4"/>
    <mergeCell ref="H2:H4"/>
    <mergeCell ref="I3:I4"/>
    <mergeCell ref="J3:J4"/>
    <mergeCell ref="K3:K4"/>
    <mergeCell ref="M3:M4"/>
    <mergeCell ref="N3:N4"/>
    <mergeCell ref="O2:O4"/>
  </mergeCells>
  <conditionalFormatting sqref="B2">
    <cfRule type="duplicateValues" dxfId="0" priority="1"/>
  </conditionalFormatting>
  <conditionalFormatting sqref="B5">
    <cfRule type="duplicateValues" dxfId="0" priority="9"/>
  </conditionalFormatting>
  <conditionalFormatting sqref="B6">
    <cfRule type="duplicateValues" dxfId="0" priority="2"/>
  </conditionalFormatting>
  <conditionalFormatting sqref="B22">
    <cfRule type="duplicateValues" dxfId="0" priority="8"/>
  </conditionalFormatting>
  <conditionalFormatting sqref="B29">
    <cfRule type="duplicateValues" dxfId="0" priority="7"/>
  </conditionalFormatting>
  <conditionalFormatting sqref="B40">
    <cfRule type="duplicateValues" dxfId="0" priority="3"/>
  </conditionalFormatting>
  <printOptions horizontalCentered="1"/>
  <pageMargins left="0.393055555555556" right="0.393055555555556" top="0.235416666666667" bottom="0.15625" header="0.55" footer="0.235416666666667"/>
  <pageSetup paperSize="9" scale="91" fitToHeight="0" orientation="landscape" blackAndWhite="1" horizontalDpi="600"/>
  <headerFooter>
    <oddFooter>&amp;C第 &amp;P 页，共 &amp;N 页</oddFooter>
  </headerFooter>
  <rowBreaks count="6" manualBreakCount="6">
    <brk id="35" max="14" man="1"/>
    <brk id="40" max="16383" man="1"/>
    <brk id="40" max="16383" man="1"/>
    <brk id="40" max="16383" man="1"/>
    <brk id="40" max="16383" man="1"/>
    <brk id="40"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R18"/>
  <sheetViews>
    <sheetView view="pageBreakPreview" zoomScaleNormal="100" workbookViewId="0">
      <pane xSplit="4" ySplit="2" topLeftCell="H11" activePane="bottomRight" state="frozen"/>
      <selection/>
      <selection pane="topRight"/>
      <selection pane="bottomLeft"/>
      <selection pane="bottomRight" activeCell="O18" sqref="O18"/>
    </sheetView>
  </sheetViews>
  <sheetFormatPr defaultColWidth="9.64166666666667" defaultRowHeight="11.25"/>
  <cols>
    <col min="1" max="1" width="6.98333333333333" style="5" customWidth="1"/>
    <col min="2" max="2" width="24.1083333333333" style="6" customWidth="1"/>
    <col min="3" max="3" width="49" style="5" customWidth="1"/>
    <col min="4" max="4" width="5.63333333333333" style="5" customWidth="1"/>
    <col min="5" max="7" width="12.3833333333333" style="7" customWidth="1" outlineLevel="1"/>
    <col min="8" max="8" width="12.3833333333333" style="7" customWidth="1"/>
    <col min="9" max="12" width="12.3833333333333" style="7" customWidth="1" outlineLevel="1"/>
    <col min="13" max="13" width="9.40833333333333" style="7" customWidth="1"/>
    <col min="14" max="14" width="12.6333333333333" style="74" customWidth="1"/>
    <col min="15" max="15" width="16.0666666666667" style="9" customWidth="1"/>
    <col min="16" max="16" width="5.63333333333333" style="9" customWidth="1"/>
    <col min="17" max="17" width="10" style="82"/>
    <col min="18" max="18" width="12.5" style="5" customWidth="1"/>
    <col min="19" max="16384" width="10" style="5"/>
  </cols>
  <sheetData>
    <row r="1" s="5" customFormat="1" ht="44" customHeight="1" spans="1:18">
      <c r="A1" s="83" t="s">
        <v>36</v>
      </c>
      <c r="B1" s="84"/>
      <c r="C1" s="77"/>
      <c r="D1" s="77"/>
      <c r="E1" s="85"/>
      <c r="F1" s="85"/>
      <c r="G1" s="85"/>
      <c r="H1" s="85"/>
      <c r="I1" s="85"/>
      <c r="J1" s="85"/>
      <c r="K1" s="85"/>
      <c r="L1" s="85"/>
      <c r="M1" s="85"/>
      <c r="N1" s="86"/>
      <c r="O1" s="77"/>
      <c r="P1" s="77"/>
      <c r="Q1" s="82"/>
    </row>
    <row r="2" s="2" customFormat="1" ht="25" customHeight="1" spans="1:18">
      <c r="A2" s="26" t="s">
        <v>23</v>
      </c>
      <c r="B2" s="26" t="s">
        <v>37</v>
      </c>
      <c r="C2" s="26" t="s">
        <v>38</v>
      </c>
      <c r="D2" s="26" t="s">
        <v>39</v>
      </c>
      <c r="E2" s="23" t="s">
        <v>40</v>
      </c>
      <c r="F2" s="23" t="s">
        <v>41</v>
      </c>
      <c r="G2" s="23" t="s">
        <v>42</v>
      </c>
      <c r="H2" s="23" t="s">
        <v>43</v>
      </c>
      <c r="I2" s="25" t="s">
        <v>44</v>
      </c>
      <c r="J2" s="25" t="s">
        <v>45</v>
      </c>
      <c r="K2" s="25" t="s">
        <v>46</v>
      </c>
      <c r="L2" s="25" t="s">
        <v>47</v>
      </c>
      <c r="M2" s="25" t="s">
        <v>48</v>
      </c>
      <c r="N2" s="26" t="s">
        <v>49</v>
      </c>
      <c r="O2" s="26" t="s">
        <v>50</v>
      </c>
      <c r="Q2" s="2" t="s">
        <v>176</v>
      </c>
    </row>
    <row r="3" s="2" customFormat="1" ht="25" customHeight="1" spans="1:18">
      <c r="A3" s="87" t="s">
        <v>62</v>
      </c>
      <c r="B3" s="87" t="s">
        <v>177</v>
      </c>
      <c r="C3" s="87"/>
      <c r="D3" s="87"/>
      <c r="E3" s="88"/>
      <c r="F3" s="88"/>
      <c r="G3" s="88"/>
      <c r="H3" s="88"/>
      <c r="I3" s="88"/>
      <c r="J3" s="88"/>
      <c r="K3" s="88"/>
      <c r="L3" s="88"/>
      <c r="M3" s="88"/>
      <c r="N3" s="88">
        <f>N4</f>
        <v>34876.878729</v>
      </c>
      <c r="O3" s="87"/>
    </row>
    <row r="4" s="4" customFormat="1" ht="15" customHeight="1" outlineLevel="1" spans="1:18">
      <c r="A4" s="89"/>
      <c r="B4" s="90" t="s">
        <v>178</v>
      </c>
      <c r="C4" s="91"/>
      <c r="D4" s="92"/>
      <c r="E4" s="93"/>
      <c r="F4" s="93"/>
      <c r="G4" s="93"/>
      <c r="H4" s="93"/>
      <c r="I4" s="93"/>
      <c r="J4" s="93"/>
      <c r="K4" s="93"/>
      <c r="L4" s="93"/>
      <c r="M4" s="93"/>
      <c r="N4" s="93">
        <f>SUM(N5:N17)</f>
        <v>34876.878729</v>
      </c>
      <c r="O4" s="94"/>
      <c r="P4" s="11"/>
      <c r="Q4" s="95"/>
    </row>
    <row r="5" s="4" customFormat="1" ht="50" customHeight="1" outlineLevel="2" spans="1:18">
      <c r="A5" s="43">
        <v>1</v>
      </c>
      <c r="B5" s="44" t="s">
        <v>179</v>
      </c>
      <c r="C5" s="44" t="s">
        <v>180</v>
      </c>
      <c r="D5" s="45" t="s">
        <v>67</v>
      </c>
      <c r="E5" s="96">
        <v>217.082</v>
      </c>
      <c r="F5" s="96">
        <v>228.853</v>
      </c>
      <c r="G5" s="96">
        <v>253.202</v>
      </c>
      <c r="H5" s="97">
        <f t="shared" ref="H5:H7" si="0">E5+F5+G5</f>
        <v>699.137</v>
      </c>
      <c r="I5" s="96">
        <v>4</v>
      </c>
      <c r="J5" s="96">
        <v>10</v>
      </c>
      <c r="K5" s="96">
        <f>16.65-I5-J5</f>
        <v>2.65</v>
      </c>
      <c r="L5" s="54">
        <f t="shared" ref="L5:L7" si="1">(I5+J5+K5)*10%</f>
        <v>1.665</v>
      </c>
      <c r="M5" s="97">
        <f t="shared" ref="M5:M7" si="2">SUM(I5:L5)</f>
        <v>18.315</v>
      </c>
      <c r="N5" s="98">
        <f t="shared" ref="N5:N7" si="3">H5*M5</f>
        <v>12804.694155</v>
      </c>
      <c r="O5" s="50" t="s">
        <v>181</v>
      </c>
      <c r="P5" s="11"/>
      <c r="Q5" s="95" t="s">
        <v>182</v>
      </c>
    </row>
    <row r="6" s="4" customFormat="1" ht="50" customHeight="1" outlineLevel="2" spans="1:18">
      <c r="A6" s="43">
        <v>2</v>
      </c>
      <c r="B6" s="44" t="s">
        <v>183</v>
      </c>
      <c r="C6" s="44" t="s">
        <v>184</v>
      </c>
      <c r="D6" s="45" t="s">
        <v>185</v>
      </c>
      <c r="E6" s="96">
        <v>88</v>
      </c>
      <c r="F6" s="96">
        <v>94</v>
      </c>
      <c r="G6" s="96">
        <v>102</v>
      </c>
      <c r="H6" s="97">
        <f t="shared" si="0"/>
        <v>284</v>
      </c>
      <c r="I6" s="96">
        <v>1.326</v>
      </c>
      <c r="J6" s="96">
        <v>2.652</v>
      </c>
      <c r="K6" s="96">
        <v>0.782</v>
      </c>
      <c r="L6" s="54">
        <f t="shared" si="1"/>
        <v>0.476</v>
      </c>
      <c r="M6" s="97">
        <f t="shared" si="2"/>
        <v>5.236</v>
      </c>
      <c r="N6" s="98">
        <f t="shared" si="3"/>
        <v>1487.024</v>
      </c>
      <c r="O6" s="50" t="s">
        <v>181</v>
      </c>
      <c r="P6" s="11"/>
      <c r="Q6" s="95" t="s">
        <v>182</v>
      </c>
    </row>
    <row r="7" s="4" customFormat="1" ht="50" customHeight="1" outlineLevel="2" spans="1:18">
      <c r="A7" s="43">
        <v>3</v>
      </c>
      <c r="B7" s="44" t="s">
        <v>186</v>
      </c>
      <c r="C7" s="44" t="s">
        <v>187</v>
      </c>
      <c r="D7" s="45" t="s">
        <v>185</v>
      </c>
      <c r="E7" s="96">
        <v>7</v>
      </c>
      <c r="F7" s="96">
        <v>5</v>
      </c>
      <c r="G7" s="96">
        <v>4</v>
      </c>
      <c r="H7" s="97">
        <f t="shared" si="0"/>
        <v>16</v>
      </c>
      <c r="I7" s="96">
        <v>8.505</v>
      </c>
      <c r="J7" s="96">
        <v>17.01</v>
      </c>
      <c r="K7" s="96">
        <v>2.835</v>
      </c>
      <c r="L7" s="54">
        <f t="shared" si="1"/>
        <v>2.835</v>
      </c>
      <c r="M7" s="97">
        <f t="shared" si="2"/>
        <v>31.185</v>
      </c>
      <c r="N7" s="98">
        <f t="shared" si="3"/>
        <v>498.96</v>
      </c>
      <c r="O7" s="50" t="s">
        <v>181</v>
      </c>
      <c r="P7" s="11"/>
      <c r="Q7" s="95" t="s">
        <v>182</v>
      </c>
    </row>
    <row r="8" s="3" customFormat="1" ht="50" customHeight="1" outlineLevel="2" spans="1:18">
      <c r="A8" s="43">
        <v>4</v>
      </c>
      <c r="B8" s="99" t="s">
        <v>188</v>
      </c>
      <c r="C8" s="44" t="s">
        <v>189</v>
      </c>
      <c r="D8" s="45" t="s">
        <v>185</v>
      </c>
      <c r="E8" s="96">
        <v>19</v>
      </c>
      <c r="F8" s="96">
        <v>13</v>
      </c>
      <c r="G8" s="96">
        <v>14</v>
      </c>
      <c r="H8" s="97">
        <f t="shared" ref="H8:H13" si="4">E8+F8+G8</f>
        <v>46</v>
      </c>
      <c r="I8" s="96">
        <v>8.505</v>
      </c>
      <c r="J8" s="96">
        <v>17.01</v>
      </c>
      <c r="K8" s="96">
        <v>2.835</v>
      </c>
      <c r="L8" s="54">
        <f t="shared" ref="L8:L13" si="5">(I8+J8+K8)*10%</f>
        <v>2.835</v>
      </c>
      <c r="M8" s="97">
        <f t="shared" ref="M8:M13" si="6">SUM(I8:L8)</f>
        <v>31.185</v>
      </c>
      <c r="N8" s="98">
        <f t="shared" ref="N8:N13" si="7">H8*M8</f>
        <v>1434.51</v>
      </c>
      <c r="O8" s="50" t="s">
        <v>181</v>
      </c>
      <c r="P8" s="11"/>
      <c r="Q8" s="95" t="s">
        <v>182</v>
      </c>
    </row>
    <row r="9" s="3" customFormat="1" ht="50" customHeight="1" outlineLevel="2" spans="1:18">
      <c r="A9" s="43">
        <v>5</v>
      </c>
      <c r="B9" s="99" t="s">
        <v>190</v>
      </c>
      <c r="C9" s="44" t="s">
        <v>191</v>
      </c>
      <c r="D9" s="45" t="s">
        <v>185</v>
      </c>
      <c r="E9" s="96">
        <v>10</v>
      </c>
      <c r="F9" s="96">
        <v>13</v>
      </c>
      <c r="G9" s="96">
        <v>9</v>
      </c>
      <c r="H9" s="97">
        <f t="shared" si="4"/>
        <v>32</v>
      </c>
      <c r="I9" s="96">
        <v>8.505</v>
      </c>
      <c r="J9" s="96">
        <v>17.01</v>
      </c>
      <c r="K9" s="96">
        <v>2.835</v>
      </c>
      <c r="L9" s="54">
        <f t="shared" si="5"/>
        <v>2.835</v>
      </c>
      <c r="M9" s="97">
        <f t="shared" si="6"/>
        <v>31.185</v>
      </c>
      <c r="N9" s="98">
        <f t="shared" si="7"/>
        <v>997.92</v>
      </c>
      <c r="O9" s="50" t="s">
        <v>181</v>
      </c>
      <c r="P9" s="11"/>
      <c r="Q9" s="95" t="s">
        <v>182</v>
      </c>
    </row>
    <row r="10" s="3" customFormat="1" ht="50" customHeight="1" outlineLevel="2" spans="1:18">
      <c r="A10" s="43">
        <v>6</v>
      </c>
      <c r="B10" s="99" t="s">
        <v>192</v>
      </c>
      <c r="C10" s="44" t="s">
        <v>193</v>
      </c>
      <c r="D10" s="45" t="s">
        <v>185</v>
      </c>
      <c r="E10" s="96">
        <v>2</v>
      </c>
      <c r="F10" s="96">
        <v>0</v>
      </c>
      <c r="G10" s="96">
        <v>1</v>
      </c>
      <c r="H10" s="97">
        <f t="shared" si="4"/>
        <v>3</v>
      </c>
      <c r="I10" s="96">
        <v>8.505</v>
      </c>
      <c r="J10" s="96">
        <v>17.01</v>
      </c>
      <c r="K10" s="96">
        <v>2.835</v>
      </c>
      <c r="L10" s="54">
        <f t="shared" si="5"/>
        <v>2.835</v>
      </c>
      <c r="M10" s="97">
        <f t="shared" si="6"/>
        <v>31.185</v>
      </c>
      <c r="N10" s="98">
        <f t="shared" si="7"/>
        <v>93.555</v>
      </c>
      <c r="O10" s="50" t="s">
        <v>181</v>
      </c>
      <c r="P10" s="11"/>
      <c r="Q10" s="95" t="s">
        <v>182</v>
      </c>
    </row>
    <row r="11" s="3" customFormat="1" ht="50" customHeight="1" outlineLevel="2" spans="1:18">
      <c r="A11" s="43">
        <v>7</v>
      </c>
      <c r="B11" s="99" t="s">
        <v>194</v>
      </c>
      <c r="C11" s="44" t="s">
        <v>195</v>
      </c>
      <c r="D11" s="45" t="s">
        <v>185</v>
      </c>
      <c r="E11" s="96">
        <v>0</v>
      </c>
      <c r="F11" s="96">
        <v>0</v>
      </c>
      <c r="G11" s="96">
        <v>2</v>
      </c>
      <c r="H11" s="97">
        <f t="shared" si="4"/>
        <v>2</v>
      </c>
      <c r="I11" s="96">
        <v>8.505</v>
      </c>
      <c r="J11" s="96">
        <v>17.01</v>
      </c>
      <c r="K11" s="96">
        <v>2.835</v>
      </c>
      <c r="L11" s="54">
        <f t="shared" si="5"/>
        <v>2.835</v>
      </c>
      <c r="M11" s="97">
        <f t="shared" si="6"/>
        <v>31.185</v>
      </c>
      <c r="N11" s="98">
        <f t="shared" si="7"/>
        <v>62.37</v>
      </c>
      <c r="O11" s="50" t="s">
        <v>181</v>
      </c>
      <c r="P11" s="11"/>
      <c r="Q11" s="95" t="s">
        <v>182</v>
      </c>
    </row>
    <row r="12" s="3" customFormat="1" ht="50" customHeight="1" outlineLevel="2" spans="1:18">
      <c r="A12" s="43">
        <v>8</v>
      </c>
      <c r="B12" s="99" t="s">
        <v>196</v>
      </c>
      <c r="C12" s="44" t="s">
        <v>197</v>
      </c>
      <c r="D12" s="45" t="s">
        <v>185</v>
      </c>
      <c r="E12" s="96">
        <v>1</v>
      </c>
      <c r="F12" s="96">
        <v>1</v>
      </c>
      <c r="G12" s="96">
        <v>1</v>
      </c>
      <c r="H12" s="97">
        <f t="shared" si="4"/>
        <v>3</v>
      </c>
      <c r="I12" s="96">
        <v>8.505</v>
      </c>
      <c r="J12" s="96">
        <v>17.01</v>
      </c>
      <c r="K12" s="96">
        <v>2.835</v>
      </c>
      <c r="L12" s="54">
        <f t="shared" si="5"/>
        <v>2.835</v>
      </c>
      <c r="M12" s="97">
        <f t="shared" si="6"/>
        <v>31.185</v>
      </c>
      <c r="N12" s="98">
        <f t="shared" si="7"/>
        <v>93.555</v>
      </c>
      <c r="O12" s="50" t="s">
        <v>181</v>
      </c>
      <c r="P12" s="11"/>
      <c r="Q12" s="95" t="s">
        <v>182</v>
      </c>
    </row>
    <row r="13" s="3" customFormat="1" ht="50" customHeight="1" outlineLevel="2" spans="1:18">
      <c r="A13" s="43">
        <v>9</v>
      </c>
      <c r="B13" s="99" t="s">
        <v>198</v>
      </c>
      <c r="C13" s="44" t="s">
        <v>199</v>
      </c>
      <c r="D13" s="45" t="s">
        <v>74</v>
      </c>
      <c r="E13" s="96">
        <v>42</v>
      </c>
      <c r="F13" s="96">
        <v>63</v>
      </c>
      <c r="G13" s="96">
        <v>60</v>
      </c>
      <c r="H13" s="97">
        <f t="shared" si="4"/>
        <v>165</v>
      </c>
      <c r="I13" s="96">
        <v>2.66</v>
      </c>
      <c r="J13" s="96">
        <v>5.304</v>
      </c>
      <c r="K13" s="96">
        <v>0.885999999999999</v>
      </c>
      <c r="L13" s="54">
        <f t="shared" si="5"/>
        <v>0.885</v>
      </c>
      <c r="M13" s="97">
        <f t="shared" si="6"/>
        <v>9.735</v>
      </c>
      <c r="N13" s="98">
        <f t="shared" si="7"/>
        <v>1606.275</v>
      </c>
      <c r="O13" s="50" t="s">
        <v>181</v>
      </c>
      <c r="P13" s="11"/>
      <c r="Q13" s="95" t="s">
        <v>182</v>
      </c>
    </row>
    <row r="14" s="3" customFormat="1" ht="50" customHeight="1" outlineLevel="2" spans="1:18">
      <c r="A14" s="43">
        <v>10</v>
      </c>
      <c r="B14" s="99" t="s">
        <v>200</v>
      </c>
      <c r="C14" s="44" t="s">
        <v>201</v>
      </c>
      <c r="D14" s="45" t="s">
        <v>74</v>
      </c>
      <c r="E14" s="96">
        <v>76.2</v>
      </c>
      <c r="F14" s="96">
        <v>73.8</v>
      </c>
      <c r="G14" s="96">
        <v>36</v>
      </c>
      <c r="H14" s="97">
        <f t="shared" ref="H14:H17" si="8">E14+F14+G14</f>
        <v>186</v>
      </c>
      <c r="I14" s="96">
        <v>1.326</v>
      </c>
      <c r="J14" s="96">
        <v>2.652</v>
      </c>
      <c r="K14" s="96">
        <v>0.442</v>
      </c>
      <c r="L14" s="54">
        <f t="shared" ref="L14:L17" si="9">(I14+J14+K14)*10%</f>
        <v>0.442</v>
      </c>
      <c r="M14" s="97">
        <f t="shared" ref="M14:M17" si="10">SUM(I14:L14)</f>
        <v>4.862</v>
      </c>
      <c r="N14" s="98">
        <f t="shared" ref="N14:N17" si="11">H14*M14</f>
        <v>904.332</v>
      </c>
      <c r="O14" s="50" t="s">
        <v>181</v>
      </c>
      <c r="P14" s="11"/>
      <c r="Q14" s="95" t="s">
        <v>182</v>
      </c>
    </row>
    <row r="15" s="3" customFormat="1" ht="50" customHeight="1" outlineLevel="2" spans="1:18">
      <c r="A15" s="43">
        <v>11</v>
      </c>
      <c r="B15" s="99" t="s">
        <v>202</v>
      </c>
      <c r="C15" s="44" t="s">
        <v>203</v>
      </c>
      <c r="D15" s="45" t="s">
        <v>74</v>
      </c>
      <c r="E15" s="96">
        <v>643.643</v>
      </c>
      <c r="F15" s="96">
        <v>626.506</v>
      </c>
      <c r="G15" s="96">
        <v>626.278</v>
      </c>
      <c r="H15" s="97">
        <f t="shared" si="8"/>
        <v>1896.427</v>
      </c>
      <c r="I15" s="96">
        <v>1.326</v>
      </c>
      <c r="J15" s="96">
        <v>2.652</v>
      </c>
      <c r="K15" s="96">
        <v>0.442</v>
      </c>
      <c r="L15" s="54">
        <f t="shared" si="9"/>
        <v>0.442</v>
      </c>
      <c r="M15" s="97">
        <f t="shared" si="10"/>
        <v>4.862</v>
      </c>
      <c r="N15" s="98">
        <f t="shared" si="11"/>
        <v>9220.428074</v>
      </c>
      <c r="O15" s="50" t="s">
        <v>181</v>
      </c>
      <c r="P15" s="11"/>
      <c r="Q15" s="95" t="s">
        <v>182</v>
      </c>
    </row>
    <row r="16" s="3" customFormat="1" ht="50" customHeight="1" outlineLevel="2" spans="1:18">
      <c r="A16" s="43">
        <v>12</v>
      </c>
      <c r="B16" s="99" t="s">
        <v>204</v>
      </c>
      <c r="C16" s="44" t="s">
        <v>205</v>
      </c>
      <c r="D16" s="45" t="s">
        <v>74</v>
      </c>
      <c r="E16" s="96">
        <v>15.5</v>
      </c>
      <c r="F16" s="96">
        <v>16</v>
      </c>
      <c r="G16" s="96">
        <v>8</v>
      </c>
      <c r="H16" s="97">
        <f t="shared" si="8"/>
        <v>39.5</v>
      </c>
      <c r="I16" s="96">
        <v>20</v>
      </c>
      <c r="J16" s="96">
        <v>60</v>
      </c>
      <c r="K16" s="96">
        <v>20.19</v>
      </c>
      <c r="L16" s="54">
        <f t="shared" si="9"/>
        <v>10.019</v>
      </c>
      <c r="M16" s="97">
        <f t="shared" si="10"/>
        <v>110.209</v>
      </c>
      <c r="N16" s="98">
        <f t="shared" si="11"/>
        <v>4353.2555</v>
      </c>
      <c r="O16" s="50" t="s">
        <v>181</v>
      </c>
      <c r="P16" s="11"/>
      <c r="Q16" s="95" t="s">
        <v>182</v>
      </c>
      <c r="R16" s="3" t="str">
        <f>_xlfn.DISPIMG("ID_48D9FBAC357141EAA6DC4F0A56455221",1)</f>
        <v>=DISPIMG("ID_48D9FBAC357141EAA6DC4F0A56455221",1)</v>
      </c>
    </row>
    <row r="17" s="3" customFormat="1" ht="50" customHeight="1" outlineLevel="2" spans="1:17">
      <c r="A17" s="43">
        <v>13</v>
      </c>
      <c r="B17" s="99" t="s">
        <v>206</v>
      </c>
      <c r="C17" s="44" t="s">
        <v>207</v>
      </c>
      <c r="D17" s="45" t="s">
        <v>67</v>
      </c>
      <c r="E17" s="96">
        <v>4</v>
      </c>
      <c r="F17" s="96">
        <v>4</v>
      </c>
      <c r="G17" s="96">
        <v>4</v>
      </c>
      <c r="H17" s="97">
        <f t="shared" si="8"/>
        <v>12</v>
      </c>
      <c r="I17" s="96">
        <v>30</v>
      </c>
      <c r="J17" s="96">
        <v>60</v>
      </c>
      <c r="K17" s="96">
        <v>10</v>
      </c>
      <c r="L17" s="54">
        <f t="shared" si="9"/>
        <v>10</v>
      </c>
      <c r="M17" s="97">
        <f t="shared" si="10"/>
        <v>110</v>
      </c>
      <c r="N17" s="98">
        <f t="shared" si="11"/>
        <v>1320</v>
      </c>
      <c r="O17" s="50" t="s">
        <v>181</v>
      </c>
      <c r="P17" s="11"/>
      <c r="Q17" s="95" t="s">
        <v>182</v>
      </c>
    </row>
    <row r="18" s="2" customFormat="1" ht="25" customHeight="1" spans="1:17">
      <c r="A18" s="87" t="s">
        <v>117</v>
      </c>
      <c r="B18" s="87" t="s">
        <v>118</v>
      </c>
      <c r="C18" s="87"/>
      <c r="D18" s="87"/>
      <c r="E18" s="87"/>
      <c r="F18" s="87"/>
      <c r="G18" s="87"/>
      <c r="H18" s="87"/>
      <c r="I18" s="87"/>
      <c r="J18" s="87"/>
      <c r="K18" s="87"/>
      <c r="L18" s="87"/>
      <c r="M18" s="87"/>
      <c r="N18" s="88">
        <f>N3</f>
        <v>34876.878729</v>
      </c>
      <c r="O18" s="87"/>
    </row>
  </sheetData>
  <autoFilter xmlns:etc="http://www.wps.cn/officeDocument/2017/etCustomData" ref="A2:P18" etc:filterBottomFollowUsedRange="0">
    <extLst/>
  </autoFilter>
  <mergeCells count="1">
    <mergeCell ref="A1:O1"/>
  </mergeCells>
  <conditionalFormatting sqref="B2">
    <cfRule type="duplicateValues" dxfId="0" priority="13"/>
  </conditionalFormatting>
  <conditionalFormatting sqref="B3">
    <cfRule type="duplicateValues" dxfId="0" priority="5"/>
  </conditionalFormatting>
  <conditionalFormatting sqref="B4">
    <cfRule type="duplicateValues" dxfId="0" priority="4"/>
  </conditionalFormatting>
  <conditionalFormatting sqref="B18">
    <cfRule type="duplicateValues" dxfId="0" priority="3"/>
  </conditionalFormatting>
  <printOptions horizontalCentered="1"/>
  <pageMargins left="0.393055555555556" right="0.393055555555556" top="0.235416666666667" bottom="0.15625" header="0.55" footer="0.235416666666667"/>
  <pageSetup paperSize="9" scale="63" fitToHeight="0" orientation="landscape" blackAndWhite="1" horizontalDpi="600"/>
  <headerFooter>
    <oddFooter>&amp;C第 &amp;P 页，共 &amp;N 页</oddFooter>
  </headerFooter>
  <rowBreaks count="5" manualBreakCount="5">
    <brk id="18" max="16383" man="1"/>
    <brk id="18" max="16383" man="1"/>
    <brk id="18" max="16383" man="1"/>
    <brk id="18" max="16383" man="1"/>
    <brk id="18"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9"/>
  <sheetViews>
    <sheetView view="pageBreakPreview" zoomScale="110" zoomScaleNormal="100" workbookViewId="0">
      <pane xSplit="4" ySplit="4" topLeftCell="E5" activePane="bottomRight" state="frozen"/>
      <selection/>
      <selection pane="topRight"/>
      <selection pane="bottomLeft"/>
      <selection pane="bottomRight" activeCell="F16" sqref="F16"/>
    </sheetView>
  </sheetViews>
  <sheetFormatPr defaultColWidth="9.64166666666667" defaultRowHeight="11.25"/>
  <cols>
    <col min="1" max="1" width="6.98333333333333" style="5" customWidth="1"/>
    <col min="2" max="2" width="15.5" style="6" customWidth="1"/>
    <col min="3" max="3" width="29.3833333333333" style="5" customWidth="1"/>
    <col min="4" max="4" width="5.63333333333333" style="5" customWidth="1"/>
    <col min="5" max="5" width="8.75" style="7" customWidth="1"/>
    <col min="6" max="8" width="11.6333333333333" style="7" customWidth="1" outlineLevel="1"/>
    <col min="9" max="9" width="12.3833333333333" style="7" customWidth="1" outlineLevel="1"/>
    <col min="10" max="10" width="12.3833333333333" style="7" customWidth="1"/>
    <col min="11" max="11" width="12.5" style="74" customWidth="1"/>
    <col min="12" max="12" width="11.8833333333333" style="9" customWidth="1"/>
    <col min="13" max="13" width="8.63333333333333" style="10" customWidth="1"/>
    <col min="14" max="14" width="8.63333333333333" style="9" customWidth="1"/>
    <col min="15" max="15" width="8.63333333333333" style="10" customWidth="1"/>
    <col min="16" max="16" width="8.63333333333333" style="5" customWidth="1"/>
    <col min="17" max="17" width="8.63333333333333" style="75" customWidth="1"/>
    <col min="18" max="25" width="8.63333333333333" style="5" customWidth="1"/>
    <col min="26" max="16384" width="10" style="5"/>
  </cols>
  <sheetData>
    <row r="1" s="1" customFormat="1" ht="50" customHeight="1" spans="1:21">
      <c r="A1" s="13" t="s">
        <v>36</v>
      </c>
      <c r="B1" s="14"/>
      <c r="C1" s="13"/>
      <c r="D1" s="13"/>
      <c r="E1" s="15"/>
      <c r="F1" s="16"/>
      <c r="G1" s="16"/>
      <c r="H1" s="16"/>
      <c r="I1" s="16"/>
      <c r="J1" s="16"/>
      <c r="K1" s="76"/>
      <c r="L1" s="13"/>
      <c r="M1" s="18"/>
      <c r="N1" s="77"/>
      <c r="O1" s="20"/>
      <c r="P1" s="20">
        <v>1</v>
      </c>
      <c r="Q1" s="21"/>
      <c r="R1" s="20">
        <v>1</v>
      </c>
      <c r="S1" s="20">
        <v>1</v>
      </c>
      <c r="T1" s="20"/>
      <c r="U1" s="20"/>
    </row>
    <row r="2" s="2" customFormat="1" ht="25" customHeight="1" spans="1:21">
      <c r="A2" s="22" t="s">
        <v>23</v>
      </c>
      <c r="B2" s="22" t="s">
        <v>37</v>
      </c>
      <c r="C2" s="22" t="s">
        <v>38</v>
      </c>
      <c r="D2" s="22" t="s">
        <v>39</v>
      </c>
      <c r="E2" s="24" t="s">
        <v>208</v>
      </c>
      <c r="F2" s="25" t="s">
        <v>44</v>
      </c>
      <c r="G2" s="25" t="s">
        <v>45</v>
      </c>
      <c r="H2" s="25" t="s">
        <v>46</v>
      </c>
      <c r="I2" s="25" t="s">
        <v>47</v>
      </c>
      <c r="J2" s="25" t="s">
        <v>48</v>
      </c>
      <c r="K2" s="26" t="s">
        <v>49</v>
      </c>
      <c r="L2" s="22" t="s">
        <v>50</v>
      </c>
      <c r="O2" s="20" t="s">
        <v>51</v>
      </c>
      <c r="P2" s="20" t="s">
        <v>45</v>
      </c>
      <c r="Q2" s="21" t="s">
        <v>52</v>
      </c>
      <c r="R2" s="20" t="s">
        <v>44</v>
      </c>
      <c r="S2" s="20" t="s">
        <v>53</v>
      </c>
      <c r="T2" s="20" t="s">
        <v>54</v>
      </c>
      <c r="U2" s="20" t="s">
        <v>55</v>
      </c>
    </row>
    <row r="3" s="2" customFormat="1" ht="25" customHeight="1" spans="1:21">
      <c r="A3" s="28"/>
      <c r="B3" s="28"/>
      <c r="C3" s="28"/>
      <c r="D3" s="28"/>
      <c r="E3" s="29"/>
      <c r="F3" s="30" t="s">
        <v>56</v>
      </c>
      <c r="G3" s="30" t="s">
        <v>57</v>
      </c>
      <c r="H3" s="30" t="s">
        <v>58</v>
      </c>
      <c r="I3" s="31">
        <f>坡道装饰工程量清单!$L$3</f>
        <v>0.1</v>
      </c>
      <c r="J3" s="30" t="s">
        <v>59</v>
      </c>
      <c r="K3" s="22" t="s">
        <v>60</v>
      </c>
      <c r="L3" s="28"/>
      <c r="O3" s="32"/>
      <c r="P3" s="32"/>
      <c r="Q3" s="33"/>
      <c r="R3" s="32"/>
      <c r="S3" s="32"/>
      <c r="T3" s="32"/>
      <c r="U3" s="32"/>
    </row>
    <row r="4" s="2" customFormat="1" ht="25" customHeight="1" spans="1:21">
      <c r="A4" s="34"/>
      <c r="B4" s="34"/>
      <c r="C4" s="34"/>
      <c r="D4" s="34"/>
      <c r="E4" s="35"/>
      <c r="F4" s="36"/>
      <c r="G4" s="36"/>
      <c r="H4" s="36"/>
      <c r="I4" s="25" t="s">
        <v>61</v>
      </c>
      <c r="J4" s="36"/>
      <c r="K4" s="34"/>
      <c r="L4" s="34"/>
      <c r="O4" s="37"/>
      <c r="P4" s="37"/>
      <c r="Q4" s="38"/>
      <c r="R4" s="37"/>
      <c r="S4" s="37"/>
      <c r="T4" s="37"/>
      <c r="U4" s="37"/>
    </row>
    <row r="5" s="2" customFormat="1" ht="25" customHeight="1" spans="1:21">
      <c r="A5" s="39" t="s">
        <v>62</v>
      </c>
      <c r="B5" s="39" t="s">
        <v>63</v>
      </c>
      <c r="C5" s="39"/>
      <c r="D5" s="39"/>
      <c r="E5" s="40"/>
      <c r="F5" s="40"/>
      <c r="G5" s="40"/>
      <c r="H5" s="40"/>
      <c r="I5" s="40"/>
      <c r="J5" s="40"/>
      <c r="K5" s="40"/>
      <c r="L5" s="39"/>
      <c r="N5" s="78"/>
      <c r="O5" s="37"/>
      <c r="P5" s="37"/>
      <c r="Q5" s="38"/>
      <c r="R5" s="37"/>
      <c r="S5" s="37"/>
      <c r="T5" s="37"/>
      <c r="U5" s="37"/>
    </row>
    <row r="6" s="3" customFormat="1" ht="69" customHeight="1" outlineLevel="2" spans="1:21">
      <c r="A6" s="43">
        <v>1</v>
      </c>
      <c r="B6" s="44" t="s">
        <v>209</v>
      </c>
      <c r="C6" s="44" t="s">
        <v>210</v>
      </c>
      <c r="D6" s="45" t="s">
        <v>173</v>
      </c>
      <c r="E6" s="46">
        <f>102+34+14</f>
        <v>150</v>
      </c>
      <c r="F6" s="47">
        <f>R6*$R$1</f>
        <v>18</v>
      </c>
      <c r="G6" s="54">
        <f>P6*(1+Q6)*$P$1</f>
        <v>125</v>
      </c>
      <c r="H6" s="54">
        <f>(S6+T6)*$S$1</f>
        <v>1.5</v>
      </c>
      <c r="I6" s="48">
        <f>(F6+G6+H6)*$I$3</f>
        <v>14.45</v>
      </c>
      <c r="J6" s="47">
        <f>SUM(F6:I6)</f>
        <v>158.95</v>
      </c>
      <c r="K6" s="49">
        <f>J6*E6</f>
        <v>23842.5</v>
      </c>
      <c r="L6" s="50"/>
      <c r="M6" s="79"/>
      <c r="N6" s="80"/>
      <c r="O6" s="32">
        <f t="shared" ref="O6:O8" si="0">P6+P6*Q6+R6+S6+T6</f>
        <v>144.5</v>
      </c>
      <c r="P6" s="81">
        <v>125</v>
      </c>
      <c r="Q6" s="67"/>
      <c r="R6" s="68">
        <v>18</v>
      </c>
      <c r="S6" s="68">
        <v>1.5</v>
      </c>
      <c r="T6" s="32"/>
      <c r="U6" s="32">
        <f t="shared" ref="U6:U8" si="1">O6*E6</f>
        <v>21675</v>
      </c>
    </row>
    <row r="7" s="3" customFormat="1" ht="69" customHeight="1" outlineLevel="2" spans="1:21">
      <c r="A7" s="43">
        <v>2</v>
      </c>
      <c r="B7" s="44" t="s">
        <v>211</v>
      </c>
      <c r="C7" s="44" t="s">
        <v>212</v>
      </c>
      <c r="D7" s="53" t="s">
        <v>173</v>
      </c>
      <c r="E7" s="46">
        <v>14</v>
      </c>
      <c r="F7" s="47">
        <f>R7*$R$1</f>
        <v>18</v>
      </c>
      <c r="G7" s="54">
        <f>P7*(1+Q7)*$P$1</f>
        <v>135</v>
      </c>
      <c r="H7" s="54">
        <f>(S7+T7)*$S$1</f>
        <v>1.5</v>
      </c>
      <c r="I7" s="48">
        <f t="shared" ref="I6:I8" si="2">(F7+G7+H7)*$I$3</f>
        <v>15.45</v>
      </c>
      <c r="J7" s="47">
        <f>SUM(F7:I7)</f>
        <v>169.95</v>
      </c>
      <c r="K7" s="49">
        <f>J7*E7</f>
        <v>2379.3</v>
      </c>
      <c r="L7" s="50"/>
      <c r="M7" s="10"/>
      <c r="N7" s="80"/>
      <c r="O7" s="32">
        <f t="shared" si="0"/>
        <v>154.5</v>
      </c>
      <c r="P7" s="55">
        <v>135</v>
      </c>
      <c r="Q7" s="56"/>
      <c r="R7" s="68">
        <v>18</v>
      </c>
      <c r="S7" s="32">
        <v>1.5</v>
      </c>
      <c r="T7" s="32"/>
      <c r="U7" s="32">
        <f t="shared" si="1"/>
        <v>2163</v>
      </c>
    </row>
    <row r="8" s="4" customFormat="1" ht="69" customHeight="1" outlineLevel="2" spans="1:21">
      <c r="A8" s="43">
        <v>3</v>
      </c>
      <c r="B8" s="44" t="s">
        <v>213</v>
      </c>
      <c r="C8" s="44" t="s">
        <v>214</v>
      </c>
      <c r="D8" s="53" t="s">
        <v>173</v>
      </c>
      <c r="E8" s="46">
        <v>59</v>
      </c>
      <c r="F8" s="47">
        <f>R8*$R$1</f>
        <v>35</v>
      </c>
      <c r="G8" s="54">
        <f>P8*(1+Q8)*$P$1</f>
        <v>110</v>
      </c>
      <c r="H8" s="54">
        <f>(S8+T8)*$S$1</f>
        <v>1.5</v>
      </c>
      <c r="I8" s="48">
        <f t="shared" si="2"/>
        <v>14.65</v>
      </c>
      <c r="J8" s="47">
        <f>SUM(F8:I8)</f>
        <v>161.15</v>
      </c>
      <c r="K8" s="49">
        <f>J8*E8</f>
        <v>9507.85</v>
      </c>
      <c r="L8" s="50"/>
      <c r="M8" s="10"/>
      <c r="N8" s="80" t="str">
        <f>_xlfn.DISPIMG("ID_1BC2F87A82AD473B9EC09261F010DD27",1)</f>
        <v>=DISPIMG("ID_1BC2F87A82AD473B9EC09261F010DD27",1)</v>
      </c>
      <c r="O8" s="32">
        <f t="shared" si="0"/>
        <v>146.5</v>
      </c>
      <c r="P8" s="55">
        <v>110</v>
      </c>
      <c r="Q8" s="56"/>
      <c r="R8" s="68">
        <v>35</v>
      </c>
      <c r="S8" s="32">
        <v>1.5</v>
      </c>
      <c r="T8" s="32"/>
      <c r="U8" s="32">
        <f t="shared" si="1"/>
        <v>8643.5</v>
      </c>
    </row>
    <row r="9" s="2" customFormat="1" ht="25" customHeight="1" spans="1:21">
      <c r="A9" s="39"/>
      <c r="B9" s="39" t="s">
        <v>118</v>
      </c>
      <c r="C9" s="39"/>
      <c r="D9" s="39"/>
      <c r="E9" s="71"/>
      <c r="F9" s="72"/>
      <c r="G9" s="72"/>
      <c r="H9" s="72"/>
      <c r="I9" s="72"/>
      <c r="J9" s="72"/>
      <c r="K9" s="41">
        <f>SUM(K6:K8)</f>
        <v>35729.65</v>
      </c>
      <c r="L9" s="39"/>
      <c r="N9" s="78"/>
      <c r="Q9" s="73"/>
    </row>
  </sheetData>
  <mergeCells count="12">
    <mergeCell ref="A1:L1"/>
    <mergeCell ref="A2:A4"/>
    <mergeCell ref="B2:B4"/>
    <mergeCell ref="C2:C4"/>
    <mergeCell ref="D2:D4"/>
    <mergeCell ref="E2:E4"/>
    <mergeCell ref="F3:F4"/>
    <mergeCell ref="G3:G4"/>
    <mergeCell ref="H3:H4"/>
    <mergeCell ref="J3:J4"/>
    <mergeCell ref="K3:K4"/>
    <mergeCell ref="L2:L4"/>
  </mergeCells>
  <conditionalFormatting sqref="B9">
    <cfRule type="duplicateValues" dxfId="0" priority="1"/>
  </conditionalFormatting>
  <conditionalFormatting sqref="B2 B5">
    <cfRule type="duplicateValues" dxfId="0" priority="3"/>
  </conditionalFormatting>
  <printOptions horizontalCentered="1"/>
  <pageMargins left="0.590277777777778" right="0.590277777777778" top="0.707638888888889" bottom="1" header="0.5" footer="0.5"/>
  <pageSetup paperSize="9" scale="91" fitToHeight="0" orientation="landscape" blackAndWhite="1" horizontalDpi="600"/>
  <headerFooter>
    <oddFooter>&amp;C第 &amp;P 页，共 &amp;N 页</oddFooter>
  </headerFooter>
  <colBreaks count="1" manualBreakCount="1">
    <brk id="1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C29"/>
  <sheetViews>
    <sheetView view="pageBreakPreview" zoomScaleNormal="100" workbookViewId="0">
      <pane xSplit="7" ySplit="4" topLeftCell="H13" activePane="bottomRight" state="frozen"/>
      <selection/>
      <selection pane="topRight"/>
      <selection pane="bottomLeft"/>
      <selection pane="bottomRight" activeCell="N17" sqref="N17"/>
    </sheetView>
  </sheetViews>
  <sheetFormatPr defaultColWidth="9.64166666666667" defaultRowHeight="12"/>
  <cols>
    <col min="1" max="1" width="6.98333333333333" style="5" customWidth="1"/>
    <col min="2" max="2" width="19" style="6" customWidth="1"/>
    <col min="3" max="3" width="33.6333333333333" style="5" customWidth="1"/>
    <col min="4" max="4" width="5.63333333333333" style="5" customWidth="1"/>
    <col min="5" max="7" width="12.3833333333333" style="7" hidden="1" customWidth="1" outlineLevel="1"/>
    <col min="8" max="8" width="12.3833333333333" style="7" customWidth="1" collapsed="1"/>
    <col min="9" max="11" width="11.1333333333333" style="7" customWidth="1" outlineLevel="1"/>
    <col min="12" max="12" width="12.3833333333333" style="7" customWidth="1" outlineLevel="1"/>
    <col min="13" max="13" width="12.3833333333333" style="7" customWidth="1"/>
    <col min="14" max="14" width="12.8833333333333" style="8" customWidth="1"/>
    <col min="15" max="15" width="13.6333333333333" style="9" customWidth="1"/>
    <col min="16" max="16" width="9.5" style="10" customWidth="1"/>
    <col min="17" max="17" width="9.5" style="9" customWidth="1"/>
    <col min="18" max="19" width="9.5" style="11" customWidth="1"/>
    <col min="20" max="20" width="9.5" style="12" customWidth="1"/>
    <col min="21" max="24" width="9.5" style="11" customWidth="1"/>
    <col min="25" max="419" width="9.5" style="10" customWidth="1"/>
    <col min="420" max="16384" width="10" style="5"/>
  </cols>
  <sheetData>
    <row r="1" s="1" customFormat="1" ht="50" customHeight="1" spans="1:419">
      <c r="A1" s="13" t="s">
        <v>36</v>
      </c>
      <c r="B1" s="14"/>
      <c r="C1" s="13"/>
      <c r="D1" s="13"/>
      <c r="E1" s="15"/>
      <c r="F1" s="15"/>
      <c r="G1" s="15"/>
      <c r="H1" s="15"/>
      <c r="I1" s="16"/>
      <c r="J1" s="16"/>
      <c r="K1" s="16"/>
      <c r="L1" s="16"/>
      <c r="M1" s="16"/>
      <c r="N1" s="17"/>
      <c r="O1" s="13"/>
      <c r="P1" s="18"/>
      <c r="Q1" s="19"/>
      <c r="R1" s="20"/>
      <c r="S1" s="20">
        <v>1</v>
      </c>
      <c r="T1" s="21"/>
      <c r="U1" s="20">
        <v>1</v>
      </c>
      <c r="V1" s="20">
        <v>1</v>
      </c>
      <c r="W1" s="20"/>
      <c r="X1" s="20"/>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8"/>
      <c r="GX1" s="18"/>
      <c r="GY1" s="18"/>
      <c r="GZ1" s="18"/>
      <c r="HA1" s="18"/>
      <c r="HB1" s="18"/>
      <c r="HC1" s="18"/>
      <c r="HD1" s="18"/>
      <c r="HE1" s="18"/>
      <c r="HF1" s="18"/>
      <c r="HG1" s="18"/>
      <c r="HH1" s="18"/>
      <c r="HI1" s="18"/>
      <c r="HJ1" s="18"/>
      <c r="HK1" s="18"/>
      <c r="HL1" s="18"/>
      <c r="HM1" s="18"/>
      <c r="HN1" s="18"/>
      <c r="HO1" s="18"/>
      <c r="HP1" s="18"/>
      <c r="HQ1" s="18"/>
      <c r="HR1" s="18"/>
      <c r="HS1" s="18"/>
      <c r="HT1" s="18"/>
      <c r="HU1" s="18"/>
      <c r="HV1" s="18"/>
      <c r="HW1" s="18"/>
      <c r="HX1" s="18"/>
      <c r="HY1" s="18"/>
      <c r="HZ1" s="18"/>
      <c r="IA1" s="18"/>
      <c r="IB1" s="18"/>
      <c r="IC1" s="18"/>
      <c r="ID1" s="18"/>
      <c r="IE1" s="18"/>
      <c r="IF1" s="18"/>
      <c r="IG1" s="18"/>
      <c r="IH1" s="18"/>
      <c r="II1" s="18"/>
      <c r="IJ1" s="18"/>
      <c r="IK1" s="18"/>
      <c r="IL1" s="18"/>
      <c r="IM1" s="18"/>
      <c r="IN1" s="18"/>
      <c r="IO1" s="18"/>
      <c r="IP1" s="18"/>
      <c r="IQ1" s="18"/>
      <c r="IR1" s="18"/>
      <c r="IS1" s="18"/>
      <c r="IT1" s="18"/>
      <c r="IU1" s="18"/>
      <c r="IV1" s="18"/>
      <c r="IW1" s="18"/>
      <c r="IX1" s="18"/>
      <c r="IY1" s="18"/>
      <c r="IZ1" s="18"/>
      <c r="JA1" s="18"/>
      <c r="JB1" s="18"/>
      <c r="JC1" s="18"/>
      <c r="JD1" s="18"/>
      <c r="JE1" s="18"/>
      <c r="JF1" s="18"/>
      <c r="JG1" s="18"/>
      <c r="JH1" s="18"/>
      <c r="JI1" s="18"/>
      <c r="JJ1" s="18"/>
      <c r="JK1" s="18"/>
      <c r="JL1" s="18"/>
      <c r="JM1" s="18"/>
      <c r="JN1" s="18"/>
      <c r="JO1" s="18"/>
      <c r="JP1" s="18"/>
      <c r="JQ1" s="18"/>
      <c r="JR1" s="18"/>
      <c r="JS1" s="18"/>
      <c r="JT1" s="18"/>
      <c r="JU1" s="18"/>
      <c r="JV1" s="18"/>
      <c r="JW1" s="18"/>
      <c r="JX1" s="18"/>
      <c r="JY1" s="18"/>
      <c r="JZ1" s="18"/>
      <c r="KA1" s="18"/>
      <c r="KB1" s="18"/>
      <c r="KC1" s="18"/>
      <c r="KD1" s="18"/>
      <c r="KE1" s="18"/>
      <c r="KF1" s="18"/>
      <c r="KG1" s="18"/>
      <c r="KH1" s="18"/>
      <c r="KI1" s="18"/>
      <c r="KJ1" s="18"/>
      <c r="KK1" s="18"/>
      <c r="KL1" s="18"/>
      <c r="KM1" s="18"/>
      <c r="KN1" s="18"/>
      <c r="KO1" s="18"/>
      <c r="KP1" s="18"/>
      <c r="KQ1" s="18"/>
      <c r="KR1" s="18"/>
      <c r="KS1" s="18"/>
      <c r="KT1" s="18"/>
      <c r="KU1" s="18"/>
      <c r="KV1" s="18"/>
      <c r="KW1" s="18"/>
      <c r="KX1" s="18"/>
      <c r="KY1" s="18"/>
      <c r="KZ1" s="18"/>
      <c r="LA1" s="18"/>
      <c r="LB1" s="18"/>
      <c r="LC1" s="18"/>
      <c r="LD1" s="18"/>
      <c r="LE1" s="18"/>
      <c r="LF1" s="18"/>
      <c r="LG1" s="18"/>
      <c r="LH1" s="18"/>
      <c r="LI1" s="18"/>
      <c r="LJ1" s="18"/>
      <c r="LK1" s="18"/>
      <c r="LL1" s="18"/>
      <c r="LM1" s="18"/>
      <c r="LN1" s="18"/>
      <c r="LO1" s="18"/>
      <c r="LP1" s="18"/>
      <c r="LQ1" s="18"/>
      <c r="LR1" s="18"/>
      <c r="LS1" s="18"/>
      <c r="LT1" s="18"/>
      <c r="LU1" s="18"/>
      <c r="LV1" s="18"/>
      <c r="LW1" s="18"/>
      <c r="LX1" s="18"/>
      <c r="LY1" s="18"/>
      <c r="LZ1" s="18"/>
      <c r="MA1" s="18"/>
      <c r="MB1" s="18"/>
      <c r="MC1" s="18"/>
      <c r="MD1" s="18"/>
      <c r="ME1" s="18"/>
      <c r="MF1" s="18"/>
      <c r="MG1" s="18"/>
      <c r="MH1" s="18"/>
      <c r="MI1" s="18"/>
      <c r="MJ1" s="18"/>
      <c r="MK1" s="18"/>
      <c r="ML1" s="18"/>
      <c r="MM1" s="18"/>
      <c r="MN1" s="18"/>
      <c r="MO1" s="18"/>
      <c r="MP1" s="18"/>
      <c r="MQ1" s="18"/>
      <c r="MR1" s="18"/>
      <c r="MS1" s="18"/>
      <c r="MT1" s="18"/>
      <c r="MU1" s="18"/>
      <c r="MV1" s="18"/>
      <c r="MW1" s="18"/>
      <c r="MX1" s="18"/>
      <c r="MY1" s="18"/>
      <c r="MZ1" s="18"/>
      <c r="NA1" s="18"/>
      <c r="NB1" s="18"/>
      <c r="NC1" s="18"/>
      <c r="ND1" s="18"/>
      <c r="NE1" s="18"/>
      <c r="NF1" s="18"/>
      <c r="NG1" s="18"/>
      <c r="NH1" s="18"/>
      <c r="NI1" s="18"/>
      <c r="NJ1" s="18"/>
      <c r="NK1" s="18"/>
      <c r="NL1" s="18"/>
      <c r="NM1" s="18"/>
      <c r="NN1" s="18"/>
      <c r="NO1" s="18"/>
      <c r="NP1" s="18"/>
      <c r="NQ1" s="18"/>
      <c r="NR1" s="18"/>
      <c r="NS1" s="18"/>
      <c r="NT1" s="18"/>
      <c r="NU1" s="18"/>
      <c r="NV1" s="18"/>
      <c r="NW1" s="18"/>
      <c r="NX1" s="18"/>
      <c r="NY1" s="18"/>
      <c r="NZ1" s="18"/>
      <c r="OA1" s="18"/>
      <c r="OB1" s="18"/>
      <c r="OC1" s="18"/>
      <c r="OD1" s="18"/>
      <c r="OE1" s="18"/>
      <c r="OF1" s="18"/>
      <c r="OG1" s="18"/>
      <c r="OH1" s="18"/>
      <c r="OI1" s="18"/>
      <c r="OJ1" s="18"/>
      <c r="OK1" s="18"/>
      <c r="OL1" s="18"/>
      <c r="OM1" s="18"/>
      <c r="ON1" s="18"/>
      <c r="OO1" s="18"/>
      <c r="OP1" s="18"/>
      <c r="OQ1" s="18"/>
      <c r="OR1" s="18"/>
      <c r="OS1" s="18"/>
      <c r="OT1" s="18"/>
      <c r="OU1" s="18"/>
      <c r="OV1" s="18"/>
      <c r="OW1" s="18"/>
      <c r="OX1" s="18"/>
      <c r="OY1" s="18"/>
      <c r="OZ1" s="18"/>
      <c r="PA1" s="18"/>
      <c r="PB1" s="18"/>
      <c r="PC1" s="18"/>
    </row>
    <row r="2" s="2" customFormat="1" ht="25" customHeight="1" spans="1:419">
      <c r="A2" s="22" t="s">
        <v>23</v>
      </c>
      <c r="B2" s="22" t="s">
        <v>37</v>
      </c>
      <c r="C2" s="22" t="s">
        <v>38</v>
      </c>
      <c r="D2" s="22" t="s">
        <v>39</v>
      </c>
      <c r="E2" s="23" t="s">
        <v>40</v>
      </c>
      <c r="F2" s="23" t="s">
        <v>41</v>
      </c>
      <c r="G2" s="23" t="s">
        <v>42</v>
      </c>
      <c r="H2" s="24" t="s">
        <v>43</v>
      </c>
      <c r="I2" s="25" t="s">
        <v>44</v>
      </c>
      <c r="J2" s="25" t="s">
        <v>45</v>
      </c>
      <c r="K2" s="25" t="s">
        <v>46</v>
      </c>
      <c r="L2" s="25" t="s">
        <v>47</v>
      </c>
      <c r="M2" s="25" t="s">
        <v>48</v>
      </c>
      <c r="N2" s="26" t="s">
        <v>49</v>
      </c>
      <c r="O2" s="22" t="s">
        <v>50</v>
      </c>
      <c r="P2" s="27"/>
      <c r="Q2" s="27"/>
      <c r="R2" s="20" t="s">
        <v>51</v>
      </c>
      <c r="S2" s="20" t="s">
        <v>45</v>
      </c>
      <c r="T2" s="21" t="s">
        <v>52</v>
      </c>
      <c r="U2" s="20" t="s">
        <v>44</v>
      </c>
      <c r="V2" s="20" t="s">
        <v>53</v>
      </c>
      <c r="W2" s="20" t="s">
        <v>54</v>
      </c>
      <c r="X2" s="20" t="s">
        <v>55</v>
      </c>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7"/>
      <c r="HN2" s="27"/>
      <c r="HO2" s="27"/>
      <c r="HP2" s="27"/>
      <c r="HQ2" s="27"/>
      <c r="HR2" s="27"/>
      <c r="HS2" s="27"/>
      <c r="HT2" s="27"/>
      <c r="HU2" s="27"/>
      <c r="HV2" s="27"/>
      <c r="HW2" s="27"/>
      <c r="HX2" s="27"/>
      <c r="HY2" s="27"/>
      <c r="HZ2" s="27"/>
      <c r="IA2" s="27"/>
      <c r="IB2" s="27"/>
      <c r="IC2" s="27"/>
      <c r="ID2" s="27"/>
      <c r="IE2" s="27"/>
      <c r="IF2" s="27"/>
      <c r="IG2" s="27"/>
      <c r="IH2" s="27"/>
      <c r="II2" s="27"/>
      <c r="IJ2" s="27"/>
      <c r="IK2" s="27"/>
      <c r="IL2" s="27"/>
      <c r="IM2" s="27"/>
      <c r="IN2" s="27"/>
      <c r="IO2" s="27"/>
      <c r="IP2" s="27"/>
      <c r="IQ2" s="27"/>
      <c r="IR2" s="27"/>
      <c r="IS2" s="27"/>
      <c r="IT2" s="27"/>
      <c r="IU2" s="27"/>
      <c r="IV2" s="27"/>
      <c r="IW2" s="27"/>
      <c r="IX2" s="27"/>
      <c r="IY2" s="27"/>
      <c r="IZ2" s="27"/>
      <c r="JA2" s="27"/>
      <c r="JB2" s="27"/>
      <c r="JC2" s="27"/>
      <c r="JD2" s="27"/>
      <c r="JE2" s="27"/>
      <c r="JF2" s="27"/>
      <c r="JG2" s="27"/>
      <c r="JH2" s="27"/>
      <c r="JI2" s="27"/>
      <c r="JJ2" s="27"/>
      <c r="JK2" s="27"/>
      <c r="JL2" s="27"/>
      <c r="JM2" s="27"/>
      <c r="JN2" s="27"/>
      <c r="JO2" s="27"/>
      <c r="JP2" s="27"/>
      <c r="JQ2" s="27"/>
      <c r="JR2" s="27"/>
      <c r="JS2" s="27"/>
      <c r="JT2" s="27"/>
      <c r="JU2" s="27"/>
      <c r="JV2" s="27"/>
      <c r="JW2" s="27"/>
      <c r="JX2" s="27"/>
      <c r="JY2" s="27"/>
      <c r="JZ2" s="27"/>
      <c r="KA2" s="27"/>
      <c r="KB2" s="27"/>
      <c r="KC2" s="27"/>
      <c r="KD2" s="27"/>
      <c r="KE2" s="27"/>
      <c r="KF2" s="27"/>
      <c r="KG2" s="27"/>
      <c r="KH2" s="27"/>
      <c r="KI2" s="27"/>
      <c r="KJ2" s="27"/>
      <c r="KK2" s="27"/>
      <c r="KL2" s="27"/>
      <c r="KM2" s="27"/>
      <c r="KN2" s="27"/>
      <c r="KO2" s="27"/>
      <c r="KP2" s="27"/>
      <c r="KQ2" s="27"/>
      <c r="KR2" s="27"/>
      <c r="KS2" s="27"/>
      <c r="KT2" s="27"/>
      <c r="KU2" s="27"/>
      <c r="KV2" s="27"/>
      <c r="KW2" s="27"/>
      <c r="KX2" s="27"/>
      <c r="KY2" s="27"/>
      <c r="KZ2" s="27"/>
      <c r="LA2" s="27"/>
      <c r="LB2" s="27"/>
      <c r="LC2" s="27"/>
      <c r="LD2" s="27"/>
      <c r="LE2" s="27"/>
      <c r="LF2" s="27"/>
      <c r="LG2" s="27"/>
      <c r="LH2" s="27"/>
      <c r="LI2" s="27"/>
      <c r="LJ2" s="27"/>
      <c r="LK2" s="27"/>
      <c r="LL2" s="27"/>
      <c r="LM2" s="27"/>
      <c r="LN2" s="27"/>
      <c r="LO2" s="27"/>
      <c r="LP2" s="27"/>
      <c r="LQ2" s="27"/>
      <c r="LR2" s="27"/>
      <c r="LS2" s="27"/>
      <c r="LT2" s="27"/>
      <c r="LU2" s="27"/>
      <c r="LV2" s="27"/>
      <c r="LW2" s="27"/>
      <c r="LX2" s="27"/>
      <c r="LY2" s="27"/>
      <c r="LZ2" s="27"/>
      <c r="MA2" s="27"/>
      <c r="MB2" s="27"/>
      <c r="MC2" s="27"/>
      <c r="MD2" s="27"/>
      <c r="ME2" s="27"/>
      <c r="MF2" s="27"/>
      <c r="MG2" s="27"/>
      <c r="MH2" s="27"/>
      <c r="MI2" s="27"/>
      <c r="MJ2" s="27"/>
      <c r="MK2" s="27"/>
      <c r="ML2" s="27"/>
      <c r="MM2" s="27"/>
      <c r="MN2" s="27"/>
      <c r="MO2" s="27"/>
      <c r="MP2" s="27"/>
      <c r="MQ2" s="27"/>
      <c r="MR2" s="27"/>
      <c r="MS2" s="27"/>
      <c r="MT2" s="27"/>
      <c r="MU2" s="27"/>
      <c r="MV2" s="27"/>
      <c r="MW2" s="27"/>
      <c r="MX2" s="27"/>
      <c r="MY2" s="27"/>
      <c r="MZ2" s="27"/>
      <c r="NA2" s="27"/>
      <c r="NB2" s="27"/>
      <c r="NC2" s="27"/>
      <c r="ND2" s="27"/>
      <c r="NE2" s="27"/>
      <c r="NF2" s="27"/>
      <c r="NG2" s="27"/>
      <c r="NH2" s="27"/>
      <c r="NI2" s="27"/>
      <c r="NJ2" s="27"/>
      <c r="NK2" s="27"/>
      <c r="NL2" s="27"/>
      <c r="NM2" s="27"/>
      <c r="NN2" s="27"/>
      <c r="NO2" s="27"/>
      <c r="NP2" s="27"/>
      <c r="NQ2" s="27"/>
      <c r="NR2" s="27"/>
      <c r="NS2" s="27"/>
      <c r="NT2" s="27"/>
      <c r="NU2" s="27"/>
      <c r="NV2" s="27"/>
      <c r="NW2" s="27"/>
      <c r="NX2" s="27"/>
      <c r="NY2" s="27"/>
      <c r="NZ2" s="27"/>
      <c r="OA2" s="27"/>
      <c r="OB2" s="27"/>
      <c r="OC2" s="27"/>
      <c r="OD2" s="27"/>
      <c r="OE2" s="27"/>
      <c r="OF2" s="27"/>
      <c r="OG2" s="27"/>
      <c r="OH2" s="27"/>
      <c r="OI2" s="27"/>
      <c r="OJ2" s="27"/>
      <c r="OK2" s="27"/>
      <c r="OL2" s="27"/>
      <c r="OM2" s="27"/>
      <c r="ON2" s="27"/>
      <c r="OO2" s="27"/>
      <c r="OP2" s="27"/>
      <c r="OQ2" s="27"/>
      <c r="OR2" s="27"/>
      <c r="OS2" s="27"/>
      <c r="OT2" s="27"/>
      <c r="OU2" s="27"/>
      <c r="OV2" s="27"/>
      <c r="OW2" s="27"/>
      <c r="OX2" s="27"/>
      <c r="OY2" s="27"/>
      <c r="OZ2" s="27"/>
      <c r="PA2" s="27"/>
      <c r="PB2" s="27"/>
      <c r="PC2" s="27"/>
    </row>
    <row r="3" s="2" customFormat="1" ht="25" customHeight="1" spans="1:419">
      <c r="A3" s="28"/>
      <c r="B3" s="28"/>
      <c r="C3" s="28"/>
      <c r="D3" s="28"/>
      <c r="E3" s="23"/>
      <c r="F3" s="23"/>
      <c r="G3" s="23"/>
      <c r="H3" s="29"/>
      <c r="I3" s="30" t="s">
        <v>56</v>
      </c>
      <c r="J3" s="30" t="s">
        <v>57</v>
      </c>
      <c r="K3" s="30" t="s">
        <v>58</v>
      </c>
      <c r="L3" s="31">
        <f>坡道装饰工程量清单!$L$3</f>
        <v>0.1</v>
      </c>
      <c r="M3" s="30" t="s">
        <v>59</v>
      </c>
      <c r="N3" s="22" t="s">
        <v>60</v>
      </c>
      <c r="O3" s="28"/>
      <c r="P3" s="27"/>
      <c r="Q3" s="27"/>
      <c r="R3" s="32"/>
      <c r="S3" s="32"/>
      <c r="T3" s="33"/>
      <c r="U3" s="32"/>
      <c r="V3" s="32"/>
      <c r="W3" s="32"/>
      <c r="X3" s="32"/>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c r="EN3" s="27"/>
      <c r="EO3" s="27"/>
      <c r="EP3" s="27"/>
      <c r="EQ3" s="27"/>
      <c r="ER3" s="27"/>
      <c r="ES3" s="27"/>
      <c r="ET3" s="27"/>
      <c r="EU3" s="27"/>
      <c r="EV3" s="27"/>
      <c r="EW3" s="27"/>
      <c r="EX3" s="27"/>
      <c r="EY3" s="27"/>
      <c r="EZ3" s="27"/>
      <c r="FA3" s="27"/>
      <c r="FB3" s="27"/>
      <c r="FC3" s="27"/>
      <c r="FD3" s="27"/>
      <c r="FE3" s="27"/>
      <c r="FF3" s="27"/>
      <c r="FG3" s="27"/>
      <c r="FH3" s="27"/>
      <c r="FI3" s="27"/>
      <c r="FJ3" s="27"/>
      <c r="FK3" s="27"/>
      <c r="FL3" s="27"/>
      <c r="FM3" s="27"/>
      <c r="FN3" s="27"/>
      <c r="FO3" s="27"/>
      <c r="FP3" s="27"/>
      <c r="FQ3" s="27"/>
      <c r="FR3" s="27"/>
      <c r="FS3" s="27"/>
      <c r="FT3" s="27"/>
      <c r="FU3" s="27"/>
      <c r="FV3" s="27"/>
      <c r="FW3" s="27"/>
      <c r="FX3" s="27"/>
      <c r="FY3" s="27"/>
      <c r="FZ3" s="27"/>
      <c r="GA3" s="27"/>
      <c r="GB3" s="27"/>
      <c r="GC3" s="27"/>
      <c r="GD3" s="27"/>
      <c r="GE3" s="27"/>
      <c r="GF3" s="27"/>
      <c r="GG3" s="27"/>
      <c r="GH3" s="27"/>
      <c r="GI3" s="27"/>
      <c r="GJ3" s="27"/>
      <c r="GK3" s="27"/>
      <c r="GL3" s="27"/>
      <c r="GM3" s="27"/>
      <c r="GN3" s="27"/>
      <c r="GO3" s="27"/>
      <c r="GP3" s="27"/>
      <c r="GQ3" s="27"/>
      <c r="GR3" s="27"/>
      <c r="GS3" s="27"/>
      <c r="GT3" s="27"/>
      <c r="GU3" s="27"/>
      <c r="GV3" s="27"/>
      <c r="GW3" s="27"/>
      <c r="GX3" s="27"/>
      <c r="GY3" s="27"/>
      <c r="GZ3" s="27"/>
      <c r="HA3" s="27"/>
      <c r="HB3" s="27"/>
      <c r="HC3" s="27"/>
      <c r="HD3" s="27"/>
      <c r="HE3" s="27"/>
      <c r="HF3" s="27"/>
      <c r="HG3" s="27"/>
      <c r="HH3" s="27"/>
      <c r="HI3" s="27"/>
      <c r="HJ3" s="27"/>
      <c r="HK3" s="27"/>
      <c r="HL3" s="27"/>
      <c r="HM3" s="27"/>
      <c r="HN3" s="27"/>
      <c r="HO3" s="27"/>
      <c r="HP3" s="27"/>
      <c r="HQ3" s="27"/>
      <c r="HR3" s="27"/>
      <c r="HS3" s="27"/>
      <c r="HT3" s="27"/>
      <c r="HU3" s="27"/>
      <c r="HV3" s="27"/>
      <c r="HW3" s="27"/>
      <c r="HX3" s="27"/>
      <c r="HY3" s="27"/>
      <c r="HZ3" s="27"/>
      <c r="IA3" s="27"/>
      <c r="IB3" s="27"/>
      <c r="IC3" s="27"/>
      <c r="ID3" s="27"/>
      <c r="IE3" s="27"/>
      <c r="IF3" s="27"/>
      <c r="IG3" s="27"/>
      <c r="IH3" s="27"/>
      <c r="II3" s="27"/>
      <c r="IJ3" s="27"/>
      <c r="IK3" s="27"/>
      <c r="IL3" s="27"/>
      <c r="IM3" s="27"/>
      <c r="IN3" s="27"/>
      <c r="IO3" s="27"/>
      <c r="IP3" s="27"/>
      <c r="IQ3" s="27"/>
      <c r="IR3" s="27"/>
      <c r="IS3" s="27"/>
      <c r="IT3" s="27"/>
      <c r="IU3" s="27"/>
      <c r="IV3" s="27"/>
      <c r="IW3" s="27"/>
      <c r="IX3" s="27"/>
      <c r="IY3" s="27"/>
      <c r="IZ3" s="27"/>
      <c r="JA3" s="27"/>
      <c r="JB3" s="27"/>
      <c r="JC3" s="27"/>
      <c r="JD3" s="27"/>
      <c r="JE3" s="27"/>
      <c r="JF3" s="27"/>
      <c r="JG3" s="27"/>
      <c r="JH3" s="27"/>
      <c r="JI3" s="27"/>
      <c r="JJ3" s="27"/>
      <c r="JK3" s="27"/>
      <c r="JL3" s="27"/>
      <c r="JM3" s="27"/>
      <c r="JN3" s="27"/>
      <c r="JO3" s="27"/>
      <c r="JP3" s="27"/>
      <c r="JQ3" s="27"/>
      <c r="JR3" s="27"/>
      <c r="JS3" s="27"/>
      <c r="JT3" s="27"/>
      <c r="JU3" s="27"/>
      <c r="JV3" s="27"/>
      <c r="JW3" s="27"/>
      <c r="JX3" s="27"/>
      <c r="JY3" s="27"/>
      <c r="JZ3" s="27"/>
      <c r="KA3" s="27"/>
      <c r="KB3" s="27"/>
      <c r="KC3" s="27"/>
      <c r="KD3" s="27"/>
      <c r="KE3" s="27"/>
      <c r="KF3" s="27"/>
      <c r="KG3" s="27"/>
      <c r="KH3" s="27"/>
      <c r="KI3" s="27"/>
      <c r="KJ3" s="27"/>
      <c r="KK3" s="27"/>
      <c r="KL3" s="27"/>
      <c r="KM3" s="27"/>
      <c r="KN3" s="27"/>
      <c r="KO3" s="27"/>
      <c r="KP3" s="27"/>
      <c r="KQ3" s="27"/>
      <c r="KR3" s="27"/>
      <c r="KS3" s="27"/>
      <c r="KT3" s="27"/>
      <c r="KU3" s="27"/>
      <c r="KV3" s="27"/>
      <c r="KW3" s="27"/>
      <c r="KX3" s="27"/>
      <c r="KY3" s="27"/>
      <c r="KZ3" s="27"/>
      <c r="LA3" s="27"/>
      <c r="LB3" s="27"/>
      <c r="LC3" s="27"/>
      <c r="LD3" s="27"/>
      <c r="LE3" s="27"/>
      <c r="LF3" s="27"/>
      <c r="LG3" s="27"/>
      <c r="LH3" s="27"/>
      <c r="LI3" s="27"/>
      <c r="LJ3" s="27"/>
      <c r="LK3" s="27"/>
      <c r="LL3" s="27"/>
      <c r="LM3" s="27"/>
      <c r="LN3" s="27"/>
      <c r="LO3" s="27"/>
      <c r="LP3" s="27"/>
      <c r="LQ3" s="27"/>
      <c r="LR3" s="27"/>
      <c r="LS3" s="27"/>
      <c r="LT3" s="27"/>
      <c r="LU3" s="27"/>
      <c r="LV3" s="27"/>
      <c r="LW3" s="27"/>
      <c r="LX3" s="27"/>
      <c r="LY3" s="27"/>
      <c r="LZ3" s="27"/>
      <c r="MA3" s="27"/>
      <c r="MB3" s="27"/>
      <c r="MC3" s="27"/>
      <c r="MD3" s="27"/>
      <c r="ME3" s="27"/>
      <c r="MF3" s="27"/>
      <c r="MG3" s="27"/>
      <c r="MH3" s="27"/>
      <c r="MI3" s="27"/>
      <c r="MJ3" s="27"/>
      <c r="MK3" s="27"/>
      <c r="ML3" s="27"/>
      <c r="MM3" s="27"/>
      <c r="MN3" s="27"/>
      <c r="MO3" s="27"/>
      <c r="MP3" s="27"/>
      <c r="MQ3" s="27"/>
      <c r="MR3" s="27"/>
      <c r="MS3" s="27"/>
      <c r="MT3" s="27"/>
      <c r="MU3" s="27"/>
      <c r="MV3" s="27"/>
      <c r="MW3" s="27"/>
      <c r="MX3" s="27"/>
      <c r="MY3" s="27"/>
      <c r="MZ3" s="27"/>
      <c r="NA3" s="27"/>
      <c r="NB3" s="27"/>
      <c r="NC3" s="27"/>
      <c r="ND3" s="27"/>
      <c r="NE3" s="27"/>
      <c r="NF3" s="27"/>
      <c r="NG3" s="27"/>
      <c r="NH3" s="27"/>
      <c r="NI3" s="27"/>
      <c r="NJ3" s="27"/>
      <c r="NK3" s="27"/>
      <c r="NL3" s="27"/>
      <c r="NM3" s="27"/>
      <c r="NN3" s="27"/>
      <c r="NO3" s="27"/>
      <c r="NP3" s="27"/>
      <c r="NQ3" s="27"/>
      <c r="NR3" s="27"/>
      <c r="NS3" s="27"/>
      <c r="NT3" s="27"/>
      <c r="NU3" s="27"/>
      <c r="NV3" s="27"/>
      <c r="NW3" s="27"/>
      <c r="NX3" s="27"/>
      <c r="NY3" s="27"/>
      <c r="NZ3" s="27"/>
      <c r="OA3" s="27"/>
      <c r="OB3" s="27"/>
      <c r="OC3" s="27"/>
      <c r="OD3" s="27"/>
      <c r="OE3" s="27"/>
      <c r="OF3" s="27"/>
      <c r="OG3" s="27"/>
      <c r="OH3" s="27"/>
      <c r="OI3" s="27"/>
      <c r="OJ3" s="27"/>
      <c r="OK3" s="27"/>
      <c r="OL3" s="27"/>
      <c r="OM3" s="27"/>
      <c r="ON3" s="27"/>
      <c r="OO3" s="27"/>
      <c r="OP3" s="27"/>
      <c r="OQ3" s="27"/>
      <c r="OR3" s="27"/>
      <c r="OS3" s="27"/>
      <c r="OT3" s="27"/>
      <c r="OU3" s="27"/>
      <c r="OV3" s="27"/>
      <c r="OW3" s="27"/>
      <c r="OX3" s="27"/>
      <c r="OY3" s="27"/>
      <c r="OZ3" s="27"/>
      <c r="PA3" s="27"/>
      <c r="PB3" s="27"/>
      <c r="PC3" s="27"/>
    </row>
    <row r="4" s="2" customFormat="1" ht="25" customHeight="1" spans="1:419">
      <c r="A4" s="34"/>
      <c r="B4" s="34"/>
      <c r="C4" s="34"/>
      <c r="D4" s="34"/>
      <c r="E4" s="23"/>
      <c r="F4" s="23"/>
      <c r="G4" s="23"/>
      <c r="H4" s="35"/>
      <c r="I4" s="36"/>
      <c r="J4" s="36"/>
      <c r="K4" s="36"/>
      <c r="L4" s="25" t="s">
        <v>61</v>
      </c>
      <c r="M4" s="36"/>
      <c r="N4" s="34"/>
      <c r="O4" s="34"/>
      <c r="P4" s="27"/>
      <c r="Q4" s="27"/>
      <c r="R4" s="37"/>
      <c r="S4" s="37"/>
      <c r="T4" s="38"/>
      <c r="U4" s="37"/>
      <c r="V4" s="37"/>
      <c r="W4" s="37"/>
      <c r="X4" s="3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c r="EW4" s="27"/>
      <c r="EX4" s="27"/>
      <c r="EY4" s="27"/>
      <c r="EZ4" s="27"/>
      <c r="FA4" s="27"/>
      <c r="FB4" s="27"/>
      <c r="FC4" s="27"/>
      <c r="FD4" s="27"/>
      <c r="FE4" s="27"/>
      <c r="FF4" s="27"/>
      <c r="FG4" s="27"/>
      <c r="FH4" s="27"/>
      <c r="FI4" s="27"/>
      <c r="FJ4" s="27"/>
      <c r="FK4" s="27"/>
      <c r="FL4" s="27"/>
      <c r="FM4" s="27"/>
      <c r="FN4" s="27"/>
      <c r="FO4" s="27"/>
      <c r="FP4" s="27"/>
      <c r="FQ4" s="27"/>
      <c r="FR4" s="27"/>
      <c r="FS4" s="27"/>
      <c r="FT4" s="27"/>
      <c r="FU4" s="27"/>
      <c r="FV4" s="27"/>
      <c r="FW4" s="27"/>
      <c r="FX4" s="27"/>
      <c r="FY4" s="27"/>
      <c r="FZ4" s="27"/>
      <c r="GA4" s="27"/>
      <c r="GB4" s="27"/>
      <c r="GC4" s="27"/>
      <c r="GD4" s="27"/>
      <c r="GE4" s="27"/>
      <c r="GF4" s="27"/>
      <c r="GG4" s="27"/>
      <c r="GH4" s="27"/>
      <c r="GI4" s="27"/>
      <c r="GJ4" s="27"/>
      <c r="GK4" s="27"/>
      <c r="GL4" s="27"/>
      <c r="GM4" s="27"/>
      <c r="GN4" s="27"/>
      <c r="GO4" s="27"/>
      <c r="GP4" s="27"/>
      <c r="GQ4" s="27"/>
      <c r="GR4" s="27"/>
      <c r="GS4" s="27"/>
      <c r="GT4" s="27"/>
      <c r="GU4" s="27"/>
      <c r="GV4" s="27"/>
      <c r="GW4" s="27"/>
      <c r="GX4" s="27"/>
      <c r="GY4" s="27"/>
      <c r="GZ4" s="27"/>
      <c r="HA4" s="27"/>
      <c r="HB4" s="27"/>
      <c r="HC4" s="27"/>
      <c r="HD4" s="27"/>
      <c r="HE4" s="27"/>
      <c r="HF4" s="27"/>
      <c r="HG4" s="27"/>
      <c r="HH4" s="27"/>
      <c r="HI4" s="27"/>
      <c r="HJ4" s="27"/>
      <c r="HK4" s="27"/>
      <c r="HL4" s="27"/>
      <c r="HM4" s="27"/>
      <c r="HN4" s="27"/>
      <c r="HO4" s="27"/>
      <c r="HP4" s="27"/>
      <c r="HQ4" s="27"/>
      <c r="HR4" s="27"/>
      <c r="HS4" s="27"/>
      <c r="HT4" s="27"/>
      <c r="HU4" s="27"/>
      <c r="HV4" s="27"/>
      <c r="HW4" s="27"/>
      <c r="HX4" s="27"/>
      <c r="HY4" s="27"/>
      <c r="HZ4" s="27"/>
      <c r="IA4" s="27"/>
      <c r="IB4" s="27"/>
      <c r="IC4" s="27"/>
      <c r="ID4" s="27"/>
      <c r="IE4" s="27"/>
      <c r="IF4" s="27"/>
      <c r="IG4" s="27"/>
      <c r="IH4" s="27"/>
      <c r="II4" s="27"/>
      <c r="IJ4" s="27"/>
      <c r="IK4" s="27"/>
      <c r="IL4" s="27"/>
      <c r="IM4" s="27"/>
      <c r="IN4" s="27"/>
      <c r="IO4" s="27"/>
      <c r="IP4" s="27"/>
      <c r="IQ4" s="27"/>
      <c r="IR4" s="27"/>
      <c r="IS4" s="27"/>
      <c r="IT4" s="27"/>
      <c r="IU4" s="27"/>
      <c r="IV4" s="27"/>
      <c r="IW4" s="27"/>
      <c r="IX4" s="27"/>
      <c r="IY4" s="27"/>
      <c r="IZ4" s="27"/>
      <c r="JA4" s="27"/>
      <c r="JB4" s="27"/>
      <c r="JC4" s="27"/>
      <c r="JD4" s="27"/>
      <c r="JE4" s="27"/>
      <c r="JF4" s="27"/>
      <c r="JG4" s="27"/>
      <c r="JH4" s="27"/>
      <c r="JI4" s="27"/>
      <c r="JJ4" s="27"/>
      <c r="JK4" s="27"/>
      <c r="JL4" s="27"/>
      <c r="JM4" s="27"/>
      <c r="JN4" s="27"/>
      <c r="JO4" s="27"/>
      <c r="JP4" s="27"/>
      <c r="JQ4" s="27"/>
      <c r="JR4" s="27"/>
      <c r="JS4" s="27"/>
      <c r="JT4" s="27"/>
      <c r="JU4" s="27"/>
      <c r="JV4" s="27"/>
      <c r="JW4" s="27"/>
      <c r="JX4" s="27"/>
      <c r="JY4" s="27"/>
      <c r="JZ4" s="27"/>
      <c r="KA4" s="27"/>
      <c r="KB4" s="27"/>
      <c r="KC4" s="27"/>
      <c r="KD4" s="27"/>
      <c r="KE4" s="27"/>
      <c r="KF4" s="27"/>
      <c r="KG4" s="27"/>
      <c r="KH4" s="27"/>
      <c r="KI4" s="27"/>
      <c r="KJ4" s="27"/>
      <c r="KK4" s="27"/>
      <c r="KL4" s="27"/>
      <c r="KM4" s="27"/>
      <c r="KN4" s="27"/>
      <c r="KO4" s="27"/>
      <c r="KP4" s="27"/>
      <c r="KQ4" s="27"/>
      <c r="KR4" s="27"/>
      <c r="KS4" s="27"/>
      <c r="KT4" s="27"/>
      <c r="KU4" s="27"/>
      <c r="KV4" s="27"/>
      <c r="KW4" s="27"/>
      <c r="KX4" s="27"/>
      <c r="KY4" s="27"/>
      <c r="KZ4" s="27"/>
      <c r="LA4" s="27"/>
      <c r="LB4" s="27"/>
      <c r="LC4" s="27"/>
      <c r="LD4" s="27"/>
      <c r="LE4" s="27"/>
      <c r="LF4" s="27"/>
      <c r="LG4" s="27"/>
      <c r="LH4" s="27"/>
      <c r="LI4" s="27"/>
      <c r="LJ4" s="27"/>
      <c r="LK4" s="27"/>
      <c r="LL4" s="27"/>
      <c r="LM4" s="27"/>
      <c r="LN4" s="27"/>
      <c r="LO4" s="27"/>
      <c r="LP4" s="27"/>
      <c r="LQ4" s="27"/>
      <c r="LR4" s="27"/>
      <c r="LS4" s="27"/>
      <c r="LT4" s="27"/>
      <c r="LU4" s="27"/>
      <c r="LV4" s="27"/>
      <c r="LW4" s="27"/>
      <c r="LX4" s="27"/>
      <c r="LY4" s="27"/>
      <c r="LZ4" s="27"/>
      <c r="MA4" s="27"/>
      <c r="MB4" s="27"/>
      <c r="MC4" s="27"/>
      <c r="MD4" s="27"/>
      <c r="ME4" s="27"/>
      <c r="MF4" s="27"/>
      <c r="MG4" s="27"/>
      <c r="MH4" s="27"/>
      <c r="MI4" s="27"/>
      <c r="MJ4" s="27"/>
      <c r="MK4" s="27"/>
      <c r="ML4" s="27"/>
      <c r="MM4" s="27"/>
      <c r="MN4" s="27"/>
      <c r="MO4" s="27"/>
      <c r="MP4" s="27"/>
      <c r="MQ4" s="27"/>
      <c r="MR4" s="27"/>
      <c r="MS4" s="27"/>
      <c r="MT4" s="27"/>
      <c r="MU4" s="27"/>
      <c r="MV4" s="27"/>
      <c r="MW4" s="27"/>
      <c r="MX4" s="27"/>
      <c r="MY4" s="27"/>
      <c r="MZ4" s="27"/>
      <c r="NA4" s="27"/>
      <c r="NB4" s="27"/>
      <c r="NC4" s="27"/>
      <c r="ND4" s="27"/>
      <c r="NE4" s="27"/>
      <c r="NF4" s="27"/>
      <c r="NG4" s="27"/>
      <c r="NH4" s="27"/>
      <c r="NI4" s="27"/>
      <c r="NJ4" s="27"/>
      <c r="NK4" s="27"/>
      <c r="NL4" s="27"/>
      <c r="NM4" s="27"/>
      <c r="NN4" s="27"/>
      <c r="NO4" s="27"/>
      <c r="NP4" s="27"/>
      <c r="NQ4" s="27"/>
      <c r="NR4" s="27"/>
      <c r="NS4" s="27"/>
      <c r="NT4" s="27"/>
      <c r="NU4" s="27"/>
      <c r="NV4" s="27"/>
      <c r="NW4" s="27"/>
      <c r="NX4" s="27"/>
      <c r="NY4" s="27"/>
      <c r="NZ4" s="27"/>
      <c r="OA4" s="27"/>
      <c r="OB4" s="27"/>
      <c r="OC4" s="27"/>
      <c r="OD4" s="27"/>
      <c r="OE4" s="27"/>
      <c r="OF4" s="27"/>
      <c r="OG4" s="27"/>
      <c r="OH4" s="27"/>
      <c r="OI4" s="27"/>
      <c r="OJ4" s="27"/>
      <c r="OK4" s="27"/>
      <c r="OL4" s="27"/>
      <c r="OM4" s="27"/>
      <c r="ON4" s="27"/>
      <c r="OO4" s="27"/>
      <c r="OP4" s="27"/>
      <c r="OQ4" s="27"/>
      <c r="OR4" s="27"/>
      <c r="OS4" s="27"/>
      <c r="OT4" s="27"/>
      <c r="OU4" s="27"/>
      <c r="OV4" s="27"/>
      <c r="OW4" s="27"/>
      <c r="OX4" s="27"/>
      <c r="OY4" s="27"/>
      <c r="OZ4" s="27"/>
      <c r="PA4" s="27"/>
      <c r="PB4" s="27"/>
      <c r="PC4" s="27"/>
    </row>
    <row r="5" s="2" customFormat="1" ht="25" customHeight="1" spans="1:419">
      <c r="A5" s="39" t="s">
        <v>62</v>
      </c>
      <c r="B5" s="39" t="s">
        <v>215</v>
      </c>
      <c r="C5" s="39"/>
      <c r="D5" s="39"/>
      <c r="E5" s="40"/>
      <c r="F5" s="40"/>
      <c r="G5" s="40"/>
      <c r="H5" s="40"/>
      <c r="I5" s="40"/>
      <c r="J5" s="40"/>
      <c r="K5" s="40"/>
      <c r="L5" s="40"/>
      <c r="M5" s="40"/>
      <c r="N5" s="41">
        <f>SUM(N6:N15)</f>
        <v>209328.28895</v>
      </c>
      <c r="O5" s="39"/>
      <c r="P5" s="27"/>
      <c r="Q5" s="42"/>
      <c r="R5" s="37"/>
      <c r="S5" s="37"/>
      <c r="T5" s="38"/>
      <c r="U5" s="37"/>
      <c r="V5" s="37"/>
      <c r="W5" s="37"/>
      <c r="X5" s="3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c r="EK5" s="27"/>
      <c r="EL5" s="27"/>
      <c r="EM5" s="27"/>
      <c r="EN5" s="27"/>
      <c r="EO5" s="27"/>
      <c r="EP5" s="27"/>
      <c r="EQ5" s="27"/>
      <c r="ER5" s="27"/>
      <c r="ES5" s="27"/>
      <c r="ET5" s="27"/>
      <c r="EU5" s="27"/>
      <c r="EV5" s="27"/>
      <c r="EW5" s="27"/>
      <c r="EX5" s="27"/>
      <c r="EY5" s="27"/>
      <c r="EZ5" s="27"/>
      <c r="FA5" s="27"/>
      <c r="FB5" s="27"/>
      <c r="FC5" s="27"/>
      <c r="FD5" s="27"/>
      <c r="FE5" s="27"/>
      <c r="FF5" s="27"/>
      <c r="FG5" s="27"/>
      <c r="FH5" s="27"/>
      <c r="FI5" s="27"/>
      <c r="FJ5" s="27"/>
      <c r="FK5" s="27"/>
      <c r="FL5" s="27"/>
      <c r="FM5" s="27"/>
      <c r="FN5" s="27"/>
      <c r="FO5" s="27"/>
      <c r="FP5" s="27"/>
      <c r="FQ5" s="27"/>
      <c r="FR5" s="27"/>
      <c r="FS5" s="27"/>
      <c r="FT5" s="27"/>
      <c r="FU5" s="27"/>
      <c r="FV5" s="27"/>
      <c r="FW5" s="27"/>
      <c r="FX5" s="27"/>
      <c r="FY5" s="27"/>
      <c r="FZ5" s="27"/>
      <c r="GA5" s="27"/>
      <c r="GB5" s="27"/>
      <c r="GC5" s="27"/>
      <c r="GD5" s="27"/>
      <c r="GE5" s="27"/>
      <c r="GF5" s="27"/>
      <c r="GG5" s="27"/>
      <c r="GH5" s="27"/>
      <c r="GI5" s="27"/>
      <c r="GJ5" s="27"/>
      <c r="GK5" s="27"/>
      <c r="GL5" s="27"/>
      <c r="GM5" s="27"/>
      <c r="GN5" s="27"/>
      <c r="GO5" s="27"/>
      <c r="GP5" s="27"/>
      <c r="GQ5" s="27"/>
      <c r="GR5" s="27"/>
      <c r="GS5" s="27"/>
      <c r="GT5" s="27"/>
      <c r="GU5" s="27"/>
      <c r="GV5" s="27"/>
      <c r="GW5" s="27"/>
      <c r="GX5" s="27"/>
      <c r="GY5" s="27"/>
      <c r="GZ5" s="27"/>
      <c r="HA5" s="27"/>
      <c r="HB5" s="27"/>
      <c r="HC5" s="27"/>
      <c r="HD5" s="27"/>
      <c r="HE5" s="27"/>
      <c r="HF5" s="27"/>
      <c r="HG5" s="27"/>
      <c r="HH5" s="27"/>
      <c r="HI5" s="27"/>
      <c r="HJ5" s="27"/>
      <c r="HK5" s="27"/>
      <c r="HL5" s="27"/>
      <c r="HM5" s="27"/>
      <c r="HN5" s="27"/>
      <c r="HO5" s="27"/>
      <c r="HP5" s="27"/>
      <c r="HQ5" s="27"/>
      <c r="HR5" s="27"/>
      <c r="HS5" s="27"/>
      <c r="HT5" s="27"/>
      <c r="HU5" s="27"/>
      <c r="HV5" s="27"/>
      <c r="HW5" s="27"/>
      <c r="HX5" s="27"/>
      <c r="HY5" s="27"/>
      <c r="HZ5" s="27"/>
      <c r="IA5" s="27"/>
      <c r="IB5" s="27"/>
      <c r="IC5" s="27"/>
      <c r="ID5" s="27"/>
      <c r="IE5" s="27"/>
      <c r="IF5" s="27"/>
      <c r="IG5" s="27"/>
      <c r="IH5" s="27"/>
      <c r="II5" s="27"/>
      <c r="IJ5" s="27"/>
      <c r="IK5" s="27"/>
      <c r="IL5" s="27"/>
      <c r="IM5" s="27"/>
      <c r="IN5" s="27"/>
      <c r="IO5" s="27"/>
      <c r="IP5" s="27"/>
      <c r="IQ5" s="27"/>
      <c r="IR5" s="27"/>
      <c r="IS5" s="27"/>
      <c r="IT5" s="27"/>
      <c r="IU5" s="27"/>
      <c r="IV5" s="27"/>
      <c r="IW5" s="27"/>
      <c r="IX5" s="27"/>
      <c r="IY5" s="27"/>
      <c r="IZ5" s="27"/>
      <c r="JA5" s="27"/>
      <c r="JB5" s="27"/>
      <c r="JC5" s="27"/>
      <c r="JD5" s="27"/>
      <c r="JE5" s="27"/>
      <c r="JF5" s="27"/>
      <c r="JG5" s="27"/>
      <c r="JH5" s="27"/>
      <c r="JI5" s="27"/>
      <c r="JJ5" s="27"/>
      <c r="JK5" s="27"/>
      <c r="JL5" s="27"/>
      <c r="JM5" s="27"/>
      <c r="JN5" s="27"/>
      <c r="JO5" s="27"/>
      <c r="JP5" s="27"/>
      <c r="JQ5" s="27"/>
      <c r="JR5" s="27"/>
      <c r="JS5" s="27"/>
      <c r="JT5" s="27"/>
      <c r="JU5" s="27"/>
      <c r="JV5" s="27"/>
      <c r="JW5" s="27"/>
      <c r="JX5" s="27"/>
      <c r="JY5" s="27"/>
      <c r="JZ5" s="27"/>
      <c r="KA5" s="27"/>
      <c r="KB5" s="27"/>
      <c r="KC5" s="27"/>
      <c r="KD5" s="27"/>
      <c r="KE5" s="27"/>
      <c r="KF5" s="27"/>
      <c r="KG5" s="27"/>
      <c r="KH5" s="27"/>
      <c r="KI5" s="27"/>
      <c r="KJ5" s="27"/>
      <c r="KK5" s="27"/>
      <c r="KL5" s="27"/>
      <c r="KM5" s="27"/>
      <c r="KN5" s="27"/>
      <c r="KO5" s="27"/>
      <c r="KP5" s="27"/>
      <c r="KQ5" s="27"/>
      <c r="KR5" s="27"/>
      <c r="KS5" s="27"/>
      <c r="KT5" s="27"/>
      <c r="KU5" s="27"/>
      <c r="KV5" s="27"/>
      <c r="KW5" s="27"/>
      <c r="KX5" s="27"/>
      <c r="KY5" s="27"/>
      <c r="KZ5" s="27"/>
      <c r="LA5" s="27"/>
      <c r="LB5" s="27"/>
      <c r="LC5" s="27"/>
      <c r="LD5" s="27"/>
      <c r="LE5" s="27"/>
      <c r="LF5" s="27"/>
      <c r="LG5" s="27"/>
      <c r="LH5" s="27"/>
      <c r="LI5" s="27"/>
      <c r="LJ5" s="27"/>
      <c r="LK5" s="27"/>
      <c r="LL5" s="27"/>
      <c r="LM5" s="27"/>
      <c r="LN5" s="27"/>
      <c r="LO5" s="27"/>
      <c r="LP5" s="27"/>
      <c r="LQ5" s="27"/>
      <c r="LR5" s="27"/>
      <c r="LS5" s="27"/>
      <c r="LT5" s="27"/>
      <c r="LU5" s="27"/>
      <c r="LV5" s="27"/>
      <c r="LW5" s="27"/>
      <c r="LX5" s="27"/>
      <c r="LY5" s="27"/>
      <c r="LZ5" s="27"/>
      <c r="MA5" s="27"/>
      <c r="MB5" s="27"/>
      <c r="MC5" s="27"/>
      <c r="MD5" s="27"/>
      <c r="ME5" s="27"/>
      <c r="MF5" s="27"/>
      <c r="MG5" s="27"/>
      <c r="MH5" s="27"/>
      <c r="MI5" s="27"/>
      <c r="MJ5" s="27"/>
      <c r="MK5" s="27"/>
      <c r="ML5" s="27"/>
      <c r="MM5" s="27"/>
      <c r="MN5" s="27"/>
      <c r="MO5" s="27"/>
      <c r="MP5" s="27"/>
      <c r="MQ5" s="27"/>
      <c r="MR5" s="27"/>
      <c r="MS5" s="27"/>
      <c r="MT5" s="27"/>
      <c r="MU5" s="27"/>
      <c r="MV5" s="27"/>
      <c r="MW5" s="27"/>
      <c r="MX5" s="27"/>
      <c r="MY5" s="27"/>
      <c r="MZ5" s="27"/>
      <c r="NA5" s="27"/>
      <c r="NB5" s="27"/>
      <c r="NC5" s="27"/>
      <c r="ND5" s="27"/>
      <c r="NE5" s="27"/>
      <c r="NF5" s="27"/>
      <c r="NG5" s="27"/>
      <c r="NH5" s="27"/>
      <c r="NI5" s="27"/>
      <c r="NJ5" s="27"/>
      <c r="NK5" s="27"/>
      <c r="NL5" s="27"/>
      <c r="NM5" s="27"/>
      <c r="NN5" s="27"/>
      <c r="NO5" s="27"/>
      <c r="NP5" s="27"/>
      <c r="NQ5" s="27"/>
      <c r="NR5" s="27"/>
      <c r="NS5" s="27"/>
      <c r="NT5" s="27"/>
      <c r="NU5" s="27"/>
      <c r="NV5" s="27"/>
      <c r="NW5" s="27"/>
      <c r="NX5" s="27"/>
      <c r="NY5" s="27"/>
      <c r="NZ5" s="27"/>
      <c r="OA5" s="27"/>
      <c r="OB5" s="27"/>
      <c r="OC5" s="27"/>
      <c r="OD5" s="27"/>
      <c r="OE5" s="27"/>
      <c r="OF5" s="27"/>
      <c r="OG5" s="27"/>
      <c r="OH5" s="27"/>
      <c r="OI5" s="27"/>
      <c r="OJ5" s="27"/>
      <c r="OK5" s="27"/>
      <c r="OL5" s="27"/>
      <c r="OM5" s="27"/>
      <c r="ON5" s="27"/>
      <c r="OO5" s="27"/>
      <c r="OP5" s="27"/>
      <c r="OQ5" s="27"/>
      <c r="OR5" s="27"/>
      <c r="OS5" s="27"/>
      <c r="OT5" s="27"/>
      <c r="OU5" s="27"/>
      <c r="OV5" s="27"/>
      <c r="OW5" s="27"/>
      <c r="OX5" s="27"/>
      <c r="OY5" s="27"/>
      <c r="OZ5" s="27"/>
      <c r="PA5" s="27"/>
      <c r="PB5" s="27"/>
      <c r="PC5" s="27"/>
    </row>
    <row r="6" s="3" customFormat="1" ht="63" customHeight="1" outlineLevel="2" spans="1:419">
      <c r="A6" s="43">
        <v>1</v>
      </c>
      <c r="B6" s="44" t="s">
        <v>209</v>
      </c>
      <c r="C6" s="44" t="s">
        <v>210</v>
      </c>
      <c r="D6" s="45" t="s">
        <v>173</v>
      </c>
      <c r="E6" s="46">
        <v>168</v>
      </c>
      <c r="F6" s="46">
        <v>160</v>
      </c>
      <c r="G6" s="46">
        <v>182</v>
      </c>
      <c r="H6" s="46">
        <f t="shared" ref="H6:H17" si="0">SUM(E6:G6)</f>
        <v>510</v>
      </c>
      <c r="I6" s="47">
        <f>坡道安装工程!F6</f>
        <v>18</v>
      </c>
      <c r="J6" s="47">
        <f>坡道安装工程!G6</f>
        <v>125</v>
      </c>
      <c r="K6" s="47">
        <f>坡道安装工程!H6</f>
        <v>1.5</v>
      </c>
      <c r="L6" s="48">
        <f>(I6+J6+K6)*$L$3</f>
        <v>14.45</v>
      </c>
      <c r="M6" s="47">
        <f>SUM(I6:L6)</f>
        <v>158.95</v>
      </c>
      <c r="N6" s="49">
        <f>M6*H6</f>
        <v>81064.5</v>
      </c>
      <c r="O6" s="50"/>
      <c r="P6" s="10"/>
      <c r="Q6" s="51"/>
      <c r="R6" s="32">
        <f t="shared" ref="R6:R8" si="1">S6+S6*T6+U6+V6+W6</f>
        <v>0</v>
      </c>
      <c r="S6" s="32"/>
      <c r="T6" s="33"/>
      <c r="U6" s="32"/>
      <c r="V6" s="32"/>
      <c r="W6" s="32"/>
      <c r="X6" s="32">
        <f t="shared" ref="X6:X8" si="2">R6*H6</f>
        <v>0</v>
      </c>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2"/>
      <c r="ED6" s="52"/>
      <c r="EE6" s="52"/>
      <c r="EF6" s="52"/>
      <c r="EG6" s="52"/>
      <c r="EH6" s="52"/>
      <c r="EI6" s="52"/>
      <c r="EJ6" s="52"/>
      <c r="EK6" s="52"/>
      <c r="EL6" s="52"/>
      <c r="EM6" s="52"/>
      <c r="EN6" s="52"/>
      <c r="EO6" s="52"/>
      <c r="EP6" s="52"/>
      <c r="EQ6" s="52"/>
      <c r="ER6" s="52"/>
      <c r="ES6" s="52"/>
      <c r="ET6" s="52"/>
      <c r="EU6" s="52"/>
      <c r="EV6" s="52"/>
      <c r="EW6" s="52"/>
      <c r="EX6" s="52"/>
      <c r="EY6" s="52"/>
      <c r="EZ6" s="52"/>
      <c r="FA6" s="52"/>
      <c r="FB6" s="52"/>
      <c r="FC6" s="52"/>
      <c r="FD6" s="52"/>
      <c r="FE6" s="52"/>
      <c r="FF6" s="52"/>
      <c r="FG6" s="52"/>
      <c r="FH6" s="52"/>
      <c r="FI6" s="52"/>
      <c r="FJ6" s="52"/>
      <c r="FK6" s="52"/>
      <c r="FL6" s="52"/>
      <c r="FM6" s="52"/>
      <c r="FN6" s="52"/>
      <c r="FO6" s="52"/>
      <c r="FP6" s="52"/>
      <c r="FQ6" s="52"/>
      <c r="FR6" s="52"/>
      <c r="FS6" s="52"/>
      <c r="FT6" s="52"/>
      <c r="FU6" s="52"/>
      <c r="FV6" s="52"/>
      <c r="FW6" s="52"/>
      <c r="FX6" s="52"/>
      <c r="FY6" s="52"/>
      <c r="FZ6" s="52"/>
      <c r="GA6" s="52"/>
      <c r="GB6" s="52"/>
      <c r="GC6" s="52"/>
      <c r="GD6" s="52"/>
      <c r="GE6" s="52"/>
      <c r="GF6" s="52"/>
      <c r="GG6" s="52"/>
      <c r="GH6" s="52"/>
      <c r="GI6" s="52"/>
      <c r="GJ6" s="52"/>
      <c r="GK6" s="52"/>
      <c r="GL6" s="52"/>
      <c r="GM6" s="52"/>
      <c r="GN6" s="52"/>
      <c r="GO6" s="52"/>
      <c r="GP6" s="52"/>
      <c r="GQ6" s="52"/>
      <c r="GR6" s="52"/>
      <c r="GS6" s="52"/>
      <c r="GT6" s="52"/>
      <c r="GU6" s="52"/>
      <c r="GV6" s="52"/>
      <c r="GW6" s="52"/>
      <c r="GX6" s="52"/>
      <c r="GY6" s="52"/>
      <c r="GZ6" s="52"/>
      <c r="HA6" s="52"/>
      <c r="HB6" s="52"/>
      <c r="HC6" s="52"/>
      <c r="HD6" s="52"/>
      <c r="HE6" s="52"/>
      <c r="HF6" s="52"/>
      <c r="HG6" s="52"/>
      <c r="HH6" s="52"/>
      <c r="HI6" s="52"/>
      <c r="HJ6" s="52"/>
      <c r="HK6" s="52"/>
      <c r="HL6" s="52"/>
      <c r="HM6" s="52"/>
      <c r="HN6" s="52"/>
      <c r="HO6" s="52"/>
      <c r="HP6" s="52"/>
      <c r="HQ6" s="52"/>
      <c r="HR6" s="52"/>
      <c r="HS6" s="52"/>
      <c r="HT6" s="52"/>
      <c r="HU6" s="52"/>
      <c r="HV6" s="52"/>
      <c r="HW6" s="52"/>
      <c r="HX6" s="52"/>
      <c r="HY6" s="52"/>
      <c r="HZ6" s="52"/>
      <c r="IA6" s="52"/>
      <c r="IB6" s="52"/>
      <c r="IC6" s="52"/>
      <c r="ID6" s="52"/>
      <c r="IE6" s="52"/>
      <c r="IF6" s="52"/>
      <c r="IG6" s="52"/>
      <c r="IH6" s="52"/>
      <c r="II6" s="52"/>
      <c r="IJ6" s="52"/>
      <c r="IK6" s="52"/>
      <c r="IL6" s="52"/>
      <c r="IM6" s="52"/>
      <c r="IN6" s="52"/>
      <c r="IO6" s="52"/>
      <c r="IP6" s="52"/>
      <c r="IQ6" s="52"/>
      <c r="IR6" s="52"/>
      <c r="IS6" s="52"/>
      <c r="IT6" s="52"/>
      <c r="IU6" s="52"/>
      <c r="IV6" s="52"/>
      <c r="IW6" s="52"/>
      <c r="IX6" s="52"/>
      <c r="IY6" s="52"/>
      <c r="IZ6" s="52"/>
      <c r="JA6" s="52"/>
      <c r="JB6" s="52"/>
      <c r="JC6" s="52"/>
      <c r="JD6" s="52"/>
      <c r="JE6" s="52"/>
      <c r="JF6" s="52"/>
      <c r="JG6" s="52"/>
      <c r="JH6" s="52"/>
      <c r="JI6" s="52"/>
      <c r="JJ6" s="52"/>
      <c r="JK6" s="52"/>
      <c r="JL6" s="52"/>
      <c r="JM6" s="52"/>
      <c r="JN6" s="52"/>
      <c r="JO6" s="52"/>
      <c r="JP6" s="52"/>
      <c r="JQ6" s="52"/>
      <c r="JR6" s="52"/>
      <c r="JS6" s="52"/>
      <c r="JT6" s="52"/>
      <c r="JU6" s="52"/>
      <c r="JV6" s="52"/>
      <c r="JW6" s="52"/>
      <c r="JX6" s="52"/>
      <c r="JY6" s="52"/>
      <c r="JZ6" s="52"/>
      <c r="KA6" s="52"/>
      <c r="KB6" s="52"/>
      <c r="KC6" s="52"/>
      <c r="KD6" s="52"/>
      <c r="KE6" s="52"/>
      <c r="KF6" s="52"/>
      <c r="KG6" s="52"/>
      <c r="KH6" s="52"/>
      <c r="KI6" s="52"/>
      <c r="KJ6" s="52"/>
      <c r="KK6" s="52"/>
      <c r="KL6" s="52"/>
      <c r="KM6" s="52"/>
      <c r="KN6" s="52"/>
      <c r="KO6" s="52"/>
      <c r="KP6" s="52"/>
      <c r="KQ6" s="52"/>
      <c r="KR6" s="52"/>
      <c r="KS6" s="52"/>
      <c r="KT6" s="52"/>
      <c r="KU6" s="52"/>
      <c r="KV6" s="52"/>
      <c r="KW6" s="52"/>
      <c r="KX6" s="52"/>
      <c r="KY6" s="52"/>
      <c r="KZ6" s="52"/>
      <c r="LA6" s="52"/>
      <c r="LB6" s="52"/>
      <c r="LC6" s="52"/>
      <c r="LD6" s="52"/>
      <c r="LE6" s="52"/>
      <c r="LF6" s="52"/>
      <c r="LG6" s="52"/>
      <c r="LH6" s="52"/>
      <c r="LI6" s="52"/>
      <c r="LJ6" s="52"/>
      <c r="LK6" s="52"/>
      <c r="LL6" s="52"/>
      <c r="LM6" s="52"/>
      <c r="LN6" s="52"/>
      <c r="LO6" s="52"/>
      <c r="LP6" s="52"/>
      <c r="LQ6" s="52"/>
      <c r="LR6" s="52"/>
      <c r="LS6" s="52"/>
      <c r="LT6" s="52"/>
      <c r="LU6" s="52"/>
      <c r="LV6" s="52"/>
      <c r="LW6" s="52"/>
      <c r="LX6" s="52"/>
      <c r="LY6" s="52"/>
      <c r="LZ6" s="52"/>
      <c r="MA6" s="52"/>
      <c r="MB6" s="52"/>
      <c r="MC6" s="52"/>
      <c r="MD6" s="52"/>
      <c r="ME6" s="52"/>
      <c r="MF6" s="52"/>
      <c r="MG6" s="52"/>
      <c r="MH6" s="52"/>
      <c r="MI6" s="52"/>
      <c r="MJ6" s="52"/>
      <c r="MK6" s="52"/>
      <c r="ML6" s="52"/>
      <c r="MM6" s="52"/>
      <c r="MN6" s="52"/>
      <c r="MO6" s="52"/>
      <c r="MP6" s="52"/>
      <c r="MQ6" s="52"/>
      <c r="MR6" s="52"/>
      <c r="MS6" s="52"/>
      <c r="MT6" s="52"/>
      <c r="MU6" s="52"/>
      <c r="MV6" s="52"/>
      <c r="MW6" s="52"/>
      <c r="MX6" s="52"/>
      <c r="MY6" s="52"/>
      <c r="MZ6" s="52"/>
      <c r="NA6" s="52"/>
      <c r="NB6" s="52"/>
      <c r="NC6" s="52"/>
      <c r="ND6" s="52"/>
      <c r="NE6" s="52"/>
      <c r="NF6" s="52"/>
      <c r="NG6" s="52"/>
      <c r="NH6" s="52"/>
      <c r="NI6" s="52"/>
      <c r="NJ6" s="52"/>
      <c r="NK6" s="52"/>
      <c r="NL6" s="52"/>
      <c r="NM6" s="52"/>
      <c r="NN6" s="52"/>
      <c r="NO6" s="52"/>
      <c r="NP6" s="52"/>
      <c r="NQ6" s="52"/>
      <c r="NR6" s="52"/>
      <c r="NS6" s="52"/>
      <c r="NT6" s="52"/>
      <c r="NU6" s="52"/>
      <c r="NV6" s="52"/>
      <c r="NW6" s="52"/>
      <c r="NX6" s="52"/>
      <c r="NY6" s="52"/>
      <c r="NZ6" s="52"/>
      <c r="OA6" s="52"/>
      <c r="OB6" s="52"/>
      <c r="OC6" s="52"/>
      <c r="OD6" s="52"/>
      <c r="OE6" s="52"/>
      <c r="OF6" s="52"/>
      <c r="OG6" s="52"/>
      <c r="OH6" s="52"/>
      <c r="OI6" s="52"/>
      <c r="OJ6" s="52"/>
      <c r="OK6" s="52"/>
      <c r="OL6" s="52"/>
      <c r="OM6" s="52"/>
      <c r="ON6" s="52"/>
      <c r="OO6" s="52"/>
      <c r="OP6" s="52"/>
      <c r="OQ6" s="52"/>
      <c r="OR6" s="52"/>
      <c r="OS6" s="52"/>
      <c r="OT6" s="52"/>
      <c r="OU6" s="52"/>
      <c r="OV6" s="52"/>
      <c r="OW6" s="52"/>
      <c r="OX6" s="52"/>
      <c r="OY6" s="52"/>
      <c r="OZ6" s="52"/>
      <c r="PA6" s="52"/>
      <c r="PB6" s="52"/>
      <c r="PC6" s="52"/>
    </row>
    <row r="7" s="4" customFormat="1" ht="63" customHeight="1" outlineLevel="2" spans="1:419">
      <c r="A7" s="43">
        <v>2</v>
      </c>
      <c r="B7" s="44" t="s">
        <v>216</v>
      </c>
      <c r="C7" s="44" t="s">
        <v>217</v>
      </c>
      <c r="D7" s="53" t="s">
        <v>173</v>
      </c>
      <c r="E7" s="46">
        <v>99</v>
      </c>
      <c r="F7" s="46">
        <v>98</v>
      </c>
      <c r="G7" s="46">
        <v>109</v>
      </c>
      <c r="H7" s="46">
        <f t="shared" si="0"/>
        <v>306</v>
      </c>
      <c r="I7" s="47">
        <f t="shared" ref="I7:I15" si="3">U7*$U$1</f>
        <v>18</v>
      </c>
      <c r="J7" s="54">
        <f t="shared" ref="J7:J15" si="4">S7*(1+T7)*$S$1</f>
        <v>85</v>
      </c>
      <c r="K7" s="54">
        <f t="shared" ref="K7:K15" si="5">(V7+W7)*$V$1</f>
        <v>1.5</v>
      </c>
      <c r="L7" s="48">
        <f t="shared" ref="L7:L15" si="6">(I7+J7+K7)*$L$3</f>
        <v>10.45</v>
      </c>
      <c r="M7" s="47">
        <f t="shared" ref="M7:M15" si="7">SUM(I7:L7)</f>
        <v>114.95</v>
      </c>
      <c r="N7" s="49">
        <f t="shared" ref="N7:N15" si="8">M7*H7</f>
        <v>35174.7</v>
      </c>
      <c r="O7" s="50"/>
      <c r="P7" s="10"/>
      <c r="Q7" s="51"/>
      <c r="R7" s="32">
        <f t="shared" ref="R7:R18" si="9">S7+S7*T7+U7+V7+W7</f>
        <v>104.5</v>
      </c>
      <c r="S7" s="55">
        <v>85</v>
      </c>
      <c r="T7" s="56"/>
      <c r="U7" s="55">
        <v>18</v>
      </c>
      <c r="V7" s="32">
        <v>1.5</v>
      </c>
      <c r="W7" s="32"/>
      <c r="X7" s="32">
        <f t="shared" ref="X7:X18" si="10">R7*H7</f>
        <v>31977</v>
      </c>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c r="MI7" s="57"/>
      <c r="MJ7" s="57"/>
      <c r="MK7" s="57"/>
      <c r="ML7" s="57"/>
      <c r="MM7" s="57"/>
      <c r="MN7" s="57"/>
      <c r="MO7" s="57"/>
      <c r="MP7" s="57"/>
      <c r="MQ7" s="57"/>
      <c r="MR7" s="57"/>
      <c r="MS7" s="57"/>
      <c r="MT7" s="57"/>
      <c r="MU7" s="57"/>
      <c r="MV7" s="57"/>
      <c r="MW7" s="57"/>
      <c r="MX7" s="57"/>
      <c r="MY7" s="57"/>
      <c r="MZ7" s="57"/>
      <c r="NA7" s="57"/>
      <c r="NB7" s="57"/>
      <c r="NC7" s="57"/>
      <c r="ND7" s="57"/>
      <c r="NE7" s="57"/>
      <c r="NF7" s="57"/>
      <c r="NG7" s="57"/>
      <c r="NH7" s="57"/>
      <c r="NI7" s="57"/>
      <c r="NJ7" s="57"/>
      <c r="NK7" s="57"/>
      <c r="NL7" s="57"/>
      <c r="NM7" s="57"/>
      <c r="NN7" s="57"/>
      <c r="NO7" s="57"/>
      <c r="NP7" s="57"/>
      <c r="NQ7" s="57"/>
      <c r="NR7" s="57"/>
      <c r="NS7" s="57"/>
      <c r="NT7" s="57"/>
      <c r="NU7" s="57"/>
      <c r="NV7" s="57"/>
      <c r="NW7" s="57"/>
      <c r="NX7" s="57"/>
      <c r="NY7" s="57"/>
      <c r="NZ7" s="57"/>
      <c r="OA7" s="57"/>
      <c r="OB7" s="57"/>
      <c r="OC7" s="57"/>
      <c r="OD7" s="57"/>
      <c r="OE7" s="57"/>
      <c r="OF7" s="57"/>
      <c r="OG7" s="57"/>
      <c r="OH7" s="57"/>
      <c r="OI7" s="57"/>
      <c r="OJ7" s="57"/>
      <c r="OK7" s="57"/>
      <c r="OL7" s="57"/>
      <c r="OM7" s="57"/>
      <c r="ON7" s="57"/>
      <c r="OO7" s="57"/>
      <c r="OP7" s="57"/>
      <c r="OQ7" s="57"/>
      <c r="OR7" s="57"/>
      <c r="OS7" s="57"/>
      <c r="OT7" s="57"/>
      <c r="OU7" s="57"/>
      <c r="OV7" s="57"/>
      <c r="OW7" s="57"/>
      <c r="OX7" s="57"/>
      <c r="OY7" s="57"/>
      <c r="OZ7" s="57"/>
      <c r="PA7" s="57"/>
      <c r="PB7" s="57"/>
      <c r="PC7" s="57"/>
    </row>
    <row r="8" s="3" customFormat="1" ht="75" customHeight="1" outlineLevel="2" spans="1:419">
      <c r="A8" s="43">
        <v>3</v>
      </c>
      <c r="B8" s="44" t="s">
        <v>218</v>
      </c>
      <c r="C8" s="44" t="s">
        <v>219</v>
      </c>
      <c r="D8" s="53" t="s">
        <v>173</v>
      </c>
      <c r="E8" s="46">
        <v>73</v>
      </c>
      <c r="F8" s="46">
        <v>67</v>
      </c>
      <c r="G8" s="46">
        <v>72</v>
      </c>
      <c r="H8" s="46">
        <f t="shared" si="0"/>
        <v>212</v>
      </c>
      <c r="I8" s="47">
        <f t="shared" si="3"/>
        <v>18</v>
      </c>
      <c r="J8" s="54">
        <f t="shared" si="4"/>
        <v>135</v>
      </c>
      <c r="K8" s="54">
        <f t="shared" si="5"/>
        <v>1.5</v>
      </c>
      <c r="L8" s="48">
        <f t="shared" si="6"/>
        <v>15.45</v>
      </c>
      <c r="M8" s="47">
        <f t="shared" si="7"/>
        <v>169.95</v>
      </c>
      <c r="N8" s="49">
        <f t="shared" si="8"/>
        <v>36029.4</v>
      </c>
      <c r="O8" s="50"/>
      <c r="P8" s="10"/>
      <c r="Q8" s="51"/>
      <c r="R8" s="32">
        <f t="shared" si="9"/>
        <v>154.5</v>
      </c>
      <c r="S8" s="55">
        <v>135</v>
      </c>
      <c r="T8" s="56"/>
      <c r="U8" s="55">
        <v>18</v>
      </c>
      <c r="V8" s="32">
        <v>1.5</v>
      </c>
      <c r="W8" s="32"/>
      <c r="X8" s="32">
        <f t="shared" si="10"/>
        <v>32754</v>
      </c>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c r="GJ8" s="52"/>
      <c r="GK8" s="52"/>
      <c r="GL8" s="52"/>
      <c r="GM8" s="52"/>
      <c r="GN8" s="52"/>
      <c r="GO8" s="52"/>
      <c r="GP8" s="52"/>
      <c r="GQ8" s="52"/>
      <c r="GR8" s="52"/>
      <c r="GS8" s="52"/>
      <c r="GT8" s="52"/>
      <c r="GU8" s="52"/>
      <c r="GV8" s="52"/>
      <c r="GW8" s="52"/>
      <c r="GX8" s="52"/>
      <c r="GY8" s="52"/>
      <c r="GZ8" s="52"/>
      <c r="HA8" s="52"/>
      <c r="HB8" s="52"/>
      <c r="HC8" s="52"/>
      <c r="HD8" s="52"/>
      <c r="HE8" s="52"/>
      <c r="HF8" s="52"/>
      <c r="HG8" s="52"/>
      <c r="HH8" s="52"/>
      <c r="HI8" s="52"/>
      <c r="HJ8" s="52"/>
      <c r="HK8" s="52"/>
      <c r="HL8" s="52"/>
      <c r="HM8" s="52"/>
      <c r="HN8" s="52"/>
      <c r="HO8" s="52"/>
      <c r="HP8" s="52"/>
      <c r="HQ8" s="52"/>
      <c r="HR8" s="52"/>
      <c r="HS8" s="52"/>
      <c r="HT8" s="52"/>
      <c r="HU8" s="52"/>
      <c r="HV8" s="52"/>
      <c r="HW8" s="52"/>
      <c r="HX8" s="52"/>
      <c r="HY8" s="52"/>
      <c r="HZ8" s="52"/>
      <c r="IA8" s="52"/>
      <c r="IB8" s="52"/>
      <c r="IC8" s="52"/>
      <c r="ID8" s="52"/>
      <c r="IE8" s="52"/>
      <c r="IF8" s="52"/>
      <c r="IG8" s="52"/>
      <c r="IH8" s="52"/>
      <c r="II8" s="52"/>
      <c r="IJ8" s="52"/>
      <c r="IK8" s="52"/>
      <c r="IL8" s="52"/>
      <c r="IM8" s="52"/>
      <c r="IN8" s="52"/>
      <c r="IO8" s="52"/>
      <c r="IP8" s="52"/>
      <c r="IQ8" s="52"/>
      <c r="IR8" s="52"/>
      <c r="IS8" s="52"/>
      <c r="IT8" s="52"/>
      <c r="IU8" s="52"/>
      <c r="IV8" s="52"/>
      <c r="IW8" s="52"/>
      <c r="IX8" s="52"/>
      <c r="IY8" s="52"/>
      <c r="IZ8" s="52"/>
      <c r="JA8" s="52"/>
      <c r="JB8" s="52"/>
      <c r="JC8" s="52"/>
      <c r="JD8" s="52"/>
      <c r="JE8" s="52"/>
      <c r="JF8" s="52"/>
      <c r="JG8" s="52"/>
      <c r="JH8" s="52"/>
      <c r="JI8" s="52"/>
      <c r="JJ8" s="52"/>
      <c r="JK8" s="52"/>
      <c r="JL8" s="52"/>
      <c r="JM8" s="52"/>
      <c r="JN8" s="52"/>
      <c r="JO8" s="52"/>
      <c r="JP8" s="52"/>
      <c r="JQ8" s="52"/>
      <c r="JR8" s="52"/>
      <c r="JS8" s="52"/>
      <c r="JT8" s="52"/>
      <c r="JU8" s="52"/>
      <c r="JV8" s="52"/>
      <c r="JW8" s="52"/>
      <c r="JX8" s="52"/>
      <c r="JY8" s="52"/>
      <c r="JZ8" s="52"/>
      <c r="KA8" s="52"/>
      <c r="KB8" s="52"/>
      <c r="KC8" s="52"/>
      <c r="KD8" s="52"/>
      <c r="KE8" s="52"/>
      <c r="KF8" s="52"/>
      <c r="KG8" s="52"/>
      <c r="KH8" s="52"/>
      <c r="KI8" s="52"/>
      <c r="KJ8" s="52"/>
      <c r="KK8" s="52"/>
      <c r="KL8" s="52"/>
      <c r="KM8" s="52"/>
      <c r="KN8" s="52"/>
      <c r="KO8" s="52"/>
      <c r="KP8" s="52"/>
      <c r="KQ8" s="52"/>
      <c r="KR8" s="52"/>
      <c r="KS8" s="52"/>
      <c r="KT8" s="52"/>
      <c r="KU8" s="52"/>
      <c r="KV8" s="52"/>
      <c r="KW8" s="52"/>
      <c r="KX8" s="52"/>
      <c r="KY8" s="52"/>
      <c r="KZ8" s="52"/>
      <c r="LA8" s="52"/>
      <c r="LB8" s="52"/>
      <c r="LC8" s="52"/>
      <c r="LD8" s="52"/>
      <c r="LE8" s="52"/>
      <c r="LF8" s="52"/>
      <c r="LG8" s="52"/>
      <c r="LH8" s="52"/>
      <c r="LI8" s="52"/>
      <c r="LJ8" s="52"/>
      <c r="LK8" s="52"/>
      <c r="LL8" s="52"/>
      <c r="LM8" s="52"/>
      <c r="LN8" s="52"/>
      <c r="LO8" s="52"/>
      <c r="LP8" s="52"/>
      <c r="LQ8" s="52"/>
      <c r="LR8" s="52"/>
      <c r="LS8" s="52"/>
      <c r="LT8" s="52"/>
      <c r="LU8" s="52"/>
      <c r="LV8" s="52"/>
      <c r="LW8" s="52"/>
      <c r="LX8" s="52"/>
      <c r="LY8" s="52"/>
      <c r="LZ8" s="52"/>
      <c r="MA8" s="52"/>
      <c r="MB8" s="52"/>
      <c r="MC8" s="52"/>
      <c r="MD8" s="52"/>
      <c r="ME8" s="52"/>
      <c r="MF8" s="52"/>
      <c r="MG8" s="52"/>
      <c r="MH8" s="52"/>
      <c r="MI8" s="52"/>
      <c r="MJ8" s="52"/>
      <c r="MK8" s="52"/>
      <c r="ML8" s="52"/>
      <c r="MM8" s="52"/>
      <c r="MN8" s="52"/>
      <c r="MO8" s="52"/>
      <c r="MP8" s="52"/>
      <c r="MQ8" s="52"/>
      <c r="MR8" s="52"/>
      <c r="MS8" s="52"/>
      <c r="MT8" s="52"/>
      <c r="MU8" s="52"/>
      <c r="MV8" s="52"/>
      <c r="MW8" s="52"/>
      <c r="MX8" s="52"/>
      <c r="MY8" s="52"/>
      <c r="MZ8" s="52"/>
      <c r="NA8" s="52"/>
      <c r="NB8" s="52"/>
      <c r="NC8" s="52"/>
      <c r="ND8" s="52"/>
      <c r="NE8" s="52"/>
      <c r="NF8" s="52"/>
      <c r="NG8" s="52"/>
      <c r="NH8" s="52"/>
      <c r="NI8" s="52"/>
      <c r="NJ8" s="52"/>
      <c r="NK8" s="52"/>
      <c r="NL8" s="52"/>
      <c r="NM8" s="52"/>
      <c r="NN8" s="52"/>
      <c r="NO8" s="52"/>
      <c r="NP8" s="52"/>
      <c r="NQ8" s="52"/>
      <c r="NR8" s="52"/>
      <c r="NS8" s="52"/>
      <c r="NT8" s="52"/>
      <c r="NU8" s="52"/>
      <c r="NV8" s="52"/>
      <c r="NW8" s="52"/>
      <c r="NX8" s="52"/>
      <c r="NY8" s="52"/>
      <c r="NZ8" s="52"/>
      <c r="OA8" s="52"/>
      <c r="OB8" s="52"/>
      <c r="OC8" s="52"/>
      <c r="OD8" s="52"/>
      <c r="OE8" s="52"/>
      <c r="OF8" s="52"/>
      <c r="OG8" s="52"/>
      <c r="OH8" s="52"/>
      <c r="OI8" s="52"/>
      <c r="OJ8" s="52"/>
      <c r="OK8" s="52"/>
      <c r="OL8" s="52"/>
      <c r="OM8" s="52"/>
      <c r="ON8" s="52"/>
      <c r="OO8" s="52"/>
      <c r="OP8" s="52"/>
      <c r="OQ8" s="52"/>
      <c r="OR8" s="52"/>
      <c r="OS8" s="52"/>
      <c r="OT8" s="52"/>
      <c r="OU8" s="52"/>
      <c r="OV8" s="52"/>
      <c r="OW8" s="52"/>
      <c r="OX8" s="52"/>
      <c r="OY8" s="52"/>
      <c r="OZ8" s="52"/>
      <c r="PA8" s="52"/>
      <c r="PB8" s="52"/>
      <c r="PC8" s="52"/>
    </row>
    <row r="9" s="3" customFormat="1" ht="65" customHeight="1" outlineLevel="2" spans="1:419">
      <c r="A9" s="43">
        <v>4</v>
      </c>
      <c r="B9" s="44" t="s">
        <v>220</v>
      </c>
      <c r="C9" s="44" t="s">
        <v>221</v>
      </c>
      <c r="D9" s="53" t="s">
        <v>173</v>
      </c>
      <c r="E9" s="46"/>
      <c r="F9" s="46">
        <v>4</v>
      </c>
      <c r="G9" s="46"/>
      <c r="H9" s="46">
        <f t="shared" si="0"/>
        <v>4</v>
      </c>
      <c r="I9" s="47">
        <f t="shared" si="3"/>
        <v>18</v>
      </c>
      <c r="J9" s="54">
        <f t="shared" si="4"/>
        <v>85</v>
      </c>
      <c r="K9" s="54">
        <f t="shared" si="5"/>
        <v>1.5</v>
      </c>
      <c r="L9" s="48">
        <f t="shared" si="6"/>
        <v>10.45</v>
      </c>
      <c r="M9" s="47">
        <f t="shared" si="7"/>
        <v>114.95</v>
      </c>
      <c r="N9" s="49">
        <f t="shared" si="8"/>
        <v>459.8</v>
      </c>
      <c r="O9" s="50"/>
      <c r="P9" s="10"/>
      <c r="Q9" s="11"/>
      <c r="R9" s="32">
        <f t="shared" si="9"/>
        <v>104.5</v>
      </c>
      <c r="S9" s="55">
        <v>85</v>
      </c>
      <c r="T9" s="56"/>
      <c r="U9" s="58">
        <v>18</v>
      </c>
      <c r="V9" s="32">
        <v>1.5</v>
      </c>
      <c r="W9" s="59"/>
      <c r="X9" s="32">
        <f t="shared" si="10"/>
        <v>418</v>
      </c>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c r="GR9" s="52"/>
      <c r="GS9" s="52"/>
      <c r="GT9" s="52"/>
      <c r="GU9" s="52"/>
      <c r="GV9" s="52"/>
      <c r="GW9" s="52"/>
      <c r="GX9" s="52"/>
      <c r="GY9" s="52"/>
      <c r="GZ9" s="52"/>
      <c r="HA9" s="52"/>
      <c r="HB9" s="52"/>
      <c r="HC9" s="52"/>
      <c r="HD9" s="52"/>
      <c r="HE9" s="52"/>
      <c r="HF9" s="52"/>
      <c r="HG9" s="52"/>
      <c r="HH9" s="52"/>
      <c r="HI9" s="52"/>
      <c r="HJ9" s="52"/>
      <c r="HK9" s="52"/>
      <c r="HL9" s="52"/>
      <c r="HM9" s="52"/>
      <c r="HN9" s="52"/>
      <c r="HO9" s="52"/>
      <c r="HP9" s="52"/>
      <c r="HQ9" s="52"/>
      <c r="HR9" s="52"/>
      <c r="HS9" s="52"/>
      <c r="HT9" s="52"/>
      <c r="HU9" s="52"/>
      <c r="HV9" s="52"/>
      <c r="HW9" s="52"/>
      <c r="HX9" s="52"/>
      <c r="HY9" s="52"/>
      <c r="HZ9" s="52"/>
      <c r="IA9" s="52"/>
      <c r="IB9" s="52"/>
      <c r="IC9" s="52"/>
      <c r="ID9" s="52"/>
      <c r="IE9" s="52"/>
      <c r="IF9" s="52"/>
      <c r="IG9" s="52"/>
      <c r="IH9" s="52"/>
      <c r="II9" s="52"/>
      <c r="IJ9" s="52"/>
      <c r="IK9" s="52"/>
      <c r="IL9" s="52"/>
      <c r="IM9" s="52"/>
      <c r="IN9" s="52"/>
      <c r="IO9" s="52"/>
      <c r="IP9" s="52"/>
      <c r="IQ9" s="52"/>
      <c r="IR9" s="52"/>
      <c r="IS9" s="52"/>
      <c r="IT9" s="52"/>
      <c r="IU9" s="52"/>
      <c r="IV9" s="52"/>
      <c r="IW9" s="52"/>
      <c r="IX9" s="52"/>
      <c r="IY9" s="52"/>
      <c r="IZ9" s="52"/>
      <c r="JA9" s="52"/>
      <c r="JB9" s="52"/>
      <c r="JC9" s="52"/>
      <c r="JD9" s="52"/>
      <c r="JE9" s="52"/>
      <c r="JF9" s="52"/>
      <c r="JG9" s="52"/>
      <c r="JH9" s="52"/>
      <c r="JI9" s="52"/>
      <c r="JJ9" s="52"/>
      <c r="JK9" s="52"/>
      <c r="JL9" s="52"/>
      <c r="JM9" s="52"/>
      <c r="JN9" s="52"/>
      <c r="JO9" s="52"/>
      <c r="JP9" s="52"/>
      <c r="JQ9" s="52"/>
      <c r="JR9" s="52"/>
      <c r="JS9" s="52"/>
      <c r="JT9" s="52"/>
      <c r="JU9" s="52"/>
      <c r="JV9" s="52"/>
      <c r="JW9" s="52"/>
      <c r="JX9" s="52"/>
      <c r="JY9" s="52"/>
      <c r="JZ9" s="52"/>
      <c r="KA9" s="52"/>
      <c r="KB9" s="52"/>
      <c r="KC9" s="52"/>
      <c r="KD9" s="52"/>
      <c r="KE9" s="52"/>
      <c r="KF9" s="52"/>
      <c r="KG9" s="52"/>
      <c r="KH9" s="52"/>
      <c r="KI9" s="52"/>
      <c r="KJ9" s="52"/>
      <c r="KK9" s="52"/>
      <c r="KL9" s="52"/>
      <c r="KM9" s="52"/>
      <c r="KN9" s="52"/>
      <c r="KO9" s="52"/>
      <c r="KP9" s="52"/>
      <c r="KQ9" s="52"/>
      <c r="KR9" s="52"/>
      <c r="KS9" s="52"/>
      <c r="KT9" s="52"/>
      <c r="KU9" s="52"/>
      <c r="KV9" s="52"/>
      <c r="KW9" s="52"/>
      <c r="KX9" s="52"/>
      <c r="KY9" s="52"/>
      <c r="KZ9" s="52"/>
      <c r="LA9" s="52"/>
      <c r="LB9" s="52"/>
      <c r="LC9" s="52"/>
      <c r="LD9" s="52"/>
      <c r="LE9" s="52"/>
      <c r="LF9" s="52"/>
      <c r="LG9" s="52"/>
      <c r="LH9" s="52"/>
      <c r="LI9" s="52"/>
      <c r="LJ9" s="52"/>
      <c r="LK9" s="52"/>
      <c r="LL9" s="52"/>
      <c r="LM9" s="52"/>
      <c r="LN9" s="52"/>
      <c r="LO9" s="52"/>
      <c r="LP9" s="52"/>
      <c r="LQ9" s="52"/>
      <c r="LR9" s="52"/>
      <c r="LS9" s="52"/>
      <c r="LT9" s="52"/>
      <c r="LU9" s="52"/>
      <c r="LV9" s="52"/>
      <c r="LW9" s="52"/>
      <c r="LX9" s="52"/>
      <c r="LY9" s="52"/>
      <c r="LZ9" s="52"/>
      <c r="MA9" s="52"/>
      <c r="MB9" s="52"/>
      <c r="MC9" s="52"/>
      <c r="MD9" s="52"/>
      <c r="ME9" s="52"/>
      <c r="MF9" s="52"/>
      <c r="MG9" s="52"/>
      <c r="MH9" s="52"/>
      <c r="MI9" s="52"/>
      <c r="MJ9" s="52"/>
      <c r="MK9" s="52"/>
      <c r="ML9" s="52"/>
      <c r="MM9" s="52"/>
      <c r="MN9" s="52"/>
      <c r="MO9" s="52"/>
      <c r="MP9" s="52"/>
      <c r="MQ9" s="52"/>
      <c r="MR9" s="52"/>
      <c r="MS9" s="52"/>
      <c r="MT9" s="52"/>
      <c r="MU9" s="52"/>
      <c r="MV9" s="52"/>
      <c r="MW9" s="52"/>
      <c r="MX9" s="52"/>
      <c r="MY9" s="52"/>
      <c r="MZ9" s="52"/>
      <c r="NA9" s="52"/>
      <c r="NB9" s="52"/>
      <c r="NC9" s="52"/>
      <c r="ND9" s="52"/>
      <c r="NE9" s="52"/>
      <c r="NF9" s="52"/>
      <c r="NG9" s="52"/>
      <c r="NH9" s="52"/>
      <c r="NI9" s="52"/>
      <c r="NJ9" s="52"/>
      <c r="NK9" s="52"/>
      <c r="NL9" s="52"/>
      <c r="NM9" s="52"/>
      <c r="NN9" s="52"/>
      <c r="NO9" s="52"/>
      <c r="NP9" s="52"/>
      <c r="NQ9" s="52"/>
      <c r="NR9" s="52"/>
      <c r="NS9" s="52"/>
      <c r="NT9" s="52"/>
      <c r="NU9" s="52"/>
      <c r="NV9" s="52"/>
      <c r="NW9" s="52"/>
      <c r="NX9" s="52"/>
      <c r="NY9" s="52"/>
      <c r="NZ9" s="52"/>
      <c r="OA9" s="52"/>
      <c r="OB9" s="52"/>
      <c r="OC9" s="52"/>
      <c r="OD9" s="52"/>
      <c r="OE9" s="52"/>
      <c r="OF9" s="52"/>
      <c r="OG9" s="52"/>
      <c r="OH9" s="52"/>
      <c r="OI9" s="52"/>
      <c r="OJ9" s="52"/>
      <c r="OK9" s="52"/>
      <c r="OL9" s="52"/>
      <c r="OM9" s="52"/>
      <c r="ON9" s="52"/>
      <c r="OO9" s="52"/>
      <c r="OP9" s="52"/>
      <c r="OQ9" s="52"/>
      <c r="OR9" s="52"/>
      <c r="OS9" s="52"/>
      <c r="OT9" s="52"/>
      <c r="OU9" s="52"/>
      <c r="OV9" s="52"/>
      <c r="OW9" s="52"/>
      <c r="OX9" s="52"/>
      <c r="OY9" s="52"/>
      <c r="OZ9" s="52"/>
      <c r="PA9" s="52"/>
      <c r="PB9" s="52"/>
      <c r="PC9" s="52"/>
    </row>
    <row r="10" s="3" customFormat="1" ht="65" customHeight="1" outlineLevel="2" spans="1:419">
      <c r="A10" s="43">
        <v>5</v>
      </c>
      <c r="B10" s="44" t="s">
        <v>222</v>
      </c>
      <c r="C10" s="44" t="s">
        <v>223</v>
      </c>
      <c r="D10" s="53" t="s">
        <v>74</v>
      </c>
      <c r="E10" s="46">
        <v>53.521</v>
      </c>
      <c r="F10" s="46">
        <v>48.987</v>
      </c>
      <c r="G10" s="46">
        <v>52.718</v>
      </c>
      <c r="H10" s="46">
        <f t="shared" si="0"/>
        <v>155.226</v>
      </c>
      <c r="I10" s="47">
        <f t="shared" si="3"/>
        <v>18</v>
      </c>
      <c r="J10" s="54">
        <f t="shared" si="4"/>
        <v>115</v>
      </c>
      <c r="K10" s="54">
        <f t="shared" si="5"/>
        <v>1.5</v>
      </c>
      <c r="L10" s="48">
        <f t="shared" si="6"/>
        <v>13.45</v>
      </c>
      <c r="M10" s="47">
        <f t="shared" si="7"/>
        <v>147.95</v>
      </c>
      <c r="N10" s="49">
        <f t="shared" si="8"/>
        <v>22965.6867</v>
      </c>
      <c r="O10" s="50"/>
      <c r="P10" s="10"/>
      <c r="Q10" s="11"/>
      <c r="R10" s="32">
        <f t="shared" si="9"/>
        <v>134.5</v>
      </c>
      <c r="S10" s="55">
        <v>115</v>
      </c>
      <c r="T10" s="56"/>
      <c r="U10" s="58">
        <v>18</v>
      </c>
      <c r="V10" s="32">
        <v>1.5</v>
      </c>
      <c r="W10" s="59"/>
      <c r="X10" s="32">
        <f t="shared" si="10"/>
        <v>20877.897</v>
      </c>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c r="HF10" s="52"/>
      <c r="HG10" s="52"/>
      <c r="HH10" s="52"/>
      <c r="HI10" s="52"/>
      <c r="HJ10" s="52"/>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2"/>
      <c r="IR10" s="52"/>
      <c r="IS10" s="52"/>
      <c r="IT10" s="52"/>
      <c r="IU10" s="52"/>
      <c r="IV10" s="52"/>
      <c r="IW10" s="52"/>
      <c r="IX10" s="52"/>
      <c r="IY10" s="52"/>
      <c r="IZ10" s="52"/>
      <c r="JA10" s="52"/>
      <c r="JB10" s="52"/>
      <c r="JC10" s="52"/>
      <c r="JD10" s="52"/>
      <c r="JE10" s="52"/>
      <c r="JF10" s="52"/>
      <c r="JG10" s="52"/>
      <c r="JH10" s="52"/>
      <c r="JI10" s="52"/>
      <c r="JJ10" s="52"/>
      <c r="JK10" s="52"/>
      <c r="JL10" s="52"/>
      <c r="JM10" s="52"/>
      <c r="JN10" s="52"/>
      <c r="JO10" s="52"/>
      <c r="JP10" s="52"/>
      <c r="JQ10" s="52"/>
      <c r="JR10" s="52"/>
      <c r="JS10" s="52"/>
      <c r="JT10" s="52"/>
      <c r="JU10" s="52"/>
      <c r="JV10" s="52"/>
      <c r="JW10" s="52"/>
      <c r="JX10" s="52"/>
      <c r="JY10" s="52"/>
      <c r="JZ10" s="52"/>
      <c r="KA10" s="52"/>
      <c r="KB10" s="52"/>
      <c r="KC10" s="52"/>
      <c r="KD10" s="52"/>
      <c r="KE10" s="52"/>
      <c r="KF10" s="52"/>
      <c r="KG10" s="52"/>
      <c r="KH10" s="52"/>
      <c r="KI10" s="52"/>
      <c r="KJ10" s="52"/>
      <c r="KK10" s="52"/>
      <c r="KL10" s="52"/>
      <c r="KM10" s="52"/>
      <c r="KN10" s="52"/>
      <c r="KO10" s="52"/>
      <c r="KP10" s="52"/>
      <c r="KQ10" s="52"/>
      <c r="KR10" s="52"/>
      <c r="KS10" s="52"/>
      <c r="KT10" s="52"/>
      <c r="KU10" s="52"/>
      <c r="KV10" s="52"/>
      <c r="KW10" s="52"/>
      <c r="KX10" s="52"/>
      <c r="KY10" s="52"/>
      <c r="KZ10" s="52"/>
      <c r="LA10" s="52"/>
      <c r="LB10" s="52"/>
      <c r="LC10" s="52"/>
      <c r="LD10" s="52"/>
      <c r="LE10" s="52"/>
      <c r="LF10" s="52"/>
      <c r="LG10" s="52"/>
      <c r="LH10" s="52"/>
      <c r="LI10" s="52"/>
      <c r="LJ10" s="52"/>
      <c r="LK10" s="52"/>
      <c r="LL10" s="52"/>
      <c r="LM10" s="52"/>
      <c r="LN10" s="52"/>
      <c r="LO10" s="52"/>
      <c r="LP10" s="52"/>
      <c r="LQ10" s="52"/>
      <c r="LR10" s="52"/>
      <c r="LS10" s="52"/>
      <c r="LT10" s="52"/>
      <c r="LU10" s="52"/>
      <c r="LV10" s="52"/>
      <c r="LW10" s="52"/>
      <c r="LX10" s="52"/>
      <c r="LY10" s="52"/>
      <c r="LZ10" s="52"/>
      <c r="MA10" s="52"/>
      <c r="MB10" s="52"/>
      <c r="MC10" s="52"/>
      <c r="MD10" s="52"/>
      <c r="ME10" s="52"/>
      <c r="MF10" s="52"/>
      <c r="MG10" s="52"/>
      <c r="MH10" s="52"/>
      <c r="MI10" s="52"/>
      <c r="MJ10" s="52"/>
      <c r="MK10" s="52"/>
      <c r="ML10" s="52"/>
      <c r="MM10" s="52"/>
      <c r="MN10" s="52"/>
      <c r="MO10" s="52"/>
      <c r="MP10" s="52"/>
      <c r="MQ10" s="52"/>
      <c r="MR10" s="52"/>
      <c r="MS10" s="52"/>
      <c r="MT10" s="52"/>
      <c r="MU10" s="52"/>
      <c r="MV10" s="52"/>
      <c r="MW10" s="52"/>
      <c r="MX10" s="52"/>
      <c r="MY10" s="52"/>
      <c r="MZ10" s="52"/>
      <c r="NA10" s="52"/>
      <c r="NB10" s="52"/>
      <c r="NC10" s="52"/>
      <c r="ND10" s="52"/>
      <c r="NE10" s="52"/>
      <c r="NF10" s="52"/>
      <c r="NG10" s="52"/>
      <c r="NH10" s="52"/>
      <c r="NI10" s="52"/>
      <c r="NJ10" s="52"/>
      <c r="NK10" s="52"/>
      <c r="NL10" s="52"/>
      <c r="NM10" s="52"/>
      <c r="NN10" s="52"/>
      <c r="NO10" s="52"/>
      <c r="NP10" s="52"/>
      <c r="NQ10" s="52"/>
      <c r="NR10" s="52"/>
      <c r="NS10" s="52"/>
      <c r="NT10" s="52"/>
      <c r="NU10" s="52"/>
      <c r="NV10" s="52"/>
      <c r="NW10" s="52"/>
      <c r="NX10" s="52"/>
      <c r="NY10" s="52"/>
      <c r="NZ10" s="52"/>
      <c r="OA10" s="52"/>
      <c r="OB10" s="52"/>
      <c r="OC10" s="52"/>
      <c r="OD10" s="52"/>
      <c r="OE10" s="52"/>
      <c r="OF10" s="52"/>
      <c r="OG10" s="52"/>
      <c r="OH10" s="52"/>
      <c r="OI10" s="52"/>
      <c r="OJ10" s="52"/>
      <c r="OK10" s="52"/>
      <c r="OL10" s="52"/>
      <c r="OM10" s="52"/>
      <c r="ON10" s="52"/>
      <c r="OO10" s="52"/>
      <c r="OP10" s="52"/>
      <c r="OQ10" s="52"/>
      <c r="OR10" s="52"/>
      <c r="OS10" s="52"/>
      <c r="OT10" s="52"/>
      <c r="OU10" s="52"/>
      <c r="OV10" s="52"/>
      <c r="OW10" s="52"/>
      <c r="OX10" s="52"/>
      <c r="OY10" s="52"/>
      <c r="OZ10" s="52"/>
      <c r="PA10" s="52"/>
      <c r="PB10" s="52"/>
      <c r="PC10" s="52"/>
    </row>
    <row r="11" s="3" customFormat="1" ht="65" customHeight="1" outlineLevel="2" spans="1:419">
      <c r="A11" s="43">
        <v>6</v>
      </c>
      <c r="B11" s="44" t="s">
        <v>224</v>
      </c>
      <c r="C11" s="44" t="s">
        <v>225</v>
      </c>
      <c r="D11" s="53" t="s">
        <v>173</v>
      </c>
      <c r="E11" s="46">
        <v>4</v>
      </c>
      <c r="F11" s="46">
        <v>4</v>
      </c>
      <c r="G11" s="46">
        <v>4</v>
      </c>
      <c r="H11" s="46">
        <f t="shared" si="0"/>
        <v>12</v>
      </c>
      <c r="I11" s="47">
        <f t="shared" si="3"/>
        <v>18</v>
      </c>
      <c r="J11" s="54">
        <f t="shared" si="4"/>
        <v>80</v>
      </c>
      <c r="K11" s="54">
        <f t="shared" si="5"/>
        <v>1.5</v>
      </c>
      <c r="L11" s="48">
        <f t="shared" si="6"/>
        <v>9.95</v>
      </c>
      <c r="M11" s="47">
        <f t="shared" si="7"/>
        <v>109.45</v>
      </c>
      <c r="N11" s="49">
        <f t="shared" si="8"/>
        <v>1313.4</v>
      </c>
      <c r="O11" s="50"/>
      <c r="P11" s="10"/>
      <c r="Q11" s="11"/>
      <c r="R11" s="32">
        <f t="shared" si="9"/>
        <v>99.5</v>
      </c>
      <c r="S11" s="55">
        <v>80</v>
      </c>
      <c r="T11" s="56"/>
      <c r="U11" s="58">
        <v>18</v>
      </c>
      <c r="V11" s="32">
        <v>1.5</v>
      </c>
      <c r="W11" s="59"/>
      <c r="X11" s="32">
        <f t="shared" si="10"/>
        <v>1194</v>
      </c>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c r="MO11" s="52"/>
      <c r="MP11" s="52"/>
      <c r="MQ11" s="52"/>
      <c r="MR11" s="52"/>
      <c r="MS11" s="52"/>
      <c r="MT11" s="52"/>
      <c r="MU11" s="52"/>
      <c r="MV11" s="52"/>
      <c r="MW11" s="52"/>
      <c r="MX11" s="52"/>
      <c r="MY11" s="52"/>
      <c r="MZ11" s="52"/>
      <c r="NA11" s="52"/>
      <c r="NB11" s="52"/>
      <c r="NC11" s="52"/>
      <c r="ND11" s="52"/>
      <c r="NE11" s="52"/>
      <c r="NF11" s="52"/>
      <c r="NG11" s="52"/>
      <c r="NH11" s="52"/>
      <c r="NI11" s="52"/>
      <c r="NJ11" s="52"/>
      <c r="NK11" s="52"/>
      <c r="NL11" s="52"/>
      <c r="NM11" s="52"/>
      <c r="NN11" s="52"/>
      <c r="NO11" s="52"/>
      <c r="NP11" s="52"/>
      <c r="NQ11" s="52"/>
      <c r="NR11" s="52"/>
      <c r="NS11" s="52"/>
      <c r="NT11" s="52"/>
      <c r="NU11" s="52"/>
      <c r="NV11" s="52"/>
      <c r="NW11" s="52"/>
      <c r="NX11" s="52"/>
      <c r="NY11" s="52"/>
      <c r="NZ11" s="52"/>
      <c r="OA11" s="52"/>
      <c r="OB11" s="52"/>
      <c r="OC11" s="52"/>
      <c r="OD11" s="52"/>
      <c r="OE11" s="52"/>
      <c r="OF11" s="52"/>
      <c r="OG11" s="52"/>
      <c r="OH11" s="52"/>
      <c r="OI11" s="52"/>
      <c r="OJ11" s="52"/>
      <c r="OK11" s="52"/>
      <c r="OL11" s="52"/>
      <c r="OM11" s="52"/>
      <c r="ON11" s="52"/>
      <c r="OO11" s="52"/>
      <c r="OP11" s="52"/>
      <c r="OQ11" s="52"/>
      <c r="OR11" s="52"/>
      <c r="OS11" s="52"/>
      <c r="OT11" s="52"/>
      <c r="OU11" s="52"/>
      <c r="OV11" s="52"/>
      <c r="OW11" s="52"/>
      <c r="OX11" s="52"/>
      <c r="OY11" s="52"/>
      <c r="OZ11" s="52"/>
      <c r="PA11" s="52"/>
      <c r="PB11" s="52"/>
      <c r="PC11" s="52"/>
    </row>
    <row r="12" s="3" customFormat="1" ht="72" customHeight="1" outlineLevel="2" spans="1:419">
      <c r="A12" s="43">
        <v>7</v>
      </c>
      <c r="B12" s="44" t="s">
        <v>226</v>
      </c>
      <c r="C12" s="44" t="s">
        <v>227</v>
      </c>
      <c r="D12" s="53" t="s">
        <v>74</v>
      </c>
      <c r="E12" s="46">
        <v>88.919</v>
      </c>
      <c r="F12" s="46">
        <v>86.52</v>
      </c>
      <c r="G12" s="46">
        <v>87.639</v>
      </c>
      <c r="H12" s="46">
        <f t="shared" si="0"/>
        <v>263.078</v>
      </c>
      <c r="I12" s="47">
        <f t="shared" si="3"/>
        <v>8</v>
      </c>
      <c r="J12" s="54">
        <f t="shared" si="4"/>
        <v>23.5</v>
      </c>
      <c r="K12" s="54">
        <f t="shared" si="5"/>
        <v>0.5</v>
      </c>
      <c r="L12" s="48">
        <f t="shared" si="6"/>
        <v>3.2</v>
      </c>
      <c r="M12" s="47">
        <f t="shared" si="7"/>
        <v>35.2</v>
      </c>
      <c r="N12" s="49">
        <f t="shared" si="8"/>
        <v>9260.3456</v>
      </c>
      <c r="O12" s="50"/>
      <c r="P12" s="10"/>
      <c r="Q12" s="11"/>
      <c r="R12" s="32">
        <f t="shared" si="9"/>
        <v>32</v>
      </c>
      <c r="S12" s="60">
        <v>23.5</v>
      </c>
      <c r="T12" s="61"/>
      <c r="U12" s="60">
        <v>8</v>
      </c>
      <c r="V12" s="60">
        <v>0.5</v>
      </c>
      <c r="W12" s="59"/>
      <c r="X12" s="32">
        <f t="shared" si="10"/>
        <v>8418.496</v>
      </c>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row>
    <row r="13" s="3" customFormat="1" ht="72" customHeight="1" outlineLevel="2" spans="1:419">
      <c r="A13" s="43">
        <v>8</v>
      </c>
      <c r="B13" s="44" t="s">
        <v>228</v>
      </c>
      <c r="C13" s="44" t="s">
        <v>229</v>
      </c>
      <c r="D13" s="53" t="s">
        <v>74</v>
      </c>
      <c r="E13" s="46">
        <v>144.283</v>
      </c>
      <c r="F13" s="46">
        <v>140.924</v>
      </c>
      <c r="G13" s="46">
        <v>199.516</v>
      </c>
      <c r="H13" s="46">
        <f t="shared" si="0"/>
        <v>484.723</v>
      </c>
      <c r="I13" s="47">
        <f t="shared" si="3"/>
        <v>8</v>
      </c>
      <c r="J13" s="54">
        <f t="shared" si="4"/>
        <v>22</v>
      </c>
      <c r="K13" s="54">
        <f t="shared" si="5"/>
        <v>0.5</v>
      </c>
      <c r="L13" s="48">
        <f t="shared" si="6"/>
        <v>3.05</v>
      </c>
      <c r="M13" s="47">
        <f t="shared" si="7"/>
        <v>33.55</v>
      </c>
      <c r="N13" s="49">
        <f t="shared" si="8"/>
        <v>16262.45665</v>
      </c>
      <c r="O13" s="50"/>
      <c r="P13" s="10"/>
      <c r="Q13" s="11"/>
      <c r="R13" s="32">
        <f t="shared" si="9"/>
        <v>30.5</v>
      </c>
      <c r="S13" s="62">
        <v>22</v>
      </c>
      <c r="T13" s="63"/>
      <c r="U13" s="62">
        <v>8</v>
      </c>
      <c r="V13" s="62">
        <v>0.5</v>
      </c>
      <c r="W13" s="59"/>
      <c r="X13" s="32">
        <f t="shared" si="10"/>
        <v>14784.0515</v>
      </c>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row>
    <row r="14" s="3" customFormat="1" ht="72" customHeight="1" outlineLevel="2" spans="1:419">
      <c r="A14" s="43">
        <v>9</v>
      </c>
      <c r="B14" s="44" t="s">
        <v>230</v>
      </c>
      <c r="C14" s="44" t="s">
        <v>231</v>
      </c>
      <c r="D14" s="53" t="s">
        <v>185</v>
      </c>
      <c r="E14" s="46">
        <v>45</v>
      </c>
      <c r="F14" s="46">
        <v>47</v>
      </c>
      <c r="G14" s="46">
        <v>50</v>
      </c>
      <c r="H14" s="46">
        <f t="shared" si="0"/>
        <v>142</v>
      </c>
      <c r="I14" s="47">
        <f t="shared" si="3"/>
        <v>15</v>
      </c>
      <c r="J14" s="54">
        <f t="shared" si="4"/>
        <v>22</v>
      </c>
      <c r="K14" s="54">
        <f t="shared" si="5"/>
        <v>0.5</v>
      </c>
      <c r="L14" s="48">
        <f t="shared" si="6"/>
        <v>3.75</v>
      </c>
      <c r="M14" s="47">
        <f t="shared" si="7"/>
        <v>41.25</v>
      </c>
      <c r="N14" s="49">
        <f t="shared" si="8"/>
        <v>5857.5</v>
      </c>
      <c r="O14" s="50"/>
      <c r="P14" s="10"/>
      <c r="Q14" s="11"/>
      <c r="R14" s="32">
        <f t="shared" si="9"/>
        <v>37.5</v>
      </c>
      <c r="S14" s="59">
        <v>22</v>
      </c>
      <c r="T14" s="64"/>
      <c r="U14" s="59">
        <v>15</v>
      </c>
      <c r="V14" s="59">
        <v>0.5</v>
      </c>
      <c r="W14" s="59"/>
      <c r="X14" s="32">
        <f t="shared" si="10"/>
        <v>5325</v>
      </c>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row>
    <row r="15" s="3" customFormat="1" ht="72" customHeight="1" outlineLevel="2" spans="1:419">
      <c r="A15" s="43">
        <v>10</v>
      </c>
      <c r="B15" s="44" t="s">
        <v>232</v>
      </c>
      <c r="C15" s="44" t="s">
        <v>233</v>
      </c>
      <c r="D15" s="53" t="s">
        <v>185</v>
      </c>
      <c r="E15" s="46">
        <v>13</v>
      </c>
      <c r="F15" s="46">
        <v>13</v>
      </c>
      <c r="G15" s="46">
        <v>12</v>
      </c>
      <c r="H15" s="46">
        <f t="shared" si="0"/>
        <v>38</v>
      </c>
      <c r="I15" s="47">
        <f t="shared" si="3"/>
        <v>10</v>
      </c>
      <c r="J15" s="54">
        <f t="shared" si="4"/>
        <v>12</v>
      </c>
      <c r="K15" s="54">
        <f t="shared" si="5"/>
        <v>0.5</v>
      </c>
      <c r="L15" s="48">
        <f t="shared" si="6"/>
        <v>2.25</v>
      </c>
      <c r="M15" s="47">
        <f t="shared" si="7"/>
        <v>24.75</v>
      </c>
      <c r="N15" s="49">
        <f t="shared" si="8"/>
        <v>940.5</v>
      </c>
      <c r="O15" s="50"/>
      <c r="P15" s="10"/>
      <c r="Q15" s="11"/>
      <c r="R15" s="32">
        <f t="shared" si="9"/>
        <v>22.5</v>
      </c>
      <c r="S15" s="59">
        <v>12</v>
      </c>
      <c r="T15" s="64"/>
      <c r="U15" s="59">
        <v>10</v>
      </c>
      <c r="V15" s="59">
        <v>0.5</v>
      </c>
      <c r="W15" s="59"/>
      <c r="X15" s="32">
        <f t="shared" si="10"/>
        <v>855</v>
      </c>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row>
    <row r="16" s="2" customFormat="1" ht="25" customHeight="1" spans="1:419">
      <c r="A16" s="39" t="s">
        <v>62</v>
      </c>
      <c r="B16" s="39" t="s">
        <v>234</v>
      </c>
      <c r="C16" s="39"/>
      <c r="D16" s="39"/>
      <c r="E16" s="40"/>
      <c r="F16" s="40"/>
      <c r="G16" s="40"/>
      <c r="H16" s="40"/>
      <c r="I16" s="40"/>
      <c r="J16" s="40"/>
      <c r="K16" s="40"/>
      <c r="L16" s="40"/>
      <c r="M16" s="40"/>
      <c r="N16" s="41">
        <f>SUM(N17:N18)</f>
        <v>2604.25</v>
      </c>
      <c r="O16" s="39"/>
      <c r="P16" s="27"/>
      <c r="Q16" s="42"/>
      <c r="R16" s="32"/>
      <c r="S16" s="65"/>
      <c r="T16" s="66"/>
      <c r="U16" s="65"/>
      <c r="V16" s="65"/>
      <c r="W16" s="65"/>
      <c r="X16" s="32"/>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c r="FL16" s="27"/>
      <c r="FM16" s="27"/>
      <c r="FN16" s="27"/>
      <c r="FO16" s="27"/>
      <c r="FP16" s="27"/>
      <c r="FQ16" s="27"/>
      <c r="FR16" s="27"/>
      <c r="FS16" s="27"/>
      <c r="FT16" s="27"/>
      <c r="FU16" s="27"/>
      <c r="FV16" s="27"/>
      <c r="FW16" s="27"/>
      <c r="FX16" s="27"/>
      <c r="FY16" s="27"/>
      <c r="FZ16" s="27"/>
      <c r="GA16" s="27"/>
      <c r="GB16" s="27"/>
      <c r="GC16" s="27"/>
      <c r="GD16" s="27"/>
      <c r="GE16" s="27"/>
      <c r="GF16" s="27"/>
      <c r="GG16" s="27"/>
      <c r="GH16" s="27"/>
      <c r="GI16" s="27"/>
      <c r="GJ16" s="27"/>
      <c r="GK16" s="27"/>
      <c r="GL16" s="27"/>
      <c r="GM16" s="27"/>
      <c r="GN16" s="27"/>
      <c r="GO16" s="27"/>
      <c r="GP16" s="27"/>
      <c r="GQ16" s="27"/>
      <c r="GR16" s="27"/>
      <c r="GS16" s="27"/>
      <c r="GT16" s="27"/>
      <c r="GU16" s="27"/>
      <c r="GV16" s="27"/>
      <c r="GW16" s="27"/>
      <c r="GX16" s="27"/>
      <c r="GY16" s="27"/>
      <c r="GZ16" s="27"/>
      <c r="HA16" s="27"/>
      <c r="HB16" s="27"/>
      <c r="HC16" s="27"/>
      <c r="HD16" s="27"/>
      <c r="HE16" s="27"/>
      <c r="HF16" s="27"/>
      <c r="HG16" s="27"/>
      <c r="HH16" s="27"/>
      <c r="HI16" s="27"/>
      <c r="HJ16" s="27"/>
      <c r="HK16" s="27"/>
      <c r="HL16" s="27"/>
      <c r="HM16" s="27"/>
      <c r="HN16" s="27"/>
      <c r="HO16" s="27"/>
      <c r="HP16" s="27"/>
      <c r="HQ16" s="27"/>
      <c r="HR16" s="27"/>
      <c r="HS16" s="27"/>
      <c r="HT16" s="27"/>
      <c r="HU16" s="27"/>
      <c r="HV16" s="27"/>
      <c r="HW16" s="27"/>
      <c r="HX16" s="27"/>
      <c r="HY16" s="27"/>
      <c r="HZ16" s="27"/>
      <c r="IA16" s="27"/>
      <c r="IB16" s="27"/>
      <c r="IC16" s="27"/>
      <c r="ID16" s="27"/>
      <c r="IE16" s="27"/>
      <c r="IF16" s="27"/>
      <c r="IG16" s="27"/>
      <c r="IH16" s="27"/>
      <c r="II16" s="27"/>
      <c r="IJ16" s="27"/>
      <c r="IK16" s="27"/>
      <c r="IL16" s="27"/>
      <c r="IM16" s="27"/>
      <c r="IN16" s="27"/>
      <c r="IO16" s="27"/>
      <c r="IP16" s="27"/>
      <c r="IQ16" s="27"/>
      <c r="IR16" s="27"/>
      <c r="IS16" s="27"/>
      <c r="IT16" s="27"/>
      <c r="IU16" s="27"/>
      <c r="IV16" s="27"/>
      <c r="IW16" s="27"/>
      <c r="IX16" s="27"/>
      <c r="IY16" s="27"/>
      <c r="IZ16" s="27"/>
      <c r="JA16" s="27"/>
      <c r="JB16" s="27"/>
      <c r="JC16" s="27"/>
      <c r="JD16" s="27"/>
      <c r="JE16" s="27"/>
      <c r="JF16" s="27"/>
      <c r="JG16" s="27"/>
      <c r="JH16" s="27"/>
      <c r="JI16" s="27"/>
      <c r="JJ16" s="27"/>
      <c r="JK16" s="27"/>
      <c r="JL16" s="27"/>
      <c r="JM16" s="27"/>
      <c r="JN16" s="27"/>
      <c r="JO16" s="27"/>
      <c r="JP16" s="27"/>
      <c r="JQ16" s="27"/>
      <c r="JR16" s="27"/>
      <c r="JS16" s="27"/>
      <c r="JT16" s="27"/>
      <c r="JU16" s="27"/>
      <c r="JV16" s="27"/>
      <c r="JW16" s="27"/>
      <c r="JX16" s="27"/>
      <c r="JY16" s="27"/>
      <c r="JZ16" s="27"/>
      <c r="KA16" s="27"/>
      <c r="KB16" s="27"/>
      <c r="KC16" s="27"/>
      <c r="KD16" s="27"/>
      <c r="KE16" s="27"/>
      <c r="KF16" s="27"/>
      <c r="KG16" s="27"/>
      <c r="KH16" s="27"/>
      <c r="KI16" s="27"/>
      <c r="KJ16" s="27"/>
      <c r="KK16" s="27"/>
      <c r="KL16" s="27"/>
      <c r="KM16" s="27"/>
      <c r="KN16" s="27"/>
      <c r="KO16" s="27"/>
      <c r="KP16" s="27"/>
      <c r="KQ16" s="27"/>
      <c r="KR16" s="27"/>
      <c r="KS16" s="27"/>
      <c r="KT16" s="27"/>
      <c r="KU16" s="27"/>
      <c r="KV16" s="27"/>
      <c r="KW16" s="27"/>
      <c r="KX16" s="27"/>
      <c r="KY16" s="27"/>
      <c r="KZ16" s="27"/>
      <c r="LA16" s="27"/>
      <c r="LB16" s="27"/>
      <c r="LC16" s="27"/>
      <c r="LD16" s="27"/>
      <c r="LE16" s="27"/>
      <c r="LF16" s="27"/>
      <c r="LG16" s="27"/>
      <c r="LH16" s="27"/>
      <c r="LI16" s="27"/>
      <c r="LJ16" s="27"/>
      <c r="LK16" s="27"/>
      <c r="LL16" s="27"/>
      <c r="LM16" s="27"/>
      <c r="LN16" s="27"/>
      <c r="LO16" s="27"/>
      <c r="LP16" s="27"/>
      <c r="LQ16" s="27"/>
      <c r="LR16" s="27"/>
      <c r="LS16" s="27"/>
      <c r="LT16" s="27"/>
      <c r="LU16" s="27"/>
      <c r="LV16" s="27"/>
      <c r="LW16" s="27"/>
      <c r="LX16" s="27"/>
      <c r="LY16" s="27"/>
      <c r="LZ16" s="27"/>
      <c r="MA16" s="27"/>
      <c r="MB16" s="27"/>
      <c r="MC16" s="27"/>
      <c r="MD16" s="27"/>
      <c r="ME16" s="27"/>
      <c r="MF16" s="27"/>
      <c r="MG16" s="27"/>
      <c r="MH16" s="27"/>
      <c r="MI16" s="27"/>
      <c r="MJ16" s="27"/>
      <c r="MK16" s="27"/>
      <c r="ML16" s="27"/>
      <c r="MM16" s="27"/>
      <c r="MN16" s="27"/>
      <c r="MO16" s="27"/>
      <c r="MP16" s="27"/>
      <c r="MQ16" s="27"/>
      <c r="MR16" s="27"/>
      <c r="MS16" s="27"/>
      <c r="MT16" s="27"/>
      <c r="MU16" s="27"/>
      <c r="MV16" s="27"/>
      <c r="MW16" s="27"/>
      <c r="MX16" s="27"/>
      <c r="MY16" s="27"/>
      <c r="MZ16" s="27"/>
      <c r="NA16" s="27"/>
      <c r="NB16" s="27"/>
      <c r="NC16" s="27"/>
      <c r="ND16" s="27"/>
      <c r="NE16" s="27"/>
      <c r="NF16" s="27"/>
      <c r="NG16" s="27"/>
      <c r="NH16" s="27"/>
      <c r="NI16" s="27"/>
      <c r="NJ16" s="27"/>
      <c r="NK16" s="27"/>
      <c r="NL16" s="27"/>
      <c r="NM16" s="27"/>
      <c r="NN16" s="27"/>
      <c r="NO16" s="27"/>
      <c r="NP16" s="27"/>
      <c r="NQ16" s="27"/>
      <c r="NR16" s="27"/>
      <c r="NS16" s="27"/>
      <c r="NT16" s="27"/>
      <c r="NU16" s="27"/>
      <c r="NV16" s="27"/>
      <c r="NW16" s="27"/>
      <c r="NX16" s="27"/>
      <c r="NY16" s="27"/>
      <c r="NZ16" s="27"/>
      <c r="OA16" s="27"/>
      <c r="OB16" s="27"/>
      <c r="OC16" s="27"/>
      <c r="OD16" s="27"/>
      <c r="OE16" s="27"/>
      <c r="OF16" s="27"/>
      <c r="OG16" s="27"/>
      <c r="OH16" s="27"/>
      <c r="OI16" s="27"/>
      <c r="OJ16" s="27"/>
      <c r="OK16" s="27"/>
      <c r="OL16" s="27"/>
      <c r="OM16" s="27"/>
      <c r="ON16" s="27"/>
      <c r="OO16" s="27"/>
      <c r="OP16" s="27"/>
      <c r="OQ16" s="27"/>
      <c r="OR16" s="27"/>
      <c r="OS16" s="27"/>
      <c r="OT16" s="27"/>
      <c r="OU16" s="27"/>
      <c r="OV16" s="27"/>
      <c r="OW16" s="27"/>
      <c r="OX16" s="27"/>
      <c r="OY16" s="27"/>
      <c r="OZ16" s="27"/>
      <c r="PA16" s="27"/>
      <c r="PB16" s="27"/>
      <c r="PC16" s="27"/>
    </row>
    <row r="17" s="3" customFormat="1" ht="83" customHeight="1" outlineLevel="2" spans="1:419">
      <c r="A17" s="43">
        <v>1</v>
      </c>
      <c r="B17" s="44" t="s">
        <v>235</v>
      </c>
      <c r="C17" s="44" t="s">
        <v>236</v>
      </c>
      <c r="D17" s="45" t="s">
        <v>173</v>
      </c>
      <c r="E17" s="46">
        <v>2</v>
      </c>
      <c r="F17" s="46">
        <v>0</v>
      </c>
      <c r="G17" s="46">
        <v>0</v>
      </c>
      <c r="H17" s="46">
        <f>SUM(E17:G17)</f>
        <v>2</v>
      </c>
      <c r="I17" s="47">
        <f>U17*$U$1</f>
        <v>85</v>
      </c>
      <c r="J17" s="54">
        <f>S17*(1+T17)*$S$1</f>
        <v>921</v>
      </c>
      <c r="K17" s="54">
        <f>(V17+W17)*$V$1</f>
        <v>137</v>
      </c>
      <c r="L17" s="48">
        <f>(I17+J17+K17)*$L$3</f>
        <v>114.3</v>
      </c>
      <c r="M17" s="47">
        <f>SUM(I17:L17)</f>
        <v>1257.3</v>
      </c>
      <c r="N17" s="49">
        <f>M17*H17</f>
        <v>2514.6</v>
      </c>
      <c r="O17" s="50"/>
      <c r="P17" s="10"/>
      <c r="Q17" s="51"/>
      <c r="R17" s="32">
        <f t="shared" si="9"/>
        <v>1143</v>
      </c>
      <c r="S17" s="59">
        <f>136+785</f>
        <v>921</v>
      </c>
      <c r="T17" s="67"/>
      <c r="U17" s="68">
        <v>85</v>
      </c>
      <c r="V17" s="68">
        <f>93+22*2</f>
        <v>137</v>
      </c>
      <c r="W17" s="59"/>
      <c r="X17" s="32">
        <f t="shared" si="10"/>
        <v>2286</v>
      </c>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row>
    <row r="18" s="4" customFormat="1" ht="63" customHeight="1" outlineLevel="2" spans="1:419">
      <c r="A18" s="43">
        <v>2</v>
      </c>
      <c r="B18" s="44" t="s">
        <v>237</v>
      </c>
      <c r="C18" s="44" t="s">
        <v>238</v>
      </c>
      <c r="D18" s="53" t="s">
        <v>173</v>
      </c>
      <c r="E18" s="46">
        <v>1</v>
      </c>
      <c r="F18" s="46">
        <v>0</v>
      </c>
      <c r="G18" s="46">
        <v>0</v>
      </c>
      <c r="H18" s="46">
        <f>SUM(E18:G18)</f>
        <v>1</v>
      </c>
      <c r="I18" s="47">
        <f>U18*$U$1</f>
        <v>25</v>
      </c>
      <c r="J18" s="54">
        <f>S18*(1+T18)*$S$1</f>
        <v>55</v>
      </c>
      <c r="K18" s="54">
        <f>(V18+W18)*$V$1</f>
        <v>1.5</v>
      </c>
      <c r="L18" s="48">
        <f>(I18+J18+K18)*$L$3</f>
        <v>8.15</v>
      </c>
      <c r="M18" s="47">
        <f>SUM(I18:L18)</f>
        <v>89.65</v>
      </c>
      <c r="N18" s="49">
        <f>M18*H18</f>
        <v>89.65</v>
      </c>
      <c r="O18" s="50"/>
      <c r="P18" s="10"/>
      <c r="Q18" s="51"/>
      <c r="R18" s="32">
        <f t="shared" si="9"/>
        <v>81.5</v>
      </c>
      <c r="S18" s="69">
        <v>55</v>
      </c>
      <c r="T18" s="70"/>
      <c r="U18" s="69">
        <v>25</v>
      </c>
      <c r="V18" s="69">
        <v>1.5</v>
      </c>
      <c r="W18" s="69"/>
      <c r="X18" s="32">
        <f t="shared" si="10"/>
        <v>81.5</v>
      </c>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c r="GB18" s="57"/>
      <c r="GC18" s="57"/>
      <c r="GD18" s="57"/>
      <c r="GE18" s="57"/>
      <c r="GF18" s="57"/>
      <c r="GG18" s="57"/>
      <c r="GH18" s="57"/>
      <c r="GI18" s="57"/>
      <c r="GJ18" s="57"/>
      <c r="GK18" s="57"/>
      <c r="GL18" s="57"/>
      <c r="GM18" s="57"/>
      <c r="GN18" s="57"/>
      <c r="GO18" s="57"/>
      <c r="GP18" s="57"/>
      <c r="GQ18" s="57"/>
      <c r="GR18" s="57"/>
      <c r="GS18" s="57"/>
      <c r="GT18" s="57"/>
      <c r="GU18" s="57"/>
      <c r="GV18" s="57"/>
      <c r="GW18" s="57"/>
      <c r="GX18" s="57"/>
      <c r="GY18" s="57"/>
      <c r="GZ18" s="57"/>
      <c r="HA18" s="57"/>
      <c r="HB18" s="57"/>
      <c r="HC18" s="57"/>
      <c r="HD18" s="57"/>
      <c r="HE18" s="57"/>
      <c r="HF18" s="57"/>
      <c r="HG18" s="57"/>
      <c r="HH18" s="57"/>
      <c r="HI18" s="57"/>
      <c r="HJ18" s="57"/>
      <c r="HK18" s="57"/>
      <c r="HL18" s="57"/>
      <c r="HM18" s="57"/>
      <c r="HN18" s="57"/>
      <c r="HO18" s="57"/>
      <c r="HP18" s="57"/>
      <c r="HQ18" s="57"/>
      <c r="HR18" s="57"/>
      <c r="HS18" s="57"/>
      <c r="HT18" s="57"/>
      <c r="HU18" s="57"/>
      <c r="HV18" s="57"/>
      <c r="HW18" s="57"/>
      <c r="HX18" s="57"/>
      <c r="HY18" s="57"/>
      <c r="HZ18" s="57"/>
      <c r="IA18" s="57"/>
      <c r="IB18" s="57"/>
      <c r="IC18" s="57"/>
      <c r="ID18" s="57"/>
      <c r="IE18" s="57"/>
      <c r="IF18" s="57"/>
      <c r="IG18" s="57"/>
      <c r="IH18" s="57"/>
      <c r="II18" s="57"/>
      <c r="IJ18" s="57"/>
      <c r="IK18" s="57"/>
      <c r="IL18" s="57"/>
      <c r="IM18" s="57"/>
      <c r="IN18" s="57"/>
      <c r="IO18" s="57"/>
      <c r="IP18" s="57"/>
      <c r="IQ18" s="57"/>
      <c r="IR18" s="57"/>
      <c r="IS18" s="57"/>
      <c r="IT18" s="57"/>
      <c r="IU18" s="57"/>
      <c r="IV18" s="57"/>
      <c r="IW18" s="57"/>
      <c r="IX18" s="57"/>
      <c r="IY18" s="57"/>
      <c r="IZ18" s="57"/>
      <c r="JA18" s="57"/>
      <c r="JB18" s="57"/>
      <c r="JC18" s="57"/>
      <c r="JD18" s="57"/>
      <c r="JE18" s="57"/>
      <c r="JF18" s="57"/>
      <c r="JG18" s="57"/>
      <c r="JH18" s="57"/>
      <c r="JI18" s="57"/>
      <c r="JJ18" s="57"/>
      <c r="JK18" s="57"/>
      <c r="JL18" s="57"/>
      <c r="JM18" s="57"/>
      <c r="JN18" s="57"/>
      <c r="JO18" s="57"/>
      <c r="JP18" s="57"/>
      <c r="JQ18" s="57"/>
      <c r="JR18" s="57"/>
      <c r="JS18" s="57"/>
      <c r="JT18" s="57"/>
      <c r="JU18" s="57"/>
      <c r="JV18" s="57"/>
      <c r="JW18" s="57"/>
      <c r="JX18" s="57"/>
      <c r="JY18" s="57"/>
      <c r="JZ18" s="57"/>
      <c r="KA18" s="57"/>
      <c r="KB18" s="57"/>
      <c r="KC18" s="57"/>
      <c r="KD18" s="57"/>
      <c r="KE18" s="57"/>
      <c r="KF18" s="57"/>
      <c r="KG18" s="57"/>
      <c r="KH18" s="57"/>
      <c r="KI18" s="57"/>
      <c r="KJ18" s="57"/>
      <c r="KK18" s="57"/>
      <c r="KL18" s="57"/>
      <c r="KM18" s="57"/>
      <c r="KN18" s="57"/>
      <c r="KO18" s="57"/>
      <c r="KP18" s="57"/>
      <c r="KQ18" s="57"/>
      <c r="KR18" s="57"/>
      <c r="KS18" s="57"/>
      <c r="KT18" s="57"/>
      <c r="KU18" s="57"/>
      <c r="KV18" s="57"/>
      <c r="KW18" s="57"/>
      <c r="KX18" s="57"/>
      <c r="KY18" s="57"/>
      <c r="KZ18" s="57"/>
      <c r="LA18" s="57"/>
      <c r="LB18" s="57"/>
      <c r="LC18" s="57"/>
      <c r="LD18" s="57"/>
      <c r="LE18" s="57"/>
      <c r="LF18" s="57"/>
      <c r="LG18" s="57"/>
      <c r="LH18" s="57"/>
      <c r="LI18" s="57"/>
      <c r="LJ18" s="57"/>
      <c r="LK18" s="57"/>
      <c r="LL18" s="57"/>
      <c r="LM18" s="57"/>
      <c r="LN18" s="57"/>
      <c r="LO18" s="57"/>
      <c r="LP18" s="57"/>
      <c r="LQ18" s="57"/>
      <c r="LR18" s="57"/>
      <c r="LS18" s="57"/>
      <c r="LT18" s="57"/>
      <c r="LU18" s="57"/>
      <c r="LV18" s="57"/>
      <c r="LW18" s="57"/>
      <c r="LX18" s="57"/>
      <c r="LY18" s="57"/>
      <c r="LZ18" s="57"/>
      <c r="MA18" s="57"/>
      <c r="MB18" s="57"/>
      <c r="MC18" s="57"/>
      <c r="MD18" s="57"/>
      <c r="ME18" s="57"/>
      <c r="MF18" s="57"/>
      <c r="MG18" s="57"/>
      <c r="MH18" s="57"/>
      <c r="MI18" s="57"/>
      <c r="MJ18" s="57"/>
      <c r="MK18" s="57"/>
      <c r="ML18" s="57"/>
      <c r="MM18" s="57"/>
      <c r="MN18" s="57"/>
      <c r="MO18" s="57"/>
      <c r="MP18" s="57"/>
      <c r="MQ18" s="57"/>
      <c r="MR18" s="57"/>
      <c r="MS18" s="57"/>
      <c r="MT18" s="57"/>
      <c r="MU18" s="57"/>
      <c r="MV18" s="57"/>
      <c r="MW18" s="57"/>
      <c r="MX18" s="57"/>
      <c r="MY18" s="57"/>
      <c r="MZ18" s="57"/>
      <c r="NA18" s="57"/>
      <c r="NB18" s="57"/>
      <c r="NC18" s="57"/>
      <c r="ND18" s="57"/>
      <c r="NE18" s="57"/>
      <c r="NF18" s="57"/>
      <c r="NG18" s="57"/>
      <c r="NH18" s="57"/>
      <c r="NI18" s="57"/>
      <c r="NJ18" s="57"/>
      <c r="NK18" s="57"/>
      <c r="NL18" s="57"/>
      <c r="NM18" s="57"/>
      <c r="NN18" s="57"/>
      <c r="NO18" s="57"/>
      <c r="NP18" s="57"/>
      <c r="NQ18" s="57"/>
      <c r="NR18" s="57"/>
      <c r="NS18" s="57"/>
      <c r="NT18" s="57"/>
      <c r="NU18" s="57"/>
      <c r="NV18" s="57"/>
      <c r="NW18" s="57"/>
      <c r="NX18" s="57"/>
      <c r="NY18" s="57"/>
      <c r="NZ18" s="57"/>
      <c r="OA18" s="57"/>
      <c r="OB18" s="57"/>
      <c r="OC18" s="57"/>
      <c r="OD18" s="57"/>
      <c r="OE18" s="57"/>
      <c r="OF18" s="57"/>
      <c r="OG18" s="57"/>
      <c r="OH18" s="57"/>
      <c r="OI18" s="57"/>
      <c r="OJ18" s="57"/>
      <c r="OK18" s="57"/>
      <c r="OL18" s="57"/>
      <c r="OM18" s="57"/>
      <c r="ON18" s="57"/>
      <c r="OO18" s="57"/>
      <c r="OP18" s="57"/>
      <c r="OQ18" s="57"/>
      <c r="OR18" s="57"/>
      <c r="OS18" s="57"/>
      <c r="OT18" s="57"/>
      <c r="OU18" s="57"/>
      <c r="OV18" s="57"/>
      <c r="OW18" s="57"/>
      <c r="OX18" s="57"/>
      <c r="OY18" s="57"/>
      <c r="OZ18" s="57"/>
      <c r="PA18" s="57"/>
      <c r="PB18" s="57"/>
      <c r="PC18" s="57"/>
    </row>
    <row r="19" s="2" customFormat="1" ht="25" customHeight="1" spans="1:419">
      <c r="A19" s="39"/>
      <c r="B19" s="39" t="s">
        <v>118</v>
      </c>
      <c r="C19" s="39"/>
      <c r="D19" s="39"/>
      <c r="E19" s="71"/>
      <c r="F19" s="71"/>
      <c r="G19" s="71"/>
      <c r="H19" s="71"/>
      <c r="I19" s="72"/>
      <c r="J19" s="72"/>
      <c r="K19" s="72"/>
      <c r="L19" s="72"/>
      <c r="M19" s="72"/>
      <c r="N19" s="41">
        <f>+N16+N5</f>
        <v>211932.53895</v>
      </c>
      <c r="O19" s="39"/>
      <c r="P19" s="27"/>
      <c r="Q19" s="42"/>
      <c r="R19" s="27"/>
      <c r="S19" s="27"/>
      <c r="T19" s="73"/>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c r="IF19" s="27"/>
      <c r="IG19" s="27"/>
      <c r="IH19" s="27"/>
      <c r="II19" s="27"/>
      <c r="IJ19" s="27"/>
      <c r="IK19" s="27"/>
      <c r="IL19" s="27"/>
      <c r="IM19" s="27"/>
      <c r="IN19" s="27"/>
      <c r="IO19" s="27"/>
      <c r="IP19" s="27"/>
      <c r="IQ19" s="27"/>
      <c r="IR19" s="27"/>
      <c r="IS19" s="27"/>
      <c r="IT19" s="27"/>
      <c r="IU19" s="27"/>
      <c r="IV19" s="27"/>
      <c r="IW19" s="27"/>
      <c r="IX19" s="27"/>
      <c r="IY19" s="27"/>
      <c r="IZ19" s="27"/>
      <c r="JA19" s="27"/>
      <c r="JB19" s="27"/>
      <c r="JC19" s="27"/>
      <c r="JD19" s="27"/>
      <c r="JE19" s="27"/>
      <c r="JF19" s="27"/>
      <c r="JG19" s="27"/>
      <c r="JH19" s="27"/>
      <c r="JI19" s="27"/>
      <c r="JJ19" s="27"/>
      <c r="JK19" s="27"/>
      <c r="JL19" s="27"/>
      <c r="JM19" s="27"/>
      <c r="JN19" s="27"/>
      <c r="JO19" s="27"/>
      <c r="JP19" s="27"/>
      <c r="JQ19" s="27"/>
      <c r="JR19" s="27"/>
      <c r="JS19" s="27"/>
      <c r="JT19" s="27"/>
      <c r="JU19" s="27"/>
      <c r="JV19" s="27"/>
      <c r="JW19" s="27"/>
      <c r="JX19" s="27"/>
      <c r="JY19" s="27"/>
      <c r="JZ19" s="27"/>
      <c r="KA19" s="27"/>
      <c r="KB19" s="27"/>
      <c r="KC19" s="27"/>
      <c r="KD19" s="27"/>
      <c r="KE19" s="27"/>
      <c r="KF19" s="27"/>
      <c r="KG19" s="27"/>
      <c r="KH19" s="27"/>
      <c r="KI19" s="27"/>
      <c r="KJ19" s="27"/>
      <c r="KK19" s="27"/>
      <c r="KL19" s="27"/>
      <c r="KM19" s="27"/>
      <c r="KN19" s="27"/>
      <c r="KO19" s="27"/>
      <c r="KP19" s="27"/>
      <c r="KQ19" s="27"/>
      <c r="KR19" s="27"/>
      <c r="KS19" s="27"/>
      <c r="KT19" s="27"/>
      <c r="KU19" s="27"/>
      <c r="KV19" s="27"/>
      <c r="KW19" s="27"/>
      <c r="KX19" s="27"/>
      <c r="KY19" s="27"/>
      <c r="KZ19" s="27"/>
      <c r="LA19" s="27"/>
      <c r="LB19" s="27"/>
      <c r="LC19" s="27"/>
      <c r="LD19" s="27"/>
      <c r="LE19" s="27"/>
      <c r="LF19" s="27"/>
      <c r="LG19" s="27"/>
      <c r="LH19" s="27"/>
      <c r="LI19" s="27"/>
      <c r="LJ19" s="27"/>
      <c r="LK19" s="27"/>
      <c r="LL19" s="27"/>
      <c r="LM19" s="27"/>
      <c r="LN19" s="27"/>
      <c r="LO19" s="27"/>
      <c r="LP19" s="27"/>
      <c r="LQ19" s="27"/>
      <c r="LR19" s="27"/>
      <c r="LS19" s="27"/>
      <c r="LT19" s="27"/>
      <c r="LU19" s="27"/>
      <c r="LV19" s="27"/>
      <c r="LW19" s="27"/>
      <c r="LX19" s="27"/>
      <c r="LY19" s="27"/>
      <c r="LZ19" s="27"/>
      <c r="MA19" s="27"/>
      <c r="MB19" s="27"/>
      <c r="MC19" s="27"/>
      <c r="MD19" s="27"/>
      <c r="ME19" s="27"/>
      <c r="MF19" s="27"/>
      <c r="MG19" s="27"/>
      <c r="MH19" s="27"/>
      <c r="MI19" s="27"/>
      <c r="MJ19" s="27"/>
      <c r="MK19" s="27"/>
      <c r="ML19" s="27"/>
      <c r="MM19" s="27"/>
      <c r="MN19" s="27"/>
      <c r="MO19" s="27"/>
      <c r="MP19" s="27"/>
      <c r="MQ19" s="27"/>
      <c r="MR19" s="27"/>
      <c r="MS19" s="27"/>
      <c r="MT19" s="27"/>
      <c r="MU19" s="27"/>
      <c r="MV19" s="27"/>
      <c r="MW19" s="27"/>
      <c r="MX19" s="27"/>
      <c r="MY19" s="27"/>
      <c r="MZ19" s="27"/>
      <c r="NA19" s="27"/>
      <c r="NB19" s="27"/>
      <c r="NC19" s="27"/>
      <c r="ND19" s="27"/>
      <c r="NE19" s="27"/>
      <c r="NF19" s="27"/>
      <c r="NG19" s="27"/>
      <c r="NH19" s="27"/>
      <c r="NI19" s="27"/>
      <c r="NJ19" s="27"/>
      <c r="NK19" s="27"/>
      <c r="NL19" s="27"/>
      <c r="NM19" s="27"/>
      <c r="NN19" s="27"/>
      <c r="NO19" s="27"/>
      <c r="NP19" s="27"/>
      <c r="NQ19" s="27"/>
      <c r="NR19" s="27"/>
      <c r="NS19" s="27"/>
      <c r="NT19" s="27"/>
      <c r="NU19" s="27"/>
      <c r="NV19" s="27"/>
      <c r="NW19" s="27"/>
      <c r="NX19" s="27"/>
      <c r="NY19" s="27"/>
      <c r="NZ19" s="27"/>
      <c r="OA19" s="27"/>
      <c r="OB19" s="27"/>
      <c r="OC19" s="27"/>
      <c r="OD19" s="27"/>
      <c r="OE19" s="27"/>
      <c r="OF19" s="27"/>
      <c r="OG19" s="27"/>
      <c r="OH19" s="27"/>
      <c r="OI19" s="27"/>
      <c r="OJ19" s="27"/>
      <c r="OK19" s="27"/>
      <c r="OL19" s="27"/>
      <c r="OM19" s="27"/>
      <c r="ON19" s="27"/>
      <c r="OO19" s="27"/>
      <c r="OP19" s="27"/>
      <c r="OQ19" s="27"/>
      <c r="OR19" s="27"/>
      <c r="OS19" s="27"/>
      <c r="OT19" s="27"/>
      <c r="OU19" s="27"/>
      <c r="OV19" s="27"/>
      <c r="OW19" s="27"/>
      <c r="OX19" s="27"/>
      <c r="OY19" s="27"/>
      <c r="OZ19" s="27"/>
      <c r="PA19" s="27"/>
      <c r="PB19" s="27"/>
      <c r="PC19" s="27"/>
    </row>
    <row r="29" spans="1:419">
      <c r="D29" s="5" t="s">
        <v>239</v>
      </c>
    </row>
  </sheetData>
  <mergeCells count="12">
    <mergeCell ref="A1:O1"/>
    <mergeCell ref="A2:A4"/>
    <mergeCell ref="B2:B4"/>
    <mergeCell ref="C2:C4"/>
    <mergeCell ref="D2:D4"/>
    <mergeCell ref="H2:H4"/>
    <mergeCell ref="I3:I4"/>
    <mergeCell ref="J3:J4"/>
    <mergeCell ref="K3:K4"/>
    <mergeCell ref="M3:M4"/>
    <mergeCell ref="N3:N4"/>
    <mergeCell ref="O2:O4"/>
  </mergeCells>
  <conditionalFormatting sqref="B2">
    <cfRule type="duplicateValues" dxfId="0" priority="1"/>
  </conditionalFormatting>
  <conditionalFormatting sqref="B5">
    <cfRule type="duplicateValues" dxfId="0" priority="5"/>
  </conditionalFormatting>
  <conditionalFormatting sqref="B16">
    <cfRule type="duplicateValues" dxfId="0" priority="2"/>
  </conditionalFormatting>
  <conditionalFormatting sqref="B19">
    <cfRule type="duplicateValues" dxfId="0" priority="3"/>
  </conditionalFormatting>
  <printOptions horizontalCentered="1"/>
  <pageMargins left="0.590277777777778" right="0.590277777777778" top="0.707638888888889" bottom="1" header="0.5" footer="0.5"/>
  <pageSetup paperSize="9" scale="84" fitToHeight="0" orientation="landscape" blackAndWhite="1" horizontalDpi="600"/>
  <headerFooter>
    <oddFooter>&amp;C第 &amp;P 页，共 &amp;N 页</oddFooter>
  </headerFooter>
  <colBreaks count="1" manualBreakCount="1">
    <brk id="15" max="1048575" man="1"/>
  </col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编制说明</vt:lpstr>
      <vt:lpstr>汇总表</vt:lpstr>
      <vt:lpstr>坡道装饰工程量清单</vt:lpstr>
      <vt:lpstr>地库装饰工程量清单</vt:lpstr>
      <vt:lpstr>划线及标识工程量清单</vt:lpstr>
      <vt:lpstr>坡道安装工程</vt:lpstr>
      <vt:lpstr>地库安装工程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司徒亮</dc:creator>
  <cp:lastModifiedBy>叶渭淋</cp:lastModifiedBy>
  <dcterms:created xsi:type="dcterms:W3CDTF">2023-05-19T18:28:00Z</dcterms:created>
  <dcterms:modified xsi:type="dcterms:W3CDTF">2026-06-29T06:22:46Z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AABADA79AACC4AA390DE4F23EAAC9CD6_13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