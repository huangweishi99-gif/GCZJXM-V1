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s\cost-estimation\清单数据资料\甲方招标清单\"/>
    </mc:Choice>
  </mc:AlternateContent>
  <bookViews>
    <workbookView windowWidth="27945" windowHeight="12255"/>
  </bookViews>
  <sheets>
    <sheet name="公区装饰工程量清单-综合单价 (2)" sheetId="1" r:id="rId1"/>
  </sheets>
  <externalReferences>
    <externalReference r:id="rId2"/>
  </externalReferences>
  <definedNames>
    <definedName name="_xlnm._FilterDatabase" localSheetId="0" hidden="1">'公区装饰工程量清单-综合单价 (2)'!$A$3:$V$1493</definedName>
    <definedName name="A">EVALUATE(SUBSTITUTE(SUBSTITUTE(#REF!,"[","*ISTEXT(""["),"]","]"")"))</definedName>
    <definedName name="_____ngk1109" localSheetId="0" hidden="1">{#N/A,#N/A,FALSE,"估價單  (3)"}</definedName>
    <definedName name="___ngk1109" localSheetId="0" hidden="1">{#N/A,#N/A,FALSE,"估價單  (3)"}</definedName>
    <definedName name="___________________N81020" localSheetId="0">[1]地梁!#REF!</definedName>
    <definedName name="dw" localSheetId="0">#REF!</definedName>
    <definedName name="_xlnm.Print_Titles" localSheetId="0">'公区装饰工程量清单-综合单价 (2)'!$1:$3</definedName>
    <definedName name="_xlnm.Print_Area" localSheetId="0">'公区装饰工程量清单-综合单价 (2)'!$A$1:$M$1493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<sst xmlns="http://schemas.openxmlformats.org/spreadsheetml/2006/main" count="8589" uniqueCount="1022">
  <si>
    <t>珠海丹田海德项目装修工程量清单</t>
  </si>
  <si>
    <t>序号</t>
  </si>
  <si>
    <t>项目名称</t>
  </si>
  <si>
    <t>项目特征</t>
  </si>
  <si>
    <t>单价包含工作内容</t>
  </si>
  <si>
    <t>工程量计算规则及依据</t>
  </si>
  <si>
    <t>单位</t>
  </si>
  <si>
    <t>合计工程量</t>
  </si>
  <si>
    <t>不含税基准价</t>
  </si>
  <si>
    <t>下浮率</t>
  </si>
  <si>
    <t>投标报价</t>
  </si>
  <si>
    <t>甲供材</t>
  </si>
  <si>
    <t>备注</t>
  </si>
  <si>
    <t>外报清单综合单价</t>
  </si>
  <si>
    <t>与H列基准价对比</t>
  </si>
  <si>
    <t>综合单价（不含税）</t>
  </si>
  <si>
    <t>不含税报价单价</t>
  </si>
  <si>
    <t>合价（不含税）</t>
  </si>
  <si>
    <t>A</t>
  </si>
  <si>
    <t>首层装修部分（北向）</t>
  </si>
  <si>
    <t>一</t>
  </si>
  <si>
    <t>一层电梯厅、设备间（DT1）</t>
  </si>
  <si>
    <t>地面工程</t>
  </si>
  <si>
    <t>地面铺贴大理石ST-01</t>
  </si>
  <si>
    <t>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</si>
  <si>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包含但不限于完成本项工作所需的施工准备、材料采购、卸车倒运（含二次或多次倒运）、材料保管、材料检测、瓷缝剂填缝、制作安装、人工、机械、管理费、措施费用、洞口开洞及预留、成品保护、竣工清理、安全文明施工、样板间施工等全部费用。</t>
  </si>
  <si>
    <t xml:space="preserve">执行《GB/T50854-2024房屋建筑与装饰工程工程量计算标准》，按设计图示尺寸
以面积计算。 </t>
  </si>
  <si>
    <t>m2</t>
  </si>
  <si>
    <t>/</t>
  </si>
  <si>
    <t>差:-54.31元 (-5.8%) 来源:售楼处</t>
  </si>
  <si>
    <t>地面铺贴大理石ST-01.02拼花</t>
  </si>
  <si>
    <t>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</si>
  <si>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差:-276.39元 (-19.6%) 来源:售楼处</t>
  </si>
  <si>
    <t>地面地砖 CT-06</t>
  </si>
  <si>
    <t>1.地面花砖CT-06；
2.10mm厚专用粘结剂；
3.80mm厚DS-M15干混砂浆找平；
4.基层清理；
5.含切边、倒角、拼接等处理；
6.包含完成该项内容所有工作及费用并满足设计图纸、规范等要求；</t>
  </si>
  <si>
    <t>差:-134.08元 (-39.8%) 来源:售楼处</t>
  </si>
  <si>
    <t>实心铜条5mm宽</t>
  </si>
  <si>
    <t>1.实心铜条5mm宽；
2.包含完成该项内容所有工作及费用并满足设计图纸、规范等要求；</t>
  </si>
  <si>
    <t>按设计图示尺寸以长度计算。</t>
  </si>
  <si>
    <t>m</t>
  </si>
  <si>
    <t>差:-53.99元 (-60.5%) 来源:售楼处</t>
  </si>
  <si>
    <t>地面石材晶面处理</t>
  </si>
  <si>
    <t>1.石材结晶处理(结晶水及石材保养剂,中性清洁剂)；
2.包含完成该项内容所有工作及费用并满足设计图纸、规范等要求；</t>
  </si>
  <si>
    <t>差:-3.52元 (-5.4%) 来源:售楼处</t>
  </si>
  <si>
    <t>墙柱面工程</t>
  </si>
  <si>
    <t>墙面湿贴石材ST-05</t>
  </si>
  <si>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</si>
  <si>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具体工作内容除详见项目特征外，且不限于以下内容:1.包含材料的下车、场内运输；2.清理基层、找标高、弹线定位；3.试拼试排；4.砂浆拌和、铺找平层（粘结层）砂浆；5.面层铺设、灌缝、擦缝；6.打蜡、养护；配合留设墙面开关、插座等末端设备等全部内容；包含成品保护、安全文明施工等达到验收合格的全部施工内容。</t>
  </si>
  <si>
    <t>执行《GB/T50854-2024房屋建筑与装饰工程工程量计算标准》，按设计图示镶贴后外围面积计算</t>
  </si>
  <si>
    <t>差:-1648.69元 (-61.8%) 来源:售楼处</t>
  </si>
  <si>
    <t>墙面干挂ST-05石材</t>
  </si>
  <si>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</si>
  <si>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具体工作内容除详见项目特征外，且不限于以下内容:1.包含材料的下车、场内运输；2.清理基层、找标高、弹线定位、安装预埋件及龙骨；3.安装墙体内防火、隔声等填充材料，配合预留机电管线设备接口；4.安装面层；5.清理面板，拼缝，刮嵌缝腻子，安装粘结层；6.完工清理及成品保护、配合留设墙面机电预留等末端设备等全部内容；包含开槽、开灯孔、检修口、窗帘盒、脚手架租赁搭设、升降机租赁等工序。</t>
  </si>
  <si>
    <t>差:+39.45元 (+4.1%) 来源:售楼处</t>
  </si>
  <si>
    <t>墙面干挂ST-05石材（波浪造型）</t>
  </si>
  <si>
    <t>1、墙面干挂ST-05石材（波浪造型）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</si>
  <si>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差:-836.85元 (-41.5%) 来源:售楼处</t>
  </si>
  <si>
    <t>墙面PT-02白色防水无机涂料</t>
  </si>
  <si>
    <t>1、墙面PT-02白色防水无机涂料(底漆1遍，面漆2遍)
2、刮白胶腻子找平二遍，打磨
3、阴、阳角护角收边
4、双层9.5mm纸面石膏板
5、轻钢龙骨基层找平
6、包含完成该项内容所有工作及费用并满足设计图纸、规范等要求</t>
  </si>
  <si>
    <t>包含但不限于完成本项工作所需的施工准备、材料采购、卸车倒运（含二次或多次倒运）、材料保管、材料检测、制作安装、人工、机械、管理费、措施费用、洞口开洞及预留、成品保护、竣工清理、安全文明施工、样板间施工等全部费用，同时要负责配合机电点位定位、灯具、空调送回风口、排烟风口、喷淋定位、广播等开洞工作。</t>
  </si>
  <si>
    <t>差:-50.77元 (-23.1%) 来源:售楼处</t>
  </si>
  <si>
    <t>不锈钢门套</t>
  </si>
  <si>
    <t>1、1.2mm厚 MT-01古铜不锈钢门套，结构胶固定
2、9厘玻镁板基层
3、工程量以展开面积计算
4、包含完成该项内容所有工作及费用并满足设计图纸、规范等要求</t>
  </si>
  <si>
    <t>执行《GB/T50854-2024房屋建筑与装饰工程工程量计算标准》，按设计图示饰面外围尺寸
以面积计算。 扣除门窗洞口面积，不扣除单个面积≤0.3㎡的孔洞所占面积。</t>
  </si>
  <si>
    <t>差:+51.02元 (+8.1%) 来源:售楼处</t>
  </si>
  <si>
    <t>电梯不锈钢门套</t>
  </si>
  <si>
    <t>电梯不锈钢门头</t>
  </si>
  <si>
    <t>1、1.2mm厚 MT-01古铜不锈钢门头，结构胶固定
2、12mm阻燃板，轻钢副龙骨@400
3、电梯门顶内置亚克力，内部面层刮白处理
4、工程量以展开面积计算
5、包含完成该项内容所有工作及费用并满足设计图纸、规范等要求</t>
  </si>
  <si>
    <t>差:-131.29元 (-16.1%) 来源:售楼处</t>
  </si>
  <si>
    <t>MT-01古铜不锈钢饰面（电梯按钮处）</t>
  </si>
  <si>
    <t>1、1.2mm厚 MT-01古铜不锈钢饰面
2、12mm阻燃板基层，轻钢副龙骨@400
3、工程量以展开面积计算
4、包含完成该项内容所有工作及费用并满足设计图纸、规范等要求</t>
  </si>
  <si>
    <t>差:-493.89元 (-42.0%) 来源:售楼处</t>
  </si>
  <si>
    <t>50mm CT-06瓷砖踢脚</t>
  </si>
  <si>
    <t>1、50mm CT-06瓷砖踢脚,瓷砖填缝剂处理
2、背覆胶处理
3、C1T等级抗滑移水泥基胶粘剂
4、界面剂拉毛处理
5、包含完成该项内容所有工作及费用并满足设计图纸、规范等要求</t>
  </si>
  <si>
    <t>差:-398.24元 (-59.4%) 来源:售楼处</t>
  </si>
  <si>
    <t>MT-01古铜不锈钢踢脚线（高20mm）</t>
  </si>
  <si>
    <t>1、1.2mm厚 MT-01古铜不锈钢踢脚线（高20mm，展开面为46mm），结构胶固定
2、9厘玻镁板基层
3、包含完成该项内容所有工作及费用并满足设计图纸、规范等要求</t>
  </si>
  <si>
    <t>差:-21.37元 (-31.9%) 来源:售楼处</t>
  </si>
  <si>
    <t>MT-01古铜不锈钢线条（展开面为54mm）</t>
  </si>
  <si>
    <t>1、1.2mm厚 MT-01古铜不锈钢线条（展开面为54mm），结构胶固定
2、9厘玻镁板基层
3、包含完成该项内容所有工作及费用并满足设计图纸、规范等要求</t>
  </si>
  <si>
    <t>差:-21.10元 (-29.3%) 来源:售楼处</t>
  </si>
  <si>
    <t>MT-01古铜不锈钢线条（展开面为69mm）</t>
  </si>
  <si>
    <t>1、1.2mm厚 MT-01古铜不锈钢线条（展开面为69mm），结构胶固定
2、9厘玻镁板基层
3、包含完成该项内容所有工作及费用并满足设计图纸、规范等要求</t>
  </si>
  <si>
    <t>差:-21.11元 (-26.5%) 来源:售楼处</t>
  </si>
  <si>
    <t>MT-01古铜不锈钢线条（展开面为114mm）</t>
  </si>
  <si>
    <t>1、1.2mm厚 MT-01古铜不锈钢线条（展开面为114mm），结构胶固定
2、9厘玻镁板基层
3、包含完成该项内容所有工作及费用并满足设计图纸、规范等要求</t>
  </si>
  <si>
    <t>差:-22.70元 (-19.3%) 来源:售楼处</t>
  </si>
  <si>
    <t>MT-01古铜不锈钢顶部收口条（展开面为41mm）</t>
  </si>
  <si>
    <t>1、1.2mm厚 MT-01古铜不锈钢顶部收口条（展开面为41mm），结构胶固定
2、9厘玻镁板基层
3、包含完成该项内容所有工作及费用并满足设计图纸、规范等要求</t>
  </si>
  <si>
    <t>差:-21.09元 (-32.8%) 来源:售楼处</t>
  </si>
  <si>
    <t>天花工程</t>
  </si>
  <si>
    <t>造型石膏板吊顶</t>
  </si>
  <si>
    <t>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t>
  </si>
  <si>
    <t>1.基层清理。
2.弹线定位、排版。
3.吊杆及连接件安装调平、收口及密封处理。
4.材料切割处理找平、石膏板安装及调整，打胶密封与清理.
5.收口及其他处理：检修口等制作安装、收边收口、配合预留安装、机电等专业孔洞及孔洞收口处理。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</si>
  <si>
    <t>按设计图示尺寸以水平投影面积计算。不扣除间壁墙、检查口、附墙烟囱、柱垛和管道所占面积,扣除单个&gt;0.3m3的孔洞、非密拼吊顶空隙所占的面积、独立柱及与天棚相连的窗帘盒所占的面积。</t>
  </si>
  <si>
    <t>差:-24.19元 (-13.9%) 来源:售楼处</t>
  </si>
  <si>
    <t>灯槽（100mm*200mm）</t>
  </si>
  <si>
    <t>1.灯槽（100mm*200mm）；
2.双层板：9mm玻镁板、9.5厚石膏板；
3.包含完成该项内容所有工作及费用并满足设计图纸、规范等要求；</t>
  </si>
  <si>
    <t>自现有现场条件下按照合同约定范围、图纸（含设计变更）及甲方要求内容以及规范、标准、相关做法等要求完成并达到总包合同全部目标的全部工作内容。</t>
  </si>
  <si>
    <t>依据经承包人确认的施工部位,按设计图示尺寸以延长米计算。</t>
  </si>
  <si>
    <t>差:-32.86元 (-29.3%) 来源:售楼处</t>
  </si>
  <si>
    <t>成品石膏线条</t>
  </si>
  <si>
    <t>1.成品石膏线条（50mm*50mm）；
2.按图纸造型；
3.包含完成该项内容所有工作及费用并满足设计图纸、规范等要求；</t>
  </si>
  <si>
    <t>差:+127.74元 (+168.5%) 来源:售楼处</t>
  </si>
  <si>
    <t>条形空调风口（150mm）</t>
  </si>
  <si>
    <t>1.条形空调风口（150mm）；
2.风口周边阻燃板封边加固处理；
3.包含完成该项内容所有工作及费用并满足设计图纸、规范等要求；</t>
  </si>
  <si>
    <t>差:-1.54元 (-1.4%) 来源:售楼处</t>
  </si>
  <si>
    <t>天花肌理无机涂料PT-01</t>
  </si>
  <si>
    <t>1.天花肌理无机涂料PT-01；
2.刮腻子二遍磨平；
3.底漆1遍，面漆2遍；
4.包含完成该项内容所有工作及费用并满足设计图纸、规范等要求；</t>
  </si>
  <si>
    <t>包括但不限于材料计划、采购、卸车倒运、保管、检验试验费、测量放线，包含四周阴角找平直、含天棚四周阴角找平直，打磨，简易脚手架搭拆及操作平台、升降机，基层清理、打磨平整、底层找补、满刮涂料（含阴阳角塑料条）、涂料打磨、补遗处理、配合其他分包施工、完工后场清、成品保护、保修等直到达到竣工交付标准的全部工作内容。包括所有为完成工作所需的小型机具；包括所有为完成工作所需的附属工作；包括但不限于以上内容。</t>
  </si>
  <si>
    <t>执行《GB/T50854-2024房屋建筑与装饰工程工程量计算标准》，按设计图示尺寸以面积计算。扣除0.3平方米以上洞口的面积；梁侧面及檐口天棚并入天棚计算；以设计图纸和技术交底为基础</t>
  </si>
  <si>
    <t>差:-0.64元 (-0.4%) 来源:售楼处</t>
  </si>
  <si>
    <t>门窗、家具工程</t>
  </si>
  <si>
    <t>设备间暗门(不含面层)</t>
  </si>
  <si>
    <t>1、40x40x5mm热镀锌方管骨架、背封铝塑板
2、含天地轴、门吸等五金配件
3、包含完成该项内容所有工作及费用并满足设计图纸、规范等要求</t>
  </si>
  <si>
    <t>以最终验收合格的工程量计算</t>
  </si>
  <si>
    <t>差:-296.99元 (-30.9%) 来源:售楼处</t>
  </si>
  <si>
    <t>电梯厅门（参DR01）</t>
  </si>
  <si>
    <t>1、门扇：1.2mm厚 MT-01古铜不锈钢饰面、GL-01超白钢化玻璃、ST-08石材、L40*40*4镀锌角钢骨架
2、门套：1.2mm厚 MT-01古铜不锈钢饰面
3、定制成品套装门制安
4、含电机、暗铰链、地弹簧等五金配件
5、包含完成该项内容所有工作及费用并满足设计图纸、规范等要求</t>
  </si>
  <si>
    <t>差:-5521.82元 (-73.3%) 来源:售楼处</t>
  </si>
  <si>
    <t>固定玻璃隔断</t>
  </si>
  <si>
    <t>1、GL-01超白钢化玻璃饰面
2、1.2mm厚 MT-01古铜不锈钢饰面边框
3、包含完成该项内容所有工作及费用并满足设计图纸、规范等要求</t>
  </si>
  <si>
    <t>差:+46.52元 (+7.6%) 来源:售楼处</t>
  </si>
  <si>
    <t>二</t>
  </si>
  <si>
    <t>一层入户大堂、前室（上）</t>
  </si>
  <si>
    <t xml:space="preserve"> </t>
  </si>
  <si>
    <t>地面铺贴大理石ST-01.03拼花</t>
  </si>
  <si>
    <t>1.地面20mm大理石拼花、参考3F-DF-01样式、ST-01、ST-03按物料书为准；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</si>
  <si>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差:-168.07元 (-12.9%) 来源:售楼处</t>
  </si>
  <si>
    <t>差:+52.57元 (+5.5%) 来源:售楼处</t>
  </si>
  <si>
    <t>造型石膏板吊顶（标高7.15m)</t>
  </si>
  <si>
    <t>1.60系列轻钢主龙骨@900，60系列轻钢副龙骨@400，60系列横撑龙骨@600，08螺纹吊杆@900不上人天花吊顶（标高7.15m 投影面计算）
2.玻镁板、双层9.5厚石膏板基层，含开孔、检修口、10*10凹槽等费用；
3.含除灯槽外的侧面高差及其连接件、吊件；
4.包含完成该项内容所有工作及费用并满足设计图纸、规范等要求；</t>
  </si>
  <si>
    <t>差:-52.79元 (-18.1%) 来源:售楼处</t>
  </si>
  <si>
    <t>强弱电井暗门(不含面层)</t>
  </si>
  <si>
    <t>消防栓暗门(不含面层)</t>
  </si>
  <si>
    <t>三</t>
  </si>
  <si>
    <t>一层艺术过厅</t>
  </si>
  <si>
    <t>墙面干挂SF-06红砖</t>
  </si>
  <si>
    <t>1、墙面干挂SF-06红砖(墙面刷黑处理)
2、30*30*3镀锌方通钢架，石材干挂胶固定
3、包含完成该项内容所有工作及费用并满足设计图纸、规范等要求</t>
  </si>
  <si>
    <t>差:-487.69元 (-46.3%) 来源:售楼处</t>
  </si>
  <si>
    <t>MT-01古铜不锈钢饰面</t>
  </si>
  <si>
    <t>1、1.2mm厚 MT-01古铜不锈钢饰面，结构胶固定
2、9厘玻镁板基层
3、工程量以展开面积计算
4、包含完成该项内容所有工作及费用并满足设计图纸、规范等要求</t>
  </si>
  <si>
    <t>透光膜天棚</t>
  </si>
  <si>
    <t>1.透光膜天棚\施工时透气孔和穿线洞口\需加装防虫网防虫措施；
2.不锈钢压边；
3.包含完成该项内容所有工作及费用并满足设计图纸、规范等要求；</t>
  </si>
  <si>
    <t>差:-88.15元 (-18.6%) 来源:售楼处</t>
  </si>
  <si>
    <t>电动移门(DR02)</t>
  </si>
  <si>
    <t>1、门扇：GL-01超白钢化玻璃
2、门套：1.2mm厚 MT-01古铜不锈钢饰面
3、定制成品套装门制安
4、含电动移门电机(门机安装背梁)等五金配件
5、包含完成该项内容所有工作及费用并满足设计图纸、规范等要求</t>
  </si>
  <si>
    <t>差:+2079.90元 (+69.9%) 来源:售楼处</t>
  </si>
  <si>
    <t>装饰屏风（800mm*100mm*3200mm）</t>
  </si>
  <si>
    <t>1.装饰屏风（800mm*100mm*3200mm）；
2.包括但不限于制作安装、钢结构骨架、阻燃板基层、WD-02木饰面、1.2mm厚 MT-01古铜不锈钢、MT-04手敲铜不锈钢；
3.包含完成该项内容所有工作及费用并满足设计图纸、规范等要求</t>
  </si>
  <si>
    <t>差:-575.34元 (-17.9%) 来源:售楼处</t>
  </si>
  <si>
    <t>四</t>
  </si>
  <si>
    <t>一层电梯厅（DT3）</t>
  </si>
  <si>
    <t>差:-16.51元 (-24.5%) 来源:售楼处</t>
  </si>
  <si>
    <t>水井暗门(不含面层)</t>
  </si>
  <si>
    <t>五</t>
  </si>
  <si>
    <t>一层储物间</t>
  </si>
  <si>
    <t>设备间不锈钢门套</t>
  </si>
  <si>
    <t>天花白色防水无机涂料PT-02</t>
  </si>
  <si>
    <t>1.天花白色防水无机涂料PT-02；
2.刮腻子二遍磨平；
3.底漆1遍，面漆2遍；
4.包含完成该项内容所有工作及费用并满足设计图纸、规范等要求；</t>
  </si>
  <si>
    <t>差:-3.44元 (-7.1%) 来源:售楼处</t>
  </si>
  <si>
    <t>转轴门(DR03)</t>
  </si>
  <si>
    <t>1、正门扇：1.2mm厚 MT-01古铜不锈钢、ST-05石材、不锈钢干挂件、镀锌扁通钢架
2、反门扇：WD-04木饰面、12mm玻镁板
3、定制成品套装门制安
4、含转轴、暗藏闭门器、门把手等五金配件
5、包含完成该项内容所有工作及费用并满足设计图纸、规范等要求</t>
  </si>
  <si>
    <t>差:-1385.84元 (-39.5%) 来源:售楼处</t>
  </si>
  <si>
    <t>六</t>
  </si>
  <si>
    <t>一层入户大堂(下）</t>
  </si>
  <si>
    <t>差:-312.14元 (-23.8%) 来源:售楼处</t>
  </si>
  <si>
    <t>墙面SP-01手绘壁画</t>
  </si>
  <si>
    <t>1、墙面SP-01手绘壁画
2、12mm阻燃板、9mm纸面石膏板、轻钢龙骨构件
3、包含完成该项内容所有工作及费用并满足设计图纸、规范等要求</t>
  </si>
  <si>
    <t>执行《GB/T50854-2024房屋建筑与装饰工程工程量计算标准》，按设计图示饰尺寸以面积计算。</t>
  </si>
  <si>
    <t>差:+1237.78元 (+91.1%) 来源:售楼处</t>
  </si>
  <si>
    <t>1、1.2mm厚 MT-01古铜不锈钢饰面，结构胶固定
2、9厘玻镁板基层
3、包含完成该项内容所有工作及费用并满足设计图纸、规范等要求</t>
  </si>
  <si>
    <t>差:-343.63元 (-33.5%) 来源:售楼处</t>
  </si>
  <si>
    <t>服务台</t>
  </si>
  <si>
    <t>1、服务台（2400mm*800mm*1000mm）
2.包括但不限于制作安装、钢结构骨架、石材及石材防污处理、9mm阻燃板基层、ST-07石材台面、1.2mm厚 MT-01古铜不锈钢饰面、SF-05贝母漆、WD-04木饰面；
3.含拉手、抽屉、含相应的线孔洞开设；
4.包含完成该项内容所有工作及费用并满足设计图纸、规范等要求；</t>
  </si>
  <si>
    <t>套</t>
  </si>
  <si>
    <t>差:-11205.70元 (-47.7%) 来源:售楼处</t>
  </si>
  <si>
    <t>七</t>
  </si>
  <si>
    <t>一层过厅通小区</t>
  </si>
  <si>
    <t>八</t>
  </si>
  <si>
    <t>零星工程</t>
  </si>
  <si>
    <t>土建工程</t>
  </si>
  <si>
    <t>新建钢结构隔墙</t>
  </si>
  <si>
    <t>1、新建钢结构隔墙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</si>
  <si>
    <t>执行《GB/T50854-2024房屋建筑与装饰工程工程量计算标准》，按设计图示框外围尺寸以面积计算。不扣除单个面积≤0.3㎡的孔洞所占面积；</t>
  </si>
  <si>
    <t>差:-28.73元 (-14.0%) 来源:售楼处</t>
  </si>
  <si>
    <t>B</t>
  </si>
  <si>
    <t>首层装修部分（南向）</t>
  </si>
  <si>
    <t>一层咖啡吧（DT6-DT8）</t>
  </si>
  <si>
    <t>地面地砖 CT-01</t>
  </si>
  <si>
    <t>1.地面花砖CT-01；
2.10mm厚专用粘结剂；
3.80mm厚DS-M15干混砂浆找平；
4.基层清理；
5.含切边、倒角、拼接等处理；
6.包含完成该项内容所有工作及费用并满足设计图纸、规范等要求；</t>
  </si>
  <si>
    <t>差:-122.99元 (-38.7%) 来源:售楼处</t>
  </si>
  <si>
    <t>水泥砂浆找平层</t>
  </si>
  <si>
    <t>1.95mm厚DS干混砂浆找平层、需铺符合设计要求标高；
2.完成需收光、压实处理；
3.包含完成该项内容所有工作及费用并满足设计图纸、规范等要求；</t>
  </si>
  <si>
    <t>包含完成地面所有施工工序所需的人工、材料（甲供材除外）、机械、管理费、利润；包括但不限于材料计划、卸车倒运（含多次）、保管、测量放线、基底清理、标高检测、配合检测、贴饼冲筋、砂浆找平、抹压、压光、设置分格缝、阻水台（按照方案及交底要求施工）、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</si>
  <si>
    <t>执行《GB/T50854-2024房屋建筑与装饰工程工程量计算标准》，按设计图示尺寸以面积计算。扣除凸出地面构筑物、设备基础、室内管道、地沟等所占面积，不扣除间壁墙及≤0.3 ㎡柱、垛、附墙烟囱及孔洞所占面积。门洞、空圈、暖气包槽、壁龛的开口部分不增加面积。</t>
  </si>
  <si>
    <t>差:-17.00元 (-18.0%) 来源:售楼处</t>
  </si>
  <si>
    <t>差:+274.06元 (+36.8%) 来源:售楼处</t>
  </si>
  <si>
    <t>差:+148.61元 (+17.4%) 来源:售楼处</t>
  </si>
  <si>
    <t>墙面CT-05瓷砖</t>
  </si>
  <si>
    <t>1、CT-05瓷砖,瓷砖填缝剂处理
2、背覆胶处理
3、12mm水泥纤维板、轻钢龙骨构件
4、界面剂拉毛处理
5、包含完成该项内容所有工作及费用并满足设计图纸、规范等要求</t>
  </si>
  <si>
    <t>差:-186.93元 (-36.6%) 来源:售楼处</t>
  </si>
  <si>
    <t>墙面PT-03米色肌理无机涂料</t>
  </si>
  <si>
    <t>1、墙面PT-03米色肌理无机涂料(底漆1遍，面漆2遍)
2、刮白胶腻子找平二遍，打磨
3、阴、阳角护角收边
4、双层9.5mm纸面石膏板
5、轻钢龙骨基层找平
6、包含完成该项内容所有工作及费用并满足设计图纸、规范等要求</t>
  </si>
  <si>
    <t>差:-99.46元 (-26.4%) 来源:售楼处</t>
  </si>
  <si>
    <t>MR-01银镜</t>
  </si>
  <si>
    <t>1、MR-01银镜
2、胶粘剂固定(中性胶)
3、12mm阻燃板基层
4、膨胀螺栓、轻钢龙骨(钢结构)基层找平
5、包含完成该项内容所有工作及费用并满足设计图纸、规范等要求</t>
  </si>
  <si>
    <t>执行《GB/T50854-2024房屋建筑与装饰工程工程量计算标准》，按设计图示饰面外围尺寸以面积计算。</t>
  </si>
  <si>
    <t>差:+17.63元 (+5.2%) 来源:售楼处</t>
  </si>
  <si>
    <t>入户大堂门（参DR01）</t>
  </si>
  <si>
    <t>L形吧台柜</t>
  </si>
  <si>
    <t>1、L形吧台柜（1575+4200mm*600mm*850mm）
2.包括但不限于制作安装、钢结构骨架、石材及石材防污处理、阻燃板基层、ST-06石材台面、1.2mm厚 MT-01古铜不锈钢饰面、WD-04木饰面；
3.含五金配件、相应的线孔洞开设
4.包含完成该项内容所有工作及费用并满足设计图纸、规范等要求</t>
  </si>
  <si>
    <t>差:-13929.85元 (-46.2%) 来源:售楼处</t>
  </si>
  <si>
    <t>MT-02古铜不锈钢置物架</t>
  </si>
  <si>
    <t>1、MT-02古铜不锈钢置物架（L*450mm*130mm）
2、包含完成该项内容所有工作及费用并满足设计图纸、规范等要求</t>
  </si>
  <si>
    <t>差:-144.22元 (-4.3%) 来源:售楼处</t>
  </si>
  <si>
    <t>一层艺术过厅（DT6-DT8）</t>
  </si>
  <si>
    <t>差:-33.99元 (-10.9%) 来源:售楼处</t>
  </si>
  <si>
    <t>一层卫生间（DT6-DT8）</t>
  </si>
  <si>
    <t>沉箱陶粒回填</t>
  </si>
  <si>
    <t>1、陶粒混凝土回填
2、回填厚度200mm厚
3、完成本清单项目所需的一切相关工作内容，未尽事项详见图纸、工程量清单计价说明、国家相关规范等</t>
  </si>
  <si>
    <t>包括但不限于材料计划、卸车倒运（含多次）、保管、测量放线、基底清理、标高检测、配合检测、陶粒混凝土、抹压、压光、地面留槽回填及二次处理，所有洞口、管根的补遗处理，养护、配合水电安装、现场清理及分包施工作业面的及时清理、清扫等、装卸费、场内倒运费，配合承包人实验员做好冬季测温记录、坍落度实验及砼试块制作，成品保护、保修等全部工作内容。</t>
  </si>
  <si>
    <t>按设计图示填充部位的尺寸，以面积计算</t>
  </si>
  <si>
    <t>差:-60.34元 (-38.7%) 来源:售楼处</t>
  </si>
  <si>
    <t>20mm厚防水找平层(1:3干硬性水泥砂浆)</t>
  </si>
  <si>
    <t>1.20mm厚防水找平层(1:3干硬性水泥砂浆)；
2.界面剂一道；
3.包含完成该项内容所有工作及费用并满足设计图纸、规范等要求；</t>
  </si>
  <si>
    <t>差:-17.09元 (-33.6%) 来源:售楼处</t>
  </si>
  <si>
    <t>防水无纺布</t>
  </si>
  <si>
    <t>1.防水无纺布完成面上翻300高(80g/平米)
2.包含完成该项内容所有工作及费用并满足设计图纸、规范等要求；</t>
  </si>
  <si>
    <t>1.基层处理。
2.隔离层铺设，附加层、泛水、防水收头处理。
3.材料检验、各类专项检测。
4.场内外运输、废料清理等。
5.安全文明施工、成品保护等直到验收合格及后期保修的所有工作内容。</t>
  </si>
  <si>
    <t>按施工图范围内实际验收合格面积以平方米计算。</t>
  </si>
  <si>
    <t>差:+50.70元 (+286.4%) 来源:售楼处</t>
  </si>
  <si>
    <t>2mm厚JS防水层</t>
  </si>
  <si>
    <t>1.2mm厚JS防水层（两遍）；
2.包含完成该项内容所有工作及费用并满足设计图纸、规范等要求；</t>
  </si>
  <si>
    <t>1.清理基层。
2.基层喷水潮湿；必要的弹线，防水涂料调制；防水涂料涂刷；细部防水处理；防污染措施等。
3.材料检验、闭水试验、淋水实验、蓄水实验、各类专项检测的送检及检测。
4.操作架/平台搭拆。
5.安全文明施工、成品保护、场内外运输、废料清理等直到验收合格及后期保修的所有工作内容。</t>
  </si>
  <si>
    <t>按施工图范围内实际验收合格面积以平方米计算，施工图要求的上翻部分按实计算。</t>
  </si>
  <si>
    <t>差:+38.51元 (+68.9%) 来源:售楼处</t>
  </si>
  <si>
    <t>墙面CT-06瓷砖</t>
  </si>
  <si>
    <t>1、墙面CT-06瓷砖，瓷砖填缝剂处理
2、背覆胶处理
3、C1T等级抗滑移水泥基胶粘剂
4、界面剂拉毛处理
5、包含完成该项内容所有工作及费用并满足设计图纸、规范等要求</t>
  </si>
  <si>
    <t>差:-167.24元 (-56.5%) 来源:售楼处</t>
  </si>
  <si>
    <t>1.2mm厚JS-Ⅱ聚合物水泥防水涂料</t>
  </si>
  <si>
    <t>1、1.2mm厚JS-Ⅱ聚合物水泥防水涂料
2、包含完成该项内容所有工作及费用并满足设计图纸、规范等要求</t>
  </si>
  <si>
    <t>差:-10.74元 (-19.2%) 来源:售楼处</t>
  </si>
  <si>
    <t>天花深色肌理无机涂料PT-02</t>
  </si>
  <si>
    <t>1.天花深色肌理无机涂料PT-02；
2.刮腻子二遍磨平；
3.底漆1遍，面漆2遍；
4.包含完成该项内容所有工作及费用并满足设计图纸、规范等要求；</t>
  </si>
  <si>
    <t>差:-130.44元 (-46.3%) 来源:售楼处</t>
  </si>
  <si>
    <t>一层儿童区（DT6-DT8）</t>
  </si>
  <si>
    <t>1.75mm厚DS干混砂浆找平层、需铺符合设计要求标高；
2.完成需收光、压实处理\面层需做自流平（地毯铺设前）；
3.包含完成该项内容所有工作及费用并满足设计图纸、规范等要求；</t>
  </si>
  <si>
    <t>差:-12.73元 (-16.2%) 来源:售楼处</t>
  </si>
  <si>
    <t>地面铺贴水磨石VF-01.02</t>
  </si>
  <si>
    <t>1.地面铺贴水磨石VF-01.02米色、绿色拼铺、厚度及样式按物料书为准；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</si>
  <si>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包含但不限于完成本项工作所需的施工准备、材料采购、卸车倒运（含二次或多次倒运）、材料保管、材料检测、制作安装、人工、机械、管理费、措施费用、洞口开洞及预留、成品保护、竣工清理、安全文明施工、样板间施工等全部费用。</t>
  </si>
  <si>
    <t>差:-332.65元 (-43.4%) 来源:售楼处</t>
  </si>
  <si>
    <t>地面铺贴地胶垫VF-03</t>
  </si>
  <si>
    <t>1.地面铺贴地胶垫VF-03；
2.粘贴层；
3.自流平
4.包含完成该项内容所有工作及费用并满足设计图纸、规范等要求；</t>
  </si>
  <si>
    <t>差:+29.94元 (+8.8%) 来源:售楼处</t>
  </si>
  <si>
    <t>墙面PT-04绿色肌理无机涂料</t>
  </si>
  <si>
    <t>1、墙面PT-04绿色肌理无机涂料(底漆1遍，面漆2遍)
2、刮白胶腻子找平二遍，打磨
3、阴、阳角护角收边
4、双层9.5mm纸面石膏板
5、轻钢龙骨基层找平
6、包含完成该项内容所有工作及费用并满足设计图纸、规范等要求</t>
  </si>
  <si>
    <t>差:-163.79元 (-37.1%) 来源:售楼处</t>
  </si>
  <si>
    <t>一层电梯前厅（DT7-DT8）</t>
  </si>
  <si>
    <t>一层入户大堂\景观廊道（DT6）</t>
  </si>
  <si>
    <t>差:+28.84元 (+3.0%) 来源:售楼处</t>
  </si>
  <si>
    <t>一层消防控制室前厅（DT6）</t>
  </si>
  <si>
    <t>双开平开门(DR04)</t>
  </si>
  <si>
    <t>1、门扇：颜色材质同消防门、12mm玻镁板、1.2mm厚 MT-01古铜不锈钢饰面
2、定制成品套装门制安
3、含暗藏闭门器、暗合页、门把手等五金配件
4、包含完成该项内容所有工作及费用并满足设计图纸、规范等要求</t>
  </si>
  <si>
    <t>差:-1618.30元 (-50.8%) 来源:售楼处</t>
  </si>
  <si>
    <t>一层电梯前厅（DT5-DT6）</t>
  </si>
  <si>
    <t>九</t>
  </si>
  <si>
    <t>新建轻质砖隔墙</t>
  </si>
  <si>
    <t>1、新建轻质砖隔墙
2、砂浆强度等级、配合比综合考虑，符合设计要求
3、墙厚：综合考虑
4、具体施工做法详见国家相关规范条文
5、包含完成该项内容所有工作及费用并满足设计图纸、规范等要求</t>
  </si>
  <si>
    <t>1.材料配合卸车倒运、保管，砂浆制作及倒运。
2.基层处理、弹线、立杆、砌筑施工、勾缝、墙拉筋制作安装（包括植筋或膨胀螺栓焊接钢板等连接形式）、斜砌砖塞缝、射钉块安装。
3.构造柱、圈梁、压顶等钢筋制作与安装，模板支拆，混凝土浇筑、养护。
4.砌筑、浇筑用脚手架及操作平台的搭拆。
5.成品保护、垃圾清理运至指定地点等全部工作内容。</t>
  </si>
  <si>
    <t>按设计图示尺寸以体积计算；扣除门窗洞口及凹进墙内的壁龛、管槽、暖气槽、消火栓箱所占体积，不扣除单个面积≤0.3㎡的孔洞及墙内檩头、垫木、木楞头、沿缘木、木砖、门窗走头、加固钢筋、木筋、铁件、管道所占的体积；凸出墙面的墙垛及圈梁、构造柱、过梁、压顶、反坎等体积并入计算；砌体钢筋制作安装，构造柱、圈过梁等钢筋制作安装、混凝土浇筑、模板搭拆、脚手架及操作平台搭拆不单独计算。</t>
  </si>
  <si>
    <t>m3</t>
  </si>
  <si>
    <t>差:+176.09元 (+24.8%) 来源:售楼处</t>
  </si>
  <si>
    <t>墙面一般抹灰</t>
  </si>
  <si>
    <t>1、墙面一般抹灰
2、具体施工做法详见国家相关规范条文
3、包含完成该项内容所有工作及费用并满足设计图纸、规范等要求</t>
  </si>
  <si>
    <t>1.材料场内倒运、清理、修补、湿润基层表面、铺网格布或钢丝网（综合考虑不同墙界面交接处、管线开槽处的局部挂钢丝网以及公区人流通道等砌体墙满挂钢丝网）、调运砂浆、清扫落地灰，简易脚手架及操作平台搭拆。
2.基层处理，贴饼冲筋、拍浆/刷浆、局部找平、抹灰找平、洒水湿润、罩面压光。
3.所有门窗洞口、箱、盒、管线、踢脚线等部位的二次收口工作、嵌缝修补、檐口等滴水线条抹灰塞缝收边。
4.完工清理，养护、成品保护、保修等全部工作内容。</t>
  </si>
  <si>
    <t>1.按设计图示尺寸以面积计算。扣除墙裙、门窗洞口及单个＞0.3 m2的孔洞面积，不扣除踢脚线、挂镜线和墙与构件交接处的面积，附墙柱、梁、垛、烟囱侧壁并入相应的墙面面积内。
2.门窗洞口和孔洞侧面、顶面和底面不计算面积。
3.不因地面、墙面工施工工序调整而调整计算规则。</t>
  </si>
  <si>
    <t>差:-17.73元 (-34.2%) 来源:售楼处</t>
  </si>
  <si>
    <t>C</t>
  </si>
  <si>
    <t>标准层装修部分</t>
  </si>
  <si>
    <t>电梯厅(DT1-DT2)</t>
  </si>
  <si>
    <t>地面铺贴大理石ST-03</t>
  </si>
  <si>
    <t>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</si>
  <si>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差:+126.23元 (+16.6%) 来源:售楼处</t>
  </si>
  <si>
    <t>地面地砖拼花 CT-01.02</t>
  </si>
  <si>
    <t>1.地面地砖拼花 CT-01.02；
2.10mm厚专用粘结剂；
3.80mm厚DS-M15干混砂浆找平；
4.基层清理；
5.含切边、倒角、拼接等处理；
6.包含完成该项内容所有工作及费用并满足设计图纸、规范等要求；</t>
  </si>
  <si>
    <t>差:-173.94元 (-30.7%) 来源:售楼处</t>
  </si>
  <si>
    <t>墙面WD-08摩素板</t>
  </si>
  <si>
    <t>1、墙面WD-08摩素板(结构胶固定)
2、12厘玻镁板基层
3、膨胀螺栓、轻钢龙骨(钢结构)基层找平
4、包含完成该项内容所有工作及费用并满足设计图纸、规范等要求</t>
  </si>
  <si>
    <t>差:-260.78元 (-28.0%) 来源:售楼处</t>
  </si>
  <si>
    <t>WD-07摩素板</t>
  </si>
  <si>
    <t>1、墙面WD-07摩素板(结构胶固定)
2、12厘玻镁板基层
3、膨胀螺栓、轻钢龙骨(钢结构)基层找平
4、包含完成该项内容所有工作及费用并满足设计图纸、规范等要求</t>
  </si>
  <si>
    <t>执行《GB/T50854-2024房屋建筑与装饰工程工程量计算标准》，按设计图示饰面外围尺寸以面积计算。 扣除门窗洞口面积，不扣除单个面积≤0.3㎡的孔洞所占面积。</t>
  </si>
  <si>
    <t>差:-100.99元 (-17.4%) 来源:售楼处</t>
  </si>
  <si>
    <t>墙面PT-01肌理无机涂料</t>
  </si>
  <si>
    <t>1、墙面PT-01肌理无机涂料(底漆1遍，面漆2遍)
2、刮白胶腻子找平二遍，打磨
3、阴、阳角护角收边
4、双层9.5mm纸面石膏板
5、轻钢龙骨基层找平
6、包含完成该项内容所有工作及费用并满足设计图纸、规范等要求</t>
  </si>
  <si>
    <t>差:-33.05元 (-10.6%) 来源:售楼处</t>
  </si>
  <si>
    <t>1、1.2mm厚 MT-01古铜不锈钢饰面，结构胶固定
2、12厘玻镁板基层
3、包含完成该项内容所有工作及费用并满足设计图纸、规范等要求</t>
  </si>
  <si>
    <t>MT-04手敲铜不锈钢饰面</t>
  </si>
  <si>
    <t>1、1.2mm厚 MT-04手敲铜不锈钢饰面，结构胶固定
2、12厘玻镁板基层
3、包含完成该项内容所有工作及费用并满足设计图纸、规范等要求</t>
  </si>
  <si>
    <t>差:+495.42元 (+78.6%) 来源:售楼处</t>
  </si>
  <si>
    <t>SF-03透光片</t>
  </si>
  <si>
    <t>1、SF-03透光片，结构胶固定
2、12厘玻镁板基层
3、包含完成该项内容所有工作及费用并满足设计图纸、规范等要求</t>
  </si>
  <si>
    <t>差:-238.99元 (-29.4%) 来源:售楼处</t>
  </si>
  <si>
    <t>MT-01古铜不锈钢线条（展开面为32mm）</t>
  </si>
  <si>
    <t>1、1.2mm厚 MT-01古铜不锈钢线条（展开面为32mm），结构胶固定
2、12厘玻镁板基层
3、包含完成该项内容所有工作及费用并满足设计图纸、规范等要求</t>
  </si>
  <si>
    <t>差:-15.00元 (-26.6%) 来源:售楼处</t>
  </si>
  <si>
    <t>MT-01古铜不锈钢线条（展开面为33mm）</t>
  </si>
  <si>
    <t>1、1.2mm厚 MT-01古铜不锈钢线条（展开面为33mm），结构胶固定
2、12厘玻镁板基层
3、包含完成该项内容所有工作及费用并满足设计图纸、规范等要求</t>
  </si>
  <si>
    <t>差:-15.77元 (-27.6%) 来源:售楼处</t>
  </si>
  <si>
    <t>MT-01古铜不锈钢窗套（展开面为95mm）</t>
  </si>
  <si>
    <t>1、1.2mm厚 MT-01古铜不锈钢窗套（展开面为95mm），结构胶固定
2、9厘玻镁板基层
3、包含完成该项内容所有工作及费用并满足设计图纸、规范等要求</t>
  </si>
  <si>
    <t>差:-0.33元 (-0.2%) 来源:售楼处</t>
  </si>
  <si>
    <t>电梯厅(DT3-DT4)</t>
  </si>
  <si>
    <t>电梯厅(DT6)</t>
  </si>
  <si>
    <t>电梯厅(DT7)</t>
  </si>
  <si>
    <t>拆除墙体</t>
  </si>
  <si>
    <t>1、拆除墙体
2、墙厚：综合考虑
3、包含完成该项内容所有工作及费用并满足设计图纸、规范等要求</t>
  </si>
  <si>
    <t>综合单价包含除税金以外的人工、机械、管理费、利润、地方税等完成该项工作内容的所有产生的费用，墙体拆除及垃圾清运至场内指定地点。</t>
  </si>
  <si>
    <t>按设计图示尺寸以体积计算。</t>
  </si>
  <si>
    <t>差:+509.25元 (+215.8%) 来源:售楼处</t>
  </si>
  <si>
    <t>D</t>
  </si>
  <si>
    <t>会所装修部分（第三层）</t>
  </si>
  <si>
    <t>门厅</t>
  </si>
  <si>
    <t>地面1:3:5(水泥:沙:陶粒)</t>
  </si>
  <si>
    <t>1、陶粒混凝土回填
2、回填厚度165mm厚
3、完成本清单项目所需的一切相关工作内容，未尽事项详见图纸、工程量清单计价说明、国家相关规范等</t>
  </si>
  <si>
    <t>差:-22.97元 (-16.1%) 来源:售楼处</t>
  </si>
  <si>
    <t>地台钢支架围挡</t>
  </si>
  <si>
    <t>1.地台钢支架围挡 H260mm
2.预埋5mm厚度镀锌钢板与支架成型、防锈防腐处理
3.包含完成该项内容所有工作及费用并满足设计图纸、规范等要求；</t>
  </si>
  <si>
    <t>差:+129.89元 (+220.2%) 来源:售楼处</t>
  </si>
  <si>
    <t>1.地面20mm大理石ST-01、皮革面与非皮革面错位铺贴、厚度及样式按物料书为准；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</si>
  <si>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差:+194.95元 (+20.7%) 来源:售楼处</t>
  </si>
  <si>
    <t>地面铺贴大理石ST-01拼花</t>
  </si>
  <si>
    <t>1.地面20mm大理石拼花、参考3F-DF-01样式、ST-01按物料书为准；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</si>
  <si>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地面铺贴大理石ST-05</t>
  </si>
  <si>
    <t>1.地面大理石ST-05铺贴、厚度及样式按物料书为准；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</si>
  <si>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差:+110.48元 (+14.0%) 来源:售楼处</t>
  </si>
  <si>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</si>
  <si>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差:+134.45元 (+15.0%) 来源:售楼处</t>
  </si>
  <si>
    <t>1、墙面干挂ST-05石材（波浪造型，含不锈钢线条）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</si>
  <si>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差:-842.35元 (-41.8%) 来源:售楼处</t>
  </si>
  <si>
    <t>墙面WD-03木饰面</t>
  </si>
  <si>
    <t>1、墙面WD-03木饰面（含不锈钢线条）
2、结构胶固定
3、12mm阻燃板基层
4、膨胀螺栓、轻钢龙骨(钢结构)基层找平
5、包含完成该项内容所有工作及费用并满足设计图纸、规范等要求</t>
  </si>
  <si>
    <t>差:+512.02元 (+44.2%) 来源:售楼处</t>
  </si>
  <si>
    <t>1、MR-01银镜（含不锈钢线条）
2、胶粘剂固定(中性胶)
3、12mm阻燃板基层
4、膨胀螺栓、轻钢龙骨(钢结构)基层找平
5、包含完成该项内容所有工作及费用并满足设计图纸、规范等要求</t>
  </si>
  <si>
    <t>12mm阻燃板+9.5mm纸面石膏板(刷白处理)</t>
  </si>
  <si>
    <t>1、12mm阻燃板+9.5mm纸面石膏板(刷白处理)
2、包含完成该项内容所有工作及费用并满足设计图纸、规范等要求</t>
  </si>
  <si>
    <t>差:-49.50元 (-25.4%) 来源:售楼处</t>
  </si>
  <si>
    <t>1.60系列轻钢主龙骨@900，60系列轻钢副龙骨@400，60系列横撑龙骨@600，08螺纹吊杆@900不上人天花吊顶（投影面计算）
2.双层9.5厚石膏板基层，含开孔、检修口、10*10凹槽等费用；
3.含除灯槽外的侧面高差及其连接件、吊件；
4.包含完成该项内容所有工作及费用并满足设计图纸、规范等要求；</t>
  </si>
  <si>
    <t>差:-18.69元 (-10.7%) 来源:售楼处</t>
  </si>
  <si>
    <t>可拆卸天花铝板吊顶</t>
  </si>
  <si>
    <t>1.异形勾搭龙骨，08螺纹吊杆@900不上人天花吊顶（投影面计算）
2.可拆卸天花铝板吊顶，含开孔、检修口、10*10凹槽等费用；
3.含除灯槽外的侧面高差及其连接件、吊件；
4.包含完成该项内容所有工作及费用并满足设计图纸、规范等要求；</t>
  </si>
  <si>
    <t>1.基层清理。
2.弹线定位、排版。
3.吊杆及连接件制作、安装、调平。
4.材料切割处理找平、铝条板安装及调整，打胶密封与清理。
5.收口及其他处理：侧封板、检修口等制作安装、收边收口、配合预留安装、机电等专业孔洞及孔洞收口处理。
6.其他：指定地点到工作面的场内运输以及二次倒运、施工垃圾清运到指定地点、成品及半成品保护、场内安全文明施工、脚手架搭设等为完成本项工作内容的所有措施费用。</t>
  </si>
  <si>
    <t>按设计图示尺寸以水平投影面积计算。不扣除间壁墙、检查口、附墙烟囱、柱垛和管道所占面积,扣除单个&gt;0.3m2的孔洞、非密拼吊顶空隙所占的面积、独立柱及与天棚相连的窗帘盒所占的面积。</t>
  </si>
  <si>
    <t>差:-29.92元 (-5.9%) 来源:售楼处</t>
  </si>
  <si>
    <t>窗帘盒（200mm*200mm）</t>
  </si>
  <si>
    <t>1.窗帘盒窗帘盒（200mm*200mm）；
2.双层板：9mm玻镁板、9.5厚石膏板；
3.50系列轻钢龙骨及其连接件、吊件；
4.包含完成该项内容所有工作及费用并满足设计图纸、规范等要求；</t>
  </si>
  <si>
    <t>差:-30.05元 (-24.4%) 来源:售楼处</t>
  </si>
  <si>
    <t>天花内部喷白涂料</t>
  </si>
  <si>
    <t>1.天花内部喷白涂料；
2.可拆卸天花内部构件、管道、楼板喷白处理；
3.底漆1遍，面漆1遍（按天棚投影面积计算）；
4.包含完成该项内容所有工作及费用并满足设计图纸、规范等要求；</t>
  </si>
  <si>
    <t>差:-7.44元 (-23.7%) 来源:售楼处</t>
  </si>
  <si>
    <t>装饰屏风（1810mm*100mm*3400mm）</t>
  </si>
  <si>
    <t>1.装饰屏风（1810mm*100mm*3400mm）；
2.包括但不限于制作安装、钢结构骨架、阻燃板基层、WD-01木饰面、WD-06木皮、1.2mm厚 MT-01古铜不锈钢、MT-04手敲铜不锈钢；
3.包含完成该项内容所有工作及费用并满足设计图纸、规范等要求</t>
  </si>
  <si>
    <t>差:-3348.14元 (-66.9%) 来源:售楼处</t>
  </si>
  <si>
    <t>接待台</t>
  </si>
  <si>
    <t>1、接待台（3550mm*1100mm*1100mm）
2.包括但不限于制作安装、钢结构骨架、石材及石材防污处理、9mm阻燃板基层、ST-07石材台面、WD-04木饰面；
3.含五金配件、相应的线孔洞开设等；
4.包含完成该项内容所有工作及费用并满足设计图纸、规范等要求；</t>
  </si>
  <si>
    <t>差:-20323.86元 (-39.9%) 来源:售楼处</t>
  </si>
  <si>
    <t>电梯厅、艺术过厅</t>
  </si>
  <si>
    <t>差:+68.60元 (+7.1%) 来源:售楼处</t>
  </si>
  <si>
    <t>差:+821.77元 (+96.9%) 来源:售楼处</t>
  </si>
  <si>
    <t>造型石膏板吊顶（含圆侧）</t>
  </si>
  <si>
    <t>差:-96.85元 (-36.0%) 来源:售楼处</t>
  </si>
  <si>
    <t>电表间暗门(不含面层)</t>
  </si>
  <si>
    <t>差:-390.49元 (-40.6%) 来源:售楼处</t>
  </si>
  <si>
    <t>半户外花园</t>
  </si>
  <si>
    <t>地面地砖 CT-05</t>
  </si>
  <si>
    <t>1.地面花砖CT-05；
2.10mm厚专用粘结剂；
3.80mm厚DS-M15干混砂浆找平；
4.基层清理；
5.含切边、倒角、拼接等处理；
6.包含完成该项内容所有工作及费用并满足设计图纸、规范等要求；</t>
  </si>
  <si>
    <t>差:-94.21元 (-21.9%) 来源:售楼处</t>
  </si>
  <si>
    <t>天花白色无机涂料PT-01</t>
  </si>
  <si>
    <t>1.天花白色无机涂料PT-01；
2.刮腻子二遍磨平；
3.底漆1遍，面漆2遍；
4.包含完成该项内容所有工作及费用并满足设计图纸、规范等要求；</t>
  </si>
  <si>
    <t>男卫、女卫、清洁间</t>
  </si>
  <si>
    <t>墙面干挂ST-03石材</t>
  </si>
  <si>
    <t>1、墙面干挂ST-03石材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</si>
  <si>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差:+158.64元 (+19.2%) 来源:售楼处</t>
  </si>
  <si>
    <t>墙面WD-04木饰面</t>
  </si>
  <si>
    <t>1、墙面WD-04木饰面（含不锈钢线条）
2、结构胶固定
3、12mm阻燃板基层
4、膨胀螺栓、轻钢龙骨(钢结构)基层找平
5、包含完成该项内容所有工作及费用并满足设计图纸、规范等要求</t>
  </si>
  <si>
    <t>差:-199.69元 (-21.4%) 来源:售楼处</t>
  </si>
  <si>
    <t>WP-03墙布</t>
  </si>
  <si>
    <t>1、WP-03墙布，结构胶固定（含不锈钢线条）
2、12mm阻燃板，轻钢副龙骨@400
3、包含完成该项内容所有工作及费用并满足设计图纸、规范等要求</t>
  </si>
  <si>
    <t xml:space="preserve">执行《GB/T50854-2024房屋建筑与装饰工程工程量计算标准》，按设计图示尺寸以面积计算。 </t>
  </si>
  <si>
    <t>差:-79.48元 (-10.9%) 来源:售楼处</t>
  </si>
  <si>
    <t>1、CT-06瓷砖,瓷砖填缝剂处理
2、背覆胶处理
3、12mm水泥纤维板、轻钢龙骨构件
4、界面剂拉毛处理
5、包含完成该项内容所有工作及费用并满足设计图纸、规范等要求</t>
  </si>
  <si>
    <t>差:-203.13元 (-49.4%) 来源:售楼处</t>
  </si>
  <si>
    <t>条形空调风口（150mm宽）</t>
  </si>
  <si>
    <t>1.条形空调风口（150mm宽）；
2.风口周边阻燃板封边加固处理；
3.包含完成该项内容所有工作及费用并满足设计图纸、规范等要求；</t>
  </si>
  <si>
    <t>门窗工程</t>
  </si>
  <si>
    <t>卫生间门（DR01）</t>
  </si>
  <si>
    <t>1、门扇：WD-03木饰面、20*40mm热镀锌矩管、9mm厚玻镁板基层
2、门套：WD-03木饰面
3、定制成品套装门制安
4、含暗合页、门把手等五金配件
5、包含完成该项内容所有工作及费用并满足设计图纸、规范等要求</t>
  </si>
  <si>
    <t>差:-881.33元 (-36.0%) 来源:售楼处</t>
  </si>
  <si>
    <t>清洁间门</t>
  </si>
  <si>
    <t>1、门扇：WD-03木饰面、20*40mm热镀锌矩管、9mm厚玻镁板基层
2、定制成品套装门制安
3、含暗合页、门把手等五金配件
4、包含完成该项内容所有工作及费用并满足设计图纸、规范等要求</t>
  </si>
  <si>
    <t>差:-219.35元 (-12.3%) 来源:售楼处</t>
  </si>
  <si>
    <t>洗手台镜柜一体</t>
  </si>
  <si>
    <t>1、洗手台镜柜一体（1790mm*660mm*2550mm）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</si>
  <si>
    <t>差:-8026.32元 (-56.7%) 来源:售楼处</t>
  </si>
  <si>
    <t>WD-04木饰面隔断</t>
  </si>
  <si>
    <t>1、WD-04木饰面隔断
2、含五金配件及门
3、包含完成该项内容所有工作及费用并满足设计图纸、规范等要求</t>
  </si>
  <si>
    <t>差:-306.17元 (-24.5%) 来源:售楼处</t>
  </si>
  <si>
    <t>GL-02艺术玻璃隔断</t>
  </si>
  <si>
    <t>1、GL-02艺术玻璃隔断（400mm*50mm*1070mm）
2、GL-02艺术玻璃饰面、MT-01古铜不锈钢边框、20x40x3mm热镀锌方管、3mm热镀锌钢板U型槽
3、包含完成该项内容所有工作及费用并满足设计图纸、规范等要求</t>
  </si>
  <si>
    <t>差:-2360.80元 (-73.4%) 来源:售楼处</t>
  </si>
  <si>
    <t>洽谈区\沙盘区\水吧区</t>
  </si>
  <si>
    <t>1.75mm厚DS干混砂浆找平层、需铺符合设计要求标高；
2.完成需收光、压实处理；
3.包含完成该项内容所有工作及费用并满足设计图纸、规范等要求；</t>
  </si>
  <si>
    <t>差:+8.76元 (+0.9%) 来源:售楼处</t>
  </si>
  <si>
    <t>墙面WD-01木饰面</t>
  </si>
  <si>
    <t>1、墙面WD-01木饰面（含不锈钢线条）
2、结构胶固定
3、12mm阻燃板基层
4、膨胀螺栓、轻钢龙骨(钢结构)基层找平
5、包含完成该项内容所有工作及费用并满足设计图纸、规范等要求</t>
  </si>
  <si>
    <t>差:-158.51元 (-15.9%) 来源:售楼处</t>
  </si>
  <si>
    <t>差:+598.75元 (+55.9%) 来源:售楼处</t>
  </si>
  <si>
    <t>差:-44.32元 (-11.1%) 来源:售楼处</t>
  </si>
  <si>
    <t>SF-04陶瓷砖</t>
  </si>
  <si>
    <t>1、SF-04陶瓷砖，结构胶固定
2、12厘玻镁板基层
3、包含完成该项内容所有工作及费用并满足设计图纸、规范等要求</t>
  </si>
  <si>
    <t>差:-3300.75元 (-88.4%) 来源:售楼处</t>
  </si>
  <si>
    <t>MT-01古铜不锈钢线条（展开面为61mm）</t>
  </si>
  <si>
    <t>1、1.2mm厚 MT-01古铜不锈钢线条（展开面为61mm），结构胶固定
2、9厘玻镁板基层
3、包含完成该项内容所有工作及费用并满足设计图纸、规范等要求</t>
  </si>
  <si>
    <t>差:-18.57元 (-25.6%) 来源:售楼处</t>
  </si>
  <si>
    <t>MT-01古铜不锈钢线条（展开面为104mm）</t>
  </si>
  <si>
    <t>1、1.2mm厚 MT-01古铜不锈钢线条（展开面为104mm），结构胶固定
2、9厘玻镁板基层
3、包含完成该项内容所有工作及费用并满足设计图纸、规范等要求</t>
  </si>
  <si>
    <t>差:-19.59元 (-17.8%) 来源:售楼处</t>
  </si>
  <si>
    <t>造型石膏板吊顶（内顶多层叠型）</t>
  </si>
  <si>
    <t>1.60系列轻钢主龙骨@900，60系列轻钢副龙骨@400，60系列横撑龙骨@600，08螺纹吊杆@900不上人天花吊顶（投影面计算）
2.玻镁板、多层9.5厚石膏板基层，含开孔、检修口、10*10凹槽等费用；
3.含除灯槽外的侧面高差及其连接件、吊件；
4.包含完成该项内容所有工作及费用并满足设计图纸、规范等要求；</t>
  </si>
  <si>
    <t>差:-84.58元 (-23.5%) 来源:售楼处</t>
  </si>
  <si>
    <t>配电间暗门(不含面层)</t>
  </si>
  <si>
    <t>沙盘</t>
  </si>
  <si>
    <t>1、沙盘（3500mm*2500mm*850mm）
2.包括但不限于制作安装、钢结构骨架、石材及石材防污处理、阻燃板基层、ST-07石材、1.2mm厚 MT-01古铜不锈钢饰面、GL-01超白钢化玻璃；
3.含五金配件、相应的线孔洞开设
4.包含完成该项内容所有工作及费用并满足设计图纸、规范等要求</t>
  </si>
  <si>
    <t>差:-39336.82元 (-49.8%) 来源:售楼处</t>
  </si>
  <si>
    <t>洽谈区柜</t>
  </si>
  <si>
    <t>1、洽谈区柜（4050mm*350mm*3400mm）
2.包括但不限于制作安装、钢结构骨架、阻燃板基层、1.2mm厚 MT-01古铜不锈钢线条、WD-04木饰面、GL-02艺术玻璃；
3.含相应的线孔洞开设
4.包含完成该项内容所有工作及费用并满足设计图纸、规范等要求</t>
  </si>
  <si>
    <t>差:-2065.69元 (-46.2%) 来源:售楼处</t>
  </si>
  <si>
    <t>水吧台</t>
  </si>
  <si>
    <t>1、水吧台（6800mm*1100mm*3400mm）
2.包括但不限于制作安装、钢结构骨架、石材及石材防污处理、9mm阻燃板基层、ST-06石材台面、MT-08镜面不锈钢饰面、MT-01不锈钢、MT-02不锈钢、SF-03透光片；
3.含层板、五金配件、相应的线孔洞开设；
4.包含完成该项内容所有工作及费用并满足设计图纸、规范等要求；</t>
  </si>
  <si>
    <t>差:-25219.09元 (-34.0%) 来源:售楼处</t>
  </si>
  <si>
    <t>VIP室</t>
  </si>
  <si>
    <t>地面铺木地板</t>
  </si>
  <si>
    <t>1.地面防潮木地板WF-03；
2.防潮膜；
3.自流平
4.包含完成该项内容所有工作及费用并满足设计图纸、规范等要求；</t>
  </si>
  <si>
    <t>差:-250.88元 (-44.1%) 来源:售楼处</t>
  </si>
  <si>
    <t>1、墙面WD-04木饰面
2、结构胶固定
3、12mm阻燃板基层
4、膨胀螺栓、轻钢龙骨(钢结构)基层找平
5、包含完成该项内容所有工作及费用并满足设计图纸、规范等要求</t>
  </si>
  <si>
    <t>差:-739.51元 (-45.7%) 来源:售楼处</t>
  </si>
  <si>
    <t>UP-02皮革</t>
  </si>
  <si>
    <t>1、UP-02皮革，结构胶固定（含不锈钢线条）
2、12mm阻燃板，轻钢副龙骨@400
3、包含完成该项内容所有工作及费用并满足设计图纸、规范等要求</t>
  </si>
  <si>
    <t>差:-168.03元 (-35.2%) 来源:售楼处</t>
  </si>
  <si>
    <t>1、门扇：1.2mm厚 MT-01古铜不锈钢饰面、GL-02艺术玻璃、ST-08石材、50*50热镀锌矩管、9mm厚玻镁板基层
2、定制成品套装门制安
3、含天地轴等五金配件
4、包含完成该项内容所有工作及费用并满足设计图纸、规范等要求</t>
  </si>
  <si>
    <t>差:-3076.16元 (-54.6%) 来源:售楼处</t>
  </si>
  <si>
    <t>艺术过厅</t>
  </si>
  <si>
    <t>1.地面防潮木地板WF-02；
2.防潮膜；
3.自流平
4.包含完成该项内容所有工作及费用并满足设计图纸、规范等要求；</t>
  </si>
  <si>
    <t>差:-132.50元 (-23.3%) 来源:售楼处</t>
  </si>
  <si>
    <t>差:+118.57元 (+13.0%) 来源:售楼处</t>
  </si>
  <si>
    <t>财务签约室</t>
  </si>
  <si>
    <t>WP-05墙布</t>
  </si>
  <si>
    <t>1、WP-05墙布，结构胶固定（含不锈钢线条）
2、12mm阻燃板，轻钢副龙骨@400
3、包含完成该项内容所有工作及费用并满足设计图纸、规范等要求</t>
  </si>
  <si>
    <t>差:-51.94元 (-17.3%) 来源:售楼处</t>
  </si>
  <si>
    <t>平开门(DR04)</t>
  </si>
  <si>
    <t>销售办公室</t>
  </si>
  <si>
    <t>差:-31.29元 (-11.2%) 来源:售楼处</t>
  </si>
  <si>
    <t>办公室门(DR06)</t>
  </si>
  <si>
    <t>1、正门扇：1.2mm厚 MT-01古铜不锈钢、WD-03木饰面、镀锌扁通钢架、9mm厚玻镁板基层
2、反门扇：SF-02软瓷
3、定制成品套装门制安
4、含暗合页、门把手等五金配件
5、包含完成该项内容所有工作及费用并满足设计图纸、规范等要求</t>
  </si>
  <si>
    <t>差:-1559.25元 (-49.8%) 来源:售楼处</t>
  </si>
  <si>
    <t>电梯厅(DT5.DT6)</t>
  </si>
  <si>
    <t>差:-428.22元 (-30.0%) 来源:售楼处</t>
  </si>
  <si>
    <t>电梯厅门（参DR05）</t>
  </si>
  <si>
    <t>差:-3416.44元 (-57.2%) 来源:售楼处</t>
  </si>
  <si>
    <t>十</t>
  </si>
  <si>
    <t>行政酒廊</t>
  </si>
  <si>
    <t>差:-46.25元 (-41.3%) 来源:售楼处</t>
  </si>
  <si>
    <t>墙面干挂ST-09石材</t>
  </si>
  <si>
    <t>1、墙面干挂ST-09石材（含不锈钢线条）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</si>
  <si>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差:+116.04元 (+19.1%) 来源:售楼处</t>
  </si>
  <si>
    <t>SF-02软瓷</t>
  </si>
  <si>
    <t>1、SF-02软瓷，结构胶固定
2、12厘玻镁板基层
3、包含完成该项内容所有工作及费用并满足设计图纸、规范等要求</t>
  </si>
  <si>
    <t>差:-111.88元 (-18.9%) 来源:售楼处</t>
  </si>
  <si>
    <t>UP-01皮革</t>
  </si>
  <si>
    <t>1、UP-01皮革，结构胶固定（含不锈钢线条）
2、12mm阻燃板，轻钢副龙骨@400
3、包含完成该项内容所有工作及费用并满足设计图纸、规范等要求</t>
  </si>
  <si>
    <t>MT-01古铜不锈钢线条（展开面为118mm）</t>
  </si>
  <si>
    <t>1、1.2mm厚MT-01古铜不锈钢线条（展开面为118mm），结构胶固定
2、9厘玻镁板基层
3、包含完成该项内容所有工作及费用并满足设计图纸、规范等要求</t>
  </si>
  <si>
    <t>差:-22.15元 (-18.8%) 来源:售楼处</t>
  </si>
  <si>
    <t>甲级防火门（DR05）</t>
  </si>
  <si>
    <t>差:-3419.74元 (-57.2%) 来源:售楼处</t>
  </si>
  <si>
    <t>甲级防火门(DR07)</t>
  </si>
  <si>
    <t>十一</t>
  </si>
  <si>
    <t>送餐通道、主题壁画通道</t>
  </si>
  <si>
    <t>差:+177.76元 (+20.9%) 来源:售楼处</t>
  </si>
  <si>
    <t>差:+697.87元 (+71.8%) 来源:售楼处</t>
  </si>
  <si>
    <t>十二</t>
  </si>
  <si>
    <t>储物间\半户外花园</t>
  </si>
  <si>
    <t>十三</t>
  </si>
  <si>
    <t>私宴(小包房)</t>
  </si>
  <si>
    <t>WP-02墙布</t>
  </si>
  <si>
    <t>1、WP-02墙布，结构胶固定（含不锈钢线条）
2、12mm阻燃板，轻钢副龙骨@400
3、包含完成该项内容所有工作及费用并满足设计图纸、规范等要求</t>
  </si>
  <si>
    <t>差:+99.58元 (+18.1%) 来源:售楼处</t>
  </si>
  <si>
    <t>镜面不锈钢吊顶</t>
  </si>
  <si>
    <t>1.60系列轻钢主龙骨@900，60系列轻钢副龙骨@400，60系列横撑龙骨@600，08螺纹吊杆@900不上人天花吊顶（投影面计算）
2.玻镁板、复合9mm蜂窝不锈钢MT-08，含开孔、检修口等费用；
3.含除灯槽外的侧面高差及其连接件、吊件；
4.包含完成该项内容所有工作及费用并满足设计图纸、规范等要求；</t>
  </si>
  <si>
    <t>差:-130.16元 (-16.3%) 来源:售楼处</t>
  </si>
  <si>
    <t>转轴门(DR08)</t>
  </si>
  <si>
    <t>差:-3066.13元 (-54.5%) 来源:售楼处</t>
  </si>
  <si>
    <t>GL-04艺术玻璃隔断</t>
  </si>
  <si>
    <t>1、GL-04艺术玻璃隔断、MT-01古铜不锈钢边框（由专业厂家深化）
2、包含完成该项内容所有工作及费用并满足设计图纸、规范等要求</t>
  </si>
  <si>
    <t>差:-1995.00元 (-83.3%) 来源:售楼处</t>
  </si>
  <si>
    <t>GL-04艺术玻璃平开门</t>
  </si>
  <si>
    <t>1、GL-04艺术玻璃平开门、MT-01古铜不锈钢边框（由专业厂家深化）
2、包含完成该项内容所有工作及费用并满足设计图纸、规范等要求</t>
  </si>
  <si>
    <t>差:-1197.60元 (-51.8%) 来源:售楼处</t>
  </si>
  <si>
    <t>酒窖收纳架</t>
  </si>
  <si>
    <t>1、酒窖收纳架（1545mm*1545mm*3400mm）
2、包含完成该项内容所有工作及费用并满足设计图纸、规范等要求</t>
  </si>
  <si>
    <t>差:+54517.85元 (+197.4%) 来源:售楼处</t>
  </si>
  <si>
    <t>十四</t>
  </si>
  <si>
    <t>候梯厅(消防电梯前室)</t>
  </si>
  <si>
    <t>电梯厅门（参DR07）</t>
  </si>
  <si>
    <t>差:-3069.43元 (-54.6%) 来源:售楼处</t>
  </si>
  <si>
    <t>十五</t>
  </si>
  <si>
    <t>地面铺贴大理石st-01、ST-03（波打）</t>
  </si>
  <si>
    <t>1.地面20mm大理石ST-01 、ST-03（波打）、铺贴、厚度及样式按物料书为准；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</si>
  <si>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差:-943.49元 (-45.1%) 来源:售楼处</t>
  </si>
  <si>
    <t>差:+153.44元 (+17.5%) 来源:售楼处</t>
  </si>
  <si>
    <t>十六</t>
  </si>
  <si>
    <t>私宴(大包房)、前厅</t>
  </si>
  <si>
    <t>地面铺贴大理石ST-06</t>
  </si>
  <si>
    <t>1.地面20mm大理石ST-06、铺贴、厚度及样式按物料书为准；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</si>
  <si>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差:+334.11元 (+37.9%) 来源:售楼处</t>
  </si>
  <si>
    <t>1.地面防潮木地板WF-01；
2.防潮膜；
3.自流平
4.包含完成该项内容所有工作及费用并满足设计图纸、规范等要求；</t>
  </si>
  <si>
    <t>差:+8.44元 (+1.5%) 来源:售楼处</t>
  </si>
  <si>
    <t>差:-350.55元 (-32.3%) 来源:售楼处</t>
  </si>
  <si>
    <t>差:-162.32元 (-31.3%) 来源:售楼处</t>
  </si>
  <si>
    <t>SF-08珐琅彩</t>
  </si>
  <si>
    <t>1、SF-08珐琅彩，结构胶固定
2、12厘玻镁板基层
3、包含完成该项内容所有工作及费用并满足设计图纸、规范等要求</t>
  </si>
  <si>
    <t>差:-4673.08元 (-89.2%) 来源:售楼处</t>
  </si>
  <si>
    <t>古铜不锈钢吊顶</t>
  </si>
  <si>
    <t>1.60系列轻钢主龙骨@900，60系列轻钢副龙骨@400，60系列横撑龙骨@600，08螺纹吊杆@900不上人天花吊顶（投影面计算）
2.玻镁板、古铜不锈钢MT-01，含开孔、检修口等费用；
3.含除灯槽外的侧面高差及其连接件、吊件；
4.包含完成该项内容所有工作及费用并满足设计图纸、规范等要求；</t>
  </si>
  <si>
    <t>差:+92.86元 (+16.2%) 来源:售楼处</t>
  </si>
  <si>
    <t>转轴门(DR011)</t>
  </si>
  <si>
    <t>1、门扇：1.2mm厚 MT-01古铜不锈钢饰面、GL-02艺术玻璃、ST-08石材
2、门套：WD-04木饰面
3、定制成品套装门制安
4、含天地轴等五金配件
5、包含完成该项内容所有工作及费用并满足设计图纸、规范等要求</t>
  </si>
  <si>
    <t>平开门(DR12)</t>
  </si>
  <si>
    <t>1、门扇：WD-04木饰面、20*40mm热镀锌矩管、9mm厚玻镁板基层
2、定制成品套装门制安
3、含暗合页、门把手等五金配件
4、包含完成该项内容所有工作及费用并满足设计图纸、规范等要求</t>
  </si>
  <si>
    <t>差:-881.66元 (-34.5%) 来源:售楼处</t>
  </si>
  <si>
    <t>平开门（参DR01）</t>
  </si>
  <si>
    <t>差:-771.33元 (-31.5%) 来源:售楼处</t>
  </si>
  <si>
    <t>收纳柜</t>
  </si>
  <si>
    <t>1、收纳柜（1400mm*600mm*3400mm）
2.包括但不限于制作安装、钢结构骨架、阻燃板基层、1.2mm厚 MT-01古铜不锈钢线条、WD-04木饰面
3.含五金配件等
4.包含完成该项内容所有工作及费用并满足设计图纸、规范等要求</t>
  </si>
  <si>
    <t>差:-1656.26元 (-52.4%) 来源:售楼处</t>
  </si>
  <si>
    <t>开放柜</t>
  </si>
  <si>
    <t>1、洽谈区柜（1100mm*600mm*2020mm）
2.包括但不限于制作安装、钢结构骨架、阻燃板基层、ST-07石材台面、1.2mm厚 MT-01古铜不锈钢线条、WD-04木饰面
3.含层板、五金配件、相应的线孔洞开设等
4.包含完成该项内容所有工作及费用并满足设计图纸、规范等要求</t>
  </si>
  <si>
    <t>差:-142.55元 (-5.6%) 来源:售楼处</t>
  </si>
  <si>
    <t>备餐柜</t>
  </si>
  <si>
    <t>1、备餐柜（L*600mm*850mm）
2.包括但不限于制作安装、钢结构骨架、石材及石材防污处理、阻燃板基层、ST-07石材台面、1.2mm厚 MT-01古铜不锈钢饰面、WD-03木饰面；
3.含五金配件、相应的线孔洞开设
4.包含完成该项内容所有工作及费用并满足设计图纸、规范等要求</t>
  </si>
  <si>
    <t>差:-1764.22元 (-53.7%) 来源:售楼处</t>
  </si>
  <si>
    <t>十七</t>
  </si>
  <si>
    <t>卫生间</t>
  </si>
  <si>
    <t>WP-04墙布</t>
  </si>
  <si>
    <t>1、WP-04墙布，结构胶固定（含不锈钢线条）
2、12mm阻燃板，轻钢副龙骨@400
3、包含完成该项内容所有工作及费用并满足设计图纸、规范等要求</t>
  </si>
  <si>
    <t>差:-23.78元 (-3.5%) 来源:售楼处</t>
  </si>
  <si>
    <t>卫生间门（参DR12）</t>
  </si>
  <si>
    <t>1、门扇：1.2mm厚 MT-01古铜不锈钢饰面、WD-04木饰面
2、定制成品套装门制安
3、含门把手等五金配件
4、包含完成该项内容所有工作及费用并满足设计图纸、规范等要求</t>
  </si>
  <si>
    <t>洗手台</t>
  </si>
  <si>
    <t>1、洗手台（Lmm*470mm*600mm）
2.包括但不限于制作安装、钢结构骨架、石材及石材防污处理、9mm阻燃板基层、ST-07石材台面、1.2mm厚 MT-01古铜不锈钢饰面、WD-03木饰面；
3.含拉手、抽屉、含相应的线孔洞开设；
4.包含完成该项内容所有工作及费用并满足设计图纸、规范等要求；</t>
  </si>
  <si>
    <t>差:-1708.43元 (-42.4%) 来源:售楼处</t>
  </si>
  <si>
    <t>十八</t>
  </si>
  <si>
    <t>储物间\操作间</t>
  </si>
  <si>
    <t>平开门(DR010)</t>
  </si>
  <si>
    <t>平开门(DR009)</t>
  </si>
  <si>
    <t>1、正门扇：1.2mm厚 MT-01古铜不锈钢、WD-03木饰面、20*40mm热镀锌矩管、9mm厚玻镁板基层
2、反门扇：MR-01银镜
3、定制成品套装门制安
4、含转轴、暗藏闭门器、门把手等五金配件
5、包含完成该项内容所有工作及费用并满足设计图纸、规范等要求</t>
  </si>
  <si>
    <t>差:-520.58元 (-23.7%) 来源:售楼处</t>
  </si>
  <si>
    <t>操作间地柜</t>
  </si>
  <si>
    <t>1、操作间地柜（L*600mm*850mm）
2.包括但不限于制作安装、钢结构骨架、石材及石材防污处理、阻燃板基层、ST-07石材台面、1.2mm厚 MT-01古铜不锈钢饰面、WD-03木饰面；
3.含五金配件、相应的线孔洞开设
4.包含完成该项内容所有工作及费用并满足设计图纸、规范等要求</t>
  </si>
  <si>
    <t>十九</t>
  </si>
  <si>
    <t>简餐咖啡厅</t>
  </si>
  <si>
    <t>地面铺贴大理石st-02、ST-03（波打）</t>
  </si>
  <si>
    <t>1.地面20mm大理石ST-02 、ST-03（波打）、铺贴、厚度及样式按物料书为准；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t>
  </si>
  <si>
    <t>墙面CT-04瓷砖</t>
  </si>
  <si>
    <t>1、CT-04瓷砖,瓷砖填缝剂处理
2、背覆胶处理
3、Φ6钢筋焊钢丝网固定
4、界面剂拉毛处理
5、包含完成该项内容所有工作及费用并满足设计图纸、规范等要求</t>
  </si>
  <si>
    <t>差:-293.64元 (-42.0%) 来源:售楼处</t>
  </si>
  <si>
    <t>差:-498.59元 (-46.5%) 来源:售楼处</t>
  </si>
  <si>
    <t>成品石膏板造型吊顶</t>
  </si>
  <si>
    <t>1.60系列轻钢主龙骨@900，60系列轻钢副龙骨@400，60系列横撑龙骨@600，08螺纹吊杆@900不上人天花吊顶（投影面计算）
2.玻镁板、半圆成品石膏板造型吊顶，含开孔、检修口等费用；
3.含除灯槽外的侧面高差及其连接件、吊件；
4.包含完成该项内容所有工作及费用并满足设计图纸、规范等要求；</t>
  </si>
  <si>
    <t>差:+31.93元 (+11.9%) 来源:售楼处</t>
  </si>
  <si>
    <t>差:-106.92元 (-21.1%) 来源:售楼处</t>
  </si>
  <si>
    <t>1、水吧台（4350mm*900mm*1100mm）
2.包括但不限于制作安装、钢结构骨架、石材及石材防污处理、9mm阻燃板基层、ST-06石材台面、MT-08镜面不锈钢饰面、MT-01不锈钢线条、WD-03木饰面；
3.含拉手、抽屉、含相应的线孔洞开设；
4.包含完成该项内容所有工作及费用并满足设计图纸、规范等要求；</t>
  </si>
  <si>
    <t>差:-10889.85元 (-36.8%) 来源:售楼处</t>
  </si>
  <si>
    <t>水吧柜</t>
  </si>
  <si>
    <t>1、水吧柜（Lmm*450mm*520mm）
2.包括但不限于制作安装、钢结构骨架、石材及石材防污处理、阻燃板基层、ST-06石材台面、1.2mm厚 MT-01古铜不锈钢线条、WD-03木饰面；
3.含合页等五金配件、相应的线孔洞开设
4.包含完成该项内容所有工作及费用并满足设计图纸、规范等要求</t>
  </si>
  <si>
    <t>差:-1472.61元 (-44.8%) 来源:售楼处</t>
  </si>
  <si>
    <t>MT-01古铜不锈钢置物架</t>
  </si>
  <si>
    <t>1、MT-01古铜不锈钢置物架（L*300mm*85mm）
2、包含完成该项内容所有工作及费用并满足设计图纸、规范等要求</t>
  </si>
  <si>
    <t>差:+1568.03元 (+112.6%) 来源:售楼处</t>
  </si>
  <si>
    <t>二十</t>
  </si>
  <si>
    <t>E</t>
  </si>
  <si>
    <t>健身房装修部分（第三层）</t>
  </si>
  <si>
    <t>瑜伽室</t>
  </si>
  <si>
    <t>地面铺贴ES-04木纹运动地胶</t>
  </si>
  <si>
    <t>1.地面铺贴ES-04木纹运动地胶；
2.粘贴层；
3.自流平
4.包含完成该项内容所有工作及费用并满足设计图纸、规范等要求；</t>
  </si>
  <si>
    <t>差:+280.14元 (+94.2%) 来源:会所合并</t>
  </si>
  <si>
    <t>墙面WD-04摩素板</t>
  </si>
  <si>
    <t>1、墙面WD-04摩素板(结构胶固定，含不锈钢线条)
2、12mm阻燃板基层
3、轻钢副龙骨@400、轻钢龙骨构件
4、包含完成该项内容所有工作及费用并满足设计图纸、规范等要求</t>
  </si>
  <si>
    <t>差:+34.97元 (+6.0%) 来源:会所合并</t>
  </si>
  <si>
    <t>灯槽（100mm*300mm）</t>
  </si>
  <si>
    <t>1.灯槽（100mm*300mm）；
2.双层板：双层9.5mm厚石膏板；
3.包含完成该项内容所有工作及费用并满足设计图纸、规范等要求；</t>
  </si>
  <si>
    <t>差:-32.86元 (-29.3%) 来源:会所合并</t>
  </si>
  <si>
    <t>1.成品石膏线条；
2.按图纸造型；
3.包含完成该项内容所有工作及费用并满足设计图纸、规范等要求；</t>
  </si>
  <si>
    <t>差:+127.74元 (+168.5%) 来源:会所合并</t>
  </si>
  <si>
    <t>窗帘盒（100mm*200mm）</t>
  </si>
  <si>
    <t>1.窗帘盒窗帘盒（100mm*200mm）；
2.双层板：9mm玻镁板、9.5厚石膏板；
3.50系列轻钢龙骨及其连接件、吊件；
4.包含完成该项内容所有工作及费用并满足设计图纸、规范等要求；</t>
  </si>
  <si>
    <t>差:-30.05元 (-24.4%) 来源:会所合并</t>
  </si>
  <si>
    <t>玻璃门</t>
  </si>
  <si>
    <t>差:-3066.13元 (-54.5%) 来源:会所合并</t>
  </si>
  <si>
    <t>玻璃隔断</t>
  </si>
  <si>
    <t>1、GL-02艺术玻璃隔断、MT-01古铜不锈钢边框（由专业厂家深化）
2、包含完成该项内容所有工作及费用并满足设计图纸、规范等要求</t>
  </si>
  <si>
    <t>差:-1262.00元 (-40.7%) 来源:会所合并</t>
  </si>
  <si>
    <t>平开门</t>
  </si>
  <si>
    <t>差:-276.33元 (-11.3%) 来源:会所合并</t>
  </si>
  <si>
    <t>健身房</t>
  </si>
  <si>
    <t>地面铺贴ES-01浅色运动地胶</t>
  </si>
  <si>
    <t>1.地面铺贴ES-01浅色运动地胶；
2.粘贴层；
3.自流平
4.包含完成该项内容所有工作及费用并满足设计图纸、规范等要求；</t>
  </si>
  <si>
    <t>差:+304.92元 (+111.9%) 来源:会所合并</t>
  </si>
  <si>
    <t>地面铺贴ES-02米色运动地胶</t>
  </si>
  <si>
    <t>1.地面铺贴ES-02米色运动地胶；
2.粘贴层；
3.自流平
4.包含完成该项内容所有工作及费用并满足设计图纸、规范等要求；</t>
  </si>
  <si>
    <t>地面铺贴ES-03深色运动地胶</t>
  </si>
  <si>
    <t>1.地面铺贴ES-03深色运动地胶；
2.粘贴层；
3.自流平
4.包含完成该项内容所有工作及费用并满足设计图纸、规范等要求；</t>
  </si>
  <si>
    <t>镜柜</t>
  </si>
  <si>
    <t>1、镜柜（1760mm*480mm*3200mm）
2.包括但不限于制作安装、阻燃板基层、1.2mm厚 MT-01古铜不锈钢线条、WD-01木饰面、MR-01银镜
3.含五金配件等
4.包含完成该项内容所有工作及费用并满足设计图纸、规范等要求</t>
  </si>
  <si>
    <t>差:-42.37元 (-1.6%) 来源:会所合并</t>
  </si>
  <si>
    <t>收纳柜L900mm</t>
  </si>
  <si>
    <t>1、收纳柜（900mm*500mm*3200mm）
2.包括但不限于制作安装、阻燃板基层、WD-01木饰面
3.含五金配件等
4.包含完成该项内容所有工作及费用并满足设计图纸、规范等要求</t>
  </si>
  <si>
    <t>差:-754.26元 (-23.9%) 来源:会所合并</t>
  </si>
  <si>
    <t>收纳柜L1400mm</t>
  </si>
  <si>
    <t>1、收纳柜（1400mm*500mm*3200mm）
2.包括但不限于制作安装、阻燃板基层、WD-01木饰面
3.含五金配件等
4.包含完成该项内容所有工作及费用并满足设计图纸、规范等要求</t>
  </si>
  <si>
    <t>热水间</t>
  </si>
  <si>
    <t>墙面湿贴石材ST-03踢脚线</t>
  </si>
  <si>
    <t>1、墙面湿贴石材ST-03踢脚线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</si>
  <si>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差:+92.23元 (+11.2%) 来源:会所合并</t>
  </si>
  <si>
    <t>石膏板吊顶</t>
  </si>
  <si>
    <t>1.60系列轻钢主龙骨@900，60系列轻钢副龙骨@400，60系列横撑龙骨@600，08螺纹吊杆@900不上人天花吊顶（投影面计算）
2.玻镁板、双层9.5厚石膏板基层，含开孔、检修口、10*10凹槽等费用；
3.包含完成该项内容所有工作及费用并满足设计图纸、规范等要求；</t>
  </si>
  <si>
    <t>差:-24.19元 (-13.9%) 来源:会所合并</t>
  </si>
  <si>
    <t>1、门扇：WD-01木饰面、20*40mm热镀锌矩管、9mm厚玻镁板基层
2、定制成品套装门制安
3、含暗合页、门把手等五金配件
4、包含完成该项内容所有工作及费用并满足设计图纸、规范等要求</t>
  </si>
  <si>
    <t>差:-881.33元 (-36.0%) 来源:会所合并</t>
  </si>
  <si>
    <t>更衣室</t>
  </si>
  <si>
    <t>墙面湿贴石材ST-07</t>
  </si>
  <si>
    <t>1、墙面湿贴石材ST-07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</si>
  <si>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差:-610.08元 (-43.1%) 来源:会所合并</t>
  </si>
  <si>
    <t>WP-01墙布</t>
  </si>
  <si>
    <t>1、WP-01墙布，结构胶固定（含不锈钢线条）
2、10mm水泥纤维板
3、包含完成该项内容所有工作及费用并满足设计图纸、规范等要求</t>
  </si>
  <si>
    <t>差:-426.05元 (-63.2%) 来源:会所合并</t>
  </si>
  <si>
    <t>木饰面平开门</t>
  </si>
  <si>
    <t>1、门扇：WD-01木饰面、20*40mm热镀锌矩管、9mm厚玻镁板基层
2、门套：WD-01木饰面
3、定制成品套装门制安
4、含暗合页、门把手等五金配件
5、包含完成该项内容所有工作及费用并满足设计图纸、规范等要求</t>
  </si>
  <si>
    <t>磨砂玻璃门</t>
  </si>
  <si>
    <t>1、门扇：1.2mm厚 MT-01古铜不锈钢饰面、磨砂玻璃
2、定制成品套装门制安
3、含成品门铰链等五金配件
4、包含完成该项内容所有工作及费用并满足设计图纸、规范等要求</t>
  </si>
  <si>
    <t>差:-842.59元 (-72.5%) 来源:会所合并</t>
  </si>
  <si>
    <t>洗手台镜柜一体L1750mm</t>
  </si>
  <si>
    <t>1、洗手台镜柜一体（1750mm*700mm*2550mm）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</si>
  <si>
    <t>差:-7709.87元 (-55.7%) 来源:会所合并</t>
  </si>
  <si>
    <t>洗手台镜柜一体L1930mm</t>
  </si>
  <si>
    <t>1、洗手台镜柜一体（1930mm*700mm*2550mm）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</si>
  <si>
    <t>差:-8788.20元 (-57.6%) 来源:会所合并</t>
  </si>
  <si>
    <t>更衣柜</t>
  </si>
  <si>
    <t>1、更衣柜（2050mm*600mm*3200mm）
2.包括但不限于制作安装、阻燃板基层、WD-01木饰面
3.含五金配件等
4.包含完成该项内容所有工作及费用并满足设计图纸、规范等要求</t>
  </si>
  <si>
    <t>休息区+过道+电梯厅+艺术过厅</t>
  </si>
  <si>
    <t>墙面湿贴石材ST-03</t>
  </si>
  <si>
    <t>1、墙面湿贴石材ST-03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</si>
  <si>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差:+88.01元 (+12.2%) 来源:会所合并</t>
  </si>
  <si>
    <t>1、墙面干挂ST-03石材（含不锈钢线条）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</si>
  <si>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差:+175.69元 (+21.3%) 来源:会所合并</t>
  </si>
  <si>
    <t>墙面干挂ST-03石材（波浪造型）</t>
  </si>
  <si>
    <t>1、墙面干挂ST-03石材（波浪造型，含不锈钢线条）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</si>
  <si>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差:-836.85元 (-41.5%) 来源:会所合并</t>
  </si>
  <si>
    <t>差:-9.83元 (-1.2%) 来源:售楼处</t>
  </si>
  <si>
    <t>窗帘盒（120mm*200mm）</t>
  </si>
  <si>
    <t>1.窗帘盒窗帘盒（120mm*200mm）；
2.双层板：9mm玻镁板、9.5厚石膏板；
3.50系列轻钢龙骨及其连接件、吊件；
4.包含完成该项内容所有工作及费用并满足设计图纸、规范等要求；</t>
  </si>
  <si>
    <t>差:-14.75元 (-38.1%) 来源:售楼处</t>
  </si>
  <si>
    <t>装饰屏风（800mm*100mm*3400mm）</t>
  </si>
  <si>
    <t>1.装饰屏风（800mm*100mm*3400mm）；
2.包括但不限于制作安装、钢结构骨架、阻燃板基层、WD-02木饰面、1.2mm厚 MT-01古铜不锈钢、MT-04手敲铜不锈钢；
3.包含完成该项内容所有工作及费用并满足设计图纸、规范等要求</t>
  </si>
  <si>
    <t>差:-575.34元 (-17.9%) 来源:会所合并</t>
  </si>
  <si>
    <t>1、水吧柜（Lmm*800mm*900mm）
2.包括但不限于制作安装、钢结构骨架、石材及石材防污处理、阻燃板基层、ST-04石材台面、WD-03木饰面；
3.含合页等五金配件、相应的线孔洞开设
4.包含完成该项内容所有工作及费用并满足设计图纸、规范等要求</t>
  </si>
  <si>
    <t>差:-3201.24元 (-59.3%) 来源:会所合并</t>
  </si>
  <si>
    <t>水吧收纳柜</t>
  </si>
  <si>
    <t>1、收纳柜（940mm*800mm*2600mm）
2.包括但不限于制作安装、阻燃板基层、WD-03木饰面
3.含五金配件等
4.包含完成该项内容所有工作及费用并满足设计图纸、规范等要求</t>
  </si>
  <si>
    <t>差:-882.65元 (-26.8%) 来源:会所合并</t>
  </si>
  <si>
    <t>新建钢架+玻镁板隔墙</t>
  </si>
  <si>
    <t>1、新建钢架+玻镁板隔墙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</si>
  <si>
    <t>差:-4.08元 (-1.4%) 来源:会所合并</t>
  </si>
  <si>
    <t>合计</t>
  </si>
  <si>
    <t>电梯轿厢</t>
  </si>
  <si>
    <t>墙面工程</t>
  </si>
  <si>
    <t>墙面湿贴石材ST-04</t>
  </si>
  <si>
    <t>1、墙面湿贴石材ST-04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</si>
  <si>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差:-1721.29元 (-60.9%) 来源:会所合并</t>
  </si>
  <si>
    <t>1、1.2mm厚 MT-01古铜不锈钢饰面(结构胶固定)
2、9厘玻镁板基层
3、包含完成该项内容所有工作及费用并满足设计图纸、规范等要求</t>
  </si>
  <si>
    <t>差:+51.02元 (+8.1%) 来源:会所合并</t>
  </si>
  <si>
    <t>墙面WD-09摩素板</t>
  </si>
  <si>
    <t>1、墙面WD-09摩素板(结构胶固定)
2、12厘玻镁板基层
3、膨胀螺栓、轻钢龙骨(钢结构)基层找平
4、包含完成该项内容所有工作及费用并满足设计图纸、规范等要求</t>
  </si>
  <si>
    <t>差:-9.12元 (-1.3%) 来源:会所合并</t>
  </si>
  <si>
    <t>MT-01古铜不锈钢踢脚线（高50mm）</t>
  </si>
  <si>
    <t>1、1.2mm厚 MT-01古铜不锈钢踢脚线（高50mm，展开面为67mm），结构胶固定
2、9厘玻镁板基层
3、包含完成该项内容所有工作及费用并满足设计图纸、规范等要求</t>
  </si>
  <si>
    <t>差:-17.88元 (-28.1%) 来源:会所合并</t>
  </si>
  <si>
    <t>MT-01古铜不锈钢线条（展开面为67mm）</t>
  </si>
  <si>
    <t>1、1.2mm厚 MT-01古铜不锈钢线条（展开面为67mm），结构胶固定
2、9厘玻镁板基层
3、包含完成该项内容所有工作及费用并满足设计图纸、规范等要求</t>
  </si>
  <si>
    <t>差:-7.75元 (-11.7%) 来源:会所合并</t>
  </si>
  <si>
    <t>MT-01古铜不锈钢线条（展开面为37mm）</t>
  </si>
  <si>
    <t>1、1.2mm厚 MT-01古铜不锈钢线条（展开面为37mm），结构胶固定
2、9厘玻镁板基层
3、包含完成该项内容所有工作及费用并满足设计图纸、规范等要求</t>
  </si>
  <si>
    <t>差:-13.35元 (-24.4%) 来源:会所合并</t>
  </si>
  <si>
    <t>MT-01古铜不锈钢收口条（展开面为26mm）</t>
  </si>
  <si>
    <t>1、1.2mm厚 MT-01古铜不锈钢收口条（展开面为26mm），结构胶固定
2、9厘玻镁板基层
3、包含完成该项内容所有工作及费用并满足设计图纸、规范等要求</t>
  </si>
  <si>
    <t>差:+7.57元 (+14.9%) 来源:会所合并</t>
  </si>
  <si>
    <t>灯槽（135mm*100mm）</t>
  </si>
  <si>
    <t>1.灯槽（135mm*100mm）；
2.双层板：9mm玻镁板、9.5厚石膏板；
3.包含完成该项内容所有工作及费用并满足设计图纸、规范等要求；</t>
  </si>
  <si>
    <t>条形空调风口（80mm）</t>
  </si>
  <si>
    <t>1.条形空调风口（80mm）；
2.风口周边阻燃板封边加固处理；
3.包含完成该项内容所有工作及费用并满足设计图纸、规范等要求；</t>
  </si>
  <si>
    <t>差:-1.54元 (-1.4%) 来源:会所合并</t>
  </si>
  <si>
    <t>MT-06深色不锈钢线条</t>
  </si>
  <si>
    <t>1、MT-06深色不锈钢线条（宽为40mm），结构胶固定
2、9厘玻镁板基层
3、包含完成该项内容所有工作及费用并满足设计图纸、规范等要求</t>
  </si>
  <si>
    <t>差:-13.45元 (-20.9%) 来源:会所合并</t>
  </si>
  <si>
    <t>电梯扶手</t>
  </si>
  <si>
    <t>1、ST-04石材、古铜不锈钢、UP-01皮革
2、定制成品扶手制安
3、包含完成该项内容所有工作及费用并满足设计图纸、规范等要求</t>
  </si>
  <si>
    <t>按设计图示以扶手中心线长度计算</t>
  </si>
  <si>
    <t>差:-3143.80元 (-88.1%) 来源:会所合并</t>
  </si>
  <si>
    <t>无障碍电梯轿厢</t>
  </si>
  <si>
    <t>负一层</t>
  </si>
  <si>
    <t>一单元合用前室</t>
  </si>
  <si>
    <t>差:+4.05元 (+0.4%) 来源:售楼处</t>
  </si>
  <si>
    <t>差:-100.99元 (-17.4%) 来源:会所合并</t>
  </si>
  <si>
    <t>MT-01古铜不锈钢线条（展开面为51mm）</t>
  </si>
  <si>
    <t>1、1.2mm厚 MT-01古铜不锈钢线条（展开面为51mm），结构胶固定
2、9厘玻镁板基层
3、包含完成该项内容所有工作及费用并满足设计图纸、规范等要求</t>
  </si>
  <si>
    <t>差:-21.10元 (-29.3%) 来源:会所合并</t>
  </si>
  <si>
    <t>差:-0.33元 (-0.2%) 来源:会所合并</t>
  </si>
  <si>
    <t>灯槽（100mm*250mm）</t>
  </si>
  <si>
    <t>1.灯槽（100mm*250mm）；
2.双层板：9mm玻镁板、9.5厚石膏板；
3.包含完成该项内容所有工作及费用并满足设计图纸、规范等要求；</t>
  </si>
  <si>
    <t>二单元合用前室</t>
  </si>
  <si>
    <t>三单元合用前室</t>
  </si>
  <si>
    <t>四单元合用前室</t>
  </si>
  <si>
    <t>负二层</t>
  </si>
  <si>
    <t>负三层</t>
  </si>
  <si>
    <t>差:+28.06元 (+41.8%) 来源:售楼处</t>
  </si>
  <si>
    <t>电气工程</t>
  </si>
  <si>
    <t>（1）会所</t>
  </si>
  <si>
    <t>D13m 可调深藏射灯</t>
  </si>
  <si>
    <t>1.名称:D13m 可调深藏射灯
2.规格：功率：9W、流明量：756lm；63lm/W、色温：3500K、光速角：24°
3.其他:包含完成该项内容所有工作及费用并满足设计图纸、规范等要求</t>
  </si>
  <si>
    <t>结合施工图纸及施工方案，根据GB/T50856-2024通用安装工程工程量计算规范，以最终验收合格的工程量计算。</t>
  </si>
  <si>
    <t>差:+48.43元 (+46.1%) 来源:会所合并</t>
  </si>
  <si>
    <t>D13f 可调深藏射灯</t>
  </si>
  <si>
    <t>1.名称:D13f 可调深藏射灯
2.规格：功率：9W、流明量：594lm；63lm/W、色温：3500K、光速角：36°
3.其他:包含完成该项内容所有工作及费用并满足设计图纸、规范等要求</t>
  </si>
  <si>
    <t>D14m 可调深藏射灯</t>
  </si>
  <si>
    <t>1.名称:D14m 可调深藏射灯
2.规格：功率：12W、流明量：756lm；63lm/W、色温：3500K、光速角：24°
3.其他:包含完成该项内容所有工作及费用并满足设计图纸、规范等要求</t>
  </si>
  <si>
    <t>D14f 可调深藏射灯</t>
  </si>
  <si>
    <t>1.名称:D14f 可调深藏射灯
2.规格：功率：12W、流明量：792lm；66lm/W、色温：3500K、光速角：36°
3.其他:包含完成该项内容所有工作及费用并满足设计图纸、规范等要求</t>
  </si>
  <si>
    <t>D15m 可调深藏射灯</t>
  </si>
  <si>
    <t>1.名称:D15m 可调深藏射灯
2.规格：功率：15W、流明量：951lm；65lm/W、色温：3500K、光速角：24°
3.其他:包含完成该项内容所有工作及费用并满足设计图纸、规范等要求</t>
  </si>
  <si>
    <t>D15f 可调深藏射灯</t>
  </si>
  <si>
    <t>1.名称:D15f 可调深藏射灯
2.规格：功率：15W、流明量：970lm；67lm/W、色温：3500K、光速角：36°
3.其他:包含完成该项内容所有工作及费用并满足设计图纸、规范等要求</t>
  </si>
  <si>
    <t>D17m 可调深藏射灯</t>
  </si>
  <si>
    <t>1.名称:D17m 可调深藏射灯
2.规格：功率：24W、流明量：1802lm；77lm/W、色温：3500K、光速角：24°
3.其他:包含完成该项内容所有工作及费用并满足设计图纸、规范等要求</t>
  </si>
  <si>
    <t>Gs15f 方形下照深藏射灯</t>
  </si>
  <si>
    <t>1.名称:Gs15f 方形下照深藏射灯
2.规格：功率：9W、流明量：603lm；67lm/W、色温：3500K、光速角：36°
3.其他:包含完成该项内容所有工作及费用并满足设计图纸、规范等要求</t>
  </si>
  <si>
    <t>Mr15n 下照迷你格栅灯</t>
  </si>
  <si>
    <t>1.名称:Mr15n 下照迷你格栅灯
2.规格：功率：10*2W、流明量：1400lm；70lm/W、色温：3500K、光速角：15°
3.其他:包含完成该项内容所有工作及费用并满足设计图纸、规范等要求</t>
  </si>
  <si>
    <t>差:+29.73元 (+17.5%) 来源:会所合并</t>
  </si>
  <si>
    <t>Mr15m 下照迷你格栅灯</t>
  </si>
  <si>
    <t>1.名称:Mr15m 下照迷你格栅灯
2.规格：功率：10*2W、流明量：1360lm；68lm/W、色温：3500K、光速角：24°
3.其他:包含完成该项内容所有工作及费用并满足设计图纸、规范等要求</t>
  </si>
  <si>
    <t>Mr15f 下照迷你格栅灯</t>
  </si>
  <si>
    <t>1.名称:Mr15f 下照迷你格栅灯
2.规格：功率：10*2W、流明量：1360lm；68lm/W、色温：3500K、光速角：36°
3.其他:包含完成该项内容所有工作及费用并满足设计图纸、规范等要求</t>
  </si>
  <si>
    <t>Md15m 可调迷你格栅灯</t>
  </si>
  <si>
    <t>1.名称:Md15m 可调迷你格栅灯
2.规格：功率：10*2W、流明量：1360lm；68lm/W、色温：3500K、光速角：36°
3.其他:包含完成该项内容所有工作及费用并满足设计图纸、规范等要求</t>
  </si>
  <si>
    <t>Ug10 可调深藏射灯</t>
  </si>
  <si>
    <t>1.名称:Ug10 可调深藏射灯
2.规格：功率：3W、流明量：139lm；48lm/W、色温：3500K、光速角：24°
3.其他:包含完成该项内容所有工作及费用并满足设计图纸、规范等要求</t>
  </si>
  <si>
    <t>差:+55.58元 (+52.9%) 来源:会所合并</t>
  </si>
  <si>
    <t>Ug11 埋地灯</t>
  </si>
  <si>
    <t>1.名称:Ug11 埋地灯
2.规格：功率：8W、流明量：600lm；75lm/W、色温：3500K、光速角：20°
3.其他:包含完成该项内容所有工作及费用并满足设计图纸、规范等要求</t>
  </si>
  <si>
    <t>差:-8.77元 (-5.2%) 来源:会所合并</t>
  </si>
  <si>
    <t>P1 LED吸顶灯</t>
  </si>
  <si>
    <t>1.名称:P1 LED吸顶灯
2.规格：功率：18W、流明量：1350lm；70lm/W、色温：3500K
3.其他:包含完成该项内容所有工作及费用并满足设计图纸、规范等要求</t>
  </si>
  <si>
    <t>差:+7.19元 (+7.4%) 来源:会所合并</t>
  </si>
  <si>
    <t>Da34m 可调深藏射灯</t>
  </si>
  <si>
    <t>1.名称:Da34m 可调深藏射灯
2.规格：功率：9W、流明量：485lm；53lm/W、色温：3000K、光速角：15°
3.其他:包含完成该项内容所有工作及费用并满足设计图纸、规范等要求</t>
  </si>
  <si>
    <t>D34m 可调深藏射灯</t>
  </si>
  <si>
    <t>1.名称:D34m 可调深藏射灯
2.规格：功率：9W、流明量：550lm；60lm/W、色温：3000K、光速角：24°
3.其他:包含完成该项内容所有工作及费用并满足设计图纸、规范等要求</t>
  </si>
  <si>
    <t>D34f 可调深藏射灯</t>
  </si>
  <si>
    <t>1.名称:D34f 可调深藏射灯
2.规格：功率：9W、流明量：550lm；60lm/W、色温：3000K、光速角：36°
3.其他:包含完成该项内容所有工作及费用并满足设计图纸、规范等要求</t>
  </si>
  <si>
    <t>D35m 可调深藏射灯</t>
  </si>
  <si>
    <t>1.名称:D35m 可调深藏射灯
2.规格：功率：15W、流明量：994lm；68lm/W、色温：3000K、光速角：24°
3.其他:包含完成该项内容所有工作及费用并满足设计图纸、规范等要求</t>
  </si>
  <si>
    <t>D35f 可调深藏射灯</t>
  </si>
  <si>
    <t>1.名称:D35f 可调深藏射灯
2.规格：功率：15W、流明量：1003lm；69lm/W、色温：3000K、光速角：36°
3.其他:包含完成该项内容所有工作及费用并满足设计图纸、规范等要求</t>
  </si>
  <si>
    <t>Mr35m 下照迷你格栅灯</t>
  </si>
  <si>
    <t>1.名称:Mr35m 下照迷你格栅灯
2.规格：功率：10*2W、流明量：1260lm；63lm/W、色温：3000K、光速角：24°
3.其他:包含完成该项内容所有工作及费用并满足设计图纸、规范等要求</t>
  </si>
  <si>
    <t>Md35m 可调迷你格栅灯（黑色）</t>
  </si>
  <si>
    <t>1.名称:Md35m 可调迷你格栅灯（黑色）
2.规格：功率：10*2W、流明量：1360lm；68lm/W、色温：3000K、光速角：36°
3.其他:包含完成该项内容所有工作及费用并满足设计图纸、规范等要求</t>
  </si>
  <si>
    <t>差:+51.73元 (+30.4%) 来源:会所合并</t>
  </si>
  <si>
    <t>Wi12 线性洗墙灯</t>
  </si>
  <si>
    <t>1.名称:Wi12 线性洗墙灯
2.规格：功率：26W/M、流明量：1845lm/M、色温：3500K、光速角：20°
3.含外置电源驱动
4.其他:包含完成该项内容所有工作及费用并满足设计图纸、规范等要求</t>
  </si>
  <si>
    <t>差:+5.17元 (+3.6%) 来源:会所合并</t>
  </si>
  <si>
    <t>Rm10 LED透光模组灯</t>
  </si>
  <si>
    <t>1.名称:Rm10 LED透光模组灯
2.规格：功率：80W、流明量：5500lm；80lm/W、色温：3500K、光速角：170°
3.含外置电源驱动
4.其他:包含完成该项内容所有工作及费用并满足设计图纸、规范等要求</t>
  </si>
  <si>
    <t>差:+130.33元 (+257.5%) 来源:会所合并</t>
  </si>
  <si>
    <t>Rm10D LED透光模组灯（调光）</t>
  </si>
  <si>
    <t>1.名称:Rm10D LED透光模组灯（调光）
2.规格：功率：80W、流明量：5500lm；80lm/W、色温：2700K-6500K、光速角：170°
3.含外置电源驱动
4.其他:包含完成该项内容所有工作及费用并满足设计图纸、规范等要求</t>
  </si>
  <si>
    <t>差:+70.62元 (+64.0%) 来源:会所合并</t>
  </si>
  <si>
    <t>Ls12-LED硬灯条</t>
  </si>
  <si>
    <t>1.名称:Ls12-LED硬灯条
2.规格：功率：14W/M、流明量：1260lm/M；90lm/W、色温：3500K、光速角：120°
3.含外置电源驱动
4.其他:包含完成该项内容所有工作及费用并满足设计图纸、规范等要求</t>
  </si>
  <si>
    <t>差:-17.07元 (-33.7%) 来源:会所合并</t>
  </si>
  <si>
    <t>Lc10-LED侧弯灯带</t>
  </si>
  <si>
    <t>1.名称:Lc10-LED侧弯灯带
2.规格：功率：4W/M、流明量：320lm/M；80lm/W、色温：3500K、光速角：120°
3.含外置电源驱动
4.其他:包含完成该项内容所有工作及费用并满足设计图纸、规范等要求</t>
  </si>
  <si>
    <t>差:-2.77元 (-5.5%) 来源:会所合并</t>
  </si>
  <si>
    <t>Lc12-LED侧弯灯带</t>
  </si>
  <si>
    <t>1.名称:Lc12-LED侧弯灯带
2.规格：功率：14W/M、流明量：1260lm/M；90lm/W、色温：3500K、光速角：120°
3.含外置电源驱动
4.其他:包含完成该项内容所有工作及费用并满足设计图纸、规范等要求</t>
  </si>
  <si>
    <t>Lc12a-LED20mm宽侧弯灯带</t>
  </si>
  <si>
    <t>1.名称:Lc12a-LED20mm宽侧弯灯带
2.规格：功率：14W/M、流明量：1260lm/M；90lm/W、色温：3500K、光速角：120°
3.含外置电源驱动
4.其他:包含完成该项内容所有工作及费用并满足设计图纸、规范等要求</t>
  </si>
  <si>
    <t>Lr12-LED正弯灯带</t>
  </si>
  <si>
    <t>1.名称:Lr12-LED正弯灯带
2.规格：功率：14W/M、流明量：1260lm/M；90lm/W、色温：3500K、光速角：120°
3.含外置电源驱动
4.其他:包含完成该项内容所有工作及费用并满足设计图纸、规范等要求</t>
  </si>
  <si>
    <t>Lb10-LED地埋洗墙灯</t>
  </si>
  <si>
    <t>1.名称:Lb10-LED地埋洗墙灯
2.规格：功率：20W/M、流明量：90lm/W、色温：3500K、光速角：50°
3.含外置电源驱动
4.其他:包含完成该项内容所有工作及费用并满足设计图纸、规范等要求</t>
  </si>
  <si>
    <t>差:+45.87元 (+32.1%) 来源:会所合并</t>
  </si>
  <si>
    <t>Lb13-LED地埋洗墙灯</t>
  </si>
  <si>
    <t>1.名称:Lb13-LED地埋洗墙灯
2.规格：功率：20W/M、流明量：90lm/W、色温：3500K、光速角：30°
3.含外置电源驱动
4.其他:包含完成该项内容所有工作及费用并满足设计图纸、规范等要求</t>
  </si>
  <si>
    <t>Ls32-LED硬灯条</t>
  </si>
  <si>
    <t>1.名称:Ls32-LED硬灯条
2.规格：功率：14W/M、流明量：1260lm/M；90lm/W、色温：3000K、光速角：120°
3.含外置电源驱动
4.其他:包含完成该项内容所有工作及费用并满足设计图纸、规范等要求</t>
  </si>
  <si>
    <t>Lc32-ED侧弯灯带</t>
  </si>
  <si>
    <t>1.名称:Lc32-ED侧弯灯带
2.规格：功率：14W/M、流明量：1260lm/M；90lm/W、色温：3000K、光速角：120°
3.含外置电源驱动
4.其他:包含完成该项内容所有工作及费用并满足设计图纸、规范等要求</t>
  </si>
  <si>
    <t>Lb1-拉绳灯</t>
  </si>
  <si>
    <t>1.名称:Lb1-拉绳灯
2.规格：功率：10W/M、色温：3500K、光速角：120°
3.其他:包含完成该项内容所有工作及费用并满足设计图纸、规范等要求</t>
  </si>
  <si>
    <t>差:+99.14元 (+88.9%) 来源:会所合并</t>
  </si>
  <si>
    <t>单联单控暗开关</t>
  </si>
  <si>
    <t>1.名称：单联单控暗开关
2.规格：86*86mm 颜色：曜岩灰
3.其他：包含完成该项内容所有工作及费用并满足设计图纸、规范等要求;</t>
  </si>
  <si>
    <t>个</t>
  </si>
  <si>
    <t>差:+2.77元 (+8.3%) 来源:会所合并</t>
  </si>
  <si>
    <t>双联单控暗开关</t>
  </si>
  <si>
    <t>1.名称：双联单控暗开关
2.规格：86*86mm 颜色：曜岩灰
3.其他：包含完成该项内容所有工作及费用并满足设计图纸、规范等要求;</t>
  </si>
  <si>
    <t>差:-11.20元 (-24.7%) 来源:会所合并</t>
  </si>
  <si>
    <t>三联单控暗开关</t>
  </si>
  <si>
    <t>1.名称：三联单控暗开关
2.规格：86*86mm 颜色：曜岩灰
3.其他：包含完成该项内容所有工作及费用并满足设计图纸、规范等要求;</t>
  </si>
  <si>
    <t>差:-20.09元 (-36.3%) 来源:会所合并</t>
  </si>
  <si>
    <t>五孔插座</t>
  </si>
  <si>
    <t>1.名称：五孔插座
2.规格：86*86mm 颜色：曜岩灰
3.其他：包含完成该项内容所有工作及费用并满足设计图纸、规范等要求;</t>
  </si>
  <si>
    <t>差:-7.16元 (-19.1%) 来源:会所合并</t>
  </si>
  <si>
    <t>五孔地面插座</t>
  </si>
  <si>
    <t>1.名称：五孔地面插座
2.规格：86*86mm 颜色：曜岩灰
3.其他：包含完成该项内容所有工作及费用并满足设计图纸、规范等要求;</t>
  </si>
  <si>
    <t>差:-72.81元 (-31.0%) 来源:会所合并</t>
  </si>
  <si>
    <t>五孔防溅插座</t>
  </si>
  <si>
    <t>1.名称：五孔防溅插座
2.规格：86*86mm 颜色：曜岩灰
3.其他：包含完成该项内容所有工作及费用并满足设计图纸、规范等要求;</t>
  </si>
  <si>
    <t>差:-9.38元 (-16.9%) 来源:会所合并</t>
  </si>
  <si>
    <t>接线盒</t>
  </si>
  <si>
    <t>1.名称：接线盒
2.包含完成该项内容所有工作及费用并满足设计图纸、规范等要求;</t>
  </si>
  <si>
    <t>差:-0.77元 (-11.9%) 来源:会所合并</t>
  </si>
  <si>
    <t>金属桥架 200*100</t>
  </si>
  <si>
    <t>1.型号、规格:金属桥架（含配件）
2.材质:200*100
3.其他:包含桥架支架制作、安装、除锈、刷油
4.其他:含配件及盖板、线槽接地
5.主材厚度：满足设计及规范要求</t>
  </si>
  <si>
    <t>差:-50.88元 (-37.2%) 来源:会所合并</t>
  </si>
  <si>
    <t>不锈钢线槽 500*200</t>
  </si>
  <si>
    <t>1.型号、规格:不锈钢线槽（含配件）
2.材质:500*200
3.其他:包含桥架支架制作、安装、除锈、刷油
4.其他:含配件及盖板、线槽接地
5.主材厚度：满足设计及规范要求</t>
  </si>
  <si>
    <t>测位、划线、安装、接口。</t>
  </si>
  <si>
    <t>根据线槽的材质与规格按设计图示尺寸以实际完成线槽的中轴线长度计算，不扣除管路中间的接线箱、接线盒、灯头盒、开关盒、插座盒、管件等所占长度</t>
  </si>
  <si>
    <t>差:+167.86元 (+61.2%) 来源:会所合并</t>
  </si>
  <si>
    <t>管内穿线 WDZC-BYJ-2.5</t>
  </si>
  <si>
    <t>1.名称：电线
2.型号规格：WDZC-BYJ-2.5
3.配线形式：管内穿线
4.包含接线端子
5.其他：为满足本清单工作所需的其他未描述的工作内容，详见相关规范、招标文件及图纸要求</t>
  </si>
  <si>
    <t>扫管、涂滑石粉、穿线、编号、接焊包头、烫锡。</t>
  </si>
  <si>
    <t>根据导线材质与截面面积，区别照明线与动力线，按照设计图示以实际完成长度计算，配线进入盘、柜、箱、板时每根线的预留长度按设计规定计算，设计无规定时按照《工程量计算规则》2024规定计算，线路分支接头线长度、灯具、开关、插座、按钮等预留线不得另行计算。</t>
  </si>
  <si>
    <t>差:+1.72元 (+34.8%) 来源:会所合并</t>
  </si>
  <si>
    <t>管内穿线 WDZC-BYJ-4</t>
  </si>
  <si>
    <t>1.名称：电线
2.型号规格：WDZC-BYJ-4
3.配线形式：管内穿线
4.包含接线端子
5.其他：为满足本清单工作所需的其他未描述的工作内容，详见相关规范、招标文件及图纸要求</t>
  </si>
  <si>
    <t>差:+2.23元 (+32.4%) 来源:会所合并</t>
  </si>
  <si>
    <t>管内穿线 WDZC-BYJ-6</t>
  </si>
  <si>
    <t>1.名称：电线
2.型号规格：WDZC-BYJ-6
3.配线形式：管内穿线
4.包含接线端子
5.其他：为满足本清单工作所需的其他未描述的工作内容，详见相关规范、招标文件及图纸要求</t>
  </si>
  <si>
    <t>差:+2.58元 (+27.5%) 来源:会所合并</t>
  </si>
  <si>
    <t>管内穿线 WDZC-BYJ-10</t>
  </si>
  <si>
    <t>1.名称：电线
2.型号规格：WDZC-BYJ-10
3.配线形式：管内穿线
4.包含接线端子
5.其他：为满足本清单工作所需的其他未描述的工作内容，详见相关规范、招标文件及图纸要求</t>
  </si>
  <si>
    <t>差:+3.41元 (+23.2%) 来源:会所合并</t>
  </si>
  <si>
    <t>管内穿线 WDZC-BYJ-16</t>
  </si>
  <si>
    <t>1.名称：电线
2.型号规格：WDZC-BYJ-16
3.配线形式：管内穿线
4.包含接线端子
5.其他：为满足本清单工作所需的其他未描述的工作内容，详见相关规范、招标文件及图纸要求</t>
  </si>
  <si>
    <t>差:+2.22元 (+9.9%) 来源:会所合并</t>
  </si>
  <si>
    <t>线槽配线 WDZC-BYJ-2.5</t>
  </si>
  <si>
    <t>1.名称：电线
2.型号规格：WDZC-BYJ-2.5
3.配线形式：线槽配线
4.包含接线端子
5.其他：为满足本清单工作所需的其他未描述的工作内容，详见相关规范、招标文件及图纸要求</t>
  </si>
  <si>
    <t>差:+0.46元 (+9.4%) 来源:会所合并</t>
  </si>
  <si>
    <t>线槽配线 WDZC-BYJ-4</t>
  </si>
  <si>
    <t>1.名称：电线
2.型号规格：WDZC-BYJ-4
3.配线形式：线槽配线
4.包含接线端子
5.其他：为满足本清单工作所需的其他未描述的工作内容，详见相关规范、招标文件及图纸要求</t>
  </si>
  <si>
    <t>差:+0.97元 (+14.1%) 来源:会所合并</t>
  </si>
  <si>
    <t>线槽配线 WDZC-BYJ-6</t>
  </si>
  <si>
    <t>1.名称：电线
2.型号规格：WDZC-BYJ-6
3.配线形式：线槽配线
4.包含接线端子
5.其他：为满足本清单工作所需的其他未描述的工作内容，详见相关规范、招标文件及图纸要求</t>
  </si>
  <si>
    <t>差:+1.33元 (+14.1%) 来源:会所合并</t>
  </si>
  <si>
    <t>线槽配线 WDZC-BYJ-10</t>
  </si>
  <si>
    <t>1.名称：电线
2.型号规格：WDZC-BYJ-10
3.配线形式：线槽配线
4.包含接线端子
5.其他：为满足本清单工作所需的其他未描述的工作内容，详见相关规范、招标文件及图纸要求</t>
  </si>
  <si>
    <t>差:+2.16元 (+14.7%) 来源:会所合并</t>
  </si>
  <si>
    <t>线槽配线 WDZC-BYJ-16</t>
  </si>
  <si>
    <t>1.名称：电线
2.型号规格：WDZC-BYJ-16
3.配线形式：线槽配线
4.包含接线端子
5.其他：为满足本清单工作所需的其他未描述的工作内容，详见相关规范、招标文件及图纸要求</t>
  </si>
  <si>
    <t>差:+0.97元 (+4.3%) 来源:会所合并</t>
  </si>
  <si>
    <t>电力电缆 WDZC-YJY-4*25+1*16</t>
  </si>
  <si>
    <t>1.型号:电力电缆 5芯内
2.规格:WDZC-YJY-4*25+1*16
3.敷设方式:线槽及管内
4.其他:含电缆头制作安装（电缆头形式综合考虑）</t>
  </si>
  <si>
    <t>差:+57.17元 (+42.4%) 来源:会所合并</t>
  </si>
  <si>
    <t>明配管 JDG20</t>
  </si>
  <si>
    <t>1.材质：镀锌电线管
2.规格：JDG20 明配
3.其他：为满足本清单工作所需的其他未描述的工作内容，详见相关规范、招标文件及图纸要求</t>
  </si>
  <si>
    <t>测位、锯管、套丝、煨弯、配管、固定、接地、刷漆、穿引线</t>
  </si>
  <si>
    <t>根据配管的材质与直径，区别敷设位置、敷设方式，按照设计图示以实际完成管道的中轴线长度计算，不扣除管路中间的接线箱、接线盒、灯头盒、开关盒、插座盒、管件等所占长度</t>
  </si>
  <si>
    <t>差:-3.69元 (-17.8%) 来源:会所合并</t>
  </si>
  <si>
    <t>明配管 JDG25</t>
  </si>
  <si>
    <t>1.材质：镀锌电线管
2.规格：JDG25 明配
3.其他：为满足本清单工作所需的其他未描述的工作内容，详见相关规范、招标文件及图纸要求</t>
  </si>
  <si>
    <t>差:-4.08元 (-17.8%) 来源:会所合并</t>
  </si>
  <si>
    <t>明配管 JDG32</t>
  </si>
  <si>
    <t>1.材质：镀锌电线管
2.规格：JDG32 明配
3.其他：为满足本清单工作所需的其他未描述的工作内容，详见相关规范、招标文件及图纸要求</t>
  </si>
  <si>
    <t>差:-5.01元 (-19.2%) 来源:会所合并</t>
  </si>
  <si>
    <t>明配管 JDG40</t>
  </si>
  <si>
    <t>1.材质：镀锌电线管
2.规格：JDG40 明配
3.其他：为满足本清单工作所需的其他未描述的工作内容，详见相关规范、招标文件及图纸要求</t>
  </si>
  <si>
    <t>差:-10.22元 (-30.1%) 来源:会所合并</t>
  </si>
  <si>
    <t>明配管 SC50</t>
  </si>
  <si>
    <t>1.材质：镀锌钢管
2.规格：SC50 明配
3.其他：为满足本清单工作所需的其他未描述的工作内容，详见相关规范、招标文件及图纸要求</t>
  </si>
  <si>
    <t>差:+17.37元 (+44.2%) 来源:会所合并</t>
  </si>
  <si>
    <t>暗配管 PC20</t>
  </si>
  <si>
    <t>1.名称:刚性阻燃管
2.材质:塑料
3.规格:PC20
4.配置形式:暗配</t>
  </si>
  <si>
    <t>差:+5.90元 (+54.3%) 来源:会所合并</t>
  </si>
  <si>
    <t>暗配管 PC25</t>
  </si>
  <si>
    <t>1.名称:刚性阻燃管
2.材质:塑料
3.规格:PC25
4.配置形式:暗配</t>
  </si>
  <si>
    <t>差:+6.06元 (+48.5%) 来源:会所合并</t>
  </si>
  <si>
    <t>金属软管 DN20</t>
  </si>
  <si>
    <t>1.材质：金属软管
2.规格：DN20
3.其他：为满足本清单工作所需的其他未描述的工作内容，详见相关规范、招标文件及图纸要求</t>
  </si>
  <si>
    <t>差:+0.84元 (+7.0%) 来源:会所合并</t>
  </si>
  <si>
    <t>砖墙凿槽及修复</t>
  </si>
  <si>
    <t>1.名称:凿槽及修补
2.规格:70mm×70mm
3.类型:砖结构
4.填充(恢复)方式:水泥砂浆修补</t>
  </si>
  <si>
    <t>差:-6.48元 (-21.1%) 来源:会所合并</t>
  </si>
  <si>
    <t>混凝土凿槽及修复</t>
  </si>
  <si>
    <t>1.名称:凿槽及修补
2.规格:70mm×70mm
3.类型:混凝土结构
4.填充(恢复)方式:水泥砂浆修补</t>
  </si>
  <si>
    <t>差:-19.46元 (-44.6%) 来源:会所合并</t>
  </si>
  <si>
    <t>热水器 200L</t>
  </si>
  <si>
    <t>1.名称：热水器 200L
2.规格：200L 600*640*1691mm
3.热水器安装，包括角阀、不锈钢软管等所需材料
4.其他:包含完成该项内容所有工作及费用并满足设计图纸、规范等要求</t>
  </si>
  <si>
    <t>差:+5583.36元 (+145.7%) 来源:会所合并</t>
  </si>
  <si>
    <t>小厨宝</t>
  </si>
  <si>
    <t>1.名称：小厨宝
2.小厨宝安装，包括角阀、不锈钢软管等所需材料
3.包含完成该项内容所有工作及费用并满足设计图纸、规范等要求</t>
  </si>
  <si>
    <t>差:+89.60元 (+25.5%) 来源:会所合并</t>
  </si>
  <si>
    <t>冰箱</t>
  </si>
  <si>
    <t>1.名称：冰箱
2.包含完成该项内容所有工作及费用并满足设计图纸、规范等要求</t>
  </si>
  <si>
    <t>差:+517.38元 (+12.2%) 来源:会所合并</t>
  </si>
  <si>
    <t>自助售卖机</t>
  </si>
  <si>
    <t>1.名称：自助售卖机
2.规格：750*780*1830
3.包含完成该项内容所有工作及费用并满足设计图纸、规范等要求</t>
  </si>
  <si>
    <t>差:+1838.98元 (+63.2%) 来源:会所合并</t>
  </si>
  <si>
    <t>（2）标准层电梯厅</t>
  </si>
  <si>
    <t>（3）地下室大堂</t>
  </si>
  <si>
    <t>（4）电梯轿厢</t>
  </si>
  <si>
    <t>给排水工程</t>
  </si>
  <si>
    <t>1</t>
  </si>
  <si>
    <t>厨用单盆水槽</t>
  </si>
  <si>
    <t>1.名称：厨用单盆水槽
2.水槽安装
3.包含完成该项内容所有工作及费用并满足设计图纸、规范等要求</t>
  </si>
  <si>
    <t>差:-72.42元 (-5.9%) 来源:会所合并</t>
  </si>
  <si>
    <t>厨用龙头</t>
  </si>
  <si>
    <t>1.名称：厨用龙头
2.龙头安装，包括角阀、不锈钢软管、下水管等所需材料
3.包含完成该项内容所有工作及费用并满足设计图纸、规范等要求</t>
  </si>
  <si>
    <t>差:-414.32元 (-39.0%) 来源:会所合并</t>
  </si>
  <si>
    <t>台下盆</t>
  </si>
  <si>
    <t>1.名称：台下盆
2.台盆安装
3.包含完成该项内容所有工作及费用并满足设计图纸、规范等要求</t>
  </si>
  <si>
    <t>差:-258.02元 (-35.8%) 来源:会所合并</t>
  </si>
  <si>
    <t>台盆龙头</t>
  </si>
  <si>
    <t>1.名称：台盆龙头
2.台盆龙头安装，包括角阀、不锈钢软管、下水管等所需材料
3.包含完成该项内容所有工作及费用并满足设计图纸、规范等要求</t>
  </si>
  <si>
    <t>差:+13.18元 (+1.3%) 来源:会所合并</t>
  </si>
  <si>
    <t>智能马桶</t>
  </si>
  <si>
    <t>1.名称：智能马桶
2.智能马桶安装，包括角阀、不锈钢软管、马桶橡胶圈等所需材料
3.包含完成该项内容所有工作及费用并满足设计图纸、规范等要求</t>
  </si>
  <si>
    <t>差:-2158.30元 (-37.3%) 来源:会所合并</t>
  </si>
  <si>
    <t>连体蹲便器</t>
  </si>
  <si>
    <t>1.名称：连体蹲便器
2.蹲便器、水箱安装，包括角阀、不锈钢软管、等所需材料
3.包含完成该项内容所有工作及费用并满足设计图纸、规范等要求</t>
  </si>
  <si>
    <t>差:-1180.80元 (-47.4%) 来源:会所合并</t>
  </si>
  <si>
    <t>感应一体挂式小便器</t>
  </si>
  <si>
    <t>1.名称：感应一体挂式小便器
2.小便器、感应开关安装及其他一切等所需材料
3.包含完成该项内容所有工作及费用并满足设计图纸、规范等要求</t>
  </si>
  <si>
    <t>差:-3197.50元 (-75.3%) 来源:会所合并</t>
  </si>
  <si>
    <t>拖把池</t>
  </si>
  <si>
    <t>1.名称：拖把池
2.拖把池安装
3.包含完成该项内容所有工作及费用并满足设计图纸、规范等要求</t>
  </si>
  <si>
    <t>差:-88.30元 (-17.4%) 来源:会所合并</t>
  </si>
  <si>
    <t>用水咀龙头</t>
  </si>
  <si>
    <t>1.名称：用水咀龙头
2.拖把池安装
3.包含完成该项内容所有工作及费用并满足设计图纸、规范等要求</t>
  </si>
  <si>
    <t>差:-146.38元 (-70.1%) 来源:会所合并</t>
  </si>
  <si>
    <t>淋浴器</t>
  </si>
  <si>
    <t>1.名称：淋浴器
2.淋浴器安装
3.包含完成该项内容所有工作及费用并满足设计图纸、规范等要求</t>
  </si>
  <si>
    <t>差:-1862.80元 (-59.3%) 来源:会所合并</t>
  </si>
  <si>
    <t>地漏</t>
  </si>
  <si>
    <t>1.名称：地漏
2.地漏安装
3.包含完成该项内容所有工作及费用并满足设计图纸、规范等要求</t>
  </si>
  <si>
    <t>差:-20.09元 (-18.3%) 来源:会所合并</t>
  </si>
  <si>
    <t>三层会所卫生间台下盆</t>
  </si>
  <si>
    <t>1.名称：三层会所卫生间台下盆
2.台盆安装
3.包含完成该项内容所有工作及费用并满足设计图纸、规范等要求</t>
  </si>
  <si>
    <t>差:-445.92元 (-54.8%) 来源:会所合并</t>
  </si>
  <si>
    <t>冷水管PPR-DN15</t>
  </si>
  <si>
    <t>1.安装部位：室内
2.规格：DN15
3.材质：冷水用PPR(S4系列）
4.连接形式：热熔连接
5.压力试验及吹、洗设计要求：管道冲洗、消毒</t>
  </si>
  <si>
    <t>打堵洞孔、切管、调制、对口、熔化接口材料、粘接、管道、管件及管卡安装、灌水试验、通球试验。套管内封堵，色环及标识制作安装。</t>
  </si>
  <si>
    <t>按设计图示以管道中心线长度计算，不扣除阀门、管件、附件（包括器具组成）及井类所占长度</t>
  </si>
  <si>
    <t>差:+2.64元 (+11.0%) 来源:会所合并</t>
  </si>
  <si>
    <t>冷水管PPR-DN20</t>
  </si>
  <si>
    <t>1.安装部位：室内
2.规格：DN20
3.材质：冷水用PPR(S4系列）
4.连接形式：热熔连接
5.压力试验及吹、洗设计要求：管道冲洗、消毒</t>
  </si>
  <si>
    <t>差:+1.19元 (+4.6%) 来源:会所合并</t>
  </si>
  <si>
    <t>冷水管PPR-DN25</t>
  </si>
  <si>
    <t>1.安装部位：室内
2.规格：DN25
3.材质：冷水用PPR(S4系列）
4.连接形式：热熔连接
5.压力试验及吹、洗设计要求：管道冲洗、消毒</t>
  </si>
  <si>
    <t>差:-0.31元 (-1.0%) 来源:会所合并</t>
  </si>
  <si>
    <t>冷水管PPR-DN32</t>
  </si>
  <si>
    <t>1.安装部位：室内
2.规格：DN32
3.材质：冷水用PPR(S4系列）
4.连接形式：热熔连接
5.压力试验及吹、洗设计要求：管道冲洗、消毒</t>
  </si>
  <si>
    <t>差:+3.17元 (+8.8%) 来源:会所合并</t>
  </si>
  <si>
    <t>冷水管PPR-DN50</t>
  </si>
  <si>
    <t>1.安装部位：室内
2.规格：DN50
3.材质：冷水用PPR(S4系列）
4.连接形式：热熔连接
5.压力试验及吹、洗设计要求：管道冲洗、消毒</t>
  </si>
  <si>
    <t>差:-0.67元 (-1.4%) 来源:会所合并</t>
  </si>
  <si>
    <t>热水管PPR-DN15</t>
  </si>
  <si>
    <t>1.安装部位：室内
2.规格：DN15
3.材质：热水用PPR(S3.2系列）
4.连接形式：热熔连接
5.压力试验及吹、洗设计要求：管道冲洗、消毒</t>
  </si>
  <si>
    <t>差:+2.33元 (+9.4%) 来源:会所合并</t>
  </si>
  <si>
    <t>热水管PPR-DN20</t>
  </si>
  <si>
    <t>1.安装部位：室内
2.规格：DN20
3.材质：热水用PPR(S3.2系列）
4.连接形式：热熔连接
5.压力试验及吹、洗设计要求：管道冲洗、消毒</t>
  </si>
  <si>
    <t>差:+0.54元 (+2.0%) 来源:会所合并</t>
  </si>
  <si>
    <t>热水管PPR-DN25</t>
  </si>
  <si>
    <t>1.安装部位：室内
2.规格：DN25
3.材质：热水用PPR(S3.2系列）
4.连接形式：热熔连接
5.压力试验及吹、洗设计要求：管道冲洗、消毒</t>
  </si>
  <si>
    <t>差:-1.77元 (-5.6%) 来源:会所合并</t>
  </si>
  <si>
    <t>UPVC排水管-DN50</t>
  </si>
  <si>
    <t>1.安装部位：室内
2.规格：DN50
3.材质：UPVC排水管
4.连接形式:粘接连接</t>
  </si>
  <si>
    <t>差:-6.61元 (-16.1%) 来源:会所合并</t>
  </si>
  <si>
    <t>UPVC排水管-DN75</t>
  </si>
  <si>
    <t>1.安装部位：室内
2.规格：DN75
3.材质：UPVC排水管
5.连接形式:粘接连接</t>
  </si>
  <si>
    <t>差:+22.31元 (+45.9%) 来源:会所合并</t>
  </si>
  <si>
    <t>UPVC排水管-DN100</t>
  </si>
  <si>
    <t>1.安装部位：室内
2.规格：DN100
3.材质：UPVC排水管
6.连接形式:粘接连接</t>
  </si>
  <si>
    <t>差:+39.70元 (+63.6%) 来源:会所合并</t>
  </si>
  <si>
    <t>闸阀 DN50</t>
  </si>
  <si>
    <t>1.名称：闸阀
2.规格：DN50
3.材质：铸铁
6.连接形式:螺纹连接</t>
  </si>
  <si>
    <t>差:-4.83元 (-3.0%) 来源:会所合并</t>
  </si>
  <si>
    <t>措施费</t>
  </si>
  <si>
    <t>垃圾清理及卫生清洁</t>
  </si>
  <si>
    <t>卫生清理、含粗清洁、精清洁（按地面投影面积计算）</t>
  </si>
  <si>
    <t>差:-9.70元 (-32.9%) 来源:售楼处</t>
  </si>
  <si>
    <t>脚手架费用</t>
  </si>
  <si>
    <t>脚手架费用、包括活动式、满堂式、综合式、单排式（按地面投影面积计算）</t>
  </si>
  <si>
    <t>执行《GB/T50854-2024房屋建筑与装饰工程工程量计算标准》，按设计图示尺寸以建筑面积</t>
  </si>
  <si>
    <t>差:+2.10元 (+11.9%) 来源:售楼处</t>
  </si>
  <si>
    <t>不含税合计</t>
  </si>
  <si>
    <t>税金9%</t>
  </si>
  <si>
    <t>含税合计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</si>
</sst>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 numFmtId="178" formatCode="0.00_ "/>
  </numFmts>
  <fonts count="39">
    <font>
      <sz val="11"/>
      <color theme="1"/>
      <name val="宋体"/>
      <charset val="134"/>
      <scheme val="minor"/>
    </font>
    <font>
      <sz val="10"/>
      <color indexed="8"/>
      <name val="宋体"/>
      <charset val="134"/>
    </font>
    <font>
      <b/>
      <sz val="10"/>
      <color indexed="8"/>
      <name val="宋体"/>
      <charset val="134"/>
    </font>
    <font>
      <sz val="10"/>
      <color theme="1"/>
      <name val="宋体"/>
      <charset val="134"/>
      <scheme val="major"/>
    </font>
    <font>
      <b/>
      <sz val="10"/>
      <color indexed="8"/>
      <name val="宋体"/>
      <charset val="134"/>
      <scheme val="major"/>
    </font>
    <font>
      <sz val="10"/>
      <color indexed="8"/>
      <name val="宋体"/>
      <charset val="134"/>
      <scheme val="major"/>
    </font>
    <font>
      <b/>
      <sz val="10"/>
      <name val="宋体"/>
      <charset val="134"/>
    </font>
    <font>
      <b/>
      <sz val="14"/>
      <color rgb="FFFF0000"/>
      <name val="宋体"/>
      <charset val="134"/>
    </font>
    <font>
      <b/>
      <sz val="10"/>
      <color rgb="FFFF0000"/>
      <name val="宋体"/>
      <charset val="134"/>
    </font>
    <font>
      <sz val="10"/>
      <name val="宋体"/>
      <charset val="134"/>
    </font>
    <font>
      <sz val="10"/>
      <color theme="1"/>
      <name val="宋体"/>
      <charset val="134"/>
    </font>
    <font>
      <sz val="10"/>
      <name val="微软雅黑"/>
      <charset val="134"/>
    </font>
    <font>
      <sz val="10"/>
      <color theme="1"/>
      <name val="SimSun"/>
      <charset val="134"/>
    </font>
    <font>
      <sz val="10"/>
      <color rgb="FF000000"/>
      <name val="宋体"/>
      <charset val="134"/>
      <scheme val="major"/>
    </font>
    <font>
      <sz val="10"/>
      <color rgb="FF000000"/>
      <name val="宋体"/>
      <charset val="134"/>
    </font>
    <font>
      <b/>
      <sz val="10"/>
      <color rgb="FF000000"/>
      <name val="宋体"/>
      <charset val="134"/>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indexed="8"/>
      <name val="宋体"/>
      <charset val="134"/>
    </font>
    <font>
      <b/>
      <sz val="9"/>
      <color indexed="8"/>
      <name val="宋体"/>
      <charset val="134"/>
    </font>
    <font>
      <sz val="9"/>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16" fillId="0" borderId="0">
      <alignment vertical="center"/>
    </xf>
    <xf numFmtId="44" fontId="16" fillId="0" borderId="0">
      <alignment vertical="center"/>
    </xf>
    <xf numFmtId="9" fontId="16" fillId="0" borderId="0">
      <alignment vertical="center"/>
    </xf>
    <xf numFmtId="41" fontId="16" fillId="0" borderId="0">
      <alignment vertical="center"/>
    </xf>
    <xf numFmtId="42" fontId="16" fillId="0" borderId="0">
      <alignment vertical="center"/>
    </xf>
    <xf numFmtId="0" fontId="17" fillId="0" borderId="0">
      <alignment vertical="center"/>
    </xf>
    <xf numFmtId="0" fontId="18" fillId="0" borderId="0">
      <alignment vertical="center"/>
    </xf>
    <xf numFmtId="0" fontId="16" fillId="2" borderId="5">
      <alignment vertical="center"/>
    </xf>
    <xf numFmtId="0" fontId="19" fillId="0" borderId="0">
      <alignment vertical="center"/>
    </xf>
    <xf numFmtId="0" fontId="20" fillId="0" borderId="0">
      <alignment vertical="center"/>
    </xf>
    <xf numFmtId="0" fontId="21" fillId="0" borderId="0">
      <alignment vertical="center"/>
    </xf>
    <xf numFmtId="0" fontId="22" fillId="0" borderId="6">
      <alignment vertical="center"/>
    </xf>
    <xf numFmtId="0" fontId="23" fillId="0" borderId="6">
      <alignment vertical="center"/>
    </xf>
    <xf numFmtId="0" fontId="24" fillId="0" borderId="7">
      <alignment vertical="center"/>
    </xf>
    <xf numFmtId="0" fontId="24" fillId="0" borderId="0">
      <alignment vertical="center"/>
    </xf>
    <xf numFmtId="0" fontId="25" fillId="3" borderId="8">
      <alignment vertical="center"/>
    </xf>
    <xf numFmtId="0" fontId="26" fillId="4" borderId="9">
      <alignment vertical="center"/>
    </xf>
    <xf numFmtId="0" fontId="27" fillId="4" borderId="8">
      <alignment vertical="center"/>
    </xf>
    <xf numFmtId="0" fontId="28" fillId="5" borderId="10">
      <alignment vertical="center"/>
    </xf>
    <xf numFmtId="0" fontId="29" fillId="0" borderId="11">
      <alignment vertical="center"/>
    </xf>
    <xf numFmtId="0" fontId="30" fillId="0" borderId="12">
      <alignment vertical="center"/>
    </xf>
    <xf numFmtId="0" fontId="31" fillId="6" borderId="0">
      <alignment vertical="center"/>
    </xf>
    <xf numFmtId="0" fontId="32" fillId="7" borderId="0">
      <alignment vertical="center"/>
    </xf>
    <xf numFmtId="0" fontId="33" fillId="8" borderId="0">
      <alignment vertical="center"/>
    </xf>
    <xf numFmtId="0" fontId="34" fillId="9" borderId="0">
      <alignment vertical="center"/>
    </xf>
    <xf numFmtId="0" fontId="35" fillId="10" borderId="0">
      <alignment vertical="center"/>
    </xf>
    <xf numFmtId="0" fontId="35" fillId="11" borderId="0">
      <alignment vertical="center"/>
    </xf>
    <xf numFmtId="0" fontId="34" fillId="12" borderId="0">
      <alignment vertical="center"/>
    </xf>
    <xf numFmtId="0" fontId="34" fillId="13" borderId="0">
      <alignment vertical="center"/>
    </xf>
    <xf numFmtId="0" fontId="35" fillId="14" borderId="0">
      <alignment vertical="center"/>
    </xf>
    <xf numFmtId="0" fontId="35" fillId="15" borderId="0">
      <alignment vertical="center"/>
    </xf>
    <xf numFmtId="0" fontId="34" fillId="16" borderId="0">
      <alignment vertical="center"/>
    </xf>
    <xf numFmtId="0" fontId="34" fillId="17" borderId="0">
      <alignment vertical="center"/>
    </xf>
    <xf numFmtId="0" fontId="35" fillId="18" borderId="0">
      <alignment vertical="center"/>
    </xf>
    <xf numFmtId="0" fontId="35" fillId="19" borderId="0">
      <alignment vertical="center"/>
    </xf>
    <xf numFmtId="0" fontId="34" fillId="20" borderId="0">
      <alignment vertical="center"/>
    </xf>
    <xf numFmtId="0" fontId="34" fillId="21" borderId="0">
      <alignment vertical="center"/>
    </xf>
    <xf numFmtId="0" fontId="35" fillId="22" borderId="0">
      <alignment vertical="center"/>
    </xf>
    <xf numFmtId="0" fontId="35" fillId="23" borderId="0">
      <alignment vertical="center"/>
    </xf>
    <xf numFmtId="0" fontId="34" fillId="24" borderId="0">
      <alignment vertical="center"/>
    </xf>
    <xf numFmtId="0" fontId="34" fillId="25" borderId="0">
      <alignment vertical="center"/>
    </xf>
    <xf numFmtId="0" fontId="35" fillId="26" borderId="0">
      <alignment vertical="center"/>
    </xf>
    <xf numFmtId="0" fontId="35" fillId="27" borderId="0">
      <alignment vertical="center"/>
    </xf>
    <xf numFmtId="0" fontId="34" fillId="28" borderId="0">
      <alignment vertical="center"/>
    </xf>
    <xf numFmtId="0" fontId="34" fillId="29" borderId="0">
      <alignment vertical="center"/>
    </xf>
    <xf numFmtId="0" fontId="35" fillId="30" borderId="0">
      <alignment vertical="center"/>
    </xf>
    <xf numFmtId="0" fontId="35" fillId="31" borderId="0">
      <alignment vertical="center"/>
    </xf>
    <xf numFmtId="0" fontId="34" fillId="32" borderId="0">
      <alignment vertical="center"/>
    </xf>
    <xf numFmtId="0" fontId="36" fillId="0" borderId="0"/>
    <xf numFmtId="0" fontId="37" fillId="0" borderId="0"/>
    <xf numFmtId="0" fontId="36" fillId="0" borderId="0"/>
    <xf numFmtId="0" fontId="38" fillId="0" borderId="0"/>
  </cellStyleXfs>
  <cellXfs count="62">
    <xf numFmtId="0" fontId="0" fillId="0" borderId="0" xfId="0"/>
    <xf numFmtId="0" fontId="1"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vertical="center"/>
    </xf>
    <xf numFmtId="0" fontId="4" fillId="0" borderId="0" xfId="0" applyFont="1" applyAlignment="1">
      <alignment horizontal="center" vertical="center" wrapText="1"/>
    </xf>
    <xf numFmtId="0" fontId="5" fillId="0" borderId="0" xfId="49" applyFont="1"/>
    <xf numFmtId="0" fontId="4" fillId="0" borderId="0" xfId="50" applyFont="1"/>
    <xf numFmtId="49" fontId="1" fillId="0" borderId="0" xfId="51" applyNumberFormat="1" applyFont="1" applyAlignment="1">
      <alignment horizontal="center"/>
    </xf>
    <xf numFmtId="0" fontId="1" fillId="0" borderId="0" xfId="0" applyFont="1" applyAlignment="1">
      <alignment horizontal="left" vertical="center" wrapText="1"/>
    </xf>
    <xf numFmtId="176" fontId="1" fillId="0" borderId="0" xfId="0" applyNumberFormat="1" applyFont="1" applyAlignment="1">
      <alignment horizontal="right" vertical="center" wrapText="1"/>
    </xf>
    <xf numFmtId="177" fontId="1" fillId="0" borderId="0" xfId="0" applyNumberFormat="1" applyFont="1" applyAlignment="1">
      <alignment horizontal="right" vertical="center" wrapText="1"/>
    </xf>
    <xf numFmtId="177" fontId="1" fillId="0" borderId="0" xfId="0" applyNumberFormat="1" applyFont="1" applyAlignment="1">
      <alignment horizontal="center" vertical="center" wrapText="1"/>
    </xf>
    <xf numFmtId="178" fontId="6" fillId="0" borderId="0" xfId="0" applyNumberFormat="1" applyFont="1" applyAlignment="1">
      <alignment horizontal="center" vertical="center"/>
    </xf>
    <xf numFmtId="178" fontId="1" fillId="0" borderId="0" xfId="0" applyNumberFormat="1"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176" fontId="8" fillId="0" borderId="1" xfId="0" applyNumberFormat="1" applyFont="1" applyBorder="1" applyAlignment="1">
      <alignment horizontal="center" vertical="center" wrapText="1"/>
    </xf>
    <xf numFmtId="0" fontId="0" fillId="0" borderId="2" xfId="0" applyBorder="1"/>
    <xf numFmtId="178" fontId="0" fillId="0" borderId="0" xfId="0" applyNumberFormat="1" applyAlignment="1">
      <alignment horizontal="center" vertical="center" wrapText="1"/>
    </xf>
    <xf numFmtId="0" fontId="0" fillId="0" borderId="0" xfId="0" applyAlignment="1">
      <alignment horizontal="left" vertical="center" wrapText="1"/>
    </xf>
    <xf numFmtId="0" fontId="0" fillId="0" borderId="3" xfId="0" applyBorder="1"/>
    <xf numFmtId="49" fontId="6" fillId="0" borderId="1" xfId="0" applyNumberFormat="1" applyFont="1" applyBorder="1" applyAlignment="1">
      <alignment horizontal="center" vertical="center" wrapText="1"/>
    </xf>
    <xf numFmtId="178" fontId="2" fillId="0" borderId="0" xfId="0" applyNumberFormat="1" applyFont="1" applyAlignment="1">
      <alignment horizontal="center" vertical="center" wrapText="1"/>
    </xf>
    <xf numFmtId="0" fontId="2" fillId="0" borderId="0" xfId="0" applyFont="1" applyAlignment="1">
      <alignment horizontal="left" vertical="center" wrapText="1"/>
    </xf>
    <xf numFmtId="0" fontId="4" fillId="0" borderId="1" xfId="0"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176" fontId="10" fillId="0" borderId="1" xfId="0" applyNumberFormat="1" applyFont="1" applyBorder="1" applyAlignment="1">
      <alignment vertical="center"/>
    </xf>
    <xf numFmtId="178" fontId="10" fillId="0" borderId="1" xfId="0" applyNumberFormat="1" applyFont="1" applyBorder="1" applyAlignment="1">
      <alignment horizontal="right" vertical="center"/>
    </xf>
    <xf numFmtId="10" fontId="2" fillId="0" borderId="3" xfId="3" applyNumberFormat="1" applyFont="1" applyBorder="1" applyAlignment="1">
      <alignment horizontal="center" vertical="center" wrapText="1"/>
    </xf>
    <xf numFmtId="178" fontId="1" fillId="0" borderId="1" xfId="0" applyNumberFormat="1" applyFont="1" applyBorder="1" applyAlignment="1">
      <alignment horizontal="right" vertical="center" wrapText="1"/>
    </xf>
    <xf numFmtId="0" fontId="10" fillId="0" borderId="1" xfId="0" applyFont="1" applyBorder="1" applyAlignment="1">
      <alignment horizontal="center" vertical="center"/>
    </xf>
    <xf numFmtId="178" fontId="1" fillId="0" borderId="1" xfId="0" applyNumberFormat="1" applyFont="1" applyBorder="1" applyAlignment="1">
      <alignment horizontal="center" vertical="center" wrapText="1"/>
    </xf>
    <xf numFmtId="178" fontId="3" fillId="0" borderId="0" xfId="0" applyNumberFormat="1"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xf>
    <xf numFmtId="0" fontId="0" fillId="0" borderId="4" xfId="0" applyBorder="1"/>
    <xf numFmtId="0" fontId="5" fillId="0" borderId="1" xfId="0" applyFont="1" applyBorder="1" applyAlignment="1">
      <alignment horizontal="center" vertical="center"/>
    </xf>
    <xf numFmtId="0" fontId="11" fillId="0" borderId="1" xfId="52" applyFont="1" applyBorder="1" applyAlignment="1">
      <alignment horizontal="center" vertical="center" wrapText="1"/>
    </xf>
    <xf numFmtId="178" fontId="12" fillId="0" borderId="0" xfId="0" applyNumberFormat="1" applyFont="1" applyAlignment="1">
      <alignment horizontal="center" vertical="center" wrapText="1"/>
    </xf>
    <xf numFmtId="0" fontId="4" fillId="0" borderId="1" xfId="0" applyFont="1" applyBorder="1" applyAlignment="1">
      <alignment horizontal="center" vertical="center" wrapText="1"/>
    </xf>
    <xf numFmtId="178" fontId="4" fillId="0" borderId="0" xfId="0" applyNumberFormat="1" applyFont="1" applyAlignment="1">
      <alignment horizontal="center" vertical="center" wrapText="1"/>
    </xf>
    <xf numFmtId="0" fontId="13" fillId="0" borderId="1" xfId="0" applyFont="1" applyBorder="1" applyAlignment="1">
      <alignment horizontal="left" vertical="center" wrapText="1"/>
    </xf>
    <xf numFmtId="178" fontId="2" fillId="0" borderId="1" xfId="0" applyNumberFormat="1" applyFont="1" applyBorder="1" applyAlignment="1">
      <alignment horizontal="right" vertical="center" wrapText="1"/>
    </xf>
    <xf numFmtId="49" fontId="14" fillId="0" borderId="1" xfId="0" applyNumberFormat="1" applyFont="1" applyBorder="1" applyAlignment="1">
      <alignment horizontal="centerContinuous" vertical="center" wrapText="1"/>
    </xf>
    <xf numFmtId="178" fontId="5" fillId="0" borderId="0" xfId="49" applyNumberFormat="1" applyFont="1" applyAlignment="1">
      <alignment horizontal="center" vertical="center" wrapText="1"/>
    </xf>
    <xf numFmtId="0" fontId="5" fillId="0" borderId="0" xfId="49" applyFont="1" applyAlignment="1">
      <alignment horizontal="center" vertical="center"/>
    </xf>
    <xf numFmtId="0" fontId="14" fillId="0" borderId="1" xfId="0" applyFont="1" applyBorder="1" applyAlignment="1">
      <alignment horizontal="centerContinuous" vertical="center" wrapText="1"/>
    </xf>
    <xf numFmtId="0" fontId="4" fillId="0" borderId="0" xfId="50" applyFont="1" applyAlignment="1">
      <alignment horizontal="center" vertical="center"/>
    </xf>
    <xf numFmtId="49" fontId="1" fillId="0" borderId="1" xfId="51" applyNumberFormat="1" applyFont="1" applyBorder="1" applyAlignment="1">
      <alignment horizontal="center"/>
    </xf>
    <xf numFmtId="178" fontId="1" fillId="0" borderId="0" xfId="51" applyNumberFormat="1" applyFont="1" applyAlignment="1">
      <alignment horizontal="center" vertical="center" wrapText="1"/>
    </xf>
    <xf numFmtId="49" fontId="1" fillId="0" borderId="0" xfId="51" applyNumberFormat="1" applyFont="1" applyAlignment="1">
      <alignment horizontal="center" vertical="center"/>
    </xf>
    <xf numFmtId="49" fontId="15" fillId="0" borderId="1" xfId="0" applyNumberFormat="1" applyFont="1" applyBorder="1" applyAlignment="1">
      <alignment horizontal="centerContinuous" vertical="center" wrapText="1"/>
    </xf>
    <xf numFmtId="178" fontId="4" fillId="0" borderId="0" xfId="50" applyNumberFormat="1" applyFont="1" applyAlignment="1">
      <alignment horizontal="center" vertical="center" wrapText="1"/>
    </xf>
    <xf numFmtId="0" fontId="5" fillId="0" borderId="1" xfId="0" applyFont="1" applyBorder="1" applyAlignment="1">
      <alignment horizontal="center" vertical="center" wrapText="1"/>
    </xf>
    <xf numFmtId="178" fontId="4" fillId="0" borderId="1" xfId="0" applyNumberFormat="1" applyFont="1" applyBorder="1" applyAlignment="1">
      <alignment horizontal="right" vertical="center" wrapText="1"/>
    </xf>
    <xf numFmtId="178" fontId="2" fillId="0" borderId="1" xfId="0" applyNumberFormat="1" applyFont="1" applyBorder="1" applyAlignment="1">
      <alignment horizontal="center" vertical="center" wrapText="1"/>
    </xf>
    <xf numFmtId="0" fontId="4" fillId="0" borderId="0" xfId="0" applyFont="1" applyAlignment="1">
      <alignment horizontal="left" vertical="center" wrapText="1"/>
    </xf>
    <xf numFmtId="178" fontId="2" fillId="0" borderId="3" xfId="0" applyNumberFormat="1" applyFont="1" applyBorder="1" applyAlignment="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3" xfId="49"/>
    <cellStyle name="RowLevel_0" xfId="50"/>
    <cellStyle name="常规 3 3 2" xfId="51"/>
    <cellStyle name="Normal" xf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ar\mobile\Containers\Data\Application\D753FB2C-B1E0-412A-8FD6-CBBA790881A2\Documents\WpsQingCache_\204093671\o\LOCAL-F50BC614-E946-4D5D-A2E9-1EA9E1A6E1E5\n\C:\&#22478;&#24066;&#20844;&#21496;\&#25307;&#26631;&#25511;&#21046;&#20215;\&#23792;&#23578;&#19977;&#26399;&#20027;&#20307;\&#23792;&#23578;&#19977;&#26399;&#25511;&#21046;&#20215;\&#25511;&#21046;&#20215;&#25253;&#32929;&#20221;\&#22686;&#20540;&#31246;&#27169;&#24335;\&#29664;&#28023;&#20844;&#21496;\&#21313;&#23383;&#38376;&#22269;&#38469;&#31038;&#21306;\&#20998;&#39033;&#24037;&#31243;\&#20027;&#20307;\&#32511;&#27915;&#28286;\0&#12289;&#21326;&#21457;&#32511;&#27915;&#28286;&#20027;&#20307;&#24314;&#23433;&#24037;&#31243;&#25307;&#26631;&#25511;&#21046;&#20215;2015.08.07&#65288;&#26681;&#25454;&#20844;&#21496;&#39046;&#23548;&#35201;&#27714;&#22312;20150728&#29256;&#26412;&#30340;&#22522;&#30784;&#19978;+3%25&#65289;\&#21508;&#24037;&#31243;&#25991;&#26723;\&#21335;&#28023;&#31048;&#31119;&#21335;&#28286;&#21322;&#23707;\&#27915;&#27004;\A12b&#23627;&#22411;\A12b&#23627;&#22411;&#32467;&#26500;&#24037;&#31243;&#3732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备注"/>
      <sheetName val="管桩"/>
      <sheetName val="承台基础"/>
      <sheetName val="地梁"/>
      <sheetName val="异柱"/>
      <sheetName val="矩柱"/>
      <sheetName val="构造柱"/>
      <sheetName val="电梯井壁"/>
      <sheetName val="直梁"/>
      <sheetName val="圈梁"/>
      <sheetName val="楼板"/>
      <sheetName val="挑檐"/>
      <sheetName val="栏板"/>
      <sheetName val="空调板"/>
      <sheetName val="雨篷"/>
      <sheetName val="梯板"/>
      <sheetName val="门窗表"/>
      <sheetName val="骨浆计算式(备)"/>
      <sheetName val="计算式明细"/>
      <sheetName val="墙面工程"/>
      <sheetName val="PUR资料库"/>
      <sheetName val="#REF!"/>
      <sheetName val="sum(Flooring )"/>
      <sheetName val="汇总表"/>
      <sheetName val="工程量表"/>
      <sheetName val="2清单编制说明"/>
      <sheetName val="底板"/>
      <sheetName val="单位库"/>
      <sheetName val="清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outlinePr summaryBelow="0"/>
    <pageSetUpPr fitToPage="1"/>
  </sheetPr>
  <dimension ref="A1:T1493"/>
  <sheetViews>
    <sheetView tabSelected="1" view="pageBreakPreview" zoomScaleNormal="90" workbookViewId="0">
      <pane ySplit="3" topLeftCell="A248" activePane="bottomLeft" state="frozen"/>
      <selection/>
      <selection pane="bottomLeft" activeCell="Q251" sqref="Q251"/>
    </sheetView>
  </sheetViews>
  <sheetFormatPr defaultColWidth="9.64166666666667" defaultRowHeight="12"/>
  <cols>
    <col min="1" max="1" width="6.98333333333333" style="1" customWidth="1"/>
    <col min="2" max="2" width="19.375" style="8" customWidth="1"/>
    <col min="3" max="3" width="28.875" style="1" customWidth="1"/>
    <col min="4" max="5" width="30.125" style="1" hidden="1" customWidth="1"/>
    <col min="6" max="6" width="6.09166666666667" style="1" customWidth="1"/>
    <col min="7" max="7" width="12.375" style="9" customWidth="1"/>
    <col min="8" max="8" width="12.125" style="9" customWidth="1"/>
    <col min="9" max="9" width="10.375" style="9" customWidth="1"/>
    <col min="10" max="10" width="12.8166666666667" style="9" customWidth="1"/>
    <col min="11" max="11" width="14.625" style="10" customWidth="1"/>
    <col min="12" max="12" width="11.5" style="11" customWidth="1"/>
    <col min="13" max="13" width="10.5" style="12" customWidth="1"/>
    <col min="14" max="14" width="5.625" style="12" customWidth="1"/>
    <col min="15" max="15" width="15" style="13" customWidth="1"/>
    <col min="16" max="16" width="15" style="8" customWidth="1"/>
    <col min="17" max="17" width="12.8166666666667" style="14" customWidth="1"/>
    <col min="18" max="18" width="11.6333333333333" style="14" customWidth="1"/>
    <col min="19" max="20" width="11.6333333333333" style="1" customWidth="1"/>
    <col min="21" max="14634" width="10" style="1" customWidth="1"/>
    <col min="14635" max="16384" width="9.64166666666667" style="1" customWidth="1"/>
  </cols>
  <sheetData>
    <row r="1" s="1" customFormat="1" ht="18.75" customHeight="1" spans="1:18">
      <c r="A1" s="15" t="s">
        <v>0</v>
      </c>
      <c r="N1" s="16"/>
      <c r="O1" s="13"/>
      <c r="P1" s="8"/>
      <c r="Q1" s="14"/>
      <c r="R1" s="14"/>
    </row>
    <row r="2" s="1" customFormat="1" ht="27" spans="1:18">
      <c r="A2" s="17" t="s">
        <v>1</v>
      </c>
      <c r="B2" s="17" t="s">
        <v>2</v>
      </c>
      <c r="C2" s="17" t="s">
        <v>3</v>
      </c>
      <c r="D2" s="17" t="s">
        <v>4</v>
      </c>
      <c r="E2" s="17" t="s">
        <v>5</v>
      </c>
      <c r="F2" s="17" t="s">
        <v>6</v>
      </c>
      <c r="G2" s="18" t="s">
        <v>7</v>
      </c>
      <c r="H2" s="19" t="s">
        <v>8</v>
      </c>
      <c r="I2" s="19" t="s">
        <v>9</v>
      </c>
      <c r="J2" s="19" t="s">
        <v>10</v>
      </c>
      <c r="K2" s="20"/>
      <c r="L2" s="17" t="s">
        <v>11</v>
      </c>
      <c r="M2" s="17" t="s">
        <v>12</v>
      </c>
      <c r="N2" s="16"/>
      <c r="O2" s="21" t="s">
        <v>13</v>
      </c>
      <c r="P2" s="22" t="s">
        <v>14</v>
      </c>
      <c r="Q2" s="14"/>
      <c r="R2" s="14"/>
    </row>
    <row r="3" s="2" customFormat="1" ht="24" customHeight="1" spans="1:18">
      <c r="A3" s="23"/>
      <c r="B3" s="23"/>
      <c r="C3" s="23"/>
      <c r="D3" s="23"/>
      <c r="E3" s="23"/>
      <c r="F3" s="23"/>
      <c r="G3" s="23"/>
      <c r="H3" s="24" t="s">
        <v>15</v>
      </c>
      <c r="I3" s="23"/>
      <c r="J3" s="24" t="s">
        <v>16</v>
      </c>
      <c r="K3" s="17" t="s">
        <v>17</v>
      </c>
      <c r="L3" s="23"/>
      <c r="M3" s="23"/>
      <c r="O3" s="25"/>
      <c r="P3" s="26"/>
    </row>
    <row r="4" s="3" customFormat="1" spans="1:18">
      <c r="A4" s="27" t="s">
        <v>18</v>
      </c>
      <c r="B4" s="17" t="s">
        <v>19</v>
      </c>
      <c r="C4" s="28"/>
      <c r="D4" s="28"/>
      <c r="E4" s="28"/>
      <c r="F4" s="29"/>
      <c r="G4" s="30"/>
      <c r="H4" s="31"/>
      <c r="I4" s="32">
        <v>0</v>
      </c>
      <c r="J4" s="31"/>
      <c r="K4" s="33"/>
      <c r="L4" s="34"/>
      <c r="M4" s="35"/>
      <c r="O4" s="36"/>
      <c r="P4" s="37"/>
      <c r="Q4" s="38"/>
      <c r="R4" s="38"/>
    </row>
    <row r="5" s="3" customFormat="1" ht="24" outlineLevel="1" spans="1:18">
      <c r="A5" s="27" t="s">
        <v>20</v>
      </c>
      <c r="B5" s="28" t="s">
        <v>21</v>
      </c>
      <c r="C5" s="28"/>
      <c r="D5" s="28"/>
      <c r="E5" s="28"/>
      <c r="F5" s="29"/>
      <c r="G5" s="30"/>
      <c r="H5" s="31"/>
      <c r="I5" s="39"/>
      <c r="J5" s="31"/>
      <c r="K5" s="33"/>
      <c r="L5" s="34"/>
      <c r="M5" s="35"/>
      <c r="O5" s="36"/>
      <c r="P5" s="37"/>
      <c r="Q5" s="38"/>
      <c r="R5" s="38"/>
    </row>
    <row r="6" s="3" customFormat="1" outlineLevel="1" spans="1:18">
      <c r="A6" s="40"/>
      <c r="B6" s="28" t="s">
        <v>22</v>
      </c>
      <c r="C6" s="28"/>
      <c r="D6" s="28"/>
      <c r="E6" s="28"/>
      <c r="F6" s="29"/>
      <c r="G6" s="30"/>
      <c r="H6" s="31"/>
      <c r="I6" s="39"/>
      <c r="J6" s="31"/>
      <c r="K6" s="33"/>
      <c r="L6" s="34"/>
      <c r="M6" s="35"/>
      <c r="O6" s="36"/>
      <c r="P6" s="37"/>
      <c r="Q6" s="38"/>
      <c r="R6" s="38"/>
    </row>
    <row r="7" s="3" customFormat="1" ht="108" customHeight="1" outlineLevel="2" spans="1:18">
      <c r="A7" s="41">
        <f>1+N(A6)</f>
        <v>1</v>
      </c>
      <c r="B7" s="28" t="s">
        <v>23</v>
      </c>
      <c r="C7" s="28" t="s">
        <v>24</v>
      </c>
      <c r="D7" s="28" t="s">
        <v>25</v>
      </c>
      <c r="E7" s="28" t="s">
        <v>26</v>
      </c>
      <c r="F7" s="29" t="s">
        <v>27</v>
      </c>
      <c r="G7" s="30">
        <v>18.57</v>
      </c>
      <c r="H7" s="31">
        <v>940.91</v>
      </c>
      <c r="I7" s="39"/>
      <c r="J7" s="31">
        <f>H7*(1-$I$4)</f>
        <v>940.91</v>
      </c>
      <c r="K7" s="33">
        <f>ROUND(G7*J7,2)</f>
        <v>17472.7</v>
      </c>
      <c r="L7" s="34" t="s">
        <v>28</v>
      </c>
      <c r="M7" s="35"/>
      <c r="N7" s="3">
        <v>1</v>
      </c>
      <c r="O7" s="21">
        <v>886.6</v>
      </c>
      <c r="P7" s="22" t="s">
        <v>29</v>
      </c>
      <c r="Q7" s="38"/>
      <c r="R7" s="38"/>
    </row>
    <row r="8" s="3" customFormat="1" ht="108" customHeight="1" outlineLevel="2" spans="1:18">
      <c r="A8" s="41">
        <f>1+N(A7)</f>
        <v>2</v>
      </c>
      <c r="B8" s="28" t="s">
        <v>30</v>
      </c>
      <c r="C8" s="28" t="s">
        <v>31</v>
      </c>
      <c r="D8" s="28" t="s">
        <v>25</v>
      </c>
      <c r="E8" s="28" t="s">
        <v>26</v>
      </c>
      <c r="F8" s="29" t="s">
        <v>27</v>
      </c>
      <c r="G8" s="30">
        <v>10.62</v>
      </c>
      <c r="H8" s="31">
        <v>1412.25</v>
      </c>
      <c r="I8" s="39"/>
      <c r="J8" s="31">
        <f>H8*(1-$I$4)</f>
        <v>1412.25</v>
      </c>
      <c r="K8" s="33">
        <f>ROUND(G8*J8,2)</f>
        <v>14998.1</v>
      </c>
      <c r="L8" s="34" t="s">
        <v>28</v>
      </c>
      <c r="M8" s="35"/>
      <c r="N8" s="3">
        <v>1</v>
      </c>
      <c r="O8" s="21">
        <v>1135.86</v>
      </c>
      <c r="P8" s="22" t="s">
        <v>32</v>
      </c>
      <c r="Q8" s="38"/>
      <c r="R8" s="38"/>
    </row>
    <row r="9" s="3" customFormat="1" ht="84" customHeight="1" outlineLevel="2" spans="1:18">
      <c r="A9" s="41">
        <f>1+N(A8)</f>
        <v>3</v>
      </c>
      <c r="B9" s="28" t="s">
        <v>33</v>
      </c>
      <c r="C9" s="28" t="s">
        <v>34</v>
      </c>
      <c r="D9" s="28" t="s">
        <v>25</v>
      </c>
      <c r="E9" s="28" t="s">
        <v>26</v>
      </c>
      <c r="F9" s="29" t="s">
        <v>27</v>
      </c>
      <c r="G9" s="30">
        <v>2.58</v>
      </c>
      <c r="H9" s="31">
        <v>336.76</v>
      </c>
      <c r="I9" s="39"/>
      <c r="J9" s="31">
        <f>H9*(1-$I$4)</f>
        <v>336.76</v>
      </c>
      <c r="K9" s="33">
        <f>ROUND(G9*J9,2)</f>
        <v>868.84</v>
      </c>
      <c r="L9" s="34" t="s">
        <v>28</v>
      </c>
      <c r="M9" s="35"/>
      <c r="N9" s="3">
        <v>1</v>
      </c>
      <c r="O9" s="21">
        <v>202.68</v>
      </c>
      <c r="P9" s="22" t="s">
        <v>35</v>
      </c>
      <c r="Q9" s="38"/>
      <c r="R9" s="38"/>
    </row>
    <row r="10" s="3" customFormat="1" ht="72" customHeight="1" outlineLevel="2" spans="1:18">
      <c r="A10" s="41">
        <f>1+N(A9)</f>
        <v>4</v>
      </c>
      <c r="B10" s="28" t="s">
        <v>36</v>
      </c>
      <c r="C10" s="28" t="s">
        <v>37</v>
      </c>
      <c r="D10" s="28" t="s">
        <v>25</v>
      </c>
      <c r="E10" s="28" t="s">
        <v>38</v>
      </c>
      <c r="F10" s="29" t="s">
        <v>39</v>
      </c>
      <c r="G10" s="30">
        <v>12.77</v>
      </c>
      <c r="H10" s="31">
        <v>89.27</v>
      </c>
      <c r="I10" s="39"/>
      <c r="J10" s="31">
        <f>H10*(1-$I$4)</f>
        <v>89.27</v>
      </c>
      <c r="K10" s="33">
        <f>ROUND(G10*J10,2)</f>
        <v>1139.98</v>
      </c>
      <c r="L10" s="34" t="s">
        <v>28</v>
      </c>
      <c r="M10" s="35"/>
      <c r="N10" s="3">
        <v>1</v>
      </c>
      <c r="O10" s="21">
        <v>35.28</v>
      </c>
      <c r="P10" s="22" t="s">
        <v>40</v>
      </c>
      <c r="Q10" s="38"/>
      <c r="R10" s="38"/>
    </row>
    <row r="11" s="3" customFormat="1" ht="72" customHeight="1" outlineLevel="2" spans="1:18">
      <c r="A11" s="41">
        <f>1+N(A10)</f>
        <v>5</v>
      </c>
      <c r="B11" s="28" t="s">
        <v>41</v>
      </c>
      <c r="C11" s="28" t="s">
        <v>42</v>
      </c>
      <c r="D11" s="28" t="s">
        <v>25</v>
      </c>
      <c r="E11" s="28" t="s">
        <v>26</v>
      </c>
      <c r="F11" s="29" t="s">
        <v>27</v>
      </c>
      <c r="G11" s="30">
        <v>14.77</v>
      </c>
      <c r="H11" s="31">
        <v>64.9</v>
      </c>
      <c r="I11" s="39"/>
      <c r="J11" s="31">
        <f>H11*(1-$I$4)</f>
        <v>64.9</v>
      </c>
      <c r="K11" s="33">
        <f>ROUND(G11*J11,2)</f>
        <v>958.57</v>
      </c>
      <c r="L11" s="34" t="s">
        <v>28</v>
      </c>
      <c r="M11" s="35"/>
      <c r="N11" s="3">
        <v>1</v>
      </c>
      <c r="O11" s="21">
        <v>61.38</v>
      </c>
      <c r="P11" s="22" t="s">
        <v>43</v>
      </c>
      <c r="Q11" s="38"/>
      <c r="R11" s="38"/>
    </row>
    <row r="12" s="3" customFormat="1" outlineLevel="1" spans="1:18">
      <c r="A12" s="40"/>
      <c r="B12" s="28" t="s">
        <v>44</v>
      </c>
      <c r="C12" s="28"/>
      <c r="D12" s="28"/>
      <c r="E12" s="28"/>
      <c r="F12" s="29"/>
      <c r="G12" s="30"/>
      <c r="H12" s="31"/>
      <c r="I12" s="39"/>
      <c r="J12" s="31"/>
      <c r="K12" s="33"/>
      <c r="L12" s="34"/>
      <c r="M12" s="35"/>
      <c r="O12" s="36"/>
      <c r="P12" s="37"/>
      <c r="Q12" s="38"/>
      <c r="R12" s="38"/>
    </row>
    <row r="13" s="3" customFormat="1" ht="108" customHeight="1" outlineLevel="2" spans="1:18">
      <c r="A13" s="41">
        <f t="shared" ref="A13:A26" si="0">1+N(A12)</f>
        <v>1</v>
      </c>
      <c r="B13" s="28" t="s">
        <v>45</v>
      </c>
      <c r="C13" s="28" t="s">
        <v>46</v>
      </c>
      <c r="D13" s="28" t="s">
        <v>47</v>
      </c>
      <c r="E13" s="28" t="s">
        <v>48</v>
      </c>
      <c r="F13" s="29" t="s">
        <v>27</v>
      </c>
      <c r="G13" s="30">
        <v>12.94</v>
      </c>
      <c r="H13" s="31">
        <v>2668.45</v>
      </c>
      <c r="I13" s="39"/>
      <c r="J13" s="31">
        <f t="shared" ref="J13:J26" si="1">H13*(1-$I$4)</f>
        <v>2668.45</v>
      </c>
      <c r="K13" s="33">
        <f t="shared" ref="K13:K26" si="2">ROUND(G13*J13,2)</f>
        <v>34529.74</v>
      </c>
      <c r="L13" s="34" t="s">
        <v>28</v>
      </c>
      <c r="M13" s="35"/>
      <c r="N13" s="3">
        <v>1</v>
      </c>
      <c r="O13" s="21">
        <v>1019.76</v>
      </c>
      <c r="P13" s="22" t="s">
        <v>49</v>
      </c>
      <c r="Q13" s="38"/>
      <c r="R13" s="38"/>
    </row>
    <row r="14" s="3" customFormat="1" ht="156" customHeight="1" outlineLevel="2" spans="1:18">
      <c r="A14" s="41">
        <f t="shared" si="0"/>
        <v>2</v>
      </c>
      <c r="B14" s="28" t="s">
        <v>50</v>
      </c>
      <c r="C14" s="28" t="s">
        <v>51</v>
      </c>
      <c r="D14" s="28" t="s">
        <v>52</v>
      </c>
      <c r="E14" s="28" t="s">
        <v>48</v>
      </c>
      <c r="F14" s="29" t="s">
        <v>27</v>
      </c>
      <c r="G14" s="30">
        <v>59.55</v>
      </c>
      <c r="H14" s="31">
        <v>961.06</v>
      </c>
      <c r="I14" s="39"/>
      <c r="J14" s="31">
        <f t="shared" si="1"/>
        <v>961.06</v>
      </c>
      <c r="K14" s="33">
        <f t="shared" si="2"/>
        <v>57231.12</v>
      </c>
      <c r="L14" s="34" t="s">
        <v>28</v>
      </c>
      <c r="M14" s="35"/>
      <c r="N14" s="3">
        <v>1</v>
      </c>
      <c r="O14" s="21">
        <v>1000.51</v>
      </c>
      <c r="P14" s="22" t="s">
        <v>53</v>
      </c>
      <c r="Q14" s="38"/>
      <c r="R14" s="38"/>
    </row>
    <row r="15" s="3" customFormat="1" ht="156" customHeight="1" outlineLevel="2" spans="1:18">
      <c r="A15" s="41">
        <f t="shared" si="0"/>
        <v>3</v>
      </c>
      <c r="B15" s="28" t="s">
        <v>54</v>
      </c>
      <c r="C15" s="28" t="s">
        <v>55</v>
      </c>
      <c r="D15" s="28" t="s">
        <v>52</v>
      </c>
      <c r="E15" s="28" t="s">
        <v>48</v>
      </c>
      <c r="F15" s="29" t="s">
        <v>27</v>
      </c>
      <c r="G15" s="30">
        <v>2.91</v>
      </c>
      <c r="H15" s="31">
        <v>2016.38</v>
      </c>
      <c r="I15" s="39"/>
      <c r="J15" s="31">
        <f t="shared" si="1"/>
        <v>2016.38</v>
      </c>
      <c r="K15" s="33">
        <f t="shared" si="2"/>
        <v>5867.67</v>
      </c>
      <c r="L15" s="34" t="s">
        <v>28</v>
      </c>
      <c r="M15" s="35"/>
      <c r="N15" s="3">
        <v>1</v>
      </c>
      <c r="O15" s="21">
        <v>1179.53</v>
      </c>
      <c r="P15" s="22" t="s">
        <v>56</v>
      </c>
      <c r="Q15" s="38"/>
      <c r="R15" s="38"/>
    </row>
    <row r="16" s="3" customFormat="1" ht="96" customHeight="1" outlineLevel="2" spans="1:18">
      <c r="A16" s="41">
        <f t="shared" si="0"/>
        <v>4</v>
      </c>
      <c r="B16" s="28" t="s">
        <v>57</v>
      </c>
      <c r="C16" s="28" t="s">
        <v>58</v>
      </c>
      <c r="D16" s="28" t="s">
        <v>59</v>
      </c>
      <c r="E16" s="28" t="s">
        <v>26</v>
      </c>
      <c r="F16" s="29" t="s">
        <v>27</v>
      </c>
      <c r="G16" s="30">
        <v>17.11</v>
      </c>
      <c r="H16" s="31">
        <v>220.01</v>
      </c>
      <c r="I16" s="39"/>
      <c r="J16" s="31">
        <f t="shared" si="1"/>
        <v>220.01</v>
      </c>
      <c r="K16" s="33">
        <f t="shared" si="2"/>
        <v>3764.37</v>
      </c>
      <c r="L16" s="34" t="s">
        <v>28</v>
      </c>
      <c r="M16" s="35"/>
      <c r="N16" s="3">
        <v>1</v>
      </c>
      <c r="O16" s="21">
        <v>169.24</v>
      </c>
      <c r="P16" s="22" t="s">
        <v>60</v>
      </c>
      <c r="Q16" s="38"/>
      <c r="R16" s="38"/>
    </row>
    <row r="17" s="3" customFormat="1" ht="120" customHeight="1" outlineLevel="2" spans="1:18">
      <c r="A17" s="41">
        <f t="shared" si="0"/>
        <v>5</v>
      </c>
      <c r="B17" s="28" t="s">
        <v>61</v>
      </c>
      <c r="C17" s="28" t="s">
        <v>62</v>
      </c>
      <c r="D17" s="28" t="s">
        <v>52</v>
      </c>
      <c r="E17" s="28" t="s">
        <v>63</v>
      </c>
      <c r="F17" s="29" t="s">
        <v>27</v>
      </c>
      <c r="G17" s="30">
        <v>1.42</v>
      </c>
      <c r="H17" s="31">
        <v>630.65</v>
      </c>
      <c r="I17" s="39"/>
      <c r="J17" s="31">
        <f t="shared" si="1"/>
        <v>630.65</v>
      </c>
      <c r="K17" s="33">
        <f t="shared" si="2"/>
        <v>895.52</v>
      </c>
      <c r="L17" s="34" t="s">
        <v>28</v>
      </c>
      <c r="M17" s="35"/>
      <c r="N17" s="3">
        <v>1</v>
      </c>
      <c r="O17" s="21">
        <v>681.67</v>
      </c>
      <c r="P17" s="22" t="s">
        <v>64</v>
      </c>
      <c r="Q17" s="38"/>
      <c r="R17" s="38"/>
    </row>
    <row r="18" s="3" customFormat="1" ht="120" customHeight="1" outlineLevel="2" spans="1:18">
      <c r="A18" s="41">
        <f t="shared" si="0"/>
        <v>6</v>
      </c>
      <c r="B18" s="28" t="s">
        <v>65</v>
      </c>
      <c r="C18" s="28" t="s">
        <v>62</v>
      </c>
      <c r="D18" s="28" t="s">
        <v>52</v>
      </c>
      <c r="E18" s="28" t="s">
        <v>63</v>
      </c>
      <c r="F18" s="29" t="s">
        <v>27</v>
      </c>
      <c r="G18" s="30">
        <v>3.56</v>
      </c>
      <c r="H18" s="31">
        <v>630.65</v>
      </c>
      <c r="I18" s="39"/>
      <c r="J18" s="31">
        <f t="shared" si="1"/>
        <v>630.65</v>
      </c>
      <c r="K18" s="33">
        <f t="shared" si="2"/>
        <v>2245.11</v>
      </c>
      <c r="L18" s="34" t="s">
        <v>28</v>
      </c>
      <c r="M18" s="35"/>
      <c r="N18" s="3">
        <v>1</v>
      </c>
      <c r="O18" s="21">
        <v>681.67</v>
      </c>
      <c r="P18" s="22" t="s">
        <v>64</v>
      </c>
      <c r="Q18" s="38"/>
      <c r="R18" s="38"/>
    </row>
    <row r="19" s="3" customFormat="1" ht="120" customHeight="1" outlineLevel="2" spans="1:18">
      <c r="A19" s="41">
        <f t="shared" si="0"/>
        <v>7</v>
      </c>
      <c r="B19" s="28" t="s">
        <v>66</v>
      </c>
      <c r="C19" s="28" t="s">
        <v>67</v>
      </c>
      <c r="D19" s="28" t="s">
        <v>52</v>
      </c>
      <c r="E19" s="28" t="s">
        <v>63</v>
      </c>
      <c r="F19" s="29" t="s">
        <v>27</v>
      </c>
      <c r="G19" s="30">
        <v>1.85</v>
      </c>
      <c r="H19" s="31">
        <v>812.96</v>
      </c>
      <c r="I19" s="39"/>
      <c r="J19" s="31">
        <f t="shared" si="1"/>
        <v>812.96</v>
      </c>
      <c r="K19" s="33">
        <f t="shared" si="2"/>
        <v>1503.98</v>
      </c>
      <c r="L19" s="34" t="s">
        <v>28</v>
      </c>
      <c r="M19" s="35"/>
      <c r="N19" s="3">
        <v>1</v>
      </c>
      <c r="O19" s="21">
        <v>681.67</v>
      </c>
      <c r="P19" s="22" t="s">
        <v>68</v>
      </c>
      <c r="Q19" s="38"/>
      <c r="R19" s="38"/>
    </row>
    <row r="20" s="3" customFormat="1" ht="120" customHeight="1" outlineLevel="2" spans="1:18">
      <c r="A20" s="41">
        <f t="shared" si="0"/>
        <v>8</v>
      </c>
      <c r="B20" s="28" t="s">
        <v>69</v>
      </c>
      <c r="C20" s="28" t="s">
        <v>70</v>
      </c>
      <c r="D20" s="28" t="s">
        <v>52</v>
      </c>
      <c r="E20" s="28" t="s">
        <v>63</v>
      </c>
      <c r="F20" s="29" t="s">
        <v>27</v>
      </c>
      <c r="G20" s="30">
        <v>0.26</v>
      </c>
      <c r="H20" s="31">
        <v>1175.56</v>
      </c>
      <c r="I20" s="39"/>
      <c r="J20" s="31">
        <f t="shared" si="1"/>
        <v>1175.56</v>
      </c>
      <c r="K20" s="33">
        <f t="shared" si="2"/>
        <v>305.65</v>
      </c>
      <c r="L20" s="34" t="s">
        <v>28</v>
      </c>
      <c r="M20" s="35"/>
      <c r="N20" s="3">
        <v>1</v>
      </c>
      <c r="O20" s="21">
        <v>681.67</v>
      </c>
      <c r="P20" s="22" t="s">
        <v>71</v>
      </c>
      <c r="Q20" s="38"/>
      <c r="R20" s="38"/>
    </row>
    <row r="21" s="3" customFormat="1" ht="96" customHeight="1" outlineLevel="2" spans="1:18">
      <c r="A21" s="41">
        <f t="shared" si="0"/>
        <v>9</v>
      </c>
      <c r="B21" s="28" t="s">
        <v>72</v>
      </c>
      <c r="C21" s="28" t="s">
        <v>73</v>
      </c>
      <c r="D21" s="28" t="s">
        <v>47</v>
      </c>
      <c r="E21" s="28" t="s">
        <v>48</v>
      </c>
      <c r="F21" s="29" t="s">
        <v>27</v>
      </c>
      <c r="G21" s="30">
        <v>0.28</v>
      </c>
      <c r="H21" s="31">
        <v>670.22</v>
      </c>
      <c r="I21" s="39"/>
      <c r="J21" s="31">
        <f t="shared" si="1"/>
        <v>670.22</v>
      </c>
      <c r="K21" s="33">
        <f t="shared" si="2"/>
        <v>187.66</v>
      </c>
      <c r="L21" s="34" t="s">
        <v>28</v>
      </c>
      <c r="M21" s="35"/>
      <c r="N21" s="3">
        <v>1</v>
      </c>
      <c r="O21" s="21">
        <v>271.98</v>
      </c>
      <c r="P21" s="22" t="s">
        <v>74</v>
      </c>
      <c r="Q21" s="38"/>
      <c r="R21" s="38"/>
    </row>
    <row r="22" s="3" customFormat="1" ht="96" customHeight="1" outlineLevel="2" spans="1:18">
      <c r="A22" s="41">
        <f t="shared" si="0"/>
        <v>10</v>
      </c>
      <c r="B22" s="28" t="s">
        <v>75</v>
      </c>
      <c r="C22" s="28" t="s">
        <v>76</v>
      </c>
      <c r="D22" s="28" t="s">
        <v>59</v>
      </c>
      <c r="E22" s="28" t="s">
        <v>38</v>
      </c>
      <c r="F22" s="29" t="s">
        <v>39</v>
      </c>
      <c r="G22" s="30">
        <v>25.71</v>
      </c>
      <c r="H22" s="31">
        <v>67.08</v>
      </c>
      <c r="I22" s="39"/>
      <c r="J22" s="31">
        <f t="shared" si="1"/>
        <v>67.08</v>
      </c>
      <c r="K22" s="33">
        <f t="shared" si="2"/>
        <v>1724.63</v>
      </c>
      <c r="L22" s="34" t="s">
        <v>28</v>
      </c>
      <c r="M22" s="35"/>
      <c r="N22" s="3">
        <v>1</v>
      </c>
      <c r="O22" s="21">
        <v>45.71</v>
      </c>
      <c r="P22" s="22" t="s">
        <v>77</v>
      </c>
      <c r="Q22" s="38"/>
      <c r="R22" s="38"/>
    </row>
    <row r="23" s="3" customFormat="1" ht="96" customHeight="1" outlineLevel="2" spans="1:18">
      <c r="A23" s="41">
        <f t="shared" si="0"/>
        <v>11</v>
      </c>
      <c r="B23" s="28" t="s">
        <v>78</v>
      </c>
      <c r="C23" s="28" t="s">
        <v>79</v>
      </c>
      <c r="D23" s="28" t="s">
        <v>59</v>
      </c>
      <c r="E23" s="28" t="s">
        <v>38</v>
      </c>
      <c r="F23" s="29" t="s">
        <v>39</v>
      </c>
      <c r="G23" s="30">
        <v>0.34</v>
      </c>
      <c r="H23" s="31">
        <v>71.9</v>
      </c>
      <c r="I23" s="39"/>
      <c r="J23" s="31">
        <f t="shared" si="1"/>
        <v>71.9</v>
      </c>
      <c r="K23" s="33">
        <f t="shared" si="2"/>
        <v>24.45</v>
      </c>
      <c r="L23" s="34" t="s">
        <v>28</v>
      </c>
      <c r="M23" s="35"/>
      <c r="N23" s="3">
        <v>1</v>
      </c>
      <c r="O23" s="21">
        <v>50.8</v>
      </c>
      <c r="P23" s="22" t="s">
        <v>80</v>
      </c>
      <c r="Q23" s="38"/>
      <c r="R23" s="38"/>
    </row>
    <row r="24" s="3" customFormat="1" ht="96" customHeight="1" outlineLevel="2" spans="1:18">
      <c r="A24" s="41">
        <f t="shared" si="0"/>
        <v>12</v>
      </c>
      <c r="B24" s="28" t="s">
        <v>81</v>
      </c>
      <c r="C24" s="28" t="s">
        <v>82</v>
      </c>
      <c r="D24" s="28" t="s">
        <v>59</v>
      </c>
      <c r="E24" s="28" t="s">
        <v>38</v>
      </c>
      <c r="F24" s="29" t="s">
        <v>39</v>
      </c>
      <c r="G24" s="30">
        <v>0.96</v>
      </c>
      <c r="H24" s="31">
        <v>79.56</v>
      </c>
      <c r="I24" s="39"/>
      <c r="J24" s="31">
        <f t="shared" si="1"/>
        <v>79.56</v>
      </c>
      <c r="K24" s="33">
        <f t="shared" si="2"/>
        <v>76.38</v>
      </c>
      <c r="L24" s="34" t="s">
        <v>28</v>
      </c>
      <c r="M24" s="35"/>
      <c r="N24" s="3">
        <v>1</v>
      </c>
      <c r="O24" s="21">
        <v>58.45</v>
      </c>
      <c r="P24" s="22" t="s">
        <v>83</v>
      </c>
      <c r="Q24" s="38"/>
      <c r="R24" s="38"/>
    </row>
    <row r="25" s="3" customFormat="1" ht="96" customHeight="1" outlineLevel="2" spans="1:18">
      <c r="A25" s="41">
        <f t="shared" si="0"/>
        <v>13</v>
      </c>
      <c r="B25" s="28" t="s">
        <v>84</v>
      </c>
      <c r="C25" s="28" t="s">
        <v>85</v>
      </c>
      <c r="D25" s="28" t="s">
        <v>59</v>
      </c>
      <c r="E25" s="28" t="s">
        <v>38</v>
      </c>
      <c r="F25" s="29" t="s">
        <v>39</v>
      </c>
      <c r="G25" s="30">
        <v>24.41</v>
      </c>
      <c r="H25" s="31">
        <v>117.84</v>
      </c>
      <c r="I25" s="39"/>
      <c r="J25" s="31">
        <f t="shared" si="1"/>
        <v>117.84</v>
      </c>
      <c r="K25" s="33">
        <f t="shared" si="2"/>
        <v>2876.47</v>
      </c>
      <c r="L25" s="34" t="s">
        <v>28</v>
      </c>
      <c r="M25" s="35"/>
      <c r="N25" s="3">
        <v>1</v>
      </c>
      <c r="O25" s="21">
        <v>95.14</v>
      </c>
      <c r="P25" s="22" t="s">
        <v>86</v>
      </c>
      <c r="Q25" s="38"/>
      <c r="R25" s="38"/>
    </row>
    <row r="26" s="3" customFormat="1" ht="96" customHeight="1" outlineLevel="2" spans="1:18">
      <c r="A26" s="41">
        <f t="shared" si="0"/>
        <v>14</v>
      </c>
      <c r="B26" s="28" t="s">
        <v>87</v>
      </c>
      <c r="C26" s="28" t="s">
        <v>88</v>
      </c>
      <c r="D26" s="28" t="s">
        <v>59</v>
      </c>
      <c r="E26" s="28" t="s">
        <v>38</v>
      </c>
      <c r="F26" s="29" t="s">
        <v>39</v>
      </c>
      <c r="G26" s="30">
        <v>25.71</v>
      </c>
      <c r="H26" s="31">
        <v>64.25</v>
      </c>
      <c r="I26" s="39"/>
      <c r="J26" s="31">
        <f t="shared" si="1"/>
        <v>64.25</v>
      </c>
      <c r="K26" s="33">
        <f t="shared" si="2"/>
        <v>1651.87</v>
      </c>
      <c r="L26" s="34" t="s">
        <v>28</v>
      </c>
      <c r="M26" s="35"/>
      <c r="N26" s="3">
        <v>1</v>
      </c>
      <c r="O26" s="21">
        <v>43.16</v>
      </c>
      <c r="P26" s="22" t="s">
        <v>89</v>
      </c>
      <c r="Q26" s="38"/>
      <c r="R26" s="38"/>
    </row>
    <row r="27" s="3" customFormat="1" outlineLevel="1" spans="1:18">
      <c r="A27" s="40"/>
      <c r="B27" s="28" t="s">
        <v>90</v>
      </c>
      <c r="C27" s="28"/>
      <c r="D27" s="28"/>
      <c r="E27" s="28"/>
      <c r="F27" s="29"/>
      <c r="G27" s="30"/>
      <c r="H27" s="31"/>
      <c r="I27" s="39"/>
      <c r="J27" s="31"/>
      <c r="K27" s="33"/>
      <c r="L27" s="34"/>
      <c r="M27" s="35"/>
      <c r="O27" s="36"/>
      <c r="P27" s="37"/>
      <c r="Q27" s="38"/>
      <c r="R27" s="38"/>
    </row>
    <row r="28" s="3" customFormat="1" ht="168" customHeight="1" outlineLevel="2" spans="1:18">
      <c r="A28" s="41">
        <f>1+N(A27)</f>
        <v>1</v>
      </c>
      <c r="B28" s="28" t="s">
        <v>91</v>
      </c>
      <c r="C28" s="28" t="s">
        <v>92</v>
      </c>
      <c r="D28" s="28" t="s">
        <v>93</v>
      </c>
      <c r="E28" s="28" t="s">
        <v>94</v>
      </c>
      <c r="F28" s="29" t="s">
        <v>27</v>
      </c>
      <c r="G28" s="30">
        <v>31.77</v>
      </c>
      <c r="H28" s="31">
        <v>174.57</v>
      </c>
      <c r="I28" s="39"/>
      <c r="J28" s="31">
        <f>H28*(1-$I$4)</f>
        <v>174.57</v>
      </c>
      <c r="K28" s="33">
        <f>ROUND(G28*J28,2)</f>
        <v>5546.09</v>
      </c>
      <c r="L28" s="34" t="s">
        <v>28</v>
      </c>
      <c r="M28" s="35"/>
      <c r="N28" s="3">
        <v>1</v>
      </c>
      <c r="O28" s="21">
        <v>150.38</v>
      </c>
      <c r="P28" s="22" t="s">
        <v>95</v>
      </c>
      <c r="Q28" s="38"/>
      <c r="R28" s="38"/>
    </row>
    <row r="29" s="3" customFormat="1" ht="48" customHeight="1" outlineLevel="2" spans="1:18">
      <c r="A29" s="41">
        <f>1+N(A28)</f>
        <v>2</v>
      </c>
      <c r="B29" s="28" t="s">
        <v>96</v>
      </c>
      <c r="C29" s="28" t="s">
        <v>97</v>
      </c>
      <c r="D29" s="28" t="s">
        <v>98</v>
      </c>
      <c r="E29" s="28" t="s">
        <v>99</v>
      </c>
      <c r="F29" s="29" t="s">
        <v>39</v>
      </c>
      <c r="G29" s="30">
        <v>12.73</v>
      </c>
      <c r="H29" s="31">
        <v>112.16</v>
      </c>
      <c r="I29" s="39"/>
      <c r="J29" s="31">
        <f>H29*(1-$I$4)</f>
        <v>112.16</v>
      </c>
      <c r="K29" s="33">
        <f>ROUND(G29*J29,2)</f>
        <v>1427.8</v>
      </c>
      <c r="L29" s="34" t="s">
        <v>28</v>
      </c>
      <c r="M29" s="35"/>
      <c r="N29" s="3">
        <v>1</v>
      </c>
      <c r="O29" s="21">
        <v>79.3</v>
      </c>
      <c r="P29" s="22" t="s">
        <v>100</v>
      </c>
      <c r="Q29" s="38"/>
      <c r="R29" s="38"/>
    </row>
    <row r="30" s="3" customFormat="1" ht="48" customHeight="1" outlineLevel="2" spans="1:18">
      <c r="A30" s="41">
        <f>1+N(A29)</f>
        <v>3</v>
      </c>
      <c r="B30" s="28" t="s">
        <v>101</v>
      </c>
      <c r="C30" s="28" t="s">
        <v>102</v>
      </c>
      <c r="D30" s="28" t="s">
        <v>98</v>
      </c>
      <c r="E30" s="28" t="s">
        <v>99</v>
      </c>
      <c r="F30" s="29" t="s">
        <v>39</v>
      </c>
      <c r="G30" s="30">
        <v>12.73</v>
      </c>
      <c r="H30" s="31">
        <v>75.82</v>
      </c>
      <c r="I30" s="39"/>
      <c r="J30" s="31">
        <f>H30*(1-$I$4)</f>
        <v>75.82</v>
      </c>
      <c r="K30" s="33">
        <f>ROUND(G30*J30,2)</f>
        <v>965.19</v>
      </c>
      <c r="L30" s="34" t="s">
        <v>28</v>
      </c>
      <c r="M30" s="35"/>
      <c r="N30" s="3">
        <v>1</v>
      </c>
      <c r="O30" s="21">
        <v>203.56</v>
      </c>
      <c r="P30" s="22" t="s">
        <v>103</v>
      </c>
      <c r="Q30" s="38"/>
      <c r="R30" s="38"/>
    </row>
    <row r="31" s="3" customFormat="1" ht="48" customHeight="1" outlineLevel="2" spans="1:18">
      <c r="A31" s="41">
        <f>1+N(A30)</f>
        <v>4</v>
      </c>
      <c r="B31" s="28" t="s">
        <v>104</v>
      </c>
      <c r="C31" s="28" t="s">
        <v>105</v>
      </c>
      <c r="D31" s="28" t="s">
        <v>98</v>
      </c>
      <c r="E31" s="28" t="s">
        <v>99</v>
      </c>
      <c r="F31" s="29" t="s">
        <v>39</v>
      </c>
      <c r="G31" s="30">
        <v>2.4</v>
      </c>
      <c r="H31" s="31">
        <v>109.74</v>
      </c>
      <c r="I31" s="39"/>
      <c r="J31" s="31">
        <f>H31*(1-$I$4)</f>
        <v>109.74</v>
      </c>
      <c r="K31" s="33">
        <f>ROUND(G31*J31,2)</f>
        <v>263.38</v>
      </c>
      <c r="L31" s="34" t="s">
        <v>28</v>
      </c>
      <c r="M31" s="35"/>
      <c r="N31" s="3">
        <v>1</v>
      </c>
      <c r="O31" s="21">
        <v>108.2</v>
      </c>
      <c r="P31" s="22" t="s">
        <v>106</v>
      </c>
      <c r="Q31" s="38"/>
      <c r="R31" s="38"/>
    </row>
    <row r="32" s="3" customFormat="1" ht="132" customHeight="1" outlineLevel="2" spans="1:18">
      <c r="A32" s="41">
        <f>1+N(A31)</f>
        <v>5</v>
      </c>
      <c r="B32" s="28" t="s">
        <v>107</v>
      </c>
      <c r="C32" s="28" t="s">
        <v>108</v>
      </c>
      <c r="D32" s="28" t="s">
        <v>109</v>
      </c>
      <c r="E32" s="28" t="s">
        <v>110</v>
      </c>
      <c r="F32" s="29" t="s">
        <v>27</v>
      </c>
      <c r="G32" s="30">
        <v>35.59</v>
      </c>
      <c r="H32" s="31">
        <v>152.22</v>
      </c>
      <c r="I32" s="39"/>
      <c r="J32" s="31">
        <f>H32*(1-$I$4)</f>
        <v>152.22</v>
      </c>
      <c r="K32" s="33">
        <f>ROUND(G32*J32,2)</f>
        <v>5417.51</v>
      </c>
      <c r="L32" s="34" t="s">
        <v>28</v>
      </c>
      <c r="M32" s="35"/>
      <c r="N32" s="3">
        <v>1</v>
      </c>
      <c r="O32" s="21">
        <v>151.58</v>
      </c>
      <c r="P32" s="22" t="s">
        <v>111</v>
      </c>
      <c r="Q32" s="38"/>
      <c r="R32" s="38"/>
    </row>
    <row r="33" s="3" customFormat="1" outlineLevel="1" spans="1:18">
      <c r="A33" s="40"/>
      <c r="B33" s="28" t="s">
        <v>112</v>
      </c>
      <c r="C33" s="28"/>
      <c r="D33" s="28"/>
      <c r="E33" s="28"/>
      <c r="F33" s="29"/>
      <c r="G33" s="30"/>
      <c r="H33" s="31"/>
      <c r="I33" s="39"/>
      <c r="J33" s="31"/>
      <c r="K33" s="33"/>
      <c r="L33" s="34"/>
      <c r="M33" s="35"/>
      <c r="O33" s="36"/>
      <c r="P33" s="37"/>
      <c r="Q33" s="38"/>
      <c r="R33" s="38"/>
    </row>
    <row r="34" s="3" customFormat="1" ht="60" customHeight="1" outlineLevel="2" spans="1:18">
      <c r="A34" s="41">
        <f>1+N(A33)</f>
        <v>1</v>
      </c>
      <c r="B34" s="28" t="s">
        <v>113</v>
      </c>
      <c r="C34" s="28" t="s">
        <v>114</v>
      </c>
      <c r="D34" s="28" t="s">
        <v>98</v>
      </c>
      <c r="E34" s="28" t="s">
        <v>115</v>
      </c>
      <c r="F34" s="29" t="s">
        <v>27</v>
      </c>
      <c r="G34" s="30">
        <v>2.88</v>
      </c>
      <c r="H34" s="31">
        <v>962.68</v>
      </c>
      <c r="I34" s="39"/>
      <c r="J34" s="31">
        <f>H34*(1-$I$4)</f>
        <v>962.68</v>
      </c>
      <c r="K34" s="33">
        <f>ROUND(G34*J34,2)</f>
        <v>2772.52</v>
      </c>
      <c r="L34" s="34" t="s">
        <v>28</v>
      </c>
      <c r="M34" s="35"/>
      <c r="N34" s="3">
        <v>1</v>
      </c>
      <c r="O34" s="21">
        <v>665.69</v>
      </c>
      <c r="P34" s="22" t="s">
        <v>116</v>
      </c>
      <c r="Q34" s="38"/>
      <c r="R34" s="38"/>
    </row>
    <row r="35" s="3" customFormat="1" ht="96" customHeight="1" outlineLevel="2" spans="1:18">
      <c r="A35" s="41">
        <f>1+N(A34)</f>
        <v>2</v>
      </c>
      <c r="B35" s="28" t="s">
        <v>117</v>
      </c>
      <c r="C35" s="28" t="s">
        <v>118</v>
      </c>
      <c r="D35" s="28" t="s">
        <v>98</v>
      </c>
      <c r="E35" s="28" t="s">
        <v>115</v>
      </c>
      <c r="F35" s="29" t="s">
        <v>27</v>
      </c>
      <c r="G35" s="30">
        <v>5.52</v>
      </c>
      <c r="H35" s="31">
        <v>7530.97</v>
      </c>
      <c r="I35" s="39"/>
      <c r="J35" s="31">
        <f>H35*(1-$I$4)</f>
        <v>7530.97</v>
      </c>
      <c r="K35" s="33">
        <f>ROUND(G35*J35,2)</f>
        <v>41570.95</v>
      </c>
      <c r="L35" s="34" t="s">
        <v>28</v>
      </c>
      <c r="M35" s="35"/>
      <c r="N35" s="3">
        <v>1</v>
      </c>
      <c r="O35" s="21">
        <v>2009.15</v>
      </c>
      <c r="P35" s="22" t="s">
        <v>119</v>
      </c>
      <c r="Q35" s="38"/>
      <c r="R35" s="38"/>
    </row>
    <row r="36" s="3" customFormat="1" ht="48" customHeight="1" outlineLevel="2" spans="1:18">
      <c r="A36" s="41">
        <f>1+N(A35)</f>
        <v>3</v>
      </c>
      <c r="B36" s="28" t="s">
        <v>120</v>
      </c>
      <c r="C36" s="28" t="s">
        <v>121</v>
      </c>
      <c r="D36" s="28" t="s">
        <v>98</v>
      </c>
      <c r="E36" s="28" t="s">
        <v>115</v>
      </c>
      <c r="F36" s="29" t="s">
        <v>27</v>
      </c>
      <c r="G36" s="30">
        <v>5.13</v>
      </c>
      <c r="H36" s="31">
        <v>610.9</v>
      </c>
      <c r="I36" s="39"/>
      <c r="J36" s="31">
        <f>H36*(1-$I$4)</f>
        <v>610.9</v>
      </c>
      <c r="K36" s="33">
        <f>ROUND(G36*J36,2)</f>
        <v>3133.92</v>
      </c>
      <c r="L36" s="34" t="s">
        <v>28</v>
      </c>
      <c r="M36" s="35"/>
      <c r="N36" s="3">
        <v>1</v>
      </c>
      <c r="O36" s="21">
        <v>657.42</v>
      </c>
      <c r="P36" s="22" t="s">
        <v>122</v>
      </c>
      <c r="Q36" s="38"/>
      <c r="R36" s="38"/>
    </row>
    <row r="37" s="3" customFormat="1" ht="24" outlineLevel="1" spans="1:18">
      <c r="A37" s="27" t="s">
        <v>123</v>
      </c>
      <c r="B37" s="28" t="s">
        <v>124</v>
      </c>
      <c r="C37" s="28"/>
      <c r="D37" s="28"/>
      <c r="E37" s="28" t="s">
        <v>125</v>
      </c>
      <c r="F37" s="29"/>
      <c r="G37" s="30"/>
      <c r="H37" s="31"/>
      <c r="I37" s="39"/>
      <c r="J37" s="31"/>
      <c r="K37" s="33"/>
      <c r="L37" s="34"/>
      <c r="M37" s="35"/>
      <c r="O37" s="36"/>
      <c r="P37" s="37"/>
      <c r="Q37" s="38"/>
      <c r="R37" s="38"/>
    </row>
    <row r="38" s="3" customFormat="1" outlineLevel="1" spans="1:18">
      <c r="A38" s="40"/>
      <c r="B38" s="28" t="s">
        <v>22</v>
      </c>
      <c r="C38" s="28"/>
      <c r="D38" s="28"/>
      <c r="E38" s="28"/>
      <c r="F38" s="29"/>
      <c r="G38" s="30"/>
      <c r="H38" s="31"/>
      <c r="I38" s="39"/>
      <c r="J38" s="31"/>
      <c r="K38" s="33"/>
      <c r="L38" s="34"/>
      <c r="M38" s="35"/>
      <c r="O38" s="36"/>
      <c r="P38" s="37"/>
      <c r="Q38" s="38"/>
      <c r="R38" s="38"/>
    </row>
    <row r="39" s="3" customFormat="1" ht="108" customHeight="1" outlineLevel="2" spans="1:18">
      <c r="A39" s="41">
        <f>1+N(A38)</f>
        <v>1</v>
      </c>
      <c r="B39" s="28" t="s">
        <v>23</v>
      </c>
      <c r="C39" s="28" t="s">
        <v>24</v>
      </c>
      <c r="D39" s="28" t="s">
        <v>25</v>
      </c>
      <c r="E39" s="28" t="s">
        <v>26</v>
      </c>
      <c r="F39" s="29" t="s">
        <v>27</v>
      </c>
      <c r="G39" s="30">
        <v>30.5</v>
      </c>
      <c r="H39" s="31">
        <v>940.91</v>
      </c>
      <c r="I39" s="39"/>
      <c r="J39" s="31">
        <f>H39*(1-$I$4)</f>
        <v>940.91</v>
      </c>
      <c r="K39" s="33">
        <f>ROUND(G39*J39,2)</f>
        <v>28697.76</v>
      </c>
      <c r="L39" s="34" t="s">
        <v>28</v>
      </c>
      <c r="M39" s="35"/>
      <c r="N39" s="3">
        <v>1</v>
      </c>
      <c r="O39" s="21">
        <v>886.6</v>
      </c>
      <c r="P39" s="22" t="s">
        <v>29</v>
      </c>
      <c r="Q39" s="38"/>
      <c r="R39" s="38"/>
    </row>
    <row r="40" s="3" customFormat="1" ht="108" customHeight="1" outlineLevel="2" spans="1:18">
      <c r="A40" s="41">
        <f>1+N(A39)</f>
        <v>2</v>
      </c>
      <c r="B40" s="28" t="s">
        <v>126</v>
      </c>
      <c r="C40" s="28" t="s">
        <v>127</v>
      </c>
      <c r="D40" s="28" t="s">
        <v>25</v>
      </c>
      <c r="E40" s="28" t="s">
        <v>26</v>
      </c>
      <c r="F40" s="29" t="s">
        <v>27</v>
      </c>
      <c r="G40" s="30">
        <v>41.2</v>
      </c>
      <c r="H40" s="31">
        <v>1303.93</v>
      </c>
      <c r="I40" s="39"/>
      <c r="J40" s="31">
        <f>H40*(1-$I$4)</f>
        <v>1303.93</v>
      </c>
      <c r="K40" s="33">
        <f>ROUND(G40*J40,2)</f>
        <v>53721.92</v>
      </c>
      <c r="L40" s="34" t="s">
        <v>28</v>
      </c>
      <c r="M40" s="35"/>
      <c r="N40" s="3">
        <v>1</v>
      </c>
      <c r="O40" s="21">
        <v>1135.86</v>
      </c>
      <c r="P40" s="22" t="s">
        <v>128</v>
      </c>
      <c r="Q40" s="38"/>
      <c r="R40" s="38"/>
    </row>
    <row r="41" s="3" customFormat="1" ht="72" customHeight="1" outlineLevel="2" spans="1:18">
      <c r="A41" s="41">
        <f>1+N(A40)</f>
        <v>3</v>
      </c>
      <c r="B41" s="28" t="s">
        <v>36</v>
      </c>
      <c r="C41" s="28" t="s">
        <v>37</v>
      </c>
      <c r="D41" s="28" t="s">
        <v>25</v>
      </c>
      <c r="E41" s="28" t="s">
        <v>38</v>
      </c>
      <c r="F41" s="29" t="s">
        <v>39</v>
      </c>
      <c r="G41" s="30">
        <v>24.98</v>
      </c>
      <c r="H41" s="31">
        <v>89.27</v>
      </c>
      <c r="I41" s="39"/>
      <c r="J41" s="31">
        <f>H41*(1-$I$4)</f>
        <v>89.27</v>
      </c>
      <c r="K41" s="33">
        <f>ROUND(G41*J41,2)</f>
        <v>2229.96</v>
      </c>
      <c r="L41" s="34" t="s">
        <v>28</v>
      </c>
      <c r="M41" s="35"/>
      <c r="N41" s="3">
        <v>1</v>
      </c>
      <c r="O41" s="21">
        <v>35.28</v>
      </c>
      <c r="P41" s="22" t="s">
        <v>40</v>
      </c>
      <c r="Q41" s="38"/>
      <c r="R41" s="38"/>
    </row>
    <row r="42" s="3" customFormat="1" ht="72" customHeight="1" outlineLevel="2" spans="1:18">
      <c r="A42" s="41">
        <f>1+N(A41)</f>
        <v>4</v>
      </c>
      <c r="B42" s="28" t="s">
        <v>41</v>
      </c>
      <c r="C42" s="28" t="s">
        <v>42</v>
      </c>
      <c r="D42" s="28" t="s">
        <v>25</v>
      </c>
      <c r="E42" s="28" t="s">
        <v>26</v>
      </c>
      <c r="F42" s="29" t="s">
        <v>27</v>
      </c>
      <c r="G42" s="30">
        <v>71.7</v>
      </c>
      <c r="H42" s="31">
        <v>64.9</v>
      </c>
      <c r="I42" s="39"/>
      <c r="J42" s="31">
        <f>H42*(1-$I$4)</f>
        <v>64.9</v>
      </c>
      <c r="K42" s="33">
        <f>ROUND(G42*J42,2)</f>
        <v>4653.33</v>
      </c>
      <c r="L42" s="34" t="s">
        <v>28</v>
      </c>
      <c r="M42" s="35"/>
      <c r="N42" s="3">
        <v>1</v>
      </c>
      <c r="O42" s="21">
        <v>61.38</v>
      </c>
      <c r="P42" s="22" t="s">
        <v>43</v>
      </c>
      <c r="Q42" s="38"/>
      <c r="R42" s="38"/>
    </row>
    <row r="43" s="3" customFormat="1" outlineLevel="1" spans="1:18">
      <c r="A43" s="40"/>
      <c r="B43" s="28" t="s">
        <v>44</v>
      </c>
      <c r="C43" s="28"/>
      <c r="D43" s="28"/>
      <c r="E43" s="28"/>
      <c r="F43" s="29"/>
      <c r="G43" s="30"/>
      <c r="H43" s="31"/>
      <c r="I43" s="39"/>
      <c r="J43" s="31"/>
      <c r="K43" s="33"/>
      <c r="L43" s="34"/>
      <c r="M43" s="35"/>
      <c r="O43" s="36"/>
      <c r="P43" s="37"/>
      <c r="Q43" s="38"/>
      <c r="R43" s="38"/>
    </row>
    <row r="44" s="3" customFormat="1" ht="108" customHeight="1" outlineLevel="2" spans="1:18">
      <c r="A44" s="41">
        <f t="shared" ref="A44:A50" si="3">1+N(A43)</f>
        <v>1</v>
      </c>
      <c r="B44" s="28" t="s">
        <v>45</v>
      </c>
      <c r="C44" s="28" t="s">
        <v>46</v>
      </c>
      <c r="D44" s="28" t="s">
        <v>47</v>
      </c>
      <c r="E44" s="28" t="s">
        <v>48</v>
      </c>
      <c r="F44" s="29" t="s">
        <v>27</v>
      </c>
      <c r="G44" s="30">
        <v>16.17</v>
      </c>
      <c r="H44" s="31">
        <v>2668.45</v>
      </c>
      <c r="I44" s="39"/>
      <c r="J44" s="31">
        <f t="shared" ref="J44:J50" si="4">H44*(1-$I$4)</f>
        <v>2668.45</v>
      </c>
      <c r="K44" s="33">
        <f t="shared" ref="K44:K50" si="5">ROUND(G44*J44,2)</f>
        <v>43148.84</v>
      </c>
      <c r="L44" s="34" t="s">
        <v>28</v>
      </c>
      <c r="M44" s="35"/>
      <c r="N44" s="3">
        <v>1</v>
      </c>
      <c r="O44" s="21">
        <v>1019.76</v>
      </c>
      <c r="P44" s="22" t="s">
        <v>49</v>
      </c>
      <c r="Q44" s="38"/>
      <c r="R44" s="38"/>
    </row>
    <row r="45" s="3" customFormat="1" ht="156" customHeight="1" outlineLevel="2" spans="1:18">
      <c r="A45" s="41">
        <f t="shared" si="3"/>
        <v>2</v>
      </c>
      <c r="B45" s="28" t="s">
        <v>50</v>
      </c>
      <c r="C45" s="28" t="s">
        <v>51</v>
      </c>
      <c r="D45" s="28" t="s">
        <v>52</v>
      </c>
      <c r="E45" s="28" t="s">
        <v>48</v>
      </c>
      <c r="F45" s="29" t="s">
        <v>27</v>
      </c>
      <c r="G45" s="30">
        <v>58.2</v>
      </c>
      <c r="H45" s="31">
        <v>947.94</v>
      </c>
      <c r="I45" s="39"/>
      <c r="J45" s="31">
        <f t="shared" si="4"/>
        <v>947.94</v>
      </c>
      <c r="K45" s="33">
        <f t="shared" si="5"/>
        <v>55170.11</v>
      </c>
      <c r="L45" s="34" t="s">
        <v>28</v>
      </c>
      <c r="M45" s="35"/>
      <c r="N45" s="3">
        <v>1</v>
      </c>
      <c r="O45" s="21">
        <v>1000.51</v>
      </c>
      <c r="P45" s="22" t="s">
        <v>129</v>
      </c>
      <c r="Q45" s="38"/>
      <c r="R45" s="38"/>
    </row>
    <row r="46" s="3" customFormat="1" ht="156" customHeight="1" outlineLevel="2" spans="1:18">
      <c r="A46" s="41">
        <f t="shared" si="3"/>
        <v>3</v>
      </c>
      <c r="B46" s="28" t="s">
        <v>54</v>
      </c>
      <c r="C46" s="28" t="s">
        <v>55</v>
      </c>
      <c r="D46" s="28" t="s">
        <v>52</v>
      </c>
      <c r="E46" s="28" t="s">
        <v>48</v>
      </c>
      <c r="F46" s="29" t="s">
        <v>27</v>
      </c>
      <c r="G46" s="30">
        <v>12.33</v>
      </c>
      <c r="H46" s="31">
        <v>2016.38</v>
      </c>
      <c r="I46" s="39"/>
      <c r="J46" s="31">
        <f t="shared" si="4"/>
        <v>2016.38</v>
      </c>
      <c r="K46" s="33">
        <f t="shared" si="5"/>
        <v>24861.97</v>
      </c>
      <c r="L46" s="34" t="s">
        <v>28</v>
      </c>
      <c r="M46" s="35"/>
      <c r="N46" s="3">
        <v>1</v>
      </c>
      <c r="O46" s="21">
        <v>1179.53</v>
      </c>
      <c r="P46" s="22" t="s">
        <v>56</v>
      </c>
      <c r="Q46" s="38"/>
      <c r="R46" s="38"/>
    </row>
    <row r="47" s="3" customFormat="1" ht="96" customHeight="1" outlineLevel="2" spans="1:18">
      <c r="A47" s="41">
        <f t="shared" si="3"/>
        <v>4</v>
      </c>
      <c r="B47" s="28" t="s">
        <v>57</v>
      </c>
      <c r="C47" s="28" t="s">
        <v>58</v>
      </c>
      <c r="D47" s="28" t="s">
        <v>59</v>
      </c>
      <c r="E47" s="28" t="s">
        <v>26</v>
      </c>
      <c r="F47" s="29" t="s">
        <v>27</v>
      </c>
      <c r="G47" s="30">
        <v>5.55</v>
      </c>
      <c r="H47" s="31">
        <v>220.01</v>
      </c>
      <c r="I47" s="39"/>
      <c r="J47" s="31">
        <f t="shared" si="4"/>
        <v>220.01</v>
      </c>
      <c r="K47" s="33">
        <f t="shared" si="5"/>
        <v>1221.06</v>
      </c>
      <c r="L47" s="34" t="s">
        <v>28</v>
      </c>
      <c r="M47" s="35"/>
      <c r="N47" s="3">
        <v>1</v>
      </c>
      <c r="O47" s="21">
        <v>169.24</v>
      </c>
      <c r="P47" s="22" t="s">
        <v>60</v>
      </c>
      <c r="Q47" s="38"/>
      <c r="R47" s="38"/>
    </row>
    <row r="48" s="3" customFormat="1" ht="96" customHeight="1" outlineLevel="2" spans="1:18">
      <c r="A48" s="41">
        <f t="shared" si="3"/>
        <v>5</v>
      </c>
      <c r="B48" s="28" t="s">
        <v>75</v>
      </c>
      <c r="C48" s="28" t="s">
        <v>76</v>
      </c>
      <c r="D48" s="28" t="s">
        <v>59</v>
      </c>
      <c r="E48" s="28" t="s">
        <v>38</v>
      </c>
      <c r="F48" s="29" t="s">
        <v>39</v>
      </c>
      <c r="G48" s="30">
        <v>30.14</v>
      </c>
      <c r="H48" s="31">
        <v>67.08</v>
      </c>
      <c r="I48" s="39"/>
      <c r="J48" s="31">
        <f t="shared" si="4"/>
        <v>67.08</v>
      </c>
      <c r="K48" s="33">
        <f t="shared" si="5"/>
        <v>2021.79</v>
      </c>
      <c r="L48" s="34" t="s">
        <v>28</v>
      </c>
      <c r="M48" s="35"/>
      <c r="N48" s="3">
        <v>1</v>
      </c>
      <c r="O48" s="21">
        <v>45.71</v>
      </c>
      <c r="P48" s="22" t="s">
        <v>77</v>
      </c>
      <c r="Q48" s="38"/>
      <c r="R48" s="38"/>
    </row>
    <row r="49" s="3" customFormat="1" ht="96" customHeight="1" outlineLevel="2" spans="1:18">
      <c r="A49" s="41">
        <f t="shared" si="3"/>
        <v>6</v>
      </c>
      <c r="B49" s="28" t="s">
        <v>84</v>
      </c>
      <c r="C49" s="28" t="s">
        <v>85</v>
      </c>
      <c r="D49" s="28" t="s">
        <v>59</v>
      </c>
      <c r="E49" s="28" t="s">
        <v>38</v>
      </c>
      <c r="F49" s="29" t="s">
        <v>39</v>
      </c>
      <c r="G49" s="30">
        <v>30.14</v>
      </c>
      <c r="H49" s="31">
        <v>117.84</v>
      </c>
      <c r="I49" s="39"/>
      <c r="J49" s="31">
        <f t="shared" si="4"/>
        <v>117.84</v>
      </c>
      <c r="K49" s="33">
        <f t="shared" si="5"/>
        <v>3551.7</v>
      </c>
      <c r="L49" s="34" t="s">
        <v>28</v>
      </c>
      <c r="M49" s="35"/>
      <c r="N49" s="3">
        <v>1</v>
      </c>
      <c r="O49" s="21">
        <v>95.14</v>
      </c>
      <c r="P49" s="22" t="s">
        <v>86</v>
      </c>
      <c r="Q49" s="38"/>
      <c r="R49" s="38"/>
    </row>
    <row r="50" s="3" customFormat="1" ht="96" customHeight="1" outlineLevel="2" spans="1:18">
      <c r="A50" s="41">
        <f t="shared" si="3"/>
        <v>7</v>
      </c>
      <c r="B50" s="28" t="s">
        <v>87</v>
      </c>
      <c r="C50" s="28" t="s">
        <v>88</v>
      </c>
      <c r="D50" s="28" t="s">
        <v>59</v>
      </c>
      <c r="E50" s="28" t="s">
        <v>38</v>
      </c>
      <c r="F50" s="29" t="s">
        <v>39</v>
      </c>
      <c r="G50" s="30">
        <v>30.14</v>
      </c>
      <c r="H50" s="31">
        <v>64.25</v>
      </c>
      <c r="I50" s="39"/>
      <c r="J50" s="31">
        <f t="shared" si="4"/>
        <v>64.25</v>
      </c>
      <c r="K50" s="33">
        <f t="shared" si="5"/>
        <v>1936.5</v>
      </c>
      <c r="L50" s="34" t="s">
        <v>28</v>
      </c>
      <c r="M50" s="35"/>
      <c r="N50" s="3">
        <v>1</v>
      </c>
      <c r="O50" s="21">
        <v>43.16</v>
      </c>
      <c r="P50" s="22" t="s">
        <v>89</v>
      </c>
      <c r="Q50" s="38"/>
      <c r="R50" s="38"/>
    </row>
    <row r="51" s="3" customFormat="1" outlineLevel="1" spans="1:18">
      <c r="A51" s="40"/>
      <c r="B51" s="28" t="s">
        <v>90</v>
      </c>
      <c r="C51" s="28"/>
      <c r="D51" s="28"/>
      <c r="E51" s="28"/>
      <c r="F51" s="29"/>
      <c r="G51" s="30"/>
      <c r="H51" s="31"/>
      <c r="I51" s="39"/>
      <c r="J51" s="31"/>
      <c r="K51" s="33"/>
      <c r="L51" s="34"/>
      <c r="M51" s="35"/>
      <c r="O51" s="36"/>
      <c r="P51" s="37"/>
      <c r="Q51" s="38"/>
      <c r="R51" s="38"/>
    </row>
    <row r="52" s="3" customFormat="1" ht="168" customHeight="1" outlineLevel="2" spans="1:18">
      <c r="A52" s="41">
        <f t="shared" ref="A52:A57" si="6">1+N(A51)</f>
        <v>1</v>
      </c>
      <c r="B52" s="28" t="s">
        <v>91</v>
      </c>
      <c r="C52" s="28" t="s">
        <v>92</v>
      </c>
      <c r="D52" s="28" t="s">
        <v>93</v>
      </c>
      <c r="E52" s="28" t="s">
        <v>94</v>
      </c>
      <c r="F52" s="29" t="s">
        <v>27</v>
      </c>
      <c r="G52" s="30">
        <v>36.98</v>
      </c>
      <c r="H52" s="31">
        <v>174.57</v>
      </c>
      <c r="I52" s="39"/>
      <c r="J52" s="31">
        <f t="shared" ref="J52:J57" si="7">H52*(1-$I$4)</f>
        <v>174.57</v>
      </c>
      <c r="K52" s="33">
        <f t="shared" ref="K52:K57" si="8">ROUND(G52*J52,2)</f>
        <v>6455.6</v>
      </c>
      <c r="L52" s="34" t="s">
        <v>28</v>
      </c>
      <c r="M52" s="35"/>
      <c r="N52" s="3">
        <v>1</v>
      </c>
      <c r="O52" s="21">
        <v>150.38</v>
      </c>
      <c r="P52" s="22" t="s">
        <v>95</v>
      </c>
      <c r="Q52" s="38"/>
      <c r="R52" s="38"/>
    </row>
    <row r="53" s="3" customFormat="1" ht="168" customHeight="1" outlineLevel="2" spans="1:18">
      <c r="A53" s="41">
        <f t="shared" si="6"/>
        <v>2</v>
      </c>
      <c r="B53" s="28" t="s">
        <v>130</v>
      </c>
      <c r="C53" s="28" t="s">
        <v>131</v>
      </c>
      <c r="D53" s="28" t="s">
        <v>93</v>
      </c>
      <c r="E53" s="28" t="s">
        <v>94</v>
      </c>
      <c r="F53" s="29" t="s">
        <v>27</v>
      </c>
      <c r="G53" s="30">
        <v>34.72</v>
      </c>
      <c r="H53" s="31">
        <v>291.17</v>
      </c>
      <c r="I53" s="39"/>
      <c r="J53" s="31">
        <f t="shared" si="7"/>
        <v>291.17</v>
      </c>
      <c r="K53" s="33">
        <f t="shared" si="8"/>
        <v>10109.42</v>
      </c>
      <c r="L53" s="34" t="s">
        <v>28</v>
      </c>
      <c r="M53" s="35"/>
      <c r="N53" s="3">
        <v>1</v>
      </c>
      <c r="O53" s="21">
        <v>238.38</v>
      </c>
      <c r="P53" s="22" t="s">
        <v>132</v>
      </c>
      <c r="Q53" s="38"/>
      <c r="R53" s="38"/>
    </row>
    <row r="54" s="3" customFormat="1" ht="48" customHeight="1" outlineLevel="2" spans="1:18">
      <c r="A54" s="41">
        <f t="shared" si="6"/>
        <v>3</v>
      </c>
      <c r="B54" s="28" t="s">
        <v>96</v>
      </c>
      <c r="C54" s="28" t="s">
        <v>97</v>
      </c>
      <c r="D54" s="28" t="s">
        <v>98</v>
      </c>
      <c r="E54" s="28" t="s">
        <v>99</v>
      </c>
      <c r="F54" s="29" t="s">
        <v>39</v>
      </c>
      <c r="G54" s="30">
        <v>74.1</v>
      </c>
      <c r="H54" s="31">
        <v>112.16</v>
      </c>
      <c r="I54" s="39"/>
      <c r="J54" s="31">
        <f t="shared" si="7"/>
        <v>112.16</v>
      </c>
      <c r="K54" s="33">
        <f t="shared" si="8"/>
        <v>8311.06</v>
      </c>
      <c r="L54" s="34" t="s">
        <v>28</v>
      </c>
      <c r="M54" s="35"/>
      <c r="N54" s="3">
        <v>1</v>
      </c>
      <c r="O54" s="21">
        <v>79.3</v>
      </c>
      <c r="P54" s="22" t="s">
        <v>100</v>
      </c>
      <c r="Q54" s="38"/>
      <c r="R54" s="38"/>
    </row>
    <row r="55" s="3" customFormat="1" ht="48" customHeight="1" outlineLevel="2" spans="1:18">
      <c r="A55" s="41">
        <f t="shared" si="6"/>
        <v>4</v>
      </c>
      <c r="B55" s="28" t="s">
        <v>101</v>
      </c>
      <c r="C55" s="28" t="s">
        <v>102</v>
      </c>
      <c r="D55" s="28" t="s">
        <v>98</v>
      </c>
      <c r="E55" s="28" t="s">
        <v>99</v>
      </c>
      <c r="F55" s="29" t="s">
        <v>39</v>
      </c>
      <c r="G55" s="30">
        <v>74.1</v>
      </c>
      <c r="H55" s="31">
        <v>75.82</v>
      </c>
      <c r="I55" s="39"/>
      <c r="J55" s="31">
        <f t="shared" si="7"/>
        <v>75.82</v>
      </c>
      <c r="K55" s="33">
        <f t="shared" si="8"/>
        <v>5618.26</v>
      </c>
      <c r="L55" s="34" t="s">
        <v>28</v>
      </c>
      <c r="M55" s="35"/>
      <c r="N55" s="3">
        <v>1</v>
      </c>
      <c r="O55" s="21">
        <v>203.56</v>
      </c>
      <c r="P55" s="22" t="s">
        <v>103</v>
      </c>
      <c r="Q55" s="38"/>
      <c r="R55" s="38"/>
    </row>
    <row r="56" s="3" customFormat="1" ht="48" customHeight="1" outlineLevel="2" spans="1:18">
      <c r="A56" s="41">
        <f t="shared" si="6"/>
        <v>5</v>
      </c>
      <c r="B56" s="28" t="s">
        <v>104</v>
      </c>
      <c r="C56" s="28" t="s">
        <v>105</v>
      </c>
      <c r="D56" s="28" t="s">
        <v>98</v>
      </c>
      <c r="E56" s="28" t="s">
        <v>99</v>
      </c>
      <c r="F56" s="29" t="s">
        <v>39</v>
      </c>
      <c r="G56" s="30">
        <v>4.8</v>
      </c>
      <c r="H56" s="31">
        <v>109.74</v>
      </c>
      <c r="I56" s="39"/>
      <c r="J56" s="31">
        <f t="shared" si="7"/>
        <v>109.74</v>
      </c>
      <c r="K56" s="33">
        <f t="shared" si="8"/>
        <v>526.75</v>
      </c>
      <c r="L56" s="34" t="s">
        <v>28</v>
      </c>
      <c r="M56" s="35"/>
      <c r="N56" s="3">
        <v>1</v>
      </c>
      <c r="O56" s="21">
        <v>108.2</v>
      </c>
      <c r="P56" s="22" t="s">
        <v>106</v>
      </c>
      <c r="Q56" s="38"/>
      <c r="R56" s="38"/>
    </row>
    <row r="57" s="3" customFormat="1" ht="132" customHeight="1" outlineLevel="2" spans="1:18">
      <c r="A57" s="41">
        <f t="shared" si="6"/>
        <v>6</v>
      </c>
      <c r="B57" s="28" t="s">
        <v>107</v>
      </c>
      <c r="C57" s="28" t="s">
        <v>108</v>
      </c>
      <c r="D57" s="28" t="s">
        <v>109</v>
      </c>
      <c r="E57" s="28" t="s">
        <v>110</v>
      </c>
      <c r="F57" s="29" t="s">
        <v>27</v>
      </c>
      <c r="G57" s="30">
        <v>93.93</v>
      </c>
      <c r="H57" s="31">
        <v>152.22</v>
      </c>
      <c r="I57" s="39"/>
      <c r="J57" s="31">
        <f t="shared" si="7"/>
        <v>152.22</v>
      </c>
      <c r="K57" s="33">
        <f t="shared" si="8"/>
        <v>14298.02</v>
      </c>
      <c r="L57" s="34" t="s">
        <v>28</v>
      </c>
      <c r="M57" s="35"/>
      <c r="N57" s="3">
        <v>1</v>
      </c>
      <c r="O57" s="21">
        <v>151.58</v>
      </c>
      <c r="P57" s="22" t="s">
        <v>111</v>
      </c>
      <c r="Q57" s="38"/>
      <c r="R57" s="38"/>
    </row>
    <row r="58" s="3" customFormat="1" outlineLevel="1" spans="1:18">
      <c r="A58" s="40"/>
      <c r="B58" s="28" t="s">
        <v>112</v>
      </c>
      <c r="C58" s="28"/>
      <c r="D58" s="28"/>
      <c r="E58" s="28"/>
      <c r="F58" s="29"/>
      <c r="G58" s="30"/>
      <c r="H58" s="31"/>
      <c r="I58" s="39"/>
      <c r="J58" s="31"/>
      <c r="K58" s="33"/>
      <c r="L58" s="34"/>
      <c r="M58" s="35"/>
      <c r="O58" s="36"/>
      <c r="P58" s="37"/>
      <c r="Q58" s="38"/>
      <c r="R58" s="38"/>
    </row>
    <row r="59" s="3" customFormat="1" ht="60" customHeight="1" outlineLevel="2" spans="1:18">
      <c r="A59" s="41">
        <f>1+N(A58)</f>
        <v>1</v>
      </c>
      <c r="B59" s="28" t="s">
        <v>133</v>
      </c>
      <c r="C59" s="28" t="s">
        <v>114</v>
      </c>
      <c r="D59" s="28" t="s">
        <v>98</v>
      </c>
      <c r="E59" s="28" t="s">
        <v>115</v>
      </c>
      <c r="F59" s="29" t="s">
        <v>27</v>
      </c>
      <c r="G59" s="30">
        <v>2.25</v>
      </c>
      <c r="H59" s="31">
        <v>962.68</v>
      </c>
      <c r="I59" s="39"/>
      <c r="J59" s="31">
        <f>H59*(1-$I$4)</f>
        <v>962.68</v>
      </c>
      <c r="K59" s="33">
        <f>ROUND(G59*J59,2)</f>
        <v>2166.03</v>
      </c>
      <c r="L59" s="34" t="s">
        <v>28</v>
      </c>
      <c r="M59" s="35"/>
      <c r="N59" s="3">
        <v>1</v>
      </c>
      <c r="O59" s="21">
        <v>665.69</v>
      </c>
      <c r="P59" s="22" t="s">
        <v>116</v>
      </c>
      <c r="Q59" s="38"/>
      <c r="R59" s="38"/>
    </row>
    <row r="60" s="3" customFormat="1" ht="60" customHeight="1" outlineLevel="2" spans="1:18">
      <c r="A60" s="41">
        <f>1+N(A59)</f>
        <v>2</v>
      </c>
      <c r="B60" s="28" t="s">
        <v>134</v>
      </c>
      <c r="C60" s="28" t="s">
        <v>114</v>
      </c>
      <c r="D60" s="28" t="s">
        <v>98</v>
      </c>
      <c r="E60" s="28" t="s">
        <v>115</v>
      </c>
      <c r="F60" s="29" t="s">
        <v>27</v>
      </c>
      <c r="G60" s="30">
        <v>2.1</v>
      </c>
      <c r="H60" s="31">
        <v>962.68</v>
      </c>
      <c r="I60" s="39"/>
      <c r="J60" s="31">
        <f>H60*(1-$I$4)</f>
        <v>962.68</v>
      </c>
      <c r="K60" s="33">
        <f>ROUND(G60*J60,2)</f>
        <v>2021.63</v>
      </c>
      <c r="L60" s="34" t="s">
        <v>28</v>
      </c>
      <c r="M60" s="35"/>
      <c r="N60" s="3">
        <v>1</v>
      </c>
      <c r="O60" s="21">
        <v>665.69</v>
      </c>
      <c r="P60" s="22" t="s">
        <v>116</v>
      </c>
      <c r="Q60" s="38"/>
      <c r="R60" s="38"/>
    </row>
    <row r="61" s="3" customFormat="1" outlineLevel="1" spans="1:18">
      <c r="A61" s="27" t="s">
        <v>135</v>
      </c>
      <c r="B61" s="28" t="s">
        <v>136</v>
      </c>
      <c r="C61" s="28"/>
      <c r="D61" s="28"/>
      <c r="E61" s="28"/>
      <c r="F61" s="29"/>
      <c r="G61" s="30"/>
      <c r="H61" s="31"/>
      <c r="I61" s="39"/>
      <c r="J61" s="31"/>
      <c r="K61" s="33"/>
      <c r="L61" s="34"/>
      <c r="M61" s="35"/>
      <c r="O61" s="36"/>
      <c r="P61" s="37"/>
      <c r="Q61" s="38"/>
      <c r="R61" s="38"/>
    </row>
    <row r="62" s="3" customFormat="1" outlineLevel="1" spans="1:18">
      <c r="A62" s="40"/>
      <c r="B62" s="28" t="s">
        <v>22</v>
      </c>
      <c r="C62" s="28"/>
      <c r="D62" s="28"/>
      <c r="E62" s="28"/>
      <c r="F62" s="29"/>
      <c r="G62" s="30"/>
      <c r="H62" s="31"/>
      <c r="I62" s="39"/>
      <c r="J62" s="31"/>
      <c r="K62" s="33"/>
      <c r="L62" s="34"/>
      <c r="M62" s="35"/>
      <c r="O62" s="36"/>
      <c r="P62" s="37"/>
      <c r="Q62" s="38"/>
      <c r="R62" s="38"/>
    </row>
    <row r="63" s="3" customFormat="1" ht="108" customHeight="1" outlineLevel="2" spans="1:18">
      <c r="A63" s="41">
        <f>1+N(A62)</f>
        <v>1</v>
      </c>
      <c r="B63" s="28" t="s">
        <v>23</v>
      </c>
      <c r="C63" s="28" t="s">
        <v>24</v>
      </c>
      <c r="D63" s="28" t="s">
        <v>25</v>
      </c>
      <c r="E63" s="28" t="s">
        <v>26</v>
      </c>
      <c r="F63" s="29" t="s">
        <v>27</v>
      </c>
      <c r="G63" s="30">
        <v>28.2</v>
      </c>
      <c r="H63" s="31">
        <v>940.91</v>
      </c>
      <c r="I63" s="39"/>
      <c r="J63" s="31">
        <f>H63*(1-$I$4)</f>
        <v>940.91</v>
      </c>
      <c r="K63" s="33">
        <f>ROUND(G63*J63,2)</f>
        <v>26533.66</v>
      </c>
      <c r="L63" s="34" t="s">
        <v>28</v>
      </c>
      <c r="M63" s="35"/>
      <c r="N63" s="3">
        <v>1</v>
      </c>
      <c r="O63" s="21">
        <v>886.6</v>
      </c>
      <c r="P63" s="22" t="s">
        <v>29</v>
      </c>
      <c r="Q63" s="38"/>
      <c r="R63" s="38"/>
    </row>
    <row r="64" s="3" customFormat="1" ht="72" customHeight="1" outlineLevel="2" spans="1:18">
      <c r="A64" s="41">
        <f>1+N(A63)</f>
        <v>2</v>
      </c>
      <c r="B64" s="28" t="s">
        <v>41</v>
      </c>
      <c r="C64" s="28" t="s">
        <v>42</v>
      </c>
      <c r="D64" s="28" t="s">
        <v>25</v>
      </c>
      <c r="E64" s="28" t="s">
        <v>26</v>
      </c>
      <c r="F64" s="29" t="s">
        <v>27</v>
      </c>
      <c r="G64" s="30">
        <v>28.2</v>
      </c>
      <c r="H64" s="31">
        <v>64.9</v>
      </c>
      <c r="I64" s="39"/>
      <c r="J64" s="31">
        <f>H64*(1-$I$4)</f>
        <v>64.9</v>
      </c>
      <c r="K64" s="33">
        <f>ROUND(G64*J64,2)</f>
        <v>1830.18</v>
      </c>
      <c r="L64" s="34" t="s">
        <v>28</v>
      </c>
      <c r="M64" s="35"/>
      <c r="N64" s="3">
        <v>1</v>
      </c>
      <c r="O64" s="21">
        <v>61.38</v>
      </c>
      <c r="P64" s="22" t="s">
        <v>43</v>
      </c>
      <c r="Q64" s="38"/>
      <c r="R64" s="38"/>
    </row>
    <row r="65" s="3" customFormat="1" outlineLevel="1" spans="1:18">
      <c r="A65" s="40"/>
      <c r="B65" s="28" t="s">
        <v>44</v>
      </c>
      <c r="C65" s="28"/>
      <c r="D65" s="28"/>
      <c r="E65" s="28"/>
      <c r="F65" s="29"/>
      <c r="G65" s="30"/>
      <c r="H65" s="31"/>
      <c r="I65" s="39"/>
      <c r="J65" s="31"/>
      <c r="K65" s="33"/>
      <c r="L65" s="34"/>
      <c r="M65" s="35"/>
      <c r="O65" s="36"/>
      <c r="P65" s="37"/>
      <c r="Q65" s="38"/>
      <c r="R65" s="38"/>
    </row>
    <row r="66" s="3" customFormat="1" ht="108" customHeight="1" outlineLevel="2" spans="1:18">
      <c r="A66" s="41">
        <f t="shared" ref="A66:A73" si="9">1+N(A65)</f>
        <v>1</v>
      </c>
      <c r="B66" s="28" t="s">
        <v>45</v>
      </c>
      <c r="C66" s="28" t="s">
        <v>46</v>
      </c>
      <c r="D66" s="28" t="s">
        <v>47</v>
      </c>
      <c r="E66" s="28" t="s">
        <v>48</v>
      </c>
      <c r="F66" s="29" t="s">
        <v>27</v>
      </c>
      <c r="G66" s="30">
        <v>4.46</v>
      </c>
      <c r="H66" s="31">
        <v>2668.45</v>
      </c>
      <c r="I66" s="39"/>
      <c r="J66" s="31">
        <f t="shared" ref="J66:J73" si="10">H66*(1-$I$4)</f>
        <v>2668.45</v>
      </c>
      <c r="K66" s="33">
        <f t="shared" ref="K66:K73" si="11">ROUND(G66*J66,2)</f>
        <v>11901.29</v>
      </c>
      <c r="L66" s="34" t="s">
        <v>28</v>
      </c>
      <c r="M66" s="35"/>
      <c r="N66" s="3">
        <v>1</v>
      </c>
      <c r="O66" s="21">
        <v>1019.76</v>
      </c>
      <c r="P66" s="22" t="s">
        <v>49</v>
      </c>
      <c r="Q66" s="38"/>
      <c r="R66" s="38"/>
    </row>
    <row r="67" s="3" customFormat="1" ht="156" customHeight="1" outlineLevel="2" spans="1:18">
      <c r="A67" s="41">
        <f t="shared" si="9"/>
        <v>2</v>
      </c>
      <c r="B67" s="28" t="s">
        <v>50</v>
      </c>
      <c r="C67" s="28" t="s">
        <v>51</v>
      </c>
      <c r="D67" s="28" t="s">
        <v>52</v>
      </c>
      <c r="E67" s="28" t="s">
        <v>48</v>
      </c>
      <c r="F67" s="29" t="s">
        <v>27</v>
      </c>
      <c r="G67" s="30">
        <v>29.71</v>
      </c>
      <c r="H67" s="31">
        <v>947.94</v>
      </c>
      <c r="I67" s="39"/>
      <c r="J67" s="31">
        <f t="shared" si="10"/>
        <v>947.94</v>
      </c>
      <c r="K67" s="33">
        <f t="shared" si="11"/>
        <v>28163.3</v>
      </c>
      <c r="L67" s="34" t="s">
        <v>28</v>
      </c>
      <c r="M67" s="35"/>
      <c r="N67" s="3">
        <v>1</v>
      </c>
      <c r="O67" s="21">
        <v>1000.51</v>
      </c>
      <c r="P67" s="22" t="s">
        <v>129</v>
      </c>
      <c r="Q67" s="38"/>
      <c r="R67" s="38"/>
    </row>
    <row r="68" s="3" customFormat="1" ht="156" customHeight="1" outlineLevel="2" spans="1:18">
      <c r="A68" s="41">
        <f t="shared" si="9"/>
        <v>3</v>
      </c>
      <c r="B68" s="28" t="s">
        <v>54</v>
      </c>
      <c r="C68" s="28" t="s">
        <v>55</v>
      </c>
      <c r="D68" s="28" t="s">
        <v>52</v>
      </c>
      <c r="E68" s="28" t="s">
        <v>48</v>
      </c>
      <c r="F68" s="29" t="s">
        <v>27</v>
      </c>
      <c r="G68" s="30">
        <v>13.65</v>
      </c>
      <c r="H68" s="31">
        <v>2016.38</v>
      </c>
      <c r="I68" s="39"/>
      <c r="J68" s="31">
        <f t="shared" si="10"/>
        <v>2016.38</v>
      </c>
      <c r="K68" s="33">
        <f t="shared" si="11"/>
        <v>27523.59</v>
      </c>
      <c r="L68" s="34" t="s">
        <v>28</v>
      </c>
      <c r="M68" s="35"/>
      <c r="N68" s="3">
        <v>1</v>
      </c>
      <c r="O68" s="21">
        <v>1179.53</v>
      </c>
      <c r="P68" s="22" t="s">
        <v>56</v>
      </c>
      <c r="Q68" s="38"/>
      <c r="R68" s="38"/>
    </row>
    <row r="69" s="3" customFormat="1" ht="120" customHeight="1" outlineLevel="2" spans="1:18">
      <c r="A69" s="41">
        <f t="shared" si="9"/>
        <v>4</v>
      </c>
      <c r="B69" s="28" t="s">
        <v>137</v>
      </c>
      <c r="C69" s="28" t="s">
        <v>138</v>
      </c>
      <c r="D69" s="28" t="s">
        <v>52</v>
      </c>
      <c r="E69" s="28" t="s">
        <v>48</v>
      </c>
      <c r="F69" s="29" t="s">
        <v>27</v>
      </c>
      <c r="G69" s="30">
        <v>16.5</v>
      </c>
      <c r="H69" s="31">
        <v>1053.46</v>
      </c>
      <c r="I69" s="39"/>
      <c r="J69" s="31">
        <f t="shared" si="10"/>
        <v>1053.46</v>
      </c>
      <c r="K69" s="33">
        <f t="shared" si="11"/>
        <v>17382.09</v>
      </c>
      <c r="L69" s="34" t="s">
        <v>28</v>
      </c>
      <c r="M69" s="35"/>
      <c r="N69" s="3">
        <v>1</v>
      </c>
      <c r="O69" s="21">
        <v>565.77</v>
      </c>
      <c r="P69" s="22" t="s">
        <v>139</v>
      </c>
      <c r="Q69" s="38"/>
      <c r="R69" s="38"/>
    </row>
    <row r="70" s="3" customFormat="1" ht="120" customHeight="1" outlineLevel="2" spans="1:18">
      <c r="A70" s="41">
        <f t="shared" si="9"/>
        <v>5</v>
      </c>
      <c r="B70" s="28" t="s">
        <v>140</v>
      </c>
      <c r="C70" s="28" t="s">
        <v>141</v>
      </c>
      <c r="D70" s="28" t="s">
        <v>52</v>
      </c>
      <c r="E70" s="28" t="s">
        <v>63</v>
      </c>
      <c r="F70" s="29" t="s">
        <v>27</v>
      </c>
      <c r="G70" s="30">
        <v>0.41</v>
      </c>
      <c r="H70" s="31">
        <v>630.65</v>
      </c>
      <c r="I70" s="39"/>
      <c r="J70" s="31">
        <f t="shared" si="10"/>
        <v>630.65</v>
      </c>
      <c r="K70" s="33">
        <f t="shared" si="11"/>
        <v>258.57</v>
      </c>
      <c r="L70" s="34" t="s">
        <v>28</v>
      </c>
      <c r="M70" s="35"/>
      <c r="N70" s="3">
        <v>1</v>
      </c>
      <c r="O70" s="21">
        <v>681.67</v>
      </c>
      <c r="P70" s="22" t="s">
        <v>64</v>
      </c>
      <c r="Q70" s="38"/>
      <c r="R70" s="38"/>
    </row>
    <row r="71" s="3" customFormat="1" ht="96" customHeight="1" outlineLevel="2" spans="1:18">
      <c r="A71" s="41">
        <f t="shared" si="9"/>
        <v>6</v>
      </c>
      <c r="B71" s="28" t="s">
        <v>75</v>
      </c>
      <c r="C71" s="28" t="s">
        <v>76</v>
      </c>
      <c r="D71" s="28" t="s">
        <v>59</v>
      </c>
      <c r="E71" s="28" t="s">
        <v>38</v>
      </c>
      <c r="F71" s="29" t="s">
        <v>39</v>
      </c>
      <c r="G71" s="30">
        <v>16.2</v>
      </c>
      <c r="H71" s="31">
        <v>67.08</v>
      </c>
      <c r="I71" s="39"/>
      <c r="J71" s="31">
        <f t="shared" si="10"/>
        <v>67.08</v>
      </c>
      <c r="K71" s="33">
        <f t="shared" si="11"/>
        <v>1086.7</v>
      </c>
      <c r="L71" s="34" t="s">
        <v>28</v>
      </c>
      <c r="M71" s="35"/>
      <c r="N71" s="3">
        <v>1</v>
      </c>
      <c r="O71" s="21">
        <v>45.71</v>
      </c>
      <c r="P71" s="22" t="s">
        <v>77</v>
      </c>
      <c r="Q71" s="38"/>
      <c r="R71" s="38"/>
    </row>
    <row r="72" s="3" customFormat="1" ht="96" customHeight="1" outlineLevel="2" spans="1:18">
      <c r="A72" s="41">
        <f t="shared" si="9"/>
        <v>7</v>
      </c>
      <c r="B72" s="28" t="s">
        <v>84</v>
      </c>
      <c r="C72" s="28" t="s">
        <v>85</v>
      </c>
      <c r="D72" s="28" t="s">
        <v>59</v>
      </c>
      <c r="E72" s="28" t="s">
        <v>38</v>
      </c>
      <c r="F72" s="29" t="s">
        <v>39</v>
      </c>
      <c r="G72" s="30">
        <v>16.2</v>
      </c>
      <c r="H72" s="31">
        <v>117.84</v>
      </c>
      <c r="I72" s="39"/>
      <c r="J72" s="31">
        <f t="shared" si="10"/>
        <v>117.84</v>
      </c>
      <c r="K72" s="33">
        <f t="shared" si="11"/>
        <v>1909.01</v>
      </c>
      <c r="L72" s="34" t="s">
        <v>28</v>
      </c>
      <c r="M72" s="35"/>
      <c r="N72" s="3">
        <v>1</v>
      </c>
      <c r="O72" s="21">
        <v>95.14</v>
      </c>
      <c r="P72" s="22" t="s">
        <v>86</v>
      </c>
      <c r="Q72" s="38"/>
      <c r="R72" s="38"/>
    </row>
    <row r="73" s="3" customFormat="1" ht="96" customHeight="1" outlineLevel="2" spans="1:18">
      <c r="A73" s="41">
        <f t="shared" si="9"/>
        <v>8</v>
      </c>
      <c r="B73" s="28" t="s">
        <v>87</v>
      </c>
      <c r="C73" s="28" t="s">
        <v>88</v>
      </c>
      <c r="D73" s="28" t="s">
        <v>59</v>
      </c>
      <c r="E73" s="28" t="s">
        <v>38</v>
      </c>
      <c r="F73" s="29" t="s">
        <v>39</v>
      </c>
      <c r="G73" s="30">
        <v>16.2</v>
      </c>
      <c r="H73" s="31">
        <v>64.25</v>
      </c>
      <c r="I73" s="39"/>
      <c r="J73" s="31">
        <f t="shared" si="10"/>
        <v>64.25</v>
      </c>
      <c r="K73" s="33">
        <f t="shared" si="11"/>
        <v>1040.85</v>
      </c>
      <c r="L73" s="34" t="s">
        <v>28</v>
      </c>
      <c r="M73" s="35"/>
      <c r="N73" s="3">
        <v>1</v>
      </c>
      <c r="O73" s="21">
        <v>43.16</v>
      </c>
      <c r="P73" s="22" t="s">
        <v>89</v>
      </c>
      <c r="Q73" s="38"/>
      <c r="R73" s="38"/>
    </row>
    <row r="74" s="3" customFormat="1" outlineLevel="1" spans="1:18">
      <c r="A74" s="40"/>
      <c r="B74" s="28" t="s">
        <v>90</v>
      </c>
      <c r="C74" s="28"/>
      <c r="D74" s="28"/>
      <c r="E74" s="28"/>
      <c r="F74" s="29"/>
      <c r="G74" s="30"/>
      <c r="H74" s="31"/>
      <c r="I74" s="39"/>
      <c r="J74" s="31"/>
      <c r="K74" s="33"/>
      <c r="L74" s="34"/>
      <c r="M74" s="35"/>
      <c r="O74" s="36"/>
      <c r="P74" s="37"/>
      <c r="Q74" s="38"/>
      <c r="R74" s="38"/>
    </row>
    <row r="75" s="3" customFormat="1" ht="168" customHeight="1" outlineLevel="2" spans="1:18">
      <c r="A75" s="41">
        <f t="shared" ref="A75:A80" si="12">1+N(A74)</f>
        <v>1</v>
      </c>
      <c r="B75" s="28" t="s">
        <v>91</v>
      </c>
      <c r="C75" s="28" t="s">
        <v>92</v>
      </c>
      <c r="D75" s="28" t="s">
        <v>93</v>
      </c>
      <c r="E75" s="28" t="s">
        <v>94</v>
      </c>
      <c r="F75" s="29" t="s">
        <v>27</v>
      </c>
      <c r="G75" s="30">
        <v>23.8</v>
      </c>
      <c r="H75" s="31">
        <v>174.57</v>
      </c>
      <c r="I75" s="39"/>
      <c r="J75" s="31">
        <f t="shared" ref="J75:J80" si="13">H75*(1-$I$4)</f>
        <v>174.57</v>
      </c>
      <c r="K75" s="33">
        <f t="shared" ref="K75:K80" si="14">ROUND(G75*J75,2)</f>
        <v>4154.77</v>
      </c>
      <c r="L75" s="34" t="s">
        <v>28</v>
      </c>
      <c r="M75" s="35"/>
      <c r="N75" s="3">
        <v>1</v>
      </c>
      <c r="O75" s="21">
        <v>150.38</v>
      </c>
      <c r="P75" s="22" t="s">
        <v>95</v>
      </c>
      <c r="Q75" s="38"/>
      <c r="R75" s="38"/>
    </row>
    <row r="76" s="3" customFormat="1" ht="60" customHeight="1" outlineLevel="2" spans="1:18">
      <c r="A76" s="41">
        <f t="shared" si="12"/>
        <v>2</v>
      </c>
      <c r="B76" s="28" t="s">
        <v>142</v>
      </c>
      <c r="C76" s="28" t="s">
        <v>143</v>
      </c>
      <c r="D76" s="28" t="s">
        <v>98</v>
      </c>
      <c r="E76" s="28" t="s">
        <v>26</v>
      </c>
      <c r="F76" s="29" t="s">
        <v>27</v>
      </c>
      <c r="G76" s="30">
        <v>4.4</v>
      </c>
      <c r="H76" s="31">
        <v>472.71</v>
      </c>
      <c r="I76" s="39"/>
      <c r="J76" s="31">
        <f t="shared" si="13"/>
        <v>472.71</v>
      </c>
      <c r="K76" s="33">
        <f t="shared" si="14"/>
        <v>2079.92</v>
      </c>
      <c r="L76" s="34" t="s">
        <v>28</v>
      </c>
      <c r="M76" s="35"/>
      <c r="N76" s="3">
        <v>1</v>
      </c>
      <c r="O76" s="21">
        <v>384.56</v>
      </c>
      <c r="P76" s="22" t="s">
        <v>144</v>
      </c>
      <c r="Q76" s="38"/>
      <c r="R76" s="38"/>
    </row>
    <row r="77" s="3" customFormat="1" ht="48" customHeight="1" outlineLevel="2" spans="1:18">
      <c r="A77" s="41">
        <f t="shared" si="12"/>
        <v>3</v>
      </c>
      <c r="B77" s="28" t="s">
        <v>96</v>
      </c>
      <c r="C77" s="28" t="s">
        <v>97</v>
      </c>
      <c r="D77" s="28" t="s">
        <v>98</v>
      </c>
      <c r="E77" s="28" t="s">
        <v>99</v>
      </c>
      <c r="F77" s="29" t="s">
        <v>39</v>
      </c>
      <c r="G77" s="30">
        <v>5.5</v>
      </c>
      <c r="H77" s="31">
        <v>112.16</v>
      </c>
      <c r="I77" s="39"/>
      <c r="J77" s="31">
        <f t="shared" si="13"/>
        <v>112.16</v>
      </c>
      <c r="K77" s="33">
        <f t="shared" si="14"/>
        <v>616.88</v>
      </c>
      <c r="L77" s="34" t="s">
        <v>28</v>
      </c>
      <c r="M77" s="35"/>
      <c r="N77" s="3">
        <v>1</v>
      </c>
      <c r="O77" s="21">
        <v>79.3</v>
      </c>
      <c r="P77" s="22" t="s">
        <v>100</v>
      </c>
      <c r="Q77" s="38"/>
      <c r="R77" s="38"/>
    </row>
    <row r="78" s="3" customFormat="1" ht="48" customHeight="1" outlineLevel="2" spans="1:18">
      <c r="A78" s="41">
        <f t="shared" si="12"/>
        <v>4</v>
      </c>
      <c r="B78" s="28" t="s">
        <v>101</v>
      </c>
      <c r="C78" s="28" t="s">
        <v>102</v>
      </c>
      <c r="D78" s="28" t="s">
        <v>98</v>
      </c>
      <c r="E78" s="28" t="s">
        <v>99</v>
      </c>
      <c r="F78" s="29" t="s">
        <v>39</v>
      </c>
      <c r="G78" s="30">
        <v>5.5</v>
      </c>
      <c r="H78" s="31">
        <v>75.82</v>
      </c>
      <c r="I78" s="39"/>
      <c r="J78" s="31">
        <f t="shared" si="13"/>
        <v>75.82</v>
      </c>
      <c r="K78" s="33">
        <f t="shared" si="14"/>
        <v>417.01</v>
      </c>
      <c r="L78" s="34" t="s">
        <v>28</v>
      </c>
      <c r="M78" s="35"/>
      <c r="N78" s="3">
        <v>1</v>
      </c>
      <c r="O78" s="21">
        <v>203.56</v>
      </c>
      <c r="P78" s="22" t="s">
        <v>103</v>
      </c>
      <c r="Q78" s="38"/>
      <c r="R78" s="38"/>
    </row>
    <row r="79" s="3" customFormat="1" ht="48" customHeight="1" outlineLevel="2" spans="1:18">
      <c r="A79" s="41">
        <f t="shared" si="12"/>
        <v>5</v>
      </c>
      <c r="B79" s="28" t="s">
        <v>104</v>
      </c>
      <c r="C79" s="28" t="s">
        <v>105</v>
      </c>
      <c r="D79" s="28" t="s">
        <v>98</v>
      </c>
      <c r="E79" s="28" t="s">
        <v>99</v>
      </c>
      <c r="F79" s="29" t="s">
        <v>39</v>
      </c>
      <c r="G79" s="30">
        <v>2.4</v>
      </c>
      <c r="H79" s="31">
        <v>109.74</v>
      </c>
      <c r="I79" s="39"/>
      <c r="J79" s="31">
        <f t="shared" si="13"/>
        <v>109.74</v>
      </c>
      <c r="K79" s="33">
        <f t="shared" si="14"/>
        <v>263.38</v>
      </c>
      <c r="L79" s="34" t="s">
        <v>28</v>
      </c>
      <c r="M79" s="35"/>
      <c r="N79" s="3">
        <v>1</v>
      </c>
      <c r="O79" s="21">
        <v>108.2</v>
      </c>
      <c r="P79" s="22" t="s">
        <v>106</v>
      </c>
      <c r="Q79" s="38"/>
      <c r="R79" s="38"/>
    </row>
    <row r="80" s="3" customFormat="1" ht="132" customHeight="1" outlineLevel="2" spans="1:18">
      <c r="A80" s="41">
        <f t="shared" si="12"/>
        <v>6</v>
      </c>
      <c r="B80" s="28" t="s">
        <v>107</v>
      </c>
      <c r="C80" s="28" t="s">
        <v>108</v>
      </c>
      <c r="D80" s="28" t="s">
        <v>109</v>
      </c>
      <c r="E80" s="28" t="s">
        <v>110</v>
      </c>
      <c r="F80" s="29" t="s">
        <v>27</v>
      </c>
      <c r="G80" s="30">
        <v>29.85</v>
      </c>
      <c r="H80" s="31">
        <v>152.22</v>
      </c>
      <c r="I80" s="39"/>
      <c r="J80" s="31">
        <f t="shared" si="13"/>
        <v>152.22</v>
      </c>
      <c r="K80" s="33">
        <f t="shared" si="14"/>
        <v>4543.77</v>
      </c>
      <c r="L80" s="34" t="s">
        <v>28</v>
      </c>
      <c r="M80" s="35"/>
      <c r="N80" s="3">
        <v>1</v>
      </c>
      <c r="O80" s="21">
        <v>151.58</v>
      </c>
      <c r="P80" s="22" t="s">
        <v>111</v>
      </c>
      <c r="Q80" s="38"/>
      <c r="R80" s="38"/>
    </row>
    <row r="81" s="3" customFormat="1" outlineLevel="1" spans="1:18">
      <c r="A81" s="40"/>
      <c r="B81" s="28" t="s">
        <v>112</v>
      </c>
      <c r="C81" s="28"/>
      <c r="D81" s="28"/>
      <c r="E81" s="28"/>
      <c r="F81" s="29"/>
      <c r="G81" s="30"/>
      <c r="H81" s="31"/>
      <c r="I81" s="39"/>
      <c r="J81" s="31"/>
      <c r="K81" s="33"/>
      <c r="L81" s="34"/>
      <c r="M81" s="35"/>
      <c r="O81" s="36"/>
      <c r="P81" s="37"/>
      <c r="Q81" s="38"/>
      <c r="R81" s="38"/>
    </row>
    <row r="82" s="3" customFormat="1" ht="84" customHeight="1" outlineLevel="2" spans="1:18">
      <c r="A82" s="41">
        <f>1+N(A81)</f>
        <v>1</v>
      </c>
      <c r="B82" s="28" t="s">
        <v>145</v>
      </c>
      <c r="C82" s="28" t="s">
        <v>146</v>
      </c>
      <c r="D82" s="28" t="s">
        <v>98</v>
      </c>
      <c r="E82" s="28" t="s">
        <v>115</v>
      </c>
      <c r="F82" s="29" t="s">
        <v>27</v>
      </c>
      <c r="G82" s="30">
        <v>4.23</v>
      </c>
      <c r="H82" s="31">
        <v>2976.56</v>
      </c>
      <c r="I82" s="39"/>
      <c r="J82" s="31">
        <f>H82*(1-$I$4)</f>
        <v>2976.56</v>
      </c>
      <c r="K82" s="33">
        <f>ROUND(G82*J82,2)</f>
        <v>12590.85</v>
      </c>
      <c r="L82" s="34" t="s">
        <v>28</v>
      </c>
      <c r="M82" s="35"/>
      <c r="N82" s="3">
        <v>1</v>
      </c>
      <c r="O82" s="21">
        <v>5056.46</v>
      </c>
      <c r="P82" s="22" t="s">
        <v>147</v>
      </c>
      <c r="Q82" s="38"/>
      <c r="R82" s="38"/>
    </row>
    <row r="83" s="3" customFormat="1" ht="72" customHeight="1" outlineLevel="2" spans="1:18">
      <c r="A83" s="41">
        <f>1+N(A82)</f>
        <v>2</v>
      </c>
      <c r="B83" s="28" t="s">
        <v>148</v>
      </c>
      <c r="C83" s="28" t="s">
        <v>149</v>
      </c>
      <c r="D83" s="28" t="s">
        <v>98</v>
      </c>
      <c r="E83" s="28" t="s">
        <v>115</v>
      </c>
      <c r="F83" s="29" t="s">
        <v>27</v>
      </c>
      <c r="G83" s="30">
        <v>7.68</v>
      </c>
      <c r="H83" s="31">
        <v>3211.49</v>
      </c>
      <c r="I83" s="39"/>
      <c r="J83" s="31">
        <f>H83*(1-$I$4)</f>
        <v>3211.49</v>
      </c>
      <c r="K83" s="33">
        <f>ROUND(G83*J83,2)</f>
        <v>24664.24</v>
      </c>
      <c r="L83" s="34" t="s">
        <v>28</v>
      </c>
      <c r="M83" s="35"/>
      <c r="N83" s="3">
        <v>1</v>
      </c>
      <c r="O83" s="21">
        <v>2636.15</v>
      </c>
      <c r="P83" s="22" t="s">
        <v>150</v>
      </c>
      <c r="Q83" s="38"/>
      <c r="R83" s="38"/>
    </row>
    <row r="84" s="3" customFormat="1" outlineLevel="1" spans="1:18">
      <c r="A84" s="27" t="s">
        <v>151</v>
      </c>
      <c r="B84" s="28" t="s">
        <v>152</v>
      </c>
      <c r="C84" s="28"/>
      <c r="D84" s="28"/>
      <c r="E84" s="28"/>
      <c r="F84" s="29"/>
      <c r="G84" s="30"/>
      <c r="H84" s="31"/>
      <c r="I84" s="39"/>
      <c r="J84" s="31"/>
      <c r="K84" s="33"/>
      <c r="L84" s="34"/>
      <c r="M84" s="35"/>
      <c r="O84" s="36"/>
      <c r="P84" s="37"/>
      <c r="Q84" s="38"/>
      <c r="R84" s="38"/>
    </row>
    <row r="85" s="3" customFormat="1" outlineLevel="1" spans="1:18">
      <c r="A85" s="40"/>
      <c r="B85" s="28" t="s">
        <v>22</v>
      </c>
      <c r="C85" s="28"/>
      <c r="D85" s="28"/>
      <c r="E85" s="28"/>
      <c r="F85" s="29"/>
      <c r="G85" s="30"/>
      <c r="H85" s="31"/>
      <c r="I85" s="39"/>
      <c r="J85" s="31"/>
      <c r="K85" s="33"/>
      <c r="L85" s="34"/>
      <c r="M85" s="35"/>
      <c r="O85" s="36"/>
      <c r="P85" s="37"/>
      <c r="Q85" s="38"/>
      <c r="R85" s="38"/>
    </row>
    <row r="86" s="3" customFormat="1" ht="108" customHeight="1" outlineLevel="2" spans="1:18">
      <c r="A86" s="41">
        <f>1+N(A85)</f>
        <v>1</v>
      </c>
      <c r="B86" s="28" t="s">
        <v>23</v>
      </c>
      <c r="C86" s="28" t="s">
        <v>24</v>
      </c>
      <c r="D86" s="28" t="s">
        <v>25</v>
      </c>
      <c r="E86" s="28" t="s">
        <v>26</v>
      </c>
      <c r="F86" s="29" t="s">
        <v>27</v>
      </c>
      <c r="G86" s="30">
        <v>4.86</v>
      </c>
      <c r="H86" s="31">
        <v>940.91</v>
      </c>
      <c r="I86" s="39"/>
      <c r="J86" s="31">
        <f>H86*(1-$I$4)</f>
        <v>940.91</v>
      </c>
      <c r="K86" s="33">
        <f>ROUND(G86*J86,2)</f>
        <v>4572.82</v>
      </c>
      <c r="L86" s="34" t="s">
        <v>28</v>
      </c>
      <c r="M86" s="35"/>
      <c r="N86" s="3">
        <v>1</v>
      </c>
      <c r="O86" s="21">
        <v>886.6</v>
      </c>
      <c r="P86" s="22" t="s">
        <v>29</v>
      </c>
      <c r="Q86" s="38"/>
      <c r="R86" s="38"/>
    </row>
    <row r="87" s="3" customFormat="1" ht="108" customHeight="1" outlineLevel="2" spans="1:18">
      <c r="A87" s="41">
        <f>1+N(A86)</f>
        <v>2</v>
      </c>
      <c r="B87" s="28" t="s">
        <v>30</v>
      </c>
      <c r="C87" s="28" t="s">
        <v>31</v>
      </c>
      <c r="D87" s="28" t="s">
        <v>25</v>
      </c>
      <c r="E87" s="28" t="s">
        <v>26</v>
      </c>
      <c r="F87" s="29" t="s">
        <v>27</v>
      </c>
      <c r="G87" s="30">
        <v>11.36</v>
      </c>
      <c r="H87" s="31">
        <v>1412.25</v>
      </c>
      <c r="I87" s="39"/>
      <c r="J87" s="31">
        <f>H87*(1-$I$4)</f>
        <v>1412.25</v>
      </c>
      <c r="K87" s="33">
        <f>ROUND(G87*J87,2)</f>
        <v>16043.16</v>
      </c>
      <c r="L87" s="34" t="s">
        <v>28</v>
      </c>
      <c r="M87" s="35"/>
      <c r="N87" s="3">
        <v>1</v>
      </c>
      <c r="O87" s="21">
        <v>1135.86</v>
      </c>
      <c r="P87" s="22" t="s">
        <v>32</v>
      </c>
      <c r="Q87" s="38"/>
      <c r="R87" s="38"/>
    </row>
    <row r="88" s="3" customFormat="1" ht="72" customHeight="1" outlineLevel="2" spans="1:18">
      <c r="A88" s="41">
        <f>1+N(A87)</f>
        <v>3</v>
      </c>
      <c r="B88" s="28" t="s">
        <v>36</v>
      </c>
      <c r="C88" s="28" t="s">
        <v>37</v>
      </c>
      <c r="D88" s="28" t="s">
        <v>25</v>
      </c>
      <c r="E88" s="28" t="s">
        <v>38</v>
      </c>
      <c r="F88" s="29" t="s">
        <v>39</v>
      </c>
      <c r="G88" s="30">
        <v>13.36</v>
      </c>
      <c r="H88" s="31">
        <v>89.27</v>
      </c>
      <c r="I88" s="39"/>
      <c r="J88" s="31">
        <f>H88*(1-$I$4)</f>
        <v>89.27</v>
      </c>
      <c r="K88" s="33">
        <f>ROUND(G88*J88,2)</f>
        <v>1192.65</v>
      </c>
      <c r="L88" s="34" t="s">
        <v>28</v>
      </c>
      <c r="M88" s="35"/>
      <c r="N88" s="3">
        <v>1</v>
      </c>
      <c r="O88" s="21">
        <v>35.28</v>
      </c>
      <c r="P88" s="22" t="s">
        <v>40</v>
      </c>
      <c r="Q88" s="38"/>
      <c r="R88" s="38"/>
    </row>
    <row r="89" s="3" customFormat="1" ht="72" customHeight="1" outlineLevel="2" spans="1:18">
      <c r="A89" s="41">
        <f>1+N(A88)</f>
        <v>4</v>
      </c>
      <c r="B89" s="28" t="s">
        <v>41</v>
      </c>
      <c r="C89" s="28" t="s">
        <v>42</v>
      </c>
      <c r="D89" s="28" t="s">
        <v>25</v>
      </c>
      <c r="E89" s="28" t="s">
        <v>26</v>
      </c>
      <c r="F89" s="29" t="s">
        <v>27</v>
      </c>
      <c r="G89" s="30">
        <v>16.22</v>
      </c>
      <c r="H89" s="31">
        <v>64.9</v>
      </c>
      <c r="I89" s="39"/>
      <c r="J89" s="31">
        <f>H89*(1-$I$4)</f>
        <v>64.9</v>
      </c>
      <c r="K89" s="33">
        <f>ROUND(G89*J89,2)</f>
        <v>1052.68</v>
      </c>
      <c r="L89" s="34" t="s">
        <v>28</v>
      </c>
      <c r="M89" s="35"/>
      <c r="N89" s="3">
        <v>1</v>
      </c>
      <c r="O89" s="21">
        <v>61.38</v>
      </c>
      <c r="P89" s="22" t="s">
        <v>43</v>
      </c>
      <c r="Q89" s="38"/>
      <c r="R89" s="38"/>
    </row>
    <row r="90" s="3" customFormat="1" outlineLevel="1" spans="1:18">
      <c r="A90" s="40"/>
      <c r="B90" s="28" t="s">
        <v>44</v>
      </c>
      <c r="C90" s="28"/>
      <c r="D90" s="28"/>
      <c r="E90" s="28"/>
      <c r="F90" s="29"/>
      <c r="G90" s="30"/>
      <c r="H90" s="31"/>
      <c r="I90" s="39"/>
      <c r="J90" s="31"/>
      <c r="K90" s="33"/>
      <c r="L90" s="34"/>
      <c r="M90" s="35"/>
      <c r="O90" s="36"/>
      <c r="P90" s="37"/>
      <c r="Q90" s="38"/>
      <c r="R90" s="38"/>
    </row>
    <row r="91" s="3" customFormat="1" ht="108" customHeight="1" outlineLevel="2" spans="1:18">
      <c r="A91" s="41">
        <f t="shared" ref="A91:A99" si="15">1+N(A90)</f>
        <v>1</v>
      </c>
      <c r="B91" s="28" t="s">
        <v>45</v>
      </c>
      <c r="C91" s="28" t="s">
        <v>46</v>
      </c>
      <c r="D91" s="28" t="s">
        <v>47</v>
      </c>
      <c r="E91" s="28" t="s">
        <v>48</v>
      </c>
      <c r="F91" s="29" t="s">
        <v>27</v>
      </c>
      <c r="G91" s="30">
        <v>4.78</v>
      </c>
      <c r="H91" s="31">
        <v>2668.45</v>
      </c>
      <c r="I91" s="39"/>
      <c r="J91" s="31">
        <f t="shared" ref="J91:J99" si="16">H91*(1-$I$4)</f>
        <v>2668.45</v>
      </c>
      <c r="K91" s="33">
        <f t="shared" ref="K91:K99" si="17">ROUND(G91*J91,2)</f>
        <v>12755.19</v>
      </c>
      <c r="L91" s="34" t="s">
        <v>28</v>
      </c>
      <c r="M91" s="35"/>
      <c r="N91" s="3">
        <v>1</v>
      </c>
      <c r="O91" s="21">
        <v>1019.76</v>
      </c>
      <c r="P91" s="22" t="s">
        <v>49</v>
      </c>
      <c r="Q91" s="38"/>
      <c r="R91" s="38"/>
    </row>
    <row r="92" s="3" customFormat="1" ht="156" customHeight="1" outlineLevel="2" spans="1:18">
      <c r="A92" s="41">
        <f t="shared" si="15"/>
        <v>2</v>
      </c>
      <c r="B92" s="28" t="s">
        <v>50</v>
      </c>
      <c r="C92" s="28" t="s">
        <v>51</v>
      </c>
      <c r="D92" s="28" t="s">
        <v>52</v>
      </c>
      <c r="E92" s="28" t="s">
        <v>48</v>
      </c>
      <c r="F92" s="29" t="s">
        <v>27</v>
      </c>
      <c r="G92" s="30">
        <v>25.18</v>
      </c>
      <c r="H92" s="31">
        <v>947.94</v>
      </c>
      <c r="I92" s="39"/>
      <c r="J92" s="31">
        <f t="shared" si="16"/>
        <v>947.94</v>
      </c>
      <c r="K92" s="33">
        <f t="shared" si="17"/>
        <v>23869.13</v>
      </c>
      <c r="L92" s="34" t="s">
        <v>28</v>
      </c>
      <c r="M92" s="35"/>
      <c r="N92" s="3">
        <v>1</v>
      </c>
      <c r="O92" s="21">
        <v>1000.51</v>
      </c>
      <c r="P92" s="22" t="s">
        <v>129</v>
      </c>
      <c r="Q92" s="38"/>
      <c r="R92" s="38"/>
    </row>
    <row r="93" s="3" customFormat="1" ht="120" customHeight="1" outlineLevel="2" spans="1:18">
      <c r="A93" s="41">
        <f t="shared" si="15"/>
        <v>3</v>
      </c>
      <c r="B93" s="28" t="s">
        <v>65</v>
      </c>
      <c r="C93" s="28" t="s">
        <v>62</v>
      </c>
      <c r="D93" s="28" t="s">
        <v>52</v>
      </c>
      <c r="E93" s="28" t="s">
        <v>63</v>
      </c>
      <c r="F93" s="29" t="s">
        <v>27</v>
      </c>
      <c r="G93" s="30">
        <v>3.56</v>
      </c>
      <c r="H93" s="31">
        <v>630.65</v>
      </c>
      <c r="I93" s="39"/>
      <c r="J93" s="31">
        <f t="shared" si="16"/>
        <v>630.65</v>
      </c>
      <c r="K93" s="33">
        <f t="shared" si="17"/>
        <v>2245.11</v>
      </c>
      <c r="L93" s="34" t="s">
        <v>28</v>
      </c>
      <c r="M93" s="35"/>
      <c r="N93" s="3">
        <v>1</v>
      </c>
      <c r="O93" s="21">
        <v>681.67</v>
      </c>
      <c r="P93" s="22" t="s">
        <v>64</v>
      </c>
      <c r="Q93" s="38"/>
      <c r="R93" s="38"/>
    </row>
    <row r="94" s="3" customFormat="1" ht="120" customHeight="1" outlineLevel="2" spans="1:18">
      <c r="A94" s="41">
        <f t="shared" si="15"/>
        <v>4</v>
      </c>
      <c r="B94" s="28" t="s">
        <v>66</v>
      </c>
      <c r="C94" s="28" t="s">
        <v>67</v>
      </c>
      <c r="D94" s="28" t="s">
        <v>52</v>
      </c>
      <c r="E94" s="28" t="s">
        <v>63</v>
      </c>
      <c r="F94" s="29" t="s">
        <v>27</v>
      </c>
      <c r="G94" s="30">
        <v>1.85</v>
      </c>
      <c r="H94" s="31">
        <v>812.96</v>
      </c>
      <c r="I94" s="39"/>
      <c r="J94" s="31">
        <f t="shared" si="16"/>
        <v>812.96</v>
      </c>
      <c r="K94" s="33">
        <f t="shared" si="17"/>
        <v>1503.98</v>
      </c>
      <c r="L94" s="34" t="s">
        <v>28</v>
      </c>
      <c r="M94" s="35"/>
      <c r="N94" s="3">
        <v>1</v>
      </c>
      <c r="O94" s="21">
        <v>681.67</v>
      </c>
      <c r="P94" s="22" t="s">
        <v>68</v>
      </c>
      <c r="Q94" s="38"/>
      <c r="R94" s="38"/>
    </row>
    <row r="95" s="3" customFormat="1" ht="120" customHeight="1" outlineLevel="2" spans="1:18">
      <c r="A95" s="41">
        <f t="shared" si="15"/>
        <v>5</v>
      </c>
      <c r="B95" s="28" t="s">
        <v>69</v>
      </c>
      <c r="C95" s="28" t="s">
        <v>70</v>
      </c>
      <c r="D95" s="28" t="s">
        <v>52</v>
      </c>
      <c r="E95" s="28" t="s">
        <v>63</v>
      </c>
      <c r="F95" s="29" t="s">
        <v>27</v>
      </c>
      <c r="G95" s="30">
        <v>0.26</v>
      </c>
      <c r="H95" s="31">
        <v>1175.56</v>
      </c>
      <c r="I95" s="39"/>
      <c r="J95" s="31">
        <f t="shared" si="16"/>
        <v>1175.56</v>
      </c>
      <c r="K95" s="33">
        <f t="shared" si="17"/>
        <v>305.65</v>
      </c>
      <c r="L95" s="34" t="s">
        <v>28</v>
      </c>
      <c r="M95" s="35"/>
      <c r="N95" s="3">
        <v>1</v>
      </c>
      <c r="O95" s="21">
        <v>681.67</v>
      </c>
      <c r="P95" s="22" t="s">
        <v>71</v>
      </c>
      <c r="Q95" s="38"/>
      <c r="R95" s="38"/>
    </row>
    <row r="96" s="3" customFormat="1" ht="96" customHeight="1" outlineLevel="2" spans="1:18">
      <c r="A96" s="41">
        <f t="shared" si="15"/>
        <v>6</v>
      </c>
      <c r="B96" s="28" t="s">
        <v>75</v>
      </c>
      <c r="C96" s="28" t="s">
        <v>76</v>
      </c>
      <c r="D96" s="28" t="s">
        <v>59</v>
      </c>
      <c r="E96" s="28" t="s">
        <v>38</v>
      </c>
      <c r="F96" s="29" t="s">
        <v>39</v>
      </c>
      <c r="G96" s="30">
        <v>10.3</v>
      </c>
      <c r="H96" s="31">
        <v>67.08</v>
      </c>
      <c r="I96" s="39"/>
      <c r="J96" s="31">
        <f t="shared" si="16"/>
        <v>67.08</v>
      </c>
      <c r="K96" s="33">
        <f t="shared" si="17"/>
        <v>690.92</v>
      </c>
      <c r="L96" s="34" t="s">
        <v>28</v>
      </c>
      <c r="M96" s="35"/>
      <c r="N96" s="3">
        <v>1</v>
      </c>
      <c r="O96" s="21">
        <v>45.71</v>
      </c>
      <c r="P96" s="22" t="s">
        <v>77</v>
      </c>
      <c r="Q96" s="38"/>
      <c r="R96" s="38"/>
    </row>
    <row r="97" s="3" customFormat="1" ht="96" customHeight="1" outlineLevel="2" spans="1:18">
      <c r="A97" s="41">
        <f t="shared" si="15"/>
        <v>7</v>
      </c>
      <c r="B97" s="28" t="s">
        <v>78</v>
      </c>
      <c r="C97" s="28" t="s">
        <v>79</v>
      </c>
      <c r="D97" s="28" t="s">
        <v>59</v>
      </c>
      <c r="E97" s="28" t="s">
        <v>38</v>
      </c>
      <c r="F97" s="29" t="s">
        <v>39</v>
      </c>
      <c r="G97" s="30">
        <v>0.34</v>
      </c>
      <c r="H97" s="31">
        <v>67.31</v>
      </c>
      <c r="I97" s="39"/>
      <c r="J97" s="31">
        <f t="shared" si="16"/>
        <v>67.31</v>
      </c>
      <c r="K97" s="33">
        <f t="shared" si="17"/>
        <v>22.89</v>
      </c>
      <c r="L97" s="34" t="s">
        <v>28</v>
      </c>
      <c r="M97" s="35"/>
      <c r="N97" s="3">
        <v>1</v>
      </c>
      <c r="O97" s="21">
        <v>50.8</v>
      </c>
      <c r="P97" s="22" t="s">
        <v>153</v>
      </c>
      <c r="Q97" s="38"/>
      <c r="R97" s="38"/>
    </row>
    <row r="98" s="3" customFormat="1" ht="96" customHeight="1" outlineLevel="2" spans="1:18">
      <c r="A98" s="41">
        <f t="shared" si="15"/>
        <v>8</v>
      </c>
      <c r="B98" s="28" t="s">
        <v>84</v>
      </c>
      <c r="C98" s="28" t="s">
        <v>85</v>
      </c>
      <c r="D98" s="28" t="s">
        <v>59</v>
      </c>
      <c r="E98" s="28" t="s">
        <v>38</v>
      </c>
      <c r="F98" s="29" t="s">
        <v>39</v>
      </c>
      <c r="G98" s="30">
        <v>9.96</v>
      </c>
      <c r="H98" s="31">
        <v>117.84</v>
      </c>
      <c r="I98" s="39"/>
      <c r="J98" s="31">
        <f t="shared" si="16"/>
        <v>117.84</v>
      </c>
      <c r="K98" s="33">
        <f t="shared" si="17"/>
        <v>1173.69</v>
      </c>
      <c r="L98" s="34" t="s">
        <v>28</v>
      </c>
      <c r="M98" s="35"/>
      <c r="N98" s="3">
        <v>1</v>
      </c>
      <c r="O98" s="21">
        <v>95.14</v>
      </c>
      <c r="P98" s="22" t="s">
        <v>86</v>
      </c>
      <c r="Q98" s="38"/>
      <c r="R98" s="38"/>
    </row>
    <row r="99" s="3" customFormat="1" ht="96" customHeight="1" outlineLevel="2" spans="1:18">
      <c r="A99" s="41">
        <f t="shared" si="15"/>
        <v>9</v>
      </c>
      <c r="B99" s="28" t="s">
        <v>87</v>
      </c>
      <c r="C99" s="28" t="s">
        <v>88</v>
      </c>
      <c r="D99" s="28" t="s">
        <v>59</v>
      </c>
      <c r="E99" s="28" t="s">
        <v>38</v>
      </c>
      <c r="F99" s="29" t="s">
        <v>39</v>
      </c>
      <c r="G99" s="30">
        <v>10.3</v>
      </c>
      <c r="H99" s="31">
        <v>64.25</v>
      </c>
      <c r="I99" s="39"/>
      <c r="J99" s="31">
        <f t="shared" si="16"/>
        <v>64.25</v>
      </c>
      <c r="K99" s="33">
        <f t="shared" si="17"/>
        <v>661.78</v>
      </c>
      <c r="L99" s="34" t="s">
        <v>28</v>
      </c>
      <c r="M99" s="35"/>
      <c r="N99" s="3">
        <v>1</v>
      </c>
      <c r="O99" s="21">
        <v>43.16</v>
      </c>
      <c r="P99" s="22" t="s">
        <v>89</v>
      </c>
      <c r="Q99" s="38"/>
      <c r="R99" s="38"/>
    </row>
    <row r="100" s="3" customFormat="1" outlineLevel="1" spans="1:18">
      <c r="A100" s="40"/>
      <c r="B100" s="28" t="s">
        <v>90</v>
      </c>
      <c r="C100" s="28"/>
      <c r="D100" s="28"/>
      <c r="E100" s="28"/>
      <c r="F100" s="29"/>
      <c r="G100" s="30"/>
      <c r="H100" s="31"/>
      <c r="I100" s="39"/>
      <c r="J100" s="31"/>
      <c r="K100" s="33"/>
      <c r="L100" s="34"/>
      <c r="M100" s="35"/>
      <c r="O100" s="36"/>
      <c r="P100" s="37"/>
      <c r="Q100" s="38"/>
      <c r="R100" s="38"/>
    </row>
    <row r="101" s="3" customFormat="1" ht="168" customHeight="1" outlineLevel="2" spans="1:18">
      <c r="A101" s="41">
        <f>1+N(A100)</f>
        <v>1</v>
      </c>
      <c r="B101" s="28" t="s">
        <v>91</v>
      </c>
      <c r="C101" s="28" t="s">
        <v>92</v>
      </c>
      <c r="D101" s="28" t="s">
        <v>93</v>
      </c>
      <c r="E101" s="28" t="s">
        <v>94</v>
      </c>
      <c r="F101" s="29" t="s">
        <v>27</v>
      </c>
      <c r="G101" s="30">
        <v>16.22</v>
      </c>
      <c r="H101" s="31">
        <v>174.57</v>
      </c>
      <c r="I101" s="39"/>
      <c r="J101" s="31">
        <f>H101*(1-$I$4)</f>
        <v>174.57</v>
      </c>
      <c r="K101" s="33">
        <f>ROUND(G101*J101,2)</f>
        <v>2831.53</v>
      </c>
      <c r="L101" s="34" t="s">
        <v>28</v>
      </c>
      <c r="M101" s="35"/>
      <c r="N101" s="3">
        <v>1</v>
      </c>
      <c r="O101" s="21">
        <v>150.38</v>
      </c>
      <c r="P101" s="22" t="s">
        <v>95</v>
      </c>
      <c r="Q101" s="38"/>
      <c r="R101" s="38"/>
    </row>
    <row r="102" s="3" customFormat="1" ht="48" customHeight="1" outlineLevel="2" spans="1:18">
      <c r="A102" s="41">
        <f>1+N(A101)</f>
        <v>2</v>
      </c>
      <c r="B102" s="28" t="s">
        <v>96</v>
      </c>
      <c r="C102" s="28" t="s">
        <v>97</v>
      </c>
      <c r="D102" s="28" t="s">
        <v>98</v>
      </c>
      <c r="E102" s="28" t="s">
        <v>99</v>
      </c>
      <c r="F102" s="29" t="s">
        <v>39</v>
      </c>
      <c r="G102" s="30">
        <v>13.55</v>
      </c>
      <c r="H102" s="31">
        <v>112.16</v>
      </c>
      <c r="I102" s="39"/>
      <c r="J102" s="31">
        <f>H102*(1-$I$4)</f>
        <v>112.16</v>
      </c>
      <c r="K102" s="33">
        <f>ROUND(G102*J102,2)</f>
        <v>1519.77</v>
      </c>
      <c r="L102" s="34" t="s">
        <v>28</v>
      </c>
      <c r="M102" s="35"/>
      <c r="N102" s="3">
        <v>1</v>
      </c>
      <c r="O102" s="21">
        <v>79.3</v>
      </c>
      <c r="P102" s="22" t="s">
        <v>100</v>
      </c>
      <c r="Q102" s="38"/>
      <c r="R102" s="38"/>
    </row>
    <row r="103" s="3" customFormat="1" ht="48" customHeight="1" outlineLevel="2" spans="1:18">
      <c r="A103" s="41">
        <f>1+N(A102)</f>
        <v>3</v>
      </c>
      <c r="B103" s="28" t="s">
        <v>101</v>
      </c>
      <c r="C103" s="28" t="s">
        <v>102</v>
      </c>
      <c r="D103" s="28" t="s">
        <v>98</v>
      </c>
      <c r="E103" s="28" t="s">
        <v>99</v>
      </c>
      <c r="F103" s="29" t="s">
        <v>39</v>
      </c>
      <c r="G103" s="30">
        <v>13.55</v>
      </c>
      <c r="H103" s="31">
        <v>75.82</v>
      </c>
      <c r="I103" s="39"/>
      <c r="J103" s="31">
        <f>H103*(1-$I$4)</f>
        <v>75.82</v>
      </c>
      <c r="K103" s="33">
        <f>ROUND(G103*J103,2)</f>
        <v>1027.36</v>
      </c>
      <c r="L103" s="34" t="s">
        <v>28</v>
      </c>
      <c r="M103" s="35"/>
      <c r="N103" s="3">
        <v>1</v>
      </c>
      <c r="O103" s="21">
        <v>203.56</v>
      </c>
      <c r="P103" s="22" t="s">
        <v>103</v>
      </c>
      <c r="Q103" s="38"/>
      <c r="R103" s="38"/>
    </row>
    <row r="104" s="3" customFormat="1" ht="48" customHeight="1" outlineLevel="2" spans="1:18">
      <c r="A104" s="41">
        <f>1+N(A103)</f>
        <v>4</v>
      </c>
      <c r="B104" s="28" t="s">
        <v>104</v>
      </c>
      <c r="C104" s="28" t="s">
        <v>105</v>
      </c>
      <c r="D104" s="28" t="s">
        <v>98</v>
      </c>
      <c r="E104" s="28" t="s">
        <v>99</v>
      </c>
      <c r="F104" s="29" t="s">
        <v>39</v>
      </c>
      <c r="G104" s="30">
        <v>2.4</v>
      </c>
      <c r="H104" s="31">
        <v>109.74</v>
      </c>
      <c r="I104" s="39"/>
      <c r="J104" s="31">
        <f>H104*(1-$I$4)</f>
        <v>109.74</v>
      </c>
      <c r="K104" s="33">
        <f>ROUND(G104*J104,2)</f>
        <v>263.38</v>
      </c>
      <c r="L104" s="34" t="s">
        <v>28</v>
      </c>
      <c r="M104" s="35"/>
      <c r="N104" s="3">
        <v>1</v>
      </c>
      <c r="O104" s="21">
        <v>108.2</v>
      </c>
      <c r="P104" s="22" t="s">
        <v>106</v>
      </c>
      <c r="Q104" s="38"/>
      <c r="R104" s="38"/>
    </row>
    <row r="105" s="3" customFormat="1" ht="132" customHeight="1" outlineLevel="2" spans="1:18">
      <c r="A105" s="41">
        <f>1+N(A104)</f>
        <v>5</v>
      </c>
      <c r="B105" s="28" t="s">
        <v>107</v>
      </c>
      <c r="C105" s="28" t="s">
        <v>108</v>
      </c>
      <c r="D105" s="28" t="s">
        <v>109</v>
      </c>
      <c r="E105" s="28" t="s">
        <v>110</v>
      </c>
      <c r="F105" s="29" t="s">
        <v>27</v>
      </c>
      <c r="G105" s="30">
        <v>20.29</v>
      </c>
      <c r="H105" s="31">
        <v>152.22</v>
      </c>
      <c r="I105" s="39"/>
      <c r="J105" s="31">
        <f>H105*(1-$I$4)</f>
        <v>152.22</v>
      </c>
      <c r="K105" s="33">
        <f>ROUND(G105*J105,2)</f>
        <v>3088.54</v>
      </c>
      <c r="L105" s="34" t="s">
        <v>28</v>
      </c>
      <c r="M105" s="35"/>
      <c r="N105" s="3">
        <v>1</v>
      </c>
      <c r="O105" s="21">
        <v>151.58</v>
      </c>
      <c r="P105" s="22" t="s">
        <v>111</v>
      </c>
      <c r="Q105" s="38"/>
      <c r="R105" s="38"/>
    </row>
    <row r="106" s="3" customFormat="1" outlineLevel="1" spans="1:18">
      <c r="A106" s="40"/>
      <c r="B106" s="28" t="s">
        <v>112</v>
      </c>
      <c r="C106" s="28"/>
      <c r="D106" s="28"/>
      <c r="E106" s="28"/>
      <c r="F106" s="29"/>
      <c r="G106" s="30"/>
      <c r="H106" s="31"/>
      <c r="I106" s="39"/>
      <c r="J106" s="31"/>
      <c r="K106" s="33"/>
      <c r="L106" s="34"/>
      <c r="M106" s="35"/>
      <c r="O106" s="36"/>
      <c r="P106" s="37"/>
      <c r="Q106" s="38"/>
      <c r="R106" s="38"/>
    </row>
    <row r="107" s="3" customFormat="1" ht="60" customHeight="1" outlineLevel="2" spans="1:18">
      <c r="A107" s="41">
        <f>1+N(A106)</f>
        <v>1</v>
      </c>
      <c r="B107" s="28" t="s">
        <v>154</v>
      </c>
      <c r="C107" s="28" t="s">
        <v>114</v>
      </c>
      <c r="D107" s="28" t="s">
        <v>98</v>
      </c>
      <c r="E107" s="28" t="s">
        <v>115</v>
      </c>
      <c r="F107" s="29" t="s">
        <v>27</v>
      </c>
      <c r="G107" s="30">
        <v>2.25</v>
      </c>
      <c r="H107" s="31">
        <v>962.68</v>
      </c>
      <c r="I107" s="39"/>
      <c r="J107" s="31">
        <f>H107*(1-$I$4)</f>
        <v>962.68</v>
      </c>
      <c r="K107" s="33">
        <f>ROUND(G107*J107,2)</f>
        <v>2166.03</v>
      </c>
      <c r="L107" s="34" t="s">
        <v>28</v>
      </c>
      <c r="M107" s="35"/>
      <c r="N107" s="3">
        <v>1</v>
      </c>
      <c r="O107" s="21">
        <v>665.69</v>
      </c>
      <c r="P107" s="22" t="s">
        <v>116</v>
      </c>
      <c r="Q107" s="38"/>
      <c r="R107" s="38"/>
    </row>
    <row r="108" s="3" customFormat="1" ht="60" customHeight="1" outlineLevel="2" spans="1:18">
      <c r="A108" s="41">
        <f>1+N(A107)</f>
        <v>2</v>
      </c>
      <c r="B108" s="28" t="s">
        <v>134</v>
      </c>
      <c r="C108" s="28" t="s">
        <v>114</v>
      </c>
      <c r="D108" s="28" t="s">
        <v>98</v>
      </c>
      <c r="E108" s="28" t="s">
        <v>115</v>
      </c>
      <c r="F108" s="29" t="s">
        <v>27</v>
      </c>
      <c r="G108" s="30">
        <v>2.1</v>
      </c>
      <c r="H108" s="31">
        <v>962.68</v>
      </c>
      <c r="I108" s="39"/>
      <c r="J108" s="31">
        <f>H108*(1-$I$4)</f>
        <v>962.68</v>
      </c>
      <c r="K108" s="33">
        <f>ROUND(G108*J108,2)</f>
        <v>2021.63</v>
      </c>
      <c r="L108" s="34" t="s">
        <v>28</v>
      </c>
      <c r="M108" s="35"/>
      <c r="N108" s="3">
        <v>1</v>
      </c>
      <c r="O108" s="21">
        <v>665.69</v>
      </c>
      <c r="P108" s="22" t="s">
        <v>116</v>
      </c>
      <c r="Q108" s="38"/>
      <c r="R108" s="38"/>
    </row>
    <row r="109" s="3" customFormat="1" ht="96" customHeight="1" outlineLevel="2" spans="1:18">
      <c r="A109" s="41">
        <f>1+N(A108)</f>
        <v>3</v>
      </c>
      <c r="B109" s="28" t="s">
        <v>117</v>
      </c>
      <c r="C109" s="28" t="s">
        <v>118</v>
      </c>
      <c r="D109" s="28" t="s">
        <v>98</v>
      </c>
      <c r="E109" s="28" t="s">
        <v>115</v>
      </c>
      <c r="F109" s="29" t="s">
        <v>27</v>
      </c>
      <c r="G109" s="30">
        <v>5.52</v>
      </c>
      <c r="H109" s="31">
        <v>7530.97</v>
      </c>
      <c r="I109" s="39"/>
      <c r="J109" s="31">
        <f>H109*(1-$I$4)</f>
        <v>7530.97</v>
      </c>
      <c r="K109" s="33">
        <f>ROUND(G109*J109,2)</f>
        <v>41570.95</v>
      </c>
      <c r="L109" s="34" t="s">
        <v>28</v>
      </c>
      <c r="M109" s="35"/>
      <c r="N109" s="3">
        <v>1</v>
      </c>
      <c r="O109" s="21">
        <v>2009.15</v>
      </c>
      <c r="P109" s="22" t="s">
        <v>119</v>
      </c>
      <c r="Q109" s="38"/>
      <c r="R109" s="38"/>
    </row>
    <row r="110" s="3" customFormat="1" ht="48" customHeight="1" outlineLevel="2" spans="1:18">
      <c r="A110" s="41">
        <f>1+N(A109)</f>
        <v>4</v>
      </c>
      <c r="B110" s="28" t="s">
        <v>120</v>
      </c>
      <c r="C110" s="28" t="s">
        <v>121</v>
      </c>
      <c r="D110" s="28" t="s">
        <v>98</v>
      </c>
      <c r="E110" s="28" t="s">
        <v>115</v>
      </c>
      <c r="F110" s="29" t="s">
        <v>27</v>
      </c>
      <c r="G110" s="30">
        <v>1.53</v>
      </c>
      <c r="H110" s="31">
        <v>610.9</v>
      </c>
      <c r="I110" s="39"/>
      <c r="J110" s="31">
        <f>H110*(1-$I$4)</f>
        <v>610.9</v>
      </c>
      <c r="K110" s="33">
        <f>ROUND(G110*J110,2)</f>
        <v>934.68</v>
      </c>
      <c r="L110" s="34" t="s">
        <v>28</v>
      </c>
      <c r="M110" s="35"/>
      <c r="N110" s="3">
        <v>1</v>
      </c>
      <c r="O110" s="21">
        <v>657.42</v>
      </c>
      <c r="P110" s="22" t="s">
        <v>122</v>
      </c>
      <c r="Q110" s="38"/>
      <c r="R110" s="38"/>
    </row>
    <row r="111" s="3" customFormat="1" outlineLevel="1" spans="1:18">
      <c r="A111" s="27" t="s">
        <v>155</v>
      </c>
      <c r="B111" s="28" t="s">
        <v>156</v>
      </c>
      <c r="C111" s="28"/>
      <c r="D111" s="28"/>
      <c r="E111" s="28"/>
      <c r="F111" s="29"/>
      <c r="G111" s="30"/>
      <c r="H111" s="31"/>
      <c r="I111" s="39"/>
      <c r="J111" s="31"/>
      <c r="K111" s="33"/>
      <c r="L111" s="34"/>
      <c r="M111" s="35"/>
      <c r="O111" s="36"/>
      <c r="P111" s="37"/>
      <c r="Q111" s="38"/>
      <c r="R111" s="38"/>
    </row>
    <row r="112" s="3" customFormat="1" outlineLevel="1" spans="1:18">
      <c r="A112" s="40"/>
      <c r="B112" s="28" t="s">
        <v>22</v>
      </c>
      <c r="C112" s="28"/>
      <c r="D112" s="28"/>
      <c r="E112" s="28"/>
      <c r="F112" s="29"/>
      <c r="G112" s="30"/>
      <c r="H112" s="31"/>
      <c r="I112" s="39"/>
      <c r="J112" s="31"/>
      <c r="K112" s="33"/>
      <c r="L112" s="34"/>
      <c r="M112" s="35"/>
      <c r="O112" s="36"/>
      <c r="P112" s="37"/>
      <c r="Q112" s="38"/>
      <c r="R112" s="38"/>
    </row>
    <row r="113" s="3" customFormat="1" ht="108" customHeight="1" outlineLevel="2" spans="1:18">
      <c r="A113" s="41">
        <f>1+N(A112)</f>
        <v>1</v>
      </c>
      <c r="B113" s="28" t="s">
        <v>23</v>
      </c>
      <c r="C113" s="28" t="s">
        <v>24</v>
      </c>
      <c r="D113" s="28" t="s">
        <v>25</v>
      </c>
      <c r="E113" s="28" t="s">
        <v>26</v>
      </c>
      <c r="F113" s="29" t="s">
        <v>27</v>
      </c>
      <c r="G113" s="30">
        <v>0.35</v>
      </c>
      <c r="H113" s="31">
        <v>940.91</v>
      </c>
      <c r="I113" s="39"/>
      <c r="J113" s="31">
        <f>H113*(1-$I$4)</f>
        <v>940.91</v>
      </c>
      <c r="K113" s="33">
        <f>ROUND(G113*J113,2)</f>
        <v>329.32</v>
      </c>
      <c r="L113" s="34" t="s">
        <v>28</v>
      </c>
      <c r="M113" s="35"/>
      <c r="N113" s="3">
        <v>1</v>
      </c>
      <c r="O113" s="21">
        <v>886.6</v>
      </c>
      <c r="P113" s="22" t="s">
        <v>29</v>
      </c>
      <c r="Q113" s="38"/>
      <c r="R113" s="38"/>
    </row>
    <row r="114" s="3" customFormat="1" ht="84" customHeight="1" outlineLevel="2" spans="1:18">
      <c r="A114" s="41">
        <f>1+N(A113)</f>
        <v>2</v>
      </c>
      <c r="B114" s="28" t="s">
        <v>33</v>
      </c>
      <c r="C114" s="28" t="s">
        <v>34</v>
      </c>
      <c r="D114" s="28" t="s">
        <v>25</v>
      </c>
      <c r="E114" s="28" t="s">
        <v>26</v>
      </c>
      <c r="F114" s="29" t="s">
        <v>27</v>
      </c>
      <c r="G114" s="30">
        <v>22.55</v>
      </c>
      <c r="H114" s="31">
        <v>336.76</v>
      </c>
      <c r="I114" s="39"/>
      <c r="J114" s="31">
        <f>H114*(1-$I$4)</f>
        <v>336.76</v>
      </c>
      <c r="K114" s="33">
        <f>ROUND(G114*J114,2)</f>
        <v>7593.94</v>
      </c>
      <c r="L114" s="34" t="s">
        <v>28</v>
      </c>
      <c r="M114" s="35"/>
      <c r="N114" s="3">
        <v>1</v>
      </c>
      <c r="O114" s="21">
        <v>202.68</v>
      </c>
      <c r="P114" s="22" t="s">
        <v>35</v>
      </c>
      <c r="Q114" s="38"/>
      <c r="R114" s="38"/>
    </row>
    <row r="115" s="3" customFormat="1" ht="72" customHeight="1" outlineLevel="2" spans="1:18">
      <c r="A115" s="41">
        <f>1+N(A114)</f>
        <v>3</v>
      </c>
      <c r="B115" s="28" t="s">
        <v>41</v>
      </c>
      <c r="C115" s="28" t="s">
        <v>42</v>
      </c>
      <c r="D115" s="28" t="s">
        <v>25</v>
      </c>
      <c r="E115" s="28" t="s">
        <v>26</v>
      </c>
      <c r="F115" s="29" t="s">
        <v>27</v>
      </c>
      <c r="G115" s="30">
        <v>0.35</v>
      </c>
      <c r="H115" s="31">
        <v>64.9</v>
      </c>
      <c r="I115" s="39"/>
      <c r="J115" s="31">
        <f>H115*(1-$I$4)</f>
        <v>64.9</v>
      </c>
      <c r="K115" s="33">
        <f>ROUND(G115*J115,2)</f>
        <v>22.72</v>
      </c>
      <c r="L115" s="34" t="s">
        <v>28</v>
      </c>
      <c r="M115" s="35"/>
      <c r="N115" s="3">
        <v>1</v>
      </c>
      <c r="O115" s="21">
        <v>61.38</v>
      </c>
      <c r="P115" s="22" t="s">
        <v>43</v>
      </c>
      <c r="Q115" s="38"/>
      <c r="R115" s="38"/>
    </row>
    <row r="116" s="3" customFormat="1" outlineLevel="1" spans="1:18">
      <c r="A116" s="40"/>
      <c r="B116" s="28" t="s">
        <v>44</v>
      </c>
      <c r="C116" s="28"/>
      <c r="D116" s="28"/>
      <c r="E116" s="28"/>
      <c r="F116" s="29"/>
      <c r="G116" s="30"/>
      <c r="H116" s="31"/>
      <c r="I116" s="39"/>
      <c r="J116" s="31"/>
      <c r="K116" s="33"/>
      <c r="L116" s="34"/>
      <c r="M116" s="35"/>
      <c r="O116" s="36"/>
      <c r="P116" s="37"/>
      <c r="Q116" s="38"/>
      <c r="R116" s="38"/>
    </row>
    <row r="117" s="3" customFormat="1" ht="96" customHeight="1" outlineLevel="2" spans="1:18">
      <c r="A117" s="41">
        <f>1+N(A116)</f>
        <v>1</v>
      </c>
      <c r="B117" s="28" t="s">
        <v>57</v>
      </c>
      <c r="C117" s="28" t="s">
        <v>58</v>
      </c>
      <c r="D117" s="28" t="s">
        <v>59</v>
      </c>
      <c r="E117" s="28" t="s">
        <v>26</v>
      </c>
      <c r="F117" s="29" t="s">
        <v>27</v>
      </c>
      <c r="G117" s="30">
        <v>70.39</v>
      </c>
      <c r="H117" s="31">
        <v>220.01</v>
      </c>
      <c r="I117" s="39"/>
      <c r="J117" s="31">
        <f>H117*(1-$I$4)</f>
        <v>220.01</v>
      </c>
      <c r="K117" s="33">
        <f>ROUND(G117*J117,2)</f>
        <v>15486.5</v>
      </c>
      <c r="L117" s="34" t="s">
        <v>28</v>
      </c>
      <c r="M117" s="35"/>
      <c r="N117" s="3">
        <v>1</v>
      </c>
      <c r="O117" s="21">
        <v>169.24</v>
      </c>
      <c r="P117" s="22" t="s">
        <v>60</v>
      </c>
      <c r="Q117" s="38"/>
      <c r="R117" s="38"/>
    </row>
    <row r="118" s="3" customFormat="1" ht="120" customHeight="1" outlineLevel="2" spans="1:18">
      <c r="A118" s="41">
        <f>1+N(A117)</f>
        <v>2</v>
      </c>
      <c r="B118" s="28" t="s">
        <v>157</v>
      </c>
      <c r="C118" s="28" t="s">
        <v>62</v>
      </c>
      <c r="D118" s="28" t="s">
        <v>52</v>
      </c>
      <c r="E118" s="28" t="s">
        <v>63</v>
      </c>
      <c r="F118" s="29" t="s">
        <v>27</v>
      </c>
      <c r="G118" s="30">
        <v>2.28</v>
      </c>
      <c r="H118" s="31">
        <v>630.65</v>
      </c>
      <c r="I118" s="39"/>
      <c r="J118" s="31">
        <f>H118*(1-$I$4)</f>
        <v>630.65</v>
      </c>
      <c r="K118" s="33">
        <f>ROUND(G118*J118,2)</f>
        <v>1437.88</v>
      </c>
      <c r="L118" s="34" t="s">
        <v>28</v>
      </c>
      <c r="M118" s="35"/>
      <c r="N118" s="3">
        <v>1</v>
      </c>
      <c r="O118" s="21">
        <v>681.67</v>
      </c>
      <c r="P118" s="22" t="s">
        <v>64</v>
      </c>
      <c r="Q118" s="38"/>
      <c r="R118" s="38"/>
    </row>
    <row r="119" s="3" customFormat="1" ht="96" customHeight="1" outlineLevel="2" spans="1:18">
      <c r="A119" s="41">
        <f>1+N(A118)</f>
        <v>3</v>
      </c>
      <c r="B119" s="28" t="s">
        <v>72</v>
      </c>
      <c r="C119" s="28" t="s">
        <v>73</v>
      </c>
      <c r="D119" s="28" t="s">
        <v>47</v>
      </c>
      <c r="E119" s="28" t="s">
        <v>48</v>
      </c>
      <c r="F119" s="29" t="s">
        <v>27</v>
      </c>
      <c r="G119" s="30">
        <v>1.18</v>
      </c>
      <c r="H119" s="31">
        <v>670.22</v>
      </c>
      <c r="I119" s="39"/>
      <c r="J119" s="31">
        <f>H119*(1-$I$4)</f>
        <v>670.22</v>
      </c>
      <c r="K119" s="33">
        <f>ROUND(G119*J119,2)</f>
        <v>790.86</v>
      </c>
      <c r="L119" s="34" t="s">
        <v>28</v>
      </c>
      <c r="M119" s="35"/>
      <c r="N119" s="3">
        <v>1</v>
      </c>
      <c r="O119" s="21">
        <v>271.98</v>
      </c>
      <c r="P119" s="22" t="s">
        <v>74</v>
      </c>
      <c r="Q119" s="38"/>
      <c r="R119" s="38"/>
    </row>
    <row r="120" s="3" customFormat="1" outlineLevel="1" spans="1:18">
      <c r="A120" s="40"/>
      <c r="B120" s="28" t="s">
        <v>90</v>
      </c>
      <c r="C120" s="28"/>
      <c r="D120" s="28"/>
      <c r="E120" s="28"/>
      <c r="F120" s="29"/>
      <c r="G120" s="30"/>
      <c r="H120" s="31"/>
      <c r="I120" s="39"/>
      <c r="J120" s="31"/>
      <c r="K120" s="33"/>
      <c r="L120" s="34"/>
      <c r="M120" s="35"/>
      <c r="O120" s="36"/>
      <c r="P120" s="37"/>
      <c r="Q120" s="38"/>
      <c r="R120" s="38"/>
    </row>
    <row r="121" s="3" customFormat="1" ht="168" customHeight="1" outlineLevel="2" spans="1:18">
      <c r="A121" s="41">
        <f>1+N(A120)</f>
        <v>1</v>
      </c>
      <c r="B121" s="28" t="s">
        <v>91</v>
      </c>
      <c r="C121" s="28" t="s">
        <v>92</v>
      </c>
      <c r="D121" s="28" t="s">
        <v>93</v>
      </c>
      <c r="E121" s="28" t="s">
        <v>94</v>
      </c>
      <c r="F121" s="29" t="s">
        <v>27</v>
      </c>
      <c r="G121" s="30">
        <v>22.55</v>
      </c>
      <c r="H121" s="31">
        <v>174.57</v>
      </c>
      <c r="I121" s="39"/>
      <c r="J121" s="31">
        <f>H121*(1-$I$4)</f>
        <v>174.57</v>
      </c>
      <c r="K121" s="33">
        <f>ROUND(G121*J121,2)</f>
        <v>3936.55</v>
      </c>
      <c r="L121" s="34" t="s">
        <v>28</v>
      </c>
      <c r="M121" s="35"/>
      <c r="N121" s="3">
        <v>1</v>
      </c>
      <c r="O121" s="21">
        <v>150.38</v>
      </c>
      <c r="P121" s="22" t="s">
        <v>95</v>
      </c>
      <c r="Q121" s="38"/>
      <c r="R121" s="38"/>
    </row>
    <row r="122" s="3" customFormat="1" ht="132" customHeight="1" outlineLevel="2" spans="1:18">
      <c r="A122" s="41">
        <f>1+N(A121)</f>
        <v>2</v>
      </c>
      <c r="B122" s="28" t="s">
        <v>158</v>
      </c>
      <c r="C122" s="28" t="s">
        <v>159</v>
      </c>
      <c r="D122" s="28" t="s">
        <v>109</v>
      </c>
      <c r="E122" s="28" t="s">
        <v>110</v>
      </c>
      <c r="F122" s="29" t="s">
        <v>27</v>
      </c>
      <c r="G122" s="30">
        <v>13.55</v>
      </c>
      <c r="H122" s="31">
        <v>48.32</v>
      </c>
      <c r="I122" s="39"/>
      <c r="J122" s="31">
        <f>H122*(1-$I$4)</f>
        <v>48.32</v>
      </c>
      <c r="K122" s="33">
        <f>ROUND(G122*J122,2)</f>
        <v>654.74</v>
      </c>
      <c r="L122" s="34" t="s">
        <v>28</v>
      </c>
      <c r="M122" s="35"/>
      <c r="N122" s="3">
        <v>1</v>
      </c>
      <c r="O122" s="21">
        <v>44.88</v>
      </c>
      <c r="P122" s="22" t="s">
        <v>160</v>
      </c>
      <c r="Q122" s="38"/>
      <c r="R122" s="38"/>
    </row>
    <row r="123" s="3" customFormat="1" ht="48" customHeight="1" outlineLevel="2" spans="1:18">
      <c r="A123" s="41">
        <f>1+N(A122)</f>
        <v>3</v>
      </c>
      <c r="B123" s="28" t="s">
        <v>104</v>
      </c>
      <c r="C123" s="28" t="s">
        <v>105</v>
      </c>
      <c r="D123" s="28" t="s">
        <v>98</v>
      </c>
      <c r="E123" s="28" t="s">
        <v>99</v>
      </c>
      <c r="F123" s="29" t="s">
        <v>39</v>
      </c>
      <c r="G123" s="30">
        <v>2.4</v>
      </c>
      <c r="H123" s="31">
        <v>109.74</v>
      </c>
      <c r="I123" s="39"/>
      <c r="J123" s="31">
        <f>H123*(1-$I$4)</f>
        <v>109.74</v>
      </c>
      <c r="K123" s="33">
        <f>ROUND(G123*J123,2)</f>
        <v>263.38</v>
      </c>
      <c r="L123" s="34" t="s">
        <v>28</v>
      </c>
      <c r="M123" s="35"/>
      <c r="N123" s="3">
        <v>1</v>
      </c>
      <c r="O123" s="21">
        <v>108.2</v>
      </c>
      <c r="P123" s="22" t="s">
        <v>106</v>
      </c>
      <c r="Q123" s="38"/>
      <c r="R123" s="38"/>
    </row>
    <row r="124" s="3" customFormat="1" outlineLevel="1" spans="1:18">
      <c r="A124" s="40"/>
      <c r="B124" s="28" t="s">
        <v>112</v>
      </c>
      <c r="C124" s="28"/>
      <c r="D124" s="28"/>
      <c r="E124" s="28"/>
      <c r="F124" s="29"/>
      <c r="G124" s="30"/>
      <c r="H124" s="31"/>
      <c r="I124" s="39"/>
      <c r="J124" s="31"/>
      <c r="K124" s="33"/>
      <c r="L124" s="34"/>
      <c r="M124" s="35"/>
      <c r="O124" s="36"/>
      <c r="P124" s="37"/>
      <c r="Q124" s="38"/>
      <c r="R124" s="38"/>
    </row>
    <row r="125" s="3" customFormat="1" ht="108" customHeight="1" outlineLevel="2" spans="1:18">
      <c r="A125" s="40">
        <v>1</v>
      </c>
      <c r="B125" s="28" t="s">
        <v>161</v>
      </c>
      <c r="C125" s="28" t="s">
        <v>162</v>
      </c>
      <c r="D125" s="28" t="s">
        <v>98</v>
      </c>
      <c r="E125" s="28" t="s">
        <v>115</v>
      </c>
      <c r="F125" s="29" t="s">
        <v>27</v>
      </c>
      <c r="G125" s="30">
        <v>3</v>
      </c>
      <c r="H125" s="31">
        <v>3504.99</v>
      </c>
      <c r="I125" s="39"/>
      <c r="J125" s="31">
        <f>H125*(1-$I$4)</f>
        <v>3504.99</v>
      </c>
      <c r="K125" s="33">
        <f>ROUND(G125*J125,2)</f>
        <v>10514.97</v>
      </c>
      <c r="L125" s="34" t="s">
        <v>28</v>
      </c>
      <c r="M125" s="35"/>
      <c r="N125" s="3">
        <v>1</v>
      </c>
      <c r="O125" s="21">
        <v>2119.15</v>
      </c>
      <c r="P125" s="22" t="s">
        <v>163</v>
      </c>
      <c r="Q125" s="38"/>
      <c r="R125" s="38"/>
    </row>
    <row r="126" s="3" customFormat="1" outlineLevel="1" spans="1:18">
      <c r="A126" s="27" t="s">
        <v>164</v>
      </c>
      <c r="B126" s="28" t="s">
        <v>165</v>
      </c>
      <c r="C126" s="28"/>
      <c r="D126" s="28"/>
      <c r="E126" s="28"/>
      <c r="F126" s="29"/>
      <c r="G126" s="30"/>
      <c r="H126" s="31"/>
      <c r="I126" s="39"/>
      <c r="J126" s="31"/>
      <c r="K126" s="33"/>
      <c r="L126" s="34"/>
      <c r="M126" s="35"/>
      <c r="O126" s="36"/>
      <c r="P126" s="37"/>
      <c r="Q126" s="38"/>
      <c r="R126" s="38"/>
    </row>
    <row r="127" s="3" customFormat="1" outlineLevel="1" spans="1:18">
      <c r="A127" s="40"/>
      <c r="B127" s="28" t="s">
        <v>22</v>
      </c>
      <c r="C127" s="28"/>
      <c r="D127" s="28"/>
      <c r="E127" s="28"/>
      <c r="F127" s="29"/>
      <c r="G127" s="30"/>
      <c r="H127" s="31"/>
      <c r="I127" s="39"/>
      <c r="J127" s="31"/>
      <c r="K127" s="33"/>
      <c r="L127" s="34"/>
      <c r="M127" s="35"/>
      <c r="O127" s="36"/>
      <c r="P127" s="37"/>
      <c r="Q127" s="38"/>
      <c r="R127" s="38"/>
    </row>
    <row r="128" s="3" customFormat="1" ht="108" customHeight="1" outlineLevel="2" spans="1:18">
      <c r="A128" s="41">
        <f>1+N(A127)</f>
        <v>1</v>
      </c>
      <c r="B128" s="28" t="s">
        <v>23</v>
      </c>
      <c r="C128" s="28" t="s">
        <v>24</v>
      </c>
      <c r="D128" s="28" t="s">
        <v>25</v>
      </c>
      <c r="E128" s="28" t="s">
        <v>26</v>
      </c>
      <c r="F128" s="29" t="s">
        <v>27</v>
      </c>
      <c r="G128" s="30">
        <v>43.66</v>
      </c>
      <c r="H128" s="31">
        <v>940.91</v>
      </c>
      <c r="I128" s="39"/>
      <c r="J128" s="31">
        <f>H128*(1-$I$4)</f>
        <v>940.91</v>
      </c>
      <c r="K128" s="33">
        <f>ROUND(G128*J128,2)</f>
        <v>41080.13</v>
      </c>
      <c r="L128" s="34" t="s">
        <v>28</v>
      </c>
      <c r="M128" s="35"/>
      <c r="N128" s="3">
        <v>1</v>
      </c>
      <c r="O128" s="21">
        <v>886.6</v>
      </c>
      <c r="P128" s="22" t="s">
        <v>29</v>
      </c>
      <c r="Q128" s="38"/>
      <c r="R128" s="38"/>
    </row>
    <row r="129" s="3" customFormat="1" ht="108" customHeight="1" outlineLevel="2" spans="1:18">
      <c r="A129" s="41">
        <f>1+N(A128)</f>
        <v>2</v>
      </c>
      <c r="B129" s="28" t="s">
        <v>30</v>
      </c>
      <c r="C129" s="28" t="s">
        <v>31</v>
      </c>
      <c r="D129" s="28" t="s">
        <v>25</v>
      </c>
      <c r="E129" s="28" t="s">
        <v>26</v>
      </c>
      <c r="F129" s="29" t="s">
        <v>27</v>
      </c>
      <c r="G129" s="30">
        <v>42.04</v>
      </c>
      <c r="H129" s="31">
        <v>1303.93</v>
      </c>
      <c r="I129" s="39"/>
      <c r="J129" s="31">
        <f>H129*(1-$I$4)</f>
        <v>1303.93</v>
      </c>
      <c r="K129" s="33">
        <f>ROUND(G129*J129,2)</f>
        <v>54817.22</v>
      </c>
      <c r="L129" s="34" t="s">
        <v>28</v>
      </c>
      <c r="M129" s="35"/>
      <c r="N129" s="3">
        <v>1</v>
      </c>
      <c r="O129" s="21">
        <v>1135.86</v>
      </c>
      <c r="P129" s="22" t="s">
        <v>128</v>
      </c>
      <c r="Q129" s="38"/>
      <c r="R129" s="38"/>
    </row>
    <row r="130" s="3" customFormat="1" ht="72" customHeight="1" outlineLevel="2" spans="1:18">
      <c r="A130" s="41">
        <f>1+N(A129)</f>
        <v>3</v>
      </c>
      <c r="B130" s="28" t="s">
        <v>36</v>
      </c>
      <c r="C130" s="28" t="s">
        <v>37</v>
      </c>
      <c r="D130" s="28" t="s">
        <v>25</v>
      </c>
      <c r="E130" s="28" t="s">
        <v>38</v>
      </c>
      <c r="F130" s="29" t="s">
        <v>39</v>
      </c>
      <c r="G130" s="30">
        <v>31.67</v>
      </c>
      <c r="H130" s="31">
        <v>89.27</v>
      </c>
      <c r="I130" s="39"/>
      <c r="J130" s="31">
        <f>H130*(1-$I$4)</f>
        <v>89.27</v>
      </c>
      <c r="K130" s="33">
        <f>ROUND(G130*J130,2)</f>
        <v>2827.18</v>
      </c>
      <c r="L130" s="34" t="s">
        <v>28</v>
      </c>
      <c r="M130" s="35"/>
      <c r="N130" s="3">
        <v>1</v>
      </c>
      <c r="O130" s="21">
        <v>35.28</v>
      </c>
      <c r="P130" s="22" t="s">
        <v>40</v>
      </c>
      <c r="Q130" s="38"/>
      <c r="R130" s="38"/>
    </row>
    <row r="131" s="3" customFormat="1" ht="72" customHeight="1" outlineLevel="2" spans="1:18">
      <c r="A131" s="41">
        <f>1+N(A130)</f>
        <v>4</v>
      </c>
      <c r="B131" s="28" t="s">
        <v>41</v>
      </c>
      <c r="C131" s="28" t="s">
        <v>42</v>
      </c>
      <c r="D131" s="28" t="s">
        <v>25</v>
      </c>
      <c r="E131" s="28" t="s">
        <v>26</v>
      </c>
      <c r="F131" s="29" t="s">
        <v>27</v>
      </c>
      <c r="G131" s="30">
        <v>85.7</v>
      </c>
      <c r="H131" s="31">
        <v>64.9</v>
      </c>
      <c r="I131" s="39"/>
      <c r="J131" s="31">
        <f>H131*(1-$I$4)</f>
        <v>64.9</v>
      </c>
      <c r="K131" s="33">
        <f>ROUND(G131*J131,2)</f>
        <v>5561.93</v>
      </c>
      <c r="L131" s="34" t="s">
        <v>28</v>
      </c>
      <c r="M131" s="35"/>
      <c r="N131" s="3">
        <v>1</v>
      </c>
      <c r="O131" s="21">
        <v>61.38</v>
      </c>
      <c r="P131" s="22" t="s">
        <v>43</v>
      </c>
      <c r="Q131" s="38"/>
      <c r="R131" s="38"/>
    </row>
    <row r="132" s="3" customFormat="1" outlineLevel="1" spans="1:18">
      <c r="A132" s="40"/>
      <c r="B132" s="28" t="s">
        <v>44</v>
      </c>
      <c r="C132" s="28"/>
      <c r="D132" s="28"/>
      <c r="E132" s="28"/>
      <c r="F132" s="29"/>
      <c r="G132" s="30"/>
      <c r="H132" s="31"/>
      <c r="I132" s="39"/>
      <c r="J132" s="31"/>
      <c r="K132" s="33"/>
      <c r="L132" s="34"/>
      <c r="M132" s="35"/>
      <c r="O132" s="36"/>
      <c r="P132" s="37"/>
      <c r="Q132" s="38"/>
      <c r="R132" s="38"/>
    </row>
    <row r="133" s="3" customFormat="1" ht="108" customHeight="1" outlineLevel="2" spans="1:18">
      <c r="A133" s="41">
        <f t="shared" ref="A133:A140" si="18">1+N(A132)</f>
        <v>1</v>
      </c>
      <c r="B133" s="28" t="s">
        <v>45</v>
      </c>
      <c r="C133" s="28" t="s">
        <v>46</v>
      </c>
      <c r="D133" s="28" t="s">
        <v>47</v>
      </c>
      <c r="E133" s="28" t="s">
        <v>48</v>
      </c>
      <c r="F133" s="29" t="s">
        <v>27</v>
      </c>
      <c r="G133" s="30">
        <v>21.43</v>
      </c>
      <c r="H133" s="31">
        <v>2668.45</v>
      </c>
      <c r="I133" s="39"/>
      <c r="J133" s="31">
        <f t="shared" ref="J133:J140" si="19">H133*(1-$I$4)</f>
        <v>2668.45</v>
      </c>
      <c r="K133" s="33">
        <f t="shared" ref="K133:K140" si="20">ROUND(G133*J133,2)</f>
        <v>57184.88</v>
      </c>
      <c r="L133" s="34" t="s">
        <v>28</v>
      </c>
      <c r="M133" s="35"/>
      <c r="N133" s="3">
        <v>1</v>
      </c>
      <c r="O133" s="21">
        <v>1019.76</v>
      </c>
      <c r="P133" s="22" t="s">
        <v>49</v>
      </c>
      <c r="Q133" s="38"/>
      <c r="R133" s="38"/>
    </row>
    <row r="134" s="3" customFormat="1" ht="156" customHeight="1" outlineLevel="2" spans="1:18">
      <c r="A134" s="41">
        <f t="shared" si="18"/>
        <v>2</v>
      </c>
      <c r="B134" s="28" t="s">
        <v>50</v>
      </c>
      <c r="C134" s="28" t="s">
        <v>51</v>
      </c>
      <c r="D134" s="28" t="s">
        <v>52</v>
      </c>
      <c r="E134" s="28" t="s">
        <v>48</v>
      </c>
      <c r="F134" s="29" t="s">
        <v>27</v>
      </c>
      <c r="G134" s="30">
        <v>128.31</v>
      </c>
      <c r="H134" s="31">
        <v>1312.65</v>
      </c>
      <c r="I134" s="39"/>
      <c r="J134" s="31">
        <f t="shared" si="19"/>
        <v>1312.65</v>
      </c>
      <c r="K134" s="33">
        <f t="shared" si="20"/>
        <v>168426.12</v>
      </c>
      <c r="L134" s="34" t="s">
        <v>28</v>
      </c>
      <c r="M134" s="35"/>
      <c r="N134" s="3">
        <v>1</v>
      </c>
      <c r="O134" s="21">
        <v>1000.51</v>
      </c>
      <c r="P134" s="22" t="s">
        <v>166</v>
      </c>
      <c r="Q134" s="38"/>
      <c r="R134" s="38"/>
    </row>
    <row r="135" s="3" customFormat="1" ht="156" customHeight="1" outlineLevel="2" spans="1:18">
      <c r="A135" s="41">
        <f t="shared" si="18"/>
        <v>3</v>
      </c>
      <c r="B135" s="28" t="s">
        <v>54</v>
      </c>
      <c r="C135" s="28" t="s">
        <v>55</v>
      </c>
      <c r="D135" s="28" t="s">
        <v>52</v>
      </c>
      <c r="E135" s="28" t="s">
        <v>48</v>
      </c>
      <c r="F135" s="29" t="s">
        <v>27</v>
      </c>
      <c r="G135" s="30">
        <v>13.98</v>
      </c>
      <c r="H135" s="31">
        <v>2016.38</v>
      </c>
      <c r="I135" s="39"/>
      <c r="J135" s="31">
        <f t="shared" si="19"/>
        <v>2016.38</v>
      </c>
      <c r="K135" s="33">
        <f t="shared" si="20"/>
        <v>28188.99</v>
      </c>
      <c r="L135" s="34" t="s">
        <v>28</v>
      </c>
      <c r="M135" s="35"/>
      <c r="N135" s="3">
        <v>1</v>
      </c>
      <c r="O135" s="21">
        <v>1179.53</v>
      </c>
      <c r="P135" s="22" t="s">
        <v>56</v>
      </c>
      <c r="Q135" s="38"/>
      <c r="R135" s="38"/>
    </row>
    <row r="136" s="3" customFormat="1" ht="120" customHeight="1" outlineLevel="2" spans="1:18">
      <c r="A136" s="41">
        <f t="shared" si="18"/>
        <v>4</v>
      </c>
      <c r="B136" s="28" t="s">
        <v>167</v>
      </c>
      <c r="C136" s="28" t="s">
        <v>168</v>
      </c>
      <c r="D136" s="28" t="s">
        <v>52</v>
      </c>
      <c r="E136" s="28" t="s">
        <v>169</v>
      </c>
      <c r="F136" s="29" t="s">
        <v>27</v>
      </c>
      <c r="G136" s="30">
        <v>28.76</v>
      </c>
      <c r="H136" s="31">
        <v>1358.77</v>
      </c>
      <c r="I136" s="39"/>
      <c r="J136" s="31">
        <f t="shared" si="19"/>
        <v>1358.77</v>
      </c>
      <c r="K136" s="33">
        <f t="shared" si="20"/>
        <v>39078.23</v>
      </c>
      <c r="L136" s="34" t="s">
        <v>28</v>
      </c>
      <c r="M136" s="35"/>
      <c r="N136" s="3">
        <v>1</v>
      </c>
      <c r="O136" s="21">
        <v>2596.55</v>
      </c>
      <c r="P136" s="22" t="s">
        <v>170</v>
      </c>
      <c r="Q136" s="38"/>
      <c r="R136" s="38"/>
    </row>
    <row r="137" s="3" customFormat="1" ht="120" customHeight="1" outlineLevel="2" spans="1:18">
      <c r="A137" s="41">
        <f t="shared" si="18"/>
        <v>5</v>
      </c>
      <c r="B137" s="28" t="s">
        <v>140</v>
      </c>
      <c r="C137" s="28" t="s">
        <v>171</v>
      </c>
      <c r="D137" s="28" t="s">
        <v>52</v>
      </c>
      <c r="E137" s="28" t="s">
        <v>63</v>
      </c>
      <c r="F137" s="29" t="s">
        <v>27</v>
      </c>
      <c r="G137" s="30">
        <v>30.65</v>
      </c>
      <c r="H137" s="31">
        <v>1025.3</v>
      </c>
      <c r="I137" s="39"/>
      <c r="J137" s="31">
        <f t="shared" si="19"/>
        <v>1025.3</v>
      </c>
      <c r="K137" s="33">
        <f t="shared" si="20"/>
        <v>31425.45</v>
      </c>
      <c r="L137" s="34" t="s">
        <v>28</v>
      </c>
      <c r="M137" s="35"/>
      <c r="N137" s="3">
        <v>1</v>
      </c>
      <c r="O137" s="21">
        <v>681.67</v>
      </c>
      <c r="P137" s="22" t="s">
        <v>172</v>
      </c>
      <c r="Q137" s="38"/>
      <c r="R137" s="38"/>
    </row>
    <row r="138" s="3" customFormat="1" ht="96" customHeight="1" outlineLevel="2" spans="1:18">
      <c r="A138" s="41">
        <f t="shared" si="18"/>
        <v>6</v>
      </c>
      <c r="B138" s="28" t="s">
        <v>75</v>
      </c>
      <c r="C138" s="28" t="s">
        <v>76</v>
      </c>
      <c r="D138" s="28" t="s">
        <v>59</v>
      </c>
      <c r="E138" s="28" t="s">
        <v>38</v>
      </c>
      <c r="F138" s="29" t="s">
        <v>39</v>
      </c>
      <c r="G138" s="30">
        <v>41.6</v>
      </c>
      <c r="H138" s="31">
        <v>67.08</v>
      </c>
      <c r="I138" s="39"/>
      <c r="J138" s="31">
        <f t="shared" si="19"/>
        <v>67.08</v>
      </c>
      <c r="K138" s="33">
        <f t="shared" si="20"/>
        <v>2790.53</v>
      </c>
      <c r="L138" s="34" t="s">
        <v>28</v>
      </c>
      <c r="M138" s="35"/>
      <c r="N138" s="3">
        <v>1</v>
      </c>
      <c r="O138" s="21">
        <v>45.71</v>
      </c>
      <c r="P138" s="22" t="s">
        <v>77</v>
      </c>
      <c r="Q138" s="38"/>
      <c r="R138" s="38"/>
    </row>
    <row r="139" s="3" customFormat="1" ht="96" customHeight="1" outlineLevel="2" spans="1:18">
      <c r="A139" s="41">
        <f t="shared" si="18"/>
        <v>7</v>
      </c>
      <c r="B139" s="28" t="s">
        <v>84</v>
      </c>
      <c r="C139" s="28" t="s">
        <v>85</v>
      </c>
      <c r="D139" s="28" t="s">
        <v>59</v>
      </c>
      <c r="E139" s="28" t="s">
        <v>38</v>
      </c>
      <c r="F139" s="29" t="s">
        <v>39</v>
      </c>
      <c r="G139" s="30">
        <v>31.56</v>
      </c>
      <c r="H139" s="31">
        <v>117.84</v>
      </c>
      <c r="I139" s="39"/>
      <c r="J139" s="31">
        <f t="shared" si="19"/>
        <v>117.84</v>
      </c>
      <c r="K139" s="33">
        <f t="shared" si="20"/>
        <v>3719.03</v>
      </c>
      <c r="L139" s="34" t="s">
        <v>28</v>
      </c>
      <c r="M139" s="35"/>
      <c r="N139" s="3">
        <v>1</v>
      </c>
      <c r="O139" s="21">
        <v>95.14</v>
      </c>
      <c r="P139" s="22" t="s">
        <v>86</v>
      </c>
      <c r="Q139" s="38"/>
      <c r="R139" s="38"/>
    </row>
    <row r="140" s="3" customFormat="1" ht="96" customHeight="1" outlineLevel="2" spans="1:18">
      <c r="A140" s="41">
        <f t="shared" si="18"/>
        <v>8</v>
      </c>
      <c r="B140" s="28" t="s">
        <v>87</v>
      </c>
      <c r="C140" s="28" t="s">
        <v>88</v>
      </c>
      <c r="D140" s="28" t="s">
        <v>59</v>
      </c>
      <c r="E140" s="28" t="s">
        <v>38</v>
      </c>
      <c r="F140" s="29" t="s">
        <v>39</v>
      </c>
      <c r="G140" s="30">
        <v>41.6</v>
      </c>
      <c r="H140" s="31">
        <v>64.25</v>
      </c>
      <c r="I140" s="39"/>
      <c r="J140" s="31">
        <f t="shared" si="19"/>
        <v>64.25</v>
      </c>
      <c r="K140" s="33">
        <f t="shared" si="20"/>
        <v>2672.8</v>
      </c>
      <c r="L140" s="34" t="s">
        <v>28</v>
      </c>
      <c r="M140" s="35"/>
      <c r="N140" s="3">
        <v>1</v>
      </c>
      <c r="O140" s="21">
        <v>43.16</v>
      </c>
      <c r="P140" s="22" t="s">
        <v>89</v>
      </c>
      <c r="Q140" s="38"/>
      <c r="R140" s="38"/>
    </row>
    <row r="141" s="3" customFormat="1" outlineLevel="1" spans="1:18">
      <c r="A141" s="40"/>
      <c r="B141" s="28" t="s">
        <v>90</v>
      </c>
      <c r="C141" s="28"/>
      <c r="D141" s="28"/>
      <c r="E141" s="28"/>
      <c r="F141" s="29"/>
      <c r="G141" s="30"/>
      <c r="H141" s="31"/>
      <c r="I141" s="39"/>
      <c r="J141" s="31"/>
      <c r="K141" s="33"/>
      <c r="L141" s="34"/>
      <c r="M141" s="35"/>
      <c r="O141" s="36"/>
      <c r="P141" s="37"/>
      <c r="Q141" s="38"/>
      <c r="R141" s="38"/>
    </row>
    <row r="142" s="3" customFormat="1" ht="168" customHeight="1" outlineLevel="2" spans="1:18">
      <c r="A142" s="41">
        <f t="shared" ref="A142:A147" si="21">1+N(A141)</f>
        <v>1</v>
      </c>
      <c r="B142" s="28" t="s">
        <v>91</v>
      </c>
      <c r="C142" s="28" t="s">
        <v>92</v>
      </c>
      <c r="D142" s="28" t="s">
        <v>93</v>
      </c>
      <c r="E142" s="28" t="s">
        <v>94</v>
      </c>
      <c r="F142" s="29" t="s">
        <v>27</v>
      </c>
      <c r="G142" s="30">
        <v>63.5</v>
      </c>
      <c r="H142" s="31">
        <v>174.57</v>
      </c>
      <c r="I142" s="39"/>
      <c r="J142" s="31">
        <f t="shared" ref="J142:J147" si="22">H142*(1-$I$4)</f>
        <v>174.57</v>
      </c>
      <c r="K142" s="33">
        <f t="shared" ref="K142:K147" si="23">ROUND(G142*J142,2)</f>
        <v>11085.2</v>
      </c>
      <c r="L142" s="34" t="s">
        <v>28</v>
      </c>
      <c r="M142" s="35"/>
      <c r="N142" s="3">
        <v>1</v>
      </c>
      <c r="O142" s="21">
        <v>150.38</v>
      </c>
      <c r="P142" s="22" t="s">
        <v>95</v>
      </c>
      <c r="Q142" s="38"/>
      <c r="R142" s="38"/>
    </row>
    <row r="143" s="3" customFormat="1" ht="168" customHeight="1" outlineLevel="2" spans="1:18">
      <c r="A143" s="41">
        <f t="shared" si="21"/>
        <v>2</v>
      </c>
      <c r="B143" s="28" t="s">
        <v>130</v>
      </c>
      <c r="C143" s="28" t="s">
        <v>131</v>
      </c>
      <c r="D143" s="28" t="s">
        <v>93</v>
      </c>
      <c r="E143" s="28" t="s">
        <v>94</v>
      </c>
      <c r="F143" s="29" t="s">
        <v>27</v>
      </c>
      <c r="G143" s="30">
        <v>22.2</v>
      </c>
      <c r="H143" s="31">
        <v>291.17</v>
      </c>
      <c r="I143" s="39"/>
      <c r="J143" s="31">
        <f t="shared" si="22"/>
        <v>291.17</v>
      </c>
      <c r="K143" s="33">
        <f t="shared" si="23"/>
        <v>6463.97</v>
      </c>
      <c r="L143" s="34" t="s">
        <v>28</v>
      </c>
      <c r="M143" s="35"/>
      <c r="N143" s="3">
        <v>1</v>
      </c>
      <c r="O143" s="21">
        <v>238.38</v>
      </c>
      <c r="P143" s="22" t="s">
        <v>132</v>
      </c>
      <c r="Q143" s="38"/>
      <c r="R143" s="38"/>
    </row>
    <row r="144" s="3" customFormat="1" ht="48" customHeight="1" outlineLevel="2" spans="1:18">
      <c r="A144" s="41">
        <f t="shared" si="21"/>
        <v>3</v>
      </c>
      <c r="B144" s="28" t="s">
        <v>96</v>
      </c>
      <c r="C144" s="28" t="s">
        <v>97</v>
      </c>
      <c r="D144" s="28" t="s">
        <v>98</v>
      </c>
      <c r="E144" s="28" t="s">
        <v>99</v>
      </c>
      <c r="F144" s="29" t="s">
        <v>39</v>
      </c>
      <c r="G144" s="30">
        <v>25.18</v>
      </c>
      <c r="H144" s="31">
        <v>112.16</v>
      </c>
      <c r="I144" s="39"/>
      <c r="J144" s="31">
        <f t="shared" si="22"/>
        <v>112.16</v>
      </c>
      <c r="K144" s="33">
        <f t="shared" si="23"/>
        <v>2824.19</v>
      </c>
      <c r="L144" s="34" t="s">
        <v>28</v>
      </c>
      <c r="M144" s="35"/>
      <c r="N144" s="3">
        <v>1</v>
      </c>
      <c r="O144" s="21">
        <v>79.3</v>
      </c>
      <c r="P144" s="22" t="s">
        <v>100</v>
      </c>
      <c r="Q144" s="38"/>
      <c r="R144" s="38"/>
    </row>
    <row r="145" s="3" customFormat="1" ht="48" customHeight="1" outlineLevel="2" spans="1:18">
      <c r="A145" s="41">
        <f t="shared" si="21"/>
        <v>4</v>
      </c>
      <c r="B145" s="28" t="s">
        <v>101</v>
      </c>
      <c r="C145" s="28" t="s">
        <v>102</v>
      </c>
      <c r="D145" s="28" t="s">
        <v>98</v>
      </c>
      <c r="E145" s="28" t="s">
        <v>99</v>
      </c>
      <c r="F145" s="29" t="s">
        <v>39</v>
      </c>
      <c r="G145" s="30">
        <v>25.18</v>
      </c>
      <c r="H145" s="31">
        <v>75.82</v>
      </c>
      <c r="I145" s="39"/>
      <c r="J145" s="31">
        <f t="shared" si="22"/>
        <v>75.82</v>
      </c>
      <c r="K145" s="33">
        <f t="shared" si="23"/>
        <v>1909.15</v>
      </c>
      <c r="L145" s="34" t="s">
        <v>28</v>
      </c>
      <c r="M145" s="35"/>
      <c r="N145" s="3">
        <v>1</v>
      </c>
      <c r="O145" s="21">
        <v>203.56</v>
      </c>
      <c r="P145" s="22" t="s">
        <v>103</v>
      </c>
      <c r="Q145" s="38"/>
      <c r="R145" s="38"/>
    </row>
    <row r="146" s="3" customFormat="1" ht="48" customHeight="1" outlineLevel="2" spans="1:18">
      <c r="A146" s="41">
        <f t="shared" si="21"/>
        <v>5</v>
      </c>
      <c r="B146" s="28" t="s">
        <v>104</v>
      </c>
      <c r="C146" s="28" t="s">
        <v>105</v>
      </c>
      <c r="D146" s="28" t="s">
        <v>98</v>
      </c>
      <c r="E146" s="28" t="s">
        <v>99</v>
      </c>
      <c r="F146" s="29" t="s">
        <v>39</v>
      </c>
      <c r="G146" s="30">
        <v>7.2</v>
      </c>
      <c r="H146" s="31">
        <v>109.74</v>
      </c>
      <c r="I146" s="39"/>
      <c r="J146" s="31">
        <f t="shared" si="22"/>
        <v>109.74</v>
      </c>
      <c r="K146" s="33">
        <f t="shared" si="23"/>
        <v>790.13</v>
      </c>
      <c r="L146" s="34" t="s">
        <v>28</v>
      </c>
      <c r="M146" s="35"/>
      <c r="N146" s="3">
        <v>1</v>
      </c>
      <c r="O146" s="21">
        <v>108.2</v>
      </c>
      <c r="P146" s="22" t="s">
        <v>106</v>
      </c>
      <c r="Q146" s="38"/>
      <c r="R146" s="38"/>
    </row>
    <row r="147" s="3" customFormat="1" ht="132" customHeight="1" outlineLevel="2" spans="1:18">
      <c r="A147" s="41">
        <f t="shared" si="21"/>
        <v>6</v>
      </c>
      <c r="B147" s="28" t="s">
        <v>107</v>
      </c>
      <c r="C147" s="28" t="s">
        <v>108</v>
      </c>
      <c r="D147" s="28" t="s">
        <v>109</v>
      </c>
      <c r="E147" s="28" t="s">
        <v>110</v>
      </c>
      <c r="F147" s="29" t="s">
        <v>27</v>
      </c>
      <c r="G147" s="30">
        <v>93.26</v>
      </c>
      <c r="H147" s="31">
        <v>152.22</v>
      </c>
      <c r="I147" s="39"/>
      <c r="J147" s="31">
        <f t="shared" si="22"/>
        <v>152.22</v>
      </c>
      <c r="K147" s="33">
        <f t="shared" si="23"/>
        <v>14196.04</v>
      </c>
      <c r="L147" s="34" t="s">
        <v>28</v>
      </c>
      <c r="M147" s="35"/>
      <c r="N147" s="3">
        <v>1</v>
      </c>
      <c r="O147" s="21">
        <v>151.58</v>
      </c>
      <c r="P147" s="22" t="s">
        <v>111</v>
      </c>
      <c r="Q147" s="38"/>
      <c r="R147" s="38"/>
    </row>
    <row r="148" s="3" customFormat="1" outlineLevel="1" spans="1:18">
      <c r="A148" s="40"/>
      <c r="B148" s="28" t="s">
        <v>112</v>
      </c>
      <c r="C148" s="28"/>
      <c r="D148" s="28"/>
      <c r="E148" s="28"/>
      <c r="F148" s="29"/>
      <c r="G148" s="30"/>
      <c r="H148" s="31"/>
      <c r="I148" s="39"/>
      <c r="J148" s="31"/>
      <c r="K148" s="33"/>
      <c r="L148" s="34"/>
      <c r="M148" s="35"/>
      <c r="O148" s="36"/>
      <c r="P148" s="37"/>
      <c r="Q148" s="38"/>
      <c r="R148" s="38"/>
    </row>
    <row r="149" s="3" customFormat="1" ht="96" customHeight="1" outlineLevel="2" spans="1:18">
      <c r="A149" s="41">
        <f>1+N(A148)</f>
        <v>1</v>
      </c>
      <c r="B149" s="28" t="s">
        <v>173</v>
      </c>
      <c r="C149" s="28" t="s">
        <v>174</v>
      </c>
      <c r="D149" s="28" t="s">
        <v>98</v>
      </c>
      <c r="E149" s="28" t="s">
        <v>115</v>
      </c>
      <c r="F149" s="29" t="s">
        <v>175</v>
      </c>
      <c r="G149" s="30">
        <v>1</v>
      </c>
      <c r="H149" s="31">
        <v>23512.5</v>
      </c>
      <c r="I149" s="39"/>
      <c r="J149" s="31">
        <f>H149*(1-$I$4)</f>
        <v>23512.5</v>
      </c>
      <c r="K149" s="33">
        <f>ROUND(G149*J149,2)</f>
        <v>23512.5</v>
      </c>
      <c r="L149" s="34" t="s">
        <v>28</v>
      </c>
      <c r="M149" s="35"/>
      <c r="N149" s="3">
        <v>1</v>
      </c>
      <c r="O149" s="21">
        <v>12306.8</v>
      </c>
      <c r="P149" s="22" t="s">
        <v>176</v>
      </c>
      <c r="Q149" s="38"/>
      <c r="R149" s="38"/>
    </row>
    <row r="150" s="3" customFormat="1" ht="60" customHeight="1" outlineLevel="2" spans="1:18">
      <c r="A150" s="41">
        <f>1+N(A149)</f>
        <v>2</v>
      </c>
      <c r="B150" s="28" t="s">
        <v>134</v>
      </c>
      <c r="C150" s="28" t="s">
        <v>114</v>
      </c>
      <c r="D150" s="28" t="s">
        <v>98</v>
      </c>
      <c r="E150" s="28" t="s">
        <v>115</v>
      </c>
      <c r="F150" s="29" t="s">
        <v>27</v>
      </c>
      <c r="G150" s="30">
        <v>2.15</v>
      </c>
      <c r="H150" s="31">
        <v>962.68</v>
      </c>
      <c r="I150" s="39"/>
      <c r="J150" s="31">
        <f>H150*(1-$I$4)</f>
        <v>962.68</v>
      </c>
      <c r="K150" s="33">
        <f>ROUND(G150*J150,2)</f>
        <v>2069.76</v>
      </c>
      <c r="L150" s="34" t="s">
        <v>28</v>
      </c>
      <c r="M150" s="35"/>
      <c r="N150" s="3">
        <v>1</v>
      </c>
      <c r="O150" s="21">
        <v>665.69</v>
      </c>
      <c r="P150" s="22" t="s">
        <v>116</v>
      </c>
      <c r="Q150" s="38"/>
      <c r="R150" s="38"/>
    </row>
    <row r="151" s="3" customFormat="1" outlineLevel="1" spans="1:18">
      <c r="A151" s="27" t="s">
        <v>177</v>
      </c>
      <c r="B151" s="28" t="s">
        <v>178</v>
      </c>
      <c r="C151" s="28"/>
      <c r="D151" s="28"/>
      <c r="E151" s="28"/>
      <c r="F151" s="29"/>
      <c r="G151" s="30"/>
      <c r="H151" s="31"/>
      <c r="I151" s="39"/>
      <c r="J151" s="31"/>
      <c r="K151" s="33"/>
      <c r="L151" s="34"/>
      <c r="M151" s="35"/>
      <c r="O151" s="36"/>
      <c r="P151" s="37"/>
      <c r="Q151" s="38"/>
      <c r="R151" s="38"/>
    </row>
    <row r="152" s="3" customFormat="1" outlineLevel="1" spans="1:18">
      <c r="A152" s="40"/>
      <c r="B152" s="28" t="s">
        <v>22</v>
      </c>
      <c r="C152" s="28"/>
      <c r="D152" s="28"/>
      <c r="E152" s="28"/>
      <c r="F152" s="29"/>
      <c r="G152" s="30"/>
      <c r="H152" s="31"/>
      <c r="I152" s="39"/>
      <c r="J152" s="31"/>
      <c r="K152" s="33"/>
      <c r="L152" s="34"/>
      <c r="M152" s="35"/>
      <c r="O152" s="36"/>
      <c r="P152" s="37"/>
      <c r="Q152" s="38"/>
      <c r="R152" s="38"/>
    </row>
    <row r="153" s="3" customFormat="1" ht="108" customHeight="1" outlineLevel="2" spans="1:18">
      <c r="A153" s="41">
        <f>1+N(A152)</f>
        <v>1</v>
      </c>
      <c r="B153" s="28" t="s">
        <v>23</v>
      </c>
      <c r="C153" s="28" t="s">
        <v>24</v>
      </c>
      <c r="D153" s="28" t="s">
        <v>25</v>
      </c>
      <c r="E153" s="28" t="s">
        <v>26</v>
      </c>
      <c r="F153" s="29" t="s">
        <v>27</v>
      </c>
      <c r="G153" s="30">
        <v>17.64</v>
      </c>
      <c r="H153" s="31">
        <v>940.91</v>
      </c>
      <c r="I153" s="39"/>
      <c r="J153" s="31">
        <f>H153*(1-$I$4)</f>
        <v>940.91</v>
      </c>
      <c r="K153" s="33">
        <f>ROUND(G153*J153,2)</f>
        <v>16597.65</v>
      </c>
      <c r="L153" s="34" t="s">
        <v>28</v>
      </c>
      <c r="M153" s="35"/>
      <c r="N153" s="3">
        <v>1</v>
      </c>
      <c r="O153" s="21">
        <v>886.6</v>
      </c>
      <c r="P153" s="22" t="s">
        <v>29</v>
      </c>
      <c r="Q153" s="38"/>
      <c r="R153" s="38"/>
    </row>
    <row r="154" s="3" customFormat="1" ht="72" customHeight="1" outlineLevel="2" spans="1:18">
      <c r="A154" s="41">
        <f>1+N(A153)</f>
        <v>2</v>
      </c>
      <c r="B154" s="28" t="s">
        <v>41</v>
      </c>
      <c r="C154" s="28" t="s">
        <v>42</v>
      </c>
      <c r="D154" s="28" t="s">
        <v>25</v>
      </c>
      <c r="E154" s="28" t="s">
        <v>26</v>
      </c>
      <c r="F154" s="29" t="s">
        <v>27</v>
      </c>
      <c r="G154" s="30">
        <v>17.64</v>
      </c>
      <c r="H154" s="31">
        <v>64.9</v>
      </c>
      <c r="I154" s="39"/>
      <c r="J154" s="31">
        <f>H154*(1-$I$4)</f>
        <v>64.9</v>
      </c>
      <c r="K154" s="33">
        <f>ROUND(G154*J154,2)</f>
        <v>1144.84</v>
      </c>
      <c r="L154" s="34" t="s">
        <v>28</v>
      </c>
      <c r="M154" s="35"/>
      <c r="N154" s="3">
        <v>1</v>
      </c>
      <c r="O154" s="21">
        <v>61.38</v>
      </c>
      <c r="P154" s="22" t="s">
        <v>43</v>
      </c>
      <c r="Q154" s="38"/>
      <c r="R154" s="38"/>
    </row>
    <row r="155" s="3" customFormat="1" outlineLevel="1" spans="1:18">
      <c r="A155" s="40"/>
      <c r="B155" s="28" t="s">
        <v>44</v>
      </c>
      <c r="C155" s="28"/>
      <c r="D155" s="28"/>
      <c r="E155" s="28"/>
      <c r="F155" s="29"/>
      <c r="G155" s="30"/>
      <c r="H155" s="31"/>
      <c r="I155" s="39"/>
      <c r="J155" s="31"/>
      <c r="K155" s="33"/>
      <c r="L155" s="34"/>
      <c r="M155" s="35"/>
      <c r="O155" s="36"/>
      <c r="P155" s="37"/>
      <c r="Q155" s="38"/>
      <c r="R155" s="38"/>
    </row>
    <row r="156" s="3" customFormat="1" ht="108" customHeight="1" outlineLevel="2" spans="1:18">
      <c r="A156" s="41">
        <f>1+N(A155)</f>
        <v>1</v>
      </c>
      <c r="B156" s="28" t="s">
        <v>45</v>
      </c>
      <c r="C156" s="28" t="s">
        <v>46</v>
      </c>
      <c r="D156" s="28" t="s">
        <v>47</v>
      </c>
      <c r="E156" s="28" t="s">
        <v>48</v>
      </c>
      <c r="F156" s="29" t="s">
        <v>27</v>
      </c>
      <c r="G156" s="30">
        <v>8.62</v>
      </c>
      <c r="H156" s="31">
        <v>2668.45</v>
      </c>
      <c r="I156" s="39"/>
      <c r="J156" s="31">
        <f>H156*(1-$I$4)</f>
        <v>2668.45</v>
      </c>
      <c r="K156" s="33">
        <f>ROUND(G156*J156,2)</f>
        <v>23002.04</v>
      </c>
      <c r="L156" s="34" t="s">
        <v>28</v>
      </c>
      <c r="M156" s="35"/>
      <c r="N156" s="3">
        <v>1</v>
      </c>
      <c r="O156" s="21">
        <v>1019.76</v>
      </c>
      <c r="P156" s="22" t="s">
        <v>49</v>
      </c>
      <c r="Q156" s="38"/>
      <c r="R156" s="38"/>
    </row>
    <row r="157" s="3" customFormat="1" ht="156" customHeight="1" outlineLevel="2" spans="1:18">
      <c r="A157" s="41">
        <f>1+N(A156)</f>
        <v>2</v>
      </c>
      <c r="B157" s="28" t="s">
        <v>50</v>
      </c>
      <c r="C157" s="28" t="s">
        <v>51</v>
      </c>
      <c r="D157" s="28" t="s">
        <v>52</v>
      </c>
      <c r="E157" s="28" t="s">
        <v>48</v>
      </c>
      <c r="F157" s="29" t="s">
        <v>27</v>
      </c>
      <c r="G157" s="30">
        <v>36.36</v>
      </c>
      <c r="H157" s="31">
        <v>947.94</v>
      </c>
      <c r="I157" s="39"/>
      <c r="J157" s="31">
        <f>H157*(1-$I$4)</f>
        <v>947.94</v>
      </c>
      <c r="K157" s="33">
        <f>ROUND(G157*J157,2)</f>
        <v>34467.1</v>
      </c>
      <c r="L157" s="34" t="s">
        <v>28</v>
      </c>
      <c r="M157" s="35"/>
      <c r="N157" s="3">
        <v>1</v>
      </c>
      <c r="O157" s="21">
        <v>1000.51</v>
      </c>
      <c r="P157" s="22" t="s">
        <v>129</v>
      </c>
      <c r="Q157" s="38"/>
      <c r="R157" s="38"/>
    </row>
    <row r="158" s="3" customFormat="1" ht="96" customHeight="1" outlineLevel="2" spans="1:18">
      <c r="A158" s="41">
        <f>1+N(A157)</f>
        <v>3</v>
      </c>
      <c r="B158" s="28" t="s">
        <v>75</v>
      </c>
      <c r="C158" s="28" t="s">
        <v>76</v>
      </c>
      <c r="D158" s="28" t="s">
        <v>59</v>
      </c>
      <c r="E158" s="28" t="s">
        <v>38</v>
      </c>
      <c r="F158" s="29" t="s">
        <v>39</v>
      </c>
      <c r="G158" s="30">
        <v>15.28</v>
      </c>
      <c r="H158" s="31">
        <v>67.08</v>
      </c>
      <c r="I158" s="39"/>
      <c r="J158" s="31">
        <f>H158*(1-$I$4)</f>
        <v>67.08</v>
      </c>
      <c r="K158" s="33">
        <f>ROUND(G158*J158,2)</f>
        <v>1024.98</v>
      </c>
      <c r="L158" s="34" t="s">
        <v>28</v>
      </c>
      <c r="M158" s="35"/>
      <c r="N158" s="3">
        <v>1</v>
      </c>
      <c r="O158" s="21">
        <v>45.71</v>
      </c>
      <c r="P158" s="22" t="s">
        <v>77</v>
      </c>
      <c r="Q158" s="38"/>
      <c r="R158" s="38"/>
    </row>
    <row r="159" s="3" customFormat="1" ht="96" customHeight="1" outlineLevel="2" spans="1:18">
      <c r="A159" s="41">
        <f>1+N(A158)</f>
        <v>4</v>
      </c>
      <c r="B159" s="28" t="s">
        <v>84</v>
      </c>
      <c r="C159" s="28" t="s">
        <v>85</v>
      </c>
      <c r="D159" s="28" t="s">
        <v>59</v>
      </c>
      <c r="E159" s="28" t="s">
        <v>38</v>
      </c>
      <c r="F159" s="29" t="s">
        <v>39</v>
      </c>
      <c r="G159" s="30">
        <v>15.28</v>
      </c>
      <c r="H159" s="31">
        <v>117.84</v>
      </c>
      <c r="I159" s="39"/>
      <c r="J159" s="31">
        <f>H159*(1-$I$4)</f>
        <v>117.84</v>
      </c>
      <c r="K159" s="33">
        <f>ROUND(G159*J159,2)</f>
        <v>1800.6</v>
      </c>
      <c r="L159" s="34" t="s">
        <v>28</v>
      </c>
      <c r="M159" s="35"/>
      <c r="N159" s="3">
        <v>1</v>
      </c>
      <c r="O159" s="21">
        <v>95.14</v>
      </c>
      <c r="P159" s="22" t="s">
        <v>86</v>
      </c>
      <c r="Q159" s="38"/>
      <c r="R159" s="38"/>
    </row>
    <row r="160" s="3" customFormat="1" ht="96" customHeight="1" outlineLevel="2" spans="1:18">
      <c r="A160" s="41">
        <f>1+N(A159)</f>
        <v>5</v>
      </c>
      <c r="B160" s="28" t="s">
        <v>87</v>
      </c>
      <c r="C160" s="28" t="s">
        <v>88</v>
      </c>
      <c r="D160" s="28" t="s">
        <v>59</v>
      </c>
      <c r="E160" s="28" t="s">
        <v>38</v>
      </c>
      <c r="F160" s="29" t="s">
        <v>39</v>
      </c>
      <c r="G160" s="30">
        <v>15.28</v>
      </c>
      <c r="H160" s="31">
        <v>64.25</v>
      </c>
      <c r="I160" s="39"/>
      <c r="J160" s="31">
        <f>H160*(1-$I$4)</f>
        <v>64.25</v>
      </c>
      <c r="K160" s="33">
        <f>ROUND(G160*J160,2)</f>
        <v>981.74</v>
      </c>
      <c r="L160" s="34" t="s">
        <v>28</v>
      </c>
      <c r="M160" s="35"/>
      <c r="N160" s="3">
        <v>1</v>
      </c>
      <c r="O160" s="21">
        <v>43.16</v>
      </c>
      <c r="P160" s="22" t="s">
        <v>89</v>
      </c>
      <c r="Q160" s="38"/>
      <c r="R160" s="38"/>
    </row>
    <row r="161" s="3" customFormat="1" outlineLevel="1" spans="1:18">
      <c r="A161" s="40"/>
      <c r="B161" s="28" t="s">
        <v>90</v>
      </c>
      <c r="C161" s="28"/>
      <c r="D161" s="28"/>
      <c r="E161" s="28"/>
      <c r="F161" s="29"/>
      <c r="G161" s="30"/>
      <c r="H161" s="31"/>
      <c r="I161" s="39"/>
      <c r="J161" s="31"/>
      <c r="K161" s="33"/>
      <c r="L161" s="34"/>
      <c r="M161" s="35"/>
      <c r="O161" s="36"/>
      <c r="P161" s="37"/>
      <c r="Q161" s="38"/>
      <c r="R161" s="38"/>
    </row>
    <row r="162" s="3" customFormat="1" ht="168" customHeight="1" outlineLevel="2" spans="1:18">
      <c r="A162" s="41">
        <f>1+N(A161)</f>
        <v>1</v>
      </c>
      <c r="B162" s="28" t="s">
        <v>91</v>
      </c>
      <c r="C162" s="28" t="s">
        <v>92</v>
      </c>
      <c r="D162" s="28" t="s">
        <v>93</v>
      </c>
      <c r="E162" s="28" t="s">
        <v>94</v>
      </c>
      <c r="F162" s="29" t="s">
        <v>27</v>
      </c>
      <c r="G162" s="30">
        <v>17.64</v>
      </c>
      <c r="H162" s="31">
        <v>174.57</v>
      </c>
      <c r="I162" s="39"/>
      <c r="J162" s="31">
        <f>H162*(1-$I$4)</f>
        <v>174.57</v>
      </c>
      <c r="K162" s="33">
        <f>ROUND(G162*J162,2)</f>
        <v>3079.41</v>
      </c>
      <c r="L162" s="34" t="s">
        <v>28</v>
      </c>
      <c r="M162" s="35"/>
      <c r="N162" s="3">
        <v>1</v>
      </c>
      <c r="O162" s="21">
        <v>150.38</v>
      </c>
      <c r="P162" s="22" t="s">
        <v>95</v>
      </c>
      <c r="Q162" s="38"/>
      <c r="R162" s="38"/>
    </row>
    <row r="163" s="3" customFormat="1" ht="132" customHeight="1" outlineLevel="2" spans="1:18">
      <c r="A163" s="41">
        <f>1+N(A162)</f>
        <v>2</v>
      </c>
      <c r="B163" s="28" t="s">
        <v>107</v>
      </c>
      <c r="C163" s="28" t="s">
        <v>108</v>
      </c>
      <c r="D163" s="28" t="s">
        <v>109</v>
      </c>
      <c r="E163" s="28" t="s">
        <v>110</v>
      </c>
      <c r="F163" s="29" t="s">
        <v>27</v>
      </c>
      <c r="G163" s="30">
        <v>17.64</v>
      </c>
      <c r="H163" s="31">
        <v>152.22</v>
      </c>
      <c r="I163" s="39"/>
      <c r="J163" s="31">
        <f>H163*(1-$I$4)</f>
        <v>152.22</v>
      </c>
      <c r="K163" s="33">
        <f>ROUND(G163*J163,2)</f>
        <v>2685.16</v>
      </c>
      <c r="L163" s="34" t="s">
        <v>28</v>
      </c>
      <c r="M163" s="35"/>
      <c r="N163" s="3">
        <v>1</v>
      </c>
      <c r="O163" s="21">
        <v>151.58</v>
      </c>
      <c r="P163" s="22" t="s">
        <v>111</v>
      </c>
      <c r="Q163" s="38"/>
      <c r="R163" s="38"/>
    </row>
    <row r="164" s="3" customFormat="1" outlineLevel="1" spans="1:18">
      <c r="A164" s="40"/>
      <c r="B164" s="28" t="s">
        <v>112</v>
      </c>
      <c r="C164" s="28"/>
      <c r="D164" s="28"/>
      <c r="E164" s="28"/>
      <c r="F164" s="29"/>
      <c r="G164" s="30"/>
      <c r="H164" s="31"/>
      <c r="I164" s="39"/>
      <c r="J164" s="31"/>
      <c r="K164" s="33"/>
      <c r="L164" s="34"/>
      <c r="M164" s="35"/>
      <c r="O164" s="36"/>
      <c r="P164" s="37"/>
      <c r="Q164" s="38"/>
      <c r="R164" s="38"/>
    </row>
    <row r="165" s="3" customFormat="1" outlineLevel="1" spans="1:18">
      <c r="A165" s="27" t="s">
        <v>179</v>
      </c>
      <c r="B165" s="28" t="s">
        <v>180</v>
      </c>
      <c r="C165" s="28"/>
      <c r="D165" s="28"/>
      <c r="E165" s="28"/>
      <c r="F165" s="29"/>
      <c r="G165" s="30"/>
      <c r="H165" s="31"/>
      <c r="I165" s="39"/>
      <c r="J165" s="31"/>
      <c r="K165" s="33"/>
      <c r="L165" s="34"/>
      <c r="M165" s="35"/>
      <c r="O165" s="36"/>
      <c r="P165" s="37"/>
      <c r="Q165" s="38"/>
      <c r="R165" s="38"/>
    </row>
    <row r="166" s="3" customFormat="1" outlineLevel="1" spans="1:18">
      <c r="A166" s="40"/>
      <c r="B166" s="28" t="s">
        <v>181</v>
      </c>
      <c r="C166" s="28"/>
      <c r="D166" s="28"/>
      <c r="E166" s="28"/>
      <c r="F166" s="29"/>
      <c r="G166" s="30"/>
      <c r="H166" s="31"/>
      <c r="I166" s="39"/>
      <c r="J166" s="31"/>
      <c r="K166" s="33"/>
      <c r="L166" s="34"/>
      <c r="M166" s="35"/>
      <c r="O166" s="36"/>
      <c r="P166" s="37"/>
      <c r="Q166" s="38"/>
      <c r="R166" s="38"/>
    </row>
    <row r="167" s="3" customFormat="1" ht="96" customHeight="1" outlineLevel="2" spans="1:18">
      <c r="A167" s="41">
        <f>1+N(A166)</f>
        <v>1</v>
      </c>
      <c r="B167" s="28" t="s">
        <v>182</v>
      </c>
      <c r="C167" s="28" t="s">
        <v>183</v>
      </c>
      <c r="D167" s="28" t="s">
        <v>59</v>
      </c>
      <c r="E167" s="28" t="s">
        <v>184</v>
      </c>
      <c r="F167" s="29" t="s">
        <v>27</v>
      </c>
      <c r="G167" s="30">
        <v>246.1</v>
      </c>
      <c r="H167" s="31">
        <v>205.03</v>
      </c>
      <c r="I167" s="39"/>
      <c r="J167" s="31">
        <f>H167*(1-$I$4)</f>
        <v>205.03</v>
      </c>
      <c r="K167" s="33">
        <f>ROUND(G167*J167,2)</f>
        <v>50457.88</v>
      </c>
      <c r="L167" s="34" t="s">
        <v>28</v>
      </c>
      <c r="M167" s="35"/>
      <c r="N167" s="3">
        <v>1</v>
      </c>
      <c r="O167" s="21">
        <v>176.3</v>
      </c>
      <c r="P167" s="22" t="s">
        <v>185</v>
      </c>
      <c r="Q167" s="38"/>
      <c r="R167" s="38"/>
    </row>
    <row r="168" s="3" customFormat="1" spans="1:18">
      <c r="A168" s="27" t="s">
        <v>186</v>
      </c>
      <c r="B168" s="17" t="s">
        <v>187</v>
      </c>
      <c r="C168" s="28"/>
      <c r="D168" s="28"/>
      <c r="E168" s="28"/>
      <c r="F168" s="29"/>
      <c r="G168" s="30"/>
      <c r="H168" s="31"/>
      <c r="I168" s="39"/>
      <c r="J168" s="31"/>
      <c r="K168" s="33"/>
      <c r="L168" s="34"/>
      <c r="M168" s="35"/>
      <c r="O168" s="42"/>
      <c r="P168" s="37"/>
      <c r="Q168" s="38"/>
      <c r="R168" s="38"/>
    </row>
    <row r="169" s="3" customFormat="1" outlineLevel="1" spans="1:18">
      <c r="A169" s="27" t="s">
        <v>20</v>
      </c>
      <c r="B169" s="28" t="s">
        <v>188</v>
      </c>
      <c r="C169" s="28"/>
      <c r="D169" s="28"/>
      <c r="E169" s="28"/>
      <c r="F169" s="29"/>
      <c r="G169" s="30"/>
      <c r="H169" s="31"/>
      <c r="I169" s="39"/>
      <c r="J169" s="31"/>
      <c r="K169" s="33"/>
      <c r="L169" s="34"/>
      <c r="M169" s="35"/>
      <c r="O169" s="42"/>
      <c r="P169" s="37"/>
      <c r="Q169" s="38"/>
      <c r="R169" s="38"/>
    </row>
    <row r="170" s="3" customFormat="1" outlineLevel="1" spans="1:18">
      <c r="A170" s="40"/>
      <c r="B170" s="28" t="s">
        <v>22</v>
      </c>
      <c r="C170" s="28"/>
      <c r="D170" s="28"/>
      <c r="E170" s="28"/>
      <c r="F170" s="29"/>
      <c r="G170" s="30"/>
      <c r="H170" s="31"/>
      <c r="I170" s="39"/>
      <c r="J170" s="31"/>
      <c r="K170" s="33"/>
      <c r="L170" s="34"/>
      <c r="M170" s="35"/>
      <c r="O170" s="36"/>
      <c r="P170" s="37"/>
      <c r="Q170" s="38"/>
      <c r="R170" s="38"/>
    </row>
    <row r="171" s="3" customFormat="1" ht="84" customHeight="1" outlineLevel="2" spans="1:18">
      <c r="A171" s="41">
        <f>1+N(A170)</f>
        <v>1</v>
      </c>
      <c r="B171" s="28" t="s">
        <v>189</v>
      </c>
      <c r="C171" s="28" t="s">
        <v>190</v>
      </c>
      <c r="D171" s="28" t="s">
        <v>25</v>
      </c>
      <c r="E171" s="28" t="s">
        <v>26</v>
      </c>
      <c r="F171" s="29" t="s">
        <v>27</v>
      </c>
      <c r="G171" s="30">
        <v>61.55</v>
      </c>
      <c r="H171" s="31">
        <v>317.64</v>
      </c>
      <c r="I171" s="39"/>
      <c r="J171" s="31">
        <f>H171*(1-$I$4)</f>
        <v>317.64</v>
      </c>
      <c r="K171" s="33">
        <f>ROUND(G171*J171,2)</f>
        <v>19550.74</v>
      </c>
      <c r="L171" s="34" t="s">
        <v>28</v>
      </c>
      <c r="M171" s="35"/>
      <c r="N171" s="3">
        <v>1</v>
      </c>
      <c r="O171" s="21">
        <v>194.65</v>
      </c>
      <c r="P171" s="22" t="s">
        <v>191</v>
      </c>
      <c r="Q171" s="38"/>
      <c r="R171" s="38"/>
    </row>
    <row r="172" s="3" customFormat="1" ht="156" customHeight="1" outlineLevel="2" spans="1:18">
      <c r="A172" s="41">
        <f>1+N(A171)</f>
        <v>2</v>
      </c>
      <c r="B172" s="28" t="s">
        <v>192</v>
      </c>
      <c r="C172" s="28" t="s">
        <v>193</v>
      </c>
      <c r="D172" s="28" t="s">
        <v>194</v>
      </c>
      <c r="E172" s="28" t="s">
        <v>195</v>
      </c>
      <c r="F172" s="29" t="s">
        <v>27</v>
      </c>
      <c r="G172" s="30">
        <v>2.78</v>
      </c>
      <c r="H172" s="31">
        <v>94.33</v>
      </c>
      <c r="I172" s="39"/>
      <c r="J172" s="31">
        <f>H172*(1-$I$4)</f>
        <v>94.33</v>
      </c>
      <c r="K172" s="33">
        <f>ROUND(G172*J172,2)</f>
        <v>262.24</v>
      </c>
      <c r="L172" s="34" t="s">
        <v>28</v>
      </c>
      <c r="M172" s="35"/>
      <c r="N172" s="3">
        <v>1</v>
      </c>
      <c r="O172" s="21">
        <v>77.33</v>
      </c>
      <c r="P172" s="22" t="s">
        <v>196</v>
      </c>
      <c r="Q172" s="38"/>
      <c r="R172" s="38"/>
    </row>
    <row r="173" s="3" customFormat="1" ht="72" customHeight="1" outlineLevel="2" spans="1:18">
      <c r="A173" s="41">
        <f>1+N(A172)</f>
        <v>3</v>
      </c>
      <c r="B173" s="28" t="s">
        <v>36</v>
      </c>
      <c r="C173" s="28" t="s">
        <v>37</v>
      </c>
      <c r="D173" s="28" t="s">
        <v>25</v>
      </c>
      <c r="E173" s="28" t="s">
        <v>38</v>
      </c>
      <c r="F173" s="29" t="s">
        <v>39</v>
      </c>
      <c r="G173" s="30">
        <v>1.65</v>
      </c>
      <c r="H173" s="31">
        <v>89.27</v>
      </c>
      <c r="I173" s="39"/>
      <c r="J173" s="31">
        <f>H173*(1-$I$4)</f>
        <v>89.27</v>
      </c>
      <c r="K173" s="33">
        <f>ROUND(G173*J173,2)</f>
        <v>147.3</v>
      </c>
      <c r="L173" s="34" t="s">
        <v>28</v>
      </c>
      <c r="M173" s="35"/>
      <c r="N173" s="3">
        <v>1</v>
      </c>
      <c r="O173" s="21">
        <v>35.28</v>
      </c>
      <c r="P173" s="22" t="s">
        <v>40</v>
      </c>
      <c r="Q173" s="38"/>
      <c r="R173" s="38"/>
    </row>
    <row r="174" s="3" customFormat="1" outlineLevel="1" spans="1:18">
      <c r="A174" s="40"/>
      <c r="B174" s="28" t="s">
        <v>44</v>
      </c>
      <c r="C174" s="28"/>
      <c r="D174" s="28"/>
      <c r="E174" s="28"/>
      <c r="F174" s="29"/>
      <c r="G174" s="30"/>
      <c r="H174" s="31"/>
      <c r="I174" s="39"/>
      <c r="J174" s="31"/>
      <c r="K174" s="33"/>
      <c r="L174" s="34"/>
      <c r="M174" s="35"/>
      <c r="O174" s="36"/>
      <c r="P174" s="37"/>
      <c r="Q174" s="38"/>
      <c r="R174" s="38"/>
    </row>
    <row r="175" s="3" customFormat="1" ht="108" customHeight="1" outlineLevel="2" spans="1:18">
      <c r="A175" s="41">
        <f t="shared" ref="A175:A184" si="24">1+N(A174)</f>
        <v>1</v>
      </c>
      <c r="B175" s="28" t="s">
        <v>45</v>
      </c>
      <c r="C175" s="28" t="s">
        <v>46</v>
      </c>
      <c r="D175" s="28" t="s">
        <v>47</v>
      </c>
      <c r="E175" s="28" t="s">
        <v>48</v>
      </c>
      <c r="F175" s="29" t="s">
        <v>27</v>
      </c>
      <c r="G175" s="30">
        <v>1.71</v>
      </c>
      <c r="H175" s="31">
        <v>745.7</v>
      </c>
      <c r="I175" s="39"/>
      <c r="J175" s="31">
        <f t="shared" ref="J175:J184" si="25">H175*(1-$I$4)</f>
        <v>745.7</v>
      </c>
      <c r="K175" s="33">
        <f t="shared" ref="K175:K184" si="26">ROUND(G175*J175,2)</f>
        <v>1275.15</v>
      </c>
      <c r="L175" s="34" t="s">
        <v>28</v>
      </c>
      <c r="M175" s="35"/>
      <c r="N175" s="3">
        <v>1</v>
      </c>
      <c r="O175" s="21">
        <v>1019.76</v>
      </c>
      <c r="P175" s="22" t="s">
        <v>197</v>
      </c>
      <c r="Q175" s="38"/>
      <c r="R175" s="38"/>
    </row>
    <row r="176" s="3" customFormat="1" ht="156" customHeight="1" outlineLevel="2" spans="1:18">
      <c r="A176" s="41">
        <f t="shared" si="24"/>
        <v>2</v>
      </c>
      <c r="B176" s="28" t="s">
        <v>50</v>
      </c>
      <c r="C176" s="28" t="s">
        <v>51</v>
      </c>
      <c r="D176" s="28" t="s">
        <v>52</v>
      </c>
      <c r="E176" s="28" t="s">
        <v>48</v>
      </c>
      <c r="F176" s="29" t="s">
        <v>27</v>
      </c>
      <c r="G176" s="30">
        <v>8.37</v>
      </c>
      <c r="H176" s="31">
        <v>851.9</v>
      </c>
      <c r="I176" s="39"/>
      <c r="J176" s="31">
        <f t="shared" si="25"/>
        <v>851.9</v>
      </c>
      <c r="K176" s="33">
        <f t="shared" si="26"/>
        <v>7130.4</v>
      </c>
      <c r="L176" s="34" t="s">
        <v>28</v>
      </c>
      <c r="M176" s="35"/>
      <c r="N176" s="3">
        <v>1</v>
      </c>
      <c r="O176" s="21">
        <v>1000.51</v>
      </c>
      <c r="P176" s="22" t="s">
        <v>198</v>
      </c>
      <c r="Q176" s="38"/>
      <c r="R176" s="38"/>
    </row>
    <row r="177" s="3" customFormat="1" ht="96" customHeight="1" outlineLevel="2" spans="1:18">
      <c r="A177" s="41">
        <f t="shared" si="24"/>
        <v>3</v>
      </c>
      <c r="B177" s="28" t="s">
        <v>199</v>
      </c>
      <c r="C177" s="28" t="s">
        <v>200</v>
      </c>
      <c r="D177" s="28" t="s">
        <v>47</v>
      </c>
      <c r="E177" s="28" t="s">
        <v>48</v>
      </c>
      <c r="F177" s="29" t="s">
        <v>27</v>
      </c>
      <c r="G177" s="30">
        <v>8.35</v>
      </c>
      <c r="H177" s="31">
        <v>510.88</v>
      </c>
      <c r="I177" s="39"/>
      <c r="J177" s="31">
        <f t="shared" si="25"/>
        <v>510.88</v>
      </c>
      <c r="K177" s="33">
        <f t="shared" si="26"/>
        <v>4265.85</v>
      </c>
      <c r="L177" s="34" t="s">
        <v>28</v>
      </c>
      <c r="M177" s="35"/>
      <c r="N177" s="3">
        <v>1</v>
      </c>
      <c r="O177" s="21">
        <v>323.95</v>
      </c>
      <c r="P177" s="22" t="s">
        <v>201</v>
      </c>
      <c r="Q177" s="38"/>
      <c r="R177" s="38"/>
    </row>
    <row r="178" s="3" customFormat="1" ht="96" customHeight="1" outlineLevel="2" spans="1:18">
      <c r="A178" s="41">
        <f t="shared" si="24"/>
        <v>4</v>
      </c>
      <c r="B178" s="28" t="s">
        <v>57</v>
      </c>
      <c r="C178" s="28" t="s">
        <v>58</v>
      </c>
      <c r="D178" s="28" t="s">
        <v>59</v>
      </c>
      <c r="E178" s="28" t="s">
        <v>26</v>
      </c>
      <c r="F178" s="29" t="s">
        <v>27</v>
      </c>
      <c r="G178" s="30">
        <v>22.7</v>
      </c>
      <c r="H178" s="31">
        <v>220.01</v>
      </c>
      <c r="I178" s="39"/>
      <c r="J178" s="31">
        <f t="shared" si="25"/>
        <v>220.01</v>
      </c>
      <c r="K178" s="33">
        <f t="shared" si="26"/>
        <v>4994.23</v>
      </c>
      <c r="L178" s="34" t="s">
        <v>28</v>
      </c>
      <c r="M178" s="35"/>
      <c r="N178" s="3">
        <v>1</v>
      </c>
      <c r="O178" s="21">
        <v>169.24</v>
      </c>
      <c r="P178" s="22" t="s">
        <v>60</v>
      </c>
      <c r="Q178" s="38"/>
      <c r="R178" s="38"/>
    </row>
    <row r="179" s="3" customFormat="1" ht="96" customHeight="1" outlineLevel="2" spans="1:18">
      <c r="A179" s="41">
        <f t="shared" si="24"/>
        <v>5</v>
      </c>
      <c r="B179" s="28" t="s">
        <v>202</v>
      </c>
      <c r="C179" s="28" t="s">
        <v>203</v>
      </c>
      <c r="D179" s="28" t="s">
        <v>59</v>
      </c>
      <c r="E179" s="28" t="s">
        <v>26</v>
      </c>
      <c r="F179" s="29" t="s">
        <v>27</v>
      </c>
      <c r="G179" s="30">
        <v>78.54</v>
      </c>
      <c r="H179" s="31">
        <v>376.99</v>
      </c>
      <c r="I179" s="39"/>
      <c r="J179" s="31">
        <f t="shared" si="25"/>
        <v>376.99</v>
      </c>
      <c r="K179" s="33">
        <f t="shared" si="26"/>
        <v>29608.79</v>
      </c>
      <c r="L179" s="34" t="s">
        <v>28</v>
      </c>
      <c r="M179" s="35"/>
      <c r="N179" s="3">
        <v>1</v>
      </c>
      <c r="O179" s="21">
        <v>277.53</v>
      </c>
      <c r="P179" s="22" t="s">
        <v>204</v>
      </c>
      <c r="Q179" s="38"/>
      <c r="R179" s="38"/>
    </row>
    <row r="180" s="3" customFormat="1" ht="96" customHeight="1" outlineLevel="2" spans="1:18">
      <c r="A180" s="41">
        <f t="shared" si="24"/>
        <v>6</v>
      </c>
      <c r="B180" s="28" t="s">
        <v>205</v>
      </c>
      <c r="C180" s="28" t="s">
        <v>206</v>
      </c>
      <c r="D180" s="28" t="s">
        <v>59</v>
      </c>
      <c r="E180" s="28" t="s">
        <v>207</v>
      </c>
      <c r="F180" s="29" t="s">
        <v>27</v>
      </c>
      <c r="G180" s="30">
        <v>3.52</v>
      </c>
      <c r="H180" s="31">
        <v>338.66</v>
      </c>
      <c r="I180" s="39"/>
      <c r="J180" s="31">
        <f t="shared" si="25"/>
        <v>338.66</v>
      </c>
      <c r="K180" s="33">
        <f t="shared" si="26"/>
        <v>1192.08</v>
      </c>
      <c r="L180" s="34" t="s">
        <v>28</v>
      </c>
      <c r="M180" s="35"/>
      <c r="N180" s="3">
        <v>1</v>
      </c>
      <c r="O180" s="21">
        <v>356.29</v>
      </c>
      <c r="P180" s="22" t="s">
        <v>208</v>
      </c>
      <c r="Q180" s="38"/>
      <c r="R180" s="38"/>
    </row>
    <row r="181" s="3" customFormat="1" ht="120" customHeight="1" outlineLevel="2" spans="1:18">
      <c r="A181" s="41">
        <f t="shared" si="24"/>
        <v>7</v>
      </c>
      <c r="B181" s="28" t="s">
        <v>140</v>
      </c>
      <c r="C181" s="28" t="s">
        <v>171</v>
      </c>
      <c r="D181" s="28" t="s">
        <v>52</v>
      </c>
      <c r="E181" s="28" t="s">
        <v>63</v>
      </c>
      <c r="F181" s="29" t="s">
        <v>27</v>
      </c>
      <c r="G181" s="30">
        <v>1.29</v>
      </c>
      <c r="H181" s="31">
        <v>630.65</v>
      </c>
      <c r="I181" s="39"/>
      <c r="J181" s="31">
        <f t="shared" si="25"/>
        <v>630.65</v>
      </c>
      <c r="K181" s="33">
        <f t="shared" si="26"/>
        <v>813.54</v>
      </c>
      <c r="L181" s="34" t="s">
        <v>28</v>
      </c>
      <c r="M181" s="35"/>
      <c r="N181" s="3">
        <v>1</v>
      </c>
      <c r="O181" s="21">
        <v>681.67</v>
      </c>
      <c r="P181" s="22" t="s">
        <v>64</v>
      </c>
      <c r="Q181" s="38"/>
      <c r="R181" s="38"/>
    </row>
    <row r="182" s="3" customFormat="1" ht="96" customHeight="1" outlineLevel="2" spans="1:18">
      <c r="A182" s="41">
        <f t="shared" si="24"/>
        <v>8</v>
      </c>
      <c r="B182" s="28" t="s">
        <v>75</v>
      </c>
      <c r="C182" s="28" t="s">
        <v>76</v>
      </c>
      <c r="D182" s="28" t="s">
        <v>59</v>
      </c>
      <c r="E182" s="28" t="s">
        <v>38</v>
      </c>
      <c r="F182" s="29" t="s">
        <v>39</v>
      </c>
      <c r="G182" s="30">
        <v>36.44</v>
      </c>
      <c r="H182" s="31">
        <v>67.08</v>
      </c>
      <c r="I182" s="39"/>
      <c r="J182" s="31">
        <f t="shared" si="25"/>
        <v>67.08</v>
      </c>
      <c r="K182" s="33">
        <f t="shared" si="26"/>
        <v>2444.4</v>
      </c>
      <c r="L182" s="34" t="s">
        <v>28</v>
      </c>
      <c r="M182" s="35"/>
      <c r="N182" s="3">
        <v>1</v>
      </c>
      <c r="O182" s="21">
        <v>45.71</v>
      </c>
      <c r="P182" s="22" t="s">
        <v>77</v>
      </c>
      <c r="Q182" s="38"/>
      <c r="R182" s="38"/>
    </row>
    <row r="183" s="3" customFormat="1" ht="96" customHeight="1" outlineLevel="2" spans="1:18">
      <c r="A183" s="41">
        <f t="shared" si="24"/>
        <v>9</v>
      </c>
      <c r="B183" s="28" t="s">
        <v>84</v>
      </c>
      <c r="C183" s="28" t="s">
        <v>85</v>
      </c>
      <c r="D183" s="28" t="s">
        <v>59</v>
      </c>
      <c r="E183" s="28" t="s">
        <v>38</v>
      </c>
      <c r="F183" s="29" t="s">
        <v>39</v>
      </c>
      <c r="G183" s="30">
        <v>36.44</v>
      </c>
      <c r="H183" s="31">
        <v>117.84</v>
      </c>
      <c r="I183" s="39"/>
      <c r="J183" s="31">
        <f t="shared" si="25"/>
        <v>117.84</v>
      </c>
      <c r="K183" s="33">
        <f t="shared" si="26"/>
        <v>4294.09</v>
      </c>
      <c r="L183" s="34" t="s">
        <v>28</v>
      </c>
      <c r="M183" s="35"/>
      <c r="N183" s="3">
        <v>1</v>
      </c>
      <c r="O183" s="21">
        <v>95.14</v>
      </c>
      <c r="P183" s="22" t="s">
        <v>86</v>
      </c>
      <c r="Q183" s="38"/>
      <c r="R183" s="38"/>
    </row>
    <row r="184" s="3" customFormat="1" ht="96" customHeight="1" outlineLevel="2" spans="1:18">
      <c r="A184" s="41">
        <f t="shared" si="24"/>
        <v>10</v>
      </c>
      <c r="B184" s="28" t="s">
        <v>87</v>
      </c>
      <c r="C184" s="28" t="s">
        <v>88</v>
      </c>
      <c r="D184" s="28" t="s">
        <v>59</v>
      </c>
      <c r="E184" s="28" t="s">
        <v>38</v>
      </c>
      <c r="F184" s="29" t="s">
        <v>39</v>
      </c>
      <c r="G184" s="30">
        <v>42.44</v>
      </c>
      <c r="H184" s="31">
        <v>64.25</v>
      </c>
      <c r="I184" s="39"/>
      <c r="J184" s="31">
        <f t="shared" si="25"/>
        <v>64.25</v>
      </c>
      <c r="K184" s="33">
        <f t="shared" si="26"/>
        <v>2726.77</v>
      </c>
      <c r="L184" s="34" t="s">
        <v>28</v>
      </c>
      <c r="M184" s="35"/>
      <c r="N184" s="3">
        <v>1</v>
      </c>
      <c r="O184" s="21">
        <v>43.16</v>
      </c>
      <c r="P184" s="22" t="s">
        <v>89</v>
      </c>
      <c r="Q184" s="38"/>
      <c r="R184" s="38"/>
    </row>
    <row r="185" s="3" customFormat="1" outlineLevel="1" spans="1:18">
      <c r="A185" s="40"/>
      <c r="B185" s="28" t="s">
        <v>90</v>
      </c>
      <c r="C185" s="28"/>
      <c r="D185" s="28"/>
      <c r="E185" s="28"/>
      <c r="F185" s="29"/>
      <c r="G185" s="30"/>
      <c r="H185" s="31"/>
      <c r="I185" s="39"/>
      <c r="J185" s="31"/>
      <c r="K185" s="33"/>
      <c r="L185" s="34"/>
      <c r="M185" s="35"/>
      <c r="O185" s="36"/>
      <c r="P185" s="37"/>
      <c r="Q185" s="38"/>
      <c r="R185" s="38"/>
    </row>
    <row r="186" s="3" customFormat="1" ht="168" customHeight="1" outlineLevel="2" spans="1:18">
      <c r="A186" s="41">
        <f>1+N(A185)</f>
        <v>1</v>
      </c>
      <c r="B186" s="28" t="s">
        <v>91</v>
      </c>
      <c r="C186" s="28" t="s">
        <v>92</v>
      </c>
      <c r="D186" s="28" t="s">
        <v>93</v>
      </c>
      <c r="E186" s="28" t="s">
        <v>94</v>
      </c>
      <c r="F186" s="29" t="s">
        <v>27</v>
      </c>
      <c r="G186" s="30">
        <v>64.33</v>
      </c>
      <c r="H186" s="31">
        <v>174.57</v>
      </c>
      <c r="I186" s="39"/>
      <c r="J186" s="31">
        <f>H186*(1-$I$4)</f>
        <v>174.57</v>
      </c>
      <c r="K186" s="33">
        <f>ROUND(G186*J186,2)</f>
        <v>11230.09</v>
      </c>
      <c r="L186" s="34" t="s">
        <v>28</v>
      </c>
      <c r="M186" s="35"/>
      <c r="N186" s="3">
        <v>1</v>
      </c>
      <c r="O186" s="21">
        <v>150.38</v>
      </c>
      <c r="P186" s="22" t="s">
        <v>95</v>
      </c>
      <c r="Q186" s="38"/>
      <c r="R186" s="38"/>
    </row>
    <row r="187" s="3" customFormat="1" ht="48" customHeight="1" outlineLevel="2" spans="1:18">
      <c r="A187" s="41">
        <f>1+N(A186)</f>
        <v>2</v>
      </c>
      <c r="B187" s="28" t="s">
        <v>96</v>
      </c>
      <c r="C187" s="28" t="s">
        <v>97</v>
      </c>
      <c r="D187" s="28" t="s">
        <v>98</v>
      </c>
      <c r="E187" s="28" t="s">
        <v>99</v>
      </c>
      <c r="F187" s="29" t="s">
        <v>39</v>
      </c>
      <c r="G187" s="30">
        <v>18.36</v>
      </c>
      <c r="H187" s="31">
        <v>112.16</v>
      </c>
      <c r="I187" s="39"/>
      <c r="J187" s="31">
        <f>H187*(1-$I$4)</f>
        <v>112.16</v>
      </c>
      <c r="K187" s="33">
        <f>ROUND(G187*J187,2)</f>
        <v>2059.26</v>
      </c>
      <c r="L187" s="34" t="s">
        <v>28</v>
      </c>
      <c r="M187" s="35"/>
      <c r="N187" s="3">
        <v>1</v>
      </c>
      <c r="O187" s="21">
        <v>79.3</v>
      </c>
      <c r="P187" s="22" t="s">
        <v>100</v>
      </c>
      <c r="Q187" s="38"/>
      <c r="R187" s="38"/>
    </row>
    <row r="188" s="3" customFormat="1" ht="48" customHeight="1" outlineLevel="2" spans="1:18">
      <c r="A188" s="41">
        <f>1+N(A187)</f>
        <v>3</v>
      </c>
      <c r="B188" s="28" t="s">
        <v>101</v>
      </c>
      <c r="C188" s="28" t="s">
        <v>102</v>
      </c>
      <c r="D188" s="28" t="s">
        <v>98</v>
      </c>
      <c r="E188" s="28" t="s">
        <v>99</v>
      </c>
      <c r="F188" s="29" t="s">
        <v>39</v>
      </c>
      <c r="G188" s="30">
        <v>18.36</v>
      </c>
      <c r="H188" s="31">
        <v>75.82</v>
      </c>
      <c r="I188" s="39"/>
      <c r="J188" s="31">
        <f>H188*(1-$I$4)</f>
        <v>75.82</v>
      </c>
      <c r="K188" s="33">
        <f>ROUND(G188*J188,2)</f>
        <v>1392.06</v>
      </c>
      <c r="L188" s="34" t="s">
        <v>28</v>
      </c>
      <c r="M188" s="35"/>
      <c r="N188" s="3">
        <v>1</v>
      </c>
      <c r="O188" s="21">
        <v>203.56</v>
      </c>
      <c r="P188" s="22" t="s">
        <v>103</v>
      </c>
      <c r="Q188" s="38"/>
      <c r="R188" s="38"/>
    </row>
    <row r="189" s="3" customFormat="1" ht="132" customHeight="1" outlineLevel="2" spans="1:18">
      <c r="A189" s="41">
        <f>1+N(A188)</f>
        <v>4</v>
      </c>
      <c r="B189" s="28" t="s">
        <v>107</v>
      </c>
      <c r="C189" s="28" t="s">
        <v>108</v>
      </c>
      <c r="D189" s="28" t="s">
        <v>109</v>
      </c>
      <c r="E189" s="28" t="s">
        <v>110</v>
      </c>
      <c r="F189" s="29" t="s">
        <v>27</v>
      </c>
      <c r="G189" s="30">
        <v>69.84</v>
      </c>
      <c r="H189" s="31">
        <v>152.22</v>
      </c>
      <c r="I189" s="39"/>
      <c r="J189" s="31">
        <f>H189*(1-$I$4)</f>
        <v>152.22</v>
      </c>
      <c r="K189" s="33">
        <f>ROUND(G189*J189,2)</f>
        <v>10631.04</v>
      </c>
      <c r="L189" s="34" t="s">
        <v>28</v>
      </c>
      <c r="M189" s="35"/>
      <c r="N189" s="3">
        <v>1</v>
      </c>
      <c r="O189" s="21">
        <v>151.58</v>
      </c>
      <c r="P189" s="22" t="s">
        <v>111</v>
      </c>
      <c r="Q189" s="38"/>
      <c r="R189" s="38"/>
    </row>
    <row r="190" s="3" customFormat="1" outlineLevel="1" spans="1:18">
      <c r="A190" s="40"/>
      <c r="B190" s="28" t="s">
        <v>112</v>
      </c>
      <c r="C190" s="28"/>
      <c r="D190" s="28"/>
      <c r="E190" s="28"/>
      <c r="F190" s="29"/>
      <c r="G190" s="30"/>
      <c r="H190" s="31"/>
      <c r="I190" s="39"/>
      <c r="J190" s="31"/>
      <c r="K190" s="33"/>
      <c r="L190" s="34"/>
      <c r="M190" s="35"/>
      <c r="O190" s="36"/>
      <c r="P190" s="37"/>
      <c r="Q190" s="38"/>
      <c r="R190" s="38"/>
    </row>
    <row r="191" s="3" customFormat="1" ht="96" customHeight="1" outlineLevel="2" spans="1:18">
      <c r="A191" s="41">
        <f>1+N(A190)</f>
        <v>1</v>
      </c>
      <c r="B191" s="28" t="s">
        <v>209</v>
      </c>
      <c r="C191" s="28" t="s">
        <v>118</v>
      </c>
      <c r="D191" s="28" t="s">
        <v>98</v>
      </c>
      <c r="E191" s="28" t="s">
        <v>115</v>
      </c>
      <c r="F191" s="29" t="s">
        <v>27</v>
      </c>
      <c r="G191" s="30">
        <v>5.4</v>
      </c>
      <c r="H191" s="31">
        <v>7530.97</v>
      </c>
      <c r="I191" s="39"/>
      <c r="J191" s="31">
        <f>H191*(1-$I$4)</f>
        <v>7530.97</v>
      </c>
      <c r="K191" s="33">
        <f>ROUND(G191*J191,2)</f>
        <v>40667.24</v>
      </c>
      <c r="L191" s="34" t="s">
        <v>28</v>
      </c>
      <c r="M191" s="35"/>
      <c r="N191" s="3">
        <v>1</v>
      </c>
      <c r="O191" s="21">
        <v>2009.15</v>
      </c>
      <c r="P191" s="22" t="s">
        <v>119</v>
      </c>
      <c r="Q191" s="38"/>
      <c r="R191" s="38"/>
    </row>
    <row r="192" s="3" customFormat="1" ht="60" customHeight="1" outlineLevel="2" spans="1:18">
      <c r="A192" s="41">
        <f>1+N(A191)</f>
        <v>2</v>
      </c>
      <c r="B192" s="28" t="s">
        <v>134</v>
      </c>
      <c r="C192" s="28" t="s">
        <v>114</v>
      </c>
      <c r="D192" s="28" t="s">
        <v>98</v>
      </c>
      <c r="E192" s="28" t="s">
        <v>115</v>
      </c>
      <c r="F192" s="29" t="s">
        <v>27</v>
      </c>
      <c r="G192" s="30">
        <v>2.18</v>
      </c>
      <c r="H192" s="31">
        <v>962.68</v>
      </c>
      <c r="I192" s="39"/>
      <c r="J192" s="31">
        <f>H192*(1-$I$4)</f>
        <v>962.68</v>
      </c>
      <c r="K192" s="33">
        <f>ROUND(G192*J192,2)</f>
        <v>2098.64</v>
      </c>
      <c r="L192" s="34" t="s">
        <v>28</v>
      </c>
      <c r="M192" s="35"/>
      <c r="N192" s="3">
        <v>1</v>
      </c>
      <c r="O192" s="21">
        <v>665.69</v>
      </c>
      <c r="P192" s="22" t="s">
        <v>116</v>
      </c>
      <c r="Q192" s="38"/>
      <c r="R192" s="38"/>
    </row>
    <row r="193" s="3" customFormat="1" ht="108" customHeight="1" outlineLevel="2" spans="1:18">
      <c r="A193" s="41">
        <f>1+N(A192)</f>
        <v>3</v>
      </c>
      <c r="B193" s="28" t="s">
        <v>210</v>
      </c>
      <c r="C193" s="28" t="s">
        <v>211</v>
      </c>
      <c r="D193" s="28" t="s">
        <v>98</v>
      </c>
      <c r="E193" s="28" t="s">
        <v>115</v>
      </c>
      <c r="F193" s="29" t="s">
        <v>175</v>
      </c>
      <c r="G193" s="30">
        <v>1</v>
      </c>
      <c r="H193" s="31">
        <v>30138.25</v>
      </c>
      <c r="I193" s="39"/>
      <c r="J193" s="31">
        <f>H193*(1-$I$4)</f>
        <v>30138.25</v>
      </c>
      <c r="K193" s="33">
        <f>ROUND(G193*J193,2)</f>
        <v>30138.25</v>
      </c>
      <c r="L193" s="34" t="s">
        <v>28</v>
      </c>
      <c r="M193" s="35"/>
      <c r="N193" s="3">
        <v>1</v>
      </c>
      <c r="O193" s="36">
        <v>16208.4</v>
      </c>
      <c r="P193" s="22" t="s">
        <v>212</v>
      </c>
      <c r="Q193" s="38"/>
      <c r="R193" s="38"/>
    </row>
    <row r="194" s="3" customFormat="1" ht="48" customHeight="1" outlineLevel="2" spans="1:18">
      <c r="A194" s="41">
        <f>1+N(A193)</f>
        <v>4</v>
      </c>
      <c r="B194" s="28" t="s">
        <v>213</v>
      </c>
      <c r="C194" s="28" t="s">
        <v>214</v>
      </c>
      <c r="D194" s="28" t="s">
        <v>98</v>
      </c>
      <c r="E194" s="28" t="s">
        <v>115</v>
      </c>
      <c r="F194" s="29" t="s">
        <v>39</v>
      </c>
      <c r="G194" s="30">
        <v>4.38</v>
      </c>
      <c r="H194" s="31">
        <v>3324.65</v>
      </c>
      <c r="I194" s="39"/>
      <c r="J194" s="31">
        <f>H194*(1-$I$4)</f>
        <v>3324.65</v>
      </c>
      <c r="K194" s="33">
        <f>ROUND(G194*J194,2)</f>
        <v>14561.97</v>
      </c>
      <c r="L194" s="34" t="s">
        <v>28</v>
      </c>
      <c r="M194" s="35"/>
      <c r="N194" s="3">
        <v>1</v>
      </c>
      <c r="O194" s="36">
        <v>3180.43</v>
      </c>
      <c r="P194" s="22" t="s">
        <v>215</v>
      </c>
      <c r="Q194" s="38"/>
      <c r="R194" s="38"/>
    </row>
    <row r="195" s="3" customFormat="1" ht="24" outlineLevel="1" spans="1:18">
      <c r="A195" s="27" t="s">
        <v>123</v>
      </c>
      <c r="B195" s="28" t="s">
        <v>216</v>
      </c>
      <c r="C195" s="28"/>
      <c r="D195" s="28"/>
      <c r="E195" s="28"/>
      <c r="F195" s="29"/>
      <c r="G195" s="30"/>
      <c r="H195" s="31"/>
      <c r="I195" s="39"/>
      <c r="J195" s="31"/>
      <c r="K195" s="33"/>
      <c r="L195" s="34"/>
      <c r="M195" s="35"/>
      <c r="O195" s="42"/>
      <c r="P195" s="37"/>
      <c r="Q195" s="38"/>
      <c r="R195" s="38"/>
    </row>
    <row r="196" s="3" customFormat="1" outlineLevel="1" spans="1:18">
      <c r="A196" s="40"/>
      <c r="B196" s="28" t="s">
        <v>22</v>
      </c>
      <c r="C196" s="28"/>
      <c r="D196" s="28"/>
      <c r="E196" s="28"/>
      <c r="F196" s="29"/>
      <c r="G196" s="30"/>
      <c r="H196" s="31"/>
      <c r="I196" s="39"/>
      <c r="J196" s="31"/>
      <c r="K196" s="33"/>
      <c r="L196" s="34"/>
      <c r="M196" s="35"/>
      <c r="O196" s="36"/>
      <c r="P196" s="37"/>
      <c r="Q196" s="38"/>
      <c r="R196" s="38"/>
    </row>
    <row r="197" s="3" customFormat="1" ht="84" customHeight="1" outlineLevel="2" spans="1:18">
      <c r="A197" s="41">
        <f>1+N(A196)</f>
        <v>1</v>
      </c>
      <c r="B197" s="28" t="s">
        <v>189</v>
      </c>
      <c r="C197" s="28" t="s">
        <v>190</v>
      </c>
      <c r="D197" s="28" t="s">
        <v>25</v>
      </c>
      <c r="E197" s="28" t="s">
        <v>26</v>
      </c>
      <c r="F197" s="29" t="s">
        <v>27</v>
      </c>
      <c r="G197" s="30">
        <v>21.5</v>
      </c>
      <c r="H197" s="31">
        <v>317.64</v>
      </c>
      <c r="I197" s="39"/>
      <c r="J197" s="31">
        <f>H197*(1-$I$4)</f>
        <v>317.64</v>
      </c>
      <c r="K197" s="33">
        <f>ROUND(G197*J197,2)</f>
        <v>6829.26</v>
      </c>
      <c r="L197" s="34" t="s">
        <v>28</v>
      </c>
      <c r="M197" s="35"/>
      <c r="N197" s="3">
        <v>1</v>
      </c>
      <c r="O197" s="21">
        <v>194.65</v>
      </c>
      <c r="P197" s="22" t="s">
        <v>191</v>
      </c>
      <c r="Q197" s="38"/>
      <c r="R197" s="38"/>
    </row>
    <row r="198" s="3" customFormat="1" ht="72" customHeight="1" outlineLevel="2" spans="1:18">
      <c r="A198" s="41">
        <f>1+N(A197)</f>
        <v>2</v>
      </c>
      <c r="B198" s="28" t="s">
        <v>36</v>
      </c>
      <c r="C198" s="28" t="s">
        <v>37</v>
      </c>
      <c r="D198" s="28" t="s">
        <v>25</v>
      </c>
      <c r="E198" s="28" t="s">
        <v>38</v>
      </c>
      <c r="F198" s="29" t="s">
        <v>39</v>
      </c>
      <c r="G198" s="30">
        <v>2.1</v>
      </c>
      <c r="H198" s="31">
        <v>89.27</v>
      </c>
      <c r="I198" s="39"/>
      <c r="J198" s="31">
        <f>H198*(1-$I$4)</f>
        <v>89.27</v>
      </c>
      <c r="K198" s="33">
        <f>ROUND(G198*J198,2)</f>
        <v>187.47</v>
      </c>
      <c r="L198" s="34" t="s">
        <v>28</v>
      </c>
      <c r="M198" s="35"/>
      <c r="N198" s="3">
        <v>1</v>
      </c>
      <c r="O198" s="21">
        <v>35.28</v>
      </c>
      <c r="P198" s="22" t="s">
        <v>40</v>
      </c>
      <c r="Q198" s="38"/>
      <c r="R198" s="38"/>
    </row>
    <row r="199" s="3" customFormat="1" outlineLevel="1" spans="1:18">
      <c r="A199" s="40"/>
      <c r="B199" s="28" t="s">
        <v>44</v>
      </c>
      <c r="C199" s="28"/>
      <c r="D199" s="28"/>
      <c r="E199" s="28"/>
      <c r="F199" s="29"/>
      <c r="G199" s="30"/>
      <c r="H199" s="31"/>
      <c r="I199" s="39"/>
      <c r="J199" s="31"/>
      <c r="K199" s="33"/>
      <c r="L199" s="34"/>
      <c r="M199" s="35"/>
      <c r="O199" s="36"/>
      <c r="P199" s="37"/>
      <c r="Q199" s="38"/>
      <c r="R199" s="38"/>
    </row>
    <row r="200" s="3" customFormat="1" ht="96" customHeight="1" outlineLevel="2" spans="1:18">
      <c r="A200" s="41">
        <f>1+N(A199)</f>
        <v>1</v>
      </c>
      <c r="B200" s="28" t="s">
        <v>202</v>
      </c>
      <c r="C200" s="28" t="s">
        <v>203</v>
      </c>
      <c r="D200" s="28" t="s">
        <v>59</v>
      </c>
      <c r="E200" s="28" t="s">
        <v>26</v>
      </c>
      <c r="F200" s="29" t="s">
        <v>27</v>
      </c>
      <c r="G200" s="30">
        <v>27.01</v>
      </c>
      <c r="H200" s="31">
        <v>311.52</v>
      </c>
      <c r="I200" s="39"/>
      <c r="J200" s="31">
        <f>H200*(1-$I$4)</f>
        <v>311.52</v>
      </c>
      <c r="K200" s="33">
        <f>ROUND(G200*J200,2)</f>
        <v>8414.16</v>
      </c>
      <c r="L200" s="34" t="s">
        <v>28</v>
      </c>
      <c r="M200" s="35"/>
      <c r="N200" s="3">
        <v>1</v>
      </c>
      <c r="O200" s="21">
        <v>277.53</v>
      </c>
      <c r="P200" s="22" t="s">
        <v>217</v>
      </c>
      <c r="Q200" s="38"/>
      <c r="R200" s="38"/>
    </row>
    <row r="201" s="3" customFormat="1" ht="96" customHeight="1" outlineLevel="2" spans="1:18">
      <c r="A201" s="41">
        <f>1+N(A200)</f>
        <v>2</v>
      </c>
      <c r="B201" s="28" t="s">
        <v>75</v>
      </c>
      <c r="C201" s="28" t="s">
        <v>76</v>
      </c>
      <c r="D201" s="28" t="s">
        <v>59</v>
      </c>
      <c r="E201" s="28" t="s">
        <v>38</v>
      </c>
      <c r="F201" s="29" t="s">
        <v>39</v>
      </c>
      <c r="G201" s="30">
        <v>9.15</v>
      </c>
      <c r="H201" s="31">
        <v>67.08</v>
      </c>
      <c r="I201" s="39"/>
      <c r="J201" s="31">
        <f>H201*(1-$I$4)</f>
        <v>67.08</v>
      </c>
      <c r="K201" s="33">
        <f>ROUND(G201*J201,2)</f>
        <v>613.78</v>
      </c>
      <c r="L201" s="34" t="s">
        <v>28</v>
      </c>
      <c r="M201" s="35"/>
      <c r="N201" s="3">
        <v>1</v>
      </c>
      <c r="O201" s="21">
        <v>45.71</v>
      </c>
      <c r="P201" s="22" t="s">
        <v>77</v>
      </c>
      <c r="Q201" s="38"/>
      <c r="R201" s="38"/>
    </row>
    <row r="202" s="3" customFormat="1" ht="96" customHeight="1" outlineLevel="2" spans="1:18">
      <c r="A202" s="41">
        <f>1+N(A201)</f>
        <v>3</v>
      </c>
      <c r="B202" s="28" t="s">
        <v>84</v>
      </c>
      <c r="C202" s="28" t="s">
        <v>85</v>
      </c>
      <c r="D202" s="28" t="s">
        <v>59</v>
      </c>
      <c r="E202" s="28" t="s">
        <v>38</v>
      </c>
      <c r="F202" s="29" t="s">
        <v>39</v>
      </c>
      <c r="G202" s="30">
        <v>9.15</v>
      </c>
      <c r="H202" s="31">
        <v>117.84</v>
      </c>
      <c r="I202" s="39"/>
      <c r="J202" s="31">
        <f>H202*(1-$I$4)</f>
        <v>117.84</v>
      </c>
      <c r="K202" s="33">
        <f>ROUND(G202*J202,2)</f>
        <v>1078.24</v>
      </c>
      <c r="L202" s="34" t="s">
        <v>28</v>
      </c>
      <c r="M202" s="35"/>
      <c r="N202" s="3">
        <v>1</v>
      </c>
      <c r="O202" s="21">
        <v>95.14</v>
      </c>
      <c r="P202" s="22" t="s">
        <v>86</v>
      </c>
      <c r="Q202" s="38"/>
      <c r="R202" s="38"/>
    </row>
    <row r="203" s="3" customFormat="1" ht="96" customHeight="1" outlineLevel="2" spans="1:18">
      <c r="A203" s="41">
        <f>1+N(A202)</f>
        <v>4</v>
      </c>
      <c r="B203" s="28" t="s">
        <v>87</v>
      </c>
      <c r="C203" s="28" t="s">
        <v>88</v>
      </c>
      <c r="D203" s="28" t="s">
        <v>59</v>
      </c>
      <c r="E203" s="28" t="s">
        <v>38</v>
      </c>
      <c r="F203" s="29" t="s">
        <v>39</v>
      </c>
      <c r="G203" s="30">
        <v>9.15</v>
      </c>
      <c r="H203" s="31">
        <v>64.25</v>
      </c>
      <c r="I203" s="39"/>
      <c r="J203" s="31">
        <f>H203*(1-$I$4)</f>
        <v>64.25</v>
      </c>
      <c r="K203" s="33">
        <f>ROUND(G203*J203,2)</f>
        <v>587.89</v>
      </c>
      <c r="L203" s="34" t="s">
        <v>28</v>
      </c>
      <c r="M203" s="35"/>
      <c r="N203" s="3">
        <v>1</v>
      </c>
      <c r="O203" s="21">
        <v>43.16</v>
      </c>
      <c r="P203" s="22" t="s">
        <v>89</v>
      </c>
      <c r="Q203" s="38"/>
      <c r="R203" s="38"/>
    </row>
    <row r="204" s="3" customFormat="1" outlineLevel="1" spans="1:18">
      <c r="A204" s="40"/>
      <c r="B204" s="28" t="s">
        <v>90</v>
      </c>
      <c r="C204" s="28"/>
      <c r="D204" s="28"/>
      <c r="E204" s="28"/>
      <c r="F204" s="29"/>
      <c r="G204" s="30"/>
      <c r="H204" s="31"/>
      <c r="I204" s="39"/>
      <c r="J204" s="31"/>
      <c r="K204" s="33"/>
      <c r="L204" s="34"/>
      <c r="M204" s="35"/>
      <c r="O204" s="36"/>
      <c r="P204" s="37"/>
      <c r="Q204" s="38"/>
      <c r="R204" s="38"/>
    </row>
    <row r="205" s="3" customFormat="1" ht="168" customHeight="1" outlineLevel="2" spans="1:18">
      <c r="A205" s="41">
        <f>1+N(A204)</f>
        <v>1</v>
      </c>
      <c r="B205" s="28" t="s">
        <v>91</v>
      </c>
      <c r="C205" s="28" t="s">
        <v>92</v>
      </c>
      <c r="D205" s="28" t="s">
        <v>93</v>
      </c>
      <c r="E205" s="28" t="s">
        <v>94</v>
      </c>
      <c r="F205" s="29" t="s">
        <v>27</v>
      </c>
      <c r="G205" s="30">
        <v>21.5</v>
      </c>
      <c r="H205" s="31">
        <v>174.57</v>
      </c>
      <c r="I205" s="39"/>
      <c r="J205" s="31">
        <f>H205*(1-$I$4)</f>
        <v>174.57</v>
      </c>
      <c r="K205" s="33">
        <f>ROUND(G205*J205,2)</f>
        <v>3753.26</v>
      </c>
      <c r="L205" s="34" t="s">
        <v>28</v>
      </c>
      <c r="M205" s="35"/>
      <c r="N205" s="3">
        <v>1</v>
      </c>
      <c r="O205" s="21">
        <v>150.38</v>
      </c>
      <c r="P205" s="22" t="s">
        <v>95</v>
      </c>
      <c r="Q205" s="38"/>
      <c r="R205" s="38"/>
    </row>
    <row r="206" s="3" customFormat="1" ht="132" customHeight="1" outlineLevel="2" spans="1:18">
      <c r="A206" s="41">
        <f>1+N(A205)</f>
        <v>2</v>
      </c>
      <c r="B206" s="28" t="s">
        <v>107</v>
      </c>
      <c r="C206" s="28" t="s">
        <v>108</v>
      </c>
      <c r="D206" s="28" t="s">
        <v>109</v>
      </c>
      <c r="E206" s="28" t="s">
        <v>110</v>
      </c>
      <c r="F206" s="29" t="s">
        <v>27</v>
      </c>
      <c r="G206" s="30">
        <v>21.5</v>
      </c>
      <c r="H206" s="31">
        <v>152.22</v>
      </c>
      <c r="I206" s="39"/>
      <c r="J206" s="31">
        <f>H206*(1-$I$4)</f>
        <v>152.22</v>
      </c>
      <c r="K206" s="33">
        <f>ROUND(G206*J206,2)</f>
        <v>3272.73</v>
      </c>
      <c r="L206" s="34" t="s">
        <v>28</v>
      </c>
      <c r="M206" s="35"/>
      <c r="N206" s="3">
        <v>1</v>
      </c>
      <c r="O206" s="21">
        <v>151.58</v>
      </c>
      <c r="P206" s="22" t="s">
        <v>111</v>
      </c>
      <c r="Q206" s="38"/>
      <c r="R206" s="38"/>
    </row>
    <row r="207" s="3" customFormat="1" outlineLevel="1" spans="1:18">
      <c r="A207" s="40"/>
      <c r="B207" s="28" t="s">
        <v>112</v>
      </c>
      <c r="C207" s="28"/>
      <c r="D207" s="28"/>
      <c r="E207" s="28"/>
      <c r="F207" s="29"/>
      <c r="G207" s="30"/>
      <c r="H207" s="31"/>
      <c r="I207" s="39"/>
      <c r="J207" s="31"/>
      <c r="K207" s="33"/>
      <c r="L207" s="34"/>
      <c r="M207" s="35"/>
      <c r="O207" s="36"/>
      <c r="P207" s="37"/>
      <c r="Q207" s="38"/>
      <c r="R207" s="38"/>
    </row>
    <row r="208" s="3" customFormat="1" outlineLevel="1" spans="1:18">
      <c r="A208" s="27" t="s">
        <v>135</v>
      </c>
      <c r="B208" s="28" t="s">
        <v>218</v>
      </c>
      <c r="C208" s="28"/>
      <c r="D208" s="28"/>
      <c r="E208" s="28"/>
      <c r="F208" s="29"/>
      <c r="G208" s="30"/>
      <c r="H208" s="31"/>
      <c r="I208" s="39"/>
      <c r="J208" s="31"/>
      <c r="K208" s="33"/>
      <c r="L208" s="34"/>
      <c r="M208" s="35"/>
      <c r="O208" s="42"/>
      <c r="P208" s="37"/>
      <c r="Q208" s="38"/>
      <c r="R208" s="38"/>
    </row>
    <row r="209" s="3" customFormat="1" outlineLevel="1" spans="1:18">
      <c r="A209" s="40"/>
      <c r="B209" s="28" t="s">
        <v>22</v>
      </c>
      <c r="C209" s="28"/>
      <c r="D209" s="28"/>
      <c r="E209" s="28"/>
      <c r="F209" s="29"/>
      <c r="G209" s="30"/>
      <c r="H209" s="31"/>
      <c r="I209" s="39"/>
      <c r="J209" s="31"/>
      <c r="K209" s="33"/>
      <c r="L209" s="34"/>
      <c r="M209" s="35"/>
      <c r="O209" s="36"/>
      <c r="P209" s="37"/>
      <c r="Q209" s="38"/>
      <c r="R209" s="38"/>
    </row>
    <row r="210" s="3" customFormat="1" ht="108" customHeight="1" outlineLevel="2" spans="1:18">
      <c r="A210" s="41">
        <f t="shared" ref="A210:A216" si="27">1+N(A209)</f>
        <v>1</v>
      </c>
      <c r="B210" s="28" t="s">
        <v>219</v>
      </c>
      <c r="C210" s="28" t="s">
        <v>220</v>
      </c>
      <c r="D210" s="28" t="s">
        <v>221</v>
      </c>
      <c r="E210" s="28" t="s">
        <v>222</v>
      </c>
      <c r="F210" s="29" t="s">
        <v>27</v>
      </c>
      <c r="G210" s="30">
        <v>3.12</v>
      </c>
      <c r="H210" s="31">
        <v>155.95</v>
      </c>
      <c r="I210" s="39"/>
      <c r="J210" s="31">
        <f t="shared" ref="J210:J216" si="28">H210*(1-$I$4)</f>
        <v>155.95</v>
      </c>
      <c r="K210" s="33">
        <f t="shared" ref="K210:K216" si="29">ROUND(G210*J210,2)</f>
        <v>486.56</v>
      </c>
      <c r="L210" s="34" t="s">
        <v>28</v>
      </c>
      <c r="M210" s="35"/>
      <c r="N210" s="3">
        <v>1</v>
      </c>
      <c r="O210" s="21">
        <v>95.61</v>
      </c>
      <c r="P210" s="22" t="s">
        <v>223</v>
      </c>
      <c r="Q210" s="38"/>
      <c r="R210" s="38"/>
    </row>
    <row r="211" s="3" customFormat="1" ht="156" customHeight="1" outlineLevel="2" spans="1:18">
      <c r="A211" s="41">
        <f t="shared" si="27"/>
        <v>2</v>
      </c>
      <c r="B211" s="28" t="s">
        <v>224</v>
      </c>
      <c r="C211" s="28" t="s">
        <v>225</v>
      </c>
      <c r="D211" s="28" t="s">
        <v>194</v>
      </c>
      <c r="E211" s="28" t="s">
        <v>195</v>
      </c>
      <c r="F211" s="29" t="s">
        <v>27</v>
      </c>
      <c r="G211" s="30">
        <v>3.12</v>
      </c>
      <c r="H211" s="31">
        <v>50.86</v>
      </c>
      <c r="I211" s="39"/>
      <c r="J211" s="31">
        <f t="shared" si="28"/>
        <v>50.86</v>
      </c>
      <c r="K211" s="33">
        <f t="shared" si="29"/>
        <v>158.68</v>
      </c>
      <c r="L211" s="34" t="s">
        <v>28</v>
      </c>
      <c r="M211" s="35"/>
      <c r="N211" s="3">
        <v>1</v>
      </c>
      <c r="O211" s="21">
        <v>33.77</v>
      </c>
      <c r="P211" s="22" t="s">
        <v>226</v>
      </c>
      <c r="Q211" s="38"/>
      <c r="R211" s="38"/>
    </row>
    <row r="212" s="3" customFormat="1" ht="84" customHeight="1" outlineLevel="2" spans="1:18">
      <c r="A212" s="41">
        <f t="shared" si="27"/>
        <v>3</v>
      </c>
      <c r="B212" s="28" t="s">
        <v>227</v>
      </c>
      <c r="C212" s="28" t="s">
        <v>228</v>
      </c>
      <c r="D212" s="28" t="s">
        <v>229</v>
      </c>
      <c r="E212" s="28" t="s">
        <v>230</v>
      </c>
      <c r="F212" s="29" t="s">
        <v>27</v>
      </c>
      <c r="G212" s="30">
        <v>3.12</v>
      </c>
      <c r="H212" s="31">
        <v>17.7</v>
      </c>
      <c r="I212" s="39"/>
      <c r="J212" s="31">
        <f t="shared" si="28"/>
        <v>17.7</v>
      </c>
      <c r="K212" s="33">
        <f t="shared" si="29"/>
        <v>55.22</v>
      </c>
      <c r="L212" s="34" t="s">
        <v>28</v>
      </c>
      <c r="M212" s="35"/>
      <c r="N212" s="3">
        <v>1</v>
      </c>
      <c r="O212" s="21">
        <v>68.4</v>
      </c>
      <c r="P212" s="22" t="s">
        <v>231</v>
      </c>
      <c r="Q212" s="38"/>
      <c r="R212" s="38"/>
    </row>
    <row r="213" s="3" customFormat="1" ht="120" customHeight="1" outlineLevel="2" spans="1:18">
      <c r="A213" s="41">
        <f t="shared" si="27"/>
        <v>4</v>
      </c>
      <c r="B213" s="28" t="s">
        <v>232</v>
      </c>
      <c r="C213" s="28" t="s">
        <v>233</v>
      </c>
      <c r="D213" s="28" t="s">
        <v>234</v>
      </c>
      <c r="E213" s="28" t="s">
        <v>235</v>
      </c>
      <c r="F213" s="29" t="s">
        <v>27</v>
      </c>
      <c r="G213" s="30">
        <v>3.12</v>
      </c>
      <c r="H213" s="31">
        <v>55.87</v>
      </c>
      <c r="I213" s="39"/>
      <c r="J213" s="31">
        <f t="shared" si="28"/>
        <v>55.87</v>
      </c>
      <c r="K213" s="33">
        <f t="shared" si="29"/>
        <v>174.31</v>
      </c>
      <c r="L213" s="34" t="s">
        <v>28</v>
      </c>
      <c r="M213" s="35"/>
      <c r="N213" s="3">
        <v>1</v>
      </c>
      <c r="O213" s="21">
        <v>94.38</v>
      </c>
      <c r="P213" s="22" t="s">
        <v>236</v>
      </c>
      <c r="Q213" s="38"/>
      <c r="R213" s="38"/>
    </row>
    <row r="214" s="3" customFormat="1" ht="84" customHeight="1" outlineLevel="2" spans="1:18">
      <c r="A214" s="41">
        <f t="shared" si="27"/>
        <v>5</v>
      </c>
      <c r="B214" s="28" t="s">
        <v>33</v>
      </c>
      <c r="C214" s="28" t="s">
        <v>34</v>
      </c>
      <c r="D214" s="28" t="s">
        <v>25</v>
      </c>
      <c r="E214" s="28" t="s">
        <v>26</v>
      </c>
      <c r="F214" s="29" t="s">
        <v>27</v>
      </c>
      <c r="G214" s="30">
        <v>3.12</v>
      </c>
      <c r="H214" s="31">
        <v>336.76</v>
      </c>
      <c r="I214" s="39"/>
      <c r="J214" s="31">
        <f t="shared" si="28"/>
        <v>336.76</v>
      </c>
      <c r="K214" s="33">
        <f t="shared" si="29"/>
        <v>1050.69</v>
      </c>
      <c r="L214" s="34" t="s">
        <v>28</v>
      </c>
      <c r="M214" s="35"/>
      <c r="N214" s="3">
        <v>1</v>
      </c>
      <c r="O214" s="21">
        <v>202.68</v>
      </c>
      <c r="P214" s="22" t="s">
        <v>35</v>
      </c>
      <c r="Q214" s="38"/>
      <c r="R214" s="38"/>
    </row>
    <row r="215" s="3" customFormat="1" ht="108" customHeight="1" outlineLevel="2" spans="1:18">
      <c r="A215" s="41">
        <f t="shared" si="27"/>
        <v>6</v>
      </c>
      <c r="B215" s="28" t="s">
        <v>23</v>
      </c>
      <c r="C215" s="28" t="s">
        <v>24</v>
      </c>
      <c r="D215" s="28" t="s">
        <v>25</v>
      </c>
      <c r="E215" s="28" t="s">
        <v>26</v>
      </c>
      <c r="F215" s="29" t="s">
        <v>27</v>
      </c>
      <c r="G215" s="30">
        <v>0.25</v>
      </c>
      <c r="H215" s="31">
        <v>940.91</v>
      </c>
      <c r="I215" s="39"/>
      <c r="J215" s="31">
        <f t="shared" si="28"/>
        <v>940.91</v>
      </c>
      <c r="K215" s="33">
        <f t="shared" si="29"/>
        <v>235.23</v>
      </c>
      <c r="L215" s="34" t="s">
        <v>28</v>
      </c>
      <c r="M215" s="35"/>
      <c r="N215" s="3">
        <v>1</v>
      </c>
      <c r="O215" s="21">
        <v>886.6</v>
      </c>
      <c r="P215" s="22" t="s">
        <v>29</v>
      </c>
      <c r="Q215" s="38"/>
      <c r="R215" s="38"/>
    </row>
    <row r="216" s="3" customFormat="1" ht="72" customHeight="1" outlineLevel="2" spans="1:18">
      <c r="A216" s="41">
        <f t="shared" si="27"/>
        <v>7</v>
      </c>
      <c r="B216" s="28" t="s">
        <v>41</v>
      </c>
      <c r="C216" s="28" t="s">
        <v>42</v>
      </c>
      <c r="D216" s="28" t="s">
        <v>25</v>
      </c>
      <c r="E216" s="28" t="s">
        <v>26</v>
      </c>
      <c r="F216" s="29" t="s">
        <v>27</v>
      </c>
      <c r="G216" s="30">
        <v>0.25</v>
      </c>
      <c r="H216" s="31">
        <v>64.9</v>
      </c>
      <c r="I216" s="39"/>
      <c r="J216" s="31">
        <f t="shared" si="28"/>
        <v>64.9</v>
      </c>
      <c r="K216" s="33">
        <f t="shared" si="29"/>
        <v>16.23</v>
      </c>
      <c r="L216" s="34" t="s">
        <v>28</v>
      </c>
      <c r="M216" s="35"/>
      <c r="N216" s="3">
        <v>1</v>
      </c>
      <c r="O216" s="21">
        <v>61.38</v>
      </c>
      <c r="P216" s="22" t="s">
        <v>43</v>
      </c>
      <c r="Q216" s="38"/>
      <c r="R216" s="38"/>
    </row>
    <row r="217" s="3" customFormat="1" outlineLevel="1" spans="1:18">
      <c r="A217" s="40"/>
      <c r="B217" s="28" t="s">
        <v>44</v>
      </c>
      <c r="C217" s="28"/>
      <c r="D217" s="28"/>
      <c r="E217" s="28"/>
      <c r="F217" s="29"/>
      <c r="G217" s="30"/>
      <c r="H217" s="31"/>
      <c r="I217" s="39"/>
      <c r="J217" s="31"/>
      <c r="K217" s="33"/>
      <c r="L217" s="34"/>
      <c r="M217" s="35"/>
      <c r="O217" s="36"/>
      <c r="P217" s="37"/>
      <c r="Q217" s="38"/>
      <c r="R217" s="38"/>
    </row>
    <row r="218" s="3" customFormat="1" ht="96" customHeight="1" outlineLevel="2" spans="1:18">
      <c r="A218" s="41">
        <f>1+N(A217)</f>
        <v>1</v>
      </c>
      <c r="B218" s="28" t="s">
        <v>237</v>
      </c>
      <c r="C218" s="28" t="s">
        <v>238</v>
      </c>
      <c r="D218" s="28" t="s">
        <v>47</v>
      </c>
      <c r="E218" s="28" t="s">
        <v>48</v>
      </c>
      <c r="F218" s="29" t="s">
        <v>27</v>
      </c>
      <c r="G218" s="30">
        <v>18.33</v>
      </c>
      <c r="H218" s="31">
        <v>295.94</v>
      </c>
      <c r="I218" s="39"/>
      <c r="J218" s="31">
        <f>H218*(1-$I$4)</f>
        <v>295.94</v>
      </c>
      <c r="K218" s="33">
        <f>ROUND(G218*J218,2)</f>
        <v>5424.58</v>
      </c>
      <c r="L218" s="34" t="s">
        <v>28</v>
      </c>
      <c r="M218" s="35"/>
      <c r="N218" s="3">
        <v>1</v>
      </c>
      <c r="O218" s="21">
        <v>128.7</v>
      </c>
      <c r="P218" s="22" t="s">
        <v>239</v>
      </c>
      <c r="Q218" s="38"/>
      <c r="R218" s="38"/>
    </row>
    <row r="219" s="3" customFormat="1" ht="120" customHeight="1" outlineLevel="2" spans="1:18">
      <c r="A219" s="41">
        <f>1+N(A218)</f>
        <v>2</v>
      </c>
      <c r="B219" s="28" t="s">
        <v>240</v>
      </c>
      <c r="C219" s="28" t="s">
        <v>241</v>
      </c>
      <c r="D219" s="28" t="s">
        <v>234</v>
      </c>
      <c r="E219" s="28" t="s">
        <v>235</v>
      </c>
      <c r="F219" s="29" t="s">
        <v>27</v>
      </c>
      <c r="G219" s="30">
        <v>18.33</v>
      </c>
      <c r="H219" s="31">
        <v>55.87</v>
      </c>
      <c r="I219" s="39"/>
      <c r="J219" s="31">
        <f>H219*(1-$I$4)</f>
        <v>55.87</v>
      </c>
      <c r="K219" s="33">
        <f>ROUND(G219*J219,2)</f>
        <v>1024.1</v>
      </c>
      <c r="L219" s="34" t="s">
        <v>28</v>
      </c>
      <c r="M219" s="35"/>
      <c r="N219" s="3">
        <v>1</v>
      </c>
      <c r="O219" s="21">
        <v>45.13</v>
      </c>
      <c r="P219" s="22" t="s">
        <v>242</v>
      </c>
      <c r="Q219" s="38"/>
      <c r="R219" s="38"/>
    </row>
    <row r="220" s="3" customFormat="1" outlineLevel="1" spans="1:18">
      <c r="A220" s="40"/>
      <c r="B220" s="28" t="s">
        <v>90</v>
      </c>
      <c r="C220" s="28"/>
      <c r="D220" s="28"/>
      <c r="E220" s="28"/>
      <c r="F220" s="29"/>
      <c r="G220" s="30"/>
      <c r="H220" s="31"/>
      <c r="I220" s="39"/>
      <c r="J220" s="31"/>
      <c r="K220" s="33"/>
      <c r="L220" s="34"/>
      <c r="M220" s="35"/>
      <c r="O220" s="36"/>
      <c r="P220" s="37"/>
      <c r="Q220" s="38"/>
      <c r="R220" s="38"/>
    </row>
    <row r="221" s="3" customFormat="1" ht="168" customHeight="1" outlineLevel="2" spans="1:18">
      <c r="A221" s="41">
        <f>1+N(A220)</f>
        <v>1</v>
      </c>
      <c r="B221" s="28" t="s">
        <v>91</v>
      </c>
      <c r="C221" s="28" t="s">
        <v>92</v>
      </c>
      <c r="D221" s="28" t="s">
        <v>93</v>
      </c>
      <c r="E221" s="28" t="s">
        <v>94</v>
      </c>
      <c r="F221" s="29" t="s">
        <v>27</v>
      </c>
      <c r="G221" s="30">
        <v>3.12</v>
      </c>
      <c r="H221" s="31">
        <v>174.57</v>
      </c>
      <c r="I221" s="39"/>
      <c r="J221" s="31">
        <f>H221*(1-$I$4)</f>
        <v>174.57</v>
      </c>
      <c r="K221" s="33">
        <f>ROUND(G221*J221,2)</f>
        <v>544.66</v>
      </c>
      <c r="L221" s="34" t="s">
        <v>28</v>
      </c>
      <c r="M221" s="35"/>
      <c r="N221" s="3">
        <v>1</v>
      </c>
      <c r="O221" s="21">
        <v>150.38</v>
      </c>
      <c r="P221" s="22" t="s">
        <v>95</v>
      </c>
      <c r="Q221" s="38"/>
      <c r="R221" s="38"/>
    </row>
    <row r="222" s="3" customFormat="1" ht="48" customHeight="1" outlineLevel="2" spans="1:18">
      <c r="A222" s="41">
        <f>1+N(A221)</f>
        <v>2</v>
      </c>
      <c r="B222" s="28" t="s">
        <v>96</v>
      </c>
      <c r="C222" s="28" t="s">
        <v>97</v>
      </c>
      <c r="D222" s="28" t="s">
        <v>98</v>
      </c>
      <c r="E222" s="28" t="s">
        <v>99</v>
      </c>
      <c r="F222" s="29" t="s">
        <v>39</v>
      </c>
      <c r="G222" s="30">
        <v>1.94</v>
      </c>
      <c r="H222" s="31">
        <v>112.16</v>
      </c>
      <c r="I222" s="39"/>
      <c r="J222" s="31">
        <f>H222*(1-$I$4)</f>
        <v>112.16</v>
      </c>
      <c r="K222" s="33">
        <f>ROUND(G222*J222,2)</f>
        <v>217.59</v>
      </c>
      <c r="L222" s="34" t="s">
        <v>28</v>
      </c>
      <c r="M222" s="35"/>
      <c r="N222" s="3">
        <v>1</v>
      </c>
      <c r="O222" s="21">
        <v>79.3</v>
      </c>
      <c r="P222" s="22" t="s">
        <v>100</v>
      </c>
      <c r="Q222" s="38"/>
      <c r="R222" s="38"/>
    </row>
    <row r="223" s="3" customFormat="1" ht="132" customHeight="1" outlineLevel="2" spans="1:18">
      <c r="A223" s="41">
        <f>1+N(A222)</f>
        <v>3</v>
      </c>
      <c r="B223" s="28" t="s">
        <v>243</v>
      </c>
      <c r="C223" s="28" t="s">
        <v>244</v>
      </c>
      <c r="D223" s="28" t="s">
        <v>109</v>
      </c>
      <c r="E223" s="28" t="s">
        <v>110</v>
      </c>
      <c r="F223" s="29" t="s">
        <v>27</v>
      </c>
      <c r="G223" s="30">
        <v>3.71</v>
      </c>
      <c r="H223" s="31">
        <v>282.02</v>
      </c>
      <c r="I223" s="39"/>
      <c r="J223" s="31">
        <f>H223*(1-$I$4)</f>
        <v>282.02</v>
      </c>
      <c r="K223" s="33">
        <f>ROUND(G223*J223,2)</f>
        <v>1046.29</v>
      </c>
      <c r="L223" s="34" t="s">
        <v>28</v>
      </c>
      <c r="M223" s="35"/>
      <c r="N223" s="3">
        <v>1</v>
      </c>
      <c r="O223" s="21">
        <v>151.58</v>
      </c>
      <c r="P223" s="22" t="s">
        <v>245</v>
      </c>
      <c r="Q223" s="38"/>
      <c r="R223" s="38"/>
    </row>
    <row r="224" s="3" customFormat="1" outlineLevel="1" spans="1:18">
      <c r="A224" s="40"/>
      <c r="B224" s="28" t="s">
        <v>112</v>
      </c>
      <c r="C224" s="28"/>
      <c r="D224" s="28"/>
      <c r="E224" s="28"/>
      <c r="F224" s="29"/>
      <c r="G224" s="30"/>
      <c r="H224" s="31"/>
      <c r="I224" s="39"/>
      <c r="J224" s="31"/>
      <c r="K224" s="33"/>
      <c r="L224" s="34"/>
      <c r="M224" s="35"/>
      <c r="O224" s="36"/>
      <c r="P224" s="37"/>
      <c r="Q224" s="38"/>
      <c r="R224" s="38"/>
    </row>
    <row r="225" s="3" customFormat="1" outlineLevel="1" spans="1:18">
      <c r="A225" s="27" t="s">
        <v>151</v>
      </c>
      <c r="B225" s="28" t="s">
        <v>246</v>
      </c>
      <c r="C225" s="28"/>
      <c r="D225" s="28"/>
      <c r="E225" s="28"/>
      <c r="F225" s="29"/>
      <c r="G225" s="30"/>
      <c r="H225" s="31"/>
      <c r="I225" s="39"/>
      <c r="J225" s="31"/>
      <c r="K225" s="33"/>
      <c r="L225" s="34"/>
      <c r="M225" s="35"/>
      <c r="O225" s="42"/>
      <c r="P225" s="37"/>
      <c r="Q225" s="38"/>
      <c r="R225" s="38"/>
    </row>
    <row r="226" s="3" customFormat="1" outlineLevel="1" spans="1:18">
      <c r="A226" s="40"/>
      <c r="B226" s="28" t="s">
        <v>22</v>
      </c>
      <c r="C226" s="28"/>
      <c r="D226" s="28"/>
      <c r="E226" s="28"/>
      <c r="F226" s="29"/>
      <c r="G226" s="30"/>
      <c r="H226" s="31"/>
      <c r="I226" s="39"/>
      <c r="J226" s="31"/>
      <c r="K226" s="33"/>
      <c r="L226" s="34"/>
      <c r="M226" s="35"/>
      <c r="O226" s="36"/>
      <c r="P226" s="37"/>
      <c r="Q226" s="38"/>
      <c r="R226" s="38"/>
    </row>
    <row r="227" s="3" customFormat="1" ht="156" customHeight="1" outlineLevel="2" spans="1:18">
      <c r="A227" s="41">
        <f>1+N(A226)</f>
        <v>1</v>
      </c>
      <c r="B227" s="28" t="s">
        <v>192</v>
      </c>
      <c r="C227" s="28" t="s">
        <v>247</v>
      </c>
      <c r="D227" s="28" t="s">
        <v>194</v>
      </c>
      <c r="E227" s="28" t="s">
        <v>195</v>
      </c>
      <c r="F227" s="29" t="s">
        <v>27</v>
      </c>
      <c r="G227" s="30">
        <v>4.83</v>
      </c>
      <c r="H227" s="31">
        <v>78.51</v>
      </c>
      <c r="I227" s="39"/>
      <c r="J227" s="31">
        <f>H227*(1-$I$4)</f>
        <v>78.51</v>
      </c>
      <c r="K227" s="33">
        <f>ROUND(G227*J227,2)</f>
        <v>379.2</v>
      </c>
      <c r="L227" s="34" t="s">
        <v>28</v>
      </c>
      <c r="M227" s="35"/>
      <c r="N227" s="3">
        <v>1</v>
      </c>
      <c r="O227" s="21">
        <v>65.78</v>
      </c>
      <c r="P227" s="22" t="s">
        <v>248</v>
      </c>
      <c r="Q227" s="38"/>
      <c r="R227" s="38"/>
    </row>
    <row r="228" s="3" customFormat="1" ht="108" customHeight="1" outlineLevel="2" spans="1:18">
      <c r="A228" s="41">
        <f>1+N(A227)</f>
        <v>2</v>
      </c>
      <c r="B228" s="28" t="s">
        <v>249</v>
      </c>
      <c r="C228" s="28" t="s">
        <v>250</v>
      </c>
      <c r="D228" s="28" t="s">
        <v>251</v>
      </c>
      <c r="E228" s="28" t="s">
        <v>26</v>
      </c>
      <c r="F228" s="29" t="s">
        <v>27</v>
      </c>
      <c r="G228" s="30">
        <v>68.6</v>
      </c>
      <c r="H228" s="31">
        <v>766.27</v>
      </c>
      <c r="I228" s="39"/>
      <c r="J228" s="31">
        <f>H228*(1-$I$4)</f>
        <v>766.27</v>
      </c>
      <c r="K228" s="33">
        <f>ROUND(G228*J228,2)</f>
        <v>52566.12</v>
      </c>
      <c r="L228" s="34" t="s">
        <v>28</v>
      </c>
      <c r="M228" s="35"/>
      <c r="N228" s="3">
        <v>1</v>
      </c>
      <c r="O228" s="21">
        <v>433.62</v>
      </c>
      <c r="P228" s="22" t="s">
        <v>252</v>
      </c>
      <c r="Q228" s="38"/>
      <c r="R228" s="38"/>
    </row>
    <row r="229" s="3" customFormat="1" ht="72" customHeight="1" outlineLevel="2" spans="1:18">
      <c r="A229" s="41">
        <f>1+N(A228)</f>
        <v>3</v>
      </c>
      <c r="B229" s="28" t="s">
        <v>253</v>
      </c>
      <c r="C229" s="28" t="s">
        <v>254</v>
      </c>
      <c r="D229" s="28" t="s">
        <v>251</v>
      </c>
      <c r="E229" s="28" t="s">
        <v>26</v>
      </c>
      <c r="F229" s="29" t="s">
        <v>27</v>
      </c>
      <c r="G229" s="30">
        <v>5.13</v>
      </c>
      <c r="H229" s="31">
        <v>340.43</v>
      </c>
      <c r="I229" s="39"/>
      <c r="J229" s="31">
        <f>H229*(1-$I$4)</f>
        <v>340.43</v>
      </c>
      <c r="K229" s="33">
        <f>ROUND(G229*J229,2)</f>
        <v>1746.41</v>
      </c>
      <c r="L229" s="34" t="s">
        <v>28</v>
      </c>
      <c r="M229" s="35"/>
      <c r="N229" s="3">
        <v>1</v>
      </c>
      <c r="O229" s="21">
        <v>370.37</v>
      </c>
      <c r="P229" s="22" t="s">
        <v>255</v>
      </c>
      <c r="Q229" s="38"/>
      <c r="R229" s="38"/>
    </row>
    <row r="230" s="3" customFormat="1" ht="72" customHeight="1" outlineLevel="2" spans="1:18">
      <c r="A230" s="41">
        <f>1+N(A229)</f>
        <v>4</v>
      </c>
      <c r="B230" s="28" t="s">
        <v>36</v>
      </c>
      <c r="C230" s="28" t="s">
        <v>37</v>
      </c>
      <c r="D230" s="28" t="s">
        <v>25</v>
      </c>
      <c r="E230" s="28" t="s">
        <v>38</v>
      </c>
      <c r="F230" s="29" t="s">
        <v>39</v>
      </c>
      <c r="G230" s="30">
        <v>12.6</v>
      </c>
      <c r="H230" s="31">
        <v>89.27</v>
      </c>
      <c r="I230" s="39"/>
      <c r="J230" s="31">
        <f>H230*(1-$I$4)</f>
        <v>89.27</v>
      </c>
      <c r="K230" s="33">
        <f>ROUND(G230*J230,2)</f>
        <v>1124.8</v>
      </c>
      <c r="L230" s="34" t="s">
        <v>28</v>
      </c>
      <c r="M230" s="35"/>
      <c r="N230" s="3">
        <v>1</v>
      </c>
      <c r="O230" s="21">
        <v>35.28</v>
      </c>
      <c r="P230" s="22" t="s">
        <v>40</v>
      </c>
      <c r="Q230" s="38"/>
      <c r="R230" s="38"/>
    </row>
    <row r="231" s="3" customFormat="1" outlineLevel="1" spans="1:18">
      <c r="A231" s="40"/>
      <c r="B231" s="28" t="s">
        <v>44</v>
      </c>
      <c r="C231" s="28"/>
      <c r="D231" s="28"/>
      <c r="E231" s="28"/>
      <c r="F231" s="29"/>
      <c r="G231" s="30"/>
      <c r="H231" s="31"/>
      <c r="I231" s="39"/>
      <c r="J231" s="31"/>
      <c r="K231" s="33"/>
      <c r="L231" s="34"/>
      <c r="M231" s="35"/>
      <c r="O231" s="36"/>
      <c r="P231" s="37"/>
      <c r="Q231" s="38"/>
      <c r="R231" s="38"/>
    </row>
    <row r="232" s="3" customFormat="1" ht="96" customHeight="1" outlineLevel="2" spans="1:18">
      <c r="A232" s="41">
        <f>1+N(A231)</f>
        <v>1</v>
      </c>
      <c r="B232" s="28" t="s">
        <v>202</v>
      </c>
      <c r="C232" s="28" t="s">
        <v>203</v>
      </c>
      <c r="D232" s="28" t="s">
        <v>59</v>
      </c>
      <c r="E232" s="28" t="s">
        <v>26</v>
      </c>
      <c r="F232" s="29" t="s">
        <v>27</v>
      </c>
      <c r="G232" s="30">
        <v>15.4</v>
      </c>
      <c r="H232" s="31">
        <v>311.52</v>
      </c>
      <c r="I232" s="39"/>
      <c r="J232" s="31">
        <f>H232*(1-$I$4)</f>
        <v>311.52</v>
      </c>
      <c r="K232" s="33">
        <f>ROUND(G232*J232,2)</f>
        <v>4797.41</v>
      </c>
      <c r="L232" s="34" t="s">
        <v>28</v>
      </c>
      <c r="M232" s="35"/>
      <c r="N232" s="3">
        <v>1</v>
      </c>
      <c r="O232" s="21">
        <v>277.53</v>
      </c>
      <c r="P232" s="22" t="s">
        <v>217</v>
      </c>
      <c r="Q232" s="38"/>
      <c r="R232" s="38"/>
    </row>
    <row r="233" s="3" customFormat="1" ht="96" customHeight="1" outlineLevel="2" spans="1:18">
      <c r="A233" s="41">
        <f>1+N(A232)</f>
        <v>2</v>
      </c>
      <c r="B233" s="28" t="s">
        <v>256</v>
      </c>
      <c r="C233" s="28" t="s">
        <v>257</v>
      </c>
      <c r="D233" s="28" t="s">
        <v>59</v>
      </c>
      <c r="E233" s="28" t="s">
        <v>26</v>
      </c>
      <c r="F233" s="29" t="s">
        <v>27</v>
      </c>
      <c r="G233" s="30">
        <v>104.18</v>
      </c>
      <c r="H233" s="31">
        <v>441.32</v>
      </c>
      <c r="I233" s="39"/>
      <c r="J233" s="31">
        <f>H233*(1-$I$4)</f>
        <v>441.32</v>
      </c>
      <c r="K233" s="33">
        <f>ROUND(G233*J233,2)</f>
        <v>45976.72</v>
      </c>
      <c r="L233" s="34" t="s">
        <v>28</v>
      </c>
      <c r="M233" s="35"/>
      <c r="N233" s="3">
        <v>1</v>
      </c>
      <c r="O233" s="21">
        <v>277.53</v>
      </c>
      <c r="P233" s="22" t="s">
        <v>258</v>
      </c>
      <c r="Q233" s="38"/>
      <c r="R233" s="38"/>
    </row>
    <row r="234" s="3" customFormat="1" ht="96" customHeight="1" outlineLevel="2" spans="1:18">
      <c r="A234" s="41">
        <f>1+N(A233)</f>
        <v>3</v>
      </c>
      <c r="B234" s="28" t="s">
        <v>75</v>
      </c>
      <c r="C234" s="28" t="s">
        <v>76</v>
      </c>
      <c r="D234" s="28" t="s">
        <v>59</v>
      </c>
      <c r="E234" s="28" t="s">
        <v>38</v>
      </c>
      <c r="F234" s="29" t="s">
        <v>39</v>
      </c>
      <c r="G234" s="30">
        <v>39.95</v>
      </c>
      <c r="H234" s="31">
        <v>67.08</v>
      </c>
      <c r="I234" s="39"/>
      <c r="J234" s="31">
        <f>H234*(1-$I$4)</f>
        <v>67.08</v>
      </c>
      <c r="K234" s="33">
        <f>ROUND(G234*J234,2)</f>
        <v>2679.85</v>
      </c>
      <c r="L234" s="34" t="s">
        <v>28</v>
      </c>
      <c r="M234" s="35"/>
      <c r="N234" s="3">
        <v>1</v>
      </c>
      <c r="O234" s="21">
        <v>45.71</v>
      </c>
      <c r="P234" s="22" t="s">
        <v>77</v>
      </c>
      <c r="Q234" s="38"/>
      <c r="R234" s="38"/>
    </row>
    <row r="235" s="3" customFormat="1" ht="96" customHeight="1" outlineLevel="2" spans="1:18">
      <c r="A235" s="41">
        <f>1+N(A234)</f>
        <v>4</v>
      </c>
      <c r="B235" s="28" t="s">
        <v>87</v>
      </c>
      <c r="C235" s="28" t="s">
        <v>88</v>
      </c>
      <c r="D235" s="28" t="s">
        <v>59</v>
      </c>
      <c r="E235" s="28" t="s">
        <v>38</v>
      </c>
      <c r="F235" s="29" t="s">
        <v>39</v>
      </c>
      <c r="G235" s="30">
        <v>39.95</v>
      </c>
      <c r="H235" s="31">
        <v>64.25</v>
      </c>
      <c r="I235" s="39"/>
      <c r="J235" s="31">
        <f>H235*(1-$I$4)</f>
        <v>64.25</v>
      </c>
      <c r="K235" s="33">
        <f>ROUND(G235*J235,2)</f>
        <v>2566.79</v>
      </c>
      <c r="L235" s="34" t="s">
        <v>28</v>
      </c>
      <c r="M235" s="35"/>
      <c r="N235" s="3">
        <v>1</v>
      </c>
      <c r="O235" s="21">
        <v>43.16</v>
      </c>
      <c r="P235" s="22" t="s">
        <v>89</v>
      </c>
      <c r="Q235" s="38"/>
      <c r="R235" s="38"/>
    </row>
    <row r="236" s="3" customFormat="1" outlineLevel="1" spans="1:18">
      <c r="A236" s="40"/>
      <c r="B236" s="28" t="s">
        <v>90</v>
      </c>
      <c r="C236" s="28"/>
      <c r="D236" s="28"/>
      <c r="E236" s="28"/>
      <c r="F236" s="29"/>
      <c r="G236" s="30"/>
      <c r="H236" s="31"/>
      <c r="I236" s="39"/>
      <c r="J236" s="31"/>
      <c r="K236" s="33"/>
      <c r="L236" s="34"/>
      <c r="M236" s="35"/>
      <c r="O236" s="36"/>
      <c r="P236" s="37"/>
      <c r="Q236" s="38"/>
      <c r="R236" s="38"/>
    </row>
    <row r="237" s="3" customFormat="1" ht="168" customHeight="1" outlineLevel="2" spans="1:18">
      <c r="A237" s="41">
        <f>1+N(A236)</f>
        <v>1</v>
      </c>
      <c r="B237" s="28" t="s">
        <v>91</v>
      </c>
      <c r="C237" s="28" t="s">
        <v>92</v>
      </c>
      <c r="D237" s="28" t="s">
        <v>93</v>
      </c>
      <c r="E237" s="28" t="s">
        <v>94</v>
      </c>
      <c r="F237" s="29" t="s">
        <v>27</v>
      </c>
      <c r="G237" s="30">
        <v>78.56</v>
      </c>
      <c r="H237" s="31">
        <v>174.57</v>
      </c>
      <c r="I237" s="39"/>
      <c r="J237" s="31">
        <f>H237*(1-$I$4)</f>
        <v>174.57</v>
      </c>
      <c r="K237" s="33">
        <f>ROUND(G237*J237,2)</f>
        <v>13714.22</v>
      </c>
      <c r="L237" s="34" t="s">
        <v>28</v>
      </c>
      <c r="M237" s="35"/>
      <c r="N237" s="3">
        <v>1</v>
      </c>
      <c r="O237" s="21">
        <v>150.38</v>
      </c>
      <c r="P237" s="22" t="s">
        <v>95</v>
      </c>
      <c r="Q237" s="38"/>
      <c r="R237" s="38"/>
    </row>
    <row r="238" s="3" customFormat="1" ht="48" customHeight="1" outlineLevel="2" spans="1:18">
      <c r="A238" s="41">
        <f>1+N(A237)</f>
        <v>2</v>
      </c>
      <c r="B238" s="28" t="s">
        <v>96</v>
      </c>
      <c r="C238" s="28" t="s">
        <v>97</v>
      </c>
      <c r="D238" s="28" t="s">
        <v>98</v>
      </c>
      <c r="E238" s="28" t="s">
        <v>99</v>
      </c>
      <c r="F238" s="29" t="s">
        <v>39</v>
      </c>
      <c r="G238" s="30">
        <v>40.93</v>
      </c>
      <c r="H238" s="31">
        <v>112.16</v>
      </c>
      <c r="I238" s="39"/>
      <c r="J238" s="31">
        <f>H238*(1-$I$4)</f>
        <v>112.16</v>
      </c>
      <c r="K238" s="33">
        <f>ROUND(G238*J238,2)</f>
        <v>4590.71</v>
      </c>
      <c r="L238" s="34" t="s">
        <v>28</v>
      </c>
      <c r="M238" s="35"/>
      <c r="N238" s="3">
        <v>1</v>
      </c>
      <c r="O238" s="21">
        <v>79.3</v>
      </c>
      <c r="P238" s="22" t="s">
        <v>100</v>
      </c>
      <c r="Q238" s="38"/>
      <c r="R238" s="38"/>
    </row>
    <row r="239" s="3" customFormat="1" ht="48" customHeight="1" outlineLevel="2" spans="1:18">
      <c r="A239" s="41">
        <f>1+N(A238)</f>
        <v>3</v>
      </c>
      <c r="B239" s="28" t="s">
        <v>101</v>
      </c>
      <c r="C239" s="28" t="s">
        <v>102</v>
      </c>
      <c r="D239" s="28" t="s">
        <v>98</v>
      </c>
      <c r="E239" s="28" t="s">
        <v>99</v>
      </c>
      <c r="F239" s="29" t="s">
        <v>39</v>
      </c>
      <c r="G239" s="30">
        <v>40.93</v>
      </c>
      <c r="H239" s="31">
        <v>75.82</v>
      </c>
      <c r="I239" s="39"/>
      <c r="J239" s="31">
        <f>H239*(1-$I$4)</f>
        <v>75.82</v>
      </c>
      <c r="K239" s="33">
        <f>ROUND(G239*J239,2)</f>
        <v>3103.31</v>
      </c>
      <c r="L239" s="34" t="s">
        <v>28</v>
      </c>
      <c r="M239" s="35"/>
      <c r="N239" s="3">
        <v>1</v>
      </c>
      <c r="O239" s="21">
        <v>203.56</v>
      </c>
      <c r="P239" s="22" t="s">
        <v>103</v>
      </c>
      <c r="Q239" s="38"/>
      <c r="R239" s="38"/>
    </row>
    <row r="240" s="3" customFormat="1" ht="132" customHeight="1" outlineLevel="2" spans="1:18">
      <c r="A240" s="41">
        <f>1+N(A239)</f>
        <v>4</v>
      </c>
      <c r="B240" s="28" t="s">
        <v>107</v>
      </c>
      <c r="C240" s="28" t="s">
        <v>108</v>
      </c>
      <c r="D240" s="28" t="s">
        <v>109</v>
      </c>
      <c r="E240" s="28" t="s">
        <v>110</v>
      </c>
      <c r="F240" s="29" t="s">
        <v>27</v>
      </c>
      <c r="G240" s="30">
        <v>90.84</v>
      </c>
      <c r="H240" s="31">
        <v>152.22</v>
      </c>
      <c r="I240" s="39"/>
      <c r="J240" s="31">
        <f>H240*(1-$I$4)</f>
        <v>152.22</v>
      </c>
      <c r="K240" s="33">
        <f>ROUND(G240*J240,2)</f>
        <v>13827.66</v>
      </c>
      <c r="L240" s="34" t="s">
        <v>28</v>
      </c>
      <c r="M240" s="35"/>
      <c r="N240" s="3">
        <v>1</v>
      </c>
      <c r="O240" s="21">
        <v>151.58</v>
      </c>
      <c r="P240" s="22" t="s">
        <v>111</v>
      </c>
      <c r="Q240" s="38"/>
      <c r="R240" s="38"/>
    </row>
    <row r="241" s="3" customFormat="1" outlineLevel="1" spans="1:18">
      <c r="A241" s="40"/>
      <c r="B241" s="28" t="s">
        <v>112</v>
      </c>
      <c r="C241" s="28"/>
      <c r="D241" s="28"/>
      <c r="E241" s="28"/>
      <c r="F241" s="29"/>
      <c r="G241" s="30"/>
      <c r="H241" s="31"/>
      <c r="I241" s="39"/>
      <c r="J241" s="31"/>
      <c r="K241" s="33"/>
      <c r="L241" s="34"/>
      <c r="M241" s="35"/>
      <c r="O241" s="36"/>
      <c r="P241" s="37"/>
      <c r="Q241" s="38"/>
      <c r="R241" s="38"/>
    </row>
    <row r="242" s="3" customFormat="1" ht="60" customHeight="1" outlineLevel="2" spans="1:18">
      <c r="A242" s="41">
        <f>1+N(A241)</f>
        <v>1</v>
      </c>
      <c r="B242" s="28" t="s">
        <v>134</v>
      </c>
      <c r="C242" s="28" t="s">
        <v>114</v>
      </c>
      <c r="D242" s="28" t="s">
        <v>98</v>
      </c>
      <c r="E242" s="28" t="s">
        <v>115</v>
      </c>
      <c r="F242" s="29" t="s">
        <v>27</v>
      </c>
      <c r="G242" s="30">
        <v>2.1</v>
      </c>
      <c r="H242" s="31">
        <v>962.68</v>
      </c>
      <c r="I242" s="39"/>
      <c r="J242" s="31">
        <f>H242*(1-$I$4)</f>
        <v>962.68</v>
      </c>
      <c r="K242" s="33">
        <f>ROUND(G242*J242,2)</f>
        <v>2021.63</v>
      </c>
      <c r="L242" s="34" t="s">
        <v>28</v>
      </c>
      <c r="M242" s="35"/>
      <c r="N242" s="3">
        <v>1</v>
      </c>
      <c r="O242" s="21">
        <v>665.69</v>
      </c>
      <c r="P242" s="22" t="s">
        <v>116</v>
      </c>
      <c r="Q242" s="38"/>
      <c r="R242" s="38"/>
    </row>
    <row r="243" s="3" customFormat="1" ht="24" outlineLevel="1" spans="1:18">
      <c r="A243" s="27" t="s">
        <v>155</v>
      </c>
      <c r="B243" s="28" t="s">
        <v>259</v>
      </c>
      <c r="C243" s="28"/>
      <c r="D243" s="28"/>
      <c r="E243" s="28"/>
      <c r="F243" s="29"/>
      <c r="G243" s="30"/>
      <c r="H243" s="31"/>
      <c r="I243" s="39"/>
      <c r="J243" s="31"/>
      <c r="K243" s="33"/>
      <c r="L243" s="34"/>
      <c r="M243" s="35"/>
      <c r="O243" s="42"/>
      <c r="P243" s="37"/>
      <c r="Q243" s="38"/>
      <c r="R243" s="38"/>
    </row>
    <row r="244" s="3" customFormat="1" outlineLevel="1" spans="1:18">
      <c r="A244" s="40"/>
      <c r="B244" s="28" t="s">
        <v>22</v>
      </c>
      <c r="C244" s="28"/>
      <c r="D244" s="28"/>
      <c r="E244" s="28"/>
      <c r="F244" s="29"/>
      <c r="G244" s="30"/>
      <c r="H244" s="31"/>
      <c r="I244" s="39"/>
      <c r="J244" s="31"/>
      <c r="K244" s="33"/>
      <c r="L244" s="34"/>
      <c r="M244" s="35"/>
      <c r="O244" s="36"/>
      <c r="P244" s="37"/>
      <c r="Q244" s="38"/>
      <c r="R244" s="38"/>
    </row>
    <row r="245" s="3" customFormat="1" ht="108" customHeight="1" outlineLevel="2" spans="1:18">
      <c r="A245" s="41">
        <f>1+N(A244)</f>
        <v>1</v>
      </c>
      <c r="B245" s="28" t="s">
        <v>23</v>
      </c>
      <c r="C245" s="28" t="s">
        <v>24</v>
      </c>
      <c r="D245" s="28" t="s">
        <v>25</v>
      </c>
      <c r="E245" s="28" t="s">
        <v>26</v>
      </c>
      <c r="F245" s="29" t="s">
        <v>27</v>
      </c>
      <c r="G245" s="30">
        <v>9.8</v>
      </c>
      <c r="H245" s="31">
        <v>940.91</v>
      </c>
      <c r="I245" s="39"/>
      <c r="J245" s="31">
        <f>H245*(1-$I$4)</f>
        <v>940.91</v>
      </c>
      <c r="K245" s="33">
        <f>ROUND(G245*J245,2)</f>
        <v>9220.92</v>
      </c>
      <c r="L245" s="34" t="s">
        <v>28</v>
      </c>
      <c r="M245" s="35"/>
      <c r="N245" s="3">
        <v>1</v>
      </c>
      <c r="O245" s="21">
        <v>886.6</v>
      </c>
      <c r="P245" s="22" t="s">
        <v>29</v>
      </c>
      <c r="Q245" s="38"/>
      <c r="R245" s="38"/>
    </row>
    <row r="246" s="3" customFormat="1" ht="108" customHeight="1" outlineLevel="2" spans="1:18">
      <c r="A246" s="41">
        <f>1+N(A245)</f>
        <v>2</v>
      </c>
      <c r="B246" s="28" t="s">
        <v>30</v>
      </c>
      <c r="C246" s="28" t="s">
        <v>31</v>
      </c>
      <c r="D246" s="28" t="s">
        <v>25</v>
      </c>
      <c r="E246" s="28" t="s">
        <v>26</v>
      </c>
      <c r="F246" s="29" t="s">
        <v>27</v>
      </c>
      <c r="G246" s="30">
        <v>10.6</v>
      </c>
      <c r="H246" s="31">
        <v>1412.25</v>
      </c>
      <c r="I246" s="39"/>
      <c r="J246" s="31">
        <f>H246*(1-$I$4)</f>
        <v>1412.25</v>
      </c>
      <c r="K246" s="33">
        <f>ROUND(G246*J246,2)</f>
        <v>14969.85</v>
      </c>
      <c r="L246" s="34" t="s">
        <v>28</v>
      </c>
      <c r="M246" s="35"/>
      <c r="N246" s="3">
        <v>1</v>
      </c>
      <c r="O246" s="21">
        <v>1135.86</v>
      </c>
      <c r="P246" s="22" t="s">
        <v>32</v>
      </c>
      <c r="Q246" s="38"/>
      <c r="R246" s="38"/>
    </row>
    <row r="247" s="3" customFormat="1" ht="72" customHeight="1" outlineLevel="2" spans="1:18">
      <c r="A247" s="41">
        <f>1+N(A246)</f>
        <v>3</v>
      </c>
      <c r="B247" s="28" t="s">
        <v>36</v>
      </c>
      <c r="C247" s="28" t="s">
        <v>37</v>
      </c>
      <c r="D247" s="28" t="s">
        <v>25</v>
      </c>
      <c r="E247" s="28" t="s">
        <v>38</v>
      </c>
      <c r="F247" s="29" t="s">
        <v>39</v>
      </c>
      <c r="G247" s="30">
        <v>12.6</v>
      </c>
      <c r="H247" s="31">
        <v>89.27</v>
      </c>
      <c r="I247" s="39"/>
      <c r="J247" s="31">
        <f>H247*(1-$I$4)</f>
        <v>89.27</v>
      </c>
      <c r="K247" s="33">
        <f>ROUND(G247*J247,2)</f>
        <v>1124.8</v>
      </c>
      <c r="L247" s="34" t="s">
        <v>28</v>
      </c>
      <c r="M247" s="35"/>
      <c r="N247" s="3">
        <v>1</v>
      </c>
      <c r="O247" s="21">
        <v>35.28</v>
      </c>
      <c r="P247" s="22" t="s">
        <v>40</v>
      </c>
      <c r="Q247" s="38"/>
      <c r="R247" s="38"/>
    </row>
    <row r="248" s="3" customFormat="1" ht="72" customHeight="1" outlineLevel="2" spans="1:18">
      <c r="A248" s="41">
        <f>1+N(A247)</f>
        <v>4</v>
      </c>
      <c r="B248" s="28" t="s">
        <v>41</v>
      </c>
      <c r="C248" s="28" t="s">
        <v>42</v>
      </c>
      <c r="D248" s="28" t="s">
        <v>25</v>
      </c>
      <c r="E248" s="28" t="s">
        <v>26</v>
      </c>
      <c r="F248" s="29" t="s">
        <v>27</v>
      </c>
      <c r="G248" s="30">
        <v>20.4</v>
      </c>
      <c r="H248" s="31">
        <v>64.9</v>
      </c>
      <c r="I248" s="39"/>
      <c r="J248" s="31">
        <f>H248*(1-$I$4)</f>
        <v>64.9</v>
      </c>
      <c r="K248" s="33">
        <f>ROUND(G248*J248,2)</f>
        <v>1323.96</v>
      </c>
      <c r="L248" s="34" t="s">
        <v>28</v>
      </c>
      <c r="M248" s="35"/>
      <c r="N248" s="3">
        <v>1</v>
      </c>
      <c r="O248" s="21">
        <v>61.38</v>
      </c>
      <c r="P248" s="22" t="s">
        <v>43</v>
      </c>
      <c r="Q248" s="38"/>
      <c r="R248" s="38"/>
    </row>
    <row r="249" s="3" customFormat="1" outlineLevel="1" spans="1:18">
      <c r="A249" s="40"/>
      <c r="B249" s="28" t="s">
        <v>44</v>
      </c>
      <c r="C249" s="28"/>
      <c r="D249" s="28"/>
      <c r="E249" s="28"/>
      <c r="F249" s="29"/>
      <c r="G249" s="30"/>
      <c r="H249" s="31"/>
      <c r="I249" s="39"/>
      <c r="J249" s="31"/>
      <c r="K249" s="33"/>
      <c r="L249" s="34"/>
      <c r="M249" s="35"/>
      <c r="O249" s="36"/>
      <c r="P249" s="37"/>
      <c r="Q249" s="38"/>
      <c r="R249" s="38"/>
    </row>
    <row r="250" s="3" customFormat="1" ht="108" customHeight="1" outlineLevel="2" spans="1:18">
      <c r="A250" s="41">
        <f t="shared" ref="A250:A258" si="30">1+N(A249)</f>
        <v>1</v>
      </c>
      <c r="B250" s="28" t="s">
        <v>45</v>
      </c>
      <c r="C250" s="28" t="s">
        <v>46</v>
      </c>
      <c r="D250" s="28" t="s">
        <v>47</v>
      </c>
      <c r="E250" s="28" t="s">
        <v>48</v>
      </c>
      <c r="F250" s="29" t="s">
        <v>27</v>
      </c>
      <c r="G250" s="30">
        <v>8.17</v>
      </c>
      <c r="H250" s="31">
        <v>2668.45</v>
      </c>
      <c r="I250" s="39"/>
      <c r="J250" s="31">
        <f t="shared" ref="J250:J258" si="31">H250*(1-$I$4)</f>
        <v>2668.45</v>
      </c>
      <c r="K250" s="33">
        <f t="shared" ref="K250:K258" si="32">ROUND(G250*J250,2)</f>
        <v>21801.24</v>
      </c>
      <c r="L250" s="34" t="s">
        <v>28</v>
      </c>
      <c r="M250" s="35"/>
      <c r="N250" s="3">
        <v>1</v>
      </c>
      <c r="O250" s="21">
        <v>1019.76</v>
      </c>
      <c r="P250" s="22" t="s">
        <v>49</v>
      </c>
      <c r="Q250" s="38"/>
      <c r="R250" s="38"/>
    </row>
    <row r="251" s="3" customFormat="1" ht="156" customHeight="1" outlineLevel="2" spans="1:18">
      <c r="A251" s="41">
        <f t="shared" si="30"/>
        <v>2</v>
      </c>
      <c r="B251" s="28" t="s">
        <v>50</v>
      </c>
      <c r="C251" s="28" t="s">
        <v>51</v>
      </c>
      <c r="D251" s="28" t="s">
        <v>52</v>
      </c>
      <c r="E251" s="28" t="s">
        <v>48</v>
      </c>
      <c r="F251" s="29" t="s">
        <v>27</v>
      </c>
      <c r="G251" s="30">
        <v>39.49</v>
      </c>
      <c r="H251" s="31">
        <v>961.06</v>
      </c>
      <c r="I251" s="39"/>
      <c r="J251" s="31">
        <f t="shared" si="31"/>
        <v>961.06</v>
      </c>
      <c r="K251" s="33">
        <f t="shared" si="32"/>
        <v>37952.26</v>
      </c>
      <c r="L251" s="34" t="s">
        <v>28</v>
      </c>
      <c r="M251" s="35"/>
      <c r="N251" s="3">
        <v>1</v>
      </c>
      <c r="O251" s="21">
        <v>1000.51</v>
      </c>
      <c r="P251" s="22" t="s">
        <v>53</v>
      </c>
      <c r="Q251" s="38"/>
      <c r="R251" s="38"/>
    </row>
    <row r="252" s="3" customFormat="1" ht="120" customHeight="1" outlineLevel="2" spans="1:18">
      <c r="A252" s="41">
        <f t="shared" si="30"/>
        <v>3</v>
      </c>
      <c r="B252" s="28" t="s">
        <v>65</v>
      </c>
      <c r="C252" s="28" t="s">
        <v>62</v>
      </c>
      <c r="D252" s="28" t="s">
        <v>52</v>
      </c>
      <c r="E252" s="28" t="s">
        <v>63</v>
      </c>
      <c r="F252" s="29" t="s">
        <v>27</v>
      </c>
      <c r="G252" s="30">
        <v>3.56</v>
      </c>
      <c r="H252" s="31">
        <v>630.65</v>
      </c>
      <c r="I252" s="39"/>
      <c r="J252" s="31">
        <f t="shared" si="31"/>
        <v>630.65</v>
      </c>
      <c r="K252" s="33">
        <f t="shared" si="32"/>
        <v>2245.11</v>
      </c>
      <c r="L252" s="34" t="s">
        <v>28</v>
      </c>
      <c r="M252" s="35"/>
      <c r="N252" s="3">
        <v>1</v>
      </c>
      <c r="O252" s="21">
        <v>681.67</v>
      </c>
      <c r="P252" s="22" t="s">
        <v>64</v>
      </c>
      <c r="Q252" s="38"/>
      <c r="R252" s="38"/>
    </row>
    <row r="253" s="3" customFormat="1" ht="120" customHeight="1" outlineLevel="2" spans="1:18">
      <c r="A253" s="41">
        <f t="shared" si="30"/>
        <v>4</v>
      </c>
      <c r="B253" s="28" t="s">
        <v>66</v>
      </c>
      <c r="C253" s="28" t="s">
        <v>67</v>
      </c>
      <c r="D253" s="28" t="s">
        <v>52</v>
      </c>
      <c r="E253" s="28" t="s">
        <v>63</v>
      </c>
      <c r="F253" s="29" t="s">
        <v>27</v>
      </c>
      <c r="G253" s="30">
        <v>1.85</v>
      </c>
      <c r="H253" s="31">
        <v>812.96</v>
      </c>
      <c r="I253" s="39"/>
      <c r="J253" s="31">
        <f t="shared" si="31"/>
        <v>812.96</v>
      </c>
      <c r="K253" s="33">
        <f t="shared" si="32"/>
        <v>1503.98</v>
      </c>
      <c r="L253" s="34" t="s">
        <v>28</v>
      </c>
      <c r="M253" s="35"/>
      <c r="N253" s="3">
        <v>1</v>
      </c>
      <c r="O253" s="21">
        <v>681.67</v>
      </c>
      <c r="P253" s="22" t="s">
        <v>68</v>
      </c>
      <c r="Q253" s="38"/>
      <c r="R253" s="38"/>
    </row>
    <row r="254" s="3" customFormat="1" ht="120" customHeight="1" outlineLevel="2" spans="1:18">
      <c r="A254" s="41">
        <f t="shared" si="30"/>
        <v>5</v>
      </c>
      <c r="B254" s="28" t="s">
        <v>69</v>
      </c>
      <c r="C254" s="28" t="s">
        <v>70</v>
      </c>
      <c r="D254" s="28" t="s">
        <v>52</v>
      </c>
      <c r="E254" s="28" t="s">
        <v>63</v>
      </c>
      <c r="F254" s="29" t="s">
        <v>27</v>
      </c>
      <c r="G254" s="30">
        <v>0.26</v>
      </c>
      <c r="H254" s="31">
        <v>1175.56</v>
      </c>
      <c r="I254" s="39"/>
      <c r="J254" s="31">
        <f t="shared" si="31"/>
        <v>1175.56</v>
      </c>
      <c r="K254" s="33">
        <f t="shared" si="32"/>
        <v>305.65</v>
      </c>
      <c r="L254" s="34" t="s">
        <v>28</v>
      </c>
      <c r="M254" s="35"/>
      <c r="N254" s="3">
        <v>1</v>
      </c>
      <c r="O254" s="21">
        <v>681.67</v>
      </c>
      <c r="P254" s="22" t="s">
        <v>71</v>
      </c>
      <c r="Q254" s="38"/>
      <c r="R254" s="38"/>
    </row>
    <row r="255" s="3" customFormat="1" ht="96" customHeight="1" outlineLevel="2" spans="1:18">
      <c r="A255" s="41">
        <f t="shared" si="30"/>
        <v>6</v>
      </c>
      <c r="B255" s="28" t="s">
        <v>75</v>
      </c>
      <c r="C255" s="28" t="s">
        <v>76</v>
      </c>
      <c r="D255" s="28" t="s">
        <v>59</v>
      </c>
      <c r="E255" s="28" t="s">
        <v>38</v>
      </c>
      <c r="F255" s="29" t="s">
        <v>39</v>
      </c>
      <c r="G255" s="30">
        <v>16.3</v>
      </c>
      <c r="H255" s="31">
        <v>67.08</v>
      </c>
      <c r="I255" s="39"/>
      <c r="J255" s="31">
        <f t="shared" si="31"/>
        <v>67.08</v>
      </c>
      <c r="K255" s="33">
        <f t="shared" si="32"/>
        <v>1093.4</v>
      </c>
      <c r="L255" s="34" t="s">
        <v>28</v>
      </c>
      <c r="M255" s="35"/>
      <c r="N255" s="3">
        <v>1</v>
      </c>
      <c r="O255" s="21">
        <v>45.71</v>
      </c>
      <c r="P255" s="22" t="s">
        <v>77</v>
      </c>
      <c r="Q255" s="38"/>
      <c r="R255" s="38"/>
    </row>
    <row r="256" s="3" customFormat="1" ht="96" customHeight="1" outlineLevel="2" spans="1:18">
      <c r="A256" s="41">
        <f t="shared" si="30"/>
        <v>7</v>
      </c>
      <c r="B256" s="28" t="s">
        <v>78</v>
      </c>
      <c r="C256" s="28" t="s">
        <v>79</v>
      </c>
      <c r="D256" s="28" t="s">
        <v>59</v>
      </c>
      <c r="E256" s="28" t="s">
        <v>38</v>
      </c>
      <c r="F256" s="29" t="s">
        <v>39</v>
      </c>
      <c r="G256" s="30">
        <v>0.34</v>
      </c>
      <c r="H256" s="31">
        <v>67.31</v>
      </c>
      <c r="I256" s="39"/>
      <c r="J256" s="31">
        <f t="shared" si="31"/>
        <v>67.31</v>
      </c>
      <c r="K256" s="33">
        <f t="shared" si="32"/>
        <v>22.89</v>
      </c>
      <c r="L256" s="34" t="s">
        <v>28</v>
      </c>
      <c r="M256" s="35"/>
      <c r="N256" s="3">
        <v>1</v>
      </c>
      <c r="O256" s="21">
        <v>50.8</v>
      </c>
      <c r="P256" s="22" t="s">
        <v>153</v>
      </c>
      <c r="Q256" s="38"/>
      <c r="R256" s="38"/>
    </row>
    <row r="257" s="3" customFormat="1" ht="96" customHeight="1" outlineLevel="2" spans="1:18">
      <c r="A257" s="41">
        <f t="shared" si="30"/>
        <v>8</v>
      </c>
      <c r="B257" s="28" t="s">
        <v>84</v>
      </c>
      <c r="C257" s="28" t="s">
        <v>85</v>
      </c>
      <c r="D257" s="28" t="s">
        <v>59</v>
      </c>
      <c r="E257" s="28" t="s">
        <v>38</v>
      </c>
      <c r="F257" s="29" t="s">
        <v>39</v>
      </c>
      <c r="G257" s="30">
        <v>14.44</v>
      </c>
      <c r="H257" s="31">
        <v>117.84</v>
      </c>
      <c r="I257" s="39"/>
      <c r="J257" s="31">
        <f t="shared" si="31"/>
        <v>117.84</v>
      </c>
      <c r="K257" s="33">
        <f t="shared" si="32"/>
        <v>1701.61</v>
      </c>
      <c r="L257" s="34" t="s">
        <v>28</v>
      </c>
      <c r="M257" s="35"/>
      <c r="N257" s="3">
        <v>1</v>
      </c>
      <c r="O257" s="21">
        <v>95.14</v>
      </c>
      <c r="P257" s="22" t="s">
        <v>86</v>
      </c>
      <c r="Q257" s="38"/>
      <c r="R257" s="38"/>
    </row>
    <row r="258" s="3" customFormat="1" ht="96" customHeight="1" outlineLevel="2" spans="1:18">
      <c r="A258" s="41">
        <f t="shared" si="30"/>
        <v>9</v>
      </c>
      <c r="B258" s="28" t="s">
        <v>87</v>
      </c>
      <c r="C258" s="28" t="s">
        <v>88</v>
      </c>
      <c r="D258" s="28" t="s">
        <v>59</v>
      </c>
      <c r="E258" s="28" t="s">
        <v>38</v>
      </c>
      <c r="F258" s="29" t="s">
        <v>39</v>
      </c>
      <c r="G258" s="30">
        <v>16.12</v>
      </c>
      <c r="H258" s="31">
        <v>64.25</v>
      </c>
      <c r="I258" s="39"/>
      <c r="J258" s="31">
        <f t="shared" si="31"/>
        <v>64.25</v>
      </c>
      <c r="K258" s="33">
        <f t="shared" si="32"/>
        <v>1035.71</v>
      </c>
      <c r="L258" s="34" t="s">
        <v>28</v>
      </c>
      <c r="M258" s="35"/>
      <c r="N258" s="3">
        <v>1</v>
      </c>
      <c r="O258" s="21">
        <v>43.16</v>
      </c>
      <c r="P258" s="22" t="s">
        <v>89</v>
      </c>
      <c r="Q258" s="38"/>
      <c r="R258" s="38"/>
    </row>
    <row r="259" s="3" customFormat="1" outlineLevel="1" spans="1:18">
      <c r="A259" s="40"/>
      <c r="B259" s="28" t="s">
        <v>90</v>
      </c>
      <c r="C259" s="28"/>
      <c r="D259" s="28"/>
      <c r="E259" s="28"/>
      <c r="F259" s="29"/>
      <c r="G259" s="30"/>
      <c r="H259" s="31"/>
      <c r="I259" s="39"/>
      <c r="J259" s="31"/>
      <c r="K259" s="33"/>
      <c r="L259" s="34"/>
      <c r="M259" s="35"/>
      <c r="O259" s="36"/>
      <c r="P259" s="37"/>
      <c r="Q259" s="38"/>
      <c r="R259" s="38"/>
    </row>
    <row r="260" s="3" customFormat="1" ht="168" customHeight="1" outlineLevel="2" spans="1:18">
      <c r="A260" s="41">
        <f>1+N(A259)</f>
        <v>1</v>
      </c>
      <c r="B260" s="28" t="s">
        <v>91</v>
      </c>
      <c r="C260" s="28" t="s">
        <v>92</v>
      </c>
      <c r="D260" s="28" t="s">
        <v>93</v>
      </c>
      <c r="E260" s="28" t="s">
        <v>94</v>
      </c>
      <c r="F260" s="29" t="s">
        <v>27</v>
      </c>
      <c r="G260" s="30">
        <v>20.4</v>
      </c>
      <c r="H260" s="31">
        <v>174.57</v>
      </c>
      <c r="I260" s="39"/>
      <c r="J260" s="31">
        <f>H260*(1-$I$4)</f>
        <v>174.57</v>
      </c>
      <c r="K260" s="33">
        <f>ROUND(G260*J260,2)</f>
        <v>3561.23</v>
      </c>
      <c r="L260" s="34" t="s">
        <v>28</v>
      </c>
      <c r="M260" s="35"/>
      <c r="N260" s="3">
        <v>1</v>
      </c>
      <c r="O260" s="21">
        <v>150.38</v>
      </c>
      <c r="P260" s="22" t="s">
        <v>95</v>
      </c>
      <c r="Q260" s="38"/>
      <c r="R260" s="38"/>
    </row>
    <row r="261" s="3" customFormat="1" ht="48" customHeight="1" outlineLevel="2" spans="1:18">
      <c r="A261" s="41">
        <f>1+N(A260)</f>
        <v>2</v>
      </c>
      <c r="B261" s="28" t="s">
        <v>96</v>
      </c>
      <c r="C261" s="28" t="s">
        <v>97</v>
      </c>
      <c r="D261" s="28" t="s">
        <v>98</v>
      </c>
      <c r="E261" s="28" t="s">
        <v>99</v>
      </c>
      <c r="F261" s="29" t="s">
        <v>39</v>
      </c>
      <c r="G261" s="30">
        <v>12.63</v>
      </c>
      <c r="H261" s="31">
        <v>112.16</v>
      </c>
      <c r="I261" s="39"/>
      <c r="J261" s="31">
        <f>H261*(1-$I$4)</f>
        <v>112.16</v>
      </c>
      <c r="K261" s="33">
        <f>ROUND(G261*J261,2)</f>
        <v>1416.58</v>
      </c>
      <c r="L261" s="34" t="s">
        <v>28</v>
      </c>
      <c r="M261" s="35"/>
      <c r="N261" s="3">
        <v>1</v>
      </c>
      <c r="O261" s="21">
        <v>79.3</v>
      </c>
      <c r="P261" s="22" t="s">
        <v>100</v>
      </c>
      <c r="Q261" s="38"/>
      <c r="R261" s="38"/>
    </row>
    <row r="262" s="3" customFormat="1" ht="48" customHeight="1" outlineLevel="2" spans="1:18">
      <c r="A262" s="41">
        <f>1+N(A261)</f>
        <v>3</v>
      </c>
      <c r="B262" s="28" t="s">
        <v>101</v>
      </c>
      <c r="C262" s="28" t="s">
        <v>102</v>
      </c>
      <c r="D262" s="28" t="s">
        <v>98</v>
      </c>
      <c r="E262" s="28" t="s">
        <v>99</v>
      </c>
      <c r="F262" s="29" t="s">
        <v>39</v>
      </c>
      <c r="G262" s="30">
        <v>12.63</v>
      </c>
      <c r="H262" s="31">
        <v>75.82</v>
      </c>
      <c r="I262" s="39"/>
      <c r="J262" s="31">
        <f>H262*(1-$I$4)</f>
        <v>75.82</v>
      </c>
      <c r="K262" s="33">
        <f>ROUND(G262*J262,2)</f>
        <v>957.61</v>
      </c>
      <c r="L262" s="34" t="s">
        <v>28</v>
      </c>
      <c r="M262" s="35"/>
      <c r="N262" s="3">
        <v>1</v>
      </c>
      <c r="O262" s="21">
        <v>203.56</v>
      </c>
      <c r="P262" s="22" t="s">
        <v>103</v>
      </c>
      <c r="Q262" s="38"/>
      <c r="R262" s="38"/>
    </row>
    <row r="263" s="3" customFormat="1" ht="132" customHeight="1" outlineLevel="2" spans="1:18">
      <c r="A263" s="41">
        <f>1+N(A262)</f>
        <v>4</v>
      </c>
      <c r="B263" s="28" t="s">
        <v>107</v>
      </c>
      <c r="C263" s="28" t="s">
        <v>108</v>
      </c>
      <c r="D263" s="28" t="s">
        <v>109</v>
      </c>
      <c r="E263" s="28" t="s">
        <v>110</v>
      </c>
      <c r="F263" s="29" t="s">
        <v>27</v>
      </c>
      <c r="G263" s="30">
        <v>24.19</v>
      </c>
      <c r="H263" s="31">
        <v>152.22</v>
      </c>
      <c r="I263" s="39"/>
      <c r="J263" s="31">
        <f>H263*(1-$I$4)</f>
        <v>152.22</v>
      </c>
      <c r="K263" s="33">
        <f>ROUND(G263*J263,2)</f>
        <v>3682.2</v>
      </c>
      <c r="L263" s="34" t="s">
        <v>28</v>
      </c>
      <c r="M263" s="35"/>
      <c r="N263" s="3">
        <v>1</v>
      </c>
      <c r="O263" s="21">
        <v>151.58</v>
      </c>
      <c r="P263" s="22" t="s">
        <v>111</v>
      </c>
      <c r="Q263" s="38"/>
      <c r="R263" s="38"/>
    </row>
    <row r="264" s="3" customFormat="1" outlineLevel="1" spans="1:18">
      <c r="A264" s="40"/>
      <c r="B264" s="28" t="s">
        <v>112</v>
      </c>
      <c r="C264" s="28"/>
      <c r="D264" s="28"/>
      <c r="E264" s="28"/>
      <c r="F264" s="29"/>
      <c r="G264" s="30"/>
      <c r="H264" s="31"/>
      <c r="I264" s="39"/>
      <c r="J264" s="31"/>
      <c r="K264" s="33"/>
      <c r="L264" s="34"/>
      <c r="M264" s="35"/>
      <c r="O264" s="36"/>
      <c r="P264" s="37"/>
      <c r="Q264" s="38"/>
      <c r="R264" s="38"/>
    </row>
    <row r="265" s="3" customFormat="1" ht="60" customHeight="1" outlineLevel="2" spans="1:18">
      <c r="A265" s="41">
        <f>1+N(A264)</f>
        <v>1</v>
      </c>
      <c r="B265" s="28" t="s">
        <v>134</v>
      </c>
      <c r="C265" s="28" t="s">
        <v>114</v>
      </c>
      <c r="D265" s="28" t="s">
        <v>98</v>
      </c>
      <c r="E265" s="28" t="s">
        <v>115</v>
      </c>
      <c r="F265" s="29" t="s">
        <v>27</v>
      </c>
      <c r="G265" s="30">
        <v>2.1</v>
      </c>
      <c r="H265" s="31">
        <v>962.68</v>
      </c>
      <c r="I265" s="39"/>
      <c r="J265" s="31">
        <f>H265*(1-$I$4)</f>
        <v>962.68</v>
      </c>
      <c r="K265" s="33">
        <f>ROUND(G265*J265,2)</f>
        <v>2021.63</v>
      </c>
      <c r="L265" s="34" t="s">
        <v>28</v>
      </c>
      <c r="M265" s="35"/>
      <c r="N265" s="3">
        <v>1</v>
      </c>
      <c r="O265" s="21">
        <v>665.69</v>
      </c>
      <c r="P265" s="22" t="s">
        <v>116</v>
      </c>
      <c r="Q265" s="38"/>
      <c r="R265" s="38"/>
    </row>
    <row r="266" s="3" customFormat="1" ht="96" customHeight="1" outlineLevel="2" spans="1:18">
      <c r="A266" s="41">
        <f>1+N(A265)</f>
        <v>2</v>
      </c>
      <c r="B266" s="28" t="s">
        <v>117</v>
      </c>
      <c r="C266" s="28" t="s">
        <v>118</v>
      </c>
      <c r="D266" s="28" t="s">
        <v>98</v>
      </c>
      <c r="E266" s="28" t="s">
        <v>115</v>
      </c>
      <c r="F266" s="29" t="s">
        <v>27</v>
      </c>
      <c r="G266" s="30">
        <v>6</v>
      </c>
      <c r="H266" s="31">
        <v>7530.97</v>
      </c>
      <c r="I266" s="39"/>
      <c r="J266" s="31">
        <f>H266*(1-$I$4)</f>
        <v>7530.97</v>
      </c>
      <c r="K266" s="33">
        <f>ROUND(G266*J266,2)</f>
        <v>45185.82</v>
      </c>
      <c r="L266" s="34" t="s">
        <v>28</v>
      </c>
      <c r="M266" s="35"/>
      <c r="N266" s="3">
        <v>1</v>
      </c>
      <c r="O266" s="21">
        <v>2009.15</v>
      </c>
      <c r="P266" s="22" t="s">
        <v>119</v>
      </c>
      <c r="Q266" s="38"/>
      <c r="R266" s="38"/>
    </row>
    <row r="267" s="3" customFormat="1" ht="48" customHeight="1" outlineLevel="2" spans="1:18">
      <c r="A267" s="41">
        <f>1+N(A266)</f>
        <v>3</v>
      </c>
      <c r="B267" s="28" t="s">
        <v>120</v>
      </c>
      <c r="C267" s="28" t="s">
        <v>121</v>
      </c>
      <c r="D267" s="28" t="s">
        <v>98</v>
      </c>
      <c r="E267" s="28" t="s">
        <v>115</v>
      </c>
      <c r="F267" s="29" t="s">
        <v>27</v>
      </c>
      <c r="G267" s="30">
        <v>4.35</v>
      </c>
      <c r="H267" s="31">
        <v>610.9</v>
      </c>
      <c r="I267" s="39"/>
      <c r="J267" s="31">
        <f>H267*(1-$I$4)</f>
        <v>610.9</v>
      </c>
      <c r="K267" s="33">
        <f>ROUND(G267*J267,2)</f>
        <v>2657.42</v>
      </c>
      <c r="L267" s="34" t="s">
        <v>28</v>
      </c>
      <c r="M267" s="35"/>
      <c r="N267" s="3">
        <v>1</v>
      </c>
      <c r="O267" s="21">
        <v>657.42</v>
      </c>
      <c r="P267" s="22" t="s">
        <v>122</v>
      </c>
      <c r="Q267" s="38"/>
      <c r="R267" s="38"/>
    </row>
    <row r="268" s="3" customFormat="1" ht="24" customHeight="1" outlineLevel="1" spans="1:18">
      <c r="A268" s="27" t="s">
        <v>164</v>
      </c>
      <c r="B268" s="28" t="s">
        <v>260</v>
      </c>
      <c r="C268" s="28"/>
      <c r="D268" s="28"/>
      <c r="E268" s="28"/>
      <c r="F268" s="29"/>
      <c r="G268" s="30"/>
      <c r="H268" s="31"/>
      <c r="I268" s="39"/>
      <c r="J268" s="31"/>
      <c r="K268" s="33"/>
      <c r="L268" s="34"/>
      <c r="M268" s="35"/>
      <c r="O268" s="42"/>
      <c r="P268" s="37"/>
      <c r="Q268" s="38"/>
      <c r="R268" s="38"/>
    </row>
    <row r="269" s="3" customFormat="1" outlineLevel="1" spans="1:18">
      <c r="A269" s="40"/>
      <c r="B269" s="28" t="s">
        <v>22</v>
      </c>
      <c r="C269" s="28"/>
      <c r="D269" s="28"/>
      <c r="E269" s="28"/>
      <c r="F269" s="29"/>
      <c r="G269" s="30"/>
      <c r="H269" s="31"/>
      <c r="I269" s="39"/>
      <c r="J269" s="31"/>
      <c r="K269" s="33"/>
      <c r="L269" s="34"/>
      <c r="M269" s="35"/>
      <c r="O269" s="36"/>
      <c r="P269" s="37"/>
      <c r="Q269" s="38"/>
      <c r="R269" s="38"/>
    </row>
    <row r="270" s="3" customFormat="1" ht="108" customHeight="1" outlineLevel="2" spans="1:18">
      <c r="A270" s="41">
        <f>1+N(A269)</f>
        <v>1</v>
      </c>
      <c r="B270" s="28" t="s">
        <v>23</v>
      </c>
      <c r="C270" s="28" t="s">
        <v>24</v>
      </c>
      <c r="D270" s="28" t="s">
        <v>25</v>
      </c>
      <c r="E270" s="28" t="s">
        <v>26</v>
      </c>
      <c r="F270" s="29" t="s">
        <v>27</v>
      </c>
      <c r="G270" s="30">
        <v>46.2</v>
      </c>
      <c r="H270" s="31">
        <v>940.91</v>
      </c>
      <c r="I270" s="39"/>
      <c r="J270" s="31">
        <f>H270*(1-$I$4)</f>
        <v>940.91</v>
      </c>
      <c r="K270" s="33">
        <f>ROUND(G270*J270,2)</f>
        <v>43470.04</v>
      </c>
      <c r="L270" s="34" t="s">
        <v>28</v>
      </c>
      <c r="M270" s="35"/>
      <c r="N270" s="3">
        <v>1</v>
      </c>
      <c r="O270" s="21">
        <v>886.6</v>
      </c>
      <c r="P270" s="22" t="s">
        <v>29</v>
      </c>
      <c r="Q270" s="38"/>
      <c r="R270" s="38"/>
    </row>
    <row r="271" s="3" customFormat="1" ht="108" customHeight="1" outlineLevel="2" spans="1:18">
      <c r="A271" s="41">
        <f>1+N(A270)</f>
        <v>2</v>
      </c>
      <c r="B271" s="28" t="s">
        <v>126</v>
      </c>
      <c r="C271" s="28" t="s">
        <v>127</v>
      </c>
      <c r="D271" s="28" t="s">
        <v>25</v>
      </c>
      <c r="E271" s="28" t="s">
        <v>26</v>
      </c>
      <c r="F271" s="29" t="s">
        <v>27</v>
      </c>
      <c r="G271" s="30">
        <v>41.1</v>
      </c>
      <c r="H271" s="31">
        <v>1303.93</v>
      </c>
      <c r="I271" s="39"/>
      <c r="J271" s="31">
        <f>H271*(1-$I$4)</f>
        <v>1303.93</v>
      </c>
      <c r="K271" s="33">
        <f>ROUND(G271*J271,2)</f>
        <v>53591.52</v>
      </c>
      <c r="L271" s="34" t="s">
        <v>28</v>
      </c>
      <c r="M271" s="35"/>
      <c r="N271" s="3">
        <v>1</v>
      </c>
      <c r="O271" s="21">
        <v>1135.86</v>
      </c>
      <c r="P271" s="22" t="s">
        <v>128</v>
      </c>
      <c r="Q271" s="38"/>
      <c r="R271" s="38"/>
    </row>
    <row r="272" s="3" customFormat="1" ht="72" customHeight="1" outlineLevel="2" spans="1:18">
      <c r="A272" s="41">
        <f>1+N(A271)</f>
        <v>3</v>
      </c>
      <c r="B272" s="28" t="s">
        <v>36</v>
      </c>
      <c r="C272" s="28" t="s">
        <v>37</v>
      </c>
      <c r="D272" s="28" t="s">
        <v>25</v>
      </c>
      <c r="E272" s="28" t="s">
        <v>38</v>
      </c>
      <c r="F272" s="29" t="s">
        <v>39</v>
      </c>
      <c r="G272" s="30">
        <v>24.96</v>
      </c>
      <c r="H272" s="31">
        <v>89.27</v>
      </c>
      <c r="I272" s="39"/>
      <c r="J272" s="31">
        <f>H272*(1-$I$4)</f>
        <v>89.27</v>
      </c>
      <c r="K272" s="33">
        <f>ROUND(G272*J272,2)</f>
        <v>2228.18</v>
      </c>
      <c r="L272" s="34" t="s">
        <v>28</v>
      </c>
      <c r="M272" s="35"/>
      <c r="N272" s="3">
        <v>1</v>
      </c>
      <c r="O272" s="21">
        <v>35.28</v>
      </c>
      <c r="P272" s="22" t="s">
        <v>40</v>
      </c>
      <c r="Q272" s="38"/>
      <c r="R272" s="38"/>
    </row>
    <row r="273" s="3" customFormat="1" ht="72" customHeight="1" outlineLevel="2" spans="1:18">
      <c r="A273" s="41">
        <f>1+N(A272)</f>
        <v>4</v>
      </c>
      <c r="B273" s="28" t="s">
        <v>41</v>
      </c>
      <c r="C273" s="28" t="s">
        <v>42</v>
      </c>
      <c r="D273" s="28" t="s">
        <v>25</v>
      </c>
      <c r="E273" s="28" t="s">
        <v>26</v>
      </c>
      <c r="F273" s="29" t="s">
        <v>27</v>
      </c>
      <c r="G273" s="30">
        <v>87.3</v>
      </c>
      <c r="H273" s="31">
        <v>64.9</v>
      </c>
      <c r="I273" s="39"/>
      <c r="J273" s="31">
        <f>H273*(1-$I$4)</f>
        <v>64.9</v>
      </c>
      <c r="K273" s="33">
        <f>ROUND(G273*J273,2)</f>
        <v>5665.77</v>
      </c>
      <c r="L273" s="34" t="s">
        <v>28</v>
      </c>
      <c r="M273" s="35"/>
      <c r="N273" s="3">
        <v>1</v>
      </c>
      <c r="O273" s="21">
        <v>61.38</v>
      </c>
      <c r="P273" s="22" t="s">
        <v>43</v>
      </c>
      <c r="Q273" s="38"/>
      <c r="R273" s="38"/>
    </row>
    <row r="274" s="3" customFormat="1" outlineLevel="1" spans="1:18">
      <c r="A274" s="40"/>
      <c r="B274" s="28" t="s">
        <v>44</v>
      </c>
      <c r="C274" s="28"/>
      <c r="D274" s="28"/>
      <c r="E274" s="28"/>
      <c r="F274" s="29"/>
      <c r="G274" s="30"/>
      <c r="H274" s="31"/>
      <c r="I274" s="39"/>
      <c r="J274" s="31"/>
      <c r="K274" s="33"/>
      <c r="L274" s="34"/>
      <c r="M274" s="35"/>
      <c r="O274" s="36"/>
      <c r="P274" s="37"/>
      <c r="Q274" s="38"/>
      <c r="R274" s="38"/>
    </row>
    <row r="275" s="3" customFormat="1" ht="108" customHeight="1" outlineLevel="2" spans="1:18">
      <c r="A275" s="41">
        <f t="shared" ref="A275:A280" si="33">1+N(A274)</f>
        <v>1</v>
      </c>
      <c r="B275" s="28" t="s">
        <v>45</v>
      </c>
      <c r="C275" s="28" t="s">
        <v>46</v>
      </c>
      <c r="D275" s="28" t="s">
        <v>47</v>
      </c>
      <c r="E275" s="28" t="s">
        <v>48</v>
      </c>
      <c r="F275" s="29" t="s">
        <v>27</v>
      </c>
      <c r="G275" s="30">
        <v>18.68</v>
      </c>
      <c r="H275" s="31">
        <v>2668.45</v>
      </c>
      <c r="I275" s="39"/>
      <c r="J275" s="31">
        <f t="shared" ref="J275:J280" si="34">H275*(1-$I$4)</f>
        <v>2668.45</v>
      </c>
      <c r="K275" s="33">
        <f t="shared" ref="K275:K280" si="35">ROUND(G275*J275,2)</f>
        <v>49846.65</v>
      </c>
      <c r="L275" s="34" t="s">
        <v>28</v>
      </c>
      <c r="M275" s="35"/>
      <c r="N275" s="3">
        <v>1</v>
      </c>
      <c r="O275" s="21">
        <v>1019.76</v>
      </c>
      <c r="P275" s="22" t="s">
        <v>49</v>
      </c>
      <c r="Q275" s="38"/>
      <c r="R275" s="38"/>
    </row>
    <row r="276" s="3" customFormat="1" ht="156" customHeight="1" outlineLevel="2" spans="1:18">
      <c r="A276" s="41">
        <f t="shared" si="33"/>
        <v>2</v>
      </c>
      <c r="B276" s="28" t="s">
        <v>50</v>
      </c>
      <c r="C276" s="28" t="s">
        <v>51</v>
      </c>
      <c r="D276" s="28" t="s">
        <v>52</v>
      </c>
      <c r="E276" s="28" t="s">
        <v>48</v>
      </c>
      <c r="F276" s="29" t="s">
        <v>27</v>
      </c>
      <c r="G276" s="30">
        <v>74.89</v>
      </c>
      <c r="H276" s="31">
        <v>971.67</v>
      </c>
      <c r="I276" s="39"/>
      <c r="J276" s="31">
        <f t="shared" si="34"/>
        <v>971.67</v>
      </c>
      <c r="K276" s="33">
        <f t="shared" si="35"/>
        <v>72768.37</v>
      </c>
      <c r="L276" s="34" t="s">
        <v>28</v>
      </c>
      <c r="M276" s="35"/>
      <c r="N276" s="3">
        <v>1</v>
      </c>
      <c r="O276" s="21">
        <v>1000.51</v>
      </c>
      <c r="P276" s="22" t="s">
        <v>261</v>
      </c>
      <c r="Q276" s="38"/>
      <c r="R276" s="38"/>
    </row>
    <row r="277" s="3" customFormat="1" ht="96" customHeight="1" outlineLevel="2" spans="1:18">
      <c r="A277" s="41">
        <f t="shared" si="33"/>
        <v>3</v>
      </c>
      <c r="B277" s="28" t="s">
        <v>57</v>
      </c>
      <c r="C277" s="28" t="s">
        <v>58</v>
      </c>
      <c r="D277" s="28" t="s">
        <v>59</v>
      </c>
      <c r="E277" s="28" t="s">
        <v>26</v>
      </c>
      <c r="F277" s="29" t="s">
        <v>27</v>
      </c>
      <c r="G277" s="30">
        <v>18.71</v>
      </c>
      <c r="H277" s="31">
        <v>220.01</v>
      </c>
      <c r="I277" s="39"/>
      <c r="J277" s="31">
        <f t="shared" si="34"/>
        <v>220.01</v>
      </c>
      <c r="K277" s="33">
        <f t="shared" si="35"/>
        <v>4116.39</v>
      </c>
      <c r="L277" s="34" t="s">
        <v>28</v>
      </c>
      <c r="M277" s="35"/>
      <c r="N277" s="3">
        <v>1</v>
      </c>
      <c r="O277" s="21">
        <v>169.24</v>
      </c>
      <c r="P277" s="22" t="s">
        <v>60</v>
      </c>
      <c r="Q277" s="38"/>
      <c r="R277" s="38"/>
    </row>
    <row r="278" s="3" customFormat="1" ht="96" customHeight="1" outlineLevel="2" spans="1:18">
      <c r="A278" s="41">
        <f t="shared" si="33"/>
        <v>4</v>
      </c>
      <c r="B278" s="28" t="s">
        <v>75</v>
      </c>
      <c r="C278" s="28" t="s">
        <v>76</v>
      </c>
      <c r="D278" s="28" t="s">
        <v>59</v>
      </c>
      <c r="E278" s="28" t="s">
        <v>38</v>
      </c>
      <c r="F278" s="29" t="s">
        <v>39</v>
      </c>
      <c r="G278" s="30">
        <v>37.67</v>
      </c>
      <c r="H278" s="31">
        <v>67.08</v>
      </c>
      <c r="I278" s="39"/>
      <c r="J278" s="31">
        <f t="shared" si="34"/>
        <v>67.08</v>
      </c>
      <c r="K278" s="33">
        <f t="shared" si="35"/>
        <v>2526.9</v>
      </c>
      <c r="L278" s="34" t="s">
        <v>28</v>
      </c>
      <c r="M278" s="35"/>
      <c r="N278" s="3">
        <v>1</v>
      </c>
      <c r="O278" s="21">
        <v>45.71</v>
      </c>
      <c r="P278" s="22" t="s">
        <v>77</v>
      </c>
      <c r="Q278" s="38"/>
      <c r="R278" s="38"/>
    </row>
    <row r="279" s="3" customFormat="1" ht="96" customHeight="1" outlineLevel="2" spans="1:18">
      <c r="A279" s="41">
        <f t="shared" si="33"/>
        <v>5</v>
      </c>
      <c r="B279" s="28" t="s">
        <v>84</v>
      </c>
      <c r="C279" s="28" t="s">
        <v>85</v>
      </c>
      <c r="D279" s="28" t="s">
        <v>59</v>
      </c>
      <c r="E279" s="28" t="s">
        <v>38</v>
      </c>
      <c r="F279" s="29" t="s">
        <v>39</v>
      </c>
      <c r="G279" s="30">
        <v>37.67</v>
      </c>
      <c r="H279" s="31">
        <v>117.84</v>
      </c>
      <c r="I279" s="39"/>
      <c r="J279" s="31">
        <f t="shared" si="34"/>
        <v>117.84</v>
      </c>
      <c r="K279" s="33">
        <f t="shared" si="35"/>
        <v>4439.03</v>
      </c>
      <c r="L279" s="34" t="s">
        <v>28</v>
      </c>
      <c r="M279" s="35"/>
      <c r="N279" s="3">
        <v>1</v>
      </c>
      <c r="O279" s="21">
        <v>95.14</v>
      </c>
      <c r="P279" s="22" t="s">
        <v>86</v>
      </c>
      <c r="Q279" s="38"/>
      <c r="R279" s="38"/>
    </row>
    <row r="280" s="3" customFormat="1" ht="96" customHeight="1" outlineLevel="2" spans="1:18">
      <c r="A280" s="41">
        <f t="shared" si="33"/>
        <v>6</v>
      </c>
      <c r="B280" s="28" t="s">
        <v>87</v>
      </c>
      <c r="C280" s="28" t="s">
        <v>88</v>
      </c>
      <c r="D280" s="28" t="s">
        <v>59</v>
      </c>
      <c r="E280" s="28" t="s">
        <v>38</v>
      </c>
      <c r="F280" s="29" t="s">
        <v>39</v>
      </c>
      <c r="G280" s="30">
        <v>38.87</v>
      </c>
      <c r="H280" s="31">
        <v>64.25</v>
      </c>
      <c r="I280" s="39"/>
      <c r="J280" s="31">
        <f t="shared" si="34"/>
        <v>64.25</v>
      </c>
      <c r="K280" s="33">
        <f t="shared" si="35"/>
        <v>2497.4</v>
      </c>
      <c r="L280" s="34" t="s">
        <v>28</v>
      </c>
      <c r="M280" s="35"/>
      <c r="N280" s="3">
        <v>1</v>
      </c>
      <c r="O280" s="21">
        <v>43.16</v>
      </c>
      <c r="P280" s="22" t="s">
        <v>89</v>
      </c>
      <c r="Q280" s="38"/>
      <c r="R280" s="38"/>
    </row>
    <row r="281" s="3" customFormat="1" outlineLevel="1" spans="1:18">
      <c r="A281" s="40"/>
      <c r="B281" s="28" t="s">
        <v>90</v>
      </c>
      <c r="C281" s="28"/>
      <c r="D281" s="28"/>
      <c r="E281" s="28"/>
      <c r="F281" s="29"/>
      <c r="G281" s="30"/>
      <c r="H281" s="31"/>
      <c r="I281" s="39"/>
      <c r="J281" s="31"/>
      <c r="K281" s="33"/>
      <c r="L281" s="34"/>
      <c r="M281" s="35"/>
      <c r="O281" s="36"/>
      <c r="P281" s="37"/>
      <c r="Q281" s="38"/>
      <c r="R281" s="38"/>
    </row>
    <row r="282" s="3" customFormat="1" ht="168" customHeight="1" outlineLevel="2" spans="1:18">
      <c r="A282" s="41">
        <f>1+N(A281)</f>
        <v>1</v>
      </c>
      <c r="B282" s="28" t="s">
        <v>91</v>
      </c>
      <c r="C282" s="28" t="s">
        <v>92</v>
      </c>
      <c r="D282" s="28" t="s">
        <v>93</v>
      </c>
      <c r="E282" s="28" t="s">
        <v>94</v>
      </c>
      <c r="F282" s="29" t="s">
        <v>27</v>
      </c>
      <c r="G282" s="30">
        <v>51.46</v>
      </c>
      <c r="H282" s="31">
        <v>174.57</v>
      </c>
      <c r="I282" s="39"/>
      <c r="J282" s="31">
        <f>H282*(1-$I$4)</f>
        <v>174.57</v>
      </c>
      <c r="K282" s="33">
        <f>ROUND(G282*J282,2)</f>
        <v>8983.37</v>
      </c>
      <c r="L282" s="34" t="s">
        <v>28</v>
      </c>
      <c r="M282" s="35"/>
      <c r="N282" s="3">
        <v>1</v>
      </c>
      <c r="O282" s="21">
        <v>150.38</v>
      </c>
      <c r="P282" s="22" t="s">
        <v>95</v>
      </c>
      <c r="Q282" s="38"/>
      <c r="R282" s="38"/>
    </row>
    <row r="283" s="3" customFormat="1" ht="168" customHeight="1" outlineLevel="2" spans="1:18">
      <c r="A283" s="41">
        <f>1+N(A282)</f>
        <v>2</v>
      </c>
      <c r="B283" s="28" t="s">
        <v>130</v>
      </c>
      <c r="C283" s="28" t="s">
        <v>131</v>
      </c>
      <c r="D283" s="28" t="s">
        <v>93</v>
      </c>
      <c r="E283" s="28" t="s">
        <v>94</v>
      </c>
      <c r="F283" s="29" t="s">
        <v>27</v>
      </c>
      <c r="G283" s="30">
        <v>35.84</v>
      </c>
      <c r="H283" s="31">
        <v>291.17</v>
      </c>
      <c r="I283" s="39"/>
      <c r="J283" s="31">
        <f>H283*(1-$I$4)</f>
        <v>291.17</v>
      </c>
      <c r="K283" s="33">
        <f>ROUND(G283*J283,2)</f>
        <v>10435.53</v>
      </c>
      <c r="L283" s="34" t="s">
        <v>28</v>
      </c>
      <c r="M283" s="35"/>
      <c r="N283" s="3">
        <v>1</v>
      </c>
      <c r="O283" s="21">
        <v>238.38</v>
      </c>
      <c r="P283" s="22" t="s">
        <v>132</v>
      </c>
      <c r="Q283" s="38"/>
      <c r="R283" s="38"/>
    </row>
    <row r="284" s="3" customFormat="1" ht="48" customHeight="1" outlineLevel="2" spans="1:18">
      <c r="A284" s="41">
        <f>1+N(A283)</f>
        <v>3</v>
      </c>
      <c r="B284" s="28" t="s">
        <v>96</v>
      </c>
      <c r="C284" s="28" t="s">
        <v>97</v>
      </c>
      <c r="D284" s="28" t="s">
        <v>98</v>
      </c>
      <c r="E284" s="28" t="s">
        <v>99</v>
      </c>
      <c r="F284" s="29" t="s">
        <v>39</v>
      </c>
      <c r="G284" s="30">
        <v>75.58</v>
      </c>
      <c r="H284" s="31">
        <v>112.16</v>
      </c>
      <c r="I284" s="39"/>
      <c r="J284" s="31">
        <f>H284*(1-$I$4)</f>
        <v>112.16</v>
      </c>
      <c r="K284" s="33">
        <f>ROUND(G284*J284,2)</f>
        <v>8477.05</v>
      </c>
      <c r="L284" s="34" t="s">
        <v>28</v>
      </c>
      <c r="M284" s="35"/>
      <c r="N284" s="3">
        <v>1</v>
      </c>
      <c r="O284" s="21">
        <v>79.3</v>
      </c>
      <c r="P284" s="22" t="s">
        <v>100</v>
      </c>
      <c r="Q284" s="38"/>
      <c r="R284" s="38"/>
    </row>
    <row r="285" s="3" customFormat="1" ht="48" customHeight="1" outlineLevel="2" spans="1:18">
      <c r="A285" s="41">
        <f>1+N(A284)</f>
        <v>4</v>
      </c>
      <c r="B285" s="28" t="s">
        <v>101</v>
      </c>
      <c r="C285" s="28" t="s">
        <v>102</v>
      </c>
      <c r="D285" s="28" t="s">
        <v>98</v>
      </c>
      <c r="E285" s="28" t="s">
        <v>99</v>
      </c>
      <c r="F285" s="29" t="s">
        <v>39</v>
      </c>
      <c r="G285" s="30">
        <v>75.58</v>
      </c>
      <c r="H285" s="31">
        <v>75.82</v>
      </c>
      <c r="I285" s="39"/>
      <c r="J285" s="31">
        <f>H285*(1-$I$4)</f>
        <v>75.82</v>
      </c>
      <c r="K285" s="33">
        <f>ROUND(G285*J285,2)</f>
        <v>5730.48</v>
      </c>
      <c r="L285" s="34" t="s">
        <v>28</v>
      </c>
      <c r="M285" s="35"/>
      <c r="N285" s="3">
        <v>1</v>
      </c>
      <c r="O285" s="21">
        <v>203.56</v>
      </c>
      <c r="P285" s="22" t="s">
        <v>103</v>
      </c>
      <c r="Q285" s="38"/>
      <c r="R285" s="38"/>
    </row>
    <row r="286" s="3" customFormat="1" ht="132" customHeight="1" outlineLevel="2" spans="1:18">
      <c r="A286" s="41">
        <f>1+N(A285)</f>
        <v>5</v>
      </c>
      <c r="B286" s="28" t="s">
        <v>107</v>
      </c>
      <c r="C286" s="28" t="s">
        <v>108</v>
      </c>
      <c r="D286" s="28" t="s">
        <v>109</v>
      </c>
      <c r="E286" s="28" t="s">
        <v>110</v>
      </c>
      <c r="F286" s="29" t="s">
        <v>27</v>
      </c>
      <c r="G286" s="30">
        <v>109.98</v>
      </c>
      <c r="H286" s="31">
        <v>152.22</v>
      </c>
      <c r="I286" s="39"/>
      <c r="J286" s="31">
        <f>H286*(1-$I$4)</f>
        <v>152.22</v>
      </c>
      <c r="K286" s="33">
        <f>ROUND(G286*J286,2)</f>
        <v>16741.16</v>
      </c>
      <c r="L286" s="34" t="s">
        <v>28</v>
      </c>
      <c r="M286" s="35"/>
      <c r="N286" s="3">
        <v>1</v>
      </c>
      <c r="O286" s="21">
        <v>151.58</v>
      </c>
      <c r="P286" s="22" t="s">
        <v>111</v>
      </c>
      <c r="Q286" s="38"/>
      <c r="R286" s="38"/>
    </row>
    <row r="287" s="3" customFormat="1" outlineLevel="1" spans="1:18">
      <c r="A287" s="40"/>
      <c r="B287" s="28" t="s">
        <v>112</v>
      </c>
      <c r="C287" s="28"/>
      <c r="D287" s="28"/>
      <c r="E287" s="28"/>
      <c r="F287" s="29"/>
      <c r="G287" s="30"/>
      <c r="H287" s="31"/>
      <c r="I287" s="39"/>
      <c r="J287" s="31"/>
      <c r="K287" s="33"/>
      <c r="L287" s="34"/>
      <c r="M287" s="35"/>
      <c r="O287" s="36"/>
      <c r="P287" s="37"/>
      <c r="Q287" s="38"/>
      <c r="R287" s="38"/>
    </row>
    <row r="288" s="3" customFormat="1" ht="60" customHeight="1" outlineLevel="2" spans="1:18">
      <c r="A288" s="41">
        <f>1+N(A287)</f>
        <v>1</v>
      </c>
      <c r="B288" s="28" t="s">
        <v>134</v>
      </c>
      <c r="C288" s="28" t="s">
        <v>114</v>
      </c>
      <c r="D288" s="28" t="s">
        <v>98</v>
      </c>
      <c r="E288" s="28" t="s">
        <v>115</v>
      </c>
      <c r="F288" s="29" t="s">
        <v>27</v>
      </c>
      <c r="G288" s="30">
        <v>2.1</v>
      </c>
      <c r="H288" s="31">
        <v>962.68</v>
      </c>
      <c r="I288" s="39"/>
      <c r="J288" s="31">
        <f>H288*(1-$I$4)</f>
        <v>962.68</v>
      </c>
      <c r="K288" s="33">
        <f>ROUND(G288*J288,2)</f>
        <v>2021.63</v>
      </c>
      <c r="L288" s="34" t="s">
        <v>28</v>
      </c>
      <c r="M288" s="35"/>
      <c r="N288" s="3">
        <v>1</v>
      </c>
      <c r="O288" s="21">
        <v>665.69</v>
      </c>
      <c r="P288" s="22" t="s">
        <v>116</v>
      </c>
      <c r="Q288" s="38"/>
      <c r="R288" s="38"/>
    </row>
    <row r="289" s="3" customFormat="1" ht="24" outlineLevel="1" spans="1:18">
      <c r="A289" s="27" t="s">
        <v>177</v>
      </c>
      <c r="B289" s="28" t="s">
        <v>262</v>
      </c>
      <c r="C289" s="28"/>
      <c r="D289" s="28"/>
      <c r="E289" s="28"/>
      <c r="F289" s="29"/>
      <c r="G289" s="30"/>
      <c r="H289" s="31"/>
      <c r="I289" s="39"/>
      <c r="J289" s="31"/>
      <c r="K289" s="33"/>
      <c r="L289" s="34"/>
      <c r="M289" s="35"/>
      <c r="O289" s="42"/>
      <c r="P289" s="37"/>
      <c r="Q289" s="38"/>
      <c r="R289" s="38"/>
    </row>
    <row r="290" s="3" customFormat="1" outlineLevel="1" spans="1:18">
      <c r="A290" s="40"/>
      <c r="B290" s="28" t="s">
        <v>22</v>
      </c>
      <c r="C290" s="28"/>
      <c r="D290" s="28"/>
      <c r="E290" s="28"/>
      <c r="F290" s="29"/>
      <c r="G290" s="30"/>
      <c r="H290" s="31"/>
      <c r="I290" s="39"/>
      <c r="J290" s="31"/>
      <c r="K290" s="33"/>
      <c r="L290" s="34"/>
      <c r="M290" s="35"/>
      <c r="O290" s="36"/>
      <c r="P290" s="37"/>
      <c r="Q290" s="38"/>
      <c r="R290" s="38"/>
    </row>
    <row r="291" s="3" customFormat="1" ht="108" customHeight="1" outlineLevel="2" spans="1:18">
      <c r="A291" s="41">
        <f>1+N(A290)</f>
        <v>1</v>
      </c>
      <c r="B291" s="28" t="s">
        <v>23</v>
      </c>
      <c r="C291" s="28" t="s">
        <v>24</v>
      </c>
      <c r="D291" s="28" t="s">
        <v>25</v>
      </c>
      <c r="E291" s="28" t="s">
        <v>26</v>
      </c>
      <c r="F291" s="29" t="s">
        <v>27</v>
      </c>
      <c r="G291" s="30">
        <v>0.52</v>
      </c>
      <c r="H291" s="31">
        <v>940.91</v>
      </c>
      <c r="I291" s="39"/>
      <c r="J291" s="31">
        <f>H291*(1-$I$4)</f>
        <v>940.91</v>
      </c>
      <c r="K291" s="33">
        <f>ROUND(G291*J291,2)</f>
        <v>489.27</v>
      </c>
      <c r="L291" s="34" t="s">
        <v>28</v>
      </c>
      <c r="M291" s="35"/>
      <c r="N291" s="3">
        <v>1</v>
      </c>
      <c r="O291" s="21">
        <v>886.6</v>
      </c>
      <c r="P291" s="22" t="s">
        <v>29</v>
      </c>
      <c r="Q291" s="38"/>
      <c r="R291" s="38"/>
    </row>
    <row r="292" s="3" customFormat="1" ht="84" customHeight="1" outlineLevel="2" spans="1:18">
      <c r="A292" s="41">
        <f>1+N(A291)</f>
        <v>2</v>
      </c>
      <c r="B292" s="28" t="s">
        <v>33</v>
      </c>
      <c r="C292" s="28" t="s">
        <v>34</v>
      </c>
      <c r="D292" s="28" t="s">
        <v>25</v>
      </c>
      <c r="E292" s="28" t="s">
        <v>26</v>
      </c>
      <c r="F292" s="29" t="s">
        <v>27</v>
      </c>
      <c r="G292" s="30">
        <v>2.42</v>
      </c>
      <c r="H292" s="31">
        <v>336.76</v>
      </c>
      <c r="I292" s="39"/>
      <c r="J292" s="31">
        <f>H292*(1-$I$4)</f>
        <v>336.76</v>
      </c>
      <c r="K292" s="33">
        <f>ROUND(G292*J292,2)</f>
        <v>814.96</v>
      </c>
      <c r="L292" s="34" t="s">
        <v>28</v>
      </c>
      <c r="M292" s="35"/>
      <c r="N292" s="3">
        <v>1</v>
      </c>
      <c r="O292" s="21">
        <v>202.68</v>
      </c>
      <c r="P292" s="22" t="s">
        <v>35</v>
      </c>
      <c r="Q292" s="38"/>
      <c r="R292" s="38"/>
    </row>
    <row r="293" s="3" customFormat="1" ht="72" customHeight="1" outlineLevel="2" spans="1:18">
      <c r="A293" s="41">
        <f>1+N(A292)</f>
        <v>3</v>
      </c>
      <c r="B293" s="28" t="s">
        <v>41</v>
      </c>
      <c r="C293" s="28" t="s">
        <v>42</v>
      </c>
      <c r="D293" s="28" t="s">
        <v>25</v>
      </c>
      <c r="E293" s="28" t="s">
        <v>26</v>
      </c>
      <c r="F293" s="29" t="s">
        <v>27</v>
      </c>
      <c r="G293" s="30">
        <v>0.52</v>
      </c>
      <c r="H293" s="31">
        <v>64.9</v>
      </c>
      <c r="I293" s="39"/>
      <c r="J293" s="31">
        <f>H293*(1-$I$4)</f>
        <v>64.9</v>
      </c>
      <c r="K293" s="33">
        <f>ROUND(G293*J293,2)</f>
        <v>33.75</v>
      </c>
      <c r="L293" s="34" t="s">
        <v>28</v>
      </c>
      <c r="M293" s="35"/>
      <c r="N293" s="3">
        <v>1</v>
      </c>
      <c r="O293" s="21">
        <v>61.38</v>
      </c>
      <c r="P293" s="22" t="s">
        <v>43</v>
      </c>
      <c r="Q293" s="38"/>
      <c r="R293" s="38"/>
    </row>
    <row r="294" s="3" customFormat="1" outlineLevel="1" spans="1:18">
      <c r="A294" s="40"/>
      <c r="B294" s="28" t="s">
        <v>44</v>
      </c>
      <c r="C294" s="28"/>
      <c r="D294" s="28"/>
      <c r="E294" s="28"/>
      <c r="F294" s="29"/>
      <c r="G294" s="30"/>
      <c r="H294" s="31"/>
      <c r="I294" s="39"/>
      <c r="J294" s="31"/>
      <c r="K294" s="33"/>
      <c r="L294" s="34"/>
      <c r="M294" s="35"/>
      <c r="O294" s="36"/>
      <c r="P294" s="37"/>
      <c r="Q294" s="38"/>
      <c r="R294" s="38"/>
    </row>
    <row r="295" s="3" customFormat="1" ht="96" customHeight="1" outlineLevel="2" spans="1:18">
      <c r="A295" s="41">
        <f>1+N(A294)</f>
        <v>1</v>
      </c>
      <c r="B295" s="28" t="s">
        <v>57</v>
      </c>
      <c r="C295" s="28" t="s">
        <v>58</v>
      </c>
      <c r="D295" s="28" t="s">
        <v>59</v>
      </c>
      <c r="E295" s="28" t="s">
        <v>26</v>
      </c>
      <c r="F295" s="29" t="s">
        <v>27</v>
      </c>
      <c r="G295" s="30">
        <v>11.66</v>
      </c>
      <c r="H295" s="31">
        <v>220.01</v>
      </c>
      <c r="I295" s="39"/>
      <c r="J295" s="31">
        <f>H295*(1-$I$4)</f>
        <v>220.01</v>
      </c>
      <c r="K295" s="33">
        <f>ROUND(G295*J295,2)</f>
        <v>2565.32</v>
      </c>
      <c r="L295" s="34" t="s">
        <v>28</v>
      </c>
      <c r="M295" s="35"/>
      <c r="N295" s="3">
        <v>1</v>
      </c>
      <c r="O295" s="21">
        <v>169.24</v>
      </c>
      <c r="P295" s="22" t="s">
        <v>60</v>
      </c>
      <c r="Q295" s="38"/>
      <c r="R295" s="38"/>
    </row>
    <row r="296" s="3" customFormat="1" ht="120" customHeight="1" outlineLevel="2" spans="1:18">
      <c r="A296" s="41">
        <f>1+N(A295)</f>
        <v>2</v>
      </c>
      <c r="B296" s="28" t="s">
        <v>157</v>
      </c>
      <c r="C296" s="28" t="s">
        <v>62</v>
      </c>
      <c r="D296" s="28" t="s">
        <v>52</v>
      </c>
      <c r="E296" s="28" t="s">
        <v>63</v>
      </c>
      <c r="F296" s="29" t="s">
        <v>27</v>
      </c>
      <c r="G296" s="30">
        <v>1.69</v>
      </c>
      <c r="H296" s="31">
        <v>630.65</v>
      </c>
      <c r="I296" s="39"/>
      <c r="J296" s="31">
        <f>H296*(1-$I$4)</f>
        <v>630.65</v>
      </c>
      <c r="K296" s="33">
        <f>ROUND(G296*J296,2)</f>
        <v>1065.8</v>
      </c>
      <c r="L296" s="34" t="s">
        <v>28</v>
      </c>
      <c r="M296" s="35"/>
      <c r="N296" s="3">
        <v>1</v>
      </c>
      <c r="O296" s="21">
        <v>681.67</v>
      </c>
      <c r="P296" s="22" t="s">
        <v>64</v>
      </c>
      <c r="Q296" s="38"/>
      <c r="R296" s="38"/>
    </row>
    <row r="297" s="3" customFormat="1" ht="96" customHeight="1" outlineLevel="2" spans="1:18">
      <c r="A297" s="41">
        <f>1+N(A296)</f>
        <v>3</v>
      </c>
      <c r="B297" s="28" t="s">
        <v>75</v>
      </c>
      <c r="C297" s="28" t="s">
        <v>76</v>
      </c>
      <c r="D297" s="28" t="s">
        <v>59</v>
      </c>
      <c r="E297" s="28" t="s">
        <v>38</v>
      </c>
      <c r="F297" s="29" t="s">
        <v>39</v>
      </c>
      <c r="G297" s="30">
        <v>3.95</v>
      </c>
      <c r="H297" s="31">
        <v>67.08</v>
      </c>
      <c r="I297" s="39"/>
      <c r="J297" s="31">
        <f>H297*(1-$I$4)</f>
        <v>67.08</v>
      </c>
      <c r="K297" s="33">
        <f>ROUND(G297*J297,2)</f>
        <v>264.97</v>
      </c>
      <c r="L297" s="34" t="s">
        <v>28</v>
      </c>
      <c r="M297" s="35"/>
      <c r="N297" s="3">
        <v>1</v>
      </c>
      <c r="O297" s="21">
        <v>45.71</v>
      </c>
      <c r="P297" s="22" t="s">
        <v>77</v>
      </c>
      <c r="Q297" s="38"/>
      <c r="R297" s="38"/>
    </row>
    <row r="298" s="3" customFormat="1" ht="96" customHeight="1" outlineLevel="2" spans="1:18">
      <c r="A298" s="41">
        <f>1+N(A297)</f>
        <v>4</v>
      </c>
      <c r="B298" s="28" t="s">
        <v>84</v>
      </c>
      <c r="C298" s="28" t="s">
        <v>85</v>
      </c>
      <c r="D298" s="28" t="s">
        <v>59</v>
      </c>
      <c r="E298" s="28" t="s">
        <v>38</v>
      </c>
      <c r="F298" s="29" t="s">
        <v>39</v>
      </c>
      <c r="G298" s="30">
        <v>3.95</v>
      </c>
      <c r="H298" s="31">
        <v>117.84</v>
      </c>
      <c r="I298" s="39"/>
      <c r="J298" s="31">
        <f>H298*(1-$I$4)</f>
        <v>117.84</v>
      </c>
      <c r="K298" s="33">
        <f>ROUND(G298*J298,2)</f>
        <v>465.47</v>
      </c>
      <c r="L298" s="34" t="s">
        <v>28</v>
      </c>
      <c r="M298" s="35"/>
      <c r="N298" s="3">
        <v>1</v>
      </c>
      <c r="O298" s="21">
        <v>95.14</v>
      </c>
      <c r="P298" s="22" t="s">
        <v>86</v>
      </c>
      <c r="Q298" s="38"/>
      <c r="R298" s="38"/>
    </row>
    <row r="299" s="3" customFormat="1" ht="96" customHeight="1" outlineLevel="2" spans="1:18">
      <c r="A299" s="41">
        <f>1+N(A298)</f>
        <v>5</v>
      </c>
      <c r="B299" s="28" t="s">
        <v>87</v>
      </c>
      <c r="C299" s="28" t="s">
        <v>88</v>
      </c>
      <c r="D299" s="28" t="s">
        <v>59</v>
      </c>
      <c r="E299" s="28" t="s">
        <v>38</v>
      </c>
      <c r="F299" s="29" t="s">
        <v>39</v>
      </c>
      <c r="G299" s="30">
        <v>3.95</v>
      </c>
      <c r="H299" s="31">
        <v>64.25</v>
      </c>
      <c r="I299" s="39"/>
      <c r="J299" s="31">
        <f>H299*(1-$I$4)</f>
        <v>64.25</v>
      </c>
      <c r="K299" s="33">
        <f>ROUND(G299*J299,2)</f>
        <v>253.79</v>
      </c>
      <c r="L299" s="34" t="s">
        <v>28</v>
      </c>
      <c r="M299" s="35"/>
      <c r="N299" s="3">
        <v>1</v>
      </c>
      <c r="O299" s="21">
        <v>43.16</v>
      </c>
      <c r="P299" s="22" t="s">
        <v>89</v>
      </c>
      <c r="Q299" s="38"/>
      <c r="R299" s="38"/>
    </row>
    <row r="300" s="3" customFormat="1" outlineLevel="1" spans="1:18">
      <c r="A300" s="40"/>
      <c r="B300" s="28" t="s">
        <v>90</v>
      </c>
      <c r="C300" s="28"/>
      <c r="D300" s="28"/>
      <c r="E300" s="28"/>
      <c r="F300" s="29"/>
      <c r="G300" s="30"/>
      <c r="H300" s="31"/>
      <c r="I300" s="39"/>
      <c r="J300" s="31"/>
      <c r="K300" s="33"/>
      <c r="L300" s="34"/>
      <c r="M300" s="35"/>
      <c r="O300" s="36"/>
      <c r="P300" s="37"/>
      <c r="Q300" s="38"/>
      <c r="R300" s="38"/>
    </row>
    <row r="301" s="3" customFormat="1" ht="168" customHeight="1" outlineLevel="2" spans="1:18">
      <c r="A301" s="41">
        <f>1+N(A300)</f>
        <v>1</v>
      </c>
      <c r="B301" s="28" t="s">
        <v>91</v>
      </c>
      <c r="C301" s="28" t="s">
        <v>92</v>
      </c>
      <c r="D301" s="28" t="s">
        <v>93</v>
      </c>
      <c r="E301" s="28" t="s">
        <v>94</v>
      </c>
      <c r="F301" s="29" t="s">
        <v>27</v>
      </c>
      <c r="G301" s="30">
        <v>2.42</v>
      </c>
      <c r="H301" s="31">
        <v>174.57</v>
      </c>
      <c r="I301" s="39"/>
      <c r="J301" s="31">
        <f>H301*(1-$I$4)</f>
        <v>174.57</v>
      </c>
      <c r="K301" s="33">
        <f>ROUND(G301*J301,2)</f>
        <v>422.46</v>
      </c>
      <c r="L301" s="34" t="s">
        <v>28</v>
      </c>
      <c r="M301" s="35"/>
      <c r="N301" s="3">
        <v>1</v>
      </c>
      <c r="O301" s="21">
        <v>150.38</v>
      </c>
      <c r="P301" s="22" t="s">
        <v>95</v>
      </c>
      <c r="Q301" s="38"/>
      <c r="R301" s="38"/>
    </row>
    <row r="302" s="3" customFormat="1" ht="132" customHeight="1" outlineLevel="2" spans="1:18">
      <c r="A302" s="41">
        <f>1+N(A301)</f>
        <v>2</v>
      </c>
      <c r="B302" s="28" t="s">
        <v>107</v>
      </c>
      <c r="C302" s="28" t="s">
        <v>108</v>
      </c>
      <c r="D302" s="28" t="s">
        <v>109</v>
      </c>
      <c r="E302" s="28" t="s">
        <v>110</v>
      </c>
      <c r="F302" s="29" t="s">
        <v>27</v>
      </c>
      <c r="G302" s="30">
        <v>2.42</v>
      </c>
      <c r="H302" s="31">
        <v>152.22</v>
      </c>
      <c r="I302" s="39"/>
      <c r="J302" s="31">
        <f>H302*(1-$I$4)</f>
        <v>152.22</v>
      </c>
      <c r="K302" s="33">
        <f>ROUND(G302*J302,2)</f>
        <v>368.37</v>
      </c>
      <c r="L302" s="34" t="s">
        <v>28</v>
      </c>
      <c r="M302" s="35"/>
      <c r="N302" s="3">
        <v>1</v>
      </c>
      <c r="O302" s="21">
        <v>151.58</v>
      </c>
      <c r="P302" s="22" t="s">
        <v>111</v>
      </c>
      <c r="Q302" s="38"/>
      <c r="R302" s="38"/>
    </row>
    <row r="303" s="3" customFormat="1" outlineLevel="1" spans="1:18">
      <c r="A303" s="40"/>
      <c r="B303" s="28" t="s">
        <v>112</v>
      </c>
      <c r="C303" s="28"/>
      <c r="D303" s="28"/>
      <c r="E303" s="28"/>
      <c r="F303" s="29"/>
      <c r="G303" s="30"/>
      <c r="H303" s="31"/>
      <c r="I303" s="39"/>
      <c r="J303" s="31"/>
      <c r="K303" s="33"/>
      <c r="L303" s="34"/>
      <c r="M303" s="35"/>
      <c r="O303" s="36"/>
      <c r="P303" s="37"/>
      <c r="Q303" s="38"/>
      <c r="R303" s="38"/>
    </row>
    <row r="304" s="3" customFormat="1" ht="84" customHeight="1" outlineLevel="2" spans="1:18">
      <c r="A304" s="41">
        <f>1+N(A303)</f>
        <v>1</v>
      </c>
      <c r="B304" s="28" t="s">
        <v>263</v>
      </c>
      <c r="C304" s="28" t="s">
        <v>264</v>
      </c>
      <c r="D304" s="28" t="s">
        <v>98</v>
      </c>
      <c r="E304" s="28" t="s">
        <v>115</v>
      </c>
      <c r="F304" s="29" t="s">
        <v>27</v>
      </c>
      <c r="G304" s="30">
        <v>3.72</v>
      </c>
      <c r="H304" s="31">
        <v>3187.45</v>
      </c>
      <c r="I304" s="39"/>
      <c r="J304" s="31">
        <f>H304*(1-$I$4)</f>
        <v>3187.45</v>
      </c>
      <c r="K304" s="33">
        <f>ROUND(G304*J304,2)</f>
        <v>11857.31</v>
      </c>
      <c r="L304" s="34" t="s">
        <v>28</v>
      </c>
      <c r="M304" s="35"/>
      <c r="N304" s="3">
        <v>1</v>
      </c>
      <c r="O304" s="21">
        <v>1569.15</v>
      </c>
      <c r="P304" s="22" t="s">
        <v>265</v>
      </c>
      <c r="Q304" s="38"/>
      <c r="R304" s="38"/>
    </row>
    <row r="305" s="3" customFormat="1" ht="24" outlineLevel="1" spans="1:18">
      <c r="A305" s="27" t="s">
        <v>179</v>
      </c>
      <c r="B305" s="28" t="s">
        <v>266</v>
      </c>
      <c r="C305" s="28"/>
      <c r="D305" s="28"/>
      <c r="E305" s="28"/>
      <c r="F305" s="29"/>
      <c r="G305" s="30"/>
      <c r="H305" s="31"/>
      <c r="I305" s="39"/>
      <c r="J305" s="31"/>
      <c r="K305" s="33"/>
      <c r="L305" s="34"/>
      <c r="M305" s="35"/>
      <c r="O305" s="42"/>
      <c r="P305" s="37"/>
      <c r="Q305" s="38"/>
      <c r="R305" s="38"/>
    </row>
    <row r="306" s="3" customFormat="1" outlineLevel="1" spans="1:18">
      <c r="A306" s="40"/>
      <c r="B306" s="28" t="s">
        <v>22</v>
      </c>
      <c r="C306" s="28"/>
      <c r="D306" s="28"/>
      <c r="E306" s="28"/>
      <c r="F306" s="29"/>
      <c r="G306" s="30"/>
      <c r="H306" s="31"/>
      <c r="I306" s="39"/>
      <c r="J306" s="31"/>
      <c r="K306" s="33"/>
      <c r="L306" s="34"/>
      <c r="M306" s="35"/>
      <c r="O306" s="36"/>
      <c r="P306" s="37"/>
      <c r="Q306" s="38"/>
      <c r="R306" s="38"/>
    </row>
    <row r="307" s="3" customFormat="1" ht="108" customHeight="1" outlineLevel="2" spans="1:18">
      <c r="A307" s="41">
        <f>1+N(A306)</f>
        <v>1</v>
      </c>
      <c r="B307" s="28" t="s">
        <v>23</v>
      </c>
      <c r="C307" s="28" t="s">
        <v>24</v>
      </c>
      <c r="D307" s="28" t="s">
        <v>25</v>
      </c>
      <c r="E307" s="28" t="s">
        <v>26</v>
      </c>
      <c r="F307" s="29" t="s">
        <v>27</v>
      </c>
      <c r="G307" s="30">
        <v>16.8</v>
      </c>
      <c r="H307" s="31">
        <v>940.91</v>
      </c>
      <c r="I307" s="39"/>
      <c r="J307" s="31">
        <f>H307*(1-$I$4)</f>
        <v>940.91</v>
      </c>
      <c r="K307" s="33">
        <f>ROUND(G307*J307,2)</f>
        <v>15807.29</v>
      </c>
      <c r="L307" s="34" t="s">
        <v>28</v>
      </c>
      <c r="M307" s="35"/>
      <c r="N307" s="3">
        <v>1</v>
      </c>
      <c r="O307" s="21">
        <v>886.6</v>
      </c>
      <c r="P307" s="22" t="s">
        <v>29</v>
      </c>
      <c r="Q307" s="38"/>
      <c r="R307" s="38"/>
    </row>
    <row r="308" s="3" customFormat="1" ht="108" customHeight="1" outlineLevel="2" spans="1:18">
      <c r="A308" s="41">
        <f>1+N(A307)</f>
        <v>2</v>
      </c>
      <c r="B308" s="28" t="s">
        <v>30</v>
      </c>
      <c r="C308" s="28" t="s">
        <v>31</v>
      </c>
      <c r="D308" s="28" t="s">
        <v>25</v>
      </c>
      <c r="E308" s="28" t="s">
        <v>26</v>
      </c>
      <c r="F308" s="29" t="s">
        <v>27</v>
      </c>
      <c r="G308" s="30">
        <v>8.1</v>
      </c>
      <c r="H308" s="31">
        <v>1412.25</v>
      </c>
      <c r="I308" s="39"/>
      <c r="J308" s="31">
        <f>H308*(1-$I$4)</f>
        <v>1412.25</v>
      </c>
      <c r="K308" s="33">
        <f>ROUND(G308*J308,2)</f>
        <v>11439.23</v>
      </c>
      <c r="L308" s="34" t="s">
        <v>28</v>
      </c>
      <c r="M308" s="35"/>
      <c r="N308" s="3">
        <v>1</v>
      </c>
      <c r="O308" s="21">
        <v>1135.86</v>
      </c>
      <c r="P308" s="22" t="s">
        <v>32</v>
      </c>
      <c r="Q308" s="38"/>
      <c r="R308" s="38"/>
    </row>
    <row r="309" s="3" customFormat="1" ht="72" customHeight="1" outlineLevel="2" spans="1:18">
      <c r="A309" s="41">
        <f>1+N(A308)</f>
        <v>3</v>
      </c>
      <c r="B309" s="28" t="s">
        <v>36</v>
      </c>
      <c r="C309" s="28" t="s">
        <v>37</v>
      </c>
      <c r="D309" s="28" t="s">
        <v>25</v>
      </c>
      <c r="E309" s="28" t="s">
        <v>38</v>
      </c>
      <c r="F309" s="29" t="s">
        <v>39</v>
      </c>
      <c r="G309" s="30">
        <v>10.75</v>
      </c>
      <c r="H309" s="31">
        <v>89.27</v>
      </c>
      <c r="I309" s="39"/>
      <c r="J309" s="31">
        <f>H309*(1-$I$4)</f>
        <v>89.27</v>
      </c>
      <c r="K309" s="33">
        <f>ROUND(G309*J309,2)</f>
        <v>959.65</v>
      </c>
      <c r="L309" s="34" t="s">
        <v>28</v>
      </c>
      <c r="M309" s="35"/>
      <c r="N309" s="3">
        <v>1</v>
      </c>
      <c r="O309" s="21">
        <v>35.28</v>
      </c>
      <c r="P309" s="22" t="s">
        <v>40</v>
      </c>
      <c r="Q309" s="38"/>
      <c r="R309" s="38"/>
    </row>
    <row r="310" s="3" customFormat="1" ht="72" customHeight="1" outlineLevel="2" spans="1:18">
      <c r="A310" s="41">
        <f>1+N(A309)</f>
        <v>4</v>
      </c>
      <c r="B310" s="28" t="s">
        <v>41</v>
      </c>
      <c r="C310" s="28" t="s">
        <v>42</v>
      </c>
      <c r="D310" s="28" t="s">
        <v>25</v>
      </c>
      <c r="E310" s="28" t="s">
        <v>26</v>
      </c>
      <c r="F310" s="29" t="s">
        <v>27</v>
      </c>
      <c r="G310" s="30">
        <v>24.9</v>
      </c>
      <c r="H310" s="31">
        <v>64.9</v>
      </c>
      <c r="I310" s="39"/>
      <c r="J310" s="31">
        <f>H310*(1-$I$4)</f>
        <v>64.9</v>
      </c>
      <c r="K310" s="33">
        <f>ROUND(G310*J310,2)</f>
        <v>1616.01</v>
      </c>
      <c r="L310" s="34" t="s">
        <v>28</v>
      </c>
      <c r="M310" s="35"/>
      <c r="N310" s="3">
        <v>1</v>
      </c>
      <c r="O310" s="21">
        <v>61.38</v>
      </c>
      <c r="P310" s="22" t="s">
        <v>43</v>
      </c>
      <c r="Q310" s="38"/>
      <c r="R310" s="38"/>
    </row>
    <row r="311" s="3" customFormat="1" outlineLevel="1" spans="1:18">
      <c r="A311" s="40"/>
      <c r="B311" s="28" t="s">
        <v>44</v>
      </c>
      <c r="C311" s="28"/>
      <c r="D311" s="28"/>
      <c r="E311" s="28"/>
      <c r="F311" s="29"/>
      <c r="G311" s="30"/>
      <c r="H311" s="31"/>
      <c r="I311" s="39"/>
      <c r="J311" s="31"/>
      <c r="K311" s="33"/>
      <c r="L311" s="34"/>
      <c r="M311" s="35"/>
      <c r="O311" s="36"/>
      <c r="P311" s="37"/>
      <c r="Q311" s="38"/>
      <c r="R311" s="38"/>
    </row>
    <row r="312" s="3" customFormat="1" ht="108" customHeight="1" outlineLevel="2" spans="1:18">
      <c r="A312" s="41">
        <f t="shared" ref="A312:A321" si="36">1+N(A311)</f>
        <v>1</v>
      </c>
      <c r="B312" s="28" t="s">
        <v>45</v>
      </c>
      <c r="C312" s="28" t="s">
        <v>46</v>
      </c>
      <c r="D312" s="28" t="s">
        <v>47</v>
      </c>
      <c r="E312" s="28" t="s">
        <v>48</v>
      </c>
      <c r="F312" s="29" t="s">
        <v>27</v>
      </c>
      <c r="G312" s="30">
        <v>13.09</v>
      </c>
      <c r="H312" s="31">
        <v>2668.45</v>
      </c>
      <c r="I312" s="39"/>
      <c r="J312" s="31">
        <f t="shared" ref="J312:J321" si="37">H312*(1-$I$4)</f>
        <v>2668.45</v>
      </c>
      <c r="K312" s="33">
        <f t="shared" ref="K312:K321" si="38">ROUND(G312*J312,2)</f>
        <v>34930.01</v>
      </c>
      <c r="L312" s="34" t="s">
        <v>28</v>
      </c>
      <c r="M312" s="35"/>
      <c r="N312" s="3">
        <v>1</v>
      </c>
      <c r="O312" s="21">
        <v>1019.76</v>
      </c>
      <c r="P312" s="22" t="s">
        <v>49</v>
      </c>
      <c r="Q312" s="38"/>
      <c r="R312" s="38"/>
    </row>
    <row r="313" s="3" customFormat="1" ht="156" customHeight="1" outlineLevel="2" spans="1:18">
      <c r="A313" s="41">
        <f t="shared" si="36"/>
        <v>2</v>
      </c>
      <c r="B313" s="28" t="s">
        <v>50</v>
      </c>
      <c r="C313" s="28" t="s">
        <v>51</v>
      </c>
      <c r="D313" s="28" t="s">
        <v>52</v>
      </c>
      <c r="E313" s="28" t="s">
        <v>48</v>
      </c>
      <c r="F313" s="29" t="s">
        <v>27</v>
      </c>
      <c r="G313" s="30">
        <v>57.36</v>
      </c>
      <c r="H313" s="31">
        <v>961.06</v>
      </c>
      <c r="I313" s="39"/>
      <c r="J313" s="31">
        <f t="shared" si="37"/>
        <v>961.06</v>
      </c>
      <c r="K313" s="33">
        <f t="shared" si="38"/>
        <v>55126.4</v>
      </c>
      <c r="L313" s="34" t="s">
        <v>28</v>
      </c>
      <c r="M313" s="35"/>
      <c r="N313" s="3">
        <v>1</v>
      </c>
      <c r="O313" s="21">
        <v>1000.51</v>
      </c>
      <c r="P313" s="22" t="s">
        <v>53</v>
      </c>
      <c r="Q313" s="38"/>
      <c r="R313" s="38"/>
    </row>
    <row r="314" s="3" customFormat="1" ht="156" customHeight="1" outlineLevel="2" spans="1:18">
      <c r="A314" s="41">
        <f t="shared" si="36"/>
        <v>3</v>
      </c>
      <c r="B314" s="28" t="s">
        <v>54</v>
      </c>
      <c r="C314" s="28" t="s">
        <v>55</v>
      </c>
      <c r="D314" s="28" t="s">
        <v>52</v>
      </c>
      <c r="E314" s="28" t="s">
        <v>48</v>
      </c>
      <c r="F314" s="29" t="s">
        <v>27</v>
      </c>
      <c r="G314" s="30">
        <v>2.91</v>
      </c>
      <c r="H314" s="31">
        <v>2016.38</v>
      </c>
      <c r="I314" s="39"/>
      <c r="J314" s="31">
        <f t="shared" si="37"/>
        <v>2016.38</v>
      </c>
      <c r="K314" s="33">
        <f t="shared" si="38"/>
        <v>5867.67</v>
      </c>
      <c r="L314" s="34" t="s">
        <v>28</v>
      </c>
      <c r="M314" s="35"/>
      <c r="N314" s="3">
        <v>1</v>
      </c>
      <c r="O314" s="21">
        <v>1179.53</v>
      </c>
      <c r="P314" s="22" t="s">
        <v>56</v>
      </c>
      <c r="Q314" s="38"/>
      <c r="R314" s="38"/>
    </row>
    <row r="315" s="3" customFormat="1" ht="120" customHeight="1" outlineLevel="2" spans="1:18">
      <c r="A315" s="41">
        <f t="shared" si="36"/>
        <v>4</v>
      </c>
      <c r="B315" s="28" t="s">
        <v>65</v>
      </c>
      <c r="C315" s="28" t="s">
        <v>62</v>
      </c>
      <c r="D315" s="28" t="s">
        <v>52</v>
      </c>
      <c r="E315" s="28" t="s">
        <v>63</v>
      </c>
      <c r="F315" s="29" t="s">
        <v>27</v>
      </c>
      <c r="G315" s="30">
        <v>3.56</v>
      </c>
      <c r="H315" s="31">
        <v>630.65</v>
      </c>
      <c r="I315" s="39"/>
      <c r="J315" s="31">
        <f t="shared" si="37"/>
        <v>630.65</v>
      </c>
      <c r="K315" s="33">
        <f t="shared" si="38"/>
        <v>2245.11</v>
      </c>
      <c r="L315" s="34" t="s">
        <v>28</v>
      </c>
      <c r="M315" s="35"/>
      <c r="N315" s="3">
        <v>1</v>
      </c>
      <c r="O315" s="21">
        <v>681.67</v>
      </c>
      <c r="P315" s="22" t="s">
        <v>64</v>
      </c>
      <c r="Q315" s="38"/>
      <c r="R315" s="38"/>
    </row>
    <row r="316" s="3" customFormat="1" ht="120" customHeight="1" outlineLevel="2" spans="1:18">
      <c r="A316" s="41">
        <f t="shared" si="36"/>
        <v>5</v>
      </c>
      <c r="B316" s="28" t="s">
        <v>66</v>
      </c>
      <c r="C316" s="28" t="s">
        <v>67</v>
      </c>
      <c r="D316" s="28" t="s">
        <v>52</v>
      </c>
      <c r="E316" s="28" t="s">
        <v>63</v>
      </c>
      <c r="F316" s="29" t="s">
        <v>27</v>
      </c>
      <c r="G316" s="30">
        <v>1.85</v>
      </c>
      <c r="H316" s="31">
        <v>812.96</v>
      </c>
      <c r="I316" s="39"/>
      <c r="J316" s="31">
        <f t="shared" si="37"/>
        <v>812.96</v>
      </c>
      <c r="K316" s="33">
        <f t="shared" si="38"/>
        <v>1503.98</v>
      </c>
      <c r="L316" s="34" t="s">
        <v>28</v>
      </c>
      <c r="M316" s="35"/>
      <c r="N316" s="3">
        <v>1</v>
      </c>
      <c r="O316" s="21">
        <v>681.67</v>
      </c>
      <c r="P316" s="22" t="s">
        <v>68</v>
      </c>
      <c r="Q316" s="38"/>
      <c r="R316" s="38"/>
    </row>
    <row r="317" s="3" customFormat="1" ht="120" customHeight="1" outlineLevel="2" spans="1:18">
      <c r="A317" s="41">
        <f t="shared" si="36"/>
        <v>6</v>
      </c>
      <c r="B317" s="28" t="s">
        <v>69</v>
      </c>
      <c r="C317" s="28" t="s">
        <v>70</v>
      </c>
      <c r="D317" s="28" t="s">
        <v>52</v>
      </c>
      <c r="E317" s="28" t="s">
        <v>63</v>
      </c>
      <c r="F317" s="29" t="s">
        <v>27</v>
      </c>
      <c r="G317" s="30">
        <v>0.26</v>
      </c>
      <c r="H317" s="31">
        <v>1175.56</v>
      </c>
      <c r="I317" s="39"/>
      <c r="J317" s="31">
        <f t="shared" si="37"/>
        <v>1175.56</v>
      </c>
      <c r="K317" s="33">
        <f t="shared" si="38"/>
        <v>305.65</v>
      </c>
      <c r="L317" s="34" t="s">
        <v>28</v>
      </c>
      <c r="M317" s="35"/>
      <c r="N317" s="3">
        <v>1</v>
      </c>
      <c r="O317" s="21">
        <v>681.67</v>
      </c>
      <c r="P317" s="22" t="s">
        <v>71</v>
      </c>
      <c r="Q317" s="38"/>
      <c r="R317" s="38"/>
    </row>
    <row r="318" s="3" customFormat="1" ht="96" customHeight="1" outlineLevel="2" spans="1:18">
      <c r="A318" s="41">
        <f t="shared" si="36"/>
        <v>7</v>
      </c>
      <c r="B318" s="28" t="s">
        <v>75</v>
      </c>
      <c r="C318" s="28" t="s">
        <v>76</v>
      </c>
      <c r="D318" s="28" t="s">
        <v>59</v>
      </c>
      <c r="E318" s="28" t="s">
        <v>38</v>
      </c>
      <c r="F318" s="29" t="s">
        <v>39</v>
      </c>
      <c r="G318" s="30">
        <v>25.02</v>
      </c>
      <c r="H318" s="31">
        <v>67.08</v>
      </c>
      <c r="I318" s="39"/>
      <c r="J318" s="31">
        <f t="shared" si="37"/>
        <v>67.08</v>
      </c>
      <c r="K318" s="33">
        <f t="shared" si="38"/>
        <v>1678.34</v>
      </c>
      <c r="L318" s="34" t="s">
        <v>28</v>
      </c>
      <c r="M318" s="35"/>
      <c r="N318" s="3">
        <v>1</v>
      </c>
      <c r="O318" s="21">
        <v>45.71</v>
      </c>
      <c r="P318" s="22" t="s">
        <v>77</v>
      </c>
      <c r="Q318" s="38"/>
      <c r="R318" s="38"/>
    </row>
    <row r="319" s="3" customFormat="1" ht="96" customHeight="1" outlineLevel="2" spans="1:18">
      <c r="A319" s="41">
        <f t="shared" si="36"/>
        <v>8</v>
      </c>
      <c r="B319" s="28" t="s">
        <v>78</v>
      </c>
      <c r="C319" s="28" t="s">
        <v>79</v>
      </c>
      <c r="D319" s="28" t="s">
        <v>59</v>
      </c>
      <c r="E319" s="28" t="s">
        <v>38</v>
      </c>
      <c r="F319" s="29" t="s">
        <v>39</v>
      </c>
      <c r="G319" s="30">
        <v>0.34</v>
      </c>
      <c r="H319" s="31">
        <v>67.31</v>
      </c>
      <c r="I319" s="39"/>
      <c r="J319" s="31">
        <f t="shared" si="37"/>
        <v>67.31</v>
      </c>
      <c r="K319" s="33">
        <f t="shared" si="38"/>
        <v>22.89</v>
      </c>
      <c r="L319" s="34" t="s">
        <v>28</v>
      </c>
      <c r="M319" s="35"/>
      <c r="N319" s="3">
        <v>1</v>
      </c>
      <c r="O319" s="21">
        <v>50.8</v>
      </c>
      <c r="P319" s="22" t="s">
        <v>153</v>
      </c>
      <c r="Q319" s="38"/>
      <c r="R319" s="38"/>
    </row>
    <row r="320" s="3" customFormat="1" ht="96" customHeight="1" outlineLevel="2" spans="1:18">
      <c r="A320" s="41">
        <f t="shared" si="36"/>
        <v>9</v>
      </c>
      <c r="B320" s="28" t="s">
        <v>84</v>
      </c>
      <c r="C320" s="28" t="s">
        <v>85</v>
      </c>
      <c r="D320" s="28" t="s">
        <v>59</v>
      </c>
      <c r="E320" s="28" t="s">
        <v>38</v>
      </c>
      <c r="F320" s="29" t="s">
        <v>39</v>
      </c>
      <c r="G320" s="30">
        <v>24.68</v>
      </c>
      <c r="H320" s="31">
        <v>117.84</v>
      </c>
      <c r="I320" s="39"/>
      <c r="J320" s="31">
        <f t="shared" si="37"/>
        <v>117.84</v>
      </c>
      <c r="K320" s="33">
        <f t="shared" si="38"/>
        <v>2908.29</v>
      </c>
      <c r="L320" s="34" t="s">
        <v>28</v>
      </c>
      <c r="M320" s="35"/>
      <c r="N320" s="3">
        <v>1</v>
      </c>
      <c r="O320" s="21">
        <v>95.14</v>
      </c>
      <c r="P320" s="22" t="s">
        <v>86</v>
      </c>
      <c r="Q320" s="38"/>
      <c r="R320" s="38"/>
    </row>
    <row r="321" s="3" customFormat="1" ht="96" customHeight="1" outlineLevel="2" spans="1:18">
      <c r="A321" s="41">
        <f t="shared" si="36"/>
        <v>10</v>
      </c>
      <c r="B321" s="28" t="s">
        <v>87</v>
      </c>
      <c r="C321" s="28" t="s">
        <v>88</v>
      </c>
      <c r="D321" s="28" t="s">
        <v>59</v>
      </c>
      <c r="E321" s="28" t="s">
        <v>38</v>
      </c>
      <c r="F321" s="29" t="s">
        <v>39</v>
      </c>
      <c r="G321" s="30">
        <v>25.02</v>
      </c>
      <c r="H321" s="31">
        <v>64.25</v>
      </c>
      <c r="I321" s="39"/>
      <c r="J321" s="31">
        <f t="shared" si="37"/>
        <v>64.25</v>
      </c>
      <c r="K321" s="33">
        <f t="shared" si="38"/>
        <v>1607.54</v>
      </c>
      <c r="L321" s="34" t="s">
        <v>28</v>
      </c>
      <c r="M321" s="35"/>
      <c r="N321" s="3">
        <v>1</v>
      </c>
      <c r="O321" s="21">
        <v>43.16</v>
      </c>
      <c r="P321" s="22" t="s">
        <v>89</v>
      </c>
      <c r="Q321" s="38"/>
      <c r="R321" s="38"/>
    </row>
    <row r="322" s="3" customFormat="1" outlineLevel="1" spans="1:18">
      <c r="A322" s="40"/>
      <c r="B322" s="28" t="s">
        <v>90</v>
      </c>
      <c r="C322" s="28"/>
      <c r="D322" s="28"/>
      <c r="E322" s="28"/>
      <c r="F322" s="29"/>
      <c r="G322" s="30"/>
      <c r="H322" s="31"/>
      <c r="I322" s="39"/>
      <c r="J322" s="31"/>
      <c r="K322" s="33"/>
      <c r="L322" s="34"/>
      <c r="M322" s="35"/>
      <c r="O322" s="36"/>
      <c r="P322" s="37"/>
      <c r="Q322" s="38"/>
      <c r="R322" s="38"/>
    </row>
    <row r="323" s="3" customFormat="1" ht="168" customHeight="1" outlineLevel="2" spans="1:18">
      <c r="A323" s="41">
        <f>1+N(A322)</f>
        <v>1</v>
      </c>
      <c r="B323" s="28" t="s">
        <v>91</v>
      </c>
      <c r="C323" s="28" t="s">
        <v>92</v>
      </c>
      <c r="D323" s="28" t="s">
        <v>93</v>
      </c>
      <c r="E323" s="28" t="s">
        <v>94</v>
      </c>
      <c r="F323" s="29" t="s">
        <v>27</v>
      </c>
      <c r="G323" s="30">
        <v>24.9</v>
      </c>
      <c r="H323" s="31">
        <v>174.57</v>
      </c>
      <c r="I323" s="39"/>
      <c r="J323" s="31">
        <f>H323*(1-$I$4)</f>
        <v>174.57</v>
      </c>
      <c r="K323" s="33">
        <f>ROUND(G323*J323,2)</f>
        <v>4346.79</v>
      </c>
      <c r="L323" s="34" t="s">
        <v>28</v>
      </c>
      <c r="M323" s="35"/>
      <c r="N323" s="3">
        <v>1</v>
      </c>
      <c r="O323" s="21">
        <v>150.38</v>
      </c>
      <c r="P323" s="22" t="s">
        <v>95</v>
      </c>
      <c r="Q323" s="38"/>
      <c r="R323" s="38"/>
    </row>
    <row r="324" s="3" customFormat="1" ht="48" customHeight="1" outlineLevel="2" spans="1:18">
      <c r="A324" s="41">
        <f>1+N(A323)</f>
        <v>2</v>
      </c>
      <c r="B324" s="28" t="s">
        <v>96</v>
      </c>
      <c r="C324" s="28" t="s">
        <v>97</v>
      </c>
      <c r="D324" s="28" t="s">
        <v>98</v>
      </c>
      <c r="E324" s="28" t="s">
        <v>99</v>
      </c>
      <c r="F324" s="29" t="s">
        <v>39</v>
      </c>
      <c r="G324" s="30">
        <v>10.73</v>
      </c>
      <c r="H324" s="31">
        <v>112.16</v>
      </c>
      <c r="I324" s="39"/>
      <c r="J324" s="31">
        <f>H324*(1-$I$4)</f>
        <v>112.16</v>
      </c>
      <c r="K324" s="33">
        <f>ROUND(G324*J324,2)</f>
        <v>1203.48</v>
      </c>
      <c r="L324" s="34" t="s">
        <v>28</v>
      </c>
      <c r="M324" s="35"/>
      <c r="N324" s="3">
        <v>1</v>
      </c>
      <c r="O324" s="21">
        <v>79.3</v>
      </c>
      <c r="P324" s="22" t="s">
        <v>100</v>
      </c>
      <c r="Q324" s="38"/>
      <c r="R324" s="38"/>
    </row>
    <row r="325" s="3" customFormat="1" ht="48" customHeight="1" outlineLevel="2" spans="1:18">
      <c r="A325" s="41">
        <f>1+N(A324)</f>
        <v>3</v>
      </c>
      <c r="B325" s="28" t="s">
        <v>101</v>
      </c>
      <c r="C325" s="28" t="s">
        <v>102</v>
      </c>
      <c r="D325" s="28" t="s">
        <v>98</v>
      </c>
      <c r="E325" s="28" t="s">
        <v>99</v>
      </c>
      <c r="F325" s="29" t="s">
        <v>39</v>
      </c>
      <c r="G325" s="30">
        <v>10.73</v>
      </c>
      <c r="H325" s="31">
        <v>75.82</v>
      </c>
      <c r="I325" s="39"/>
      <c r="J325" s="31">
        <f>H325*(1-$I$4)</f>
        <v>75.82</v>
      </c>
      <c r="K325" s="33">
        <f>ROUND(G325*J325,2)</f>
        <v>813.55</v>
      </c>
      <c r="L325" s="34" t="s">
        <v>28</v>
      </c>
      <c r="M325" s="35"/>
      <c r="N325" s="3">
        <v>1</v>
      </c>
      <c r="O325" s="21">
        <v>203.56</v>
      </c>
      <c r="P325" s="22" t="s">
        <v>103</v>
      </c>
      <c r="Q325" s="38"/>
      <c r="R325" s="38"/>
    </row>
    <row r="326" s="3" customFormat="1" ht="132" customHeight="1" outlineLevel="2" spans="1:18">
      <c r="A326" s="41">
        <f>1+N(A325)</f>
        <v>4</v>
      </c>
      <c r="B326" s="28" t="s">
        <v>107</v>
      </c>
      <c r="C326" s="28" t="s">
        <v>108</v>
      </c>
      <c r="D326" s="28" t="s">
        <v>109</v>
      </c>
      <c r="E326" s="28" t="s">
        <v>110</v>
      </c>
      <c r="F326" s="29" t="s">
        <v>27</v>
      </c>
      <c r="G326" s="30">
        <v>28.12</v>
      </c>
      <c r="H326" s="31">
        <v>152.22</v>
      </c>
      <c r="I326" s="39"/>
      <c r="J326" s="31">
        <f>H326*(1-$I$4)</f>
        <v>152.22</v>
      </c>
      <c r="K326" s="33">
        <f>ROUND(G326*J326,2)</f>
        <v>4280.43</v>
      </c>
      <c r="L326" s="34" t="s">
        <v>28</v>
      </c>
      <c r="M326" s="35"/>
      <c r="N326" s="3">
        <v>1</v>
      </c>
      <c r="O326" s="21">
        <v>151.58</v>
      </c>
      <c r="P326" s="22" t="s">
        <v>111</v>
      </c>
      <c r="Q326" s="38"/>
      <c r="R326" s="38"/>
    </row>
    <row r="327" s="3" customFormat="1" outlineLevel="1" spans="1:18">
      <c r="A327" s="40"/>
      <c r="B327" s="28" t="s">
        <v>112</v>
      </c>
      <c r="C327" s="28"/>
      <c r="D327" s="28"/>
      <c r="E327" s="28"/>
      <c r="F327" s="29"/>
      <c r="G327" s="30"/>
      <c r="H327" s="31"/>
      <c r="I327" s="39"/>
      <c r="J327" s="31"/>
      <c r="K327" s="33"/>
      <c r="L327" s="34"/>
      <c r="M327" s="35"/>
      <c r="O327" s="36"/>
      <c r="P327" s="37"/>
      <c r="Q327" s="38"/>
      <c r="R327" s="38"/>
    </row>
    <row r="328" s="3" customFormat="1" ht="60" customHeight="1" outlineLevel="2" spans="1:18">
      <c r="A328" s="41">
        <f>1+N(A327)</f>
        <v>1</v>
      </c>
      <c r="B328" s="28" t="s">
        <v>133</v>
      </c>
      <c r="C328" s="28" t="s">
        <v>114</v>
      </c>
      <c r="D328" s="28" t="s">
        <v>98</v>
      </c>
      <c r="E328" s="28" t="s">
        <v>115</v>
      </c>
      <c r="F328" s="29" t="s">
        <v>27</v>
      </c>
      <c r="G328" s="30">
        <v>2.25</v>
      </c>
      <c r="H328" s="31">
        <v>962.68</v>
      </c>
      <c r="I328" s="39"/>
      <c r="J328" s="31">
        <f>H328*(1-$I$4)</f>
        <v>962.68</v>
      </c>
      <c r="K328" s="33">
        <f>ROUND(G328*J328,2)</f>
        <v>2166.03</v>
      </c>
      <c r="L328" s="34" t="s">
        <v>28</v>
      </c>
      <c r="M328" s="35"/>
      <c r="N328" s="3">
        <v>1</v>
      </c>
      <c r="O328" s="21">
        <v>665.69</v>
      </c>
      <c r="P328" s="22" t="s">
        <v>116</v>
      </c>
      <c r="Q328" s="38"/>
      <c r="R328" s="38"/>
    </row>
    <row r="329" s="3" customFormat="1" ht="96" customHeight="1" outlineLevel="2" spans="1:18">
      <c r="A329" s="41">
        <f>1+N(A328)</f>
        <v>2</v>
      </c>
      <c r="B329" s="28" t="s">
        <v>117</v>
      </c>
      <c r="C329" s="28" t="s">
        <v>118</v>
      </c>
      <c r="D329" s="28" t="s">
        <v>98</v>
      </c>
      <c r="E329" s="28" t="s">
        <v>115</v>
      </c>
      <c r="F329" s="29" t="s">
        <v>27</v>
      </c>
      <c r="G329" s="30">
        <v>5.52</v>
      </c>
      <c r="H329" s="31">
        <v>7530.97</v>
      </c>
      <c r="I329" s="39"/>
      <c r="J329" s="31">
        <f>H329*(1-$I$4)</f>
        <v>7530.97</v>
      </c>
      <c r="K329" s="33">
        <f>ROUND(G329*J329,2)</f>
        <v>41570.95</v>
      </c>
      <c r="L329" s="34" t="s">
        <v>28</v>
      </c>
      <c r="M329" s="35"/>
      <c r="N329" s="3">
        <v>1</v>
      </c>
      <c r="O329" s="21">
        <v>2009.15</v>
      </c>
      <c r="P329" s="22" t="s">
        <v>119</v>
      </c>
      <c r="Q329" s="38"/>
      <c r="R329" s="38"/>
    </row>
    <row r="330" s="3" customFormat="1" ht="48" customHeight="1" outlineLevel="2" spans="1:18">
      <c r="A330" s="41">
        <f>1+N(A329)</f>
        <v>3</v>
      </c>
      <c r="B330" s="28" t="s">
        <v>120</v>
      </c>
      <c r="C330" s="28" t="s">
        <v>121</v>
      </c>
      <c r="D330" s="28" t="s">
        <v>98</v>
      </c>
      <c r="E330" s="28" t="s">
        <v>115</v>
      </c>
      <c r="F330" s="29" t="s">
        <v>27</v>
      </c>
      <c r="G330" s="30">
        <v>4.23</v>
      </c>
      <c r="H330" s="31">
        <v>610.9</v>
      </c>
      <c r="I330" s="39"/>
      <c r="J330" s="31">
        <f>H330*(1-$I$4)</f>
        <v>610.9</v>
      </c>
      <c r="K330" s="33">
        <f>ROUND(G330*J330,2)</f>
        <v>2584.11</v>
      </c>
      <c r="L330" s="34" t="s">
        <v>28</v>
      </c>
      <c r="M330" s="35"/>
      <c r="N330" s="3">
        <v>1</v>
      </c>
      <c r="O330" s="21">
        <v>657.42</v>
      </c>
      <c r="P330" s="22" t="s">
        <v>122</v>
      </c>
      <c r="Q330" s="38"/>
      <c r="R330" s="38"/>
    </row>
    <row r="331" s="3" customFormat="1" outlineLevel="1" spans="1:18">
      <c r="A331" s="27" t="s">
        <v>267</v>
      </c>
      <c r="B331" s="28" t="s">
        <v>180</v>
      </c>
      <c r="C331" s="28"/>
      <c r="D331" s="28"/>
      <c r="E331" s="28"/>
      <c r="F331" s="29"/>
      <c r="G331" s="30"/>
      <c r="H331" s="31"/>
      <c r="I331" s="39"/>
      <c r="J331" s="31"/>
      <c r="K331" s="33"/>
      <c r="L331" s="34"/>
      <c r="M331" s="35"/>
      <c r="O331" s="36"/>
      <c r="P331" s="37"/>
      <c r="Q331" s="38"/>
      <c r="R331" s="38"/>
    </row>
    <row r="332" s="3" customFormat="1" outlineLevel="1" spans="1:18">
      <c r="A332" s="40"/>
      <c r="B332" s="28" t="s">
        <v>181</v>
      </c>
      <c r="C332" s="28"/>
      <c r="D332" s="28"/>
      <c r="E332" s="28"/>
      <c r="F332" s="29"/>
      <c r="G332" s="30"/>
      <c r="H332" s="31"/>
      <c r="I332" s="39"/>
      <c r="J332" s="31"/>
      <c r="K332" s="33"/>
      <c r="L332" s="34"/>
      <c r="M332" s="35"/>
      <c r="O332" s="36"/>
      <c r="P332" s="37"/>
      <c r="Q332" s="38"/>
      <c r="R332" s="38"/>
    </row>
    <row r="333" s="3" customFormat="1" ht="132" customHeight="1" outlineLevel="2" spans="1:18">
      <c r="A333" s="41">
        <f>1+N(A332)</f>
        <v>1</v>
      </c>
      <c r="B333" s="28" t="s">
        <v>268</v>
      </c>
      <c r="C333" s="28" t="s">
        <v>269</v>
      </c>
      <c r="D333" s="28" t="s">
        <v>270</v>
      </c>
      <c r="E333" s="28" t="s">
        <v>271</v>
      </c>
      <c r="F333" s="29" t="s">
        <v>272</v>
      </c>
      <c r="G333" s="30">
        <v>20.81</v>
      </c>
      <c r="H333" s="31">
        <v>711.34</v>
      </c>
      <c r="I333" s="39"/>
      <c r="J333" s="31">
        <f>H333*(1-$I$4)</f>
        <v>711.34</v>
      </c>
      <c r="K333" s="33">
        <f>ROUND(G333*J333,2)</f>
        <v>14802.99</v>
      </c>
      <c r="L333" s="34" t="s">
        <v>28</v>
      </c>
      <c r="M333" s="35"/>
      <c r="N333" s="3">
        <v>1</v>
      </c>
      <c r="O333" s="21">
        <v>887.43</v>
      </c>
      <c r="P333" s="22" t="s">
        <v>273</v>
      </c>
      <c r="Q333" s="38"/>
      <c r="R333" s="38"/>
    </row>
    <row r="334" s="3" customFormat="1" ht="156" customHeight="1" outlineLevel="2" spans="1:18">
      <c r="A334" s="41">
        <f>1+N(A333)</f>
        <v>2</v>
      </c>
      <c r="B334" s="28" t="s">
        <v>274</v>
      </c>
      <c r="C334" s="28" t="s">
        <v>275</v>
      </c>
      <c r="D334" s="28" t="s">
        <v>276</v>
      </c>
      <c r="E334" s="28" t="s">
        <v>277</v>
      </c>
      <c r="F334" s="29" t="s">
        <v>27</v>
      </c>
      <c r="G334" s="30">
        <v>118.88</v>
      </c>
      <c r="H334" s="31">
        <v>51.83</v>
      </c>
      <c r="I334" s="39"/>
      <c r="J334" s="31">
        <f>H334*(1-$I$4)</f>
        <v>51.83</v>
      </c>
      <c r="K334" s="33">
        <f>ROUND(G334*J334,2)</f>
        <v>6161.55</v>
      </c>
      <c r="L334" s="34" t="s">
        <v>28</v>
      </c>
      <c r="M334" s="35"/>
      <c r="N334" s="3">
        <v>1</v>
      </c>
      <c r="O334" s="21">
        <v>34.1</v>
      </c>
      <c r="P334" s="22" t="s">
        <v>278</v>
      </c>
      <c r="Q334" s="38"/>
      <c r="R334" s="38"/>
    </row>
    <row r="335" s="3" customFormat="1" ht="96" customHeight="1" outlineLevel="2" spans="1:18">
      <c r="A335" s="41">
        <f>1+N(A334)</f>
        <v>3</v>
      </c>
      <c r="B335" s="28" t="s">
        <v>182</v>
      </c>
      <c r="C335" s="28" t="s">
        <v>183</v>
      </c>
      <c r="D335" s="28" t="s">
        <v>59</v>
      </c>
      <c r="E335" s="28" t="s">
        <v>184</v>
      </c>
      <c r="F335" s="29" t="s">
        <v>27</v>
      </c>
      <c r="G335" s="30">
        <v>176.85</v>
      </c>
      <c r="H335" s="31">
        <v>205.03</v>
      </c>
      <c r="I335" s="39"/>
      <c r="J335" s="31">
        <f>H335*(1-$I$4)</f>
        <v>205.03</v>
      </c>
      <c r="K335" s="33">
        <f>ROUND(G335*J335,2)</f>
        <v>36259.56</v>
      </c>
      <c r="L335" s="34" t="s">
        <v>28</v>
      </c>
      <c r="M335" s="35"/>
      <c r="N335" s="3">
        <v>1</v>
      </c>
      <c r="O335" s="21">
        <v>176.3</v>
      </c>
      <c r="P335" s="22" t="s">
        <v>185</v>
      </c>
      <c r="Q335" s="38"/>
      <c r="R335" s="38"/>
    </row>
    <row r="336" s="3" customFormat="1" spans="1:18">
      <c r="A336" s="27" t="s">
        <v>279</v>
      </c>
      <c r="B336" s="17" t="s">
        <v>280</v>
      </c>
      <c r="C336" s="28"/>
      <c r="D336" s="28"/>
      <c r="E336" s="28"/>
      <c r="F336" s="29"/>
      <c r="G336" s="30"/>
      <c r="H336" s="31"/>
      <c r="I336" s="39"/>
      <c r="J336" s="31"/>
      <c r="K336" s="33"/>
      <c r="L336" s="34"/>
      <c r="M336" s="35"/>
      <c r="O336" s="42"/>
      <c r="P336" s="37"/>
      <c r="Q336" s="38"/>
      <c r="R336" s="38"/>
    </row>
    <row r="337" s="3" customFormat="1" outlineLevel="1" spans="1:18">
      <c r="A337" s="27" t="s">
        <v>20</v>
      </c>
      <c r="B337" s="28" t="s">
        <v>281</v>
      </c>
      <c r="C337" s="28"/>
      <c r="D337" s="28"/>
      <c r="E337" s="28"/>
      <c r="F337" s="29"/>
      <c r="G337" s="30"/>
      <c r="H337" s="31"/>
      <c r="I337" s="39"/>
      <c r="J337" s="31"/>
      <c r="K337" s="33"/>
      <c r="L337" s="34"/>
      <c r="M337" s="35"/>
      <c r="O337" s="42"/>
      <c r="P337" s="37"/>
      <c r="Q337" s="38"/>
      <c r="R337" s="38"/>
    </row>
    <row r="338" s="3" customFormat="1" outlineLevel="1" spans="1:18">
      <c r="A338" s="40"/>
      <c r="B338" s="28" t="s">
        <v>22</v>
      </c>
      <c r="C338" s="28"/>
      <c r="D338" s="28"/>
      <c r="E338" s="28"/>
      <c r="F338" s="29"/>
      <c r="G338" s="30"/>
      <c r="H338" s="31"/>
      <c r="I338" s="39"/>
      <c r="J338" s="31"/>
      <c r="K338" s="33"/>
      <c r="L338" s="34"/>
      <c r="M338" s="35"/>
      <c r="O338" s="36"/>
      <c r="P338" s="37"/>
      <c r="Q338" s="38"/>
      <c r="R338" s="38"/>
    </row>
    <row r="339" s="3" customFormat="1" ht="108" customHeight="1" outlineLevel="2" spans="1:18">
      <c r="A339" s="41">
        <f>1+N(A338)</f>
        <v>1</v>
      </c>
      <c r="B339" s="28" t="s">
        <v>282</v>
      </c>
      <c r="C339" s="28" t="s">
        <v>283</v>
      </c>
      <c r="D339" s="28" t="s">
        <v>25</v>
      </c>
      <c r="E339" s="28" t="s">
        <v>26</v>
      </c>
      <c r="F339" s="29" t="s">
        <v>27</v>
      </c>
      <c r="G339" s="30">
        <v>37.8</v>
      </c>
      <c r="H339" s="31">
        <v>760.37</v>
      </c>
      <c r="I339" s="39"/>
      <c r="J339" s="31">
        <f>H339*(1-$I$4)</f>
        <v>760.37</v>
      </c>
      <c r="K339" s="33">
        <f>ROUND(G339*J339,2)</f>
        <v>28741.99</v>
      </c>
      <c r="L339" s="34" t="s">
        <v>28</v>
      </c>
      <c r="M339" s="35"/>
      <c r="N339" s="3">
        <v>1</v>
      </c>
      <c r="O339" s="21">
        <v>886.6</v>
      </c>
      <c r="P339" s="22" t="s">
        <v>284</v>
      </c>
      <c r="Q339" s="38"/>
      <c r="R339" s="38"/>
    </row>
    <row r="340" s="3" customFormat="1" ht="84" customHeight="1" outlineLevel="2" spans="1:18">
      <c r="A340" s="41">
        <f>1+N(A339)</f>
        <v>2</v>
      </c>
      <c r="B340" s="28" t="s">
        <v>189</v>
      </c>
      <c r="C340" s="28" t="s">
        <v>190</v>
      </c>
      <c r="D340" s="28" t="s">
        <v>25</v>
      </c>
      <c r="E340" s="28" t="s">
        <v>26</v>
      </c>
      <c r="F340" s="29" t="s">
        <v>27</v>
      </c>
      <c r="G340" s="30">
        <v>177.52</v>
      </c>
      <c r="H340" s="31">
        <v>317.64</v>
      </c>
      <c r="I340" s="39"/>
      <c r="J340" s="31">
        <f>H340*(1-$I$4)</f>
        <v>317.64</v>
      </c>
      <c r="K340" s="33">
        <f>ROUND(G340*J340,2)</f>
        <v>56387.45</v>
      </c>
      <c r="L340" s="34" t="s">
        <v>28</v>
      </c>
      <c r="M340" s="35"/>
      <c r="N340" s="3">
        <v>1</v>
      </c>
      <c r="O340" s="21">
        <v>194.65</v>
      </c>
      <c r="P340" s="22" t="s">
        <v>191</v>
      </c>
      <c r="Q340" s="38"/>
      <c r="R340" s="38"/>
    </row>
    <row r="341" s="3" customFormat="1" ht="84" customHeight="1" outlineLevel="2" spans="1:18">
      <c r="A341" s="41">
        <f>1+N(A340)</f>
        <v>3</v>
      </c>
      <c r="B341" s="28" t="s">
        <v>285</v>
      </c>
      <c r="C341" s="28" t="s">
        <v>286</v>
      </c>
      <c r="D341" s="28" t="s">
        <v>25</v>
      </c>
      <c r="E341" s="28" t="s">
        <v>26</v>
      </c>
      <c r="F341" s="29" t="s">
        <v>27</v>
      </c>
      <c r="G341" s="30">
        <v>130.48</v>
      </c>
      <c r="H341" s="31">
        <v>566.86</v>
      </c>
      <c r="I341" s="39"/>
      <c r="J341" s="31">
        <f>H341*(1-$I$4)</f>
        <v>566.86</v>
      </c>
      <c r="K341" s="33">
        <f>ROUND(G341*J341,2)</f>
        <v>73963.89</v>
      </c>
      <c r="L341" s="34" t="s">
        <v>28</v>
      </c>
      <c r="M341" s="35"/>
      <c r="N341" s="3">
        <v>1</v>
      </c>
      <c r="O341" s="21">
        <v>392.92</v>
      </c>
      <c r="P341" s="22" t="s">
        <v>287</v>
      </c>
      <c r="Q341" s="38"/>
      <c r="R341" s="38"/>
    </row>
    <row r="342" s="3" customFormat="1" ht="72" customHeight="1" outlineLevel="2" spans="1:18">
      <c r="A342" s="41">
        <f>1+N(A341)</f>
        <v>4</v>
      </c>
      <c r="B342" s="28" t="s">
        <v>36</v>
      </c>
      <c r="C342" s="28" t="s">
        <v>37</v>
      </c>
      <c r="D342" s="28" t="s">
        <v>25</v>
      </c>
      <c r="E342" s="28" t="s">
        <v>38</v>
      </c>
      <c r="F342" s="29" t="s">
        <v>39</v>
      </c>
      <c r="G342" s="30">
        <v>237.16</v>
      </c>
      <c r="H342" s="31">
        <v>89.27</v>
      </c>
      <c r="I342" s="39"/>
      <c r="J342" s="31">
        <f>H342*(1-$I$4)</f>
        <v>89.27</v>
      </c>
      <c r="K342" s="33">
        <f>ROUND(G342*J342,2)</f>
        <v>21171.27</v>
      </c>
      <c r="L342" s="34" t="s">
        <v>28</v>
      </c>
      <c r="M342" s="35"/>
      <c r="N342" s="3">
        <v>1</v>
      </c>
      <c r="O342" s="21">
        <v>35.28</v>
      </c>
      <c r="P342" s="22" t="s">
        <v>40</v>
      </c>
      <c r="Q342" s="38"/>
      <c r="R342" s="38"/>
    </row>
    <row r="343" s="3" customFormat="1" ht="72" customHeight="1" outlineLevel="2" spans="1:18">
      <c r="A343" s="41">
        <f>1+N(A342)</f>
        <v>5</v>
      </c>
      <c r="B343" s="28" t="s">
        <v>41</v>
      </c>
      <c r="C343" s="28" t="s">
        <v>42</v>
      </c>
      <c r="D343" s="28" t="s">
        <v>25</v>
      </c>
      <c r="E343" s="28" t="s">
        <v>26</v>
      </c>
      <c r="F343" s="29" t="s">
        <v>27</v>
      </c>
      <c r="G343" s="30">
        <v>37.8</v>
      </c>
      <c r="H343" s="31">
        <v>64.9</v>
      </c>
      <c r="I343" s="39"/>
      <c r="J343" s="31">
        <f>H343*(1-$I$4)</f>
        <v>64.9</v>
      </c>
      <c r="K343" s="33">
        <f>ROUND(G343*J343,2)</f>
        <v>2453.22</v>
      </c>
      <c r="L343" s="34" t="s">
        <v>28</v>
      </c>
      <c r="M343" s="35"/>
      <c r="N343" s="3">
        <v>1</v>
      </c>
      <c r="O343" s="21">
        <v>61.38</v>
      </c>
      <c r="P343" s="22" t="s">
        <v>43</v>
      </c>
      <c r="Q343" s="38"/>
      <c r="R343" s="38"/>
    </row>
    <row r="344" s="3" customFormat="1" outlineLevel="1" spans="1:18">
      <c r="A344" s="40"/>
      <c r="B344" s="28" t="s">
        <v>44</v>
      </c>
      <c r="C344" s="28"/>
      <c r="D344" s="28"/>
      <c r="E344" s="28"/>
      <c r="F344" s="29"/>
      <c r="G344" s="30"/>
      <c r="H344" s="31"/>
      <c r="I344" s="39"/>
      <c r="J344" s="31"/>
      <c r="K344" s="33"/>
      <c r="L344" s="34"/>
      <c r="M344" s="35"/>
      <c r="O344" s="36"/>
      <c r="P344" s="37"/>
      <c r="Q344" s="38"/>
      <c r="R344" s="38"/>
    </row>
    <row r="345" s="3" customFormat="1" ht="120" customHeight="1" outlineLevel="2" spans="1:18">
      <c r="A345" s="41">
        <f t="shared" ref="A345:A356" si="39">1+N(A344)</f>
        <v>1</v>
      </c>
      <c r="B345" s="28" t="s">
        <v>288</v>
      </c>
      <c r="C345" s="28" t="s">
        <v>289</v>
      </c>
      <c r="D345" s="28" t="s">
        <v>52</v>
      </c>
      <c r="E345" s="28" t="s">
        <v>63</v>
      </c>
      <c r="F345" s="29" t="s">
        <v>27</v>
      </c>
      <c r="G345" s="30">
        <v>41.14</v>
      </c>
      <c r="H345" s="31">
        <v>930.48</v>
      </c>
      <c r="I345" s="39"/>
      <c r="J345" s="31">
        <f t="shared" ref="J345:J356" si="40">H345*(1-$I$4)</f>
        <v>930.48</v>
      </c>
      <c r="K345" s="33">
        <f t="shared" ref="K345:K356" si="41">ROUND(G345*J345,2)</f>
        <v>38279.95</v>
      </c>
      <c r="L345" s="34" t="s">
        <v>28</v>
      </c>
      <c r="M345" s="35"/>
      <c r="N345" s="3">
        <v>1</v>
      </c>
      <c r="O345" s="21">
        <v>669.7</v>
      </c>
      <c r="P345" s="22" t="s">
        <v>290</v>
      </c>
      <c r="Q345" s="38"/>
      <c r="R345" s="38"/>
    </row>
    <row r="346" s="3" customFormat="1" ht="120" customHeight="1" outlineLevel="2" spans="1:18">
      <c r="A346" s="41">
        <f t="shared" si="39"/>
        <v>2</v>
      </c>
      <c r="B346" s="28" t="s">
        <v>291</v>
      </c>
      <c r="C346" s="28" t="s">
        <v>292</v>
      </c>
      <c r="D346" s="28" t="s">
        <v>52</v>
      </c>
      <c r="E346" s="28" t="s">
        <v>293</v>
      </c>
      <c r="F346" s="29" t="s">
        <v>27</v>
      </c>
      <c r="G346" s="30">
        <v>262.42</v>
      </c>
      <c r="H346" s="31">
        <v>580.35</v>
      </c>
      <c r="I346" s="39"/>
      <c r="J346" s="31">
        <f t="shared" si="40"/>
        <v>580.35</v>
      </c>
      <c r="K346" s="33">
        <f t="shared" si="41"/>
        <v>152295.45</v>
      </c>
      <c r="L346" s="34" t="s">
        <v>28</v>
      </c>
      <c r="M346" s="35"/>
      <c r="N346" s="3">
        <v>1</v>
      </c>
      <c r="O346" s="21">
        <v>479.36</v>
      </c>
      <c r="P346" s="22" t="s">
        <v>294</v>
      </c>
      <c r="Q346" s="38"/>
      <c r="R346" s="38"/>
    </row>
    <row r="347" s="3" customFormat="1" ht="96" customHeight="1" outlineLevel="2" spans="1:18">
      <c r="A347" s="41">
        <f t="shared" si="39"/>
        <v>3</v>
      </c>
      <c r="B347" s="28" t="s">
        <v>295</v>
      </c>
      <c r="C347" s="28" t="s">
        <v>296</v>
      </c>
      <c r="D347" s="28" t="s">
        <v>59</v>
      </c>
      <c r="E347" s="28" t="s">
        <v>26</v>
      </c>
      <c r="F347" s="29" t="s">
        <v>27</v>
      </c>
      <c r="G347" s="30">
        <v>326.15</v>
      </c>
      <c r="H347" s="31">
        <v>311.52</v>
      </c>
      <c r="I347" s="39"/>
      <c r="J347" s="31">
        <f t="shared" si="40"/>
        <v>311.52</v>
      </c>
      <c r="K347" s="33">
        <f t="shared" si="41"/>
        <v>101602.25</v>
      </c>
      <c r="L347" s="34" t="s">
        <v>28</v>
      </c>
      <c r="M347" s="35"/>
      <c r="N347" s="3">
        <v>1</v>
      </c>
      <c r="O347" s="21">
        <v>278.47</v>
      </c>
      <c r="P347" s="22" t="s">
        <v>297</v>
      </c>
      <c r="Q347" s="38"/>
      <c r="R347" s="38"/>
    </row>
    <row r="348" s="3" customFormat="1" ht="120" customHeight="1" outlineLevel="2" spans="1:18">
      <c r="A348" s="41">
        <f t="shared" si="39"/>
        <v>4</v>
      </c>
      <c r="B348" s="28" t="s">
        <v>140</v>
      </c>
      <c r="C348" s="28" t="s">
        <v>298</v>
      </c>
      <c r="D348" s="28" t="s">
        <v>52</v>
      </c>
      <c r="E348" s="28" t="s">
        <v>63</v>
      </c>
      <c r="F348" s="29" t="s">
        <v>27</v>
      </c>
      <c r="G348" s="30">
        <v>55.59</v>
      </c>
      <c r="H348" s="31">
        <v>630.65</v>
      </c>
      <c r="I348" s="39"/>
      <c r="J348" s="31">
        <f t="shared" si="40"/>
        <v>630.65</v>
      </c>
      <c r="K348" s="33">
        <f t="shared" si="41"/>
        <v>35057.83</v>
      </c>
      <c r="L348" s="34" t="s">
        <v>28</v>
      </c>
      <c r="M348" s="35"/>
      <c r="N348" s="3">
        <v>1</v>
      </c>
      <c r="O348" s="21">
        <v>681.67</v>
      </c>
      <c r="P348" s="22" t="s">
        <v>64</v>
      </c>
      <c r="Q348" s="38"/>
      <c r="R348" s="38"/>
    </row>
    <row r="349" s="3" customFormat="1" ht="96" customHeight="1" outlineLevel="2" spans="1:18">
      <c r="A349" s="41">
        <f t="shared" si="39"/>
        <v>5</v>
      </c>
      <c r="B349" s="28" t="s">
        <v>299</v>
      </c>
      <c r="C349" s="28" t="s">
        <v>300</v>
      </c>
      <c r="D349" s="28" t="s">
        <v>59</v>
      </c>
      <c r="E349" s="28" t="s">
        <v>207</v>
      </c>
      <c r="F349" s="29" t="s">
        <v>27</v>
      </c>
      <c r="G349" s="30">
        <v>52.81</v>
      </c>
      <c r="H349" s="31">
        <v>630.65</v>
      </c>
      <c r="I349" s="39"/>
      <c r="J349" s="31">
        <f t="shared" si="40"/>
        <v>630.65</v>
      </c>
      <c r="K349" s="33">
        <f t="shared" si="41"/>
        <v>33304.63</v>
      </c>
      <c r="L349" s="34" t="s">
        <v>28</v>
      </c>
      <c r="M349" s="35"/>
      <c r="N349" s="3">
        <v>1</v>
      </c>
      <c r="O349" s="21">
        <v>1126.07</v>
      </c>
      <c r="P349" s="22" t="s">
        <v>301</v>
      </c>
      <c r="Q349" s="38"/>
      <c r="R349" s="38"/>
    </row>
    <row r="350" s="3" customFormat="1" ht="96" customHeight="1" outlineLevel="2" spans="1:18">
      <c r="A350" s="41">
        <f t="shared" si="39"/>
        <v>6</v>
      </c>
      <c r="B350" s="28" t="s">
        <v>302</v>
      </c>
      <c r="C350" s="28" t="s">
        <v>303</v>
      </c>
      <c r="D350" s="28" t="s">
        <v>59</v>
      </c>
      <c r="E350" s="28" t="s">
        <v>207</v>
      </c>
      <c r="F350" s="29" t="s">
        <v>27</v>
      </c>
      <c r="G350" s="30">
        <v>1.58</v>
      </c>
      <c r="H350" s="31">
        <v>812.31</v>
      </c>
      <c r="I350" s="39"/>
      <c r="J350" s="31">
        <f t="shared" si="40"/>
        <v>812.31</v>
      </c>
      <c r="K350" s="33">
        <f t="shared" si="41"/>
        <v>1283.45</v>
      </c>
      <c r="L350" s="34" t="s">
        <v>28</v>
      </c>
      <c r="M350" s="35"/>
      <c r="N350" s="3">
        <v>1</v>
      </c>
      <c r="O350" s="21">
        <v>573.32</v>
      </c>
      <c r="P350" s="22" t="s">
        <v>304</v>
      </c>
      <c r="Q350" s="38"/>
      <c r="R350" s="38"/>
    </row>
    <row r="351" s="3" customFormat="1" ht="120" customHeight="1" outlineLevel="2" spans="1:18">
      <c r="A351" s="41">
        <f t="shared" si="39"/>
        <v>7</v>
      </c>
      <c r="B351" s="28" t="s">
        <v>66</v>
      </c>
      <c r="C351" s="28" t="s">
        <v>67</v>
      </c>
      <c r="D351" s="28" t="s">
        <v>52</v>
      </c>
      <c r="E351" s="28" t="s">
        <v>63</v>
      </c>
      <c r="F351" s="29" t="s">
        <v>27</v>
      </c>
      <c r="G351" s="30">
        <v>20.33</v>
      </c>
      <c r="H351" s="31">
        <v>812.96</v>
      </c>
      <c r="I351" s="39"/>
      <c r="J351" s="31">
        <f t="shared" si="40"/>
        <v>812.96</v>
      </c>
      <c r="K351" s="33">
        <f t="shared" si="41"/>
        <v>16527.48</v>
      </c>
      <c r="L351" s="34" t="s">
        <v>28</v>
      </c>
      <c r="M351" s="35"/>
      <c r="N351" s="3">
        <v>1</v>
      </c>
      <c r="O351" s="21">
        <v>681.67</v>
      </c>
      <c r="P351" s="22" t="s">
        <v>68</v>
      </c>
      <c r="Q351" s="38"/>
      <c r="R351" s="38"/>
    </row>
    <row r="352" s="3" customFormat="1" ht="96" customHeight="1" outlineLevel="2" spans="1:18">
      <c r="A352" s="41">
        <f t="shared" si="39"/>
        <v>8</v>
      </c>
      <c r="B352" s="28" t="s">
        <v>75</v>
      </c>
      <c r="C352" s="28" t="s">
        <v>76</v>
      </c>
      <c r="D352" s="28" t="s">
        <v>59</v>
      </c>
      <c r="E352" s="28" t="s">
        <v>38</v>
      </c>
      <c r="F352" s="29" t="s">
        <v>39</v>
      </c>
      <c r="G352" s="30">
        <v>305.88</v>
      </c>
      <c r="H352" s="31">
        <v>67.08</v>
      </c>
      <c r="I352" s="39"/>
      <c r="J352" s="31">
        <f t="shared" si="40"/>
        <v>67.08</v>
      </c>
      <c r="K352" s="33">
        <f t="shared" si="41"/>
        <v>20518.43</v>
      </c>
      <c r="L352" s="34" t="s">
        <v>28</v>
      </c>
      <c r="M352" s="35"/>
      <c r="N352" s="3">
        <v>1</v>
      </c>
      <c r="O352" s="21">
        <v>45.71</v>
      </c>
      <c r="P352" s="22" t="s">
        <v>77</v>
      </c>
      <c r="Q352" s="38"/>
      <c r="R352" s="38"/>
    </row>
    <row r="353" s="3" customFormat="1" ht="96" customHeight="1" outlineLevel="2" spans="1:18">
      <c r="A353" s="41">
        <f t="shared" si="39"/>
        <v>9</v>
      </c>
      <c r="B353" s="28" t="s">
        <v>305</v>
      </c>
      <c r="C353" s="28" t="s">
        <v>306</v>
      </c>
      <c r="D353" s="28" t="s">
        <v>59</v>
      </c>
      <c r="E353" s="28" t="s">
        <v>38</v>
      </c>
      <c r="F353" s="29" t="s">
        <v>39</v>
      </c>
      <c r="G353" s="30">
        <v>659.68</v>
      </c>
      <c r="H353" s="31">
        <v>56.36</v>
      </c>
      <c r="I353" s="39"/>
      <c r="J353" s="31">
        <f t="shared" si="40"/>
        <v>56.36</v>
      </c>
      <c r="K353" s="33">
        <f t="shared" si="41"/>
        <v>37179.56</v>
      </c>
      <c r="L353" s="34" t="s">
        <v>28</v>
      </c>
      <c r="M353" s="35"/>
      <c r="N353" s="3">
        <v>1</v>
      </c>
      <c r="O353" s="21">
        <v>41.36</v>
      </c>
      <c r="P353" s="22" t="s">
        <v>307</v>
      </c>
      <c r="Q353" s="38"/>
      <c r="R353" s="38"/>
    </row>
    <row r="354" s="3" customFormat="1" ht="96" customHeight="1" outlineLevel="2" spans="1:18">
      <c r="A354" s="41">
        <f t="shared" si="39"/>
        <v>10</v>
      </c>
      <c r="B354" s="28" t="s">
        <v>308</v>
      </c>
      <c r="C354" s="28" t="s">
        <v>309</v>
      </c>
      <c r="D354" s="28" t="s">
        <v>59</v>
      </c>
      <c r="E354" s="28" t="s">
        <v>38</v>
      </c>
      <c r="F354" s="29" t="s">
        <v>39</v>
      </c>
      <c r="G354" s="30">
        <v>91.28</v>
      </c>
      <c r="H354" s="31">
        <v>57.13</v>
      </c>
      <c r="I354" s="39"/>
      <c r="J354" s="31">
        <f t="shared" si="40"/>
        <v>57.13</v>
      </c>
      <c r="K354" s="33">
        <f t="shared" si="41"/>
        <v>5214.83</v>
      </c>
      <c r="L354" s="34" t="s">
        <v>28</v>
      </c>
      <c r="M354" s="35"/>
      <c r="N354" s="3">
        <v>1</v>
      </c>
      <c r="O354" s="21">
        <v>41.36</v>
      </c>
      <c r="P354" s="22" t="s">
        <v>310</v>
      </c>
      <c r="Q354" s="38"/>
      <c r="R354" s="38"/>
    </row>
    <row r="355" s="3" customFormat="1" ht="96" customHeight="1" outlineLevel="2" spans="1:18">
      <c r="A355" s="41">
        <f t="shared" si="39"/>
        <v>11</v>
      </c>
      <c r="B355" s="28" t="s">
        <v>87</v>
      </c>
      <c r="C355" s="28" t="s">
        <v>88</v>
      </c>
      <c r="D355" s="28" t="s">
        <v>59</v>
      </c>
      <c r="E355" s="28" t="s">
        <v>38</v>
      </c>
      <c r="F355" s="29" t="s">
        <v>39</v>
      </c>
      <c r="G355" s="30">
        <v>305.88</v>
      </c>
      <c r="H355" s="31">
        <v>64.25</v>
      </c>
      <c r="I355" s="39"/>
      <c r="J355" s="31">
        <f t="shared" si="40"/>
        <v>64.25</v>
      </c>
      <c r="K355" s="33">
        <f t="shared" si="41"/>
        <v>19652.79</v>
      </c>
      <c r="L355" s="34" t="s">
        <v>28</v>
      </c>
      <c r="M355" s="35"/>
      <c r="N355" s="3">
        <v>1</v>
      </c>
      <c r="O355" s="21">
        <v>43.16</v>
      </c>
      <c r="P355" s="22" t="s">
        <v>89</v>
      </c>
      <c r="Q355" s="38"/>
      <c r="R355" s="38"/>
    </row>
    <row r="356" s="3" customFormat="1" ht="60" customHeight="1" outlineLevel="2" spans="1:18">
      <c r="A356" s="41">
        <f t="shared" si="39"/>
        <v>12</v>
      </c>
      <c r="B356" s="28" t="s">
        <v>311</v>
      </c>
      <c r="C356" s="28" t="s">
        <v>312</v>
      </c>
      <c r="D356" s="28" t="s">
        <v>98</v>
      </c>
      <c r="E356" s="28" t="s">
        <v>115</v>
      </c>
      <c r="F356" s="29" t="s">
        <v>27</v>
      </c>
      <c r="G356" s="30">
        <v>13.04</v>
      </c>
      <c r="H356" s="31">
        <v>630.65</v>
      </c>
      <c r="I356" s="39"/>
      <c r="J356" s="31">
        <f t="shared" si="40"/>
        <v>630.65</v>
      </c>
      <c r="K356" s="33">
        <f t="shared" si="41"/>
        <v>8223.68</v>
      </c>
      <c r="L356" s="34" t="s">
        <v>28</v>
      </c>
      <c r="M356" s="35"/>
      <c r="N356" s="3">
        <v>1</v>
      </c>
      <c r="O356" s="21">
        <v>681.67</v>
      </c>
      <c r="P356" s="22" t="s">
        <v>64</v>
      </c>
      <c r="Q356" s="38"/>
      <c r="R356" s="38"/>
    </row>
    <row r="357" s="3" customFormat="1" outlineLevel="1" spans="1:18">
      <c r="A357" s="40"/>
      <c r="B357" s="28" t="s">
        <v>90</v>
      </c>
      <c r="C357" s="28"/>
      <c r="D357" s="28"/>
      <c r="E357" s="28"/>
      <c r="F357" s="29"/>
      <c r="G357" s="30"/>
      <c r="H357" s="31"/>
      <c r="I357" s="39"/>
      <c r="J357" s="31"/>
      <c r="K357" s="33"/>
      <c r="L357" s="34"/>
      <c r="M357" s="35"/>
      <c r="O357" s="36"/>
      <c r="P357" s="37"/>
      <c r="Q357" s="38"/>
      <c r="R357" s="38"/>
    </row>
    <row r="358" s="3" customFormat="1" ht="168" customHeight="1" outlineLevel="2" spans="1:18">
      <c r="A358" s="41">
        <f>1+N(A357)</f>
        <v>1</v>
      </c>
      <c r="B358" s="28" t="s">
        <v>91</v>
      </c>
      <c r="C358" s="28" t="s">
        <v>92</v>
      </c>
      <c r="D358" s="28" t="s">
        <v>93</v>
      </c>
      <c r="E358" s="28" t="s">
        <v>94</v>
      </c>
      <c r="F358" s="29" t="s">
        <v>27</v>
      </c>
      <c r="G358" s="30">
        <v>308</v>
      </c>
      <c r="H358" s="31">
        <v>150.71</v>
      </c>
      <c r="I358" s="39"/>
      <c r="J358" s="31">
        <f>H358*(1-$I$4)</f>
        <v>150.71</v>
      </c>
      <c r="K358" s="33">
        <f>ROUND(G358*J358,2)</f>
        <v>46418.68</v>
      </c>
      <c r="L358" s="34" t="s">
        <v>28</v>
      </c>
      <c r="M358" s="35"/>
      <c r="N358" s="3">
        <v>1</v>
      </c>
      <c r="O358" s="21">
        <v>150.38</v>
      </c>
      <c r="P358" s="22" t="s">
        <v>313</v>
      </c>
      <c r="Q358" s="38"/>
      <c r="R358" s="38"/>
    </row>
    <row r="359" s="3" customFormat="1" ht="48" customHeight="1" outlineLevel="2" spans="1:18">
      <c r="A359" s="41">
        <f>1+N(A358)</f>
        <v>2</v>
      </c>
      <c r="B359" s="28" t="s">
        <v>96</v>
      </c>
      <c r="C359" s="28" t="s">
        <v>97</v>
      </c>
      <c r="D359" s="28" t="s">
        <v>98</v>
      </c>
      <c r="E359" s="28" t="s">
        <v>99</v>
      </c>
      <c r="F359" s="29" t="s">
        <v>39</v>
      </c>
      <c r="G359" s="30">
        <v>254.8</v>
      </c>
      <c r="H359" s="31">
        <v>112.16</v>
      </c>
      <c r="I359" s="39"/>
      <c r="J359" s="31">
        <f>H359*(1-$I$4)</f>
        <v>112.16</v>
      </c>
      <c r="K359" s="33">
        <f>ROUND(G359*J359,2)</f>
        <v>28578.37</v>
      </c>
      <c r="L359" s="34" t="s">
        <v>28</v>
      </c>
      <c r="M359" s="35"/>
      <c r="N359" s="3">
        <v>1</v>
      </c>
      <c r="O359" s="21">
        <v>79.3</v>
      </c>
      <c r="P359" s="22" t="s">
        <v>100</v>
      </c>
      <c r="Q359" s="38"/>
      <c r="R359" s="38"/>
    </row>
    <row r="360" s="3" customFormat="1" ht="48" customHeight="1" outlineLevel="2" spans="1:18">
      <c r="A360" s="41">
        <f>1+N(A359)</f>
        <v>3</v>
      </c>
      <c r="B360" s="28" t="s">
        <v>101</v>
      </c>
      <c r="C360" s="28" t="s">
        <v>102</v>
      </c>
      <c r="D360" s="28" t="s">
        <v>98</v>
      </c>
      <c r="E360" s="28" t="s">
        <v>99</v>
      </c>
      <c r="F360" s="29" t="s">
        <v>39</v>
      </c>
      <c r="G360" s="30">
        <v>254.8</v>
      </c>
      <c r="H360" s="31">
        <v>75.82</v>
      </c>
      <c r="I360" s="39"/>
      <c r="J360" s="31">
        <f>H360*(1-$I$4)</f>
        <v>75.82</v>
      </c>
      <c r="K360" s="33">
        <f>ROUND(G360*J360,2)</f>
        <v>19318.94</v>
      </c>
      <c r="L360" s="34" t="s">
        <v>28</v>
      </c>
      <c r="M360" s="35"/>
      <c r="N360" s="3">
        <v>1</v>
      </c>
      <c r="O360" s="21">
        <v>203.56</v>
      </c>
      <c r="P360" s="22" t="s">
        <v>103</v>
      </c>
      <c r="Q360" s="38"/>
      <c r="R360" s="38"/>
    </row>
    <row r="361" s="3" customFormat="1" ht="132" customHeight="1" outlineLevel="2" spans="1:18">
      <c r="A361" s="41">
        <f>1+N(A360)</f>
        <v>4</v>
      </c>
      <c r="B361" s="28" t="s">
        <v>107</v>
      </c>
      <c r="C361" s="28" t="s">
        <v>108</v>
      </c>
      <c r="D361" s="28" t="s">
        <v>109</v>
      </c>
      <c r="E361" s="28" t="s">
        <v>110</v>
      </c>
      <c r="F361" s="29" t="s">
        <v>27</v>
      </c>
      <c r="G361" s="30">
        <v>384.44</v>
      </c>
      <c r="H361" s="31">
        <v>152.22</v>
      </c>
      <c r="I361" s="39"/>
      <c r="J361" s="31">
        <f>H361*(1-$I$4)</f>
        <v>152.22</v>
      </c>
      <c r="K361" s="33">
        <f>ROUND(G361*J361,2)</f>
        <v>58519.46</v>
      </c>
      <c r="L361" s="34" t="s">
        <v>28</v>
      </c>
      <c r="M361" s="35"/>
      <c r="N361" s="3">
        <v>1</v>
      </c>
      <c r="O361" s="21">
        <v>151.58</v>
      </c>
      <c r="P361" s="22" t="s">
        <v>111</v>
      </c>
      <c r="Q361" s="38"/>
      <c r="R361" s="38"/>
    </row>
    <row r="362" s="3" customFormat="1" outlineLevel="1" spans="1:18">
      <c r="A362" s="40"/>
      <c r="B362" s="28" t="s">
        <v>112</v>
      </c>
      <c r="C362" s="28"/>
      <c r="D362" s="28"/>
      <c r="E362" s="28"/>
      <c r="F362" s="29"/>
      <c r="G362" s="30"/>
      <c r="H362" s="31"/>
      <c r="I362" s="39"/>
      <c r="J362" s="31"/>
      <c r="K362" s="33"/>
      <c r="L362" s="34"/>
      <c r="M362" s="35"/>
      <c r="O362" s="36"/>
      <c r="P362" s="37"/>
      <c r="Q362" s="38"/>
      <c r="R362" s="38"/>
    </row>
    <row r="363" s="3" customFormat="1" ht="60" customHeight="1" outlineLevel="2" spans="1:18">
      <c r="A363" s="41">
        <f>1+N(A362)</f>
        <v>1</v>
      </c>
      <c r="B363" s="28" t="s">
        <v>134</v>
      </c>
      <c r="C363" s="28" t="s">
        <v>114</v>
      </c>
      <c r="D363" s="28" t="s">
        <v>98</v>
      </c>
      <c r="E363" s="28" t="s">
        <v>115</v>
      </c>
      <c r="F363" s="29" t="s">
        <v>27</v>
      </c>
      <c r="G363" s="30">
        <v>43.68</v>
      </c>
      <c r="H363" s="31">
        <v>962.68</v>
      </c>
      <c r="I363" s="39"/>
      <c r="J363" s="31">
        <f>H363*(1-$I$4)</f>
        <v>962.68</v>
      </c>
      <c r="K363" s="33">
        <f>ROUND(G363*J363,2)</f>
        <v>42049.86</v>
      </c>
      <c r="L363" s="34" t="s">
        <v>28</v>
      </c>
      <c r="M363" s="35"/>
      <c r="N363" s="3">
        <v>1</v>
      </c>
      <c r="O363" s="21">
        <v>665.69</v>
      </c>
      <c r="P363" s="22" t="s">
        <v>116</v>
      </c>
      <c r="Q363" s="38"/>
      <c r="R363" s="38"/>
    </row>
    <row r="364" s="3" customFormat="1" outlineLevel="1" spans="1:18">
      <c r="A364" s="27" t="s">
        <v>123</v>
      </c>
      <c r="B364" s="28" t="s">
        <v>314</v>
      </c>
      <c r="C364" s="28"/>
      <c r="D364" s="28"/>
      <c r="E364" s="28"/>
      <c r="F364" s="29"/>
      <c r="G364" s="30"/>
      <c r="H364" s="31"/>
      <c r="I364" s="39"/>
      <c r="J364" s="31"/>
      <c r="K364" s="33"/>
      <c r="L364" s="34"/>
      <c r="M364" s="35"/>
      <c r="O364" s="42"/>
      <c r="P364" s="37"/>
      <c r="Q364" s="38"/>
      <c r="R364" s="38"/>
    </row>
    <row r="365" s="3" customFormat="1" outlineLevel="1" spans="1:18">
      <c r="A365" s="40"/>
      <c r="B365" s="28" t="s">
        <v>22</v>
      </c>
      <c r="C365" s="28"/>
      <c r="D365" s="28"/>
      <c r="E365" s="28"/>
      <c r="F365" s="29"/>
      <c r="G365" s="30"/>
      <c r="H365" s="31"/>
      <c r="I365" s="39"/>
      <c r="J365" s="31"/>
      <c r="K365" s="33"/>
      <c r="L365" s="34"/>
      <c r="M365" s="35"/>
      <c r="O365" s="36"/>
      <c r="P365" s="37"/>
      <c r="Q365" s="38"/>
      <c r="R365" s="38"/>
    </row>
    <row r="366" s="3" customFormat="1" ht="108" customHeight="1" outlineLevel="2" spans="1:18">
      <c r="A366" s="41">
        <f>1+N(A365)</f>
        <v>1</v>
      </c>
      <c r="B366" s="28" t="s">
        <v>282</v>
      </c>
      <c r="C366" s="28" t="s">
        <v>283</v>
      </c>
      <c r="D366" s="28" t="s">
        <v>25</v>
      </c>
      <c r="E366" s="28" t="s">
        <v>26</v>
      </c>
      <c r="F366" s="29" t="s">
        <v>27</v>
      </c>
      <c r="G366" s="30">
        <v>50.68</v>
      </c>
      <c r="H366" s="31">
        <v>760.37</v>
      </c>
      <c r="I366" s="39"/>
      <c r="J366" s="31">
        <f>H366*(1-$I$4)</f>
        <v>760.37</v>
      </c>
      <c r="K366" s="33">
        <f>ROUND(G366*J366,2)</f>
        <v>38535.55</v>
      </c>
      <c r="L366" s="34" t="s">
        <v>28</v>
      </c>
      <c r="M366" s="35"/>
      <c r="N366" s="3">
        <v>1</v>
      </c>
      <c r="O366" s="21">
        <v>886.6</v>
      </c>
      <c r="P366" s="22" t="s">
        <v>284</v>
      </c>
      <c r="Q366" s="38"/>
      <c r="R366" s="38"/>
    </row>
    <row r="367" s="3" customFormat="1" ht="84" customHeight="1" outlineLevel="2" spans="1:18">
      <c r="A367" s="41">
        <f>1+N(A366)</f>
        <v>2</v>
      </c>
      <c r="B367" s="28" t="s">
        <v>189</v>
      </c>
      <c r="C367" s="28" t="s">
        <v>190</v>
      </c>
      <c r="D367" s="28" t="s">
        <v>25</v>
      </c>
      <c r="E367" s="28" t="s">
        <v>26</v>
      </c>
      <c r="F367" s="29" t="s">
        <v>27</v>
      </c>
      <c r="G367" s="30">
        <v>240.24</v>
      </c>
      <c r="H367" s="31">
        <v>317.64</v>
      </c>
      <c r="I367" s="39"/>
      <c r="J367" s="31">
        <f>H367*(1-$I$4)</f>
        <v>317.64</v>
      </c>
      <c r="K367" s="33">
        <f>ROUND(G367*J367,2)</f>
        <v>76309.83</v>
      </c>
      <c r="L367" s="34" t="s">
        <v>28</v>
      </c>
      <c r="M367" s="35"/>
      <c r="N367" s="3">
        <v>1</v>
      </c>
      <c r="O367" s="21">
        <v>194.65</v>
      </c>
      <c r="P367" s="22" t="s">
        <v>191</v>
      </c>
      <c r="Q367" s="38"/>
      <c r="R367" s="38"/>
    </row>
    <row r="368" s="3" customFormat="1" ht="84" customHeight="1" outlineLevel="2" spans="1:18">
      <c r="A368" s="41">
        <f>1+N(A367)</f>
        <v>3</v>
      </c>
      <c r="B368" s="28" t="s">
        <v>285</v>
      </c>
      <c r="C368" s="28" t="s">
        <v>286</v>
      </c>
      <c r="D368" s="28" t="s">
        <v>25</v>
      </c>
      <c r="E368" s="28" t="s">
        <v>26</v>
      </c>
      <c r="F368" s="29" t="s">
        <v>27</v>
      </c>
      <c r="G368" s="30">
        <v>206.08</v>
      </c>
      <c r="H368" s="31">
        <v>566.86</v>
      </c>
      <c r="I368" s="39"/>
      <c r="J368" s="31">
        <f>H368*(1-$I$4)</f>
        <v>566.86</v>
      </c>
      <c r="K368" s="33">
        <f>ROUND(G368*J368,2)</f>
        <v>116818.51</v>
      </c>
      <c r="L368" s="34" t="s">
        <v>28</v>
      </c>
      <c r="M368" s="35"/>
      <c r="N368" s="3">
        <v>1</v>
      </c>
      <c r="O368" s="21">
        <v>392.92</v>
      </c>
      <c r="P368" s="22" t="s">
        <v>287</v>
      </c>
      <c r="Q368" s="38"/>
      <c r="R368" s="38"/>
    </row>
    <row r="369" s="3" customFormat="1" ht="72" customHeight="1" outlineLevel="2" spans="1:18">
      <c r="A369" s="41">
        <f>1+N(A368)</f>
        <v>4</v>
      </c>
      <c r="B369" s="28" t="s">
        <v>36</v>
      </c>
      <c r="C369" s="28" t="s">
        <v>37</v>
      </c>
      <c r="D369" s="28" t="s">
        <v>25</v>
      </c>
      <c r="E369" s="28" t="s">
        <v>38</v>
      </c>
      <c r="F369" s="29" t="s">
        <v>39</v>
      </c>
      <c r="G369" s="30">
        <v>316.4</v>
      </c>
      <c r="H369" s="31">
        <v>89.27</v>
      </c>
      <c r="I369" s="39"/>
      <c r="J369" s="31">
        <f>H369*(1-$I$4)</f>
        <v>89.27</v>
      </c>
      <c r="K369" s="33">
        <f>ROUND(G369*J369,2)</f>
        <v>28245.03</v>
      </c>
      <c r="L369" s="34" t="s">
        <v>28</v>
      </c>
      <c r="M369" s="35"/>
      <c r="N369" s="3">
        <v>1</v>
      </c>
      <c r="O369" s="21">
        <v>35.28</v>
      </c>
      <c r="P369" s="22" t="s">
        <v>40</v>
      </c>
      <c r="Q369" s="38"/>
      <c r="R369" s="38"/>
    </row>
    <row r="370" s="3" customFormat="1" ht="72" customHeight="1" outlineLevel="2" spans="1:18">
      <c r="A370" s="41">
        <f>1+N(A369)</f>
        <v>5</v>
      </c>
      <c r="B370" s="28" t="s">
        <v>41</v>
      </c>
      <c r="C370" s="28" t="s">
        <v>42</v>
      </c>
      <c r="D370" s="28" t="s">
        <v>25</v>
      </c>
      <c r="E370" s="28" t="s">
        <v>26</v>
      </c>
      <c r="F370" s="29" t="s">
        <v>27</v>
      </c>
      <c r="G370" s="30">
        <v>50.68</v>
      </c>
      <c r="H370" s="31">
        <v>64.9</v>
      </c>
      <c r="I370" s="39"/>
      <c r="J370" s="31">
        <f>H370*(1-$I$4)</f>
        <v>64.9</v>
      </c>
      <c r="K370" s="33">
        <f>ROUND(G370*J370,2)</f>
        <v>3289.13</v>
      </c>
      <c r="L370" s="34" t="s">
        <v>28</v>
      </c>
      <c r="M370" s="35"/>
      <c r="N370" s="3">
        <v>1</v>
      </c>
      <c r="O370" s="21">
        <v>61.38</v>
      </c>
      <c r="P370" s="22" t="s">
        <v>43</v>
      </c>
      <c r="Q370" s="38"/>
      <c r="R370" s="38"/>
    </row>
    <row r="371" s="3" customFormat="1" outlineLevel="1" spans="1:18">
      <c r="A371" s="40"/>
      <c r="B371" s="28" t="s">
        <v>44</v>
      </c>
      <c r="C371" s="28"/>
      <c r="D371" s="28"/>
      <c r="E371" s="28"/>
      <c r="F371" s="29"/>
      <c r="G371" s="30"/>
      <c r="H371" s="31"/>
      <c r="I371" s="39"/>
      <c r="J371" s="31"/>
      <c r="K371" s="33"/>
      <c r="L371" s="34"/>
      <c r="M371" s="35"/>
      <c r="O371" s="36"/>
      <c r="P371" s="37"/>
      <c r="Q371" s="38"/>
      <c r="R371" s="38"/>
    </row>
    <row r="372" s="3" customFormat="1" ht="120" customHeight="1" outlineLevel="2" spans="1:18">
      <c r="A372" s="41">
        <f t="shared" ref="A372:A383" si="42">1+N(A371)</f>
        <v>1</v>
      </c>
      <c r="B372" s="28" t="s">
        <v>288</v>
      </c>
      <c r="C372" s="28" t="s">
        <v>289</v>
      </c>
      <c r="D372" s="28" t="s">
        <v>52</v>
      </c>
      <c r="E372" s="28" t="s">
        <v>63</v>
      </c>
      <c r="F372" s="29" t="s">
        <v>27</v>
      </c>
      <c r="G372" s="30">
        <v>50.94</v>
      </c>
      <c r="H372" s="31">
        <v>930.48</v>
      </c>
      <c r="I372" s="39"/>
      <c r="J372" s="31">
        <f t="shared" ref="J372:J383" si="43">H372*(1-$I$4)</f>
        <v>930.48</v>
      </c>
      <c r="K372" s="33">
        <f t="shared" ref="K372:K383" si="44">ROUND(G372*J372,2)</f>
        <v>47398.65</v>
      </c>
      <c r="L372" s="34" t="s">
        <v>28</v>
      </c>
      <c r="M372" s="35"/>
      <c r="N372" s="3">
        <v>1</v>
      </c>
      <c r="O372" s="21">
        <v>669.7</v>
      </c>
      <c r="P372" s="22" t="s">
        <v>290</v>
      </c>
      <c r="Q372" s="38"/>
      <c r="R372" s="38"/>
    </row>
    <row r="373" s="3" customFormat="1" ht="120" customHeight="1" outlineLevel="2" spans="1:18">
      <c r="A373" s="41">
        <f t="shared" si="42"/>
        <v>2</v>
      </c>
      <c r="B373" s="28" t="s">
        <v>291</v>
      </c>
      <c r="C373" s="28" t="s">
        <v>292</v>
      </c>
      <c r="D373" s="28" t="s">
        <v>52</v>
      </c>
      <c r="E373" s="28" t="s">
        <v>293</v>
      </c>
      <c r="F373" s="29" t="s">
        <v>27</v>
      </c>
      <c r="G373" s="30">
        <v>304.06</v>
      </c>
      <c r="H373" s="31">
        <v>580.35</v>
      </c>
      <c r="I373" s="39"/>
      <c r="J373" s="31">
        <f t="shared" si="43"/>
        <v>580.35</v>
      </c>
      <c r="K373" s="33">
        <f t="shared" si="44"/>
        <v>176461.22</v>
      </c>
      <c r="L373" s="34" t="s">
        <v>28</v>
      </c>
      <c r="M373" s="35"/>
      <c r="N373" s="3">
        <v>1</v>
      </c>
      <c r="O373" s="21">
        <v>479.36</v>
      </c>
      <c r="P373" s="22" t="s">
        <v>294</v>
      </c>
      <c r="Q373" s="38"/>
      <c r="R373" s="38"/>
    </row>
    <row r="374" s="3" customFormat="1" ht="96" customHeight="1" outlineLevel="2" spans="1:18">
      <c r="A374" s="41">
        <f t="shared" si="42"/>
        <v>3</v>
      </c>
      <c r="B374" s="28" t="s">
        <v>295</v>
      </c>
      <c r="C374" s="28" t="s">
        <v>296</v>
      </c>
      <c r="D374" s="28" t="s">
        <v>59</v>
      </c>
      <c r="E374" s="28" t="s">
        <v>26</v>
      </c>
      <c r="F374" s="29" t="s">
        <v>27</v>
      </c>
      <c r="G374" s="30">
        <v>512.94</v>
      </c>
      <c r="H374" s="31">
        <v>311.52</v>
      </c>
      <c r="I374" s="39"/>
      <c r="J374" s="31">
        <f t="shared" si="43"/>
        <v>311.52</v>
      </c>
      <c r="K374" s="33">
        <f t="shared" si="44"/>
        <v>159791.07</v>
      </c>
      <c r="L374" s="34" t="s">
        <v>28</v>
      </c>
      <c r="M374" s="35"/>
      <c r="N374" s="3">
        <v>1</v>
      </c>
      <c r="O374" s="21">
        <v>278.47</v>
      </c>
      <c r="P374" s="22" t="s">
        <v>297</v>
      </c>
      <c r="Q374" s="38"/>
      <c r="R374" s="38"/>
    </row>
    <row r="375" s="3" customFormat="1" ht="120" customHeight="1" outlineLevel="2" spans="1:18">
      <c r="A375" s="41">
        <f t="shared" si="42"/>
        <v>4</v>
      </c>
      <c r="B375" s="28" t="s">
        <v>140</v>
      </c>
      <c r="C375" s="28" t="s">
        <v>298</v>
      </c>
      <c r="D375" s="28" t="s">
        <v>52</v>
      </c>
      <c r="E375" s="28" t="s">
        <v>63</v>
      </c>
      <c r="F375" s="29" t="s">
        <v>27</v>
      </c>
      <c r="G375" s="30">
        <v>55.59</v>
      </c>
      <c r="H375" s="31">
        <v>630.65</v>
      </c>
      <c r="I375" s="39"/>
      <c r="J375" s="31">
        <f t="shared" si="43"/>
        <v>630.65</v>
      </c>
      <c r="K375" s="33">
        <f t="shared" si="44"/>
        <v>35057.83</v>
      </c>
      <c r="L375" s="34" t="s">
        <v>28</v>
      </c>
      <c r="M375" s="35"/>
      <c r="N375" s="3">
        <v>1</v>
      </c>
      <c r="O375" s="21">
        <v>681.67</v>
      </c>
      <c r="P375" s="22" t="s">
        <v>64</v>
      </c>
      <c r="Q375" s="38"/>
      <c r="R375" s="38"/>
    </row>
    <row r="376" s="3" customFormat="1" ht="96" customHeight="1" outlineLevel="2" spans="1:18">
      <c r="A376" s="41">
        <f t="shared" si="42"/>
        <v>5</v>
      </c>
      <c r="B376" s="28" t="s">
        <v>299</v>
      </c>
      <c r="C376" s="28" t="s">
        <v>300</v>
      </c>
      <c r="D376" s="28" t="s">
        <v>59</v>
      </c>
      <c r="E376" s="28" t="s">
        <v>207</v>
      </c>
      <c r="F376" s="29" t="s">
        <v>27</v>
      </c>
      <c r="G376" s="30">
        <v>58.13</v>
      </c>
      <c r="H376" s="31">
        <v>630.65</v>
      </c>
      <c r="I376" s="39"/>
      <c r="J376" s="31">
        <f t="shared" si="43"/>
        <v>630.65</v>
      </c>
      <c r="K376" s="33">
        <f t="shared" si="44"/>
        <v>36659.68</v>
      </c>
      <c r="L376" s="34" t="s">
        <v>28</v>
      </c>
      <c r="M376" s="35"/>
      <c r="N376" s="3">
        <v>1</v>
      </c>
      <c r="O376" s="21">
        <v>1126.07</v>
      </c>
      <c r="P376" s="22" t="s">
        <v>301</v>
      </c>
      <c r="Q376" s="38"/>
      <c r="R376" s="38"/>
    </row>
    <row r="377" s="3" customFormat="1" ht="96" customHeight="1" outlineLevel="2" spans="1:18">
      <c r="A377" s="41">
        <f t="shared" si="42"/>
        <v>6</v>
      </c>
      <c r="B377" s="28" t="s">
        <v>302</v>
      </c>
      <c r="C377" s="28" t="s">
        <v>303</v>
      </c>
      <c r="D377" s="28" t="s">
        <v>59</v>
      </c>
      <c r="E377" s="28" t="s">
        <v>207</v>
      </c>
      <c r="F377" s="29" t="s">
        <v>27</v>
      </c>
      <c r="G377" s="30">
        <v>1.58</v>
      </c>
      <c r="H377" s="31">
        <v>812.31</v>
      </c>
      <c r="I377" s="39"/>
      <c r="J377" s="31">
        <f t="shared" si="43"/>
        <v>812.31</v>
      </c>
      <c r="K377" s="33">
        <f t="shared" si="44"/>
        <v>1283.45</v>
      </c>
      <c r="L377" s="34" t="s">
        <v>28</v>
      </c>
      <c r="M377" s="35"/>
      <c r="N377" s="3">
        <v>1</v>
      </c>
      <c r="O377" s="21">
        <v>573.32</v>
      </c>
      <c r="P377" s="22" t="s">
        <v>304</v>
      </c>
      <c r="Q377" s="38"/>
      <c r="R377" s="38"/>
    </row>
    <row r="378" s="3" customFormat="1" ht="120" customHeight="1" outlineLevel="2" spans="1:18">
      <c r="A378" s="41">
        <f t="shared" si="42"/>
        <v>7</v>
      </c>
      <c r="B378" s="28" t="s">
        <v>66</v>
      </c>
      <c r="C378" s="28" t="s">
        <v>67</v>
      </c>
      <c r="D378" s="28" t="s">
        <v>52</v>
      </c>
      <c r="E378" s="28" t="s">
        <v>63</v>
      </c>
      <c r="F378" s="29" t="s">
        <v>27</v>
      </c>
      <c r="G378" s="30">
        <v>20.33</v>
      </c>
      <c r="H378" s="31">
        <v>812.96</v>
      </c>
      <c r="I378" s="39"/>
      <c r="J378" s="31">
        <f t="shared" si="43"/>
        <v>812.96</v>
      </c>
      <c r="K378" s="33">
        <f t="shared" si="44"/>
        <v>16527.48</v>
      </c>
      <c r="L378" s="34" t="s">
        <v>28</v>
      </c>
      <c r="M378" s="35"/>
      <c r="N378" s="3">
        <v>1</v>
      </c>
      <c r="O378" s="21">
        <v>681.67</v>
      </c>
      <c r="P378" s="22" t="s">
        <v>68</v>
      </c>
      <c r="Q378" s="38"/>
      <c r="R378" s="38"/>
    </row>
    <row r="379" s="3" customFormat="1" ht="96" customHeight="1" outlineLevel="2" spans="1:18">
      <c r="A379" s="41">
        <f t="shared" si="42"/>
        <v>8</v>
      </c>
      <c r="B379" s="28" t="s">
        <v>75</v>
      </c>
      <c r="C379" s="28" t="s">
        <v>76</v>
      </c>
      <c r="D379" s="28" t="s">
        <v>59</v>
      </c>
      <c r="E379" s="28" t="s">
        <v>38</v>
      </c>
      <c r="F379" s="29" t="s">
        <v>39</v>
      </c>
      <c r="G379" s="30">
        <v>429.08</v>
      </c>
      <c r="H379" s="31">
        <v>67.08</v>
      </c>
      <c r="I379" s="39"/>
      <c r="J379" s="31">
        <f t="shared" si="43"/>
        <v>67.08</v>
      </c>
      <c r="K379" s="33">
        <f t="shared" si="44"/>
        <v>28782.69</v>
      </c>
      <c r="L379" s="34" t="s">
        <v>28</v>
      </c>
      <c r="M379" s="35"/>
      <c r="N379" s="3">
        <v>1</v>
      </c>
      <c r="O379" s="21">
        <v>45.71</v>
      </c>
      <c r="P379" s="22" t="s">
        <v>77</v>
      </c>
      <c r="Q379" s="38"/>
      <c r="R379" s="38"/>
    </row>
    <row r="380" s="3" customFormat="1" ht="96" customHeight="1" outlineLevel="2" spans="1:18">
      <c r="A380" s="41">
        <f t="shared" si="42"/>
        <v>9</v>
      </c>
      <c r="B380" s="28" t="s">
        <v>305</v>
      </c>
      <c r="C380" s="28" t="s">
        <v>306</v>
      </c>
      <c r="D380" s="28" t="s">
        <v>59</v>
      </c>
      <c r="E380" s="28" t="s">
        <v>38</v>
      </c>
      <c r="F380" s="29" t="s">
        <v>39</v>
      </c>
      <c r="G380" s="30">
        <v>662.48</v>
      </c>
      <c r="H380" s="31">
        <v>56.36</v>
      </c>
      <c r="I380" s="39"/>
      <c r="J380" s="31">
        <f t="shared" si="43"/>
        <v>56.36</v>
      </c>
      <c r="K380" s="33">
        <f t="shared" si="44"/>
        <v>37337.37</v>
      </c>
      <c r="L380" s="34" t="s">
        <v>28</v>
      </c>
      <c r="M380" s="35"/>
      <c r="N380" s="3">
        <v>1</v>
      </c>
      <c r="O380" s="21">
        <v>41.36</v>
      </c>
      <c r="P380" s="22" t="s">
        <v>307</v>
      </c>
      <c r="Q380" s="38"/>
      <c r="R380" s="38"/>
    </row>
    <row r="381" s="3" customFormat="1" ht="96" customHeight="1" outlineLevel="2" spans="1:18">
      <c r="A381" s="41">
        <f t="shared" si="42"/>
        <v>10</v>
      </c>
      <c r="B381" s="28" t="s">
        <v>308</v>
      </c>
      <c r="C381" s="28" t="s">
        <v>309</v>
      </c>
      <c r="D381" s="28" t="s">
        <v>59</v>
      </c>
      <c r="E381" s="28" t="s">
        <v>38</v>
      </c>
      <c r="F381" s="29" t="s">
        <v>39</v>
      </c>
      <c r="G381" s="30">
        <v>113.12</v>
      </c>
      <c r="H381" s="31">
        <v>57.13</v>
      </c>
      <c r="I381" s="39"/>
      <c r="J381" s="31">
        <f t="shared" si="43"/>
        <v>57.13</v>
      </c>
      <c r="K381" s="33">
        <f t="shared" si="44"/>
        <v>6462.55</v>
      </c>
      <c r="L381" s="34" t="s">
        <v>28</v>
      </c>
      <c r="M381" s="35"/>
      <c r="N381" s="3">
        <v>1</v>
      </c>
      <c r="O381" s="21">
        <v>41.36</v>
      </c>
      <c r="P381" s="22" t="s">
        <v>310</v>
      </c>
      <c r="Q381" s="38"/>
      <c r="R381" s="38"/>
    </row>
    <row r="382" s="3" customFormat="1" ht="96" customHeight="1" outlineLevel="2" spans="1:18">
      <c r="A382" s="41">
        <f t="shared" si="42"/>
        <v>11</v>
      </c>
      <c r="B382" s="28" t="s">
        <v>87</v>
      </c>
      <c r="C382" s="28" t="s">
        <v>88</v>
      </c>
      <c r="D382" s="28" t="s">
        <v>59</v>
      </c>
      <c r="E382" s="28" t="s">
        <v>38</v>
      </c>
      <c r="F382" s="29" t="s">
        <v>39</v>
      </c>
      <c r="G382" s="30">
        <v>429.08</v>
      </c>
      <c r="H382" s="31">
        <v>64.25</v>
      </c>
      <c r="I382" s="39"/>
      <c r="J382" s="31">
        <f t="shared" si="43"/>
        <v>64.25</v>
      </c>
      <c r="K382" s="33">
        <f t="shared" si="44"/>
        <v>27568.39</v>
      </c>
      <c r="L382" s="34" t="s">
        <v>28</v>
      </c>
      <c r="M382" s="35"/>
      <c r="N382" s="3">
        <v>1</v>
      </c>
      <c r="O382" s="21">
        <v>43.16</v>
      </c>
      <c r="P382" s="22" t="s">
        <v>89</v>
      </c>
      <c r="Q382" s="38"/>
      <c r="R382" s="38"/>
    </row>
    <row r="383" s="3" customFormat="1" ht="60" customHeight="1" outlineLevel="2" spans="1:18">
      <c r="A383" s="41">
        <f t="shared" si="42"/>
        <v>12</v>
      </c>
      <c r="B383" s="28" t="s">
        <v>311</v>
      </c>
      <c r="C383" s="28" t="s">
        <v>312</v>
      </c>
      <c r="D383" s="28" t="s">
        <v>98</v>
      </c>
      <c r="E383" s="28" t="s">
        <v>115</v>
      </c>
      <c r="F383" s="29" t="s">
        <v>27</v>
      </c>
      <c r="G383" s="30">
        <v>20.49</v>
      </c>
      <c r="H383" s="31">
        <v>630.65</v>
      </c>
      <c r="I383" s="39"/>
      <c r="J383" s="31">
        <f t="shared" si="43"/>
        <v>630.65</v>
      </c>
      <c r="K383" s="33">
        <f t="shared" si="44"/>
        <v>12922.02</v>
      </c>
      <c r="L383" s="34" t="s">
        <v>28</v>
      </c>
      <c r="M383" s="35"/>
      <c r="N383" s="3">
        <v>1</v>
      </c>
      <c r="O383" s="21">
        <v>681.67</v>
      </c>
      <c r="P383" s="22" t="s">
        <v>64</v>
      </c>
      <c r="Q383" s="38"/>
      <c r="R383" s="38"/>
    </row>
    <row r="384" s="3" customFormat="1" outlineLevel="1" spans="1:18">
      <c r="A384" s="40"/>
      <c r="B384" s="28" t="s">
        <v>90</v>
      </c>
      <c r="C384" s="28"/>
      <c r="D384" s="28"/>
      <c r="E384" s="28"/>
      <c r="F384" s="29"/>
      <c r="G384" s="30"/>
      <c r="H384" s="31"/>
      <c r="I384" s="39"/>
      <c r="J384" s="31"/>
      <c r="K384" s="33"/>
      <c r="L384" s="34"/>
      <c r="M384" s="35"/>
      <c r="O384" s="36"/>
      <c r="P384" s="37"/>
      <c r="Q384" s="38"/>
      <c r="R384" s="38"/>
    </row>
    <row r="385" s="3" customFormat="1" ht="168" customHeight="1" outlineLevel="2" spans="1:18">
      <c r="A385" s="41">
        <f>1+N(A384)</f>
        <v>1</v>
      </c>
      <c r="B385" s="28" t="s">
        <v>91</v>
      </c>
      <c r="C385" s="28" t="s">
        <v>92</v>
      </c>
      <c r="D385" s="28" t="s">
        <v>93</v>
      </c>
      <c r="E385" s="28" t="s">
        <v>94</v>
      </c>
      <c r="F385" s="29" t="s">
        <v>27</v>
      </c>
      <c r="G385" s="30">
        <v>446.32</v>
      </c>
      <c r="H385" s="31">
        <v>150.71</v>
      </c>
      <c r="I385" s="39"/>
      <c r="J385" s="31">
        <f>H385*(1-$I$4)</f>
        <v>150.71</v>
      </c>
      <c r="K385" s="33">
        <f>ROUND(G385*J385,2)</f>
        <v>67264.89</v>
      </c>
      <c r="L385" s="34" t="s">
        <v>28</v>
      </c>
      <c r="M385" s="35"/>
      <c r="N385" s="3">
        <v>1</v>
      </c>
      <c r="O385" s="21">
        <v>150.38</v>
      </c>
      <c r="P385" s="22" t="s">
        <v>313</v>
      </c>
      <c r="Q385" s="38"/>
      <c r="R385" s="38"/>
    </row>
    <row r="386" s="3" customFormat="1" ht="48" customHeight="1" outlineLevel="2" spans="1:18">
      <c r="A386" s="41">
        <f>1+N(A385)</f>
        <v>2</v>
      </c>
      <c r="B386" s="28" t="s">
        <v>96</v>
      </c>
      <c r="C386" s="28" t="s">
        <v>97</v>
      </c>
      <c r="D386" s="28" t="s">
        <v>98</v>
      </c>
      <c r="E386" s="28" t="s">
        <v>99</v>
      </c>
      <c r="F386" s="29" t="s">
        <v>39</v>
      </c>
      <c r="G386" s="30">
        <v>254.8</v>
      </c>
      <c r="H386" s="31">
        <v>112.16</v>
      </c>
      <c r="I386" s="39"/>
      <c r="J386" s="31">
        <f>H386*(1-$I$4)</f>
        <v>112.16</v>
      </c>
      <c r="K386" s="33">
        <f>ROUND(G386*J386,2)</f>
        <v>28578.37</v>
      </c>
      <c r="L386" s="34" t="s">
        <v>28</v>
      </c>
      <c r="M386" s="35"/>
      <c r="N386" s="3">
        <v>1</v>
      </c>
      <c r="O386" s="21">
        <v>79.3</v>
      </c>
      <c r="P386" s="22" t="s">
        <v>100</v>
      </c>
      <c r="Q386" s="38"/>
      <c r="R386" s="38"/>
    </row>
    <row r="387" s="3" customFormat="1" ht="48" customHeight="1" outlineLevel="2" spans="1:18">
      <c r="A387" s="41">
        <f>1+N(A386)</f>
        <v>3</v>
      </c>
      <c r="B387" s="28" t="s">
        <v>101</v>
      </c>
      <c r="C387" s="28" t="s">
        <v>102</v>
      </c>
      <c r="D387" s="28" t="s">
        <v>98</v>
      </c>
      <c r="E387" s="28" t="s">
        <v>99</v>
      </c>
      <c r="F387" s="29" t="s">
        <v>39</v>
      </c>
      <c r="G387" s="30">
        <v>254.8</v>
      </c>
      <c r="H387" s="31">
        <v>75.82</v>
      </c>
      <c r="I387" s="39"/>
      <c r="J387" s="31">
        <f>H387*(1-$I$4)</f>
        <v>75.82</v>
      </c>
      <c r="K387" s="33">
        <f>ROUND(G387*J387,2)</f>
        <v>19318.94</v>
      </c>
      <c r="L387" s="34" t="s">
        <v>28</v>
      </c>
      <c r="M387" s="35"/>
      <c r="N387" s="3">
        <v>1</v>
      </c>
      <c r="O387" s="21">
        <v>203.56</v>
      </c>
      <c r="P387" s="22" t="s">
        <v>103</v>
      </c>
      <c r="Q387" s="38"/>
      <c r="R387" s="38"/>
    </row>
    <row r="388" s="3" customFormat="1" ht="132" customHeight="1" outlineLevel="2" spans="1:18">
      <c r="A388" s="41">
        <f>1+N(A387)</f>
        <v>4</v>
      </c>
      <c r="B388" s="28" t="s">
        <v>107</v>
      </c>
      <c r="C388" s="28" t="s">
        <v>108</v>
      </c>
      <c r="D388" s="28" t="s">
        <v>109</v>
      </c>
      <c r="E388" s="28" t="s">
        <v>110</v>
      </c>
      <c r="F388" s="29" t="s">
        <v>27</v>
      </c>
      <c r="G388" s="30">
        <v>522.76</v>
      </c>
      <c r="H388" s="31">
        <v>152.22</v>
      </c>
      <c r="I388" s="39"/>
      <c r="J388" s="31">
        <f>H388*(1-$I$4)</f>
        <v>152.22</v>
      </c>
      <c r="K388" s="33">
        <f>ROUND(G388*J388,2)</f>
        <v>79574.53</v>
      </c>
      <c r="L388" s="34" t="s">
        <v>28</v>
      </c>
      <c r="M388" s="35"/>
      <c r="N388" s="3">
        <v>1</v>
      </c>
      <c r="O388" s="21">
        <v>151.58</v>
      </c>
      <c r="P388" s="22" t="s">
        <v>111</v>
      </c>
      <c r="Q388" s="38"/>
      <c r="R388" s="38"/>
    </row>
    <row r="389" s="3" customFormat="1" outlineLevel="1" spans="1:18">
      <c r="A389" s="40"/>
      <c r="B389" s="28" t="s">
        <v>112</v>
      </c>
      <c r="C389" s="28"/>
      <c r="D389" s="28"/>
      <c r="E389" s="28"/>
      <c r="F389" s="29"/>
      <c r="G389" s="30"/>
      <c r="H389" s="31"/>
      <c r="I389" s="39"/>
      <c r="J389" s="31"/>
      <c r="K389" s="33"/>
      <c r="L389" s="34"/>
      <c r="M389" s="35"/>
      <c r="O389" s="36"/>
      <c r="P389" s="37"/>
      <c r="Q389" s="38"/>
      <c r="R389" s="38"/>
    </row>
    <row r="390" s="3" customFormat="1" ht="60" customHeight="1" outlineLevel="2" spans="1:18">
      <c r="A390" s="41">
        <f>1+N(A389)</f>
        <v>1</v>
      </c>
      <c r="B390" s="28" t="s">
        <v>134</v>
      </c>
      <c r="C390" s="28" t="s">
        <v>114</v>
      </c>
      <c r="D390" s="28" t="s">
        <v>98</v>
      </c>
      <c r="E390" s="28" t="s">
        <v>115</v>
      </c>
      <c r="F390" s="29" t="s">
        <v>27</v>
      </c>
      <c r="G390" s="30">
        <v>47.04</v>
      </c>
      <c r="H390" s="31">
        <v>962.68</v>
      </c>
      <c r="I390" s="39"/>
      <c r="J390" s="31">
        <f>H390*(1-$I$4)</f>
        <v>962.68</v>
      </c>
      <c r="K390" s="33">
        <f>ROUND(G390*J390,2)</f>
        <v>45284.47</v>
      </c>
      <c r="L390" s="34" t="s">
        <v>28</v>
      </c>
      <c r="M390" s="35"/>
      <c r="N390" s="3">
        <v>1</v>
      </c>
      <c r="O390" s="21">
        <v>665.69</v>
      </c>
      <c r="P390" s="22" t="s">
        <v>116</v>
      </c>
      <c r="Q390" s="38"/>
      <c r="R390" s="38"/>
    </row>
    <row r="391" s="3" customFormat="1" outlineLevel="1" spans="1:18">
      <c r="A391" s="27" t="s">
        <v>135</v>
      </c>
      <c r="B391" s="28" t="s">
        <v>315</v>
      </c>
      <c r="C391" s="28"/>
      <c r="D391" s="28"/>
      <c r="E391" s="28"/>
      <c r="F391" s="29"/>
      <c r="G391" s="30"/>
      <c r="H391" s="31"/>
      <c r="I391" s="39"/>
      <c r="J391" s="31"/>
      <c r="K391" s="33"/>
      <c r="L391" s="34"/>
      <c r="M391" s="35"/>
      <c r="O391" s="42"/>
      <c r="P391" s="37"/>
      <c r="Q391" s="38"/>
      <c r="R391" s="38"/>
    </row>
    <row r="392" s="3" customFormat="1" outlineLevel="1" spans="1:18">
      <c r="A392" s="40"/>
      <c r="B392" s="28" t="s">
        <v>22</v>
      </c>
      <c r="C392" s="28"/>
      <c r="D392" s="28"/>
      <c r="E392" s="28"/>
      <c r="F392" s="29"/>
      <c r="G392" s="30"/>
      <c r="H392" s="31"/>
      <c r="I392" s="39"/>
      <c r="J392" s="31"/>
      <c r="K392" s="33"/>
      <c r="L392" s="34"/>
      <c r="M392" s="35"/>
      <c r="O392" s="36"/>
      <c r="P392" s="37"/>
      <c r="Q392" s="38"/>
      <c r="R392" s="38"/>
    </row>
    <row r="393" s="3" customFormat="1" ht="108" customHeight="1" outlineLevel="2" spans="1:18">
      <c r="A393" s="41">
        <f>1+N(A392)</f>
        <v>1</v>
      </c>
      <c r="B393" s="28" t="s">
        <v>282</v>
      </c>
      <c r="C393" s="28" t="s">
        <v>283</v>
      </c>
      <c r="D393" s="28" t="s">
        <v>25</v>
      </c>
      <c r="E393" s="28" t="s">
        <v>26</v>
      </c>
      <c r="F393" s="29" t="s">
        <v>27</v>
      </c>
      <c r="G393" s="30">
        <v>36.96</v>
      </c>
      <c r="H393" s="31">
        <v>760.37</v>
      </c>
      <c r="I393" s="39"/>
      <c r="J393" s="31">
        <f>H393*(1-$I$4)</f>
        <v>760.37</v>
      </c>
      <c r="K393" s="33">
        <f>ROUND(G393*J393,2)</f>
        <v>28103.28</v>
      </c>
      <c r="L393" s="34" t="s">
        <v>28</v>
      </c>
      <c r="M393" s="35"/>
      <c r="N393" s="3">
        <v>1</v>
      </c>
      <c r="O393" s="21">
        <v>886.6</v>
      </c>
      <c r="P393" s="22" t="s">
        <v>284</v>
      </c>
      <c r="Q393" s="38"/>
      <c r="R393" s="38"/>
    </row>
    <row r="394" s="3" customFormat="1" ht="84" customHeight="1" outlineLevel="2" spans="1:18">
      <c r="A394" s="41">
        <f>1+N(A393)</f>
        <v>2</v>
      </c>
      <c r="B394" s="28" t="s">
        <v>189</v>
      </c>
      <c r="C394" s="28" t="s">
        <v>190</v>
      </c>
      <c r="D394" s="28" t="s">
        <v>25</v>
      </c>
      <c r="E394" s="28" t="s">
        <v>26</v>
      </c>
      <c r="F394" s="29" t="s">
        <v>27</v>
      </c>
      <c r="G394" s="30">
        <v>164.64</v>
      </c>
      <c r="H394" s="31">
        <v>317.64</v>
      </c>
      <c r="I394" s="39"/>
      <c r="J394" s="31">
        <f>H394*(1-$I$4)</f>
        <v>317.64</v>
      </c>
      <c r="K394" s="33">
        <f>ROUND(G394*J394,2)</f>
        <v>52296.25</v>
      </c>
      <c r="L394" s="34" t="s">
        <v>28</v>
      </c>
      <c r="M394" s="35"/>
      <c r="N394" s="3">
        <v>1</v>
      </c>
      <c r="O394" s="21">
        <v>194.65</v>
      </c>
      <c r="P394" s="22" t="s">
        <v>191</v>
      </c>
      <c r="Q394" s="38"/>
      <c r="R394" s="38"/>
    </row>
    <row r="395" s="3" customFormat="1" ht="84" customHeight="1" outlineLevel="2" spans="1:18">
      <c r="A395" s="41">
        <f>1+N(A394)</f>
        <v>3</v>
      </c>
      <c r="B395" s="28" t="s">
        <v>285</v>
      </c>
      <c r="C395" s="28" t="s">
        <v>286</v>
      </c>
      <c r="D395" s="28" t="s">
        <v>25</v>
      </c>
      <c r="E395" s="28" t="s">
        <v>26</v>
      </c>
      <c r="F395" s="29" t="s">
        <v>27</v>
      </c>
      <c r="G395" s="30">
        <v>130.48</v>
      </c>
      <c r="H395" s="31">
        <v>566.86</v>
      </c>
      <c r="I395" s="39"/>
      <c r="J395" s="31">
        <f>H395*(1-$I$4)</f>
        <v>566.86</v>
      </c>
      <c r="K395" s="33">
        <f>ROUND(G395*J395,2)</f>
        <v>73963.89</v>
      </c>
      <c r="L395" s="34" t="s">
        <v>28</v>
      </c>
      <c r="M395" s="35"/>
      <c r="N395" s="3">
        <v>1</v>
      </c>
      <c r="O395" s="21">
        <v>392.92</v>
      </c>
      <c r="P395" s="22" t="s">
        <v>287</v>
      </c>
      <c r="Q395" s="38"/>
      <c r="R395" s="38"/>
    </row>
    <row r="396" s="3" customFormat="1" ht="72" customHeight="1" outlineLevel="2" spans="1:18">
      <c r="A396" s="41">
        <f>1+N(A395)</f>
        <v>4</v>
      </c>
      <c r="B396" s="28" t="s">
        <v>36</v>
      </c>
      <c r="C396" s="28" t="s">
        <v>37</v>
      </c>
      <c r="D396" s="28" t="s">
        <v>25</v>
      </c>
      <c r="E396" s="28" t="s">
        <v>38</v>
      </c>
      <c r="F396" s="29" t="s">
        <v>39</v>
      </c>
      <c r="G396" s="30">
        <v>236.6</v>
      </c>
      <c r="H396" s="31">
        <v>89.27</v>
      </c>
      <c r="I396" s="39"/>
      <c r="J396" s="31">
        <f>H396*(1-$I$4)</f>
        <v>89.27</v>
      </c>
      <c r="K396" s="33">
        <f>ROUND(G396*J396,2)</f>
        <v>21121.28</v>
      </c>
      <c r="L396" s="34" t="s">
        <v>28</v>
      </c>
      <c r="M396" s="35"/>
      <c r="N396" s="3">
        <v>1</v>
      </c>
      <c r="O396" s="21">
        <v>35.28</v>
      </c>
      <c r="P396" s="22" t="s">
        <v>40</v>
      </c>
      <c r="Q396" s="38"/>
      <c r="R396" s="38"/>
    </row>
    <row r="397" s="3" customFormat="1" ht="72" customHeight="1" outlineLevel="2" spans="1:18">
      <c r="A397" s="41">
        <f>1+N(A396)</f>
        <v>5</v>
      </c>
      <c r="B397" s="28" t="s">
        <v>41</v>
      </c>
      <c r="C397" s="28" t="s">
        <v>42</v>
      </c>
      <c r="D397" s="28" t="s">
        <v>25</v>
      </c>
      <c r="E397" s="28" t="s">
        <v>26</v>
      </c>
      <c r="F397" s="29" t="s">
        <v>27</v>
      </c>
      <c r="G397" s="30">
        <v>36.96</v>
      </c>
      <c r="H397" s="31">
        <v>64.9</v>
      </c>
      <c r="I397" s="39"/>
      <c r="J397" s="31">
        <f>H397*(1-$I$4)</f>
        <v>64.9</v>
      </c>
      <c r="K397" s="33">
        <f>ROUND(G397*J397,2)</f>
        <v>2398.7</v>
      </c>
      <c r="L397" s="34" t="s">
        <v>28</v>
      </c>
      <c r="M397" s="35"/>
      <c r="N397" s="3">
        <v>1</v>
      </c>
      <c r="O397" s="21">
        <v>61.38</v>
      </c>
      <c r="P397" s="22" t="s">
        <v>43</v>
      </c>
      <c r="Q397" s="38"/>
      <c r="R397" s="38"/>
    </row>
    <row r="398" s="3" customFormat="1" outlineLevel="1" spans="1:18">
      <c r="A398" s="40"/>
      <c r="B398" s="28" t="s">
        <v>44</v>
      </c>
      <c r="C398" s="28"/>
      <c r="D398" s="28"/>
      <c r="E398" s="28"/>
      <c r="F398" s="29"/>
      <c r="G398" s="30"/>
      <c r="H398" s="31"/>
      <c r="I398" s="39"/>
      <c r="J398" s="31"/>
      <c r="K398" s="33"/>
      <c r="L398" s="34"/>
      <c r="M398" s="35"/>
      <c r="O398" s="36"/>
      <c r="P398" s="37"/>
      <c r="Q398" s="38"/>
      <c r="R398" s="38"/>
    </row>
    <row r="399" s="3" customFormat="1" ht="120" customHeight="1" outlineLevel="2" spans="1:18">
      <c r="A399" s="41">
        <f t="shared" ref="A399:A410" si="45">1+N(A398)</f>
        <v>1</v>
      </c>
      <c r="B399" s="28" t="s">
        <v>288</v>
      </c>
      <c r="C399" s="28" t="s">
        <v>289</v>
      </c>
      <c r="D399" s="28" t="s">
        <v>52</v>
      </c>
      <c r="E399" s="28" t="s">
        <v>63</v>
      </c>
      <c r="F399" s="29" t="s">
        <v>27</v>
      </c>
      <c r="G399" s="30">
        <v>45.17</v>
      </c>
      <c r="H399" s="31">
        <v>930.48</v>
      </c>
      <c r="I399" s="39"/>
      <c r="J399" s="31">
        <f t="shared" ref="J399:J410" si="46">H399*(1-$I$4)</f>
        <v>930.48</v>
      </c>
      <c r="K399" s="33">
        <f t="shared" ref="K399:K410" si="47">ROUND(G399*J399,2)</f>
        <v>42029.78</v>
      </c>
      <c r="L399" s="34" t="s">
        <v>28</v>
      </c>
      <c r="M399" s="35"/>
      <c r="N399" s="3">
        <v>1</v>
      </c>
      <c r="O399" s="21">
        <v>669.7</v>
      </c>
      <c r="P399" s="22" t="s">
        <v>290</v>
      </c>
      <c r="Q399" s="38"/>
      <c r="R399" s="38"/>
    </row>
    <row r="400" s="3" customFormat="1" ht="120" customHeight="1" outlineLevel="2" spans="1:18">
      <c r="A400" s="41">
        <f t="shared" si="45"/>
        <v>2</v>
      </c>
      <c r="B400" s="28" t="s">
        <v>291</v>
      </c>
      <c r="C400" s="28" t="s">
        <v>292</v>
      </c>
      <c r="D400" s="28" t="s">
        <v>52</v>
      </c>
      <c r="E400" s="28" t="s">
        <v>293</v>
      </c>
      <c r="F400" s="29" t="s">
        <v>27</v>
      </c>
      <c r="G400" s="30">
        <v>279.58</v>
      </c>
      <c r="H400" s="31">
        <v>580.35</v>
      </c>
      <c r="I400" s="39"/>
      <c r="J400" s="31">
        <f t="shared" si="46"/>
        <v>580.35</v>
      </c>
      <c r="K400" s="33">
        <f t="shared" si="47"/>
        <v>162254.25</v>
      </c>
      <c r="L400" s="34" t="s">
        <v>28</v>
      </c>
      <c r="M400" s="35"/>
      <c r="N400" s="3">
        <v>1</v>
      </c>
      <c r="O400" s="21">
        <v>479.36</v>
      </c>
      <c r="P400" s="22" t="s">
        <v>294</v>
      </c>
      <c r="Q400" s="38"/>
      <c r="R400" s="38"/>
    </row>
    <row r="401" s="3" customFormat="1" ht="96" customHeight="1" outlineLevel="2" spans="1:18">
      <c r="A401" s="41">
        <f t="shared" si="45"/>
        <v>3</v>
      </c>
      <c r="B401" s="28" t="s">
        <v>295</v>
      </c>
      <c r="C401" s="28" t="s">
        <v>296</v>
      </c>
      <c r="D401" s="28" t="s">
        <v>59</v>
      </c>
      <c r="E401" s="28" t="s">
        <v>26</v>
      </c>
      <c r="F401" s="29" t="s">
        <v>27</v>
      </c>
      <c r="G401" s="30">
        <v>306.94</v>
      </c>
      <c r="H401" s="31">
        <v>311.52</v>
      </c>
      <c r="I401" s="39"/>
      <c r="J401" s="31">
        <f t="shared" si="46"/>
        <v>311.52</v>
      </c>
      <c r="K401" s="33">
        <f t="shared" si="47"/>
        <v>95617.95</v>
      </c>
      <c r="L401" s="34" t="s">
        <v>28</v>
      </c>
      <c r="M401" s="35"/>
      <c r="N401" s="3">
        <v>1</v>
      </c>
      <c r="O401" s="21">
        <v>278.47</v>
      </c>
      <c r="P401" s="22" t="s">
        <v>297</v>
      </c>
      <c r="Q401" s="38"/>
      <c r="R401" s="38"/>
    </row>
    <row r="402" s="3" customFormat="1" ht="120" customHeight="1" outlineLevel="2" spans="1:18">
      <c r="A402" s="41">
        <f t="shared" si="45"/>
        <v>4</v>
      </c>
      <c r="B402" s="28" t="s">
        <v>140</v>
      </c>
      <c r="C402" s="28" t="s">
        <v>298</v>
      </c>
      <c r="D402" s="28" t="s">
        <v>52</v>
      </c>
      <c r="E402" s="28" t="s">
        <v>63</v>
      </c>
      <c r="F402" s="29" t="s">
        <v>27</v>
      </c>
      <c r="G402" s="30">
        <v>55.59</v>
      </c>
      <c r="H402" s="31">
        <v>630.65</v>
      </c>
      <c r="I402" s="39"/>
      <c r="J402" s="31">
        <f t="shared" si="46"/>
        <v>630.65</v>
      </c>
      <c r="K402" s="33">
        <f t="shared" si="47"/>
        <v>35057.83</v>
      </c>
      <c r="L402" s="34" t="s">
        <v>28</v>
      </c>
      <c r="M402" s="35"/>
      <c r="N402" s="3">
        <v>1</v>
      </c>
      <c r="O402" s="21">
        <v>681.67</v>
      </c>
      <c r="P402" s="22" t="s">
        <v>64</v>
      </c>
      <c r="Q402" s="38"/>
      <c r="R402" s="38"/>
    </row>
    <row r="403" s="3" customFormat="1" ht="96" customHeight="1" outlineLevel="2" spans="1:18">
      <c r="A403" s="41">
        <f t="shared" si="45"/>
        <v>5</v>
      </c>
      <c r="B403" s="28" t="s">
        <v>299</v>
      </c>
      <c r="C403" s="28" t="s">
        <v>300</v>
      </c>
      <c r="D403" s="28" t="s">
        <v>59</v>
      </c>
      <c r="E403" s="28" t="s">
        <v>207</v>
      </c>
      <c r="F403" s="29" t="s">
        <v>27</v>
      </c>
      <c r="G403" s="30">
        <v>52.81</v>
      </c>
      <c r="H403" s="31">
        <v>630.65</v>
      </c>
      <c r="I403" s="39"/>
      <c r="J403" s="31">
        <f t="shared" si="46"/>
        <v>630.65</v>
      </c>
      <c r="K403" s="33">
        <f t="shared" si="47"/>
        <v>33304.63</v>
      </c>
      <c r="L403" s="34" t="s">
        <v>28</v>
      </c>
      <c r="M403" s="35"/>
      <c r="N403" s="3">
        <v>1</v>
      </c>
      <c r="O403" s="21">
        <v>1126.07</v>
      </c>
      <c r="P403" s="22" t="s">
        <v>301</v>
      </c>
      <c r="Q403" s="38"/>
      <c r="R403" s="38"/>
    </row>
    <row r="404" s="3" customFormat="1" ht="96" customHeight="1" outlineLevel="2" spans="1:18">
      <c r="A404" s="41">
        <f t="shared" si="45"/>
        <v>6</v>
      </c>
      <c r="B404" s="28" t="s">
        <v>302</v>
      </c>
      <c r="C404" s="28" t="s">
        <v>303</v>
      </c>
      <c r="D404" s="28" t="s">
        <v>59</v>
      </c>
      <c r="E404" s="28" t="s">
        <v>207</v>
      </c>
      <c r="F404" s="29" t="s">
        <v>27</v>
      </c>
      <c r="G404" s="30">
        <v>1.58</v>
      </c>
      <c r="H404" s="31">
        <v>812.31</v>
      </c>
      <c r="I404" s="39"/>
      <c r="J404" s="31">
        <f t="shared" si="46"/>
        <v>812.31</v>
      </c>
      <c r="K404" s="33">
        <f t="shared" si="47"/>
        <v>1283.45</v>
      </c>
      <c r="L404" s="34" t="s">
        <v>28</v>
      </c>
      <c r="M404" s="35"/>
      <c r="N404" s="3">
        <v>1</v>
      </c>
      <c r="O404" s="21">
        <v>573.32</v>
      </c>
      <c r="P404" s="22" t="s">
        <v>304</v>
      </c>
      <c r="Q404" s="38"/>
      <c r="R404" s="38"/>
    </row>
    <row r="405" s="3" customFormat="1" ht="120" customHeight="1" outlineLevel="2" spans="1:18">
      <c r="A405" s="41">
        <f t="shared" si="45"/>
        <v>7</v>
      </c>
      <c r="B405" s="28" t="s">
        <v>66</v>
      </c>
      <c r="C405" s="28" t="s">
        <v>67</v>
      </c>
      <c r="D405" s="28" t="s">
        <v>52</v>
      </c>
      <c r="E405" s="28" t="s">
        <v>63</v>
      </c>
      <c r="F405" s="29" t="s">
        <v>27</v>
      </c>
      <c r="G405" s="30">
        <v>20.33</v>
      </c>
      <c r="H405" s="31">
        <v>812.96</v>
      </c>
      <c r="I405" s="39"/>
      <c r="J405" s="31">
        <f t="shared" si="46"/>
        <v>812.96</v>
      </c>
      <c r="K405" s="33">
        <f t="shared" si="47"/>
        <v>16527.48</v>
      </c>
      <c r="L405" s="34" t="s">
        <v>28</v>
      </c>
      <c r="M405" s="35"/>
      <c r="N405" s="3">
        <v>1</v>
      </c>
      <c r="O405" s="21">
        <v>681.67</v>
      </c>
      <c r="P405" s="22" t="s">
        <v>68</v>
      </c>
      <c r="Q405" s="38"/>
      <c r="R405" s="38"/>
    </row>
    <row r="406" s="3" customFormat="1" ht="96" customHeight="1" outlineLevel="2" spans="1:18">
      <c r="A406" s="41">
        <f t="shared" si="45"/>
        <v>8</v>
      </c>
      <c r="B406" s="28" t="s">
        <v>75</v>
      </c>
      <c r="C406" s="28" t="s">
        <v>76</v>
      </c>
      <c r="D406" s="28" t="s">
        <v>59</v>
      </c>
      <c r="E406" s="28" t="s">
        <v>38</v>
      </c>
      <c r="F406" s="29" t="s">
        <v>39</v>
      </c>
      <c r="G406" s="30">
        <v>306.44</v>
      </c>
      <c r="H406" s="31">
        <v>67.08</v>
      </c>
      <c r="I406" s="39"/>
      <c r="J406" s="31">
        <f t="shared" si="46"/>
        <v>67.08</v>
      </c>
      <c r="K406" s="33">
        <f t="shared" si="47"/>
        <v>20556</v>
      </c>
      <c r="L406" s="34" t="s">
        <v>28</v>
      </c>
      <c r="M406" s="35"/>
      <c r="N406" s="3">
        <v>1</v>
      </c>
      <c r="O406" s="21">
        <v>45.71</v>
      </c>
      <c r="P406" s="22" t="s">
        <v>77</v>
      </c>
      <c r="Q406" s="38"/>
      <c r="R406" s="38"/>
    </row>
    <row r="407" s="3" customFormat="1" ht="96" customHeight="1" outlineLevel="2" spans="1:18">
      <c r="A407" s="41">
        <f t="shared" si="45"/>
        <v>9</v>
      </c>
      <c r="B407" s="28" t="s">
        <v>305</v>
      </c>
      <c r="C407" s="28" t="s">
        <v>306</v>
      </c>
      <c r="D407" s="28" t="s">
        <v>59</v>
      </c>
      <c r="E407" s="28" t="s">
        <v>38</v>
      </c>
      <c r="F407" s="29" t="s">
        <v>39</v>
      </c>
      <c r="G407" s="30">
        <v>659.68</v>
      </c>
      <c r="H407" s="31">
        <v>56.36</v>
      </c>
      <c r="I407" s="39"/>
      <c r="J407" s="31">
        <f t="shared" si="46"/>
        <v>56.36</v>
      </c>
      <c r="K407" s="33">
        <f t="shared" si="47"/>
        <v>37179.56</v>
      </c>
      <c r="L407" s="34" t="s">
        <v>28</v>
      </c>
      <c r="M407" s="35"/>
      <c r="N407" s="3">
        <v>1</v>
      </c>
      <c r="O407" s="21">
        <v>41.36</v>
      </c>
      <c r="P407" s="22" t="s">
        <v>307</v>
      </c>
      <c r="Q407" s="38"/>
      <c r="R407" s="38"/>
    </row>
    <row r="408" s="3" customFormat="1" ht="96" customHeight="1" outlineLevel="2" spans="1:18">
      <c r="A408" s="41">
        <f t="shared" si="45"/>
        <v>10</v>
      </c>
      <c r="B408" s="28" t="s">
        <v>308</v>
      </c>
      <c r="C408" s="28" t="s">
        <v>309</v>
      </c>
      <c r="D408" s="28" t="s">
        <v>59</v>
      </c>
      <c r="E408" s="28" t="s">
        <v>38</v>
      </c>
      <c r="F408" s="29" t="s">
        <v>39</v>
      </c>
      <c r="G408" s="30">
        <v>90.33</v>
      </c>
      <c r="H408" s="31">
        <v>57.13</v>
      </c>
      <c r="I408" s="39"/>
      <c r="J408" s="31">
        <f t="shared" si="46"/>
        <v>57.13</v>
      </c>
      <c r="K408" s="33">
        <f t="shared" si="47"/>
        <v>5160.55</v>
      </c>
      <c r="L408" s="34" t="s">
        <v>28</v>
      </c>
      <c r="M408" s="35"/>
      <c r="N408" s="3">
        <v>1</v>
      </c>
      <c r="O408" s="21">
        <v>41.36</v>
      </c>
      <c r="P408" s="22" t="s">
        <v>310</v>
      </c>
      <c r="Q408" s="38"/>
      <c r="R408" s="38"/>
    </row>
    <row r="409" s="3" customFormat="1" ht="96" customHeight="1" outlineLevel="2" spans="1:18">
      <c r="A409" s="41">
        <f t="shared" si="45"/>
        <v>11</v>
      </c>
      <c r="B409" s="28" t="s">
        <v>87</v>
      </c>
      <c r="C409" s="28" t="s">
        <v>88</v>
      </c>
      <c r="D409" s="28" t="s">
        <v>59</v>
      </c>
      <c r="E409" s="28" t="s">
        <v>38</v>
      </c>
      <c r="F409" s="29" t="s">
        <v>39</v>
      </c>
      <c r="G409" s="30">
        <v>306.44</v>
      </c>
      <c r="H409" s="31">
        <v>64.25</v>
      </c>
      <c r="I409" s="39"/>
      <c r="J409" s="31">
        <f t="shared" si="46"/>
        <v>64.25</v>
      </c>
      <c r="K409" s="33">
        <f t="shared" si="47"/>
        <v>19688.77</v>
      </c>
      <c r="L409" s="34" t="s">
        <v>28</v>
      </c>
      <c r="M409" s="35"/>
      <c r="N409" s="3">
        <v>1</v>
      </c>
      <c r="O409" s="21">
        <v>43.16</v>
      </c>
      <c r="P409" s="22" t="s">
        <v>89</v>
      </c>
      <c r="Q409" s="38"/>
      <c r="R409" s="38"/>
    </row>
    <row r="410" s="3" customFormat="1" ht="60" customHeight="1" outlineLevel="2" spans="1:18">
      <c r="A410" s="41">
        <f t="shared" si="45"/>
        <v>12</v>
      </c>
      <c r="B410" s="28" t="s">
        <v>311</v>
      </c>
      <c r="C410" s="28" t="s">
        <v>312</v>
      </c>
      <c r="D410" s="28" t="s">
        <v>98</v>
      </c>
      <c r="E410" s="28" t="s">
        <v>115</v>
      </c>
      <c r="F410" s="29" t="s">
        <v>27</v>
      </c>
      <c r="G410" s="30">
        <v>13.04</v>
      </c>
      <c r="H410" s="31">
        <v>630.65</v>
      </c>
      <c r="I410" s="39"/>
      <c r="J410" s="31">
        <f t="shared" si="46"/>
        <v>630.65</v>
      </c>
      <c r="K410" s="33">
        <f t="shared" si="47"/>
        <v>8223.68</v>
      </c>
      <c r="L410" s="34" t="s">
        <v>28</v>
      </c>
      <c r="M410" s="35"/>
      <c r="N410" s="3">
        <v>1</v>
      </c>
      <c r="O410" s="21">
        <v>681.67</v>
      </c>
      <c r="P410" s="22" t="s">
        <v>64</v>
      </c>
      <c r="Q410" s="38"/>
      <c r="R410" s="38"/>
    </row>
    <row r="411" s="3" customFormat="1" outlineLevel="1" spans="1:18">
      <c r="A411" s="40"/>
      <c r="B411" s="28" t="s">
        <v>90</v>
      </c>
      <c r="C411" s="28"/>
      <c r="D411" s="28"/>
      <c r="E411" s="28"/>
      <c r="F411" s="29"/>
      <c r="G411" s="30"/>
      <c r="H411" s="31"/>
      <c r="I411" s="39"/>
      <c r="J411" s="31"/>
      <c r="K411" s="33"/>
      <c r="L411" s="34"/>
      <c r="M411" s="35"/>
      <c r="O411" s="36"/>
      <c r="P411" s="37"/>
      <c r="Q411" s="38"/>
      <c r="R411" s="38"/>
    </row>
    <row r="412" s="3" customFormat="1" ht="168" customHeight="1" outlineLevel="2" spans="1:18">
      <c r="A412" s="41">
        <f>1+N(A411)</f>
        <v>1</v>
      </c>
      <c r="B412" s="28" t="s">
        <v>91</v>
      </c>
      <c r="C412" s="28" t="s">
        <v>92</v>
      </c>
      <c r="D412" s="28" t="s">
        <v>93</v>
      </c>
      <c r="E412" s="28" t="s">
        <v>94</v>
      </c>
      <c r="F412" s="29" t="s">
        <v>27</v>
      </c>
      <c r="G412" s="30">
        <v>295.12</v>
      </c>
      <c r="H412" s="31">
        <v>150.71</v>
      </c>
      <c r="I412" s="39"/>
      <c r="J412" s="31">
        <f>H412*(1-$I$4)</f>
        <v>150.71</v>
      </c>
      <c r="K412" s="33">
        <f>ROUND(G412*J412,2)</f>
        <v>44477.54</v>
      </c>
      <c r="L412" s="34" t="s">
        <v>28</v>
      </c>
      <c r="M412" s="35"/>
      <c r="N412" s="3">
        <v>1</v>
      </c>
      <c r="O412" s="21">
        <v>150.38</v>
      </c>
      <c r="P412" s="22" t="s">
        <v>313</v>
      </c>
      <c r="Q412" s="38"/>
      <c r="R412" s="38"/>
    </row>
    <row r="413" s="3" customFormat="1" ht="48" customHeight="1" outlineLevel="2" spans="1:18">
      <c r="A413" s="41">
        <f>1+N(A412)</f>
        <v>2</v>
      </c>
      <c r="B413" s="28" t="s">
        <v>96</v>
      </c>
      <c r="C413" s="28" t="s">
        <v>97</v>
      </c>
      <c r="D413" s="28" t="s">
        <v>98</v>
      </c>
      <c r="E413" s="28" t="s">
        <v>99</v>
      </c>
      <c r="F413" s="29" t="s">
        <v>39</v>
      </c>
      <c r="G413" s="30">
        <v>254.8</v>
      </c>
      <c r="H413" s="31">
        <v>112.16</v>
      </c>
      <c r="I413" s="39"/>
      <c r="J413" s="31">
        <f>H413*(1-$I$4)</f>
        <v>112.16</v>
      </c>
      <c r="K413" s="33">
        <f>ROUND(G413*J413,2)</f>
        <v>28578.37</v>
      </c>
      <c r="L413" s="34" t="s">
        <v>28</v>
      </c>
      <c r="M413" s="35"/>
      <c r="N413" s="3">
        <v>1</v>
      </c>
      <c r="O413" s="21">
        <v>79.3</v>
      </c>
      <c r="P413" s="22" t="s">
        <v>100</v>
      </c>
      <c r="Q413" s="38"/>
      <c r="R413" s="38"/>
    </row>
    <row r="414" s="3" customFormat="1" ht="48" customHeight="1" outlineLevel="2" spans="1:18">
      <c r="A414" s="41">
        <f>1+N(A413)</f>
        <v>3</v>
      </c>
      <c r="B414" s="28" t="s">
        <v>101</v>
      </c>
      <c r="C414" s="28" t="s">
        <v>102</v>
      </c>
      <c r="D414" s="28" t="s">
        <v>98</v>
      </c>
      <c r="E414" s="28" t="s">
        <v>99</v>
      </c>
      <c r="F414" s="29" t="s">
        <v>39</v>
      </c>
      <c r="G414" s="30">
        <v>254.8</v>
      </c>
      <c r="H414" s="31">
        <v>75.82</v>
      </c>
      <c r="I414" s="39"/>
      <c r="J414" s="31">
        <f>H414*(1-$I$4)</f>
        <v>75.82</v>
      </c>
      <c r="K414" s="33">
        <f>ROUND(G414*J414,2)</f>
        <v>19318.94</v>
      </c>
      <c r="L414" s="34" t="s">
        <v>28</v>
      </c>
      <c r="M414" s="35"/>
      <c r="N414" s="3">
        <v>1</v>
      </c>
      <c r="O414" s="21">
        <v>203.56</v>
      </c>
      <c r="P414" s="22" t="s">
        <v>103</v>
      </c>
      <c r="Q414" s="38"/>
      <c r="R414" s="38"/>
    </row>
    <row r="415" s="3" customFormat="1" ht="132" customHeight="1" outlineLevel="2" spans="1:18">
      <c r="A415" s="41">
        <f>1+N(A414)</f>
        <v>4</v>
      </c>
      <c r="B415" s="28" t="s">
        <v>107</v>
      </c>
      <c r="C415" s="28" t="s">
        <v>108</v>
      </c>
      <c r="D415" s="28" t="s">
        <v>109</v>
      </c>
      <c r="E415" s="28" t="s">
        <v>110</v>
      </c>
      <c r="F415" s="29" t="s">
        <v>27</v>
      </c>
      <c r="G415" s="30">
        <v>371.56</v>
      </c>
      <c r="H415" s="31">
        <v>152.22</v>
      </c>
      <c r="I415" s="39"/>
      <c r="J415" s="31">
        <f>H415*(1-$I$4)</f>
        <v>152.22</v>
      </c>
      <c r="K415" s="33">
        <f>ROUND(G415*J415,2)</f>
        <v>56558.86</v>
      </c>
      <c r="L415" s="34" t="s">
        <v>28</v>
      </c>
      <c r="M415" s="35"/>
      <c r="N415" s="3">
        <v>1</v>
      </c>
      <c r="O415" s="21">
        <v>151.58</v>
      </c>
      <c r="P415" s="22" t="s">
        <v>111</v>
      </c>
      <c r="Q415" s="38"/>
      <c r="R415" s="38"/>
    </row>
    <row r="416" s="3" customFormat="1" outlineLevel="1" spans="1:18">
      <c r="A416" s="40"/>
      <c r="B416" s="28" t="s">
        <v>112</v>
      </c>
      <c r="C416" s="28"/>
      <c r="D416" s="28"/>
      <c r="E416" s="28"/>
      <c r="F416" s="29"/>
      <c r="G416" s="30"/>
      <c r="H416" s="31"/>
      <c r="I416" s="39"/>
      <c r="J416" s="31"/>
      <c r="K416" s="33"/>
      <c r="L416" s="34"/>
      <c r="M416" s="35"/>
      <c r="O416" s="36"/>
      <c r="P416" s="37"/>
      <c r="Q416" s="38"/>
      <c r="R416" s="38"/>
    </row>
    <row r="417" s="3" customFormat="1" ht="60" customHeight="1" outlineLevel="2" spans="1:18">
      <c r="A417" s="41">
        <f>1+N(A416)</f>
        <v>1</v>
      </c>
      <c r="B417" s="28" t="s">
        <v>134</v>
      </c>
      <c r="C417" s="28" t="s">
        <v>114</v>
      </c>
      <c r="D417" s="28" t="s">
        <v>98</v>
      </c>
      <c r="E417" s="28" t="s">
        <v>115</v>
      </c>
      <c r="F417" s="29" t="s">
        <v>27</v>
      </c>
      <c r="G417" s="30">
        <v>43.68</v>
      </c>
      <c r="H417" s="31">
        <v>962.68</v>
      </c>
      <c r="I417" s="39"/>
      <c r="J417" s="31">
        <f>H417*(1-$I$4)</f>
        <v>962.68</v>
      </c>
      <c r="K417" s="33">
        <f>ROUND(G417*J417,2)</f>
        <v>42049.86</v>
      </c>
      <c r="L417" s="34" t="s">
        <v>28</v>
      </c>
      <c r="M417" s="35"/>
      <c r="N417" s="3">
        <v>1</v>
      </c>
      <c r="O417" s="21">
        <v>665.69</v>
      </c>
      <c r="P417" s="22" t="s">
        <v>116</v>
      </c>
      <c r="Q417" s="38"/>
      <c r="R417" s="38"/>
    </row>
    <row r="418" s="3" customFormat="1" outlineLevel="1" spans="1:18">
      <c r="A418" s="27" t="s">
        <v>151</v>
      </c>
      <c r="B418" s="28" t="s">
        <v>316</v>
      </c>
      <c r="C418" s="28"/>
      <c r="D418" s="28"/>
      <c r="E418" s="28"/>
      <c r="F418" s="29"/>
      <c r="G418" s="30"/>
      <c r="H418" s="31"/>
      <c r="I418" s="39"/>
      <c r="J418" s="31"/>
      <c r="K418" s="33"/>
      <c r="L418" s="34"/>
      <c r="M418" s="35"/>
      <c r="O418" s="42"/>
      <c r="P418" s="37"/>
      <c r="Q418" s="38"/>
      <c r="R418" s="38"/>
    </row>
    <row r="419" s="3" customFormat="1" outlineLevel="1" spans="1:18">
      <c r="A419" s="40"/>
      <c r="B419" s="28" t="s">
        <v>22</v>
      </c>
      <c r="C419" s="28"/>
      <c r="D419" s="28"/>
      <c r="E419" s="28"/>
      <c r="F419" s="29"/>
      <c r="G419" s="30"/>
      <c r="H419" s="31"/>
      <c r="I419" s="39"/>
      <c r="J419" s="31"/>
      <c r="K419" s="33"/>
      <c r="L419" s="34"/>
      <c r="M419" s="35"/>
      <c r="O419" s="36"/>
      <c r="P419" s="37"/>
      <c r="Q419" s="38"/>
      <c r="R419" s="38"/>
    </row>
    <row r="420" s="3" customFormat="1" ht="108" customHeight="1" outlineLevel="2" spans="1:18">
      <c r="A420" s="41">
        <f>1+N(A419)</f>
        <v>1</v>
      </c>
      <c r="B420" s="28" t="s">
        <v>282</v>
      </c>
      <c r="C420" s="28" t="s">
        <v>283</v>
      </c>
      <c r="D420" s="28" t="s">
        <v>25</v>
      </c>
      <c r="E420" s="28" t="s">
        <v>26</v>
      </c>
      <c r="F420" s="29" t="s">
        <v>27</v>
      </c>
      <c r="G420" s="30">
        <v>49</v>
      </c>
      <c r="H420" s="31">
        <v>760.37</v>
      </c>
      <c r="I420" s="39"/>
      <c r="J420" s="31">
        <f>H420*(1-$I$4)</f>
        <v>760.37</v>
      </c>
      <c r="K420" s="33">
        <f>ROUND(G420*J420,2)</f>
        <v>37258.13</v>
      </c>
      <c r="L420" s="34" t="s">
        <v>28</v>
      </c>
      <c r="M420" s="35"/>
      <c r="N420" s="3">
        <v>1</v>
      </c>
      <c r="O420" s="21">
        <v>886.6</v>
      </c>
      <c r="P420" s="22" t="s">
        <v>284</v>
      </c>
      <c r="Q420" s="38"/>
      <c r="R420" s="38"/>
    </row>
    <row r="421" s="3" customFormat="1" ht="84" customHeight="1" outlineLevel="2" spans="1:18">
      <c r="A421" s="41">
        <f>1+N(A420)</f>
        <v>2</v>
      </c>
      <c r="B421" s="28" t="s">
        <v>189</v>
      </c>
      <c r="C421" s="28" t="s">
        <v>190</v>
      </c>
      <c r="D421" s="28" t="s">
        <v>25</v>
      </c>
      <c r="E421" s="28" t="s">
        <v>26</v>
      </c>
      <c r="F421" s="29" t="s">
        <v>27</v>
      </c>
      <c r="G421" s="30">
        <v>229.6</v>
      </c>
      <c r="H421" s="31">
        <v>317.64</v>
      </c>
      <c r="I421" s="39"/>
      <c r="J421" s="31">
        <f>H421*(1-$I$4)</f>
        <v>317.64</v>
      </c>
      <c r="K421" s="33">
        <f>ROUND(G421*J421,2)</f>
        <v>72930.14</v>
      </c>
      <c r="L421" s="34" t="s">
        <v>28</v>
      </c>
      <c r="M421" s="35"/>
      <c r="N421" s="3">
        <v>1</v>
      </c>
      <c r="O421" s="21">
        <v>194.65</v>
      </c>
      <c r="P421" s="22" t="s">
        <v>191</v>
      </c>
      <c r="Q421" s="38"/>
      <c r="R421" s="38"/>
    </row>
    <row r="422" s="3" customFormat="1" ht="84" customHeight="1" outlineLevel="2" spans="1:18">
      <c r="A422" s="41">
        <f>1+N(A421)</f>
        <v>3</v>
      </c>
      <c r="B422" s="28" t="s">
        <v>285</v>
      </c>
      <c r="C422" s="28" t="s">
        <v>286</v>
      </c>
      <c r="D422" s="28" t="s">
        <v>25</v>
      </c>
      <c r="E422" s="28" t="s">
        <v>26</v>
      </c>
      <c r="F422" s="29" t="s">
        <v>27</v>
      </c>
      <c r="G422" s="30">
        <v>210</v>
      </c>
      <c r="H422" s="31">
        <v>566.86</v>
      </c>
      <c r="I422" s="39"/>
      <c r="J422" s="31">
        <f>H422*(1-$I$4)</f>
        <v>566.86</v>
      </c>
      <c r="K422" s="33">
        <f>ROUND(G422*J422,2)</f>
        <v>119040.6</v>
      </c>
      <c r="L422" s="34" t="s">
        <v>28</v>
      </c>
      <c r="M422" s="35"/>
      <c r="N422" s="3">
        <v>1</v>
      </c>
      <c r="O422" s="21">
        <v>392.92</v>
      </c>
      <c r="P422" s="22" t="s">
        <v>287</v>
      </c>
      <c r="Q422" s="38"/>
      <c r="R422" s="38"/>
    </row>
    <row r="423" s="3" customFormat="1" ht="72" customHeight="1" outlineLevel="2" spans="1:18">
      <c r="A423" s="41">
        <f>1+N(A422)</f>
        <v>4</v>
      </c>
      <c r="B423" s="28" t="s">
        <v>36</v>
      </c>
      <c r="C423" s="28" t="s">
        <v>37</v>
      </c>
      <c r="D423" s="28" t="s">
        <v>25</v>
      </c>
      <c r="E423" s="28" t="s">
        <v>38</v>
      </c>
      <c r="F423" s="29" t="s">
        <v>39</v>
      </c>
      <c r="G423" s="30">
        <v>316.4</v>
      </c>
      <c r="H423" s="31">
        <v>89.27</v>
      </c>
      <c r="I423" s="39"/>
      <c r="J423" s="31">
        <f>H423*(1-$I$4)</f>
        <v>89.27</v>
      </c>
      <c r="K423" s="33">
        <f>ROUND(G423*J423,2)</f>
        <v>28245.03</v>
      </c>
      <c r="L423" s="34" t="s">
        <v>28</v>
      </c>
      <c r="M423" s="35"/>
      <c r="N423" s="3">
        <v>1</v>
      </c>
      <c r="O423" s="21">
        <v>35.28</v>
      </c>
      <c r="P423" s="22" t="s">
        <v>40</v>
      </c>
      <c r="Q423" s="38"/>
      <c r="R423" s="38"/>
    </row>
    <row r="424" s="3" customFormat="1" ht="72" customHeight="1" outlineLevel="2" spans="1:18">
      <c r="A424" s="41">
        <f>1+N(A423)</f>
        <v>5</v>
      </c>
      <c r="B424" s="28" t="s">
        <v>41</v>
      </c>
      <c r="C424" s="28" t="s">
        <v>42</v>
      </c>
      <c r="D424" s="28" t="s">
        <v>25</v>
      </c>
      <c r="E424" s="28" t="s">
        <v>26</v>
      </c>
      <c r="F424" s="29" t="s">
        <v>27</v>
      </c>
      <c r="G424" s="30">
        <v>49</v>
      </c>
      <c r="H424" s="31">
        <v>64.9</v>
      </c>
      <c r="I424" s="39"/>
      <c r="J424" s="31">
        <f>H424*(1-$I$4)</f>
        <v>64.9</v>
      </c>
      <c r="K424" s="33">
        <f>ROUND(G424*J424,2)</f>
        <v>3180.1</v>
      </c>
      <c r="L424" s="34" t="s">
        <v>28</v>
      </c>
      <c r="M424" s="35"/>
      <c r="N424" s="3">
        <v>1</v>
      </c>
      <c r="O424" s="21">
        <v>61.38</v>
      </c>
      <c r="P424" s="22" t="s">
        <v>43</v>
      </c>
      <c r="Q424" s="38"/>
      <c r="R424" s="38"/>
    </row>
    <row r="425" s="3" customFormat="1" outlineLevel="1" spans="1:18">
      <c r="A425" s="40"/>
      <c r="B425" s="28" t="s">
        <v>44</v>
      </c>
      <c r="C425" s="28"/>
      <c r="D425" s="28"/>
      <c r="E425" s="28"/>
      <c r="F425" s="29"/>
      <c r="G425" s="30"/>
      <c r="H425" s="31"/>
      <c r="I425" s="39"/>
      <c r="J425" s="31"/>
      <c r="K425" s="33"/>
      <c r="L425" s="34"/>
      <c r="M425" s="35"/>
      <c r="O425" s="36"/>
      <c r="P425" s="37"/>
      <c r="Q425" s="38"/>
      <c r="R425" s="38"/>
    </row>
    <row r="426" s="3" customFormat="1" ht="120" customHeight="1" outlineLevel="2" spans="1:18">
      <c r="A426" s="41">
        <f t="shared" ref="A426:A437" si="48">1+N(A425)</f>
        <v>1</v>
      </c>
      <c r="B426" s="28" t="s">
        <v>288</v>
      </c>
      <c r="C426" s="28" t="s">
        <v>289</v>
      </c>
      <c r="D426" s="28" t="s">
        <v>52</v>
      </c>
      <c r="E426" s="28" t="s">
        <v>63</v>
      </c>
      <c r="F426" s="29" t="s">
        <v>27</v>
      </c>
      <c r="G426" s="30">
        <v>76.98</v>
      </c>
      <c r="H426" s="31">
        <v>930.48</v>
      </c>
      <c r="I426" s="39"/>
      <c r="J426" s="31">
        <f t="shared" ref="J426:J437" si="49">H426*(1-$I$4)</f>
        <v>930.48</v>
      </c>
      <c r="K426" s="33">
        <f t="shared" ref="K426:K437" si="50">ROUND(G426*J426,2)</f>
        <v>71628.35</v>
      </c>
      <c r="L426" s="34" t="s">
        <v>28</v>
      </c>
      <c r="M426" s="35"/>
      <c r="N426" s="3">
        <v>1</v>
      </c>
      <c r="O426" s="21">
        <v>669.7</v>
      </c>
      <c r="P426" s="22" t="s">
        <v>290</v>
      </c>
      <c r="Q426" s="38"/>
      <c r="R426" s="38"/>
    </row>
    <row r="427" s="3" customFormat="1" ht="120" customHeight="1" outlineLevel="2" spans="1:18">
      <c r="A427" s="41">
        <f t="shared" si="48"/>
        <v>2</v>
      </c>
      <c r="B427" s="28" t="s">
        <v>291</v>
      </c>
      <c r="C427" s="28" t="s">
        <v>292</v>
      </c>
      <c r="D427" s="28" t="s">
        <v>52</v>
      </c>
      <c r="E427" s="28" t="s">
        <v>293</v>
      </c>
      <c r="F427" s="29" t="s">
        <v>27</v>
      </c>
      <c r="G427" s="30">
        <v>386.54</v>
      </c>
      <c r="H427" s="31">
        <v>580.35</v>
      </c>
      <c r="I427" s="39"/>
      <c r="J427" s="31">
        <f t="shared" si="49"/>
        <v>580.35</v>
      </c>
      <c r="K427" s="33">
        <f t="shared" si="50"/>
        <v>224328.49</v>
      </c>
      <c r="L427" s="34" t="s">
        <v>28</v>
      </c>
      <c r="M427" s="35"/>
      <c r="N427" s="3">
        <v>1</v>
      </c>
      <c r="O427" s="21">
        <v>479.36</v>
      </c>
      <c r="P427" s="22" t="s">
        <v>294</v>
      </c>
      <c r="Q427" s="38"/>
      <c r="R427" s="38"/>
    </row>
    <row r="428" s="3" customFormat="1" ht="96" customHeight="1" outlineLevel="2" spans="1:18">
      <c r="A428" s="41">
        <f t="shared" si="48"/>
        <v>3</v>
      </c>
      <c r="B428" s="28" t="s">
        <v>295</v>
      </c>
      <c r="C428" s="28" t="s">
        <v>296</v>
      </c>
      <c r="D428" s="28" t="s">
        <v>59</v>
      </c>
      <c r="E428" s="28" t="s">
        <v>26</v>
      </c>
      <c r="F428" s="29" t="s">
        <v>27</v>
      </c>
      <c r="G428" s="30">
        <v>338.89</v>
      </c>
      <c r="H428" s="31">
        <v>311.52</v>
      </c>
      <c r="I428" s="39"/>
      <c r="J428" s="31">
        <f t="shared" si="49"/>
        <v>311.52</v>
      </c>
      <c r="K428" s="33">
        <f t="shared" si="50"/>
        <v>105571.01</v>
      </c>
      <c r="L428" s="34" t="s">
        <v>28</v>
      </c>
      <c r="M428" s="35"/>
      <c r="N428" s="3">
        <v>1</v>
      </c>
      <c r="O428" s="21">
        <v>278.47</v>
      </c>
      <c r="P428" s="22" t="s">
        <v>297</v>
      </c>
      <c r="Q428" s="38"/>
      <c r="R428" s="38"/>
    </row>
    <row r="429" s="3" customFormat="1" ht="120" customHeight="1" outlineLevel="2" spans="1:18">
      <c r="A429" s="41">
        <f t="shared" si="48"/>
        <v>4</v>
      </c>
      <c r="B429" s="28" t="s">
        <v>140</v>
      </c>
      <c r="C429" s="28" t="s">
        <v>298</v>
      </c>
      <c r="D429" s="28" t="s">
        <v>52</v>
      </c>
      <c r="E429" s="28" t="s">
        <v>63</v>
      </c>
      <c r="F429" s="29" t="s">
        <v>27</v>
      </c>
      <c r="G429" s="30">
        <v>55.59</v>
      </c>
      <c r="H429" s="31">
        <v>630.65</v>
      </c>
      <c r="I429" s="39"/>
      <c r="J429" s="31">
        <f t="shared" si="49"/>
        <v>630.65</v>
      </c>
      <c r="K429" s="33">
        <f t="shared" si="50"/>
        <v>35057.83</v>
      </c>
      <c r="L429" s="34" t="s">
        <v>28</v>
      </c>
      <c r="M429" s="35"/>
      <c r="N429" s="3">
        <v>1</v>
      </c>
      <c r="O429" s="21">
        <v>681.67</v>
      </c>
      <c r="P429" s="22" t="s">
        <v>64</v>
      </c>
      <c r="Q429" s="38"/>
      <c r="R429" s="38"/>
    </row>
    <row r="430" s="3" customFormat="1" ht="96" customHeight="1" outlineLevel="2" spans="1:18">
      <c r="A430" s="41">
        <f t="shared" si="48"/>
        <v>5</v>
      </c>
      <c r="B430" s="28" t="s">
        <v>299</v>
      </c>
      <c r="C430" s="28" t="s">
        <v>300</v>
      </c>
      <c r="D430" s="28" t="s">
        <v>59</v>
      </c>
      <c r="E430" s="28" t="s">
        <v>207</v>
      </c>
      <c r="F430" s="29" t="s">
        <v>27</v>
      </c>
      <c r="G430" s="30">
        <v>52.81</v>
      </c>
      <c r="H430" s="31">
        <v>630.65</v>
      </c>
      <c r="I430" s="39"/>
      <c r="J430" s="31">
        <f t="shared" si="49"/>
        <v>630.65</v>
      </c>
      <c r="K430" s="33">
        <f t="shared" si="50"/>
        <v>33304.63</v>
      </c>
      <c r="L430" s="34" t="s">
        <v>28</v>
      </c>
      <c r="M430" s="35"/>
      <c r="N430" s="3">
        <v>1</v>
      </c>
      <c r="O430" s="21">
        <v>1126.07</v>
      </c>
      <c r="P430" s="22" t="s">
        <v>301</v>
      </c>
      <c r="Q430" s="38"/>
      <c r="R430" s="38"/>
    </row>
    <row r="431" s="3" customFormat="1" ht="96" customHeight="1" outlineLevel="2" spans="1:18">
      <c r="A431" s="41">
        <f t="shared" si="48"/>
        <v>6</v>
      </c>
      <c r="B431" s="28" t="s">
        <v>302</v>
      </c>
      <c r="C431" s="28" t="s">
        <v>303</v>
      </c>
      <c r="D431" s="28" t="s">
        <v>59</v>
      </c>
      <c r="E431" s="28" t="s">
        <v>207</v>
      </c>
      <c r="F431" s="29" t="s">
        <v>27</v>
      </c>
      <c r="G431" s="30">
        <v>1.58</v>
      </c>
      <c r="H431" s="31">
        <v>812.31</v>
      </c>
      <c r="I431" s="39"/>
      <c r="J431" s="31">
        <f t="shared" si="49"/>
        <v>812.31</v>
      </c>
      <c r="K431" s="33">
        <f t="shared" si="50"/>
        <v>1283.45</v>
      </c>
      <c r="L431" s="34" t="s">
        <v>28</v>
      </c>
      <c r="M431" s="35"/>
      <c r="N431" s="3">
        <v>1</v>
      </c>
      <c r="O431" s="21">
        <v>573.32</v>
      </c>
      <c r="P431" s="22" t="s">
        <v>304</v>
      </c>
      <c r="Q431" s="38"/>
      <c r="R431" s="38"/>
    </row>
    <row r="432" s="3" customFormat="1" ht="120" customHeight="1" outlineLevel="2" spans="1:18">
      <c r="A432" s="41">
        <f t="shared" si="48"/>
        <v>7</v>
      </c>
      <c r="B432" s="28" t="s">
        <v>66</v>
      </c>
      <c r="C432" s="28" t="s">
        <v>67</v>
      </c>
      <c r="D432" s="28" t="s">
        <v>52</v>
      </c>
      <c r="E432" s="28" t="s">
        <v>63</v>
      </c>
      <c r="F432" s="29" t="s">
        <v>27</v>
      </c>
      <c r="G432" s="30">
        <v>20.33</v>
      </c>
      <c r="H432" s="31">
        <v>812.96</v>
      </c>
      <c r="I432" s="39"/>
      <c r="J432" s="31">
        <f t="shared" si="49"/>
        <v>812.96</v>
      </c>
      <c r="K432" s="33">
        <f t="shared" si="50"/>
        <v>16527.48</v>
      </c>
      <c r="L432" s="34" t="s">
        <v>28</v>
      </c>
      <c r="M432" s="35"/>
      <c r="N432" s="3">
        <v>1</v>
      </c>
      <c r="O432" s="21">
        <v>681.67</v>
      </c>
      <c r="P432" s="22" t="s">
        <v>68</v>
      </c>
      <c r="Q432" s="38"/>
      <c r="R432" s="38"/>
    </row>
    <row r="433" s="3" customFormat="1" ht="96" customHeight="1" outlineLevel="2" spans="1:20">
      <c r="A433" s="41">
        <f t="shared" si="48"/>
        <v>8</v>
      </c>
      <c r="B433" s="28" t="s">
        <v>75</v>
      </c>
      <c r="C433" s="28" t="s">
        <v>76</v>
      </c>
      <c r="D433" s="28" t="s">
        <v>59</v>
      </c>
      <c r="E433" s="28" t="s">
        <v>38</v>
      </c>
      <c r="F433" s="29" t="s">
        <v>39</v>
      </c>
      <c r="G433" s="30">
        <v>409.95</v>
      </c>
      <c r="H433" s="31">
        <v>67.08</v>
      </c>
      <c r="I433" s="39"/>
      <c r="J433" s="31">
        <f t="shared" si="49"/>
        <v>67.08</v>
      </c>
      <c r="K433" s="33">
        <f t="shared" si="50"/>
        <v>27499.45</v>
      </c>
      <c r="L433" s="34" t="s">
        <v>28</v>
      </c>
      <c r="M433" s="35"/>
      <c r="N433" s="3">
        <v>1</v>
      </c>
      <c r="O433" s="21">
        <v>45.71</v>
      </c>
      <c r="P433" s="22" t="s">
        <v>77</v>
      </c>
      <c r="Q433" s="38"/>
      <c r="R433" s="38"/>
    </row>
    <row r="434" s="3" customFormat="1" ht="96" customHeight="1" outlineLevel="2" spans="1:20">
      <c r="A434" s="41">
        <f t="shared" si="48"/>
        <v>9</v>
      </c>
      <c r="B434" s="28" t="s">
        <v>305</v>
      </c>
      <c r="C434" s="28" t="s">
        <v>306</v>
      </c>
      <c r="D434" s="28" t="s">
        <v>59</v>
      </c>
      <c r="E434" s="28" t="s">
        <v>38</v>
      </c>
      <c r="F434" s="29" t="s">
        <v>39</v>
      </c>
      <c r="G434" s="30">
        <v>659.68</v>
      </c>
      <c r="H434" s="31">
        <v>56.36</v>
      </c>
      <c r="I434" s="39"/>
      <c r="J434" s="31">
        <f t="shared" si="49"/>
        <v>56.36</v>
      </c>
      <c r="K434" s="33">
        <f t="shared" si="50"/>
        <v>37179.56</v>
      </c>
      <c r="L434" s="34" t="s">
        <v>28</v>
      </c>
      <c r="M434" s="35"/>
      <c r="N434" s="3">
        <v>1</v>
      </c>
      <c r="O434" s="21">
        <v>41.36</v>
      </c>
      <c r="P434" s="22" t="s">
        <v>307</v>
      </c>
      <c r="Q434" s="38"/>
      <c r="R434" s="38"/>
    </row>
    <row r="435" s="3" customFormat="1" ht="96" customHeight="1" outlineLevel="2" spans="1:20">
      <c r="A435" s="41">
        <f t="shared" si="48"/>
        <v>10</v>
      </c>
      <c r="B435" s="28" t="s">
        <v>308</v>
      </c>
      <c r="C435" s="28" t="s">
        <v>309</v>
      </c>
      <c r="D435" s="28" t="s">
        <v>59</v>
      </c>
      <c r="E435" s="28" t="s">
        <v>38</v>
      </c>
      <c r="F435" s="29" t="s">
        <v>39</v>
      </c>
      <c r="G435" s="30">
        <v>171.08</v>
      </c>
      <c r="H435" s="31">
        <v>57.13</v>
      </c>
      <c r="I435" s="39"/>
      <c r="J435" s="31">
        <f t="shared" si="49"/>
        <v>57.13</v>
      </c>
      <c r="K435" s="33">
        <f t="shared" si="50"/>
        <v>9773.8</v>
      </c>
      <c r="L435" s="34" t="s">
        <v>28</v>
      </c>
      <c r="M435" s="35"/>
      <c r="N435" s="3">
        <v>1</v>
      </c>
      <c r="O435" s="21">
        <v>41.36</v>
      </c>
      <c r="P435" s="22" t="s">
        <v>310</v>
      </c>
      <c r="Q435" s="38"/>
      <c r="R435" s="38"/>
    </row>
    <row r="436" s="3" customFormat="1" ht="96" customHeight="1" outlineLevel="2" spans="1:20">
      <c r="A436" s="41">
        <f t="shared" si="48"/>
        <v>11</v>
      </c>
      <c r="B436" s="28" t="s">
        <v>87</v>
      </c>
      <c r="C436" s="28" t="s">
        <v>88</v>
      </c>
      <c r="D436" s="28" t="s">
        <v>59</v>
      </c>
      <c r="E436" s="28" t="s">
        <v>38</v>
      </c>
      <c r="F436" s="29" t="s">
        <v>39</v>
      </c>
      <c r="G436" s="30">
        <v>409.95</v>
      </c>
      <c r="H436" s="31">
        <v>64.25</v>
      </c>
      <c r="I436" s="39"/>
      <c r="J436" s="31">
        <f t="shared" si="49"/>
        <v>64.25</v>
      </c>
      <c r="K436" s="33">
        <f t="shared" si="50"/>
        <v>26339.29</v>
      </c>
      <c r="L436" s="34" t="s">
        <v>28</v>
      </c>
      <c r="M436" s="35"/>
      <c r="N436" s="3">
        <v>1</v>
      </c>
      <c r="O436" s="21">
        <v>43.16</v>
      </c>
      <c r="P436" s="22" t="s">
        <v>89</v>
      </c>
      <c r="Q436" s="38"/>
      <c r="R436" s="38"/>
    </row>
    <row r="437" s="3" customFormat="1" ht="60" customHeight="1" outlineLevel="2" spans="1:20">
      <c r="A437" s="41">
        <f t="shared" si="48"/>
        <v>12</v>
      </c>
      <c r="B437" s="28" t="s">
        <v>311</v>
      </c>
      <c r="C437" s="28" t="s">
        <v>312</v>
      </c>
      <c r="D437" s="28" t="s">
        <v>98</v>
      </c>
      <c r="E437" s="28" t="s">
        <v>115</v>
      </c>
      <c r="F437" s="29" t="s">
        <v>27</v>
      </c>
      <c r="G437" s="30">
        <v>31.87</v>
      </c>
      <c r="H437" s="31">
        <v>630.65</v>
      </c>
      <c r="I437" s="39"/>
      <c r="J437" s="31">
        <f t="shared" si="49"/>
        <v>630.65</v>
      </c>
      <c r="K437" s="33">
        <f t="shared" si="50"/>
        <v>20098.82</v>
      </c>
      <c r="L437" s="34" t="s">
        <v>28</v>
      </c>
      <c r="M437" s="35"/>
      <c r="N437" s="3">
        <v>1</v>
      </c>
      <c r="O437" s="21">
        <v>681.67</v>
      </c>
      <c r="P437" s="22" t="s">
        <v>64</v>
      </c>
      <c r="Q437" s="38"/>
      <c r="R437" s="38"/>
    </row>
    <row r="438" s="3" customFormat="1" outlineLevel="1" spans="1:20">
      <c r="A438" s="40"/>
      <c r="B438" s="28" t="s">
        <v>90</v>
      </c>
      <c r="C438" s="28"/>
      <c r="D438" s="28"/>
      <c r="E438" s="28"/>
      <c r="F438" s="29"/>
      <c r="G438" s="30"/>
      <c r="H438" s="31"/>
      <c r="I438" s="39"/>
      <c r="J438" s="31"/>
      <c r="K438" s="33"/>
      <c r="L438" s="34"/>
      <c r="M438" s="35"/>
      <c r="O438" s="36"/>
      <c r="P438" s="37"/>
      <c r="Q438" s="38"/>
      <c r="R438" s="38"/>
    </row>
    <row r="439" s="3" customFormat="1" ht="168" customHeight="1" outlineLevel="2" spans="1:20">
      <c r="A439" s="41">
        <f>1+N(A438)</f>
        <v>1</v>
      </c>
      <c r="B439" s="28" t="s">
        <v>91</v>
      </c>
      <c r="C439" s="28" t="s">
        <v>92</v>
      </c>
      <c r="D439" s="28" t="s">
        <v>93</v>
      </c>
      <c r="E439" s="28" t="s">
        <v>94</v>
      </c>
      <c r="F439" s="29" t="s">
        <v>27</v>
      </c>
      <c r="G439" s="30">
        <v>439.6</v>
      </c>
      <c r="H439" s="31">
        <v>150.71</v>
      </c>
      <c r="I439" s="39"/>
      <c r="J439" s="31">
        <f>H439*(1-$I$4)</f>
        <v>150.71</v>
      </c>
      <c r="K439" s="33">
        <f>ROUND(G439*J439,2)</f>
        <v>66252.12</v>
      </c>
      <c r="L439" s="34" t="s">
        <v>28</v>
      </c>
      <c r="M439" s="35"/>
      <c r="N439" s="3">
        <v>1</v>
      </c>
      <c r="O439" s="21">
        <v>150.38</v>
      </c>
      <c r="P439" s="22" t="s">
        <v>313</v>
      </c>
      <c r="Q439" s="38"/>
      <c r="R439" s="38"/>
    </row>
    <row r="440" s="3" customFormat="1" ht="48" customHeight="1" outlineLevel="2" spans="1:20">
      <c r="A440" s="41">
        <f>1+N(A439)</f>
        <v>2</v>
      </c>
      <c r="B440" s="28" t="s">
        <v>96</v>
      </c>
      <c r="C440" s="28" t="s">
        <v>97</v>
      </c>
      <c r="D440" s="28" t="s">
        <v>98</v>
      </c>
      <c r="E440" s="28" t="s">
        <v>99</v>
      </c>
      <c r="F440" s="29" t="s">
        <v>39</v>
      </c>
      <c r="G440" s="30">
        <v>254.8</v>
      </c>
      <c r="H440" s="31">
        <v>112.16</v>
      </c>
      <c r="I440" s="39"/>
      <c r="J440" s="31">
        <f>H440*(1-$I$4)</f>
        <v>112.16</v>
      </c>
      <c r="K440" s="33">
        <f>ROUND(G440*J440,2)</f>
        <v>28578.37</v>
      </c>
      <c r="L440" s="34" t="s">
        <v>28</v>
      </c>
      <c r="M440" s="35"/>
      <c r="N440" s="3">
        <v>1</v>
      </c>
      <c r="O440" s="21">
        <v>79.3</v>
      </c>
      <c r="P440" s="22" t="s">
        <v>100</v>
      </c>
      <c r="Q440" s="38"/>
      <c r="R440" s="38"/>
    </row>
    <row r="441" s="3" customFormat="1" ht="48" customHeight="1" outlineLevel="2" spans="1:20">
      <c r="A441" s="41">
        <f>1+N(A440)</f>
        <v>3</v>
      </c>
      <c r="B441" s="28" t="s">
        <v>101</v>
      </c>
      <c r="C441" s="28" t="s">
        <v>102</v>
      </c>
      <c r="D441" s="28" t="s">
        <v>98</v>
      </c>
      <c r="E441" s="28" t="s">
        <v>99</v>
      </c>
      <c r="F441" s="29" t="s">
        <v>39</v>
      </c>
      <c r="G441" s="30">
        <v>254.8</v>
      </c>
      <c r="H441" s="31">
        <v>75.82</v>
      </c>
      <c r="I441" s="39"/>
      <c r="J441" s="31">
        <f>H441*(1-$I$4)</f>
        <v>75.82</v>
      </c>
      <c r="K441" s="33">
        <f>ROUND(G441*J441,2)</f>
        <v>19318.94</v>
      </c>
      <c r="L441" s="34" t="s">
        <v>28</v>
      </c>
      <c r="M441" s="35"/>
      <c r="N441" s="3">
        <v>1</v>
      </c>
      <c r="O441" s="21">
        <v>203.56</v>
      </c>
      <c r="P441" s="22" t="s">
        <v>103</v>
      </c>
      <c r="Q441" s="38"/>
      <c r="R441" s="38"/>
    </row>
    <row r="442" s="3" customFormat="1" ht="132" customHeight="1" outlineLevel="2" spans="1:20">
      <c r="A442" s="41">
        <f>1+N(A441)</f>
        <v>4</v>
      </c>
      <c r="B442" s="28" t="s">
        <v>107</v>
      </c>
      <c r="C442" s="28" t="s">
        <v>108</v>
      </c>
      <c r="D442" s="28" t="s">
        <v>109</v>
      </c>
      <c r="E442" s="28" t="s">
        <v>110</v>
      </c>
      <c r="F442" s="29" t="s">
        <v>27</v>
      </c>
      <c r="G442" s="30">
        <v>516.04</v>
      </c>
      <c r="H442" s="31">
        <v>152.22</v>
      </c>
      <c r="I442" s="39"/>
      <c r="J442" s="31">
        <f>H442*(1-$I$4)</f>
        <v>152.22</v>
      </c>
      <c r="K442" s="33">
        <f>ROUND(G442*J442,2)</f>
        <v>78551.61</v>
      </c>
      <c r="L442" s="34" t="s">
        <v>28</v>
      </c>
      <c r="M442" s="35"/>
      <c r="N442" s="3">
        <v>1</v>
      </c>
      <c r="O442" s="21">
        <v>151.58</v>
      </c>
      <c r="P442" s="22" t="s">
        <v>111</v>
      </c>
      <c r="Q442" s="38"/>
      <c r="R442" s="38"/>
    </row>
    <row r="443" s="3" customFormat="1" outlineLevel="1" spans="1:20">
      <c r="A443" s="40"/>
      <c r="B443" s="28" t="s">
        <v>112</v>
      </c>
      <c r="C443" s="28"/>
      <c r="D443" s="28"/>
      <c r="E443" s="28"/>
      <c r="F443" s="29"/>
      <c r="G443" s="30"/>
      <c r="H443" s="31"/>
      <c r="I443" s="39"/>
      <c r="J443" s="31"/>
      <c r="K443" s="33"/>
      <c r="L443" s="34"/>
      <c r="M443" s="35"/>
      <c r="O443" s="36"/>
      <c r="P443" s="37"/>
      <c r="Q443" s="38"/>
      <c r="R443" s="38"/>
    </row>
    <row r="444" s="3" customFormat="1" ht="60" customHeight="1" outlineLevel="2" spans="1:20">
      <c r="A444" s="41">
        <f>1+N(A443)</f>
        <v>1</v>
      </c>
      <c r="B444" s="28" t="s">
        <v>134</v>
      </c>
      <c r="C444" s="28" t="s">
        <v>114</v>
      </c>
      <c r="D444" s="28" t="s">
        <v>98</v>
      </c>
      <c r="E444" s="28" t="s">
        <v>115</v>
      </c>
      <c r="F444" s="29" t="s">
        <v>27</v>
      </c>
      <c r="G444" s="30">
        <v>47.04</v>
      </c>
      <c r="H444" s="31">
        <v>962.68</v>
      </c>
      <c r="I444" s="39"/>
      <c r="J444" s="31">
        <f>H444*(1-$I$4)</f>
        <v>962.68</v>
      </c>
      <c r="K444" s="33">
        <f>ROUND(G444*J444,2)</f>
        <v>45284.47</v>
      </c>
      <c r="L444" s="34" t="s">
        <v>28</v>
      </c>
      <c r="M444" s="35"/>
      <c r="N444" s="3">
        <v>1</v>
      </c>
      <c r="O444" s="21">
        <v>665.69</v>
      </c>
      <c r="P444" s="22" t="s">
        <v>116</v>
      </c>
      <c r="Q444" s="38"/>
      <c r="R444" s="38"/>
    </row>
    <row r="445" s="3" customFormat="1" outlineLevel="1" spans="1:20">
      <c r="A445" s="27"/>
      <c r="B445" s="28" t="s">
        <v>180</v>
      </c>
      <c r="C445" s="28"/>
      <c r="D445" s="28"/>
      <c r="E445" s="28"/>
      <c r="F445" s="29"/>
      <c r="G445" s="30"/>
      <c r="H445" s="31"/>
      <c r="I445" s="39"/>
      <c r="J445" s="31"/>
      <c r="K445" s="33"/>
      <c r="L445" s="34"/>
      <c r="M445" s="35"/>
      <c r="O445" s="36"/>
      <c r="P445" s="37"/>
      <c r="Q445" s="38"/>
      <c r="R445" s="38"/>
    </row>
    <row r="446" s="3" customFormat="1" outlineLevel="1" spans="1:20">
      <c r="A446" s="40"/>
      <c r="B446" s="28" t="s">
        <v>181</v>
      </c>
      <c r="C446" s="28"/>
      <c r="D446" s="28"/>
      <c r="E446" s="28"/>
      <c r="F446" s="29"/>
      <c r="G446" s="30"/>
      <c r="H446" s="31"/>
      <c r="I446" s="39"/>
      <c r="J446" s="31"/>
      <c r="K446" s="33"/>
      <c r="L446" s="34"/>
      <c r="M446" s="35"/>
      <c r="O446" s="36"/>
      <c r="P446" s="37"/>
      <c r="Q446" s="38"/>
      <c r="R446" s="38"/>
    </row>
    <row r="447" s="3" customFormat="1" ht="48" customHeight="1" outlineLevel="2" spans="1:20">
      <c r="A447" s="41">
        <f>1+N(A446)</f>
        <v>1</v>
      </c>
      <c r="B447" s="28" t="s">
        <v>317</v>
      </c>
      <c r="C447" s="28" t="s">
        <v>318</v>
      </c>
      <c r="D447" s="28" t="s">
        <v>319</v>
      </c>
      <c r="E447" s="28" t="s">
        <v>320</v>
      </c>
      <c r="F447" s="29" t="s">
        <v>272</v>
      </c>
      <c r="G447" s="30">
        <v>34.32</v>
      </c>
      <c r="H447" s="31">
        <v>236</v>
      </c>
      <c r="I447" s="39"/>
      <c r="J447" s="31">
        <f>H447*(1-$I$4)</f>
        <v>236</v>
      </c>
      <c r="K447" s="33">
        <f>ROUND(G447*J447,2)</f>
        <v>8099.52</v>
      </c>
      <c r="L447" s="34" t="s">
        <v>28</v>
      </c>
      <c r="M447" s="35"/>
      <c r="N447" s="3">
        <v>1</v>
      </c>
      <c r="O447" s="21">
        <v>745.25</v>
      </c>
      <c r="P447" s="22" t="s">
        <v>321</v>
      </c>
      <c r="Q447" s="38"/>
      <c r="R447" s="38"/>
    </row>
    <row r="448" s="4" customFormat="1" ht="24" customHeight="1" spans="1:20">
      <c r="A448" s="43" t="s">
        <v>322</v>
      </c>
      <c r="B448" s="17" t="s">
        <v>323</v>
      </c>
      <c r="C448" s="28"/>
      <c r="D448" s="28"/>
      <c r="E448" s="28"/>
      <c r="F448" s="29"/>
      <c r="G448" s="30"/>
      <c r="H448" s="31"/>
      <c r="I448" s="39"/>
      <c r="J448" s="31"/>
      <c r="K448" s="33"/>
      <c r="L448" s="34"/>
      <c r="M448" s="35"/>
      <c r="O448" s="44"/>
      <c r="P448" s="37"/>
      <c r="S448" s="3"/>
      <c r="T448" s="3"/>
    </row>
    <row r="449" s="3" customFormat="1" outlineLevel="1" spans="1:18">
      <c r="A449" s="27"/>
      <c r="B449" s="28" t="s">
        <v>324</v>
      </c>
      <c r="C449" s="28"/>
      <c r="D449" s="28"/>
      <c r="E449" s="28"/>
      <c r="F449" s="29"/>
      <c r="G449" s="30"/>
      <c r="H449" s="31"/>
      <c r="I449" s="39"/>
      <c r="J449" s="31"/>
      <c r="K449" s="33"/>
      <c r="L449" s="34"/>
      <c r="M449" s="35"/>
      <c r="O449" s="36"/>
      <c r="P449" s="37"/>
      <c r="Q449" s="38"/>
      <c r="R449" s="38"/>
    </row>
    <row r="450" s="3" customFormat="1" outlineLevel="1" spans="1:18">
      <c r="A450" s="40"/>
      <c r="B450" s="28" t="s">
        <v>22</v>
      </c>
      <c r="C450" s="28"/>
      <c r="D450" s="28"/>
      <c r="E450" s="28"/>
      <c r="F450" s="29"/>
      <c r="G450" s="30"/>
      <c r="H450" s="31"/>
      <c r="I450" s="39"/>
      <c r="J450" s="31"/>
      <c r="K450" s="33"/>
      <c r="L450" s="34"/>
      <c r="M450" s="35"/>
      <c r="O450" s="36"/>
      <c r="P450" s="37"/>
      <c r="Q450" s="38"/>
      <c r="R450" s="38"/>
    </row>
    <row r="451" s="3" customFormat="1" ht="108" customHeight="1" outlineLevel="2" spans="1:18">
      <c r="A451" s="41">
        <f t="shared" ref="A451:A457" si="51">1+N(A450)</f>
        <v>1</v>
      </c>
      <c r="B451" s="28" t="s">
        <v>325</v>
      </c>
      <c r="C451" s="28" t="s">
        <v>326</v>
      </c>
      <c r="D451" s="28" t="s">
        <v>221</v>
      </c>
      <c r="E451" s="28" t="s">
        <v>222</v>
      </c>
      <c r="F451" s="29" t="s">
        <v>27</v>
      </c>
      <c r="G451" s="30">
        <v>5.36</v>
      </c>
      <c r="H451" s="31">
        <v>142.53</v>
      </c>
      <c r="I451" s="39"/>
      <c r="J451" s="31">
        <f t="shared" ref="J451:J457" si="52">H451*(1-$I$4)</f>
        <v>142.53</v>
      </c>
      <c r="K451" s="33">
        <f t="shared" ref="K451:K457" si="53">ROUND(G451*J451,2)</f>
        <v>763.96</v>
      </c>
      <c r="L451" s="34" t="s">
        <v>28</v>
      </c>
      <c r="M451" s="35"/>
      <c r="N451" s="3">
        <v>1</v>
      </c>
      <c r="O451" s="21">
        <v>119.56</v>
      </c>
      <c r="P451" s="22" t="s">
        <v>327</v>
      </c>
      <c r="Q451" s="38"/>
      <c r="R451" s="38"/>
    </row>
    <row r="452" s="3" customFormat="1" ht="72" customHeight="1" outlineLevel="2" spans="1:18">
      <c r="A452" s="41">
        <f t="shared" si="51"/>
        <v>2</v>
      </c>
      <c r="B452" s="28" t="s">
        <v>328</v>
      </c>
      <c r="C452" s="28" t="s">
        <v>329</v>
      </c>
      <c r="D452" s="28" t="s">
        <v>25</v>
      </c>
      <c r="E452" s="28" t="s">
        <v>38</v>
      </c>
      <c r="F452" s="29" t="s">
        <v>39</v>
      </c>
      <c r="G452" s="30">
        <v>11.35</v>
      </c>
      <c r="H452" s="31">
        <v>59</v>
      </c>
      <c r="I452" s="39"/>
      <c r="J452" s="31">
        <f t="shared" si="52"/>
        <v>59</v>
      </c>
      <c r="K452" s="33">
        <f t="shared" si="53"/>
        <v>669.65</v>
      </c>
      <c r="L452" s="34" t="s">
        <v>28</v>
      </c>
      <c r="M452" s="35"/>
      <c r="N452" s="3">
        <v>1</v>
      </c>
      <c r="O452" s="21">
        <v>188.89</v>
      </c>
      <c r="P452" s="22" t="s">
        <v>330</v>
      </c>
      <c r="Q452" s="38"/>
      <c r="R452" s="38"/>
    </row>
    <row r="453" s="3" customFormat="1" ht="120" customHeight="1" outlineLevel="2" spans="1:18">
      <c r="A453" s="41">
        <f t="shared" si="51"/>
        <v>3</v>
      </c>
      <c r="B453" s="28" t="s">
        <v>23</v>
      </c>
      <c r="C453" s="28" t="s">
        <v>331</v>
      </c>
      <c r="D453" s="28" t="s">
        <v>25</v>
      </c>
      <c r="E453" s="28" t="s">
        <v>26</v>
      </c>
      <c r="F453" s="29" t="s">
        <v>27</v>
      </c>
      <c r="G453" s="30">
        <v>85.43</v>
      </c>
      <c r="H453" s="31">
        <v>940.91</v>
      </c>
      <c r="I453" s="39"/>
      <c r="J453" s="31">
        <f t="shared" si="52"/>
        <v>940.91</v>
      </c>
      <c r="K453" s="33">
        <f t="shared" si="53"/>
        <v>80381.94</v>
      </c>
      <c r="L453" s="34" t="s">
        <v>28</v>
      </c>
      <c r="M453" s="35"/>
      <c r="N453" s="3">
        <v>1</v>
      </c>
      <c r="O453" s="21">
        <v>1135.86</v>
      </c>
      <c r="P453" s="22" t="s">
        <v>332</v>
      </c>
      <c r="Q453" s="38"/>
      <c r="R453" s="38"/>
    </row>
    <row r="454" s="3" customFormat="1" ht="108" customHeight="1" outlineLevel="2" spans="1:18">
      <c r="A454" s="41">
        <f t="shared" si="51"/>
        <v>4</v>
      </c>
      <c r="B454" s="28" t="s">
        <v>333</v>
      </c>
      <c r="C454" s="28" t="s">
        <v>334</v>
      </c>
      <c r="D454" s="28" t="s">
        <v>25</v>
      </c>
      <c r="E454" s="28" t="s">
        <v>26</v>
      </c>
      <c r="F454" s="29" t="s">
        <v>27</v>
      </c>
      <c r="G454" s="30">
        <v>24.83</v>
      </c>
      <c r="H454" s="31">
        <v>1303.93</v>
      </c>
      <c r="I454" s="39"/>
      <c r="J454" s="31">
        <f t="shared" si="52"/>
        <v>1303.93</v>
      </c>
      <c r="K454" s="33">
        <f t="shared" si="53"/>
        <v>32376.58</v>
      </c>
      <c r="L454" s="34" t="s">
        <v>28</v>
      </c>
      <c r="M454" s="35"/>
      <c r="N454" s="3">
        <v>1</v>
      </c>
      <c r="O454" s="21">
        <v>1135.86</v>
      </c>
      <c r="P454" s="22" t="s">
        <v>128</v>
      </c>
      <c r="Q454" s="38"/>
      <c r="R454" s="38"/>
    </row>
    <row r="455" s="3" customFormat="1" ht="108" customHeight="1" outlineLevel="2" spans="1:18">
      <c r="A455" s="41">
        <f t="shared" si="51"/>
        <v>5</v>
      </c>
      <c r="B455" s="28" t="s">
        <v>335</v>
      </c>
      <c r="C455" s="28" t="s">
        <v>336</v>
      </c>
      <c r="D455" s="28" t="s">
        <v>25</v>
      </c>
      <c r="E455" s="28" t="s">
        <v>26</v>
      </c>
      <c r="F455" s="29" t="s">
        <v>27</v>
      </c>
      <c r="G455" s="30">
        <v>7.24</v>
      </c>
      <c r="H455" s="31">
        <v>787.45</v>
      </c>
      <c r="I455" s="39"/>
      <c r="J455" s="31">
        <f t="shared" si="52"/>
        <v>787.45</v>
      </c>
      <c r="K455" s="33">
        <f t="shared" si="53"/>
        <v>5701.14</v>
      </c>
      <c r="L455" s="34" t="s">
        <v>28</v>
      </c>
      <c r="M455" s="35"/>
      <c r="N455" s="3">
        <v>1</v>
      </c>
      <c r="O455" s="21">
        <v>897.93</v>
      </c>
      <c r="P455" s="22" t="s">
        <v>337</v>
      </c>
      <c r="Q455" s="38"/>
      <c r="R455" s="38"/>
    </row>
    <row r="456" s="3" customFormat="1" ht="72" customHeight="1" outlineLevel="2" spans="1:18">
      <c r="A456" s="41">
        <f t="shared" si="51"/>
        <v>6</v>
      </c>
      <c r="B456" s="28" t="s">
        <v>36</v>
      </c>
      <c r="C456" s="28" t="s">
        <v>37</v>
      </c>
      <c r="D456" s="28" t="s">
        <v>25</v>
      </c>
      <c r="E456" s="28" t="s">
        <v>38</v>
      </c>
      <c r="F456" s="29" t="s">
        <v>39</v>
      </c>
      <c r="G456" s="30">
        <v>19.84</v>
      </c>
      <c r="H456" s="31">
        <v>89.27</v>
      </c>
      <c r="I456" s="39"/>
      <c r="J456" s="31">
        <f t="shared" si="52"/>
        <v>89.27</v>
      </c>
      <c r="K456" s="33">
        <f t="shared" si="53"/>
        <v>1771.12</v>
      </c>
      <c r="L456" s="34" t="s">
        <v>28</v>
      </c>
      <c r="M456" s="35"/>
      <c r="N456" s="3">
        <v>1</v>
      </c>
      <c r="O456" s="21">
        <v>35.28</v>
      </c>
      <c r="P456" s="22" t="s">
        <v>40</v>
      </c>
      <c r="Q456" s="38"/>
      <c r="R456" s="38"/>
    </row>
    <row r="457" s="3" customFormat="1" ht="72" customHeight="1" outlineLevel="2" spans="1:18">
      <c r="A457" s="41">
        <f t="shared" si="51"/>
        <v>7</v>
      </c>
      <c r="B457" s="28" t="s">
        <v>41</v>
      </c>
      <c r="C457" s="28" t="s">
        <v>42</v>
      </c>
      <c r="D457" s="28" t="s">
        <v>25</v>
      </c>
      <c r="E457" s="28" t="s">
        <v>26</v>
      </c>
      <c r="F457" s="29" t="s">
        <v>27</v>
      </c>
      <c r="G457" s="30">
        <v>117.49</v>
      </c>
      <c r="H457" s="31">
        <v>64.9</v>
      </c>
      <c r="I457" s="39"/>
      <c r="J457" s="31">
        <f t="shared" si="52"/>
        <v>64.9</v>
      </c>
      <c r="K457" s="33">
        <f t="shared" si="53"/>
        <v>7625.1</v>
      </c>
      <c r="L457" s="34" t="s">
        <v>28</v>
      </c>
      <c r="M457" s="35"/>
      <c r="N457" s="3">
        <v>1</v>
      </c>
      <c r="O457" s="21">
        <v>61.38</v>
      </c>
      <c r="P457" s="22" t="s">
        <v>43</v>
      </c>
      <c r="Q457" s="38"/>
      <c r="R457" s="38"/>
    </row>
    <row r="458" s="3" customFormat="1" outlineLevel="1" spans="1:18">
      <c r="A458" s="40"/>
      <c r="B458" s="28" t="s">
        <v>44</v>
      </c>
      <c r="C458" s="28"/>
      <c r="D458" s="28"/>
      <c r="E458" s="28"/>
      <c r="F458" s="29"/>
      <c r="G458" s="30"/>
      <c r="H458" s="31"/>
      <c r="I458" s="39"/>
      <c r="J458" s="31"/>
      <c r="K458" s="33"/>
      <c r="L458" s="34"/>
      <c r="M458" s="35"/>
      <c r="O458" s="36"/>
      <c r="P458" s="37"/>
      <c r="Q458" s="38"/>
      <c r="R458" s="38"/>
    </row>
    <row r="459" s="3" customFormat="1" ht="156" customHeight="1" outlineLevel="2" spans="1:18">
      <c r="A459" s="41">
        <f t="shared" ref="A459:A466" si="54">1+N(A458)</f>
        <v>1</v>
      </c>
      <c r="B459" s="28" t="s">
        <v>50</v>
      </c>
      <c r="C459" s="28" t="s">
        <v>338</v>
      </c>
      <c r="D459" s="28" t="s">
        <v>52</v>
      </c>
      <c r="E459" s="28" t="s">
        <v>48</v>
      </c>
      <c r="F459" s="29" t="s">
        <v>27</v>
      </c>
      <c r="G459" s="30">
        <v>312.96</v>
      </c>
      <c r="H459" s="31">
        <v>895.21</v>
      </c>
      <c r="I459" s="39"/>
      <c r="J459" s="31">
        <f t="shared" ref="J459:J466" si="55">H459*(1-$I$4)</f>
        <v>895.21</v>
      </c>
      <c r="K459" s="33">
        <f t="shared" ref="K459:K466" si="56">ROUND(G459*J459,2)</f>
        <v>280164.92</v>
      </c>
      <c r="L459" s="34" t="s">
        <v>28</v>
      </c>
      <c r="M459" s="35"/>
      <c r="N459" s="3">
        <v>1</v>
      </c>
      <c r="O459" s="21">
        <v>1029.66</v>
      </c>
      <c r="P459" s="22" t="s">
        <v>339</v>
      </c>
      <c r="Q459" s="38"/>
      <c r="R459" s="38"/>
    </row>
    <row r="460" s="3" customFormat="1" ht="168" customHeight="1" outlineLevel="2" spans="1:18">
      <c r="A460" s="41">
        <f t="shared" si="54"/>
        <v>2</v>
      </c>
      <c r="B460" s="28" t="s">
        <v>54</v>
      </c>
      <c r="C460" s="28" t="s">
        <v>340</v>
      </c>
      <c r="D460" s="28" t="s">
        <v>52</v>
      </c>
      <c r="E460" s="28" t="s">
        <v>48</v>
      </c>
      <c r="F460" s="29" t="s">
        <v>27</v>
      </c>
      <c r="G460" s="30">
        <v>43.09</v>
      </c>
      <c r="H460" s="31">
        <v>2016.38</v>
      </c>
      <c r="I460" s="39"/>
      <c r="J460" s="31">
        <f t="shared" si="55"/>
        <v>2016.38</v>
      </c>
      <c r="K460" s="33">
        <f t="shared" si="56"/>
        <v>86885.81</v>
      </c>
      <c r="L460" s="34" t="s">
        <v>28</v>
      </c>
      <c r="M460" s="35"/>
      <c r="N460" s="3">
        <v>1</v>
      </c>
      <c r="O460" s="21">
        <v>1174.03</v>
      </c>
      <c r="P460" s="22" t="s">
        <v>341</v>
      </c>
      <c r="Q460" s="38"/>
      <c r="R460" s="38"/>
    </row>
    <row r="461" s="3" customFormat="1" ht="120" customHeight="1" outlineLevel="2" spans="1:18">
      <c r="A461" s="41">
        <f t="shared" si="54"/>
        <v>3</v>
      </c>
      <c r="B461" s="28" t="s">
        <v>342</v>
      </c>
      <c r="C461" s="28" t="s">
        <v>343</v>
      </c>
      <c r="D461" s="28" t="s">
        <v>52</v>
      </c>
      <c r="E461" s="28" t="s">
        <v>63</v>
      </c>
      <c r="F461" s="29" t="s">
        <v>27</v>
      </c>
      <c r="G461" s="30">
        <v>42.99</v>
      </c>
      <c r="H461" s="31">
        <v>1158.17</v>
      </c>
      <c r="I461" s="39"/>
      <c r="J461" s="31">
        <f t="shared" si="55"/>
        <v>1158.17</v>
      </c>
      <c r="K461" s="33">
        <f t="shared" si="56"/>
        <v>49789.73</v>
      </c>
      <c r="L461" s="34" t="s">
        <v>28</v>
      </c>
      <c r="M461" s="35"/>
      <c r="N461" s="3">
        <v>1</v>
      </c>
      <c r="O461" s="21">
        <v>1670.19</v>
      </c>
      <c r="P461" s="22" t="s">
        <v>344</v>
      </c>
      <c r="Q461" s="38"/>
      <c r="R461" s="38"/>
    </row>
    <row r="462" s="3" customFormat="1" ht="96" customHeight="1" outlineLevel="2" spans="1:18">
      <c r="A462" s="41">
        <f t="shared" si="54"/>
        <v>4</v>
      </c>
      <c r="B462" s="28" t="s">
        <v>202</v>
      </c>
      <c r="C462" s="28" t="s">
        <v>203</v>
      </c>
      <c r="D462" s="28" t="s">
        <v>59</v>
      </c>
      <c r="E462" s="28" t="s">
        <v>26</v>
      </c>
      <c r="F462" s="29" t="s">
        <v>27</v>
      </c>
      <c r="G462" s="30">
        <v>0.68</v>
      </c>
      <c r="H462" s="31">
        <v>311.52</v>
      </c>
      <c r="I462" s="39"/>
      <c r="J462" s="31">
        <f t="shared" si="55"/>
        <v>311.52</v>
      </c>
      <c r="K462" s="33">
        <f t="shared" si="56"/>
        <v>211.83</v>
      </c>
      <c r="L462" s="34" t="s">
        <v>28</v>
      </c>
      <c r="M462" s="35"/>
      <c r="N462" s="3">
        <v>1</v>
      </c>
      <c r="O462" s="21">
        <v>277.53</v>
      </c>
      <c r="P462" s="22" t="s">
        <v>217</v>
      </c>
      <c r="Q462" s="38"/>
      <c r="R462" s="38"/>
    </row>
    <row r="463" s="3" customFormat="1" ht="96" customHeight="1" outlineLevel="2" spans="1:18">
      <c r="A463" s="41">
        <f t="shared" si="54"/>
        <v>5</v>
      </c>
      <c r="B463" s="28" t="s">
        <v>205</v>
      </c>
      <c r="C463" s="28" t="s">
        <v>345</v>
      </c>
      <c r="D463" s="28" t="s">
        <v>59</v>
      </c>
      <c r="E463" s="28" t="s">
        <v>207</v>
      </c>
      <c r="F463" s="29" t="s">
        <v>27</v>
      </c>
      <c r="G463" s="30">
        <v>0.68</v>
      </c>
      <c r="H463" s="31">
        <v>338.66</v>
      </c>
      <c r="I463" s="39"/>
      <c r="J463" s="31">
        <f t="shared" si="55"/>
        <v>338.66</v>
      </c>
      <c r="K463" s="33">
        <f t="shared" si="56"/>
        <v>230.29</v>
      </c>
      <c r="L463" s="34" t="s">
        <v>28</v>
      </c>
      <c r="M463" s="35"/>
      <c r="N463" s="3">
        <v>1</v>
      </c>
      <c r="O463" s="21">
        <v>356.29</v>
      </c>
      <c r="P463" s="22" t="s">
        <v>208</v>
      </c>
      <c r="Q463" s="38"/>
      <c r="R463" s="38"/>
    </row>
    <row r="464" s="3" customFormat="1" ht="96" customHeight="1" outlineLevel="2" spans="1:18">
      <c r="A464" s="41">
        <f t="shared" si="54"/>
        <v>6</v>
      </c>
      <c r="B464" s="28" t="s">
        <v>346</v>
      </c>
      <c r="C464" s="28" t="s">
        <v>347</v>
      </c>
      <c r="D464" s="28" t="s">
        <v>59</v>
      </c>
      <c r="E464" s="28" t="s">
        <v>207</v>
      </c>
      <c r="F464" s="29" t="s">
        <v>27</v>
      </c>
      <c r="G464" s="30">
        <v>36.55</v>
      </c>
      <c r="H464" s="31">
        <v>194.7</v>
      </c>
      <c r="I464" s="39"/>
      <c r="J464" s="31">
        <f t="shared" si="55"/>
        <v>194.7</v>
      </c>
      <c r="K464" s="33">
        <f t="shared" si="56"/>
        <v>7116.29</v>
      </c>
      <c r="L464" s="34" t="s">
        <v>28</v>
      </c>
      <c r="M464" s="35"/>
      <c r="N464" s="3">
        <v>1</v>
      </c>
      <c r="O464" s="21">
        <v>145.2</v>
      </c>
      <c r="P464" s="22" t="s">
        <v>348</v>
      </c>
      <c r="Q464" s="38"/>
      <c r="R464" s="38"/>
    </row>
    <row r="465" s="3" customFormat="1" ht="96" customHeight="1" outlineLevel="2" spans="1:18">
      <c r="A465" s="41">
        <f t="shared" si="54"/>
        <v>7</v>
      </c>
      <c r="B465" s="28" t="s">
        <v>75</v>
      </c>
      <c r="C465" s="28" t="s">
        <v>76</v>
      </c>
      <c r="D465" s="28" t="s">
        <v>59</v>
      </c>
      <c r="E465" s="28" t="s">
        <v>38</v>
      </c>
      <c r="F465" s="29" t="s">
        <v>39</v>
      </c>
      <c r="G465" s="30">
        <v>87.52</v>
      </c>
      <c r="H465" s="31">
        <v>67.08</v>
      </c>
      <c r="I465" s="39"/>
      <c r="J465" s="31">
        <f t="shared" si="55"/>
        <v>67.08</v>
      </c>
      <c r="K465" s="33">
        <f t="shared" si="56"/>
        <v>5870.84</v>
      </c>
      <c r="L465" s="34" t="s">
        <v>28</v>
      </c>
      <c r="M465" s="35"/>
      <c r="N465" s="3">
        <v>1</v>
      </c>
      <c r="O465" s="21">
        <v>45.71</v>
      </c>
      <c r="P465" s="22" t="s">
        <v>77</v>
      </c>
      <c r="Q465" s="38"/>
      <c r="R465" s="38"/>
    </row>
    <row r="466" s="3" customFormat="1" ht="60" customHeight="1" outlineLevel="2" spans="1:18">
      <c r="A466" s="41">
        <f t="shared" si="54"/>
        <v>8</v>
      </c>
      <c r="B466" s="28" t="s">
        <v>311</v>
      </c>
      <c r="C466" s="28" t="s">
        <v>312</v>
      </c>
      <c r="D466" s="28" t="s">
        <v>98</v>
      </c>
      <c r="E466" s="28" t="s">
        <v>115</v>
      </c>
      <c r="F466" s="29" t="s">
        <v>27</v>
      </c>
      <c r="G466" s="30">
        <v>2.37</v>
      </c>
      <c r="H466" s="31">
        <v>630.65</v>
      </c>
      <c r="I466" s="39"/>
      <c r="J466" s="31">
        <f t="shared" si="55"/>
        <v>630.65</v>
      </c>
      <c r="K466" s="33">
        <f t="shared" si="56"/>
        <v>1494.64</v>
      </c>
      <c r="L466" s="34" t="s">
        <v>28</v>
      </c>
      <c r="M466" s="35"/>
      <c r="N466" s="3">
        <v>1</v>
      </c>
      <c r="O466" s="21">
        <v>681.67</v>
      </c>
      <c r="P466" s="22" t="s">
        <v>64</v>
      </c>
      <c r="Q466" s="38"/>
      <c r="R466" s="38"/>
    </row>
    <row r="467" s="3" customFormat="1" outlineLevel="1" spans="1:18">
      <c r="A467" s="40"/>
      <c r="B467" s="28" t="s">
        <v>90</v>
      </c>
      <c r="C467" s="28"/>
      <c r="D467" s="28"/>
      <c r="E467" s="28"/>
      <c r="F467" s="29"/>
      <c r="G467" s="30"/>
      <c r="H467" s="31"/>
      <c r="I467" s="39"/>
      <c r="J467" s="31"/>
      <c r="K467" s="33"/>
      <c r="L467" s="34"/>
      <c r="M467" s="35"/>
      <c r="O467" s="36"/>
      <c r="P467" s="37"/>
      <c r="Q467" s="38"/>
      <c r="R467" s="38"/>
    </row>
    <row r="468" s="3" customFormat="1" ht="168" customHeight="1" outlineLevel="2" spans="1:18">
      <c r="A468" s="41">
        <f t="shared" ref="A468:A475" si="57">1+N(A467)</f>
        <v>1</v>
      </c>
      <c r="B468" s="28" t="s">
        <v>91</v>
      </c>
      <c r="C468" s="28" t="s">
        <v>349</v>
      </c>
      <c r="D468" s="28" t="s">
        <v>93</v>
      </c>
      <c r="E468" s="28" t="s">
        <v>94</v>
      </c>
      <c r="F468" s="29" t="s">
        <v>27</v>
      </c>
      <c r="G468" s="30">
        <v>100.42</v>
      </c>
      <c r="H468" s="31">
        <v>174.57</v>
      </c>
      <c r="I468" s="39"/>
      <c r="J468" s="31">
        <f t="shared" ref="J468:J475" si="58">H468*(1-$I$4)</f>
        <v>174.57</v>
      </c>
      <c r="K468" s="33">
        <f t="shared" ref="K468:K475" si="59">ROUND(G468*J468,2)</f>
        <v>17530.32</v>
      </c>
      <c r="L468" s="34" t="s">
        <v>28</v>
      </c>
      <c r="M468" s="35"/>
      <c r="N468" s="3">
        <v>1</v>
      </c>
      <c r="O468" s="21">
        <v>155.88</v>
      </c>
      <c r="P468" s="22" t="s">
        <v>350</v>
      </c>
      <c r="Q468" s="38"/>
      <c r="R468" s="38"/>
    </row>
    <row r="469" s="3" customFormat="1" ht="156" customHeight="1" outlineLevel="2" spans="1:18">
      <c r="A469" s="41">
        <f t="shared" si="57"/>
        <v>2</v>
      </c>
      <c r="B469" s="28" t="s">
        <v>351</v>
      </c>
      <c r="C469" s="28" t="s">
        <v>352</v>
      </c>
      <c r="D469" s="28" t="s">
        <v>353</v>
      </c>
      <c r="E469" s="28" t="s">
        <v>354</v>
      </c>
      <c r="F469" s="29" t="s">
        <v>27</v>
      </c>
      <c r="G469" s="30">
        <v>15.2</v>
      </c>
      <c r="H469" s="31">
        <v>506.22</v>
      </c>
      <c r="I469" s="39"/>
      <c r="J469" s="31">
        <f t="shared" si="58"/>
        <v>506.22</v>
      </c>
      <c r="K469" s="33">
        <f t="shared" si="59"/>
        <v>7694.54</v>
      </c>
      <c r="L469" s="34" t="s">
        <v>28</v>
      </c>
      <c r="M469" s="35"/>
      <c r="N469" s="3">
        <v>1</v>
      </c>
      <c r="O469" s="21">
        <v>476.3</v>
      </c>
      <c r="P469" s="22" t="s">
        <v>355</v>
      </c>
      <c r="Q469" s="38"/>
      <c r="R469" s="38"/>
    </row>
    <row r="470" s="3" customFormat="1" ht="48" customHeight="1" outlineLevel="2" spans="1:18">
      <c r="A470" s="41">
        <f t="shared" si="57"/>
        <v>3</v>
      </c>
      <c r="B470" s="28" t="s">
        <v>104</v>
      </c>
      <c r="C470" s="28" t="s">
        <v>105</v>
      </c>
      <c r="D470" s="28" t="s">
        <v>98</v>
      </c>
      <c r="E470" s="28" t="s">
        <v>99</v>
      </c>
      <c r="F470" s="29" t="s">
        <v>39</v>
      </c>
      <c r="G470" s="30">
        <v>9.6</v>
      </c>
      <c r="H470" s="31">
        <v>109.74</v>
      </c>
      <c r="I470" s="39"/>
      <c r="J470" s="31">
        <f t="shared" si="58"/>
        <v>109.74</v>
      </c>
      <c r="K470" s="33">
        <f t="shared" si="59"/>
        <v>1053.5</v>
      </c>
      <c r="L470" s="34" t="s">
        <v>28</v>
      </c>
      <c r="M470" s="35"/>
      <c r="N470" s="3">
        <v>1</v>
      </c>
      <c r="O470" s="21">
        <v>108.2</v>
      </c>
      <c r="P470" s="22" t="s">
        <v>106</v>
      </c>
      <c r="Q470" s="38"/>
      <c r="R470" s="38"/>
    </row>
    <row r="471" s="3" customFormat="1" ht="48" customHeight="1" outlineLevel="2" spans="1:18">
      <c r="A471" s="41">
        <f t="shared" si="57"/>
        <v>4</v>
      </c>
      <c r="B471" s="28" t="s">
        <v>96</v>
      </c>
      <c r="C471" s="28" t="s">
        <v>97</v>
      </c>
      <c r="D471" s="28" t="s">
        <v>98</v>
      </c>
      <c r="E471" s="28" t="s">
        <v>99</v>
      </c>
      <c r="F471" s="29" t="s">
        <v>39</v>
      </c>
      <c r="G471" s="30">
        <v>44.85</v>
      </c>
      <c r="H471" s="31">
        <v>112.16</v>
      </c>
      <c r="I471" s="39"/>
      <c r="J471" s="31">
        <f t="shared" si="58"/>
        <v>112.16</v>
      </c>
      <c r="K471" s="33">
        <f t="shared" si="59"/>
        <v>5030.38</v>
      </c>
      <c r="L471" s="34" t="s">
        <v>28</v>
      </c>
      <c r="M471" s="35"/>
      <c r="N471" s="3">
        <v>1</v>
      </c>
      <c r="O471" s="21">
        <v>79.3</v>
      </c>
      <c r="P471" s="22" t="s">
        <v>100</v>
      </c>
      <c r="Q471" s="38"/>
      <c r="R471" s="38"/>
    </row>
    <row r="472" s="3" customFormat="1" ht="60" customHeight="1" outlineLevel="2" spans="1:18">
      <c r="A472" s="41">
        <f t="shared" si="57"/>
        <v>5</v>
      </c>
      <c r="B472" s="28" t="s">
        <v>356</v>
      </c>
      <c r="C472" s="28" t="s">
        <v>357</v>
      </c>
      <c r="D472" s="28" t="s">
        <v>98</v>
      </c>
      <c r="E472" s="28" t="s">
        <v>99</v>
      </c>
      <c r="F472" s="29" t="s">
        <v>39</v>
      </c>
      <c r="G472" s="30">
        <v>9.56</v>
      </c>
      <c r="H472" s="31">
        <v>123.19</v>
      </c>
      <c r="I472" s="39"/>
      <c r="J472" s="31">
        <f t="shared" si="58"/>
        <v>123.19</v>
      </c>
      <c r="K472" s="33">
        <f t="shared" si="59"/>
        <v>1177.7</v>
      </c>
      <c r="L472" s="34" t="s">
        <v>28</v>
      </c>
      <c r="M472" s="35"/>
      <c r="N472" s="3">
        <v>1</v>
      </c>
      <c r="O472" s="21">
        <v>93.14</v>
      </c>
      <c r="P472" s="22" t="s">
        <v>358</v>
      </c>
      <c r="Q472" s="38"/>
      <c r="R472" s="38"/>
    </row>
    <row r="473" s="3" customFormat="1" ht="48" customHeight="1" outlineLevel="2" spans="1:18">
      <c r="A473" s="41">
        <f t="shared" si="57"/>
        <v>6</v>
      </c>
      <c r="B473" s="28" t="s">
        <v>101</v>
      </c>
      <c r="C473" s="28" t="s">
        <v>102</v>
      </c>
      <c r="D473" s="28" t="s">
        <v>98</v>
      </c>
      <c r="E473" s="28" t="s">
        <v>99</v>
      </c>
      <c r="F473" s="29" t="s">
        <v>39</v>
      </c>
      <c r="G473" s="30">
        <v>44.85</v>
      </c>
      <c r="H473" s="31">
        <v>75.82</v>
      </c>
      <c r="I473" s="39"/>
      <c r="J473" s="31">
        <f t="shared" si="58"/>
        <v>75.82</v>
      </c>
      <c r="K473" s="33">
        <f t="shared" si="59"/>
        <v>3400.53</v>
      </c>
      <c r="L473" s="34" t="s">
        <v>28</v>
      </c>
      <c r="M473" s="35"/>
      <c r="N473" s="3">
        <v>1</v>
      </c>
      <c r="O473" s="21">
        <v>203.56</v>
      </c>
      <c r="P473" s="22" t="s">
        <v>103</v>
      </c>
      <c r="Q473" s="38"/>
      <c r="R473" s="38"/>
    </row>
    <row r="474" s="3" customFormat="1" ht="132" customHeight="1" outlineLevel="2" spans="1:18">
      <c r="A474" s="41">
        <f t="shared" si="57"/>
        <v>7</v>
      </c>
      <c r="B474" s="28" t="s">
        <v>107</v>
      </c>
      <c r="C474" s="28" t="s">
        <v>108</v>
      </c>
      <c r="D474" s="28" t="s">
        <v>109</v>
      </c>
      <c r="E474" s="28" t="s">
        <v>110</v>
      </c>
      <c r="F474" s="29" t="s">
        <v>27</v>
      </c>
      <c r="G474" s="30">
        <v>132.9</v>
      </c>
      <c r="H474" s="31">
        <v>152.22</v>
      </c>
      <c r="I474" s="39"/>
      <c r="J474" s="31">
        <f t="shared" si="58"/>
        <v>152.22</v>
      </c>
      <c r="K474" s="33">
        <f t="shared" si="59"/>
        <v>20230.04</v>
      </c>
      <c r="L474" s="34" t="s">
        <v>28</v>
      </c>
      <c r="M474" s="35"/>
      <c r="N474" s="3">
        <v>1</v>
      </c>
      <c r="O474" s="21">
        <v>151.58</v>
      </c>
      <c r="P474" s="22" t="s">
        <v>111</v>
      </c>
      <c r="Q474" s="38"/>
      <c r="R474" s="38"/>
    </row>
    <row r="475" s="3" customFormat="1" ht="156" customHeight="1" outlineLevel="2" spans="1:18">
      <c r="A475" s="41">
        <f t="shared" si="57"/>
        <v>8</v>
      </c>
      <c r="B475" s="28" t="s">
        <v>359</v>
      </c>
      <c r="C475" s="28" t="s">
        <v>360</v>
      </c>
      <c r="D475" s="28" t="s">
        <v>353</v>
      </c>
      <c r="E475" s="28" t="s">
        <v>354</v>
      </c>
      <c r="F475" s="29" t="s">
        <v>27</v>
      </c>
      <c r="G475" s="30">
        <v>15.2</v>
      </c>
      <c r="H475" s="31">
        <v>31.39</v>
      </c>
      <c r="I475" s="39"/>
      <c r="J475" s="31">
        <f t="shared" si="58"/>
        <v>31.39</v>
      </c>
      <c r="K475" s="33">
        <f t="shared" si="59"/>
        <v>477.13</v>
      </c>
      <c r="L475" s="34" t="s">
        <v>28</v>
      </c>
      <c r="M475" s="35"/>
      <c r="N475" s="3">
        <v>1</v>
      </c>
      <c r="O475" s="21">
        <v>23.95</v>
      </c>
      <c r="P475" s="22" t="s">
        <v>361</v>
      </c>
      <c r="Q475" s="38"/>
      <c r="R475" s="38"/>
    </row>
    <row r="476" s="3" customFormat="1" outlineLevel="1" spans="1:18">
      <c r="A476" s="40"/>
      <c r="B476" s="28" t="s">
        <v>112</v>
      </c>
      <c r="C476" s="28"/>
      <c r="D476" s="28"/>
      <c r="E476" s="28"/>
      <c r="F476" s="29"/>
      <c r="G476" s="30"/>
      <c r="H476" s="31"/>
      <c r="I476" s="39"/>
      <c r="J476" s="31"/>
      <c r="K476" s="33"/>
      <c r="L476" s="34"/>
      <c r="M476" s="35"/>
      <c r="O476" s="36"/>
      <c r="P476" s="37"/>
      <c r="Q476" s="38"/>
      <c r="R476" s="38"/>
    </row>
    <row r="477" s="3" customFormat="1" ht="84" customHeight="1" outlineLevel="2" spans="1:18">
      <c r="A477" s="41">
        <f>1+N(A476)</f>
        <v>1</v>
      </c>
      <c r="B477" s="28" t="s">
        <v>362</v>
      </c>
      <c r="C477" s="28" t="s">
        <v>363</v>
      </c>
      <c r="D477" s="28" t="s">
        <v>98</v>
      </c>
      <c r="E477" s="28" t="s">
        <v>115</v>
      </c>
      <c r="F477" s="29" t="s">
        <v>27</v>
      </c>
      <c r="G477" s="30">
        <v>30.77</v>
      </c>
      <c r="H477" s="31">
        <v>5005.29</v>
      </c>
      <c r="I477" s="39"/>
      <c r="J477" s="31">
        <f>H477*(1-$I$4)</f>
        <v>5005.29</v>
      </c>
      <c r="K477" s="33">
        <f>ROUND(G477*J477,2)</f>
        <v>154012.77</v>
      </c>
      <c r="L477" s="34" t="s">
        <v>28</v>
      </c>
      <c r="M477" s="35"/>
      <c r="N477" s="3">
        <v>1</v>
      </c>
      <c r="O477" s="21">
        <v>1657.15</v>
      </c>
      <c r="P477" s="22" t="s">
        <v>364</v>
      </c>
      <c r="Q477" s="38"/>
      <c r="R477" s="38"/>
    </row>
    <row r="478" s="3" customFormat="1" ht="84" customHeight="1" outlineLevel="2" spans="1:18">
      <c r="A478" s="41">
        <f>1+N(A477)</f>
        <v>2</v>
      </c>
      <c r="B478" s="28" t="s">
        <v>365</v>
      </c>
      <c r="C478" s="28" t="s">
        <v>366</v>
      </c>
      <c r="D478" s="28" t="s">
        <v>98</v>
      </c>
      <c r="E478" s="28" t="s">
        <v>115</v>
      </c>
      <c r="F478" s="29" t="s">
        <v>175</v>
      </c>
      <c r="G478" s="30">
        <v>1</v>
      </c>
      <c r="H478" s="31">
        <v>50903.27</v>
      </c>
      <c r="I478" s="39"/>
      <c r="J478" s="31">
        <f>H478*(1-$I$4)</f>
        <v>50903.27</v>
      </c>
      <c r="K478" s="33">
        <f>ROUND(G478*J478,2)</f>
        <v>50903.27</v>
      </c>
      <c r="L478" s="34" t="s">
        <v>28</v>
      </c>
      <c r="M478" s="35"/>
      <c r="N478" s="3">
        <v>1</v>
      </c>
      <c r="O478" s="21">
        <v>30579.41</v>
      </c>
      <c r="P478" s="22" t="s">
        <v>367</v>
      </c>
      <c r="Q478" s="38"/>
      <c r="R478" s="38"/>
    </row>
    <row r="479" s="3" customFormat="1" outlineLevel="1" spans="1:18">
      <c r="A479" s="27" t="s">
        <v>20</v>
      </c>
      <c r="B479" s="28" t="s">
        <v>368</v>
      </c>
      <c r="C479" s="28"/>
      <c r="D479" s="28"/>
      <c r="E479" s="28"/>
      <c r="F479" s="29"/>
      <c r="G479" s="30"/>
      <c r="H479" s="31"/>
      <c r="I479" s="39"/>
      <c r="J479" s="31"/>
      <c r="K479" s="33"/>
      <c r="L479" s="34"/>
      <c r="M479" s="35"/>
      <c r="O479" s="36"/>
      <c r="P479" s="37"/>
      <c r="Q479" s="38"/>
      <c r="R479" s="38"/>
    </row>
    <row r="480" s="3" customFormat="1" outlineLevel="1" spans="1:18">
      <c r="A480" s="40"/>
      <c r="B480" s="28" t="s">
        <v>22</v>
      </c>
      <c r="C480" s="28"/>
      <c r="D480" s="28"/>
      <c r="E480" s="28"/>
      <c r="F480" s="29"/>
      <c r="G480" s="30"/>
      <c r="H480" s="31"/>
      <c r="I480" s="39"/>
      <c r="J480" s="31"/>
      <c r="K480" s="33"/>
      <c r="L480" s="34"/>
      <c r="M480" s="35"/>
      <c r="O480" s="36"/>
      <c r="P480" s="37"/>
      <c r="Q480" s="38"/>
      <c r="R480" s="38"/>
    </row>
    <row r="481" s="3" customFormat="1" ht="108" customHeight="1" outlineLevel="2" spans="1:18">
      <c r="A481" s="41">
        <f>1+N(A480)</f>
        <v>1</v>
      </c>
      <c r="B481" s="28" t="s">
        <v>23</v>
      </c>
      <c r="C481" s="28" t="s">
        <v>24</v>
      </c>
      <c r="D481" s="28" t="s">
        <v>25</v>
      </c>
      <c r="E481" s="28" t="s">
        <v>26</v>
      </c>
      <c r="F481" s="29" t="s">
        <v>27</v>
      </c>
      <c r="G481" s="30">
        <v>23.22</v>
      </c>
      <c r="H481" s="31">
        <v>940.91</v>
      </c>
      <c r="I481" s="39"/>
      <c r="J481" s="31">
        <f>H481*(1-$I$4)</f>
        <v>940.91</v>
      </c>
      <c r="K481" s="33">
        <f>ROUND(G481*J481,2)</f>
        <v>21847.93</v>
      </c>
      <c r="L481" s="34" t="s">
        <v>28</v>
      </c>
      <c r="M481" s="35"/>
      <c r="N481" s="3">
        <v>1</v>
      </c>
      <c r="O481" s="21">
        <v>886.6</v>
      </c>
      <c r="P481" s="22" t="s">
        <v>29</v>
      </c>
      <c r="Q481" s="38"/>
      <c r="R481" s="38"/>
    </row>
    <row r="482" s="3" customFormat="1" ht="108" customHeight="1" outlineLevel="2" spans="1:18">
      <c r="A482" s="41">
        <f>1+N(A481)</f>
        <v>2</v>
      </c>
      <c r="B482" s="28" t="s">
        <v>333</v>
      </c>
      <c r="C482" s="28" t="s">
        <v>334</v>
      </c>
      <c r="D482" s="28" t="s">
        <v>25</v>
      </c>
      <c r="E482" s="28" t="s">
        <v>26</v>
      </c>
      <c r="F482" s="29" t="s">
        <v>27</v>
      </c>
      <c r="G482" s="30">
        <v>3.5</v>
      </c>
      <c r="H482" s="31">
        <v>1412.25</v>
      </c>
      <c r="I482" s="39"/>
      <c r="J482" s="31">
        <f>H482*(1-$I$4)</f>
        <v>1412.25</v>
      </c>
      <c r="K482" s="33">
        <f>ROUND(G482*J482,2)</f>
        <v>4942.88</v>
      </c>
      <c r="L482" s="34" t="s">
        <v>28</v>
      </c>
      <c r="M482" s="35"/>
      <c r="N482" s="3">
        <v>1</v>
      </c>
      <c r="O482" s="21">
        <v>1135.86</v>
      </c>
      <c r="P482" s="22" t="s">
        <v>32</v>
      </c>
      <c r="Q482" s="38"/>
      <c r="R482" s="38"/>
    </row>
    <row r="483" s="3" customFormat="1" ht="72" customHeight="1" outlineLevel="2" spans="1:18">
      <c r="A483" s="41">
        <f>1+N(A482)</f>
        <v>3</v>
      </c>
      <c r="B483" s="28" t="s">
        <v>36</v>
      </c>
      <c r="C483" s="28" t="s">
        <v>37</v>
      </c>
      <c r="D483" s="28" t="s">
        <v>25</v>
      </c>
      <c r="E483" s="28" t="s">
        <v>38</v>
      </c>
      <c r="F483" s="29" t="s">
        <v>39</v>
      </c>
      <c r="G483" s="30">
        <v>7.1</v>
      </c>
      <c r="H483" s="31">
        <v>89.27</v>
      </c>
      <c r="I483" s="39"/>
      <c r="J483" s="31">
        <f>H483*(1-$I$4)</f>
        <v>89.27</v>
      </c>
      <c r="K483" s="33">
        <f>ROUND(G483*J483,2)</f>
        <v>633.82</v>
      </c>
      <c r="L483" s="34" t="s">
        <v>28</v>
      </c>
      <c r="M483" s="35"/>
      <c r="N483" s="3">
        <v>1</v>
      </c>
      <c r="O483" s="21">
        <v>35.28</v>
      </c>
      <c r="P483" s="22" t="s">
        <v>40</v>
      </c>
      <c r="Q483" s="38"/>
      <c r="R483" s="38"/>
    </row>
    <row r="484" s="3" customFormat="1" ht="72" customHeight="1" outlineLevel="2" spans="1:18">
      <c r="A484" s="41">
        <f>1+N(A483)</f>
        <v>4</v>
      </c>
      <c r="B484" s="28" t="s">
        <v>41</v>
      </c>
      <c r="C484" s="28" t="s">
        <v>42</v>
      </c>
      <c r="D484" s="28" t="s">
        <v>25</v>
      </c>
      <c r="E484" s="28" t="s">
        <v>26</v>
      </c>
      <c r="F484" s="29" t="s">
        <v>27</v>
      </c>
      <c r="G484" s="30">
        <v>26.72</v>
      </c>
      <c r="H484" s="31">
        <v>64.9</v>
      </c>
      <c r="I484" s="39"/>
      <c r="J484" s="31">
        <f>H484*(1-$I$4)</f>
        <v>64.9</v>
      </c>
      <c r="K484" s="33">
        <f>ROUND(G484*J484,2)</f>
        <v>1734.13</v>
      </c>
      <c r="L484" s="34" t="s">
        <v>28</v>
      </c>
      <c r="M484" s="35"/>
      <c r="N484" s="3">
        <v>1</v>
      </c>
      <c r="O484" s="21">
        <v>61.38</v>
      </c>
      <c r="P484" s="22" t="s">
        <v>43</v>
      </c>
      <c r="Q484" s="38"/>
      <c r="R484" s="38"/>
    </row>
    <row r="485" s="3" customFormat="1" outlineLevel="1" spans="1:18">
      <c r="A485" s="40"/>
      <c r="B485" s="28" t="s">
        <v>44</v>
      </c>
      <c r="C485" s="28"/>
      <c r="D485" s="28"/>
      <c r="E485" s="28"/>
      <c r="F485" s="29"/>
      <c r="G485" s="30"/>
      <c r="H485" s="31"/>
      <c r="I485" s="39"/>
      <c r="J485" s="31"/>
      <c r="K485" s="33"/>
      <c r="L485" s="34"/>
      <c r="M485" s="35"/>
      <c r="O485" s="36"/>
      <c r="P485" s="37"/>
      <c r="Q485" s="38"/>
      <c r="R485" s="38"/>
    </row>
    <row r="486" s="3" customFormat="1" ht="156" customHeight="1" outlineLevel="2" spans="1:18">
      <c r="A486" s="41">
        <f>1+N(A485)</f>
        <v>1</v>
      </c>
      <c r="B486" s="28" t="s">
        <v>50</v>
      </c>
      <c r="C486" s="28" t="s">
        <v>338</v>
      </c>
      <c r="D486" s="28" t="s">
        <v>52</v>
      </c>
      <c r="E486" s="28" t="s">
        <v>48</v>
      </c>
      <c r="F486" s="29" t="s">
        <v>27</v>
      </c>
      <c r="G486" s="30">
        <v>26.22</v>
      </c>
      <c r="H486" s="31">
        <v>961.06</v>
      </c>
      <c r="I486" s="39"/>
      <c r="J486" s="31">
        <f>H486*(1-$I$4)</f>
        <v>961.06</v>
      </c>
      <c r="K486" s="33">
        <f>ROUND(G486*J486,2)</f>
        <v>25198.99</v>
      </c>
      <c r="L486" s="34" t="s">
        <v>28</v>
      </c>
      <c r="M486" s="35"/>
      <c r="N486" s="3">
        <v>1</v>
      </c>
      <c r="O486" s="21">
        <v>1029.66</v>
      </c>
      <c r="P486" s="22" t="s">
        <v>369</v>
      </c>
      <c r="Q486" s="38"/>
      <c r="R486" s="38"/>
    </row>
    <row r="487" s="3" customFormat="1" ht="120" customHeight="1" outlineLevel="2" spans="1:18">
      <c r="A487" s="41">
        <f>1+N(A486)</f>
        <v>2</v>
      </c>
      <c r="B487" s="28" t="s">
        <v>342</v>
      </c>
      <c r="C487" s="28" t="s">
        <v>343</v>
      </c>
      <c r="D487" s="28" t="s">
        <v>52</v>
      </c>
      <c r="E487" s="28" t="s">
        <v>63</v>
      </c>
      <c r="F487" s="29" t="s">
        <v>27</v>
      </c>
      <c r="G487" s="30">
        <v>34.98</v>
      </c>
      <c r="H487" s="31">
        <v>848.42</v>
      </c>
      <c r="I487" s="39"/>
      <c r="J487" s="31">
        <f>H487*(1-$I$4)</f>
        <v>848.42</v>
      </c>
      <c r="K487" s="33">
        <f>ROUND(G487*J487,2)</f>
        <v>29677.73</v>
      </c>
      <c r="L487" s="34" t="s">
        <v>28</v>
      </c>
      <c r="M487" s="35"/>
      <c r="N487" s="3">
        <v>1</v>
      </c>
      <c r="O487" s="21">
        <v>1670.19</v>
      </c>
      <c r="P487" s="22" t="s">
        <v>370</v>
      </c>
      <c r="Q487" s="38"/>
      <c r="R487" s="38"/>
    </row>
    <row r="488" s="3" customFormat="1" ht="96" customHeight="1" outlineLevel="2" spans="1:18">
      <c r="A488" s="41">
        <f>1+N(A487)</f>
        <v>3</v>
      </c>
      <c r="B488" s="28" t="s">
        <v>205</v>
      </c>
      <c r="C488" s="28" t="s">
        <v>345</v>
      </c>
      <c r="D488" s="28" t="s">
        <v>59</v>
      </c>
      <c r="E488" s="28" t="s">
        <v>207</v>
      </c>
      <c r="F488" s="29" t="s">
        <v>27</v>
      </c>
      <c r="G488" s="30">
        <v>32.93</v>
      </c>
      <c r="H488" s="31">
        <v>338.66</v>
      </c>
      <c r="I488" s="39"/>
      <c r="J488" s="31">
        <f>H488*(1-$I$4)</f>
        <v>338.66</v>
      </c>
      <c r="K488" s="33">
        <f>ROUND(G488*J488,2)</f>
        <v>11152.07</v>
      </c>
      <c r="L488" s="34" t="s">
        <v>28</v>
      </c>
      <c r="M488" s="35"/>
      <c r="N488" s="3">
        <v>1</v>
      </c>
      <c r="O488" s="21">
        <v>356.29</v>
      </c>
      <c r="P488" s="22" t="s">
        <v>208</v>
      </c>
      <c r="Q488" s="38"/>
      <c r="R488" s="38"/>
    </row>
    <row r="489" s="3" customFormat="1" ht="120" customHeight="1" outlineLevel="2" spans="1:18">
      <c r="A489" s="41">
        <f>1+N(A488)</f>
        <v>4</v>
      </c>
      <c r="B489" s="28" t="s">
        <v>69</v>
      </c>
      <c r="C489" s="28" t="s">
        <v>70</v>
      </c>
      <c r="D489" s="28" t="s">
        <v>52</v>
      </c>
      <c r="E489" s="28" t="s">
        <v>63</v>
      </c>
      <c r="F489" s="29" t="s">
        <v>27</v>
      </c>
      <c r="G489" s="30">
        <v>0.26</v>
      </c>
      <c r="H489" s="31">
        <v>1175.56</v>
      </c>
      <c r="I489" s="39"/>
      <c r="J489" s="31">
        <f>H489*(1-$I$4)</f>
        <v>1175.56</v>
      </c>
      <c r="K489" s="33">
        <f>ROUND(G489*J489,2)</f>
        <v>305.65</v>
      </c>
      <c r="L489" s="34" t="s">
        <v>28</v>
      </c>
      <c r="M489" s="35"/>
      <c r="N489" s="3">
        <v>1</v>
      </c>
      <c r="O489" s="21">
        <v>681.67</v>
      </c>
      <c r="P489" s="22" t="s">
        <v>71</v>
      </c>
      <c r="Q489" s="38"/>
      <c r="R489" s="38"/>
    </row>
    <row r="490" s="3" customFormat="1" ht="96" customHeight="1" outlineLevel="2" spans="1:18">
      <c r="A490" s="41">
        <f>1+N(A489)</f>
        <v>5</v>
      </c>
      <c r="B490" s="28" t="s">
        <v>75</v>
      </c>
      <c r="C490" s="28" t="s">
        <v>76</v>
      </c>
      <c r="D490" s="28" t="s">
        <v>59</v>
      </c>
      <c r="E490" s="28" t="s">
        <v>38</v>
      </c>
      <c r="F490" s="29" t="s">
        <v>39</v>
      </c>
      <c r="G490" s="30">
        <v>27.8</v>
      </c>
      <c r="H490" s="31">
        <v>67.08</v>
      </c>
      <c r="I490" s="39"/>
      <c r="J490" s="31">
        <f>H490*(1-$I$4)</f>
        <v>67.08</v>
      </c>
      <c r="K490" s="33">
        <f>ROUND(G490*J490,2)</f>
        <v>1864.82</v>
      </c>
      <c r="L490" s="34" t="s">
        <v>28</v>
      </c>
      <c r="M490" s="35"/>
      <c r="N490" s="3">
        <v>1</v>
      </c>
      <c r="O490" s="21">
        <v>45.71</v>
      </c>
      <c r="P490" s="22" t="s">
        <v>77</v>
      </c>
      <c r="Q490" s="38"/>
      <c r="R490" s="38"/>
    </row>
    <row r="491" s="3" customFormat="1" outlineLevel="1" spans="1:18">
      <c r="A491" s="40"/>
      <c r="B491" s="28" t="s">
        <v>90</v>
      </c>
      <c r="C491" s="28"/>
      <c r="D491" s="28"/>
      <c r="E491" s="28"/>
      <c r="F491" s="29"/>
      <c r="G491" s="30"/>
      <c r="H491" s="31"/>
      <c r="I491" s="39"/>
      <c r="J491" s="31"/>
      <c r="K491" s="33"/>
      <c r="L491" s="34"/>
      <c r="M491" s="35"/>
      <c r="O491" s="36"/>
      <c r="P491" s="37"/>
      <c r="Q491" s="38"/>
      <c r="R491" s="38"/>
    </row>
    <row r="492" s="3" customFormat="1" ht="168" customHeight="1" outlineLevel="2" spans="1:18">
      <c r="A492" s="41">
        <f t="shared" ref="A492:A497" si="60">1+N(A491)</f>
        <v>1</v>
      </c>
      <c r="B492" s="28" t="s">
        <v>371</v>
      </c>
      <c r="C492" s="28" t="s">
        <v>92</v>
      </c>
      <c r="D492" s="28" t="s">
        <v>93</v>
      </c>
      <c r="E492" s="28" t="s">
        <v>94</v>
      </c>
      <c r="F492" s="29" t="s">
        <v>27</v>
      </c>
      <c r="G492" s="30">
        <v>26.72</v>
      </c>
      <c r="H492" s="31">
        <v>268.92</v>
      </c>
      <c r="I492" s="39"/>
      <c r="J492" s="31">
        <f t="shared" ref="J492:J497" si="61">H492*(1-$I$4)</f>
        <v>268.92</v>
      </c>
      <c r="K492" s="33">
        <f t="shared" ref="K492:K497" si="62">ROUND(G492*J492,2)</f>
        <v>7185.54</v>
      </c>
      <c r="L492" s="34" t="s">
        <v>28</v>
      </c>
      <c r="M492" s="35"/>
      <c r="N492" s="3">
        <v>1</v>
      </c>
      <c r="O492" s="21">
        <v>172.07</v>
      </c>
      <c r="P492" s="22" t="s">
        <v>372</v>
      </c>
      <c r="Q492" s="38"/>
      <c r="R492" s="38"/>
    </row>
    <row r="493" s="3" customFormat="1" ht="60" customHeight="1" outlineLevel="2" spans="1:18">
      <c r="A493" s="41">
        <f t="shared" si="60"/>
        <v>2</v>
      </c>
      <c r="B493" s="28" t="s">
        <v>142</v>
      </c>
      <c r="C493" s="28" t="s">
        <v>143</v>
      </c>
      <c r="D493" s="28" t="s">
        <v>98</v>
      </c>
      <c r="E493" s="28" t="s">
        <v>26</v>
      </c>
      <c r="F493" s="29" t="s">
        <v>27</v>
      </c>
      <c r="G493" s="30">
        <v>2.58</v>
      </c>
      <c r="H493" s="31">
        <v>472.71</v>
      </c>
      <c r="I493" s="39"/>
      <c r="J493" s="31">
        <f t="shared" si="61"/>
        <v>472.71</v>
      </c>
      <c r="K493" s="33">
        <f t="shared" si="62"/>
        <v>1219.59</v>
      </c>
      <c r="L493" s="34" t="s">
        <v>28</v>
      </c>
      <c r="M493" s="35"/>
      <c r="N493" s="3">
        <v>1</v>
      </c>
      <c r="O493" s="21">
        <v>384.56</v>
      </c>
      <c r="P493" s="22" t="s">
        <v>144</v>
      </c>
      <c r="Q493" s="38"/>
      <c r="R493" s="38"/>
    </row>
    <row r="494" s="3" customFormat="1" ht="48" customHeight="1" outlineLevel="2" spans="1:18">
      <c r="A494" s="41">
        <f t="shared" si="60"/>
        <v>3</v>
      </c>
      <c r="B494" s="28" t="s">
        <v>104</v>
      </c>
      <c r="C494" s="28" t="s">
        <v>105</v>
      </c>
      <c r="D494" s="28" t="s">
        <v>98</v>
      </c>
      <c r="E494" s="28" t="s">
        <v>99</v>
      </c>
      <c r="F494" s="29" t="s">
        <v>39</v>
      </c>
      <c r="G494" s="30">
        <v>2.4</v>
      </c>
      <c r="H494" s="31">
        <v>109.74</v>
      </c>
      <c r="I494" s="39"/>
      <c r="J494" s="31">
        <f t="shared" si="61"/>
        <v>109.74</v>
      </c>
      <c r="K494" s="33">
        <f t="shared" si="62"/>
        <v>263.38</v>
      </c>
      <c r="L494" s="34" t="s">
        <v>28</v>
      </c>
      <c r="M494" s="35"/>
      <c r="N494" s="3">
        <v>1</v>
      </c>
      <c r="O494" s="21">
        <v>108.2</v>
      </c>
      <c r="P494" s="22" t="s">
        <v>106</v>
      </c>
      <c r="Q494" s="38"/>
      <c r="R494" s="38"/>
    </row>
    <row r="495" s="3" customFormat="1" ht="48" customHeight="1" outlineLevel="2" spans="1:18">
      <c r="A495" s="41">
        <f t="shared" si="60"/>
        <v>4</v>
      </c>
      <c r="B495" s="28" t="s">
        <v>96</v>
      </c>
      <c r="C495" s="28" t="s">
        <v>97</v>
      </c>
      <c r="D495" s="28" t="s">
        <v>98</v>
      </c>
      <c r="E495" s="28" t="s">
        <v>99</v>
      </c>
      <c r="F495" s="29" t="s">
        <v>39</v>
      </c>
      <c r="G495" s="30">
        <v>7.84</v>
      </c>
      <c r="H495" s="31">
        <v>112.16</v>
      </c>
      <c r="I495" s="39"/>
      <c r="J495" s="31">
        <f t="shared" si="61"/>
        <v>112.16</v>
      </c>
      <c r="K495" s="33">
        <f t="shared" si="62"/>
        <v>879.33</v>
      </c>
      <c r="L495" s="34" t="s">
        <v>28</v>
      </c>
      <c r="M495" s="35"/>
      <c r="N495" s="3">
        <v>1</v>
      </c>
      <c r="O495" s="21">
        <v>79.3</v>
      </c>
      <c r="P495" s="22" t="s">
        <v>100</v>
      </c>
      <c r="Q495" s="38"/>
      <c r="R495" s="38"/>
    </row>
    <row r="496" s="3" customFormat="1" ht="48" customHeight="1" outlineLevel="2" spans="1:18">
      <c r="A496" s="41">
        <f t="shared" si="60"/>
        <v>5</v>
      </c>
      <c r="B496" s="28" t="s">
        <v>101</v>
      </c>
      <c r="C496" s="28" t="s">
        <v>102</v>
      </c>
      <c r="D496" s="28" t="s">
        <v>98</v>
      </c>
      <c r="E496" s="28" t="s">
        <v>99</v>
      </c>
      <c r="F496" s="29" t="s">
        <v>39</v>
      </c>
      <c r="G496" s="30">
        <v>7.84</v>
      </c>
      <c r="H496" s="31">
        <v>75.82</v>
      </c>
      <c r="I496" s="39"/>
      <c r="J496" s="31">
        <f t="shared" si="61"/>
        <v>75.82</v>
      </c>
      <c r="K496" s="33">
        <f t="shared" si="62"/>
        <v>594.43</v>
      </c>
      <c r="L496" s="34" t="s">
        <v>28</v>
      </c>
      <c r="M496" s="35"/>
      <c r="N496" s="3">
        <v>1</v>
      </c>
      <c r="O496" s="21">
        <v>203.56</v>
      </c>
      <c r="P496" s="22" t="s">
        <v>103</v>
      </c>
      <c r="Q496" s="38"/>
      <c r="R496" s="38"/>
    </row>
    <row r="497" s="3" customFormat="1" ht="132" customHeight="1" outlineLevel="2" spans="1:18">
      <c r="A497" s="41">
        <f t="shared" si="60"/>
        <v>6</v>
      </c>
      <c r="B497" s="28" t="s">
        <v>107</v>
      </c>
      <c r="C497" s="28" t="s">
        <v>108</v>
      </c>
      <c r="D497" s="28" t="s">
        <v>109</v>
      </c>
      <c r="E497" s="28" t="s">
        <v>110</v>
      </c>
      <c r="F497" s="29" t="s">
        <v>27</v>
      </c>
      <c r="G497" s="30">
        <v>32.83</v>
      </c>
      <c r="H497" s="31">
        <v>152.22</v>
      </c>
      <c r="I497" s="39"/>
      <c r="J497" s="31">
        <f t="shared" si="61"/>
        <v>152.22</v>
      </c>
      <c r="K497" s="33">
        <f t="shared" si="62"/>
        <v>4997.38</v>
      </c>
      <c r="L497" s="34" t="s">
        <v>28</v>
      </c>
      <c r="M497" s="35"/>
      <c r="N497" s="3">
        <v>1</v>
      </c>
      <c r="O497" s="21">
        <v>151.58</v>
      </c>
      <c r="P497" s="22" t="s">
        <v>111</v>
      </c>
      <c r="Q497" s="38"/>
      <c r="R497" s="38"/>
    </row>
    <row r="498" s="3" customFormat="1" outlineLevel="1" spans="1:18">
      <c r="A498" s="40"/>
      <c r="B498" s="28" t="s">
        <v>112</v>
      </c>
      <c r="C498" s="28"/>
      <c r="D498" s="28"/>
      <c r="E498" s="28"/>
      <c r="F498" s="29"/>
      <c r="G498" s="30"/>
      <c r="H498" s="31"/>
      <c r="I498" s="39"/>
      <c r="J498" s="31"/>
      <c r="K498" s="33"/>
      <c r="L498" s="34"/>
      <c r="M498" s="35"/>
      <c r="O498" s="36"/>
      <c r="P498" s="37"/>
      <c r="Q498" s="38"/>
      <c r="R498" s="38"/>
    </row>
    <row r="499" s="3" customFormat="1" ht="60" customHeight="1" outlineLevel="2" spans="1:18">
      <c r="A499" s="41">
        <f>1+N(A498)</f>
        <v>1</v>
      </c>
      <c r="B499" s="28" t="s">
        <v>134</v>
      </c>
      <c r="C499" s="28" t="s">
        <v>114</v>
      </c>
      <c r="D499" s="28" t="s">
        <v>98</v>
      </c>
      <c r="E499" s="28" t="s">
        <v>115</v>
      </c>
      <c r="F499" s="29" t="s">
        <v>27</v>
      </c>
      <c r="G499" s="30">
        <v>2.72</v>
      </c>
      <c r="H499" s="31">
        <v>962.68</v>
      </c>
      <c r="I499" s="39"/>
      <c r="J499" s="31">
        <f>H499*(1-$I$4)</f>
        <v>962.68</v>
      </c>
      <c r="K499" s="33">
        <f>ROUND(G499*J499,2)</f>
        <v>2618.49</v>
      </c>
      <c r="L499" s="34" t="s">
        <v>28</v>
      </c>
      <c r="M499" s="35"/>
      <c r="N499" s="3">
        <v>1</v>
      </c>
      <c r="O499" s="21">
        <v>665.69</v>
      </c>
      <c r="P499" s="22" t="s">
        <v>116</v>
      </c>
      <c r="Q499" s="38"/>
      <c r="R499" s="38"/>
    </row>
    <row r="500" s="3" customFormat="1" ht="60" customHeight="1" outlineLevel="2" spans="1:18">
      <c r="A500" s="41">
        <f>1+N(A499)</f>
        <v>2</v>
      </c>
      <c r="B500" s="28" t="s">
        <v>373</v>
      </c>
      <c r="C500" s="28" t="s">
        <v>114</v>
      </c>
      <c r="D500" s="28" t="s">
        <v>98</v>
      </c>
      <c r="E500" s="28" t="s">
        <v>115</v>
      </c>
      <c r="F500" s="29" t="s">
        <v>27</v>
      </c>
      <c r="G500" s="30">
        <v>3.4</v>
      </c>
      <c r="H500" s="31">
        <v>962.68</v>
      </c>
      <c r="I500" s="39"/>
      <c r="J500" s="31">
        <f>H500*(1-$I$4)</f>
        <v>962.68</v>
      </c>
      <c r="K500" s="33">
        <f>ROUND(G500*J500,2)</f>
        <v>3273.11</v>
      </c>
      <c r="L500" s="34" t="s">
        <v>28</v>
      </c>
      <c r="M500" s="35"/>
      <c r="N500" s="3">
        <v>1</v>
      </c>
      <c r="O500" s="21">
        <v>572.19</v>
      </c>
      <c r="P500" s="22" t="s">
        <v>374</v>
      </c>
      <c r="Q500" s="38"/>
      <c r="R500" s="38"/>
    </row>
    <row r="501" s="3" customFormat="1" outlineLevel="1" spans="1:18">
      <c r="A501" s="27" t="s">
        <v>123</v>
      </c>
      <c r="B501" s="28" t="s">
        <v>375</v>
      </c>
      <c r="C501" s="28"/>
      <c r="D501" s="28"/>
      <c r="E501" s="28"/>
      <c r="F501" s="29"/>
      <c r="G501" s="30"/>
      <c r="H501" s="31"/>
      <c r="I501" s="39"/>
      <c r="J501" s="31"/>
      <c r="K501" s="33"/>
      <c r="L501" s="34"/>
      <c r="M501" s="35"/>
      <c r="O501" s="36"/>
      <c r="P501" s="37"/>
      <c r="Q501" s="38"/>
      <c r="R501" s="38"/>
    </row>
    <row r="502" s="3" customFormat="1" outlineLevel="1" spans="1:18">
      <c r="A502" s="40"/>
      <c r="B502" s="28" t="s">
        <v>22</v>
      </c>
      <c r="C502" s="28"/>
      <c r="D502" s="28"/>
      <c r="E502" s="28"/>
      <c r="F502" s="29"/>
      <c r="G502" s="30"/>
      <c r="H502" s="31"/>
      <c r="I502" s="39"/>
      <c r="J502" s="31"/>
      <c r="K502" s="33"/>
      <c r="L502" s="34"/>
      <c r="M502" s="35"/>
      <c r="O502" s="36"/>
      <c r="P502" s="37"/>
      <c r="Q502" s="38"/>
      <c r="R502" s="38"/>
    </row>
    <row r="503" s="3" customFormat="1" ht="84" customHeight="1" outlineLevel="2" spans="1:18">
      <c r="A503" s="41">
        <f>1+N(A502)</f>
        <v>1</v>
      </c>
      <c r="B503" s="28" t="s">
        <v>376</v>
      </c>
      <c r="C503" s="28" t="s">
        <v>377</v>
      </c>
      <c r="D503" s="28" t="s">
        <v>25</v>
      </c>
      <c r="E503" s="28" t="s">
        <v>26</v>
      </c>
      <c r="F503" s="29" t="s">
        <v>27</v>
      </c>
      <c r="G503" s="30">
        <v>17.86</v>
      </c>
      <c r="H503" s="31">
        <v>430.15</v>
      </c>
      <c r="I503" s="39"/>
      <c r="J503" s="31">
        <f>H503*(1-$I$4)</f>
        <v>430.15</v>
      </c>
      <c r="K503" s="33">
        <f>ROUND(G503*J503,2)</f>
        <v>7682.48</v>
      </c>
      <c r="L503" s="34" t="s">
        <v>28</v>
      </c>
      <c r="M503" s="35"/>
      <c r="N503" s="3">
        <v>1</v>
      </c>
      <c r="O503" s="21">
        <v>335.94</v>
      </c>
      <c r="P503" s="22" t="s">
        <v>378</v>
      </c>
      <c r="Q503" s="38"/>
      <c r="R503" s="38"/>
    </row>
    <row r="504" s="3" customFormat="1" outlineLevel="1" spans="1:18">
      <c r="A504" s="40"/>
      <c r="B504" s="28" t="s">
        <v>44</v>
      </c>
      <c r="C504" s="28"/>
      <c r="D504" s="28"/>
      <c r="E504" s="28"/>
      <c r="F504" s="29"/>
      <c r="G504" s="30"/>
      <c r="H504" s="31"/>
      <c r="I504" s="39"/>
      <c r="J504" s="31"/>
      <c r="K504" s="33"/>
      <c r="L504" s="34"/>
      <c r="M504" s="35"/>
      <c r="O504" s="36"/>
      <c r="P504" s="37"/>
      <c r="Q504" s="38"/>
      <c r="R504" s="38"/>
    </row>
    <row r="505" s="3" customFormat="1" outlineLevel="1" spans="1:18">
      <c r="A505" s="40"/>
      <c r="B505" s="28" t="s">
        <v>90</v>
      </c>
      <c r="C505" s="28"/>
      <c r="D505" s="28"/>
      <c r="E505" s="28"/>
      <c r="F505" s="29"/>
      <c r="G505" s="30"/>
      <c r="H505" s="31"/>
      <c r="I505" s="39"/>
      <c r="J505" s="31"/>
      <c r="K505" s="33"/>
      <c r="L505" s="34"/>
      <c r="M505" s="35"/>
      <c r="O505" s="36"/>
      <c r="P505" s="37"/>
      <c r="Q505" s="38"/>
      <c r="R505" s="38"/>
    </row>
    <row r="506" s="3" customFormat="1" ht="132" customHeight="1" outlineLevel="2" spans="1:18">
      <c r="A506" s="41">
        <f>1+N(A505)</f>
        <v>1</v>
      </c>
      <c r="B506" s="28" t="s">
        <v>379</v>
      </c>
      <c r="C506" s="28" t="s">
        <v>380</v>
      </c>
      <c r="D506" s="28" t="s">
        <v>109</v>
      </c>
      <c r="E506" s="28" t="s">
        <v>110</v>
      </c>
      <c r="F506" s="29" t="s">
        <v>27</v>
      </c>
      <c r="G506" s="30">
        <v>17.86</v>
      </c>
      <c r="H506" s="31">
        <v>48.32</v>
      </c>
      <c r="I506" s="39"/>
      <c r="J506" s="31">
        <f>H506*(1-$I$4)</f>
        <v>48.32</v>
      </c>
      <c r="K506" s="33">
        <f>ROUND(G506*J506,2)</f>
        <v>863</v>
      </c>
      <c r="L506" s="34" t="s">
        <v>28</v>
      </c>
      <c r="M506" s="35"/>
      <c r="N506" s="3">
        <v>1</v>
      </c>
      <c r="O506" s="21">
        <v>44.88</v>
      </c>
      <c r="P506" s="22" t="s">
        <v>160</v>
      </c>
      <c r="Q506" s="38"/>
      <c r="R506" s="38"/>
    </row>
    <row r="507" s="3" customFormat="1" outlineLevel="1" spans="1:18">
      <c r="A507" s="40"/>
      <c r="B507" s="28" t="s">
        <v>112</v>
      </c>
      <c r="C507" s="28"/>
      <c r="D507" s="28"/>
      <c r="E507" s="28"/>
      <c r="F507" s="29"/>
      <c r="G507" s="30"/>
      <c r="H507" s="31"/>
      <c r="I507" s="39"/>
      <c r="J507" s="31"/>
      <c r="K507" s="33"/>
      <c r="L507" s="34"/>
      <c r="M507" s="35"/>
      <c r="O507" s="36"/>
      <c r="P507" s="37"/>
      <c r="Q507" s="38"/>
      <c r="R507" s="38"/>
    </row>
    <row r="508" s="3" customFormat="1" outlineLevel="1" spans="1:18">
      <c r="A508" s="27" t="s">
        <v>135</v>
      </c>
      <c r="B508" s="28" t="s">
        <v>381</v>
      </c>
      <c r="C508" s="28"/>
      <c r="D508" s="28"/>
      <c r="E508" s="28"/>
      <c r="F508" s="29"/>
      <c r="G508" s="30"/>
      <c r="H508" s="31"/>
      <c r="I508" s="39"/>
      <c r="J508" s="31"/>
      <c r="K508" s="33"/>
      <c r="L508" s="34"/>
      <c r="M508" s="35"/>
      <c r="O508" s="36"/>
      <c r="P508" s="37"/>
      <c r="Q508" s="38"/>
      <c r="R508" s="38"/>
    </row>
    <row r="509" s="3" customFormat="1" outlineLevel="1" spans="1:18">
      <c r="A509" s="40"/>
      <c r="B509" s="28" t="s">
        <v>22</v>
      </c>
      <c r="C509" s="28"/>
      <c r="D509" s="28"/>
      <c r="E509" s="28"/>
      <c r="F509" s="29"/>
      <c r="G509" s="30"/>
      <c r="H509" s="31"/>
      <c r="I509" s="39"/>
      <c r="J509" s="31"/>
      <c r="K509" s="33"/>
      <c r="L509" s="34"/>
      <c r="M509" s="35"/>
      <c r="O509" s="36"/>
      <c r="P509" s="37"/>
      <c r="Q509" s="38"/>
      <c r="R509" s="38"/>
    </row>
    <row r="510" s="3" customFormat="1" ht="108" customHeight="1" outlineLevel="2" spans="1:18">
      <c r="A510" s="41">
        <f t="shared" ref="A510:A515" si="63">1+N(A509)</f>
        <v>1</v>
      </c>
      <c r="B510" s="28" t="s">
        <v>219</v>
      </c>
      <c r="C510" s="28" t="s">
        <v>220</v>
      </c>
      <c r="D510" s="28" t="s">
        <v>221</v>
      </c>
      <c r="E510" s="28" t="s">
        <v>222</v>
      </c>
      <c r="F510" s="29" t="s">
        <v>27</v>
      </c>
      <c r="G510" s="30">
        <v>25.33</v>
      </c>
      <c r="H510" s="31">
        <v>155.95</v>
      </c>
      <c r="I510" s="39"/>
      <c r="J510" s="31">
        <f t="shared" ref="J510:J515" si="64">H510*(1-$I$4)</f>
        <v>155.95</v>
      </c>
      <c r="K510" s="33">
        <f t="shared" ref="K510:K515" si="65">ROUND(G510*J510,2)</f>
        <v>3950.21</v>
      </c>
      <c r="L510" s="34" t="s">
        <v>28</v>
      </c>
      <c r="M510" s="35"/>
      <c r="N510" s="3">
        <v>1</v>
      </c>
      <c r="O510" s="21">
        <v>95.61</v>
      </c>
      <c r="P510" s="22" t="s">
        <v>223</v>
      </c>
      <c r="Q510" s="38"/>
      <c r="R510" s="38"/>
    </row>
    <row r="511" s="3" customFormat="1" ht="156" customHeight="1" outlineLevel="2" spans="1:18">
      <c r="A511" s="41">
        <f t="shared" si="63"/>
        <v>2</v>
      </c>
      <c r="B511" s="28" t="s">
        <v>224</v>
      </c>
      <c r="C511" s="28" t="s">
        <v>225</v>
      </c>
      <c r="D511" s="28" t="s">
        <v>194</v>
      </c>
      <c r="E511" s="28" t="s">
        <v>195</v>
      </c>
      <c r="F511" s="29" t="s">
        <v>27</v>
      </c>
      <c r="G511" s="30">
        <v>25.33</v>
      </c>
      <c r="H511" s="31">
        <v>50.86</v>
      </c>
      <c r="I511" s="39"/>
      <c r="J511" s="31">
        <f t="shared" si="64"/>
        <v>50.86</v>
      </c>
      <c r="K511" s="33">
        <f t="shared" si="65"/>
        <v>1288.28</v>
      </c>
      <c r="L511" s="34" t="s">
        <v>28</v>
      </c>
      <c r="M511" s="35"/>
      <c r="N511" s="3">
        <v>1</v>
      </c>
      <c r="O511" s="21">
        <v>33.77</v>
      </c>
      <c r="P511" s="22" t="s">
        <v>226</v>
      </c>
      <c r="Q511" s="38"/>
      <c r="R511" s="38"/>
    </row>
    <row r="512" s="3" customFormat="1" ht="84" customHeight="1" outlineLevel="2" spans="1:18">
      <c r="A512" s="41">
        <f t="shared" si="63"/>
        <v>3</v>
      </c>
      <c r="B512" s="28" t="s">
        <v>227</v>
      </c>
      <c r="C512" s="28" t="s">
        <v>228</v>
      </c>
      <c r="D512" s="28" t="s">
        <v>229</v>
      </c>
      <c r="E512" s="28" t="s">
        <v>230</v>
      </c>
      <c r="F512" s="29" t="s">
        <v>27</v>
      </c>
      <c r="G512" s="30">
        <v>25.33</v>
      </c>
      <c r="H512" s="31">
        <v>17.7</v>
      </c>
      <c r="I512" s="39"/>
      <c r="J512" s="31">
        <f t="shared" si="64"/>
        <v>17.7</v>
      </c>
      <c r="K512" s="33">
        <f t="shared" si="65"/>
        <v>448.34</v>
      </c>
      <c r="L512" s="34" t="s">
        <v>28</v>
      </c>
      <c r="M512" s="35"/>
      <c r="N512" s="3">
        <v>1</v>
      </c>
      <c r="O512" s="21">
        <v>68.4</v>
      </c>
      <c r="P512" s="22" t="s">
        <v>231</v>
      </c>
      <c r="Q512" s="38"/>
      <c r="R512" s="38"/>
    </row>
    <row r="513" s="3" customFormat="1" ht="120" customHeight="1" outlineLevel="2" spans="1:18">
      <c r="A513" s="41">
        <f t="shared" si="63"/>
        <v>4</v>
      </c>
      <c r="B513" s="28" t="s">
        <v>232</v>
      </c>
      <c r="C513" s="28" t="s">
        <v>233</v>
      </c>
      <c r="D513" s="28" t="s">
        <v>234</v>
      </c>
      <c r="E513" s="28" t="s">
        <v>235</v>
      </c>
      <c r="F513" s="29" t="s">
        <v>27</v>
      </c>
      <c r="G513" s="30">
        <v>25.33</v>
      </c>
      <c r="H513" s="31">
        <v>55.87</v>
      </c>
      <c r="I513" s="39"/>
      <c r="J513" s="31">
        <f t="shared" si="64"/>
        <v>55.87</v>
      </c>
      <c r="K513" s="33">
        <f t="shared" si="65"/>
        <v>1415.19</v>
      </c>
      <c r="L513" s="34" t="s">
        <v>28</v>
      </c>
      <c r="M513" s="35"/>
      <c r="N513" s="3">
        <v>1</v>
      </c>
      <c r="O513" s="21">
        <v>94.38</v>
      </c>
      <c r="P513" s="22" t="s">
        <v>236</v>
      </c>
      <c r="Q513" s="38"/>
      <c r="R513" s="38"/>
    </row>
    <row r="514" s="3" customFormat="1" ht="108" customHeight="1" outlineLevel="2" spans="1:18">
      <c r="A514" s="41">
        <f t="shared" si="63"/>
        <v>5</v>
      </c>
      <c r="B514" s="28" t="s">
        <v>23</v>
      </c>
      <c r="C514" s="28" t="s">
        <v>24</v>
      </c>
      <c r="D514" s="28" t="s">
        <v>25</v>
      </c>
      <c r="E514" s="28" t="s">
        <v>26</v>
      </c>
      <c r="F514" s="29" t="s">
        <v>27</v>
      </c>
      <c r="G514" s="30">
        <v>25.33</v>
      </c>
      <c r="H514" s="31">
        <v>940.91</v>
      </c>
      <c r="I514" s="39"/>
      <c r="J514" s="31">
        <f t="shared" si="64"/>
        <v>940.91</v>
      </c>
      <c r="K514" s="33">
        <f t="shared" si="65"/>
        <v>23833.25</v>
      </c>
      <c r="L514" s="34" t="s">
        <v>28</v>
      </c>
      <c r="M514" s="35"/>
      <c r="N514" s="3">
        <v>1</v>
      </c>
      <c r="O514" s="21">
        <v>886.6</v>
      </c>
      <c r="P514" s="22" t="s">
        <v>29</v>
      </c>
      <c r="Q514" s="38"/>
      <c r="R514" s="38"/>
    </row>
    <row r="515" s="3" customFormat="1" ht="72" customHeight="1" outlineLevel="2" spans="1:18">
      <c r="A515" s="41">
        <f t="shared" si="63"/>
        <v>6</v>
      </c>
      <c r="B515" s="28" t="s">
        <v>41</v>
      </c>
      <c r="C515" s="28" t="s">
        <v>42</v>
      </c>
      <c r="D515" s="28" t="s">
        <v>25</v>
      </c>
      <c r="E515" s="28" t="s">
        <v>26</v>
      </c>
      <c r="F515" s="29" t="s">
        <v>27</v>
      </c>
      <c r="G515" s="30">
        <v>25.33</v>
      </c>
      <c r="H515" s="31">
        <v>64.9</v>
      </c>
      <c r="I515" s="39"/>
      <c r="J515" s="31">
        <f t="shared" si="64"/>
        <v>64.9</v>
      </c>
      <c r="K515" s="33">
        <f t="shared" si="65"/>
        <v>1643.92</v>
      </c>
      <c r="L515" s="34" t="s">
        <v>28</v>
      </c>
      <c r="M515" s="35"/>
      <c r="N515" s="3">
        <v>1</v>
      </c>
      <c r="O515" s="21">
        <v>61.38</v>
      </c>
      <c r="P515" s="22" t="s">
        <v>43</v>
      </c>
      <c r="Q515" s="38"/>
      <c r="R515" s="38"/>
    </row>
    <row r="516" s="3" customFormat="1" outlineLevel="1" spans="1:18">
      <c r="A516" s="40"/>
      <c r="B516" s="28" t="s">
        <v>44</v>
      </c>
      <c r="C516" s="28"/>
      <c r="D516" s="28"/>
      <c r="E516" s="28"/>
      <c r="F516" s="29"/>
      <c r="G516" s="30"/>
      <c r="H516" s="31"/>
      <c r="I516" s="39"/>
      <c r="J516" s="31"/>
      <c r="K516" s="33"/>
      <c r="L516" s="34"/>
      <c r="M516" s="35"/>
      <c r="O516" s="36"/>
      <c r="P516" s="37"/>
      <c r="Q516" s="38"/>
      <c r="R516" s="38"/>
    </row>
    <row r="517" s="3" customFormat="1" ht="156" customHeight="1" outlineLevel="2" spans="1:18">
      <c r="A517" s="41">
        <f t="shared" ref="A517:A524" si="66">1+N(A516)</f>
        <v>1</v>
      </c>
      <c r="B517" s="28" t="s">
        <v>382</v>
      </c>
      <c r="C517" s="28" t="s">
        <v>383</v>
      </c>
      <c r="D517" s="28" t="s">
        <v>52</v>
      </c>
      <c r="E517" s="28" t="s">
        <v>48</v>
      </c>
      <c r="F517" s="29" t="s">
        <v>27</v>
      </c>
      <c r="G517" s="30">
        <v>3.46</v>
      </c>
      <c r="H517" s="31">
        <v>824.82</v>
      </c>
      <c r="I517" s="39"/>
      <c r="J517" s="31">
        <f t="shared" ref="J517:J524" si="67">H517*(1-$I$4)</f>
        <v>824.82</v>
      </c>
      <c r="K517" s="33">
        <f t="shared" ref="K517:K524" si="68">ROUND(G517*J517,2)</f>
        <v>2853.88</v>
      </c>
      <c r="L517" s="34" t="s">
        <v>28</v>
      </c>
      <c r="M517" s="35"/>
      <c r="N517" s="3">
        <v>1</v>
      </c>
      <c r="O517" s="21">
        <v>983.46</v>
      </c>
      <c r="P517" s="22" t="s">
        <v>384</v>
      </c>
      <c r="Q517" s="38"/>
      <c r="R517" s="38"/>
    </row>
    <row r="518" s="3" customFormat="1" ht="120" customHeight="1" outlineLevel="2" spans="1:18">
      <c r="A518" s="41">
        <f t="shared" si="66"/>
        <v>2</v>
      </c>
      <c r="B518" s="28" t="s">
        <v>385</v>
      </c>
      <c r="C518" s="28" t="s">
        <v>386</v>
      </c>
      <c r="D518" s="28" t="s">
        <v>52</v>
      </c>
      <c r="E518" s="28" t="s">
        <v>63</v>
      </c>
      <c r="F518" s="29" t="s">
        <v>27</v>
      </c>
      <c r="G518" s="30">
        <v>14.81</v>
      </c>
      <c r="H518" s="31">
        <v>935.15</v>
      </c>
      <c r="I518" s="39"/>
      <c r="J518" s="31">
        <f t="shared" si="67"/>
        <v>935.15</v>
      </c>
      <c r="K518" s="33">
        <f t="shared" si="68"/>
        <v>13849.57</v>
      </c>
      <c r="L518" s="34" t="s">
        <v>28</v>
      </c>
      <c r="M518" s="35"/>
      <c r="N518" s="3">
        <v>1</v>
      </c>
      <c r="O518" s="21">
        <v>735.46</v>
      </c>
      <c r="P518" s="22" t="s">
        <v>387</v>
      </c>
      <c r="Q518" s="38"/>
      <c r="R518" s="38"/>
    </row>
    <row r="519" s="3" customFormat="1" ht="96" customHeight="1" outlineLevel="2" spans="1:18">
      <c r="A519" s="41">
        <f t="shared" si="66"/>
        <v>3</v>
      </c>
      <c r="B519" s="28" t="s">
        <v>388</v>
      </c>
      <c r="C519" s="28" t="s">
        <v>389</v>
      </c>
      <c r="D519" s="28" t="s">
        <v>59</v>
      </c>
      <c r="E519" s="28" t="s">
        <v>390</v>
      </c>
      <c r="F519" s="29" t="s">
        <v>27</v>
      </c>
      <c r="G519" s="30">
        <v>71.74</v>
      </c>
      <c r="H519" s="31">
        <v>729.8</v>
      </c>
      <c r="I519" s="39"/>
      <c r="J519" s="31">
        <f t="shared" si="67"/>
        <v>729.8</v>
      </c>
      <c r="K519" s="33">
        <f t="shared" si="68"/>
        <v>52355.85</v>
      </c>
      <c r="L519" s="34" t="s">
        <v>28</v>
      </c>
      <c r="M519" s="35"/>
      <c r="N519" s="3">
        <v>1</v>
      </c>
      <c r="O519" s="21">
        <v>650.32</v>
      </c>
      <c r="P519" s="22" t="s">
        <v>391</v>
      </c>
      <c r="Q519" s="38"/>
      <c r="R519" s="38"/>
    </row>
    <row r="520" s="3" customFormat="1" ht="96" customHeight="1" outlineLevel="2" spans="1:18">
      <c r="A520" s="41">
        <f t="shared" si="66"/>
        <v>4</v>
      </c>
      <c r="B520" s="28" t="s">
        <v>237</v>
      </c>
      <c r="C520" s="28" t="s">
        <v>392</v>
      </c>
      <c r="D520" s="28" t="s">
        <v>47</v>
      </c>
      <c r="E520" s="28" t="s">
        <v>48</v>
      </c>
      <c r="F520" s="29" t="s">
        <v>27</v>
      </c>
      <c r="G520" s="30">
        <v>13.74</v>
      </c>
      <c r="H520" s="31">
        <v>411.58</v>
      </c>
      <c r="I520" s="39"/>
      <c r="J520" s="31">
        <f t="shared" si="67"/>
        <v>411.58</v>
      </c>
      <c r="K520" s="33">
        <f t="shared" si="68"/>
        <v>5655.11</v>
      </c>
      <c r="L520" s="34" t="s">
        <v>28</v>
      </c>
      <c r="M520" s="35"/>
      <c r="N520" s="3">
        <v>1</v>
      </c>
      <c r="O520" s="21">
        <v>208.45</v>
      </c>
      <c r="P520" s="22" t="s">
        <v>393</v>
      </c>
      <c r="Q520" s="38"/>
      <c r="R520" s="38"/>
    </row>
    <row r="521" s="3" customFormat="1" ht="120" customHeight="1" outlineLevel="2" spans="1:18">
      <c r="A521" s="41">
        <f t="shared" si="66"/>
        <v>5</v>
      </c>
      <c r="B521" s="28" t="s">
        <v>240</v>
      </c>
      <c r="C521" s="28" t="s">
        <v>241</v>
      </c>
      <c r="D521" s="28" t="s">
        <v>234</v>
      </c>
      <c r="E521" s="28" t="s">
        <v>235</v>
      </c>
      <c r="F521" s="29" t="s">
        <v>27</v>
      </c>
      <c r="G521" s="30">
        <v>119.89</v>
      </c>
      <c r="H521" s="31">
        <v>55.87</v>
      </c>
      <c r="I521" s="39"/>
      <c r="J521" s="31">
        <f t="shared" si="67"/>
        <v>55.87</v>
      </c>
      <c r="K521" s="33">
        <f t="shared" si="68"/>
        <v>6698.25</v>
      </c>
      <c r="L521" s="34" t="s">
        <v>28</v>
      </c>
      <c r="M521" s="35"/>
      <c r="N521" s="3">
        <v>1</v>
      </c>
      <c r="O521" s="21">
        <v>45.13</v>
      </c>
      <c r="P521" s="22" t="s">
        <v>242</v>
      </c>
      <c r="Q521" s="38"/>
      <c r="R521" s="38"/>
    </row>
    <row r="522" s="3" customFormat="1" ht="120" customHeight="1" outlineLevel="2" spans="1:18">
      <c r="A522" s="41">
        <f t="shared" si="66"/>
        <v>6</v>
      </c>
      <c r="B522" s="28" t="s">
        <v>61</v>
      </c>
      <c r="C522" s="28" t="s">
        <v>62</v>
      </c>
      <c r="D522" s="28" t="s">
        <v>52</v>
      </c>
      <c r="E522" s="28" t="s">
        <v>63</v>
      </c>
      <c r="F522" s="29" t="s">
        <v>27</v>
      </c>
      <c r="G522" s="30">
        <v>1.51</v>
      </c>
      <c r="H522" s="31">
        <v>630.65</v>
      </c>
      <c r="I522" s="39"/>
      <c r="J522" s="31">
        <f t="shared" si="67"/>
        <v>630.65</v>
      </c>
      <c r="K522" s="33">
        <f t="shared" si="68"/>
        <v>952.28</v>
      </c>
      <c r="L522" s="34" t="s">
        <v>28</v>
      </c>
      <c r="M522" s="35"/>
      <c r="N522" s="3">
        <v>1</v>
      </c>
      <c r="O522" s="21">
        <v>681.67</v>
      </c>
      <c r="P522" s="22" t="s">
        <v>64</v>
      </c>
      <c r="Q522" s="38"/>
      <c r="R522" s="38"/>
    </row>
    <row r="523" s="3" customFormat="1" ht="96" customHeight="1" outlineLevel="2" spans="1:18">
      <c r="A523" s="41">
        <f t="shared" si="66"/>
        <v>7</v>
      </c>
      <c r="B523" s="28" t="s">
        <v>75</v>
      </c>
      <c r="C523" s="28" t="s">
        <v>76</v>
      </c>
      <c r="D523" s="28" t="s">
        <v>59</v>
      </c>
      <c r="E523" s="28" t="s">
        <v>38</v>
      </c>
      <c r="F523" s="29" t="s">
        <v>39</v>
      </c>
      <c r="G523" s="30">
        <v>26.75</v>
      </c>
      <c r="H523" s="31">
        <v>67.08</v>
      </c>
      <c r="I523" s="39"/>
      <c r="J523" s="31">
        <f t="shared" si="67"/>
        <v>67.08</v>
      </c>
      <c r="K523" s="33">
        <f t="shared" si="68"/>
        <v>1794.39</v>
      </c>
      <c r="L523" s="34" t="s">
        <v>28</v>
      </c>
      <c r="M523" s="35"/>
      <c r="N523" s="3">
        <v>1</v>
      </c>
      <c r="O523" s="21">
        <v>45.71</v>
      </c>
      <c r="P523" s="22" t="s">
        <v>77</v>
      </c>
      <c r="Q523" s="38"/>
      <c r="R523" s="38"/>
    </row>
    <row r="524" s="3" customFormat="1" ht="60" customHeight="1" outlineLevel="2" spans="1:18">
      <c r="A524" s="41">
        <f t="shared" si="66"/>
        <v>8</v>
      </c>
      <c r="B524" s="28" t="s">
        <v>311</v>
      </c>
      <c r="C524" s="28" t="s">
        <v>312</v>
      </c>
      <c r="D524" s="28" t="s">
        <v>98</v>
      </c>
      <c r="E524" s="28" t="s">
        <v>115</v>
      </c>
      <c r="F524" s="29" t="s">
        <v>27</v>
      </c>
      <c r="G524" s="30">
        <v>1.19</v>
      </c>
      <c r="H524" s="31">
        <v>630.65</v>
      </c>
      <c r="I524" s="39"/>
      <c r="J524" s="31">
        <f t="shared" si="67"/>
        <v>630.65</v>
      </c>
      <c r="K524" s="33">
        <f t="shared" si="68"/>
        <v>750.47</v>
      </c>
      <c r="L524" s="34" t="s">
        <v>28</v>
      </c>
      <c r="M524" s="35"/>
      <c r="N524" s="3">
        <v>1</v>
      </c>
      <c r="O524" s="21">
        <v>681.67</v>
      </c>
      <c r="P524" s="22" t="s">
        <v>64</v>
      </c>
      <c r="Q524" s="38"/>
      <c r="R524" s="38"/>
    </row>
    <row r="525" s="3" customFormat="1" outlineLevel="1" spans="1:18">
      <c r="A525" s="40"/>
      <c r="B525" s="28" t="s">
        <v>90</v>
      </c>
      <c r="C525" s="28"/>
      <c r="D525" s="28"/>
      <c r="E525" s="28"/>
      <c r="F525" s="29"/>
      <c r="G525" s="30"/>
      <c r="H525" s="31"/>
      <c r="I525" s="39"/>
      <c r="J525" s="31"/>
      <c r="K525" s="33"/>
      <c r="L525" s="34"/>
      <c r="M525" s="35"/>
      <c r="O525" s="36"/>
      <c r="P525" s="37"/>
      <c r="Q525" s="38"/>
      <c r="R525" s="38"/>
    </row>
    <row r="526" s="3" customFormat="1" ht="168" customHeight="1" outlineLevel="2" spans="1:18">
      <c r="A526" s="41">
        <f>1+N(A525)</f>
        <v>1</v>
      </c>
      <c r="B526" s="28" t="s">
        <v>91</v>
      </c>
      <c r="C526" s="28" t="s">
        <v>92</v>
      </c>
      <c r="D526" s="28" t="s">
        <v>93</v>
      </c>
      <c r="E526" s="28" t="s">
        <v>94</v>
      </c>
      <c r="F526" s="29" t="s">
        <v>27</v>
      </c>
      <c r="G526" s="30">
        <v>25.33</v>
      </c>
      <c r="H526" s="31">
        <v>174.57</v>
      </c>
      <c r="I526" s="39"/>
      <c r="J526" s="31">
        <f>H526*(1-$I$4)</f>
        <v>174.57</v>
      </c>
      <c r="K526" s="33">
        <f>ROUND(G526*J526,2)</f>
        <v>4421.86</v>
      </c>
      <c r="L526" s="34" t="s">
        <v>28</v>
      </c>
      <c r="M526" s="35"/>
      <c r="N526" s="3">
        <v>1</v>
      </c>
      <c r="O526" s="21">
        <v>150.38</v>
      </c>
      <c r="P526" s="22" t="s">
        <v>95</v>
      </c>
      <c r="Q526" s="38"/>
      <c r="R526" s="38"/>
    </row>
    <row r="527" s="3" customFormat="1" ht="48" customHeight="1" outlineLevel="2" spans="1:18">
      <c r="A527" s="41">
        <f>1+N(A526)</f>
        <v>2</v>
      </c>
      <c r="B527" s="28" t="s">
        <v>96</v>
      </c>
      <c r="C527" s="28" t="s">
        <v>97</v>
      </c>
      <c r="D527" s="28" t="s">
        <v>98</v>
      </c>
      <c r="E527" s="28" t="s">
        <v>99</v>
      </c>
      <c r="F527" s="29" t="s">
        <v>39</v>
      </c>
      <c r="G527" s="30">
        <v>12.08</v>
      </c>
      <c r="H527" s="31">
        <v>112.16</v>
      </c>
      <c r="I527" s="39"/>
      <c r="J527" s="31">
        <f>H527*(1-$I$4)</f>
        <v>112.16</v>
      </c>
      <c r="K527" s="33">
        <f>ROUND(G527*J527,2)</f>
        <v>1354.89</v>
      </c>
      <c r="L527" s="34" t="s">
        <v>28</v>
      </c>
      <c r="M527" s="35"/>
      <c r="N527" s="3">
        <v>1</v>
      </c>
      <c r="O527" s="21">
        <v>79.3</v>
      </c>
      <c r="P527" s="22" t="s">
        <v>100</v>
      </c>
      <c r="Q527" s="38"/>
      <c r="R527" s="38"/>
    </row>
    <row r="528" s="3" customFormat="1" ht="48" customHeight="1" outlineLevel="2" spans="1:18">
      <c r="A528" s="41">
        <f>1+N(A527)</f>
        <v>3</v>
      </c>
      <c r="B528" s="28" t="s">
        <v>394</v>
      </c>
      <c r="C528" s="28" t="s">
        <v>395</v>
      </c>
      <c r="D528" s="28" t="s">
        <v>98</v>
      </c>
      <c r="E528" s="28" t="s">
        <v>99</v>
      </c>
      <c r="F528" s="29" t="s">
        <v>39</v>
      </c>
      <c r="G528" s="30">
        <v>9.52</v>
      </c>
      <c r="H528" s="31">
        <v>109.74</v>
      </c>
      <c r="I528" s="39"/>
      <c r="J528" s="31">
        <f>H528*(1-$I$4)</f>
        <v>109.74</v>
      </c>
      <c r="K528" s="33">
        <f>ROUND(G528*J528,2)</f>
        <v>1044.72</v>
      </c>
      <c r="L528" s="34" t="s">
        <v>28</v>
      </c>
      <c r="M528" s="35"/>
      <c r="N528" s="3">
        <v>1</v>
      </c>
      <c r="O528" s="21">
        <v>108.2</v>
      </c>
      <c r="P528" s="22" t="s">
        <v>106</v>
      </c>
      <c r="Q528" s="38"/>
      <c r="R528" s="38"/>
    </row>
    <row r="529" s="3" customFormat="1" ht="132" customHeight="1" outlineLevel="2" spans="1:18">
      <c r="A529" s="41">
        <f>1+N(A528)</f>
        <v>4</v>
      </c>
      <c r="B529" s="28" t="s">
        <v>158</v>
      </c>
      <c r="C529" s="28" t="s">
        <v>159</v>
      </c>
      <c r="D529" s="28" t="s">
        <v>109</v>
      </c>
      <c r="E529" s="28" t="s">
        <v>110</v>
      </c>
      <c r="F529" s="29" t="s">
        <v>27</v>
      </c>
      <c r="G529" s="30">
        <v>28.96</v>
      </c>
      <c r="H529" s="31">
        <v>48.32</v>
      </c>
      <c r="I529" s="39"/>
      <c r="J529" s="31">
        <f>H529*(1-$I$4)</f>
        <v>48.32</v>
      </c>
      <c r="K529" s="33">
        <f>ROUND(G529*J529,2)</f>
        <v>1399.35</v>
      </c>
      <c r="L529" s="34" t="s">
        <v>28</v>
      </c>
      <c r="M529" s="35"/>
      <c r="N529" s="3">
        <v>1</v>
      </c>
      <c r="O529" s="21">
        <v>44.88</v>
      </c>
      <c r="P529" s="22" t="s">
        <v>160</v>
      </c>
      <c r="Q529" s="38"/>
      <c r="R529" s="38"/>
    </row>
    <row r="530" s="3" customFormat="1" outlineLevel="1" spans="1:18">
      <c r="A530" s="40"/>
      <c r="B530" s="28" t="s">
        <v>396</v>
      </c>
      <c r="C530" s="28"/>
      <c r="D530" s="28"/>
      <c r="E530" s="28"/>
      <c r="F530" s="29"/>
      <c r="G530" s="30"/>
      <c r="H530" s="31"/>
      <c r="I530" s="39"/>
      <c r="J530" s="31"/>
      <c r="K530" s="33"/>
      <c r="L530" s="34"/>
      <c r="M530" s="35"/>
      <c r="O530" s="36"/>
      <c r="P530" s="37"/>
      <c r="Q530" s="38"/>
      <c r="R530" s="38"/>
    </row>
    <row r="531" s="3" customFormat="1" ht="84" customHeight="1" outlineLevel="2" spans="1:18">
      <c r="A531" s="41">
        <f>1+N(A530)</f>
        <v>1</v>
      </c>
      <c r="B531" s="28" t="s">
        <v>397</v>
      </c>
      <c r="C531" s="28" t="s">
        <v>398</v>
      </c>
      <c r="D531" s="28" t="s">
        <v>98</v>
      </c>
      <c r="E531" s="28" t="s">
        <v>115</v>
      </c>
      <c r="F531" s="29" t="s">
        <v>27</v>
      </c>
      <c r="G531" s="30">
        <v>6.8</v>
      </c>
      <c r="H531" s="31">
        <v>2447.18</v>
      </c>
      <c r="I531" s="39"/>
      <c r="J531" s="31">
        <f>H531*(1-$I$4)</f>
        <v>2447.18</v>
      </c>
      <c r="K531" s="33">
        <f>ROUND(G531*J531,2)</f>
        <v>16640.82</v>
      </c>
      <c r="L531" s="34" t="s">
        <v>28</v>
      </c>
      <c r="M531" s="35"/>
      <c r="N531" s="3">
        <v>1</v>
      </c>
      <c r="O531" s="21">
        <v>1565.85</v>
      </c>
      <c r="P531" s="22" t="s">
        <v>399</v>
      </c>
      <c r="Q531" s="38"/>
      <c r="R531" s="38"/>
    </row>
    <row r="532" s="3" customFormat="1" ht="72" customHeight="1" outlineLevel="2" spans="1:18">
      <c r="A532" s="41">
        <f>1+N(A531)</f>
        <v>2</v>
      </c>
      <c r="B532" s="28" t="s">
        <v>400</v>
      </c>
      <c r="C532" s="28" t="s">
        <v>401</v>
      </c>
      <c r="D532" s="28" t="s">
        <v>98</v>
      </c>
      <c r="E532" s="28" t="s">
        <v>115</v>
      </c>
      <c r="F532" s="29" t="s">
        <v>27</v>
      </c>
      <c r="G532" s="30">
        <v>2.21</v>
      </c>
      <c r="H532" s="31">
        <v>1785.2</v>
      </c>
      <c r="I532" s="39"/>
      <c r="J532" s="31">
        <f>H532*(1-$I$4)</f>
        <v>1785.2</v>
      </c>
      <c r="K532" s="33">
        <f>ROUND(G532*J532,2)</f>
        <v>3945.29</v>
      </c>
      <c r="L532" s="34" t="s">
        <v>28</v>
      </c>
      <c r="M532" s="35"/>
      <c r="N532" s="3">
        <v>1</v>
      </c>
      <c r="O532" s="21">
        <v>1565.85</v>
      </c>
      <c r="P532" s="22" t="s">
        <v>402</v>
      </c>
      <c r="Q532" s="38"/>
      <c r="R532" s="38"/>
    </row>
    <row r="533" s="3" customFormat="1" ht="120" customHeight="1" outlineLevel="2" spans="1:18">
      <c r="A533" s="41">
        <f>1+N(A532)</f>
        <v>3</v>
      </c>
      <c r="B533" s="28" t="s">
        <v>403</v>
      </c>
      <c r="C533" s="28" t="s">
        <v>404</v>
      </c>
      <c r="D533" s="28" t="s">
        <v>98</v>
      </c>
      <c r="E533" s="28" t="s">
        <v>115</v>
      </c>
      <c r="F533" s="29" t="s">
        <v>175</v>
      </c>
      <c r="G533" s="30">
        <v>2</v>
      </c>
      <c r="H533" s="31">
        <v>14160.87</v>
      </c>
      <c r="I533" s="39"/>
      <c r="J533" s="31">
        <f>H533*(1-$I$4)</f>
        <v>14160.87</v>
      </c>
      <c r="K533" s="33">
        <f>ROUND(G533*J533,2)</f>
        <v>28321.74</v>
      </c>
      <c r="L533" s="34" t="s">
        <v>28</v>
      </c>
      <c r="M533" s="35"/>
      <c r="N533" s="3">
        <v>1</v>
      </c>
      <c r="O533" s="21">
        <v>6134.55</v>
      </c>
      <c r="P533" s="22" t="s">
        <v>405</v>
      </c>
      <c r="Q533" s="38"/>
      <c r="R533" s="38"/>
    </row>
    <row r="534" s="3" customFormat="1" ht="48" customHeight="1" outlineLevel="2" spans="1:18">
      <c r="A534" s="41">
        <f>1+N(A533)</f>
        <v>4</v>
      </c>
      <c r="B534" s="28" t="s">
        <v>406</v>
      </c>
      <c r="C534" s="28" t="s">
        <v>407</v>
      </c>
      <c r="D534" s="28" t="s">
        <v>98</v>
      </c>
      <c r="E534" s="28" t="s">
        <v>115</v>
      </c>
      <c r="F534" s="29" t="s">
        <v>27</v>
      </c>
      <c r="G534" s="30">
        <v>36.69</v>
      </c>
      <c r="H534" s="31">
        <v>1250.8</v>
      </c>
      <c r="I534" s="39"/>
      <c r="J534" s="31">
        <f>H534*(1-$I$4)</f>
        <v>1250.8</v>
      </c>
      <c r="K534" s="33">
        <f>ROUND(G534*J534,2)</f>
        <v>45891.85</v>
      </c>
      <c r="L534" s="34" t="s">
        <v>28</v>
      </c>
      <c r="M534" s="35"/>
      <c r="N534" s="3">
        <v>1</v>
      </c>
      <c r="O534" s="21">
        <v>944.63</v>
      </c>
      <c r="P534" s="22" t="s">
        <v>408</v>
      </c>
      <c r="Q534" s="38"/>
      <c r="R534" s="38"/>
    </row>
    <row r="535" s="3" customFormat="1" ht="84" customHeight="1" outlineLevel="2" spans="1:18">
      <c r="A535" s="41">
        <f>1+N(A534)</f>
        <v>5</v>
      </c>
      <c r="B535" s="28" t="s">
        <v>409</v>
      </c>
      <c r="C535" s="28" t="s">
        <v>410</v>
      </c>
      <c r="D535" s="28" t="s">
        <v>98</v>
      </c>
      <c r="E535" s="28" t="s">
        <v>115</v>
      </c>
      <c r="F535" s="29" t="s">
        <v>27</v>
      </c>
      <c r="G535" s="30">
        <v>0.86</v>
      </c>
      <c r="H535" s="31">
        <v>3215.5</v>
      </c>
      <c r="I535" s="39"/>
      <c r="J535" s="31">
        <f>H535*(1-$I$4)</f>
        <v>3215.5</v>
      </c>
      <c r="K535" s="33">
        <f>ROUND(G535*J535,2)</f>
        <v>2765.33</v>
      </c>
      <c r="L535" s="34" t="s">
        <v>28</v>
      </c>
      <c r="M535" s="35"/>
      <c r="N535" s="3">
        <v>1</v>
      </c>
      <c r="O535" s="21">
        <v>854.7</v>
      </c>
      <c r="P535" s="22" t="s">
        <v>411</v>
      </c>
      <c r="Q535" s="38"/>
      <c r="R535" s="38"/>
    </row>
    <row r="536" s="3" customFormat="1" outlineLevel="1" spans="1:18">
      <c r="A536" s="27" t="s">
        <v>151</v>
      </c>
      <c r="B536" s="28" t="s">
        <v>412</v>
      </c>
      <c r="C536" s="28"/>
      <c r="D536" s="28"/>
      <c r="E536" s="28"/>
      <c r="F536" s="29"/>
      <c r="G536" s="30"/>
      <c r="H536" s="31"/>
      <c r="I536" s="39"/>
      <c r="J536" s="31"/>
      <c r="K536" s="33"/>
      <c r="L536" s="34"/>
      <c r="M536" s="35"/>
      <c r="O536" s="36"/>
      <c r="P536" s="37"/>
      <c r="Q536" s="38"/>
      <c r="R536" s="38"/>
    </row>
    <row r="537" s="3" customFormat="1" outlineLevel="1" spans="1:18">
      <c r="A537" s="40"/>
      <c r="B537" s="28" t="s">
        <v>22</v>
      </c>
      <c r="C537" s="28"/>
      <c r="D537" s="28"/>
      <c r="E537" s="28"/>
      <c r="F537" s="29"/>
      <c r="G537" s="30"/>
      <c r="H537" s="31"/>
      <c r="I537" s="39"/>
      <c r="J537" s="31"/>
      <c r="K537" s="33"/>
      <c r="L537" s="34"/>
      <c r="M537" s="35"/>
      <c r="O537" s="36"/>
      <c r="P537" s="37"/>
      <c r="Q537" s="38"/>
      <c r="R537" s="38"/>
    </row>
    <row r="538" s="3" customFormat="1" ht="120" customHeight="1" outlineLevel="2" spans="1:18">
      <c r="A538" s="41">
        <f>1+N(A537)</f>
        <v>1</v>
      </c>
      <c r="B538" s="28" t="s">
        <v>23</v>
      </c>
      <c r="C538" s="28" t="s">
        <v>331</v>
      </c>
      <c r="D538" s="28" t="s">
        <v>25</v>
      </c>
      <c r="E538" s="28" t="s">
        <v>26</v>
      </c>
      <c r="F538" s="29" t="s">
        <v>27</v>
      </c>
      <c r="G538" s="30">
        <v>252.64</v>
      </c>
      <c r="H538" s="31">
        <v>940.91</v>
      </c>
      <c r="I538" s="39"/>
      <c r="J538" s="31">
        <f>H538*(1-$I$4)</f>
        <v>940.91</v>
      </c>
      <c r="K538" s="33">
        <f>ROUND(G538*J538,2)</f>
        <v>237711.5</v>
      </c>
      <c r="L538" s="34" t="s">
        <v>28</v>
      </c>
      <c r="M538" s="35"/>
      <c r="N538" s="3">
        <v>1</v>
      </c>
      <c r="O538" s="21">
        <v>1135.86</v>
      </c>
      <c r="P538" s="22" t="s">
        <v>332</v>
      </c>
      <c r="Q538" s="38"/>
      <c r="R538" s="38"/>
    </row>
    <row r="539" s="3" customFormat="1" ht="156" customHeight="1" outlineLevel="2" spans="1:18">
      <c r="A539" s="41">
        <f>1+N(A538)</f>
        <v>2</v>
      </c>
      <c r="B539" s="28" t="s">
        <v>192</v>
      </c>
      <c r="C539" s="28" t="s">
        <v>413</v>
      </c>
      <c r="D539" s="28" t="s">
        <v>194</v>
      </c>
      <c r="E539" s="28" t="s">
        <v>195</v>
      </c>
      <c r="F539" s="29" t="s">
        <v>27</v>
      </c>
      <c r="G539" s="30">
        <v>10.84</v>
      </c>
      <c r="H539" s="31">
        <v>78.51</v>
      </c>
      <c r="I539" s="39"/>
      <c r="J539" s="31">
        <f>H539*(1-$I$4)</f>
        <v>78.51</v>
      </c>
      <c r="K539" s="33">
        <f>ROUND(G539*J539,2)</f>
        <v>851.05</v>
      </c>
      <c r="L539" s="34" t="s">
        <v>28</v>
      </c>
      <c r="M539" s="35"/>
      <c r="N539" s="3">
        <v>1</v>
      </c>
      <c r="O539" s="21">
        <v>65.78</v>
      </c>
      <c r="P539" s="22" t="s">
        <v>248</v>
      </c>
      <c r="Q539" s="38"/>
      <c r="R539" s="38"/>
    </row>
    <row r="540" s="3" customFormat="1" ht="72" customHeight="1" outlineLevel="2" spans="1:18">
      <c r="A540" s="41">
        <f>1+N(A539)</f>
        <v>3</v>
      </c>
      <c r="B540" s="28" t="s">
        <v>36</v>
      </c>
      <c r="C540" s="28" t="s">
        <v>37</v>
      </c>
      <c r="D540" s="28" t="s">
        <v>25</v>
      </c>
      <c r="E540" s="28" t="s">
        <v>38</v>
      </c>
      <c r="F540" s="29" t="s">
        <v>39</v>
      </c>
      <c r="G540" s="30">
        <v>11.88</v>
      </c>
      <c r="H540" s="31">
        <v>89.27</v>
      </c>
      <c r="I540" s="39"/>
      <c r="J540" s="31">
        <f>H540*(1-$I$4)</f>
        <v>89.27</v>
      </c>
      <c r="K540" s="33">
        <f>ROUND(G540*J540,2)</f>
        <v>1060.53</v>
      </c>
      <c r="L540" s="34" t="s">
        <v>28</v>
      </c>
      <c r="M540" s="35"/>
      <c r="N540" s="3">
        <v>1</v>
      </c>
      <c r="O540" s="21">
        <v>35.28</v>
      </c>
      <c r="P540" s="22" t="s">
        <v>40</v>
      </c>
      <c r="Q540" s="38"/>
      <c r="R540" s="38"/>
    </row>
    <row r="541" s="3" customFormat="1" ht="72" customHeight="1" outlineLevel="2" spans="1:18">
      <c r="A541" s="41">
        <f>1+N(A540)</f>
        <v>4</v>
      </c>
      <c r="B541" s="28" t="s">
        <v>41</v>
      </c>
      <c r="C541" s="28" t="s">
        <v>42</v>
      </c>
      <c r="D541" s="28" t="s">
        <v>25</v>
      </c>
      <c r="E541" s="28" t="s">
        <v>26</v>
      </c>
      <c r="F541" s="29" t="s">
        <v>27</v>
      </c>
      <c r="G541" s="30">
        <v>252.64</v>
      </c>
      <c r="H541" s="31">
        <v>64.9</v>
      </c>
      <c r="I541" s="39"/>
      <c r="J541" s="31">
        <f>H541*(1-$I$4)</f>
        <v>64.9</v>
      </c>
      <c r="K541" s="33">
        <f>ROUND(G541*J541,2)</f>
        <v>16396.34</v>
      </c>
      <c r="L541" s="34" t="s">
        <v>28</v>
      </c>
      <c r="M541" s="35"/>
      <c r="N541" s="3">
        <v>1</v>
      </c>
      <c r="O541" s="21">
        <v>61.38</v>
      </c>
      <c r="P541" s="22" t="s">
        <v>43</v>
      </c>
      <c r="Q541" s="38"/>
      <c r="R541" s="38"/>
    </row>
    <row r="542" s="3" customFormat="1" outlineLevel="1" spans="1:18">
      <c r="A542" s="40"/>
      <c r="B542" s="28" t="s">
        <v>44</v>
      </c>
      <c r="C542" s="28"/>
      <c r="D542" s="28"/>
      <c r="E542" s="28"/>
      <c r="F542" s="29"/>
      <c r="G542" s="30"/>
      <c r="H542" s="31"/>
      <c r="I542" s="39"/>
      <c r="J542" s="31"/>
      <c r="K542" s="33"/>
      <c r="L542" s="34"/>
      <c r="M542" s="35"/>
      <c r="O542" s="36"/>
      <c r="P542" s="37"/>
      <c r="Q542" s="38"/>
      <c r="R542" s="38"/>
    </row>
    <row r="543" s="3" customFormat="1" ht="156" customHeight="1" outlineLevel="2" spans="1:18">
      <c r="A543" s="41">
        <f t="shared" ref="A543:A553" si="69">1+N(A542)</f>
        <v>1</v>
      </c>
      <c r="B543" s="28" t="s">
        <v>50</v>
      </c>
      <c r="C543" s="28" t="s">
        <v>338</v>
      </c>
      <c r="D543" s="28" t="s">
        <v>52</v>
      </c>
      <c r="E543" s="28" t="s">
        <v>48</v>
      </c>
      <c r="F543" s="29" t="s">
        <v>27</v>
      </c>
      <c r="G543" s="30">
        <v>289.98</v>
      </c>
      <c r="H543" s="31">
        <v>1020.9</v>
      </c>
      <c r="I543" s="39"/>
      <c r="J543" s="31">
        <f t="shared" ref="J543:J553" si="70">H543*(1-$I$4)</f>
        <v>1020.9</v>
      </c>
      <c r="K543" s="33">
        <f t="shared" ref="K543:K553" si="71">ROUND(G543*J543,2)</f>
        <v>296040.58</v>
      </c>
      <c r="L543" s="34" t="s">
        <v>28</v>
      </c>
      <c r="M543" s="35"/>
      <c r="N543" s="3">
        <v>1</v>
      </c>
      <c r="O543" s="21">
        <v>1029.66</v>
      </c>
      <c r="P543" s="22" t="s">
        <v>414</v>
      </c>
      <c r="Q543" s="38"/>
      <c r="R543" s="38"/>
    </row>
    <row r="544" s="3" customFormat="1" ht="168" customHeight="1" outlineLevel="2" spans="1:18">
      <c r="A544" s="41">
        <f t="shared" si="69"/>
        <v>2</v>
      </c>
      <c r="B544" s="28" t="s">
        <v>54</v>
      </c>
      <c r="C544" s="28" t="s">
        <v>340</v>
      </c>
      <c r="D544" s="28" t="s">
        <v>52</v>
      </c>
      <c r="E544" s="28" t="s">
        <v>48</v>
      </c>
      <c r="F544" s="29" t="s">
        <v>27</v>
      </c>
      <c r="G544" s="30">
        <v>40.79</v>
      </c>
      <c r="H544" s="31">
        <v>2016.38</v>
      </c>
      <c r="I544" s="39"/>
      <c r="J544" s="31">
        <f t="shared" si="70"/>
        <v>2016.38</v>
      </c>
      <c r="K544" s="33">
        <f t="shared" si="71"/>
        <v>82248.14</v>
      </c>
      <c r="L544" s="34" t="s">
        <v>28</v>
      </c>
      <c r="M544" s="35"/>
      <c r="N544" s="3">
        <v>1</v>
      </c>
      <c r="O544" s="21">
        <v>1174.03</v>
      </c>
      <c r="P544" s="22" t="s">
        <v>341</v>
      </c>
      <c r="Q544" s="38"/>
      <c r="R544" s="38"/>
    </row>
    <row r="545" s="3" customFormat="1" ht="120" customHeight="1" outlineLevel="2" spans="1:18">
      <c r="A545" s="41">
        <f t="shared" si="69"/>
        <v>3</v>
      </c>
      <c r="B545" s="28" t="s">
        <v>415</v>
      </c>
      <c r="C545" s="28" t="s">
        <v>416</v>
      </c>
      <c r="D545" s="28" t="s">
        <v>52</v>
      </c>
      <c r="E545" s="28" t="s">
        <v>63</v>
      </c>
      <c r="F545" s="29" t="s">
        <v>27</v>
      </c>
      <c r="G545" s="30">
        <v>18.76</v>
      </c>
      <c r="H545" s="31">
        <v>997.1</v>
      </c>
      <c r="I545" s="39"/>
      <c r="J545" s="31">
        <f t="shared" si="70"/>
        <v>997.1</v>
      </c>
      <c r="K545" s="33">
        <f t="shared" si="71"/>
        <v>18705.6</v>
      </c>
      <c r="L545" s="34" t="s">
        <v>28</v>
      </c>
      <c r="M545" s="35"/>
      <c r="N545" s="3">
        <v>1</v>
      </c>
      <c r="O545" s="21">
        <v>838.59</v>
      </c>
      <c r="P545" s="22" t="s">
        <v>417</v>
      </c>
      <c r="Q545" s="38"/>
      <c r="R545" s="38"/>
    </row>
    <row r="546" s="3" customFormat="1" ht="120" customHeight="1" outlineLevel="2" spans="1:18">
      <c r="A546" s="41">
        <f t="shared" si="69"/>
        <v>4</v>
      </c>
      <c r="B546" s="28" t="s">
        <v>342</v>
      </c>
      <c r="C546" s="28" t="s">
        <v>343</v>
      </c>
      <c r="D546" s="28" t="s">
        <v>52</v>
      </c>
      <c r="E546" s="28" t="s">
        <v>63</v>
      </c>
      <c r="F546" s="29" t="s">
        <v>27</v>
      </c>
      <c r="G546" s="30">
        <v>48.7</v>
      </c>
      <c r="H546" s="31">
        <v>1071.44</v>
      </c>
      <c r="I546" s="39"/>
      <c r="J546" s="31">
        <f t="shared" si="70"/>
        <v>1071.44</v>
      </c>
      <c r="K546" s="33">
        <f t="shared" si="71"/>
        <v>52179.13</v>
      </c>
      <c r="L546" s="34" t="s">
        <v>28</v>
      </c>
      <c r="M546" s="35"/>
      <c r="N546" s="3">
        <v>1</v>
      </c>
      <c r="O546" s="21">
        <v>1670.19</v>
      </c>
      <c r="P546" s="22" t="s">
        <v>418</v>
      </c>
      <c r="Q546" s="38"/>
      <c r="R546" s="38"/>
    </row>
    <row r="547" s="3" customFormat="1" ht="96" customHeight="1" outlineLevel="2" spans="1:18">
      <c r="A547" s="41">
        <f t="shared" si="69"/>
        <v>5</v>
      </c>
      <c r="B547" s="28" t="s">
        <v>202</v>
      </c>
      <c r="C547" s="28" t="s">
        <v>203</v>
      </c>
      <c r="D547" s="28" t="s">
        <v>59</v>
      </c>
      <c r="E547" s="28" t="s">
        <v>26</v>
      </c>
      <c r="F547" s="29" t="s">
        <v>27</v>
      </c>
      <c r="G547" s="30">
        <v>68.84</v>
      </c>
      <c r="H547" s="31">
        <v>311.52</v>
      </c>
      <c r="I547" s="39"/>
      <c r="J547" s="31">
        <f t="shared" si="70"/>
        <v>311.52</v>
      </c>
      <c r="K547" s="33">
        <f t="shared" si="71"/>
        <v>21445.04</v>
      </c>
      <c r="L547" s="34" t="s">
        <v>28</v>
      </c>
      <c r="M547" s="35"/>
      <c r="N547" s="3">
        <v>1</v>
      </c>
      <c r="O547" s="21">
        <v>277.53</v>
      </c>
      <c r="P547" s="22" t="s">
        <v>217</v>
      </c>
      <c r="Q547" s="38"/>
      <c r="R547" s="38"/>
    </row>
    <row r="548" s="3" customFormat="1" ht="96" customHeight="1" outlineLevel="2" spans="1:18">
      <c r="A548" s="41">
        <f t="shared" si="69"/>
        <v>6</v>
      </c>
      <c r="B548" s="28" t="s">
        <v>205</v>
      </c>
      <c r="C548" s="28" t="s">
        <v>345</v>
      </c>
      <c r="D548" s="28" t="s">
        <v>59</v>
      </c>
      <c r="E548" s="28" t="s">
        <v>207</v>
      </c>
      <c r="F548" s="29" t="s">
        <v>27</v>
      </c>
      <c r="G548" s="30">
        <v>17.91</v>
      </c>
      <c r="H548" s="31">
        <v>400.61</v>
      </c>
      <c r="I548" s="39"/>
      <c r="J548" s="31">
        <f t="shared" si="70"/>
        <v>400.61</v>
      </c>
      <c r="K548" s="33">
        <f t="shared" si="71"/>
        <v>7174.93</v>
      </c>
      <c r="L548" s="34" t="s">
        <v>28</v>
      </c>
      <c r="M548" s="35"/>
      <c r="N548" s="3">
        <v>1</v>
      </c>
      <c r="O548" s="21">
        <v>356.29</v>
      </c>
      <c r="P548" s="22" t="s">
        <v>419</v>
      </c>
      <c r="Q548" s="38"/>
      <c r="R548" s="38"/>
    </row>
    <row r="549" s="3" customFormat="1" ht="96" customHeight="1" outlineLevel="2" spans="1:18">
      <c r="A549" s="41">
        <f t="shared" si="69"/>
        <v>7</v>
      </c>
      <c r="B549" s="28" t="s">
        <v>420</v>
      </c>
      <c r="C549" s="28" t="s">
        <v>421</v>
      </c>
      <c r="D549" s="28" t="s">
        <v>59</v>
      </c>
      <c r="E549" s="28" t="s">
        <v>207</v>
      </c>
      <c r="F549" s="29" t="s">
        <v>27</v>
      </c>
      <c r="G549" s="30">
        <v>11.74</v>
      </c>
      <c r="H549" s="31">
        <v>3734.7</v>
      </c>
      <c r="I549" s="39"/>
      <c r="J549" s="31">
        <f t="shared" si="70"/>
        <v>3734.7</v>
      </c>
      <c r="K549" s="33">
        <f t="shared" si="71"/>
        <v>43845.38</v>
      </c>
      <c r="L549" s="34" t="s">
        <v>28</v>
      </c>
      <c r="M549" s="35"/>
      <c r="N549" s="3">
        <v>1</v>
      </c>
      <c r="O549" s="21">
        <v>433.95</v>
      </c>
      <c r="P549" s="22" t="s">
        <v>422</v>
      </c>
      <c r="Q549" s="38"/>
      <c r="R549" s="38"/>
    </row>
    <row r="550" s="3" customFormat="1" ht="96" customHeight="1" outlineLevel="2" spans="1:18">
      <c r="A550" s="41">
        <f t="shared" si="69"/>
        <v>8</v>
      </c>
      <c r="B550" s="28" t="s">
        <v>75</v>
      </c>
      <c r="C550" s="28" t="s">
        <v>76</v>
      </c>
      <c r="D550" s="28" t="s">
        <v>59</v>
      </c>
      <c r="E550" s="28" t="s">
        <v>38</v>
      </c>
      <c r="F550" s="29" t="s">
        <v>39</v>
      </c>
      <c r="G550" s="30">
        <v>126.53</v>
      </c>
      <c r="H550" s="31">
        <v>67.08</v>
      </c>
      <c r="I550" s="39"/>
      <c r="J550" s="31">
        <f t="shared" si="70"/>
        <v>67.08</v>
      </c>
      <c r="K550" s="33">
        <f t="shared" si="71"/>
        <v>8487.63</v>
      </c>
      <c r="L550" s="34" t="s">
        <v>28</v>
      </c>
      <c r="M550" s="35"/>
      <c r="N550" s="3">
        <v>1</v>
      </c>
      <c r="O550" s="21">
        <v>45.71</v>
      </c>
      <c r="P550" s="22" t="s">
        <v>77</v>
      </c>
      <c r="Q550" s="38"/>
      <c r="R550" s="38"/>
    </row>
    <row r="551" s="3" customFormat="1" ht="96" customHeight="1" outlineLevel="2" spans="1:18">
      <c r="A551" s="41">
        <f t="shared" si="69"/>
        <v>9</v>
      </c>
      <c r="B551" s="28" t="s">
        <v>423</v>
      </c>
      <c r="C551" s="28" t="s">
        <v>424</v>
      </c>
      <c r="D551" s="28" t="s">
        <v>59</v>
      </c>
      <c r="E551" s="28" t="s">
        <v>38</v>
      </c>
      <c r="F551" s="29" t="s">
        <v>39</v>
      </c>
      <c r="G551" s="30">
        <v>13.46</v>
      </c>
      <c r="H551" s="31">
        <v>72.67</v>
      </c>
      <c r="I551" s="39"/>
      <c r="J551" s="31">
        <f t="shared" si="70"/>
        <v>72.67</v>
      </c>
      <c r="K551" s="33">
        <f t="shared" si="71"/>
        <v>978.14</v>
      </c>
      <c r="L551" s="34" t="s">
        <v>28</v>
      </c>
      <c r="M551" s="35"/>
      <c r="N551" s="3">
        <v>1</v>
      </c>
      <c r="O551" s="21">
        <v>54.1</v>
      </c>
      <c r="P551" s="22" t="s">
        <v>425</v>
      </c>
      <c r="Q551" s="38"/>
      <c r="R551" s="38"/>
    </row>
    <row r="552" s="3" customFormat="1" ht="96" customHeight="1" outlineLevel="2" spans="1:18">
      <c r="A552" s="41">
        <f t="shared" si="69"/>
        <v>10</v>
      </c>
      <c r="B552" s="28" t="s">
        <v>426</v>
      </c>
      <c r="C552" s="28" t="s">
        <v>427</v>
      </c>
      <c r="D552" s="28" t="s">
        <v>59</v>
      </c>
      <c r="E552" s="28" t="s">
        <v>38</v>
      </c>
      <c r="F552" s="29" t="s">
        <v>39</v>
      </c>
      <c r="G552" s="30">
        <v>5.57</v>
      </c>
      <c r="H552" s="31">
        <v>110.19</v>
      </c>
      <c r="I552" s="39"/>
      <c r="J552" s="31">
        <f t="shared" si="70"/>
        <v>110.19</v>
      </c>
      <c r="K552" s="33">
        <f t="shared" si="71"/>
        <v>613.76</v>
      </c>
      <c r="L552" s="34" t="s">
        <v>28</v>
      </c>
      <c r="M552" s="35"/>
      <c r="N552" s="3">
        <v>1</v>
      </c>
      <c r="O552" s="21">
        <v>90.6</v>
      </c>
      <c r="P552" s="22" t="s">
        <v>428</v>
      </c>
      <c r="Q552" s="38"/>
      <c r="R552" s="38"/>
    </row>
    <row r="553" s="3" customFormat="1" ht="60" customHeight="1" outlineLevel="2" spans="1:18">
      <c r="A553" s="41">
        <f t="shared" si="69"/>
        <v>11</v>
      </c>
      <c r="B553" s="28" t="s">
        <v>311</v>
      </c>
      <c r="C553" s="28" t="s">
        <v>312</v>
      </c>
      <c r="D553" s="28" t="s">
        <v>98</v>
      </c>
      <c r="E553" s="28" t="s">
        <v>115</v>
      </c>
      <c r="F553" s="29" t="s">
        <v>27</v>
      </c>
      <c r="G553" s="30">
        <v>8.48</v>
      </c>
      <c r="H553" s="31">
        <v>630.65</v>
      </c>
      <c r="I553" s="39"/>
      <c r="J553" s="31">
        <f t="shared" si="70"/>
        <v>630.65</v>
      </c>
      <c r="K553" s="33">
        <f t="shared" si="71"/>
        <v>5347.91</v>
      </c>
      <c r="L553" s="34" t="s">
        <v>28</v>
      </c>
      <c r="M553" s="35"/>
      <c r="N553" s="3">
        <v>1</v>
      </c>
      <c r="O553" s="21">
        <v>681.67</v>
      </c>
      <c r="P553" s="22" t="s">
        <v>64</v>
      </c>
      <c r="Q553" s="38"/>
      <c r="R553" s="38"/>
    </row>
    <row r="554" s="3" customFormat="1" outlineLevel="1" spans="1:18">
      <c r="A554" s="40"/>
      <c r="B554" s="28" t="s">
        <v>90</v>
      </c>
      <c r="C554" s="28"/>
      <c r="D554" s="28"/>
      <c r="E554" s="28"/>
      <c r="F554" s="29"/>
      <c r="G554" s="30"/>
      <c r="H554" s="31"/>
      <c r="I554" s="39"/>
      <c r="J554" s="31"/>
      <c r="K554" s="33"/>
      <c r="L554" s="34"/>
      <c r="M554" s="35"/>
      <c r="O554" s="36"/>
      <c r="P554" s="37"/>
      <c r="Q554" s="38"/>
      <c r="R554" s="38"/>
    </row>
    <row r="555" s="3" customFormat="1" ht="168" customHeight="1" outlineLevel="2" spans="1:18">
      <c r="A555" s="41">
        <f t="shared" ref="A555:A563" si="72">1+N(A554)</f>
        <v>1</v>
      </c>
      <c r="B555" s="28" t="s">
        <v>91</v>
      </c>
      <c r="C555" s="28" t="s">
        <v>92</v>
      </c>
      <c r="D555" s="28" t="s">
        <v>93</v>
      </c>
      <c r="E555" s="28" t="s">
        <v>94</v>
      </c>
      <c r="F555" s="29" t="s">
        <v>27</v>
      </c>
      <c r="G555" s="30">
        <v>185.89</v>
      </c>
      <c r="H555" s="31">
        <v>174.57</v>
      </c>
      <c r="I555" s="39"/>
      <c r="J555" s="31">
        <f t="shared" ref="J555:J563" si="73">H555*(1-$I$4)</f>
        <v>174.57</v>
      </c>
      <c r="K555" s="33">
        <f t="shared" ref="K555:K563" si="74">ROUND(G555*J555,2)</f>
        <v>32450.82</v>
      </c>
      <c r="L555" s="34" t="s">
        <v>28</v>
      </c>
      <c r="M555" s="35"/>
      <c r="N555" s="3">
        <v>1</v>
      </c>
      <c r="O555" s="21">
        <v>150.38</v>
      </c>
      <c r="P555" s="22" t="s">
        <v>95</v>
      </c>
      <c r="Q555" s="38"/>
      <c r="R555" s="38"/>
    </row>
    <row r="556" s="3" customFormat="1" ht="168" customHeight="1" outlineLevel="2" spans="1:18">
      <c r="A556" s="41">
        <f t="shared" si="72"/>
        <v>2</v>
      </c>
      <c r="B556" s="28" t="s">
        <v>429</v>
      </c>
      <c r="C556" s="28" t="s">
        <v>430</v>
      </c>
      <c r="D556" s="28" t="s">
        <v>93</v>
      </c>
      <c r="E556" s="28" t="s">
        <v>94</v>
      </c>
      <c r="F556" s="29" t="s">
        <v>27</v>
      </c>
      <c r="G556" s="30">
        <v>62.59</v>
      </c>
      <c r="H556" s="31">
        <v>360.2</v>
      </c>
      <c r="I556" s="39"/>
      <c r="J556" s="31">
        <f t="shared" si="73"/>
        <v>360.2</v>
      </c>
      <c r="K556" s="33">
        <f t="shared" si="74"/>
        <v>22544.92</v>
      </c>
      <c r="L556" s="34" t="s">
        <v>28</v>
      </c>
      <c r="M556" s="35"/>
      <c r="N556" s="3">
        <v>1</v>
      </c>
      <c r="O556" s="21">
        <v>275.62</v>
      </c>
      <c r="P556" s="22" t="s">
        <v>431</v>
      </c>
      <c r="Q556" s="38"/>
      <c r="R556" s="38"/>
    </row>
    <row r="557" s="3" customFormat="1" ht="156" customHeight="1" outlineLevel="2" spans="1:18">
      <c r="A557" s="41">
        <f t="shared" si="72"/>
        <v>3</v>
      </c>
      <c r="B557" s="28" t="s">
        <v>351</v>
      </c>
      <c r="C557" s="28" t="s">
        <v>352</v>
      </c>
      <c r="D557" s="28" t="s">
        <v>353</v>
      </c>
      <c r="E557" s="28" t="s">
        <v>354</v>
      </c>
      <c r="F557" s="29" t="s">
        <v>27</v>
      </c>
      <c r="G557" s="30">
        <v>15</v>
      </c>
      <c r="H557" s="31">
        <v>506.22</v>
      </c>
      <c r="I557" s="39"/>
      <c r="J557" s="31">
        <f t="shared" si="73"/>
        <v>506.22</v>
      </c>
      <c r="K557" s="33">
        <f t="shared" si="74"/>
        <v>7593.3</v>
      </c>
      <c r="L557" s="34" t="s">
        <v>28</v>
      </c>
      <c r="M557" s="35"/>
      <c r="N557" s="3">
        <v>1</v>
      </c>
      <c r="O557" s="21">
        <v>476.3</v>
      </c>
      <c r="P557" s="22" t="s">
        <v>355</v>
      </c>
      <c r="Q557" s="38"/>
      <c r="R557" s="38"/>
    </row>
    <row r="558" s="3" customFormat="1" ht="48" customHeight="1" outlineLevel="2" spans="1:18">
      <c r="A558" s="41">
        <f t="shared" si="72"/>
        <v>4</v>
      </c>
      <c r="B558" s="28" t="s">
        <v>96</v>
      </c>
      <c r="C558" s="28" t="s">
        <v>97</v>
      </c>
      <c r="D558" s="28" t="s">
        <v>98</v>
      </c>
      <c r="E558" s="28" t="s">
        <v>99</v>
      </c>
      <c r="F558" s="29" t="s">
        <v>39</v>
      </c>
      <c r="G558" s="30">
        <v>52.4</v>
      </c>
      <c r="H558" s="31">
        <v>112.16</v>
      </c>
      <c r="I558" s="39"/>
      <c r="J558" s="31">
        <f t="shared" si="73"/>
        <v>112.16</v>
      </c>
      <c r="K558" s="33">
        <f t="shared" si="74"/>
        <v>5877.18</v>
      </c>
      <c r="L558" s="34" t="s">
        <v>28</v>
      </c>
      <c r="M558" s="35"/>
      <c r="N558" s="3">
        <v>1</v>
      </c>
      <c r="O558" s="21">
        <v>79.3</v>
      </c>
      <c r="P558" s="22" t="s">
        <v>100</v>
      </c>
      <c r="Q558" s="38"/>
      <c r="R558" s="38"/>
    </row>
    <row r="559" s="3" customFormat="1" ht="48" customHeight="1" outlineLevel="2" spans="1:18">
      <c r="A559" s="41">
        <f t="shared" si="72"/>
        <v>5</v>
      </c>
      <c r="B559" s="28" t="s">
        <v>101</v>
      </c>
      <c r="C559" s="28" t="s">
        <v>102</v>
      </c>
      <c r="D559" s="28" t="s">
        <v>98</v>
      </c>
      <c r="E559" s="28" t="s">
        <v>99</v>
      </c>
      <c r="F559" s="29" t="s">
        <v>39</v>
      </c>
      <c r="G559" s="30">
        <v>52.4</v>
      </c>
      <c r="H559" s="31">
        <v>75.82</v>
      </c>
      <c r="I559" s="39"/>
      <c r="J559" s="31">
        <f t="shared" si="73"/>
        <v>75.82</v>
      </c>
      <c r="K559" s="33">
        <f t="shared" si="74"/>
        <v>3972.97</v>
      </c>
      <c r="L559" s="34" t="s">
        <v>28</v>
      </c>
      <c r="M559" s="35"/>
      <c r="N559" s="3">
        <v>1</v>
      </c>
      <c r="O559" s="21">
        <v>203.56</v>
      </c>
      <c r="P559" s="22" t="s">
        <v>103</v>
      </c>
      <c r="Q559" s="38"/>
      <c r="R559" s="38"/>
    </row>
    <row r="560" s="3" customFormat="1" ht="60" customHeight="1" outlineLevel="2" spans="1:18">
      <c r="A560" s="41">
        <f t="shared" si="72"/>
        <v>6</v>
      </c>
      <c r="B560" s="28" t="s">
        <v>356</v>
      </c>
      <c r="C560" s="28" t="s">
        <v>357</v>
      </c>
      <c r="D560" s="28" t="s">
        <v>98</v>
      </c>
      <c r="E560" s="28" t="s">
        <v>99</v>
      </c>
      <c r="F560" s="29" t="s">
        <v>39</v>
      </c>
      <c r="G560" s="30">
        <v>17.4</v>
      </c>
      <c r="H560" s="31">
        <v>123.19</v>
      </c>
      <c r="I560" s="39"/>
      <c r="J560" s="31">
        <f t="shared" si="73"/>
        <v>123.19</v>
      </c>
      <c r="K560" s="33">
        <f t="shared" si="74"/>
        <v>2143.51</v>
      </c>
      <c r="L560" s="34" t="s">
        <v>28</v>
      </c>
      <c r="M560" s="35"/>
      <c r="N560" s="3">
        <v>1</v>
      </c>
      <c r="O560" s="21">
        <v>93.14</v>
      </c>
      <c r="P560" s="22" t="s">
        <v>358</v>
      </c>
      <c r="Q560" s="38"/>
      <c r="R560" s="38"/>
    </row>
    <row r="561" s="3" customFormat="1" ht="48" customHeight="1" outlineLevel="2" spans="1:18">
      <c r="A561" s="41">
        <f t="shared" si="72"/>
        <v>7</v>
      </c>
      <c r="B561" s="28" t="s">
        <v>104</v>
      </c>
      <c r="C561" s="28" t="s">
        <v>105</v>
      </c>
      <c r="D561" s="28" t="s">
        <v>98</v>
      </c>
      <c r="E561" s="28" t="s">
        <v>99</v>
      </c>
      <c r="F561" s="29" t="s">
        <v>39</v>
      </c>
      <c r="G561" s="30">
        <v>34.1</v>
      </c>
      <c r="H561" s="31">
        <v>109.74</v>
      </c>
      <c r="I561" s="39"/>
      <c r="J561" s="31">
        <f t="shared" si="73"/>
        <v>109.74</v>
      </c>
      <c r="K561" s="33">
        <f t="shared" si="74"/>
        <v>3742.13</v>
      </c>
      <c r="L561" s="34" t="s">
        <v>28</v>
      </c>
      <c r="M561" s="35"/>
      <c r="N561" s="3">
        <v>1</v>
      </c>
      <c r="O561" s="21">
        <v>108.2</v>
      </c>
      <c r="P561" s="22" t="s">
        <v>106</v>
      </c>
      <c r="Q561" s="38"/>
      <c r="R561" s="38"/>
    </row>
    <row r="562" s="3" customFormat="1" ht="132" customHeight="1" outlineLevel="2" spans="1:18">
      <c r="A562" s="41">
        <f t="shared" si="72"/>
        <v>8</v>
      </c>
      <c r="B562" s="28" t="s">
        <v>107</v>
      </c>
      <c r="C562" s="28" t="s">
        <v>108</v>
      </c>
      <c r="D562" s="28" t="s">
        <v>109</v>
      </c>
      <c r="E562" s="28" t="s">
        <v>110</v>
      </c>
      <c r="F562" s="29" t="s">
        <v>27</v>
      </c>
      <c r="G562" s="30">
        <v>289.29</v>
      </c>
      <c r="H562" s="31">
        <v>152.22</v>
      </c>
      <c r="I562" s="39"/>
      <c r="J562" s="31">
        <f t="shared" si="73"/>
        <v>152.22</v>
      </c>
      <c r="K562" s="33">
        <f t="shared" si="74"/>
        <v>44035.72</v>
      </c>
      <c r="L562" s="34" t="s">
        <v>28</v>
      </c>
      <c r="M562" s="35"/>
      <c r="N562" s="3">
        <v>1</v>
      </c>
      <c r="O562" s="21">
        <v>151.58</v>
      </c>
      <c r="P562" s="22" t="s">
        <v>111</v>
      </c>
      <c r="Q562" s="38"/>
      <c r="R562" s="38"/>
    </row>
    <row r="563" s="3" customFormat="1" ht="156" customHeight="1" outlineLevel="2" spans="1:18">
      <c r="A563" s="41">
        <f t="shared" si="72"/>
        <v>9</v>
      </c>
      <c r="B563" s="28" t="s">
        <v>359</v>
      </c>
      <c r="C563" s="28" t="s">
        <v>360</v>
      </c>
      <c r="D563" s="28" t="s">
        <v>353</v>
      </c>
      <c r="E563" s="28" t="s">
        <v>354</v>
      </c>
      <c r="F563" s="29" t="s">
        <v>27</v>
      </c>
      <c r="G563" s="30">
        <v>15</v>
      </c>
      <c r="H563" s="31">
        <v>31.39</v>
      </c>
      <c r="I563" s="39"/>
      <c r="J563" s="31">
        <f t="shared" si="73"/>
        <v>31.39</v>
      </c>
      <c r="K563" s="33">
        <f t="shared" si="74"/>
        <v>470.85</v>
      </c>
      <c r="L563" s="34" t="s">
        <v>28</v>
      </c>
      <c r="M563" s="35"/>
      <c r="N563" s="3">
        <v>1</v>
      </c>
      <c r="O563" s="21">
        <v>23.95</v>
      </c>
      <c r="P563" s="22" t="s">
        <v>361</v>
      </c>
      <c r="Q563" s="38"/>
      <c r="R563" s="38"/>
    </row>
    <row r="564" s="3" customFormat="1" outlineLevel="1" spans="1:18">
      <c r="A564" s="40"/>
      <c r="B564" s="28" t="s">
        <v>112</v>
      </c>
      <c r="C564" s="28"/>
      <c r="D564" s="28"/>
      <c r="E564" s="28"/>
      <c r="F564" s="29"/>
      <c r="G564" s="30"/>
      <c r="H564" s="31"/>
      <c r="I564" s="39"/>
      <c r="J564" s="31"/>
      <c r="K564" s="33"/>
      <c r="L564" s="34"/>
      <c r="M564" s="35"/>
      <c r="O564" s="36"/>
      <c r="P564" s="37"/>
      <c r="Q564" s="38"/>
      <c r="R564" s="38"/>
    </row>
    <row r="565" s="3" customFormat="1" ht="60" customHeight="1" outlineLevel="2" spans="1:18">
      <c r="A565" s="41">
        <f t="shared" ref="A565:A571" si="75">1+N(A564)</f>
        <v>1</v>
      </c>
      <c r="B565" s="28" t="s">
        <v>134</v>
      </c>
      <c r="C565" s="28" t="s">
        <v>114</v>
      </c>
      <c r="D565" s="28" t="s">
        <v>98</v>
      </c>
      <c r="E565" s="28" t="s">
        <v>115</v>
      </c>
      <c r="F565" s="29" t="s">
        <v>27</v>
      </c>
      <c r="G565" s="30">
        <v>2.72</v>
      </c>
      <c r="H565" s="31">
        <v>962.68</v>
      </c>
      <c r="I565" s="39"/>
      <c r="J565" s="31">
        <f t="shared" ref="J565:J571" si="76">H565*(1-$I$4)</f>
        <v>962.68</v>
      </c>
      <c r="K565" s="33">
        <f t="shared" ref="K565:K571" si="77">ROUND(G565*J565,2)</f>
        <v>2618.49</v>
      </c>
      <c r="L565" s="34" t="s">
        <v>28</v>
      </c>
      <c r="M565" s="35"/>
      <c r="N565" s="3">
        <v>1</v>
      </c>
      <c r="O565" s="21">
        <v>665.69</v>
      </c>
      <c r="P565" s="22" t="s">
        <v>116</v>
      </c>
      <c r="Q565" s="38"/>
      <c r="R565" s="38"/>
    </row>
    <row r="566" s="3" customFormat="1" ht="60" customHeight="1" outlineLevel="2" spans="1:18">
      <c r="A566" s="41">
        <f t="shared" si="75"/>
        <v>2</v>
      </c>
      <c r="B566" s="28" t="s">
        <v>432</v>
      </c>
      <c r="C566" s="28" t="s">
        <v>114</v>
      </c>
      <c r="D566" s="28" t="s">
        <v>98</v>
      </c>
      <c r="E566" s="28" t="s">
        <v>115</v>
      </c>
      <c r="F566" s="29" t="s">
        <v>27</v>
      </c>
      <c r="G566" s="30">
        <v>3.4</v>
      </c>
      <c r="H566" s="31">
        <v>962.68</v>
      </c>
      <c r="I566" s="39"/>
      <c r="J566" s="31">
        <f t="shared" si="76"/>
        <v>962.68</v>
      </c>
      <c r="K566" s="33">
        <f t="shared" si="77"/>
        <v>3273.11</v>
      </c>
      <c r="L566" s="34" t="s">
        <v>28</v>
      </c>
      <c r="M566" s="35"/>
      <c r="N566" s="3">
        <v>1</v>
      </c>
      <c r="O566" s="21">
        <v>572.19</v>
      </c>
      <c r="P566" s="22" t="s">
        <v>374</v>
      </c>
      <c r="Q566" s="38"/>
      <c r="R566" s="38"/>
    </row>
    <row r="567" s="3" customFormat="1" ht="72" customHeight="1" outlineLevel="2" spans="1:18">
      <c r="A567" s="41">
        <f t="shared" si="75"/>
        <v>3</v>
      </c>
      <c r="B567" s="28" t="s">
        <v>148</v>
      </c>
      <c r="C567" s="28" t="s">
        <v>149</v>
      </c>
      <c r="D567" s="28" t="s">
        <v>98</v>
      </c>
      <c r="E567" s="28" t="s">
        <v>115</v>
      </c>
      <c r="F567" s="29" t="s">
        <v>27</v>
      </c>
      <c r="G567" s="30">
        <v>15.36</v>
      </c>
      <c r="H567" s="31">
        <v>3211.49</v>
      </c>
      <c r="I567" s="39"/>
      <c r="J567" s="31">
        <f t="shared" si="76"/>
        <v>3211.49</v>
      </c>
      <c r="K567" s="33">
        <f t="shared" si="77"/>
        <v>49328.49</v>
      </c>
      <c r="L567" s="34" t="s">
        <v>28</v>
      </c>
      <c r="M567" s="35"/>
      <c r="N567" s="3">
        <v>1</v>
      </c>
      <c r="O567" s="21">
        <v>2636.15</v>
      </c>
      <c r="P567" s="22" t="s">
        <v>150</v>
      </c>
      <c r="Q567" s="38"/>
      <c r="R567" s="38"/>
    </row>
    <row r="568" s="3" customFormat="1" ht="84" customHeight="1" outlineLevel="2" spans="1:18">
      <c r="A568" s="41">
        <f t="shared" si="75"/>
        <v>4</v>
      </c>
      <c r="B568" s="28" t="s">
        <v>362</v>
      </c>
      <c r="C568" s="28" t="s">
        <v>363</v>
      </c>
      <c r="D568" s="28" t="s">
        <v>98</v>
      </c>
      <c r="E568" s="28" t="s">
        <v>115</v>
      </c>
      <c r="F568" s="29" t="s">
        <v>27</v>
      </c>
      <c r="G568" s="30">
        <v>18.47</v>
      </c>
      <c r="H568" s="31">
        <v>5005.29</v>
      </c>
      <c r="I568" s="39"/>
      <c r="J568" s="31">
        <f t="shared" si="76"/>
        <v>5005.29</v>
      </c>
      <c r="K568" s="33">
        <f t="shared" si="77"/>
        <v>92447.71</v>
      </c>
      <c r="L568" s="34" t="s">
        <v>28</v>
      </c>
      <c r="M568" s="35"/>
      <c r="N568" s="3">
        <v>1</v>
      </c>
      <c r="O568" s="21">
        <v>1657.15</v>
      </c>
      <c r="P568" s="22" t="s">
        <v>364</v>
      </c>
      <c r="Q568" s="38"/>
      <c r="R568" s="38"/>
    </row>
    <row r="569" s="3" customFormat="1" ht="96" customHeight="1" outlineLevel="2" spans="1:18">
      <c r="A569" s="41">
        <f t="shared" si="75"/>
        <v>5</v>
      </c>
      <c r="B569" s="28" t="s">
        <v>433</v>
      </c>
      <c r="C569" s="28" t="s">
        <v>434</v>
      </c>
      <c r="D569" s="28" t="s">
        <v>98</v>
      </c>
      <c r="E569" s="28" t="s">
        <v>115</v>
      </c>
      <c r="F569" s="29" t="s">
        <v>175</v>
      </c>
      <c r="G569" s="30">
        <v>1</v>
      </c>
      <c r="H569" s="31">
        <v>79040.66</v>
      </c>
      <c r="I569" s="39"/>
      <c r="J569" s="31">
        <f t="shared" si="76"/>
        <v>79040.66</v>
      </c>
      <c r="K569" s="33">
        <f t="shared" si="77"/>
        <v>79040.66</v>
      </c>
      <c r="L569" s="34" t="s">
        <v>28</v>
      </c>
      <c r="M569" s="35"/>
      <c r="N569" s="3">
        <v>1</v>
      </c>
      <c r="O569" s="21">
        <v>39703.84</v>
      </c>
      <c r="P569" s="22" t="s">
        <v>435</v>
      </c>
      <c r="Q569" s="38"/>
      <c r="R569" s="38"/>
    </row>
    <row r="570" s="3" customFormat="1" ht="84" customHeight="1" outlineLevel="2" spans="1:18">
      <c r="A570" s="41">
        <f t="shared" si="75"/>
        <v>6</v>
      </c>
      <c r="B570" s="28" t="s">
        <v>436</v>
      </c>
      <c r="C570" s="28" t="s">
        <v>437</v>
      </c>
      <c r="D570" s="28" t="s">
        <v>98</v>
      </c>
      <c r="E570" s="28" t="s">
        <v>115</v>
      </c>
      <c r="F570" s="29" t="s">
        <v>27</v>
      </c>
      <c r="G570" s="30">
        <v>13.77</v>
      </c>
      <c r="H570" s="31">
        <v>4470.84</v>
      </c>
      <c r="I570" s="39"/>
      <c r="J570" s="31">
        <f t="shared" si="76"/>
        <v>4470.84</v>
      </c>
      <c r="K570" s="33">
        <f t="shared" si="77"/>
        <v>61563.47</v>
      </c>
      <c r="L570" s="34" t="s">
        <v>28</v>
      </c>
      <c r="M570" s="35"/>
      <c r="N570" s="3">
        <v>1</v>
      </c>
      <c r="O570" s="21">
        <v>2405.15</v>
      </c>
      <c r="P570" s="22" t="s">
        <v>438</v>
      </c>
      <c r="Q570" s="38"/>
      <c r="R570" s="38"/>
    </row>
    <row r="571" s="3" customFormat="1" ht="120" customHeight="1" outlineLevel="2" spans="1:18">
      <c r="A571" s="41">
        <f t="shared" si="75"/>
        <v>7</v>
      </c>
      <c r="B571" s="28" t="s">
        <v>439</v>
      </c>
      <c r="C571" s="28" t="s">
        <v>440</v>
      </c>
      <c r="D571" s="28" t="s">
        <v>98</v>
      </c>
      <c r="E571" s="28" t="s">
        <v>115</v>
      </c>
      <c r="F571" s="29" t="s">
        <v>175</v>
      </c>
      <c r="G571" s="30">
        <v>1</v>
      </c>
      <c r="H571" s="31">
        <v>74191.18</v>
      </c>
      <c r="I571" s="39"/>
      <c r="J571" s="31">
        <f t="shared" si="76"/>
        <v>74191.18</v>
      </c>
      <c r="K571" s="33">
        <f t="shared" si="77"/>
        <v>74191.18</v>
      </c>
      <c r="L571" s="34" t="s">
        <v>28</v>
      </c>
      <c r="M571" s="35"/>
      <c r="N571" s="3">
        <v>1</v>
      </c>
      <c r="O571" s="21">
        <v>48972.09</v>
      </c>
      <c r="P571" s="22" t="s">
        <v>441</v>
      </c>
      <c r="Q571" s="38"/>
      <c r="R571" s="38"/>
    </row>
    <row r="572" s="3" customFormat="1" outlineLevel="1" spans="1:18">
      <c r="A572" s="27" t="s">
        <v>155</v>
      </c>
      <c r="B572" s="28" t="s">
        <v>442</v>
      </c>
      <c r="C572" s="28"/>
      <c r="D572" s="28"/>
      <c r="E572" s="28"/>
      <c r="F572" s="29"/>
      <c r="G572" s="30"/>
      <c r="H572" s="31"/>
      <c r="I572" s="39"/>
      <c r="J572" s="31"/>
      <c r="K572" s="33"/>
      <c r="L572" s="34"/>
      <c r="M572" s="35"/>
      <c r="O572" s="36"/>
      <c r="P572" s="37"/>
      <c r="Q572" s="38"/>
      <c r="R572" s="38"/>
    </row>
    <row r="573" s="3" customFormat="1" outlineLevel="1" spans="1:18">
      <c r="A573" s="40"/>
      <c r="B573" s="28" t="s">
        <v>22</v>
      </c>
      <c r="C573" s="28"/>
      <c r="D573" s="28"/>
      <c r="E573" s="28"/>
      <c r="F573" s="29"/>
      <c r="G573" s="30"/>
      <c r="H573" s="31"/>
      <c r="I573" s="39"/>
      <c r="J573" s="31"/>
      <c r="K573" s="33"/>
      <c r="L573" s="34"/>
      <c r="M573" s="35"/>
      <c r="O573" s="36"/>
      <c r="P573" s="37"/>
      <c r="Q573" s="38"/>
      <c r="R573" s="38"/>
    </row>
    <row r="574" s="3" customFormat="1" ht="72" customHeight="1" outlineLevel="2" spans="1:18">
      <c r="A574" s="41">
        <f>1+N(A573)</f>
        <v>1</v>
      </c>
      <c r="B574" s="28" t="s">
        <v>443</v>
      </c>
      <c r="C574" s="28" t="s">
        <v>444</v>
      </c>
      <c r="D574" s="28" t="s">
        <v>251</v>
      </c>
      <c r="E574" s="28" t="s">
        <v>26</v>
      </c>
      <c r="F574" s="29" t="s">
        <v>27</v>
      </c>
      <c r="G574" s="30">
        <v>24.35</v>
      </c>
      <c r="H574" s="31">
        <v>569.06</v>
      </c>
      <c r="I574" s="39"/>
      <c r="J574" s="31">
        <f>H574*(1-$I$4)</f>
        <v>569.06</v>
      </c>
      <c r="K574" s="33">
        <f>ROUND(G574*J574,2)</f>
        <v>13856.61</v>
      </c>
      <c r="L574" s="34" t="s">
        <v>28</v>
      </c>
      <c r="M574" s="35"/>
      <c r="N574" s="3">
        <v>1</v>
      </c>
      <c r="O574" s="21">
        <v>318.18</v>
      </c>
      <c r="P574" s="22" t="s">
        <v>445</v>
      </c>
      <c r="Q574" s="38"/>
      <c r="R574" s="38"/>
    </row>
    <row r="575" s="3" customFormat="1" ht="156" customHeight="1" outlineLevel="2" spans="1:18">
      <c r="A575" s="41">
        <f>1+N(A574)</f>
        <v>2</v>
      </c>
      <c r="B575" s="28" t="s">
        <v>192</v>
      </c>
      <c r="C575" s="28" t="s">
        <v>413</v>
      </c>
      <c r="D575" s="28" t="s">
        <v>194</v>
      </c>
      <c r="E575" s="28" t="s">
        <v>195</v>
      </c>
      <c r="F575" s="29" t="s">
        <v>27</v>
      </c>
      <c r="G575" s="30">
        <v>24.35</v>
      </c>
      <c r="H575" s="31">
        <v>78.51</v>
      </c>
      <c r="I575" s="39"/>
      <c r="J575" s="31">
        <f>H575*(1-$I$4)</f>
        <v>78.51</v>
      </c>
      <c r="K575" s="33">
        <f>ROUND(G575*J575,2)</f>
        <v>1911.72</v>
      </c>
      <c r="L575" s="34" t="s">
        <v>28</v>
      </c>
      <c r="M575" s="35"/>
      <c r="N575" s="3">
        <v>1</v>
      </c>
      <c r="O575" s="21">
        <v>65.78</v>
      </c>
      <c r="P575" s="22" t="s">
        <v>248</v>
      </c>
      <c r="Q575" s="38"/>
      <c r="R575" s="38"/>
    </row>
    <row r="576" s="3" customFormat="1" ht="72" customHeight="1" outlineLevel="2" spans="1:18">
      <c r="A576" s="41">
        <f>1+N(A575)</f>
        <v>3</v>
      </c>
      <c r="B576" s="28" t="s">
        <v>36</v>
      </c>
      <c r="C576" s="28" t="s">
        <v>37</v>
      </c>
      <c r="D576" s="28" t="s">
        <v>25</v>
      </c>
      <c r="E576" s="28" t="s">
        <v>38</v>
      </c>
      <c r="F576" s="29" t="s">
        <v>39</v>
      </c>
      <c r="G576" s="30">
        <v>3.9</v>
      </c>
      <c r="H576" s="31">
        <v>89.27</v>
      </c>
      <c r="I576" s="39"/>
      <c r="J576" s="31">
        <f>H576*(1-$I$4)</f>
        <v>89.27</v>
      </c>
      <c r="K576" s="33">
        <f>ROUND(G576*J576,2)</f>
        <v>348.15</v>
      </c>
      <c r="L576" s="34" t="s">
        <v>28</v>
      </c>
      <c r="M576" s="35"/>
      <c r="N576" s="3">
        <v>1</v>
      </c>
      <c r="O576" s="21">
        <v>35.28</v>
      </c>
      <c r="P576" s="22" t="s">
        <v>40</v>
      </c>
      <c r="Q576" s="38"/>
      <c r="R576" s="38"/>
    </row>
    <row r="577" s="3" customFormat="1" outlineLevel="1" spans="1:18">
      <c r="A577" s="40"/>
      <c r="B577" s="28" t="s">
        <v>44</v>
      </c>
      <c r="C577" s="28"/>
      <c r="D577" s="28"/>
      <c r="E577" s="28"/>
      <c r="F577" s="29"/>
      <c r="G577" s="30"/>
      <c r="H577" s="31"/>
      <c r="I577" s="39"/>
      <c r="J577" s="31"/>
      <c r="K577" s="33"/>
      <c r="L577" s="34"/>
      <c r="M577" s="35"/>
      <c r="O577" s="36"/>
      <c r="P577" s="37"/>
      <c r="Q577" s="38"/>
      <c r="R577" s="38"/>
    </row>
    <row r="578" s="3" customFormat="1" ht="120" customHeight="1" outlineLevel="2" spans="1:18">
      <c r="A578" s="41">
        <f>1+N(A577)</f>
        <v>1</v>
      </c>
      <c r="B578" s="28" t="s">
        <v>385</v>
      </c>
      <c r="C578" s="28" t="s">
        <v>446</v>
      </c>
      <c r="D578" s="28" t="s">
        <v>52</v>
      </c>
      <c r="E578" s="28" t="s">
        <v>63</v>
      </c>
      <c r="F578" s="29" t="s">
        <v>27</v>
      </c>
      <c r="G578" s="30">
        <v>12.86</v>
      </c>
      <c r="H578" s="31">
        <v>1616.6</v>
      </c>
      <c r="I578" s="39"/>
      <c r="J578" s="31">
        <f>H578*(1-$I$4)</f>
        <v>1616.6</v>
      </c>
      <c r="K578" s="33">
        <f>ROUND(G578*J578,2)</f>
        <v>20789.48</v>
      </c>
      <c r="L578" s="34" t="s">
        <v>28</v>
      </c>
      <c r="M578" s="35"/>
      <c r="N578" s="3">
        <v>1</v>
      </c>
      <c r="O578" s="21">
        <v>877.09</v>
      </c>
      <c r="P578" s="22" t="s">
        <v>447</v>
      </c>
      <c r="Q578" s="38"/>
      <c r="R578" s="38"/>
    </row>
    <row r="579" s="3" customFormat="1" ht="96" customHeight="1" outlineLevel="2" spans="1:18">
      <c r="A579" s="41">
        <f>1+N(A578)</f>
        <v>2</v>
      </c>
      <c r="B579" s="28" t="s">
        <v>448</v>
      </c>
      <c r="C579" s="28" t="s">
        <v>449</v>
      </c>
      <c r="D579" s="28" t="s">
        <v>59</v>
      </c>
      <c r="E579" s="28" t="s">
        <v>207</v>
      </c>
      <c r="F579" s="29" t="s">
        <v>27</v>
      </c>
      <c r="G579" s="30">
        <v>37.1</v>
      </c>
      <c r="H579" s="31">
        <v>477.9</v>
      </c>
      <c r="I579" s="39"/>
      <c r="J579" s="31">
        <f>H579*(1-$I$4)</f>
        <v>477.9</v>
      </c>
      <c r="K579" s="33">
        <f>ROUND(G579*J579,2)</f>
        <v>17730.09</v>
      </c>
      <c r="L579" s="34" t="s">
        <v>28</v>
      </c>
      <c r="M579" s="35"/>
      <c r="N579" s="3">
        <v>1</v>
      </c>
      <c r="O579" s="21">
        <v>309.87</v>
      </c>
      <c r="P579" s="22" t="s">
        <v>450</v>
      </c>
      <c r="Q579" s="38"/>
      <c r="R579" s="38"/>
    </row>
    <row r="580" s="3" customFormat="1" ht="120" customHeight="1" outlineLevel="2" spans="1:18">
      <c r="A580" s="41">
        <f>1+N(A579)</f>
        <v>3</v>
      </c>
      <c r="B580" s="28" t="s">
        <v>61</v>
      </c>
      <c r="C580" s="28" t="s">
        <v>62</v>
      </c>
      <c r="D580" s="28" t="s">
        <v>52</v>
      </c>
      <c r="E580" s="28" t="s">
        <v>63</v>
      </c>
      <c r="F580" s="29" t="s">
        <v>27</v>
      </c>
      <c r="G580" s="30">
        <v>12.08</v>
      </c>
      <c r="H580" s="31">
        <v>630.65</v>
      </c>
      <c r="I580" s="39"/>
      <c r="J580" s="31">
        <f>H580*(1-$I$4)</f>
        <v>630.65</v>
      </c>
      <c r="K580" s="33">
        <f>ROUND(G580*J580,2)</f>
        <v>7618.25</v>
      </c>
      <c r="L580" s="34" t="s">
        <v>28</v>
      </c>
      <c r="M580" s="35"/>
      <c r="N580" s="3">
        <v>1</v>
      </c>
      <c r="O580" s="21">
        <v>681.67</v>
      </c>
      <c r="P580" s="22" t="s">
        <v>64</v>
      </c>
      <c r="Q580" s="38"/>
      <c r="R580" s="38"/>
    </row>
    <row r="581" s="3" customFormat="1" ht="60" customHeight="1" outlineLevel="2" spans="1:18">
      <c r="A581" s="41">
        <f>1+N(A580)</f>
        <v>4</v>
      </c>
      <c r="B581" s="28" t="s">
        <v>311</v>
      </c>
      <c r="C581" s="28" t="s">
        <v>312</v>
      </c>
      <c r="D581" s="28" t="s">
        <v>98</v>
      </c>
      <c r="E581" s="28" t="s">
        <v>115</v>
      </c>
      <c r="F581" s="29" t="s">
        <v>27</v>
      </c>
      <c r="G581" s="30">
        <v>0.77</v>
      </c>
      <c r="H581" s="31">
        <v>630.65</v>
      </c>
      <c r="I581" s="39"/>
      <c r="J581" s="31">
        <f>H581*(1-$I$4)</f>
        <v>630.65</v>
      </c>
      <c r="K581" s="33">
        <f>ROUND(G581*J581,2)</f>
        <v>485.6</v>
      </c>
      <c r="L581" s="34" t="s">
        <v>28</v>
      </c>
      <c r="M581" s="35"/>
      <c r="N581" s="3">
        <v>1</v>
      </c>
      <c r="O581" s="21">
        <v>681.67</v>
      </c>
      <c r="P581" s="22" t="s">
        <v>64</v>
      </c>
      <c r="Q581" s="38"/>
      <c r="R581" s="38"/>
    </row>
    <row r="582" s="3" customFormat="1" outlineLevel="1" spans="1:18">
      <c r="A582" s="40"/>
      <c r="B582" s="28" t="s">
        <v>90</v>
      </c>
      <c r="C582" s="28"/>
      <c r="D582" s="28"/>
      <c r="E582" s="28"/>
      <c r="F582" s="29"/>
      <c r="G582" s="30"/>
      <c r="H582" s="31"/>
      <c r="I582" s="39"/>
      <c r="J582" s="31"/>
      <c r="K582" s="33"/>
      <c r="L582" s="34"/>
      <c r="M582" s="35"/>
      <c r="O582" s="36"/>
      <c r="P582" s="37"/>
      <c r="Q582" s="38"/>
      <c r="R582" s="38"/>
    </row>
    <row r="583" s="3" customFormat="1" ht="168" customHeight="1" outlineLevel="2" spans="1:18">
      <c r="A583" s="41">
        <f t="shared" ref="A583:A588" si="78">1+N(A582)</f>
        <v>1</v>
      </c>
      <c r="B583" s="28" t="s">
        <v>91</v>
      </c>
      <c r="C583" s="28" t="s">
        <v>92</v>
      </c>
      <c r="D583" s="28" t="s">
        <v>93</v>
      </c>
      <c r="E583" s="28" t="s">
        <v>94</v>
      </c>
      <c r="F583" s="29" t="s">
        <v>27</v>
      </c>
      <c r="G583" s="30">
        <v>24.35</v>
      </c>
      <c r="H583" s="31">
        <v>174.57</v>
      </c>
      <c r="I583" s="39"/>
      <c r="J583" s="31">
        <f t="shared" ref="J583:J588" si="79">H583*(1-$I$4)</f>
        <v>174.57</v>
      </c>
      <c r="K583" s="33">
        <f t="shared" ref="K583:K588" si="80">ROUND(G583*J583,2)</f>
        <v>4250.78</v>
      </c>
      <c r="L583" s="34" t="s">
        <v>28</v>
      </c>
      <c r="M583" s="35"/>
      <c r="N583" s="3">
        <v>1</v>
      </c>
      <c r="O583" s="21">
        <v>150.38</v>
      </c>
      <c r="P583" s="22" t="s">
        <v>95</v>
      </c>
      <c r="Q583" s="38"/>
      <c r="R583" s="38"/>
    </row>
    <row r="584" s="3" customFormat="1" ht="48" customHeight="1" outlineLevel="2" spans="1:18">
      <c r="A584" s="41">
        <f t="shared" si="78"/>
        <v>2</v>
      </c>
      <c r="B584" s="28" t="s">
        <v>96</v>
      </c>
      <c r="C584" s="28" t="s">
        <v>97</v>
      </c>
      <c r="D584" s="28" t="s">
        <v>98</v>
      </c>
      <c r="E584" s="28" t="s">
        <v>99</v>
      </c>
      <c r="F584" s="29" t="s">
        <v>39</v>
      </c>
      <c r="G584" s="30">
        <v>15.1</v>
      </c>
      <c r="H584" s="31">
        <v>112.16</v>
      </c>
      <c r="I584" s="39"/>
      <c r="J584" s="31">
        <f t="shared" si="79"/>
        <v>112.16</v>
      </c>
      <c r="K584" s="33">
        <f t="shared" si="80"/>
        <v>1693.62</v>
      </c>
      <c r="L584" s="34" t="s">
        <v>28</v>
      </c>
      <c r="M584" s="35"/>
      <c r="N584" s="3">
        <v>1</v>
      </c>
      <c r="O584" s="21">
        <v>79.3</v>
      </c>
      <c r="P584" s="22" t="s">
        <v>100</v>
      </c>
      <c r="Q584" s="38"/>
      <c r="R584" s="38"/>
    </row>
    <row r="585" s="3" customFormat="1" ht="48" customHeight="1" outlineLevel="2" spans="1:18">
      <c r="A585" s="41">
        <f t="shared" si="78"/>
        <v>3</v>
      </c>
      <c r="B585" s="28" t="s">
        <v>101</v>
      </c>
      <c r="C585" s="28" t="s">
        <v>102</v>
      </c>
      <c r="D585" s="28" t="s">
        <v>98</v>
      </c>
      <c r="E585" s="28" t="s">
        <v>99</v>
      </c>
      <c r="F585" s="29" t="s">
        <v>39</v>
      </c>
      <c r="G585" s="30">
        <v>15.1</v>
      </c>
      <c r="H585" s="31">
        <v>75.82</v>
      </c>
      <c r="I585" s="39"/>
      <c r="J585" s="31">
        <f t="shared" si="79"/>
        <v>75.82</v>
      </c>
      <c r="K585" s="33">
        <f t="shared" si="80"/>
        <v>1144.88</v>
      </c>
      <c r="L585" s="34" t="s">
        <v>28</v>
      </c>
      <c r="M585" s="35"/>
      <c r="N585" s="3">
        <v>1</v>
      </c>
      <c r="O585" s="21">
        <v>203.56</v>
      </c>
      <c r="P585" s="22" t="s">
        <v>103</v>
      </c>
      <c r="Q585" s="38"/>
      <c r="R585" s="38"/>
    </row>
    <row r="586" s="3" customFormat="1" ht="60" customHeight="1" outlineLevel="2" spans="1:18">
      <c r="A586" s="41">
        <f t="shared" si="78"/>
        <v>4</v>
      </c>
      <c r="B586" s="28" t="s">
        <v>356</v>
      </c>
      <c r="C586" s="28" t="s">
        <v>357</v>
      </c>
      <c r="D586" s="28" t="s">
        <v>98</v>
      </c>
      <c r="E586" s="28" t="s">
        <v>99</v>
      </c>
      <c r="F586" s="29" t="s">
        <v>39</v>
      </c>
      <c r="G586" s="30">
        <v>4.65</v>
      </c>
      <c r="H586" s="31">
        <v>123.19</v>
      </c>
      <c r="I586" s="39"/>
      <c r="J586" s="31">
        <f t="shared" si="79"/>
        <v>123.19</v>
      </c>
      <c r="K586" s="33">
        <f t="shared" si="80"/>
        <v>572.83</v>
      </c>
      <c r="L586" s="34" t="s">
        <v>28</v>
      </c>
      <c r="M586" s="35"/>
      <c r="N586" s="3">
        <v>1</v>
      </c>
      <c r="O586" s="21">
        <v>93.14</v>
      </c>
      <c r="P586" s="22" t="s">
        <v>358</v>
      </c>
      <c r="Q586" s="38"/>
      <c r="R586" s="38"/>
    </row>
    <row r="587" s="3" customFormat="1" ht="48" customHeight="1" outlineLevel="2" spans="1:18">
      <c r="A587" s="41">
        <f t="shared" si="78"/>
        <v>5</v>
      </c>
      <c r="B587" s="28" t="s">
        <v>104</v>
      </c>
      <c r="C587" s="28" t="s">
        <v>105</v>
      </c>
      <c r="D587" s="28" t="s">
        <v>98</v>
      </c>
      <c r="E587" s="28" t="s">
        <v>99</v>
      </c>
      <c r="F587" s="29" t="s">
        <v>39</v>
      </c>
      <c r="G587" s="30">
        <v>2.4</v>
      </c>
      <c r="H587" s="31">
        <v>109.74</v>
      </c>
      <c r="I587" s="39"/>
      <c r="J587" s="31">
        <f t="shared" si="79"/>
        <v>109.74</v>
      </c>
      <c r="K587" s="33">
        <f t="shared" si="80"/>
        <v>263.38</v>
      </c>
      <c r="L587" s="34" t="s">
        <v>28</v>
      </c>
      <c r="M587" s="35"/>
      <c r="N587" s="3">
        <v>1</v>
      </c>
      <c r="O587" s="21">
        <v>108.2</v>
      </c>
      <c r="P587" s="22" t="s">
        <v>106</v>
      </c>
      <c r="Q587" s="38"/>
      <c r="R587" s="38"/>
    </row>
    <row r="588" s="3" customFormat="1" ht="132" customHeight="1" outlineLevel="2" spans="1:18">
      <c r="A588" s="41">
        <f t="shared" si="78"/>
        <v>6</v>
      </c>
      <c r="B588" s="28" t="s">
        <v>107</v>
      </c>
      <c r="C588" s="28" t="s">
        <v>108</v>
      </c>
      <c r="D588" s="28" t="s">
        <v>109</v>
      </c>
      <c r="E588" s="28" t="s">
        <v>110</v>
      </c>
      <c r="F588" s="29" t="s">
        <v>27</v>
      </c>
      <c r="G588" s="30">
        <v>30.74</v>
      </c>
      <c r="H588" s="31">
        <v>152.22</v>
      </c>
      <c r="I588" s="39"/>
      <c r="J588" s="31">
        <f t="shared" si="79"/>
        <v>152.22</v>
      </c>
      <c r="K588" s="33">
        <f t="shared" si="80"/>
        <v>4679.24</v>
      </c>
      <c r="L588" s="34" t="s">
        <v>28</v>
      </c>
      <c r="M588" s="35"/>
      <c r="N588" s="3">
        <v>1</v>
      </c>
      <c r="O588" s="21">
        <v>151.58</v>
      </c>
      <c r="P588" s="22" t="s">
        <v>111</v>
      </c>
      <c r="Q588" s="38"/>
      <c r="R588" s="38"/>
    </row>
    <row r="589" s="3" customFormat="1" outlineLevel="1" spans="1:18">
      <c r="A589" s="40"/>
      <c r="B589" s="28" t="s">
        <v>112</v>
      </c>
      <c r="C589" s="28"/>
      <c r="D589" s="28"/>
      <c r="E589" s="28"/>
      <c r="F589" s="29"/>
      <c r="G589" s="30"/>
      <c r="H589" s="31"/>
      <c r="I589" s="39"/>
      <c r="J589" s="31"/>
      <c r="K589" s="33"/>
      <c r="L589" s="34"/>
      <c r="M589" s="35"/>
      <c r="O589" s="36"/>
      <c r="P589" s="37"/>
      <c r="Q589" s="38"/>
      <c r="R589" s="38"/>
    </row>
    <row r="590" s="3" customFormat="1" ht="84" customHeight="1" outlineLevel="2" spans="1:18">
      <c r="A590" s="41">
        <f>1+N(A589)</f>
        <v>1</v>
      </c>
      <c r="B590" s="28" t="s">
        <v>161</v>
      </c>
      <c r="C590" s="28" t="s">
        <v>451</v>
      </c>
      <c r="D590" s="28" t="s">
        <v>98</v>
      </c>
      <c r="E590" s="28" t="s">
        <v>115</v>
      </c>
      <c r="F590" s="29" t="s">
        <v>27</v>
      </c>
      <c r="G590" s="30">
        <v>13.1</v>
      </c>
      <c r="H590" s="31">
        <v>5635.31</v>
      </c>
      <c r="I590" s="39"/>
      <c r="J590" s="31">
        <f>H590*(1-$I$4)</f>
        <v>5635.31</v>
      </c>
      <c r="K590" s="33">
        <f>ROUND(G590*J590,2)</f>
        <v>73822.56</v>
      </c>
      <c r="L590" s="34" t="s">
        <v>28</v>
      </c>
      <c r="M590" s="35"/>
      <c r="N590" s="3">
        <v>1</v>
      </c>
      <c r="O590" s="21">
        <v>2559.15</v>
      </c>
      <c r="P590" s="22" t="s">
        <v>452</v>
      </c>
      <c r="Q590" s="38"/>
      <c r="R590" s="38"/>
    </row>
    <row r="591" s="3" customFormat="1" outlineLevel="1" spans="1:18">
      <c r="A591" s="27" t="s">
        <v>164</v>
      </c>
      <c r="B591" s="28" t="s">
        <v>453</v>
      </c>
      <c r="C591" s="28"/>
      <c r="D591" s="28"/>
      <c r="E591" s="28"/>
      <c r="F591" s="29"/>
      <c r="G591" s="30"/>
      <c r="H591" s="31"/>
      <c r="I591" s="39"/>
      <c r="J591" s="31"/>
      <c r="K591" s="33"/>
      <c r="L591" s="34"/>
      <c r="M591" s="35"/>
      <c r="O591" s="36"/>
      <c r="P591" s="37"/>
      <c r="Q591" s="38"/>
      <c r="R591" s="38"/>
    </row>
    <row r="592" s="3" customFormat="1" outlineLevel="1" spans="1:18">
      <c r="A592" s="40"/>
      <c r="B592" s="28" t="s">
        <v>22</v>
      </c>
      <c r="C592" s="28"/>
      <c r="D592" s="28"/>
      <c r="E592" s="28"/>
      <c r="F592" s="29"/>
      <c r="G592" s="30"/>
      <c r="H592" s="31"/>
      <c r="I592" s="39"/>
      <c r="J592" s="31"/>
      <c r="K592" s="33"/>
      <c r="L592" s="34"/>
      <c r="M592" s="35"/>
      <c r="O592" s="36"/>
      <c r="P592" s="37"/>
      <c r="Q592" s="38"/>
      <c r="R592" s="38"/>
    </row>
    <row r="593" s="3" customFormat="1" ht="72" customHeight="1" outlineLevel="2" spans="1:18">
      <c r="A593" s="41">
        <f>1+N(A592)</f>
        <v>1</v>
      </c>
      <c r="B593" s="28" t="s">
        <v>443</v>
      </c>
      <c r="C593" s="28" t="s">
        <v>454</v>
      </c>
      <c r="D593" s="28" t="s">
        <v>251</v>
      </c>
      <c r="E593" s="28" t="s">
        <v>26</v>
      </c>
      <c r="F593" s="29" t="s">
        <v>27</v>
      </c>
      <c r="G593" s="30">
        <v>12.95</v>
      </c>
      <c r="H593" s="31">
        <v>569.06</v>
      </c>
      <c r="I593" s="39"/>
      <c r="J593" s="31">
        <f>H593*(1-$I$4)</f>
        <v>569.06</v>
      </c>
      <c r="K593" s="33">
        <f>ROUND(G593*J593,2)</f>
        <v>7369.33</v>
      </c>
      <c r="L593" s="34" t="s">
        <v>28</v>
      </c>
      <c r="M593" s="35"/>
      <c r="N593" s="3">
        <v>1</v>
      </c>
      <c r="O593" s="21">
        <v>436.56</v>
      </c>
      <c r="P593" s="22" t="s">
        <v>455</v>
      </c>
      <c r="Q593" s="38"/>
      <c r="R593" s="38"/>
    </row>
    <row r="594" s="3" customFormat="1" ht="156" customHeight="1" outlineLevel="2" spans="1:18">
      <c r="A594" s="41">
        <f>1+N(A593)</f>
        <v>2</v>
      </c>
      <c r="B594" s="28" t="s">
        <v>192</v>
      </c>
      <c r="C594" s="28" t="s">
        <v>413</v>
      </c>
      <c r="D594" s="28" t="s">
        <v>194</v>
      </c>
      <c r="E594" s="28" t="s">
        <v>195</v>
      </c>
      <c r="F594" s="29" t="s">
        <v>27</v>
      </c>
      <c r="G594" s="30">
        <v>12.95</v>
      </c>
      <c r="H594" s="31">
        <v>78.51</v>
      </c>
      <c r="I594" s="39"/>
      <c r="J594" s="31">
        <f>H594*(1-$I$4)</f>
        <v>78.51</v>
      </c>
      <c r="K594" s="33">
        <f>ROUND(G594*J594,2)</f>
        <v>1016.7</v>
      </c>
      <c r="L594" s="34" t="s">
        <v>28</v>
      </c>
      <c r="M594" s="35"/>
      <c r="N594" s="3">
        <v>1</v>
      </c>
      <c r="O594" s="21">
        <v>65.78</v>
      </c>
      <c r="P594" s="22" t="s">
        <v>248</v>
      </c>
      <c r="Q594" s="38"/>
      <c r="R594" s="38"/>
    </row>
    <row r="595" s="3" customFormat="1" ht="72" customHeight="1" outlineLevel="2" spans="1:18">
      <c r="A595" s="41">
        <f>1+N(A594)</f>
        <v>3</v>
      </c>
      <c r="B595" s="28" t="s">
        <v>36</v>
      </c>
      <c r="C595" s="28" t="s">
        <v>37</v>
      </c>
      <c r="D595" s="28" t="s">
        <v>25</v>
      </c>
      <c r="E595" s="28" t="s">
        <v>38</v>
      </c>
      <c r="F595" s="29" t="s">
        <v>39</v>
      </c>
      <c r="G595" s="30">
        <v>1.45</v>
      </c>
      <c r="H595" s="31">
        <v>89.27</v>
      </c>
      <c r="I595" s="39"/>
      <c r="J595" s="31">
        <f>H595*(1-$I$4)</f>
        <v>89.27</v>
      </c>
      <c r="K595" s="33">
        <f>ROUND(G595*J595,2)</f>
        <v>129.44</v>
      </c>
      <c r="L595" s="34" t="s">
        <v>28</v>
      </c>
      <c r="M595" s="35"/>
      <c r="N595" s="3">
        <v>1</v>
      </c>
      <c r="O595" s="21">
        <v>35.28</v>
      </c>
      <c r="P595" s="22" t="s">
        <v>40</v>
      </c>
      <c r="Q595" s="38"/>
      <c r="R595" s="38"/>
    </row>
    <row r="596" s="3" customFormat="1" outlineLevel="1" spans="1:18">
      <c r="A596" s="40"/>
      <c r="B596" s="28" t="s">
        <v>44</v>
      </c>
      <c r="C596" s="28"/>
      <c r="D596" s="28"/>
      <c r="E596" s="28"/>
      <c r="F596" s="29"/>
      <c r="G596" s="30"/>
      <c r="H596" s="31"/>
      <c r="I596" s="39"/>
      <c r="J596" s="31"/>
      <c r="K596" s="33"/>
      <c r="L596" s="34"/>
      <c r="M596" s="35"/>
      <c r="O596" s="36"/>
      <c r="P596" s="37"/>
      <c r="Q596" s="38"/>
      <c r="R596" s="38"/>
    </row>
    <row r="597" s="3" customFormat="1" ht="156" customHeight="1" outlineLevel="2" spans="1:18">
      <c r="A597" s="41">
        <f>1+N(A596)</f>
        <v>1</v>
      </c>
      <c r="B597" s="28" t="s">
        <v>50</v>
      </c>
      <c r="C597" s="28" t="s">
        <v>338</v>
      </c>
      <c r="D597" s="28" t="s">
        <v>52</v>
      </c>
      <c r="E597" s="28" t="s">
        <v>48</v>
      </c>
      <c r="F597" s="29" t="s">
        <v>27</v>
      </c>
      <c r="G597" s="30">
        <v>29.28</v>
      </c>
      <c r="H597" s="31">
        <v>911.09</v>
      </c>
      <c r="I597" s="39"/>
      <c r="J597" s="31">
        <f>H597*(1-$I$4)</f>
        <v>911.09</v>
      </c>
      <c r="K597" s="33">
        <f>ROUND(G597*J597,2)</f>
        <v>26676.72</v>
      </c>
      <c r="L597" s="34" t="s">
        <v>28</v>
      </c>
      <c r="M597" s="35"/>
      <c r="N597" s="3">
        <v>1</v>
      </c>
      <c r="O597" s="21">
        <v>1029.66</v>
      </c>
      <c r="P597" s="22" t="s">
        <v>456</v>
      </c>
      <c r="Q597" s="38"/>
      <c r="R597" s="38"/>
    </row>
    <row r="598" s="3" customFormat="1" ht="168" customHeight="1" outlineLevel="2" spans="1:18">
      <c r="A598" s="41">
        <f>1+N(A597)</f>
        <v>2</v>
      </c>
      <c r="B598" s="28" t="s">
        <v>54</v>
      </c>
      <c r="C598" s="28" t="s">
        <v>340</v>
      </c>
      <c r="D598" s="28" t="s">
        <v>52</v>
      </c>
      <c r="E598" s="28" t="s">
        <v>48</v>
      </c>
      <c r="F598" s="29" t="s">
        <v>27</v>
      </c>
      <c r="G598" s="30">
        <v>11.59</v>
      </c>
      <c r="H598" s="31">
        <v>2016.38</v>
      </c>
      <c r="I598" s="39"/>
      <c r="J598" s="31">
        <f>H598*(1-$I$4)</f>
        <v>2016.38</v>
      </c>
      <c r="K598" s="33">
        <f>ROUND(G598*J598,2)</f>
        <v>23369.84</v>
      </c>
      <c r="L598" s="34" t="s">
        <v>28</v>
      </c>
      <c r="M598" s="35"/>
      <c r="N598" s="3">
        <v>1</v>
      </c>
      <c r="O598" s="21">
        <v>1174.03</v>
      </c>
      <c r="P598" s="22" t="s">
        <v>341</v>
      </c>
      <c r="Q598" s="38"/>
      <c r="R598" s="38"/>
    </row>
    <row r="599" s="3" customFormat="1" ht="96" customHeight="1" outlineLevel="2" spans="1:18">
      <c r="A599" s="41">
        <f>1+N(A598)</f>
        <v>3</v>
      </c>
      <c r="B599" s="28" t="s">
        <v>75</v>
      </c>
      <c r="C599" s="28" t="s">
        <v>76</v>
      </c>
      <c r="D599" s="28" t="s">
        <v>59</v>
      </c>
      <c r="E599" s="28" t="s">
        <v>38</v>
      </c>
      <c r="F599" s="29" t="s">
        <v>39</v>
      </c>
      <c r="G599" s="30">
        <v>12.18</v>
      </c>
      <c r="H599" s="31">
        <v>67.08</v>
      </c>
      <c r="I599" s="39"/>
      <c r="J599" s="31">
        <f>H599*(1-$I$4)</f>
        <v>67.08</v>
      </c>
      <c r="K599" s="33">
        <f>ROUND(G599*J599,2)</f>
        <v>817.03</v>
      </c>
      <c r="L599" s="34" t="s">
        <v>28</v>
      </c>
      <c r="M599" s="35"/>
      <c r="N599" s="3">
        <v>1</v>
      </c>
      <c r="O599" s="21">
        <v>45.71</v>
      </c>
      <c r="P599" s="22" t="s">
        <v>77</v>
      </c>
      <c r="Q599" s="38"/>
      <c r="R599" s="38"/>
    </row>
    <row r="600" s="3" customFormat="1" outlineLevel="1" spans="1:18">
      <c r="A600" s="40"/>
      <c r="B600" s="28" t="s">
        <v>90</v>
      </c>
      <c r="C600" s="28"/>
      <c r="D600" s="28"/>
      <c r="E600" s="28"/>
      <c r="F600" s="29"/>
      <c r="G600" s="30"/>
      <c r="H600" s="31"/>
      <c r="I600" s="39"/>
      <c r="J600" s="31"/>
      <c r="K600" s="33"/>
      <c r="L600" s="34"/>
      <c r="M600" s="35"/>
      <c r="O600" s="36"/>
      <c r="P600" s="37"/>
      <c r="Q600" s="38"/>
      <c r="R600" s="38"/>
    </row>
    <row r="601" s="3" customFormat="1" ht="168" customHeight="1" outlineLevel="2" spans="1:18">
      <c r="A601" s="41">
        <f>1+N(A600)</f>
        <v>1</v>
      </c>
      <c r="B601" s="28" t="s">
        <v>91</v>
      </c>
      <c r="C601" s="28" t="s">
        <v>92</v>
      </c>
      <c r="D601" s="28" t="s">
        <v>93</v>
      </c>
      <c r="E601" s="28" t="s">
        <v>94</v>
      </c>
      <c r="F601" s="29" t="s">
        <v>27</v>
      </c>
      <c r="G601" s="30">
        <v>8.15</v>
      </c>
      <c r="H601" s="31">
        <v>174.57</v>
      </c>
      <c r="I601" s="39"/>
      <c r="J601" s="31">
        <f>H601*(1-$I$4)</f>
        <v>174.57</v>
      </c>
      <c r="K601" s="33">
        <f>ROUND(G601*J601,2)</f>
        <v>1422.75</v>
      </c>
      <c r="L601" s="34" t="s">
        <v>28</v>
      </c>
      <c r="M601" s="35"/>
      <c r="N601" s="3">
        <v>1</v>
      </c>
      <c r="O601" s="21">
        <v>150.38</v>
      </c>
      <c r="P601" s="22" t="s">
        <v>95</v>
      </c>
      <c r="Q601" s="38"/>
      <c r="R601" s="38"/>
    </row>
    <row r="602" s="3" customFormat="1" ht="156" customHeight="1" outlineLevel="2" spans="1:18">
      <c r="A602" s="41">
        <f>1+N(A601)</f>
        <v>2</v>
      </c>
      <c r="B602" s="28" t="s">
        <v>351</v>
      </c>
      <c r="C602" s="28" t="s">
        <v>352</v>
      </c>
      <c r="D602" s="28" t="s">
        <v>353</v>
      </c>
      <c r="E602" s="28" t="s">
        <v>354</v>
      </c>
      <c r="F602" s="29" t="s">
        <v>27</v>
      </c>
      <c r="G602" s="30">
        <v>4.8</v>
      </c>
      <c r="H602" s="31">
        <v>506.22</v>
      </c>
      <c r="I602" s="39"/>
      <c r="J602" s="31">
        <f>H602*(1-$I$4)</f>
        <v>506.22</v>
      </c>
      <c r="K602" s="33">
        <f>ROUND(G602*J602,2)</f>
        <v>2429.86</v>
      </c>
      <c r="L602" s="34" t="s">
        <v>28</v>
      </c>
      <c r="M602" s="35"/>
      <c r="N602" s="3">
        <v>1</v>
      </c>
      <c r="O602" s="21">
        <v>476.3</v>
      </c>
      <c r="P602" s="22" t="s">
        <v>355</v>
      </c>
      <c r="Q602" s="38"/>
      <c r="R602" s="38"/>
    </row>
    <row r="603" s="3" customFormat="1" ht="48" customHeight="1" outlineLevel="2" spans="1:18">
      <c r="A603" s="41">
        <f>1+N(A602)</f>
        <v>3</v>
      </c>
      <c r="B603" s="28" t="s">
        <v>104</v>
      </c>
      <c r="C603" s="28" t="s">
        <v>105</v>
      </c>
      <c r="D603" s="28" t="s">
        <v>98</v>
      </c>
      <c r="E603" s="28" t="s">
        <v>99</v>
      </c>
      <c r="F603" s="29" t="s">
        <v>39</v>
      </c>
      <c r="G603" s="30">
        <v>3.9</v>
      </c>
      <c r="H603" s="31">
        <v>109.74</v>
      </c>
      <c r="I603" s="39"/>
      <c r="J603" s="31">
        <f>H603*(1-$I$4)</f>
        <v>109.74</v>
      </c>
      <c r="K603" s="33">
        <f>ROUND(G603*J603,2)</f>
        <v>427.99</v>
      </c>
      <c r="L603" s="34" t="s">
        <v>28</v>
      </c>
      <c r="M603" s="35"/>
      <c r="N603" s="3">
        <v>1</v>
      </c>
      <c r="O603" s="21">
        <v>108.2</v>
      </c>
      <c r="P603" s="22" t="s">
        <v>106</v>
      </c>
      <c r="Q603" s="38"/>
      <c r="R603" s="38"/>
    </row>
    <row r="604" s="3" customFormat="1" ht="132" customHeight="1" outlineLevel="2" spans="1:18">
      <c r="A604" s="41">
        <f>1+N(A603)</f>
        <v>4</v>
      </c>
      <c r="B604" s="28" t="s">
        <v>107</v>
      </c>
      <c r="C604" s="28" t="s">
        <v>108</v>
      </c>
      <c r="D604" s="28" t="s">
        <v>109</v>
      </c>
      <c r="E604" s="28" t="s">
        <v>110</v>
      </c>
      <c r="F604" s="29" t="s">
        <v>27</v>
      </c>
      <c r="G604" s="30">
        <v>8.15</v>
      </c>
      <c r="H604" s="31">
        <v>152.22</v>
      </c>
      <c r="I604" s="39"/>
      <c r="J604" s="31">
        <f>H604*(1-$I$4)</f>
        <v>152.22</v>
      </c>
      <c r="K604" s="33">
        <f>ROUND(G604*J604,2)</f>
        <v>1240.59</v>
      </c>
      <c r="L604" s="34" t="s">
        <v>28</v>
      </c>
      <c r="M604" s="35"/>
      <c r="N604" s="3">
        <v>1</v>
      </c>
      <c r="O604" s="21">
        <v>151.58</v>
      </c>
      <c r="P604" s="22" t="s">
        <v>111</v>
      </c>
      <c r="Q604" s="38"/>
      <c r="R604" s="38"/>
    </row>
    <row r="605" s="3" customFormat="1" ht="156" customHeight="1" outlineLevel="2" spans="1:18">
      <c r="A605" s="41">
        <f>1+N(A604)</f>
        <v>5</v>
      </c>
      <c r="B605" s="28" t="s">
        <v>359</v>
      </c>
      <c r="C605" s="28" t="s">
        <v>360</v>
      </c>
      <c r="D605" s="28" t="s">
        <v>353</v>
      </c>
      <c r="E605" s="28" t="s">
        <v>354</v>
      </c>
      <c r="F605" s="29" t="s">
        <v>27</v>
      </c>
      <c r="G605" s="30">
        <v>4.8</v>
      </c>
      <c r="H605" s="31">
        <v>31.39</v>
      </c>
      <c r="I605" s="39"/>
      <c r="J605" s="31">
        <f>H605*(1-$I$4)</f>
        <v>31.39</v>
      </c>
      <c r="K605" s="33">
        <f>ROUND(G605*J605,2)</f>
        <v>150.67</v>
      </c>
      <c r="L605" s="34" t="s">
        <v>28</v>
      </c>
      <c r="M605" s="35"/>
      <c r="N605" s="3">
        <v>1</v>
      </c>
      <c r="O605" s="21">
        <v>23.95</v>
      </c>
      <c r="P605" s="22" t="s">
        <v>361</v>
      </c>
      <c r="Q605" s="38"/>
      <c r="R605" s="38"/>
    </row>
    <row r="606" s="3" customFormat="1" outlineLevel="1" spans="1:18">
      <c r="A606" s="40"/>
      <c r="B606" s="28" t="s">
        <v>112</v>
      </c>
      <c r="C606" s="28"/>
      <c r="D606" s="28"/>
      <c r="E606" s="28"/>
      <c r="F606" s="29"/>
      <c r="G606" s="30"/>
      <c r="H606" s="31"/>
      <c r="I606" s="39"/>
      <c r="J606" s="31"/>
      <c r="K606" s="33"/>
      <c r="L606" s="34"/>
      <c r="M606" s="35"/>
      <c r="O606" s="36"/>
      <c r="P606" s="37"/>
      <c r="Q606" s="38"/>
      <c r="R606" s="38"/>
    </row>
    <row r="607" s="3" customFormat="1" ht="60" customHeight="1" outlineLevel="2" spans="1:18">
      <c r="A607" s="41">
        <f>1+N(A606)</f>
        <v>1</v>
      </c>
      <c r="B607" s="28" t="s">
        <v>134</v>
      </c>
      <c r="C607" s="28" t="s">
        <v>114</v>
      </c>
      <c r="D607" s="28" t="s">
        <v>98</v>
      </c>
      <c r="E607" s="28" t="s">
        <v>115</v>
      </c>
      <c r="F607" s="29" t="s">
        <v>27</v>
      </c>
      <c r="G607" s="30">
        <v>2.72</v>
      </c>
      <c r="H607" s="31">
        <v>962.68</v>
      </c>
      <c r="I607" s="39"/>
      <c r="J607" s="31">
        <f>H607*(1-$I$4)</f>
        <v>962.68</v>
      </c>
      <c r="K607" s="33">
        <f>ROUND(G607*J607,2)</f>
        <v>2618.49</v>
      </c>
      <c r="L607" s="34" t="s">
        <v>28</v>
      </c>
      <c r="M607" s="35"/>
      <c r="N607" s="3">
        <v>1</v>
      </c>
      <c r="O607" s="21">
        <v>665.69</v>
      </c>
      <c r="P607" s="22" t="s">
        <v>116</v>
      </c>
      <c r="Q607" s="38"/>
      <c r="R607" s="38"/>
    </row>
    <row r="608" s="3" customFormat="1" outlineLevel="1" spans="1:18">
      <c r="A608" s="27" t="s">
        <v>177</v>
      </c>
      <c r="B608" s="28" t="s">
        <v>457</v>
      </c>
      <c r="C608" s="28"/>
      <c r="D608" s="28"/>
      <c r="E608" s="28"/>
      <c r="F608" s="29"/>
      <c r="G608" s="30"/>
      <c r="H608" s="31"/>
      <c r="I608" s="39"/>
      <c r="J608" s="31"/>
      <c r="K608" s="33"/>
      <c r="L608" s="34"/>
      <c r="M608" s="35"/>
      <c r="O608" s="36"/>
      <c r="P608" s="37"/>
      <c r="Q608" s="38"/>
      <c r="R608" s="38"/>
    </row>
    <row r="609" s="3" customFormat="1" outlineLevel="1" spans="1:18">
      <c r="A609" s="40"/>
      <c r="B609" s="28" t="s">
        <v>22</v>
      </c>
      <c r="C609" s="28"/>
      <c r="D609" s="28"/>
      <c r="E609" s="28"/>
      <c r="F609" s="29"/>
      <c r="G609" s="30"/>
      <c r="H609" s="31"/>
      <c r="I609" s="39"/>
      <c r="J609" s="31"/>
      <c r="K609" s="33"/>
      <c r="L609" s="34"/>
      <c r="M609" s="35"/>
      <c r="O609" s="36"/>
      <c r="P609" s="37"/>
      <c r="Q609" s="38"/>
      <c r="R609" s="38"/>
    </row>
    <row r="610" s="3" customFormat="1" ht="72" customHeight="1" outlineLevel="2" spans="1:18">
      <c r="A610" s="41">
        <f>1+N(A609)</f>
        <v>1</v>
      </c>
      <c r="B610" s="28" t="s">
        <v>443</v>
      </c>
      <c r="C610" s="28" t="s">
        <v>444</v>
      </c>
      <c r="D610" s="28" t="s">
        <v>251</v>
      </c>
      <c r="E610" s="28" t="s">
        <v>26</v>
      </c>
      <c r="F610" s="29" t="s">
        <v>27</v>
      </c>
      <c r="G610" s="30">
        <v>23.89</v>
      </c>
      <c r="H610" s="31">
        <v>569.06</v>
      </c>
      <c r="I610" s="39"/>
      <c r="J610" s="31">
        <f>H610*(1-$I$4)</f>
        <v>569.06</v>
      </c>
      <c r="K610" s="33">
        <f>ROUND(G610*J610,2)</f>
        <v>13594.84</v>
      </c>
      <c r="L610" s="34" t="s">
        <v>28</v>
      </c>
      <c r="M610" s="35"/>
      <c r="N610" s="3">
        <v>1</v>
      </c>
      <c r="O610" s="21">
        <v>318.18</v>
      </c>
      <c r="P610" s="22" t="s">
        <v>445</v>
      </c>
      <c r="Q610" s="38"/>
      <c r="R610" s="38"/>
    </row>
    <row r="611" s="3" customFormat="1" ht="156" customHeight="1" outlineLevel="2" spans="1:18">
      <c r="A611" s="41">
        <f>1+N(A610)</f>
        <v>2</v>
      </c>
      <c r="B611" s="28" t="s">
        <v>192</v>
      </c>
      <c r="C611" s="28" t="s">
        <v>413</v>
      </c>
      <c r="D611" s="28" t="s">
        <v>194</v>
      </c>
      <c r="E611" s="28" t="s">
        <v>195</v>
      </c>
      <c r="F611" s="29" t="s">
        <v>27</v>
      </c>
      <c r="G611" s="30">
        <v>23.89</v>
      </c>
      <c r="H611" s="31">
        <v>78.51</v>
      </c>
      <c r="I611" s="39"/>
      <c r="J611" s="31">
        <f>H611*(1-$I$4)</f>
        <v>78.51</v>
      </c>
      <c r="K611" s="33">
        <f>ROUND(G611*J611,2)</f>
        <v>1875.6</v>
      </c>
      <c r="L611" s="34" t="s">
        <v>28</v>
      </c>
      <c r="M611" s="35"/>
      <c r="N611" s="3">
        <v>1</v>
      </c>
      <c r="O611" s="21">
        <v>65.78</v>
      </c>
      <c r="P611" s="22" t="s">
        <v>248</v>
      </c>
      <c r="Q611" s="38"/>
      <c r="R611" s="38"/>
    </row>
    <row r="612" s="3" customFormat="1" ht="108" customHeight="1" outlineLevel="2" spans="1:18">
      <c r="A612" s="41">
        <f>1+N(A611)</f>
        <v>3</v>
      </c>
      <c r="B612" s="28" t="s">
        <v>23</v>
      </c>
      <c r="C612" s="28" t="s">
        <v>24</v>
      </c>
      <c r="D612" s="28" t="s">
        <v>25</v>
      </c>
      <c r="E612" s="28" t="s">
        <v>26</v>
      </c>
      <c r="F612" s="29" t="s">
        <v>27</v>
      </c>
      <c r="G612" s="30">
        <v>0.3</v>
      </c>
      <c r="H612" s="31">
        <v>940.91</v>
      </c>
      <c r="I612" s="39"/>
      <c r="J612" s="31">
        <f>H612*(1-$I$4)</f>
        <v>940.91</v>
      </c>
      <c r="K612" s="33">
        <f>ROUND(G612*J612,2)</f>
        <v>282.27</v>
      </c>
      <c r="L612" s="34" t="s">
        <v>28</v>
      </c>
      <c r="M612" s="35"/>
      <c r="N612" s="3">
        <v>1</v>
      </c>
      <c r="O612" s="21">
        <v>886.6</v>
      </c>
      <c r="P612" s="22" t="s">
        <v>29</v>
      </c>
      <c r="Q612" s="38"/>
      <c r="R612" s="38"/>
    </row>
    <row r="613" s="3" customFormat="1" ht="72" customHeight="1" outlineLevel="2" spans="1:18">
      <c r="A613" s="41">
        <f>1+N(A612)</f>
        <v>4</v>
      </c>
      <c r="B613" s="28" t="s">
        <v>41</v>
      </c>
      <c r="C613" s="28" t="s">
        <v>42</v>
      </c>
      <c r="D613" s="28" t="s">
        <v>25</v>
      </c>
      <c r="E613" s="28" t="s">
        <v>26</v>
      </c>
      <c r="F613" s="29" t="s">
        <v>27</v>
      </c>
      <c r="G613" s="30">
        <v>0.3</v>
      </c>
      <c r="H613" s="31">
        <v>64.9</v>
      </c>
      <c r="I613" s="39"/>
      <c r="J613" s="31">
        <f>H613*(1-$I$4)</f>
        <v>64.9</v>
      </c>
      <c r="K613" s="33">
        <f>ROUND(G613*J613,2)</f>
        <v>19.47</v>
      </c>
      <c r="L613" s="34" t="s">
        <v>28</v>
      </c>
      <c r="M613" s="35"/>
      <c r="N613" s="3">
        <v>1</v>
      </c>
      <c r="O613" s="21">
        <v>61.38</v>
      </c>
      <c r="P613" s="22" t="s">
        <v>43</v>
      </c>
      <c r="Q613" s="38"/>
      <c r="R613" s="38"/>
    </row>
    <row r="614" s="3" customFormat="1" ht="72" customHeight="1" outlineLevel="2" spans="1:18">
      <c r="A614" s="41">
        <f>1+N(A613)</f>
        <v>5</v>
      </c>
      <c r="B614" s="28" t="s">
        <v>36</v>
      </c>
      <c r="C614" s="28" t="s">
        <v>37</v>
      </c>
      <c r="D614" s="28" t="s">
        <v>25</v>
      </c>
      <c r="E614" s="28" t="s">
        <v>38</v>
      </c>
      <c r="F614" s="29" t="s">
        <v>39</v>
      </c>
      <c r="G614" s="30">
        <v>1.96</v>
      </c>
      <c r="H614" s="31">
        <v>89.27</v>
      </c>
      <c r="I614" s="39"/>
      <c r="J614" s="31">
        <f>H614*(1-$I$4)</f>
        <v>89.27</v>
      </c>
      <c r="K614" s="33">
        <f>ROUND(G614*J614,2)</f>
        <v>174.97</v>
      </c>
      <c r="L614" s="34" t="s">
        <v>28</v>
      </c>
      <c r="M614" s="35"/>
      <c r="N614" s="3">
        <v>1</v>
      </c>
      <c r="O614" s="21">
        <v>35.28</v>
      </c>
      <c r="P614" s="22" t="s">
        <v>40</v>
      </c>
      <c r="Q614" s="38"/>
      <c r="R614" s="38"/>
    </row>
    <row r="615" s="3" customFormat="1" outlineLevel="1" spans="1:18">
      <c r="A615" s="40"/>
      <c r="B615" s="28" t="s">
        <v>44</v>
      </c>
      <c r="C615" s="28"/>
      <c r="D615" s="28"/>
      <c r="E615" s="28"/>
      <c r="F615" s="29"/>
      <c r="G615" s="30"/>
      <c r="H615" s="31"/>
      <c r="I615" s="39"/>
      <c r="J615" s="31"/>
      <c r="K615" s="33"/>
      <c r="L615" s="34"/>
      <c r="M615" s="35"/>
      <c r="O615" s="36"/>
      <c r="P615" s="37"/>
      <c r="Q615" s="38"/>
      <c r="R615" s="38"/>
    </row>
    <row r="616" s="3" customFormat="1" ht="96" customHeight="1" outlineLevel="2" spans="1:18">
      <c r="A616" s="41">
        <f>1+N(A615)</f>
        <v>1</v>
      </c>
      <c r="B616" s="28" t="s">
        <v>458</v>
      </c>
      <c r="C616" s="28" t="s">
        <v>459</v>
      </c>
      <c r="D616" s="28" t="s">
        <v>59</v>
      </c>
      <c r="E616" s="28" t="s">
        <v>390</v>
      </c>
      <c r="F616" s="29" t="s">
        <v>27</v>
      </c>
      <c r="G616" s="30">
        <v>59.15</v>
      </c>
      <c r="H616" s="31">
        <v>299.99</v>
      </c>
      <c r="I616" s="39"/>
      <c r="J616" s="31">
        <f>H616*(1-$I$4)</f>
        <v>299.99</v>
      </c>
      <c r="K616" s="33">
        <f>ROUND(G616*J616,2)</f>
        <v>17744.41</v>
      </c>
      <c r="L616" s="34" t="s">
        <v>28</v>
      </c>
      <c r="M616" s="35"/>
      <c r="N616" s="3">
        <v>1</v>
      </c>
      <c r="O616" s="21">
        <v>248.05</v>
      </c>
      <c r="P616" s="22" t="s">
        <v>460</v>
      </c>
      <c r="Q616" s="38"/>
      <c r="R616" s="38"/>
    </row>
    <row r="617" s="3" customFormat="1" ht="96" customHeight="1" outlineLevel="2" spans="1:18">
      <c r="A617" s="41">
        <f>1+N(A616)</f>
        <v>2</v>
      </c>
      <c r="B617" s="28" t="s">
        <v>75</v>
      </c>
      <c r="C617" s="28" t="s">
        <v>76</v>
      </c>
      <c r="D617" s="28" t="s">
        <v>59</v>
      </c>
      <c r="E617" s="28" t="s">
        <v>38</v>
      </c>
      <c r="F617" s="29" t="s">
        <v>39</v>
      </c>
      <c r="G617" s="30">
        <v>20.06</v>
      </c>
      <c r="H617" s="31">
        <v>67.08</v>
      </c>
      <c r="I617" s="39"/>
      <c r="J617" s="31">
        <f>H617*(1-$I$4)</f>
        <v>67.08</v>
      </c>
      <c r="K617" s="33">
        <f>ROUND(G617*J617,2)</f>
        <v>1345.62</v>
      </c>
      <c r="L617" s="34" t="s">
        <v>28</v>
      </c>
      <c r="M617" s="35"/>
      <c r="N617" s="3">
        <v>1</v>
      </c>
      <c r="O617" s="21">
        <v>45.71</v>
      </c>
      <c r="P617" s="22" t="s">
        <v>77</v>
      </c>
      <c r="Q617" s="38"/>
      <c r="R617" s="38"/>
    </row>
    <row r="618" s="3" customFormat="1" ht="60" customHeight="1" outlineLevel="2" spans="1:18">
      <c r="A618" s="41">
        <f>1+N(A617)</f>
        <v>3</v>
      </c>
      <c r="B618" s="28" t="s">
        <v>311</v>
      </c>
      <c r="C618" s="28" t="s">
        <v>312</v>
      </c>
      <c r="D618" s="28" t="s">
        <v>98</v>
      </c>
      <c r="E618" s="28" t="s">
        <v>115</v>
      </c>
      <c r="F618" s="29" t="s">
        <v>27</v>
      </c>
      <c r="G618" s="30">
        <v>1.54</v>
      </c>
      <c r="H618" s="31">
        <v>630.65</v>
      </c>
      <c r="I618" s="39"/>
      <c r="J618" s="31">
        <f>H618*(1-$I$4)</f>
        <v>630.65</v>
      </c>
      <c r="K618" s="33">
        <f>ROUND(G618*J618,2)</f>
        <v>971.2</v>
      </c>
      <c r="L618" s="34" t="s">
        <v>28</v>
      </c>
      <c r="M618" s="35"/>
      <c r="N618" s="3">
        <v>1</v>
      </c>
      <c r="O618" s="21">
        <v>681.67</v>
      </c>
      <c r="P618" s="22" t="s">
        <v>64</v>
      </c>
      <c r="Q618" s="38"/>
      <c r="R618" s="38"/>
    </row>
    <row r="619" s="3" customFormat="1" outlineLevel="1" spans="1:18">
      <c r="A619" s="40"/>
      <c r="B619" s="28" t="s">
        <v>90</v>
      </c>
      <c r="C619" s="28"/>
      <c r="D619" s="28"/>
      <c r="E619" s="28"/>
      <c r="F619" s="29"/>
      <c r="G619" s="30"/>
      <c r="H619" s="31"/>
      <c r="I619" s="39"/>
      <c r="J619" s="31"/>
      <c r="K619" s="33"/>
      <c r="L619" s="34"/>
      <c r="M619" s="35"/>
      <c r="O619" s="36"/>
      <c r="P619" s="37"/>
      <c r="Q619" s="38"/>
      <c r="R619" s="38"/>
    </row>
    <row r="620" s="3" customFormat="1" ht="168" customHeight="1" outlineLevel="2" spans="1:18">
      <c r="A620" s="41">
        <f t="shared" ref="A620:A625" si="81">1+N(A619)</f>
        <v>1</v>
      </c>
      <c r="B620" s="28" t="s">
        <v>91</v>
      </c>
      <c r="C620" s="28" t="s">
        <v>92</v>
      </c>
      <c r="D620" s="28" t="s">
        <v>93</v>
      </c>
      <c r="E620" s="28" t="s">
        <v>94</v>
      </c>
      <c r="F620" s="29" t="s">
        <v>27</v>
      </c>
      <c r="G620" s="30">
        <v>23.89</v>
      </c>
      <c r="H620" s="31">
        <v>174.57</v>
      </c>
      <c r="I620" s="39"/>
      <c r="J620" s="31">
        <f t="shared" ref="J620:J625" si="82">H620*(1-$I$4)</f>
        <v>174.57</v>
      </c>
      <c r="K620" s="33">
        <f t="shared" ref="K620:K625" si="83">ROUND(G620*J620,2)</f>
        <v>4170.48</v>
      </c>
      <c r="L620" s="34" t="s">
        <v>28</v>
      </c>
      <c r="M620" s="35"/>
      <c r="N620" s="3">
        <v>1</v>
      </c>
      <c r="O620" s="21">
        <v>150.38</v>
      </c>
      <c r="P620" s="22" t="s">
        <v>95</v>
      </c>
      <c r="Q620" s="38"/>
      <c r="R620" s="38"/>
    </row>
    <row r="621" s="3" customFormat="1" ht="48" customHeight="1" outlineLevel="2" spans="1:18">
      <c r="A621" s="41">
        <f t="shared" si="81"/>
        <v>2</v>
      </c>
      <c r="B621" s="28" t="s">
        <v>96</v>
      </c>
      <c r="C621" s="28" t="s">
        <v>97</v>
      </c>
      <c r="D621" s="28" t="s">
        <v>98</v>
      </c>
      <c r="E621" s="28" t="s">
        <v>99</v>
      </c>
      <c r="F621" s="29" t="s">
        <v>39</v>
      </c>
      <c r="G621" s="30">
        <v>11.5</v>
      </c>
      <c r="H621" s="31">
        <v>112.16</v>
      </c>
      <c r="I621" s="39"/>
      <c r="J621" s="31">
        <f t="shared" si="82"/>
        <v>112.16</v>
      </c>
      <c r="K621" s="33">
        <f t="shared" si="83"/>
        <v>1289.84</v>
      </c>
      <c r="L621" s="34" t="s">
        <v>28</v>
      </c>
      <c r="M621" s="35"/>
      <c r="N621" s="3">
        <v>1</v>
      </c>
      <c r="O621" s="21">
        <v>79.3</v>
      </c>
      <c r="P621" s="22" t="s">
        <v>100</v>
      </c>
      <c r="Q621" s="38"/>
      <c r="R621" s="38"/>
    </row>
    <row r="622" s="3" customFormat="1" ht="48" customHeight="1" outlineLevel="2" spans="1:18">
      <c r="A622" s="41">
        <f t="shared" si="81"/>
        <v>3</v>
      </c>
      <c r="B622" s="28" t="s">
        <v>101</v>
      </c>
      <c r="C622" s="28" t="s">
        <v>102</v>
      </c>
      <c r="D622" s="28" t="s">
        <v>98</v>
      </c>
      <c r="E622" s="28" t="s">
        <v>99</v>
      </c>
      <c r="F622" s="29" t="s">
        <v>39</v>
      </c>
      <c r="G622" s="30">
        <v>11.5</v>
      </c>
      <c r="H622" s="31">
        <v>75.82</v>
      </c>
      <c r="I622" s="39"/>
      <c r="J622" s="31">
        <f t="shared" si="82"/>
        <v>75.82</v>
      </c>
      <c r="K622" s="33">
        <f t="shared" si="83"/>
        <v>871.93</v>
      </c>
      <c r="L622" s="34" t="s">
        <v>28</v>
      </c>
      <c r="M622" s="35"/>
      <c r="N622" s="3">
        <v>1</v>
      </c>
      <c r="O622" s="21">
        <v>203.56</v>
      </c>
      <c r="P622" s="22" t="s">
        <v>103</v>
      </c>
      <c r="Q622" s="38"/>
      <c r="R622" s="38"/>
    </row>
    <row r="623" s="3" customFormat="1" ht="60" customHeight="1" outlineLevel="2" spans="1:18">
      <c r="A623" s="41">
        <f t="shared" si="81"/>
        <v>4</v>
      </c>
      <c r="B623" s="28" t="s">
        <v>356</v>
      </c>
      <c r="C623" s="28" t="s">
        <v>357</v>
      </c>
      <c r="D623" s="28" t="s">
        <v>98</v>
      </c>
      <c r="E623" s="28" t="s">
        <v>99</v>
      </c>
      <c r="F623" s="29" t="s">
        <v>39</v>
      </c>
      <c r="G623" s="30">
        <v>7.34</v>
      </c>
      <c r="H623" s="31">
        <v>123.19</v>
      </c>
      <c r="I623" s="39"/>
      <c r="J623" s="31">
        <f t="shared" si="82"/>
        <v>123.19</v>
      </c>
      <c r="K623" s="33">
        <f t="shared" si="83"/>
        <v>904.21</v>
      </c>
      <c r="L623" s="34" t="s">
        <v>28</v>
      </c>
      <c r="M623" s="35"/>
      <c r="N623" s="3">
        <v>1</v>
      </c>
      <c r="O623" s="21">
        <v>93.14</v>
      </c>
      <c r="P623" s="22" t="s">
        <v>358</v>
      </c>
      <c r="Q623" s="38"/>
      <c r="R623" s="38"/>
    </row>
    <row r="624" s="3" customFormat="1" ht="48" customHeight="1" outlineLevel="2" spans="1:18">
      <c r="A624" s="41">
        <f t="shared" si="81"/>
        <v>5</v>
      </c>
      <c r="B624" s="28" t="s">
        <v>104</v>
      </c>
      <c r="C624" s="28" t="s">
        <v>105</v>
      </c>
      <c r="D624" s="28" t="s">
        <v>98</v>
      </c>
      <c r="E624" s="28" t="s">
        <v>99</v>
      </c>
      <c r="F624" s="29" t="s">
        <v>39</v>
      </c>
      <c r="G624" s="30">
        <v>2.4</v>
      </c>
      <c r="H624" s="31">
        <v>109.74</v>
      </c>
      <c r="I624" s="39"/>
      <c r="J624" s="31">
        <f t="shared" si="82"/>
        <v>109.74</v>
      </c>
      <c r="K624" s="33">
        <f t="shared" si="83"/>
        <v>263.38</v>
      </c>
      <c r="L624" s="34" t="s">
        <v>28</v>
      </c>
      <c r="M624" s="35"/>
      <c r="N624" s="3">
        <v>1</v>
      </c>
      <c r="O624" s="21">
        <v>108.2</v>
      </c>
      <c r="P624" s="22" t="s">
        <v>106</v>
      </c>
      <c r="Q624" s="38"/>
      <c r="R624" s="38"/>
    </row>
    <row r="625" s="3" customFormat="1" ht="132" customHeight="1" outlineLevel="2" spans="1:18">
      <c r="A625" s="41">
        <f t="shared" si="81"/>
        <v>6</v>
      </c>
      <c r="B625" s="28" t="s">
        <v>107</v>
      </c>
      <c r="C625" s="28" t="s">
        <v>108</v>
      </c>
      <c r="D625" s="28" t="s">
        <v>109</v>
      </c>
      <c r="E625" s="28" t="s">
        <v>110</v>
      </c>
      <c r="F625" s="29" t="s">
        <v>27</v>
      </c>
      <c r="G625" s="30">
        <v>23.89</v>
      </c>
      <c r="H625" s="31">
        <v>152.22</v>
      </c>
      <c r="I625" s="39"/>
      <c r="J625" s="31">
        <f t="shared" si="82"/>
        <v>152.22</v>
      </c>
      <c r="K625" s="33">
        <f t="shared" si="83"/>
        <v>3636.54</v>
      </c>
      <c r="L625" s="34" t="s">
        <v>28</v>
      </c>
      <c r="M625" s="35"/>
      <c r="N625" s="3">
        <v>1</v>
      </c>
      <c r="O625" s="21">
        <v>151.58</v>
      </c>
      <c r="P625" s="22" t="s">
        <v>111</v>
      </c>
      <c r="Q625" s="38"/>
      <c r="R625" s="38"/>
    </row>
    <row r="626" s="3" customFormat="1" outlineLevel="1" spans="1:18">
      <c r="A626" s="40"/>
      <c r="B626" s="28" t="s">
        <v>112</v>
      </c>
      <c r="C626" s="28"/>
      <c r="D626" s="28"/>
      <c r="E626" s="28"/>
      <c r="F626" s="29"/>
      <c r="G626" s="30"/>
      <c r="H626" s="31"/>
      <c r="I626" s="39"/>
      <c r="J626" s="31"/>
      <c r="K626" s="33"/>
      <c r="L626" s="34"/>
      <c r="M626" s="35"/>
      <c r="O626" s="36"/>
      <c r="P626" s="37"/>
      <c r="Q626" s="38"/>
      <c r="R626" s="38"/>
    </row>
    <row r="627" s="3" customFormat="1" ht="84" customHeight="1" outlineLevel="2" spans="1:18">
      <c r="A627" s="41">
        <f>1+N(A626)</f>
        <v>1</v>
      </c>
      <c r="B627" s="28" t="s">
        <v>461</v>
      </c>
      <c r="C627" s="28" t="s">
        <v>398</v>
      </c>
      <c r="D627" s="28" t="s">
        <v>98</v>
      </c>
      <c r="E627" s="28" t="s">
        <v>115</v>
      </c>
      <c r="F627" s="29" t="s">
        <v>27</v>
      </c>
      <c r="G627" s="30">
        <v>3.54</v>
      </c>
      <c r="H627" s="31">
        <v>2447.18</v>
      </c>
      <c r="I627" s="39"/>
      <c r="J627" s="31">
        <f>H627*(1-$I$4)</f>
        <v>2447.18</v>
      </c>
      <c r="K627" s="33">
        <f>ROUND(G627*J627,2)</f>
        <v>8663.02</v>
      </c>
      <c r="L627" s="34" t="s">
        <v>28</v>
      </c>
      <c r="M627" s="35"/>
      <c r="N627" s="3">
        <v>1</v>
      </c>
      <c r="O627" s="21">
        <v>1565.85</v>
      </c>
      <c r="P627" s="22" t="s">
        <v>399</v>
      </c>
      <c r="Q627" s="38"/>
      <c r="R627" s="38"/>
    </row>
    <row r="628" s="3" customFormat="1" outlineLevel="1" spans="1:18">
      <c r="A628" s="27" t="s">
        <v>179</v>
      </c>
      <c r="B628" s="28" t="s">
        <v>462</v>
      </c>
      <c r="C628" s="28"/>
      <c r="D628" s="28"/>
      <c r="E628" s="28"/>
      <c r="F628" s="29"/>
      <c r="G628" s="30"/>
      <c r="H628" s="31"/>
      <c r="I628" s="39"/>
      <c r="J628" s="31"/>
      <c r="K628" s="33"/>
      <c r="L628" s="34"/>
      <c r="M628" s="35"/>
      <c r="O628" s="36"/>
      <c r="P628" s="37"/>
      <c r="Q628" s="38"/>
      <c r="R628" s="38"/>
    </row>
    <row r="629" s="3" customFormat="1" outlineLevel="1" spans="1:18">
      <c r="A629" s="40"/>
      <c r="B629" s="28" t="s">
        <v>22</v>
      </c>
      <c r="C629" s="28"/>
      <c r="D629" s="28"/>
      <c r="E629" s="28"/>
      <c r="F629" s="29"/>
      <c r="G629" s="30"/>
      <c r="H629" s="31"/>
      <c r="I629" s="39"/>
      <c r="J629" s="31"/>
      <c r="K629" s="33"/>
      <c r="L629" s="34"/>
      <c r="M629" s="35"/>
      <c r="O629" s="36"/>
      <c r="P629" s="37"/>
      <c r="Q629" s="38"/>
      <c r="R629" s="38"/>
    </row>
    <row r="630" s="3" customFormat="1" ht="72" customHeight="1" outlineLevel="2" spans="1:18">
      <c r="A630" s="41">
        <f>1+N(A629)</f>
        <v>1</v>
      </c>
      <c r="B630" s="28" t="s">
        <v>443</v>
      </c>
      <c r="C630" s="28" t="s">
        <v>444</v>
      </c>
      <c r="D630" s="28" t="s">
        <v>251</v>
      </c>
      <c r="E630" s="28" t="s">
        <v>26</v>
      </c>
      <c r="F630" s="29" t="s">
        <v>27</v>
      </c>
      <c r="G630" s="30">
        <v>20.76</v>
      </c>
      <c r="H630" s="31">
        <v>569.06</v>
      </c>
      <c r="I630" s="39"/>
      <c r="J630" s="31">
        <f>H630*(1-$I$4)</f>
        <v>569.06</v>
      </c>
      <c r="K630" s="33">
        <f>ROUND(G630*J630,2)</f>
        <v>11813.69</v>
      </c>
      <c r="L630" s="34" t="s">
        <v>28</v>
      </c>
      <c r="M630" s="35"/>
      <c r="N630" s="3">
        <v>1</v>
      </c>
      <c r="O630" s="21">
        <v>318.18</v>
      </c>
      <c r="P630" s="22" t="s">
        <v>445</v>
      </c>
      <c r="Q630" s="38"/>
      <c r="R630" s="38"/>
    </row>
    <row r="631" s="3" customFormat="1" ht="156" customHeight="1" outlineLevel="2" spans="1:18">
      <c r="A631" s="41">
        <f>1+N(A630)</f>
        <v>2</v>
      </c>
      <c r="B631" s="28" t="s">
        <v>192</v>
      </c>
      <c r="C631" s="28" t="s">
        <v>413</v>
      </c>
      <c r="D631" s="28" t="s">
        <v>194</v>
      </c>
      <c r="E631" s="28" t="s">
        <v>195</v>
      </c>
      <c r="F631" s="29" t="s">
        <v>27</v>
      </c>
      <c r="G631" s="30">
        <v>20.76</v>
      </c>
      <c r="H631" s="31">
        <v>78.51</v>
      </c>
      <c r="I631" s="39"/>
      <c r="J631" s="31">
        <f>H631*(1-$I$4)</f>
        <v>78.51</v>
      </c>
      <c r="K631" s="33">
        <f>ROUND(G631*J631,2)</f>
        <v>1629.87</v>
      </c>
      <c r="L631" s="34" t="s">
        <v>28</v>
      </c>
      <c r="M631" s="35"/>
      <c r="N631" s="3">
        <v>1</v>
      </c>
      <c r="O631" s="21">
        <v>65.78</v>
      </c>
      <c r="P631" s="22" t="s">
        <v>248</v>
      </c>
      <c r="Q631" s="38"/>
      <c r="R631" s="38"/>
    </row>
    <row r="632" s="3" customFormat="1" ht="108" customHeight="1" outlineLevel="2" spans="1:18">
      <c r="A632" s="41">
        <f>1+N(A631)</f>
        <v>3</v>
      </c>
      <c r="B632" s="28" t="s">
        <v>23</v>
      </c>
      <c r="C632" s="28" t="s">
        <v>24</v>
      </c>
      <c r="D632" s="28" t="s">
        <v>25</v>
      </c>
      <c r="E632" s="28" t="s">
        <v>26</v>
      </c>
      <c r="F632" s="29" t="s">
        <v>27</v>
      </c>
      <c r="G632" s="30">
        <v>0.39</v>
      </c>
      <c r="H632" s="31">
        <v>940.91</v>
      </c>
      <c r="I632" s="39"/>
      <c r="J632" s="31">
        <f>H632*(1-$I$4)</f>
        <v>940.91</v>
      </c>
      <c r="K632" s="33">
        <f>ROUND(G632*J632,2)</f>
        <v>366.95</v>
      </c>
      <c r="L632" s="34" t="s">
        <v>28</v>
      </c>
      <c r="M632" s="35"/>
      <c r="N632" s="3">
        <v>1</v>
      </c>
      <c r="O632" s="21">
        <v>886.6</v>
      </c>
      <c r="P632" s="22" t="s">
        <v>29</v>
      </c>
      <c r="Q632" s="38"/>
      <c r="R632" s="38"/>
    </row>
    <row r="633" s="3" customFormat="1" ht="72" customHeight="1" outlineLevel="2" spans="1:18">
      <c r="A633" s="41">
        <f>1+N(A632)</f>
        <v>4</v>
      </c>
      <c r="B633" s="28" t="s">
        <v>41</v>
      </c>
      <c r="C633" s="28" t="s">
        <v>42</v>
      </c>
      <c r="D633" s="28" t="s">
        <v>25</v>
      </c>
      <c r="E633" s="28" t="s">
        <v>26</v>
      </c>
      <c r="F633" s="29" t="s">
        <v>27</v>
      </c>
      <c r="G633" s="30">
        <v>0.39</v>
      </c>
      <c r="H633" s="31">
        <v>64.9</v>
      </c>
      <c r="I633" s="39"/>
      <c r="J633" s="31">
        <f>H633*(1-$I$4)</f>
        <v>64.9</v>
      </c>
      <c r="K633" s="33">
        <f>ROUND(G633*J633,2)</f>
        <v>25.31</v>
      </c>
      <c r="L633" s="34" t="s">
        <v>28</v>
      </c>
      <c r="M633" s="35"/>
      <c r="N633" s="3">
        <v>1</v>
      </c>
      <c r="O633" s="21">
        <v>61.38</v>
      </c>
      <c r="P633" s="22" t="s">
        <v>43</v>
      </c>
      <c r="Q633" s="38"/>
      <c r="R633" s="38"/>
    </row>
    <row r="634" s="3" customFormat="1" ht="72" customHeight="1" outlineLevel="2" spans="1:18">
      <c r="A634" s="41">
        <f>1+N(A633)</f>
        <v>5</v>
      </c>
      <c r="B634" s="28" t="s">
        <v>36</v>
      </c>
      <c r="C634" s="28" t="s">
        <v>37</v>
      </c>
      <c r="D634" s="28" t="s">
        <v>25</v>
      </c>
      <c r="E634" s="28" t="s">
        <v>38</v>
      </c>
      <c r="F634" s="29" t="s">
        <v>39</v>
      </c>
      <c r="G634" s="30">
        <v>1.96</v>
      </c>
      <c r="H634" s="31">
        <v>89.27</v>
      </c>
      <c r="I634" s="39"/>
      <c r="J634" s="31">
        <f>H634*(1-$I$4)</f>
        <v>89.27</v>
      </c>
      <c r="K634" s="33">
        <f>ROUND(G634*J634,2)</f>
        <v>174.97</v>
      </c>
      <c r="L634" s="34" t="s">
        <v>28</v>
      </c>
      <c r="M634" s="35"/>
      <c r="N634" s="3">
        <v>1</v>
      </c>
      <c r="O634" s="21">
        <v>35.28</v>
      </c>
      <c r="P634" s="22" t="s">
        <v>40</v>
      </c>
      <c r="Q634" s="38"/>
      <c r="R634" s="38"/>
    </row>
    <row r="635" s="3" customFormat="1" outlineLevel="1" spans="1:18">
      <c r="A635" s="40"/>
      <c r="B635" s="28" t="s">
        <v>44</v>
      </c>
      <c r="C635" s="28"/>
      <c r="D635" s="28"/>
      <c r="E635" s="28"/>
      <c r="F635" s="29"/>
      <c r="G635" s="30"/>
      <c r="H635" s="31"/>
      <c r="I635" s="39"/>
      <c r="J635" s="31"/>
      <c r="K635" s="33"/>
      <c r="L635" s="34"/>
      <c r="M635" s="35"/>
      <c r="O635" s="36"/>
      <c r="P635" s="37"/>
      <c r="Q635" s="38"/>
      <c r="R635" s="38"/>
    </row>
    <row r="636" s="3" customFormat="1" ht="96" customHeight="1" outlineLevel="2" spans="1:18">
      <c r="A636" s="41">
        <f>1+N(A635)</f>
        <v>1</v>
      </c>
      <c r="B636" s="28" t="s">
        <v>458</v>
      </c>
      <c r="C636" s="28" t="s">
        <v>459</v>
      </c>
      <c r="D636" s="28" t="s">
        <v>59</v>
      </c>
      <c r="E636" s="28" t="s">
        <v>390</v>
      </c>
      <c r="F636" s="29" t="s">
        <v>27</v>
      </c>
      <c r="G636" s="30">
        <v>64.68</v>
      </c>
      <c r="H636" s="31">
        <v>279.34</v>
      </c>
      <c r="I636" s="39"/>
      <c r="J636" s="31">
        <f>H636*(1-$I$4)</f>
        <v>279.34</v>
      </c>
      <c r="K636" s="33">
        <f>ROUND(G636*J636,2)</f>
        <v>18067.71</v>
      </c>
      <c r="L636" s="34" t="s">
        <v>28</v>
      </c>
      <c r="M636" s="35"/>
      <c r="N636" s="3">
        <v>1</v>
      </c>
      <c r="O636" s="21">
        <v>248.05</v>
      </c>
      <c r="P636" s="22" t="s">
        <v>463</v>
      </c>
      <c r="Q636" s="38"/>
      <c r="R636" s="38"/>
    </row>
    <row r="637" s="3" customFormat="1" ht="120" customHeight="1" outlineLevel="2" spans="1:18">
      <c r="A637" s="41">
        <f>1+N(A636)</f>
        <v>2</v>
      </c>
      <c r="B637" s="28" t="s">
        <v>61</v>
      </c>
      <c r="C637" s="28" t="s">
        <v>62</v>
      </c>
      <c r="D637" s="28" t="s">
        <v>52</v>
      </c>
      <c r="E637" s="28" t="s">
        <v>63</v>
      </c>
      <c r="F637" s="29" t="s">
        <v>27</v>
      </c>
      <c r="G637" s="30">
        <v>4.23</v>
      </c>
      <c r="H637" s="31">
        <v>630.65</v>
      </c>
      <c r="I637" s="39"/>
      <c r="J637" s="31">
        <f>H637*(1-$I$4)</f>
        <v>630.65</v>
      </c>
      <c r="K637" s="33">
        <f>ROUND(G637*J637,2)</f>
        <v>2667.65</v>
      </c>
      <c r="L637" s="34" t="s">
        <v>28</v>
      </c>
      <c r="M637" s="35"/>
      <c r="N637" s="3">
        <v>1</v>
      </c>
      <c r="O637" s="21">
        <v>681.67</v>
      </c>
      <c r="P637" s="22" t="s">
        <v>64</v>
      </c>
      <c r="Q637" s="38"/>
      <c r="R637" s="38"/>
    </row>
    <row r="638" s="3" customFormat="1" ht="96" customHeight="1" outlineLevel="2" spans="1:18">
      <c r="A638" s="41">
        <f>1+N(A637)</f>
        <v>3</v>
      </c>
      <c r="B638" s="28" t="s">
        <v>75</v>
      </c>
      <c r="C638" s="28" t="s">
        <v>76</v>
      </c>
      <c r="D638" s="28" t="s">
        <v>59</v>
      </c>
      <c r="E638" s="28" t="s">
        <v>38</v>
      </c>
      <c r="F638" s="29" t="s">
        <v>39</v>
      </c>
      <c r="G638" s="30">
        <v>21.45</v>
      </c>
      <c r="H638" s="31">
        <v>67.08</v>
      </c>
      <c r="I638" s="39"/>
      <c r="J638" s="31">
        <f>H638*(1-$I$4)</f>
        <v>67.08</v>
      </c>
      <c r="K638" s="33">
        <f>ROUND(G638*J638,2)</f>
        <v>1438.87</v>
      </c>
      <c r="L638" s="34" t="s">
        <v>28</v>
      </c>
      <c r="M638" s="35"/>
      <c r="N638" s="3">
        <v>1</v>
      </c>
      <c r="O638" s="21">
        <v>45.71</v>
      </c>
      <c r="P638" s="22" t="s">
        <v>77</v>
      </c>
      <c r="Q638" s="38"/>
      <c r="R638" s="38"/>
    </row>
    <row r="639" s="3" customFormat="1" ht="60" customHeight="1" outlineLevel="2" spans="1:18">
      <c r="A639" s="41">
        <f>1+N(A638)</f>
        <v>4</v>
      </c>
      <c r="B639" s="28" t="s">
        <v>311</v>
      </c>
      <c r="C639" s="28" t="s">
        <v>312</v>
      </c>
      <c r="D639" s="28" t="s">
        <v>98</v>
      </c>
      <c r="E639" s="28" t="s">
        <v>115</v>
      </c>
      <c r="F639" s="29" t="s">
        <v>27</v>
      </c>
      <c r="G639" s="30">
        <v>1.51</v>
      </c>
      <c r="H639" s="31">
        <v>630.65</v>
      </c>
      <c r="I639" s="39"/>
      <c r="J639" s="31">
        <f>H639*(1-$I$4)</f>
        <v>630.65</v>
      </c>
      <c r="K639" s="33">
        <f>ROUND(G639*J639,2)</f>
        <v>952.28</v>
      </c>
      <c r="L639" s="34" t="s">
        <v>28</v>
      </c>
      <c r="M639" s="35"/>
      <c r="N639" s="3">
        <v>1</v>
      </c>
      <c r="O639" s="21">
        <v>681.67</v>
      </c>
      <c r="P639" s="22" t="s">
        <v>64</v>
      </c>
      <c r="Q639" s="38"/>
      <c r="R639" s="38"/>
    </row>
    <row r="640" s="3" customFormat="1" outlineLevel="1" spans="1:18">
      <c r="A640" s="40"/>
      <c r="B640" s="28" t="s">
        <v>90</v>
      </c>
      <c r="C640" s="28"/>
      <c r="D640" s="28"/>
      <c r="E640" s="28"/>
      <c r="F640" s="29"/>
      <c r="G640" s="30"/>
      <c r="H640" s="31"/>
      <c r="I640" s="39"/>
      <c r="J640" s="31"/>
      <c r="K640" s="33"/>
      <c r="L640" s="34"/>
      <c r="M640" s="35"/>
      <c r="O640" s="36"/>
      <c r="P640" s="37"/>
      <c r="Q640" s="38"/>
      <c r="R640" s="38"/>
    </row>
    <row r="641" s="3" customFormat="1" ht="168" customHeight="1" outlineLevel="2" spans="1:18">
      <c r="A641" s="41">
        <f t="shared" ref="A641:A646" si="84">1+N(A640)</f>
        <v>1</v>
      </c>
      <c r="B641" s="28" t="s">
        <v>91</v>
      </c>
      <c r="C641" s="28" t="s">
        <v>92</v>
      </c>
      <c r="D641" s="28" t="s">
        <v>93</v>
      </c>
      <c r="E641" s="28" t="s">
        <v>94</v>
      </c>
      <c r="F641" s="29" t="s">
        <v>27</v>
      </c>
      <c r="G641" s="30">
        <v>20.76</v>
      </c>
      <c r="H641" s="31">
        <v>174.57</v>
      </c>
      <c r="I641" s="39"/>
      <c r="J641" s="31">
        <f t="shared" ref="J641:J646" si="85">H641*(1-$I$4)</f>
        <v>174.57</v>
      </c>
      <c r="K641" s="33">
        <f t="shared" ref="K641:K646" si="86">ROUND(G641*J641,2)</f>
        <v>3624.07</v>
      </c>
      <c r="L641" s="34" t="s">
        <v>28</v>
      </c>
      <c r="M641" s="35"/>
      <c r="N641" s="3">
        <v>1</v>
      </c>
      <c r="O641" s="21">
        <v>150.38</v>
      </c>
      <c r="P641" s="22" t="s">
        <v>95</v>
      </c>
      <c r="Q641" s="38"/>
      <c r="R641" s="38"/>
    </row>
    <row r="642" s="3" customFormat="1" ht="48" customHeight="1" outlineLevel="2" spans="1:18">
      <c r="A642" s="41">
        <f t="shared" si="84"/>
        <v>2</v>
      </c>
      <c r="B642" s="28" t="s">
        <v>96</v>
      </c>
      <c r="C642" s="28" t="s">
        <v>97</v>
      </c>
      <c r="D642" s="28" t="s">
        <v>98</v>
      </c>
      <c r="E642" s="28" t="s">
        <v>99</v>
      </c>
      <c r="F642" s="29" t="s">
        <v>39</v>
      </c>
      <c r="G642" s="30">
        <v>12.65</v>
      </c>
      <c r="H642" s="31">
        <v>112.16</v>
      </c>
      <c r="I642" s="39"/>
      <c r="J642" s="31">
        <f t="shared" si="85"/>
        <v>112.16</v>
      </c>
      <c r="K642" s="33">
        <f t="shared" si="86"/>
        <v>1418.82</v>
      </c>
      <c r="L642" s="34" t="s">
        <v>28</v>
      </c>
      <c r="M642" s="35"/>
      <c r="N642" s="3">
        <v>1</v>
      </c>
      <c r="O642" s="21">
        <v>79.3</v>
      </c>
      <c r="P642" s="22" t="s">
        <v>100</v>
      </c>
      <c r="Q642" s="38"/>
      <c r="R642" s="38"/>
    </row>
    <row r="643" s="3" customFormat="1" ht="48" customHeight="1" outlineLevel="2" spans="1:18">
      <c r="A643" s="41">
        <f t="shared" si="84"/>
        <v>3</v>
      </c>
      <c r="B643" s="28" t="s">
        <v>101</v>
      </c>
      <c r="C643" s="28" t="s">
        <v>102</v>
      </c>
      <c r="D643" s="28" t="s">
        <v>98</v>
      </c>
      <c r="E643" s="28" t="s">
        <v>99</v>
      </c>
      <c r="F643" s="29" t="s">
        <v>39</v>
      </c>
      <c r="G643" s="30">
        <v>12.65</v>
      </c>
      <c r="H643" s="31">
        <v>75.82</v>
      </c>
      <c r="I643" s="39"/>
      <c r="J643" s="31">
        <f t="shared" si="85"/>
        <v>75.82</v>
      </c>
      <c r="K643" s="33">
        <f t="shared" si="86"/>
        <v>959.12</v>
      </c>
      <c r="L643" s="34" t="s">
        <v>28</v>
      </c>
      <c r="M643" s="35"/>
      <c r="N643" s="3">
        <v>1</v>
      </c>
      <c r="O643" s="21">
        <v>203.56</v>
      </c>
      <c r="P643" s="22" t="s">
        <v>103</v>
      </c>
      <c r="Q643" s="38"/>
      <c r="R643" s="38"/>
    </row>
    <row r="644" s="3" customFormat="1" ht="60" customHeight="1" outlineLevel="2" spans="1:18">
      <c r="A644" s="41">
        <f t="shared" si="84"/>
        <v>4</v>
      </c>
      <c r="B644" s="28" t="s">
        <v>356</v>
      </c>
      <c r="C644" s="28" t="s">
        <v>357</v>
      </c>
      <c r="D644" s="28" t="s">
        <v>98</v>
      </c>
      <c r="E644" s="28" t="s">
        <v>99</v>
      </c>
      <c r="F644" s="29" t="s">
        <v>39</v>
      </c>
      <c r="G644" s="30">
        <v>4.5</v>
      </c>
      <c r="H644" s="31">
        <v>123.19</v>
      </c>
      <c r="I644" s="39"/>
      <c r="J644" s="31">
        <f t="shared" si="85"/>
        <v>123.19</v>
      </c>
      <c r="K644" s="33">
        <f t="shared" si="86"/>
        <v>554.36</v>
      </c>
      <c r="L644" s="34" t="s">
        <v>28</v>
      </c>
      <c r="M644" s="35"/>
      <c r="N644" s="3">
        <v>1</v>
      </c>
      <c r="O644" s="21">
        <v>93.14</v>
      </c>
      <c r="P644" s="22" t="s">
        <v>358</v>
      </c>
      <c r="Q644" s="38"/>
      <c r="R644" s="38"/>
    </row>
    <row r="645" s="3" customFormat="1" ht="48" customHeight="1" outlineLevel="2" spans="1:18">
      <c r="A645" s="41">
        <f t="shared" si="84"/>
        <v>5</v>
      </c>
      <c r="B645" s="28" t="s">
        <v>104</v>
      </c>
      <c r="C645" s="28" t="s">
        <v>105</v>
      </c>
      <c r="D645" s="28" t="s">
        <v>98</v>
      </c>
      <c r="E645" s="28" t="s">
        <v>99</v>
      </c>
      <c r="F645" s="29" t="s">
        <v>39</v>
      </c>
      <c r="G645" s="30">
        <v>2.4</v>
      </c>
      <c r="H645" s="31">
        <v>109.74</v>
      </c>
      <c r="I645" s="39"/>
      <c r="J645" s="31">
        <f t="shared" si="85"/>
        <v>109.74</v>
      </c>
      <c r="K645" s="33">
        <f t="shared" si="86"/>
        <v>263.38</v>
      </c>
      <c r="L645" s="34" t="s">
        <v>28</v>
      </c>
      <c r="M645" s="35"/>
      <c r="N645" s="3">
        <v>1</v>
      </c>
      <c r="O645" s="21">
        <v>108.2</v>
      </c>
      <c r="P645" s="22" t="s">
        <v>106</v>
      </c>
      <c r="Q645" s="38"/>
      <c r="R645" s="38"/>
    </row>
    <row r="646" s="3" customFormat="1" ht="132" customHeight="1" outlineLevel="2" spans="1:18">
      <c r="A646" s="41">
        <f t="shared" si="84"/>
        <v>6</v>
      </c>
      <c r="B646" s="28" t="s">
        <v>107</v>
      </c>
      <c r="C646" s="28" t="s">
        <v>108</v>
      </c>
      <c r="D646" s="28" t="s">
        <v>109</v>
      </c>
      <c r="E646" s="28" t="s">
        <v>110</v>
      </c>
      <c r="F646" s="29" t="s">
        <v>27</v>
      </c>
      <c r="G646" s="30">
        <v>26.36</v>
      </c>
      <c r="H646" s="31">
        <v>152.22</v>
      </c>
      <c r="I646" s="39"/>
      <c r="J646" s="31">
        <f t="shared" si="85"/>
        <v>152.22</v>
      </c>
      <c r="K646" s="33">
        <f t="shared" si="86"/>
        <v>4012.52</v>
      </c>
      <c r="L646" s="34" t="s">
        <v>28</v>
      </c>
      <c r="M646" s="35"/>
      <c r="N646" s="3">
        <v>1</v>
      </c>
      <c r="O646" s="21">
        <v>151.58</v>
      </c>
      <c r="P646" s="22" t="s">
        <v>111</v>
      </c>
      <c r="Q646" s="38"/>
      <c r="R646" s="38"/>
    </row>
    <row r="647" s="3" customFormat="1" outlineLevel="1" spans="1:18">
      <c r="A647" s="40"/>
      <c r="B647" s="28" t="s">
        <v>112</v>
      </c>
      <c r="C647" s="28"/>
      <c r="D647" s="28"/>
      <c r="E647" s="28"/>
      <c r="F647" s="29"/>
      <c r="G647" s="30"/>
      <c r="H647" s="31"/>
      <c r="I647" s="39"/>
      <c r="J647" s="31"/>
      <c r="K647" s="33"/>
      <c r="L647" s="34"/>
      <c r="M647" s="35"/>
      <c r="O647" s="36"/>
      <c r="P647" s="37"/>
      <c r="Q647" s="38"/>
      <c r="R647" s="38"/>
    </row>
    <row r="648" s="3" customFormat="1" ht="96" customHeight="1" outlineLevel="2" spans="1:18">
      <c r="A648" s="41">
        <f>1+N(A647)</f>
        <v>1</v>
      </c>
      <c r="B648" s="28" t="s">
        <v>464</v>
      </c>
      <c r="C648" s="28" t="s">
        <v>465</v>
      </c>
      <c r="D648" s="28" t="s">
        <v>98</v>
      </c>
      <c r="E648" s="28" t="s">
        <v>115</v>
      </c>
      <c r="F648" s="29" t="s">
        <v>27</v>
      </c>
      <c r="G648" s="30">
        <v>2.97</v>
      </c>
      <c r="H648" s="31">
        <v>3128.4</v>
      </c>
      <c r="I648" s="39"/>
      <c r="J648" s="31">
        <f>H648*(1-$I$4)</f>
        <v>3128.4</v>
      </c>
      <c r="K648" s="33">
        <f>ROUND(G648*J648,2)</f>
        <v>9291.35</v>
      </c>
      <c r="L648" s="34" t="s">
        <v>28</v>
      </c>
      <c r="M648" s="35"/>
      <c r="N648" s="3">
        <v>1</v>
      </c>
      <c r="O648" s="21">
        <v>1569.15</v>
      </c>
      <c r="P648" s="22" t="s">
        <v>466</v>
      </c>
      <c r="Q648" s="38"/>
      <c r="R648" s="38"/>
    </row>
    <row r="649" s="3" customFormat="1" outlineLevel="1" spans="1:18">
      <c r="A649" s="27" t="s">
        <v>267</v>
      </c>
      <c r="B649" s="28" t="s">
        <v>467</v>
      </c>
      <c r="C649" s="28"/>
      <c r="D649" s="28"/>
      <c r="E649" s="28"/>
      <c r="F649" s="29"/>
      <c r="G649" s="30"/>
      <c r="H649" s="31"/>
      <c r="I649" s="39"/>
      <c r="J649" s="31"/>
      <c r="K649" s="33"/>
      <c r="L649" s="34"/>
      <c r="M649" s="35"/>
      <c r="O649" s="36"/>
      <c r="P649" s="37"/>
      <c r="Q649" s="38"/>
      <c r="R649" s="38"/>
    </row>
    <row r="650" s="3" customFormat="1" outlineLevel="1" spans="1:18">
      <c r="A650" s="40"/>
      <c r="B650" s="28" t="s">
        <v>22</v>
      </c>
      <c r="C650" s="28"/>
      <c r="D650" s="28"/>
      <c r="E650" s="28"/>
      <c r="F650" s="29"/>
      <c r="G650" s="30"/>
      <c r="H650" s="31"/>
      <c r="I650" s="39"/>
      <c r="J650" s="31"/>
      <c r="K650" s="33"/>
      <c r="L650" s="34"/>
      <c r="M650" s="35"/>
      <c r="O650" s="36"/>
      <c r="P650" s="37"/>
      <c r="Q650" s="38"/>
      <c r="R650" s="38"/>
    </row>
    <row r="651" s="3" customFormat="1" ht="108" customHeight="1" outlineLevel="2" spans="1:18">
      <c r="A651" s="41">
        <f>1+N(A650)</f>
        <v>1</v>
      </c>
      <c r="B651" s="28" t="s">
        <v>23</v>
      </c>
      <c r="C651" s="28" t="s">
        <v>24</v>
      </c>
      <c r="D651" s="28" t="s">
        <v>25</v>
      </c>
      <c r="E651" s="28" t="s">
        <v>26</v>
      </c>
      <c r="F651" s="29" t="s">
        <v>27</v>
      </c>
      <c r="G651" s="30">
        <v>5.45</v>
      </c>
      <c r="H651" s="31">
        <v>940.91</v>
      </c>
      <c r="I651" s="39"/>
      <c r="J651" s="31">
        <f>H651*(1-$I$4)</f>
        <v>940.91</v>
      </c>
      <c r="K651" s="33">
        <f>ROUND(G651*J651,2)</f>
        <v>5127.96</v>
      </c>
      <c r="L651" s="34" t="s">
        <v>28</v>
      </c>
      <c r="M651" s="35"/>
      <c r="N651" s="3">
        <v>1</v>
      </c>
      <c r="O651" s="21">
        <v>886.6</v>
      </c>
      <c r="P651" s="22" t="s">
        <v>29</v>
      </c>
      <c r="Q651" s="38"/>
      <c r="R651" s="38"/>
    </row>
    <row r="652" s="3" customFormat="1" ht="108" customHeight="1" outlineLevel="2" spans="1:18">
      <c r="A652" s="41">
        <f>1+N(A651)</f>
        <v>2</v>
      </c>
      <c r="B652" s="28" t="s">
        <v>30</v>
      </c>
      <c r="C652" s="28" t="s">
        <v>31</v>
      </c>
      <c r="D652" s="28" t="s">
        <v>25</v>
      </c>
      <c r="E652" s="28" t="s">
        <v>26</v>
      </c>
      <c r="F652" s="29" t="s">
        <v>27</v>
      </c>
      <c r="G652" s="30">
        <v>8.2</v>
      </c>
      <c r="H652" s="31">
        <v>1412.25</v>
      </c>
      <c r="I652" s="39"/>
      <c r="J652" s="31">
        <f>H652*(1-$I$4)</f>
        <v>1412.25</v>
      </c>
      <c r="K652" s="33">
        <f>ROUND(G652*J652,2)</f>
        <v>11580.45</v>
      </c>
      <c r="L652" s="34" t="s">
        <v>28</v>
      </c>
      <c r="M652" s="35"/>
      <c r="N652" s="3">
        <v>1</v>
      </c>
      <c r="O652" s="21">
        <v>1135.86</v>
      </c>
      <c r="P652" s="22" t="s">
        <v>32</v>
      </c>
      <c r="Q652" s="38"/>
      <c r="R652" s="38"/>
    </row>
    <row r="653" s="3" customFormat="1" ht="72" customHeight="1" outlineLevel="2" spans="1:18">
      <c r="A653" s="41">
        <f>1+N(A652)</f>
        <v>3</v>
      </c>
      <c r="B653" s="28" t="s">
        <v>41</v>
      </c>
      <c r="C653" s="28" t="s">
        <v>42</v>
      </c>
      <c r="D653" s="28" t="s">
        <v>25</v>
      </c>
      <c r="E653" s="28" t="s">
        <v>26</v>
      </c>
      <c r="F653" s="29" t="s">
        <v>27</v>
      </c>
      <c r="G653" s="30">
        <v>13.65</v>
      </c>
      <c r="H653" s="31">
        <v>64.9</v>
      </c>
      <c r="I653" s="39"/>
      <c r="J653" s="31">
        <f>H653*(1-$I$4)</f>
        <v>64.9</v>
      </c>
      <c r="K653" s="33">
        <f>ROUND(G653*J653,2)</f>
        <v>885.89</v>
      </c>
      <c r="L653" s="34" t="s">
        <v>28</v>
      </c>
      <c r="M653" s="35"/>
      <c r="N653" s="3">
        <v>1</v>
      </c>
      <c r="O653" s="21">
        <v>61.38</v>
      </c>
      <c r="P653" s="22" t="s">
        <v>43</v>
      </c>
      <c r="Q653" s="38"/>
      <c r="R653" s="38"/>
    </row>
    <row r="654" s="3" customFormat="1" ht="72" customHeight="1" outlineLevel="2" spans="1:18">
      <c r="A654" s="41">
        <f>1+N(A653)</f>
        <v>4</v>
      </c>
      <c r="B654" s="28" t="s">
        <v>36</v>
      </c>
      <c r="C654" s="28" t="s">
        <v>37</v>
      </c>
      <c r="D654" s="28" t="s">
        <v>25</v>
      </c>
      <c r="E654" s="28" t="s">
        <v>38</v>
      </c>
      <c r="F654" s="29" t="s">
        <v>39</v>
      </c>
      <c r="G654" s="30">
        <v>10.6</v>
      </c>
      <c r="H654" s="31">
        <v>89.27</v>
      </c>
      <c r="I654" s="39"/>
      <c r="J654" s="31">
        <f>H654*(1-$I$4)</f>
        <v>89.27</v>
      </c>
      <c r="K654" s="33">
        <f>ROUND(G654*J654,2)</f>
        <v>946.26</v>
      </c>
      <c r="L654" s="34" t="s">
        <v>28</v>
      </c>
      <c r="M654" s="35"/>
      <c r="N654" s="3">
        <v>1</v>
      </c>
      <c r="O654" s="21">
        <v>35.28</v>
      </c>
      <c r="P654" s="22" t="s">
        <v>40</v>
      </c>
      <c r="Q654" s="38"/>
      <c r="R654" s="38"/>
    </row>
    <row r="655" s="3" customFormat="1" outlineLevel="1" spans="1:18">
      <c r="A655" s="40"/>
      <c r="B655" s="28" t="s">
        <v>44</v>
      </c>
      <c r="C655" s="28"/>
      <c r="D655" s="28"/>
      <c r="E655" s="28"/>
      <c r="F655" s="29"/>
      <c r="G655" s="30"/>
      <c r="H655" s="31"/>
      <c r="I655" s="39"/>
      <c r="J655" s="31"/>
      <c r="K655" s="33"/>
      <c r="L655" s="34"/>
      <c r="M655" s="35"/>
      <c r="O655" s="36"/>
      <c r="P655" s="37"/>
      <c r="Q655" s="38"/>
      <c r="R655" s="38"/>
    </row>
    <row r="656" s="3" customFormat="1" ht="156" customHeight="1" outlineLevel="2" spans="1:18">
      <c r="A656" s="41">
        <f t="shared" ref="A656:A664" si="87">1+N(A655)</f>
        <v>1</v>
      </c>
      <c r="B656" s="28" t="s">
        <v>50</v>
      </c>
      <c r="C656" s="28" t="s">
        <v>51</v>
      </c>
      <c r="D656" s="28" t="s">
        <v>52</v>
      </c>
      <c r="E656" s="28" t="s">
        <v>48</v>
      </c>
      <c r="F656" s="29" t="s">
        <v>27</v>
      </c>
      <c r="G656" s="30">
        <v>35.16</v>
      </c>
      <c r="H656" s="31">
        <v>1428.73</v>
      </c>
      <c r="I656" s="39"/>
      <c r="J656" s="31">
        <f t="shared" ref="J656:J664" si="88">H656*(1-$I$4)</f>
        <v>1428.73</v>
      </c>
      <c r="K656" s="33">
        <f t="shared" ref="K656:K664" si="89">ROUND(G656*J656,2)</f>
        <v>50234.15</v>
      </c>
      <c r="L656" s="34" t="s">
        <v>28</v>
      </c>
      <c r="M656" s="35"/>
      <c r="N656" s="3">
        <v>1</v>
      </c>
      <c r="O656" s="21">
        <v>1000.51</v>
      </c>
      <c r="P656" s="22" t="s">
        <v>468</v>
      </c>
      <c r="Q656" s="38"/>
      <c r="R656" s="38"/>
    </row>
    <row r="657" s="3" customFormat="1" ht="120" customHeight="1" outlineLevel="2" spans="1:18">
      <c r="A657" s="41">
        <f t="shared" si="87"/>
        <v>2</v>
      </c>
      <c r="B657" s="28" t="s">
        <v>61</v>
      </c>
      <c r="C657" s="28" t="s">
        <v>62</v>
      </c>
      <c r="D657" s="28" t="s">
        <v>52</v>
      </c>
      <c r="E657" s="28" t="s">
        <v>63</v>
      </c>
      <c r="F657" s="29" t="s">
        <v>27</v>
      </c>
      <c r="G657" s="30">
        <v>9.61</v>
      </c>
      <c r="H657" s="31">
        <v>630.65</v>
      </c>
      <c r="I657" s="39"/>
      <c r="J657" s="31">
        <f t="shared" si="88"/>
        <v>630.65</v>
      </c>
      <c r="K657" s="33">
        <f t="shared" si="89"/>
        <v>6060.55</v>
      </c>
      <c r="L657" s="34" t="s">
        <v>28</v>
      </c>
      <c r="M657" s="35"/>
      <c r="N657" s="3">
        <v>1</v>
      </c>
      <c r="O657" s="21">
        <v>681.67</v>
      </c>
      <c r="P657" s="22" t="s">
        <v>64</v>
      </c>
      <c r="Q657" s="38"/>
      <c r="R657" s="38"/>
    </row>
    <row r="658" s="3" customFormat="1" ht="120" customHeight="1" outlineLevel="2" spans="1:18">
      <c r="A658" s="41">
        <f t="shared" si="87"/>
        <v>3</v>
      </c>
      <c r="B658" s="28" t="s">
        <v>65</v>
      </c>
      <c r="C658" s="28" t="s">
        <v>62</v>
      </c>
      <c r="D658" s="28" t="s">
        <v>52</v>
      </c>
      <c r="E658" s="28" t="s">
        <v>63</v>
      </c>
      <c r="F658" s="29" t="s">
        <v>27</v>
      </c>
      <c r="G658" s="30">
        <v>4.63</v>
      </c>
      <c r="H658" s="31">
        <v>630.65</v>
      </c>
      <c r="I658" s="39"/>
      <c r="J658" s="31">
        <f t="shared" si="88"/>
        <v>630.65</v>
      </c>
      <c r="K658" s="33">
        <f t="shared" si="89"/>
        <v>2919.91</v>
      </c>
      <c r="L658" s="34" t="s">
        <v>28</v>
      </c>
      <c r="M658" s="35"/>
      <c r="N658" s="3">
        <v>1</v>
      </c>
      <c r="O658" s="21">
        <v>681.67</v>
      </c>
      <c r="P658" s="22" t="s">
        <v>64</v>
      </c>
      <c r="Q658" s="38"/>
      <c r="R658" s="38"/>
    </row>
    <row r="659" s="3" customFormat="1" ht="120" customHeight="1" outlineLevel="2" spans="1:18">
      <c r="A659" s="41">
        <f t="shared" si="87"/>
        <v>4</v>
      </c>
      <c r="B659" s="28" t="s">
        <v>66</v>
      </c>
      <c r="C659" s="28" t="s">
        <v>67</v>
      </c>
      <c r="D659" s="28" t="s">
        <v>52</v>
      </c>
      <c r="E659" s="28" t="s">
        <v>63</v>
      </c>
      <c r="F659" s="29" t="s">
        <v>27</v>
      </c>
      <c r="G659" s="30">
        <v>2.55</v>
      </c>
      <c r="H659" s="31">
        <v>812.96</v>
      </c>
      <c r="I659" s="39"/>
      <c r="J659" s="31">
        <f t="shared" si="88"/>
        <v>812.96</v>
      </c>
      <c r="K659" s="33">
        <f t="shared" si="89"/>
        <v>2073.05</v>
      </c>
      <c r="L659" s="34" t="s">
        <v>28</v>
      </c>
      <c r="M659" s="35"/>
      <c r="N659" s="3">
        <v>1</v>
      </c>
      <c r="O659" s="21">
        <v>681.67</v>
      </c>
      <c r="P659" s="22" t="s">
        <v>68</v>
      </c>
      <c r="Q659" s="38"/>
      <c r="R659" s="38"/>
    </row>
    <row r="660" s="3" customFormat="1" ht="120" customHeight="1" outlineLevel="2" spans="1:18">
      <c r="A660" s="41">
        <f t="shared" si="87"/>
        <v>5</v>
      </c>
      <c r="B660" s="28" t="s">
        <v>69</v>
      </c>
      <c r="C660" s="28" t="s">
        <v>70</v>
      </c>
      <c r="D660" s="28" t="s">
        <v>52</v>
      </c>
      <c r="E660" s="28" t="s">
        <v>63</v>
      </c>
      <c r="F660" s="29" t="s">
        <v>27</v>
      </c>
      <c r="G660" s="30">
        <v>0.26</v>
      </c>
      <c r="H660" s="31">
        <v>1175.56</v>
      </c>
      <c r="I660" s="39"/>
      <c r="J660" s="31">
        <f t="shared" si="88"/>
        <v>1175.56</v>
      </c>
      <c r="K660" s="33">
        <f t="shared" si="89"/>
        <v>305.65</v>
      </c>
      <c r="L660" s="34" t="s">
        <v>28</v>
      </c>
      <c r="M660" s="35"/>
      <c r="N660" s="3">
        <v>1</v>
      </c>
      <c r="O660" s="21">
        <v>681.67</v>
      </c>
      <c r="P660" s="22" t="s">
        <v>71</v>
      </c>
      <c r="Q660" s="38"/>
      <c r="R660" s="38"/>
    </row>
    <row r="661" s="3" customFormat="1" ht="96" customHeight="1" outlineLevel="2" spans="1:18">
      <c r="A661" s="41">
        <f t="shared" si="87"/>
        <v>6</v>
      </c>
      <c r="B661" s="28" t="s">
        <v>75</v>
      </c>
      <c r="C661" s="28" t="s">
        <v>76</v>
      </c>
      <c r="D661" s="28" t="s">
        <v>59</v>
      </c>
      <c r="E661" s="28" t="s">
        <v>38</v>
      </c>
      <c r="F661" s="29" t="s">
        <v>39</v>
      </c>
      <c r="G661" s="30">
        <v>10.53</v>
      </c>
      <c r="H661" s="31">
        <v>67.08</v>
      </c>
      <c r="I661" s="39"/>
      <c r="J661" s="31">
        <f t="shared" si="88"/>
        <v>67.08</v>
      </c>
      <c r="K661" s="33">
        <f t="shared" si="89"/>
        <v>706.35</v>
      </c>
      <c r="L661" s="34" t="s">
        <v>28</v>
      </c>
      <c r="M661" s="35"/>
      <c r="N661" s="3">
        <v>1</v>
      </c>
      <c r="O661" s="21">
        <v>45.71</v>
      </c>
      <c r="P661" s="22" t="s">
        <v>77</v>
      </c>
      <c r="Q661" s="38"/>
      <c r="R661" s="38"/>
    </row>
    <row r="662" s="3" customFormat="1" ht="96" customHeight="1" outlineLevel="2" spans="1:18">
      <c r="A662" s="41">
        <f t="shared" si="87"/>
        <v>7</v>
      </c>
      <c r="B662" s="28" t="s">
        <v>78</v>
      </c>
      <c r="C662" s="28" t="s">
        <v>79</v>
      </c>
      <c r="D662" s="28" t="s">
        <v>59</v>
      </c>
      <c r="E662" s="28" t="s">
        <v>38</v>
      </c>
      <c r="F662" s="29" t="s">
        <v>39</v>
      </c>
      <c r="G662" s="30">
        <v>0.34</v>
      </c>
      <c r="H662" s="31">
        <v>67.31</v>
      </c>
      <c r="I662" s="39"/>
      <c r="J662" s="31">
        <f t="shared" si="88"/>
        <v>67.31</v>
      </c>
      <c r="K662" s="33">
        <f t="shared" si="89"/>
        <v>22.89</v>
      </c>
      <c r="L662" s="34" t="s">
        <v>28</v>
      </c>
      <c r="M662" s="35"/>
      <c r="N662" s="3">
        <v>1</v>
      </c>
      <c r="O662" s="21">
        <v>50.8</v>
      </c>
      <c r="P662" s="22" t="s">
        <v>153</v>
      </c>
      <c r="Q662" s="38"/>
      <c r="R662" s="38"/>
    </row>
    <row r="663" s="3" customFormat="1" ht="96" customHeight="1" outlineLevel="2" spans="1:18">
      <c r="A663" s="41">
        <f t="shared" si="87"/>
        <v>8</v>
      </c>
      <c r="B663" s="28" t="s">
        <v>84</v>
      </c>
      <c r="C663" s="28" t="s">
        <v>85</v>
      </c>
      <c r="D663" s="28" t="s">
        <v>59</v>
      </c>
      <c r="E663" s="28" t="s">
        <v>38</v>
      </c>
      <c r="F663" s="29" t="s">
        <v>39</v>
      </c>
      <c r="G663" s="30">
        <v>10.19</v>
      </c>
      <c r="H663" s="31">
        <v>117.84</v>
      </c>
      <c r="I663" s="39"/>
      <c r="J663" s="31">
        <f t="shared" si="88"/>
        <v>117.84</v>
      </c>
      <c r="K663" s="33">
        <f t="shared" si="89"/>
        <v>1200.79</v>
      </c>
      <c r="L663" s="34" t="s">
        <v>28</v>
      </c>
      <c r="M663" s="35"/>
      <c r="N663" s="3">
        <v>1</v>
      </c>
      <c r="O663" s="21">
        <v>95.14</v>
      </c>
      <c r="P663" s="22" t="s">
        <v>86</v>
      </c>
      <c r="Q663" s="38"/>
      <c r="R663" s="38"/>
    </row>
    <row r="664" s="3" customFormat="1" ht="96" customHeight="1" outlineLevel="2" spans="1:18">
      <c r="A664" s="41">
        <f t="shared" si="87"/>
        <v>9</v>
      </c>
      <c r="B664" s="28" t="s">
        <v>87</v>
      </c>
      <c r="C664" s="28" t="s">
        <v>88</v>
      </c>
      <c r="D664" s="28" t="s">
        <v>59</v>
      </c>
      <c r="E664" s="28" t="s">
        <v>38</v>
      </c>
      <c r="F664" s="29" t="s">
        <v>39</v>
      </c>
      <c r="G664" s="30">
        <v>10.53</v>
      </c>
      <c r="H664" s="31">
        <v>64.25</v>
      </c>
      <c r="I664" s="39"/>
      <c r="J664" s="31">
        <f t="shared" si="88"/>
        <v>64.25</v>
      </c>
      <c r="K664" s="33">
        <f t="shared" si="89"/>
        <v>676.55</v>
      </c>
      <c r="L664" s="34" t="s">
        <v>28</v>
      </c>
      <c r="M664" s="35"/>
      <c r="N664" s="3">
        <v>1</v>
      </c>
      <c r="O664" s="21">
        <v>43.16</v>
      </c>
      <c r="P664" s="22" t="s">
        <v>89</v>
      </c>
      <c r="Q664" s="38"/>
      <c r="R664" s="38"/>
    </row>
    <row r="665" s="3" customFormat="1" outlineLevel="1" spans="1:18">
      <c r="A665" s="40"/>
      <c r="B665" s="28" t="s">
        <v>90</v>
      </c>
      <c r="C665" s="28"/>
      <c r="D665" s="28"/>
      <c r="E665" s="28"/>
      <c r="F665" s="29"/>
      <c r="G665" s="30"/>
      <c r="H665" s="31"/>
      <c r="I665" s="39"/>
      <c r="J665" s="31"/>
      <c r="K665" s="33"/>
      <c r="L665" s="34"/>
      <c r="M665" s="35"/>
      <c r="O665" s="36"/>
      <c r="P665" s="37"/>
      <c r="Q665" s="38"/>
      <c r="R665" s="38"/>
    </row>
    <row r="666" s="3" customFormat="1" ht="168" customHeight="1" outlineLevel="2" spans="1:18">
      <c r="A666" s="41">
        <f>1+N(A665)</f>
        <v>1</v>
      </c>
      <c r="B666" s="28" t="s">
        <v>91</v>
      </c>
      <c r="C666" s="28" t="s">
        <v>92</v>
      </c>
      <c r="D666" s="28" t="s">
        <v>93</v>
      </c>
      <c r="E666" s="28" t="s">
        <v>94</v>
      </c>
      <c r="F666" s="29" t="s">
        <v>27</v>
      </c>
      <c r="G666" s="30">
        <v>13.65</v>
      </c>
      <c r="H666" s="31">
        <v>174.57</v>
      </c>
      <c r="I666" s="39"/>
      <c r="J666" s="31">
        <f>H666*(1-$I$4)</f>
        <v>174.57</v>
      </c>
      <c r="K666" s="33">
        <f>ROUND(G666*J666,2)</f>
        <v>2382.88</v>
      </c>
      <c r="L666" s="34" t="s">
        <v>28</v>
      </c>
      <c r="M666" s="35"/>
      <c r="N666" s="3">
        <v>1</v>
      </c>
      <c r="O666" s="21">
        <v>150.38</v>
      </c>
      <c r="P666" s="22" t="s">
        <v>95</v>
      </c>
      <c r="Q666" s="38"/>
      <c r="R666" s="38"/>
    </row>
    <row r="667" s="3" customFormat="1" ht="48" customHeight="1" outlineLevel="2" spans="1:18">
      <c r="A667" s="41">
        <f>1+N(A666)</f>
        <v>2</v>
      </c>
      <c r="B667" s="28" t="s">
        <v>96</v>
      </c>
      <c r="C667" s="28" t="s">
        <v>97</v>
      </c>
      <c r="D667" s="28" t="s">
        <v>98</v>
      </c>
      <c r="E667" s="28" t="s">
        <v>99</v>
      </c>
      <c r="F667" s="29" t="s">
        <v>39</v>
      </c>
      <c r="G667" s="30">
        <v>10.36</v>
      </c>
      <c r="H667" s="31">
        <v>112.16</v>
      </c>
      <c r="I667" s="39"/>
      <c r="J667" s="31">
        <f>H667*(1-$I$4)</f>
        <v>112.16</v>
      </c>
      <c r="K667" s="33">
        <f>ROUND(G667*J667,2)</f>
        <v>1161.98</v>
      </c>
      <c r="L667" s="34" t="s">
        <v>28</v>
      </c>
      <c r="M667" s="35"/>
      <c r="N667" s="3">
        <v>1</v>
      </c>
      <c r="O667" s="21">
        <v>79.3</v>
      </c>
      <c r="P667" s="22" t="s">
        <v>100</v>
      </c>
      <c r="Q667" s="38"/>
      <c r="R667" s="38"/>
    </row>
    <row r="668" s="3" customFormat="1" ht="48" customHeight="1" outlineLevel="2" spans="1:18">
      <c r="A668" s="41">
        <f>1+N(A667)</f>
        <v>3</v>
      </c>
      <c r="B668" s="28" t="s">
        <v>101</v>
      </c>
      <c r="C668" s="28" t="s">
        <v>102</v>
      </c>
      <c r="D668" s="28" t="s">
        <v>98</v>
      </c>
      <c r="E668" s="28" t="s">
        <v>99</v>
      </c>
      <c r="F668" s="29" t="s">
        <v>39</v>
      </c>
      <c r="G668" s="30">
        <v>10.36</v>
      </c>
      <c r="H668" s="31">
        <v>75.82</v>
      </c>
      <c r="I668" s="39"/>
      <c r="J668" s="31">
        <f>H668*(1-$I$4)</f>
        <v>75.82</v>
      </c>
      <c r="K668" s="33">
        <f>ROUND(G668*J668,2)</f>
        <v>785.5</v>
      </c>
      <c r="L668" s="34" t="s">
        <v>28</v>
      </c>
      <c r="M668" s="35"/>
      <c r="N668" s="3">
        <v>1</v>
      </c>
      <c r="O668" s="21">
        <v>203.56</v>
      </c>
      <c r="P668" s="22" t="s">
        <v>103</v>
      </c>
      <c r="Q668" s="38"/>
      <c r="R668" s="38"/>
    </row>
    <row r="669" s="3" customFormat="1" ht="48" customHeight="1" outlineLevel="2" spans="1:18">
      <c r="A669" s="41">
        <f>1+N(A668)</f>
        <v>4</v>
      </c>
      <c r="B669" s="28" t="s">
        <v>104</v>
      </c>
      <c r="C669" s="28" t="s">
        <v>105</v>
      </c>
      <c r="D669" s="28" t="s">
        <v>98</v>
      </c>
      <c r="E669" s="28" t="s">
        <v>99</v>
      </c>
      <c r="F669" s="29" t="s">
        <v>39</v>
      </c>
      <c r="G669" s="30">
        <v>2.4</v>
      </c>
      <c r="H669" s="31">
        <v>109.74</v>
      </c>
      <c r="I669" s="39"/>
      <c r="J669" s="31">
        <f>H669*(1-$I$4)</f>
        <v>109.74</v>
      </c>
      <c r="K669" s="33">
        <f>ROUND(G669*J669,2)</f>
        <v>263.38</v>
      </c>
      <c r="L669" s="34" t="s">
        <v>28</v>
      </c>
      <c r="M669" s="35"/>
      <c r="N669" s="3">
        <v>1</v>
      </c>
      <c r="O669" s="21">
        <v>108.2</v>
      </c>
      <c r="P669" s="22" t="s">
        <v>106</v>
      </c>
      <c r="Q669" s="38"/>
      <c r="R669" s="38"/>
    </row>
    <row r="670" s="3" customFormat="1" ht="132" customHeight="1" outlineLevel="2" spans="1:18">
      <c r="A670" s="41">
        <f>1+N(A669)</f>
        <v>5</v>
      </c>
      <c r="B670" s="28" t="s">
        <v>107</v>
      </c>
      <c r="C670" s="28" t="s">
        <v>108</v>
      </c>
      <c r="D670" s="28" t="s">
        <v>109</v>
      </c>
      <c r="E670" s="28" t="s">
        <v>110</v>
      </c>
      <c r="F670" s="29" t="s">
        <v>27</v>
      </c>
      <c r="G670" s="30">
        <v>16.76</v>
      </c>
      <c r="H670" s="31">
        <v>152.22</v>
      </c>
      <c r="I670" s="39"/>
      <c r="J670" s="31">
        <f>H670*(1-$I$4)</f>
        <v>152.22</v>
      </c>
      <c r="K670" s="33">
        <f>ROUND(G670*J670,2)</f>
        <v>2551.21</v>
      </c>
      <c r="L670" s="34" t="s">
        <v>28</v>
      </c>
      <c r="M670" s="35"/>
      <c r="N670" s="3">
        <v>1</v>
      </c>
      <c r="O670" s="21">
        <v>151.58</v>
      </c>
      <c r="P670" s="22" t="s">
        <v>111</v>
      </c>
      <c r="Q670" s="38"/>
      <c r="R670" s="38"/>
    </row>
    <row r="671" s="3" customFormat="1" outlineLevel="1" spans="1:18">
      <c r="A671" s="40"/>
      <c r="B671" s="28" t="s">
        <v>112</v>
      </c>
      <c r="C671" s="28"/>
      <c r="D671" s="28"/>
      <c r="E671" s="28"/>
      <c r="F671" s="29"/>
      <c r="G671" s="30"/>
      <c r="H671" s="31"/>
      <c r="I671" s="39"/>
      <c r="J671" s="31"/>
      <c r="K671" s="33"/>
      <c r="L671" s="34"/>
      <c r="M671" s="35"/>
      <c r="O671" s="36"/>
      <c r="P671" s="37"/>
      <c r="Q671" s="38"/>
      <c r="R671" s="38"/>
    </row>
    <row r="672" s="3" customFormat="1" ht="84" customHeight="1" outlineLevel="2" spans="1:18">
      <c r="A672" s="41">
        <f>1+N(A671)</f>
        <v>1</v>
      </c>
      <c r="B672" s="28" t="s">
        <v>469</v>
      </c>
      <c r="C672" s="28" t="s">
        <v>451</v>
      </c>
      <c r="D672" s="28" t="s">
        <v>98</v>
      </c>
      <c r="E672" s="28" t="s">
        <v>115</v>
      </c>
      <c r="F672" s="29" t="s">
        <v>27</v>
      </c>
      <c r="G672" s="30">
        <v>5.96</v>
      </c>
      <c r="H672" s="31">
        <v>5975.59</v>
      </c>
      <c r="I672" s="39"/>
      <c r="J672" s="31">
        <f>H672*(1-$I$4)</f>
        <v>5975.59</v>
      </c>
      <c r="K672" s="33">
        <f>ROUND(G672*J672,2)</f>
        <v>35614.52</v>
      </c>
      <c r="L672" s="34" t="s">
        <v>28</v>
      </c>
      <c r="M672" s="35"/>
      <c r="N672" s="3">
        <v>1</v>
      </c>
      <c r="O672" s="21">
        <v>2559.15</v>
      </c>
      <c r="P672" s="22" t="s">
        <v>470</v>
      </c>
      <c r="Q672" s="38"/>
      <c r="R672" s="38"/>
    </row>
    <row r="673" s="3" customFormat="1" ht="60" customHeight="1" outlineLevel="2" spans="1:18">
      <c r="A673" s="41">
        <f>1+N(A672)</f>
        <v>2</v>
      </c>
      <c r="B673" s="28" t="s">
        <v>133</v>
      </c>
      <c r="C673" s="28" t="s">
        <v>114</v>
      </c>
      <c r="D673" s="28" t="s">
        <v>98</v>
      </c>
      <c r="E673" s="28" t="s">
        <v>115</v>
      </c>
      <c r="F673" s="29" t="s">
        <v>27</v>
      </c>
      <c r="G673" s="30">
        <v>2.55</v>
      </c>
      <c r="H673" s="31">
        <v>962.68</v>
      </c>
      <c r="I673" s="39"/>
      <c r="J673" s="31">
        <f>H673*(1-$I$4)</f>
        <v>962.68</v>
      </c>
      <c r="K673" s="33">
        <f>ROUND(G673*J673,2)</f>
        <v>2454.83</v>
      </c>
      <c r="L673" s="34" t="s">
        <v>28</v>
      </c>
      <c r="M673" s="35"/>
      <c r="N673" s="3">
        <v>1</v>
      </c>
      <c r="O673" s="21">
        <v>665.69</v>
      </c>
      <c r="P673" s="22" t="s">
        <v>116</v>
      </c>
      <c r="Q673" s="38"/>
      <c r="R673" s="38"/>
    </row>
    <row r="674" s="3" customFormat="1" outlineLevel="1" spans="1:18">
      <c r="A674" s="27" t="s">
        <v>471</v>
      </c>
      <c r="B674" s="28" t="s">
        <v>472</v>
      </c>
      <c r="C674" s="28"/>
      <c r="D674" s="28"/>
      <c r="E674" s="28"/>
      <c r="F674" s="29"/>
      <c r="G674" s="30"/>
      <c r="H674" s="31"/>
      <c r="I674" s="39"/>
      <c r="J674" s="31"/>
      <c r="K674" s="33"/>
      <c r="L674" s="34"/>
      <c r="M674" s="35"/>
      <c r="O674" s="36"/>
      <c r="P674" s="37"/>
      <c r="Q674" s="38"/>
      <c r="R674" s="38"/>
    </row>
    <row r="675" s="3" customFormat="1" outlineLevel="1" spans="1:18">
      <c r="A675" s="40"/>
      <c r="B675" s="28" t="s">
        <v>22</v>
      </c>
      <c r="C675" s="28"/>
      <c r="D675" s="28"/>
      <c r="E675" s="28"/>
      <c r="F675" s="29"/>
      <c r="G675" s="30"/>
      <c r="H675" s="31"/>
      <c r="I675" s="39"/>
      <c r="J675" s="31"/>
      <c r="K675" s="33"/>
      <c r="L675" s="34"/>
      <c r="M675" s="35"/>
      <c r="O675" s="36"/>
      <c r="P675" s="37"/>
      <c r="Q675" s="38"/>
      <c r="R675" s="38"/>
    </row>
    <row r="676" s="3" customFormat="1" ht="72" customHeight="1" outlineLevel="2" spans="1:18">
      <c r="A676" s="41">
        <f>1+N(A675)</f>
        <v>1</v>
      </c>
      <c r="B676" s="28" t="s">
        <v>443</v>
      </c>
      <c r="C676" s="28" t="s">
        <v>454</v>
      </c>
      <c r="D676" s="28" t="s">
        <v>251</v>
      </c>
      <c r="E676" s="28" t="s">
        <v>26</v>
      </c>
      <c r="F676" s="29" t="s">
        <v>27</v>
      </c>
      <c r="G676" s="30">
        <v>41</v>
      </c>
      <c r="H676" s="31">
        <v>569.06</v>
      </c>
      <c r="I676" s="39"/>
      <c r="J676" s="31">
        <f>H676*(1-$I$4)</f>
        <v>569.06</v>
      </c>
      <c r="K676" s="33">
        <f>ROUND(G676*J676,2)</f>
        <v>23331.46</v>
      </c>
      <c r="L676" s="34" t="s">
        <v>28</v>
      </c>
      <c r="M676" s="35"/>
      <c r="N676" s="3">
        <v>1</v>
      </c>
      <c r="O676" s="21">
        <v>436.56</v>
      </c>
      <c r="P676" s="22" t="s">
        <v>455</v>
      </c>
      <c r="Q676" s="38"/>
      <c r="R676" s="38"/>
    </row>
    <row r="677" s="3" customFormat="1" ht="156" customHeight="1" outlineLevel="2" spans="1:18">
      <c r="A677" s="41">
        <f>1+N(A676)</f>
        <v>2</v>
      </c>
      <c r="B677" s="28" t="s">
        <v>192</v>
      </c>
      <c r="C677" s="28" t="s">
        <v>247</v>
      </c>
      <c r="D677" s="28" t="s">
        <v>194</v>
      </c>
      <c r="E677" s="28" t="s">
        <v>195</v>
      </c>
      <c r="F677" s="29" t="s">
        <v>27</v>
      </c>
      <c r="G677" s="30">
        <v>65.1</v>
      </c>
      <c r="H677" s="31">
        <v>112.03</v>
      </c>
      <c r="I677" s="39"/>
      <c r="J677" s="31">
        <f>H677*(1-$I$4)</f>
        <v>112.03</v>
      </c>
      <c r="K677" s="33">
        <f>ROUND(G677*J677,2)</f>
        <v>7293.15</v>
      </c>
      <c r="L677" s="34" t="s">
        <v>28</v>
      </c>
      <c r="M677" s="35"/>
      <c r="N677" s="3">
        <v>1</v>
      </c>
      <c r="O677" s="21">
        <v>65.78</v>
      </c>
      <c r="P677" s="22" t="s">
        <v>473</v>
      </c>
      <c r="Q677" s="38"/>
      <c r="R677" s="38"/>
    </row>
    <row r="678" s="3" customFormat="1" ht="72" customHeight="1" outlineLevel="2" spans="1:18">
      <c r="A678" s="41">
        <f>1+N(A677)</f>
        <v>3</v>
      </c>
      <c r="B678" s="28" t="s">
        <v>36</v>
      </c>
      <c r="C678" s="28" t="s">
        <v>37</v>
      </c>
      <c r="D678" s="28" t="s">
        <v>25</v>
      </c>
      <c r="E678" s="28" t="s">
        <v>38</v>
      </c>
      <c r="F678" s="29" t="s">
        <v>39</v>
      </c>
      <c r="G678" s="30">
        <v>48.4</v>
      </c>
      <c r="H678" s="31">
        <v>89.27</v>
      </c>
      <c r="I678" s="39"/>
      <c r="J678" s="31">
        <f>H678*(1-$I$4)</f>
        <v>89.27</v>
      </c>
      <c r="K678" s="33">
        <f>ROUND(G678*J678,2)</f>
        <v>4320.67</v>
      </c>
      <c r="L678" s="34" t="s">
        <v>28</v>
      </c>
      <c r="M678" s="35"/>
      <c r="N678" s="3">
        <v>1</v>
      </c>
      <c r="O678" s="21">
        <v>35.28</v>
      </c>
      <c r="P678" s="22" t="s">
        <v>40</v>
      </c>
      <c r="Q678" s="38"/>
      <c r="R678" s="38"/>
    </row>
    <row r="679" s="3" customFormat="1" outlineLevel="1" spans="1:18">
      <c r="A679" s="40"/>
      <c r="B679" s="28" t="s">
        <v>44</v>
      </c>
      <c r="C679" s="28"/>
      <c r="D679" s="28"/>
      <c r="E679" s="28"/>
      <c r="F679" s="29"/>
      <c r="G679" s="30"/>
      <c r="H679" s="31"/>
      <c r="I679" s="39"/>
      <c r="J679" s="31"/>
      <c r="K679" s="33"/>
      <c r="L679" s="34"/>
      <c r="M679" s="35"/>
      <c r="O679" s="36"/>
      <c r="P679" s="37"/>
      <c r="Q679" s="38"/>
      <c r="R679" s="38"/>
    </row>
    <row r="680" s="3" customFormat="1" ht="156" customHeight="1" outlineLevel="2" spans="1:18">
      <c r="A680" s="41">
        <f t="shared" ref="A680:A687" si="90">1+N(A679)</f>
        <v>1</v>
      </c>
      <c r="B680" s="28" t="s">
        <v>474</v>
      </c>
      <c r="C680" s="28" t="s">
        <v>475</v>
      </c>
      <c r="D680" s="28" t="s">
        <v>52</v>
      </c>
      <c r="E680" s="28" t="s">
        <v>48</v>
      </c>
      <c r="F680" s="29" t="s">
        <v>27</v>
      </c>
      <c r="G680" s="30">
        <v>19.69</v>
      </c>
      <c r="H680" s="31">
        <v>607.57</v>
      </c>
      <c r="I680" s="39"/>
      <c r="J680" s="31">
        <f t="shared" ref="J680:J687" si="91">H680*(1-$I$4)</f>
        <v>607.57</v>
      </c>
      <c r="K680" s="33">
        <f t="shared" ref="K680:K687" si="92">ROUND(G680*J680,2)</f>
        <v>11963.05</v>
      </c>
      <c r="L680" s="34" t="s">
        <v>28</v>
      </c>
      <c r="M680" s="35"/>
      <c r="N680" s="3">
        <v>1</v>
      </c>
      <c r="O680" s="21">
        <v>723.61</v>
      </c>
      <c r="P680" s="22" t="s">
        <v>476</v>
      </c>
      <c r="Q680" s="38"/>
      <c r="R680" s="38"/>
    </row>
    <row r="681" s="3" customFormat="1" ht="96" customHeight="1" outlineLevel="2" spans="1:18">
      <c r="A681" s="41">
        <f t="shared" si="90"/>
        <v>2</v>
      </c>
      <c r="B681" s="28" t="s">
        <v>205</v>
      </c>
      <c r="C681" s="28" t="s">
        <v>345</v>
      </c>
      <c r="D681" s="28" t="s">
        <v>59</v>
      </c>
      <c r="E681" s="28" t="s">
        <v>207</v>
      </c>
      <c r="F681" s="29" t="s">
        <v>27</v>
      </c>
      <c r="G681" s="30">
        <v>13.3</v>
      </c>
      <c r="H681" s="31">
        <v>400.61</v>
      </c>
      <c r="I681" s="39"/>
      <c r="J681" s="31">
        <f t="shared" si="91"/>
        <v>400.61</v>
      </c>
      <c r="K681" s="33">
        <f t="shared" si="92"/>
        <v>5328.11</v>
      </c>
      <c r="L681" s="34" t="s">
        <v>28</v>
      </c>
      <c r="M681" s="35"/>
      <c r="N681" s="3">
        <v>1</v>
      </c>
      <c r="O681" s="21">
        <v>356.29</v>
      </c>
      <c r="P681" s="22" t="s">
        <v>419</v>
      </c>
      <c r="Q681" s="38"/>
      <c r="R681" s="38"/>
    </row>
    <row r="682" s="3" customFormat="1" ht="96" customHeight="1" outlineLevel="2" spans="1:18">
      <c r="A682" s="41">
        <f t="shared" si="90"/>
        <v>3</v>
      </c>
      <c r="B682" s="28" t="s">
        <v>477</v>
      </c>
      <c r="C682" s="28" t="s">
        <v>478</v>
      </c>
      <c r="D682" s="28" t="s">
        <v>59</v>
      </c>
      <c r="E682" s="28" t="s">
        <v>207</v>
      </c>
      <c r="F682" s="29" t="s">
        <v>27</v>
      </c>
      <c r="G682" s="30">
        <v>40.18</v>
      </c>
      <c r="H682" s="31">
        <v>593.35</v>
      </c>
      <c r="I682" s="39"/>
      <c r="J682" s="31">
        <f t="shared" si="91"/>
        <v>593.35</v>
      </c>
      <c r="K682" s="33">
        <f t="shared" si="92"/>
        <v>23840.8</v>
      </c>
      <c r="L682" s="34" t="s">
        <v>28</v>
      </c>
      <c r="M682" s="35"/>
      <c r="N682" s="3">
        <v>1</v>
      </c>
      <c r="O682" s="21">
        <v>481.47</v>
      </c>
      <c r="P682" s="22" t="s">
        <v>479</v>
      </c>
      <c r="Q682" s="38"/>
      <c r="R682" s="38"/>
    </row>
    <row r="683" s="3" customFormat="1" ht="96" customHeight="1" outlineLevel="2" spans="1:18">
      <c r="A683" s="41">
        <f t="shared" si="90"/>
        <v>4</v>
      </c>
      <c r="B683" s="28" t="s">
        <v>480</v>
      </c>
      <c r="C683" s="28" t="s">
        <v>481</v>
      </c>
      <c r="D683" s="28" t="s">
        <v>59</v>
      </c>
      <c r="E683" s="28" t="s">
        <v>207</v>
      </c>
      <c r="F683" s="29" t="s">
        <v>27</v>
      </c>
      <c r="G683" s="30">
        <v>53.77</v>
      </c>
      <c r="H683" s="31">
        <v>477.9</v>
      </c>
      <c r="I683" s="39"/>
      <c r="J683" s="31">
        <f t="shared" si="91"/>
        <v>477.9</v>
      </c>
      <c r="K683" s="33">
        <f t="shared" si="92"/>
        <v>25696.68</v>
      </c>
      <c r="L683" s="34" t="s">
        <v>28</v>
      </c>
      <c r="M683" s="35"/>
      <c r="N683" s="3">
        <v>1</v>
      </c>
      <c r="O683" s="21">
        <v>309.87</v>
      </c>
      <c r="P683" s="22" t="s">
        <v>450</v>
      </c>
      <c r="Q683" s="38"/>
      <c r="R683" s="38"/>
    </row>
    <row r="684" s="3" customFormat="1" ht="120" customHeight="1" outlineLevel="2" spans="1:18">
      <c r="A684" s="41">
        <f t="shared" si="90"/>
        <v>5</v>
      </c>
      <c r="B684" s="28" t="s">
        <v>61</v>
      </c>
      <c r="C684" s="28" t="s">
        <v>62</v>
      </c>
      <c r="D684" s="28" t="s">
        <v>52</v>
      </c>
      <c r="E684" s="28" t="s">
        <v>63</v>
      </c>
      <c r="F684" s="29" t="s">
        <v>27</v>
      </c>
      <c r="G684" s="30">
        <v>16.85</v>
      </c>
      <c r="H684" s="31">
        <v>630.65</v>
      </c>
      <c r="I684" s="39"/>
      <c r="J684" s="31">
        <f t="shared" si="91"/>
        <v>630.65</v>
      </c>
      <c r="K684" s="33">
        <f t="shared" si="92"/>
        <v>10626.45</v>
      </c>
      <c r="L684" s="34" t="s">
        <v>28</v>
      </c>
      <c r="M684" s="35"/>
      <c r="N684" s="3">
        <v>1</v>
      </c>
      <c r="O684" s="21">
        <v>681.67</v>
      </c>
      <c r="P684" s="22" t="s">
        <v>64</v>
      </c>
      <c r="Q684" s="38"/>
      <c r="R684" s="38"/>
    </row>
    <row r="685" s="3" customFormat="1" ht="96" customHeight="1" outlineLevel="2" spans="1:18">
      <c r="A685" s="41">
        <f t="shared" si="90"/>
        <v>6</v>
      </c>
      <c r="B685" s="28" t="s">
        <v>75</v>
      </c>
      <c r="C685" s="28" t="s">
        <v>76</v>
      </c>
      <c r="D685" s="28" t="s">
        <v>59</v>
      </c>
      <c r="E685" s="28" t="s">
        <v>38</v>
      </c>
      <c r="F685" s="29" t="s">
        <v>39</v>
      </c>
      <c r="G685" s="30">
        <v>44.9</v>
      </c>
      <c r="H685" s="31">
        <v>67.08</v>
      </c>
      <c r="I685" s="39"/>
      <c r="J685" s="31">
        <f t="shared" si="91"/>
        <v>67.08</v>
      </c>
      <c r="K685" s="33">
        <f t="shared" si="92"/>
        <v>3011.89</v>
      </c>
      <c r="L685" s="34" t="s">
        <v>28</v>
      </c>
      <c r="M685" s="35"/>
      <c r="N685" s="3">
        <v>1</v>
      </c>
      <c r="O685" s="21">
        <v>45.71</v>
      </c>
      <c r="P685" s="22" t="s">
        <v>77</v>
      </c>
      <c r="Q685" s="38"/>
      <c r="R685" s="38"/>
    </row>
    <row r="686" s="3" customFormat="1" ht="96" customHeight="1" outlineLevel="2" spans="1:18">
      <c r="A686" s="41">
        <f t="shared" si="90"/>
        <v>7</v>
      </c>
      <c r="B686" s="28" t="s">
        <v>482</v>
      </c>
      <c r="C686" s="28" t="s">
        <v>483</v>
      </c>
      <c r="D686" s="28" t="s">
        <v>59</v>
      </c>
      <c r="E686" s="28" t="s">
        <v>38</v>
      </c>
      <c r="F686" s="29" t="s">
        <v>39</v>
      </c>
      <c r="G686" s="30">
        <v>10.3</v>
      </c>
      <c r="H686" s="31">
        <v>117.84</v>
      </c>
      <c r="I686" s="39"/>
      <c r="J686" s="31">
        <f t="shared" si="91"/>
        <v>117.84</v>
      </c>
      <c r="K686" s="33">
        <f t="shared" si="92"/>
        <v>1213.75</v>
      </c>
      <c r="L686" s="34" t="s">
        <v>28</v>
      </c>
      <c r="M686" s="35"/>
      <c r="N686" s="3">
        <v>1</v>
      </c>
      <c r="O686" s="21">
        <v>95.69</v>
      </c>
      <c r="P686" s="22" t="s">
        <v>484</v>
      </c>
      <c r="Q686" s="38"/>
      <c r="R686" s="38"/>
    </row>
    <row r="687" s="3" customFormat="1" ht="60" customHeight="1" outlineLevel="2" spans="1:18">
      <c r="A687" s="41">
        <f t="shared" si="90"/>
        <v>8</v>
      </c>
      <c r="B687" s="28" t="s">
        <v>311</v>
      </c>
      <c r="C687" s="28" t="s">
        <v>312</v>
      </c>
      <c r="D687" s="28" t="s">
        <v>98</v>
      </c>
      <c r="E687" s="28" t="s">
        <v>115</v>
      </c>
      <c r="F687" s="29" t="s">
        <v>27</v>
      </c>
      <c r="G687" s="30">
        <v>2.93</v>
      </c>
      <c r="H687" s="31">
        <v>630.65</v>
      </c>
      <c r="I687" s="39"/>
      <c r="J687" s="31">
        <f t="shared" si="91"/>
        <v>630.65</v>
      </c>
      <c r="K687" s="33">
        <f t="shared" si="92"/>
        <v>1847.8</v>
      </c>
      <c r="L687" s="34" t="s">
        <v>28</v>
      </c>
      <c r="M687" s="35"/>
      <c r="N687" s="3">
        <v>1</v>
      </c>
      <c r="O687" s="21">
        <v>681.67</v>
      </c>
      <c r="P687" s="22" t="s">
        <v>64</v>
      </c>
      <c r="Q687" s="38"/>
      <c r="R687" s="38"/>
    </row>
    <row r="688" s="3" customFormat="1" outlineLevel="1" spans="1:18">
      <c r="A688" s="40"/>
      <c r="B688" s="28" t="s">
        <v>90</v>
      </c>
      <c r="C688" s="28"/>
      <c r="D688" s="28"/>
      <c r="E688" s="28"/>
      <c r="F688" s="29"/>
      <c r="G688" s="30"/>
      <c r="H688" s="31"/>
      <c r="I688" s="39"/>
      <c r="J688" s="31"/>
      <c r="K688" s="33"/>
      <c r="L688" s="34"/>
      <c r="M688" s="35"/>
      <c r="O688" s="36"/>
      <c r="P688" s="37"/>
      <c r="Q688" s="38"/>
      <c r="R688" s="38"/>
    </row>
    <row r="689" s="3" customFormat="1" ht="168" customHeight="1" outlineLevel="2" spans="1:18">
      <c r="A689" s="41">
        <f>1+N(A688)</f>
        <v>1</v>
      </c>
      <c r="B689" s="28" t="s">
        <v>91</v>
      </c>
      <c r="C689" s="28" t="s">
        <v>92</v>
      </c>
      <c r="D689" s="28" t="s">
        <v>93</v>
      </c>
      <c r="E689" s="28" t="s">
        <v>94</v>
      </c>
      <c r="F689" s="29" t="s">
        <v>27</v>
      </c>
      <c r="G689" s="30">
        <v>106.1</v>
      </c>
      <c r="H689" s="31">
        <v>174.57</v>
      </c>
      <c r="I689" s="39"/>
      <c r="J689" s="31">
        <f>H689*(1-$I$4)</f>
        <v>174.57</v>
      </c>
      <c r="K689" s="33">
        <f>ROUND(G689*J689,2)</f>
        <v>18521.88</v>
      </c>
      <c r="L689" s="34" t="s">
        <v>28</v>
      </c>
      <c r="M689" s="35"/>
      <c r="N689" s="3">
        <v>1</v>
      </c>
      <c r="O689" s="21">
        <v>150.38</v>
      </c>
      <c r="P689" s="22" t="s">
        <v>95</v>
      </c>
      <c r="Q689" s="38"/>
      <c r="R689" s="38"/>
    </row>
    <row r="690" s="3" customFormat="1" ht="48" customHeight="1" outlineLevel="2" spans="1:18">
      <c r="A690" s="41">
        <f>1+N(A689)</f>
        <v>2</v>
      </c>
      <c r="B690" s="28" t="s">
        <v>96</v>
      </c>
      <c r="C690" s="28" t="s">
        <v>97</v>
      </c>
      <c r="D690" s="28" t="s">
        <v>98</v>
      </c>
      <c r="E690" s="28" t="s">
        <v>99</v>
      </c>
      <c r="F690" s="29" t="s">
        <v>39</v>
      </c>
      <c r="G690" s="30">
        <v>39.02</v>
      </c>
      <c r="H690" s="31">
        <v>112.16</v>
      </c>
      <c r="I690" s="39"/>
      <c r="J690" s="31">
        <f>H690*(1-$I$4)</f>
        <v>112.16</v>
      </c>
      <c r="K690" s="33">
        <f>ROUND(G690*J690,2)</f>
        <v>4376.48</v>
      </c>
      <c r="L690" s="34" t="s">
        <v>28</v>
      </c>
      <c r="M690" s="35"/>
      <c r="N690" s="3">
        <v>1</v>
      </c>
      <c r="O690" s="21">
        <v>79.3</v>
      </c>
      <c r="P690" s="22" t="s">
        <v>100</v>
      </c>
      <c r="Q690" s="38"/>
      <c r="R690" s="38"/>
    </row>
    <row r="691" s="3" customFormat="1" ht="48" customHeight="1" outlineLevel="2" spans="1:18">
      <c r="A691" s="41">
        <f>1+N(A690)</f>
        <v>3</v>
      </c>
      <c r="B691" s="28" t="s">
        <v>101</v>
      </c>
      <c r="C691" s="28" t="s">
        <v>102</v>
      </c>
      <c r="D691" s="28" t="s">
        <v>98</v>
      </c>
      <c r="E691" s="28" t="s">
        <v>99</v>
      </c>
      <c r="F691" s="29" t="s">
        <v>39</v>
      </c>
      <c r="G691" s="30">
        <v>39.02</v>
      </c>
      <c r="H691" s="31">
        <v>75.82</v>
      </c>
      <c r="I691" s="39"/>
      <c r="J691" s="31">
        <f>H691*(1-$I$4)</f>
        <v>75.82</v>
      </c>
      <c r="K691" s="33">
        <f>ROUND(G691*J691,2)</f>
        <v>2958.5</v>
      </c>
      <c r="L691" s="34" t="s">
        <v>28</v>
      </c>
      <c r="M691" s="35"/>
      <c r="N691" s="3">
        <v>1</v>
      </c>
      <c r="O691" s="21">
        <v>203.56</v>
      </c>
      <c r="P691" s="22" t="s">
        <v>103</v>
      </c>
      <c r="Q691" s="38"/>
      <c r="R691" s="38"/>
    </row>
    <row r="692" s="3" customFormat="1" ht="48" customHeight="1" outlineLevel="2" spans="1:18">
      <c r="A692" s="41">
        <f>1+N(A691)</f>
        <v>4</v>
      </c>
      <c r="B692" s="28" t="s">
        <v>104</v>
      </c>
      <c r="C692" s="28" t="s">
        <v>105</v>
      </c>
      <c r="D692" s="28" t="s">
        <v>98</v>
      </c>
      <c r="E692" s="28" t="s">
        <v>99</v>
      </c>
      <c r="F692" s="29" t="s">
        <v>39</v>
      </c>
      <c r="G692" s="30">
        <v>9.6</v>
      </c>
      <c r="H692" s="31">
        <v>109.74</v>
      </c>
      <c r="I692" s="39"/>
      <c r="J692" s="31">
        <f>H692*(1-$I$4)</f>
        <v>109.74</v>
      </c>
      <c r="K692" s="33">
        <f>ROUND(G692*J692,2)</f>
        <v>1053.5</v>
      </c>
      <c r="L692" s="34" t="s">
        <v>28</v>
      </c>
      <c r="M692" s="35"/>
      <c r="N692" s="3">
        <v>1</v>
      </c>
      <c r="O692" s="21">
        <v>108.2</v>
      </c>
      <c r="P692" s="22" t="s">
        <v>106</v>
      </c>
      <c r="Q692" s="38"/>
      <c r="R692" s="38"/>
    </row>
    <row r="693" s="3" customFormat="1" ht="132" customHeight="1" outlineLevel="2" spans="1:18">
      <c r="A693" s="41">
        <f>1+N(A692)</f>
        <v>5</v>
      </c>
      <c r="B693" s="28" t="s">
        <v>107</v>
      </c>
      <c r="C693" s="28" t="s">
        <v>108</v>
      </c>
      <c r="D693" s="28" t="s">
        <v>109</v>
      </c>
      <c r="E693" s="28" t="s">
        <v>110</v>
      </c>
      <c r="F693" s="29" t="s">
        <v>27</v>
      </c>
      <c r="G693" s="30">
        <v>117.81</v>
      </c>
      <c r="H693" s="31">
        <v>152.22</v>
      </c>
      <c r="I693" s="39"/>
      <c r="J693" s="31">
        <f>H693*(1-$I$4)</f>
        <v>152.22</v>
      </c>
      <c r="K693" s="33">
        <f>ROUND(G693*J693,2)</f>
        <v>17933.04</v>
      </c>
      <c r="L693" s="34" t="s">
        <v>28</v>
      </c>
      <c r="M693" s="35"/>
      <c r="N693" s="3">
        <v>1</v>
      </c>
      <c r="O693" s="21">
        <v>151.58</v>
      </c>
      <c r="P693" s="22" t="s">
        <v>111</v>
      </c>
      <c r="Q693" s="38"/>
      <c r="R693" s="38"/>
    </row>
    <row r="694" s="3" customFormat="1" outlineLevel="1" spans="1:18">
      <c r="A694" s="40"/>
      <c r="B694" s="28" t="s">
        <v>112</v>
      </c>
      <c r="C694" s="28"/>
      <c r="D694" s="28"/>
      <c r="E694" s="28"/>
      <c r="F694" s="29"/>
      <c r="G694" s="30"/>
      <c r="H694" s="31"/>
      <c r="I694" s="39"/>
      <c r="J694" s="31"/>
      <c r="K694" s="33"/>
      <c r="L694" s="34"/>
      <c r="M694" s="35"/>
      <c r="O694" s="36"/>
      <c r="P694" s="37"/>
      <c r="Q694" s="38"/>
      <c r="R694" s="38"/>
    </row>
    <row r="695" s="3" customFormat="1" ht="84" customHeight="1" outlineLevel="2" spans="1:18">
      <c r="A695" s="41">
        <f>1+N(A694)</f>
        <v>1</v>
      </c>
      <c r="B695" s="28" t="s">
        <v>485</v>
      </c>
      <c r="C695" s="28" t="s">
        <v>451</v>
      </c>
      <c r="D695" s="28" t="s">
        <v>98</v>
      </c>
      <c r="E695" s="28" t="s">
        <v>115</v>
      </c>
      <c r="F695" s="29" t="s">
        <v>27</v>
      </c>
      <c r="G695" s="30">
        <v>5.96</v>
      </c>
      <c r="H695" s="31">
        <v>5975.59</v>
      </c>
      <c r="I695" s="39"/>
      <c r="J695" s="31">
        <f>H695*(1-$I$4)</f>
        <v>5975.59</v>
      </c>
      <c r="K695" s="33">
        <f>ROUND(G695*J695,2)</f>
        <v>35614.52</v>
      </c>
      <c r="L695" s="34" t="s">
        <v>28</v>
      </c>
      <c r="M695" s="35"/>
      <c r="N695" s="3">
        <v>1</v>
      </c>
      <c r="O695" s="21">
        <v>2555.85</v>
      </c>
      <c r="P695" s="22" t="s">
        <v>486</v>
      </c>
      <c r="Q695" s="38"/>
      <c r="R695" s="38"/>
    </row>
    <row r="696" s="3" customFormat="1" ht="84" customHeight="1" outlineLevel="2" spans="1:18">
      <c r="A696" s="41">
        <f>1+N(A695)</f>
        <v>2</v>
      </c>
      <c r="B696" s="28" t="s">
        <v>487</v>
      </c>
      <c r="C696" s="28" t="s">
        <v>451</v>
      </c>
      <c r="D696" s="28" t="s">
        <v>98</v>
      </c>
      <c r="E696" s="28" t="s">
        <v>115</v>
      </c>
      <c r="F696" s="29" t="s">
        <v>27</v>
      </c>
      <c r="G696" s="30">
        <v>8.87</v>
      </c>
      <c r="H696" s="31">
        <v>5975.59</v>
      </c>
      <c r="I696" s="39"/>
      <c r="J696" s="31">
        <f>H696*(1-$I$4)</f>
        <v>5975.59</v>
      </c>
      <c r="K696" s="33">
        <f>ROUND(G696*J696,2)</f>
        <v>53003.48</v>
      </c>
      <c r="L696" s="34" t="s">
        <v>28</v>
      </c>
      <c r="M696" s="35"/>
      <c r="N696" s="3">
        <v>1</v>
      </c>
      <c r="O696" s="21">
        <v>2555.85</v>
      </c>
      <c r="P696" s="22" t="s">
        <v>486</v>
      </c>
      <c r="Q696" s="38"/>
      <c r="R696" s="38"/>
    </row>
    <row r="697" s="3" customFormat="1" ht="72" customHeight="1" outlineLevel="2" spans="1:18">
      <c r="A697" s="41">
        <f>1+N(A696)</f>
        <v>3</v>
      </c>
      <c r="B697" s="28" t="s">
        <v>148</v>
      </c>
      <c r="C697" s="28" t="s">
        <v>149</v>
      </c>
      <c r="D697" s="28" t="s">
        <v>98</v>
      </c>
      <c r="E697" s="28" t="s">
        <v>115</v>
      </c>
      <c r="F697" s="29" t="s">
        <v>27</v>
      </c>
      <c r="G697" s="30">
        <v>10.24</v>
      </c>
      <c r="H697" s="31">
        <v>3211.49</v>
      </c>
      <c r="I697" s="39"/>
      <c r="J697" s="31">
        <f>H697*(1-$I$4)</f>
        <v>3211.49</v>
      </c>
      <c r="K697" s="33">
        <f>ROUND(G697*J697,2)</f>
        <v>32885.66</v>
      </c>
      <c r="L697" s="34" t="s">
        <v>28</v>
      </c>
      <c r="M697" s="35"/>
      <c r="N697" s="3">
        <v>1</v>
      </c>
      <c r="O697" s="21">
        <v>2636.15</v>
      </c>
      <c r="P697" s="22" t="s">
        <v>150</v>
      </c>
      <c r="Q697" s="38"/>
      <c r="R697" s="38"/>
    </row>
    <row r="698" s="3" customFormat="1" outlineLevel="1" spans="1:18">
      <c r="A698" s="27" t="s">
        <v>488</v>
      </c>
      <c r="B698" s="28" t="s">
        <v>489</v>
      </c>
      <c r="C698" s="28"/>
      <c r="D698" s="28"/>
      <c r="E698" s="28"/>
      <c r="F698" s="29"/>
      <c r="G698" s="30"/>
      <c r="H698" s="31"/>
      <c r="I698" s="39"/>
      <c r="J698" s="31"/>
      <c r="K698" s="33"/>
      <c r="L698" s="34"/>
      <c r="M698" s="35"/>
      <c r="O698" s="36"/>
      <c r="P698" s="37"/>
      <c r="Q698" s="38"/>
      <c r="R698" s="38"/>
    </row>
    <row r="699" s="3" customFormat="1" outlineLevel="1" spans="1:18">
      <c r="A699" s="40"/>
      <c r="B699" s="28" t="s">
        <v>22</v>
      </c>
      <c r="C699" s="28"/>
      <c r="D699" s="28"/>
      <c r="E699" s="28"/>
      <c r="F699" s="29"/>
      <c r="G699" s="30"/>
      <c r="H699" s="31"/>
      <c r="I699" s="39"/>
      <c r="J699" s="31"/>
      <c r="K699" s="33"/>
      <c r="L699" s="34"/>
      <c r="M699" s="35"/>
      <c r="O699" s="36"/>
      <c r="P699" s="37"/>
      <c r="Q699" s="38"/>
      <c r="R699" s="38"/>
    </row>
    <row r="700" s="3" customFormat="1" ht="108" customHeight="1" outlineLevel="2" spans="1:18">
      <c r="A700" s="41">
        <f>1+N(A699)</f>
        <v>1</v>
      </c>
      <c r="B700" s="28" t="s">
        <v>23</v>
      </c>
      <c r="C700" s="28" t="s">
        <v>24</v>
      </c>
      <c r="D700" s="28" t="s">
        <v>25</v>
      </c>
      <c r="E700" s="28" t="s">
        <v>26</v>
      </c>
      <c r="F700" s="29" t="s">
        <v>27</v>
      </c>
      <c r="G700" s="30">
        <v>1.38</v>
      </c>
      <c r="H700" s="31">
        <v>940.91</v>
      </c>
      <c r="I700" s="39"/>
      <c r="J700" s="31">
        <f>H700*(1-$I$4)</f>
        <v>940.91</v>
      </c>
      <c r="K700" s="33">
        <f>ROUND(G700*J700,2)</f>
        <v>1298.46</v>
      </c>
      <c r="L700" s="34" t="s">
        <v>28</v>
      </c>
      <c r="M700" s="35"/>
      <c r="N700" s="3">
        <v>1</v>
      </c>
      <c r="O700" s="21">
        <v>886.6</v>
      </c>
      <c r="P700" s="22" t="s">
        <v>29</v>
      </c>
      <c r="Q700" s="38"/>
      <c r="R700" s="38"/>
    </row>
    <row r="701" s="3" customFormat="1" ht="108" customHeight="1" outlineLevel="2" spans="1:18">
      <c r="A701" s="41">
        <f>1+N(A700)</f>
        <v>2</v>
      </c>
      <c r="B701" s="28" t="s">
        <v>282</v>
      </c>
      <c r="C701" s="28" t="s">
        <v>283</v>
      </c>
      <c r="D701" s="28" t="s">
        <v>25</v>
      </c>
      <c r="E701" s="28" t="s">
        <v>26</v>
      </c>
      <c r="F701" s="29" t="s">
        <v>27</v>
      </c>
      <c r="G701" s="30">
        <v>42.13</v>
      </c>
      <c r="H701" s="31">
        <v>760.37</v>
      </c>
      <c r="I701" s="39"/>
      <c r="J701" s="31">
        <f>H701*(1-$I$4)</f>
        <v>760.37</v>
      </c>
      <c r="K701" s="33">
        <f>ROUND(G701*J701,2)</f>
        <v>32034.39</v>
      </c>
      <c r="L701" s="34" t="s">
        <v>28</v>
      </c>
      <c r="M701" s="35"/>
      <c r="N701" s="3">
        <v>1</v>
      </c>
      <c r="O701" s="21">
        <v>886.6</v>
      </c>
      <c r="P701" s="22" t="s">
        <v>284</v>
      </c>
      <c r="Q701" s="38"/>
      <c r="R701" s="38"/>
    </row>
    <row r="702" s="3" customFormat="1" ht="72" customHeight="1" outlineLevel="2" spans="1:18">
      <c r="A702" s="41">
        <f>1+N(A701)</f>
        <v>3</v>
      </c>
      <c r="B702" s="28" t="s">
        <v>36</v>
      </c>
      <c r="C702" s="28" t="s">
        <v>37</v>
      </c>
      <c r="D702" s="28" t="s">
        <v>25</v>
      </c>
      <c r="E702" s="28" t="s">
        <v>38</v>
      </c>
      <c r="F702" s="29" t="s">
        <v>39</v>
      </c>
      <c r="G702" s="30">
        <v>48.4</v>
      </c>
      <c r="H702" s="31">
        <v>89.27</v>
      </c>
      <c r="I702" s="39"/>
      <c r="J702" s="31">
        <f>H702*(1-$I$4)</f>
        <v>89.27</v>
      </c>
      <c r="K702" s="33">
        <f>ROUND(G702*J702,2)</f>
        <v>4320.67</v>
      </c>
      <c r="L702" s="34" t="s">
        <v>28</v>
      </c>
      <c r="M702" s="35"/>
      <c r="N702" s="3">
        <v>1</v>
      </c>
      <c r="O702" s="21">
        <v>35.28</v>
      </c>
      <c r="P702" s="22" t="s">
        <v>40</v>
      </c>
      <c r="Q702" s="38"/>
      <c r="R702" s="38"/>
    </row>
    <row r="703" s="3" customFormat="1" outlineLevel="1" spans="1:18">
      <c r="A703" s="40"/>
      <c r="B703" s="28" t="s">
        <v>44</v>
      </c>
      <c r="C703" s="28"/>
      <c r="D703" s="28"/>
      <c r="E703" s="28"/>
      <c r="F703" s="29"/>
      <c r="G703" s="30"/>
      <c r="H703" s="31"/>
      <c r="I703" s="39"/>
      <c r="J703" s="31"/>
      <c r="K703" s="33"/>
      <c r="L703" s="34"/>
      <c r="M703" s="35"/>
      <c r="O703" s="36"/>
      <c r="P703" s="37"/>
      <c r="Q703" s="38"/>
      <c r="R703" s="38"/>
    </row>
    <row r="704" s="3" customFormat="1" ht="156" customHeight="1" outlineLevel="2" spans="1:18">
      <c r="A704" s="41">
        <f t="shared" ref="A704:A709" si="93">1+N(A703)</f>
        <v>1</v>
      </c>
      <c r="B704" s="28" t="s">
        <v>50</v>
      </c>
      <c r="C704" s="28" t="s">
        <v>338</v>
      </c>
      <c r="D704" s="28" t="s">
        <v>52</v>
      </c>
      <c r="E704" s="28" t="s">
        <v>48</v>
      </c>
      <c r="F704" s="29" t="s">
        <v>27</v>
      </c>
      <c r="G704" s="30">
        <v>1.06</v>
      </c>
      <c r="H704" s="31">
        <v>851.9</v>
      </c>
      <c r="I704" s="39"/>
      <c r="J704" s="31">
        <f t="shared" ref="J704:J709" si="94">H704*(1-$I$4)</f>
        <v>851.9</v>
      </c>
      <c r="K704" s="33">
        <f t="shared" ref="K704:K709" si="95">ROUND(G704*J704,2)</f>
        <v>903.01</v>
      </c>
      <c r="L704" s="34" t="s">
        <v>28</v>
      </c>
      <c r="M704" s="35"/>
      <c r="N704" s="3">
        <v>1</v>
      </c>
      <c r="O704" s="21">
        <v>1029.66</v>
      </c>
      <c r="P704" s="22" t="s">
        <v>490</v>
      </c>
      <c r="Q704" s="38"/>
      <c r="R704" s="38"/>
    </row>
    <row r="705" s="3" customFormat="1" ht="168" customHeight="1" outlineLevel="2" spans="1:18">
      <c r="A705" s="41">
        <f t="shared" si="93"/>
        <v>2</v>
      </c>
      <c r="B705" s="28" t="s">
        <v>54</v>
      </c>
      <c r="C705" s="28" t="s">
        <v>340</v>
      </c>
      <c r="D705" s="28" t="s">
        <v>52</v>
      </c>
      <c r="E705" s="28" t="s">
        <v>48</v>
      </c>
      <c r="F705" s="29" t="s">
        <v>27</v>
      </c>
      <c r="G705" s="30">
        <v>1.06</v>
      </c>
      <c r="H705" s="31">
        <v>2016.38</v>
      </c>
      <c r="I705" s="39"/>
      <c r="J705" s="31">
        <f t="shared" si="94"/>
        <v>2016.38</v>
      </c>
      <c r="K705" s="33">
        <f t="shared" si="95"/>
        <v>2137.36</v>
      </c>
      <c r="L705" s="34" t="s">
        <v>28</v>
      </c>
      <c r="M705" s="35"/>
      <c r="N705" s="3">
        <v>1</v>
      </c>
      <c r="O705" s="21">
        <v>1174.03</v>
      </c>
      <c r="P705" s="22" t="s">
        <v>341</v>
      </c>
      <c r="Q705" s="38"/>
      <c r="R705" s="38"/>
    </row>
    <row r="706" s="3" customFormat="1" ht="156" customHeight="1" outlineLevel="2" spans="1:18">
      <c r="A706" s="41">
        <f t="shared" si="93"/>
        <v>3</v>
      </c>
      <c r="B706" s="28" t="s">
        <v>474</v>
      </c>
      <c r="C706" s="28" t="s">
        <v>475</v>
      </c>
      <c r="D706" s="28" t="s">
        <v>52</v>
      </c>
      <c r="E706" s="28" t="s">
        <v>48</v>
      </c>
      <c r="F706" s="29" t="s">
        <v>27</v>
      </c>
      <c r="G706" s="30">
        <v>16.27</v>
      </c>
      <c r="H706" s="31">
        <v>607.57</v>
      </c>
      <c r="I706" s="39"/>
      <c r="J706" s="31">
        <f t="shared" si="94"/>
        <v>607.57</v>
      </c>
      <c r="K706" s="33">
        <f t="shared" si="95"/>
        <v>9885.16</v>
      </c>
      <c r="L706" s="34" t="s">
        <v>28</v>
      </c>
      <c r="M706" s="35"/>
      <c r="N706" s="3">
        <v>1</v>
      </c>
      <c r="O706" s="21">
        <v>723.61</v>
      </c>
      <c r="P706" s="22" t="s">
        <v>476</v>
      </c>
      <c r="Q706" s="38"/>
      <c r="R706" s="38"/>
    </row>
    <row r="707" s="3" customFormat="1" ht="120" customHeight="1" outlineLevel="2" spans="1:18">
      <c r="A707" s="41">
        <f t="shared" si="93"/>
        <v>4</v>
      </c>
      <c r="B707" s="28" t="s">
        <v>342</v>
      </c>
      <c r="C707" s="28" t="s">
        <v>343</v>
      </c>
      <c r="D707" s="28" t="s">
        <v>52</v>
      </c>
      <c r="E707" s="28" t="s">
        <v>63</v>
      </c>
      <c r="F707" s="29" t="s">
        <v>27</v>
      </c>
      <c r="G707" s="30">
        <v>35.52</v>
      </c>
      <c r="H707" s="31">
        <v>972.32</v>
      </c>
      <c r="I707" s="39"/>
      <c r="J707" s="31">
        <f t="shared" si="94"/>
        <v>972.32</v>
      </c>
      <c r="K707" s="33">
        <f t="shared" si="95"/>
        <v>34536.81</v>
      </c>
      <c r="L707" s="34" t="s">
        <v>28</v>
      </c>
      <c r="M707" s="35"/>
      <c r="N707" s="3">
        <v>1</v>
      </c>
      <c r="O707" s="21">
        <v>1670.19</v>
      </c>
      <c r="P707" s="22" t="s">
        <v>491</v>
      </c>
      <c r="Q707" s="38"/>
      <c r="R707" s="38"/>
    </row>
    <row r="708" s="3" customFormat="1" ht="96" customHeight="1" outlineLevel="2" spans="1:18">
      <c r="A708" s="41">
        <f t="shared" si="93"/>
        <v>5</v>
      </c>
      <c r="B708" s="28" t="s">
        <v>477</v>
      </c>
      <c r="C708" s="28" t="s">
        <v>478</v>
      </c>
      <c r="D708" s="28" t="s">
        <v>59</v>
      </c>
      <c r="E708" s="28" t="s">
        <v>207</v>
      </c>
      <c r="F708" s="29" t="s">
        <v>27</v>
      </c>
      <c r="G708" s="30">
        <v>67.63</v>
      </c>
      <c r="H708" s="31">
        <v>593.35</v>
      </c>
      <c r="I708" s="39"/>
      <c r="J708" s="31">
        <f t="shared" si="94"/>
        <v>593.35</v>
      </c>
      <c r="K708" s="33">
        <f t="shared" si="95"/>
        <v>40128.26</v>
      </c>
      <c r="L708" s="34" t="s">
        <v>28</v>
      </c>
      <c r="M708" s="35"/>
      <c r="N708" s="3">
        <v>1</v>
      </c>
      <c r="O708" s="21">
        <v>481.47</v>
      </c>
      <c r="P708" s="22" t="s">
        <v>479</v>
      </c>
      <c r="Q708" s="38"/>
      <c r="R708" s="38"/>
    </row>
    <row r="709" s="3" customFormat="1" ht="96" customHeight="1" outlineLevel="2" spans="1:18">
      <c r="A709" s="41">
        <f t="shared" si="93"/>
        <v>6</v>
      </c>
      <c r="B709" s="28" t="s">
        <v>75</v>
      </c>
      <c r="C709" s="28" t="s">
        <v>76</v>
      </c>
      <c r="D709" s="28" t="s">
        <v>59</v>
      </c>
      <c r="E709" s="28" t="s">
        <v>38</v>
      </c>
      <c r="F709" s="29" t="s">
        <v>39</v>
      </c>
      <c r="G709" s="30">
        <v>35.57</v>
      </c>
      <c r="H709" s="31">
        <v>67.08</v>
      </c>
      <c r="I709" s="39"/>
      <c r="J709" s="31">
        <f t="shared" si="94"/>
        <v>67.08</v>
      </c>
      <c r="K709" s="33">
        <f t="shared" si="95"/>
        <v>2386.04</v>
      </c>
      <c r="L709" s="34" t="s">
        <v>28</v>
      </c>
      <c r="M709" s="35"/>
      <c r="N709" s="3">
        <v>1</v>
      </c>
      <c r="O709" s="21">
        <v>45.71</v>
      </c>
      <c r="P709" s="22" t="s">
        <v>77</v>
      </c>
      <c r="Q709" s="38"/>
      <c r="R709" s="38"/>
    </row>
    <row r="710" s="3" customFormat="1" outlineLevel="1" spans="1:18">
      <c r="A710" s="40"/>
      <c r="B710" s="28" t="s">
        <v>90</v>
      </c>
      <c r="C710" s="28"/>
      <c r="D710" s="28"/>
      <c r="E710" s="28"/>
      <c r="F710" s="29"/>
      <c r="G710" s="30"/>
      <c r="H710" s="31"/>
      <c r="I710" s="39"/>
      <c r="J710" s="31"/>
      <c r="K710" s="33"/>
      <c r="L710" s="34"/>
      <c r="M710" s="35"/>
      <c r="O710" s="36"/>
      <c r="P710" s="37"/>
      <c r="Q710" s="38"/>
      <c r="R710" s="38"/>
    </row>
    <row r="711" s="3" customFormat="1" ht="168" customHeight="1" outlineLevel="2" spans="1:18">
      <c r="A711" s="41">
        <f>1+N(A710)</f>
        <v>1</v>
      </c>
      <c r="B711" s="28" t="s">
        <v>91</v>
      </c>
      <c r="C711" s="28" t="s">
        <v>92</v>
      </c>
      <c r="D711" s="28" t="s">
        <v>93</v>
      </c>
      <c r="E711" s="28" t="s">
        <v>94</v>
      </c>
      <c r="F711" s="29" t="s">
        <v>27</v>
      </c>
      <c r="G711" s="30">
        <v>42.13</v>
      </c>
      <c r="H711" s="31">
        <v>174.57</v>
      </c>
      <c r="I711" s="39"/>
      <c r="J711" s="31">
        <f>H711*(1-$I$4)</f>
        <v>174.57</v>
      </c>
      <c r="K711" s="33">
        <f>ROUND(G711*J711,2)</f>
        <v>7354.63</v>
      </c>
      <c r="L711" s="34" t="s">
        <v>28</v>
      </c>
      <c r="M711" s="35"/>
      <c r="N711" s="3">
        <v>1</v>
      </c>
      <c r="O711" s="21">
        <v>150.38</v>
      </c>
      <c r="P711" s="22" t="s">
        <v>95</v>
      </c>
      <c r="Q711" s="38"/>
      <c r="R711" s="38"/>
    </row>
    <row r="712" s="3" customFormat="1" ht="156" customHeight="1" outlineLevel="2" spans="1:18">
      <c r="A712" s="41">
        <f>1+N(A711)</f>
        <v>2</v>
      </c>
      <c r="B712" s="28" t="s">
        <v>351</v>
      </c>
      <c r="C712" s="28" t="s">
        <v>352</v>
      </c>
      <c r="D712" s="28" t="s">
        <v>353</v>
      </c>
      <c r="E712" s="28" t="s">
        <v>354</v>
      </c>
      <c r="F712" s="29" t="s">
        <v>27</v>
      </c>
      <c r="G712" s="30">
        <v>7.33</v>
      </c>
      <c r="H712" s="31">
        <v>506.22</v>
      </c>
      <c r="I712" s="39"/>
      <c r="J712" s="31">
        <f>H712*(1-$I$4)</f>
        <v>506.22</v>
      </c>
      <c r="K712" s="33">
        <f>ROUND(G712*J712,2)</f>
        <v>3710.59</v>
      </c>
      <c r="L712" s="34" t="s">
        <v>28</v>
      </c>
      <c r="M712" s="35"/>
      <c r="N712" s="3">
        <v>1</v>
      </c>
      <c r="O712" s="21">
        <v>476.3</v>
      </c>
      <c r="P712" s="22" t="s">
        <v>355</v>
      </c>
      <c r="Q712" s="38"/>
      <c r="R712" s="38"/>
    </row>
    <row r="713" s="3" customFormat="1" ht="48" customHeight="1" outlineLevel="2" spans="1:18">
      <c r="A713" s="41">
        <f>1+N(A712)</f>
        <v>3</v>
      </c>
      <c r="B713" s="28" t="s">
        <v>104</v>
      </c>
      <c r="C713" s="28" t="s">
        <v>105</v>
      </c>
      <c r="D713" s="28" t="s">
        <v>98</v>
      </c>
      <c r="E713" s="28" t="s">
        <v>99</v>
      </c>
      <c r="F713" s="29" t="s">
        <v>39</v>
      </c>
      <c r="G713" s="30">
        <v>10.4</v>
      </c>
      <c r="H713" s="31">
        <v>109.74</v>
      </c>
      <c r="I713" s="39"/>
      <c r="J713" s="31">
        <f>H713*(1-$I$4)</f>
        <v>109.74</v>
      </c>
      <c r="K713" s="33">
        <f>ROUND(G713*J713,2)</f>
        <v>1141.3</v>
      </c>
      <c r="L713" s="34" t="s">
        <v>28</v>
      </c>
      <c r="M713" s="35"/>
      <c r="N713" s="3">
        <v>1</v>
      </c>
      <c r="O713" s="21">
        <v>108.2</v>
      </c>
      <c r="P713" s="22" t="s">
        <v>106</v>
      </c>
      <c r="Q713" s="38"/>
      <c r="R713" s="38"/>
    </row>
    <row r="714" s="3" customFormat="1" ht="132" customHeight="1" outlineLevel="2" spans="1:18">
      <c r="A714" s="41">
        <f>1+N(A713)</f>
        <v>4</v>
      </c>
      <c r="B714" s="28" t="s">
        <v>107</v>
      </c>
      <c r="C714" s="28" t="s">
        <v>108</v>
      </c>
      <c r="D714" s="28" t="s">
        <v>109</v>
      </c>
      <c r="E714" s="28" t="s">
        <v>110</v>
      </c>
      <c r="F714" s="29" t="s">
        <v>27</v>
      </c>
      <c r="G714" s="30">
        <v>42.13</v>
      </c>
      <c r="H714" s="31">
        <v>152.22</v>
      </c>
      <c r="I714" s="39"/>
      <c r="J714" s="31">
        <f>H714*(1-$I$4)</f>
        <v>152.22</v>
      </c>
      <c r="K714" s="33">
        <f>ROUND(G714*J714,2)</f>
        <v>6413.03</v>
      </c>
      <c r="L714" s="34" t="s">
        <v>28</v>
      </c>
      <c r="M714" s="35"/>
      <c r="N714" s="3">
        <v>1</v>
      </c>
      <c r="O714" s="21">
        <v>151.58</v>
      </c>
      <c r="P714" s="22" t="s">
        <v>111</v>
      </c>
      <c r="Q714" s="38"/>
      <c r="R714" s="38"/>
    </row>
    <row r="715" s="3" customFormat="1" ht="156" customHeight="1" outlineLevel="2" spans="1:18">
      <c r="A715" s="41">
        <f>1+N(A714)</f>
        <v>5</v>
      </c>
      <c r="B715" s="28" t="s">
        <v>359</v>
      </c>
      <c r="C715" s="28" t="s">
        <v>360</v>
      </c>
      <c r="D715" s="28" t="s">
        <v>353</v>
      </c>
      <c r="E715" s="28" t="s">
        <v>354</v>
      </c>
      <c r="F715" s="29" t="s">
        <v>27</v>
      </c>
      <c r="G715" s="30">
        <v>7.33</v>
      </c>
      <c r="H715" s="31">
        <v>31.39</v>
      </c>
      <c r="I715" s="39"/>
      <c r="J715" s="31">
        <f>H715*(1-$I$4)</f>
        <v>31.39</v>
      </c>
      <c r="K715" s="33">
        <f>ROUND(G715*J715,2)</f>
        <v>230.09</v>
      </c>
      <c r="L715" s="34" t="s">
        <v>28</v>
      </c>
      <c r="M715" s="35"/>
      <c r="N715" s="3">
        <v>1</v>
      </c>
      <c r="O715" s="21">
        <v>23.95</v>
      </c>
      <c r="P715" s="22" t="s">
        <v>361</v>
      </c>
      <c r="Q715" s="38"/>
      <c r="R715" s="38"/>
    </row>
    <row r="716" s="3" customFormat="1" outlineLevel="1" spans="1:18">
      <c r="A716" s="40"/>
      <c r="B716" s="28" t="s">
        <v>112</v>
      </c>
      <c r="C716" s="28"/>
      <c r="D716" s="28"/>
      <c r="E716" s="28"/>
      <c r="F716" s="29"/>
      <c r="G716" s="30"/>
      <c r="H716" s="31"/>
      <c r="I716" s="39"/>
      <c r="J716" s="31"/>
      <c r="K716" s="33"/>
      <c r="L716" s="34"/>
      <c r="M716" s="35"/>
      <c r="O716" s="36"/>
      <c r="P716" s="37"/>
      <c r="Q716" s="38"/>
      <c r="R716" s="38"/>
    </row>
    <row r="717" s="3" customFormat="1" ht="60" customHeight="1" outlineLevel="2" spans="1:18">
      <c r="A717" s="41">
        <f>1+N(A716)</f>
        <v>1</v>
      </c>
      <c r="B717" s="28" t="s">
        <v>134</v>
      </c>
      <c r="C717" s="28" t="s">
        <v>114</v>
      </c>
      <c r="D717" s="28" t="s">
        <v>98</v>
      </c>
      <c r="E717" s="28" t="s">
        <v>115</v>
      </c>
      <c r="F717" s="29" t="s">
        <v>27</v>
      </c>
      <c r="G717" s="30">
        <v>2.72</v>
      </c>
      <c r="H717" s="31">
        <v>962.68</v>
      </c>
      <c r="I717" s="39"/>
      <c r="J717" s="31">
        <f>H717*(1-$I$4)</f>
        <v>962.68</v>
      </c>
      <c r="K717" s="33">
        <f>ROUND(G717*J717,2)</f>
        <v>2618.49</v>
      </c>
      <c r="L717" s="34" t="s">
        <v>28</v>
      </c>
      <c r="M717" s="35"/>
      <c r="N717" s="3">
        <v>1</v>
      </c>
      <c r="O717" s="21">
        <v>665.69</v>
      </c>
      <c r="P717" s="22" t="s">
        <v>116</v>
      </c>
      <c r="Q717" s="38"/>
      <c r="R717" s="38"/>
    </row>
    <row r="718" s="3" customFormat="1" outlineLevel="1" spans="1:18">
      <c r="A718" s="27" t="s">
        <v>492</v>
      </c>
      <c r="B718" s="28" t="s">
        <v>493</v>
      </c>
      <c r="C718" s="28"/>
      <c r="D718" s="28"/>
      <c r="E718" s="28"/>
      <c r="F718" s="29"/>
      <c r="G718" s="30"/>
      <c r="H718" s="31"/>
      <c r="I718" s="39"/>
      <c r="J718" s="31"/>
      <c r="K718" s="33"/>
      <c r="L718" s="34"/>
      <c r="M718" s="35"/>
      <c r="O718" s="36"/>
      <c r="P718" s="37"/>
      <c r="Q718" s="38"/>
      <c r="R718" s="38"/>
    </row>
    <row r="719" s="3" customFormat="1" outlineLevel="1" spans="1:18">
      <c r="A719" s="40"/>
      <c r="B719" s="28" t="s">
        <v>22</v>
      </c>
      <c r="C719" s="28"/>
      <c r="D719" s="28"/>
      <c r="E719" s="28"/>
      <c r="F719" s="29"/>
      <c r="G719" s="30"/>
      <c r="H719" s="31"/>
      <c r="I719" s="39"/>
      <c r="J719" s="31"/>
      <c r="K719" s="33"/>
      <c r="L719" s="34"/>
      <c r="M719" s="35"/>
      <c r="O719" s="36"/>
      <c r="P719" s="37"/>
      <c r="Q719" s="38"/>
      <c r="R719" s="38"/>
    </row>
    <row r="720" s="3" customFormat="1" ht="84" customHeight="1" outlineLevel="2" spans="1:18">
      <c r="A720" s="41">
        <f>1+N(A719)</f>
        <v>1</v>
      </c>
      <c r="B720" s="28" t="s">
        <v>376</v>
      </c>
      <c r="C720" s="28" t="s">
        <v>377</v>
      </c>
      <c r="D720" s="28" t="s">
        <v>25</v>
      </c>
      <c r="E720" s="28" t="s">
        <v>26</v>
      </c>
      <c r="F720" s="29" t="s">
        <v>27</v>
      </c>
      <c r="G720" s="30">
        <v>20.55</v>
      </c>
      <c r="H720" s="31">
        <v>430.15</v>
      </c>
      <c r="I720" s="39"/>
      <c r="J720" s="31">
        <f>H720*(1-$I$4)</f>
        <v>430.15</v>
      </c>
      <c r="K720" s="33">
        <f>ROUND(G720*J720,2)</f>
        <v>8839.58</v>
      </c>
      <c r="L720" s="34" t="s">
        <v>28</v>
      </c>
      <c r="M720" s="35"/>
      <c r="N720" s="3">
        <v>1</v>
      </c>
      <c r="O720" s="21">
        <v>335.94</v>
      </c>
      <c r="P720" s="22" t="s">
        <v>378</v>
      </c>
      <c r="Q720" s="38"/>
      <c r="R720" s="38"/>
    </row>
    <row r="721" s="3" customFormat="1" ht="84" customHeight="1" outlineLevel="2" spans="1:18">
      <c r="A721" s="41">
        <f>1+N(A720)</f>
        <v>2</v>
      </c>
      <c r="B721" s="28" t="s">
        <v>33</v>
      </c>
      <c r="C721" s="28" t="s">
        <v>34</v>
      </c>
      <c r="D721" s="28" t="s">
        <v>25</v>
      </c>
      <c r="E721" s="28" t="s">
        <v>26</v>
      </c>
      <c r="F721" s="29" t="s">
        <v>27</v>
      </c>
      <c r="G721" s="30">
        <v>3.52</v>
      </c>
      <c r="H721" s="31">
        <v>336.76</v>
      </c>
      <c r="I721" s="39"/>
      <c r="J721" s="31">
        <f>H721*(1-$I$4)</f>
        <v>336.76</v>
      </c>
      <c r="K721" s="33">
        <f>ROUND(G721*J721,2)</f>
        <v>1185.4</v>
      </c>
      <c r="L721" s="34" t="s">
        <v>28</v>
      </c>
      <c r="M721" s="35"/>
      <c r="N721" s="3">
        <v>1</v>
      </c>
      <c r="O721" s="21">
        <v>202.68</v>
      </c>
      <c r="P721" s="22" t="s">
        <v>35</v>
      </c>
      <c r="Q721" s="38"/>
      <c r="R721" s="38"/>
    </row>
    <row r="722" s="3" customFormat="1" outlineLevel="1" spans="1:18">
      <c r="A722" s="40"/>
      <c r="B722" s="28" t="s">
        <v>44</v>
      </c>
      <c r="C722" s="28"/>
      <c r="D722" s="28"/>
      <c r="E722" s="28"/>
      <c r="F722" s="29"/>
      <c r="G722" s="30"/>
      <c r="H722" s="31"/>
      <c r="I722" s="39"/>
      <c r="J722" s="31"/>
      <c r="K722" s="33"/>
      <c r="L722" s="34"/>
      <c r="M722" s="35"/>
      <c r="O722" s="36"/>
      <c r="P722" s="37"/>
      <c r="Q722" s="38"/>
      <c r="R722" s="38"/>
    </row>
    <row r="723" s="3" customFormat="1" ht="96" customHeight="1" outlineLevel="2" spans="1:18">
      <c r="A723" s="41">
        <f>1+N(A722)</f>
        <v>1</v>
      </c>
      <c r="B723" s="28" t="s">
        <v>57</v>
      </c>
      <c r="C723" s="28" t="s">
        <v>58</v>
      </c>
      <c r="D723" s="28" t="s">
        <v>59</v>
      </c>
      <c r="E723" s="28" t="s">
        <v>26</v>
      </c>
      <c r="F723" s="29" t="s">
        <v>27</v>
      </c>
      <c r="G723" s="30">
        <v>21.53</v>
      </c>
      <c r="H723" s="31">
        <v>220.01</v>
      </c>
      <c r="I723" s="39"/>
      <c r="J723" s="31">
        <f>H723*(1-$I$4)</f>
        <v>220.01</v>
      </c>
      <c r="K723" s="33">
        <f>ROUND(G723*J723,2)</f>
        <v>4736.82</v>
      </c>
      <c r="L723" s="34" t="s">
        <v>28</v>
      </c>
      <c r="M723" s="35"/>
      <c r="N723" s="3">
        <v>1</v>
      </c>
      <c r="O723" s="21">
        <v>169.24</v>
      </c>
      <c r="P723" s="22" t="s">
        <v>60</v>
      </c>
      <c r="Q723" s="38"/>
      <c r="R723" s="38"/>
    </row>
    <row r="724" s="3" customFormat="1" ht="96" customHeight="1" outlineLevel="2" spans="1:18">
      <c r="A724" s="41">
        <f>1+N(A723)</f>
        <v>2</v>
      </c>
      <c r="B724" s="28" t="s">
        <v>72</v>
      </c>
      <c r="C724" s="28" t="s">
        <v>73</v>
      </c>
      <c r="D724" s="28" t="s">
        <v>47</v>
      </c>
      <c r="E724" s="28" t="s">
        <v>48</v>
      </c>
      <c r="F724" s="29" t="s">
        <v>27</v>
      </c>
      <c r="G724" s="30">
        <v>0.33</v>
      </c>
      <c r="H724" s="31">
        <v>670.22</v>
      </c>
      <c r="I724" s="39"/>
      <c r="J724" s="31">
        <f>H724*(1-$I$4)</f>
        <v>670.22</v>
      </c>
      <c r="K724" s="33">
        <f>ROUND(G724*J724,2)</f>
        <v>221.17</v>
      </c>
      <c r="L724" s="34" t="s">
        <v>28</v>
      </c>
      <c r="M724" s="35"/>
      <c r="N724" s="3">
        <v>1</v>
      </c>
      <c r="O724" s="21">
        <v>271.98</v>
      </c>
      <c r="P724" s="22" t="s">
        <v>74</v>
      </c>
      <c r="Q724" s="38"/>
      <c r="R724" s="38"/>
    </row>
    <row r="725" s="3" customFormat="1" ht="120" customHeight="1" outlineLevel="2" spans="1:18">
      <c r="A725" s="41">
        <f>1+N(A724)</f>
        <v>3</v>
      </c>
      <c r="B725" s="28" t="s">
        <v>61</v>
      </c>
      <c r="C725" s="28" t="s">
        <v>62</v>
      </c>
      <c r="D725" s="28" t="s">
        <v>52</v>
      </c>
      <c r="E725" s="28" t="s">
        <v>63</v>
      </c>
      <c r="F725" s="29" t="s">
        <v>27</v>
      </c>
      <c r="G725" s="30">
        <v>1.32</v>
      </c>
      <c r="H725" s="31">
        <v>630.65</v>
      </c>
      <c r="I725" s="39"/>
      <c r="J725" s="31">
        <f>H725*(1-$I$4)</f>
        <v>630.65</v>
      </c>
      <c r="K725" s="33">
        <f>ROUND(G725*J725,2)</f>
        <v>832.46</v>
      </c>
      <c r="L725" s="34" t="s">
        <v>28</v>
      </c>
      <c r="M725" s="35"/>
      <c r="N725" s="3">
        <v>1</v>
      </c>
      <c r="O725" s="21">
        <v>681.67</v>
      </c>
      <c r="P725" s="22" t="s">
        <v>64</v>
      </c>
      <c r="Q725" s="38"/>
      <c r="R725" s="38"/>
    </row>
    <row r="726" s="3" customFormat="1" outlineLevel="1" spans="1:18">
      <c r="A726" s="40"/>
      <c r="B726" s="28" t="s">
        <v>90</v>
      </c>
      <c r="C726" s="28"/>
      <c r="D726" s="28"/>
      <c r="E726" s="28"/>
      <c r="F726" s="29"/>
      <c r="G726" s="30"/>
      <c r="H726" s="31"/>
      <c r="I726" s="39"/>
      <c r="J726" s="31"/>
      <c r="K726" s="33"/>
      <c r="L726" s="34"/>
      <c r="M726" s="35"/>
      <c r="O726" s="36"/>
      <c r="P726" s="37"/>
      <c r="Q726" s="38"/>
      <c r="R726" s="38"/>
    </row>
    <row r="727" s="3" customFormat="1" ht="132" customHeight="1" outlineLevel="2" spans="1:18">
      <c r="A727" s="41">
        <f>1+N(A726)</f>
        <v>1</v>
      </c>
      <c r="B727" s="28" t="s">
        <v>379</v>
      </c>
      <c r="C727" s="28" t="s">
        <v>380</v>
      </c>
      <c r="D727" s="28" t="s">
        <v>109</v>
      </c>
      <c r="E727" s="28" t="s">
        <v>110</v>
      </c>
      <c r="F727" s="29" t="s">
        <v>27</v>
      </c>
      <c r="G727" s="30">
        <v>24.07</v>
      </c>
      <c r="H727" s="31">
        <v>48.32</v>
      </c>
      <c r="I727" s="39"/>
      <c r="J727" s="31">
        <f>H727*(1-$I$4)</f>
        <v>48.32</v>
      </c>
      <c r="K727" s="33">
        <f>ROUND(G727*J727,2)</f>
        <v>1163.06</v>
      </c>
      <c r="L727" s="34" t="s">
        <v>28</v>
      </c>
      <c r="M727" s="35"/>
      <c r="N727" s="3">
        <v>1</v>
      </c>
      <c r="O727" s="21">
        <v>44.88</v>
      </c>
      <c r="P727" s="22" t="s">
        <v>160</v>
      </c>
      <c r="Q727" s="38"/>
      <c r="R727" s="38"/>
    </row>
    <row r="728" s="3" customFormat="1" outlineLevel="1" spans="1:18">
      <c r="A728" s="40"/>
      <c r="B728" s="28" t="s">
        <v>112</v>
      </c>
      <c r="C728" s="28"/>
      <c r="D728" s="28"/>
      <c r="E728" s="28"/>
      <c r="F728" s="29"/>
      <c r="G728" s="30"/>
      <c r="H728" s="31"/>
      <c r="I728" s="39"/>
      <c r="J728" s="31"/>
      <c r="K728" s="33"/>
      <c r="L728" s="34"/>
      <c r="M728" s="35"/>
      <c r="O728" s="36"/>
      <c r="P728" s="37"/>
      <c r="Q728" s="38"/>
      <c r="R728" s="38"/>
    </row>
    <row r="729" s="3" customFormat="1" outlineLevel="1" spans="1:18">
      <c r="A729" s="27" t="s">
        <v>494</v>
      </c>
      <c r="B729" s="28" t="s">
        <v>495</v>
      </c>
      <c r="C729" s="28"/>
      <c r="D729" s="28"/>
      <c r="E729" s="28"/>
      <c r="F729" s="29"/>
      <c r="G729" s="30"/>
      <c r="H729" s="31"/>
      <c r="I729" s="39"/>
      <c r="J729" s="31"/>
      <c r="K729" s="33"/>
      <c r="L729" s="34"/>
      <c r="M729" s="35"/>
      <c r="O729" s="36"/>
      <c r="P729" s="37"/>
      <c r="Q729" s="38"/>
      <c r="R729" s="38"/>
    </row>
    <row r="730" s="3" customFormat="1" outlineLevel="1" spans="1:18">
      <c r="A730" s="40"/>
      <c r="B730" s="28" t="s">
        <v>22</v>
      </c>
      <c r="C730" s="28"/>
      <c r="D730" s="28"/>
      <c r="E730" s="28"/>
      <c r="F730" s="29"/>
      <c r="G730" s="30"/>
      <c r="H730" s="31"/>
      <c r="I730" s="39"/>
      <c r="J730" s="31"/>
      <c r="K730" s="33"/>
      <c r="L730" s="34"/>
      <c r="M730" s="35"/>
      <c r="O730" s="36"/>
      <c r="P730" s="37"/>
      <c r="Q730" s="38"/>
      <c r="R730" s="38"/>
    </row>
    <row r="731" s="3" customFormat="1" ht="108" customHeight="1" outlineLevel="2" spans="1:18">
      <c r="A731" s="41">
        <f t="shared" ref="A731:A736" si="96">1+N(A730)</f>
        <v>1</v>
      </c>
      <c r="B731" s="28" t="s">
        <v>23</v>
      </c>
      <c r="C731" s="28" t="s">
        <v>24</v>
      </c>
      <c r="D731" s="28" t="s">
        <v>25</v>
      </c>
      <c r="E731" s="28" t="s">
        <v>26</v>
      </c>
      <c r="F731" s="29" t="s">
        <v>27</v>
      </c>
      <c r="G731" s="30">
        <v>9.6</v>
      </c>
      <c r="H731" s="31">
        <v>940.91</v>
      </c>
      <c r="I731" s="39"/>
      <c r="J731" s="31">
        <f t="shared" ref="J731:J736" si="97">H731*(1-$I$4)</f>
        <v>940.91</v>
      </c>
      <c r="K731" s="33">
        <f t="shared" ref="K731:K736" si="98">ROUND(G731*J731,2)</f>
        <v>9032.74</v>
      </c>
      <c r="L731" s="34" t="s">
        <v>28</v>
      </c>
      <c r="M731" s="35"/>
      <c r="N731" s="3">
        <v>1</v>
      </c>
      <c r="O731" s="21">
        <v>886.6</v>
      </c>
      <c r="P731" s="22" t="s">
        <v>29</v>
      </c>
      <c r="Q731" s="38"/>
      <c r="R731" s="38"/>
    </row>
    <row r="732" s="3" customFormat="1" ht="108" customHeight="1" outlineLevel="2" spans="1:18">
      <c r="A732" s="41">
        <f t="shared" si="96"/>
        <v>2</v>
      </c>
      <c r="B732" s="28" t="s">
        <v>282</v>
      </c>
      <c r="C732" s="28" t="s">
        <v>283</v>
      </c>
      <c r="D732" s="28" t="s">
        <v>25</v>
      </c>
      <c r="E732" s="28" t="s">
        <v>26</v>
      </c>
      <c r="F732" s="29" t="s">
        <v>27</v>
      </c>
      <c r="G732" s="30">
        <v>2.65</v>
      </c>
      <c r="H732" s="31">
        <v>760.37</v>
      </c>
      <c r="I732" s="39"/>
      <c r="J732" s="31">
        <f t="shared" si="97"/>
        <v>760.37</v>
      </c>
      <c r="K732" s="33">
        <f t="shared" si="98"/>
        <v>2014.98</v>
      </c>
      <c r="L732" s="34" t="s">
        <v>28</v>
      </c>
      <c r="M732" s="35"/>
      <c r="N732" s="3">
        <v>1</v>
      </c>
      <c r="O732" s="21">
        <v>886.6</v>
      </c>
      <c r="P732" s="22" t="s">
        <v>284</v>
      </c>
      <c r="Q732" s="38"/>
      <c r="R732" s="38"/>
    </row>
    <row r="733" s="3" customFormat="1" ht="72" customHeight="1" outlineLevel="2" spans="1:18">
      <c r="A733" s="41">
        <f t="shared" si="96"/>
        <v>3</v>
      </c>
      <c r="B733" s="28" t="s">
        <v>443</v>
      </c>
      <c r="C733" s="28" t="s">
        <v>444</v>
      </c>
      <c r="D733" s="28" t="s">
        <v>251</v>
      </c>
      <c r="E733" s="28" t="s">
        <v>26</v>
      </c>
      <c r="F733" s="29" t="s">
        <v>27</v>
      </c>
      <c r="G733" s="30">
        <v>23.58</v>
      </c>
      <c r="H733" s="31">
        <v>569.06</v>
      </c>
      <c r="I733" s="39"/>
      <c r="J733" s="31">
        <f t="shared" si="97"/>
        <v>569.06</v>
      </c>
      <c r="K733" s="33">
        <f t="shared" si="98"/>
        <v>13418.43</v>
      </c>
      <c r="L733" s="34" t="s">
        <v>28</v>
      </c>
      <c r="M733" s="35"/>
      <c r="N733" s="3">
        <v>1</v>
      </c>
      <c r="O733" s="21">
        <v>318.18</v>
      </c>
      <c r="P733" s="22" t="s">
        <v>445</v>
      </c>
      <c r="Q733" s="38"/>
      <c r="R733" s="38"/>
    </row>
    <row r="734" s="3" customFormat="1" ht="156" customHeight="1" outlineLevel="2" spans="1:18">
      <c r="A734" s="41">
        <f t="shared" si="96"/>
        <v>4</v>
      </c>
      <c r="B734" s="28" t="s">
        <v>192</v>
      </c>
      <c r="C734" s="28" t="s">
        <v>413</v>
      </c>
      <c r="D734" s="28" t="s">
        <v>194</v>
      </c>
      <c r="E734" s="28" t="s">
        <v>195</v>
      </c>
      <c r="F734" s="29" t="s">
        <v>27</v>
      </c>
      <c r="G734" s="30">
        <v>23.58</v>
      </c>
      <c r="H734" s="31">
        <v>78.51</v>
      </c>
      <c r="I734" s="39"/>
      <c r="J734" s="31">
        <f t="shared" si="97"/>
        <v>78.51</v>
      </c>
      <c r="K734" s="33">
        <f t="shared" si="98"/>
        <v>1851.27</v>
      </c>
      <c r="L734" s="34" t="s">
        <v>28</v>
      </c>
      <c r="M734" s="35"/>
      <c r="N734" s="3">
        <v>1</v>
      </c>
      <c r="O734" s="21">
        <v>65.78</v>
      </c>
      <c r="P734" s="22" t="s">
        <v>248</v>
      </c>
      <c r="Q734" s="38"/>
      <c r="R734" s="38"/>
    </row>
    <row r="735" s="3" customFormat="1" ht="72" customHeight="1" outlineLevel="2" spans="1:18">
      <c r="A735" s="41">
        <f t="shared" si="96"/>
        <v>5</v>
      </c>
      <c r="B735" s="28" t="s">
        <v>41</v>
      </c>
      <c r="C735" s="28" t="s">
        <v>42</v>
      </c>
      <c r="D735" s="28" t="s">
        <v>25</v>
      </c>
      <c r="E735" s="28" t="s">
        <v>26</v>
      </c>
      <c r="F735" s="29" t="s">
        <v>27</v>
      </c>
      <c r="G735" s="30">
        <v>12.25</v>
      </c>
      <c r="H735" s="31">
        <v>64.9</v>
      </c>
      <c r="I735" s="39"/>
      <c r="J735" s="31">
        <f t="shared" si="97"/>
        <v>64.9</v>
      </c>
      <c r="K735" s="33">
        <f t="shared" si="98"/>
        <v>795.03</v>
      </c>
      <c r="L735" s="34" t="s">
        <v>28</v>
      </c>
      <c r="M735" s="35"/>
      <c r="N735" s="3">
        <v>1</v>
      </c>
      <c r="O735" s="21">
        <v>61.38</v>
      </c>
      <c r="P735" s="22" t="s">
        <v>43</v>
      </c>
      <c r="Q735" s="38"/>
      <c r="R735" s="38"/>
    </row>
    <row r="736" s="3" customFormat="1" ht="72" customHeight="1" outlineLevel="2" spans="1:18">
      <c r="A736" s="41">
        <f t="shared" si="96"/>
        <v>6</v>
      </c>
      <c r="B736" s="28" t="s">
        <v>36</v>
      </c>
      <c r="C736" s="28" t="s">
        <v>37</v>
      </c>
      <c r="D736" s="28" t="s">
        <v>25</v>
      </c>
      <c r="E736" s="28" t="s">
        <v>38</v>
      </c>
      <c r="F736" s="29" t="s">
        <v>39</v>
      </c>
      <c r="G736" s="30">
        <v>5.66</v>
      </c>
      <c r="H736" s="31">
        <v>89.27</v>
      </c>
      <c r="I736" s="39"/>
      <c r="J736" s="31">
        <f t="shared" si="97"/>
        <v>89.27</v>
      </c>
      <c r="K736" s="33">
        <f t="shared" si="98"/>
        <v>505.27</v>
      </c>
      <c r="L736" s="34" t="s">
        <v>28</v>
      </c>
      <c r="M736" s="35"/>
      <c r="N736" s="3">
        <v>1</v>
      </c>
      <c r="O736" s="21">
        <v>35.28</v>
      </c>
      <c r="P736" s="22" t="s">
        <v>40</v>
      </c>
      <c r="Q736" s="38"/>
      <c r="R736" s="38"/>
    </row>
    <row r="737" s="3" customFormat="1" outlineLevel="1" spans="1:18">
      <c r="A737" s="40"/>
      <c r="B737" s="28" t="s">
        <v>44</v>
      </c>
      <c r="C737" s="28"/>
      <c r="D737" s="28"/>
      <c r="E737" s="28"/>
      <c r="F737" s="29"/>
      <c r="G737" s="30"/>
      <c r="H737" s="31"/>
      <c r="I737" s="39"/>
      <c r="J737" s="31"/>
      <c r="K737" s="33"/>
      <c r="L737" s="34"/>
      <c r="M737" s="35"/>
      <c r="O737" s="36"/>
      <c r="P737" s="37"/>
      <c r="Q737" s="38"/>
      <c r="R737" s="38"/>
    </row>
    <row r="738" s="3" customFormat="1" ht="96" customHeight="1" outlineLevel="2" spans="1:18">
      <c r="A738" s="41">
        <f t="shared" ref="A738:A743" si="99">1+N(A737)</f>
        <v>1</v>
      </c>
      <c r="B738" s="28" t="s">
        <v>205</v>
      </c>
      <c r="C738" s="28" t="s">
        <v>345</v>
      </c>
      <c r="D738" s="28" t="s">
        <v>59</v>
      </c>
      <c r="E738" s="28" t="s">
        <v>207</v>
      </c>
      <c r="F738" s="29" t="s">
        <v>27</v>
      </c>
      <c r="G738" s="30">
        <v>18.48</v>
      </c>
      <c r="H738" s="31">
        <v>400.61</v>
      </c>
      <c r="I738" s="39"/>
      <c r="J738" s="31">
        <f t="shared" ref="J738:J743" si="100">H738*(1-$I$4)</f>
        <v>400.61</v>
      </c>
      <c r="K738" s="33">
        <f t="shared" ref="K738:K743" si="101">ROUND(G738*J738,2)</f>
        <v>7403.27</v>
      </c>
      <c r="L738" s="34" t="s">
        <v>28</v>
      </c>
      <c r="M738" s="35"/>
      <c r="N738" s="3">
        <v>1</v>
      </c>
      <c r="O738" s="21">
        <v>356.29</v>
      </c>
      <c r="P738" s="22" t="s">
        <v>419</v>
      </c>
      <c r="Q738" s="38"/>
      <c r="R738" s="38"/>
    </row>
    <row r="739" s="3" customFormat="1" ht="96" customHeight="1" outlineLevel="2" spans="1:18">
      <c r="A739" s="41">
        <f t="shared" si="99"/>
        <v>2</v>
      </c>
      <c r="B739" s="28" t="s">
        <v>496</v>
      </c>
      <c r="C739" s="28" t="s">
        <v>497</v>
      </c>
      <c r="D739" s="28" t="s">
        <v>59</v>
      </c>
      <c r="E739" s="28" t="s">
        <v>390</v>
      </c>
      <c r="F739" s="29" t="s">
        <v>27</v>
      </c>
      <c r="G739" s="30">
        <v>13.3</v>
      </c>
      <c r="H739" s="31">
        <v>550.74</v>
      </c>
      <c r="I739" s="39"/>
      <c r="J739" s="31">
        <f t="shared" si="100"/>
        <v>550.74</v>
      </c>
      <c r="K739" s="33">
        <f t="shared" si="101"/>
        <v>7324.84</v>
      </c>
      <c r="L739" s="34" t="s">
        <v>28</v>
      </c>
      <c r="M739" s="35"/>
      <c r="N739" s="3">
        <v>1</v>
      </c>
      <c r="O739" s="21">
        <v>650.32</v>
      </c>
      <c r="P739" s="22" t="s">
        <v>498</v>
      </c>
      <c r="Q739" s="38"/>
      <c r="R739" s="38"/>
    </row>
    <row r="740" s="3" customFormat="1" ht="96" customHeight="1" outlineLevel="2" spans="1:18">
      <c r="A740" s="41">
        <f t="shared" si="99"/>
        <v>3</v>
      </c>
      <c r="B740" s="28" t="s">
        <v>480</v>
      </c>
      <c r="C740" s="28" t="s">
        <v>481</v>
      </c>
      <c r="D740" s="28" t="s">
        <v>59</v>
      </c>
      <c r="E740" s="28" t="s">
        <v>207</v>
      </c>
      <c r="F740" s="29" t="s">
        <v>27</v>
      </c>
      <c r="G740" s="30">
        <v>25.18</v>
      </c>
      <c r="H740" s="31">
        <v>477.9</v>
      </c>
      <c r="I740" s="39"/>
      <c r="J740" s="31">
        <f t="shared" si="100"/>
        <v>477.9</v>
      </c>
      <c r="K740" s="33">
        <f t="shared" si="101"/>
        <v>12033.52</v>
      </c>
      <c r="L740" s="34" t="s">
        <v>28</v>
      </c>
      <c r="M740" s="35"/>
      <c r="N740" s="3">
        <v>1</v>
      </c>
      <c r="O740" s="21">
        <v>309.87</v>
      </c>
      <c r="P740" s="22" t="s">
        <v>450</v>
      </c>
      <c r="Q740" s="38"/>
      <c r="R740" s="38"/>
    </row>
    <row r="741" s="3" customFormat="1" ht="120" customHeight="1" outlineLevel="2" spans="1:18">
      <c r="A741" s="41">
        <f t="shared" si="99"/>
        <v>4</v>
      </c>
      <c r="B741" s="28" t="s">
        <v>61</v>
      </c>
      <c r="C741" s="28" t="s">
        <v>62</v>
      </c>
      <c r="D741" s="28" t="s">
        <v>52</v>
      </c>
      <c r="E741" s="28" t="s">
        <v>63</v>
      </c>
      <c r="F741" s="29" t="s">
        <v>27</v>
      </c>
      <c r="G741" s="30">
        <v>9.88</v>
      </c>
      <c r="H741" s="31">
        <v>630.65</v>
      </c>
      <c r="I741" s="39"/>
      <c r="J741" s="31">
        <f t="shared" si="100"/>
        <v>630.65</v>
      </c>
      <c r="K741" s="33">
        <f t="shared" si="101"/>
        <v>6230.82</v>
      </c>
      <c r="L741" s="34" t="s">
        <v>28</v>
      </c>
      <c r="M741" s="35"/>
      <c r="N741" s="3">
        <v>1</v>
      </c>
      <c r="O741" s="21">
        <v>681.67</v>
      </c>
      <c r="P741" s="22" t="s">
        <v>64</v>
      </c>
      <c r="Q741" s="38"/>
      <c r="R741" s="38"/>
    </row>
    <row r="742" s="3" customFormat="1" ht="96" customHeight="1" outlineLevel="2" spans="1:18">
      <c r="A742" s="41">
        <f t="shared" si="99"/>
        <v>5</v>
      </c>
      <c r="B742" s="28" t="s">
        <v>75</v>
      </c>
      <c r="C742" s="28" t="s">
        <v>76</v>
      </c>
      <c r="D742" s="28" t="s">
        <v>59</v>
      </c>
      <c r="E742" s="28" t="s">
        <v>38</v>
      </c>
      <c r="F742" s="29" t="s">
        <v>39</v>
      </c>
      <c r="G742" s="30">
        <v>19.59</v>
      </c>
      <c r="H742" s="31">
        <v>67.08</v>
      </c>
      <c r="I742" s="39"/>
      <c r="J742" s="31">
        <f t="shared" si="100"/>
        <v>67.08</v>
      </c>
      <c r="K742" s="33">
        <f t="shared" si="101"/>
        <v>1314.1</v>
      </c>
      <c r="L742" s="34" t="s">
        <v>28</v>
      </c>
      <c r="M742" s="35"/>
      <c r="N742" s="3">
        <v>1</v>
      </c>
      <c r="O742" s="21">
        <v>45.71</v>
      </c>
      <c r="P742" s="22" t="s">
        <v>77</v>
      </c>
      <c r="Q742" s="38"/>
      <c r="R742" s="38"/>
    </row>
    <row r="743" s="3" customFormat="1" ht="60" customHeight="1" outlineLevel="2" spans="1:18">
      <c r="A743" s="41">
        <f t="shared" si="99"/>
        <v>6</v>
      </c>
      <c r="B743" s="28" t="s">
        <v>311</v>
      </c>
      <c r="C743" s="28" t="s">
        <v>312</v>
      </c>
      <c r="D743" s="28" t="s">
        <v>98</v>
      </c>
      <c r="E743" s="28" t="s">
        <v>115</v>
      </c>
      <c r="F743" s="29" t="s">
        <v>27</v>
      </c>
      <c r="G743" s="30">
        <v>1.54</v>
      </c>
      <c r="H743" s="31">
        <v>630.65</v>
      </c>
      <c r="I743" s="39"/>
      <c r="J743" s="31">
        <f t="shared" si="100"/>
        <v>630.65</v>
      </c>
      <c r="K743" s="33">
        <f t="shared" si="101"/>
        <v>971.2</v>
      </c>
      <c r="L743" s="34" t="s">
        <v>28</v>
      </c>
      <c r="M743" s="35"/>
      <c r="N743" s="3">
        <v>1</v>
      </c>
      <c r="O743" s="21">
        <v>681.67</v>
      </c>
      <c r="P743" s="22" t="s">
        <v>64</v>
      </c>
      <c r="Q743" s="38"/>
      <c r="R743" s="38"/>
    </row>
    <row r="744" s="3" customFormat="1" outlineLevel="1" spans="1:18">
      <c r="A744" s="40"/>
      <c r="B744" s="28" t="s">
        <v>90</v>
      </c>
      <c r="C744" s="28"/>
      <c r="D744" s="28"/>
      <c r="E744" s="28"/>
      <c r="F744" s="29"/>
      <c r="G744" s="30"/>
      <c r="H744" s="31"/>
      <c r="I744" s="39"/>
      <c r="J744" s="31"/>
      <c r="K744" s="33"/>
      <c r="L744" s="34"/>
      <c r="M744" s="35"/>
      <c r="O744" s="36"/>
      <c r="P744" s="37"/>
      <c r="Q744" s="38"/>
      <c r="R744" s="38"/>
    </row>
    <row r="745" s="3" customFormat="1" ht="168" customHeight="1" outlineLevel="2" spans="1:18">
      <c r="A745" s="41">
        <f t="shared" ref="A745:A751" si="102">1+N(A744)</f>
        <v>1</v>
      </c>
      <c r="B745" s="28" t="s">
        <v>91</v>
      </c>
      <c r="C745" s="28" t="s">
        <v>92</v>
      </c>
      <c r="D745" s="28" t="s">
        <v>93</v>
      </c>
      <c r="E745" s="28" t="s">
        <v>94</v>
      </c>
      <c r="F745" s="29" t="s">
        <v>27</v>
      </c>
      <c r="G745" s="30">
        <v>16.41</v>
      </c>
      <c r="H745" s="31">
        <v>174.57</v>
      </c>
      <c r="I745" s="39"/>
      <c r="J745" s="31">
        <f t="shared" ref="J745:J751" si="103">H745*(1-$I$4)</f>
        <v>174.57</v>
      </c>
      <c r="K745" s="33">
        <f t="shared" ref="K745:K751" si="104">ROUND(G745*J745,2)</f>
        <v>2864.69</v>
      </c>
      <c r="L745" s="34" t="s">
        <v>28</v>
      </c>
      <c r="M745" s="35"/>
      <c r="N745" s="3">
        <v>1</v>
      </c>
      <c r="O745" s="21">
        <v>150.38</v>
      </c>
      <c r="P745" s="22" t="s">
        <v>95</v>
      </c>
      <c r="Q745" s="38"/>
      <c r="R745" s="38"/>
    </row>
    <row r="746" s="3" customFormat="1" ht="156" customHeight="1" outlineLevel="2" spans="1:18">
      <c r="A746" s="41">
        <f t="shared" si="102"/>
        <v>2</v>
      </c>
      <c r="B746" s="28" t="s">
        <v>499</v>
      </c>
      <c r="C746" s="28" t="s">
        <v>500</v>
      </c>
      <c r="D746" s="28" t="s">
        <v>353</v>
      </c>
      <c r="E746" s="28" t="s">
        <v>354</v>
      </c>
      <c r="F746" s="29" t="s">
        <v>27</v>
      </c>
      <c r="G746" s="30">
        <v>9.82</v>
      </c>
      <c r="H746" s="31">
        <v>796.21</v>
      </c>
      <c r="I746" s="39"/>
      <c r="J746" s="31">
        <f t="shared" si="103"/>
        <v>796.21</v>
      </c>
      <c r="K746" s="33">
        <f t="shared" si="104"/>
        <v>7818.78</v>
      </c>
      <c r="L746" s="34" t="s">
        <v>28</v>
      </c>
      <c r="M746" s="35"/>
      <c r="N746" s="3">
        <v>1</v>
      </c>
      <c r="O746" s="21">
        <v>666.05</v>
      </c>
      <c r="P746" s="22" t="s">
        <v>501</v>
      </c>
      <c r="Q746" s="38"/>
      <c r="R746" s="38"/>
    </row>
    <row r="747" s="3" customFormat="1" ht="48" customHeight="1" outlineLevel="2" spans="1:18">
      <c r="A747" s="41">
        <f t="shared" si="102"/>
        <v>3</v>
      </c>
      <c r="B747" s="28" t="s">
        <v>104</v>
      </c>
      <c r="C747" s="28" t="s">
        <v>105</v>
      </c>
      <c r="D747" s="28" t="s">
        <v>98</v>
      </c>
      <c r="E747" s="28" t="s">
        <v>99</v>
      </c>
      <c r="F747" s="29" t="s">
        <v>39</v>
      </c>
      <c r="G747" s="30">
        <v>3.6</v>
      </c>
      <c r="H747" s="31">
        <v>109.74</v>
      </c>
      <c r="I747" s="39"/>
      <c r="J747" s="31">
        <f t="shared" si="103"/>
        <v>109.74</v>
      </c>
      <c r="K747" s="33">
        <f t="shared" si="104"/>
        <v>395.06</v>
      </c>
      <c r="L747" s="34" t="s">
        <v>28</v>
      </c>
      <c r="M747" s="35"/>
      <c r="N747" s="3">
        <v>1</v>
      </c>
      <c r="O747" s="21">
        <v>108.2</v>
      </c>
      <c r="P747" s="22" t="s">
        <v>106</v>
      </c>
      <c r="Q747" s="38"/>
      <c r="R747" s="38"/>
    </row>
    <row r="748" s="3" customFormat="1" ht="48" customHeight="1" outlineLevel="2" spans="1:18">
      <c r="A748" s="41">
        <f t="shared" si="102"/>
        <v>4</v>
      </c>
      <c r="B748" s="28" t="s">
        <v>96</v>
      </c>
      <c r="C748" s="28" t="s">
        <v>97</v>
      </c>
      <c r="D748" s="28" t="s">
        <v>98</v>
      </c>
      <c r="E748" s="28" t="s">
        <v>99</v>
      </c>
      <c r="F748" s="29" t="s">
        <v>39</v>
      </c>
      <c r="G748" s="30">
        <v>19.2</v>
      </c>
      <c r="H748" s="31">
        <v>112.16</v>
      </c>
      <c r="I748" s="39"/>
      <c r="J748" s="31">
        <f t="shared" si="103"/>
        <v>112.16</v>
      </c>
      <c r="K748" s="33">
        <f t="shared" si="104"/>
        <v>2153.47</v>
      </c>
      <c r="L748" s="34" t="s">
        <v>28</v>
      </c>
      <c r="M748" s="35"/>
      <c r="N748" s="3">
        <v>1</v>
      </c>
      <c r="O748" s="21">
        <v>79.3</v>
      </c>
      <c r="P748" s="22" t="s">
        <v>100</v>
      </c>
      <c r="Q748" s="38"/>
      <c r="R748" s="38"/>
    </row>
    <row r="749" s="3" customFormat="1" ht="48" customHeight="1" outlineLevel="2" spans="1:18">
      <c r="A749" s="41">
        <f t="shared" si="102"/>
        <v>5</v>
      </c>
      <c r="B749" s="28" t="s">
        <v>101</v>
      </c>
      <c r="C749" s="28" t="s">
        <v>102</v>
      </c>
      <c r="D749" s="28" t="s">
        <v>98</v>
      </c>
      <c r="E749" s="28" t="s">
        <v>99</v>
      </c>
      <c r="F749" s="29" t="s">
        <v>39</v>
      </c>
      <c r="G749" s="30">
        <v>19.2</v>
      </c>
      <c r="H749" s="31">
        <v>75.82</v>
      </c>
      <c r="I749" s="39"/>
      <c r="J749" s="31">
        <f t="shared" si="103"/>
        <v>75.82</v>
      </c>
      <c r="K749" s="33">
        <f t="shared" si="104"/>
        <v>1455.74</v>
      </c>
      <c r="L749" s="34" t="s">
        <v>28</v>
      </c>
      <c r="M749" s="35"/>
      <c r="N749" s="3">
        <v>1</v>
      </c>
      <c r="O749" s="21">
        <v>203.56</v>
      </c>
      <c r="P749" s="22" t="s">
        <v>103</v>
      </c>
      <c r="Q749" s="38"/>
      <c r="R749" s="38"/>
    </row>
    <row r="750" s="3" customFormat="1" ht="60" customHeight="1" outlineLevel="2" spans="1:18">
      <c r="A750" s="41">
        <f t="shared" si="102"/>
        <v>6</v>
      </c>
      <c r="B750" s="28" t="s">
        <v>356</v>
      </c>
      <c r="C750" s="28" t="s">
        <v>357</v>
      </c>
      <c r="D750" s="28" t="s">
        <v>98</v>
      </c>
      <c r="E750" s="28" t="s">
        <v>99</v>
      </c>
      <c r="F750" s="29" t="s">
        <v>39</v>
      </c>
      <c r="G750" s="30">
        <v>9.4</v>
      </c>
      <c r="H750" s="31">
        <v>123.19</v>
      </c>
      <c r="I750" s="39"/>
      <c r="J750" s="31">
        <f t="shared" si="103"/>
        <v>123.19</v>
      </c>
      <c r="K750" s="33">
        <f t="shared" si="104"/>
        <v>1157.99</v>
      </c>
      <c r="L750" s="34" t="s">
        <v>28</v>
      </c>
      <c r="M750" s="35"/>
      <c r="N750" s="3">
        <v>1</v>
      </c>
      <c r="O750" s="21">
        <v>93.14</v>
      </c>
      <c r="P750" s="22" t="s">
        <v>358</v>
      </c>
      <c r="Q750" s="38"/>
      <c r="R750" s="38"/>
    </row>
    <row r="751" s="3" customFormat="1" ht="132" customHeight="1" outlineLevel="2" spans="1:18">
      <c r="A751" s="41">
        <f t="shared" si="102"/>
        <v>7</v>
      </c>
      <c r="B751" s="28" t="s">
        <v>107</v>
      </c>
      <c r="C751" s="28" t="s">
        <v>108</v>
      </c>
      <c r="D751" s="28" t="s">
        <v>109</v>
      </c>
      <c r="E751" s="28" t="s">
        <v>110</v>
      </c>
      <c r="F751" s="29" t="s">
        <v>27</v>
      </c>
      <c r="G751" s="30">
        <v>25.93</v>
      </c>
      <c r="H751" s="31">
        <v>152.22</v>
      </c>
      <c r="I751" s="39"/>
      <c r="J751" s="31">
        <f t="shared" si="103"/>
        <v>152.22</v>
      </c>
      <c r="K751" s="33">
        <f t="shared" si="104"/>
        <v>3947.06</v>
      </c>
      <c r="L751" s="34" t="s">
        <v>28</v>
      </c>
      <c r="M751" s="35"/>
      <c r="N751" s="3">
        <v>1</v>
      </c>
      <c r="O751" s="21">
        <v>151.58</v>
      </c>
      <c r="P751" s="22" t="s">
        <v>111</v>
      </c>
      <c r="Q751" s="38"/>
      <c r="R751" s="38"/>
    </row>
    <row r="752" s="3" customFormat="1" outlineLevel="1" spans="1:18">
      <c r="A752" s="40"/>
      <c r="B752" s="28" t="s">
        <v>112</v>
      </c>
      <c r="C752" s="28"/>
      <c r="D752" s="28"/>
      <c r="E752" s="28"/>
      <c r="F752" s="29"/>
      <c r="G752" s="30"/>
      <c r="H752" s="31"/>
      <c r="I752" s="39"/>
      <c r="J752" s="31"/>
      <c r="K752" s="33"/>
      <c r="L752" s="34"/>
      <c r="M752" s="35"/>
      <c r="O752" s="36"/>
      <c r="P752" s="37"/>
      <c r="Q752" s="38"/>
      <c r="R752" s="38"/>
    </row>
    <row r="753" s="3" customFormat="1" ht="84" customHeight="1" outlineLevel="2" spans="1:18">
      <c r="A753" s="41">
        <f>1+N(A752)</f>
        <v>1</v>
      </c>
      <c r="B753" s="28" t="s">
        <v>502</v>
      </c>
      <c r="C753" s="28" t="s">
        <v>451</v>
      </c>
      <c r="D753" s="28" t="s">
        <v>98</v>
      </c>
      <c r="E753" s="28" t="s">
        <v>115</v>
      </c>
      <c r="F753" s="29" t="s">
        <v>27</v>
      </c>
      <c r="G753" s="30">
        <v>3.19</v>
      </c>
      <c r="H753" s="31">
        <v>5625.28</v>
      </c>
      <c r="I753" s="39"/>
      <c r="J753" s="31">
        <f>H753*(1-$I$4)</f>
        <v>5625.28</v>
      </c>
      <c r="K753" s="33">
        <f>ROUND(G753*J753,2)</f>
        <v>17944.64</v>
      </c>
      <c r="L753" s="34" t="s">
        <v>28</v>
      </c>
      <c r="M753" s="35"/>
      <c r="N753" s="3">
        <v>1</v>
      </c>
      <c r="O753" s="21">
        <v>2559.15</v>
      </c>
      <c r="P753" s="22" t="s">
        <v>503</v>
      </c>
      <c r="Q753" s="38"/>
      <c r="R753" s="38"/>
    </row>
    <row r="754" s="3" customFormat="1" ht="48" customHeight="1" outlineLevel="2" spans="1:18">
      <c r="A754" s="41">
        <f>1+N(A753)</f>
        <v>2</v>
      </c>
      <c r="B754" s="28" t="s">
        <v>504</v>
      </c>
      <c r="C754" s="28" t="s">
        <v>505</v>
      </c>
      <c r="D754" s="28" t="s">
        <v>98</v>
      </c>
      <c r="E754" s="28" t="s">
        <v>115</v>
      </c>
      <c r="F754" s="29" t="s">
        <v>27</v>
      </c>
      <c r="G754" s="30">
        <v>23.06</v>
      </c>
      <c r="H754" s="31">
        <v>2395.4</v>
      </c>
      <c r="I754" s="39"/>
      <c r="J754" s="31">
        <f>H754*(1-$I$4)</f>
        <v>2395.4</v>
      </c>
      <c r="K754" s="33">
        <f>ROUND(G754*J754,2)</f>
        <v>55237.92</v>
      </c>
      <c r="L754" s="34" t="s">
        <v>28</v>
      </c>
      <c r="M754" s="35"/>
      <c r="N754" s="3">
        <v>1</v>
      </c>
      <c r="O754" s="21">
        <v>400.4</v>
      </c>
      <c r="P754" s="22" t="s">
        <v>506</v>
      </c>
      <c r="Q754" s="38"/>
      <c r="R754" s="38"/>
    </row>
    <row r="755" s="3" customFormat="1" ht="48" customHeight="1" outlineLevel="2" spans="1:18">
      <c r="A755" s="41">
        <f>1+N(A754)</f>
        <v>3</v>
      </c>
      <c r="B755" s="28" t="s">
        <v>507</v>
      </c>
      <c r="C755" s="28" t="s">
        <v>508</v>
      </c>
      <c r="D755" s="28" t="s">
        <v>98</v>
      </c>
      <c r="E755" s="28" t="s">
        <v>115</v>
      </c>
      <c r="F755" s="29" t="s">
        <v>27</v>
      </c>
      <c r="G755" s="30">
        <v>5.44</v>
      </c>
      <c r="H755" s="31">
        <v>2312.45</v>
      </c>
      <c r="I755" s="39"/>
      <c r="J755" s="31">
        <f>H755*(1-$I$4)</f>
        <v>2312.45</v>
      </c>
      <c r="K755" s="33">
        <f>ROUND(G755*J755,2)</f>
        <v>12579.73</v>
      </c>
      <c r="L755" s="34" t="s">
        <v>28</v>
      </c>
      <c r="M755" s="35"/>
      <c r="N755" s="3">
        <v>1</v>
      </c>
      <c r="O755" s="21">
        <v>1114.85</v>
      </c>
      <c r="P755" s="22" t="s">
        <v>509</v>
      </c>
      <c r="Q755" s="38"/>
      <c r="R755" s="38"/>
    </row>
    <row r="756" s="3" customFormat="1" ht="48" customHeight="1" outlineLevel="2" spans="1:18">
      <c r="A756" s="41">
        <f>1+N(A755)</f>
        <v>4</v>
      </c>
      <c r="B756" s="28" t="s">
        <v>510</v>
      </c>
      <c r="C756" s="28" t="s">
        <v>511</v>
      </c>
      <c r="D756" s="28" t="s">
        <v>98</v>
      </c>
      <c r="E756" s="28" t="s">
        <v>115</v>
      </c>
      <c r="F756" s="29" t="s">
        <v>175</v>
      </c>
      <c r="G756" s="30">
        <v>2</v>
      </c>
      <c r="H756" s="31">
        <v>27612</v>
      </c>
      <c r="I756" s="39"/>
      <c r="J756" s="31">
        <f>H756*(1-$I$4)</f>
        <v>27612</v>
      </c>
      <c r="K756" s="33">
        <f>ROUND(G756*J756,2)</f>
        <v>55224</v>
      </c>
      <c r="L756" s="34" t="s">
        <v>28</v>
      </c>
      <c r="M756" s="35"/>
      <c r="N756" s="3">
        <v>1</v>
      </c>
      <c r="O756" s="21">
        <v>82129.85</v>
      </c>
      <c r="P756" s="22" t="s">
        <v>512</v>
      </c>
      <c r="Q756" s="38"/>
      <c r="R756" s="38"/>
    </row>
    <row r="757" s="3" customFormat="1" outlineLevel="1" spans="1:18">
      <c r="A757" s="27" t="s">
        <v>513</v>
      </c>
      <c r="B757" s="28" t="s">
        <v>514</v>
      </c>
      <c r="C757" s="28"/>
      <c r="D757" s="28"/>
      <c r="E757" s="28"/>
      <c r="F757" s="29"/>
      <c r="G757" s="30"/>
      <c r="H757" s="31"/>
      <c r="I757" s="39"/>
      <c r="J757" s="31"/>
      <c r="K757" s="33"/>
      <c r="L757" s="34"/>
      <c r="M757" s="35"/>
      <c r="O757" s="36"/>
      <c r="P757" s="37"/>
      <c r="Q757" s="38"/>
      <c r="R757" s="38"/>
    </row>
    <row r="758" s="3" customFormat="1" outlineLevel="1" spans="1:18">
      <c r="A758" s="40"/>
      <c r="B758" s="28" t="s">
        <v>22</v>
      </c>
      <c r="C758" s="28"/>
      <c r="D758" s="28"/>
      <c r="E758" s="28"/>
      <c r="F758" s="29"/>
      <c r="G758" s="30"/>
      <c r="H758" s="31"/>
      <c r="I758" s="39"/>
      <c r="J758" s="31"/>
      <c r="K758" s="33"/>
      <c r="L758" s="34"/>
      <c r="M758" s="35"/>
      <c r="O758" s="36"/>
      <c r="P758" s="37"/>
      <c r="Q758" s="38"/>
      <c r="R758" s="38"/>
    </row>
    <row r="759" s="3" customFormat="1" ht="108" customHeight="1" outlineLevel="2" spans="1:18">
      <c r="A759" s="41">
        <f>1+N(A758)</f>
        <v>1</v>
      </c>
      <c r="B759" s="28" t="s">
        <v>23</v>
      </c>
      <c r="C759" s="28" t="s">
        <v>24</v>
      </c>
      <c r="D759" s="28" t="s">
        <v>25</v>
      </c>
      <c r="E759" s="28" t="s">
        <v>26</v>
      </c>
      <c r="F759" s="29" t="s">
        <v>27</v>
      </c>
      <c r="G759" s="30">
        <v>5.1</v>
      </c>
      <c r="H759" s="31">
        <v>940.91</v>
      </c>
      <c r="I759" s="39"/>
      <c r="J759" s="31">
        <f>H759*(1-$I$4)</f>
        <v>940.91</v>
      </c>
      <c r="K759" s="33">
        <f>ROUND(G759*J759,2)</f>
        <v>4798.64</v>
      </c>
      <c r="L759" s="34" t="s">
        <v>28</v>
      </c>
      <c r="M759" s="35"/>
      <c r="N759" s="3">
        <v>1</v>
      </c>
      <c r="O759" s="21">
        <v>886.6</v>
      </c>
      <c r="P759" s="22" t="s">
        <v>29</v>
      </c>
      <c r="Q759" s="38"/>
      <c r="R759" s="38"/>
    </row>
    <row r="760" s="3" customFormat="1" ht="108" customHeight="1" outlineLevel="2" spans="1:18">
      <c r="A760" s="41">
        <f>1+N(A759)</f>
        <v>2</v>
      </c>
      <c r="B760" s="28" t="s">
        <v>30</v>
      </c>
      <c r="C760" s="28" t="s">
        <v>31</v>
      </c>
      <c r="D760" s="28" t="s">
        <v>25</v>
      </c>
      <c r="E760" s="28" t="s">
        <v>26</v>
      </c>
      <c r="F760" s="29" t="s">
        <v>27</v>
      </c>
      <c r="G760" s="30">
        <v>4.9</v>
      </c>
      <c r="H760" s="31">
        <v>1412.25</v>
      </c>
      <c r="I760" s="39"/>
      <c r="J760" s="31">
        <f>H760*(1-$I$4)</f>
        <v>1412.25</v>
      </c>
      <c r="K760" s="33">
        <f>ROUND(G760*J760,2)</f>
        <v>6920.03</v>
      </c>
      <c r="L760" s="34" t="s">
        <v>28</v>
      </c>
      <c r="M760" s="35"/>
      <c r="N760" s="3">
        <v>1</v>
      </c>
      <c r="O760" s="21">
        <v>1135.86</v>
      </c>
      <c r="P760" s="22" t="s">
        <v>32</v>
      </c>
      <c r="Q760" s="38"/>
      <c r="R760" s="38"/>
    </row>
    <row r="761" s="3" customFormat="1" ht="72" customHeight="1" outlineLevel="2" spans="1:18">
      <c r="A761" s="41">
        <f>1+N(A760)</f>
        <v>3</v>
      </c>
      <c r="B761" s="28" t="s">
        <v>41</v>
      </c>
      <c r="C761" s="28" t="s">
        <v>42</v>
      </c>
      <c r="D761" s="28" t="s">
        <v>25</v>
      </c>
      <c r="E761" s="28" t="s">
        <v>26</v>
      </c>
      <c r="F761" s="29" t="s">
        <v>27</v>
      </c>
      <c r="G761" s="30">
        <v>10</v>
      </c>
      <c r="H761" s="31">
        <v>64.9</v>
      </c>
      <c r="I761" s="39"/>
      <c r="J761" s="31">
        <f>H761*(1-$I$4)</f>
        <v>64.9</v>
      </c>
      <c r="K761" s="33">
        <f>ROUND(G761*J761,2)</f>
        <v>649</v>
      </c>
      <c r="L761" s="34" t="s">
        <v>28</v>
      </c>
      <c r="M761" s="35"/>
      <c r="N761" s="3">
        <v>1</v>
      </c>
      <c r="O761" s="21">
        <v>61.38</v>
      </c>
      <c r="P761" s="22" t="s">
        <v>43</v>
      </c>
      <c r="Q761" s="38"/>
      <c r="R761" s="38"/>
    </row>
    <row r="762" s="3" customFormat="1" ht="72" customHeight="1" outlineLevel="2" spans="1:18">
      <c r="A762" s="41">
        <f>1+N(A761)</f>
        <v>4</v>
      </c>
      <c r="B762" s="28" t="s">
        <v>36</v>
      </c>
      <c r="C762" s="28" t="s">
        <v>37</v>
      </c>
      <c r="D762" s="28" t="s">
        <v>25</v>
      </c>
      <c r="E762" s="28" t="s">
        <v>38</v>
      </c>
      <c r="F762" s="29" t="s">
        <v>39</v>
      </c>
      <c r="G762" s="30">
        <v>8.3</v>
      </c>
      <c r="H762" s="31">
        <v>89.27</v>
      </c>
      <c r="I762" s="39"/>
      <c r="J762" s="31">
        <f>H762*(1-$I$4)</f>
        <v>89.27</v>
      </c>
      <c r="K762" s="33">
        <f>ROUND(G762*J762,2)</f>
        <v>740.94</v>
      </c>
      <c r="L762" s="34" t="s">
        <v>28</v>
      </c>
      <c r="M762" s="35"/>
      <c r="N762" s="3">
        <v>1</v>
      </c>
      <c r="O762" s="21">
        <v>35.28</v>
      </c>
      <c r="P762" s="22" t="s">
        <v>40</v>
      </c>
      <c r="Q762" s="38"/>
      <c r="R762" s="38"/>
    </row>
    <row r="763" s="3" customFormat="1" outlineLevel="1" spans="1:18">
      <c r="A763" s="40"/>
      <c r="B763" s="28" t="s">
        <v>44</v>
      </c>
      <c r="C763" s="28"/>
      <c r="D763" s="28"/>
      <c r="E763" s="28"/>
      <c r="F763" s="29"/>
      <c r="G763" s="30"/>
      <c r="H763" s="31"/>
      <c r="I763" s="39"/>
      <c r="J763" s="31"/>
      <c r="K763" s="33"/>
      <c r="L763" s="34"/>
      <c r="M763" s="35"/>
      <c r="O763" s="36"/>
      <c r="P763" s="37"/>
      <c r="Q763" s="38"/>
      <c r="R763" s="38"/>
    </row>
    <row r="764" s="3" customFormat="1" ht="156" customHeight="1" outlineLevel="2" spans="1:18">
      <c r="A764" s="41">
        <f t="shared" ref="A764:A772" si="105">1+N(A763)</f>
        <v>1</v>
      </c>
      <c r="B764" s="28" t="s">
        <v>50</v>
      </c>
      <c r="C764" s="28" t="s">
        <v>51</v>
      </c>
      <c r="D764" s="28" t="s">
        <v>52</v>
      </c>
      <c r="E764" s="28" t="s">
        <v>48</v>
      </c>
      <c r="F764" s="29" t="s">
        <v>27</v>
      </c>
      <c r="G764" s="30">
        <v>23.77</v>
      </c>
      <c r="H764" s="31">
        <v>1428.73</v>
      </c>
      <c r="I764" s="39"/>
      <c r="J764" s="31">
        <f t="shared" ref="J764:J772" si="106">H764*(1-$I$4)</f>
        <v>1428.73</v>
      </c>
      <c r="K764" s="33">
        <f t="shared" ref="K764:K772" si="107">ROUND(G764*J764,2)</f>
        <v>33960.91</v>
      </c>
      <c r="L764" s="34" t="s">
        <v>28</v>
      </c>
      <c r="M764" s="35"/>
      <c r="N764" s="3">
        <v>1</v>
      </c>
      <c r="O764" s="21">
        <v>1000.51</v>
      </c>
      <c r="P764" s="22" t="s">
        <v>468</v>
      </c>
      <c r="Q764" s="38"/>
      <c r="R764" s="38"/>
    </row>
    <row r="765" s="3" customFormat="1" ht="120" customHeight="1" outlineLevel="2" spans="1:18">
      <c r="A765" s="41">
        <f t="shared" si="105"/>
        <v>2</v>
      </c>
      <c r="B765" s="28" t="s">
        <v>61</v>
      </c>
      <c r="C765" s="28" t="s">
        <v>62</v>
      </c>
      <c r="D765" s="28" t="s">
        <v>52</v>
      </c>
      <c r="E765" s="28" t="s">
        <v>63</v>
      </c>
      <c r="F765" s="29" t="s">
        <v>27</v>
      </c>
      <c r="G765" s="30">
        <v>8.48</v>
      </c>
      <c r="H765" s="31">
        <v>630.65</v>
      </c>
      <c r="I765" s="39"/>
      <c r="J765" s="31">
        <f t="shared" si="106"/>
        <v>630.65</v>
      </c>
      <c r="K765" s="33">
        <f t="shared" si="107"/>
        <v>5347.91</v>
      </c>
      <c r="L765" s="34" t="s">
        <v>28</v>
      </c>
      <c r="M765" s="35"/>
      <c r="N765" s="3">
        <v>1</v>
      </c>
      <c r="O765" s="21">
        <v>681.67</v>
      </c>
      <c r="P765" s="22" t="s">
        <v>64</v>
      </c>
      <c r="Q765" s="38"/>
      <c r="R765" s="38"/>
    </row>
    <row r="766" s="3" customFormat="1" ht="120" customHeight="1" outlineLevel="2" spans="1:18">
      <c r="A766" s="41">
        <f t="shared" si="105"/>
        <v>3</v>
      </c>
      <c r="B766" s="28" t="s">
        <v>65</v>
      </c>
      <c r="C766" s="28" t="s">
        <v>62</v>
      </c>
      <c r="D766" s="28" t="s">
        <v>52</v>
      </c>
      <c r="E766" s="28" t="s">
        <v>63</v>
      </c>
      <c r="F766" s="29" t="s">
        <v>27</v>
      </c>
      <c r="G766" s="30">
        <v>4.63</v>
      </c>
      <c r="H766" s="31">
        <v>630.65</v>
      </c>
      <c r="I766" s="39"/>
      <c r="J766" s="31">
        <f t="shared" si="106"/>
        <v>630.65</v>
      </c>
      <c r="K766" s="33">
        <f t="shared" si="107"/>
        <v>2919.91</v>
      </c>
      <c r="L766" s="34" t="s">
        <v>28</v>
      </c>
      <c r="M766" s="35"/>
      <c r="N766" s="3">
        <v>1</v>
      </c>
      <c r="O766" s="21">
        <v>681.67</v>
      </c>
      <c r="P766" s="22" t="s">
        <v>64</v>
      </c>
      <c r="Q766" s="38"/>
      <c r="R766" s="38"/>
    </row>
    <row r="767" s="3" customFormat="1" ht="120" customHeight="1" outlineLevel="2" spans="1:18">
      <c r="A767" s="41">
        <f t="shared" si="105"/>
        <v>4</v>
      </c>
      <c r="B767" s="28" t="s">
        <v>66</v>
      </c>
      <c r="C767" s="28" t="s">
        <v>67</v>
      </c>
      <c r="D767" s="28" t="s">
        <v>52</v>
      </c>
      <c r="E767" s="28" t="s">
        <v>63</v>
      </c>
      <c r="F767" s="29" t="s">
        <v>27</v>
      </c>
      <c r="G767" s="30">
        <v>2.55</v>
      </c>
      <c r="H767" s="31">
        <v>812.96</v>
      </c>
      <c r="I767" s="39"/>
      <c r="J767" s="31">
        <f t="shared" si="106"/>
        <v>812.96</v>
      </c>
      <c r="K767" s="33">
        <f t="shared" si="107"/>
        <v>2073.05</v>
      </c>
      <c r="L767" s="34" t="s">
        <v>28</v>
      </c>
      <c r="M767" s="35"/>
      <c r="N767" s="3">
        <v>1</v>
      </c>
      <c r="O767" s="21">
        <v>681.67</v>
      </c>
      <c r="P767" s="22" t="s">
        <v>68</v>
      </c>
      <c r="Q767" s="38"/>
      <c r="R767" s="38"/>
    </row>
    <row r="768" s="3" customFormat="1" ht="120" customHeight="1" outlineLevel="2" spans="1:18">
      <c r="A768" s="41">
        <f t="shared" si="105"/>
        <v>5</v>
      </c>
      <c r="B768" s="28" t="s">
        <v>69</v>
      </c>
      <c r="C768" s="28" t="s">
        <v>70</v>
      </c>
      <c r="D768" s="28" t="s">
        <v>52</v>
      </c>
      <c r="E768" s="28" t="s">
        <v>63</v>
      </c>
      <c r="F768" s="29" t="s">
        <v>27</v>
      </c>
      <c r="G768" s="30">
        <v>0.26</v>
      </c>
      <c r="H768" s="31">
        <v>1175.56</v>
      </c>
      <c r="I768" s="39"/>
      <c r="J768" s="31">
        <f t="shared" si="106"/>
        <v>1175.56</v>
      </c>
      <c r="K768" s="33">
        <f t="shared" si="107"/>
        <v>305.65</v>
      </c>
      <c r="L768" s="34" t="s">
        <v>28</v>
      </c>
      <c r="M768" s="35"/>
      <c r="N768" s="3">
        <v>1</v>
      </c>
      <c r="O768" s="21">
        <v>681.67</v>
      </c>
      <c r="P768" s="22" t="s">
        <v>71</v>
      </c>
      <c r="Q768" s="38"/>
      <c r="R768" s="38"/>
    </row>
    <row r="769" s="3" customFormat="1" ht="96" customHeight="1" outlineLevel="2" spans="1:18">
      <c r="A769" s="41">
        <f t="shared" si="105"/>
        <v>6</v>
      </c>
      <c r="B769" s="28" t="s">
        <v>75</v>
      </c>
      <c r="C769" s="28" t="s">
        <v>76</v>
      </c>
      <c r="D769" s="28" t="s">
        <v>59</v>
      </c>
      <c r="E769" s="28" t="s">
        <v>38</v>
      </c>
      <c r="F769" s="29" t="s">
        <v>39</v>
      </c>
      <c r="G769" s="30">
        <v>7.26</v>
      </c>
      <c r="H769" s="31">
        <v>67.08</v>
      </c>
      <c r="I769" s="39"/>
      <c r="J769" s="31">
        <f t="shared" si="106"/>
        <v>67.08</v>
      </c>
      <c r="K769" s="33">
        <f t="shared" si="107"/>
        <v>487</v>
      </c>
      <c r="L769" s="34" t="s">
        <v>28</v>
      </c>
      <c r="M769" s="35"/>
      <c r="N769" s="3">
        <v>1</v>
      </c>
      <c r="O769" s="21">
        <v>45.71</v>
      </c>
      <c r="P769" s="22" t="s">
        <v>77</v>
      </c>
      <c r="Q769" s="38"/>
      <c r="R769" s="38"/>
    </row>
    <row r="770" s="3" customFormat="1" ht="96" customHeight="1" outlineLevel="2" spans="1:18">
      <c r="A770" s="41">
        <f t="shared" si="105"/>
        <v>7</v>
      </c>
      <c r="B770" s="28" t="s">
        <v>78</v>
      </c>
      <c r="C770" s="28" t="s">
        <v>79</v>
      </c>
      <c r="D770" s="28" t="s">
        <v>59</v>
      </c>
      <c r="E770" s="28" t="s">
        <v>38</v>
      </c>
      <c r="F770" s="29" t="s">
        <v>39</v>
      </c>
      <c r="G770" s="30">
        <v>0.34</v>
      </c>
      <c r="H770" s="31">
        <v>67.31</v>
      </c>
      <c r="I770" s="39"/>
      <c r="J770" s="31">
        <f t="shared" si="106"/>
        <v>67.31</v>
      </c>
      <c r="K770" s="33">
        <f t="shared" si="107"/>
        <v>22.89</v>
      </c>
      <c r="L770" s="34" t="s">
        <v>28</v>
      </c>
      <c r="M770" s="35"/>
      <c r="N770" s="3">
        <v>1</v>
      </c>
      <c r="O770" s="21">
        <v>50.8</v>
      </c>
      <c r="P770" s="22" t="s">
        <v>153</v>
      </c>
      <c r="Q770" s="38"/>
      <c r="R770" s="38"/>
    </row>
    <row r="771" s="3" customFormat="1" ht="96" customHeight="1" outlineLevel="2" spans="1:18">
      <c r="A771" s="41">
        <f t="shared" si="105"/>
        <v>8</v>
      </c>
      <c r="B771" s="28" t="s">
        <v>84</v>
      </c>
      <c r="C771" s="28" t="s">
        <v>85</v>
      </c>
      <c r="D771" s="28" t="s">
        <v>59</v>
      </c>
      <c r="E771" s="28" t="s">
        <v>38</v>
      </c>
      <c r="F771" s="29" t="s">
        <v>39</v>
      </c>
      <c r="G771" s="30">
        <v>6.92</v>
      </c>
      <c r="H771" s="31">
        <v>117.84</v>
      </c>
      <c r="I771" s="39"/>
      <c r="J771" s="31">
        <f t="shared" si="106"/>
        <v>117.84</v>
      </c>
      <c r="K771" s="33">
        <f t="shared" si="107"/>
        <v>815.45</v>
      </c>
      <c r="L771" s="34" t="s">
        <v>28</v>
      </c>
      <c r="M771" s="35"/>
      <c r="N771" s="3">
        <v>1</v>
      </c>
      <c r="O771" s="21">
        <v>95.14</v>
      </c>
      <c r="P771" s="22" t="s">
        <v>86</v>
      </c>
      <c r="Q771" s="38"/>
      <c r="R771" s="38"/>
    </row>
    <row r="772" s="3" customFormat="1" ht="96" customHeight="1" outlineLevel="2" spans="1:18">
      <c r="A772" s="41">
        <f t="shared" si="105"/>
        <v>9</v>
      </c>
      <c r="B772" s="28" t="s">
        <v>87</v>
      </c>
      <c r="C772" s="28" t="s">
        <v>88</v>
      </c>
      <c r="D772" s="28" t="s">
        <v>59</v>
      </c>
      <c r="E772" s="28" t="s">
        <v>38</v>
      </c>
      <c r="F772" s="29" t="s">
        <v>39</v>
      </c>
      <c r="G772" s="30">
        <v>7.26</v>
      </c>
      <c r="H772" s="31">
        <v>64.25</v>
      </c>
      <c r="I772" s="39"/>
      <c r="J772" s="31">
        <f t="shared" si="106"/>
        <v>64.25</v>
      </c>
      <c r="K772" s="33">
        <f t="shared" si="107"/>
        <v>466.46</v>
      </c>
      <c r="L772" s="34" t="s">
        <v>28</v>
      </c>
      <c r="M772" s="35"/>
      <c r="N772" s="3">
        <v>1</v>
      </c>
      <c r="O772" s="21">
        <v>43.16</v>
      </c>
      <c r="P772" s="22" t="s">
        <v>89</v>
      </c>
      <c r="Q772" s="38"/>
      <c r="R772" s="38"/>
    </row>
    <row r="773" s="3" customFormat="1" outlineLevel="1" spans="1:18">
      <c r="A773" s="40"/>
      <c r="B773" s="28" t="s">
        <v>90</v>
      </c>
      <c r="C773" s="28"/>
      <c r="D773" s="28"/>
      <c r="E773" s="28"/>
      <c r="F773" s="29"/>
      <c r="G773" s="30"/>
      <c r="H773" s="31"/>
      <c r="I773" s="39"/>
      <c r="J773" s="31"/>
      <c r="K773" s="33"/>
      <c r="L773" s="34"/>
      <c r="M773" s="35"/>
      <c r="O773" s="36"/>
      <c r="P773" s="37"/>
      <c r="Q773" s="38"/>
      <c r="R773" s="38"/>
    </row>
    <row r="774" s="3" customFormat="1" ht="168" customHeight="1" outlineLevel="2" spans="1:18">
      <c r="A774" s="41">
        <f>1+N(A773)</f>
        <v>1</v>
      </c>
      <c r="B774" s="28" t="s">
        <v>91</v>
      </c>
      <c r="C774" s="28" t="s">
        <v>92</v>
      </c>
      <c r="D774" s="28" t="s">
        <v>93</v>
      </c>
      <c r="E774" s="28" t="s">
        <v>94</v>
      </c>
      <c r="F774" s="29" t="s">
        <v>27</v>
      </c>
      <c r="G774" s="30">
        <v>10</v>
      </c>
      <c r="H774" s="31">
        <v>174.57</v>
      </c>
      <c r="I774" s="39"/>
      <c r="J774" s="31">
        <f>H774*(1-$I$4)</f>
        <v>174.57</v>
      </c>
      <c r="K774" s="33">
        <f>ROUND(G774*J774,2)</f>
        <v>1745.7</v>
      </c>
      <c r="L774" s="34" t="s">
        <v>28</v>
      </c>
      <c r="M774" s="35"/>
      <c r="N774" s="3">
        <v>1</v>
      </c>
      <c r="O774" s="21">
        <v>150.38</v>
      </c>
      <c r="P774" s="22" t="s">
        <v>95</v>
      </c>
      <c r="Q774" s="38"/>
      <c r="R774" s="38"/>
    </row>
    <row r="775" s="3" customFormat="1" ht="48" customHeight="1" outlineLevel="2" spans="1:18">
      <c r="A775" s="41">
        <f>1+N(A774)</f>
        <v>2</v>
      </c>
      <c r="B775" s="28" t="s">
        <v>96</v>
      </c>
      <c r="C775" s="28" t="s">
        <v>97</v>
      </c>
      <c r="D775" s="28" t="s">
        <v>98</v>
      </c>
      <c r="E775" s="28" t="s">
        <v>99</v>
      </c>
      <c r="F775" s="29" t="s">
        <v>39</v>
      </c>
      <c r="G775" s="30">
        <v>7.9</v>
      </c>
      <c r="H775" s="31">
        <v>112.16</v>
      </c>
      <c r="I775" s="39"/>
      <c r="J775" s="31">
        <f>H775*(1-$I$4)</f>
        <v>112.16</v>
      </c>
      <c r="K775" s="33">
        <f>ROUND(G775*J775,2)</f>
        <v>886.06</v>
      </c>
      <c r="L775" s="34" t="s">
        <v>28</v>
      </c>
      <c r="M775" s="35"/>
      <c r="N775" s="3">
        <v>1</v>
      </c>
      <c r="O775" s="21">
        <v>79.3</v>
      </c>
      <c r="P775" s="22" t="s">
        <v>100</v>
      </c>
      <c r="Q775" s="38"/>
      <c r="R775" s="38"/>
    </row>
    <row r="776" s="3" customFormat="1" ht="48" customHeight="1" outlineLevel="2" spans="1:18">
      <c r="A776" s="41">
        <f>1+N(A775)</f>
        <v>3</v>
      </c>
      <c r="B776" s="28" t="s">
        <v>101</v>
      </c>
      <c r="C776" s="28" t="s">
        <v>102</v>
      </c>
      <c r="D776" s="28" t="s">
        <v>98</v>
      </c>
      <c r="E776" s="28" t="s">
        <v>99</v>
      </c>
      <c r="F776" s="29" t="s">
        <v>39</v>
      </c>
      <c r="G776" s="30">
        <v>7.9</v>
      </c>
      <c r="H776" s="31">
        <v>75.82</v>
      </c>
      <c r="I776" s="39"/>
      <c r="J776" s="31">
        <f>H776*(1-$I$4)</f>
        <v>75.82</v>
      </c>
      <c r="K776" s="33">
        <f>ROUND(G776*J776,2)</f>
        <v>598.98</v>
      </c>
      <c r="L776" s="34" t="s">
        <v>28</v>
      </c>
      <c r="M776" s="35"/>
      <c r="N776" s="3">
        <v>1</v>
      </c>
      <c r="O776" s="21">
        <v>203.56</v>
      </c>
      <c r="P776" s="22" t="s">
        <v>103</v>
      </c>
      <c r="Q776" s="38"/>
      <c r="R776" s="38"/>
    </row>
    <row r="777" s="3" customFormat="1" ht="48" customHeight="1" outlineLevel="2" spans="1:18">
      <c r="A777" s="41">
        <f>1+N(A776)</f>
        <v>4</v>
      </c>
      <c r="B777" s="28" t="s">
        <v>104</v>
      </c>
      <c r="C777" s="28" t="s">
        <v>105</v>
      </c>
      <c r="D777" s="28" t="s">
        <v>98</v>
      </c>
      <c r="E777" s="28" t="s">
        <v>99</v>
      </c>
      <c r="F777" s="29" t="s">
        <v>39</v>
      </c>
      <c r="G777" s="30">
        <v>2.4</v>
      </c>
      <c r="H777" s="31">
        <v>109.74</v>
      </c>
      <c r="I777" s="39"/>
      <c r="J777" s="31">
        <f>H777*(1-$I$4)</f>
        <v>109.74</v>
      </c>
      <c r="K777" s="33">
        <f>ROUND(G777*J777,2)</f>
        <v>263.38</v>
      </c>
      <c r="L777" s="34" t="s">
        <v>28</v>
      </c>
      <c r="M777" s="35"/>
      <c r="N777" s="3">
        <v>1</v>
      </c>
      <c r="O777" s="21">
        <v>108.2</v>
      </c>
      <c r="P777" s="22" t="s">
        <v>106</v>
      </c>
      <c r="Q777" s="38"/>
      <c r="R777" s="38"/>
    </row>
    <row r="778" s="3" customFormat="1" ht="132" customHeight="1" outlineLevel="2" spans="1:18">
      <c r="A778" s="41">
        <f>1+N(A777)</f>
        <v>5</v>
      </c>
      <c r="B778" s="28" t="s">
        <v>107</v>
      </c>
      <c r="C778" s="28" t="s">
        <v>108</v>
      </c>
      <c r="D778" s="28" t="s">
        <v>109</v>
      </c>
      <c r="E778" s="28" t="s">
        <v>110</v>
      </c>
      <c r="F778" s="29" t="s">
        <v>27</v>
      </c>
      <c r="G778" s="30">
        <v>12.37</v>
      </c>
      <c r="H778" s="31">
        <v>152.22</v>
      </c>
      <c r="I778" s="39"/>
      <c r="J778" s="31">
        <f>H778*(1-$I$4)</f>
        <v>152.22</v>
      </c>
      <c r="K778" s="33">
        <f>ROUND(G778*J778,2)</f>
        <v>1882.96</v>
      </c>
      <c r="L778" s="34" t="s">
        <v>28</v>
      </c>
      <c r="M778" s="35"/>
      <c r="N778" s="3">
        <v>1</v>
      </c>
      <c r="O778" s="21">
        <v>151.58</v>
      </c>
      <c r="P778" s="22" t="s">
        <v>111</v>
      </c>
      <c r="Q778" s="38"/>
      <c r="R778" s="38"/>
    </row>
    <row r="779" s="3" customFormat="1" outlineLevel="1" spans="1:18">
      <c r="A779" s="40"/>
      <c r="B779" s="28" t="s">
        <v>112</v>
      </c>
      <c r="C779" s="28"/>
      <c r="D779" s="28"/>
      <c r="E779" s="28"/>
      <c r="F779" s="29"/>
      <c r="G779" s="30"/>
      <c r="H779" s="31"/>
      <c r="I779" s="39"/>
      <c r="J779" s="31"/>
      <c r="K779" s="33"/>
      <c r="L779" s="34"/>
      <c r="M779" s="35"/>
      <c r="O779" s="36"/>
      <c r="P779" s="37"/>
      <c r="Q779" s="38"/>
      <c r="R779" s="38"/>
    </row>
    <row r="780" s="3" customFormat="1" ht="84" customHeight="1" outlineLevel="2" spans="1:18">
      <c r="A780" s="41">
        <f>1+N(A779)</f>
        <v>1</v>
      </c>
      <c r="B780" s="28" t="s">
        <v>515</v>
      </c>
      <c r="C780" s="28" t="s">
        <v>451</v>
      </c>
      <c r="D780" s="28" t="s">
        <v>98</v>
      </c>
      <c r="E780" s="28" t="s">
        <v>115</v>
      </c>
      <c r="F780" s="29" t="s">
        <v>27</v>
      </c>
      <c r="G780" s="30">
        <v>8.87</v>
      </c>
      <c r="H780" s="31">
        <v>5625.28</v>
      </c>
      <c r="I780" s="39"/>
      <c r="J780" s="31">
        <f>H780*(1-$I$4)</f>
        <v>5625.28</v>
      </c>
      <c r="K780" s="33">
        <f>ROUND(G780*J780,2)</f>
        <v>49896.23</v>
      </c>
      <c r="L780" s="34" t="s">
        <v>28</v>
      </c>
      <c r="M780" s="35"/>
      <c r="N780" s="3">
        <v>1</v>
      </c>
      <c r="O780" s="21">
        <v>2555.85</v>
      </c>
      <c r="P780" s="22" t="s">
        <v>516</v>
      </c>
      <c r="Q780" s="38"/>
      <c r="R780" s="38"/>
    </row>
    <row r="781" s="3" customFormat="1" outlineLevel="1" spans="1:18">
      <c r="A781" s="27" t="s">
        <v>517</v>
      </c>
      <c r="B781" s="28" t="s">
        <v>453</v>
      </c>
      <c r="C781" s="28"/>
      <c r="D781" s="28"/>
      <c r="E781" s="28"/>
      <c r="F781" s="29"/>
      <c r="G781" s="30"/>
      <c r="H781" s="31"/>
      <c r="I781" s="39"/>
      <c r="J781" s="31"/>
      <c r="K781" s="33"/>
      <c r="L781" s="34"/>
      <c r="M781" s="35"/>
      <c r="O781" s="36"/>
      <c r="P781" s="37"/>
      <c r="Q781" s="38"/>
      <c r="R781" s="38"/>
    </row>
    <row r="782" s="3" customFormat="1" outlineLevel="1" spans="1:18">
      <c r="A782" s="40"/>
      <c r="B782" s="28" t="s">
        <v>22</v>
      </c>
      <c r="C782" s="28"/>
      <c r="D782" s="28"/>
      <c r="E782" s="28"/>
      <c r="F782" s="29"/>
      <c r="G782" s="30"/>
      <c r="H782" s="31"/>
      <c r="I782" s="39"/>
      <c r="J782" s="31"/>
      <c r="K782" s="33"/>
      <c r="L782" s="34"/>
      <c r="M782" s="35"/>
      <c r="O782" s="36"/>
      <c r="P782" s="37"/>
      <c r="Q782" s="38"/>
      <c r="R782" s="38"/>
    </row>
    <row r="783" s="3" customFormat="1" ht="108" customHeight="1" outlineLevel="2" spans="1:18">
      <c r="A783" s="41">
        <f t="shared" ref="A783:A788" si="108">1+N(A782)</f>
        <v>1</v>
      </c>
      <c r="B783" s="28" t="s">
        <v>282</v>
      </c>
      <c r="C783" s="28" t="s">
        <v>283</v>
      </c>
      <c r="D783" s="28" t="s">
        <v>25</v>
      </c>
      <c r="E783" s="28" t="s">
        <v>26</v>
      </c>
      <c r="F783" s="29" t="s">
        <v>27</v>
      </c>
      <c r="G783" s="30">
        <v>7.77</v>
      </c>
      <c r="H783" s="31">
        <v>760.37</v>
      </c>
      <c r="I783" s="39"/>
      <c r="J783" s="31">
        <f t="shared" ref="J783:J788" si="109">H783*(1-$I$4)</f>
        <v>760.37</v>
      </c>
      <c r="K783" s="33">
        <f t="shared" ref="K783:K788" si="110">ROUND(G783*J783,2)</f>
        <v>5908.07</v>
      </c>
      <c r="L783" s="34" t="s">
        <v>28</v>
      </c>
      <c r="M783" s="35"/>
      <c r="N783" s="3">
        <v>1</v>
      </c>
      <c r="O783" s="21">
        <v>886.6</v>
      </c>
      <c r="P783" s="22" t="s">
        <v>284</v>
      </c>
      <c r="Q783" s="38"/>
      <c r="R783" s="38"/>
    </row>
    <row r="784" s="3" customFormat="1" ht="108" customHeight="1" outlineLevel="2" spans="1:18">
      <c r="A784" s="41">
        <f t="shared" si="108"/>
        <v>2</v>
      </c>
      <c r="B784" s="28" t="s">
        <v>518</v>
      </c>
      <c r="C784" s="28" t="s">
        <v>519</v>
      </c>
      <c r="D784" s="28" t="s">
        <v>25</v>
      </c>
      <c r="E784" s="28" t="s">
        <v>26</v>
      </c>
      <c r="F784" s="29" t="s">
        <v>27</v>
      </c>
      <c r="G784" s="30">
        <v>1.18</v>
      </c>
      <c r="H784" s="31">
        <v>2090.35</v>
      </c>
      <c r="I784" s="39"/>
      <c r="J784" s="31">
        <f t="shared" si="109"/>
        <v>2090.35</v>
      </c>
      <c r="K784" s="33">
        <f t="shared" si="110"/>
        <v>2466.61</v>
      </c>
      <c r="L784" s="34" t="s">
        <v>28</v>
      </c>
      <c r="M784" s="35"/>
      <c r="N784" s="3">
        <v>1</v>
      </c>
      <c r="O784" s="21">
        <v>1146.86</v>
      </c>
      <c r="P784" s="22" t="s">
        <v>520</v>
      </c>
      <c r="Q784" s="38"/>
      <c r="R784" s="38"/>
    </row>
    <row r="785" s="3" customFormat="1" ht="72" customHeight="1" outlineLevel="2" spans="1:18">
      <c r="A785" s="41">
        <f t="shared" si="108"/>
        <v>3</v>
      </c>
      <c r="B785" s="28" t="s">
        <v>443</v>
      </c>
      <c r="C785" s="28" t="s">
        <v>444</v>
      </c>
      <c r="D785" s="28" t="s">
        <v>251</v>
      </c>
      <c r="E785" s="28" t="s">
        <v>26</v>
      </c>
      <c r="F785" s="29" t="s">
        <v>27</v>
      </c>
      <c r="G785" s="30">
        <v>8.5</v>
      </c>
      <c r="H785" s="31">
        <v>569.06</v>
      </c>
      <c r="I785" s="39"/>
      <c r="J785" s="31">
        <f t="shared" si="109"/>
        <v>569.06</v>
      </c>
      <c r="K785" s="33">
        <f t="shared" si="110"/>
        <v>4837.01</v>
      </c>
      <c r="L785" s="34" t="s">
        <v>28</v>
      </c>
      <c r="M785" s="35"/>
      <c r="N785" s="3">
        <v>1</v>
      </c>
      <c r="O785" s="21">
        <v>318.18</v>
      </c>
      <c r="P785" s="22" t="s">
        <v>445</v>
      </c>
      <c r="Q785" s="38"/>
      <c r="R785" s="38"/>
    </row>
    <row r="786" s="3" customFormat="1" ht="156" customHeight="1" outlineLevel="2" spans="1:18">
      <c r="A786" s="41">
        <f t="shared" si="108"/>
        <v>4</v>
      </c>
      <c r="B786" s="28" t="s">
        <v>192</v>
      </c>
      <c r="C786" s="28" t="s">
        <v>413</v>
      </c>
      <c r="D786" s="28" t="s">
        <v>194</v>
      </c>
      <c r="E786" s="28" t="s">
        <v>195</v>
      </c>
      <c r="F786" s="29" t="s">
        <v>27</v>
      </c>
      <c r="G786" s="30">
        <v>8.5</v>
      </c>
      <c r="H786" s="31">
        <v>78.51</v>
      </c>
      <c r="I786" s="39"/>
      <c r="J786" s="31">
        <f t="shared" si="109"/>
        <v>78.51</v>
      </c>
      <c r="K786" s="33">
        <f t="shared" si="110"/>
        <v>667.34</v>
      </c>
      <c r="L786" s="34" t="s">
        <v>28</v>
      </c>
      <c r="M786" s="35"/>
      <c r="N786" s="3">
        <v>1</v>
      </c>
      <c r="O786" s="21">
        <v>65.78</v>
      </c>
      <c r="P786" s="22" t="s">
        <v>248</v>
      </c>
      <c r="Q786" s="38"/>
      <c r="R786" s="38"/>
    </row>
    <row r="787" s="3" customFormat="1" ht="72" customHeight="1" outlineLevel="2" spans="1:18">
      <c r="A787" s="41">
        <f t="shared" si="108"/>
        <v>5</v>
      </c>
      <c r="B787" s="28" t="s">
        <v>41</v>
      </c>
      <c r="C787" s="28" t="s">
        <v>42</v>
      </c>
      <c r="D787" s="28" t="s">
        <v>25</v>
      </c>
      <c r="E787" s="28" t="s">
        <v>26</v>
      </c>
      <c r="F787" s="29" t="s">
        <v>27</v>
      </c>
      <c r="G787" s="30">
        <v>8.95</v>
      </c>
      <c r="H787" s="31">
        <v>64.9</v>
      </c>
      <c r="I787" s="39"/>
      <c r="J787" s="31">
        <f t="shared" si="109"/>
        <v>64.9</v>
      </c>
      <c r="K787" s="33">
        <f t="shared" si="110"/>
        <v>580.86</v>
      </c>
      <c r="L787" s="34" t="s">
        <v>28</v>
      </c>
      <c r="M787" s="35"/>
      <c r="N787" s="3">
        <v>1</v>
      </c>
      <c r="O787" s="21">
        <v>61.38</v>
      </c>
      <c r="P787" s="22" t="s">
        <v>43</v>
      </c>
      <c r="Q787" s="38"/>
      <c r="R787" s="38"/>
    </row>
    <row r="788" s="3" customFormat="1" ht="72" customHeight="1" outlineLevel="2" spans="1:18">
      <c r="A788" s="41">
        <f t="shared" si="108"/>
        <v>6</v>
      </c>
      <c r="B788" s="28" t="s">
        <v>36</v>
      </c>
      <c r="C788" s="28" t="s">
        <v>37</v>
      </c>
      <c r="D788" s="28" t="s">
        <v>25</v>
      </c>
      <c r="E788" s="28" t="s">
        <v>38</v>
      </c>
      <c r="F788" s="29" t="s">
        <v>39</v>
      </c>
      <c r="G788" s="30">
        <v>13.73</v>
      </c>
      <c r="H788" s="31">
        <v>89.27</v>
      </c>
      <c r="I788" s="39"/>
      <c r="J788" s="31">
        <f t="shared" si="109"/>
        <v>89.27</v>
      </c>
      <c r="K788" s="33">
        <f t="shared" si="110"/>
        <v>1225.68</v>
      </c>
      <c r="L788" s="34" t="s">
        <v>28</v>
      </c>
      <c r="M788" s="35"/>
      <c r="N788" s="3">
        <v>1</v>
      </c>
      <c r="O788" s="21">
        <v>35.28</v>
      </c>
      <c r="P788" s="22" t="s">
        <v>40</v>
      </c>
      <c r="Q788" s="38"/>
      <c r="R788" s="38"/>
    </row>
    <row r="789" s="3" customFormat="1" outlineLevel="1" spans="1:18">
      <c r="A789" s="40"/>
      <c r="B789" s="28" t="s">
        <v>44</v>
      </c>
      <c r="C789" s="28"/>
      <c r="D789" s="28"/>
      <c r="E789" s="28"/>
      <c r="F789" s="29"/>
      <c r="G789" s="30"/>
      <c r="H789" s="31"/>
      <c r="I789" s="39"/>
      <c r="J789" s="31"/>
      <c r="K789" s="33"/>
      <c r="L789" s="34"/>
      <c r="M789" s="35"/>
      <c r="O789" s="36"/>
      <c r="P789" s="37"/>
      <c r="Q789" s="38"/>
      <c r="R789" s="38"/>
    </row>
    <row r="790" s="3" customFormat="1" ht="156" customHeight="1" outlineLevel="2" spans="1:18">
      <c r="A790" s="41">
        <f>1+N(A789)</f>
        <v>1</v>
      </c>
      <c r="B790" s="28" t="s">
        <v>50</v>
      </c>
      <c r="C790" s="28" t="s">
        <v>338</v>
      </c>
      <c r="D790" s="28" t="s">
        <v>52</v>
      </c>
      <c r="E790" s="28" t="s">
        <v>48</v>
      </c>
      <c r="F790" s="29" t="s">
        <v>27</v>
      </c>
      <c r="G790" s="30">
        <v>31.67</v>
      </c>
      <c r="H790" s="31">
        <v>876.22</v>
      </c>
      <c r="I790" s="39"/>
      <c r="J790" s="31">
        <f>H790*(1-$I$4)</f>
        <v>876.22</v>
      </c>
      <c r="K790" s="33">
        <f>ROUND(G790*J790,2)</f>
        <v>27749.89</v>
      </c>
      <c r="L790" s="34" t="s">
        <v>28</v>
      </c>
      <c r="M790" s="35"/>
      <c r="N790" s="3">
        <v>1</v>
      </c>
      <c r="O790" s="21">
        <v>1029.66</v>
      </c>
      <c r="P790" s="22" t="s">
        <v>521</v>
      </c>
      <c r="Q790" s="38"/>
      <c r="R790" s="38"/>
    </row>
    <row r="791" s="3" customFormat="1" ht="120" customHeight="1" outlineLevel="2" spans="1:18">
      <c r="A791" s="41">
        <f>1+N(A790)</f>
        <v>2</v>
      </c>
      <c r="B791" s="28" t="s">
        <v>140</v>
      </c>
      <c r="C791" s="28" t="s">
        <v>141</v>
      </c>
      <c r="D791" s="28" t="s">
        <v>52</v>
      </c>
      <c r="E791" s="28" t="s">
        <v>63</v>
      </c>
      <c r="F791" s="29" t="s">
        <v>27</v>
      </c>
      <c r="G791" s="30">
        <v>7.28</v>
      </c>
      <c r="H791" s="31">
        <v>630.65</v>
      </c>
      <c r="I791" s="39"/>
      <c r="J791" s="31">
        <f>H791*(1-$I$4)</f>
        <v>630.65</v>
      </c>
      <c r="K791" s="33">
        <f>ROUND(G791*J791,2)</f>
        <v>4591.13</v>
      </c>
      <c r="L791" s="34" t="s">
        <v>28</v>
      </c>
      <c r="M791" s="35"/>
      <c r="N791" s="3">
        <v>1</v>
      </c>
      <c r="O791" s="21">
        <v>681.67</v>
      </c>
      <c r="P791" s="22" t="s">
        <v>64</v>
      </c>
      <c r="Q791" s="38"/>
      <c r="R791" s="38"/>
    </row>
    <row r="792" s="3" customFormat="1" ht="96" customHeight="1" outlineLevel="2" spans="1:18">
      <c r="A792" s="41">
        <f>1+N(A791)</f>
        <v>3</v>
      </c>
      <c r="B792" s="28" t="s">
        <v>75</v>
      </c>
      <c r="C792" s="28" t="s">
        <v>76</v>
      </c>
      <c r="D792" s="28" t="s">
        <v>59</v>
      </c>
      <c r="E792" s="28" t="s">
        <v>38</v>
      </c>
      <c r="F792" s="29" t="s">
        <v>39</v>
      </c>
      <c r="G792" s="30">
        <v>10.82</v>
      </c>
      <c r="H792" s="31">
        <v>67.08</v>
      </c>
      <c r="I792" s="39"/>
      <c r="J792" s="31">
        <f>H792*(1-$I$4)</f>
        <v>67.08</v>
      </c>
      <c r="K792" s="33">
        <f>ROUND(G792*J792,2)</f>
        <v>725.81</v>
      </c>
      <c r="L792" s="34" t="s">
        <v>28</v>
      </c>
      <c r="M792" s="35"/>
      <c r="N792" s="3">
        <v>1</v>
      </c>
      <c r="O792" s="21">
        <v>45.71</v>
      </c>
      <c r="P792" s="22" t="s">
        <v>77</v>
      </c>
      <c r="Q792" s="38"/>
      <c r="R792" s="38"/>
    </row>
    <row r="793" s="3" customFormat="1" ht="96" customHeight="1" outlineLevel="2" spans="1:18">
      <c r="A793" s="41">
        <f>1+N(A792)</f>
        <v>4</v>
      </c>
      <c r="B793" s="28" t="s">
        <v>482</v>
      </c>
      <c r="C793" s="28" t="s">
        <v>483</v>
      </c>
      <c r="D793" s="28" t="s">
        <v>59</v>
      </c>
      <c r="E793" s="28" t="s">
        <v>38</v>
      </c>
      <c r="F793" s="29" t="s">
        <v>39</v>
      </c>
      <c r="G793" s="30">
        <v>5.57</v>
      </c>
      <c r="H793" s="31">
        <v>117.84</v>
      </c>
      <c r="I793" s="39"/>
      <c r="J793" s="31">
        <f>H793*(1-$I$4)</f>
        <v>117.84</v>
      </c>
      <c r="K793" s="33">
        <f>ROUND(G793*J793,2)</f>
        <v>656.37</v>
      </c>
      <c r="L793" s="34" t="s">
        <v>28</v>
      </c>
      <c r="M793" s="35"/>
      <c r="N793" s="3">
        <v>1</v>
      </c>
      <c r="O793" s="21">
        <v>95.69</v>
      </c>
      <c r="P793" s="22" t="s">
        <v>484</v>
      </c>
      <c r="Q793" s="38"/>
      <c r="R793" s="38"/>
    </row>
    <row r="794" s="3" customFormat="1" ht="60" customHeight="1" outlineLevel="2" spans="1:18">
      <c r="A794" s="41">
        <f>1+N(A793)</f>
        <v>5</v>
      </c>
      <c r="B794" s="28" t="s">
        <v>311</v>
      </c>
      <c r="C794" s="28" t="s">
        <v>312</v>
      </c>
      <c r="D794" s="28" t="s">
        <v>98</v>
      </c>
      <c r="E794" s="28" t="s">
        <v>115</v>
      </c>
      <c r="F794" s="29" t="s">
        <v>27</v>
      </c>
      <c r="G794" s="30">
        <v>0.77</v>
      </c>
      <c r="H794" s="31">
        <v>630.65</v>
      </c>
      <c r="I794" s="39"/>
      <c r="J794" s="31">
        <f>H794*(1-$I$4)</f>
        <v>630.65</v>
      </c>
      <c r="K794" s="33">
        <f>ROUND(G794*J794,2)</f>
        <v>485.6</v>
      </c>
      <c r="L794" s="34" t="s">
        <v>28</v>
      </c>
      <c r="M794" s="35"/>
      <c r="N794" s="3">
        <v>1</v>
      </c>
      <c r="O794" s="21">
        <v>681.67</v>
      </c>
      <c r="P794" s="22" t="s">
        <v>64</v>
      </c>
      <c r="Q794" s="38"/>
      <c r="R794" s="38"/>
    </row>
    <row r="795" s="3" customFormat="1" outlineLevel="1" spans="1:18">
      <c r="A795" s="40"/>
      <c r="B795" s="28" t="s">
        <v>90</v>
      </c>
      <c r="C795" s="28"/>
      <c r="D795" s="28"/>
      <c r="E795" s="28"/>
      <c r="F795" s="29"/>
      <c r="G795" s="30"/>
      <c r="H795" s="31"/>
      <c r="I795" s="39"/>
      <c r="J795" s="31"/>
      <c r="K795" s="33"/>
      <c r="L795" s="34"/>
      <c r="M795" s="35"/>
      <c r="O795" s="36"/>
      <c r="P795" s="37"/>
      <c r="Q795" s="38"/>
      <c r="R795" s="38"/>
    </row>
    <row r="796" s="3" customFormat="1" ht="168" customHeight="1" outlineLevel="2" spans="1:18">
      <c r="A796" s="41">
        <f t="shared" ref="A796:A802" si="111">1+N(A795)</f>
        <v>1</v>
      </c>
      <c r="B796" s="28" t="s">
        <v>91</v>
      </c>
      <c r="C796" s="28" t="s">
        <v>92</v>
      </c>
      <c r="D796" s="28" t="s">
        <v>93</v>
      </c>
      <c r="E796" s="28" t="s">
        <v>94</v>
      </c>
      <c r="F796" s="29" t="s">
        <v>27</v>
      </c>
      <c r="G796" s="30">
        <v>9.42</v>
      </c>
      <c r="H796" s="31">
        <v>174.57</v>
      </c>
      <c r="I796" s="39"/>
      <c r="J796" s="31">
        <f t="shared" ref="J796:J802" si="112">H796*(1-$I$4)</f>
        <v>174.57</v>
      </c>
      <c r="K796" s="33">
        <f t="shared" ref="K796:K802" si="113">ROUND(G796*J796,2)</f>
        <v>1644.45</v>
      </c>
      <c r="L796" s="34" t="s">
        <v>28</v>
      </c>
      <c r="M796" s="35"/>
      <c r="N796" s="3">
        <v>1</v>
      </c>
      <c r="O796" s="21">
        <v>150.38</v>
      </c>
      <c r="P796" s="22" t="s">
        <v>95</v>
      </c>
      <c r="Q796" s="38"/>
      <c r="R796" s="38"/>
    </row>
    <row r="797" s="3" customFormat="1" ht="168" customHeight="1" outlineLevel="2" spans="1:18">
      <c r="A797" s="41">
        <f t="shared" si="111"/>
        <v>2</v>
      </c>
      <c r="B797" s="28" t="s">
        <v>429</v>
      </c>
      <c r="C797" s="28" t="s">
        <v>430</v>
      </c>
      <c r="D797" s="28" t="s">
        <v>93</v>
      </c>
      <c r="E797" s="28" t="s">
        <v>94</v>
      </c>
      <c r="F797" s="29" t="s">
        <v>27</v>
      </c>
      <c r="G797" s="30">
        <v>7.3</v>
      </c>
      <c r="H797" s="31">
        <v>360.2</v>
      </c>
      <c r="I797" s="39"/>
      <c r="J797" s="31">
        <f t="shared" si="112"/>
        <v>360.2</v>
      </c>
      <c r="K797" s="33">
        <f t="shared" si="113"/>
        <v>2629.46</v>
      </c>
      <c r="L797" s="34" t="s">
        <v>28</v>
      </c>
      <c r="M797" s="35"/>
      <c r="N797" s="3">
        <v>1</v>
      </c>
      <c r="O797" s="21">
        <v>275.62</v>
      </c>
      <c r="P797" s="22" t="s">
        <v>431</v>
      </c>
      <c r="Q797" s="38"/>
      <c r="R797" s="38"/>
    </row>
    <row r="798" s="3" customFormat="1" ht="48" customHeight="1" outlineLevel="2" spans="1:18">
      <c r="A798" s="41">
        <f t="shared" si="111"/>
        <v>3</v>
      </c>
      <c r="B798" s="28" t="s">
        <v>96</v>
      </c>
      <c r="C798" s="28" t="s">
        <v>97</v>
      </c>
      <c r="D798" s="28" t="s">
        <v>98</v>
      </c>
      <c r="E798" s="28" t="s">
        <v>99</v>
      </c>
      <c r="F798" s="29" t="s">
        <v>39</v>
      </c>
      <c r="G798" s="30">
        <v>13.75</v>
      </c>
      <c r="H798" s="31">
        <v>112.16</v>
      </c>
      <c r="I798" s="39"/>
      <c r="J798" s="31">
        <f t="shared" si="112"/>
        <v>112.16</v>
      </c>
      <c r="K798" s="33">
        <f t="shared" si="113"/>
        <v>1542.2</v>
      </c>
      <c r="L798" s="34" t="s">
        <v>28</v>
      </c>
      <c r="M798" s="35"/>
      <c r="N798" s="3">
        <v>1</v>
      </c>
      <c r="O798" s="21">
        <v>79.3</v>
      </c>
      <c r="P798" s="22" t="s">
        <v>100</v>
      </c>
      <c r="Q798" s="38"/>
      <c r="R798" s="38"/>
    </row>
    <row r="799" s="3" customFormat="1" ht="48" customHeight="1" outlineLevel="2" spans="1:18">
      <c r="A799" s="41">
        <f t="shared" si="111"/>
        <v>4</v>
      </c>
      <c r="B799" s="28" t="s">
        <v>101</v>
      </c>
      <c r="C799" s="28" t="s">
        <v>102</v>
      </c>
      <c r="D799" s="28" t="s">
        <v>98</v>
      </c>
      <c r="E799" s="28" t="s">
        <v>99</v>
      </c>
      <c r="F799" s="29" t="s">
        <v>39</v>
      </c>
      <c r="G799" s="30">
        <v>13.75</v>
      </c>
      <c r="H799" s="31">
        <v>75.82</v>
      </c>
      <c r="I799" s="39"/>
      <c r="J799" s="31">
        <f t="shared" si="112"/>
        <v>75.82</v>
      </c>
      <c r="K799" s="33">
        <f t="shared" si="113"/>
        <v>1042.53</v>
      </c>
      <c r="L799" s="34" t="s">
        <v>28</v>
      </c>
      <c r="M799" s="35"/>
      <c r="N799" s="3">
        <v>1</v>
      </c>
      <c r="O799" s="21">
        <v>203.56</v>
      </c>
      <c r="P799" s="22" t="s">
        <v>103</v>
      </c>
      <c r="Q799" s="38"/>
      <c r="R799" s="38"/>
    </row>
    <row r="800" s="3" customFormat="1" ht="60" customHeight="1" outlineLevel="2" spans="1:18">
      <c r="A800" s="41">
        <f t="shared" si="111"/>
        <v>5</v>
      </c>
      <c r="B800" s="28" t="s">
        <v>356</v>
      </c>
      <c r="C800" s="28" t="s">
        <v>357</v>
      </c>
      <c r="D800" s="28" t="s">
        <v>98</v>
      </c>
      <c r="E800" s="28" t="s">
        <v>99</v>
      </c>
      <c r="F800" s="29" t="s">
        <v>39</v>
      </c>
      <c r="G800" s="30">
        <v>3.6</v>
      </c>
      <c r="H800" s="31">
        <v>123.19</v>
      </c>
      <c r="I800" s="39"/>
      <c r="J800" s="31">
        <f t="shared" si="112"/>
        <v>123.19</v>
      </c>
      <c r="K800" s="33">
        <f t="shared" si="113"/>
        <v>443.48</v>
      </c>
      <c r="L800" s="34" t="s">
        <v>28</v>
      </c>
      <c r="M800" s="35"/>
      <c r="N800" s="3">
        <v>1</v>
      </c>
      <c r="O800" s="21">
        <v>93.14</v>
      </c>
      <c r="P800" s="22" t="s">
        <v>358</v>
      </c>
      <c r="Q800" s="38"/>
      <c r="R800" s="38"/>
    </row>
    <row r="801" s="3" customFormat="1" ht="48" customHeight="1" outlineLevel="2" spans="1:18">
      <c r="A801" s="41">
        <f t="shared" si="111"/>
        <v>6</v>
      </c>
      <c r="B801" s="28" t="s">
        <v>104</v>
      </c>
      <c r="C801" s="28" t="s">
        <v>105</v>
      </c>
      <c r="D801" s="28" t="s">
        <v>98</v>
      </c>
      <c r="E801" s="28" t="s">
        <v>99</v>
      </c>
      <c r="F801" s="29" t="s">
        <v>39</v>
      </c>
      <c r="G801" s="30">
        <v>2.4</v>
      </c>
      <c r="H801" s="31">
        <v>109.74</v>
      </c>
      <c r="I801" s="39"/>
      <c r="J801" s="31">
        <f t="shared" si="112"/>
        <v>109.74</v>
      </c>
      <c r="K801" s="33">
        <f t="shared" si="113"/>
        <v>263.38</v>
      </c>
      <c r="L801" s="34" t="s">
        <v>28</v>
      </c>
      <c r="M801" s="35"/>
      <c r="N801" s="3">
        <v>1</v>
      </c>
      <c r="O801" s="21">
        <v>108.2</v>
      </c>
      <c r="P801" s="22" t="s">
        <v>106</v>
      </c>
      <c r="Q801" s="38"/>
      <c r="R801" s="38"/>
    </row>
    <row r="802" s="3" customFormat="1" ht="132" customHeight="1" outlineLevel="2" spans="1:18">
      <c r="A802" s="41">
        <f t="shared" si="111"/>
        <v>7</v>
      </c>
      <c r="B802" s="28" t="s">
        <v>107</v>
      </c>
      <c r="C802" s="28" t="s">
        <v>108</v>
      </c>
      <c r="D802" s="28" t="s">
        <v>109</v>
      </c>
      <c r="E802" s="28" t="s">
        <v>110</v>
      </c>
      <c r="F802" s="29" t="s">
        <v>27</v>
      </c>
      <c r="G802" s="30">
        <v>22.27</v>
      </c>
      <c r="H802" s="31">
        <v>152.22</v>
      </c>
      <c r="I802" s="39"/>
      <c r="J802" s="31">
        <f t="shared" si="112"/>
        <v>152.22</v>
      </c>
      <c r="K802" s="33">
        <f t="shared" si="113"/>
        <v>3389.94</v>
      </c>
      <c r="L802" s="34" t="s">
        <v>28</v>
      </c>
      <c r="M802" s="35"/>
      <c r="N802" s="3">
        <v>1</v>
      </c>
      <c r="O802" s="21">
        <v>151.58</v>
      </c>
      <c r="P802" s="22" t="s">
        <v>111</v>
      </c>
      <c r="Q802" s="38"/>
      <c r="R802" s="38"/>
    </row>
    <row r="803" s="3" customFormat="1" outlineLevel="1" spans="1:18">
      <c r="A803" s="40"/>
      <c r="B803" s="28" t="s">
        <v>112</v>
      </c>
      <c r="C803" s="28"/>
      <c r="D803" s="28"/>
      <c r="E803" s="28"/>
      <c r="F803" s="29"/>
      <c r="G803" s="30"/>
      <c r="H803" s="31"/>
      <c r="I803" s="39"/>
      <c r="J803" s="31"/>
      <c r="K803" s="33"/>
      <c r="L803" s="34"/>
      <c r="M803" s="35"/>
      <c r="O803" s="36"/>
      <c r="P803" s="37"/>
      <c r="Q803" s="38"/>
      <c r="R803" s="38"/>
    </row>
    <row r="804" s="3" customFormat="1" outlineLevel="1" spans="1:18">
      <c r="A804" s="27" t="s">
        <v>522</v>
      </c>
      <c r="B804" s="28" t="s">
        <v>523</v>
      </c>
      <c r="C804" s="28"/>
      <c r="D804" s="28"/>
      <c r="E804" s="28"/>
      <c r="F804" s="29"/>
      <c r="G804" s="30"/>
      <c r="H804" s="31"/>
      <c r="I804" s="39"/>
      <c r="J804" s="31"/>
      <c r="K804" s="33"/>
      <c r="L804" s="34"/>
      <c r="M804" s="35"/>
      <c r="O804" s="36"/>
      <c r="P804" s="37"/>
      <c r="Q804" s="38"/>
      <c r="R804" s="38"/>
    </row>
    <row r="805" s="3" customFormat="1" outlineLevel="1" spans="1:18">
      <c r="A805" s="40"/>
      <c r="B805" s="28" t="s">
        <v>22</v>
      </c>
      <c r="C805" s="28"/>
      <c r="D805" s="28"/>
      <c r="E805" s="28"/>
      <c r="F805" s="29"/>
      <c r="G805" s="30"/>
      <c r="H805" s="31"/>
      <c r="I805" s="39"/>
      <c r="J805" s="31"/>
      <c r="K805" s="33"/>
      <c r="L805" s="34"/>
      <c r="M805" s="35"/>
      <c r="O805" s="36"/>
      <c r="P805" s="37"/>
      <c r="Q805" s="38"/>
      <c r="R805" s="38"/>
    </row>
    <row r="806" s="3" customFormat="1" ht="108" customHeight="1" outlineLevel="2" spans="1:18">
      <c r="A806" s="41">
        <f>1+N(A805)</f>
        <v>1</v>
      </c>
      <c r="B806" s="28" t="s">
        <v>524</v>
      </c>
      <c r="C806" s="28" t="s">
        <v>525</v>
      </c>
      <c r="D806" s="28" t="s">
        <v>25</v>
      </c>
      <c r="E806" s="28" t="s">
        <v>26</v>
      </c>
      <c r="F806" s="29" t="s">
        <v>27</v>
      </c>
      <c r="G806" s="30">
        <v>4.4</v>
      </c>
      <c r="H806" s="31">
        <v>880.73</v>
      </c>
      <c r="I806" s="39"/>
      <c r="J806" s="31">
        <f>H806*(1-$I$4)</f>
        <v>880.73</v>
      </c>
      <c r="K806" s="33">
        <f>ROUND(G806*J806,2)</f>
        <v>3875.21</v>
      </c>
      <c r="L806" s="34" t="s">
        <v>28</v>
      </c>
      <c r="M806" s="35"/>
      <c r="N806" s="3">
        <v>1</v>
      </c>
      <c r="O806" s="21">
        <v>1214.84</v>
      </c>
      <c r="P806" s="22" t="s">
        <v>526</v>
      </c>
      <c r="Q806" s="38"/>
      <c r="R806" s="38"/>
    </row>
    <row r="807" s="3" customFormat="1" ht="72" customHeight="1" outlineLevel="2" spans="1:18">
      <c r="A807" s="41">
        <f>1+N(A806)</f>
        <v>2</v>
      </c>
      <c r="B807" s="28" t="s">
        <v>443</v>
      </c>
      <c r="C807" s="28" t="s">
        <v>527</v>
      </c>
      <c r="D807" s="28" t="s">
        <v>251</v>
      </c>
      <c r="E807" s="28" t="s">
        <v>26</v>
      </c>
      <c r="F807" s="29" t="s">
        <v>27</v>
      </c>
      <c r="G807" s="30">
        <v>52.36</v>
      </c>
      <c r="H807" s="31">
        <v>569.06</v>
      </c>
      <c r="I807" s="39"/>
      <c r="J807" s="31">
        <f>H807*(1-$I$4)</f>
        <v>569.06</v>
      </c>
      <c r="K807" s="33">
        <f>ROUND(G807*J807,2)</f>
        <v>29795.98</v>
      </c>
      <c r="L807" s="34" t="s">
        <v>28</v>
      </c>
      <c r="M807" s="35"/>
      <c r="N807" s="3">
        <v>1</v>
      </c>
      <c r="O807" s="21">
        <v>577.5</v>
      </c>
      <c r="P807" s="22" t="s">
        <v>528</v>
      </c>
      <c r="Q807" s="38"/>
      <c r="R807" s="38"/>
    </row>
    <row r="808" s="3" customFormat="1" ht="156" customHeight="1" outlineLevel="2" spans="1:18">
      <c r="A808" s="41">
        <f>1+N(A807)</f>
        <v>3</v>
      </c>
      <c r="B808" s="28" t="s">
        <v>192</v>
      </c>
      <c r="C808" s="28" t="s">
        <v>413</v>
      </c>
      <c r="D808" s="28" t="s">
        <v>194</v>
      </c>
      <c r="E808" s="28" t="s">
        <v>195</v>
      </c>
      <c r="F808" s="29" t="s">
        <v>27</v>
      </c>
      <c r="G808" s="30">
        <v>52.36</v>
      </c>
      <c r="H808" s="31">
        <v>78.51</v>
      </c>
      <c r="I808" s="39"/>
      <c r="J808" s="31">
        <f>H808*(1-$I$4)</f>
        <v>78.51</v>
      </c>
      <c r="K808" s="33">
        <f>ROUND(G808*J808,2)</f>
        <v>4110.78</v>
      </c>
      <c r="L808" s="34" t="s">
        <v>28</v>
      </c>
      <c r="M808" s="35"/>
      <c r="N808" s="3">
        <v>1</v>
      </c>
      <c r="O808" s="21">
        <v>65.78</v>
      </c>
      <c r="P808" s="22" t="s">
        <v>248</v>
      </c>
      <c r="Q808" s="38"/>
      <c r="R808" s="38"/>
    </row>
    <row r="809" s="3" customFormat="1" ht="72" customHeight="1" outlineLevel="2" spans="1:18">
      <c r="A809" s="41">
        <f>1+N(A808)</f>
        <v>4</v>
      </c>
      <c r="B809" s="28" t="s">
        <v>41</v>
      </c>
      <c r="C809" s="28" t="s">
        <v>42</v>
      </c>
      <c r="D809" s="28" t="s">
        <v>25</v>
      </c>
      <c r="E809" s="28" t="s">
        <v>26</v>
      </c>
      <c r="F809" s="29" t="s">
        <v>27</v>
      </c>
      <c r="G809" s="30">
        <v>4.4</v>
      </c>
      <c r="H809" s="31">
        <v>64.9</v>
      </c>
      <c r="I809" s="39"/>
      <c r="J809" s="31">
        <f>H809*(1-$I$4)</f>
        <v>64.9</v>
      </c>
      <c r="K809" s="33">
        <f>ROUND(G809*J809,2)</f>
        <v>285.56</v>
      </c>
      <c r="L809" s="34" t="s">
        <v>28</v>
      </c>
      <c r="M809" s="35"/>
      <c r="N809" s="3">
        <v>1</v>
      </c>
      <c r="O809" s="21">
        <v>61.38</v>
      </c>
      <c r="P809" s="22" t="s">
        <v>43</v>
      </c>
      <c r="Q809" s="38"/>
      <c r="R809" s="38"/>
    </row>
    <row r="810" s="3" customFormat="1" ht="72" customHeight="1" outlineLevel="2" spans="1:18">
      <c r="A810" s="41">
        <f>1+N(A809)</f>
        <v>5</v>
      </c>
      <c r="B810" s="28" t="s">
        <v>36</v>
      </c>
      <c r="C810" s="28" t="s">
        <v>37</v>
      </c>
      <c r="D810" s="28" t="s">
        <v>25</v>
      </c>
      <c r="E810" s="28" t="s">
        <v>38</v>
      </c>
      <c r="F810" s="29" t="s">
        <v>39</v>
      </c>
      <c r="G810" s="30">
        <v>3.6</v>
      </c>
      <c r="H810" s="31">
        <v>89.27</v>
      </c>
      <c r="I810" s="39"/>
      <c r="J810" s="31">
        <f>H810*(1-$I$4)</f>
        <v>89.27</v>
      </c>
      <c r="K810" s="33">
        <f>ROUND(G810*J810,2)</f>
        <v>321.37</v>
      </c>
      <c r="L810" s="34" t="s">
        <v>28</v>
      </c>
      <c r="M810" s="35"/>
      <c r="N810" s="3">
        <v>1</v>
      </c>
      <c r="O810" s="21">
        <v>35.28</v>
      </c>
      <c r="P810" s="22" t="s">
        <v>40</v>
      </c>
      <c r="Q810" s="38"/>
      <c r="R810" s="38"/>
    </row>
    <row r="811" s="3" customFormat="1" outlineLevel="1" spans="1:18">
      <c r="A811" s="40"/>
      <c r="B811" s="28" t="s">
        <v>44</v>
      </c>
      <c r="C811" s="28"/>
      <c r="D811" s="28"/>
      <c r="E811" s="28"/>
      <c r="F811" s="29"/>
      <c r="G811" s="30"/>
      <c r="H811" s="31"/>
      <c r="I811" s="39"/>
      <c r="J811" s="31"/>
      <c r="K811" s="33"/>
      <c r="L811" s="34"/>
      <c r="M811" s="35"/>
      <c r="O811" s="36"/>
      <c r="P811" s="37"/>
      <c r="Q811" s="38"/>
      <c r="R811" s="38"/>
    </row>
    <row r="812" s="3" customFormat="1" ht="120" customHeight="1" outlineLevel="2" spans="1:18">
      <c r="A812" s="41">
        <f t="shared" ref="A812:A817" si="114">1+N(A811)</f>
        <v>1</v>
      </c>
      <c r="B812" s="28" t="s">
        <v>385</v>
      </c>
      <c r="C812" s="28" t="s">
        <v>386</v>
      </c>
      <c r="D812" s="28" t="s">
        <v>52</v>
      </c>
      <c r="E812" s="28" t="s">
        <v>63</v>
      </c>
      <c r="F812" s="29" t="s">
        <v>27</v>
      </c>
      <c r="G812" s="30">
        <v>58.23</v>
      </c>
      <c r="H812" s="31">
        <v>1086.01</v>
      </c>
      <c r="I812" s="39"/>
      <c r="J812" s="31">
        <f t="shared" ref="J812:J817" si="115">H812*(1-$I$4)</f>
        <v>1086.01</v>
      </c>
      <c r="K812" s="33">
        <f t="shared" ref="K812:K817" si="116">ROUND(G812*J812,2)</f>
        <v>63238.36</v>
      </c>
      <c r="L812" s="34" t="s">
        <v>28</v>
      </c>
      <c r="M812" s="35"/>
      <c r="N812" s="3">
        <v>1</v>
      </c>
      <c r="O812" s="21">
        <v>735.46</v>
      </c>
      <c r="P812" s="22" t="s">
        <v>529</v>
      </c>
      <c r="Q812" s="38"/>
      <c r="R812" s="38"/>
    </row>
    <row r="813" s="3" customFormat="1" ht="96" customHeight="1" outlineLevel="2" spans="1:18">
      <c r="A813" s="41">
        <f t="shared" si="114"/>
        <v>2</v>
      </c>
      <c r="B813" s="28" t="s">
        <v>205</v>
      </c>
      <c r="C813" s="28" t="s">
        <v>345</v>
      </c>
      <c r="D813" s="28" t="s">
        <v>59</v>
      </c>
      <c r="E813" s="28" t="s">
        <v>207</v>
      </c>
      <c r="F813" s="29" t="s">
        <v>27</v>
      </c>
      <c r="G813" s="30">
        <v>12.59</v>
      </c>
      <c r="H813" s="31">
        <v>518.61</v>
      </c>
      <c r="I813" s="39"/>
      <c r="J813" s="31">
        <f t="shared" si="115"/>
        <v>518.61</v>
      </c>
      <c r="K813" s="33">
        <f t="shared" si="116"/>
        <v>6529.3</v>
      </c>
      <c r="L813" s="34" t="s">
        <v>28</v>
      </c>
      <c r="M813" s="35"/>
      <c r="N813" s="3">
        <v>1</v>
      </c>
      <c r="O813" s="21">
        <v>356.29</v>
      </c>
      <c r="P813" s="22" t="s">
        <v>530</v>
      </c>
      <c r="Q813" s="38"/>
      <c r="R813" s="38"/>
    </row>
    <row r="814" s="3" customFormat="1" ht="96" customHeight="1" outlineLevel="2" spans="1:18">
      <c r="A814" s="41">
        <f t="shared" si="114"/>
        <v>3</v>
      </c>
      <c r="B814" s="28" t="s">
        <v>531</v>
      </c>
      <c r="C814" s="28" t="s">
        <v>532</v>
      </c>
      <c r="D814" s="28" t="s">
        <v>59</v>
      </c>
      <c r="E814" s="28" t="s">
        <v>207</v>
      </c>
      <c r="F814" s="29" t="s">
        <v>27</v>
      </c>
      <c r="G814" s="30">
        <v>11.78</v>
      </c>
      <c r="H814" s="31">
        <v>5241.56</v>
      </c>
      <c r="I814" s="39"/>
      <c r="J814" s="31">
        <f t="shared" si="115"/>
        <v>5241.56</v>
      </c>
      <c r="K814" s="33">
        <f t="shared" si="116"/>
        <v>61745.58</v>
      </c>
      <c r="L814" s="34" t="s">
        <v>28</v>
      </c>
      <c r="M814" s="35"/>
      <c r="N814" s="3">
        <v>1</v>
      </c>
      <c r="O814" s="21">
        <v>568.48</v>
      </c>
      <c r="P814" s="22" t="s">
        <v>533</v>
      </c>
      <c r="Q814" s="38"/>
      <c r="R814" s="38"/>
    </row>
    <row r="815" s="3" customFormat="1" ht="96" customHeight="1" outlineLevel="2" spans="1:18">
      <c r="A815" s="41">
        <f t="shared" si="114"/>
        <v>4</v>
      </c>
      <c r="B815" s="28" t="s">
        <v>237</v>
      </c>
      <c r="C815" s="28" t="s">
        <v>392</v>
      </c>
      <c r="D815" s="28" t="s">
        <v>47</v>
      </c>
      <c r="E815" s="28" t="s">
        <v>48</v>
      </c>
      <c r="F815" s="29" t="s">
        <v>27</v>
      </c>
      <c r="G815" s="30">
        <v>19.73</v>
      </c>
      <c r="H815" s="31">
        <v>411.58</v>
      </c>
      <c r="I815" s="39"/>
      <c r="J815" s="31">
        <f t="shared" si="115"/>
        <v>411.58</v>
      </c>
      <c r="K815" s="33">
        <f t="shared" si="116"/>
        <v>8120.47</v>
      </c>
      <c r="L815" s="34" t="s">
        <v>28</v>
      </c>
      <c r="M815" s="35"/>
      <c r="N815" s="3">
        <v>1</v>
      </c>
      <c r="O815" s="21">
        <v>208.45</v>
      </c>
      <c r="P815" s="22" t="s">
        <v>393</v>
      </c>
      <c r="Q815" s="38"/>
      <c r="R815" s="38"/>
    </row>
    <row r="816" s="3" customFormat="1" ht="96" customHeight="1" outlineLevel="2" spans="1:18">
      <c r="A816" s="41">
        <f t="shared" si="114"/>
        <v>5</v>
      </c>
      <c r="B816" s="28" t="s">
        <v>75</v>
      </c>
      <c r="C816" s="28" t="s">
        <v>76</v>
      </c>
      <c r="D816" s="28" t="s">
        <v>59</v>
      </c>
      <c r="E816" s="28" t="s">
        <v>38</v>
      </c>
      <c r="F816" s="29" t="s">
        <v>39</v>
      </c>
      <c r="G816" s="30">
        <v>27.04</v>
      </c>
      <c r="H816" s="31">
        <v>67.08</v>
      </c>
      <c r="I816" s="39"/>
      <c r="J816" s="31">
        <f t="shared" si="115"/>
        <v>67.08</v>
      </c>
      <c r="K816" s="33">
        <f t="shared" si="116"/>
        <v>1813.84</v>
      </c>
      <c r="L816" s="34" t="s">
        <v>28</v>
      </c>
      <c r="M816" s="35"/>
      <c r="N816" s="3">
        <v>1</v>
      </c>
      <c r="O816" s="21">
        <v>45.71</v>
      </c>
      <c r="P816" s="22" t="s">
        <v>77</v>
      </c>
      <c r="Q816" s="38"/>
      <c r="R816" s="38"/>
    </row>
    <row r="817" s="3" customFormat="1" ht="60" customHeight="1" outlineLevel="2" spans="1:18">
      <c r="A817" s="41">
        <f t="shared" si="114"/>
        <v>6</v>
      </c>
      <c r="B817" s="28" t="s">
        <v>311</v>
      </c>
      <c r="C817" s="28" t="s">
        <v>312</v>
      </c>
      <c r="D817" s="28" t="s">
        <v>98</v>
      </c>
      <c r="E817" s="28" t="s">
        <v>115</v>
      </c>
      <c r="F817" s="29" t="s">
        <v>27</v>
      </c>
      <c r="G817" s="30">
        <v>2.16</v>
      </c>
      <c r="H817" s="31">
        <v>630.65</v>
      </c>
      <c r="I817" s="39"/>
      <c r="J817" s="31">
        <f t="shared" si="115"/>
        <v>630.65</v>
      </c>
      <c r="K817" s="33">
        <f t="shared" si="116"/>
        <v>1362.2</v>
      </c>
      <c r="L817" s="34" t="s">
        <v>28</v>
      </c>
      <c r="M817" s="35"/>
      <c r="N817" s="3">
        <v>1</v>
      </c>
      <c r="O817" s="21">
        <v>681.67</v>
      </c>
      <c r="P817" s="22" t="s">
        <v>64</v>
      </c>
      <c r="Q817" s="38"/>
      <c r="R817" s="38"/>
    </row>
    <row r="818" s="3" customFormat="1" outlineLevel="1" spans="1:18">
      <c r="A818" s="40"/>
      <c r="B818" s="28" t="s">
        <v>90</v>
      </c>
      <c r="C818" s="28"/>
      <c r="D818" s="28"/>
      <c r="E818" s="28"/>
      <c r="F818" s="29"/>
      <c r="G818" s="30"/>
      <c r="H818" s="31"/>
      <c r="I818" s="39"/>
      <c r="J818" s="31"/>
      <c r="K818" s="33"/>
      <c r="L818" s="34"/>
      <c r="M818" s="35"/>
      <c r="O818" s="36"/>
      <c r="P818" s="37"/>
      <c r="Q818" s="38"/>
      <c r="R818" s="38"/>
    </row>
    <row r="819" s="3" customFormat="1" ht="168" customHeight="1" outlineLevel="2" spans="1:18">
      <c r="A819" s="41">
        <f t="shared" ref="A819:A825" si="117">1+N(A818)</f>
        <v>1</v>
      </c>
      <c r="B819" s="28" t="s">
        <v>91</v>
      </c>
      <c r="C819" s="28" t="s">
        <v>92</v>
      </c>
      <c r="D819" s="28" t="s">
        <v>93</v>
      </c>
      <c r="E819" s="28" t="s">
        <v>94</v>
      </c>
      <c r="F819" s="29" t="s">
        <v>27</v>
      </c>
      <c r="G819" s="30">
        <v>53.46</v>
      </c>
      <c r="H819" s="31">
        <v>174.57</v>
      </c>
      <c r="I819" s="39"/>
      <c r="J819" s="31">
        <f t="shared" ref="J819:J825" si="118">H819*(1-$I$4)</f>
        <v>174.57</v>
      </c>
      <c r="K819" s="33">
        <f t="shared" ref="K819:K825" si="119">ROUND(G819*J819,2)</f>
        <v>9332.51</v>
      </c>
      <c r="L819" s="34" t="s">
        <v>28</v>
      </c>
      <c r="M819" s="35"/>
      <c r="N819" s="3">
        <v>1</v>
      </c>
      <c r="O819" s="21">
        <v>150.38</v>
      </c>
      <c r="P819" s="22" t="s">
        <v>95</v>
      </c>
      <c r="Q819" s="38"/>
      <c r="R819" s="38"/>
    </row>
    <row r="820" s="3" customFormat="1" ht="156" customHeight="1" outlineLevel="2" spans="1:18">
      <c r="A820" s="41">
        <f t="shared" si="117"/>
        <v>2</v>
      </c>
      <c r="B820" s="28" t="s">
        <v>534</v>
      </c>
      <c r="C820" s="28" t="s">
        <v>535</v>
      </c>
      <c r="D820" s="28" t="s">
        <v>353</v>
      </c>
      <c r="E820" s="28" t="s">
        <v>354</v>
      </c>
      <c r="F820" s="29" t="s">
        <v>27</v>
      </c>
      <c r="G820" s="30">
        <v>3.3</v>
      </c>
      <c r="H820" s="31">
        <v>573.19</v>
      </c>
      <c r="I820" s="39"/>
      <c r="J820" s="31">
        <f t="shared" si="118"/>
        <v>573.19</v>
      </c>
      <c r="K820" s="33">
        <f t="shared" si="119"/>
        <v>1891.53</v>
      </c>
      <c r="L820" s="34" t="s">
        <v>28</v>
      </c>
      <c r="M820" s="35"/>
      <c r="N820" s="3">
        <v>1</v>
      </c>
      <c r="O820" s="21">
        <v>666.05</v>
      </c>
      <c r="P820" s="22" t="s">
        <v>536</v>
      </c>
      <c r="Q820" s="38"/>
      <c r="R820" s="38"/>
    </row>
    <row r="821" s="3" customFormat="1" ht="48" customHeight="1" outlineLevel="2" spans="1:18">
      <c r="A821" s="41">
        <f t="shared" si="117"/>
        <v>3</v>
      </c>
      <c r="B821" s="28" t="s">
        <v>96</v>
      </c>
      <c r="C821" s="28" t="s">
        <v>97</v>
      </c>
      <c r="D821" s="28" t="s">
        <v>98</v>
      </c>
      <c r="E821" s="28" t="s">
        <v>99</v>
      </c>
      <c r="F821" s="29" t="s">
        <v>39</v>
      </c>
      <c r="G821" s="30">
        <v>19.08</v>
      </c>
      <c r="H821" s="31">
        <v>112.16</v>
      </c>
      <c r="I821" s="39"/>
      <c r="J821" s="31">
        <f t="shared" si="118"/>
        <v>112.16</v>
      </c>
      <c r="K821" s="33">
        <f t="shared" si="119"/>
        <v>2140.01</v>
      </c>
      <c r="L821" s="34" t="s">
        <v>28</v>
      </c>
      <c r="M821" s="35"/>
      <c r="N821" s="3">
        <v>1</v>
      </c>
      <c r="O821" s="21">
        <v>79.3</v>
      </c>
      <c r="P821" s="22" t="s">
        <v>100</v>
      </c>
      <c r="Q821" s="38"/>
      <c r="R821" s="38"/>
    </row>
    <row r="822" s="3" customFormat="1" ht="48" customHeight="1" outlineLevel="2" spans="1:18">
      <c r="A822" s="41">
        <f t="shared" si="117"/>
        <v>4</v>
      </c>
      <c r="B822" s="28" t="s">
        <v>101</v>
      </c>
      <c r="C822" s="28" t="s">
        <v>102</v>
      </c>
      <c r="D822" s="28" t="s">
        <v>98</v>
      </c>
      <c r="E822" s="28" t="s">
        <v>99</v>
      </c>
      <c r="F822" s="29" t="s">
        <v>39</v>
      </c>
      <c r="G822" s="30">
        <v>19.08</v>
      </c>
      <c r="H822" s="31">
        <v>75.82</v>
      </c>
      <c r="I822" s="39"/>
      <c r="J822" s="31">
        <f t="shared" si="118"/>
        <v>75.82</v>
      </c>
      <c r="K822" s="33">
        <f t="shared" si="119"/>
        <v>1446.65</v>
      </c>
      <c r="L822" s="34" t="s">
        <v>28</v>
      </c>
      <c r="M822" s="35"/>
      <c r="N822" s="3">
        <v>1</v>
      </c>
      <c r="O822" s="21">
        <v>203.56</v>
      </c>
      <c r="P822" s="22" t="s">
        <v>103</v>
      </c>
      <c r="Q822" s="38"/>
      <c r="R822" s="38"/>
    </row>
    <row r="823" s="3" customFormat="1" ht="60" customHeight="1" outlineLevel="2" spans="1:18">
      <c r="A823" s="41">
        <f t="shared" si="117"/>
        <v>5</v>
      </c>
      <c r="B823" s="28" t="s">
        <v>356</v>
      </c>
      <c r="C823" s="28" t="s">
        <v>357</v>
      </c>
      <c r="D823" s="28" t="s">
        <v>98</v>
      </c>
      <c r="E823" s="28" t="s">
        <v>99</v>
      </c>
      <c r="F823" s="29" t="s">
        <v>39</v>
      </c>
      <c r="G823" s="30">
        <v>6.95</v>
      </c>
      <c r="H823" s="31">
        <v>123.19</v>
      </c>
      <c r="I823" s="39"/>
      <c r="J823" s="31">
        <f t="shared" si="118"/>
        <v>123.19</v>
      </c>
      <c r="K823" s="33">
        <f t="shared" si="119"/>
        <v>856.17</v>
      </c>
      <c r="L823" s="34" t="s">
        <v>28</v>
      </c>
      <c r="M823" s="35"/>
      <c r="N823" s="3">
        <v>1</v>
      </c>
      <c r="O823" s="21">
        <v>93.14</v>
      </c>
      <c r="P823" s="22" t="s">
        <v>358</v>
      </c>
      <c r="Q823" s="38"/>
      <c r="R823" s="38"/>
    </row>
    <row r="824" s="3" customFormat="1" ht="48" customHeight="1" outlineLevel="2" spans="1:18">
      <c r="A824" s="41">
        <f t="shared" si="117"/>
        <v>6</v>
      </c>
      <c r="B824" s="28" t="s">
        <v>104</v>
      </c>
      <c r="C824" s="28" t="s">
        <v>105</v>
      </c>
      <c r="D824" s="28" t="s">
        <v>98</v>
      </c>
      <c r="E824" s="28" t="s">
        <v>99</v>
      </c>
      <c r="F824" s="29" t="s">
        <v>39</v>
      </c>
      <c r="G824" s="30">
        <v>4.1</v>
      </c>
      <c r="H824" s="31">
        <v>109.74</v>
      </c>
      <c r="I824" s="39"/>
      <c r="J824" s="31">
        <f t="shared" si="118"/>
        <v>109.74</v>
      </c>
      <c r="K824" s="33">
        <f t="shared" si="119"/>
        <v>449.93</v>
      </c>
      <c r="L824" s="34" t="s">
        <v>28</v>
      </c>
      <c r="M824" s="35"/>
      <c r="N824" s="3">
        <v>1</v>
      </c>
      <c r="O824" s="21">
        <v>108.2</v>
      </c>
      <c r="P824" s="22" t="s">
        <v>106</v>
      </c>
      <c r="Q824" s="38"/>
      <c r="R824" s="38"/>
    </row>
    <row r="825" s="3" customFormat="1" ht="132" customHeight="1" outlineLevel="2" spans="1:18">
      <c r="A825" s="41">
        <f t="shared" si="117"/>
        <v>7</v>
      </c>
      <c r="B825" s="28" t="s">
        <v>107</v>
      </c>
      <c r="C825" s="28" t="s">
        <v>108</v>
      </c>
      <c r="D825" s="28" t="s">
        <v>109</v>
      </c>
      <c r="E825" s="28" t="s">
        <v>110</v>
      </c>
      <c r="F825" s="29" t="s">
        <v>27</v>
      </c>
      <c r="G825" s="30">
        <v>61.97</v>
      </c>
      <c r="H825" s="31">
        <v>152.22</v>
      </c>
      <c r="I825" s="39"/>
      <c r="J825" s="31">
        <f t="shared" si="118"/>
        <v>152.22</v>
      </c>
      <c r="K825" s="33">
        <f t="shared" si="119"/>
        <v>9433.07</v>
      </c>
      <c r="L825" s="34" t="s">
        <v>28</v>
      </c>
      <c r="M825" s="35"/>
      <c r="N825" s="3">
        <v>1</v>
      </c>
      <c r="O825" s="21">
        <v>151.58</v>
      </c>
      <c r="P825" s="22" t="s">
        <v>111</v>
      </c>
      <c r="Q825" s="38"/>
      <c r="R825" s="38"/>
    </row>
    <row r="826" s="3" customFormat="1" outlineLevel="1" spans="1:18">
      <c r="A826" s="40"/>
      <c r="B826" s="28" t="s">
        <v>112</v>
      </c>
      <c r="C826" s="28"/>
      <c r="D826" s="28"/>
      <c r="E826" s="28"/>
      <c r="F826" s="29"/>
      <c r="G826" s="30"/>
      <c r="H826" s="31"/>
      <c r="I826" s="39"/>
      <c r="J826" s="31"/>
      <c r="K826" s="33"/>
      <c r="L826" s="34"/>
      <c r="M826" s="35"/>
      <c r="O826" s="36"/>
      <c r="P826" s="37"/>
      <c r="Q826" s="38"/>
      <c r="R826" s="38"/>
    </row>
    <row r="827" s="3" customFormat="1" ht="84" customHeight="1" outlineLevel="2" spans="1:18">
      <c r="A827" s="41">
        <f t="shared" ref="A827:A833" si="120">1+N(A826)</f>
        <v>1</v>
      </c>
      <c r="B827" s="28" t="s">
        <v>537</v>
      </c>
      <c r="C827" s="28" t="s">
        <v>538</v>
      </c>
      <c r="D827" s="28" t="s">
        <v>98</v>
      </c>
      <c r="E827" s="28" t="s">
        <v>115</v>
      </c>
      <c r="F827" s="29" t="s">
        <v>27</v>
      </c>
      <c r="G827" s="30">
        <v>6.7</v>
      </c>
      <c r="H827" s="31">
        <v>5625.28</v>
      </c>
      <c r="I827" s="39"/>
      <c r="J827" s="31">
        <f t="shared" ref="J827:J833" si="121">H827*(1-$I$4)</f>
        <v>5625.28</v>
      </c>
      <c r="K827" s="33">
        <f t="shared" ref="K827:K833" si="122">ROUND(G827*J827,2)</f>
        <v>37689.38</v>
      </c>
      <c r="L827" s="34" t="s">
        <v>28</v>
      </c>
      <c r="M827" s="35"/>
      <c r="N827" s="3">
        <v>1</v>
      </c>
      <c r="O827" s="21">
        <v>2559.15</v>
      </c>
      <c r="P827" s="22" t="s">
        <v>503</v>
      </c>
      <c r="Q827" s="38"/>
      <c r="R827" s="38"/>
    </row>
    <row r="828" s="3" customFormat="1" ht="72" customHeight="1" outlineLevel="2" spans="1:18">
      <c r="A828" s="41">
        <f t="shared" si="120"/>
        <v>2</v>
      </c>
      <c r="B828" s="28" t="s">
        <v>539</v>
      </c>
      <c r="C828" s="28" t="s">
        <v>540</v>
      </c>
      <c r="D828" s="28" t="s">
        <v>98</v>
      </c>
      <c r="E828" s="28" t="s">
        <v>115</v>
      </c>
      <c r="F828" s="29" t="s">
        <v>27</v>
      </c>
      <c r="G828" s="30">
        <v>2.83</v>
      </c>
      <c r="H828" s="31">
        <v>2557.51</v>
      </c>
      <c r="I828" s="39"/>
      <c r="J828" s="31">
        <f t="shared" si="121"/>
        <v>2557.51</v>
      </c>
      <c r="K828" s="33">
        <f t="shared" si="122"/>
        <v>7237.75</v>
      </c>
      <c r="L828" s="34" t="s">
        <v>28</v>
      </c>
      <c r="M828" s="35"/>
      <c r="N828" s="3">
        <v>1</v>
      </c>
      <c r="O828" s="21">
        <v>1675.85</v>
      </c>
      <c r="P828" s="22" t="s">
        <v>541</v>
      </c>
      <c r="Q828" s="38"/>
      <c r="R828" s="38"/>
    </row>
    <row r="829" s="3" customFormat="1" ht="84" customHeight="1" outlineLevel="2" spans="1:18">
      <c r="A829" s="41">
        <f t="shared" si="120"/>
        <v>3</v>
      </c>
      <c r="B829" s="28" t="s">
        <v>542</v>
      </c>
      <c r="C829" s="28" t="s">
        <v>398</v>
      </c>
      <c r="D829" s="28" t="s">
        <v>98</v>
      </c>
      <c r="E829" s="28" t="s">
        <v>115</v>
      </c>
      <c r="F829" s="29" t="s">
        <v>27</v>
      </c>
      <c r="G829" s="30">
        <v>3.4</v>
      </c>
      <c r="H829" s="31">
        <v>2447.18</v>
      </c>
      <c r="I829" s="39"/>
      <c r="J829" s="31">
        <f t="shared" si="121"/>
        <v>2447.18</v>
      </c>
      <c r="K829" s="33">
        <f t="shared" si="122"/>
        <v>8320.41</v>
      </c>
      <c r="L829" s="34" t="s">
        <v>28</v>
      </c>
      <c r="M829" s="35"/>
      <c r="N829" s="3">
        <v>1</v>
      </c>
      <c r="O829" s="21">
        <v>1675.85</v>
      </c>
      <c r="P829" s="22" t="s">
        <v>543</v>
      </c>
      <c r="Q829" s="38"/>
      <c r="R829" s="38"/>
    </row>
    <row r="830" s="3" customFormat="1" ht="72" customHeight="1" outlineLevel="2" spans="1:18">
      <c r="A830" s="41">
        <f t="shared" si="120"/>
        <v>4</v>
      </c>
      <c r="B830" s="28" t="s">
        <v>148</v>
      </c>
      <c r="C830" s="28" t="s">
        <v>149</v>
      </c>
      <c r="D830" s="28" t="s">
        <v>98</v>
      </c>
      <c r="E830" s="28" t="s">
        <v>115</v>
      </c>
      <c r="F830" s="29" t="s">
        <v>27</v>
      </c>
      <c r="G830" s="30">
        <v>9.92</v>
      </c>
      <c r="H830" s="31">
        <v>3211.49</v>
      </c>
      <c r="I830" s="39"/>
      <c r="J830" s="31">
        <f t="shared" si="121"/>
        <v>3211.49</v>
      </c>
      <c r="K830" s="33">
        <f t="shared" si="122"/>
        <v>31857.98</v>
      </c>
      <c r="L830" s="34" t="s">
        <v>28</v>
      </c>
      <c r="M830" s="35"/>
      <c r="N830" s="3">
        <v>1</v>
      </c>
      <c r="O830" s="21">
        <v>2636.15</v>
      </c>
      <c r="P830" s="22" t="s">
        <v>150</v>
      </c>
      <c r="Q830" s="38"/>
      <c r="R830" s="38"/>
    </row>
    <row r="831" s="3" customFormat="1" ht="84" customHeight="1" outlineLevel="2" spans="1:18">
      <c r="A831" s="41">
        <f t="shared" si="120"/>
        <v>5</v>
      </c>
      <c r="B831" s="28" t="s">
        <v>544</v>
      </c>
      <c r="C831" s="28" t="s">
        <v>545</v>
      </c>
      <c r="D831" s="28" t="s">
        <v>98</v>
      </c>
      <c r="E831" s="28" t="s">
        <v>115</v>
      </c>
      <c r="F831" s="29" t="s">
        <v>27</v>
      </c>
      <c r="G831" s="30">
        <v>4.76</v>
      </c>
      <c r="H831" s="31">
        <v>3160.51</v>
      </c>
      <c r="I831" s="39"/>
      <c r="J831" s="31">
        <f t="shared" si="121"/>
        <v>3160.51</v>
      </c>
      <c r="K831" s="33">
        <f t="shared" si="122"/>
        <v>15044.03</v>
      </c>
      <c r="L831" s="34" t="s">
        <v>28</v>
      </c>
      <c r="M831" s="35"/>
      <c r="N831" s="3">
        <v>1</v>
      </c>
      <c r="O831" s="21">
        <v>1504.25</v>
      </c>
      <c r="P831" s="22" t="s">
        <v>546</v>
      </c>
      <c r="Q831" s="38"/>
      <c r="R831" s="38"/>
    </row>
    <row r="832" s="3" customFormat="1" ht="96" customHeight="1" outlineLevel="2" spans="1:18">
      <c r="A832" s="41">
        <f t="shared" si="120"/>
        <v>6</v>
      </c>
      <c r="B832" s="28" t="s">
        <v>547</v>
      </c>
      <c r="C832" s="28" t="s">
        <v>548</v>
      </c>
      <c r="D832" s="28" t="s">
        <v>98</v>
      </c>
      <c r="E832" s="28" t="s">
        <v>115</v>
      </c>
      <c r="F832" s="29" t="s">
        <v>27</v>
      </c>
      <c r="G832" s="30">
        <v>2.23</v>
      </c>
      <c r="H832" s="31">
        <v>2548.8</v>
      </c>
      <c r="I832" s="39"/>
      <c r="J832" s="31">
        <f t="shared" si="121"/>
        <v>2548.8</v>
      </c>
      <c r="K832" s="33">
        <f t="shared" si="122"/>
        <v>5683.82</v>
      </c>
      <c r="L832" s="34" t="s">
        <v>28</v>
      </c>
      <c r="M832" s="35"/>
      <c r="N832" s="3">
        <v>1</v>
      </c>
      <c r="O832" s="21">
        <v>2406.25</v>
      </c>
      <c r="P832" s="22" t="s">
        <v>549</v>
      </c>
      <c r="Q832" s="38"/>
      <c r="R832" s="38"/>
    </row>
    <row r="833" s="3" customFormat="1" ht="96" customHeight="1" outlineLevel="2" spans="1:18">
      <c r="A833" s="41">
        <f t="shared" si="120"/>
        <v>7</v>
      </c>
      <c r="B833" s="28" t="s">
        <v>550</v>
      </c>
      <c r="C833" s="28" t="s">
        <v>551</v>
      </c>
      <c r="D833" s="28" t="s">
        <v>98</v>
      </c>
      <c r="E833" s="28" t="s">
        <v>115</v>
      </c>
      <c r="F833" s="29" t="s">
        <v>39</v>
      </c>
      <c r="G833" s="30">
        <v>1.64</v>
      </c>
      <c r="H833" s="31">
        <v>3283.87</v>
      </c>
      <c r="I833" s="39"/>
      <c r="J833" s="31">
        <f t="shared" si="121"/>
        <v>3283.87</v>
      </c>
      <c r="K833" s="33">
        <f t="shared" si="122"/>
        <v>5385.55</v>
      </c>
      <c r="L833" s="34" t="s">
        <v>28</v>
      </c>
      <c r="M833" s="35"/>
      <c r="N833" s="3">
        <v>1</v>
      </c>
      <c r="O833" s="21">
        <v>1519.65</v>
      </c>
      <c r="P833" s="22" t="s">
        <v>552</v>
      </c>
      <c r="Q833" s="38"/>
      <c r="R833" s="38"/>
    </row>
    <row r="834" s="3" customFormat="1" outlineLevel="1" spans="1:18">
      <c r="A834" s="27" t="s">
        <v>553</v>
      </c>
      <c r="B834" s="28" t="s">
        <v>554</v>
      </c>
      <c r="C834" s="28"/>
      <c r="D834" s="28"/>
      <c r="E834" s="28"/>
      <c r="F834" s="29"/>
      <c r="G834" s="30"/>
      <c r="H834" s="31"/>
      <c r="I834" s="39"/>
      <c r="J834" s="31"/>
      <c r="K834" s="33"/>
      <c r="L834" s="34"/>
      <c r="M834" s="35"/>
      <c r="O834" s="36"/>
      <c r="P834" s="37"/>
      <c r="Q834" s="38"/>
      <c r="R834" s="38"/>
    </row>
    <row r="835" s="3" customFormat="1" outlineLevel="1" spans="1:18">
      <c r="A835" s="40"/>
      <c r="B835" s="28" t="s">
        <v>22</v>
      </c>
      <c r="C835" s="28"/>
      <c r="D835" s="28"/>
      <c r="E835" s="28"/>
      <c r="F835" s="29"/>
      <c r="G835" s="30"/>
      <c r="H835" s="31"/>
      <c r="I835" s="39"/>
      <c r="J835" s="31"/>
      <c r="K835" s="33"/>
      <c r="L835" s="34"/>
      <c r="M835" s="35"/>
      <c r="O835" s="36"/>
      <c r="P835" s="37"/>
      <c r="Q835" s="38"/>
      <c r="R835" s="38"/>
    </row>
    <row r="836" s="3" customFormat="1" ht="108" customHeight="1" outlineLevel="2" spans="1:18">
      <c r="A836" s="41">
        <f t="shared" ref="A836:A841" si="123">1+N(A835)</f>
        <v>1</v>
      </c>
      <c r="B836" s="28" t="s">
        <v>219</v>
      </c>
      <c r="C836" s="28" t="s">
        <v>220</v>
      </c>
      <c r="D836" s="28" t="s">
        <v>221</v>
      </c>
      <c r="E836" s="28" t="s">
        <v>222</v>
      </c>
      <c r="F836" s="29" t="s">
        <v>27</v>
      </c>
      <c r="G836" s="30">
        <v>6.6</v>
      </c>
      <c r="H836" s="31">
        <v>155.95</v>
      </c>
      <c r="I836" s="39"/>
      <c r="J836" s="31">
        <f t="shared" ref="J836:J841" si="124">H836*(1-$I$4)</f>
        <v>155.95</v>
      </c>
      <c r="K836" s="33">
        <f t="shared" ref="K836:K841" si="125">ROUND(G836*J836,2)</f>
        <v>1029.27</v>
      </c>
      <c r="L836" s="34" t="s">
        <v>28</v>
      </c>
      <c r="M836" s="35"/>
      <c r="N836" s="3">
        <v>1</v>
      </c>
      <c r="O836" s="21">
        <v>95.61</v>
      </c>
      <c r="P836" s="22" t="s">
        <v>223</v>
      </c>
      <c r="Q836" s="38"/>
      <c r="R836" s="38"/>
    </row>
    <row r="837" s="3" customFormat="1" ht="156" customHeight="1" outlineLevel="2" spans="1:18">
      <c r="A837" s="41">
        <f t="shared" si="123"/>
        <v>2</v>
      </c>
      <c r="B837" s="28" t="s">
        <v>224</v>
      </c>
      <c r="C837" s="28" t="s">
        <v>225</v>
      </c>
      <c r="D837" s="28" t="s">
        <v>194</v>
      </c>
      <c r="E837" s="28" t="s">
        <v>195</v>
      </c>
      <c r="F837" s="29" t="s">
        <v>27</v>
      </c>
      <c r="G837" s="30">
        <v>6.6</v>
      </c>
      <c r="H837" s="31">
        <v>50.86</v>
      </c>
      <c r="I837" s="39"/>
      <c r="J837" s="31">
        <f t="shared" si="124"/>
        <v>50.86</v>
      </c>
      <c r="K837" s="33">
        <f t="shared" si="125"/>
        <v>335.68</v>
      </c>
      <c r="L837" s="34" t="s">
        <v>28</v>
      </c>
      <c r="M837" s="35"/>
      <c r="N837" s="3">
        <v>1</v>
      </c>
      <c r="O837" s="21">
        <v>33.77</v>
      </c>
      <c r="P837" s="22" t="s">
        <v>226</v>
      </c>
      <c r="Q837" s="38"/>
      <c r="R837" s="38"/>
    </row>
    <row r="838" s="3" customFormat="1" ht="84" customHeight="1" outlineLevel="2" spans="1:18">
      <c r="A838" s="41">
        <f t="shared" si="123"/>
        <v>3</v>
      </c>
      <c r="B838" s="28" t="s">
        <v>227</v>
      </c>
      <c r="C838" s="28" t="s">
        <v>228</v>
      </c>
      <c r="D838" s="28" t="s">
        <v>229</v>
      </c>
      <c r="E838" s="28" t="s">
        <v>230</v>
      </c>
      <c r="F838" s="29" t="s">
        <v>27</v>
      </c>
      <c r="G838" s="30">
        <v>6.6</v>
      </c>
      <c r="H838" s="31">
        <v>17.7</v>
      </c>
      <c r="I838" s="39"/>
      <c r="J838" s="31">
        <f t="shared" si="124"/>
        <v>17.7</v>
      </c>
      <c r="K838" s="33">
        <f t="shared" si="125"/>
        <v>116.82</v>
      </c>
      <c r="L838" s="34" t="s">
        <v>28</v>
      </c>
      <c r="M838" s="35"/>
      <c r="N838" s="3">
        <v>1</v>
      </c>
      <c r="O838" s="21">
        <v>68.4</v>
      </c>
      <c r="P838" s="22" t="s">
        <v>231</v>
      </c>
      <c r="Q838" s="38"/>
      <c r="R838" s="38"/>
    </row>
    <row r="839" s="3" customFormat="1" ht="120" customHeight="1" outlineLevel="2" spans="1:18">
      <c r="A839" s="41">
        <f t="shared" si="123"/>
        <v>4</v>
      </c>
      <c r="B839" s="28" t="s">
        <v>232</v>
      </c>
      <c r="C839" s="28" t="s">
        <v>233</v>
      </c>
      <c r="D839" s="28" t="s">
        <v>234</v>
      </c>
      <c r="E839" s="28" t="s">
        <v>235</v>
      </c>
      <c r="F839" s="29" t="s">
        <v>27</v>
      </c>
      <c r="G839" s="30">
        <v>6.6</v>
      </c>
      <c r="H839" s="31">
        <v>55.87</v>
      </c>
      <c r="I839" s="39"/>
      <c r="J839" s="31">
        <f t="shared" si="124"/>
        <v>55.87</v>
      </c>
      <c r="K839" s="33">
        <f t="shared" si="125"/>
        <v>368.74</v>
      </c>
      <c r="L839" s="34" t="s">
        <v>28</v>
      </c>
      <c r="M839" s="35"/>
      <c r="N839" s="3">
        <v>1</v>
      </c>
      <c r="O839" s="21">
        <v>94.38</v>
      </c>
      <c r="P839" s="22" t="s">
        <v>236</v>
      </c>
      <c r="Q839" s="38"/>
      <c r="R839" s="38"/>
    </row>
    <row r="840" s="3" customFormat="1" ht="108" customHeight="1" outlineLevel="2" spans="1:18">
      <c r="A840" s="41">
        <f t="shared" si="123"/>
        <v>5</v>
      </c>
      <c r="B840" s="28" t="s">
        <v>524</v>
      </c>
      <c r="C840" s="28" t="s">
        <v>525</v>
      </c>
      <c r="D840" s="28" t="s">
        <v>25</v>
      </c>
      <c r="E840" s="28" t="s">
        <v>26</v>
      </c>
      <c r="F840" s="29" t="s">
        <v>27</v>
      </c>
      <c r="G840" s="30">
        <v>6.6</v>
      </c>
      <c r="H840" s="31">
        <v>880.73</v>
      </c>
      <c r="I840" s="39"/>
      <c r="J840" s="31">
        <f t="shared" si="124"/>
        <v>880.73</v>
      </c>
      <c r="K840" s="33">
        <f t="shared" si="125"/>
        <v>5812.82</v>
      </c>
      <c r="L840" s="34" t="s">
        <v>28</v>
      </c>
      <c r="M840" s="35"/>
      <c r="N840" s="3">
        <v>1</v>
      </c>
      <c r="O840" s="21">
        <v>1214.84</v>
      </c>
      <c r="P840" s="22" t="s">
        <v>526</v>
      </c>
      <c r="Q840" s="38"/>
      <c r="R840" s="38"/>
    </row>
    <row r="841" s="3" customFormat="1" ht="72" customHeight="1" outlineLevel="2" spans="1:18">
      <c r="A841" s="41">
        <f t="shared" si="123"/>
        <v>6</v>
      </c>
      <c r="B841" s="28" t="s">
        <v>41</v>
      </c>
      <c r="C841" s="28" t="s">
        <v>42</v>
      </c>
      <c r="D841" s="28" t="s">
        <v>25</v>
      </c>
      <c r="E841" s="28" t="s">
        <v>26</v>
      </c>
      <c r="F841" s="29" t="s">
        <v>27</v>
      </c>
      <c r="G841" s="30">
        <v>6.6</v>
      </c>
      <c r="H841" s="31">
        <v>64.9</v>
      </c>
      <c r="I841" s="39"/>
      <c r="J841" s="31">
        <f t="shared" si="124"/>
        <v>64.9</v>
      </c>
      <c r="K841" s="33">
        <f t="shared" si="125"/>
        <v>428.34</v>
      </c>
      <c r="L841" s="34" t="s">
        <v>28</v>
      </c>
      <c r="M841" s="35"/>
      <c r="N841" s="3">
        <v>1</v>
      </c>
      <c r="O841" s="21">
        <v>61.38</v>
      </c>
      <c r="P841" s="22" t="s">
        <v>43</v>
      </c>
      <c r="Q841" s="38"/>
      <c r="R841" s="38"/>
    </row>
    <row r="842" s="3" customFormat="1" outlineLevel="1" spans="1:18">
      <c r="A842" s="40"/>
      <c r="B842" s="28" t="s">
        <v>44</v>
      </c>
      <c r="C842" s="28"/>
      <c r="D842" s="28"/>
      <c r="E842" s="28"/>
      <c r="F842" s="29"/>
      <c r="G842" s="30"/>
      <c r="H842" s="31"/>
      <c r="I842" s="39"/>
      <c r="J842" s="31"/>
      <c r="K842" s="33"/>
      <c r="L842" s="34"/>
      <c r="M842" s="35"/>
      <c r="O842" s="36"/>
      <c r="P842" s="37"/>
      <c r="Q842" s="38"/>
      <c r="R842" s="38"/>
    </row>
    <row r="843" s="3" customFormat="1" ht="156" customHeight="1" outlineLevel="2" spans="1:18">
      <c r="A843" s="41">
        <f t="shared" ref="A843:A850" si="126">1+N(A842)</f>
        <v>1</v>
      </c>
      <c r="B843" s="28" t="s">
        <v>50</v>
      </c>
      <c r="C843" s="28" t="s">
        <v>338</v>
      </c>
      <c r="D843" s="28" t="s">
        <v>52</v>
      </c>
      <c r="E843" s="28" t="s">
        <v>48</v>
      </c>
      <c r="F843" s="29" t="s">
        <v>27</v>
      </c>
      <c r="G843" s="30">
        <v>8.93</v>
      </c>
      <c r="H843" s="31">
        <v>851.9</v>
      </c>
      <c r="I843" s="39"/>
      <c r="J843" s="31">
        <f t="shared" ref="J843:J850" si="127">H843*(1-$I$4)</f>
        <v>851.9</v>
      </c>
      <c r="K843" s="33">
        <f t="shared" ref="K843:K850" si="128">ROUND(G843*J843,2)</f>
        <v>7607.47</v>
      </c>
      <c r="L843" s="34" t="s">
        <v>28</v>
      </c>
      <c r="M843" s="35"/>
      <c r="N843" s="3">
        <v>1</v>
      </c>
      <c r="O843" s="21">
        <v>1029.66</v>
      </c>
      <c r="P843" s="22" t="s">
        <v>490</v>
      </c>
      <c r="Q843" s="38"/>
      <c r="R843" s="38"/>
    </row>
    <row r="844" s="3" customFormat="1" ht="120" customHeight="1" outlineLevel="2" spans="1:18">
      <c r="A844" s="41">
        <f t="shared" si="126"/>
        <v>2</v>
      </c>
      <c r="B844" s="28" t="s">
        <v>342</v>
      </c>
      <c r="C844" s="28" t="s">
        <v>343</v>
      </c>
      <c r="D844" s="28" t="s">
        <v>52</v>
      </c>
      <c r="E844" s="28" t="s">
        <v>63</v>
      </c>
      <c r="F844" s="29" t="s">
        <v>27</v>
      </c>
      <c r="G844" s="30">
        <v>7.01</v>
      </c>
      <c r="H844" s="31">
        <v>848.42</v>
      </c>
      <c r="I844" s="39"/>
      <c r="J844" s="31">
        <f t="shared" si="127"/>
        <v>848.42</v>
      </c>
      <c r="K844" s="33">
        <f t="shared" si="128"/>
        <v>5947.42</v>
      </c>
      <c r="L844" s="34" t="s">
        <v>28</v>
      </c>
      <c r="M844" s="35"/>
      <c r="N844" s="3">
        <v>1</v>
      </c>
      <c r="O844" s="21">
        <v>1670.19</v>
      </c>
      <c r="P844" s="22" t="s">
        <v>370</v>
      </c>
      <c r="Q844" s="38"/>
      <c r="R844" s="38"/>
    </row>
    <row r="845" s="3" customFormat="1" ht="96" customHeight="1" outlineLevel="2" spans="1:18">
      <c r="A845" s="41">
        <f t="shared" si="126"/>
        <v>3</v>
      </c>
      <c r="B845" s="28" t="s">
        <v>205</v>
      </c>
      <c r="C845" s="28" t="s">
        <v>345</v>
      </c>
      <c r="D845" s="28" t="s">
        <v>59</v>
      </c>
      <c r="E845" s="28" t="s">
        <v>207</v>
      </c>
      <c r="F845" s="29" t="s">
        <v>27</v>
      </c>
      <c r="G845" s="30">
        <v>9.18</v>
      </c>
      <c r="H845" s="31">
        <v>400.61</v>
      </c>
      <c r="I845" s="39"/>
      <c r="J845" s="31">
        <f t="shared" si="127"/>
        <v>400.61</v>
      </c>
      <c r="K845" s="33">
        <f t="shared" si="128"/>
        <v>3677.6</v>
      </c>
      <c r="L845" s="34" t="s">
        <v>28</v>
      </c>
      <c r="M845" s="35"/>
      <c r="N845" s="3">
        <v>1</v>
      </c>
      <c r="O845" s="21">
        <v>356.29</v>
      </c>
      <c r="P845" s="22" t="s">
        <v>419</v>
      </c>
      <c r="Q845" s="38"/>
      <c r="R845" s="38"/>
    </row>
    <row r="846" s="3" customFormat="1" ht="96" customHeight="1" outlineLevel="2" spans="1:18">
      <c r="A846" s="41">
        <f t="shared" si="126"/>
        <v>4</v>
      </c>
      <c r="B846" s="28" t="s">
        <v>555</v>
      </c>
      <c r="C846" s="28" t="s">
        <v>556</v>
      </c>
      <c r="D846" s="28" t="s">
        <v>59</v>
      </c>
      <c r="E846" s="28" t="s">
        <v>390</v>
      </c>
      <c r="F846" s="29" t="s">
        <v>27</v>
      </c>
      <c r="G846" s="30">
        <v>14.63</v>
      </c>
      <c r="H846" s="31">
        <v>674.1</v>
      </c>
      <c r="I846" s="39"/>
      <c r="J846" s="31">
        <f t="shared" si="127"/>
        <v>674.1</v>
      </c>
      <c r="K846" s="33">
        <f t="shared" si="128"/>
        <v>9862.08</v>
      </c>
      <c r="L846" s="34" t="s">
        <v>28</v>
      </c>
      <c r="M846" s="35"/>
      <c r="N846" s="3">
        <v>1</v>
      </c>
      <c r="O846" s="21">
        <v>650.32</v>
      </c>
      <c r="P846" s="22" t="s">
        <v>557</v>
      </c>
      <c r="Q846" s="38"/>
      <c r="R846" s="38"/>
    </row>
    <row r="847" s="3" customFormat="1" ht="120" customHeight="1" outlineLevel="2" spans="1:18">
      <c r="A847" s="41">
        <f t="shared" si="126"/>
        <v>5</v>
      </c>
      <c r="B847" s="28" t="s">
        <v>240</v>
      </c>
      <c r="C847" s="28" t="s">
        <v>241</v>
      </c>
      <c r="D847" s="28" t="s">
        <v>234</v>
      </c>
      <c r="E847" s="28" t="s">
        <v>235</v>
      </c>
      <c r="F847" s="29" t="s">
        <v>27</v>
      </c>
      <c r="G847" s="30">
        <v>41.1</v>
      </c>
      <c r="H847" s="31">
        <v>55.87</v>
      </c>
      <c r="I847" s="39"/>
      <c r="J847" s="31">
        <f t="shared" si="127"/>
        <v>55.87</v>
      </c>
      <c r="K847" s="33">
        <f t="shared" si="128"/>
        <v>2296.26</v>
      </c>
      <c r="L847" s="34" t="s">
        <v>28</v>
      </c>
      <c r="M847" s="35"/>
      <c r="N847" s="3">
        <v>1</v>
      </c>
      <c r="O847" s="21">
        <v>45.13</v>
      </c>
      <c r="P847" s="22" t="s">
        <v>242</v>
      </c>
      <c r="Q847" s="38"/>
      <c r="R847" s="38"/>
    </row>
    <row r="848" s="3" customFormat="1" ht="120" customHeight="1" outlineLevel="2" spans="1:18">
      <c r="A848" s="41">
        <f t="shared" si="126"/>
        <v>6</v>
      </c>
      <c r="B848" s="28" t="s">
        <v>61</v>
      </c>
      <c r="C848" s="28" t="s">
        <v>62</v>
      </c>
      <c r="D848" s="28" t="s">
        <v>52</v>
      </c>
      <c r="E848" s="28" t="s">
        <v>63</v>
      </c>
      <c r="F848" s="29" t="s">
        <v>27</v>
      </c>
      <c r="G848" s="30">
        <v>1.72</v>
      </c>
      <c r="H848" s="31">
        <v>630.65</v>
      </c>
      <c r="I848" s="39"/>
      <c r="J848" s="31">
        <f t="shared" si="127"/>
        <v>630.65</v>
      </c>
      <c r="K848" s="33">
        <f t="shared" si="128"/>
        <v>1084.72</v>
      </c>
      <c r="L848" s="34" t="s">
        <v>28</v>
      </c>
      <c r="M848" s="35"/>
      <c r="N848" s="3">
        <v>1</v>
      </c>
      <c r="O848" s="21">
        <v>681.67</v>
      </c>
      <c r="P848" s="22" t="s">
        <v>64</v>
      </c>
      <c r="Q848" s="38"/>
      <c r="R848" s="38"/>
    </row>
    <row r="849" s="3" customFormat="1" ht="96" customHeight="1" outlineLevel="2" spans="1:18">
      <c r="A849" s="41">
        <f t="shared" si="126"/>
        <v>7</v>
      </c>
      <c r="B849" s="28" t="s">
        <v>75</v>
      </c>
      <c r="C849" s="28" t="s">
        <v>76</v>
      </c>
      <c r="D849" s="28" t="s">
        <v>59</v>
      </c>
      <c r="E849" s="28" t="s">
        <v>38</v>
      </c>
      <c r="F849" s="29" t="s">
        <v>39</v>
      </c>
      <c r="G849" s="30">
        <v>12.97</v>
      </c>
      <c r="H849" s="31">
        <v>67.08</v>
      </c>
      <c r="I849" s="39"/>
      <c r="J849" s="31">
        <f t="shared" si="127"/>
        <v>67.08</v>
      </c>
      <c r="K849" s="33">
        <f t="shared" si="128"/>
        <v>870.03</v>
      </c>
      <c r="L849" s="34" t="s">
        <v>28</v>
      </c>
      <c r="M849" s="35"/>
      <c r="N849" s="3">
        <v>1</v>
      </c>
      <c r="O849" s="21">
        <v>45.71</v>
      </c>
      <c r="P849" s="22" t="s">
        <v>77</v>
      </c>
      <c r="Q849" s="38"/>
      <c r="R849" s="38"/>
    </row>
    <row r="850" s="3" customFormat="1" ht="60" customHeight="1" outlineLevel="2" spans="1:18">
      <c r="A850" s="41">
        <f t="shared" si="126"/>
        <v>8</v>
      </c>
      <c r="B850" s="28" t="s">
        <v>311</v>
      </c>
      <c r="C850" s="28" t="s">
        <v>312</v>
      </c>
      <c r="D850" s="28" t="s">
        <v>98</v>
      </c>
      <c r="E850" s="28" t="s">
        <v>115</v>
      </c>
      <c r="F850" s="29" t="s">
        <v>27</v>
      </c>
      <c r="G850" s="30">
        <v>0.73</v>
      </c>
      <c r="H850" s="31">
        <v>630.65</v>
      </c>
      <c r="I850" s="39"/>
      <c r="J850" s="31">
        <f t="shared" si="127"/>
        <v>630.65</v>
      </c>
      <c r="K850" s="33">
        <f t="shared" si="128"/>
        <v>460.37</v>
      </c>
      <c r="L850" s="34" t="s">
        <v>28</v>
      </c>
      <c r="M850" s="35"/>
      <c r="N850" s="3">
        <v>1</v>
      </c>
      <c r="O850" s="21">
        <v>681.67</v>
      </c>
      <c r="P850" s="22" t="s">
        <v>64</v>
      </c>
      <c r="Q850" s="38"/>
      <c r="R850" s="38"/>
    </row>
    <row r="851" s="3" customFormat="1" outlineLevel="1" spans="1:18">
      <c r="A851" s="40"/>
      <c r="B851" s="28" t="s">
        <v>90</v>
      </c>
      <c r="C851" s="28"/>
      <c r="D851" s="28"/>
      <c r="E851" s="28"/>
      <c r="F851" s="29"/>
      <c r="G851" s="30"/>
      <c r="H851" s="31"/>
      <c r="I851" s="39"/>
      <c r="J851" s="31"/>
      <c r="K851" s="33"/>
      <c r="L851" s="34"/>
      <c r="M851" s="35"/>
      <c r="O851" s="36"/>
      <c r="P851" s="37"/>
      <c r="Q851" s="38"/>
      <c r="R851" s="38"/>
    </row>
    <row r="852" s="3" customFormat="1" ht="168" customHeight="1" outlineLevel="2" spans="1:18">
      <c r="A852" s="41">
        <f>1+N(A851)</f>
        <v>1</v>
      </c>
      <c r="B852" s="28" t="s">
        <v>91</v>
      </c>
      <c r="C852" s="28" t="s">
        <v>92</v>
      </c>
      <c r="D852" s="28" t="s">
        <v>93</v>
      </c>
      <c r="E852" s="28" t="s">
        <v>94</v>
      </c>
      <c r="F852" s="29" t="s">
        <v>27</v>
      </c>
      <c r="G852" s="30">
        <v>6.6</v>
      </c>
      <c r="H852" s="31">
        <v>174.57</v>
      </c>
      <c r="I852" s="39"/>
      <c r="J852" s="31">
        <f>H852*(1-$I$4)</f>
        <v>174.57</v>
      </c>
      <c r="K852" s="33">
        <f>ROUND(G852*J852,2)</f>
        <v>1152.16</v>
      </c>
      <c r="L852" s="34" t="s">
        <v>28</v>
      </c>
      <c r="M852" s="35"/>
      <c r="N852" s="3">
        <v>1</v>
      </c>
      <c r="O852" s="21">
        <v>150.38</v>
      </c>
      <c r="P852" s="22" t="s">
        <v>95</v>
      </c>
      <c r="Q852" s="38"/>
      <c r="R852" s="38"/>
    </row>
    <row r="853" s="3" customFormat="1" ht="48" customHeight="1" outlineLevel="2" spans="1:18">
      <c r="A853" s="41">
        <f>1+N(A852)</f>
        <v>2</v>
      </c>
      <c r="B853" s="28" t="s">
        <v>96</v>
      </c>
      <c r="C853" s="28" t="s">
        <v>97</v>
      </c>
      <c r="D853" s="28" t="s">
        <v>98</v>
      </c>
      <c r="E853" s="28" t="s">
        <v>99</v>
      </c>
      <c r="F853" s="29" t="s">
        <v>39</v>
      </c>
      <c r="G853" s="30">
        <v>2.6</v>
      </c>
      <c r="H853" s="31">
        <v>112.16</v>
      </c>
      <c r="I853" s="39"/>
      <c r="J853" s="31">
        <f>H853*(1-$I$4)</f>
        <v>112.16</v>
      </c>
      <c r="K853" s="33">
        <f>ROUND(G853*J853,2)</f>
        <v>291.62</v>
      </c>
      <c r="L853" s="34" t="s">
        <v>28</v>
      </c>
      <c r="M853" s="35"/>
      <c r="N853" s="3">
        <v>1</v>
      </c>
      <c r="O853" s="21">
        <v>79.3</v>
      </c>
      <c r="P853" s="22" t="s">
        <v>100</v>
      </c>
      <c r="Q853" s="38"/>
      <c r="R853" s="38"/>
    </row>
    <row r="854" s="3" customFormat="1" ht="48" customHeight="1" outlineLevel="2" spans="1:18">
      <c r="A854" s="41">
        <f>1+N(A853)</f>
        <v>3</v>
      </c>
      <c r="B854" s="28" t="s">
        <v>394</v>
      </c>
      <c r="C854" s="28" t="s">
        <v>395</v>
      </c>
      <c r="D854" s="28" t="s">
        <v>98</v>
      </c>
      <c r="E854" s="28" t="s">
        <v>99</v>
      </c>
      <c r="F854" s="29" t="s">
        <v>39</v>
      </c>
      <c r="G854" s="30">
        <v>2.4</v>
      </c>
      <c r="H854" s="31">
        <v>109.74</v>
      </c>
      <c r="I854" s="39"/>
      <c r="J854" s="31">
        <f>H854*(1-$I$4)</f>
        <v>109.74</v>
      </c>
      <c r="K854" s="33">
        <f>ROUND(G854*J854,2)</f>
        <v>263.38</v>
      </c>
      <c r="L854" s="34" t="s">
        <v>28</v>
      </c>
      <c r="M854" s="35"/>
      <c r="N854" s="3">
        <v>1</v>
      </c>
      <c r="O854" s="21">
        <v>108.2</v>
      </c>
      <c r="P854" s="22" t="s">
        <v>106</v>
      </c>
      <c r="Q854" s="38"/>
      <c r="R854" s="38"/>
    </row>
    <row r="855" s="3" customFormat="1" ht="132" customHeight="1" outlineLevel="2" spans="1:18">
      <c r="A855" s="41">
        <f>1+N(A854)</f>
        <v>4</v>
      </c>
      <c r="B855" s="28" t="s">
        <v>158</v>
      </c>
      <c r="C855" s="28" t="s">
        <v>159</v>
      </c>
      <c r="D855" s="28" t="s">
        <v>109</v>
      </c>
      <c r="E855" s="28" t="s">
        <v>110</v>
      </c>
      <c r="F855" s="29" t="s">
        <v>27</v>
      </c>
      <c r="G855" s="30">
        <v>7.38</v>
      </c>
      <c r="H855" s="31">
        <v>48.32</v>
      </c>
      <c r="I855" s="39"/>
      <c r="J855" s="31">
        <f>H855*(1-$I$4)</f>
        <v>48.32</v>
      </c>
      <c r="K855" s="33">
        <f>ROUND(G855*J855,2)</f>
        <v>356.6</v>
      </c>
      <c r="L855" s="34" t="s">
        <v>28</v>
      </c>
      <c r="M855" s="35"/>
      <c r="N855" s="3">
        <v>1</v>
      </c>
      <c r="O855" s="21">
        <v>44.88</v>
      </c>
      <c r="P855" s="22" t="s">
        <v>160</v>
      </c>
      <c r="Q855" s="38"/>
      <c r="R855" s="38"/>
    </row>
    <row r="856" s="3" customFormat="1" outlineLevel="1" spans="1:18">
      <c r="A856" s="40"/>
      <c r="B856" s="28" t="s">
        <v>396</v>
      </c>
      <c r="C856" s="28"/>
      <c r="D856" s="28"/>
      <c r="E856" s="28"/>
      <c r="F856" s="29"/>
      <c r="G856" s="30"/>
      <c r="H856" s="31"/>
      <c r="I856" s="39"/>
      <c r="J856" s="31"/>
      <c r="K856" s="33"/>
      <c r="L856" s="34"/>
      <c r="M856" s="35"/>
      <c r="O856" s="36"/>
      <c r="P856" s="37"/>
      <c r="Q856" s="38"/>
      <c r="R856" s="38"/>
    </row>
    <row r="857" s="3" customFormat="1" ht="72" customHeight="1" outlineLevel="2" spans="1:18">
      <c r="A857" s="41">
        <f>1+N(A856)</f>
        <v>1</v>
      </c>
      <c r="B857" s="28" t="s">
        <v>558</v>
      </c>
      <c r="C857" s="28" t="s">
        <v>559</v>
      </c>
      <c r="D857" s="28" t="s">
        <v>98</v>
      </c>
      <c r="E857" s="28" t="s">
        <v>115</v>
      </c>
      <c r="F857" s="29" t="s">
        <v>27</v>
      </c>
      <c r="G857" s="30">
        <v>2.96</v>
      </c>
      <c r="H857" s="31">
        <v>2557.51</v>
      </c>
      <c r="I857" s="39"/>
      <c r="J857" s="31">
        <f>H857*(1-$I$4)</f>
        <v>2557.51</v>
      </c>
      <c r="K857" s="33">
        <f>ROUND(G857*J857,2)</f>
        <v>7570.23</v>
      </c>
      <c r="L857" s="34" t="s">
        <v>28</v>
      </c>
      <c r="M857" s="35"/>
      <c r="N857" s="3">
        <v>1</v>
      </c>
      <c r="O857" s="21">
        <v>1675.85</v>
      </c>
      <c r="P857" s="22" t="s">
        <v>541</v>
      </c>
      <c r="Q857" s="38"/>
      <c r="R857" s="38"/>
    </row>
    <row r="858" s="3" customFormat="1" ht="96" customHeight="1" outlineLevel="2" spans="1:18">
      <c r="A858" s="41">
        <f>1+N(A857)</f>
        <v>2</v>
      </c>
      <c r="B858" s="28" t="s">
        <v>560</v>
      </c>
      <c r="C858" s="28" t="s">
        <v>561</v>
      </c>
      <c r="D858" s="28" t="s">
        <v>98</v>
      </c>
      <c r="E858" s="28" t="s">
        <v>115</v>
      </c>
      <c r="F858" s="29" t="s">
        <v>39</v>
      </c>
      <c r="G858" s="30">
        <v>0.9</v>
      </c>
      <c r="H858" s="31">
        <v>4031.08</v>
      </c>
      <c r="I858" s="39"/>
      <c r="J858" s="31">
        <f>H858*(1-$I$4)</f>
        <v>4031.08</v>
      </c>
      <c r="K858" s="33">
        <f>ROUND(G858*J858,2)</f>
        <v>3627.97</v>
      </c>
      <c r="L858" s="34" t="s">
        <v>28</v>
      </c>
      <c r="M858" s="35"/>
      <c r="N858" s="3">
        <v>1</v>
      </c>
      <c r="O858" s="21">
        <v>2322.65</v>
      </c>
      <c r="P858" s="22" t="s">
        <v>562</v>
      </c>
      <c r="Q858" s="38"/>
      <c r="R858" s="38"/>
    </row>
    <row r="859" s="3" customFormat="1" outlineLevel="1" spans="1:18">
      <c r="A859" s="27" t="s">
        <v>563</v>
      </c>
      <c r="B859" s="28" t="s">
        <v>564</v>
      </c>
      <c r="C859" s="28"/>
      <c r="D859" s="28"/>
      <c r="E859" s="28"/>
      <c r="F859" s="29"/>
      <c r="G859" s="30"/>
      <c r="H859" s="31"/>
      <c r="I859" s="39"/>
      <c r="J859" s="31"/>
      <c r="K859" s="33"/>
      <c r="L859" s="34"/>
      <c r="M859" s="35"/>
      <c r="O859" s="36"/>
      <c r="P859" s="37"/>
      <c r="Q859" s="38"/>
      <c r="R859" s="38"/>
    </row>
    <row r="860" s="3" customFormat="1" outlineLevel="1" spans="1:18">
      <c r="A860" s="40"/>
      <c r="B860" s="28" t="s">
        <v>22</v>
      </c>
      <c r="C860" s="28"/>
      <c r="D860" s="28"/>
      <c r="E860" s="28"/>
      <c r="F860" s="29"/>
      <c r="G860" s="30"/>
      <c r="H860" s="31"/>
      <c r="I860" s="39"/>
      <c r="J860" s="31"/>
      <c r="K860" s="33"/>
      <c r="L860" s="34"/>
      <c r="M860" s="35"/>
      <c r="O860" s="36"/>
      <c r="P860" s="37"/>
      <c r="Q860" s="38"/>
      <c r="R860" s="38"/>
    </row>
    <row r="861" s="3" customFormat="1" ht="84" customHeight="1" outlineLevel="2" spans="1:18">
      <c r="A861" s="41">
        <f>1+N(A860)</f>
        <v>1</v>
      </c>
      <c r="B861" s="28" t="s">
        <v>33</v>
      </c>
      <c r="C861" s="28" t="s">
        <v>34</v>
      </c>
      <c r="D861" s="28" t="s">
        <v>25</v>
      </c>
      <c r="E861" s="28" t="s">
        <v>26</v>
      </c>
      <c r="F861" s="29" t="s">
        <v>27</v>
      </c>
      <c r="G861" s="30">
        <v>10.78</v>
      </c>
      <c r="H861" s="31">
        <v>336.76</v>
      </c>
      <c r="I861" s="39"/>
      <c r="J861" s="31">
        <f>H861*(1-$I$4)</f>
        <v>336.76</v>
      </c>
      <c r="K861" s="33">
        <f>ROUND(G861*J861,2)</f>
        <v>3630.27</v>
      </c>
      <c r="L861" s="34" t="s">
        <v>28</v>
      </c>
      <c r="M861" s="35"/>
      <c r="N861" s="3">
        <v>1</v>
      </c>
      <c r="O861" s="21">
        <v>202.68</v>
      </c>
      <c r="P861" s="22" t="s">
        <v>35</v>
      </c>
      <c r="Q861" s="38"/>
      <c r="R861" s="38"/>
    </row>
    <row r="862" s="3" customFormat="1" ht="108" customHeight="1" outlineLevel="2" spans="1:18">
      <c r="A862" s="41">
        <f>1+N(A861)</f>
        <v>2</v>
      </c>
      <c r="B862" s="28" t="s">
        <v>23</v>
      </c>
      <c r="C862" s="28" t="s">
        <v>24</v>
      </c>
      <c r="D862" s="28" t="s">
        <v>25</v>
      </c>
      <c r="E862" s="28" t="s">
        <v>26</v>
      </c>
      <c r="F862" s="29" t="s">
        <v>27</v>
      </c>
      <c r="G862" s="30">
        <v>0.32</v>
      </c>
      <c r="H862" s="31">
        <v>940.91</v>
      </c>
      <c r="I862" s="39"/>
      <c r="J862" s="31">
        <f>H862*(1-$I$4)</f>
        <v>940.91</v>
      </c>
      <c r="K862" s="33">
        <f>ROUND(G862*J862,2)</f>
        <v>301.09</v>
      </c>
      <c r="L862" s="34" t="s">
        <v>28</v>
      </c>
      <c r="M862" s="35"/>
      <c r="N862" s="3">
        <v>1</v>
      </c>
      <c r="O862" s="21">
        <v>886.6</v>
      </c>
      <c r="P862" s="22" t="s">
        <v>29</v>
      </c>
      <c r="Q862" s="38"/>
      <c r="R862" s="38"/>
    </row>
    <row r="863" s="3" customFormat="1" ht="72" customHeight="1" outlineLevel="2" spans="1:18">
      <c r="A863" s="41">
        <f>1+N(A862)</f>
        <v>3</v>
      </c>
      <c r="B863" s="28" t="s">
        <v>41</v>
      </c>
      <c r="C863" s="28" t="s">
        <v>42</v>
      </c>
      <c r="D863" s="28" t="s">
        <v>25</v>
      </c>
      <c r="E863" s="28" t="s">
        <v>26</v>
      </c>
      <c r="F863" s="29" t="s">
        <v>27</v>
      </c>
      <c r="G863" s="30">
        <v>0.32</v>
      </c>
      <c r="H863" s="31">
        <v>64.9</v>
      </c>
      <c r="I863" s="39"/>
      <c r="J863" s="31">
        <f>H863*(1-$I$4)</f>
        <v>64.9</v>
      </c>
      <c r="K863" s="33">
        <f>ROUND(G863*J863,2)</f>
        <v>20.77</v>
      </c>
      <c r="L863" s="34" t="s">
        <v>28</v>
      </c>
      <c r="M863" s="35"/>
      <c r="N863" s="3">
        <v>1</v>
      </c>
      <c r="O863" s="21">
        <v>61.38</v>
      </c>
      <c r="P863" s="22" t="s">
        <v>43</v>
      </c>
      <c r="Q863" s="38"/>
      <c r="R863" s="38"/>
    </row>
    <row r="864" s="3" customFormat="1" outlineLevel="1" spans="1:18">
      <c r="A864" s="40"/>
      <c r="B864" s="28" t="s">
        <v>44</v>
      </c>
      <c r="C864" s="28"/>
      <c r="D864" s="28"/>
      <c r="E864" s="28"/>
      <c r="F864" s="29"/>
      <c r="G864" s="30"/>
      <c r="H864" s="31"/>
      <c r="I864" s="39"/>
      <c r="J864" s="31"/>
      <c r="K864" s="33"/>
      <c r="L864" s="34"/>
      <c r="M864" s="35"/>
      <c r="O864" s="36"/>
      <c r="P864" s="37"/>
      <c r="Q864" s="38"/>
      <c r="R864" s="38"/>
    </row>
    <row r="865" s="3" customFormat="1" ht="96" customHeight="1" outlineLevel="2" spans="1:18">
      <c r="A865" s="41">
        <f>1+N(A864)</f>
        <v>1</v>
      </c>
      <c r="B865" s="28" t="s">
        <v>57</v>
      </c>
      <c r="C865" s="28" t="s">
        <v>58</v>
      </c>
      <c r="D865" s="28" t="s">
        <v>59</v>
      </c>
      <c r="E865" s="28" t="s">
        <v>26</v>
      </c>
      <c r="F865" s="29" t="s">
        <v>27</v>
      </c>
      <c r="G865" s="30">
        <v>28.23</v>
      </c>
      <c r="H865" s="31">
        <v>220.01</v>
      </c>
      <c r="I865" s="39"/>
      <c r="J865" s="31">
        <f>H865*(1-$I$4)</f>
        <v>220.01</v>
      </c>
      <c r="K865" s="33">
        <f>ROUND(G865*J865,2)</f>
        <v>6210.88</v>
      </c>
      <c r="L865" s="34" t="s">
        <v>28</v>
      </c>
      <c r="M865" s="35"/>
      <c r="N865" s="3">
        <v>1</v>
      </c>
      <c r="O865" s="21">
        <v>169.24</v>
      </c>
      <c r="P865" s="22" t="s">
        <v>60</v>
      </c>
      <c r="Q865" s="38"/>
      <c r="R865" s="38"/>
    </row>
    <row r="866" s="3" customFormat="1" ht="96" customHeight="1" outlineLevel="2" spans="1:18">
      <c r="A866" s="41">
        <f>1+N(A865)</f>
        <v>2</v>
      </c>
      <c r="B866" s="28" t="s">
        <v>237</v>
      </c>
      <c r="C866" s="28" t="s">
        <v>392</v>
      </c>
      <c r="D866" s="28" t="s">
        <v>47</v>
      </c>
      <c r="E866" s="28" t="s">
        <v>48</v>
      </c>
      <c r="F866" s="29" t="s">
        <v>27</v>
      </c>
      <c r="G866" s="30">
        <v>25.48</v>
      </c>
      <c r="H866" s="31">
        <v>411.58</v>
      </c>
      <c r="I866" s="39"/>
      <c r="J866" s="31">
        <f>H866*(1-$I$4)</f>
        <v>411.58</v>
      </c>
      <c r="K866" s="33">
        <f>ROUND(G866*J866,2)</f>
        <v>10487.06</v>
      </c>
      <c r="L866" s="34" t="s">
        <v>28</v>
      </c>
      <c r="M866" s="35"/>
      <c r="N866" s="3">
        <v>1</v>
      </c>
      <c r="O866" s="21">
        <v>208.45</v>
      </c>
      <c r="P866" s="22" t="s">
        <v>393</v>
      </c>
      <c r="Q866" s="38"/>
      <c r="R866" s="38"/>
    </row>
    <row r="867" s="3" customFormat="1" ht="96" customHeight="1" outlineLevel="2" spans="1:18">
      <c r="A867" s="41">
        <f>1+N(A866)</f>
        <v>3</v>
      </c>
      <c r="B867" s="28" t="s">
        <v>72</v>
      </c>
      <c r="C867" s="28" t="s">
        <v>73</v>
      </c>
      <c r="D867" s="28" t="s">
        <v>47</v>
      </c>
      <c r="E867" s="28" t="s">
        <v>48</v>
      </c>
      <c r="F867" s="29" t="s">
        <v>27</v>
      </c>
      <c r="G867" s="30">
        <v>0.49</v>
      </c>
      <c r="H867" s="31">
        <v>670.22</v>
      </c>
      <c r="I867" s="39"/>
      <c r="J867" s="31">
        <f>H867*(1-$I$4)</f>
        <v>670.22</v>
      </c>
      <c r="K867" s="33">
        <f>ROUND(G867*J867,2)</f>
        <v>328.41</v>
      </c>
      <c r="L867" s="34" t="s">
        <v>28</v>
      </c>
      <c r="M867" s="35"/>
      <c r="N867" s="3">
        <v>1</v>
      </c>
      <c r="O867" s="21">
        <v>271.98</v>
      </c>
      <c r="P867" s="22" t="s">
        <v>74</v>
      </c>
      <c r="Q867" s="38"/>
      <c r="R867" s="38"/>
    </row>
    <row r="868" s="3" customFormat="1" ht="120" customHeight="1" outlineLevel="2" spans="1:18">
      <c r="A868" s="41">
        <f>1+N(A867)</f>
        <v>4</v>
      </c>
      <c r="B868" s="28" t="s">
        <v>61</v>
      </c>
      <c r="C868" s="28" t="s">
        <v>62</v>
      </c>
      <c r="D868" s="28" t="s">
        <v>52</v>
      </c>
      <c r="E868" s="28" t="s">
        <v>63</v>
      </c>
      <c r="F868" s="29" t="s">
        <v>27</v>
      </c>
      <c r="G868" s="30">
        <v>3.77</v>
      </c>
      <c r="H868" s="31">
        <v>630.65</v>
      </c>
      <c r="I868" s="39"/>
      <c r="J868" s="31">
        <f>H868*(1-$I$4)</f>
        <v>630.65</v>
      </c>
      <c r="K868" s="33">
        <f>ROUND(G868*J868,2)</f>
        <v>2377.55</v>
      </c>
      <c r="L868" s="34" t="s">
        <v>28</v>
      </c>
      <c r="M868" s="35"/>
      <c r="N868" s="3">
        <v>1</v>
      </c>
      <c r="O868" s="21">
        <v>681.67</v>
      </c>
      <c r="P868" s="22" t="s">
        <v>64</v>
      </c>
      <c r="Q868" s="38"/>
      <c r="R868" s="38"/>
    </row>
    <row r="869" s="3" customFormat="1" ht="60" customHeight="1" outlineLevel="2" spans="1:18">
      <c r="A869" s="41">
        <f>1+N(A868)</f>
        <v>5</v>
      </c>
      <c r="B869" s="28" t="s">
        <v>311</v>
      </c>
      <c r="C869" s="28" t="s">
        <v>312</v>
      </c>
      <c r="D869" s="28" t="s">
        <v>98</v>
      </c>
      <c r="E869" s="28" t="s">
        <v>115</v>
      </c>
      <c r="F869" s="29" t="s">
        <v>27</v>
      </c>
      <c r="G869" s="30">
        <v>1.58</v>
      </c>
      <c r="H869" s="31">
        <v>630.65</v>
      </c>
      <c r="I869" s="39"/>
      <c r="J869" s="31">
        <f>H869*(1-$I$4)</f>
        <v>630.65</v>
      </c>
      <c r="K869" s="33">
        <f>ROUND(G869*J869,2)</f>
        <v>996.43</v>
      </c>
      <c r="L869" s="34" t="s">
        <v>28</v>
      </c>
      <c r="M869" s="35"/>
      <c r="N869" s="3">
        <v>1</v>
      </c>
      <c r="O869" s="21">
        <v>681.67</v>
      </c>
      <c r="P869" s="22" t="s">
        <v>64</v>
      </c>
      <c r="Q869" s="38"/>
      <c r="R869" s="38"/>
    </row>
    <row r="870" s="3" customFormat="1" outlineLevel="1" spans="1:18">
      <c r="A870" s="40"/>
      <c r="B870" s="28" t="s">
        <v>90</v>
      </c>
      <c r="C870" s="28"/>
      <c r="D870" s="28"/>
      <c r="E870" s="28"/>
      <c r="F870" s="29"/>
      <c r="G870" s="30"/>
      <c r="H870" s="31"/>
      <c r="I870" s="39"/>
      <c r="J870" s="31"/>
      <c r="K870" s="33"/>
      <c r="L870" s="34"/>
      <c r="M870" s="35"/>
      <c r="O870" s="36"/>
      <c r="P870" s="37"/>
      <c r="Q870" s="38"/>
      <c r="R870" s="38"/>
    </row>
    <row r="871" s="3" customFormat="1" ht="132" customHeight="1" outlineLevel="2" spans="1:18">
      <c r="A871" s="41">
        <f>1+N(A870)</f>
        <v>1</v>
      </c>
      <c r="B871" s="28" t="s">
        <v>379</v>
      </c>
      <c r="C871" s="28" t="s">
        <v>380</v>
      </c>
      <c r="D871" s="28" t="s">
        <v>109</v>
      </c>
      <c r="E871" s="28" t="s">
        <v>110</v>
      </c>
      <c r="F871" s="29" t="s">
        <v>27</v>
      </c>
      <c r="G871" s="30">
        <v>10.78</v>
      </c>
      <c r="H871" s="31">
        <v>48.32</v>
      </c>
      <c r="I871" s="39"/>
      <c r="J871" s="31">
        <f>H871*(1-$I$4)</f>
        <v>48.32</v>
      </c>
      <c r="K871" s="33">
        <f>ROUND(G871*J871,2)</f>
        <v>520.89</v>
      </c>
      <c r="L871" s="34" t="s">
        <v>28</v>
      </c>
      <c r="M871" s="35"/>
      <c r="N871" s="3">
        <v>1</v>
      </c>
      <c r="O871" s="21">
        <v>44.88</v>
      </c>
      <c r="P871" s="22" t="s">
        <v>160</v>
      </c>
      <c r="Q871" s="38"/>
      <c r="R871" s="38"/>
    </row>
    <row r="872" s="3" customFormat="1" outlineLevel="1" spans="1:18">
      <c r="A872" s="40"/>
      <c r="B872" s="28" t="s">
        <v>112</v>
      </c>
      <c r="C872" s="28"/>
      <c r="D872" s="28"/>
      <c r="E872" s="28"/>
      <c r="F872" s="29"/>
      <c r="G872" s="30"/>
      <c r="H872" s="31"/>
      <c r="I872" s="39"/>
      <c r="J872" s="31"/>
      <c r="K872" s="33"/>
      <c r="L872" s="34"/>
      <c r="M872" s="35"/>
      <c r="O872" s="36"/>
      <c r="P872" s="37"/>
      <c r="Q872" s="38"/>
      <c r="R872" s="38"/>
    </row>
    <row r="873" s="3" customFormat="1" ht="72" customHeight="1" outlineLevel="2" spans="1:18">
      <c r="A873" s="41">
        <f>1+N(A872)</f>
        <v>1</v>
      </c>
      <c r="B873" s="28" t="s">
        <v>565</v>
      </c>
      <c r="C873" s="28" t="s">
        <v>401</v>
      </c>
      <c r="D873" s="28" t="s">
        <v>98</v>
      </c>
      <c r="E873" s="28" t="s">
        <v>115</v>
      </c>
      <c r="F873" s="29" t="s">
        <v>27</v>
      </c>
      <c r="G873" s="30">
        <v>2.18</v>
      </c>
      <c r="H873" s="31">
        <v>2447.18</v>
      </c>
      <c r="I873" s="39"/>
      <c r="J873" s="31">
        <f>H873*(1-$I$4)</f>
        <v>2447.18</v>
      </c>
      <c r="K873" s="33">
        <f>ROUND(G873*J873,2)</f>
        <v>5334.85</v>
      </c>
      <c r="L873" s="34" t="s">
        <v>28</v>
      </c>
      <c r="M873" s="35"/>
      <c r="N873" s="3">
        <v>1</v>
      </c>
      <c r="O873" s="21">
        <v>1675.85</v>
      </c>
      <c r="P873" s="22" t="s">
        <v>543</v>
      </c>
      <c r="Q873" s="38"/>
      <c r="R873" s="38"/>
    </row>
    <row r="874" s="3" customFormat="1" ht="108" customHeight="1" outlineLevel="2" spans="1:18">
      <c r="A874" s="41">
        <f>1+N(A873)</f>
        <v>2</v>
      </c>
      <c r="B874" s="28" t="s">
        <v>566</v>
      </c>
      <c r="C874" s="28" t="s">
        <v>567</v>
      </c>
      <c r="D874" s="28" t="s">
        <v>98</v>
      </c>
      <c r="E874" s="28" t="s">
        <v>115</v>
      </c>
      <c r="F874" s="29" t="s">
        <v>27</v>
      </c>
      <c r="G874" s="30">
        <v>2.62</v>
      </c>
      <c r="H874" s="31">
        <v>2196.43</v>
      </c>
      <c r="I874" s="39"/>
      <c r="J874" s="31">
        <f>H874*(1-$I$4)</f>
        <v>2196.43</v>
      </c>
      <c r="K874" s="33">
        <f>ROUND(G874*J874,2)</f>
        <v>5754.65</v>
      </c>
      <c r="L874" s="34" t="s">
        <v>28</v>
      </c>
      <c r="M874" s="35"/>
      <c r="N874" s="3">
        <v>1</v>
      </c>
      <c r="O874" s="21">
        <v>1675.85</v>
      </c>
      <c r="P874" s="22" t="s">
        <v>568</v>
      </c>
      <c r="Q874" s="38"/>
      <c r="R874" s="38"/>
    </row>
    <row r="875" s="3" customFormat="1" ht="96" customHeight="1" outlineLevel="2" spans="1:18">
      <c r="A875" s="41">
        <f>1+N(A874)</f>
        <v>3</v>
      </c>
      <c r="B875" s="28" t="s">
        <v>569</v>
      </c>
      <c r="C875" s="28" t="s">
        <v>570</v>
      </c>
      <c r="D875" s="28" t="s">
        <v>98</v>
      </c>
      <c r="E875" s="28" t="s">
        <v>115</v>
      </c>
      <c r="F875" s="29" t="s">
        <v>39</v>
      </c>
      <c r="G875" s="30">
        <v>4.33</v>
      </c>
      <c r="H875" s="31">
        <v>3283.87</v>
      </c>
      <c r="I875" s="39"/>
      <c r="J875" s="31">
        <f>H875*(1-$I$4)</f>
        <v>3283.87</v>
      </c>
      <c r="K875" s="33">
        <f>ROUND(G875*J875,2)</f>
        <v>14219.16</v>
      </c>
      <c r="L875" s="34" t="s">
        <v>28</v>
      </c>
      <c r="M875" s="35"/>
      <c r="N875" s="3">
        <v>1</v>
      </c>
      <c r="O875" s="21">
        <v>1519.65</v>
      </c>
      <c r="P875" s="22" t="s">
        <v>552</v>
      </c>
      <c r="Q875" s="38"/>
      <c r="R875" s="38"/>
    </row>
    <row r="876" s="3" customFormat="1" outlineLevel="1" spans="1:18">
      <c r="A876" s="27" t="s">
        <v>571</v>
      </c>
      <c r="B876" s="28" t="s">
        <v>572</v>
      </c>
      <c r="C876" s="28"/>
      <c r="D876" s="28"/>
      <c r="E876" s="28"/>
      <c r="F876" s="29"/>
      <c r="G876" s="30"/>
      <c r="H876" s="31"/>
      <c r="I876" s="39"/>
      <c r="J876" s="31"/>
      <c r="K876" s="33"/>
      <c r="L876" s="34"/>
      <c r="M876" s="35"/>
      <c r="O876" s="36"/>
      <c r="P876" s="37"/>
      <c r="Q876" s="38"/>
      <c r="R876" s="38"/>
    </row>
    <row r="877" s="3" customFormat="1" outlineLevel="1" spans="1:18">
      <c r="A877" s="40"/>
      <c r="B877" s="28" t="s">
        <v>22</v>
      </c>
      <c r="C877" s="28"/>
      <c r="D877" s="28"/>
      <c r="E877" s="28"/>
      <c r="F877" s="29"/>
      <c r="G877" s="30"/>
      <c r="H877" s="31"/>
      <c r="I877" s="39"/>
      <c r="J877" s="31"/>
      <c r="K877" s="33"/>
      <c r="L877" s="34"/>
      <c r="M877" s="35"/>
      <c r="O877" s="36"/>
      <c r="P877" s="37"/>
      <c r="Q877" s="38"/>
      <c r="R877" s="38"/>
    </row>
    <row r="878" s="3" customFormat="1" ht="108" customHeight="1" outlineLevel="2" spans="1:18">
      <c r="A878" s="41">
        <f>1+N(A877)</f>
        <v>1</v>
      </c>
      <c r="B878" s="28" t="s">
        <v>282</v>
      </c>
      <c r="C878" s="28" t="s">
        <v>283</v>
      </c>
      <c r="D878" s="28" t="s">
        <v>25</v>
      </c>
      <c r="E878" s="28" t="s">
        <v>26</v>
      </c>
      <c r="F878" s="29" t="s">
        <v>27</v>
      </c>
      <c r="G878" s="30">
        <v>39.7</v>
      </c>
      <c r="H878" s="31">
        <v>760.37</v>
      </c>
      <c r="I878" s="39"/>
      <c r="J878" s="31">
        <f>H878*(1-$I$4)</f>
        <v>760.37</v>
      </c>
      <c r="K878" s="33">
        <f>ROUND(G878*J878,2)</f>
        <v>30186.69</v>
      </c>
      <c r="L878" s="34" t="s">
        <v>28</v>
      </c>
      <c r="M878" s="35"/>
      <c r="N878" s="3">
        <v>1</v>
      </c>
      <c r="O878" s="21">
        <v>886.6</v>
      </c>
      <c r="P878" s="22" t="s">
        <v>284</v>
      </c>
      <c r="Q878" s="38"/>
      <c r="R878" s="38"/>
    </row>
    <row r="879" s="3" customFormat="1" ht="108" customHeight="1" outlineLevel="2" spans="1:18">
      <c r="A879" s="41">
        <f>1+N(A878)</f>
        <v>2</v>
      </c>
      <c r="B879" s="28" t="s">
        <v>573</v>
      </c>
      <c r="C879" s="28" t="s">
        <v>574</v>
      </c>
      <c r="D879" s="28" t="s">
        <v>25</v>
      </c>
      <c r="E879" s="28" t="s">
        <v>26</v>
      </c>
      <c r="F879" s="29" t="s">
        <v>27</v>
      </c>
      <c r="G879" s="30">
        <v>2.92</v>
      </c>
      <c r="H879" s="31">
        <v>2090.35</v>
      </c>
      <c r="I879" s="39"/>
      <c r="J879" s="31">
        <f>H879*(1-$I$4)</f>
        <v>2090.35</v>
      </c>
      <c r="K879" s="33">
        <f>ROUND(G879*J879,2)</f>
        <v>6103.82</v>
      </c>
      <c r="L879" s="34" t="s">
        <v>28</v>
      </c>
      <c r="M879" s="35"/>
      <c r="N879" s="3">
        <v>1</v>
      </c>
      <c r="O879" s="21">
        <v>1146.86</v>
      </c>
      <c r="P879" s="22" t="s">
        <v>520</v>
      </c>
      <c r="Q879" s="38"/>
      <c r="R879" s="38"/>
    </row>
    <row r="880" s="3" customFormat="1" ht="84" customHeight="1" outlineLevel="2" spans="1:18">
      <c r="A880" s="41">
        <f>1+N(A879)</f>
        <v>3</v>
      </c>
      <c r="B880" s="28" t="s">
        <v>376</v>
      </c>
      <c r="C880" s="28" t="s">
        <v>377</v>
      </c>
      <c r="D880" s="28" t="s">
        <v>25</v>
      </c>
      <c r="E880" s="28" t="s">
        <v>26</v>
      </c>
      <c r="F880" s="29" t="s">
        <v>27</v>
      </c>
      <c r="G880" s="30">
        <v>46.1</v>
      </c>
      <c r="H880" s="31">
        <v>430.15</v>
      </c>
      <c r="I880" s="39"/>
      <c r="J880" s="31">
        <f>H880*(1-$I$4)</f>
        <v>430.15</v>
      </c>
      <c r="K880" s="33">
        <f>ROUND(G880*J880,2)</f>
        <v>19829.92</v>
      </c>
      <c r="L880" s="34" t="s">
        <v>28</v>
      </c>
      <c r="M880" s="35"/>
      <c r="N880" s="3">
        <v>1</v>
      </c>
      <c r="O880" s="21">
        <v>335.94</v>
      </c>
      <c r="P880" s="22" t="s">
        <v>378</v>
      </c>
      <c r="Q880" s="38"/>
      <c r="R880" s="38"/>
    </row>
    <row r="881" s="3" customFormat="1" ht="72" customHeight="1" outlineLevel="2" spans="1:18">
      <c r="A881" s="41">
        <f>1+N(A880)</f>
        <v>4</v>
      </c>
      <c r="B881" s="28" t="s">
        <v>41</v>
      </c>
      <c r="C881" s="28" t="s">
        <v>42</v>
      </c>
      <c r="D881" s="28" t="s">
        <v>25</v>
      </c>
      <c r="E881" s="28" t="s">
        <v>26</v>
      </c>
      <c r="F881" s="29" t="s">
        <v>27</v>
      </c>
      <c r="G881" s="30">
        <v>42.62</v>
      </c>
      <c r="H881" s="31">
        <v>64.9</v>
      </c>
      <c r="I881" s="39"/>
      <c r="J881" s="31">
        <f>H881*(1-$I$4)</f>
        <v>64.9</v>
      </c>
      <c r="K881" s="33">
        <f>ROUND(G881*J881,2)</f>
        <v>2766.04</v>
      </c>
      <c r="L881" s="34" t="s">
        <v>28</v>
      </c>
      <c r="M881" s="35"/>
      <c r="N881" s="3">
        <v>1</v>
      </c>
      <c r="O881" s="21">
        <v>61.38</v>
      </c>
      <c r="P881" s="22" t="s">
        <v>43</v>
      </c>
      <c r="Q881" s="38"/>
      <c r="R881" s="38"/>
    </row>
    <row r="882" s="3" customFormat="1" outlineLevel="1" spans="1:18">
      <c r="A882" s="40"/>
      <c r="B882" s="28" t="s">
        <v>44</v>
      </c>
      <c r="C882" s="28"/>
      <c r="D882" s="28"/>
      <c r="E882" s="28"/>
      <c r="F882" s="29"/>
      <c r="G882" s="30"/>
      <c r="H882" s="31"/>
      <c r="I882" s="39"/>
      <c r="J882" s="31"/>
      <c r="K882" s="33"/>
      <c r="L882" s="34"/>
      <c r="M882" s="35"/>
      <c r="O882" s="36"/>
      <c r="P882" s="37"/>
      <c r="Q882" s="38"/>
      <c r="R882" s="38"/>
    </row>
    <row r="883" s="3" customFormat="1" ht="156" customHeight="1" outlineLevel="2" spans="1:18">
      <c r="A883" s="41">
        <f t="shared" ref="A883:A890" si="129">1+N(A882)</f>
        <v>1</v>
      </c>
      <c r="B883" s="28" t="s">
        <v>50</v>
      </c>
      <c r="C883" s="28" t="s">
        <v>338</v>
      </c>
      <c r="D883" s="28" t="s">
        <v>52</v>
      </c>
      <c r="E883" s="28" t="s">
        <v>48</v>
      </c>
      <c r="F883" s="29" t="s">
        <v>27</v>
      </c>
      <c r="G883" s="30">
        <v>37.13</v>
      </c>
      <c r="H883" s="31">
        <v>851.9</v>
      </c>
      <c r="I883" s="39"/>
      <c r="J883" s="31">
        <f t="shared" ref="J883:J890" si="130">H883*(1-$I$4)</f>
        <v>851.9</v>
      </c>
      <c r="K883" s="33">
        <f t="shared" ref="K883:K890" si="131">ROUND(G883*J883,2)</f>
        <v>31631.05</v>
      </c>
      <c r="L883" s="34" t="s">
        <v>28</v>
      </c>
      <c r="M883" s="35"/>
      <c r="N883" s="3">
        <v>1</v>
      </c>
      <c r="O883" s="21">
        <v>1029.66</v>
      </c>
      <c r="P883" s="22" t="s">
        <v>490</v>
      </c>
      <c r="Q883" s="38"/>
      <c r="R883" s="38"/>
    </row>
    <row r="884" s="3" customFormat="1" ht="168" customHeight="1" outlineLevel="2" spans="1:18">
      <c r="A884" s="41">
        <f t="shared" si="129"/>
        <v>2</v>
      </c>
      <c r="B884" s="28" t="s">
        <v>54</v>
      </c>
      <c r="C884" s="28" t="s">
        <v>340</v>
      </c>
      <c r="D884" s="28" t="s">
        <v>52</v>
      </c>
      <c r="E884" s="28" t="s">
        <v>48</v>
      </c>
      <c r="F884" s="29" t="s">
        <v>27</v>
      </c>
      <c r="G884" s="30">
        <v>3.6</v>
      </c>
      <c r="H884" s="31">
        <v>2016.38</v>
      </c>
      <c r="I884" s="39"/>
      <c r="J884" s="31">
        <f t="shared" si="130"/>
        <v>2016.38</v>
      </c>
      <c r="K884" s="33">
        <f t="shared" si="131"/>
        <v>7258.97</v>
      </c>
      <c r="L884" s="34" t="s">
        <v>28</v>
      </c>
      <c r="M884" s="35"/>
      <c r="N884" s="3">
        <v>1</v>
      </c>
      <c r="O884" s="21">
        <v>1174.03</v>
      </c>
      <c r="P884" s="22" t="s">
        <v>341</v>
      </c>
      <c r="Q884" s="38"/>
      <c r="R884" s="38"/>
    </row>
    <row r="885" s="3" customFormat="1" ht="96" customHeight="1" outlineLevel="2" spans="1:18">
      <c r="A885" s="41">
        <f t="shared" si="129"/>
        <v>3</v>
      </c>
      <c r="B885" s="28" t="s">
        <v>575</v>
      </c>
      <c r="C885" s="45" t="s">
        <v>576</v>
      </c>
      <c r="D885" s="28" t="s">
        <v>47</v>
      </c>
      <c r="E885" s="28" t="s">
        <v>48</v>
      </c>
      <c r="F885" s="29" t="s">
        <v>27</v>
      </c>
      <c r="G885" s="30">
        <v>4.96</v>
      </c>
      <c r="H885" s="31">
        <v>698.99</v>
      </c>
      <c r="I885" s="39"/>
      <c r="J885" s="31">
        <f t="shared" si="130"/>
        <v>698.99</v>
      </c>
      <c r="K885" s="33">
        <f t="shared" si="131"/>
        <v>3466.99</v>
      </c>
      <c r="L885" s="34" t="s">
        <v>28</v>
      </c>
      <c r="M885" s="35"/>
      <c r="N885" s="3">
        <v>1</v>
      </c>
      <c r="O885" s="21">
        <v>405.35</v>
      </c>
      <c r="P885" s="22" t="s">
        <v>577</v>
      </c>
      <c r="Q885" s="38"/>
      <c r="R885" s="38"/>
    </row>
    <row r="886" s="3" customFormat="1" ht="120" customHeight="1" outlineLevel="2" spans="1:18">
      <c r="A886" s="41">
        <f t="shared" si="129"/>
        <v>4</v>
      </c>
      <c r="B886" s="28" t="s">
        <v>385</v>
      </c>
      <c r="C886" s="28" t="s">
        <v>386</v>
      </c>
      <c r="D886" s="28" t="s">
        <v>52</v>
      </c>
      <c r="E886" s="28" t="s">
        <v>63</v>
      </c>
      <c r="F886" s="29" t="s">
        <v>27</v>
      </c>
      <c r="G886" s="30">
        <v>6.31</v>
      </c>
      <c r="H886" s="31">
        <v>935.15</v>
      </c>
      <c r="I886" s="39"/>
      <c r="J886" s="31">
        <f t="shared" si="130"/>
        <v>935.15</v>
      </c>
      <c r="K886" s="33">
        <f t="shared" si="131"/>
        <v>5900.8</v>
      </c>
      <c r="L886" s="34" t="s">
        <v>28</v>
      </c>
      <c r="M886" s="35"/>
      <c r="N886" s="3">
        <v>1</v>
      </c>
      <c r="O886" s="21">
        <v>735.46</v>
      </c>
      <c r="P886" s="22" t="s">
        <v>387</v>
      </c>
      <c r="Q886" s="38"/>
      <c r="R886" s="38"/>
    </row>
    <row r="887" s="3" customFormat="1" ht="96" customHeight="1" outlineLevel="2" spans="1:18">
      <c r="A887" s="41">
        <f t="shared" si="129"/>
        <v>5</v>
      </c>
      <c r="B887" s="28" t="s">
        <v>295</v>
      </c>
      <c r="C887" s="28" t="s">
        <v>296</v>
      </c>
      <c r="D887" s="28" t="s">
        <v>59</v>
      </c>
      <c r="E887" s="28" t="s">
        <v>26</v>
      </c>
      <c r="F887" s="29" t="s">
        <v>27</v>
      </c>
      <c r="G887" s="30">
        <v>39.25</v>
      </c>
      <c r="H887" s="31">
        <v>311.52</v>
      </c>
      <c r="I887" s="39"/>
      <c r="J887" s="31">
        <f t="shared" si="130"/>
        <v>311.52</v>
      </c>
      <c r="K887" s="33">
        <f t="shared" si="131"/>
        <v>12227.16</v>
      </c>
      <c r="L887" s="34" t="s">
        <v>28</v>
      </c>
      <c r="M887" s="35"/>
      <c r="N887" s="3">
        <v>1</v>
      </c>
      <c r="O887" s="21">
        <v>278.47</v>
      </c>
      <c r="P887" s="22" t="s">
        <v>297</v>
      </c>
      <c r="Q887" s="38"/>
      <c r="R887" s="38"/>
    </row>
    <row r="888" s="3" customFormat="1" ht="96" customHeight="1" outlineLevel="2" spans="1:18">
      <c r="A888" s="41">
        <f t="shared" si="129"/>
        <v>6</v>
      </c>
      <c r="B888" s="28" t="s">
        <v>205</v>
      </c>
      <c r="C888" s="28" t="s">
        <v>345</v>
      </c>
      <c r="D888" s="28" t="s">
        <v>59</v>
      </c>
      <c r="E888" s="28" t="s">
        <v>207</v>
      </c>
      <c r="F888" s="29" t="s">
        <v>27</v>
      </c>
      <c r="G888" s="30">
        <v>18.96</v>
      </c>
      <c r="H888" s="31">
        <v>338.66</v>
      </c>
      <c r="I888" s="39"/>
      <c r="J888" s="31">
        <f t="shared" si="130"/>
        <v>338.66</v>
      </c>
      <c r="K888" s="33">
        <f t="shared" si="131"/>
        <v>6420.99</v>
      </c>
      <c r="L888" s="34" t="s">
        <v>28</v>
      </c>
      <c r="M888" s="35"/>
      <c r="N888" s="3">
        <v>1</v>
      </c>
      <c r="O888" s="21">
        <v>356.29</v>
      </c>
      <c r="P888" s="22" t="s">
        <v>208</v>
      </c>
      <c r="Q888" s="38"/>
      <c r="R888" s="38"/>
    </row>
    <row r="889" s="3" customFormat="1" ht="96" customHeight="1" outlineLevel="2" spans="1:18">
      <c r="A889" s="41">
        <f t="shared" si="129"/>
        <v>7</v>
      </c>
      <c r="B889" s="28" t="s">
        <v>302</v>
      </c>
      <c r="C889" s="28" t="s">
        <v>303</v>
      </c>
      <c r="D889" s="28" t="s">
        <v>59</v>
      </c>
      <c r="E889" s="28" t="s">
        <v>207</v>
      </c>
      <c r="F889" s="29" t="s">
        <v>27</v>
      </c>
      <c r="G889" s="30">
        <v>9.31</v>
      </c>
      <c r="H889" s="31">
        <v>1071.91</v>
      </c>
      <c r="I889" s="39"/>
      <c r="J889" s="31">
        <f t="shared" si="130"/>
        <v>1071.91</v>
      </c>
      <c r="K889" s="33">
        <f t="shared" si="131"/>
        <v>9979.48</v>
      </c>
      <c r="L889" s="34" t="s">
        <v>28</v>
      </c>
      <c r="M889" s="35"/>
      <c r="N889" s="3">
        <v>1</v>
      </c>
      <c r="O889" s="21">
        <v>573.32</v>
      </c>
      <c r="P889" s="22" t="s">
        <v>578</v>
      </c>
      <c r="Q889" s="38"/>
      <c r="R889" s="38"/>
    </row>
    <row r="890" s="3" customFormat="1" ht="96" customHeight="1" outlineLevel="2" spans="1:18">
      <c r="A890" s="41">
        <f t="shared" si="129"/>
        <v>8</v>
      </c>
      <c r="B890" s="28" t="s">
        <v>75</v>
      </c>
      <c r="C890" s="28" t="s">
        <v>76</v>
      </c>
      <c r="D890" s="28" t="s">
        <v>59</v>
      </c>
      <c r="E890" s="28" t="s">
        <v>38</v>
      </c>
      <c r="F890" s="29" t="s">
        <v>39</v>
      </c>
      <c r="G890" s="30">
        <v>35.42</v>
      </c>
      <c r="H890" s="31">
        <v>67.08</v>
      </c>
      <c r="I890" s="39"/>
      <c r="J890" s="31">
        <f t="shared" si="130"/>
        <v>67.08</v>
      </c>
      <c r="K890" s="33">
        <f t="shared" si="131"/>
        <v>2375.97</v>
      </c>
      <c r="L890" s="34" t="s">
        <v>28</v>
      </c>
      <c r="M890" s="35"/>
      <c r="N890" s="3">
        <v>1</v>
      </c>
      <c r="O890" s="21">
        <v>45.71</v>
      </c>
      <c r="P890" s="22" t="s">
        <v>77</v>
      </c>
      <c r="Q890" s="38"/>
      <c r="R890" s="38"/>
    </row>
    <row r="891" s="3" customFormat="1" outlineLevel="1" spans="1:18">
      <c r="A891" s="40"/>
      <c r="B891" s="28" t="s">
        <v>90</v>
      </c>
      <c r="C891" s="28"/>
      <c r="D891" s="28"/>
      <c r="E891" s="28"/>
      <c r="F891" s="29"/>
      <c r="G891" s="30"/>
      <c r="H891" s="31"/>
      <c r="I891" s="39"/>
      <c r="J891" s="31"/>
      <c r="K891" s="33"/>
      <c r="L891" s="34"/>
      <c r="M891" s="35"/>
      <c r="O891" s="36"/>
      <c r="P891" s="37"/>
      <c r="Q891" s="38"/>
      <c r="R891" s="38"/>
    </row>
    <row r="892" s="3" customFormat="1" ht="168" customHeight="1" outlineLevel="2" spans="1:18">
      <c r="A892" s="41">
        <f t="shared" ref="A892:A901" si="132">1+N(A891)</f>
        <v>1</v>
      </c>
      <c r="B892" s="28" t="s">
        <v>91</v>
      </c>
      <c r="C892" s="28" t="s">
        <v>92</v>
      </c>
      <c r="D892" s="28" t="s">
        <v>93</v>
      </c>
      <c r="E892" s="28" t="s">
        <v>94</v>
      </c>
      <c r="F892" s="29" t="s">
        <v>27</v>
      </c>
      <c r="G892" s="30">
        <v>59.86</v>
      </c>
      <c r="H892" s="31">
        <v>174.57</v>
      </c>
      <c r="I892" s="39"/>
      <c r="J892" s="31">
        <f t="shared" ref="J892:J901" si="133">H892*(1-$I$4)</f>
        <v>174.57</v>
      </c>
      <c r="K892" s="33">
        <f t="shared" ref="K892:K901" si="134">ROUND(G892*J892,2)</f>
        <v>10449.76</v>
      </c>
      <c r="L892" s="34" t="s">
        <v>28</v>
      </c>
      <c r="M892" s="35"/>
      <c r="N892" s="3">
        <v>1</v>
      </c>
      <c r="O892" s="21">
        <v>150.38</v>
      </c>
      <c r="P892" s="22" t="s">
        <v>95</v>
      </c>
      <c r="Q892" s="38"/>
      <c r="R892" s="38"/>
    </row>
    <row r="893" s="3" customFormat="1" ht="168" customHeight="1" outlineLevel="2" spans="1:18">
      <c r="A893" s="41">
        <f t="shared" si="132"/>
        <v>2</v>
      </c>
      <c r="B893" s="28" t="s">
        <v>579</v>
      </c>
      <c r="C893" s="28" t="s">
        <v>580</v>
      </c>
      <c r="D893" s="28" t="s">
        <v>93</v>
      </c>
      <c r="E893" s="28" t="s">
        <v>94</v>
      </c>
      <c r="F893" s="29" t="s">
        <v>27</v>
      </c>
      <c r="G893" s="30">
        <v>9.96</v>
      </c>
      <c r="H893" s="31">
        <v>268.92</v>
      </c>
      <c r="I893" s="39"/>
      <c r="J893" s="31">
        <f t="shared" si="133"/>
        <v>268.92</v>
      </c>
      <c r="K893" s="33">
        <f t="shared" si="134"/>
        <v>2678.44</v>
      </c>
      <c r="L893" s="34" t="s">
        <v>28</v>
      </c>
      <c r="M893" s="35"/>
      <c r="N893" s="3">
        <v>1</v>
      </c>
      <c r="O893" s="21">
        <v>300.85</v>
      </c>
      <c r="P893" s="22" t="s">
        <v>581</v>
      </c>
      <c r="Q893" s="38"/>
      <c r="R893" s="38"/>
    </row>
    <row r="894" s="3" customFormat="1" ht="156" customHeight="1" outlineLevel="2" spans="1:18">
      <c r="A894" s="41">
        <f t="shared" si="132"/>
        <v>3</v>
      </c>
      <c r="B894" s="28" t="s">
        <v>499</v>
      </c>
      <c r="C894" s="28" t="s">
        <v>500</v>
      </c>
      <c r="D894" s="28" t="s">
        <v>353</v>
      </c>
      <c r="E894" s="28" t="s">
        <v>354</v>
      </c>
      <c r="F894" s="29" t="s">
        <v>27</v>
      </c>
      <c r="G894" s="30">
        <v>10.27</v>
      </c>
      <c r="H894" s="31">
        <v>796.21</v>
      </c>
      <c r="I894" s="39"/>
      <c r="J894" s="31">
        <f t="shared" si="133"/>
        <v>796.21</v>
      </c>
      <c r="K894" s="33">
        <f t="shared" si="134"/>
        <v>8177.08</v>
      </c>
      <c r="L894" s="34" t="s">
        <v>28</v>
      </c>
      <c r="M894" s="35"/>
      <c r="N894" s="3">
        <v>1</v>
      </c>
      <c r="O894" s="21">
        <v>666.05</v>
      </c>
      <c r="P894" s="22" t="s">
        <v>501</v>
      </c>
      <c r="Q894" s="38"/>
      <c r="R894" s="38"/>
    </row>
    <row r="895" s="3" customFormat="1" ht="156" customHeight="1" outlineLevel="2" spans="1:18">
      <c r="A895" s="41">
        <f t="shared" si="132"/>
        <v>4</v>
      </c>
      <c r="B895" s="28" t="s">
        <v>351</v>
      </c>
      <c r="C895" s="28" t="s">
        <v>360</v>
      </c>
      <c r="D895" s="28" t="s">
        <v>353</v>
      </c>
      <c r="E895" s="28" t="s">
        <v>354</v>
      </c>
      <c r="F895" s="29" t="s">
        <v>27</v>
      </c>
      <c r="G895" s="30">
        <v>8.61</v>
      </c>
      <c r="H895" s="31">
        <v>506.22</v>
      </c>
      <c r="I895" s="39"/>
      <c r="J895" s="31">
        <f t="shared" si="133"/>
        <v>506.22</v>
      </c>
      <c r="K895" s="33">
        <f t="shared" si="134"/>
        <v>4358.55</v>
      </c>
      <c r="L895" s="34" t="s">
        <v>28</v>
      </c>
      <c r="M895" s="35"/>
      <c r="N895" s="3">
        <v>1</v>
      </c>
      <c r="O895" s="21">
        <v>399.3</v>
      </c>
      <c r="P895" s="22" t="s">
        <v>582</v>
      </c>
      <c r="Q895" s="38"/>
      <c r="R895" s="38"/>
    </row>
    <row r="896" s="3" customFormat="1" ht="48" customHeight="1" outlineLevel="2" spans="1:18">
      <c r="A896" s="41">
        <f t="shared" si="132"/>
        <v>5</v>
      </c>
      <c r="B896" s="28" t="s">
        <v>96</v>
      </c>
      <c r="C896" s="28" t="s">
        <v>97</v>
      </c>
      <c r="D896" s="28" t="s">
        <v>98</v>
      </c>
      <c r="E896" s="28" t="s">
        <v>99</v>
      </c>
      <c r="F896" s="29" t="s">
        <v>39</v>
      </c>
      <c r="G896" s="30">
        <v>25.1</v>
      </c>
      <c r="H896" s="31">
        <v>112.16</v>
      </c>
      <c r="I896" s="39"/>
      <c r="J896" s="31">
        <f t="shared" si="133"/>
        <v>112.16</v>
      </c>
      <c r="K896" s="33">
        <f t="shared" si="134"/>
        <v>2815.22</v>
      </c>
      <c r="L896" s="34" t="s">
        <v>28</v>
      </c>
      <c r="M896" s="35"/>
      <c r="N896" s="3">
        <v>1</v>
      </c>
      <c r="O896" s="21">
        <v>79.3</v>
      </c>
      <c r="P896" s="22" t="s">
        <v>100</v>
      </c>
      <c r="Q896" s="38"/>
      <c r="R896" s="38"/>
    </row>
    <row r="897" s="3" customFormat="1" ht="48" customHeight="1" outlineLevel="2" spans="1:20">
      <c r="A897" s="41">
        <f t="shared" si="132"/>
        <v>6</v>
      </c>
      <c r="B897" s="28" t="s">
        <v>101</v>
      </c>
      <c r="C897" s="28" t="s">
        <v>102</v>
      </c>
      <c r="D897" s="28" t="s">
        <v>98</v>
      </c>
      <c r="E897" s="28" t="s">
        <v>99</v>
      </c>
      <c r="F897" s="29" t="s">
        <v>39</v>
      </c>
      <c r="G897" s="30">
        <v>25.1</v>
      </c>
      <c r="H897" s="31">
        <v>75.82</v>
      </c>
      <c r="I897" s="39"/>
      <c r="J897" s="31">
        <f t="shared" si="133"/>
        <v>75.82</v>
      </c>
      <c r="K897" s="33">
        <f t="shared" si="134"/>
        <v>1903.08</v>
      </c>
      <c r="L897" s="34" t="s">
        <v>28</v>
      </c>
      <c r="M897" s="35"/>
      <c r="N897" s="3">
        <v>1</v>
      </c>
      <c r="O897" s="21">
        <v>203.56</v>
      </c>
      <c r="P897" s="22" t="s">
        <v>103</v>
      </c>
      <c r="Q897" s="38"/>
      <c r="R897" s="38"/>
    </row>
    <row r="898" s="3" customFormat="1" ht="60" customHeight="1" outlineLevel="2" spans="1:20">
      <c r="A898" s="41">
        <f t="shared" si="132"/>
        <v>7</v>
      </c>
      <c r="B898" s="28" t="s">
        <v>356</v>
      </c>
      <c r="C898" s="28" t="s">
        <v>357</v>
      </c>
      <c r="D898" s="28" t="s">
        <v>98</v>
      </c>
      <c r="E898" s="28" t="s">
        <v>99</v>
      </c>
      <c r="F898" s="29" t="s">
        <v>39</v>
      </c>
      <c r="G898" s="30">
        <v>7.67</v>
      </c>
      <c r="H898" s="31">
        <v>123.19</v>
      </c>
      <c r="I898" s="39"/>
      <c r="J898" s="31">
        <f t="shared" si="133"/>
        <v>123.19</v>
      </c>
      <c r="K898" s="33">
        <f t="shared" si="134"/>
        <v>944.87</v>
      </c>
      <c r="L898" s="34" t="s">
        <v>28</v>
      </c>
      <c r="M898" s="35"/>
      <c r="N898" s="3">
        <v>1</v>
      </c>
      <c r="O898" s="21">
        <v>93.14</v>
      </c>
      <c r="P898" s="22" t="s">
        <v>358</v>
      </c>
      <c r="Q898" s="38"/>
      <c r="R898" s="38"/>
    </row>
    <row r="899" s="3" customFormat="1" ht="48" customHeight="1" outlineLevel="2" spans="1:20">
      <c r="A899" s="41">
        <f t="shared" si="132"/>
        <v>8</v>
      </c>
      <c r="B899" s="28" t="s">
        <v>104</v>
      </c>
      <c r="C899" s="28" t="s">
        <v>105</v>
      </c>
      <c r="D899" s="28" t="s">
        <v>98</v>
      </c>
      <c r="E899" s="28" t="s">
        <v>99</v>
      </c>
      <c r="F899" s="29" t="s">
        <v>39</v>
      </c>
      <c r="G899" s="30">
        <v>7.2</v>
      </c>
      <c r="H899" s="31">
        <v>109.74</v>
      </c>
      <c r="I899" s="39"/>
      <c r="J899" s="31">
        <f t="shared" si="133"/>
        <v>109.74</v>
      </c>
      <c r="K899" s="33">
        <f t="shared" si="134"/>
        <v>790.13</v>
      </c>
      <c r="L899" s="34" t="s">
        <v>28</v>
      </c>
      <c r="M899" s="35"/>
      <c r="N899" s="3">
        <v>1</v>
      </c>
      <c r="O899" s="21">
        <v>108.2</v>
      </c>
      <c r="P899" s="22" t="s">
        <v>106</v>
      </c>
      <c r="Q899" s="38"/>
      <c r="R899" s="38"/>
    </row>
    <row r="900" s="3" customFormat="1" ht="132" customHeight="1" outlineLevel="2" spans="1:20">
      <c r="A900" s="41">
        <f t="shared" si="132"/>
        <v>9</v>
      </c>
      <c r="B900" s="28" t="s">
        <v>107</v>
      </c>
      <c r="C900" s="28" t="s">
        <v>108</v>
      </c>
      <c r="D900" s="28" t="s">
        <v>109</v>
      </c>
      <c r="E900" s="28" t="s">
        <v>110</v>
      </c>
      <c r="F900" s="29" t="s">
        <v>27</v>
      </c>
      <c r="G900" s="30">
        <v>89.03</v>
      </c>
      <c r="H900" s="31">
        <v>152.22</v>
      </c>
      <c r="I900" s="39"/>
      <c r="J900" s="31">
        <f t="shared" si="133"/>
        <v>152.22</v>
      </c>
      <c r="K900" s="33">
        <f t="shared" si="134"/>
        <v>13552.15</v>
      </c>
      <c r="L900" s="34" t="s">
        <v>28</v>
      </c>
      <c r="M900" s="35"/>
      <c r="N900" s="3">
        <v>1</v>
      </c>
      <c r="O900" s="21">
        <v>151.58</v>
      </c>
      <c r="P900" s="22" t="s">
        <v>111</v>
      </c>
      <c r="Q900" s="38"/>
      <c r="R900" s="38"/>
    </row>
    <row r="901" s="3" customFormat="1" ht="156" customHeight="1" outlineLevel="2" spans="1:20">
      <c r="A901" s="41">
        <f t="shared" si="132"/>
        <v>10</v>
      </c>
      <c r="B901" s="28" t="s">
        <v>359</v>
      </c>
      <c r="C901" s="28" t="s">
        <v>360</v>
      </c>
      <c r="D901" s="28" t="s">
        <v>353</v>
      </c>
      <c r="E901" s="28" t="s">
        <v>354</v>
      </c>
      <c r="F901" s="29" t="s">
        <v>27</v>
      </c>
      <c r="G901" s="30">
        <v>8.61</v>
      </c>
      <c r="H901" s="31">
        <v>31.39</v>
      </c>
      <c r="I901" s="39"/>
      <c r="J901" s="31">
        <f t="shared" si="133"/>
        <v>31.39</v>
      </c>
      <c r="K901" s="33">
        <f t="shared" si="134"/>
        <v>270.27</v>
      </c>
      <c r="L901" s="34" t="s">
        <v>28</v>
      </c>
      <c r="M901" s="35"/>
      <c r="N901" s="3">
        <v>1</v>
      </c>
      <c r="O901" s="21">
        <v>23.95</v>
      </c>
      <c r="P901" s="22" t="s">
        <v>361</v>
      </c>
      <c r="Q901" s="38"/>
      <c r="R901" s="38"/>
    </row>
    <row r="902" s="3" customFormat="1" outlineLevel="1" spans="1:20">
      <c r="A902" s="40"/>
      <c r="B902" s="28" t="s">
        <v>112</v>
      </c>
      <c r="C902" s="28"/>
      <c r="D902" s="28"/>
      <c r="E902" s="28"/>
      <c r="F902" s="29"/>
      <c r="G902" s="30"/>
      <c r="H902" s="31"/>
      <c r="I902" s="39"/>
      <c r="J902" s="31"/>
      <c r="K902" s="33"/>
      <c r="L902" s="34"/>
      <c r="M902" s="35"/>
      <c r="O902" s="36"/>
      <c r="P902" s="37"/>
      <c r="Q902" s="38"/>
      <c r="R902" s="38"/>
    </row>
    <row r="903" s="3" customFormat="1" ht="96" customHeight="1" outlineLevel="2" spans="1:20">
      <c r="A903" s="41">
        <f>1+N(A902)</f>
        <v>1</v>
      </c>
      <c r="B903" s="28" t="s">
        <v>439</v>
      </c>
      <c r="C903" s="28" t="s">
        <v>583</v>
      </c>
      <c r="D903" s="28" t="s">
        <v>98</v>
      </c>
      <c r="E903" s="28" t="s">
        <v>115</v>
      </c>
      <c r="F903" s="29" t="s">
        <v>175</v>
      </c>
      <c r="G903" s="30">
        <v>1</v>
      </c>
      <c r="H903" s="31">
        <v>29625.75</v>
      </c>
      <c r="I903" s="39"/>
      <c r="J903" s="31">
        <f>H903*(1-$I$4)</f>
        <v>29625.75</v>
      </c>
      <c r="K903" s="33">
        <f>ROUND(G903*J903,2)</f>
        <v>29625.75</v>
      </c>
      <c r="L903" s="34" t="s">
        <v>28</v>
      </c>
      <c r="M903" s="35"/>
      <c r="N903" s="3">
        <v>1</v>
      </c>
      <c r="O903" s="21">
        <v>18735.9</v>
      </c>
      <c r="P903" s="22" t="s">
        <v>584</v>
      </c>
      <c r="Q903" s="38"/>
      <c r="R903" s="38"/>
    </row>
    <row r="904" s="3" customFormat="1" ht="96" customHeight="1" outlineLevel="2" spans="1:20">
      <c r="A904" s="41">
        <f>1+N(A903)</f>
        <v>2</v>
      </c>
      <c r="B904" s="28" t="s">
        <v>585</v>
      </c>
      <c r="C904" s="28" t="s">
        <v>586</v>
      </c>
      <c r="D904" s="28" t="s">
        <v>98</v>
      </c>
      <c r="E904" s="28" t="s">
        <v>115</v>
      </c>
      <c r="F904" s="29" t="s">
        <v>39</v>
      </c>
      <c r="G904" s="30">
        <v>3.4</v>
      </c>
      <c r="H904" s="31">
        <v>3289.26</v>
      </c>
      <c r="I904" s="39"/>
      <c r="J904" s="31">
        <f>H904*(1-$I$4)</f>
        <v>3289.26</v>
      </c>
      <c r="K904" s="33">
        <f>ROUND(G904*J904,2)</f>
        <v>11183.48</v>
      </c>
      <c r="L904" s="34" t="s">
        <v>28</v>
      </c>
      <c r="M904" s="35"/>
      <c r="N904" s="3">
        <v>1</v>
      </c>
      <c r="O904" s="21">
        <v>1816.65</v>
      </c>
      <c r="P904" s="22" t="s">
        <v>587</v>
      </c>
      <c r="Q904" s="38"/>
      <c r="R904" s="38"/>
    </row>
    <row r="905" s="3" customFormat="1" ht="48" customHeight="1" outlineLevel="2" spans="1:20">
      <c r="A905" s="41">
        <f>1+N(A904)</f>
        <v>3</v>
      </c>
      <c r="B905" s="28" t="s">
        <v>588</v>
      </c>
      <c r="C905" s="28" t="s">
        <v>589</v>
      </c>
      <c r="D905" s="28" t="s">
        <v>98</v>
      </c>
      <c r="E905" s="28" t="s">
        <v>115</v>
      </c>
      <c r="F905" s="29" t="s">
        <v>39</v>
      </c>
      <c r="G905" s="30">
        <v>9.6</v>
      </c>
      <c r="H905" s="31">
        <v>1392.4</v>
      </c>
      <c r="I905" s="39"/>
      <c r="J905" s="31">
        <f>H905*(1-$I$4)</f>
        <v>1392.4</v>
      </c>
      <c r="K905" s="33">
        <f>ROUND(G905*J905,2)</f>
        <v>13367.04</v>
      </c>
      <c r="L905" s="34" t="s">
        <v>28</v>
      </c>
      <c r="M905" s="35"/>
      <c r="N905" s="3">
        <v>1</v>
      </c>
      <c r="O905" s="21">
        <v>2960.43</v>
      </c>
      <c r="P905" s="22" t="s">
        <v>590</v>
      </c>
      <c r="Q905" s="38"/>
      <c r="R905" s="38"/>
    </row>
    <row r="906" s="3" customFormat="1" outlineLevel="1" spans="1:20">
      <c r="A906" s="27" t="s">
        <v>591</v>
      </c>
      <c r="B906" s="28" t="s">
        <v>180</v>
      </c>
      <c r="C906" s="28"/>
      <c r="D906" s="28"/>
      <c r="E906" s="28"/>
      <c r="F906" s="29"/>
      <c r="G906" s="30"/>
      <c r="H906" s="31"/>
      <c r="I906" s="39"/>
      <c r="J906" s="31"/>
      <c r="K906" s="33"/>
      <c r="L906" s="34"/>
      <c r="M906" s="35"/>
      <c r="O906" s="36"/>
      <c r="P906" s="37"/>
      <c r="Q906" s="38"/>
      <c r="R906" s="38"/>
    </row>
    <row r="907" s="3" customFormat="1" outlineLevel="1" spans="1:20">
      <c r="A907" s="40"/>
      <c r="B907" s="28" t="s">
        <v>181</v>
      </c>
      <c r="C907" s="28"/>
      <c r="D907" s="28"/>
      <c r="E907" s="28"/>
      <c r="F907" s="29"/>
      <c r="G907" s="30"/>
      <c r="H907" s="31"/>
      <c r="I907" s="39"/>
      <c r="J907" s="31"/>
      <c r="K907" s="33"/>
      <c r="L907" s="34"/>
      <c r="M907" s="35"/>
      <c r="O907" s="36"/>
      <c r="P907" s="37"/>
      <c r="Q907" s="38"/>
      <c r="R907" s="38"/>
    </row>
    <row r="908" s="3" customFormat="1" ht="132" customHeight="1" outlineLevel="2" spans="1:20">
      <c r="A908" s="41">
        <f>1+N(A907)</f>
        <v>1</v>
      </c>
      <c r="B908" s="28" t="s">
        <v>268</v>
      </c>
      <c r="C908" s="28" t="s">
        <v>269</v>
      </c>
      <c r="D908" s="28" t="s">
        <v>270</v>
      </c>
      <c r="E908" s="28" t="s">
        <v>271</v>
      </c>
      <c r="F908" s="29" t="s">
        <v>272</v>
      </c>
      <c r="G908" s="30">
        <v>35.27</v>
      </c>
      <c r="H908" s="31">
        <v>711.34</v>
      </c>
      <c r="I908" s="39"/>
      <c r="J908" s="31">
        <f>H908*(1-$I$4)</f>
        <v>711.34</v>
      </c>
      <c r="K908" s="33">
        <f>ROUND(G908*J908,2)</f>
        <v>25088.96</v>
      </c>
      <c r="L908" s="34" t="s">
        <v>28</v>
      </c>
      <c r="M908" s="35"/>
      <c r="N908" s="3">
        <v>1</v>
      </c>
      <c r="O908" s="21">
        <v>887.43</v>
      </c>
      <c r="P908" s="22" t="s">
        <v>273</v>
      </c>
      <c r="Q908" s="38"/>
      <c r="R908" s="38"/>
    </row>
    <row r="909" s="3" customFormat="1" ht="156" customHeight="1" outlineLevel="2" spans="1:20">
      <c r="A909" s="41">
        <f>1+N(A908)</f>
        <v>2</v>
      </c>
      <c r="B909" s="28" t="s">
        <v>274</v>
      </c>
      <c r="C909" s="28" t="s">
        <v>275</v>
      </c>
      <c r="D909" s="28" t="s">
        <v>276</v>
      </c>
      <c r="E909" s="28" t="s">
        <v>277</v>
      </c>
      <c r="F909" s="29" t="s">
        <v>27</v>
      </c>
      <c r="G909" s="30">
        <v>358.52</v>
      </c>
      <c r="H909" s="31">
        <v>51.83</v>
      </c>
      <c r="I909" s="39"/>
      <c r="J909" s="31">
        <f>H909*(1-$I$4)</f>
        <v>51.83</v>
      </c>
      <c r="K909" s="33">
        <f>ROUND(G909*J909,2)</f>
        <v>18582.09</v>
      </c>
      <c r="L909" s="34" t="s">
        <v>28</v>
      </c>
      <c r="M909" s="35"/>
      <c r="N909" s="3">
        <v>1</v>
      </c>
      <c r="O909" s="21">
        <v>34.1</v>
      </c>
      <c r="P909" s="22" t="s">
        <v>278</v>
      </c>
      <c r="Q909" s="38"/>
      <c r="R909" s="38"/>
    </row>
    <row r="910" s="3" customFormat="1" ht="96" customHeight="1" outlineLevel="2" spans="1:20">
      <c r="A910" s="41">
        <f>1+N(A909)</f>
        <v>3</v>
      </c>
      <c r="B910" s="28" t="s">
        <v>182</v>
      </c>
      <c r="C910" s="28" t="s">
        <v>183</v>
      </c>
      <c r="D910" s="28" t="s">
        <v>59</v>
      </c>
      <c r="E910" s="28" t="s">
        <v>184</v>
      </c>
      <c r="F910" s="29" t="s">
        <v>27</v>
      </c>
      <c r="G910" s="30">
        <v>625.94</v>
      </c>
      <c r="H910" s="31">
        <v>205.03</v>
      </c>
      <c r="I910" s="39"/>
      <c r="J910" s="31">
        <f>H910*(1-$I$4)</f>
        <v>205.03</v>
      </c>
      <c r="K910" s="33">
        <f>ROUND(G910*J910,2)</f>
        <v>128336.48</v>
      </c>
      <c r="L910" s="34" t="s">
        <v>28</v>
      </c>
      <c r="M910" s="35"/>
      <c r="N910" s="3">
        <v>1</v>
      </c>
      <c r="O910" s="21">
        <v>176.3</v>
      </c>
      <c r="P910" s="22" t="s">
        <v>185</v>
      </c>
      <c r="Q910" s="38"/>
      <c r="R910" s="38"/>
    </row>
    <row r="911" s="4" customFormat="1" ht="24" customHeight="1" spans="1:20">
      <c r="A911" s="43" t="s">
        <v>592</v>
      </c>
      <c r="B911" s="17" t="s">
        <v>593</v>
      </c>
      <c r="C911" s="28"/>
      <c r="D911" s="28"/>
      <c r="E911" s="28"/>
      <c r="F911" s="29"/>
      <c r="G911" s="30"/>
      <c r="H911" s="31"/>
      <c r="I911" s="39"/>
      <c r="J911" s="31"/>
      <c r="K911" s="33"/>
      <c r="L911" s="34"/>
      <c r="M911" s="35"/>
      <c r="O911" s="44"/>
      <c r="P911" s="37"/>
      <c r="S911" s="3"/>
      <c r="T911" s="3"/>
    </row>
    <row r="912" s="3" customFormat="1" outlineLevel="1" spans="1:20">
      <c r="A912" s="27" t="s">
        <v>20</v>
      </c>
      <c r="B912" s="28" t="s">
        <v>594</v>
      </c>
      <c r="C912" s="28"/>
      <c r="D912" s="28"/>
      <c r="E912" s="28"/>
      <c r="F912" s="29"/>
      <c r="G912" s="30"/>
      <c r="H912" s="31"/>
      <c r="I912" s="39"/>
      <c r="J912" s="31"/>
      <c r="K912" s="33"/>
      <c r="L912" s="34"/>
      <c r="M912" s="35"/>
      <c r="O912" s="36"/>
      <c r="P912" s="37"/>
      <c r="Q912" s="38"/>
      <c r="R912" s="38"/>
    </row>
    <row r="913" s="3" customFormat="1" outlineLevel="1" spans="1:18">
      <c r="A913" s="40"/>
      <c r="B913" s="28" t="s">
        <v>22</v>
      </c>
      <c r="C913" s="28"/>
      <c r="D913" s="28"/>
      <c r="E913" s="28"/>
      <c r="F913" s="29"/>
      <c r="G913" s="30"/>
      <c r="H913" s="31"/>
      <c r="I913" s="39"/>
      <c r="J913" s="31"/>
      <c r="K913" s="33"/>
      <c r="L913" s="34"/>
      <c r="M913" s="35"/>
      <c r="O913" s="36"/>
      <c r="P913" s="37"/>
      <c r="Q913" s="38"/>
      <c r="R913" s="38"/>
    </row>
    <row r="914" s="3" customFormat="1" ht="156" customHeight="1" outlineLevel="2" spans="1:18">
      <c r="A914" s="41">
        <f>1+N(A913)</f>
        <v>1</v>
      </c>
      <c r="B914" s="28" t="s">
        <v>192</v>
      </c>
      <c r="C914" s="28" t="s">
        <v>247</v>
      </c>
      <c r="D914" s="28" t="s">
        <v>194</v>
      </c>
      <c r="E914" s="28" t="s">
        <v>195</v>
      </c>
      <c r="F914" s="29" t="s">
        <v>27</v>
      </c>
      <c r="G914" s="30">
        <v>37.24</v>
      </c>
      <c r="H914" s="31">
        <v>78.51</v>
      </c>
      <c r="I914" s="39"/>
      <c r="J914" s="31">
        <f>H914*(1-$I$4)</f>
        <v>78.51</v>
      </c>
      <c r="K914" s="33">
        <f>ROUND(G914*J914,2)</f>
        <v>2923.71</v>
      </c>
      <c r="L914" s="34" t="s">
        <v>28</v>
      </c>
      <c r="M914" s="35"/>
      <c r="O914" s="21">
        <v>65.78</v>
      </c>
      <c r="P914" s="22" t="s">
        <v>248</v>
      </c>
      <c r="Q914" s="38"/>
      <c r="R914" s="38"/>
    </row>
    <row r="915" s="3" customFormat="1" ht="72" customHeight="1" outlineLevel="2" spans="1:18">
      <c r="A915" s="41">
        <f>1+N(A914)</f>
        <v>2</v>
      </c>
      <c r="B915" s="28" t="s">
        <v>595</v>
      </c>
      <c r="C915" s="28" t="s">
        <v>596</v>
      </c>
      <c r="D915" s="28" t="s">
        <v>251</v>
      </c>
      <c r="E915" s="28" t="s">
        <v>26</v>
      </c>
      <c r="F915" s="29" t="s">
        <v>27</v>
      </c>
      <c r="G915" s="30">
        <v>37.24</v>
      </c>
      <c r="H915" s="31">
        <v>297.36</v>
      </c>
      <c r="I915" s="39"/>
      <c r="J915" s="31">
        <f>H915*(1-$I$4)</f>
        <v>297.36</v>
      </c>
      <c r="K915" s="33">
        <f>ROUND(G915*J915,2)</f>
        <v>11073.69</v>
      </c>
      <c r="L915" s="34" t="s">
        <v>28</v>
      </c>
      <c r="M915" s="35"/>
      <c r="O915" s="21">
        <v>577.5</v>
      </c>
      <c r="P915" s="22" t="s">
        <v>597</v>
      </c>
      <c r="Q915" s="38"/>
      <c r="R915" s="38"/>
    </row>
    <row r="916" s="3" customFormat="1" ht="72" customHeight="1" outlineLevel="2" spans="1:18">
      <c r="A916" s="41">
        <f>1+N(A915)</f>
        <v>3</v>
      </c>
      <c r="B916" s="28" t="s">
        <v>36</v>
      </c>
      <c r="C916" s="28" t="s">
        <v>37</v>
      </c>
      <c r="D916" s="28" t="s">
        <v>25</v>
      </c>
      <c r="E916" s="28" t="s">
        <v>38</v>
      </c>
      <c r="F916" s="29" t="s">
        <v>39</v>
      </c>
      <c r="G916" s="30">
        <v>3.86</v>
      </c>
      <c r="H916" s="31">
        <v>89.27</v>
      </c>
      <c r="I916" s="39"/>
      <c r="J916" s="31">
        <f>H916*(1-$I$4)</f>
        <v>89.27</v>
      </c>
      <c r="K916" s="33">
        <f>ROUND(G916*J916,2)</f>
        <v>344.58</v>
      </c>
      <c r="L916" s="34" t="s">
        <v>28</v>
      </c>
      <c r="M916" s="35"/>
      <c r="O916" s="21">
        <v>35.28</v>
      </c>
      <c r="P916" s="22" t="s">
        <v>40</v>
      </c>
      <c r="Q916" s="38"/>
      <c r="R916" s="38"/>
    </row>
    <row r="917" s="3" customFormat="1" outlineLevel="1" spans="1:18">
      <c r="A917" s="40"/>
      <c r="B917" s="28" t="s">
        <v>44</v>
      </c>
      <c r="C917" s="28"/>
      <c r="D917" s="28"/>
      <c r="E917" s="28"/>
      <c r="F917" s="29"/>
      <c r="G917" s="30"/>
      <c r="H917" s="31"/>
      <c r="I917" s="39"/>
      <c r="J917" s="31"/>
      <c r="K917" s="33"/>
      <c r="L917" s="34"/>
      <c r="M917" s="35"/>
      <c r="O917" s="36"/>
      <c r="P917" s="37"/>
      <c r="Q917" s="38"/>
      <c r="R917" s="38"/>
    </row>
    <row r="918" s="3" customFormat="1" ht="120" customHeight="1" outlineLevel="2" spans="1:18">
      <c r="A918" s="41">
        <f t="shared" ref="A918:A923" si="135">1+N(A917)</f>
        <v>1</v>
      </c>
      <c r="B918" s="28" t="s">
        <v>598</v>
      </c>
      <c r="C918" s="28" t="s">
        <v>599</v>
      </c>
      <c r="D918" s="28" t="s">
        <v>52</v>
      </c>
      <c r="E918" s="28" t="s">
        <v>63</v>
      </c>
      <c r="F918" s="29" t="s">
        <v>27</v>
      </c>
      <c r="G918" s="30">
        <v>46.91</v>
      </c>
      <c r="H918" s="31">
        <v>580.35</v>
      </c>
      <c r="I918" s="39"/>
      <c r="J918" s="31">
        <f t="shared" ref="J918:J923" si="136">H918*(1-$I$4)</f>
        <v>580.35</v>
      </c>
      <c r="K918" s="33">
        <f t="shared" ref="K918:K923" si="137">ROUND(G918*J918,2)</f>
        <v>27224.22</v>
      </c>
      <c r="L918" s="34" t="s">
        <v>28</v>
      </c>
      <c r="M918" s="35"/>
      <c r="O918" s="21">
        <v>615.32</v>
      </c>
      <c r="P918" s="22" t="s">
        <v>600</v>
      </c>
      <c r="Q918" s="38"/>
      <c r="R918" s="38"/>
    </row>
    <row r="919" s="3" customFormat="1" ht="96" customHeight="1" outlineLevel="2" spans="1:18">
      <c r="A919" s="41">
        <f t="shared" si="135"/>
        <v>2</v>
      </c>
      <c r="B919" s="28" t="s">
        <v>205</v>
      </c>
      <c r="C919" s="28" t="s">
        <v>206</v>
      </c>
      <c r="D919" s="28" t="s">
        <v>59</v>
      </c>
      <c r="E919" s="28" t="s">
        <v>207</v>
      </c>
      <c r="F919" s="29" t="s">
        <v>27</v>
      </c>
      <c r="G919" s="30">
        <v>24.75</v>
      </c>
      <c r="H919" s="31">
        <v>400.61</v>
      </c>
      <c r="I919" s="39"/>
      <c r="J919" s="31">
        <f t="shared" si="136"/>
        <v>400.61</v>
      </c>
      <c r="K919" s="33">
        <f t="shared" si="137"/>
        <v>9915.1</v>
      </c>
      <c r="L919" s="34" t="s">
        <v>28</v>
      </c>
      <c r="M919" s="35"/>
      <c r="O919" s="21">
        <v>356.29</v>
      </c>
      <c r="P919" s="22" t="s">
        <v>419</v>
      </c>
      <c r="Q919" s="38"/>
      <c r="R919" s="38"/>
    </row>
    <row r="920" s="3" customFormat="1" ht="96" customHeight="1" outlineLevel="2" spans="1:18">
      <c r="A920" s="41">
        <f t="shared" si="135"/>
        <v>3</v>
      </c>
      <c r="B920" s="28" t="s">
        <v>75</v>
      </c>
      <c r="C920" s="28" t="s">
        <v>76</v>
      </c>
      <c r="D920" s="28" t="s">
        <v>59</v>
      </c>
      <c r="E920" s="28" t="s">
        <v>38</v>
      </c>
      <c r="F920" s="29" t="s">
        <v>39</v>
      </c>
      <c r="G920" s="30">
        <v>25.52</v>
      </c>
      <c r="H920" s="31">
        <v>67.08</v>
      </c>
      <c r="I920" s="39"/>
      <c r="J920" s="31">
        <f t="shared" si="136"/>
        <v>67.08</v>
      </c>
      <c r="K920" s="33">
        <f t="shared" si="137"/>
        <v>1711.88</v>
      </c>
      <c r="L920" s="34" t="s">
        <v>28</v>
      </c>
      <c r="M920" s="35"/>
      <c r="O920" s="21">
        <v>45.71</v>
      </c>
      <c r="P920" s="22" t="s">
        <v>77</v>
      </c>
      <c r="Q920" s="38"/>
      <c r="R920" s="38"/>
    </row>
    <row r="921" s="3" customFormat="1" ht="96" customHeight="1" outlineLevel="2" spans="1:18">
      <c r="A921" s="41">
        <f t="shared" si="135"/>
        <v>4</v>
      </c>
      <c r="B921" s="28" t="s">
        <v>87</v>
      </c>
      <c r="C921" s="28" t="s">
        <v>88</v>
      </c>
      <c r="D921" s="28" t="s">
        <v>59</v>
      </c>
      <c r="E921" s="28" t="s">
        <v>38</v>
      </c>
      <c r="F921" s="29" t="s">
        <v>39</v>
      </c>
      <c r="G921" s="30">
        <v>21.5</v>
      </c>
      <c r="H921" s="31">
        <v>64.25</v>
      </c>
      <c r="I921" s="39"/>
      <c r="J921" s="31">
        <f t="shared" si="136"/>
        <v>64.25</v>
      </c>
      <c r="K921" s="33">
        <f t="shared" si="137"/>
        <v>1381.38</v>
      </c>
      <c r="L921" s="34" t="s">
        <v>28</v>
      </c>
      <c r="M921" s="35"/>
      <c r="O921" s="21">
        <v>43.16</v>
      </c>
      <c r="P921" s="22" t="s">
        <v>89</v>
      </c>
      <c r="Q921" s="38"/>
      <c r="R921" s="38"/>
    </row>
    <row r="922" s="3" customFormat="1" ht="60" customHeight="1" outlineLevel="2" spans="1:18">
      <c r="A922" s="41">
        <f t="shared" si="135"/>
        <v>5</v>
      </c>
      <c r="B922" s="28" t="s">
        <v>311</v>
      </c>
      <c r="C922" s="28" t="s">
        <v>312</v>
      </c>
      <c r="D922" s="28" t="s">
        <v>98</v>
      </c>
      <c r="E922" s="28" t="s">
        <v>115</v>
      </c>
      <c r="F922" s="29" t="s">
        <v>27</v>
      </c>
      <c r="G922" s="30">
        <v>1.7</v>
      </c>
      <c r="H922" s="31">
        <v>630.65</v>
      </c>
      <c r="I922" s="39"/>
      <c r="J922" s="31">
        <f t="shared" si="136"/>
        <v>630.65</v>
      </c>
      <c r="K922" s="33">
        <f t="shared" si="137"/>
        <v>1072.11</v>
      </c>
      <c r="L922" s="34" t="s">
        <v>28</v>
      </c>
      <c r="M922" s="35"/>
      <c r="O922" s="21">
        <v>681.67</v>
      </c>
      <c r="P922" s="22" t="s">
        <v>64</v>
      </c>
      <c r="Q922" s="38"/>
      <c r="R922" s="38"/>
    </row>
    <row r="923" s="3" customFormat="1" ht="120" customHeight="1" outlineLevel="2" spans="1:18">
      <c r="A923" s="41">
        <f t="shared" si="135"/>
        <v>6</v>
      </c>
      <c r="B923" s="28" t="s">
        <v>61</v>
      </c>
      <c r="C923" s="28" t="s">
        <v>62</v>
      </c>
      <c r="D923" s="28" t="s">
        <v>52</v>
      </c>
      <c r="E923" s="28" t="s">
        <v>63</v>
      </c>
      <c r="F923" s="29" t="s">
        <v>27</v>
      </c>
      <c r="G923" s="30">
        <v>6.88</v>
      </c>
      <c r="H923" s="31">
        <v>630.65</v>
      </c>
      <c r="I923" s="39"/>
      <c r="J923" s="31">
        <f t="shared" si="136"/>
        <v>630.65</v>
      </c>
      <c r="K923" s="33">
        <f t="shared" si="137"/>
        <v>4338.87</v>
      </c>
      <c r="L923" s="34" t="s">
        <v>28</v>
      </c>
      <c r="M923" s="35"/>
      <c r="O923" s="21">
        <v>681.67</v>
      </c>
      <c r="P923" s="22" t="s">
        <v>64</v>
      </c>
      <c r="Q923" s="38"/>
      <c r="R923" s="38"/>
    </row>
    <row r="924" s="3" customFormat="1" outlineLevel="1" spans="1:18">
      <c r="A924" s="40"/>
      <c r="B924" s="28" t="s">
        <v>90</v>
      </c>
      <c r="C924" s="28"/>
      <c r="D924" s="28"/>
      <c r="E924" s="28"/>
      <c r="F924" s="29"/>
      <c r="G924" s="30"/>
      <c r="H924" s="31"/>
      <c r="I924" s="39"/>
      <c r="J924" s="31"/>
      <c r="K924" s="33"/>
      <c r="L924" s="34"/>
      <c r="M924" s="35"/>
      <c r="O924" s="36"/>
      <c r="P924" s="37"/>
      <c r="Q924" s="38"/>
      <c r="R924" s="38"/>
    </row>
    <row r="925" s="3" customFormat="1" ht="168" customHeight="1" outlineLevel="2" spans="1:18">
      <c r="A925" s="41">
        <f t="shared" ref="A925:A930" si="138">1+N(A924)</f>
        <v>1</v>
      </c>
      <c r="B925" s="28" t="s">
        <v>371</v>
      </c>
      <c r="C925" s="28" t="s">
        <v>92</v>
      </c>
      <c r="D925" s="28" t="s">
        <v>93</v>
      </c>
      <c r="E925" s="28" t="s">
        <v>94</v>
      </c>
      <c r="F925" s="29" t="s">
        <v>27</v>
      </c>
      <c r="G925" s="30">
        <v>39.68</v>
      </c>
      <c r="H925" s="31">
        <v>268.92</v>
      </c>
      <c r="I925" s="39"/>
      <c r="J925" s="31">
        <f t="shared" ref="J925:J930" si="139">H925*(1-$I$4)</f>
        <v>268.92</v>
      </c>
      <c r="K925" s="33">
        <f t="shared" ref="K925:K930" si="140">ROUND(G925*J925,2)</f>
        <v>10670.75</v>
      </c>
      <c r="L925" s="34" t="s">
        <v>28</v>
      </c>
      <c r="M925" s="35"/>
      <c r="O925" s="21">
        <v>172.07</v>
      </c>
      <c r="P925" s="22" t="s">
        <v>372</v>
      </c>
      <c r="Q925" s="38"/>
      <c r="R925" s="38"/>
    </row>
    <row r="926" s="3" customFormat="1" ht="48" customHeight="1" outlineLevel="2" spans="1:18">
      <c r="A926" s="41">
        <f t="shared" si="138"/>
        <v>2</v>
      </c>
      <c r="B926" s="28" t="s">
        <v>601</v>
      </c>
      <c r="C926" s="28" t="s">
        <v>602</v>
      </c>
      <c r="D926" s="28" t="s">
        <v>98</v>
      </c>
      <c r="E926" s="28" t="s">
        <v>99</v>
      </c>
      <c r="F926" s="29" t="s">
        <v>39</v>
      </c>
      <c r="G926" s="30">
        <v>51.08</v>
      </c>
      <c r="H926" s="31">
        <v>112.16</v>
      </c>
      <c r="I926" s="39"/>
      <c r="J926" s="31">
        <f t="shared" si="139"/>
        <v>112.16</v>
      </c>
      <c r="K926" s="33">
        <f t="shared" si="140"/>
        <v>5729.13</v>
      </c>
      <c r="L926" s="34" t="s">
        <v>28</v>
      </c>
      <c r="M926" s="35"/>
      <c r="O926" s="21">
        <v>79.3</v>
      </c>
      <c r="P926" s="22" t="s">
        <v>603</v>
      </c>
      <c r="Q926" s="38"/>
      <c r="R926" s="38"/>
    </row>
    <row r="927" s="3" customFormat="1" ht="48" customHeight="1" outlineLevel="2" spans="1:18">
      <c r="A927" s="41">
        <f t="shared" si="138"/>
        <v>3</v>
      </c>
      <c r="B927" s="28" t="s">
        <v>101</v>
      </c>
      <c r="C927" s="28" t="s">
        <v>604</v>
      </c>
      <c r="D927" s="28" t="s">
        <v>98</v>
      </c>
      <c r="E927" s="28" t="s">
        <v>99</v>
      </c>
      <c r="F927" s="29" t="s">
        <v>39</v>
      </c>
      <c r="G927" s="30">
        <v>51.08</v>
      </c>
      <c r="H927" s="31">
        <v>75.82</v>
      </c>
      <c r="I927" s="39"/>
      <c r="J927" s="31">
        <f t="shared" si="139"/>
        <v>75.82</v>
      </c>
      <c r="K927" s="33">
        <f t="shared" si="140"/>
        <v>3872.89</v>
      </c>
      <c r="L927" s="34" t="s">
        <v>28</v>
      </c>
      <c r="M927" s="35"/>
      <c r="O927" s="21">
        <v>203.56</v>
      </c>
      <c r="P927" s="22" t="s">
        <v>605</v>
      </c>
      <c r="Q927" s="38"/>
      <c r="R927" s="38"/>
    </row>
    <row r="928" s="3" customFormat="1" ht="60" customHeight="1" outlineLevel="2" spans="1:18">
      <c r="A928" s="41">
        <f t="shared" si="138"/>
        <v>4</v>
      </c>
      <c r="B928" s="28" t="s">
        <v>606</v>
      </c>
      <c r="C928" s="28" t="s">
        <v>607</v>
      </c>
      <c r="D928" s="28" t="s">
        <v>98</v>
      </c>
      <c r="E928" s="28" t="s">
        <v>99</v>
      </c>
      <c r="F928" s="29" t="s">
        <v>39</v>
      </c>
      <c r="G928" s="30">
        <v>4.53</v>
      </c>
      <c r="H928" s="31">
        <v>123.19</v>
      </c>
      <c r="I928" s="39"/>
      <c r="J928" s="31">
        <f t="shared" si="139"/>
        <v>123.19</v>
      </c>
      <c r="K928" s="33">
        <f t="shared" si="140"/>
        <v>558.05</v>
      </c>
      <c r="L928" s="34" t="s">
        <v>28</v>
      </c>
      <c r="M928" s="35"/>
      <c r="O928" s="21">
        <v>93.14</v>
      </c>
      <c r="P928" s="22" t="s">
        <v>608</v>
      </c>
      <c r="Q928" s="38"/>
      <c r="R928" s="38"/>
    </row>
    <row r="929" s="3" customFormat="1" ht="48" customHeight="1" outlineLevel="2" spans="1:18">
      <c r="A929" s="41">
        <f t="shared" si="138"/>
        <v>5</v>
      </c>
      <c r="B929" s="28" t="s">
        <v>104</v>
      </c>
      <c r="C929" s="28" t="s">
        <v>105</v>
      </c>
      <c r="D929" s="28" t="s">
        <v>98</v>
      </c>
      <c r="E929" s="28" t="s">
        <v>99</v>
      </c>
      <c r="F929" s="29" t="s">
        <v>39</v>
      </c>
      <c r="G929" s="30">
        <v>12.69</v>
      </c>
      <c r="H929" s="31">
        <v>109.74</v>
      </c>
      <c r="I929" s="39"/>
      <c r="J929" s="31">
        <f t="shared" si="139"/>
        <v>109.74</v>
      </c>
      <c r="K929" s="33">
        <f t="shared" si="140"/>
        <v>1392.6</v>
      </c>
      <c r="L929" s="34" t="s">
        <v>28</v>
      </c>
      <c r="M929" s="35"/>
      <c r="O929" s="21">
        <v>108.2</v>
      </c>
      <c r="P929" s="22" t="s">
        <v>106</v>
      </c>
      <c r="Q929" s="38"/>
      <c r="R929" s="38"/>
    </row>
    <row r="930" s="3" customFormat="1" ht="132" customHeight="1" outlineLevel="2" spans="1:18">
      <c r="A930" s="41">
        <f t="shared" si="138"/>
        <v>6</v>
      </c>
      <c r="B930" s="28" t="s">
        <v>107</v>
      </c>
      <c r="C930" s="28" t="s">
        <v>108</v>
      </c>
      <c r="D930" s="28" t="s">
        <v>109</v>
      </c>
      <c r="E930" s="28" t="s">
        <v>110</v>
      </c>
      <c r="F930" s="29" t="s">
        <v>27</v>
      </c>
      <c r="G930" s="30">
        <v>59.13</v>
      </c>
      <c r="H930" s="31">
        <v>152.22</v>
      </c>
      <c r="I930" s="39"/>
      <c r="J930" s="31">
        <f t="shared" si="139"/>
        <v>152.22</v>
      </c>
      <c r="K930" s="33">
        <f t="shared" si="140"/>
        <v>9000.77</v>
      </c>
      <c r="L930" s="34" t="s">
        <v>28</v>
      </c>
      <c r="M930" s="35"/>
      <c r="O930" s="21">
        <v>151.58</v>
      </c>
      <c r="P930" s="22" t="s">
        <v>111</v>
      </c>
      <c r="Q930" s="38"/>
      <c r="R930" s="38"/>
    </row>
    <row r="931" s="3" customFormat="1" outlineLevel="1" spans="1:18">
      <c r="A931" s="40"/>
      <c r="B931" s="28" t="s">
        <v>112</v>
      </c>
      <c r="C931" s="28"/>
      <c r="D931" s="28"/>
      <c r="E931" s="28"/>
      <c r="F931" s="29"/>
      <c r="G931" s="30"/>
      <c r="H931" s="31"/>
      <c r="I931" s="39"/>
      <c r="J931" s="31"/>
      <c r="K931" s="33"/>
      <c r="L931" s="34"/>
      <c r="M931" s="35"/>
      <c r="O931" s="36"/>
      <c r="P931" s="37"/>
      <c r="Q931" s="38"/>
      <c r="R931" s="38"/>
    </row>
    <row r="932" s="3" customFormat="1" ht="84" customHeight="1" outlineLevel="2" spans="1:18">
      <c r="A932" s="41">
        <f>1+N(A931)</f>
        <v>1</v>
      </c>
      <c r="B932" s="28" t="s">
        <v>609</v>
      </c>
      <c r="C932" s="28" t="s">
        <v>451</v>
      </c>
      <c r="D932" s="28" t="s">
        <v>98</v>
      </c>
      <c r="E932" s="28" t="s">
        <v>115</v>
      </c>
      <c r="F932" s="29" t="s">
        <v>27</v>
      </c>
      <c r="G932" s="30">
        <v>2.87</v>
      </c>
      <c r="H932" s="31">
        <v>5625.28</v>
      </c>
      <c r="I932" s="39"/>
      <c r="J932" s="31">
        <f>H932*(1-$I$4)</f>
        <v>5625.28</v>
      </c>
      <c r="K932" s="33">
        <f>ROUND(G932*J932,2)</f>
        <v>16144.55</v>
      </c>
      <c r="L932" s="34" t="s">
        <v>28</v>
      </c>
      <c r="M932" s="35"/>
      <c r="O932" s="21">
        <v>2559.15</v>
      </c>
      <c r="P932" s="22" t="s">
        <v>610</v>
      </c>
      <c r="Q932" s="38"/>
      <c r="R932" s="38"/>
    </row>
    <row r="933" s="3" customFormat="1" ht="48" customHeight="1" outlineLevel="2" spans="1:18">
      <c r="A933" s="41">
        <f>1+N(A932)</f>
        <v>2</v>
      </c>
      <c r="B933" s="28" t="s">
        <v>611</v>
      </c>
      <c r="C933" s="28" t="s">
        <v>612</v>
      </c>
      <c r="D933" s="28" t="s">
        <v>98</v>
      </c>
      <c r="E933" s="28" t="s">
        <v>115</v>
      </c>
      <c r="F933" s="29" t="s">
        <v>27</v>
      </c>
      <c r="G933" s="30">
        <v>9.31</v>
      </c>
      <c r="H933" s="31">
        <v>3103.4</v>
      </c>
      <c r="I933" s="39"/>
      <c r="J933" s="31">
        <f>H933*(1-$I$4)</f>
        <v>3103.4</v>
      </c>
      <c r="K933" s="33">
        <f>ROUND(G933*J933,2)</f>
        <v>28892.65</v>
      </c>
      <c r="L933" s="34" t="s">
        <v>28</v>
      </c>
      <c r="M933" s="35"/>
      <c r="O933" s="21">
        <v>1841.4</v>
      </c>
      <c r="P933" s="22" t="s">
        <v>613</v>
      </c>
      <c r="Q933" s="38"/>
      <c r="R933" s="38"/>
    </row>
    <row r="934" s="3" customFormat="1" ht="72" customHeight="1" outlineLevel="2" spans="1:18">
      <c r="A934" s="41">
        <f>1+N(A933)</f>
        <v>3</v>
      </c>
      <c r="B934" s="28" t="s">
        <v>614</v>
      </c>
      <c r="C934" s="28" t="s">
        <v>401</v>
      </c>
      <c r="D934" s="28" t="s">
        <v>98</v>
      </c>
      <c r="E934" s="28" t="s">
        <v>115</v>
      </c>
      <c r="F934" s="29" t="s">
        <v>27</v>
      </c>
      <c r="G934" s="30">
        <v>2.88</v>
      </c>
      <c r="H934" s="31">
        <v>2447.18</v>
      </c>
      <c r="I934" s="39"/>
      <c r="J934" s="31">
        <f>H934*(1-$I$4)</f>
        <v>2447.18</v>
      </c>
      <c r="K934" s="33">
        <f>ROUND(G934*J934,2)</f>
        <v>7047.88</v>
      </c>
      <c r="L934" s="34" t="s">
        <v>28</v>
      </c>
      <c r="M934" s="35"/>
      <c r="O934" s="21">
        <v>2170.85</v>
      </c>
      <c r="P934" s="22" t="s">
        <v>615</v>
      </c>
      <c r="Q934" s="38"/>
      <c r="R934" s="38"/>
    </row>
    <row r="935" s="3" customFormat="1" outlineLevel="1" spans="1:18">
      <c r="A935" s="27" t="s">
        <v>123</v>
      </c>
      <c r="B935" s="28" t="s">
        <v>616</v>
      </c>
      <c r="C935" s="28"/>
      <c r="D935" s="28"/>
      <c r="E935" s="28"/>
      <c r="F935" s="29"/>
      <c r="G935" s="30"/>
      <c r="H935" s="31"/>
      <c r="I935" s="39"/>
      <c r="J935" s="31"/>
      <c r="K935" s="33"/>
      <c r="L935" s="34"/>
      <c r="M935" s="35"/>
      <c r="O935" s="36"/>
      <c r="P935" s="37"/>
      <c r="Q935" s="38"/>
      <c r="R935" s="38"/>
    </row>
    <row r="936" s="3" customFormat="1" outlineLevel="1" spans="1:18">
      <c r="A936" s="40"/>
      <c r="B936" s="28" t="s">
        <v>22</v>
      </c>
      <c r="C936" s="28"/>
      <c r="D936" s="28"/>
      <c r="E936" s="28"/>
      <c r="F936" s="29"/>
      <c r="G936" s="30"/>
      <c r="H936" s="31"/>
      <c r="I936" s="39"/>
      <c r="J936" s="31"/>
      <c r="K936" s="33"/>
      <c r="L936" s="34"/>
      <c r="M936" s="35"/>
      <c r="O936" s="36"/>
      <c r="P936" s="37"/>
      <c r="Q936" s="38"/>
      <c r="R936" s="38"/>
    </row>
    <row r="937" s="3" customFormat="1" ht="156" customHeight="1" outlineLevel="2" spans="1:18">
      <c r="A937" s="41">
        <f>1+N(A936)</f>
        <v>1</v>
      </c>
      <c r="B937" s="28" t="s">
        <v>192</v>
      </c>
      <c r="C937" s="28" t="s">
        <v>247</v>
      </c>
      <c r="D937" s="28" t="s">
        <v>194</v>
      </c>
      <c r="E937" s="28" t="s">
        <v>195</v>
      </c>
      <c r="F937" s="29" t="s">
        <v>27</v>
      </c>
      <c r="G937" s="30">
        <v>122.84</v>
      </c>
      <c r="H937" s="31">
        <v>78.51</v>
      </c>
      <c r="I937" s="39"/>
      <c r="J937" s="31">
        <f>H937*(1-$I$4)</f>
        <v>78.51</v>
      </c>
      <c r="K937" s="33">
        <f>ROUND(G937*J937,2)</f>
        <v>9644.17</v>
      </c>
      <c r="L937" s="34" t="s">
        <v>28</v>
      </c>
      <c r="M937" s="35"/>
      <c r="O937" s="21">
        <v>65.78</v>
      </c>
      <c r="P937" s="22" t="s">
        <v>248</v>
      </c>
      <c r="Q937" s="38"/>
      <c r="R937" s="38"/>
    </row>
    <row r="938" s="3" customFormat="1" ht="72" customHeight="1" outlineLevel="2" spans="1:18">
      <c r="A938" s="41">
        <f>1+N(A937)</f>
        <v>2</v>
      </c>
      <c r="B938" s="28" t="s">
        <v>617</v>
      </c>
      <c r="C938" s="28" t="s">
        <v>618</v>
      </c>
      <c r="D938" s="28" t="s">
        <v>251</v>
      </c>
      <c r="E938" s="28" t="s">
        <v>26</v>
      </c>
      <c r="F938" s="29" t="s">
        <v>27</v>
      </c>
      <c r="G938" s="30">
        <v>39.68</v>
      </c>
      <c r="H938" s="31">
        <v>272.58</v>
      </c>
      <c r="I938" s="39"/>
      <c r="J938" s="31">
        <f>H938*(1-$I$4)</f>
        <v>272.58</v>
      </c>
      <c r="K938" s="33">
        <f>ROUND(G938*J938,2)</f>
        <v>10815.97</v>
      </c>
      <c r="L938" s="34" t="s">
        <v>28</v>
      </c>
      <c r="M938" s="35"/>
      <c r="O938" s="21">
        <v>577.5</v>
      </c>
      <c r="P938" s="22" t="s">
        <v>619</v>
      </c>
      <c r="Q938" s="38"/>
      <c r="R938" s="38"/>
    </row>
    <row r="939" s="3" customFormat="1" ht="72" customHeight="1" outlineLevel="2" spans="1:18">
      <c r="A939" s="41">
        <f>1+N(A938)</f>
        <v>3</v>
      </c>
      <c r="B939" s="28" t="s">
        <v>620</v>
      </c>
      <c r="C939" s="28" t="s">
        <v>621</v>
      </c>
      <c r="D939" s="28" t="s">
        <v>251</v>
      </c>
      <c r="E939" s="28" t="s">
        <v>26</v>
      </c>
      <c r="F939" s="29" t="s">
        <v>27</v>
      </c>
      <c r="G939" s="30">
        <v>49.11</v>
      </c>
      <c r="H939" s="31">
        <v>272.58</v>
      </c>
      <c r="I939" s="39"/>
      <c r="J939" s="31">
        <f>H939*(1-$I$4)</f>
        <v>272.58</v>
      </c>
      <c r="K939" s="33">
        <f>ROUND(G939*J939,2)</f>
        <v>13386.4</v>
      </c>
      <c r="L939" s="34" t="s">
        <v>28</v>
      </c>
      <c r="M939" s="35"/>
      <c r="O939" s="21">
        <v>577.5</v>
      </c>
      <c r="P939" s="22" t="s">
        <v>619</v>
      </c>
      <c r="Q939" s="38"/>
      <c r="R939" s="38"/>
    </row>
    <row r="940" s="3" customFormat="1" ht="72" customHeight="1" outlineLevel="2" spans="1:18">
      <c r="A940" s="41">
        <f>1+N(A939)</f>
        <v>4</v>
      </c>
      <c r="B940" s="28" t="s">
        <v>622</v>
      </c>
      <c r="C940" s="28" t="s">
        <v>623</v>
      </c>
      <c r="D940" s="28" t="s">
        <v>251</v>
      </c>
      <c r="E940" s="28" t="s">
        <v>26</v>
      </c>
      <c r="F940" s="29" t="s">
        <v>27</v>
      </c>
      <c r="G940" s="30">
        <v>34.06</v>
      </c>
      <c r="H940" s="31">
        <v>272.58</v>
      </c>
      <c r="I940" s="39"/>
      <c r="J940" s="31">
        <f>H940*(1-$I$4)</f>
        <v>272.58</v>
      </c>
      <c r="K940" s="33">
        <f>ROUND(G940*J940,2)</f>
        <v>9284.07</v>
      </c>
      <c r="L940" s="34" t="s">
        <v>28</v>
      </c>
      <c r="M940" s="35"/>
      <c r="O940" s="21">
        <v>577.5</v>
      </c>
      <c r="P940" s="22" t="s">
        <v>619</v>
      </c>
      <c r="Q940" s="38"/>
      <c r="R940" s="38"/>
    </row>
    <row r="941" s="3" customFormat="1" ht="72" customHeight="1" outlineLevel="2" spans="1:18">
      <c r="A941" s="41">
        <f>1+N(A940)</f>
        <v>5</v>
      </c>
      <c r="B941" s="28" t="s">
        <v>36</v>
      </c>
      <c r="C941" s="28" t="s">
        <v>37</v>
      </c>
      <c r="D941" s="28" t="s">
        <v>25</v>
      </c>
      <c r="E941" s="28" t="s">
        <v>38</v>
      </c>
      <c r="F941" s="29" t="s">
        <v>39</v>
      </c>
      <c r="G941" s="30">
        <v>13.57</v>
      </c>
      <c r="H941" s="31">
        <v>89.27</v>
      </c>
      <c r="I941" s="39"/>
      <c r="J941" s="31">
        <f>H941*(1-$I$4)</f>
        <v>89.27</v>
      </c>
      <c r="K941" s="33">
        <f>ROUND(G941*J941,2)</f>
        <v>1211.39</v>
      </c>
      <c r="L941" s="34" t="s">
        <v>28</v>
      </c>
      <c r="M941" s="35"/>
      <c r="O941" s="21">
        <v>35.28</v>
      </c>
      <c r="P941" s="22" t="s">
        <v>40</v>
      </c>
      <c r="Q941" s="38"/>
      <c r="R941" s="38"/>
    </row>
    <row r="942" s="3" customFormat="1" outlineLevel="1" spans="1:18">
      <c r="A942" s="40"/>
      <c r="B942" s="28" t="s">
        <v>44</v>
      </c>
      <c r="C942" s="28"/>
      <c r="D942" s="28"/>
      <c r="E942" s="28"/>
      <c r="F942" s="29"/>
      <c r="G942" s="30"/>
      <c r="H942" s="31"/>
      <c r="I942" s="39"/>
      <c r="J942" s="31"/>
      <c r="K942" s="33"/>
      <c r="L942" s="34"/>
      <c r="M942" s="35"/>
      <c r="O942" s="36"/>
      <c r="P942" s="37"/>
      <c r="Q942" s="38"/>
      <c r="R942" s="38"/>
    </row>
    <row r="943" s="3" customFormat="1" ht="120" customHeight="1" outlineLevel="2" spans="1:18">
      <c r="A943" s="41">
        <f t="shared" ref="A943:A948" si="141">1+N(A942)</f>
        <v>1</v>
      </c>
      <c r="B943" s="28" t="s">
        <v>598</v>
      </c>
      <c r="C943" s="28" t="s">
        <v>599</v>
      </c>
      <c r="D943" s="28" t="s">
        <v>52</v>
      </c>
      <c r="E943" s="28" t="s">
        <v>63</v>
      </c>
      <c r="F943" s="29" t="s">
        <v>27</v>
      </c>
      <c r="G943" s="30">
        <v>162.64</v>
      </c>
      <c r="H943" s="31">
        <v>580.35</v>
      </c>
      <c r="I943" s="39"/>
      <c r="J943" s="31">
        <f t="shared" ref="J943:J948" si="142">H943*(1-$I$4)</f>
        <v>580.35</v>
      </c>
      <c r="K943" s="33">
        <f t="shared" ref="K943:K948" si="143">ROUND(G943*J943,2)</f>
        <v>94388.12</v>
      </c>
      <c r="L943" s="34" t="s">
        <v>28</v>
      </c>
      <c r="M943" s="35"/>
      <c r="O943" s="21">
        <v>615.32</v>
      </c>
      <c r="P943" s="22" t="s">
        <v>600</v>
      </c>
      <c r="Q943" s="38"/>
      <c r="R943" s="38"/>
    </row>
    <row r="944" s="3" customFormat="1" ht="96" customHeight="1" outlineLevel="2" spans="1:18">
      <c r="A944" s="41">
        <f t="shared" si="141"/>
        <v>2</v>
      </c>
      <c r="B944" s="28" t="s">
        <v>205</v>
      </c>
      <c r="C944" s="28" t="s">
        <v>206</v>
      </c>
      <c r="D944" s="28" t="s">
        <v>59</v>
      </c>
      <c r="E944" s="28" t="s">
        <v>207</v>
      </c>
      <c r="F944" s="29" t="s">
        <v>27</v>
      </c>
      <c r="G944" s="30">
        <v>30.9</v>
      </c>
      <c r="H944" s="31">
        <v>400.61</v>
      </c>
      <c r="I944" s="39"/>
      <c r="J944" s="31">
        <f t="shared" si="142"/>
        <v>400.61</v>
      </c>
      <c r="K944" s="33">
        <f t="shared" si="143"/>
        <v>12378.85</v>
      </c>
      <c r="L944" s="34" t="s">
        <v>28</v>
      </c>
      <c r="M944" s="35"/>
      <c r="O944" s="21">
        <v>356.29</v>
      </c>
      <c r="P944" s="22" t="s">
        <v>419</v>
      </c>
      <c r="Q944" s="38"/>
      <c r="R944" s="38"/>
    </row>
    <row r="945" s="3" customFormat="1" ht="96" customHeight="1" outlineLevel="2" spans="1:18">
      <c r="A945" s="41">
        <f t="shared" si="141"/>
        <v>3</v>
      </c>
      <c r="B945" s="28" t="s">
        <v>75</v>
      </c>
      <c r="C945" s="28" t="s">
        <v>76</v>
      </c>
      <c r="D945" s="28" t="s">
        <v>59</v>
      </c>
      <c r="E945" s="28" t="s">
        <v>38</v>
      </c>
      <c r="F945" s="29" t="s">
        <v>39</v>
      </c>
      <c r="G945" s="30">
        <v>71.09</v>
      </c>
      <c r="H945" s="31">
        <v>67.08</v>
      </c>
      <c r="I945" s="39"/>
      <c r="J945" s="31">
        <f t="shared" si="142"/>
        <v>67.08</v>
      </c>
      <c r="K945" s="33">
        <f t="shared" si="143"/>
        <v>4768.72</v>
      </c>
      <c r="L945" s="34" t="s">
        <v>28</v>
      </c>
      <c r="M945" s="35"/>
      <c r="O945" s="21">
        <v>45.71</v>
      </c>
      <c r="P945" s="22" t="s">
        <v>77</v>
      </c>
      <c r="Q945" s="38"/>
      <c r="R945" s="38"/>
    </row>
    <row r="946" s="3" customFormat="1" ht="96" customHeight="1" outlineLevel="2" spans="1:18">
      <c r="A946" s="41">
        <f t="shared" si="141"/>
        <v>4</v>
      </c>
      <c r="B946" s="28" t="s">
        <v>87</v>
      </c>
      <c r="C946" s="28" t="s">
        <v>88</v>
      </c>
      <c r="D946" s="28" t="s">
        <v>59</v>
      </c>
      <c r="E946" s="28" t="s">
        <v>38</v>
      </c>
      <c r="F946" s="29" t="s">
        <v>39</v>
      </c>
      <c r="G946" s="30">
        <v>58.44</v>
      </c>
      <c r="H946" s="31">
        <v>64.25</v>
      </c>
      <c r="I946" s="39"/>
      <c r="J946" s="31">
        <f t="shared" si="142"/>
        <v>64.25</v>
      </c>
      <c r="K946" s="33">
        <f t="shared" si="143"/>
        <v>3754.77</v>
      </c>
      <c r="L946" s="34" t="s">
        <v>28</v>
      </c>
      <c r="M946" s="35"/>
      <c r="O946" s="21">
        <v>43.16</v>
      </c>
      <c r="P946" s="22" t="s">
        <v>89</v>
      </c>
      <c r="Q946" s="38"/>
      <c r="R946" s="38"/>
    </row>
    <row r="947" s="3" customFormat="1" ht="60" customHeight="1" outlineLevel="2" spans="1:18">
      <c r="A947" s="41">
        <f t="shared" si="141"/>
        <v>5</v>
      </c>
      <c r="B947" s="28" t="s">
        <v>311</v>
      </c>
      <c r="C947" s="28" t="s">
        <v>312</v>
      </c>
      <c r="D947" s="28" t="s">
        <v>98</v>
      </c>
      <c r="E947" s="28" t="s">
        <v>115</v>
      </c>
      <c r="F947" s="29" t="s">
        <v>27</v>
      </c>
      <c r="G947" s="30">
        <v>5.92</v>
      </c>
      <c r="H947" s="31">
        <v>630.65</v>
      </c>
      <c r="I947" s="39"/>
      <c r="J947" s="31">
        <f t="shared" si="142"/>
        <v>630.65</v>
      </c>
      <c r="K947" s="33">
        <f t="shared" si="143"/>
        <v>3733.45</v>
      </c>
      <c r="L947" s="34" t="s">
        <v>28</v>
      </c>
      <c r="M947" s="35"/>
      <c r="O947" s="21">
        <v>681.67</v>
      </c>
      <c r="P947" s="22" t="s">
        <v>64</v>
      </c>
      <c r="Q947" s="38"/>
      <c r="R947" s="38"/>
    </row>
    <row r="948" s="3" customFormat="1" ht="120" customHeight="1" outlineLevel="2" spans="1:18">
      <c r="A948" s="41">
        <f t="shared" si="141"/>
        <v>6</v>
      </c>
      <c r="B948" s="28" t="s">
        <v>61</v>
      </c>
      <c r="C948" s="28" t="s">
        <v>62</v>
      </c>
      <c r="D948" s="28" t="s">
        <v>52</v>
      </c>
      <c r="E948" s="28" t="s">
        <v>63</v>
      </c>
      <c r="F948" s="29" t="s">
        <v>27</v>
      </c>
      <c r="G948" s="30">
        <v>14.05</v>
      </c>
      <c r="H948" s="31">
        <v>630.65</v>
      </c>
      <c r="I948" s="39"/>
      <c r="J948" s="31">
        <f t="shared" si="142"/>
        <v>630.65</v>
      </c>
      <c r="K948" s="33">
        <f t="shared" si="143"/>
        <v>8860.63</v>
      </c>
      <c r="L948" s="34" t="s">
        <v>28</v>
      </c>
      <c r="M948" s="35"/>
      <c r="O948" s="21">
        <v>681.67</v>
      </c>
      <c r="P948" s="22" t="s">
        <v>64</v>
      </c>
      <c r="Q948" s="38"/>
      <c r="R948" s="38"/>
    </row>
    <row r="949" s="3" customFormat="1" outlineLevel="1" spans="1:18">
      <c r="A949" s="40"/>
      <c r="B949" s="28" t="s">
        <v>90</v>
      </c>
      <c r="C949" s="28"/>
      <c r="D949" s="28"/>
      <c r="E949" s="28"/>
      <c r="F949" s="29"/>
      <c r="G949" s="30"/>
      <c r="H949" s="31"/>
      <c r="I949" s="39"/>
      <c r="J949" s="31"/>
      <c r="K949" s="33"/>
      <c r="L949" s="34"/>
      <c r="M949" s="35"/>
      <c r="O949" s="36"/>
      <c r="P949" s="37"/>
      <c r="Q949" s="38"/>
      <c r="R949" s="38"/>
    </row>
    <row r="950" s="3" customFormat="1" ht="168" customHeight="1" outlineLevel="2" spans="1:18">
      <c r="A950" s="41">
        <f>1+N(A949)</f>
        <v>1</v>
      </c>
      <c r="B950" s="28" t="s">
        <v>371</v>
      </c>
      <c r="C950" s="28" t="s">
        <v>92</v>
      </c>
      <c r="D950" s="28" t="s">
        <v>93</v>
      </c>
      <c r="E950" s="28" t="s">
        <v>94</v>
      </c>
      <c r="F950" s="29" t="s">
        <v>27</v>
      </c>
      <c r="G950" s="30">
        <v>120.83</v>
      </c>
      <c r="H950" s="31">
        <v>268.92</v>
      </c>
      <c r="I950" s="39"/>
      <c r="J950" s="31">
        <f>H950*(1-$I$4)</f>
        <v>268.92</v>
      </c>
      <c r="K950" s="33">
        <f>ROUND(G950*J950,2)</f>
        <v>32493.6</v>
      </c>
      <c r="L950" s="34" t="s">
        <v>28</v>
      </c>
      <c r="M950" s="35"/>
      <c r="O950" s="21">
        <v>172.07</v>
      </c>
      <c r="P950" s="22" t="s">
        <v>372</v>
      </c>
      <c r="Q950" s="38"/>
      <c r="R950" s="38"/>
    </row>
    <row r="951" s="3" customFormat="1" ht="60" customHeight="1" outlineLevel="2" spans="1:18">
      <c r="A951" s="41">
        <f>1+N(A950)</f>
        <v>2</v>
      </c>
      <c r="B951" s="28" t="s">
        <v>606</v>
      </c>
      <c r="C951" s="28" t="s">
        <v>607</v>
      </c>
      <c r="D951" s="28" t="s">
        <v>98</v>
      </c>
      <c r="E951" s="28" t="s">
        <v>99</v>
      </c>
      <c r="F951" s="29" t="s">
        <v>39</v>
      </c>
      <c r="G951" s="30">
        <v>16.63</v>
      </c>
      <c r="H951" s="31">
        <v>123.19</v>
      </c>
      <c r="I951" s="39"/>
      <c r="J951" s="31">
        <f>H951*(1-$I$4)</f>
        <v>123.19</v>
      </c>
      <c r="K951" s="33">
        <f>ROUND(G951*J951,2)</f>
        <v>2048.65</v>
      </c>
      <c r="L951" s="34" t="s">
        <v>28</v>
      </c>
      <c r="M951" s="35"/>
      <c r="O951" s="21">
        <v>93.14</v>
      </c>
      <c r="P951" s="22" t="s">
        <v>608</v>
      </c>
      <c r="Q951" s="38"/>
      <c r="R951" s="38"/>
    </row>
    <row r="952" s="3" customFormat="1" ht="48" customHeight="1" outlineLevel="2" spans="1:18">
      <c r="A952" s="41">
        <f>1+N(A951)</f>
        <v>3</v>
      </c>
      <c r="B952" s="28" t="s">
        <v>104</v>
      </c>
      <c r="C952" s="28" t="s">
        <v>105</v>
      </c>
      <c r="D952" s="28" t="s">
        <v>98</v>
      </c>
      <c r="E952" s="28" t="s">
        <v>99</v>
      </c>
      <c r="F952" s="29" t="s">
        <v>39</v>
      </c>
      <c r="G952" s="30">
        <v>21.09</v>
      </c>
      <c r="H952" s="31">
        <v>109.74</v>
      </c>
      <c r="I952" s="39"/>
      <c r="J952" s="31">
        <f>H952*(1-$I$4)</f>
        <v>109.74</v>
      </c>
      <c r="K952" s="33">
        <f>ROUND(G952*J952,2)</f>
        <v>2314.42</v>
      </c>
      <c r="L952" s="34" t="s">
        <v>28</v>
      </c>
      <c r="M952" s="35"/>
      <c r="O952" s="21">
        <v>108.2</v>
      </c>
      <c r="P952" s="22" t="s">
        <v>106</v>
      </c>
      <c r="Q952" s="38"/>
      <c r="R952" s="38"/>
    </row>
    <row r="953" s="3" customFormat="1" ht="132" customHeight="1" outlineLevel="2" spans="1:18">
      <c r="A953" s="41">
        <f>1+N(A952)</f>
        <v>4</v>
      </c>
      <c r="B953" s="28" t="s">
        <v>107</v>
      </c>
      <c r="C953" s="28" t="s">
        <v>108</v>
      </c>
      <c r="D953" s="28" t="s">
        <v>109</v>
      </c>
      <c r="E953" s="28" t="s">
        <v>110</v>
      </c>
      <c r="F953" s="29" t="s">
        <v>27</v>
      </c>
      <c r="G953" s="30">
        <v>141.71</v>
      </c>
      <c r="H953" s="31">
        <v>152.22</v>
      </c>
      <c r="I953" s="39"/>
      <c r="J953" s="31">
        <f>H953*(1-$I$4)</f>
        <v>152.22</v>
      </c>
      <c r="K953" s="33">
        <f>ROUND(G953*J953,2)</f>
        <v>21571.1</v>
      </c>
      <c r="L953" s="34" t="s">
        <v>28</v>
      </c>
      <c r="M953" s="35"/>
      <c r="O953" s="21">
        <v>151.58</v>
      </c>
      <c r="P953" s="22" t="s">
        <v>111</v>
      </c>
      <c r="Q953" s="38"/>
      <c r="R953" s="38"/>
    </row>
    <row r="954" s="3" customFormat="1" outlineLevel="1" spans="1:18">
      <c r="A954" s="40"/>
      <c r="B954" s="28" t="s">
        <v>112</v>
      </c>
      <c r="C954" s="28"/>
      <c r="D954" s="28"/>
      <c r="E954" s="28"/>
      <c r="F954" s="29"/>
      <c r="G954" s="30"/>
      <c r="H954" s="31"/>
      <c r="I954" s="39"/>
      <c r="J954" s="31"/>
      <c r="K954" s="33"/>
      <c r="L954" s="34"/>
      <c r="M954" s="35"/>
      <c r="O954" s="36"/>
      <c r="P954" s="37"/>
      <c r="Q954" s="38"/>
      <c r="R954" s="38"/>
    </row>
    <row r="955" s="3" customFormat="1" ht="84" customHeight="1" outlineLevel="2" spans="1:18">
      <c r="A955" s="41">
        <f t="shared" ref="A955:A960" si="144">1+N(A954)</f>
        <v>1</v>
      </c>
      <c r="B955" s="28" t="s">
        <v>609</v>
      </c>
      <c r="C955" s="28" t="s">
        <v>451</v>
      </c>
      <c r="D955" s="28" t="s">
        <v>98</v>
      </c>
      <c r="E955" s="28" t="s">
        <v>115</v>
      </c>
      <c r="F955" s="29" t="s">
        <v>27</v>
      </c>
      <c r="G955" s="30">
        <v>8.13</v>
      </c>
      <c r="H955" s="31">
        <v>5625.28</v>
      </c>
      <c r="I955" s="39"/>
      <c r="J955" s="31">
        <f t="shared" ref="J955:J960" si="145">H955*(1-$I$4)</f>
        <v>5625.28</v>
      </c>
      <c r="K955" s="33">
        <f t="shared" ref="K955:K960" si="146">ROUND(G955*J955,2)</f>
        <v>45733.53</v>
      </c>
      <c r="L955" s="34" t="s">
        <v>28</v>
      </c>
      <c r="M955" s="35"/>
      <c r="O955" s="21">
        <v>2559.15</v>
      </c>
      <c r="P955" s="22" t="s">
        <v>610</v>
      </c>
      <c r="Q955" s="38"/>
      <c r="R955" s="38"/>
    </row>
    <row r="956" s="3" customFormat="1" ht="48" customHeight="1" outlineLevel="2" spans="1:18">
      <c r="A956" s="41">
        <f t="shared" si="144"/>
        <v>2</v>
      </c>
      <c r="B956" s="28" t="s">
        <v>611</v>
      </c>
      <c r="C956" s="28" t="s">
        <v>612</v>
      </c>
      <c r="D956" s="28" t="s">
        <v>98</v>
      </c>
      <c r="E956" s="28" t="s">
        <v>115</v>
      </c>
      <c r="F956" s="29" t="s">
        <v>27</v>
      </c>
      <c r="G956" s="30">
        <v>33.83</v>
      </c>
      <c r="H956" s="31">
        <v>3103.4</v>
      </c>
      <c r="I956" s="39"/>
      <c r="J956" s="31">
        <f t="shared" si="145"/>
        <v>3103.4</v>
      </c>
      <c r="K956" s="33">
        <f t="shared" si="146"/>
        <v>104988.02</v>
      </c>
      <c r="L956" s="34" t="s">
        <v>28</v>
      </c>
      <c r="M956" s="35"/>
      <c r="O956" s="21">
        <v>1841.4</v>
      </c>
      <c r="P956" s="22" t="s">
        <v>613</v>
      </c>
      <c r="Q956" s="38"/>
      <c r="R956" s="38"/>
    </row>
    <row r="957" s="3" customFormat="1" ht="72" customHeight="1" outlineLevel="2" spans="1:18">
      <c r="A957" s="41">
        <f t="shared" si="144"/>
        <v>3</v>
      </c>
      <c r="B957" s="28" t="s">
        <v>148</v>
      </c>
      <c r="C957" s="28" t="s">
        <v>149</v>
      </c>
      <c r="D957" s="28" t="s">
        <v>98</v>
      </c>
      <c r="E957" s="28" t="s">
        <v>115</v>
      </c>
      <c r="F957" s="29" t="s">
        <v>27</v>
      </c>
      <c r="G957" s="30">
        <v>10.24</v>
      </c>
      <c r="H957" s="31">
        <v>3211.49</v>
      </c>
      <c r="I957" s="39"/>
      <c r="J957" s="31">
        <f t="shared" si="145"/>
        <v>3211.49</v>
      </c>
      <c r="K957" s="33">
        <f t="shared" si="146"/>
        <v>32885.66</v>
      </c>
      <c r="L957" s="34" t="s">
        <v>28</v>
      </c>
      <c r="M957" s="35"/>
      <c r="O957" s="21">
        <v>2636.15</v>
      </c>
      <c r="P957" s="22" t="s">
        <v>150</v>
      </c>
      <c r="Q957" s="38"/>
      <c r="R957" s="38"/>
    </row>
    <row r="958" s="3" customFormat="1" ht="84" customHeight="1" outlineLevel="2" spans="1:18">
      <c r="A958" s="41">
        <f t="shared" si="144"/>
        <v>4</v>
      </c>
      <c r="B958" s="28" t="s">
        <v>624</v>
      </c>
      <c r="C958" s="28" t="s">
        <v>625</v>
      </c>
      <c r="D958" s="28" t="s">
        <v>98</v>
      </c>
      <c r="E958" s="28" t="s">
        <v>115</v>
      </c>
      <c r="F958" s="29" t="s">
        <v>27</v>
      </c>
      <c r="G958" s="30">
        <v>5.64</v>
      </c>
      <c r="H958" s="31">
        <v>2723.62</v>
      </c>
      <c r="I958" s="39"/>
      <c r="J958" s="31">
        <f t="shared" si="145"/>
        <v>2723.62</v>
      </c>
      <c r="K958" s="33">
        <f t="shared" si="146"/>
        <v>15361.22</v>
      </c>
      <c r="L958" s="34" t="s">
        <v>28</v>
      </c>
      <c r="M958" s="35"/>
      <c r="O958" s="21">
        <v>2681.25</v>
      </c>
      <c r="P958" s="22" t="s">
        <v>626</v>
      </c>
      <c r="Q958" s="38"/>
      <c r="R958" s="38"/>
    </row>
    <row r="959" s="3" customFormat="1" ht="72" customHeight="1" outlineLevel="2" spans="1:18">
      <c r="A959" s="41">
        <f t="shared" si="144"/>
        <v>5</v>
      </c>
      <c r="B959" s="28" t="s">
        <v>627</v>
      </c>
      <c r="C959" s="28" t="s">
        <v>628</v>
      </c>
      <c r="D959" s="28" t="s">
        <v>98</v>
      </c>
      <c r="E959" s="28" t="s">
        <v>115</v>
      </c>
      <c r="F959" s="29" t="s">
        <v>27</v>
      </c>
      <c r="G959" s="30">
        <v>2.88</v>
      </c>
      <c r="H959" s="31">
        <v>3160.51</v>
      </c>
      <c r="I959" s="39"/>
      <c r="J959" s="31">
        <f t="shared" si="145"/>
        <v>3160.51</v>
      </c>
      <c r="K959" s="33">
        <f t="shared" si="146"/>
        <v>9102.27</v>
      </c>
      <c r="L959" s="34" t="s">
        <v>28</v>
      </c>
      <c r="M959" s="35"/>
      <c r="O959" s="21">
        <v>2406.25</v>
      </c>
      <c r="P959" s="22" t="s">
        <v>629</v>
      </c>
      <c r="Q959" s="38"/>
      <c r="R959" s="38"/>
    </row>
    <row r="960" s="3" customFormat="1" ht="72" customHeight="1" outlineLevel="2" spans="1:18">
      <c r="A960" s="41">
        <f t="shared" si="144"/>
        <v>6</v>
      </c>
      <c r="B960" s="28" t="s">
        <v>630</v>
      </c>
      <c r="C960" s="28" t="s">
        <v>631</v>
      </c>
      <c r="D960" s="28" t="s">
        <v>98</v>
      </c>
      <c r="E960" s="28" t="s">
        <v>115</v>
      </c>
      <c r="F960" s="29" t="s">
        <v>27</v>
      </c>
      <c r="G960" s="30">
        <v>4.48</v>
      </c>
      <c r="H960" s="31">
        <v>3160.51</v>
      </c>
      <c r="I960" s="39"/>
      <c r="J960" s="31">
        <f t="shared" si="145"/>
        <v>3160.51</v>
      </c>
      <c r="K960" s="33">
        <f t="shared" si="146"/>
        <v>14159.08</v>
      </c>
      <c r="L960" s="34" t="s">
        <v>28</v>
      </c>
      <c r="M960" s="35"/>
      <c r="O960" s="21">
        <v>2406.25</v>
      </c>
      <c r="P960" s="22" t="s">
        <v>629</v>
      </c>
      <c r="Q960" s="38"/>
      <c r="R960" s="38"/>
    </row>
    <row r="961" s="3" customFormat="1" outlineLevel="1" spans="1:18">
      <c r="A961" s="27" t="s">
        <v>135</v>
      </c>
      <c r="B961" s="28" t="s">
        <v>632</v>
      </c>
      <c r="C961" s="28"/>
      <c r="D961" s="28"/>
      <c r="E961" s="28"/>
      <c r="F961" s="29"/>
      <c r="G961" s="30"/>
      <c r="H961" s="31"/>
      <c r="I961" s="39"/>
      <c r="J961" s="31"/>
      <c r="K961" s="33"/>
      <c r="L961" s="34"/>
      <c r="M961" s="35"/>
      <c r="O961" s="36"/>
      <c r="P961" s="37"/>
      <c r="Q961" s="38"/>
      <c r="R961" s="38"/>
    </row>
    <row r="962" s="3" customFormat="1" outlineLevel="1" spans="1:18">
      <c r="A962" s="40"/>
      <c r="B962" s="28" t="s">
        <v>22</v>
      </c>
      <c r="C962" s="28"/>
      <c r="D962" s="28"/>
      <c r="E962" s="28"/>
      <c r="F962" s="29"/>
      <c r="G962" s="30"/>
      <c r="H962" s="31"/>
      <c r="I962" s="39"/>
      <c r="J962" s="31"/>
      <c r="K962" s="33"/>
      <c r="L962" s="34"/>
      <c r="M962" s="35"/>
      <c r="O962" s="36"/>
      <c r="P962" s="37"/>
      <c r="Q962" s="38"/>
      <c r="R962" s="38"/>
    </row>
    <row r="963" s="3" customFormat="1" ht="108" customHeight="1" outlineLevel="2" spans="1:18">
      <c r="A963" s="41">
        <f>1+N(A962)</f>
        <v>1</v>
      </c>
      <c r="B963" s="28" t="s">
        <v>23</v>
      </c>
      <c r="C963" s="28" t="s">
        <v>24</v>
      </c>
      <c r="D963" s="28" t="s">
        <v>25</v>
      </c>
      <c r="E963" s="28" t="s">
        <v>26</v>
      </c>
      <c r="F963" s="29" t="s">
        <v>27</v>
      </c>
      <c r="G963" s="30">
        <v>1.56</v>
      </c>
      <c r="H963" s="31">
        <v>940.91</v>
      </c>
      <c r="I963" s="39"/>
      <c r="J963" s="31">
        <f>H963*(1-$I$4)</f>
        <v>940.91</v>
      </c>
      <c r="K963" s="33">
        <f>ROUND(G963*J963,2)</f>
        <v>1467.82</v>
      </c>
      <c r="L963" s="34" t="s">
        <v>28</v>
      </c>
      <c r="M963" s="35"/>
      <c r="O963" s="21">
        <v>886.6</v>
      </c>
      <c r="P963" s="22" t="s">
        <v>29</v>
      </c>
      <c r="Q963" s="38"/>
      <c r="R963" s="38"/>
    </row>
    <row r="964" s="3" customFormat="1" ht="72" customHeight="1" outlineLevel="2" spans="1:18">
      <c r="A964" s="41">
        <f>1+N(A963)</f>
        <v>2</v>
      </c>
      <c r="B964" s="28" t="s">
        <v>41</v>
      </c>
      <c r="C964" s="28" t="s">
        <v>42</v>
      </c>
      <c r="D964" s="28" t="s">
        <v>25</v>
      </c>
      <c r="E964" s="28" t="s">
        <v>26</v>
      </c>
      <c r="F964" s="29" t="s">
        <v>27</v>
      </c>
      <c r="G964" s="30">
        <v>1.56</v>
      </c>
      <c r="H964" s="31">
        <v>64.9</v>
      </c>
      <c r="I964" s="39"/>
      <c r="J964" s="31">
        <f>H964*(1-$I$4)</f>
        <v>64.9</v>
      </c>
      <c r="K964" s="33">
        <f>ROUND(G964*J964,2)</f>
        <v>101.24</v>
      </c>
      <c r="L964" s="34" t="s">
        <v>28</v>
      </c>
      <c r="M964" s="35"/>
      <c r="O964" s="21">
        <v>61.38</v>
      </c>
      <c r="P964" s="22" t="s">
        <v>43</v>
      </c>
      <c r="Q964" s="38"/>
      <c r="R964" s="38"/>
    </row>
    <row r="965" s="3" customFormat="1" outlineLevel="1" spans="1:18">
      <c r="A965" s="40"/>
      <c r="B965" s="28" t="s">
        <v>44</v>
      </c>
      <c r="C965" s="28"/>
      <c r="D965" s="28"/>
      <c r="E965" s="28"/>
      <c r="F965" s="29"/>
      <c r="G965" s="30"/>
      <c r="H965" s="31"/>
      <c r="I965" s="39"/>
      <c r="J965" s="31"/>
      <c r="K965" s="33"/>
      <c r="L965" s="34"/>
      <c r="M965" s="35"/>
      <c r="O965" s="36"/>
      <c r="P965" s="37"/>
      <c r="Q965" s="38"/>
      <c r="R965" s="38"/>
    </row>
    <row r="966" s="3" customFormat="1" ht="96" customHeight="1" outlineLevel="2" spans="1:18">
      <c r="A966" s="41">
        <f>1+N(A965)</f>
        <v>1</v>
      </c>
      <c r="B966" s="28" t="s">
        <v>57</v>
      </c>
      <c r="C966" s="28" t="s">
        <v>58</v>
      </c>
      <c r="D966" s="28" t="s">
        <v>59</v>
      </c>
      <c r="E966" s="28" t="s">
        <v>26</v>
      </c>
      <c r="F966" s="29" t="s">
        <v>27</v>
      </c>
      <c r="G966" s="30">
        <v>13.58</v>
      </c>
      <c r="H966" s="31">
        <v>220.01</v>
      </c>
      <c r="I966" s="39"/>
      <c r="J966" s="31">
        <f>H966*(1-$I$4)</f>
        <v>220.01</v>
      </c>
      <c r="K966" s="33">
        <f>ROUND(G966*J966,2)</f>
        <v>2987.74</v>
      </c>
      <c r="L966" s="34" t="s">
        <v>28</v>
      </c>
      <c r="M966" s="35"/>
      <c r="O966" s="21">
        <v>169.24</v>
      </c>
      <c r="P966" s="22" t="s">
        <v>60</v>
      </c>
      <c r="Q966" s="38"/>
      <c r="R966" s="38"/>
    </row>
    <row r="967" s="3" customFormat="1" ht="108" customHeight="1" outlineLevel="2" spans="1:18">
      <c r="A967" s="41">
        <f>1+N(A966)</f>
        <v>2</v>
      </c>
      <c r="B967" s="28" t="s">
        <v>633</v>
      </c>
      <c r="C967" s="28" t="s">
        <v>634</v>
      </c>
      <c r="D967" s="28" t="s">
        <v>47</v>
      </c>
      <c r="E967" s="28" t="s">
        <v>48</v>
      </c>
      <c r="F967" s="29" t="s">
        <v>27</v>
      </c>
      <c r="G967" s="30">
        <v>0.31</v>
      </c>
      <c r="H967" s="31">
        <v>824.82</v>
      </c>
      <c r="I967" s="39"/>
      <c r="J967" s="31">
        <f>H967*(1-$I$4)</f>
        <v>824.82</v>
      </c>
      <c r="K967" s="33">
        <f>ROUND(G967*J967,2)</f>
        <v>255.69</v>
      </c>
      <c r="L967" s="34" t="s">
        <v>28</v>
      </c>
      <c r="M967" s="35"/>
      <c r="O967" s="21">
        <v>917.05</v>
      </c>
      <c r="P967" s="22" t="s">
        <v>635</v>
      </c>
      <c r="Q967" s="38"/>
      <c r="R967" s="38"/>
    </row>
    <row r="968" s="3" customFormat="1" ht="120" customHeight="1" outlineLevel="2" spans="1:18">
      <c r="A968" s="41">
        <f>1+N(A967)</f>
        <v>3</v>
      </c>
      <c r="B968" s="28" t="s">
        <v>61</v>
      </c>
      <c r="C968" s="28" t="s">
        <v>62</v>
      </c>
      <c r="D968" s="28" t="s">
        <v>52</v>
      </c>
      <c r="E968" s="28" t="s">
        <v>63</v>
      </c>
      <c r="F968" s="29" t="s">
        <v>27</v>
      </c>
      <c r="G968" s="30">
        <v>2.06</v>
      </c>
      <c r="H968" s="31">
        <v>630.65</v>
      </c>
      <c r="I968" s="39"/>
      <c r="J968" s="31">
        <f>H968*(1-$I$4)</f>
        <v>630.65</v>
      </c>
      <c r="K968" s="33">
        <f>ROUND(G968*J968,2)</f>
        <v>1299.14</v>
      </c>
      <c r="L968" s="34" t="s">
        <v>28</v>
      </c>
      <c r="M968" s="35"/>
      <c r="O968" s="21">
        <v>681.67</v>
      </c>
      <c r="P968" s="22" t="s">
        <v>64</v>
      </c>
      <c r="Q968" s="38"/>
      <c r="R968" s="38"/>
    </row>
    <row r="969" s="3" customFormat="1" outlineLevel="1" spans="1:18">
      <c r="A969" s="40"/>
      <c r="B969" s="28" t="s">
        <v>90</v>
      </c>
      <c r="C969" s="28"/>
      <c r="D969" s="28"/>
      <c r="E969" s="28"/>
      <c r="F969" s="29"/>
      <c r="G969" s="30"/>
      <c r="H969" s="31"/>
      <c r="I969" s="39"/>
      <c r="J969" s="31"/>
      <c r="K969" s="33"/>
      <c r="L969" s="34"/>
      <c r="M969" s="35"/>
      <c r="O969" s="36"/>
      <c r="P969" s="37"/>
      <c r="Q969" s="38"/>
      <c r="R969" s="38"/>
    </row>
    <row r="970" s="3" customFormat="1" ht="168" customHeight="1" outlineLevel="2" spans="1:18">
      <c r="A970" s="41">
        <f>1+N(A969)</f>
        <v>1</v>
      </c>
      <c r="B970" s="28" t="s">
        <v>636</v>
      </c>
      <c r="C970" s="28" t="s">
        <v>637</v>
      </c>
      <c r="D970" s="28" t="s">
        <v>93</v>
      </c>
      <c r="E970" s="28" t="s">
        <v>94</v>
      </c>
      <c r="F970" s="29" t="s">
        <v>27</v>
      </c>
      <c r="G970" s="30">
        <v>1.4</v>
      </c>
      <c r="H970" s="31">
        <v>174.57</v>
      </c>
      <c r="I970" s="39"/>
      <c r="J970" s="31">
        <f>H970*(1-$I$4)</f>
        <v>174.57</v>
      </c>
      <c r="K970" s="33">
        <f>ROUND(G970*J970,2)</f>
        <v>244.4</v>
      </c>
      <c r="L970" s="34" t="s">
        <v>28</v>
      </c>
      <c r="M970" s="35"/>
      <c r="O970" s="21">
        <v>150.38</v>
      </c>
      <c r="P970" s="22" t="s">
        <v>638</v>
      </c>
      <c r="Q970" s="38"/>
      <c r="R970" s="38"/>
    </row>
    <row r="971" s="3" customFormat="1" ht="132" customHeight="1" outlineLevel="2" spans="1:18">
      <c r="A971" s="41">
        <f>1+N(A970)</f>
        <v>2</v>
      </c>
      <c r="B971" s="28" t="s">
        <v>107</v>
      </c>
      <c r="C971" s="28" t="s">
        <v>108</v>
      </c>
      <c r="D971" s="28" t="s">
        <v>109</v>
      </c>
      <c r="E971" s="28" t="s">
        <v>110</v>
      </c>
      <c r="F971" s="29" t="s">
        <v>27</v>
      </c>
      <c r="G971" s="30">
        <v>1.4</v>
      </c>
      <c r="H971" s="31">
        <v>152.22</v>
      </c>
      <c r="I971" s="39"/>
      <c r="J971" s="31">
        <f>H971*(1-$I$4)</f>
        <v>152.22</v>
      </c>
      <c r="K971" s="33">
        <f>ROUND(G971*J971,2)</f>
        <v>213.11</v>
      </c>
      <c r="L971" s="34" t="s">
        <v>28</v>
      </c>
      <c r="M971" s="35"/>
      <c r="O971" s="21">
        <v>151.58</v>
      </c>
      <c r="P971" s="22" t="s">
        <v>111</v>
      </c>
      <c r="Q971" s="38"/>
      <c r="R971" s="38"/>
    </row>
    <row r="972" s="3" customFormat="1" outlineLevel="1" spans="1:18">
      <c r="A972" s="40"/>
      <c r="B972" s="28" t="s">
        <v>112</v>
      </c>
      <c r="C972" s="28"/>
      <c r="D972" s="28"/>
      <c r="E972" s="28"/>
      <c r="F972" s="29"/>
      <c r="G972" s="30"/>
      <c r="H972" s="31"/>
      <c r="I972" s="39"/>
      <c r="J972" s="31"/>
      <c r="K972" s="33"/>
      <c r="L972" s="34"/>
      <c r="M972" s="35"/>
      <c r="O972" s="36"/>
      <c r="P972" s="37"/>
      <c r="Q972" s="38"/>
      <c r="R972" s="38"/>
    </row>
    <row r="973" s="3" customFormat="1" ht="72" customHeight="1" outlineLevel="2" spans="1:18">
      <c r="A973" s="41">
        <f>1+N(A972)</f>
        <v>1</v>
      </c>
      <c r="B973" s="28" t="s">
        <v>614</v>
      </c>
      <c r="C973" s="28" t="s">
        <v>639</v>
      </c>
      <c r="D973" s="28" t="s">
        <v>98</v>
      </c>
      <c r="E973" s="28" t="s">
        <v>115</v>
      </c>
      <c r="F973" s="29" t="s">
        <v>27</v>
      </c>
      <c r="G973" s="30">
        <v>2.02</v>
      </c>
      <c r="H973" s="31">
        <v>2447.18</v>
      </c>
      <c r="I973" s="39"/>
      <c r="J973" s="31">
        <f>H973*(1-$I$4)</f>
        <v>2447.18</v>
      </c>
      <c r="K973" s="33">
        <f>ROUND(G973*J973,2)</f>
        <v>4943.3</v>
      </c>
      <c r="L973" s="34" t="s">
        <v>28</v>
      </c>
      <c r="M973" s="35"/>
      <c r="O973" s="21">
        <v>1565.85</v>
      </c>
      <c r="P973" s="22" t="s">
        <v>640</v>
      </c>
      <c r="Q973" s="38"/>
      <c r="R973" s="38"/>
    </row>
    <row r="974" s="3" customFormat="1" outlineLevel="1" spans="1:18">
      <c r="A974" s="27" t="s">
        <v>151</v>
      </c>
      <c r="B974" s="28" t="s">
        <v>641</v>
      </c>
      <c r="C974" s="28"/>
      <c r="D974" s="28"/>
      <c r="E974" s="28"/>
      <c r="F974" s="29"/>
      <c r="G974" s="30"/>
      <c r="H974" s="31"/>
      <c r="I974" s="39"/>
      <c r="J974" s="31"/>
      <c r="K974" s="33"/>
      <c r="L974" s="34"/>
      <c r="M974" s="35"/>
      <c r="O974" s="36"/>
      <c r="P974" s="37"/>
      <c r="Q974" s="38"/>
      <c r="R974" s="38"/>
    </row>
    <row r="975" s="3" customFormat="1" outlineLevel="1" spans="1:18">
      <c r="A975" s="40"/>
      <c r="B975" s="28" t="s">
        <v>22</v>
      </c>
      <c r="C975" s="28"/>
      <c r="D975" s="28"/>
      <c r="E975" s="28"/>
      <c r="F975" s="29"/>
      <c r="G975" s="30"/>
      <c r="H975" s="31"/>
      <c r="I975" s="39"/>
      <c r="J975" s="31"/>
      <c r="K975" s="33"/>
      <c r="L975" s="34"/>
      <c r="M975" s="35"/>
      <c r="O975" s="36"/>
      <c r="P975" s="37"/>
      <c r="Q975" s="38"/>
      <c r="R975" s="38"/>
    </row>
    <row r="976" s="3" customFormat="1" ht="108" customHeight="1" outlineLevel="2" spans="1:18">
      <c r="A976" s="41">
        <f>1+N(A975)</f>
        <v>1</v>
      </c>
      <c r="B976" s="28" t="s">
        <v>23</v>
      </c>
      <c r="C976" s="28" t="s">
        <v>24</v>
      </c>
      <c r="D976" s="28" t="s">
        <v>25</v>
      </c>
      <c r="E976" s="28" t="s">
        <v>26</v>
      </c>
      <c r="F976" s="29" t="s">
        <v>27</v>
      </c>
      <c r="G976" s="30">
        <v>28.52</v>
      </c>
      <c r="H976" s="31">
        <v>940.91</v>
      </c>
      <c r="I976" s="39"/>
      <c r="J976" s="31">
        <f>H976*(1-$I$4)</f>
        <v>940.91</v>
      </c>
      <c r="K976" s="33">
        <f>ROUND(G976*J976,2)</f>
        <v>26834.75</v>
      </c>
      <c r="L976" s="34" t="s">
        <v>28</v>
      </c>
      <c r="M976" s="35"/>
      <c r="O976" s="21">
        <v>886.6</v>
      </c>
      <c r="P976" s="22" t="s">
        <v>29</v>
      </c>
      <c r="Q976" s="38"/>
      <c r="R976" s="38"/>
    </row>
    <row r="977" s="3" customFormat="1" ht="72" customHeight="1" outlineLevel="2" spans="1:18">
      <c r="A977" s="41">
        <f>1+N(A976)</f>
        <v>2</v>
      </c>
      <c r="B977" s="28" t="s">
        <v>41</v>
      </c>
      <c r="C977" s="28" t="s">
        <v>42</v>
      </c>
      <c r="D977" s="28" t="s">
        <v>25</v>
      </c>
      <c r="E977" s="28" t="s">
        <v>26</v>
      </c>
      <c r="F977" s="29" t="s">
        <v>27</v>
      </c>
      <c r="G977" s="30">
        <v>28.52</v>
      </c>
      <c r="H977" s="31">
        <v>64.9</v>
      </c>
      <c r="I977" s="39"/>
      <c r="J977" s="31">
        <f>H977*(1-$I$4)</f>
        <v>64.9</v>
      </c>
      <c r="K977" s="33">
        <f>ROUND(G977*J977,2)</f>
        <v>1850.95</v>
      </c>
      <c r="L977" s="34" t="s">
        <v>28</v>
      </c>
      <c r="M977" s="35"/>
      <c r="O977" s="21">
        <v>61.38</v>
      </c>
      <c r="P977" s="22" t="s">
        <v>43</v>
      </c>
      <c r="Q977" s="38"/>
      <c r="R977" s="38"/>
    </row>
    <row r="978" s="3" customFormat="1" outlineLevel="1" spans="1:18">
      <c r="A978" s="40"/>
      <c r="B978" s="28" t="s">
        <v>44</v>
      </c>
      <c r="C978" s="28"/>
      <c r="D978" s="28"/>
      <c r="E978" s="28"/>
      <c r="F978" s="29"/>
      <c r="G978" s="30"/>
      <c r="H978" s="31"/>
      <c r="I978" s="39"/>
      <c r="J978" s="31"/>
      <c r="K978" s="33"/>
      <c r="L978" s="34"/>
      <c r="M978" s="35"/>
      <c r="O978" s="36"/>
      <c r="P978" s="37"/>
      <c r="Q978" s="38"/>
      <c r="R978" s="38"/>
    </row>
    <row r="979" s="3" customFormat="1" ht="108" customHeight="1" outlineLevel="2" spans="1:18">
      <c r="A979" s="41">
        <f t="shared" ref="A979:A984" si="147">1+N(A978)</f>
        <v>1</v>
      </c>
      <c r="B979" s="28" t="s">
        <v>642</v>
      </c>
      <c r="C979" s="28" t="s">
        <v>643</v>
      </c>
      <c r="D979" s="28" t="s">
        <v>47</v>
      </c>
      <c r="E979" s="28" t="s">
        <v>48</v>
      </c>
      <c r="F979" s="29" t="s">
        <v>27</v>
      </c>
      <c r="G979" s="30">
        <v>84.6</v>
      </c>
      <c r="H979" s="31">
        <v>1416.71</v>
      </c>
      <c r="I979" s="39"/>
      <c r="J979" s="31">
        <f t="shared" ref="J979:J984" si="148">H979*(1-$I$4)</f>
        <v>1416.71</v>
      </c>
      <c r="K979" s="33">
        <f t="shared" ref="K979:K984" si="149">ROUND(G979*J979,2)</f>
        <v>119853.67</v>
      </c>
      <c r="L979" s="34" t="s">
        <v>28</v>
      </c>
      <c r="M979" s="35"/>
      <c r="O979" s="21">
        <v>806.63</v>
      </c>
      <c r="P979" s="22" t="s">
        <v>644</v>
      </c>
      <c r="Q979" s="38"/>
      <c r="R979" s="38"/>
    </row>
    <row r="980" s="3" customFormat="1" ht="96" customHeight="1" outlineLevel="2" spans="1:18">
      <c r="A980" s="41">
        <f t="shared" si="147"/>
        <v>2</v>
      </c>
      <c r="B980" s="28" t="s">
        <v>645</v>
      </c>
      <c r="C980" s="28" t="s">
        <v>646</v>
      </c>
      <c r="D980" s="28" t="s">
        <v>59</v>
      </c>
      <c r="E980" s="28" t="s">
        <v>390</v>
      </c>
      <c r="F980" s="29" t="s">
        <v>27</v>
      </c>
      <c r="G980" s="30">
        <v>36</v>
      </c>
      <c r="H980" s="31">
        <v>674.1</v>
      </c>
      <c r="I980" s="39"/>
      <c r="J980" s="31">
        <f t="shared" si="148"/>
        <v>674.1</v>
      </c>
      <c r="K980" s="33">
        <f t="shared" si="149"/>
        <v>24267.6</v>
      </c>
      <c r="L980" s="34" t="s">
        <v>28</v>
      </c>
      <c r="M980" s="35"/>
      <c r="O980" s="21">
        <v>248.05</v>
      </c>
      <c r="P980" s="22" t="s">
        <v>647</v>
      </c>
      <c r="Q980" s="38"/>
      <c r="R980" s="38"/>
    </row>
    <row r="981" s="3" customFormat="1" ht="120" customHeight="1" outlineLevel="2" spans="1:18">
      <c r="A981" s="41">
        <f t="shared" si="147"/>
        <v>3</v>
      </c>
      <c r="B981" s="28" t="s">
        <v>240</v>
      </c>
      <c r="C981" s="28" t="s">
        <v>241</v>
      </c>
      <c r="D981" s="28" t="s">
        <v>234</v>
      </c>
      <c r="E981" s="28" t="s">
        <v>235</v>
      </c>
      <c r="F981" s="29" t="s">
        <v>27</v>
      </c>
      <c r="G981" s="30">
        <v>157.08</v>
      </c>
      <c r="H981" s="31">
        <v>55.87</v>
      </c>
      <c r="I981" s="39"/>
      <c r="J981" s="31">
        <f t="shared" si="148"/>
        <v>55.87</v>
      </c>
      <c r="K981" s="33">
        <f t="shared" si="149"/>
        <v>8776.06</v>
      </c>
      <c r="L981" s="34" t="s">
        <v>28</v>
      </c>
      <c r="M981" s="35"/>
      <c r="O981" s="21">
        <v>45.13</v>
      </c>
      <c r="P981" s="22" t="s">
        <v>242</v>
      </c>
      <c r="Q981" s="38"/>
      <c r="R981" s="38"/>
    </row>
    <row r="982" s="3" customFormat="1" ht="96" customHeight="1" outlineLevel="2" spans="1:18">
      <c r="A982" s="41">
        <f t="shared" si="147"/>
        <v>4</v>
      </c>
      <c r="B982" s="28" t="s">
        <v>75</v>
      </c>
      <c r="C982" s="28" t="s">
        <v>76</v>
      </c>
      <c r="D982" s="28" t="s">
        <v>59</v>
      </c>
      <c r="E982" s="28" t="s">
        <v>38</v>
      </c>
      <c r="F982" s="29" t="s">
        <v>39</v>
      </c>
      <c r="G982" s="30">
        <v>13.39</v>
      </c>
      <c r="H982" s="31">
        <v>67.08</v>
      </c>
      <c r="I982" s="39"/>
      <c r="J982" s="31">
        <f t="shared" si="148"/>
        <v>67.08</v>
      </c>
      <c r="K982" s="33">
        <f t="shared" si="149"/>
        <v>898.2</v>
      </c>
      <c r="L982" s="34" t="s">
        <v>28</v>
      </c>
      <c r="M982" s="35"/>
      <c r="O982" s="21">
        <v>45.71</v>
      </c>
      <c r="P982" s="22" t="s">
        <v>77</v>
      </c>
      <c r="Q982" s="38"/>
      <c r="R982" s="38"/>
    </row>
    <row r="983" s="3" customFormat="1" ht="96" customHeight="1" outlineLevel="2" spans="1:18">
      <c r="A983" s="41">
        <f t="shared" si="147"/>
        <v>5</v>
      </c>
      <c r="B983" s="28" t="s">
        <v>87</v>
      </c>
      <c r="C983" s="28" t="s">
        <v>88</v>
      </c>
      <c r="D983" s="28" t="s">
        <v>59</v>
      </c>
      <c r="E983" s="28" t="s">
        <v>38</v>
      </c>
      <c r="F983" s="29" t="s">
        <v>39</v>
      </c>
      <c r="G983" s="30">
        <v>19.76</v>
      </c>
      <c r="H983" s="31">
        <v>64.25</v>
      </c>
      <c r="I983" s="39"/>
      <c r="J983" s="31">
        <f t="shared" si="148"/>
        <v>64.25</v>
      </c>
      <c r="K983" s="33">
        <f t="shared" si="149"/>
        <v>1269.58</v>
      </c>
      <c r="L983" s="34" t="s">
        <v>28</v>
      </c>
      <c r="M983" s="35"/>
      <c r="O983" s="21">
        <v>43.16</v>
      </c>
      <c r="P983" s="22" t="s">
        <v>89</v>
      </c>
      <c r="Q983" s="38"/>
      <c r="R983" s="38"/>
    </row>
    <row r="984" s="3" customFormat="1" ht="120" customHeight="1" outlineLevel="2" spans="1:18">
      <c r="A984" s="41">
        <f t="shared" si="147"/>
        <v>6</v>
      </c>
      <c r="B984" s="28" t="s">
        <v>61</v>
      </c>
      <c r="C984" s="28" t="s">
        <v>62</v>
      </c>
      <c r="D984" s="28" t="s">
        <v>52</v>
      </c>
      <c r="E984" s="28" t="s">
        <v>63</v>
      </c>
      <c r="F984" s="29" t="s">
        <v>27</v>
      </c>
      <c r="G984" s="30">
        <v>7.28</v>
      </c>
      <c r="H984" s="31">
        <v>630.65</v>
      </c>
      <c r="I984" s="39"/>
      <c r="J984" s="31">
        <f t="shared" si="148"/>
        <v>630.65</v>
      </c>
      <c r="K984" s="33">
        <f t="shared" si="149"/>
        <v>4591.13</v>
      </c>
      <c r="L984" s="34" t="s">
        <v>28</v>
      </c>
      <c r="M984" s="35"/>
      <c r="O984" s="21">
        <v>681.67</v>
      </c>
      <c r="P984" s="22" t="s">
        <v>64</v>
      </c>
      <c r="Q984" s="38"/>
      <c r="R984" s="38"/>
    </row>
    <row r="985" s="3" customFormat="1" outlineLevel="1" spans="1:18">
      <c r="A985" s="40"/>
      <c r="B985" s="28" t="s">
        <v>90</v>
      </c>
      <c r="C985" s="28"/>
      <c r="D985" s="28"/>
      <c r="E985" s="28"/>
      <c r="F985" s="29"/>
      <c r="G985" s="30"/>
      <c r="H985" s="31"/>
      <c r="I985" s="39"/>
      <c r="J985" s="31"/>
      <c r="K985" s="33"/>
      <c r="L985" s="34"/>
      <c r="M985" s="35"/>
      <c r="O985" s="36"/>
      <c r="P985" s="37"/>
      <c r="Q985" s="38"/>
      <c r="R985" s="38"/>
    </row>
    <row r="986" s="3" customFormat="1" ht="168" customHeight="1" outlineLevel="2" spans="1:18">
      <c r="A986" s="41">
        <f>1+N(A985)</f>
        <v>1</v>
      </c>
      <c r="B986" s="28" t="s">
        <v>91</v>
      </c>
      <c r="C986" s="28" t="s">
        <v>92</v>
      </c>
      <c r="D986" s="28" t="s">
        <v>93</v>
      </c>
      <c r="E986" s="28" t="s">
        <v>94</v>
      </c>
      <c r="F986" s="29" t="s">
        <v>27</v>
      </c>
      <c r="G986" s="30">
        <v>29.54</v>
      </c>
      <c r="H986" s="31">
        <v>174.57</v>
      </c>
      <c r="I986" s="39"/>
      <c r="J986" s="31">
        <f>H986*(1-$I$4)</f>
        <v>174.57</v>
      </c>
      <c r="K986" s="33">
        <f>ROUND(G986*J986,2)</f>
        <v>5156.8</v>
      </c>
      <c r="L986" s="34" t="s">
        <v>28</v>
      </c>
      <c r="M986" s="35"/>
      <c r="O986" s="21">
        <v>150.38</v>
      </c>
      <c r="P986" s="22" t="s">
        <v>95</v>
      </c>
      <c r="Q986" s="38"/>
      <c r="R986" s="38"/>
    </row>
    <row r="987" s="3" customFormat="1" ht="48" customHeight="1" outlineLevel="2" spans="1:18">
      <c r="A987" s="41">
        <f>1+N(A986)</f>
        <v>2</v>
      </c>
      <c r="B987" s="28" t="s">
        <v>96</v>
      </c>
      <c r="C987" s="28" t="s">
        <v>97</v>
      </c>
      <c r="D987" s="28" t="s">
        <v>98</v>
      </c>
      <c r="E987" s="28" t="s">
        <v>99</v>
      </c>
      <c r="F987" s="29" t="s">
        <v>39</v>
      </c>
      <c r="G987" s="30">
        <v>15.08</v>
      </c>
      <c r="H987" s="31">
        <v>112.16</v>
      </c>
      <c r="I987" s="39"/>
      <c r="J987" s="31">
        <f>H987*(1-$I$4)</f>
        <v>112.16</v>
      </c>
      <c r="K987" s="33">
        <f>ROUND(G987*J987,2)</f>
        <v>1691.37</v>
      </c>
      <c r="L987" s="34" t="s">
        <v>28</v>
      </c>
      <c r="M987" s="35"/>
      <c r="O987" s="21">
        <v>79.3</v>
      </c>
      <c r="P987" s="22" t="s">
        <v>100</v>
      </c>
      <c r="Q987" s="38"/>
      <c r="R987" s="38"/>
    </row>
    <row r="988" s="3" customFormat="1" ht="48" customHeight="1" outlineLevel="2" spans="1:18">
      <c r="A988" s="41">
        <f>1+N(A987)</f>
        <v>3</v>
      </c>
      <c r="B988" s="28" t="s">
        <v>394</v>
      </c>
      <c r="C988" s="28" t="s">
        <v>395</v>
      </c>
      <c r="D988" s="28" t="s">
        <v>98</v>
      </c>
      <c r="E988" s="28" t="s">
        <v>99</v>
      </c>
      <c r="F988" s="29" t="s">
        <v>39</v>
      </c>
      <c r="G988" s="30">
        <v>20</v>
      </c>
      <c r="H988" s="31">
        <v>109.74</v>
      </c>
      <c r="I988" s="39"/>
      <c r="J988" s="31">
        <f>H988*(1-$I$4)</f>
        <v>109.74</v>
      </c>
      <c r="K988" s="33">
        <f>ROUND(G988*J988,2)</f>
        <v>2194.8</v>
      </c>
      <c r="L988" s="34" t="s">
        <v>28</v>
      </c>
      <c r="M988" s="35"/>
      <c r="O988" s="21">
        <v>108.2</v>
      </c>
      <c r="P988" s="22" t="s">
        <v>106</v>
      </c>
      <c r="Q988" s="38"/>
      <c r="R988" s="38"/>
    </row>
    <row r="989" s="3" customFormat="1" ht="132" customHeight="1" outlineLevel="2" spans="1:18">
      <c r="A989" s="41">
        <f>1+N(A988)</f>
        <v>4</v>
      </c>
      <c r="B989" s="28" t="s">
        <v>158</v>
      </c>
      <c r="C989" s="28" t="s">
        <v>159</v>
      </c>
      <c r="D989" s="28" t="s">
        <v>109</v>
      </c>
      <c r="E989" s="28" t="s">
        <v>110</v>
      </c>
      <c r="F989" s="29" t="s">
        <v>27</v>
      </c>
      <c r="G989" s="30">
        <v>34.96</v>
      </c>
      <c r="H989" s="31">
        <v>48.32</v>
      </c>
      <c r="I989" s="39"/>
      <c r="J989" s="31">
        <f>H989*(1-$I$4)</f>
        <v>48.32</v>
      </c>
      <c r="K989" s="33">
        <f>ROUND(G989*J989,2)</f>
        <v>1689.27</v>
      </c>
      <c r="L989" s="34" t="s">
        <v>28</v>
      </c>
      <c r="M989" s="35"/>
      <c r="O989" s="21">
        <v>44.88</v>
      </c>
      <c r="P989" s="22" t="s">
        <v>160</v>
      </c>
      <c r="Q989" s="38"/>
      <c r="R989" s="38"/>
    </row>
    <row r="990" s="3" customFormat="1" outlineLevel="1" spans="1:18">
      <c r="A990" s="40"/>
      <c r="B990" s="28" t="s">
        <v>396</v>
      </c>
      <c r="C990" s="28"/>
      <c r="D990" s="28"/>
      <c r="E990" s="28"/>
      <c r="F990" s="29"/>
      <c r="G990" s="30"/>
      <c r="H990" s="31"/>
      <c r="I990" s="39"/>
      <c r="J990" s="31"/>
      <c r="K990" s="33"/>
      <c r="L990" s="34"/>
      <c r="M990" s="35"/>
      <c r="O990" s="36"/>
      <c r="P990" s="37"/>
      <c r="Q990" s="38"/>
      <c r="R990" s="38"/>
    </row>
    <row r="991" s="3" customFormat="1" ht="84" customHeight="1" outlineLevel="2" spans="1:18">
      <c r="A991" s="41">
        <f>1+N(A990)</f>
        <v>1</v>
      </c>
      <c r="B991" s="28" t="s">
        <v>648</v>
      </c>
      <c r="C991" s="28" t="s">
        <v>649</v>
      </c>
      <c r="D991" s="28" t="s">
        <v>98</v>
      </c>
      <c r="E991" s="28" t="s">
        <v>115</v>
      </c>
      <c r="F991" s="29" t="s">
        <v>27</v>
      </c>
      <c r="G991" s="30">
        <v>5.1</v>
      </c>
      <c r="H991" s="31">
        <v>2447.18</v>
      </c>
      <c r="I991" s="39"/>
      <c r="J991" s="31">
        <f>H991*(1-$I$4)</f>
        <v>2447.18</v>
      </c>
      <c r="K991" s="33">
        <f>ROUND(G991*J991,2)</f>
        <v>12480.62</v>
      </c>
      <c r="L991" s="34" t="s">
        <v>28</v>
      </c>
      <c r="M991" s="35"/>
      <c r="O991" s="21">
        <v>1565.85</v>
      </c>
      <c r="P991" s="22" t="s">
        <v>640</v>
      </c>
      <c r="Q991" s="38"/>
      <c r="R991" s="38"/>
    </row>
    <row r="992" s="3" customFormat="1" ht="72" customHeight="1" outlineLevel="2" spans="1:18">
      <c r="A992" s="41">
        <f>1+N(A991)</f>
        <v>2</v>
      </c>
      <c r="B992" s="28" t="s">
        <v>650</v>
      </c>
      <c r="C992" s="28" t="s">
        <v>651</v>
      </c>
      <c r="D992" s="28" t="s">
        <v>98</v>
      </c>
      <c r="E992" s="28" t="s">
        <v>115</v>
      </c>
      <c r="F992" s="29" t="s">
        <v>27</v>
      </c>
      <c r="G992" s="30">
        <v>14.4</v>
      </c>
      <c r="H992" s="31">
        <v>1162.69</v>
      </c>
      <c r="I992" s="39"/>
      <c r="J992" s="31">
        <f>H992*(1-$I$4)</f>
        <v>1162.69</v>
      </c>
      <c r="K992" s="33">
        <f>ROUND(G992*J992,2)</f>
        <v>16742.74</v>
      </c>
      <c r="L992" s="34" t="s">
        <v>28</v>
      </c>
      <c r="M992" s="35"/>
      <c r="O992" s="21">
        <v>320.1</v>
      </c>
      <c r="P992" s="22" t="s">
        <v>652</v>
      </c>
      <c r="Q992" s="38"/>
      <c r="R992" s="38"/>
    </row>
    <row r="993" s="3" customFormat="1" ht="120" customHeight="1" outlineLevel="2" spans="1:18">
      <c r="A993" s="41">
        <f>1+N(A992)</f>
        <v>3</v>
      </c>
      <c r="B993" s="28" t="s">
        <v>653</v>
      </c>
      <c r="C993" s="28" t="s">
        <v>654</v>
      </c>
      <c r="D993" s="28" t="s">
        <v>98</v>
      </c>
      <c r="E993" s="28" t="s">
        <v>115</v>
      </c>
      <c r="F993" s="29" t="s">
        <v>175</v>
      </c>
      <c r="G993" s="30">
        <v>1</v>
      </c>
      <c r="H993" s="31">
        <v>13844.42</v>
      </c>
      <c r="I993" s="39"/>
      <c r="J993" s="31">
        <f>H993*(1-$I$4)</f>
        <v>13844.42</v>
      </c>
      <c r="K993" s="33">
        <f>ROUND(G993*J993,2)</f>
        <v>13844.42</v>
      </c>
      <c r="L993" s="34" t="s">
        <v>28</v>
      </c>
      <c r="M993" s="35"/>
      <c r="O993" s="21">
        <v>6134.55</v>
      </c>
      <c r="P993" s="22" t="s">
        <v>655</v>
      </c>
      <c r="Q993" s="38"/>
      <c r="R993" s="38"/>
    </row>
    <row r="994" s="3" customFormat="1" ht="120" customHeight="1" outlineLevel="2" spans="1:18">
      <c r="A994" s="41">
        <f>1+N(A993)</f>
        <v>4</v>
      </c>
      <c r="B994" s="28" t="s">
        <v>656</v>
      </c>
      <c r="C994" s="28" t="s">
        <v>657</v>
      </c>
      <c r="D994" s="28" t="s">
        <v>98</v>
      </c>
      <c r="E994" s="28" t="s">
        <v>115</v>
      </c>
      <c r="F994" s="29" t="s">
        <v>175</v>
      </c>
      <c r="G994" s="30">
        <v>1</v>
      </c>
      <c r="H994" s="31">
        <v>15268.42</v>
      </c>
      <c r="I994" s="39"/>
      <c r="J994" s="31">
        <f>H994*(1-$I$4)</f>
        <v>15268.42</v>
      </c>
      <c r="K994" s="33">
        <f>ROUND(G994*J994,2)</f>
        <v>15268.42</v>
      </c>
      <c r="L994" s="34" t="s">
        <v>28</v>
      </c>
      <c r="M994" s="35"/>
      <c r="O994" s="21">
        <v>6480.22</v>
      </c>
      <c r="P994" s="22" t="s">
        <v>658</v>
      </c>
      <c r="Q994" s="38"/>
      <c r="R994" s="38"/>
    </row>
    <row r="995" s="3" customFormat="1" ht="72" customHeight="1" outlineLevel="2" spans="1:18">
      <c r="A995" s="41">
        <f>1+N(A994)</f>
        <v>5</v>
      </c>
      <c r="B995" s="28" t="s">
        <v>659</v>
      </c>
      <c r="C995" s="28" t="s">
        <v>660</v>
      </c>
      <c r="D995" s="28" t="s">
        <v>98</v>
      </c>
      <c r="E995" s="28" t="s">
        <v>115</v>
      </c>
      <c r="F995" s="29" t="s">
        <v>27</v>
      </c>
      <c r="G995" s="30">
        <v>13.12</v>
      </c>
      <c r="H995" s="31">
        <v>3160.51</v>
      </c>
      <c r="I995" s="39"/>
      <c r="J995" s="31">
        <f>H995*(1-$I$4)</f>
        <v>3160.51</v>
      </c>
      <c r="K995" s="33">
        <f>ROUND(G995*J995,2)</f>
        <v>41465.89</v>
      </c>
      <c r="L995" s="34" t="s">
        <v>28</v>
      </c>
      <c r="M995" s="35"/>
      <c r="O995" s="21">
        <v>2406.25</v>
      </c>
      <c r="P995" s="22" t="s">
        <v>629</v>
      </c>
      <c r="Q995" s="38"/>
      <c r="R995" s="38"/>
    </row>
    <row r="996" s="3" customFormat="1" ht="24" outlineLevel="1" spans="1:18">
      <c r="A996" s="27" t="s">
        <v>155</v>
      </c>
      <c r="B996" s="28" t="s">
        <v>661</v>
      </c>
      <c r="C996" s="28"/>
      <c r="D996" s="28"/>
      <c r="E996" s="28"/>
      <c r="F996" s="29"/>
      <c r="G996" s="30"/>
      <c r="H996" s="31"/>
      <c r="I996" s="39"/>
      <c r="J996" s="31"/>
      <c r="K996" s="33"/>
      <c r="L996" s="34"/>
      <c r="M996" s="35"/>
      <c r="O996" s="36"/>
      <c r="P996" s="37"/>
      <c r="Q996" s="38"/>
      <c r="R996" s="38"/>
    </row>
    <row r="997" s="3" customFormat="1" outlineLevel="1" spans="1:18">
      <c r="A997" s="40"/>
      <c r="B997" s="28" t="s">
        <v>22</v>
      </c>
      <c r="C997" s="28"/>
      <c r="D997" s="28"/>
      <c r="E997" s="28"/>
      <c r="F997" s="29"/>
      <c r="G997" s="30"/>
      <c r="H997" s="31"/>
      <c r="I997" s="39"/>
      <c r="J997" s="31"/>
      <c r="K997" s="33"/>
      <c r="L997" s="34"/>
      <c r="M997" s="35"/>
      <c r="O997" s="36"/>
      <c r="P997" s="37"/>
      <c r="Q997" s="38"/>
      <c r="R997" s="38"/>
    </row>
    <row r="998" s="3" customFormat="1" ht="120" customHeight="1" outlineLevel="2" spans="1:18">
      <c r="A998" s="41">
        <f>1+N(A997)</f>
        <v>1</v>
      </c>
      <c r="B998" s="28" t="s">
        <v>23</v>
      </c>
      <c r="C998" s="28" t="s">
        <v>331</v>
      </c>
      <c r="D998" s="28" t="s">
        <v>25</v>
      </c>
      <c r="E998" s="28" t="s">
        <v>26</v>
      </c>
      <c r="F998" s="29" t="s">
        <v>27</v>
      </c>
      <c r="G998" s="30">
        <v>84.68</v>
      </c>
      <c r="H998" s="31">
        <v>940.91</v>
      </c>
      <c r="I998" s="39"/>
      <c r="J998" s="31">
        <f>H998*(1-$I$4)</f>
        <v>940.91</v>
      </c>
      <c r="K998" s="33">
        <f>ROUND(G998*J998,2)</f>
        <v>79676.26</v>
      </c>
      <c r="L998" s="34" t="s">
        <v>28</v>
      </c>
      <c r="M998" s="35"/>
      <c r="O998" s="21">
        <v>1135.86</v>
      </c>
      <c r="P998" s="22" t="s">
        <v>332</v>
      </c>
      <c r="Q998" s="38"/>
      <c r="R998" s="38"/>
    </row>
    <row r="999" s="3" customFormat="1" ht="108" customHeight="1" outlineLevel="2" spans="1:18">
      <c r="A999" s="41">
        <f>1+N(A998)</f>
        <v>2</v>
      </c>
      <c r="B999" s="28" t="s">
        <v>333</v>
      </c>
      <c r="C999" s="28" t="s">
        <v>334</v>
      </c>
      <c r="D999" s="28" t="s">
        <v>25</v>
      </c>
      <c r="E999" s="28" t="s">
        <v>26</v>
      </c>
      <c r="F999" s="29" t="s">
        <v>27</v>
      </c>
      <c r="G999" s="30">
        <v>4.04</v>
      </c>
      <c r="H999" s="31">
        <v>1303.93</v>
      </c>
      <c r="I999" s="39"/>
      <c r="J999" s="31">
        <f>H999*(1-$I$4)</f>
        <v>1303.93</v>
      </c>
      <c r="K999" s="33">
        <f>ROUND(G999*J999,2)</f>
        <v>5267.88</v>
      </c>
      <c r="L999" s="34" t="s">
        <v>28</v>
      </c>
      <c r="M999" s="35"/>
      <c r="O999" s="21">
        <v>1135.86</v>
      </c>
      <c r="P999" s="22" t="s">
        <v>128</v>
      </c>
      <c r="Q999" s="38"/>
      <c r="R999" s="38"/>
    </row>
    <row r="1000" s="3" customFormat="1" ht="72" customHeight="1" outlineLevel="2" spans="1:18">
      <c r="A1000" s="41">
        <f>1+N(A999)</f>
        <v>3</v>
      </c>
      <c r="B1000" s="28" t="s">
        <v>41</v>
      </c>
      <c r="C1000" s="28" t="s">
        <v>42</v>
      </c>
      <c r="D1000" s="28" t="s">
        <v>25</v>
      </c>
      <c r="E1000" s="28" t="s">
        <v>26</v>
      </c>
      <c r="F1000" s="29" t="s">
        <v>27</v>
      </c>
      <c r="G1000" s="30">
        <v>88.72</v>
      </c>
      <c r="H1000" s="31">
        <v>64.9</v>
      </c>
      <c r="I1000" s="39"/>
      <c r="J1000" s="31">
        <f>H1000*(1-$I$4)</f>
        <v>64.9</v>
      </c>
      <c r="K1000" s="33">
        <f>ROUND(G1000*J1000,2)</f>
        <v>5757.93</v>
      </c>
      <c r="L1000" s="34" t="s">
        <v>28</v>
      </c>
      <c r="M1000" s="35"/>
      <c r="O1000" s="21">
        <v>61.38</v>
      </c>
      <c r="P1000" s="22" t="s">
        <v>43</v>
      </c>
      <c r="Q1000" s="38"/>
      <c r="R1000" s="38"/>
    </row>
    <row r="1001" s="3" customFormat="1" outlineLevel="1" spans="1:18">
      <c r="A1001" s="40"/>
      <c r="B1001" s="28" t="s">
        <v>44</v>
      </c>
      <c r="C1001" s="28"/>
      <c r="D1001" s="28"/>
      <c r="E1001" s="28"/>
      <c r="F1001" s="29"/>
      <c r="G1001" s="30"/>
      <c r="H1001" s="31"/>
      <c r="I1001" s="39"/>
      <c r="J1001" s="31"/>
      <c r="K1001" s="33"/>
      <c r="L1001" s="34"/>
      <c r="M1001" s="35"/>
      <c r="O1001" s="36"/>
      <c r="P1001" s="37"/>
      <c r="Q1001" s="38"/>
      <c r="R1001" s="38"/>
    </row>
    <row r="1002" s="3" customFormat="1" ht="108" customHeight="1" outlineLevel="2" spans="1:18">
      <c r="A1002" s="41">
        <f t="shared" ref="A1002:A1014" si="150">1+N(A1001)</f>
        <v>1</v>
      </c>
      <c r="B1002" s="28" t="s">
        <v>662</v>
      </c>
      <c r="C1002" s="28" t="s">
        <v>663</v>
      </c>
      <c r="D1002" s="28" t="s">
        <v>47</v>
      </c>
      <c r="E1002" s="28" t="s">
        <v>48</v>
      </c>
      <c r="F1002" s="29" t="s">
        <v>27</v>
      </c>
      <c r="G1002" s="30">
        <v>11.98</v>
      </c>
      <c r="H1002" s="31">
        <v>718.62</v>
      </c>
      <c r="I1002" s="39"/>
      <c r="J1002" s="31">
        <f t="shared" ref="J1002:J1014" si="151">H1002*(1-$I$4)</f>
        <v>718.62</v>
      </c>
      <c r="K1002" s="33">
        <f t="shared" ref="K1002:K1014" si="152">ROUND(G1002*J1002,2)</f>
        <v>8609.07</v>
      </c>
      <c r="L1002" s="34" t="s">
        <v>28</v>
      </c>
      <c r="M1002" s="35"/>
      <c r="O1002" s="21">
        <v>806.63</v>
      </c>
      <c r="P1002" s="22" t="s">
        <v>664</v>
      </c>
      <c r="Q1002" s="38"/>
      <c r="R1002" s="38"/>
    </row>
    <row r="1003" s="3" customFormat="1" ht="156" customHeight="1" outlineLevel="2" spans="1:18">
      <c r="A1003" s="41">
        <f t="shared" si="150"/>
        <v>2</v>
      </c>
      <c r="B1003" s="28" t="s">
        <v>382</v>
      </c>
      <c r="C1003" s="28" t="s">
        <v>665</v>
      </c>
      <c r="D1003" s="28" t="s">
        <v>52</v>
      </c>
      <c r="E1003" s="28" t="s">
        <v>48</v>
      </c>
      <c r="F1003" s="29" t="s">
        <v>27</v>
      </c>
      <c r="G1003" s="30">
        <v>137.25</v>
      </c>
      <c r="H1003" s="31">
        <v>824.82</v>
      </c>
      <c r="I1003" s="39"/>
      <c r="J1003" s="31">
        <f t="shared" si="151"/>
        <v>824.82</v>
      </c>
      <c r="K1003" s="33">
        <f t="shared" si="152"/>
        <v>113206.55</v>
      </c>
      <c r="L1003" s="34" t="s">
        <v>28</v>
      </c>
      <c r="M1003" s="35"/>
      <c r="O1003" s="21">
        <v>1000.51</v>
      </c>
      <c r="P1003" s="22" t="s">
        <v>666</v>
      </c>
      <c r="Q1003" s="38"/>
      <c r="R1003" s="38"/>
    </row>
    <row r="1004" s="3" customFormat="1" ht="168" customHeight="1" outlineLevel="2" spans="1:18">
      <c r="A1004" s="41">
        <f t="shared" si="150"/>
        <v>3</v>
      </c>
      <c r="B1004" s="28" t="s">
        <v>667</v>
      </c>
      <c r="C1004" s="28" t="s">
        <v>668</v>
      </c>
      <c r="D1004" s="28" t="s">
        <v>52</v>
      </c>
      <c r="E1004" s="28" t="s">
        <v>48</v>
      </c>
      <c r="F1004" s="29" t="s">
        <v>27</v>
      </c>
      <c r="G1004" s="30">
        <v>29.48</v>
      </c>
      <c r="H1004" s="31">
        <v>2016.38</v>
      </c>
      <c r="I1004" s="39"/>
      <c r="J1004" s="31">
        <f t="shared" si="151"/>
        <v>2016.38</v>
      </c>
      <c r="K1004" s="33">
        <f t="shared" si="152"/>
        <v>59442.88</v>
      </c>
      <c r="L1004" s="34" t="s">
        <v>28</v>
      </c>
      <c r="M1004" s="35"/>
      <c r="O1004" s="21">
        <v>1179.53</v>
      </c>
      <c r="P1004" s="22" t="s">
        <v>669</v>
      </c>
      <c r="Q1004" s="38"/>
      <c r="R1004" s="38"/>
    </row>
    <row r="1005" s="3" customFormat="1" ht="156" customHeight="1" outlineLevel="2" spans="1:18">
      <c r="A1005" s="41">
        <f t="shared" si="150"/>
        <v>4</v>
      </c>
      <c r="B1005" s="28" t="s">
        <v>50</v>
      </c>
      <c r="C1005" s="28" t="s">
        <v>51</v>
      </c>
      <c r="D1005" s="28" t="s">
        <v>52</v>
      </c>
      <c r="E1005" s="28" t="s">
        <v>48</v>
      </c>
      <c r="F1005" s="29" t="s">
        <v>27</v>
      </c>
      <c r="G1005" s="30">
        <v>3.68</v>
      </c>
      <c r="H1005" s="31">
        <v>851.9</v>
      </c>
      <c r="I1005" s="39"/>
      <c r="J1005" s="31">
        <f t="shared" si="151"/>
        <v>851.9</v>
      </c>
      <c r="K1005" s="33">
        <f t="shared" si="152"/>
        <v>3134.99</v>
      </c>
      <c r="L1005" s="34" t="s">
        <v>28</v>
      </c>
      <c r="M1005" s="35"/>
      <c r="O1005" s="21">
        <v>1000.51</v>
      </c>
      <c r="P1005" s="22" t="s">
        <v>198</v>
      </c>
      <c r="Q1005" s="38"/>
      <c r="R1005" s="38"/>
    </row>
    <row r="1006" s="3" customFormat="1" ht="120" customHeight="1" outlineLevel="2" spans="1:18">
      <c r="A1006" s="41">
        <f t="shared" si="150"/>
        <v>5</v>
      </c>
      <c r="B1006" s="28" t="s">
        <v>415</v>
      </c>
      <c r="C1006" s="28" t="s">
        <v>416</v>
      </c>
      <c r="D1006" s="28" t="s">
        <v>52</v>
      </c>
      <c r="E1006" s="28" t="s">
        <v>63</v>
      </c>
      <c r="F1006" s="29" t="s">
        <v>27</v>
      </c>
      <c r="G1006" s="30">
        <v>23.48</v>
      </c>
      <c r="H1006" s="31">
        <v>848.42</v>
      </c>
      <c r="I1006" s="39"/>
      <c r="J1006" s="31">
        <f t="shared" si="151"/>
        <v>848.42</v>
      </c>
      <c r="K1006" s="33">
        <f t="shared" si="152"/>
        <v>19920.9</v>
      </c>
      <c r="L1006" s="34" t="s">
        <v>28</v>
      </c>
      <c r="M1006" s="35"/>
      <c r="O1006" s="21">
        <v>838.59</v>
      </c>
      <c r="P1006" s="22" t="s">
        <v>670</v>
      </c>
      <c r="Q1006" s="38"/>
      <c r="R1006" s="38"/>
    </row>
    <row r="1007" s="3" customFormat="1" ht="120" customHeight="1" outlineLevel="2" spans="1:18">
      <c r="A1007" s="41">
        <f t="shared" si="150"/>
        <v>6</v>
      </c>
      <c r="B1007" s="28" t="s">
        <v>342</v>
      </c>
      <c r="C1007" s="28" t="s">
        <v>343</v>
      </c>
      <c r="D1007" s="28" t="s">
        <v>52</v>
      </c>
      <c r="E1007" s="28" t="s">
        <v>63</v>
      </c>
      <c r="F1007" s="29" t="s">
        <v>27</v>
      </c>
      <c r="G1007" s="30">
        <v>23.48</v>
      </c>
      <c r="H1007" s="31">
        <v>848.42</v>
      </c>
      <c r="I1007" s="39"/>
      <c r="J1007" s="31">
        <f t="shared" si="151"/>
        <v>848.42</v>
      </c>
      <c r="K1007" s="33">
        <f t="shared" si="152"/>
        <v>19920.9</v>
      </c>
      <c r="L1007" s="34" t="s">
        <v>28</v>
      </c>
      <c r="M1007" s="35"/>
      <c r="O1007" s="21">
        <v>1670.19</v>
      </c>
      <c r="P1007" s="22" t="s">
        <v>370</v>
      </c>
      <c r="Q1007" s="38"/>
      <c r="R1007" s="38"/>
    </row>
    <row r="1008" s="3" customFormat="1" ht="96" customHeight="1" outlineLevel="2" spans="1:18">
      <c r="A1008" s="41">
        <f t="shared" si="150"/>
        <v>7</v>
      </c>
      <c r="B1008" s="28" t="s">
        <v>205</v>
      </c>
      <c r="C1008" s="28" t="s">
        <v>345</v>
      </c>
      <c r="D1008" s="28" t="s">
        <v>59</v>
      </c>
      <c r="E1008" s="28" t="s">
        <v>207</v>
      </c>
      <c r="F1008" s="29" t="s">
        <v>27</v>
      </c>
      <c r="G1008" s="30">
        <v>14.78</v>
      </c>
      <c r="H1008" s="31">
        <v>400.61</v>
      </c>
      <c r="I1008" s="39"/>
      <c r="J1008" s="31">
        <f t="shared" si="151"/>
        <v>400.61</v>
      </c>
      <c r="K1008" s="33">
        <f t="shared" si="152"/>
        <v>5921.02</v>
      </c>
      <c r="L1008" s="34" t="s">
        <v>28</v>
      </c>
      <c r="M1008" s="35"/>
      <c r="O1008" s="21">
        <v>356.29</v>
      </c>
      <c r="P1008" s="22" t="s">
        <v>419</v>
      </c>
      <c r="Q1008" s="38"/>
      <c r="R1008" s="38"/>
    </row>
    <row r="1009" s="3" customFormat="1" ht="120" customHeight="1" outlineLevel="2" spans="1:18">
      <c r="A1009" s="41">
        <f t="shared" si="150"/>
        <v>8</v>
      </c>
      <c r="B1009" s="28" t="s">
        <v>65</v>
      </c>
      <c r="C1009" s="28" t="s">
        <v>62</v>
      </c>
      <c r="D1009" s="28" t="s">
        <v>52</v>
      </c>
      <c r="E1009" s="28" t="s">
        <v>63</v>
      </c>
      <c r="F1009" s="29" t="s">
        <v>27</v>
      </c>
      <c r="G1009" s="30">
        <v>4.7</v>
      </c>
      <c r="H1009" s="31">
        <v>630.65</v>
      </c>
      <c r="I1009" s="39"/>
      <c r="J1009" s="31">
        <f t="shared" si="151"/>
        <v>630.65</v>
      </c>
      <c r="K1009" s="33">
        <f t="shared" si="152"/>
        <v>2964.06</v>
      </c>
      <c r="L1009" s="34" t="s">
        <v>28</v>
      </c>
      <c r="M1009" s="35"/>
      <c r="O1009" s="21">
        <v>681.67</v>
      </c>
      <c r="P1009" s="22" t="s">
        <v>64</v>
      </c>
      <c r="Q1009" s="38"/>
      <c r="R1009" s="38"/>
    </row>
    <row r="1010" s="3" customFormat="1" ht="120" customHeight="1" outlineLevel="2" spans="1:18">
      <c r="A1010" s="41">
        <f t="shared" si="150"/>
        <v>9</v>
      </c>
      <c r="B1010" s="28" t="s">
        <v>66</v>
      </c>
      <c r="C1010" s="28" t="s">
        <v>67</v>
      </c>
      <c r="D1010" s="28" t="s">
        <v>52</v>
      </c>
      <c r="E1010" s="28" t="s">
        <v>63</v>
      </c>
      <c r="F1010" s="29" t="s">
        <v>27</v>
      </c>
      <c r="G1010" s="30">
        <v>2.61</v>
      </c>
      <c r="H1010" s="31">
        <v>630.65</v>
      </c>
      <c r="I1010" s="39"/>
      <c r="J1010" s="31">
        <f t="shared" si="151"/>
        <v>630.65</v>
      </c>
      <c r="K1010" s="33">
        <f t="shared" si="152"/>
        <v>1646</v>
      </c>
      <c r="L1010" s="34" t="s">
        <v>28</v>
      </c>
      <c r="M1010" s="35"/>
      <c r="O1010" s="21">
        <v>681.67</v>
      </c>
      <c r="P1010" s="22" t="s">
        <v>64</v>
      </c>
      <c r="Q1010" s="38"/>
      <c r="R1010" s="38"/>
    </row>
    <row r="1011" s="3" customFormat="1" ht="120" customHeight="1" outlineLevel="2" spans="1:18">
      <c r="A1011" s="41">
        <f t="shared" si="150"/>
        <v>10</v>
      </c>
      <c r="B1011" s="28" t="s">
        <v>69</v>
      </c>
      <c r="C1011" s="28" t="s">
        <v>70</v>
      </c>
      <c r="D1011" s="28" t="s">
        <v>52</v>
      </c>
      <c r="E1011" s="28" t="s">
        <v>63</v>
      </c>
      <c r="F1011" s="29" t="s">
        <v>27</v>
      </c>
      <c r="G1011" s="30">
        <v>0.26</v>
      </c>
      <c r="H1011" s="31">
        <v>1175.56</v>
      </c>
      <c r="I1011" s="39"/>
      <c r="J1011" s="31">
        <f t="shared" si="151"/>
        <v>1175.56</v>
      </c>
      <c r="K1011" s="33">
        <f t="shared" si="152"/>
        <v>305.65</v>
      </c>
      <c r="L1011" s="34" t="s">
        <v>28</v>
      </c>
      <c r="M1011" s="35"/>
      <c r="O1011" s="21">
        <v>681.67</v>
      </c>
      <c r="P1011" s="22" t="s">
        <v>71</v>
      </c>
      <c r="Q1011" s="38"/>
      <c r="R1011" s="38"/>
    </row>
    <row r="1012" s="3" customFormat="1" ht="96" customHeight="1" outlineLevel="2" spans="1:18">
      <c r="A1012" s="41">
        <f t="shared" si="150"/>
        <v>11</v>
      </c>
      <c r="B1012" s="28" t="s">
        <v>75</v>
      </c>
      <c r="C1012" s="28" t="s">
        <v>76</v>
      </c>
      <c r="D1012" s="28" t="s">
        <v>59</v>
      </c>
      <c r="E1012" s="28" t="s">
        <v>38</v>
      </c>
      <c r="F1012" s="29" t="s">
        <v>39</v>
      </c>
      <c r="G1012" s="30">
        <v>0.26</v>
      </c>
      <c r="H1012" s="31">
        <v>67.08</v>
      </c>
      <c r="I1012" s="39"/>
      <c r="J1012" s="31">
        <f t="shared" si="151"/>
        <v>67.08</v>
      </c>
      <c r="K1012" s="33">
        <f t="shared" si="152"/>
        <v>17.44</v>
      </c>
      <c r="L1012" s="34" t="s">
        <v>28</v>
      </c>
      <c r="M1012" s="35"/>
      <c r="O1012" s="21">
        <v>45.71</v>
      </c>
      <c r="P1012" s="22" t="s">
        <v>77</v>
      </c>
      <c r="Q1012" s="38"/>
      <c r="R1012" s="38"/>
    </row>
    <row r="1013" s="3" customFormat="1" ht="96" customHeight="1" outlineLevel="2" spans="1:18">
      <c r="A1013" s="41">
        <f t="shared" si="150"/>
        <v>12</v>
      </c>
      <c r="B1013" s="28" t="s">
        <v>87</v>
      </c>
      <c r="C1013" s="28" t="s">
        <v>88</v>
      </c>
      <c r="D1013" s="28" t="s">
        <v>59</v>
      </c>
      <c r="E1013" s="28" t="s">
        <v>38</v>
      </c>
      <c r="F1013" s="29" t="s">
        <v>39</v>
      </c>
      <c r="G1013" s="30">
        <v>68.11</v>
      </c>
      <c r="H1013" s="31">
        <v>64.25</v>
      </c>
      <c r="I1013" s="39"/>
      <c r="J1013" s="31">
        <f t="shared" si="151"/>
        <v>64.25</v>
      </c>
      <c r="K1013" s="33">
        <f t="shared" si="152"/>
        <v>4376.07</v>
      </c>
      <c r="L1013" s="34" t="s">
        <v>28</v>
      </c>
      <c r="M1013" s="35"/>
      <c r="O1013" s="21">
        <v>43.16</v>
      </c>
      <c r="P1013" s="22" t="s">
        <v>89</v>
      </c>
      <c r="Q1013" s="38"/>
      <c r="R1013" s="38"/>
    </row>
    <row r="1014" s="3" customFormat="1" ht="60" customHeight="1" outlineLevel="2" spans="1:18">
      <c r="A1014" s="41">
        <f t="shared" si="150"/>
        <v>13</v>
      </c>
      <c r="B1014" s="28" t="s">
        <v>311</v>
      </c>
      <c r="C1014" s="28" t="s">
        <v>312</v>
      </c>
      <c r="D1014" s="28" t="s">
        <v>98</v>
      </c>
      <c r="E1014" s="28" t="s">
        <v>115</v>
      </c>
      <c r="F1014" s="29" t="s">
        <v>27</v>
      </c>
      <c r="G1014" s="30">
        <v>2.48</v>
      </c>
      <c r="H1014" s="31">
        <v>630.65</v>
      </c>
      <c r="I1014" s="39"/>
      <c r="J1014" s="31">
        <f t="shared" si="151"/>
        <v>630.65</v>
      </c>
      <c r="K1014" s="33">
        <f t="shared" si="152"/>
        <v>1564.01</v>
      </c>
      <c r="L1014" s="34" t="s">
        <v>28</v>
      </c>
      <c r="M1014" s="35"/>
      <c r="O1014" s="21">
        <v>681.67</v>
      </c>
      <c r="P1014" s="22" t="s">
        <v>64</v>
      </c>
      <c r="Q1014" s="38"/>
      <c r="R1014" s="38"/>
    </row>
    <row r="1015" s="3" customFormat="1" outlineLevel="1" spans="1:18">
      <c r="A1015" s="40"/>
      <c r="B1015" s="28" t="s">
        <v>90</v>
      </c>
      <c r="C1015" s="28"/>
      <c r="D1015" s="28"/>
      <c r="E1015" s="28"/>
      <c r="F1015" s="29"/>
      <c r="G1015" s="30"/>
      <c r="H1015" s="31"/>
      <c r="I1015" s="39"/>
      <c r="J1015" s="31"/>
      <c r="K1015" s="33"/>
      <c r="L1015" s="34"/>
      <c r="M1015" s="35"/>
      <c r="O1015" s="36"/>
      <c r="P1015" s="37"/>
      <c r="Q1015" s="38"/>
      <c r="R1015" s="38"/>
    </row>
    <row r="1016" s="3" customFormat="1" ht="168" customHeight="1" outlineLevel="2" spans="1:18">
      <c r="A1016" s="41">
        <f t="shared" ref="A1016:A1024" si="153">1+N(A1015)</f>
        <v>1</v>
      </c>
      <c r="B1016" s="28" t="s">
        <v>91</v>
      </c>
      <c r="C1016" s="28" t="s">
        <v>349</v>
      </c>
      <c r="D1016" s="28" t="s">
        <v>93</v>
      </c>
      <c r="E1016" s="28" t="s">
        <v>94</v>
      </c>
      <c r="F1016" s="29" t="s">
        <v>27</v>
      </c>
      <c r="G1016" s="30">
        <v>60.04</v>
      </c>
      <c r="H1016" s="31">
        <v>174.57</v>
      </c>
      <c r="I1016" s="39"/>
      <c r="J1016" s="31">
        <f t="shared" ref="J1016:J1024" si="154">H1016*(1-$I$4)</f>
        <v>174.57</v>
      </c>
      <c r="K1016" s="33">
        <f t="shared" ref="K1016:K1024" si="155">ROUND(G1016*J1016,2)</f>
        <v>10481.18</v>
      </c>
      <c r="L1016" s="34" t="s">
        <v>28</v>
      </c>
      <c r="M1016" s="35"/>
      <c r="O1016" s="21">
        <v>155.88</v>
      </c>
      <c r="P1016" s="22" t="s">
        <v>350</v>
      </c>
      <c r="Q1016" s="38"/>
      <c r="R1016" s="38"/>
    </row>
    <row r="1017" s="3" customFormat="1" ht="156" customHeight="1" outlineLevel="2" spans="1:18">
      <c r="A1017" s="41">
        <f t="shared" si="153"/>
        <v>2</v>
      </c>
      <c r="B1017" s="28" t="s">
        <v>351</v>
      </c>
      <c r="C1017" s="28" t="s">
        <v>352</v>
      </c>
      <c r="D1017" s="28" t="s">
        <v>353</v>
      </c>
      <c r="E1017" s="28" t="s">
        <v>354</v>
      </c>
      <c r="F1017" s="29" t="s">
        <v>27</v>
      </c>
      <c r="G1017" s="30">
        <v>22.22</v>
      </c>
      <c r="H1017" s="31">
        <v>506.22</v>
      </c>
      <c r="I1017" s="39"/>
      <c r="J1017" s="31">
        <f t="shared" si="154"/>
        <v>506.22</v>
      </c>
      <c r="K1017" s="33">
        <f t="shared" si="155"/>
        <v>11248.21</v>
      </c>
      <c r="L1017" s="34" t="s">
        <v>28</v>
      </c>
      <c r="M1017" s="35"/>
      <c r="O1017" s="21">
        <v>476.3</v>
      </c>
      <c r="P1017" s="22" t="s">
        <v>355</v>
      </c>
      <c r="Q1017" s="38"/>
      <c r="R1017" s="38"/>
    </row>
    <row r="1018" s="3" customFormat="1" ht="60" customHeight="1" outlineLevel="2" spans="1:18">
      <c r="A1018" s="41">
        <f t="shared" si="153"/>
        <v>3</v>
      </c>
      <c r="B1018" s="28" t="s">
        <v>142</v>
      </c>
      <c r="C1018" s="28" t="s">
        <v>143</v>
      </c>
      <c r="D1018" s="28" t="s">
        <v>98</v>
      </c>
      <c r="E1018" s="28" t="s">
        <v>26</v>
      </c>
      <c r="F1018" s="29" t="s">
        <v>27</v>
      </c>
      <c r="G1018" s="30">
        <v>1.72</v>
      </c>
      <c r="H1018" s="31">
        <v>472.71</v>
      </c>
      <c r="I1018" s="39"/>
      <c r="J1018" s="31">
        <f t="shared" si="154"/>
        <v>472.71</v>
      </c>
      <c r="K1018" s="33">
        <f t="shared" si="155"/>
        <v>813.06</v>
      </c>
      <c r="L1018" s="34" t="s">
        <v>28</v>
      </c>
      <c r="M1018" s="35"/>
      <c r="O1018" s="21">
        <v>384.56</v>
      </c>
      <c r="P1018" s="22" t="s">
        <v>144</v>
      </c>
      <c r="Q1018" s="38"/>
      <c r="R1018" s="38"/>
    </row>
    <row r="1019" s="3" customFormat="1" ht="48" customHeight="1" outlineLevel="2" spans="1:18">
      <c r="A1019" s="41">
        <f t="shared" si="153"/>
        <v>4</v>
      </c>
      <c r="B1019" s="28" t="s">
        <v>101</v>
      </c>
      <c r="C1019" s="28" t="s">
        <v>604</v>
      </c>
      <c r="D1019" s="28" t="s">
        <v>98</v>
      </c>
      <c r="E1019" s="28" t="s">
        <v>99</v>
      </c>
      <c r="F1019" s="29" t="s">
        <v>39</v>
      </c>
      <c r="G1019" s="30">
        <v>6.41</v>
      </c>
      <c r="H1019" s="31">
        <v>75.82</v>
      </c>
      <c r="I1019" s="39"/>
      <c r="J1019" s="31">
        <f t="shared" si="154"/>
        <v>75.82</v>
      </c>
      <c r="K1019" s="33">
        <f t="shared" si="155"/>
        <v>486.01</v>
      </c>
      <c r="L1019" s="34" t="s">
        <v>28</v>
      </c>
      <c r="M1019" s="35"/>
      <c r="O1019" s="21">
        <v>203.56</v>
      </c>
      <c r="P1019" s="22" t="s">
        <v>605</v>
      </c>
      <c r="Q1019" s="38"/>
      <c r="R1019" s="38"/>
    </row>
    <row r="1020" s="3" customFormat="1" ht="48" customHeight="1" outlineLevel="2" spans="1:18">
      <c r="A1020" s="41">
        <f t="shared" si="153"/>
        <v>5</v>
      </c>
      <c r="B1020" s="28" t="s">
        <v>104</v>
      </c>
      <c r="C1020" s="28" t="s">
        <v>105</v>
      </c>
      <c r="D1020" s="28" t="s">
        <v>98</v>
      </c>
      <c r="E1020" s="28" t="s">
        <v>99</v>
      </c>
      <c r="F1020" s="29" t="s">
        <v>39</v>
      </c>
      <c r="G1020" s="30">
        <v>5.64</v>
      </c>
      <c r="H1020" s="31">
        <v>109.74</v>
      </c>
      <c r="I1020" s="39"/>
      <c r="J1020" s="31">
        <f t="shared" si="154"/>
        <v>109.74</v>
      </c>
      <c r="K1020" s="33">
        <f t="shared" si="155"/>
        <v>618.93</v>
      </c>
      <c r="L1020" s="34" t="s">
        <v>28</v>
      </c>
      <c r="M1020" s="35"/>
      <c r="O1020" s="21">
        <v>108.2</v>
      </c>
      <c r="P1020" s="22" t="s">
        <v>106</v>
      </c>
      <c r="Q1020" s="38"/>
      <c r="R1020" s="38"/>
    </row>
    <row r="1021" s="3" customFormat="1" ht="48" customHeight="1" outlineLevel="2" spans="1:18">
      <c r="A1021" s="41">
        <f t="shared" si="153"/>
        <v>6</v>
      </c>
      <c r="B1021" s="28" t="s">
        <v>96</v>
      </c>
      <c r="C1021" s="28" t="s">
        <v>97</v>
      </c>
      <c r="D1021" s="28" t="s">
        <v>98</v>
      </c>
      <c r="E1021" s="28" t="s">
        <v>99</v>
      </c>
      <c r="F1021" s="29" t="s">
        <v>39</v>
      </c>
      <c r="G1021" s="30">
        <v>12.81</v>
      </c>
      <c r="H1021" s="31">
        <v>112.16</v>
      </c>
      <c r="I1021" s="39"/>
      <c r="J1021" s="31">
        <f t="shared" si="154"/>
        <v>112.16</v>
      </c>
      <c r="K1021" s="33">
        <f t="shared" si="155"/>
        <v>1436.77</v>
      </c>
      <c r="L1021" s="34" t="s">
        <v>28</v>
      </c>
      <c r="M1021" s="35"/>
      <c r="O1021" s="21">
        <v>79.3</v>
      </c>
      <c r="P1021" s="22" t="s">
        <v>100</v>
      </c>
      <c r="Q1021" s="38"/>
      <c r="R1021" s="38"/>
    </row>
    <row r="1022" s="3" customFormat="1" ht="60" customHeight="1" outlineLevel="2" spans="1:18">
      <c r="A1022" s="41">
        <f t="shared" si="153"/>
        <v>7</v>
      </c>
      <c r="B1022" s="28" t="s">
        <v>671</v>
      </c>
      <c r="C1022" s="28" t="s">
        <v>672</v>
      </c>
      <c r="D1022" s="28" t="s">
        <v>98</v>
      </c>
      <c r="E1022" s="28" t="s">
        <v>99</v>
      </c>
      <c r="F1022" s="29" t="s">
        <v>39</v>
      </c>
      <c r="G1022" s="30">
        <v>6.08</v>
      </c>
      <c r="H1022" s="31">
        <v>123.19</v>
      </c>
      <c r="I1022" s="39"/>
      <c r="J1022" s="31">
        <f t="shared" si="154"/>
        <v>123.19</v>
      </c>
      <c r="K1022" s="33">
        <f t="shared" si="155"/>
        <v>749</v>
      </c>
      <c r="L1022" s="34" t="s">
        <v>28</v>
      </c>
      <c r="M1022" s="35"/>
      <c r="O1022" s="21">
        <v>93.14</v>
      </c>
      <c r="P1022" s="22" t="s">
        <v>608</v>
      </c>
      <c r="Q1022" s="38"/>
      <c r="R1022" s="38"/>
    </row>
    <row r="1023" s="3" customFormat="1" ht="132" customHeight="1" outlineLevel="2" spans="1:18">
      <c r="A1023" s="41">
        <f t="shared" si="153"/>
        <v>8</v>
      </c>
      <c r="B1023" s="28" t="s">
        <v>107</v>
      </c>
      <c r="C1023" s="28" t="s">
        <v>108</v>
      </c>
      <c r="D1023" s="28" t="s">
        <v>109</v>
      </c>
      <c r="E1023" s="28" t="s">
        <v>110</v>
      </c>
      <c r="F1023" s="29" t="s">
        <v>27</v>
      </c>
      <c r="G1023" s="30">
        <v>91.67</v>
      </c>
      <c r="H1023" s="31">
        <v>152.22</v>
      </c>
      <c r="I1023" s="39"/>
      <c r="J1023" s="31">
        <f t="shared" si="154"/>
        <v>152.22</v>
      </c>
      <c r="K1023" s="33">
        <f t="shared" si="155"/>
        <v>13954.01</v>
      </c>
      <c r="L1023" s="34" t="s">
        <v>28</v>
      </c>
      <c r="M1023" s="35"/>
      <c r="O1023" s="21">
        <v>151.58</v>
      </c>
      <c r="P1023" s="22" t="s">
        <v>111</v>
      </c>
      <c r="Q1023" s="38"/>
      <c r="R1023" s="38"/>
    </row>
    <row r="1024" s="3" customFormat="1" ht="156" customHeight="1" outlineLevel="2" spans="1:18">
      <c r="A1024" s="41">
        <f t="shared" si="153"/>
        <v>9</v>
      </c>
      <c r="B1024" s="28" t="s">
        <v>359</v>
      </c>
      <c r="C1024" s="28" t="s">
        <v>360</v>
      </c>
      <c r="D1024" s="28" t="s">
        <v>353</v>
      </c>
      <c r="E1024" s="28" t="s">
        <v>354</v>
      </c>
      <c r="F1024" s="29" t="s">
        <v>27</v>
      </c>
      <c r="G1024" s="30">
        <v>22.22</v>
      </c>
      <c r="H1024" s="31">
        <v>38.7</v>
      </c>
      <c r="I1024" s="39"/>
      <c r="J1024" s="31">
        <f t="shared" si="154"/>
        <v>38.7</v>
      </c>
      <c r="K1024" s="33">
        <f t="shared" si="155"/>
        <v>859.91</v>
      </c>
      <c r="L1024" s="34" t="s">
        <v>28</v>
      </c>
      <c r="M1024" s="35"/>
      <c r="O1024" s="21">
        <v>23.95</v>
      </c>
      <c r="P1024" s="22" t="s">
        <v>673</v>
      </c>
      <c r="Q1024" s="38"/>
      <c r="R1024" s="38"/>
    </row>
    <row r="1025" s="3" customFormat="1" outlineLevel="1" spans="1:20">
      <c r="A1025" s="40"/>
      <c r="B1025" s="28" t="s">
        <v>112</v>
      </c>
      <c r="C1025" s="28"/>
      <c r="D1025" s="28"/>
      <c r="E1025" s="28"/>
      <c r="F1025" s="29"/>
      <c r="G1025" s="30"/>
      <c r="H1025" s="31"/>
      <c r="I1025" s="39"/>
      <c r="J1025" s="31"/>
      <c r="K1025" s="33"/>
      <c r="L1025" s="34"/>
      <c r="M1025" s="35"/>
      <c r="O1025" s="36"/>
      <c r="P1025" s="37"/>
      <c r="Q1025" s="38"/>
      <c r="R1025" s="38"/>
    </row>
    <row r="1026" s="3" customFormat="1" ht="84" customHeight="1" outlineLevel="2" spans="1:20">
      <c r="A1026" s="41">
        <f t="shared" ref="A1026:A1031" si="156">1+N(A1025)</f>
        <v>1</v>
      </c>
      <c r="B1026" s="28" t="s">
        <v>648</v>
      </c>
      <c r="C1026" s="28" t="s">
        <v>649</v>
      </c>
      <c r="D1026" s="28" t="s">
        <v>98</v>
      </c>
      <c r="E1026" s="28" t="s">
        <v>115</v>
      </c>
      <c r="F1026" s="29" t="s">
        <v>27</v>
      </c>
      <c r="G1026" s="30">
        <v>2.55</v>
      </c>
      <c r="H1026" s="31">
        <v>2447.18</v>
      </c>
      <c r="I1026" s="39"/>
      <c r="J1026" s="31">
        <f t="shared" ref="J1026:J1031" si="157">H1026*(1-$I$4)</f>
        <v>2447.18</v>
      </c>
      <c r="K1026" s="33">
        <f t="shared" ref="K1026:K1031" si="158">ROUND(G1026*J1026,2)</f>
        <v>6240.31</v>
      </c>
      <c r="L1026" s="34" t="s">
        <v>28</v>
      </c>
      <c r="M1026" s="35"/>
      <c r="O1026" s="21">
        <v>1565.85</v>
      </c>
      <c r="P1026" s="22" t="s">
        <v>640</v>
      </c>
      <c r="Q1026" s="38"/>
      <c r="R1026" s="38"/>
    </row>
    <row r="1027" s="3" customFormat="1" ht="60" customHeight="1" outlineLevel="2" spans="1:20">
      <c r="A1027" s="41">
        <f t="shared" si="156"/>
        <v>2</v>
      </c>
      <c r="B1027" s="28" t="s">
        <v>134</v>
      </c>
      <c r="C1027" s="28" t="s">
        <v>114</v>
      </c>
      <c r="D1027" s="28" t="s">
        <v>98</v>
      </c>
      <c r="E1027" s="28" t="s">
        <v>115</v>
      </c>
      <c r="F1027" s="29" t="s">
        <v>27</v>
      </c>
      <c r="G1027" s="30">
        <v>5.44</v>
      </c>
      <c r="H1027" s="31">
        <v>962.68</v>
      </c>
      <c r="I1027" s="39"/>
      <c r="J1027" s="31">
        <f t="shared" si="157"/>
        <v>962.68</v>
      </c>
      <c r="K1027" s="33">
        <f t="shared" si="158"/>
        <v>5236.98</v>
      </c>
      <c r="L1027" s="34" t="s">
        <v>28</v>
      </c>
      <c r="M1027" s="35"/>
      <c r="O1027" s="21">
        <v>665.69</v>
      </c>
      <c r="P1027" s="22" t="s">
        <v>116</v>
      </c>
      <c r="Q1027" s="38"/>
      <c r="R1027" s="38"/>
    </row>
    <row r="1028" s="3" customFormat="1" ht="72" customHeight="1" outlineLevel="2" spans="1:20">
      <c r="A1028" s="41">
        <f t="shared" si="156"/>
        <v>3</v>
      </c>
      <c r="B1028" s="28" t="s">
        <v>674</v>
      </c>
      <c r="C1028" s="28" t="s">
        <v>675</v>
      </c>
      <c r="D1028" s="28" t="s">
        <v>98</v>
      </c>
      <c r="E1028" s="28" t="s">
        <v>115</v>
      </c>
      <c r="F1028" s="29" t="s">
        <v>27</v>
      </c>
      <c r="G1028" s="30">
        <v>8.16</v>
      </c>
      <c r="H1028" s="31">
        <v>3211.49</v>
      </c>
      <c r="I1028" s="39"/>
      <c r="J1028" s="31">
        <f t="shared" si="157"/>
        <v>3211.49</v>
      </c>
      <c r="K1028" s="33">
        <f t="shared" si="158"/>
        <v>26205.76</v>
      </c>
      <c r="L1028" s="34" t="s">
        <v>28</v>
      </c>
      <c r="M1028" s="35"/>
      <c r="O1028" s="21">
        <v>2636.15</v>
      </c>
      <c r="P1028" s="22" t="s">
        <v>676</v>
      </c>
      <c r="Q1028" s="38"/>
      <c r="R1028" s="38"/>
    </row>
    <row r="1029" s="3" customFormat="1" ht="84" customHeight="1" outlineLevel="2" spans="1:20">
      <c r="A1029" s="41">
        <f t="shared" si="156"/>
        <v>4</v>
      </c>
      <c r="B1029" s="28" t="s">
        <v>362</v>
      </c>
      <c r="C1029" s="28" t="s">
        <v>363</v>
      </c>
      <c r="D1029" s="28" t="s">
        <v>98</v>
      </c>
      <c r="E1029" s="28" t="s">
        <v>115</v>
      </c>
      <c r="F1029" s="29" t="s">
        <v>27</v>
      </c>
      <c r="G1029" s="30">
        <v>6.16</v>
      </c>
      <c r="H1029" s="31">
        <v>5005.29</v>
      </c>
      <c r="I1029" s="39"/>
      <c r="J1029" s="31">
        <f t="shared" si="157"/>
        <v>5005.29</v>
      </c>
      <c r="K1029" s="33">
        <f t="shared" si="158"/>
        <v>30832.59</v>
      </c>
      <c r="L1029" s="34" t="s">
        <v>28</v>
      </c>
      <c r="M1029" s="35"/>
      <c r="O1029" s="21">
        <v>1657.15</v>
      </c>
      <c r="P1029" s="22" t="s">
        <v>364</v>
      </c>
      <c r="Q1029" s="38"/>
      <c r="R1029" s="38"/>
    </row>
    <row r="1030" s="3" customFormat="1" ht="84" customHeight="1" outlineLevel="2" spans="1:20">
      <c r="A1030" s="41">
        <f t="shared" si="156"/>
        <v>5</v>
      </c>
      <c r="B1030" s="28" t="s">
        <v>585</v>
      </c>
      <c r="C1030" s="28" t="s">
        <v>677</v>
      </c>
      <c r="D1030" s="28" t="s">
        <v>98</v>
      </c>
      <c r="E1030" s="28" t="s">
        <v>115</v>
      </c>
      <c r="F1030" s="29" t="s">
        <v>39</v>
      </c>
      <c r="G1030" s="30">
        <v>2.16</v>
      </c>
      <c r="H1030" s="31">
        <v>5402.89</v>
      </c>
      <c r="I1030" s="39"/>
      <c r="J1030" s="31">
        <f t="shared" si="157"/>
        <v>5402.89</v>
      </c>
      <c r="K1030" s="33">
        <f t="shared" si="158"/>
        <v>11670.24</v>
      </c>
      <c r="L1030" s="34" t="s">
        <v>28</v>
      </c>
      <c r="M1030" s="35"/>
      <c r="O1030" s="21">
        <v>2201.65</v>
      </c>
      <c r="P1030" s="22" t="s">
        <v>678</v>
      </c>
      <c r="Q1030" s="38"/>
      <c r="R1030" s="38"/>
    </row>
    <row r="1031" s="3" customFormat="1" ht="72" customHeight="1" outlineLevel="2" spans="1:20">
      <c r="A1031" s="41">
        <f t="shared" si="156"/>
        <v>6</v>
      </c>
      <c r="B1031" s="28" t="s">
        <v>679</v>
      </c>
      <c r="C1031" s="28" t="s">
        <v>680</v>
      </c>
      <c r="D1031" s="28" t="s">
        <v>98</v>
      </c>
      <c r="E1031" s="28" t="s">
        <v>115</v>
      </c>
      <c r="F1031" s="29" t="s">
        <v>27</v>
      </c>
      <c r="G1031" s="30">
        <v>2.45</v>
      </c>
      <c r="H1031" s="31">
        <v>3288.9</v>
      </c>
      <c r="I1031" s="39"/>
      <c r="J1031" s="31">
        <f t="shared" si="157"/>
        <v>3288.9</v>
      </c>
      <c r="K1031" s="33">
        <f t="shared" si="158"/>
        <v>8057.81</v>
      </c>
      <c r="L1031" s="34" t="s">
        <v>28</v>
      </c>
      <c r="M1031" s="35"/>
      <c r="O1031" s="21">
        <v>2406.25</v>
      </c>
      <c r="P1031" s="22" t="s">
        <v>681</v>
      </c>
      <c r="Q1031" s="38"/>
      <c r="R1031" s="38"/>
    </row>
    <row r="1032" s="3" customFormat="1" outlineLevel="1" spans="1:20">
      <c r="A1032" s="27" t="s">
        <v>164</v>
      </c>
      <c r="B1032" s="28" t="s">
        <v>180</v>
      </c>
      <c r="C1032" s="28"/>
      <c r="D1032" s="28"/>
      <c r="E1032" s="28"/>
      <c r="F1032" s="29"/>
      <c r="G1032" s="30"/>
      <c r="H1032" s="31"/>
      <c r="I1032" s="39"/>
      <c r="J1032" s="31"/>
      <c r="K1032" s="33"/>
      <c r="L1032" s="34"/>
      <c r="M1032" s="35"/>
      <c r="O1032" s="36"/>
      <c r="P1032" s="37"/>
      <c r="Q1032" s="38"/>
      <c r="R1032" s="38"/>
    </row>
    <row r="1033" s="3" customFormat="1" outlineLevel="1" spans="1:20">
      <c r="A1033" s="40"/>
      <c r="B1033" s="28" t="s">
        <v>181</v>
      </c>
      <c r="C1033" s="28"/>
      <c r="D1033" s="28"/>
      <c r="E1033" s="28"/>
      <c r="F1033" s="29"/>
      <c r="G1033" s="30"/>
      <c r="H1033" s="31"/>
      <c r="I1033" s="39"/>
      <c r="J1033" s="31"/>
      <c r="K1033" s="33"/>
      <c r="L1033" s="34"/>
      <c r="M1033" s="35"/>
      <c r="O1033" s="36"/>
      <c r="P1033" s="37"/>
      <c r="Q1033" s="38"/>
      <c r="R1033" s="38"/>
    </row>
    <row r="1034" s="3" customFormat="1" ht="132" customHeight="1" outlineLevel="2" spans="1:20">
      <c r="A1034" s="41">
        <f>1+N(A1033)</f>
        <v>1</v>
      </c>
      <c r="B1034" s="28" t="s">
        <v>268</v>
      </c>
      <c r="C1034" s="28" t="s">
        <v>269</v>
      </c>
      <c r="D1034" s="28" t="s">
        <v>270</v>
      </c>
      <c r="E1034" s="28" t="s">
        <v>271</v>
      </c>
      <c r="F1034" s="29" t="s">
        <v>272</v>
      </c>
      <c r="G1034" s="30">
        <v>13.23</v>
      </c>
      <c r="H1034" s="31">
        <v>711.34</v>
      </c>
      <c r="I1034" s="39"/>
      <c r="J1034" s="31">
        <f>H1034*(1-$I$4)</f>
        <v>711.34</v>
      </c>
      <c r="K1034" s="33">
        <f>ROUND(G1034*J1034,2)</f>
        <v>9411.03</v>
      </c>
      <c r="L1034" s="34" t="s">
        <v>28</v>
      </c>
      <c r="M1034" s="35"/>
      <c r="O1034" s="21">
        <v>887.43</v>
      </c>
      <c r="P1034" s="22" t="s">
        <v>273</v>
      </c>
      <c r="Q1034" s="38"/>
      <c r="R1034" s="38"/>
    </row>
    <row r="1035" s="3" customFormat="1" ht="156" customHeight="1" outlineLevel="2" spans="1:20">
      <c r="A1035" s="41">
        <f>1+N(A1034)</f>
        <v>2</v>
      </c>
      <c r="B1035" s="28" t="s">
        <v>274</v>
      </c>
      <c r="C1035" s="28" t="s">
        <v>275</v>
      </c>
      <c r="D1035" s="28" t="s">
        <v>276</v>
      </c>
      <c r="E1035" s="28" t="s">
        <v>277</v>
      </c>
      <c r="F1035" s="29" t="s">
        <v>27</v>
      </c>
      <c r="G1035" s="30">
        <v>144.25</v>
      </c>
      <c r="H1035" s="31">
        <v>51.83</v>
      </c>
      <c r="I1035" s="39"/>
      <c r="J1035" s="31">
        <f>H1035*(1-$I$4)</f>
        <v>51.83</v>
      </c>
      <c r="K1035" s="33">
        <f>ROUND(G1035*J1035,2)</f>
        <v>7476.48</v>
      </c>
      <c r="L1035" s="34" t="s">
        <v>28</v>
      </c>
      <c r="M1035" s="35"/>
      <c r="O1035" s="21">
        <v>34.1</v>
      </c>
      <c r="P1035" s="22" t="s">
        <v>278</v>
      </c>
      <c r="Q1035" s="38"/>
      <c r="R1035" s="38"/>
    </row>
    <row r="1036" s="3" customFormat="1" ht="96" customHeight="1" outlineLevel="2" spans="1:20">
      <c r="A1036" s="41">
        <f>1+N(A1035)</f>
        <v>3</v>
      </c>
      <c r="B1036" s="28" t="s">
        <v>182</v>
      </c>
      <c r="C1036" s="28" t="s">
        <v>183</v>
      </c>
      <c r="D1036" s="28" t="s">
        <v>59</v>
      </c>
      <c r="E1036" s="28" t="s">
        <v>184</v>
      </c>
      <c r="F1036" s="29" t="s">
        <v>27</v>
      </c>
      <c r="G1036" s="30">
        <v>316.98</v>
      </c>
      <c r="H1036" s="31">
        <v>205.03</v>
      </c>
      <c r="I1036" s="39"/>
      <c r="J1036" s="31">
        <f>H1036*(1-$I$4)</f>
        <v>205.03</v>
      </c>
      <c r="K1036" s="33">
        <f>ROUND(G1036*J1036,2)</f>
        <v>64990.41</v>
      </c>
      <c r="L1036" s="34" t="s">
        <v>28</v>
      </c>
      <c r="M1036" s="35"/>
      <c r="O1036" s="21">
        <v>176.3</v>
      </c>
      <c r="P1036" s="22" t="s">
        <v>185</v>
      </c>
      <c r="Q1036" s="38"/>
      <c r="R1036" s="38"/>
    </row>
    <row r="1037" s="3" customFormat="1" ht="96" customHeight="1" outlineLevel="2" spans="1:20">
      <c r="A1037" s="41">
        <f>1+N(A1036)</f>
        <v>4</v>
      </c>
      <c r="B1037" s="28" t="s">
        <v>682</v>
      </c>
      <c r="C1037" s="28" t="s">
        <v>683</v>
      </c>
      <c r="D1037" s="28" t="s">
        <v>59</v>
      </c>
      <c r="E1037" s="28" t="s">
        <v>184</v>
      </c>
      <c r="F1037" s="29" t="s">
        <v>27</v>
      </c>
      <c r="G1037" s="30">
        <v>112.52</v>
      </c>
      <c r="H1037" s="31">
        <v>290.93</v>
      </c>
      <c r="I1037" s="39"/>
      <c r="J1037" s="31">
        <f>H1037*(1-$I$4)</f>
        <v>290.93</v>
      </c>
      <c r="K1037" s="33">
        <f>ROUND(G1037*J1037,2)</f>
        <v>32735.44</v>
      </c>
      <c r="L1037" s="34" t="s">
        <v>28</v>
      </c>
      <c r="M1037" s="35"/>
      <c r="O1037" s="21">
        <v>286.85</v>
      </c>
      <c r="P1037" s="22" t="s">
        <v>684</v>
      </c>
      <c r="Q1037" s="38"/>
      <c r="R1037" s="38"/>
    </row>
    <row r="1038" s="4" customFormat="1" spans="1:20">
      <c r="A1038" s="43"/>
      <c r="B1038" s="28" t="s">
        <v>685</v>
      </c>
      <c r="C1038" s="28"/>
      <c r="D1038" s="28"/>
      <c r="E1038" s="28"/>
      <c r="F1038" s="29"/>
      <c r="G1038" s="30"/>
      <c r="H1038" s="31"/>
      <c r="I1038" s="39"/>
      <c r="J1038" s="31"/>
      <c r="K1038" s="46"/>
      <c r="L1038" s="34"/>
      <c r="M1038" s="35"/>
      <c r="O1038" s="44"/>
      <c r="P1038" s="37"/>
      <c r="S1038" s="3"/>
      <c r="T1038" s="3"/>
    </row>
    <row r="1039" s="3" customFormat="1" spans="1:20">
      <c r="A1039" s="27" t="s">
        <v>18</v>
      </c>
      <c r="B1039" s="17" t="s">
        <v>686</v>
      </c>
      <c r="C1039" s="28"/>
      <c r="D1039" s="28"/>
      <c r="E1039" s="28"/>
      <c r="F1039" s="29"/>
      <c r="G1039" s="30"/>
      <c r="H1039" s="31"/>
      <c r="I1039" s="39"/>
      <c r="J1039" s="31"/>
      <c r="K1039" s="33"/>
      <c r="L1039" s="34"/>
      <c r="M1039" s="35"/>
      <c r="O1039" s="36"/>
      <c r="P1039" s="37"/>
      <c r="Q1039" s="38"/>
      <c r="R1039" s="38"/>
    </row>
    <row r="1040" s="3" customFormat="1" outlineLevel="1" spans="1:20">
      <c r="A1040" s="40"/>
      <c r="B1040" s="28" t="s">
        <v>22</v>
      </c>
      <c r="C1040" s="28"/>
      <c r="D1040" s="28"/>
      <c r="E1040" s="28"/>
      <c r="F1040" s="29"/>
      <c r="G1040" s="30"/>
      <c r="H1040" s="31"/>
      <c r="I1040" s="39"/>
      <c r="J1040" s="31"/>
      <c r="K1040" s="33"/>
      <c r="L1040" s="34"/>
      <c r="M1040" s="35"/>
      <c r="O1040" s="36"/>
      <c r="P1040" s="37"/>
      <c r="Q1040" s="38"/>
      <c r="R1040" s="38"/>
    </row>
    <row r="1041" s="3" customFormat="1" ht="108" customHeight="1" outlineLevel="2" spans="1:18">
      <c r="A1041" s="41">
        <f>1+N(A1040)</f>
        <v>1</v>
      </c>
      <c r="B1041" s="28" t="s">
        <v>23</v>
      </c>
      <c r="C1041" s="28" t="s">
        <v>24</v>
      </c>
      <c r="D1041" s="28" t="s">
        <v>25</v>
      </c>
      <c r="E1041" s="28" t="s">
        <v>26</v>
      </c>
      <c r="F1041" s="29" t="s">
        <v>27</v>
      </c>
      <c r="G1041" s="30">
        <v>9.35</v>
      </c>
      <c r="H1041" s="31">
        <v>940.91</v>
      </c>
      <c r="I1041" s="39"/>
      <c r="J1041" s="31">
        <f>H1041*(1-$I$4)</f>
        <v>940.91</v>
      </c>
      <c r="K1041" s="33">
        <f>ROUND(G1041*J1041,2)</f>
        <v>8797.51</v>
      </c>
      <c r="L1041" s="34" t="s">
        <v>28</v>
      </c>
      <c r="M1041" s="35"/>
      <c r="O1041" s="21">
        <v>886.6</v>
      </c>
      <c r="P1041" s="22" t="s">
        <v>29</v>
      </c>
      <c r="Q1041" s="38"/>
      <c r="R1041" s="38"/>
    </row>
    <row r="1042" s="3" customFormat="1" ht="72" customHeight="1" outlineLevel="2" spans="1:18">
      <c r="A1042" s="41">
        <f>1+N(A1041)</f>
        <v>2</v>
      </c>
      <c r="B1042" s="28" t="s">
        <v>41</v>
      </c>
      <c r="C1042" s="28" t="s">
        <v>42</v>
      </c>
      <c r="D1042" s="28" t="s">
        <v>25</v>
      </c>
      <c r="E1042" s="28" t="s">
        <v>26</v>
      </c>
      <c r="F1042" s="29" t="s">
        <v>27</v>
      </c>
      <c r="G1042" s="30">
        <v>9.35</v>
      </c>
      <c r="H1042" s="31">
        <v>64.9</v>
      </c>
      <c r="I1042" s="39"/>
      <c r="J1042" s="31">
        <f>H1042*(1-$I$4)</f>
        <v>64.9</v>
      </c>
      <c r="K1042" s="33">
        <f>ROUND(G1042*J1042,2)</f>
        <v>606.82</v>
      </c>
      <c r="L1042" s="34" t="s">
        <v>28</v>
      </c>
      <c r="M1042" s="35"/>
      <c r="O1042" s="21">
        <v>61.38</v>
      </c>
      <c r="P1042" s="22" t="s">
        <v>43</v>
      </c>
      <c r="Q1042" s="38"/>
      <c r="R1042" s="38"/>
    </row>
    <row r="1043" s="3" customFormat="1" outlineLevel="1" spans="1:18">
      <c r="A1043" s="40"/>
      <c r="B1043" s="28" t="s">
        <v>687</v>
      </c>
      <c r="C1043" s="28"/>
      <c r="D1043" s="28"/>
      <c r="E1043" s="28"/>
      <c r="F1043" s="29"/>
      <c r="G1043" s="30"/>
      <c r="H1043" s="31"/>
      <c r="I1043" s="39"/>
      <c r="J1043" s="31"/>
      <c r="K1043" s="33"/>
      <c r="L1043" s="34"/>
      <c r="M1043" s="35"/>
      <c r="O1043" s="36"/>
      <c r="P1043" s="37"/>
      <c r="Q1043" s="38"/>
      <c r="R1043" s="38"/>
    </row>
    <row r="1044" s="3" customFormat="1" ht="108" customHeight="1" outlineLevel="2" spans="1:18">
      <c r="A1044" s="41">
        <f t="shared" ref="A1044:A1050" si="159">1+N(A1043)</f>
        <v>1</v>
      </c>
      <c r="B1044" s="28" t="s">
        <v>688</v>
      </c>
      <c r="C1044" s="28" t="s">
        <v>689</v>
      </c>
      <c r="D1044" s="28" t="s">
        <v>47</v>
      </c>
      <c r="E1044" s="28" t="s">
        <v>48</v>
      </c>
      <c r="F1044" s="29" t="s">
        <v>27</v>
      </c>
      <c r="G1044" s="30">
        <v>10.96</v>
      </c>
      <c r="H1044" s="31">
        <v>2824.92</v>
      </c>
      <c r="I1044" s="39"/>
      <c r="J1044" s="31">
        <f t="shared" ref="J1044:J1050" si="160">H1044*(1-$I$4)</f>
        <v>2824.92</v>
      </c>
      <c r="K1044" s="33">
        <f t="shared" ref="K1044:K1050" si="161">ROUND(G1044*J1044,2)</f>
        <v>30961.12</v>
      </c>
      <c r="L1044" s="34" t="s">
        <v>28</v>
      </c>
      <c r="M1044" s="35"/>
      <c r="O1044" s="21">
        <v>1103.63</v>
      </c>
      <c r="P1044" s="22" t="s">
        <v>690</v>
      </c>
      <c r="Q1044" s="38"/>
      <c r="R1044" s="38"/>
    </row>
    <row r="1045" s="3" customFormat="1" ht="120" customHeight="1" outlineLevel="2" spans="1:18">
      <c r="A1045" s="41">
        <f t="shared" si="159"/>
        <v>2</v>
      </c>
      <c r="B1045" s="28" t="s">
        <v>140</v>
      </c>
      <c r="C1045" s="28" t="s">
        <v>691</v>
      </c>
      <c r="D1045" s="28" t="s">
        <v>52</v>
      </c>
      <c r="E1045" s="28" t="s">
        <v>63</v>
      </c>
      <c r="F1045" s="29" t="s">
        <v>27</v>
      </c>
      <c r="G1045" s="30">
        <v>12.38</v>
      </c>
      <c r="H1045" s="31">
        <v>630.65</v>
      </c>
      <c r="I1045" s="39"/>
      <c r="J1045" s="31">
        <f t="shared" si="160"/>
        <v>630.65</v>
      </c>
      <c r="K1045" s="33">
        <f t="shared" si="161"/>
        <v>7807.45</v>
      </c>
      <c r="L1045" s="34" t="s">
        <v>28</v>
      </c>
      <c r="M1045" s="35"/>
      <c r="O1045" s="21">
        <v>681.67</v>
      </c>
      <c r="P1045" s="22" t="s">
        <v>692</v>
      </c>
      <c r="Q1045" s="38"/>
      <c r="R1045" s="38"/>
    </row>
    <row r="1046" s="3" customFormat="1" ht="120" customHeight="1" outlineLevel="2" spans="1:18">
      <c r="A1046" s="41">
        <f t="shared" si="159"/>
        <v>3</v>
      </c>
      <c r="B1046" s="28" t="s">
        <v>693</v>
      </c>
      <c r="C1046" s="28" t="s">
        <v>694</v>
      </c>
      <c r="D1046" s="28" t="s">
        <v>52</v>
      </c>
      <c r="E1046" s="28" t="s">
        <v>293</v>
      </c>
      <c r="F1046" s="29" t="s">
        <v>27</v>
      </c>
      <c r="G1046" s="30">
        <v>32.1</v>
      </c>
      <c r="H1046" s="31">
        <v>678.82</v>
      </c>
      <c r="I1046" s="39"/>
      <c r="J1046" s="31">
        <f t="shared" si="160"/>
        <v>678.82</v>
      </c>
      <c r="K1046" s="33">
        <f t="shared" si="161"/>
        <v>21790.12</v>
      </c>
      <c r="L1046" s="34" t="s">
        <v>28</v>
      </c>
      <c r="M1046" s="35"/>
      <c r="O1046" s="21">
        <v>669.7</v>
      </c>
      <c r="P1046" s="22" t="s">
        <v>695</v>
      </c>
      <c r="Q1046" s="38"/>
      <c r="R1046" s="38"/>
    </row>
    <row r="1047" s="3" customFormat="1" ht="96" customHeight="1" outlineLevel="2" spans="1:18">
      <c r="A1047" s="41">
        <f t="shared" si="159"/>
        <v>4</v>
      </c>
      <c r="B1047" s="28" t="s">
        <v>696</v>
      </c>
      <c r="C1047" s="28" t="s">
        <v>697</v>
      </c>
      <c r="D1047" s="28" t="s">
        <v>59</v>
      </c>
      <c r="E1047" s="28" t="s">
        <v>38</v>
      </c>
      <c r="F1047" s="29" t="s">
        <v>39</v>
      </c>
      <c r="G1047" s="30">
        <v>17.88</v>
      </c>
      <c r="H1047" s="31">
        <v>63.59</v>
      </c>
      <c r="I1047" s="39"/>
      <c r="J1047" s="31">
        <f t="shared" si="160"/>
        <v>63.59</v>
      </c>
      <c r="K1047" s="33">
        <f t="shared" si="161"/>
        <v>1136.99</v>
      </c>
      <c r="L1047" s="34" t="s">
        <v>28</v>
      </c>
      <c r="M1047" s="35"/>
      <c r="O1047" s="21">
        <v>45.71</v>
      </c>
      <c r="P1047" s="22" t="s">
        <v>698</v>
      </c>
      <c r="Q1047" s="38"/>
      <c r="R1047" s="38"/>
    </row>
    <row r="1048" s="3" customFormat="1" ht="96" customHeight="1" outlineLevel="2" spans="1:18">
      <c r="A1048" s="41">
        <f t="shared" si="159"/>
        <v>5</v>
      </c>
      <c r="B1048" s="28" t="s">
        <v>699</v>
      </c>
      <c r="C1048" s="28" t="s">
        <v>700</v>
      </c>
      <c r="D1048" s="28" t="s">
        <v>59</v>
      </c>
      <c r="E1048" s="28" t="s">
        <v>38</v>
      </c>
      <c r="F1048" s="29" t="s">
        <v>39</v>
      </c>
      <c r="G1048" s="30">
        <v>20.68</v>
      </c>
      <c r="H1048" s="31">
        <v>66.2</v>
      </c>
      <c r="I1048" s="39"/>
      <c r="J1048" s="31">
        <f t="shared" si="160"/>
        <v>66.2</v>
      </c>
      <c r="K1048" s="33">
        <f t="shared" si="161"/>
        <v>1369.02</v>
      </c>
      <c r="L1048" s="34" t="s">
        <v>28</v>
      </c>
      <c r="M1048" s="35"/>
      <c r="O1048" s="21">
        <v>58.45</v>
      </c>
      <c r="P1048" s="22" t="s">
        <v>701</v>
      </c>
      <c r="Q1048" s="38"/>
      <c r="R1048" s="38"/>
    </row>
    <row r="1049" s="3" customFormat="1" ht="96" customHeight="1" outlineLevel="2" spans="1:18">
      <c r="A1049" s="41">
        <f t="shared" si="159"/>
        <v>6</v>
      </c>
      <c r="B1049" s="28" t="s">
        <v>702</v>
      </c>
      <c r="C1049" s="28" t="s">
        <v>703</v>
      </c>
      <c r="D1049" s="28" t="s">
        <v>59</v>
      </c>
      <c r="E1049" s="28" t="s">
        <v>38</v>
      </c>
      <c r="F1049" s="29" t="s">
        <v>39</v>
      </c>
      <c r="G1049" s="30">
        <v>20.68</v>
      </c>
      <c r="H1049" s="31">
        <v>54.71</v>
      </c>
      <c r="I1049" s="39"/>
      <c r="J1049" s="31">
        <f t="shared" si="160"/>
        <v>54.71</v>
      </c>
      <c r="K1049" s="33">
        <f t="shared" si="161"/>
        <v>1131.4</v>
      </c>
      <c r="L1049" s="34" t="s">
        <v>28</v>
      </c>
      <c r="M1049" s="35"/>
      <c r="O1049" s="21">
        <v>41.36</v>
      </c>
      <c r="P1049" s="22" t="s">
        <v>704</v>
      </c>
      <c r="Q1049" s="38"/>
      <c r="R1049" s="38"/>
    </row>
    <row r="1050" s="3" customFormat="1" ht="96" customHeight="1" outlineLevel="2" spans="1:18">
      <c r="A1050" s="41">
        <f t="shared" si="159"/>
        <v>7</v>
      </c>
      <c r="B1050" s="28" t="s">
        <v>705</v>
      </c>
      <c r="C1050" s="28" t="s">
        <v>706</v>
      </c>
      <c r="D1050" s="28" t="s">
        <v>59</v>
      </c>
      <c r="E1050" s="28" t="s">
        <v>38</v>
      </c>
      <c r="F1050" s="29" t="s">
        <v>39</v>
      </c>
      <c r="G1050" s="30">
        <v>101.62</v>
      </c>
      <c r="H1050" s="31">
        <v>50.88</v>
      </c>
      <c r="I1050" s="39"/>
      <c r="J1050" s="31">
        <f t="shared" si="160"/>
        <v>50.88</v>
      </c>
      <c r="K1050" s="33">
        <f t="shared" si="161"/>
        <v>5170.43</v>
      </c>
      <c r="L1050" s="34" t="s">
        <v>28</v>
      </c>
      <c r="M1050" s="35"/>
      <c r="O1050" s="21">
        <v>58.45</v>
      </c>
      <c r="P1050" s="22" t="s">
        <v>707</v>
      </c>
      <c r="Q1050" s="38"/>
      <c r="R1050" s="38"/>
    </row>
    <row r="1051" s="3" customFormat="1" outlineLevel="1" spans="1:18">
      <c r="A1051" s="40"/>
      <c r="B1051" s="28" t="s">
        <v>90</v>
      </c>
      <c r="C1051" s="28"/>
      <c r="D1051" s="28"/>
      <c r="E1051" s="28"/>
      <c r="F1051" s="29"/>
      <c r="G1051" s="30"/>
      <c r="H1051" s="31"/>
      <c r="I1051" s="39"/>
      <c r="J1051" s="31"/>
      <c r="K1051" s="33"/>
      <c r="L1051" s="34"/>
      <c r="M1051" s="35"/>
      <c r="O1051" s="36"/>
      <c r="P1051" s="37"/>
      <c r="Q1051" s="38"/>
      <c r="R1051" s="38"/>
    </row>
    <row r="1052" s="3" customFormat="1" ht="156" customHeight="1" outlineLevel="2" spans="1:18">
      <c r="A1052" s="41">
        <f>1+N(A1051)</f>
        <v>1</v>
      </c>
      <c r="B1052" s="28" t="s">
        <v>534</v>
      </c>
      <c r="C1052" s="28" t="s">
        <v>535</v>
      </c>
      <c r="D1052" s="28" t="s">
        <v>353</v>
      </c>
      <c r="E1052" s="28" t="s">
        <v>354</v>
      </c>
      <c r="F1052" s="29" t="s">
        <v>27</v>
      </c>
      <c r="G1052" s="30">
        <v>8.39</v>
      </c>
      <c r="H1052" s="31">
        <v>573.19</v>
      </c>
      <c r="I1052" s="39"/>
      <c r="J1052" s="31">
        <f>H1052*(1-$I$4)</f>
        <v>573.19</v>
      </c>
      <c r="K1052" s="33">
        <f>ROUND(G1052*J1052,2)</f>
        <v>4809.06</v>
      </c>
      <c r="L1052" s="34" t="s">
        <v>28</v>
      </c>
      <c r="M1052" s="35"/>
      <c r="O1052" s="21">
        <v>666.05</v>
      </c>
      <c r="P1052" s="22" t="s">
        <v>536</v>
      </c>
      <c r="Q1052" s="38"/>
      <c r="R1052" s="38"/>
    </row>
    <row r="1053" s="3" customFormat="1" ht="48" customHeight="1" outlineLevel="2" spans="1:18">
      <c r="A1053" s="41">
        <f>1+N(A1052)</f>
        <v>2</v>
      </c>
      <c r="B1053" s="28" t="s">
        <v>708</v>
      </c>
      <c r="C1053" s="28" t="s">
        <v>709</v>
      </c>
      <c r="D1053" s="28" t="s">
        <v>98</v>
      </c>
      <c r="E1053" s="28" t="s">
        <v>99</v>
      </c>
      <c r="F1053" s="29" t="s">
        <v>39</v>
      </c>
      <c r="G1053" s="30">
        <v>21.04</v>
      </c>
      <c r="H1053" s="31">
        <v>112.16</v>
      </c>
      <c r="I1053" s="39"/>
      <c r="J1053" s="31">
        <f>H1053*(1-$I$4)</f>
        <v>112.16</v>
      </c>
      <c r="K1053" s="33">
        <f>ROUND(G1053*J1053,2)</f>
        <v>2359.85</v>
      </c>
      <c r="L1053" s="34" t="s">
        <v>28</v>
      </c>
      <c r="M1053" s="35"/>
      <c r="O1053" s="21">
        <v>79.3</v>
      </c>
      <c r="P1053" s="22" t="s">
        <v>603</v>
      </c>
      <c r="Q1053" s="38"/>
      <c r="R1053" s="38"/>
    </row>
    <row r="1054" s="3" customFormat="1" ht="48" customHeight="1" outlineLevel="2" spans="1:18">
      <c r="A1054" s="41">
        <f>1+N(A1053)</f>
        <v>3</v>
      </c>
      <c r="B1054" s="28" t="s">
        <v>710</v>
      </c>
      <c r="C1054" s="28" t="s">
        <v>711</v>
      </c>
      <c r="D1054" s="28" t="s">
        <v>98</v>
      </c>
      <c r="E1054" s="28" t="s">
        <v>99</v>
      </c>
      <c r="F1054" s="29" t="s">
        <v>39</v>
      </c>
      <c r="G1054" s="30">
        <v>10</v>
      </c>
      <c r="H1054" s="31">
        <v>109.74</v>
      </c>
      <c r="I1054" s="39"/>
      <c r="J1054" s="31">
        <f>H1054*(1-$I$4)</f>
        <v>109.74</v>
      </c>
      <c r="K1054" s="33">
        <f>ROUND(G1054*J1054,2)</f>
        <v>1097.4</v>
      </c>
      <c r="L1054" s="34" t="s">
        <v>28</v>
      </c>
      <c r="M1054" s="35"/>
      <c r="O1054" s="21">
        <v>108.2</v>
      </c>
      <c r="P1054" s="22" t="s">
        <v>712</v>
      </c>
      <c r="Q1054" s="38"/>
      <c r="R1054" s="38"/>
    </row>
    <row r="1055" s="3" customFormat="1" ht="132" customHeight="1" outlineLevel="2" spans="1:18">
      <c r="A1055" s="41">
        <f>1+N(A1054)</f>
        <v>4</v>
      </c>
      <c r="B1055" s="28" t="s">
        <v>107</v>
      </c>
      <c r="C1055" s="28" t="s">
        <v>108</v>
      </c>
      <c r="D1055" s="28" t="s">
        <v>109</v>
      </c>
      <c r="E1055" s="28" t="s">
        <v>110</v>
      </c>
      <c r="F1055" s="29" t="s">
        <v>27</v>
      </c>
      <c r="G1055" s="30">
        <v>4.59</v>
      </c>
      <c r="H1055" s="31">
        <v>152.22</v>
      </c>
      <c r="I1055" s="39"/>
      <c r="J1055" s="31">
        <f>H1055*(1-$I$4)</f>
        <v>152.22</v>
      </c>
      <c r="K1055" s="33">
        <f>ROUND(G1055*J1055,2)</f>
        <v>698.69</v>
      </c>
      <c r="L1055" s="34" t="s">
        <v>28</v>
      </c>
      <c r="M1055" s="35"/>
      <c r="O1055" s="21">
        <v>151.58</v>
      </c>
      <c r="P1055" s="22" t="s">
        <v>111</v>
      </c>
      <c r="Q1055" s="38"/>
      <c r="R1055" s="38"/>
    </row>
    <row r="1056" s="3" customFormat="1" ht="60" customHeight="1" outlineLevel="2" spans="1:18">
      <c r="A1056" s="41">
        <f>1+N(A1055)</f>
        <v>5</v>
      </c>
      <c r="B1056" s="28" t="s">
        <v>713</v>
      </c>
      <c r="C1056" s="28" t="s">
        <v>714</v>
      </c>
      <c r="D1056" s="28" t="s">
        <v>98</v>
      </c>
      <c r="E1056" s="28" t="s">
        <v>99</v>
      </c>
      <c r="F1056" s="29" t="s">
        <v>39</v>
      </c>
      <c r="G1056" s="30">
        <v>9.84</v>
      </c>
      <c r="H1056" s="31">
        <v>64.25</v>
      </c>
      <c r="I1056" s="39"/>
      <c r="J1056" s="31">
        <f>H1056*(1-$I$4)</f>
        <v>64.25</v>
      </c>
      <c r="K1056" s="33">
        <f>ROUND(G1056*J1056,2)</f>
        <v>632.22</v>
      </c>
      <c r="L1056" s="34" t="s">
        <v>28</v>
      </c>
      <c r="M1056" s="35"/>
      <c r="O1056" s="21">
        <v>50.8</v>
      </c>
      <c r="P1056" s="22" t="s">
        <v>715</v>
      </c>
      <c r="Q1056" s="38"/>
      <c r="R1056" s="38"/>
    </row>
    <row r="1057" s="3" customFormat="1" outlineLevel="1" spans="1:18">
      <c r="A1057" s="40"/>
      <c r="B1057" s="28" t="s">
        <v>112</v>
      </c>
      <c r="C1057" s="28"/>
      <c r="D1057" s="28"/>
      <c r="E1057" s="28"/>
      <c r="F1057" s="29"/>
      <c r="G1057" s="30"/>
      <c r="H1057" s="31"/>
      <c r="I1057" s="39"/>
      <c r="J1057" s="31"/>
      <c r="K1057" s="33"/>
      <c r="L1057" s="34"/>
      <c r="M1057" s="35"/>
      <c r="O1057" s="36"/>
      <c r="P1057" s="37"/>
      <c r="Q1057" s="38"/>
      <c r="R1057" s="38"/>
    </row>
    <row r="1058" s="3" customFormat="1" ht="48" customHeight="1" outlineLevel="2" spans="1:18">
      <c r="A1058" s="41">
        <f>1+N(A1057)</f>
        <v>1</v>
      </c>
      <c r="B1058" s="28" t="s">
        <v>716</v>
      </c>
      <c r="C1058" s="28" t="s">
        <v>717</v>
      </c>
      <c r="D1058" s="28" t="s">
        <v>98</v>
      </c>
      <c r="E1058" s="28" t="s">
        <v>718</v>
      </c>
      <c r="F1058" s="29" t="s">
        <v>39</v>
      </c>
      <c r="G1058" s="30">
        <v>8.32</v>
      </c>
      <c r="H1058" s="31">
        <v>3569.5</v>
      </c>
      <c r="I1058" s="39"/>
      <c r="J1058" s="31">
        <f>H1058*(1-$I$4)</f>
        <v>3569.5</v>
      </c>
      <c r="K1058" s="33">
        <f>ROUND(G1058*J1058,2)</f>
        <v>29698.24</v>
      </c>
      <c r="L1058" s="34" t="s">
        <v>28</v>
      </c>
      <c r="M1058" s="35"/>
      <c r="O1058" s="21">
        <v>425.7</v>
      </c>
      <c r="P1058" s="22" t="s">
        <v>719</v>
      </c>
      <c r="Q1058" s="38"/>
      <c r="R1058" s="38"/>
    </row>
    <row r="1059" s="3" customFormat="1" spans="1:18">
      <c r="A1059" s="27" t="s">
        <v>186</v>
      </c>
      <c r="B1059" s="17" t="s">
        <v>720</v>
      </c>
      <c r="C1059" s="28"/>
      <c r="D1059" s="28"/>
      <c r="E1059" s="28"/>
      <c r="F1059" s="29"/>
      <c r="G1059" s="30"/>
      <c r="H1059" s="31"/>
      <c r="I1059" s="39"/>
      <c r="J1059" s="31"/>
      <c r="K1059" s="33"/>
      <c r="L1059" s="34"/>
      <c r="M1059" s="35"/>
      <c r="O1059" s="36"/>
      <c r="P1059" s="37"/>
      <c r="Q1059" s="38"/>
      <c r="R1059" s="38"/>
    </row>
    <row r="1060" s="3" customFormat="1" outlineLevel="1" spans="1:18">
      <c r="A1060" s="40"/>
      <c r="B1060" s="28" t="s">
        <v>22</v>
      </c>
      <c r="C1060" s="28"/>
      <c r="D1060" s="28"/>
      <c r="E1060" s="28"/>
      <c r="F1060" s="29"/>
      <c r="G1060" s="30"/>
      <c r="H1060" s="31"/>
      <c r="I1060" s="39"/>
      <c r="J1060" s="31"/>
      <c r="K1060" s="33"/>
      <c r="L1060" s="34"/>
      <c r="M1060" s="35"/>
      <c r="O1060" s="36"/>
      <c r="P1060" s="37"/>
      <c r="Q1060" s="38"/>
      <c r="R1060" s="38"/>
    </row>
    <row r="1061" s="3" customFormat="1" ht="108" customHeight="1" outlineLevel="2" spans="1:18">
      <c r="A1061" s="41">
        <f>1+N(A1060)</f>
        <v>1</v>
      </c>
      <c r="B1061" s="28" t="s">
        <v>23</v>
      </c>
      <c r="C1061" s="28" t="s">
        <v>24</v>
      </c>
      <c r="D1061" s="28" t="s">
        <v>25</v>
      </c>
      <c r="E1061" s="28" t="s">
        <v>26</v>
      </c>
      <c r="F1061" s="29" t="s">
        <v>27</v>
      </c>
      <c r="G1061" s="30">
        <v>9.35</v>
      </c>
      <c r="H1061" s="31">
        <v>940.91</v>
      </c>
      <c r="I1061" s="39"/>
      <c r="J1061" s="31">
        <f>H1061*(1-$I$4)</f>
        <v>940.91</v>
      </c>
      <c r="K1061" s="33">
        <f>ROUND(G1061*J1061,2)</f>
        <v>8797.51</v>
      </c>
      <c r="L1061" s="34" t="s">
        <v>28</v>
      </c>
      <c r="M1061" s="35"/>
      <c r="O1061" s="21">
        <v>886.6</v>
      </c>
      <c r="P1061" s="22" t="s">
        <v>29</v>
      </c>
      <c r="Q1061" s="38"/>
      <c r="R1061" s="38"/>
    </row>
    <row r="1062" s="3" customFormat="1" ht="72" customHeight="1" outlineLevel="2" spans="1:18">
      <c r="A1062" s="41">
        <f>1+N(A1061)</f>
        <v>2</v>
      </c>
      <c r="B1062" s="28" t="s">
        <v>41</v>
      </c>
      <c r="C1062" s="28" t="s">
        <v>42</v>
      </c>
      <c r="D1062" s="28" t="s">
        <v>25</v>
      </c>
      <c r="E1062" s="28" t="s">
        <v>26</v>
      </c>
      <c r="F1062" s="29" t="s">
        <v>27</v>
      </c>
      <c r="G1062" s="30">
        <v>9.35</v>
      </c>
      <c r="H1062" s="31">
        <v>64.9</v>
      </c>
      <c r="I1062" s="39"/>
      <c r="J1062" s="31">
        <f>H1062*(1-$I$4)</f>
        <v>64.9</v>
      </c>
      <c r="K1062" s="33">
        <f>ROUND(G1062*J1062,2)</f>
        <v>606.82</v>
      </c>
      <c r="L1062" s="34" t="s">
        <v>28</v>
      </c>
      <c r="M1062" s="35"/>
      <c r="O1062" s="21">
        <v>61.38</v>
      </c>
      <c r="P1062" s="22" t="s">
        <v>43</v>
      </c>
      <c r="Q1062" s="38"/>
      <c r="R1062" s="38"/>
    </row>
    <row r="1063" s="3" customFormat="1" outlineLevel="1" spans="1:18">
      <c r="A1063" s="40"/>
      <c r="B1063" s="28" t="s">
        <v>687</v>
      </c>
      <c r="C1063" s="28"/>
      <c r="D1063" s="28"/>
      <c r="E1063" s="28"/>
      <c r="F1063" s="29"/>
      <c r="G1063" s="30"/>
      <c r="H1063" s="31"/>
      <c r="I1063" s="39"/>
      <c r="J1063" s="31"/>
      <c r="K1063" s="33"/>
      <c r="L1063" s="34"/>
      <c r="M1063" s="35"/>
      <c r="O1063" s="36"/>
      <c r="P1063" s="37"/>
      <c r="Q1063" s="38"/>
      <c r="R1063" s="38"/>
    </row>
    <row r="1064" s="3" customFormat="1" ht="108" customHeight="1" outlineLevel="2" spans="1:18">
      <c r="A1064" s="41">
        <f t="shared" ref="A1064:A1070" si="162">1+N(A1063)</f>
        <v>1</v>
      </c>
      <c r="B1064" s="28" t="s">
        <v>688</v>
      </c>
      <c r="C1064" s="28" t="s">
        <v>689</v>
      </c>
      <c r="D1064" s="28" t="s">
        <v>47</v>
      </c>
      <c r="E1064" s="28" t="s">
        <v>48</v>
      </c>
      <c r="F1064" s="29" t="s">
        <v>27</v>
      </c>
      <c r="G1064" s="30">
        <v>10.96</v>
      </c>
      <c r="H1064" s="31">
        <v>2824.92</v>
      </c>
      <c r="I1064" s="39"/>
      <c r="J1064" s="31">
        <f t="shared" ref="J1064:J1070" si="163">H1064*(1-$I$4)</f>
        <v>2824.92</v>
      </c>
      <c r="K1064" s="33">
        <f t="shared" ref="K1064:K1070" si="164">ROUND(G1064*J1064,2)</f>
        <v>30961.12</v>
      </c>
      <c r="L1064" s="34" t="s">
        <v>28</v>
      </c>
      <c r="M1064" s="35"/>
      <c r="O1064" s="21">
        <v>1103.63</v>
      </c>
      <c r="P1064" s="22" t="s">
        <v>690</v>
      </c>
      <c r="Q1064" s="38"/>
      <c r="R1064" s="38"/>
    </row>
    <row r="1065" s="3" customFormat="1" ht="120" customHeight="1" outlineLevel="2" spans="1:18">
      <c r="A1065" s="41">
        <f t="shared" si="162"/>
        <v>2</v>
      </c>
      <c r="B1065" s="28" t="s">
        <v>140</v>
      </c>
      <c r="C1065" s="28" t="s">
        <v>691</v>
      </c>
      <c r="D1065" s="28" t="s">
        <v>52</v>
      </c>
      <c r="E1065" s="28" t="s">
        <v>63</v>
      </c>
      <c r="F1065" s="29" t="s">
        <v>27</v>
      </c>
      <c r="G1065" s="30">
        <v>15.34</v>
      </c>
      <c r="H1065" s="31">
        <v>630.65</v>
      </c>
      <c r="I1065" s="39"/>
      <c r="J1065" s="31">
        <f t="shared" si="163"/>
        <v>630.65</v>
      </c>
      <c r="K1065" s="33">
        <f t="shared" si="164"/>
        <v>9674.17</v>
      </c>
      <c r="L1065" s="34" t="s">
        <v>28</v>
      </c>
      <c r="M1065" s="35"/>
      <c r="O1065" s="21">
        <v>681.67</v>
      </c>
      <c r="P1065" s="22" t="s">
        <v>692</v>
      </c>
      <c r="Q1065" s="38"/>
      <c r="R1065" s="38"/>
    </row>
    <row r="1066" s="3" customFormat="1" ht="120" customHeight="1" outlineLevel="2" spans="1:18">
      <c r="A1066" s="41">
        <f t="shared" si="162"/>
        <v>3</v>
      </c>
      <c r="B1066" s="28" t="s">
        <v>693</v>
      </c>
      <c r="C1066" s="28" t="s">
        <v>694</v>
      </c>
      <c r="D1066" s="28" t="s">
        <v>52</v>
      </c>
      <c r="E1066" s="28" t="s">
        <v>293</v>
      </c>
      <c r="F1066" s="29" t="s">
        <v>27</v>
      </c>
      <c r="G1066" s="30">
        <v>29.33</v>
      </c>
      <c r="H1066" s="31">
        <v>678.82</v>
      </c>
      <c r="I1066" s="39"/>
      <c r="J1066" s="31">
        <f t="shared" si="163"/>
        <v>678.82</v>
      </c>
      <c r="K1066" s="33">
        <f t="shared" si="164"/>
        <v>19909.79</v>
      </c>
      <c r="L1066" s="34" t="s">
        <v>28</v>
      </c>
      <c r="M1066" s="35"/>
      <c r="O1066" s="21">
        <v>669.7</v>
      </c>
      <c r="P1066" s="22" t="s">
        <v>695</v>
      </c>
      <c r="Q1066" s="38"/>
      <c r="R1066" s="38"/>
    </row>
    <row r="1067" s="3" customFormat="1" ht="96" customHeight="1" outlineLevel="2" spans="1:18">
      <c r="A1067" s="41">
        <f t="shared" si="162"/>
        <v>4</v>
      </c>
      <c r="B1067" s="28" t="s">
        <v>696</v>
      </c>
      <c r="C1067" s="28" t="s">
        <v>697</v>
      </c>
      <c r="D1067" s="28" t="s">
        <v>59</v>
      </c>
      <c r="E1067" s="28" t="s">
        <v>38</v>
      </c>
      <c r="F1067" s="29" t="s">
        <v>39</v>
      </c>
      <c r="G1067" s="30">
        <v>17.88</v>
      </c>
      <c r="H1067" s="31">
        <v>63.59</v>
      </c>
      <c r="I1067" s="39"/>
      <c r="J1067" s="31">
        <f t="shared" si="163"/>
        <v>63.59</v>
      </c>
      <c r="K1067" s="33">
        <f t="shared" si="164"/>
        <v>1136.99</v>
      </c>
      <c r="L1067" s="34" t="s">
        <v>28</v>
      </c>
      <c r="M1067" s="35"/>
      <c r="O1067" s="21">
        <v>45.71</v>
      </c>
      <c r="P1067" s="22" t="s">
        <v>698</v>
      </c>
      <c r="Q1067" s="38"/>
      <c r="R1067" s="38"/>
    </row>
    <row r="1068" s="3" customFormat="1" ht="96" customHeight="1" outlineLevel="2" spans="1:18">
      <c r="A1068" s="41">
        <f t="shared" si="162"/>
        <v>5</v>
      </c>
      <c r="B1068" s="28" t="s">
        <v>699</v>
      </c>
      <c r="C1068" s="28" t="s">
        <v>700</v>
      </c>
      <c r="D1068" s="28" t="s">
        <v>59</v>
      </c>
      <c r="E1068" s="28" t="s">
        <v>38</v>
      </c>
      <c r="F1068" s="29" t="s">
        <v>39</v>
      </c>
      <c r="G1068" s="30">
        <v>20.68</v>
      </c>
      <c r="H1068" s="31">
        <v>66.2</v>
      </c>
      <c r="I1068" s="39"/>
      <c r="J1068" s="31">
        <f t="shared" si="163"/>
        <v>66.2</v>
      </c>
      <c r="K1068" s="33">
        <f t="shared" si="164"/>
        <v>1369.02</v>
      </c>
      <c r="L1068" s="34" t="s">
        <v>28</v>
      </c>
      <c r="M1068" s="35"/>
      <c r="O1068" s="21">
        <v>58.45</v>
      </c>
      <c r="P1068" s="22" t="s">
        <v>701</v>
      </c>
      <c r="Q1068" s="38"/>
      <c r="R1068" s="38"/>
    </row>
    <row r="1069" s="3" customFormat="1" ht="96" customHeight="1" outlineLevel="2" spans="1:18">
      <c r="A1069" s="41">
        <f t="shared" si="162"/>
        <v>6</v>
      </c>
      <c r="B1069" s="28" t="s">
        <v>702</v>
      </c>
      <c r="C1069" s="28" t="s">
        <v>703</v>
      </c>
      <c r="D1069" s="28" t="s">
        <v>59</v>
      </c>
      <c r="E1069" s="28" t="s">
        <v>38</v>
      </c>
      <c r="F1069" s="29" t="s">
        <v>39</v>
      </c>
      <c r="G1069" s="30">
        <v>20.68</v>
      </c>
      <c r="H1069" s="31">
        <v>54.71</v>
      </c>
      <c r="I1069" s="39"/>
      <c r="J1069" s="31">
        <f t="shared" si="163"/>
        <v>54.71</v>
      </c>
      <c r="K1069" s="33">
        <f t="shared" si="164"/>
        <v>1131.4</v>
      </c>
      <c r="L1069" s="34" t="s">
        <v>28</v>
      </c>
      <c r="M1069" s="35"/>
      <c r="O1069" s="21">
        <v>41.36</v>
      </c>
      <c r="P1069" s="22" t="s">
        <v>704</v>
      </c>
      <c r="Q1069" s="38"/>
      <c r="R1069" s="38"/>
    </row>
    <row r="1070" s="3" customFormat="1" ht="96" customHeight="1" outlineLevel="2" spans="1:18">
      <c r="A1070" s="41">
        <f t="shared" si="162"/>
        <v>7</v>
      </c>
      <c r="B1070" s="28" t="s">
        <v>705</v>
      </c>
      <c r="C1070" s="28" t="s">
        <v>706</v>
      </c>
      <c r="D1070" s="28" t="s">
        <v>59</v>
      </c>
      <c r="E1070" s="28" t="s">
        <v>38</v>
      </c>
      <c r="F1070" s="29" t="s">
        <v>39</v>
      </c>
      <c r="G1070" s="30">
        <v>101.62</v>
      </c>
      <c r="H1070" s="31">
        <v>50.88</v>
      </c>
      <c r="I1070" s="39"/>
      <c r="J1070" s="31">
        <f t="shared" si="163"/>
        <v>50.88</v>
      </c>
      <c r="K1070" s="33">
        <f t="shared" si="164"/>
        <v>5170.43</v>
      </c>
      <c r="L1070" s="34" t="s">
        <v>28</v>
      </c>
      <c r="M1070" s="35"/>
      <c r="O1070" s="21">
        <v>58.45</v>
      </c>
      <c r="P1070" s="22" t="s">
        <v>707</v>
      </c>
      <c r="Q1070" s="38"/>
      <c r="R1070" s="38"/>
    </row>
    <row r="1071" s="3" customFormat="1" outlineLevel="1" spans="1:18">
      <c r="A1071" s="40"/>
      <c r="B1071" s="28" t="s">
        <v>90</v>
      </c>
      <c r="C1071" s="28"/>
      <c r="D1071" s="28"/>
      <c r="E1071" s="28"/>
      <c r="F1071" s="29"/>
      <c r="G1071" s="30"/>
      <c r="H1071" s="31"/>
      <c r="I1071" s="39"/>
      <c r="J1071" s="31"/>
      <c r="K1071" s="33"/>
      <c r="L1071" s="34"/>
      <c r="M1071" s="35"/>
      <c r="O1071" s="36"/>
      <c r="P1071" s="37"/>
      <c r="Q1071" s="38"/>
      <c r="R1071" s="38"/>
    </row>
    <row r="1072" s="3" customFormat="1" ht="156" customHeight="1" outlineLevel="2" spans="1:18">
      <c r="A1072" s="41">
        <f>1+N(A1071)</f>
        <v>1</v>
      </c>
      <c r="B1072" s="28" t="s">
        <v>534</v>
      </c>
      <c r="C1072" s="28" t="s">
        <v>535</v>
      </c>
      <c r="D1072" s="28" t="s">
        <v>353</v>
      </c>
      <c r="E1072" s="28" t="s">
        <v>354</v>
      </c>
      <c r="F1072" s="29" t="s">
        <v>27</v>
      </c>
      <c r="G1072" s="30">
        <v>8.39</v>
      </c>
      <c r="H1072" s="31">
        <v>573.19</v>
      </c>
      <c r="I1072" s="39"/>
      <c r="J1072" s="31">
        <f>H1072*(1-$I$4)</f>
        <v>573.19</v>
      </c>
      <c r="K1072" s="33">
        <f>ROUND(G1072*J1072,2)</f>
        <v>4809.06</v>
      </c>
      <c r="L1072" s="34" t="s">
        <v>28</v>
      </c>
      <c r="M1072" s="35"/>
      <c r="O1072" s="21">
        <v>666.05</v>
      </c>
      <c r="P1072" s="22" t="s">
        <v>536</v>
      </c>
      <c r="Q1072" s="38"/>
      <c r="R1072" s="38"/>
    </row>
    <row r="1073" s="3" customFormat="1" ht="48" customHeight="1" outlineLevel="2" spans="1:20">
      <c r="A1073" s="41">
        <f>1+N(A1072)</f>
        <v>2</v>
      </c>
      <c r="B1073" s="28" t="s">
        <v>708</v>
      </c>
      <c r="C1073" s="28" t="s">
        <v>709</v>
      </c>
      <c r="D1073" s="28" t="s">
        <v>98</v>
      </c>
      <c r="E1073" s="28" t="s">
        <v>99</v>
      </c>
      <c r="F1073" s="29" t="s">
        <v>39</v>
      </c>
      <c r="G1073" s="30">
        <v>21.04</v>
      </c>
      <c r="H1073" s="31">
        <v>112.16</v>
      </c>
      <c r="I1073" s="39"/>
      <c r="J1073" s="31">
        <f>H1073*(1-$I$4)</f>
        <v>112.16</v>
      </c>
      <c r="K1073" s="33">
        <f>ROUND(G1073*J1073,2)</f>
        <v>2359.85</v>
      </c>
      <c r="L1073" s="34" t="s">
        <v>28</v>
      </c>
      <c r="M1073" s="35"/>
      <c r="O1073" s="21">
        <v>79.3</v>
      </c>
      <c r="P1073" s="22" t="s">
        <v>603</v>
      </c>
      <c r="Q1073" s="38"/>
      <c r="R1073" s="38"/>
    </row>
    <row r="1074" s="3" customFormat="1" ht="48" customHeight="1" outlineLevel="2" spans="1:20">
      <c r="A1074" s="41">
        <f>1+N(A1073)</f>
        <v>3</v>
      </c>
      <c r="B1074" s="28" t="s">
        <v>710</v>
      </c>
      <c r="C1074" s="28" t="s">
        <v>711</v>
      </c>
      <c r="D1074" s="28" t="s">
        <v>98</v>
      </c>
      <c r="E1074" s="28" t="s">
        <v>99</v>
      </c>
      <c r="F1074" s="29" t="s">
        <v>39</v>
      </c>
      <c r="G1074" s="30">
        <v>10</v>
      </c>
      <c r="H1074" s="31">
        <v>109.74</v>
      </c>
      <c r="I1074" s="39"/>
      <c r="J1074" s="31">
        <f>H1074*(1-$I$4)</f>
        <v>109.74</v>
      </c>
      <c r="K1074" s="33">
        <f>ROUND(G1074*J1074,2)</f>
        <v>1097.4</v>
      </c>
      <c r="L1074" s="34" t="s">
        <v>28</v>
      </c>
      <c r="M1074" s="35"/>
      <c r="O1074" s="21">
        <v>108.2</v>
      </c>
      <c r="P1074" s="22" t="s">
        <v>712</v>
      </c>
      <c r="Q1074" s="38"/>
      <c r="R1074" s="38"/>
    </row>
    <row r="1075" s="3" customFormat="1" ht="132" customHeight="1" outlineLevel="2" spans="1:20">
      <c r="A1075" s="41">
        <f>1+N(A1074)</f>
        <v>4</v>
      </c>
      <c r="B1075" s="28" t="s">
        <v>107</v>
      </c>
      <c r="C1075" s="28" t="s">
        <v>108</v>
      </c>
      <c r="D1075" s="28" t="s">
        <v>109</v>
      </c>
      <c r="E1075" s="28" t="s">
        <v>110</v>
      </c>
      <c r="F1075" s="29" t="s">
        <v>27</v>
      </c>
      <c r="G1075" s="30">
        <v>4.59</v>
      </c>
      <c r="H1075" s="31">
        <v>152.22</v>
      </c>
      <c r="I1075" s="39"/>
      <c r="J1075" s="31">
        <f>H1075*(1-$I$4)</f>
        <v>152.22</v>
      </c>
      <c r="K1075" s="33">
        <f>ROUND(G1075*J1075,2)</f>
        <v>698.69</v>
      </c>
      <c r="L1075" s="34" t="s">
        <v>28</v>
      </c>
      <c r="M1075" s="35"/>
      <c r="O1075" s="21">
        <v>151.58</v>
      </c>
      <c r="P1075" s="22" t="s">
        <v>111</v>
      </c>
      <c r="Q1075" s="38"/>
      <c r="R1075" s="38"/>
    </row>
    <row r="1076" s="3" customFormat="1" ht="60" customHeight="1" outlineLevel="2" spans="1:20">
      <c r="A1076" s="41">
        <f>1+N(A1075)</f>
        <v>5</v>
      </c>
      <c r="B1076" s="28" t="s">
        <v>713</v>
      </c>
      <c r="C1076" s="28" t="s">
        <v>714</v>
      </c>
      <c r="D1076" s="28" t="s">
        <v>98</v>
      </c>
      <c r="E1076" s="28" t="s">
        <v>99</v>
      </c>
      <c r="F1076" s="29" t="s">
        <v>39</v>
      </c>
      <c r="G1076" s="30">
        <v>9.84</v>
      </c>
      <c r="H1076" s="31">
        <v>64.25</v>
      </c>
      <c r="I1076" s="39"/>
      <c r="J1076" s="31">
        <f>H1076*(1-$I$4)</f>
        <v>64.25</v>
      </c>
      <c r="K1076" s="33">
        <f>ROUND(G1076*J1076,2)</f>
        <v>632.22</v>
      </c>
      <c r="L1076" s="34" t="s">
        <v>28</v>
      </c>
      <c r="M1076" s="35"/>
      <c r="O1076" s="21">
        <v>50.8</v>
      </c>
      <c r="P1076" s="22" t="s">
        <v>715</v>
      </c>
      <c r="Q1076" s="38"/>
      <c r="R1076" s="38"/>
    </row>
    <row r="1077" s="3" customFormat="1" outlineLevel="1" spans="1:20">
      <c r="A1077" s="40"/>
      <c r="B1077" s="28" t="s">
        <v>112</v>
      </c>
      <c r="C1077" s="28"/>
      <c r="D1077" s="28"/>
      <c r="E1077" s="28"/>
      <c r="F1077" s="29"/>
      <c r="G1077" s="30"/>
      <c r="H1077" s="31"/>
      <c r="I1077" s="39"/>
      <c r="J1077" s="31"/>
      <c r="K1077" s="33"/>
      <c r="L1077" s="34"/>
      <c r="M1077" s="35"/>
      <c r="O1077" s="36"/>
      <c r="P1077" s="37"/>
      <c r="Q1077" s="38"/>
      <c r="R1077" s="38"/>
    </row>
    <row r="1078" s="3" customFormat="1" ht="48" customHeight="1" outlineLevel="2" spans="1:20">
      <c r="A1078" s="41">
        <f>1+N(A1077)</f>
        <v>1</v>
      </c>
      <c r="B1078" s="28" t="s">
        <v>716</v>
      </c>
      <c r="C1078" s="28" t="s">
        <v>717</v>
      </c>
      <c r="D1078" s="28" t="s">
        <v>98</v>
      </c>
      <c r="E1078" s="28" t="s">
        <v>718</v>
      </c>
      <c r="F1078" s="29" t="s">
        <v>39</v>
      </c>
      <c r="G1078" s="30">
        <v>8.32</v>
      </c>
      <c r="H1078" s="31">
        <v>3569.5</v>
      </c>
      <c r="I1078" s="39"/>
      <c r="J1078" s="31">
        <f>H1078*(1-$I$4)</f>
        <v>3569.5</v>
      </c>
      <c r="K1078" s="33">
        <f>ROUND(G1078*J1078,2)</f>
        <v>29698.24</v>
      </c>
      <c r="L1078" s="34" t="s">
        <v>28</v>
      </c>
      <c r="M1078" s="35"/>
      <c r="O1078" s="21">
        <v>425.7</v>
      </c>
      <c r="P1078" s="22" t="s">
        <v>719</v>
      </c>
      <c r="Q1078" s="38"/>
      <c r="R1078" s="38"/>
    </row>
    <row r="1079" s="4" customFormat="1" spans="1:20">
      <c r="A1079" s="43"/>
      <c r="B1079" s="28" t="s">
        <v>685</v>
      </c>
      <c r="C1079" s="28"/>
      <c r="D1079" s="28"/>
      <c r="E1079" s="28"/>
      <c r="F1079" s="29"/>
      <c r="G1079" s="30"/>
      <c r="H1079" s="31"/>
      <c r="I1079" s="39"/>
      <c r="J1079" s="31"/>
      <c r="K1079" s="46"/>
      <c r="L1079" s="34"/>
      <c r="M1079" s="35"/>
      <c r="O1079" s="44"/>
      <c r="P1079" s="37"/>
      <c r="S1079" s="3"/>
      <c r="T1079" s="3"/>
    </row>
    <row r="1080" s="3" customFormat="1" spans="1:20">
      <c r="A1080" s="27" t="s">
        <v>18</v>
      </c>
      <c r="B1080" s="17" t="s">
        <v>721</v>
      </c>
      <c r="C1080" s="28"/>
      <c r="D1080" s="28"/>
      <c r="E1080" s="28"/>
      <c r="F1080" s="29"/>
      <c r="G1080" s="30"/>
      <c r="H1080" s="31"/>
      <c r="I1080" s="39"/>
      <c r="J1080" s="31"/>
      <c r="K1080" s="33"/>
      <c r="L1080" s="34"/>
      <c r="M1080" s="35"/>
      <c r="O1080" s="36"/>
      <c r="P1080" s="37"/>
      <c r="Q1080" s="38"/>
      <c r="R1080" s="38"/>
    </row>
    <row r="1081" s="3" customFormat="1" outlineLevel="1" spans="1:20">
      <c r="A1081" s="27" t="s">
        <v>20</v>
      </c>
      <c r="B1081" s="28" t="s">
        <v>722</v>
      </c>
      <c r="C1081" s="28"/>
      <c r="D1081" s="28"/>
      <c r="E1081" s="28"/>
      <c r="F1081" s="29"/>
      <c r="G1081" s="30"/>
      <c r="H1081" s="31"/>
      <c r="I1081" s="39"/>
      <c r="J1081" s="31"/>
      <c r="K1081" s="33"/>
      <c r="L1081" s="34"/>
      <c r="M1081" s="35"/>
      <c r="O1081" s="36"/>
      <c r="P1081" s="37"/>
      <c r="Q1081" s="38"/>
      <c r="R1081" s="38"/>
    </row>
    <row r="1082" s="3" customFormat="1" outlineLevel="1" spans="1:20">
      <c r="A1082" s="40"/>
      <c r="B1082" s="28" t="s">
        <v>22</v>
      </c>
      <c r="C1082" s="28"/>
      <c r="D1082" s="28"/>
      <c r="E1082" s="28"/>
      <c r="F1082" s="29"/>
      <c r="G1082" s="30"/>
      <c r="H1082" s="31"/>
      <c r="I1082" s="39"/>
      <c r="J1082" s="31"/>
      <c r="K1082" s="33"/>
      <c r="L1082" s="34"/>
      <c r="M1082" s="35"/>
      <c r="O1082" s="36"/>
      <c r="P1082" s="37"/>
      <c r="Q1082" s="38"/>
      <c r="R1082" s="38"/>
    </row>
    <row r="1083" s="3" customFormat="1" ht="108" customHeight="1" outlineLevel="2" spans="1:20">
      <c r="A1083" s="41">
        <f>1+N(A1082)</f>
        <v>1</v>
      </c>
      <c r="B1083" s="28" t="s">
        <v>23</v>
      </c>
      <c r="C1083" s="28" t="s">
        <v>24</v>
      </c>
      <c r="D1083" s="28" t="s">
        <v>25</v>
      </c>
      <c r="E1083" s="28" t="s">
        <v>26</v>
      </c>
      <c r="F1083" s="29" t="s">
        <v>27</v>
      </c>
      <c r="G1083" s="30">
        <v>10.77</v>
      </c>
      <c r="H1083" s="31">
        <v>940.91</v>
      </c>
      <c r="I1083" s="39"/>
      <c r="J1083" s="31">
        <f>H1083*(1-$I$4)</f>
        <v>940.91</v>
      </c>
      <c r="K1083" s="33">
        <f>ROUND(G1083*J1083,2)</f>
        <v>10133.6</v>
      </c>
      <c r="L1083" s="34" t="s">
        <v>28</v>
      </c>
      <c r="M1083" s="35"/>
      <c r="O1083" s="21">
        <v>886.6</v>
      </c>
      <c r="P1083" s="22" t="s">
        <v>29</v>
      </c>
      <c r="Q1083" s="38"/>
      <c r="R1083" s="38"/>
    </row>
    <row r="1084" s="3" customFormat="1" ht="108" customHeight="1" outlineLevel="2" spans="1:20">
      <c r="A1084" s="41">
        <f>1+N(A1083)</f>
        <v>2</v>
      </c>
      <c r="B1084" s="28" t="s">
        <v>30</v>
      </c>
      <c r="C1084" s="28" t="s">
        <v>31</v>
      </c>
      <c r="D1084" s="28" t="s">
        <v>25</v>
      </c>
      <c r="E1084" s="28" t="s">
        <v>26</v>
      </c>
      <c r="F1084" s="29" t="s">
        <v>27</v>
      </c>
      <c r="G1084" s="30">
        <v>16.52</v>
      </c>
      <c r="H1084" s="31">
        <v>1412.25</v>
      </c>
      <c r="I1084" s="39"/>
      <c r="J1084" s="31">
        <f>H1084*(1-$I$4)</f>
        <v>1412.25</v>
      </c>
      <c r="K1084" s="33">
        <f>ROUND(G1084*J1084,2)</f>
        <v>23330.37</v>
      </c>
      <c r="L1084" s="34" t="s">
        <v>28</v>
      </c>
      <c r="M1084" s="35"/>
      <c r="O1084" s="21">
        <v>1135.86</v>
      </c>
      <c r="P1084" s="22" t="s">
        <v>32</v>
      </c>
      <c r="Q1084" s="38"/>
      <c r="R1084" s="38"/>
    </row>
    <row r="1085" s="3" customFormat="1" ht="72" customHeight="1" outlineLevel="2" spans="1:20">
      <c r="A1085" s="41">
        <f>1+N(A1084)</f>
        <v>3</v>
      </c>
      <c r="B1085" s="28" t="s">
        <v>36</v>
      </c>
      <c r="C1085" s="28" t="s">
        <v>37</v>
      </c>
      <c r="D1085" s="28" t="s">
        <v>25</v>
      </c>
      <c r="E1085" s="28" t="s">
        <v>38</v>
      </c>
      <c r="F1085" s="29" t="s">
        <v>39</v>
      </c>
      <c r="G1085" s="30">
        <v>17.27</v>
      </c>
      <c r="H1085" s="31">
        <v>89.27</v>
      </c>
      <c r="I1085" s="39"/>
      <c r="J1085" s="31">
        <f>H1085*(1-$I$4)</f>
        <v>89.27</v>
      </c>
      <c r="K1085" s="33">
        <f>ROUND(G1085*J1085,2)</f>
        <v>1541.69</v>
      </c>
      <c r="L1085" s="34" t="s">
        <v>28</v>
      </c>
      <c r="M1085" s="35"/>
      <c r="O1085" s="21">
        <v>35.28</v>
      </c>
      <c r="P1085" s="22" t="s">
        <v>40</v>
      </c>
      <c r="Q1085" s="38"/>
      <c r="R1085" s="38"/>
    </row>
    <row r="1086" s="3" customFormat="1" ht="72" customHeight="1" outlineLevel="2" spans="1:20">
      <c r="A1086" s="41">
        <f>1+N(A1085)</f>
        <v>4</v>
      </c>
      <c r="B1086" s="28" t="s">
        <v>41</v>
      </c>
      <c r="C1086" s="28" t="s">
        <v>42</v>
      </c>
      <c r="D1086" s="28" t="s">
        <v>25</v>
      </c>
      <c r="E1086" s="28" t="s">
        <v>26</v>
      </c>
      <c r="F1086" s="29" t="s">
        <v>27</v>
      </c>
      <c r="G1086" s="30">
        <v>27.29</v>
      </c>
      <c r="H1086" s="31">
        <v>64.9</v>
      </c>
      <c r="I1086" s="39"/>
      <c r="J1086" s="31">
        <f>H1086*(1-$I$4)</f>
        <v>64.9</v>
      </c>
      <c r="K1086" s="33">
        <f>ROUND(G1086*J1086,2)</f>
        <v>1771.12</v>
      </c>
      <c r="L1086" s="34" t="s">
        <v>28</v>
      </c>
      <c r="M1086" s="35"/>
      <c r="O1086" s="21">
        <v>61.38</v>
      </c>
      <c r="P1086" s="22" t="s">
        <v>43</v>
      </c>
      <c r="Q1086" s="38"/>
      <c r="R1086" s="38"/>
    </row>
    <row r="1087" s="3" customFormat="1" outlineLevel="1" spans="1:20">
      <c r="A1087" s="40"/>
      <c r="B1087" s="28" t="s">
        <v>687</v>
      </c>
      <c r="C1087" s="28"/>
      <c r="D1087" s="28"/>
      <c r="E1087" s="28"/>
      <c r="F1087" s="29"/>
      <c r="G1087" s="30"/>
      <c r="H1087" s="31"/>
      <c r="I1087" s="39"/>
      <c r="J1087" s="31"/>
      <c r="K1087" s="33"/>
      <c r="L1087" s="34"/>
      <c r="M1087" s="35"/>
      <c r="O1087" s="36"/>
      <c r="P1087" s="37"/>
      <c r="Q1087" s="38"/>
      <c r="R1087" s="38"/>
    </row>
    <row r="1088" s="3" customFormat="1" ht="108" customHeight="1" outlineLevel="2" spans="1:20">
      <c r="A1088" s="41">
        <f t="shared" ref="A1088:A1099" si="165">1+N(A1087)</f>
        <v>1</v>
      </c>
      <c r="B1088" s="28" t="s">
        <v>45</v>
      </c>
      <c r="C1088" s="28" t="s">
        <v>46</v>
      </c>
      <c r="D1088" s="28" t="s">
        <v>47</v>
      </c>
      <c r="E1088" s="28" t="s">
        <v>48</v>
      </c>
      <c r="F1088" s="29" t="s">
        <v>27</v>
      </c>
      <c r="G1088" s="30">
        <v>6.1</v>
      </c>
      <c r="H1088" s="31">
        <v>2668.45</v>
      </c>
      <c r="I1088" s="39"/>
      <c r="J1088" s="31">
        <f t="shared" ref="J1088:J1099" si="166">H1088*(1-$I$4)</f>
        <v>2668.45</v>
      </c>
      <c r="K1088" s="33">
        <f t="shared" ref="K1088:K1099" si="167">ROUND(G1088*J1088,2)</f>
        <v>16277.55</v>
      </c>
      <c r="L1088" s="34" t="s">
        <v>28</v>
      </c>
      <c r="M1088" s="35"/>
      <c r="O1088" s="21">
        <v>1019.76</v>
      </c>
      <c r="P1088" s="22" t="s">
        <v>49</v>
      </c>
      <c r="Q1088" s="38"/>
      <c r="R1088" s="38"/>
    </row>
    <row r="1089" s="3" customFormat="1" ht="156" customHeight="1" outlineLevel="2" spans="1:18">
      <c r="A1089" s="41">
        <f t="shared" si="165"/>
        <v>2</v>
      </c>
      <c r="B1089" s="28" t="s">
        <v>50</v>
      </c>
      <c r="C1089" s="28" t="s">
        <v>51</v>
      </c>
      <c r="D1089" s="28" t="s">
        <v>52</v>
      </c>
      <c r="E1089" s="28" t="s">
        <v>48</v>
      </c>
      <c r="F1089" s="29" t="s">
        <v>27</v>
      </c>
      <c r="G1089" s="30">
        <v>27.67</v>
      </c>
      <c r="H1089" s="31">
        <v>996.46</v>
      </c>
      <c r="I1089" s="39"/>
      <c r="J1089" s="31">
        <f t="shared" si="166"/>
        <v>996.46</v>
      </c>
      <c r="K1089" s="33">
        <f t="shared" si="167"/>
        <v>27572.05</v>
      </c>
      <c r="L1089" s="34" t="s">
        <v>28</v>
      </c>
      <c r="M1089" s="35"/>
      <c r="O1089" s="21">
        <v>1000.51</v>
      </c>
      <c r="P1089" s="22" t="s">
        <v>723</v>
      </c>
      <c r="Q1089" s="38"/>
      <c r="R1089" s="38"/>
    </row>
    <row r="1090" s="3" customFormat="1" ht="120" customHeight="1" outlineLevel="2" spans="1:18">
      <c r="A1090" s="41">
        <f t="shared" si="165"/>
        <v>3</v>
      </c>
      <c r="B1090" s="28" t="s">
        <v>291</v>
      </c>
      <c r="C1090" s="28" t="s">
        <v>289</v>
      </c>
      <c r="D1090" s="28" t="s">
        <v>52</v>
      </c>
      <c r="E1090" s="28" t="s">
        <v>63</v>
      </c>
      <c r="F1090" s="29" t="s">
        <v>27</v>
      </c>
      <c r="G1090" s="30">
        <v>5.43</v>
      </c>
      <c r="H1090" s="31">
        <v>580.35</v>
      </c>
      <c r="I1090" s="39"/>
      <c r="J1090" s="31">
        <f t="shared" si="166"/>
        <v>580.35</v>
      </c>
      <c r="K1090" s="33">
        <f t="shared" si="167"/>
        <v>3151.3</v>
      </c>
      <c r="L1090" s="34" t="s">
        <v>28</v>
      </c>
      <c r="M1090" s="35"/>
      <c r="O1090" s="21">
        <v>479.36</v>
      </c>
      <c r="P1090" s="22" t="s">
        <v>724</v>
      </c>
      <c r="Q1090" s="38"/>
      <c r="R1090" s="38"/>
    </row>
    <row r="1091" s="3" customFormat="1" ht="96" customHeight="1" outlineLevel="2" spans="1:18">
      <c r="A1091" s="41">
        <f t="shared" si="165"/>
        <v>4</v>
      </c>
      <c r="B1091" s="28" t="s">
        <v>295</v>
      </c>
      <c r="C1091" s="28" t="s">
        <v>296</v>
      </c>
      <c r="D1091" s="28" t="s">
        <v>59</v>
      </c>
      <c r="E1091" s="28" t="s">
        <v>26</v>
      </c>
      <c r="F1091" s="29" t="s">
        <v>27</v>
      </c>
      <c r="G1091" s="30">
        <v>29.82</v>
      </c>
      <c r="H1091" s="31">
        <v>311.52</v>
      </c>
      <c r="I1091" s="39"/>
      <c r="J1091" s="31">
        <f t="shared" si="166"/>
        <v>311.52</v>
      </c>
      <c r="K1091" s="33">
        <f t="shared" si="167"/>
        <v>9289.53</v>
      </c>
      <c r="L1091" s="34" t="s">
        <v>28</v>
      </c>
      <c r="M1091" s="35"/>
      <c r="O1091" s="21">
        <v>278.47</v>
      </c>
      <c r="P1091" s="22" t="s">
        <v>297</v>
      </c>
      <c r="Q1091" s="38"/>
      <c r="R1091" s="38"/>
    </row>
    <row r="1092" s="3" customFormat="1" ht="120" customHeight="1" outlineLevel="2" spans="1:18">
      <c r="A1092" s="41">
        <f t="shared" si="165"/>
        <v>5</v>
      </c>
      <c r="B1092" s="28" t="s">
        <v>61</v>
      </c>
      <c r="C1092" s="28" t="s">
        <v>62</v>
      </c>
      <c r="D1092" s="28" t="s">
        <v>52</v>
      </c>
      <c r="E1092" s="28" t="s">
        <v>63</v>
      </c>
      <c r="F1092" s="29" t="s">
        <v>27</v>
      </c>
      <c r="G1092" s="30">
        <v>1.1</v>
      </c>
      <c r="H1092" s="31">
        <v>630.65</v>
      </c>
      <c r="I1092" s="39"/>
      <c r="J1092" s="31">
        <f t="shared" si="166"/>
        <v>630.65</v>
      </c>
      <c r="K1092" s="33">
        <f t="shared" si="167"/>
        <v>693.72</v>
      </c>
      <c r="L1092" s="34" t="s">
        <v>28</v>
      </c>
      <c r="M1092" s="35"/>
      <c r="O1092" s="21">
        <v>681.67</v>
      </c>
      <c r="P1092" s="22" t="s">
        <v>64</v>
      </c>
      <c r="Q1092" s="38"/>
      <c r="R1092" s="38"/>
    </row>
    <row r="1093" s="3" customFormat="1" ht="120" customHeight="1" outlineLevel="2" spans="1:18">
      <c r="A1093" s="41">
        <f t="shared" si="165"/>
        <v>6</v>
      </c>
      <c r="B1093" s="28" t="s">
        <v>65</v>
      </c>
      <c r="C1093" s="28" t="s">
        <v>62</v>
      </c>
      <c r="D1093" s="28" t="s">
        <v>52</v>
      </c>
      <c r="E1093" s="28" t="s">
        <v>63</v>
      </c>
      <c r="F1093" s="29" t="s">
        <v>27</v>
      </c>
      <c r="G1093" s="30">
        <v>3.74</v>
      </c>
      <c r="H1093" s="31">
        <v>630.65</v>
      </c>
      <c r="I1093" s="39"/>
      <c r="J1093" s="31">
        <f t="shared" si="166"/>
        <v>630.65</v>
      </c>
      <c r="K1093" s="33">
        <f t="shared" si="167"/>
        <v>2358.63</v>
      </c>
      <c r="L1093" s="34" t="s">
        <v>28</v>
      </c>
      <c r="M1093" s="35"/>
      <c r="O1093" s="21">
        <v>681.67</v>
      </c>
      <c r="P1093" s="22" t="s">
        <v>64</v>
      </c>
      <c r="Q1093" s="38"/>
      <c r="R1093" s="38"/>
    </row>
    <row r="1094" s="3" customFormat="1" ht="120" customHeight="1" outlineLevel="2" spans="1:18">
      <c r="A1094" s="41">
        <f t="shared" si="165"/>
        <v>7</v>
      </c>
      <c r="B1094" s="28" t="s">
        <v>66</v>
      </c>
      <c r="C1094" s="28" t="s">
        <v>67</v>
      </c>
      <c r="D1094" s="28" t="s">
        <v>52</v>
      </c>
      <c r="E1094" s="28" t="s">
        <v>63</v>
      </c>
      <c r="F1094" s="29" t="s">
        <v>27</v>
      </c>
      <c r="G1094" s="30">
        <v>1.38</v>
      </c>
      <c r="H1094" s="31">
        <v>812.96</v>
      </c>
      <c r="I1094" s="39"/>
      <c r="J1094" s="31">
        <f t="shared" si="166"/>
        <v>812.96</v>
      </c>
      <c r="K1094" s="33">
        <f t="shared" si="167"/>
        <v>1121.88</v>
      </c>
      <c r="L1094" s="34" t="s">
        <v>28</v>
      </c>
      <c r="M1094" s="35"/>
      <c r="O1094" s="21">
        <v>681.67</v>
      </c>
      <c r="P1094" s="22" t="s">
        <v>68</v>
      </c>
      <c r="Q1094" s="38"/>
      <c r="R1094" s="38"/>
    </row>
    <row r="1095" s="3" customFormat="1" ht="120" customHeight="1" outlineLevel="2" spans="1:18">
      <c r="A1095" s="41">
        <f t="shared" si="165"/>
        <v>8</v>
      </c>
      <c r="B1095" s="28" t="s">
        <v>69</v>
      </c>
      <c r="C1095" s="28" t="s">
        <v>70</v>
      </c>
      <c r="D1095" s="28" t="s">
        <v>52</v>
      </c>
      <c r="E1095" s="28" t="s">
        <v>63</v>
      </c>
      <c r="F1095" s="29" t="s">
        <v>27</v>
      </c>
      <c r="G1095" s="30">
        <v>0.26</v>
      </c>
      <c r="H1095" s="31">
        <v>1175.56</v>
      </c>
      <c r="I1095" s="39"/>
      <c r="J1095" s="31">
        <f t="shared" si="166"/>
        <v>1175.56</v>
      </c>
      <c r="K1095" s="33">
        <f t="shared" si="167"/>
        <v>305.65</v>
      </c>
      <c r="L1095" s="34" t="s">
        <v>28</v>
      </c>
      <c r="M1095" s="35"/>
      <c r="O1095" s="21">
        <v>681.67</v>
      </c>
      <c r="P1095" s="22" t="s">
        <v>71</v>
      </c>
      <c r="Q1095" s="38"/>
      <c r="R1095" s="38"/>
    </row>
    <row r="1096" s="3" customFormat="1" ht="96" customHeight="1" outlineLevel="2" spans="1:18">
      <c r="A1096" s="41">
        <f t="shared" si="165"/>
        <v>9</v>
      </c>
      <c r="B1096" s="28" t="s">
        <v>75</v>
      </c>
      <c r="C1096" s="28" t="s">
        <v>76</v>
      </c>
      <c r="D1096" s="28" t="s">
        <v>59</v>
      </c>
      <c r="E1096" s="28" t="s">
        <v>38</v>
      </c>
      <c r="F1096" s="29" t="s">
        <v>39</v>
      </c>
      <c r="G1096" s="30">
        <v>24.62</v>
      </c>
      <c r="H1096" s="31">
        <v>67.08</v>
      </c>
      <c r="I1096" s="39"/>
      <c r="J1096" s="31">
        <f t="shared" si="166"/>
        <v>67.08</v>
      </c>
      <c r="K1096" s="33">
        <f t="shared" si="167"/>
        <v>1651.51</v>
      </c>
      <c r="L1096" s="34" t="s">
        <v>28</v>
      </c>
      <c r="M1096" s="35"/>
      <c r="O1096" s="21">
        <v>45.71</v>
      </c>
      <c r="P1096" s="22" t="s">
        <v>77</v>
      </c>
      <c r="Q1096" s="38"/>
      <c r="R1096" s="38"/>
    </row>
    <row r="1097" s="3" customFormat="1" ht="96" customHeight="1" outlineLevel="2" spans="1:18">
      <c r="A1097" s="41">
        <f t="shared" si="165"/>
        <v>10</v>
      </c>
      <c r="B1097" s="28" t="s">
        <v>725</v>
      </c>
      <c r="C1097" s="28" t="s">
        <v>726</v>
      </c>
      <c r="D1097" s="28" t="s">
        <v>59</v>
      </c>
      <c r="E1097" s="28" t="s">
        <v>38</v>
      </c>
      <c r="F1097" s="29" t="s">
        <v>39</v>
      </c>
      <c r="G1097" s="30">
        <v>10.07</v>
      </c>
      <c r="H1097" s="31">
        <v>71.9</v>
      </c>
      <c r="I1097" s="39"/>
      <c r="J1097" s="31">
        <f t="shared" si="166"/>
        <v>71.9</v>
      </c>
      <c r="K1097" s="33">
        <f t="shared" si="167"/>
        <v>724.03</v>
      </c>
      <c r="L1097" s="34" t="s">
        <v>28</v>
      </c>
      <c r="M1097" s="35"/>
      <c r="O1097" s="21">
        <v>50.8</v>
      </c>
      <c r="P1097" s="22" t="s">
        <v>727</v>
      </c>
      <c r="Q1097" s="38"/>
      <c r="R1097" s="38"/>
    </row>
    <row r="1098" s="3" customFormat="1" ht="96" customHeight="1" outlineLevel="2" spans="1:18">
      <c r="A1098" s="41">
        <f t="shared" si="165"/>
        <v>11</v>
      </c>
      <c r="B1098" s="28" t="s">
        <v>84</v>
      </c>
      <c r="C1098" s="28" t="s">
        <v>85</v>
      </c>
      <c r="D1098" s="28" t="s">
        <v>59</v>
      </c>
      <c r="E1098" s="28" t="s">
        <v>38</v>
      </c>
      <c r="F1098" s="29" t="s">
        <v>39</v>
      </c>
      <c r="G1098" s="30">
        <v>10.8</v>
      </c>
      <c r="H1098" s="31">
        <v>117.84</v>
      </c>
      <c r="I1098" s="39"/>
      <c r="J1098" s="31">
        <f t="shared" si="166"/>
        <v>117.84</v>
      </c>
      <c r="K1098" s="33">
        <f t="shared" si="167"/>
        <v>1272.67</v>
      </c>
      <c r="L1098" s="34" t="s">
        <v>28</v>
      </c>
      <c r="M1098" s="35"/>
      <c r="O1098" s="21">
        <v>95.14</v>
      </c>
      <c r="P1098" s="22" t="s">
        <v>86</v>
      </c>
      <c r="Q1098" s="38"/>
      <c r="R1098" s="38"/>
    </row>
    <row r="1099" s="3" customFormat="1" ht="96" customHeight="1" outlineLevel="2" spans="1:18">
      <c r="A1099" s="41">
        <f t="shared" si="165"/>
        <v>12</v>
      </c>
      <c r="B1099" s="28" t="s">
        <v>87</v>
      </c>
      <c r="C1099" s="28" t="s">
        <v>88</v>
      </c>
      <c r="D1099" s="28" t="s">
        <v>59</v>
      </c>
      <c r="E1099" s="28" t="s">
        <v>38</v>
      </c>
      <c r="F1099" s="29" t="s">
        <v>39</v>
      </c>
      <c r="G1099" s="30">
        <v>25.48</v>
      </c>
      <c r="H1099" s="31">
        <v>64.25</v>
      </c>
      <c r="I1099" s="39"/>
      <c r="J1099" s="31">
        <f t="shared" si="166"/>
        <v>64.25</v>
      </c>
      <c r="K1099" s="33">
        <f t="shared" si="167"/>
        <v>1637.09</v>
      </c>
      <c r="L1099" s="34" t="s">
        <v>28</v>
      </c>
      <c r="M1099" s="35"/>
      <c r="O1099" s="21">
        <v>43.16</v>
      </c>
      <c r="P1099" s="22" t="s">
        <v>89</v>
      </c>
      <c r="Q1099" s="38"/>
      <c r="R1099" s="38"/>
    </row>
    <row r="1100" s="3" customFormat="1" outlineLevel="1" spans="1:18">
      <c r="A1100" s="40"/>
      <c r="B1100" s="28" t="s">
        <v>90</v>
      </c>
      <c r="C1100" s="28"/>
      <c r="D1100" s="28"/>
      <c r="E1100" s="28"/>
      <c r="F1100" s="29"/>
      <c r="G1100" s="30"/>
      <c r="H1100" s="31"/>
      <c r="I1100" s="39"/>
      <c r="J1100" s="31"/>
      <c r="K1100" s="33"/>
      <c r="L1100" s="34"/>
      <c r="M1100" s="35"/>
      <c r="O1100" s="36"/>
      <c r="P1100" s="37"/>
      <c r="Q1100" s="38"/>
      <c r="R1100" s="38"/>
    </row>
    <row r="1101" s="3" customFormat="1" ht="168" customHeight="1" outlineLevel="2" spans="1:18">
      <c r="A1101" s="41">
        <f>1+N(A1100)</f>
        <v>1</v>
      </c>
      <c r="B1101" s="28" t="s">
        <v>636</v>
      </c>
      <c r="C1101" s="28" t="s">
        <v>92</v>
      </c>
      <c r="D1101" s="28" t="s">
        <v>93</v>
      </c>
      <c r="E1101" s="28" t="s">
        <v>94</v>
      </c>
      <c r="F1101" s="29" t="s">
        <v>27</v>
      </c>
      <c r="G1101" s="30">
        <v>27.95</v>
      </c>
      <c r="H1101" s="31">
        <v>150.71</v>
      </c>
      <c r="I1101" s="39"/>
      <c r="J1101" s="31">
        <f>H1101*(1-$I$4)</f>
        <v>150.71</v>
      </c>
      <c r="K1101" s="33">
        <f>ROUND(G1101*J1101,2)</f>
        <v>4212.34</v>
      </c>
      <c r="L1101" s="34" t="s">
        <v>28</v>
      </c>
      <c r="M1101" s="35"/>
      <c r="O1101" s="21">
        <v>150.38</v>
      </c>
      <c r="P1101" s="22" t="s">
        <v>728</v>
      </c>
      <c r="Q1101" s="38"/>
      <c r="R1101" s="38"/>
    </row>
    <row r="1102" s="3" customFormat="1" ht="48" customHeight="1" outlineLevel="2" spans="1:18">
      <c r="A1102" s="41">
        <f>1+N(A1101)</f>
        <v>2</v>
      </c>
      <c r="B1102" s="28" t="s">
        <v>729</v>
      </c>
      <c r="C1102" s="28" t="s">
        <v>730</v>
      </c>
      <c r="D1102" s="28" t="s">
        <v>98</v>
      </c>
      <c r="E1102" s="28" t="s">
        <v>99</v>
      </c>
      <c r="F1102" s="29" t="s">
        <v>39</v>
      </c>
      <c r="G1102" s="30">
        <v>17.29</v>
      </c>
      <c r="H1102" s="31">
        <v>112.16</v>
      </c>
      <c r="I1102" s="39"/>
      <c r="J1102" s="31">
        <f>H1102*(1-$I$4)</f>
        <v>112.16</v>
      </c>
      <c r="K1102" s="33">
        <f>ROUND(G1102*J1102,2)</f>
        <v>1939.25</v>
      </c>
      <c r="L1102" s="34" t="s">
        <v>28</v>
      </c>
      <c r="M1102" s="35"/>
      <c r="O1102" s="21">
        <v>79.3</v>
      </c>
      <c r="P1102" s="22" t="s">
        <v>603</v>
      </c>
      <c r="Q1102" s="38"/>
      <c r="R1102" s="38"/>
    </row>
    <row r="1103" s="3" customFormat="1" ht="48" customHeight="1" outlineLevel="2" spans="1:18">
      <c r="A1103" s="41">
        <f>1+N(A1102)</f>
        <v>3</v>
      </c>
      <c r="B1103" s="28" t="s">
        <v>101</v>
      </c>
      <c r="C1103" s="28" t="s">
        <v>102</v>
      </c>
      <c r="D1103" s="28" t="s">
        <v>98</v>
      </c>
      <c r="E1103" s="28" t="s">
        <v>99</v>
      </c>
      <c r="F1103" s="29" t="s">
        <v>39</v>
      </c>
      <c r="G1103" s="30">
        <v>17.29</v>
      </c>
      <c r="H1103" s="31">
        <v>75.82</v>
      </c>
      <c r="I1103" s="39"/>
      <c r="J1103" s="31">
        <f>H1103*(1-$I$4)</f>
        <v>75.82</v>
      </c>
      <c r="K1103" s="33">
        <f>ROUND(G1103*J1103,2)</f>
        <v>1310.93</v>
      </c>
      <c r="L1103" s="34" t="s">
        <v>28</v>
      </c>
      <c r="M1103" s="35"/>
      <c r="O1103" s="21">
        <v>203.56</v>
      </c>
      <c r="P1103" s="22" t="s">
        <v>103</v>
      </c>
      <c r="Q1103" s="38"/>
      <c r="R1103" s="38"/>
    </row>
    <row r="1104" s="3" customFormat="1" ht="48" customHeight="1" outlineLevel="2" spans="1:18">
      <c r="A1104" s="41">
        <f>1+N(A1103)</f>
        <v>4</v>
      </c>
      <c r="B1104" s="28" t="s">
        <v>104</v>
      </c>
      <c r="C1104" s="28" t="s">
        <v>105</v>
      </c>
      <c r="D1104" s="28" t="s">
        <v>98</v>
      </c>
      <c r="E1104" s="28" t="s">
        <v>99</v>
      </c>
      <c r="F1104" s="29" t="s">
        <v>39</v>
      </c>
      <c r="G1104" s="30">
        <v>10.24</v>
      </c>
      <c r="H1104" s="31">
        <v>109.74</v>
      </c>
      <c r="I1104" s="39"/>
      <c r="J1104" s="31">
        <f>H1104*(1-$I$4)</f>
        <v>109.74</v>
      </c>
      <c r="K1104" s="33">
        <f>ROUND(G1104*J1104,2)</f>
        <v>1123.74</v>
      </c>
      <c r="L1104" s="34" t="s">
        <v>28</v>
      </c>
      <c r="M1104" s="35"/>
      <c r="O1104" s="21">
        <v>108.2</v>
      </c>
      <c r="P1104" s="22" t="s">
        <v>106</v>
      </c>
      <c r="Q1104" s="38"/>
      <c r="R1104" s="38"/>
    </row>
    <row r="1105" s="3" customFormat="1" ht="132" customHeight="1" outlineLevel="2" spans="1:18">
      <c r="A1105" s="41">
        <f>1+N(A1104)</f>
        <v>5</v>
      </c>
      <c r="B1105" s="28" t="s">
        <v>107</v>
      </c>
      <c r="C1105" s="28" t="s">
        <v>108</v>
      </c>
      <c r="D1105" s="28" t="s">
        <v>109</v>
      </c>
      <c r="E1105" s="28" t="s">
        <v>110</v>
      </c>
      <c r="F1105" s="29" t="s">
        <v>27</v>
      </c>
      <c r="G1105" s="30">
        <v>34.76</v>
      </c>
      <c r="H1105" s="31">
        <v>152.22</v>
      </c>
      <c r="I1105" s="39"/>
      <c r="J1105" s="31">
        <f>H1105*(1-$I$4)</f>
        <v>152.22</v>
      </c>
      <c r="K1105" s="33">
        <f>ROUND(G1105*J1105,2)</f>
        <v>5291.17</v>
      </c>
      <c r="L1105" s="34" t="s">
        <v>28</v>
      </c>
      <c r="M1105" s="35"/>
      <c r="O1105" s="21">
        <v>151.58</v>
      </c>
      <c r="P1105" s="22" t="s">
        <v>111</v>
      </c>
      <c r="Q1105" s="38"/>
      <c r="R1105" s="38"/>
    </row>
    <row r="1106" s="3" customFormat="1" outlineLevel="1" spans="1:18">
      <c r="A1106" s="40"/>
      <c r="B1106" s="28" t="s">
        <v>112</v>
      </c>
      <c r="C1106" s="28"/>
      <c r="D1106" s="28"/>
      <c r="E1106" s="28"/>
      <c r="F1106" s="29"/>
      <c r="G1106" s="30"/>
      <c r="H1106" s="31"/>
      <c r="I1106" s="39"/>
      <c r="J1106" s="31"/>
      <c r="K1106" s="33"/>
      <c r="L1106" s="34"/>
      <c r="M1106" s="35"/>
      <c r="O1106" s="36"/>
      <c r="P1106" s="37"/>
      <c r="Q1106" s="38"/>
      <c r="R1106" s="38"/>
    </row>
    <row r="1107" s="3" customFormat="1" outlineLevel="1" spans="1:18">
      <c r="A1107" s="27" t="s">
        <v>123</v>
      </c>
      <c r="B1107" s="28" t="s">
        <v>731</v>
      </c>
      <c r="C1107" s="28"/>
      <c r="D1107" s="28"/>
      <c r="E1107" s="28"/>
      <c r="F1107" s="29"/>
      <c r="G1107" s="30"/>
      <c r="H1107" s="31"/>
      <c r="I1107" s="39"/>
      <c r="J1107" s="31"/>
      <c r="K1107" s="33"/>
      <c r="L1107" s="34"/>
      <c r="M1107" s="35"/>
      <c r="O1107" s="36"/>
      <c r="P1107" s="37"/>
      <c r="Q1107" s="38"/>
      <c r="R1107" s="38"/>
    </row>
    <row r="1108" s="3" customFormat="1" outlineLevel="1" spans="1:18">
      <c r="A1108" s="40"/>
      <c r="B1108" s="28" t="s">
        <v>22</v>
      </c>
      <c r="C1108" s="28"/>
      <c r="D1108" s="28"/>
      <c r="E1108" s="28"/>
      <c r="F1108" s="29"/>
      <c r="G1108" s="30"/>
      <c r="H1108" s="31"/>
      <c r="I1108" s="39"/>
      <c r="J1108" s="31"/>
      <c r="K1108" s="33"/>
      <c r="L1108" s="34"/>
      <c r="M1108" s="35"/>
      <c r="O1108" s="36"/>
      <c r="P1108" s="37"/>
      <c r="Q1108" s="38"/>
      <c r="R1108" s="38"/>
    </row>
    <row r="1109" s="3" customFormat="1" ht="108" customHeight="1" outlineLevel="2" spans="1:18">
      <c r="A1109" s="41">
        <f>1+N(A1108)</f>
        <v>1</v>
      </c>
      <c r="B1109" s="28" t="s">
        <v>23</v>
      </c>
      <c r="C1109" s="28" t="s">
        <v>24</v>
      </c>
      <c r="D1109" s="28" t="s">
        <v>25</v>
      </c>
      <c r="E1109" s="28" t="s">
        <v>26</v>
      </c>
      <c r="F1109" s="29" t="s">
        <v>27</v>
      </c>
      <c r="G1109" s="30">
        <v>11.09</v>
      </c>
      <c r="H1109" s="31">
        <v>940.91</v>
      </c>
      <c r="I1109" s="39"/>
      <c r="J1109" s="31">
        <f>H1109*(1-$I$4)</f>
        <v>940.91</v>
      </c>
      <c r="K1109" s="33">
        <f>ROUND(G1109*J1109,2)</f>
        <v>10434.69</v>
      </c>
      <c r="L1109" s="34" t="s">
        <v>28</v>
      </c>
      <c r="M1109" s="35"/>
      <c r="O1109" s="21">
        <v>886.6</v>
      </c>
      <c r="P1109" s="22" t="s">
        <v>29</v>
      </c>
      <c r="Q1109" s="38"/>
      <c r="R1109" s="38"/>
    </row>
    <row r="1110" s="3" customFormat="1" ht="108" customHeight="1" outlineLevel="2" spans="1:18">
      <c r="A1110" s="41">
        <f>1+N(A1109)</f>
        <v>2</v>
      </c>
      <c r="B1110" s="28" t="s">
        <v>30</v>
      </c>
      <c r="C1110" s="28" t="s">
        <v>31</v>
      </c>
      <c r="D1110" s="28" t="s">
        <v>25</v>
      </c>
      <c r="E1110" s="28" t="s">
        <v>26</v>
      </c>
      <c r="F1110" s="29" t="s">
        <v>27</v>
      </c>
      <c r="G1110" s="30">
        <v>19.45</v>
      </c>
      <c r="H1110" s="31">
        <v>1412.25</v>
      </c>
      <c r="I1110" s="39"/>
      <c r="J1110" s="31">
        <f>H1110*(1-$I$4)</f>
        <v>1412.25</v>
      </c>
      <c r="K1110" s="33">
        <f>ROUND(G1110*J1110,2)</f>
        <v>27468.26</v>
      </c>
      <c r="L1110" s="34" t="s">
        <v>28</v>
      </c>
      <c r="M1110" s="35"/>
      <c r="O1110" s="21">
        <v>1135.86</v>
      </c>
      <c r="P1110" s="22" t="s">
        <v>32</v>
      </c>
      <c r="Q1110" s="38"/>
      <c r="R1110" s="38"/>
    </row>
    <row r="1111" s="3" customFormat="1" ht="72" customHeight="1" outlineLevel="2" spans="1:18">
      <c r="A1111" s="41">
        <f>1+N(A1110)</f>
        <v>3</v>
      </c>
      <c r="B1111" s="28" t="s">
        <v>36</v>
      </c>
      <c r="C1111" s="28" t="s">
        <v>37</v>
      </c>
      <c r="D1111" s="28" t="s">
        <v>25</v>
      </c>
      <c r="E1111" s="28" t="s">
        <v>38</v>
      </c>
      <c r="F1111" s="29" t="s">
        <v>39</v>
      </c>
      <c r="G1111" s="30">
        <v>19.53</v>
      </c>
      <c r="H1111" s="31">
        <v>89.27</v>
      </c>
      <c r="I1111" s="39"/>
      <c r="J1111" s="31">
        <f>H1111*(1-$I$4)</f>
        <v>89.27</v>
      </c>
      <c r="K1111" s="33">
        <f>ROUND(G1111*J1111,2)</f>
        <v>1743.44</v>
      </c>
      <c r="L1111" s="34" t="s">
        <v>28</v>
      </c>
      <c r="M1111" s="35"/>
      <c r="O1111" s="21">
        <v>35.28</v>
      </c>
      <c r="P1111" s="22" t="s">
        <v>40</v>
      </c>
      <c r="Q1111" s="38"/>
      <c r="R1111" s="38"/>
    </row>
    <row r="1112" s="3" customFormat="1" ht="72" customHeight="1" outlineLevel="2" spans="1:18">
      <c r="A1112" s="41">
        <f>1+N(A1111)</f>
        <v>4</v>
      </c>
      <c r="B1112" s="28" t="s">
        <v>41</v>
      </c>
      <c r="C1112" s="28" t="s">
        <v>42</v>
      </c>
      <c r="D1112" s="28" t="s">
        <v>25</v>
      </c>
      <c r="E1112" s="28" t="s">
        <v>26</v>
      </c>
      <c r="F1112" s="29" t="s">
        <v>27</v>
      </c>
      <c r="G1112" s="30">
        <v>30.54</v>
      </c>
      <c r="H1112" s="31">
        <v>64.9</v>
      </c>
      <c r="I1112" s="39"/>
      <c r="J1112" s="31">
        <f>H1112*(1-$I$4)</f>
        <v>64.9</v>
      </c>
      <c r="K1112" s="33">
        <f>ROUND(G1112*J1112,2)</f>
        <v>1982.05</v>
      </c>
      <c r="L1112" s="34" t="s">
        <v>28</v>
      </c>
      <c r="M1112" s="35"/>
      <c r="O1112" s="21">
        <v>61.38</v>
      </c>
      <c r="P1112" s="22" t="s">
        <v>43</v>
      </c>
      <c r="Q1112" s="38"/>
      <c r="R1112" s="38"/>
    </row>
    <row r="1113" s="3" customFormat="1" outlineLevel="1" spans="1:18">
      <c r="A1113" s="40"/>
      <c r="B1113" s="28" t="s">
        <v>687</v>
      </c>
      <c r="C1113" s="28"/>
      <c r="D1113" s="28"/>
      <c r="E1113" s="28"/>
      <c r="F1113" s="29"/>
      <c r="G1113" s="30"/>
      <c r="H1113" s="31"/>
      <c r="I1113" s="39"/>
      <c r="J1113" s="31"/>
      <c r="K1113" s="33"/>
      <c r="L1113" s="34"/>
      <c r="M1113" s="35"/>
      <c r="O1113" s="36"/>
      <c r="P1113" s="37"/>
      <c r="Q1113" s="38"/>
      <c r="R1113" s="38"/>
    </row>
    <row r="1114" s="3" customFormat="1" ht="108" customHeight="1" outlineLevel="2" spans="1:18">
      <c r="A1114" s="41">
        <f t="shared" ref="A1114:A1124" si="168">1+N(A1113)</f>
        <v>1</v>
      </c>
      <c r="B1114" s="28" t="s">
        <v>45</v>
      </c>
      <c r="C1114" s="28" t="s">
        <v>46</v>
      </c>
      <c r="D1114" s="28" t="s">
        <v>47</v>
      </c>
      <c r="E1114" s="28" t="s">
        <v>48</v>
      </c>
      <c r="F1114" s="29" t="s">
        <v>27</v>
      </c>
      <c r="G1114" s="30">
        <v>8.32</v>
      </c>
      <c r="H1114" s="31">
        <v>2668.45</v>
      </c>
      <c r="I1114" s="39"/>
      <c r="J1114" s="31">
        <f t="shared" ref="J1114:J1124" si="169">H1114*(1-$I$4)</f>
        <v>2668.45</v>
      </c>
      <c r="K1114" s="33">
        <f t="shared" ref="K1114:K1124" si="170">ROUND(G1114*J1114,2)</f>
        <v>22201.5</v>
      </c>
      <c r="L1114" s="34" t="s">
        <v>28</v>
      </c>
      <c r="M1114" s="35"/>
      <c r="O1114" s="21">
        <v>1019.76</v>
      </c>
      <c r="P1114" s="22" t="s">
        <v>49</v>
      </c>
      <c r="Q1114" s="38"/>
      <c r="R1114" s="38"/>
    </row>
    <row r="1115" s="3" customFormat="1" ht="156" customHeight="1" outlineLevel="2" spans="1:18">
      <c r="A1115" s="41">
        <f t="shared" si="168"/>
        <v>2</v>
      </c>
      <c r="B1115" s="28" t="s">
        <v>50</v>
      </c>
      <c r="C1115" s="28" t="s">
        <v>51</v>
      </c>
      <c r="D1115" s="28" t="s">
        <v>52</v>
      </c>
      <c r="E1115" s="28" t="s">
        <v>48</v>
      </c>
      <c r="F1115" s="29" t="s">
        <v>27</v>
      </c>
      <c r="G1115" s="30">
        <v>37.25</v>
      </c>
      <c r="H1115" s="31">
        <v>996.46</v>
      </c>
      <c r="I1115" s="39"/>
      <c r="J1115" s="31">
        <f t="shared" si="169"/>
        <v>996.46</v>
      </c>
      <c r="K1115" s="33">
        <f t="shared" si="170"/>
        <v>37118.14</v>
      </c>
      <c r="L1115" s="34" t="s">
        <v>28</v>
      </c>
      <c r="M1115" s="35"/>
      <c r="O1115" s="21">
        <v>1000.51</v>
      </c>
      <c r="P1115" s="22" t="s">
        <v>723</v>
      </c>
      <c r="Q1115" s="38"/>
      <c r="R1115" s="38"/>
    </row>
    <row r="1116" s="3" customFormat="1" ht="96" customHeight="1" outlineLevel="2" spans="1:18">
      <c r="A1116" s="41">
        <f t="shared" si="168"/>
        <v>3</v>
      </c>
      <c r="B1116" s="28" t="s">
        <v>295</v>
      </c>
      <c r="C1116" s="28" t="s">
        <v>296</v>
      </c>
      <c r="D1116" s="28" t="s">
        <v>59</v>
      </c>
      <c r="E1116" s="28" t="s">
        <v>26</v>
      </c>
      <c r="F1116" s="29" t="s">
        <v>27</v>
      </c>
      <c r="G1116" s="30">
        <v>24.25</v>
      </c>
      <c r="H1116" s="31">
        <v>311.52</v>
      </c>
      <c r="I1116" s="39"/>
      <c r="J1116" s="31">
        <f t="shared" si="169"/>
        <v>311.52</v>
      </c>
      <c r="K1116" s="33">
        <f t="shared" si="170"/>
        <v>7554.36</v>
      </c>
      <c r="L1116" s="34" t="s">
        <v>28</v>
      </c>
      <c r="M1116" s="35"/>
      <c r="O1116" s="21">
        <v>278.47</v>
      </c>
      <c r="P1116" s="22" t="s">
        <v>297</v>
      </c>
      <c r="Q1116" s="38"/>
      <c r="R1116" s="38"/>
    </row>
    <row r="1117" s="3" customFormat="1" ht="120" customHeight="1" outlineLevel="2" spans="1:18">
      <c r="A1117" s="41">
        <f t="shared" si="168"/>
        <v>4</v>
      </c>
      <c r="B1117" s="28" t="s">
        <v>61</v>
      </c>
      <c r="C1117" s="28" t="s">
        <v>62</v>
      </c>
      <c r="D1117" s="28" t="s">
        <v>52</v>
      </c>
      <c r="E1117" s="28" t="s">
        <v>63</v>
      </c>
      <c r="F1117" s="29" t="s">
        <v>27</v>
      </c>
      <c r="G1117" s="30">
        <v>2.02</v>
      </c>
      <c r="H1117" s="31">
        <v>630.65</v>
      </c>
      <c r="I1117" s="39"/>
      <c r="J1117" s="31">
        <f t="shared" si="169"/>
        <v>630.65</v>
      </c>
      <c r="K1117" s="33">
        <f t="shared" si="170"/>
        <v>1273.91</v>
      </c>
      <c r="L1117" s="34" t="s">
        <v>28</v>
      </c>
      <c r="M1117" s="35"/>
      <c r="O1117" s="21">
        <v>681.67</v>
      </c>
      <c r="P1117" s="22" t="s">
        <v>64</v>
      </c>
      <c r="Q1117" s="38"/>
      <c r="R1117" s="38"/>
    </row>
    <row r="1118" s="3" customFormat="1" ht="120" customHeight="1" outlineLevel="2" spans="1:18">
      <c r="A1118" s="41">
        <f t="shared" si="168"/>
        <v>5</v>
      </c>
      <c r="B1118" s="28" t="s">
        <v>65</v>
      </c>
      <c r="C1118" s="28" t="s">
        <v>62</v>
      </c>
      <c r="D1118" s="28" t="s">
        <v>52</v>
      </c>
      <c r="E1118" s="28" t="s">
        <v>63</v>
      </c>
      <c r="F1118" s="29" t="s">
        <v>27</v>
      </c>
      <c r="G1118" s="30">
        <v>3.74</v>
      </c>
      <c r="H1118" s="31">
        <v>630.65</v>
      </c>
      <c r="I1118" s="39"/>
      <c r="J1118" s="31">
        <f t="shared" si="169"/>
        <v>630.65</v>
      </c>
      <c r="K1118" s="33">
        <f t="shared" si="170"/>
        <v>2358.63</v>
      </c>
      <c r="L1118" s="34" t="s">
        <v>28</v>
      </c>
      <c r="M1118" s="35"/>
      <c r="O1118" s="21">
        <v>681.67</v>
      </c>
      <c r="P1118" s="22" t="s">
        <v>64</v>
      </c>
      <c r="Q1118" s="38"/>
      <c r="R1118" s="38"/>
    </row>
    <row r="1119" s="3" customFormat="1" ht="120" customHeight="1" outlineLevel="2" spans="1:18">
      <c r="A1119" s="41">
        <f t="shared" si="168"/>
        <v>6</v>
      </c>
      <c r="B1119" s="28" t="s">
        <v>66</v>
      </c>
      <c r="C1119" s="28" t="s">
        <v>67</v>
      </c>
      <c r="D1119" s="28" t="s">
        <v>52</v>
      </c>
      <c r="E1119" s="28" t="s">
        <v>63</v>
      </c>
      <c r="F1119" s="29" t="s">
        <v>27</v>
      </c>
      <c r="G1119" s="30">
        <v>1.38</v>
      </c>
      <c r="H1119" s="31">
        <v>812.96</v>
      </c>
      <c r="I1119" s="39"/>
      <c r="J1119" s="31">
        <f t="shared" si="169"/>
        <v>812.96</v>
      </c>
      <c r="K1119" s="33">
        <f t="shared" si="170"/>
        <v>1121.88</v>
      </c>
      <c r="L1119" s="34" t="s">
        <v>28</v>
      </c>
      <c r="M1119" s="35"/>
      <c r="O1119" s="21">
        <v>681.67</v>
      </c>
      <c r="P1119" s="22" t="s">
        <v>68</v>
      </c>
      <c r="Q1119" s="38"/>
      <c r="R1119" s="38"/>
    </row>
    <row r="1120" s="3" customFormat="1" ht="120" customHeight="1" outlineLevel="2" spans="1:18">
      <c r="A1120" s="41">
        <f t="shared" si="168"/>
        <v>7</v>
      </c>
      <c r="B1120" s="28" t="s">
        <v>69</v>
      </c>
      <c r="C1120" s="28" t="s">
        <v>70</v>
      </c>
      <c r="D1120" s="28" t="s">
        <v>52</v>
      </c>
      <c r="E1120" s="28" t="s">
        <v>63</v>
      </c>
      <c r="F1120" s="29" t="s">
        <v>27</v>
      </c>
      <c r="G1120" s="30">
        <v>0.26</v>
      </c>
      <c r="H1120" s="31">
        <v>1175.56</v>
      </c>
      <c r="I1120" s="39"/>
      <c r="J1120" s="31">
        <f t="shared" si="169"/>
        <v>1175.56</v>
      </c>
      <c r="K1120" s="33">
        <f t="shared" si="170"/>
        <v>305.65</v>
      </c>
      <c r="L1120" s="34" t="s">
        <v>28</v>
      </c>
      <c r="M1120" s="35"/>
      <c r="O1120" s="21">
        <v>681.67</v>
      </c>
      <c r="P1120" s="22" t="s">
        <v>71</v>
      </c>
      <c r="Q1120" s="38"/>
      <c r="R1120" s="38"/>
    </row>
    <row r="1121" s="3" customFormat="1" ht="96" customHeight="1" outlineLevel="2" spans="1:18">
      <c r="A1121" s="41">
        <f t="shared" si="168"/>
        <v>8</v>
      </c>
      <c r="B1121" s="28" t="s">
        <v>75</v>
      </c>
      <c r="C1121" s="28" t="s">
        <v>76</v>
      </c>
      <c r="D1121" s="28" t="s">
        <v>59</v>
      </c>
      <c r="E1121" s="28" t="s">
        <v>38</v>
      </c>
      <c r="F1121" s="29" t="s">
        <v>39</v>
      </c>
      <c r="G1121" s="30">
        <v>24.42</v>
      </c>
      <c r="H1121" s="31">
        <v>67.08</v>
      </c>
      <c r="I1121" s="39"/>
      <c r="J1121" s="31">
        <f t="shared" si="169"/>
        <v>67.08</v>
      </c>
      <c r="K1121" s="33">
        <f t="shared" si="170"/>
        <v>1638.09</v>
      </c>
      <c r="L1121" s="34" t="s">
        <v>28</v>
      </c>
      <c r="M1121" s="35"/>
      <c r="O1121" s="21">
        <v>45.71</v>
      </c>
      <c r="P1121" s="22" t="s">
        <v>77</v>
      </c>
      <c r="Q1121" s="38"/>
      <c r="R1121" s="38"/>
    </row>
    <row r="1122" s="3" customFormat="1" ht="96" customHeight="1" outlineLevel="2" spans="1:18">
      <c r="A1122" s="41">
        <f t="shared" si="168"/>
        <v>9</v>
      </c>
      <c r="B1122" s="28" t="s">
        <v>725</v>
      </c>
      <c r="C1122" s="28" t="s">
        <v>726</v>
      </c>
      <c r="D1122" s="28" t="s">
        <v>59</v>
      </c>
      <c r="E1122" s="28" t="s">
        <v>38</v>
      </c>
      <c r="F1122" s="29" t="s">
        <v>39</v>
      </c>
      <c r="G1122" s="30">
        <v>7.86</v>
      </c>
      <c r="H1122" s="31">
        <v>71.9</v>
      </c>
      <c r="I1122" s="39"/>
      <c r="J1122" s="31">
        <f t="shared" si="169"/>
        <v>71.9</v>
      </c>
      <c r="K1122" s="33">
        <f t="shared" si="170"/>
        <v>565.13</v>
      </c>
      <c r="L1122" s="34" t="s">
        <v>28</v>
      </c>
      <c r="M1122" s="35"/>
      <c r="O1122" s="21">
        <v>50.8</v>
      </c>
      <c r="P1122" s="22" t="s">
        <v>727</v>
      </c>
      <c r="Q1122" s="38"/>
      <c r="R1122" s="38"/>
    </row>
    <row r="1123" s="3" customFormat="1" ht="96" customHeight="1" outlineLevel="2" spans="1:18">
      <c r="A1123" s="41">
        <f t="shared" si="168"/>
        <v>10</v>
      </c>
      <c r="B1123" s="28" t="s">
        <v>84</v>
      </c>
      <c r="C1123" s="28" t="s">
        <v>85</v>
      </c>
      <c r="D1123" s="28" t="s">
        <v>59</v>
      </c>
      <c r="E1123" s="28" t="s">
        <v>38</v>
      </c>
      <c r="F1123" s="29" t="s">
        <v>39</v>
      </c>
      <c r="G1123" s="30">
        <v>14.71</v>
      </c>
      <c r="H1123" s="31">
        <v>117.84</v>
      </c>
      <c r="I1123" s="39"/>
      <c r="J1123" s="31">
        <f t="shared" si="169"/>
        <v>117.84</v>
      </c>
      <c r="K1123" s="33">
        <f t="shared" si="170"/>
        <v>1733.43</v>
      </c>
      <c r="L1123" s="34" t="s">
        <v>28</v>
      </c>
      <c r="M1123" s="35"/>
      <c r="O1123" s="21">
        <v>95.14</v>
      </c>
      <c r="P1123" s="22" t="s">
        <v>86</v>
      </c>
      <c r="Q1123" s="38"/>
      <c r="R1123" s="38"/>
    </row>
    <row r="1124" s="3" customFormat="1" ht="96" customHeight="1" outlineLevel="2" spans="1:18">
      <c r="A1124" s="41">
        <f t="shared" si="168"/>
        <v>11</v>
      </c>
      <c r="B1124" s="28" t="s">
        <v>87</v>
      </c>
      <c r="C1124" s="28" t="s">
        <v>88</v>
      </c>
      <c r="D1124" s="28" t="s">
        <v>59</v>
      </c>
      <c r="E1124" s="28" t="s">
        <v>38</v>
      </c>
      <c r="F1124" s="29" t="s">
        <v>39</v>
      </c>
      <c r="G1124" s="30">
        <v>28.8</v>
      </c>
      <c r="H1124" s="31">
        <v>64.25</v>
      </c>
      <c r="I1124" s="39"/>
      <c r="J1124" s="31">
        <f t="shared" si="169"/>
        <v>64.25</v>
      </c>
      <c r="K1124" s="33">
        <f t="shared" si="170"/>
        <v>1850.4</v>
      </c>
      <c r="L1124" s="34" t="s">
        <v>28</v>
      </c>
      <c r="M1124" s="35"/>
      <c r="O1124" s="21">
        <v>43.16</v>
      </c>
      <c r="P1124" s="22" t="s">
        <v>89</v>
      </c>
      <c r="Q1124" s="38"/>
      <c r="R1124" s="38"/>
    </row>
    <row r="1125" s="3" customFormat="1" outlineLevel="1" spans="1:18">
      <c r="A1125" s="40"/>
      <c r="B1125" s="28" t="s">
        <v>90</v>
      </c>
      <c r="C1125" s="28"/>
      <c r="D1125" s="28"/>
      <c r="E1125" s="28"/>
      <c r="F1125" s="29"/>
      <c r="G1125" s="30"/>
      <c r="H1125" s="31"/>
      <c r="I1125" s="39"/>
      <c r="J1125" s="31"/>
      <c r="K1125" s="33"/>
      <c r="L1125" s="34"/>
      <c r="M1125" s="35"/>
      <c r="O1125" s="36"/>
      <c r="P1125" s="37"/>
      <c r="Q1125" s="38"/>
      <c r="R1125" s="38"/>
    </row>
    <row r="1126" s="3" customFormat="1" ht="168" customHeight="1" outlineLevel="2" spans="1:18">
      <c r="A1126" s="41">
        <f>1+N(A1125)</f>
        <v>1</v>
      </c>
      <c r="B1126" s="28" t="s">
        <v>636</v>
      </c>
      <c r="C1126" s="28" t="s">
        <v>92</v>
      </c>
      <c r="D1126" s="28" t="s">
        <v>93</v>
      </c>
      <c r="E1126" s="28" t="s">
        <v>94</v>
      </c>
      <c r="F1126" s="29" t="s">
        <v>27</v>
      </c>
      <c r="G1126" s="30">
        <v>31.41</v>
      </c>
      <c r="H1126" s="31">
        <v>150.71</v>
      </c>
      <c r="I1126" s="39"/>
      <c r="J1126" s="31">
        <f>H1126*(1-$I$4)</f>
        <v>150.71</v>
      </c>
      <c r="K1126" s="33">
        <f>ROUND(G1126*J1126,2)</f>
        <v>4733.8</v>
      </c>
      <c r="L1126" s="34" t="s">
        <v>28</v>
      </c>
      <c r="M1126" s="35"/>
      <c r="O1126" s="21">
        <v>150.38</v>
      </c>
      <c r="P1126" s="22" t="s">
        <v>728</v>
      </c>
      <c r="Q1126" s="38"/>
      <c r="R1126" s="38"/>
    </row>
    <row r="1127" s="3" customFormat="1" ht="48" customHeight="1" outlineLevel="2" spans="1:18">
      <c r="A1127" s="41">
        <f>1+N(A1126)</f>
        <v>2</v>
      </c>
      <c r="B1127" s="28" t="s">
        <v>729</v>
      </c>
      <c r="C1127" s="28" t="s">
        <v>730</v>
      </c>
      <c r="D1127" s="28" t="s">
        <v>98</v>
      </c>
      <c r="E1127" s="28" t="s">
        <v>99</v>
      </c>
      <c r="F1127" s="29" t="s">
        <v>39</v>
      </c>
      <c r="G1127" s="30">
        <v>19.54</v>
      </c>
      <c r="H1127" s="31">
        <v>112.16</v>
      </c>
      <c r="I1127" s="39"/>
      <c r="J1127" s="31">
        <f>H1127*(1-$I$4)</f>
        <v>112.16</v>
      </c>
      <c r="K1127" s="33">
        <f>ROUND(G1127*J1127,2)</f>
        <v>2191.61</v>
      </c>
      <c r="L1127" s="34" t="s">
        <v>28</v>
      </c>
      <c r="M1127" s="35"/>
      <c r="O1127" s="21">
        <v>79.3</v>
      </c>
      <c r="P1127" s="22" t="s">
        <v>603</v>
      </c>
      <c r="Q1127" s="38"/>
      <c r="R1127" s="38"/>
    </row>
    <row r="1128" s="3" customFormat="1" ht="48" customHeight="1" outlineLevel="2" spans="1:18">
      <c r="A1128" s="41">
        <f>1+N(A1127)</f>
        <v>3</v>
      </c>
      <c r="B1128" s="28" t="s">
        <v>101</v>
      </c>
      <c r="C1128" s="28" t="s">
        <v>102</v>
      </c>
      <c r="D1128" s="28" t="s">
        <v>98</v>
      </c>
      <c r="E1128" s="28" t="s">
        <v>99</v>
      </c>
      <c r="F1128" s="29" t="s">
        <v>39</v>
      </c>
      <c r="G1128" s="30">
        <v>19.54</v>
      </c>
      <c r="H1128" s="31">
        <v>75.82</v>
      </c>
      <c r="I1128" s="39"/>
      <c r="J1128" s="31">
        <f>H1128*(1-$I$4)</f>
        <v>75.82</v>
      </c>
      <c r="K1128" s="33">
        <f>ROUND(G1128*J1128,2)</f>
        <v>1481.52</v>
      </c>
      <c r="L1128" s="34" t="s">
        <v>28</v>
      </c>
      <c r="M1128" s="35"/>
      <c r="O1128" s="21">
        <v>203.56</v>
      </c>
      <c r="P1128" s="22" t="s">
        <v>103</v>
      </c>
      <c r="Q1128" s="38"/>
      <c r="R1128" s="38"/>
    </row>
    <row r="1129" s="3" customFormat="1" ht="48" customHeight="1" outlineLevel="2" spans="1:18">
      <c r="A1129" s="41">
        <f>1+N(A1128)</f>
        <v>4</v>
      </c>
      <c r="B1129" s="28" t="s">
        <v>104</v>
      </c>
      <c r="C1129" s="28" t="s">
        <v>105</v>
      </c>
      <c r="D1129" s="28" t="s">
        <v>98</v>
      </c>
      <c r="E1129" s="28" t="s">
        <v>99</v>
      </c>
      <c r="F1129" s="29" t="s">
        <v>39</v>
      </c>
      <c r="G1129" s="30">
        <v>13.8</v>
      </c>
      <c r="H1129" s="31">
        <v>109.74</v>
      </c>
      <c r="I1129" s="39"/>
      <c r="J1129" s="31">
        <f>H1129*(1-$I$4)</f>
        <v>109.74</v>
      </c>
      <c r="K1129" s="33">
        <f>ROUND(G1129*J1129,2)</f>
        <v>1514.41</v>
      </c>
      <c r="L1129" s="34" t="s">
        <v>28</v>
      </c>
      <c r="M1129" s="35"/>
      <c r="O1129" s="21">
        <v>108.2</v>
      </c>
      <c r="P1129" s="22" t="s">
        <v>106</v>
      </c>
      <c r="Q1129" s="38"/>
      <c r="R1129" s="38"/>
    </row>
    <row r="1130" s="3" customFormat="1" ht="132" customHeight="1" outlineLevel="2" spans="1:18">
      <c r="A1130" s="41">
        <f>1+N(A1129)</f>
        <v>5</v>
      </c>
      <c r="B1130" s="28" t="s">
        <v>107</v>
      </c>
      <c r="C1130" s="28" t="s">
        <v>108</v>
      </c>
      <c r="D1130" s="28" t="s">
        <v>109</v>
      </c>
      <c r="E1130" s="28" t="s">
        <v>110</v>
      </c>
      <c r="F1130" s="29" t="s">
        <v>27</v>
      </c>
      <c r="G1130" s="30">
        <v>39.12</v>
      </c>
      <c r="H1130" s="31">
        <v>152.22</v>
      </c>
      <c r="I1130" s="39"/>
      <c r="J1130" s="31">
        <f>H1130*(1-$I$4)</f>
        <v>152.22</v>
      </c>
      <c r="K1130" s="33">
        <f>ROUND(G1130*J1130,2)</f>
        <v>5954.85</v>
      </c>
      <c r="L1130" s="34" t="s">
        <v>28</v>
      </c>
      <c r="M1130" s="35"/>
      <c r="O1130" s="21">
        <v>151.58</v>
      </c>
      <c r="P1130" s="22" t="s">
        <v>111</v>
      </c>
      <c r="Q1130" s="38"/>
      <c r="R1130" s="38"/>
    </row>
    <row r="1131" s="3" customFormat="1" outlineLevel="1" spans="1:18">
      <c r="A1131" s="40"/>
      <c r="B1131" s="28" t="s">
        <v>112</v>
      </c>
      <c r="C1131" s="28"/>
      <c r="D1131" s="28"/>
      <c r="E1131" s="28"/>
      <c r="F1131" s="29"/>
      <c r="G1131" s="30"/>
      <c r="H1131" s="31"/>
      <c r="I1131" s="39"/>
      <c r="J1131" s="31"/>
      <c r="K1131" s="33"/>
      <c r="L1131" s="34"/>
      <c r="M1131" s="35"/>
      <c r="O1131" s="36"/>
      <c r="P1131" s="37"/>
      <c r="Q1131" s="38"/>
      <c r="R1131" s="38"/>
    </row>
    <row r="1132" s="3" customFormat="1" outlineLevel="1" spans="1:18">
      <c r="A1132" s="27" t="s">
        <v>135</v>
      </c>
      <c r="B1132" s="28" t="s">
        <v>732</v>
      </c>
      <c r="C1132" s="28"/>
      <c r="D1132" s="28"/>
      <c r="E1132" s="28"/>
      <c r="F1132" s="29"/>
      <c r="G1132" s="30"/>
      <c r="H1132" s="31"/>
      <c r="I1132" s="39"/>
      <c r="J1132" s="31"/>
      <c r="K1132" s="33"/>
      <c r="L1132" s="34"/>
      <c r="M1132" s="35"/>
      <c r="O1132" s="36"/>
      <c r="P1132" s="37"/>
      <c r="Q1132" s="38"/>
      <c r="R1132" s="38"/>
    </row>
    <row r="1133" s="3" customFormat="1" outlineLevel="1" spans="1:18">
      <c r="A1133" s="40"/>
      <c r="B1133" s="28" t="s">
        <v>22</v>
      </c>
      <c r="C1133" s="28"/>
      <c r="D1133" s="28"/>
      <c r="E1133" s="28"/>
      <c r="F1133" s="29"/>
      <c r="G1133" s="30"/>
      <c r="H1133" s="31"/>
      <c r="I1133" s="39"/>
      <c r="J1133" s="31"/>
      <c r="K1133" s="33"/>
      <c r="L1133" s="34"/>
      <c r="M1133" s="35"/>
      <c r="O1133" s="36"/>
      <c r="P1133" s="37"/>
      <c r="Q1133" s="38"/>
      <c r="R1133" s="38"/>
    </row>
    <row r="1134" s="3" customFormat="1" ht="108" customHeight="1" outlineLevel="2" spans="1:18">
      <c r="A1134" s="41">
        <f>1+N(A1133)</f>
        <v>1</v>
      </c>
      <c r="B1134" s="28" t="s">
        <v>23</v>
      </c>
      <c r="C1134" s="28" t="s">
        <v>24</v>
      </c>
      <c r="D1134" s="28" t="s">
        <v>25</v>
      </c>
      <c r="E1134" s="28" t="s">
        <v>26</v>
      </c>
      <c r="F1134" s="29" t="s">
        <v>27</v>
      </c>
      <c r="G1134" s="30">
        <v>14.2</v>
      </c>
      <c r="H1134" s="31">
        <v>940.91</v>
      </c>
      <c r="I1134" s="39"/>
      <c r="J1134" s="31">
        <f>H1134*(1-$I$4)</f>
        <v>940.91</v>
      </c>
      <c r="K1134" s="33">
        <f>ROUND(G1134*J1134,2)</f>
        <v>13360.92</v>
      </c>
      <c r="L1134" s="34" t="s">
        <v>28</v>
      </c>
      <c r="M1134" s="35"/>
      <c r="O1134" s="21">
        <v>886.6</v>
      </c>
      <c r="P1134" s="22" t="s">
        <v>29</v>
      </c>
      <c r="Q1134" s="38"/>
      <c r="R1134" s="38"/>
    </row>
    <row r="1135" s="3" customFormat="1" ht="108" customHeight="1" outlineLevel="2" spans="1:18">
      <c r="A1135" s="41">
        <f>1+N(A1134)</f>
        <v>2</v>
      </c>
      <c r="B1135" s="28" t="s">
        <v>30</v>
      </c>
      <c r="C1135" s="28" t="s">
        <v>31</v>
      </c>
      <c r="D1135" s="28" t="s">
        <v>25</v>
      </c>
      <c r="E1135" s="28" t="s">
        <v>26</v>
      </c>
      <c r="F1135" s="29" t="s">
        <v>27</v>
      </c>
      <c r="G1135" s="30">
        <v>14.84</v>
      </c>
      <c r="H1135" s="31">
        <v>1412.25</v>
      </c>
      <c r="I1135" s="39"/>
      <c r="J1135" s="31">
        <f>H1135*(1-$I$4)</f>
        <v>1412.25</v>
      </c>
      <c r="K1135" s="33">
        <f>ROUND(G1135*J1135,2)</f>
        <v>20957.79</v>
      </c>
      <c r="L1135" s="34" t="s">
        <v>28</v>
      </c>
      <c r="M1135" s="35"/>
      <c r="O1135" s="21">
        <v>1135.86</v>
      </c>
      <c r="P1135" s="22" t="s">
        <v>32</v>
      </c>
      <c r="Q1135" s="38"/>
      <c r="R1135" s="38"/>
    </row>
    <row r="1136" s="3" customFormat="1" ht="72" customHeight="1" outlineLevel="2" spans="1:18">
      <c r="A1136" s="41">
        <f>1+N(A1135)</f>
        <v>3</v>
      </c>
      <c r="B1136" s="28" t="s">
        <v>36</v>
      </c>
      <c r="C1136" s="28" t="s">
        <v>37</v>
      </c>
      <c r="D1136" s="28" t="s">
        <v>25</v>
      </c>
      <c r="E1136" s="28" t="s">
        <v>38</v>
      </c>
      <c r="F1136" s="29" t="s">
        <v>39</v>
      </c>
      <c r="G1136" s="30">
        <v>15.97</v>
      </c>
      <c r="H1136" s="31">
        <v>89.27</v>
      </c>
      <c r="I1136" s="39"/>
      <c r="J1136" s="31">
        <f>H1136*(1-$I$4)</f>
        <v>89.27</v>
      </c>
      <c r="K1136" s="33">
        <f>ROUND(G1136*J1136,2)</f>
        <v>1425.64</v>
      </c>
      <c r="L1136" s="34" t="s">
        <v>28</v>
      </c>
      <c r="M1136" s="35"/>
      <c r="O1136" s="21">
        <v>35.28</v>
      </c>
      <c r="P1136" s="22" t="s">
        <v>40</v>
      </c>
      <c r="Q1136" s="38"/>
      <c r="R1136" s="38"/>
    </row>
    <row r="1137" s="3" customFormat="1" ht="72" customHeight="1" outlineLevel="2" spans="1:18">
      <c r="A1137" s="41">
        <f>1+N(A1136)</f>
        <v>4</v>
      </c>
      <c r="B1137" s="28" t="s">
        <v>41</v>
      </c>
      <c r="C1137" s="28" t="s">
        <v>42</v>
      </c>
      <c r="D1137" s="28" t="s">
        <v>25</v>
      </c>
      <c r="E1137" s="28" t="s">
        <v>26</v>
      </c>
      <c r="F1137" s="29" t="s">
        <v>27</v>
      </c>
      <c r="G1137" s="30">
        <v>29.04</v>
      </c>
      <c r="H1137" s="31">
        <v>64.9</v>
      </c>
      <c r="I1137" s="39"/>
      <c r="J1137" s="31">
        <f>H1137*(1-$I$4)</f>
        <v>64.9</v>
      </c>
      <c r="K1137" s="33">
        <f>ROUND(G1137*J1137,2)</f>
        <v>1884.7</v>
      </c>
      <c r="L1137" s="34" t="s">
        <v>28</v>
      </c>
      <c r="M1137" s="35"/>
      <c r="O1137" s="21">
        <v>61.38</v>
      </c>
      <c r="P1137" s="22" t="s">
        <v>43</v>
      </c>
      <c r="Q1137" s="38"/>
      <c r="R1137" s="38"/>
    </row>
    <row r="1138" s="3" customFormat="1" outlineLevel="1" spans="1:18">
      <c r="A1138" s="40"/>
      <c r="B1138" s="28" t="s">
        <v>687</v>
      </c>
      <c r="C1138" s="28"/>
      <c r="D1138" s="28"/>
      <c r="E1138" s="28"/>
      <c r="F1138" s="29"/>
      <c r="G1138" s="30"/>
      <c r="H1138" s="31"/>
      <c r="I1138" s="39"/>
      <c r="J1138" s="31"/>
      <c r="K1138" s="33"/>
      <c r="L1138" s="34"/>
      <c r="M1138" s="35"/>
      <c r="O1138" s="36"/>
      <c r="P1138" s="37"/>
      <c r="Q1138" s="38"/>
      <c r="R1138" s="38"/>
    </row>
    <row r="1139" s="3" customFormat="1" ht="108" customHeight="1" outlineLevel="2" spans="1:18">
      <c r="A1139" s="41">
        <f t="shared" ref="A1139:A1150" si="171">1+N(A1138)</f>
        <v>1</v>
      </c>
      <c r="B1139" s="28" t="s">
        <v>45</v>
      </c>
      <c r="C1139" s="28" t="s">
        <v>46</v>
      </c>
      <c r="D1139" s="28" t="s">
        <v>47</v>
      </c>
      <c r="E1139" s="28" t="s">
        <v>48</v>
      </c>
      <c r="F1139" s="29" t="s">
        <v>27</v>
      </c>
      <c r="G1139" s="30">
        <v>5.32</v>
      </c>
      <c r="H1139" s="31">
        <v>2668.45</v>
      </c>
      <c r="I1139" s="39"/>
      <c r="J1139" s="31">
        <f t="shared" ref="J1139:J1150" si="172">H1139*(1-$I$4)</f>
        <v>2668.45</v>
      </c>
      <c r="K1139" s="33">
        <f t="shared" ref="K1139:K1150" si="173">ROUND(G1139*J1139,2)</f>
        <v>14196.15</v>
      </c>
      <c r="L1139" s="34" t="s">
        <v>28</v>
      </c>
      <c r="M1139" s="35"/>
      <c r="O1139" s="21">
        <v>1019.76</v>
      </c>
      <c r="P1139" s="22" t="s">
        <v>49</v>
      </c>
      <c r="Q1139" s="38"/>
      <c r="R1139" s="38"/>
    </row>
    <row r="1140" s="3" customFormat="1" ht="156" customHeight="1" outlineLevel="2" spans="1:18">
      <c r="A1140" s="41">
        <f t="shared" si="171"/>
        <v>2</v>
      </c>
      <c r="B1140" s="28" t="s">
        <v>50</v>
      </c>
      <c r="C1140" s="28" t="s">
        <v>51</v>
      </c>
      <c r="D1140" s="28" t="s">
        <v>52</v>
      </c>
      <c r="E1140" s="28" t="s">
        <v>48</v>
      </c>
      <c r="F1140" s="29" t="s">
        <v>27</v>
      </c>
      <c r="G1140" s="30">
        <v>25.36</v>
      </c>
      <c r="H1140" s="31">
        <v>996.46</v>
      </c>
      <c r="I1140" s="39"/>
      <c r="J1140" s="31">
        <f t="shared" si="172"/>
        <v>996.46</v>
      </c>
      <c r="K1140" s="33">
        <f t="shared" si="173"/>
        <v>25270.23</v>
      </c>
      <c r="L1140" s="34" t="s">
        <v>28</v>
      </c>
      <c r="M1140" s="35"/>
      <c r="O1140" s="21">
        <v>1000.51</v>
      </c>
      <c r="P1140" s="22" t="s">
        <v>723</v>
      </c>
      <c r="Q1140" s="38"/>
      <c r="R1140" s="38"/>
    </row>
    <row r="1141" s="3" customFormat="1" ht="120" customHeight="1" outlineLevel="2" spans="1:18">
      <c r="A1141" s="41">
        <f t="shared" si="171"/>
        <v>3</v>
      </c>
      <c r="B1141" s="28" t="s">
        <v>291</v>
      </c>
      <c r="C1141" s="28" t="s">
        <v>289</v>
      </c>
      <c r="D1141" s="28" t="s">
        <v>52</v>
      </c>
      <c r="E1141" s="28" t="s">
        <v>63</v>
      </c>
      <c r="F1141" s="29" t="s">
        <v>27</v>
      </c>
      <c r="G1141" s="30">
        <v>5.43</v>
      </c>
      <c r="H1141" s="31">
        <v>580.35</v>
      </c>
      <c r="I1141" s="39"/>
      <c r="J1141" s="31">
        <f t="shared" si="172"/>
        <v>580.35</v>
      </c>
      <c r="K1141" s="33">
        <f t="shared" si="173"/>
        <v>3151.3</v>
      </c>
      <c r="L1141" s="34" t="s">
        <v>28</v>
      </c>
      <c r="M1141" s="35"/>
      <c r="O1141" s="21">
        <v>479.36</v>
      </c>
      <c r="P1141" s="22" t="s">
        <v>724</v>
      </c>
      <c r="Q1141" s="38"/>
      <c r="R1141" s="38"/>
    </row>
    <row r="1142" s="3" customFormat="1" ht="96" customHeight="1" outlineLevel="2" spans="1:18">
      <c r="A1142" s="41">
        <f t="shared" si="171"/>
        <v>4</v>
      </c>
      <c r="B1142" s="28" t="s">
        <v>295</v>
      </c>
      <c r="C1142" s="28" t="s">
        <v>296</v>
      </c>
      <c r="D1142" s="28" t="s">
        <v>59</v>
      </c>
      <c r="E1142" s="28" t="s">
        <v>26</v>
      </c>
      <c r="F1142" s="29" t="s">
        <v>27</v>
      </c>
      <c r="G1142" s="30">
        <v>39.66</v>
      </c>
      <c r="H1142" s="31">
        <v>311.52</v>
      </c>
      <c r="I1142" s="39"/>
      <c r="J1142" s="31">
        <f t="shared" si="172"/>
        <v>311.52</v>
      </c>
      <c r="K1142" s="33">
        <f t="shared" si="173"/>
        <v>12354.88</v>
      </c>
      <c r="L1142" s="34" t="s">
        <v>28</v>
      </c>
      <c r="M1142" s="35"/>
      <c r="O1142" s="21">
        <v>278.47</v>
      </c>
      <c r="P1142" s="22" t="s">
        <v>297</v>
      </c>
      <c r="Q1142" s="38"/>
      <c r="R1142" s="38"/>
    </row>
    <row r="1143" s="3" customFormat="1" ht="120" customHeight="1" outlineLevel="2" spans="1:18">
      <c r="A1143" s="41">
        <f t="shared" si="171"/>
        <v>5</v>
      </c>
      <c r="B1143" s="28" t="s">
        <v>61</v>
      </c>
      <c r="C1143" s="28" t="s">
        <v>62</v>
      </c>
      <c r="D1143" s="28" t="s">
        <v>52</v>
      </c>
      <c r="E1143" s="28" t="s">
        <v>63</v>
      </c>
      <c r="F1143" s="29" t="s">
        <v>27</v>
      </c>
      <c r="G1143" s="30">
        <v>1.67</v>
      </c>
      <c r="H1143" s="31">
        <v>630.65</v>
      </c>
      <c r="I1143" s="39"/>
      <c r="J1143" s="31">
        <f t="shared" si="172"/>
        <v>630.65</v>
      </c>
      <c r="K1143" s="33">
        <f t="shared" si="173"/>
        <v>1053.19</v>
      </c>
      <c r="L1143" s="34" t="s">
        <v>28</v>
      </c>
      <c r="M1143" s="35"/>
      <c r="O1143" s="21">
        <v>681.67</v>
      </c>
      <c r="P1143" s="22" t="s">
        <v>64</v>
      </c>
      <c r="Q1143" s="38"/>
      <c r="R1143" s="38"/>
    </row>
    <row r="1144" s="3" customFormat="1" ht="120" customHeight="1" outlineLevel="2" spans="1:18">
      <c r="A1144" s="41">
        <f t="shared" si="171"/>
        <v>6</v>
      </c>
      <c r="B1144" s="28" t="s">
        <v>65</v>
      </c>
      <c r="C1144" s="28" t="s">
        <v>62</v>
      </c>
      <c r="D1144" s="28" t="s">
        <v>52</v>
      </c>
      <c r="E1144" s="28" t="s">
        <v>63</v>
      </c>
      <c r="F1144" s="29" t="s">
        <v>27</v>
      </c>
      <c r="G1144" s="30">
        <v>3.74</v>
      </c>
      <c r="H1144" s="31">
        <v>630.65</v>
      </c>
      <c r="I1144" s="39"/>
      <c r="J1144" s="31">
        <f t="shared" si="172"/>
        <v>630.65</v>
      </c>
      <c r="K1144" s="33">
        <f t="shared" si="173"/>
        <v>2358.63</v>
      </c>
      <c r="L1144" s="34" t="s">
        <v>28</v>
      </c>
      <c r="M1144" s="35"/>
      <c r="O1144" s="21">
        <v>681.67</v>
      </c>
      <c r="P1144" s="22" t="s">
        <v>64</v>
      </c>
      <c r="Q1144" s="38"/>
      <c r="R1144" s="38"/>
    </row>
    <row r="1145" s="3" customFormat="1" ht="120" customHeight="1" outlineLevel="2" spans="1:18">
      <c r="A1145" s="41">
        <f t="shared" si="171"/>
        <v>7</v>
      </c>
      <c r="B1145" s="28" t="s">
        <v>66</v>
      </c>
      <c r="C1145" s="28" t="s">
        <v>67</v>
      </c>
      <c r="D1145" s="28" t="s">
        <v>52</v>
      </c>
      <c r="E1145" s="28" t="s">
        <v>63</v>
      </c>
      <c r="F1145" s="29" t="s">
        <v>27</v>
      </c>
      <c r="G1145" s="30">
        <v>1.38</v>
      </c>
      <c r="H1145" s="31">
        <v>812.96</v>
      </c>
      <c r="I1145" s="39"/>
      <c r="J1145" s="31">
        <f t="shared" si="172"/>
        <v>812.96</v>
      </c>
      <c r="K1145" s="33">
        <f t="shared" si="173"/>
        <v>1121.88</v>
      </c>
      <c r="L1145" s="34" t="s">
        <v>28</v>
      </c>
      <c r="M1145" s="35"/>
      <c r="O1145" s="21">
        <v>681.67</v>
      </c>
      <c r="P1145" s="22" t="s">
        <v>68</v>
      </c>
      <c r="Q1145" s="38"/>
      <c r="R1145" s="38"/>
    </row>
    <row r="1146" s="3" customFormat="1" ht="120" customHeight="1" outlineLevel="2" spans="1:18">
      <c r="A1146" s="41">
        <f t="shared" si="171"/>
        <v>8</v>
      </c>
      <c r="B1146" s="28" t="s">
        <v>69</v>
      </c>
      <c r="C1146" s="28" t="s">
        <v>70</v>
      </c>
      <c r="D1146" s="28" t="s">
        <v>52</v>
      </c>
      <c r="E1146" s="28" t="s">
        <v>63</v>
      </c>
      <c r="F1146" s="29" t="s">
        <v>27</v>
      </c>
      <c r="G1146" s="30">
        <v>0.26</v>
      </c>
      <c r="H1146" s="31">
        <v>1175.56</v>
      </c>
      <c r="I1146" s="39"/>
      <c r="J1146" s="31">
        <f t="shared" si="172"/>
        <v>1175.56</v>
      </c>
      <c r="K1146" s="33">
        <f t="shared" si="173"/>
        <v>305.65</v>
      </c>
      <c r="L1146" s="34" t="s">
        <v>28</v>
      </c>
      <c r="M1146" s="35"/>
      <c r="O1146" s="21">
        <v>681.67</v>
      </c>
      <c r="P1146" s="22" t="s">
        <v>71</v>
      </c>
      <c r="Q1146" s="38"/>
      <c r="R1146" s="38"/>
    </row>
    <row r="1147" s="3" customFormat="1" ht="96" customHeight="1" outlineLevel="2" spans="1:18">
      <c r="A1147" s="41">
        <f t="shared" si="171"/>
        <v>9</v>
      </c>
      <c r="B1147" s="28" t="s">
        <v>75</v>
      </c>
      <c r="C1147" s="28" t="s">
        <v>76</v>
      </c>
      <c r="D1147" s="28" t="s">
        <v>59</v>
      </c>
      <c r="E1147" s="28" t="s">
        <v>38</v>
      </c>
      <c r="F1147" s="29" t="s">
        <v>39</v>
      </c>
      <c r="G1147" s="30">
        <v>26</v>
      </c>
      <c r="H1147" s="31">
        <v>67.08</v>
      </c>
      <c r="I1147" s="39"/>
      <c r="J1147" s="31">
        <f t="shared" si="172"/>
        <v>67.08</v>
      </c>
      <c r="K1147" s="33">
        <f t="shared" si="173"/>
        <v>1744.08</v>
      </c>
      <c r="L1147" s="34" t="s">
        <v>28</v>
      </c>
      <c r="M1147" s="35"/>
      <c r="O1147" s="21">
        <v>45.71</v>
      </c>
      <c r="P1147" s="22" t="s">
        <v>77</v>
      </c>
      <c r="Q1147" s="38"/>
      <c r="R1147" s="38"/>
    </row>
    <row r="1148" s="3" customFormat="1" ht="96" customHeight="1" outlineLevel="2" spans="1:18">
      <c r="A1148" s="41">
        <f t="shared" si="171"/>
        <v>10</v>
      </c>
      <c r="B1148" s="28" t="s">
        <v>725</v>
      </c>
      <c r="C1148" s="28" t="s">
        <v>726</v>
      </c>
      <c r="D1148" s="28" t="s">
        <v>59</v>
      </c>
      <c r="E1148" s="28" t="s">
        <v>38</v>
      </c>
      <c r="F1148" s="29" t="s">
        <v>39</v>
      </c>
      <c r="G1148" s="30">
        <v>12.85</v>
      </c>
      <c r="H1148" s="31">
        <v>71.9</v>
      </c>
      <c r="I1148" s="39"/>
      <c r="J1148" s="31">
        <f t="shared" si="172"/>
        <v>71.9</v>
      </c>
      <c r="K1148" s="33">
        <f t="shared" si="173"/>
        <v>923.92</v>
      </c>
      <c r="L1148" s="34" t="s">
        <v>28</v>
      </c>
      <c r="M1148" s="35"/>
      <c r="O1148" s="21">
        <v>50.8</v>
      </c>
      <c r="P1148" s="22" t="s">
        <v>727</v>
      </c>
      <c r="Q1148" s="38"/>
      <c r="R1148" s="38"/>
    </row>
    <row r="1149" s="3" customFormat="1" ht="96" customHeight="1" outlineLevel="2" spans="1:18">
      <c r="A1149" s="41">
        <f t="shared" si="171"/>
        <v>11</v>
      </c>
      <c r="B1149" s="28" t="s">
        <v>84</v>
      </c>
      <c r="C1149" s="28" t="s">
        <v>85</v>
      </c>
      <c r="D1149" s="28" t="s">
        <v>59</v>
      </c>
      <c r="E1149" s="28" t="s">
        <v>38</v>
      </c>
      <c r="F1149" s="29" t="s">
        <v>39</v>
      </c>
      <c r="G1149" s="30">
        <v>9.41</v>
      </c>
      <c r="H1149" s="31">
        <v>117.84</v>
      </c>
      <c r="I1149" s="39"/>
      <c r="J1149" s="31">
        <f t="shared" si="172"/>
        <v>117.84</v>
      </c>
      <c r="K1149" s="33">
        <f t="shared" si="173"/>
        <v>1108.87</v>
      </c>
      <c r="L1149" s="34" t="s">
        <v>28</v>
      </c>
      <c r="M1149" s="35"/>
      <c r="O1149" s="21">
        <v>95.14</v>
      </c>
      <c r="P1149" s="22" t="s">
        <v>86</v>
      </c>
      <c r="Q1149" s="38"/>
      <c r="R1149" s="38"/>
    </row>
    <row r="1150" s="3" customFormat="1" ht="96" customHeight="1" outlineLevel="2" spans="1:18">
      <c r="A1150" s="41">
        <f t="shared" si="171"/>
        <v>12</v>
      </c>
      <c r="B1150" s="28" t="s">
        <v>87</v>
      </c>
      <c r="C1150" s="28" t="s">
        <v>88</v>
      </c>
      <c r="D1150" s="28" t="s">
        <v>59</v>
      </c>
      <c r="E1150" s="28" t="s">
        <v>38</v>
      </c>
      <c r="F1150" s="29" t="s">
        <v>39</v>
      </c>
      <c r="G1150" s="30">
        <v>29.33</v>
      </c>
      <c r="H1150" s="31">
        <v>64.25</v>
      </c>
      <c r="I1150" s="39"/>
      <c r="J1150" s="31">
        <f t="shared" si="172"/>
        <v>64.25</v>
      </c>
      <c r="K1150" s="33">
        <f t="shared" si="173"/>
        <v>1884.45</v>
      </c>
      <c r="L1150" s="34" t="s">
        <v>28</v>
      </c>
      <c r="M1150" s="35"/>
      <c r="O1150" s="21">
        <v>43.16</v>
      </c>
      <c r="P1150" s="22" t="s">
        <v>89</v>
      </c>
      <c r="Q1150" s="38"/>
      <c r="R1150" s="38"/>
    </row>
    <row r="1151" s="3" customFormat="1" outlineLevel="1" spans="1:18">
      <c r="A1151" s="40"/>
      <c r="B1151" s="28" t="s">
        <v>90</v>
      </c>
      <c r="C1151" s="28"/>
      <c r="D1151" s="28"/>
      <c r="E1151" s="28"/>
      <c r="F1151" s="29"/>
      <c r="G1151" s="30"/>
      <c r="H1151" s="31"/>
      <c r="I1151" s="39"/>
      <c r="J1151" s="31"/>
      <c r="K1151" s="33"/>
      <c r="L1151" s="34"/>
      <c r="M1151" s="35"/>
      <c r="O1151" s="36"/>
      <c r="P1151" s="37"/>
      <c r="Q1151" s="38"/>
      <c r="R1151" s="38"/>
    </row>
    <row r="1152" s="3" customFormat="1" ht="168" customHeight="1" outlineLevel="2" spans="1:18">
      <c r="A1152" s="41">
        <f>1+N(A1151)</f>
        <v>1</v>
      </c>
      <c r="B1152" s="28" t="s">
        <v>636</v>
      </c>
      <c r="C1152" s="28" t="s">
        <v>92</v>
      </c>
      <c r="D1152" s="28" t="s">
        <v>93</v>
      </c>
      <c r="E1152" s="28" t="s">
        <v>94</v>
      </c>
      <c r="F1152" s="29" t="s">
        <v>27</v>
      </c>
      <c r="G1152" s="30">
        <v>29.4</v>
      </c>
      <c r="H1152" s="31">
        <v>150.71</v>
      </c>
      <c r="I1152" s="39"/>
      <c r="J1152" s="31">
        <f>H1152*(1-$I$4)</f>
        <v>150.71</v>
      </c>
      <c r="K1152" s="33">
        <f>ROUND(G1152*J1152,2)</f>
        <v>4430.87</v>
      </c>
      <c r="L1152" s="34" t="s">
        <v>28</v>
      </c>
      <c r="M1152" s="35"/>
      <c r="O1152" s="21">
        <v>150.38</v>
      </c>
      <c r="P1152" s="22" t="s">
        <v>728</v>
      </c>
      <c r="Q1152" s="38"/>
      <c r="R1152" s="38"/>
    </row>
    <row r="1153" s="3" customFormat="1" ht="48" customHeight="1" outlineLevel="2" spans="1:18">
      <c r="A1153" s="41">
        <f>1+N(A1152)</f>
        <v>2</v>
      </c>
      <c r="B1153" s="28" t="s">
        <v>729</v>
      </c>
      <c r="C1153" s="28" t="s">
        <v>730</v>
      </c>
      <c r="D1153" s="28" t="s">
        <v>98</v>
      </c>
      <c r="E1153" s="28" t="s">
        <v>99</v>
      </c>
      <c r="F1153" s="29" t="s">
        <v>39</v>
      </c>
      <c r="G1153" s="30">
        <v>15.99</v>
      </c>
      <c r="H1153" s="31">
        <v>112.16</v>
      </c>
      <c r="I1153" s="39"/>
      <c r="J1153" s="31">
        <f>H1153*(1-$I$4)</f>
        <v>112.16</v>
      </c>
      <c r="K1153" s="33">
        <f>ROUND(G1153*J1153,2)</f>
        <v>1793.44</v>
      </c>
      <c r="L1153" s="34" t="s">
        <v>28</v>
      </c>
      <c r="M1153" s="35"/>
      <c r="O1153" s="21">
        <v>79.3</v>
      </c>
      <c r="P1153" s="22" t="s">
        <v>603</v>
      </c>
      <c r="Q1153" s="38"/>
      <c r="R1153" s="38"/>
    </row>
    <row r="1154" s="3" customFormat="1" ht="48" customHeight="1" outlineLevel="2" spans="1:18">
      <c r="A1154" s="41">
        <f>1+N(A1153)</f>
        <v>3</v>
      </c>
      <c r="B1154" s="28" t="s">
        <v>101</v>
      </c>
      <c r="C1154" s="28" t="s">
        <v>102</v>
      </c>
      <c r="D1154" s="28" t="s">
        <v>98</v>
      </c>
      <c r="E1154" s="28" t="s">
        <v>99</v>
      </c>
      <c r="F1154" s="29" t="s">
        <v>39</v>
      </c>
      <c r="G1154" s="30">
        <v>15.99</v>
      </c>
      <c r="H1154" s="31">
        <v>75.82</v>
      </c>
      <c r="I1154" s="39"/>
      <c r="J1154" s="31">
        <f>H1154*(1-$I$4)</f>
        <v>75.82</v>
      </c>
      <c r="K1154" s="33">
        <f>ROUND(G1154*J1154,2)</f>
        <v>1212.36</v>
      </c>
      <c r="L1154" s="34" t="s">
        <v>28</v>
      </c>
      <c r="M1154" s="35"/>
      <c r="O1154" s="21">
        <v>203.56</v>
      </c>
      <c r="P1154" s="22" t="s">
        <v>103</v>
      </c>
      <c r="Q1154" s="38"/>
      <c r="R1154" s="38"/>
    </row>
    <row r="1155" s="3" customFormat="1" ht="48" customHeight="1" outlineLevel="2" spans="1:18">
      <c r="A1155" s="41">
        <f>1+N(A1154)</f>
        <v>4</v>
      </c>
      <c r="B1155" s="28" t="s">
        <v>104</v>
      </c>
      <c r="C1155" s="28" t="s">
        <v>105</v>
      </c>
      <c r="D1155" s="28" t="s">
        <v>98</v>
      </c>
      <c r="E1155" s="28" t="s">
        <v>99</v>
      </c>
      <c r="F1155" s="29" t="s">
        <v>39</v>
      </c>
      <c r="G1155" s="30">
        <v>10.24</v>
      </c>
      <c r="H1155" s="31">
        <v>109.74</v>
      </c>
      <c r="I1155" s="39"/>
      <c r="J1155" s="31">
        <f>H1155*(1-$I$4)</f>
        <v>109.74</v>
      </c>
      <c r="K1155" s="33">
        <f>ROUND(G1155*J1155,2)</f>
        <v>1123.74</v>
      </c>
      <c r="L1155" s="34" t="s">
        <v>28</v>
      </c>
      <c r="M1155" s="35"/>
      <c r="O1155" s="21">
        <v>108.2</v>
      </c>
      <c r="P1155" s="22" t="s">
        <v>106</v>
      </c>
      <c r="Q1155" s="38"/>
      <c r="R1155" s="38"/>
    </row>
    <row r="1156" s="3" customFormat="1" ht="132" customHeight="1" outlineLevel="2" spans="1:18">
      <c r="A1156" s="41">
        <f>1+N(A1155)</f>
        <v>5</v>
      </c>
      <c r="B1156" s="28" t="s">
        <v>107</v>
      </c>
      <c r="C1156" s="28" t="s">
        <v>108</v>
      </c>
      <c r="D1156" s="28" t="s">
        <v>109</v>
      </c>
      <c r="E1156" s="28" t="s">
        <v>110</v>
      </c>
      <c r="F1156" s="29" t="s">
        <v>27</v>
      </c>
      <c r="G1156" s="30">
        <v>35.69</v>
      </c>
      <c r="H1156" s="31">
        <v>152.22</v>
      </c>
      <c r="I1156" s="39"/>
      <c r="J1156" s="31">
        <f>H1156*(1-$I$4)</f>
        <v>152.22</v>
      </c>
      <c r="K1156" s="33">
        <f>ROUND(G1156*J1156,2)</f>
        <v>5432.73</v>
      </c>
      <c r="L1156" s="34" t="s">
        <v>28</v>
      </c>
      <c r="M1156" s="35"/>
      <c r="O1156" s="21">
        <v>151.58</v>
      </c>
      <c r="P1156" s="22" t="s">
        <v>111</v>
      </c>
      <c r="Q1156" s="38"/>
      <c r="R1156" s="38"/>
    </row>
    <row r="1157" s="3" customFormat="1" outlineLevel="1" spans="1:18">
      <c r="A1157" s="40"/>
      <c r="B1157" s="28" t="s">
        <v>112</v>
      </c>
      <c r="C1157" s="28"/>
      <c r="D1157" s="28"/>
      <c r="E1157" s="28"/>
      <c r="F1157" s="29"/>
      <c r="G1157" s="30"/>
      <c r="H1157" s="31"/>
      <c r="I1157" s="39"/>
      <c r="J1157" s="31"/>
      <c r="K1157" s="33"/>
      <c r="L1157" s="34"/>
      <c r="M1157" s="35"/>
      <c r="O1157" s="36"/>
      <c r="P1157" s="37"/>
      <c r="Q1157" s="38"/>
      <c r="R1157" s="38"/>
    </row>
    <row r="1158" s="3" customFormat="1" outlineLevel="1" spans="1:18">
      <c r="A1158" s="27" t="s">
        <v>151</v>
      </c>
      <c r="B1158" s="28" t="s">
        <v>733</v>
      </c>
      <c r="C1158" s="28"/>
      <c r="D1158" s="28"/>
      <c r="E1158" s="28"/>
      <c r="F1158" s="29"/>
      <c r="G1158" s="30"/>
      <c r="H1158" s="31"/>
      <c r="I1158" s="39"/>
      <c r="J1158" s="31"/>
      <c r="K1158" s="33"/>
      <c r="L1158" s="34"/>
      <c r="M1158" s="35"/>
      <c r="O1158" s="36"/>
      <c r="P1158" s="37"/>
      <c r="Q1158" s="38"/>
      <c r="R1158" s="38"/>
    </row>
    <row r="1159" s="3" customFormat="1" outlineLevel="1" spans="1:18">
      <c r="A1159" s="40"/>
      <c r="B1159" s="28" t="s">
        <v>22</v>
      </c>
      <c r="C1159" s="28"/>
      <c r="D1159" s="28"/>
      <c r="E1159" s="28"/>
      <c r="F1159" s="29"/>
      <c r="G1159" s="30"/>
      <c r="H1159" s="31"/>
      <c r="I1159" s="39"/>
      <c r="J1159" s="31"/>
      <c r="K1159" s="33"/>
      <c r="L1159" s="34"/>
      <c r="M1159" s="35"/>
      <c r="O1159" s="36"/>
      <c r="P1159" s="37"/>
      <c r="Q1159" s="38"/>
      <c r="R1159" s="38"/>
    </row>
    <row r="1160" s="3" customFormat="1" ht="108" customHeight="1" outlineLevel="2" spans="1:18">
      <c r="A1160" s="41">
        <f>1+N(A1159)</f>
        <v>1</v>
      </c>
      <c r="B1160" s="28" t="s">
        <v>23</v>
      </c>
      <c r="C1160" s="28" t="s">
        <v>24</v>
      </c>
      <c r="D1160" s="28" t="s">
        <v>25</v>
      </c>
      <c r="E1160" s="28" t="s">
        <v>26</v>
      </c>
      <c r="F1160" s="29" t="s">
        <v>27</v>
      </c>
      <c r="G1160" s="30">
        <v>3.97</v>
      </c>
      <c r="H1160" s="31">
        <v>940.91</v>
      </c>
      <c r="I1160" s="39"/>
      <c r="J1160" s="31">
        <f>H1160*(1-$I$4)</f>
        <v>940.91</v>
      </c>
      <c r="K1160" s="33">
        <f>ROUND(G1160*J1160,2)</f>
        <v>3735.41</v>
      </c>
      <c r="L1160" s="34" t="s">
        <v>28</v>
      </c>
      <c r="M1160" s="35"/>
      <c r="O1160" s="21">
        <v>886.6</v>
      </c>
      <c r="P1160" s="22" t="s">
        <v>29</v>
      </c>
      <c r="Q1160" s="38"/>
      <c r="R1160" s="38"/>
    </row>
    <row r="1161" s="3" customFormat="1" ht="108" customHeight="1" outlineLevel="2" spans="1:18">
      <c r="A1161" s="41">
        <f>1+N(A1160)</f>
        <v>2</v>
      </c>
      <c r="B1161" s="28" t="s">
        <v>30</v>
      </c>
      <c r="C1161" s="28" t="s">
        <v>31</v>
      </c>
      <c r="D1161" s="28" t="s">
        <v>25</v>
      </c>
      <c r="E1161" s="28" t="s">
        <v>26</v>
      </c>
      <c r="F1161" s="29" t="s">
        <v>27</v>
      </c>
      <c r="G1161" s="30">
        <v>13.03</v>
      </c>
      <c r="H1161" s="31">
        <v>1412.25</v>
      </c>
      <c r="I1161" s="39"/>
      <c r="J1161" s="31">
        <f>H1161*(1-$I$4)</f>
        <v>1412.25</v>
      </c>
      <c r="K1161" s="33">
        <f>ROUND(G1161*J1161,2)</f>
        <v>18401.62</v>
      </c>
      <c r="L1161" s="34" t="s">
        <v>28</v>
      </c>
      <c r="M1161" s="35"/>
      <c r="O1161" s="21">
        <v>1135.86</v>
      </c>
      <c r="P1161" s="22" t="s">
        <v>32</v>
      </c>
      <c r="Q1161" s="38"/>
      <c r="R1161" s="38"/>
    </row>
    <row r="1162" s="3" customFormat="1" ht="72" customHeight="1" outlineLevel="2" spans="1:18">
      <c r="A1162" s="41">
        <f>1+N(A1161)</f>
        <v>3</v>
      </c>
      <c r="B1162" s="28" t="s">
        <v>36</v>
      </c>
      <c r="C1162" s="28" t="s">
        <v>37</v>
      </c>
      <c r="D1162" s="28" t="s">
        <v>25</v>
      </c>
      <c r="E1162" s="28" t="s">
        <v>38</v>
      </c>
      <c r="F1162" s="29" t="s">
        <v>39</v>
      </c>
      <c r="G1162" s="30">
        <v>14.57</v>
      </c>
      <c r="H1162" s="31">
        <v>89.27</v>
      </c>
      <c r="I1162" s="39"/>
      <c r="J1162" s="31">
        <f>H1162*(1-$I$4)</f>
        <v>89.27</v>
      </c>
      <c r="K1162" s="33">
        <f>ROUND(G1162*J1162,2)</f>
        <v>1300.66</v>
      </c>
      <c r="L1162" s="34" t="s">
        <v>28</v>
      </c>
      <c r="M1162" s="35"/>
      <c r="O1162" s="21">
        <v>35.28</v>
      </c>
      <c r="P1162" s="22" t="s">
        <v>40</v>
      </c>
      <c r="Q1162" s="38"/>
      <c r="R1162" s="38"/>
    </row>
    <row r="1163" s="3" customFormat="1" ht="72" customHeight="1" outlineLevel="2" spans="1:18">
      <c r="A1163" s="41">
        <f>1+N(A1162)</f>
        <v>4</v>
      </c>
      <c r="B1163" s="28" t="s">
        <v>41</v>
      </c>
      <c r="C1163" s="28" t="s">
        <v>42</v>
      </c>
      <c r="D1163" s="28" t="s">
        <v>25</v>
      </c>
      <c r="E1163" s="28" t="s">
        <v>26</v>
      </c>
      <c r="F1163" s="29" t="s">
        <v>27</v>
      </c>
      <c r="G1163" s="30">
        <v>17</v>
      </c>
      <c r="H1163" s="31">
        <v>64.9</v>
      </c>
      <c r="I1163" s="39"/>
      <c r="J1163" s="31">
        <f>H1163*(1-$I$4)</f>
        <v>64.9</v>
      </c>
      <c r="K1163" s="33">
        <f>ROUND(G1163*J1163,2)</f>
        <v>1103.3</v>
      </c>
      <c r="L1163" s="34" t="s">
        <v>28</v>
      </c>
      <c r="M1163" s="35"/>
      <c r="O1163" s="21">
        <v>61.38</v>
      </c>
      <c r="P1163" s="22" t="s">
        <v>43</v>
      </c>
      <c r="Q1163" s="38"/>
      <c r="R1163" s="38"/>
    </row>
    <row r="1164" s="3" customFormat="1" outlineLevel="1" spans="1:18">
      <c r="A1164" s="40"/>
      <c r="B1164" s="28" t="s">
        <v>687</v>
      </c>
      <c r="C1164" s="28"/>
      <c r="D1164" s="28"/>
      <c r="E1164" s="28"/>
      <c r="F1164" s="29"/>
      <c r="G1164" s="30"/>
      <c r="H1164" s="31"/>
      <c r="I1164" s="39"/>
      <c r="J1164" s="31"/>
      <c r="K1164" s="33"/>
      <c r="L1164" s="34"/>
      <c r="M1164" s="35"/>
      <c r="O1164" s="36"/>
      <c r="P1164" s="37"/>
      <c r="Q1164" s="38"/>
      <c r="R1164" s="38"/>
    </row>
    <row r="1165" s="3" customFormat="1" ht="108" customHeight="1" outlineLevel="2" spans="1:18">
      <c r="A1165" s="41">
        <f t="shared" ref="A1165:A1173" si="174">1+N(A1164)</f>
        <v>1</v>
      </c>
      <c r="B1165" s="28" t="s">
        <v>45</v>
      </c>
      <c r="C1165" s="28" t="s">
        <v>46</v>
      </c>
      <c r="D1165" s="28" t="s">
        <v>47</v>
      </c>
      <c r="E1165" s="28" t="s">
        <v>48</v>
      </c>
      <c r="F1165" s="29" t="s">
        <v>27</v>
      </c>
      <c r="G1165" s="30">
        <v>5.32</v>
      </c>
      <c r="H1165" s="31">
        <v>2668.45</v>
      </c>
      <c r="I1165" s="39"/>
      <c r="J1165" s="31">
        <f t="shared" ref="J1165:J1173" si="175">H1165*(1-$I$4)</f>
        <v>2668.45</v>
      </c>
      <c r="K1165" s="33">
        <f t="shared" ref="K1165:K1173" si="176">ROUND(G1165*J1165,2)</f>
        <v>14196.15</v>
      </c>
      <c r="L1165" s="34" t="s">
        <v>28</v>
      </c>
      <c r="M1165" s="35"/>
      <c r="O1165" s="21">
        <v>1019.76</v>
      </c>
      <c r="P1165" s="22" t="s">
        <v>49</v>
      </c>
      <c r="Q1165" s="38"/>
      <c r="R1165" s="38"/>
    </row>
    <row r="1166" s="3" customFormat="1" ht="156" customHeight="1" outlineLevel="2" spans="1:18">
      <c r="A1166" s="41">
        <f t="shared" si="174"/>
        <v>2</v>
      </c>
      <c r="B1166" s="28" t="s">
        <v>50</v>
      </c>
      <c r="C1166" s="28" t="s">
        <v>51</v>
      </c>
      <c r="D1166" s="28" t="s">
        <v>52</v>
      </c>
      <c r="E1166" s="28" t="s">
        <v>48</v>
      </c>
      <c r="F1166" s="29" t="s">
        <v>27</v>
      </c>
      <c r="G1166" s="30">
        <v>25.27</v>
      </c>
      <c r="H1166" s="31">
        <v>996.46</v>
      </c>
      <c r="I1166" s="39"/>
      <c r="J1166" s="31">
        <f t="shared" si="175"/>
        <v>996.46</v>
      </c>
      <c r="K1166" s="33">
        <f t="shared" si="176"/>
        <v>25180.54</v>
      </c>
      <c r="L1166" s="34" t="s">
        <v>28</v>
      </c>
      <c r="M1166" s="35"/>
      <c r="O1166" s="21">
        <v>1000.51</v>
      </c>
      <c r="P1166" s="22" t="s">
        <v>723</v>
      </c>
      <c r="Q1166" s="38"/>
      <c r="R1166" s="38"/>
    </row>
    <row r="1167" s="3" customFormat="1" ht="120" customHeight="1" outlineLevel="2" spans="1:18">
      <c r="A1167" s="41">
        <f t="shared" si="174"/>
        <v>3</v>
      </c>
      <c r="B1167" s="28" t="s">
        <v>291</v>
      </c>
      <c r="C1167" s="28" t="s">
        <v>289</v>
      </c>
      <c r="D1167" s="28" t="s">
        <v>52</v>
      </c>
      <c r="E1167" s="28" t="s">
        <v>63</v>
      </c>
      <c r="F1167" s="29" t="s">
        <v>27</v>
      </c>
      <c r="G1167" s="30">
        <v>2.1</v>
      </c>
      <c r="H1167" s="31">
        <v>580.35</v>
      </c>
      <c r="I1167" s="39"/>
      <c r="J1167" s="31">
        <f t="shared" si="175"/>
        <v>580.35</v>
      </c>
      <c r="K1167" s="33">
        <f t="shared" si="176"/>
        <v>1218.74</v>
      </c>
      <c r="L1167" s="34" t="s">
        <v>28</v>
      </c>
      <c r="M1167" s="35"/>
      <c r="O1167" s="21">
        <v>479.36</v>
      </c>
      <c r="P1167" s="22" t="s">
        <v>724</v>
      </c>
      <c r="Q1167" s="38"/>
      <c r="R1167" s="38"/>
    </row>
    <row r="1168" s="3" customFormat="1" ht="120" customHeight="1" outlineLevel="2" spans="1:18">
      <c r="A1168" s="41">
        <f t="shared" si="174"/>
        <v>4</v>
      </c>
      <c r="B1168" s="28" t="s">
        <v>65</v>
      </c>
      <c r="C1168" s="28" t="s">
        <v>62</v>
      </c>
      <c r="D1168" s="28" t="s">
        <v>52</v>
      </c>
      <c r="E1168" s="28" t="s">
        <v>63</v>
      </c>
      <c r="F1168" s="29" t="s">
        <v>27</v>
      </c>
      <c r="G1168" s="30">
        <v>3.74</v>
      </c>
      <c r="H1168" s="31">
        <v>630.65</v>
      </c>
      <c r="I1168" s="39"/>
      <c r="J1168" s="31">
        <f t="shared" si="175"/>
        <v>630.65</v>
      </c>
      <c r="K1168" s="33">
        <f t="shared" si="176"/>
        <v>2358.63</v>
      </c>
      <c r="L1168" s="34" t="s">
        <v>28</v>
      </c>
      <c r="M1168" s="35"/>
      <c r="O1168" s="21">
        <v>681.67</v>
      </c>
      <c r="P1168" s="22" t="s">
        <v>64</v>
      </c>
      <c r="Q1168" s="38"/>
      <c r="R1168" s="38"/>
    </row>
    <row r="1169" s="3" customFormat="1" ht="120" customHeight="1" outlineLevel="2" spans="1:18">
      <c r="A1169" s="41">
        <f t="shared" si="174"/>
        <v>5</v>
      </c>
      <c r="B1169" s="28" t="s">
        <v>66</v>
      </c>
      <c r="C1169" s="28" t="s">
        <v>67</v>
      </c>
      <c r="D1169" s="28" t="s">
        <v>52</v>
      </c>
      <c r="E1169" s="28" t="s">
        <v>63</v>
      </c>
      <c r="F1169" s="29" t="s">
        <v>27</v>
      </c>
      <c r="G1169" s="30">
        <v>1.38</v>
      </c>
      <c r="H1169" s="31">
        <v>812.96</v>
      </c>
      <c r="I1169" s="39"/>
      <c r="J1169" s="31">
        <f t="shared" si="175"/>
        <v>812.96</v>
      </c>
      <c r="K1169" s="33">
        <f t="shared" si="176"/>
        <v>1121.88</v>
      </c>
      <c r="L1169" s="34" t="s">
        <v>28</v>
      </c>
      <c r="M1169" s="35"/>
      <c r="O1169" s="21">
        <v>681.67</v>
      </c>
      <c r="P1169" s="22" t="s">
        <v>68</v>
      </c>
      <c r="Q1169" s="38"/>
      <c r="R1169" s="38"/>
    </row>
    <row r="1170" s="3" customFormat="1" ht="120" customHeight="1" outlineLevel="2" spans="1:18">
      <c r="A1170" s="41">
        <f t="shared" si="174"/>
        <v>6</v>
      </c>
      <c r="B1170" s="28" t="s">
        <v>69</v>
      </c>
      <c r="C1170" s="28" t="s">
        <v>70</v>
      </c>
      <c r="D1170" s="28" t="s">
        <v>52</v>
      </c>
      <c r="E1170" s="28" t="s">
        <v>63</v>
      </c>
      <c r="F1170" s="29" t="s">
        <v>27</v>
      </c>
      <c r="G1170" s="30">
        <v>0.26</v>
      </c>
      <c r="H1170" s="31">
        <v>1175.56</v>
      </c>
      <c r="I1170" s="39"/>
      <c r="J1170" s="31">
        <f t="shared" si="175"/>
        <v>1175.56</v>
      </c>
      <c r="K1170" s="33">
        <f t="shared" si="176"/>
        <v>305.65</v>
      </c>
      <c r="L1170" s="34" t="s">
        <v>28</v>
      </c>
      <c r="M1170" s="35"/>
      <c r="O1170" s="21">
        <v>681.67</v>
      </c>
      <c r="P1170" s="22" t="s">
        <v>71</v>
      </c>
      <c r="Q1170" s="38"/>
      <c r="R1170" s="38"/>
    </row>
    <row r="1171" s="3" customFormat="1" ht="96" customHeight="1" outlineLevel="2" spans="1:18">
      <c r="A1171" s="41">
        <f t="shared" si="174"/>
        <v>7</v>
      </c>
      <c r="B1171" s="28" t="s">
        <v>75</v>
      </c>
      <c r="C1171" s="28" t="s">
        <v>76</v>
      </c>
      <c r="D1171" s="28" t="s">
        <v>59</v>
      </c>
      <c r="E1171" s="28" t="s">
        <v>38</v>
      </c>
      <c r="F1171" s="29" t="s">
        <v>39</v>
      </c>
      <c r="G1171" s="30">
        <v>11.97</v>
      </c>
      <c r="H1171" s="31">
        <v>67.08</v>
      </c>
      <c r="I1171" s="39"/>
      <c r="J1171" s="31">
        <f t="shared" si="175"/>
        <v>67.08</v>
      </c>
      <c r="K1171" s="33">
        <f t="shared" si="176"/>
        <v>802.95</v>
      </c>
      <c r="L1171" s="34" t="s">
        <v>28</v>
      </c>
      <c r="M1171" s="35"/>
      <c r="O1171" s="21">
        <v>45.71</v>
      </c>
      <c r="P1171" s="22" t="s">
        <v>77</v>
      </c>
      <c r="Q1171" s="38"/>
      <c r="R1171" s="38"/>
    </row>
    <row r="1172" s="3" customFormat="1" ht="96" customHeight="1" outlineLevel="2" spans="1:18">
      <c r="A1172" s="41">
        <f t="shared" si="174"/>
        <v>8</v>
      </c>
      <c r="B1172" s="28" t="s">
        <v>84</v>
      </c>
      <c r="C1172" s="28" t="s">
        <v>85</v>
      </c>
      <c r="D1172" s="28" t="s">
        <v>59</v>
      </c>
      <c r="E1172" s="28" t="s">
        <v>38</v>
      </c>
      <c r="F1172" s="29" t="s">
        <v>39</v>
      </c>
      <c r="G1172" s="30">
        <v>9.42</v>
      </c>
      <c r="H1172" s="31">
        <v>117.84</v>
      </c>
      <c r="I1172" s="39"/>
      <c r="J1172" s="31">
        <f t="shared" si="175"/>
        <v>117.84</v>
      </c>
      <c r="K1172" s="33">
        <f t="shared" si="176"/>
        <v>1110.05</v>
      </c>
      <c r="L1172" s="34" t="s">
        <v>28</v>
      </c>
      <c r="M1172" s="35"/>
      <c r="O1172" s="21">
        <v>95.14</v>
      </c>
      <c r="P1172" s="22" t="s">
        <v>86</v>
      </c>
      <c r="Q1172" s="38"/>
      <c r="R1172" s="38"/>
    </row>
    <row r="1173" s="3" customFormat="1" ht="96" customHeight="1" outlineLevel="2" spans="1:18">
      <c r="A1173" s="41">
        <f t="shared" si="174"/>
        <v>9</v>
      </c>
      <c r="B1173" s="28" t="s">
        <v>87</v>
      </c>
      <c r="C1173" s="28" t="s">
        <v>88</v>
      </c>
      <c r="D1173" s="28" t="s">
        <v>59</v>
      </c>
      <c r="E1173" s="28" t="s">
        <v>38</v>
      </c>
      <c r="F1173" s="29" t="s">
        <v>39</v>
      </c>
      <c r="G1173" s="30">
        <v>12.8</v>
      </c>
      <c r="H1173" s="31">
        <v>64.25</v>
      </c>
      <c r="I1173" s="39"/>
      <c r="J1173" s="31">
        <f t="shared" si="175"/>
        <v>64.25</v>
      </c>
      <c r="K1173" s="33">
        <f t="shared" si="176"/>
        <v>822.4</v>
      </c>
      <c r="L1173" s="34" t="s">
        <v>28</v>
      </c>
      <c r="M1173" s="35"/>
      <c r="O1173" s="21">
        <v>43.16</v>
      </c>
      <c r="P1173" s="22" t="s">
        <v>89</v>
      </c>
      <c r="Q1173" s="38"/>
      <c r="R1173" s="38"/>
    </row>
    <row r="1174" s="3" customFormat="1" outlineLevel="1" spans="1:18">
      <c r="A1174" s="40"/>
      <c r="B1174" s="28" t="s">
        <v>90</v>
      </c>
      <c r="C1174" s="28"/>
      <c r="D1174" s="28"/>
      <c r="E1174" s="28"/>
      <c r="F1174" s="29"/>
      <c r="G1174" s="30"/>
      <c r="H1174" s="31"/>
      <c r="I1174" s="39"/>
      <c r="J1174" s="31"/>
      <c r="K1174" s="33"/>
      <c r="L1174" s="34"/>
      <c r="M1174" s="35"/>
      <c r="O1174" s="36"/>
      <c r="P1174" s="37"/>
      <c r="Q1174" s="38"/>
      <c r="R1174" s="38"/>
    </row>
    <row r="1175" s="3" customFormat="1" ht="168" customHeight="1" outlineLevel="2" spans="1:18">
      <c r="A1175" s="41">
        <f>1+N(A1174)</f>
        <v>1</v>
      </c>
      <c r="B1175" s="28" t="s">
        <v>636</v>
      </c>
      <c r="C1175" s="28" t="s">
        <v>92</v>
      </c>
      <c r="D1175" s="28" t="s">
        <v>93</v>
      </c>
      <c r="E1175" s="28" t="s">
        <v>94</v>
      </c>
      <c r="F1175" s="29" t="s">
        <v>27</v>
      </c>
      <c r="G1175" s="30">
        <v>17.82</v>
      </c>
      <c r="H1175" s="31">
        <v>150.71</v>
      </c>
      <c r="I1175" s="39"/>
      <c r="J1175" s="31">
        <f>H1175*(1-$I$4)</f>
        <v>150.71</v>
      </c>
      <c r="K1175" s="33">
        <f>ROUND(G1175*J1175,2)</f>
        <v>2685.65</v>
      </c>
      <c r="L1175" s="34" t="s">
        <v>28</v>
      </c>
      <c r="M1175" s="35"/>
      <c r="O1175" s="21">
        <v>150.38</v>
      </c>
      <c r="P1175" s="22" t="s">
        <v>728</v>
      </c>
      <c r="Q1175" s="38"/>
      <c r="R1175" s="38"/>
    </row>
    <row r="1176" s="3" customFormat="1" ht="48" customHeight="1" outlineLevel="2" spans="1:18">
      <c r="A1176" s="41">
        <f>1+N(A1175)</f>
        <v>2</v>
      </c>
      <c r="B1176" s="28" t="s">
        <v>729</v>
      </c>
      <c r="C1176" s="28" t="s">
        <v>730</v>
      </c>
      <c r="D1176" s="28" t="s">
        <v>98</v>
      </c>
      <c r="E1176" s="28" t="s">
        <v>99</v>
      </c>
      <c r="F1176" s="29" t="s">
        <v>39</v>
      </c>
      <c r="G1176" s="30">
        <v>14.59</v>
      </c>
      <c r="H1176" s="31">
        <v>112.16</v>
      </c>
      <c r="I1176" s="39"/>
      <c r="J1176" s="31">
        <f>H1176*(1-$I$4)</f>
        <v>112.16</v>
      </c>
      <c r="K1176" s="33">
        <f>ROUND(G1176*J1176,2)</f>
        <v>1636.41</v>
      </c>
      <c r="L1176" s="34" t="s">
        <v>28</v>
      </c>
      <c r="M1176" s="35"/>
      <c r="O1176" s="21">
        <v>79.3</v>
      </c>
      <c r="P1176" s="22" t="s">
        <v>603</v>
      </c>
      <c r="Q1176" s="38"/>
      <c r="R1176" s="38"/>
    </row>
    <row r="1177" s="3" customFormat="1" ht="48" customHeight="1" outlineLevel="2" spans="1:18">
      <c r="A1177" s="41">
        <f>1+N(A1176)</f>
        <v>3</v>
      </c>
      <c r="B1177" s="28" t="s">
        <v>101</v>
      </c>
      <c r="C1177" s="28" t="s">
        <v>102</v>
      </c>
      <c r="D1177" s="28" t="s">
        <v>98</v>
      </c>
      <c r="E1177" s="28" t="s">
        <v>99</v>
      </c>
      <c r="F1177" s="29" t="s">
        <v>39</v>
      </c>
      <c r="G1177" s="30">
        <v>14.59</v>
      </c>
      <c r="H1177" s="31">
        <v>75.82</v>
      </c>
      <c r="I1177" s="39"/>
      <c r="J1177" s="31">
        <f>H1177*(1-$I$4)</f>
        <v>75.82</v>
      </c>
      <c r="K1177" s="33">
        <f>ROUND(G1177*J1177,2)</f>
        <v>1106.21</v>
      </c>
      <c r="L1177" s="34" t="s">
        <v>28</v>
      </c>
      <c r="M1177" s="35"/>
      <c r="O1177" s="21">
        <v>203.56</v>
      </c>
      <c r="P1177" s="22" t="s">
        <v>103</v>
      </c>
      <c r="Q1177" s="38"/>
      <c r="R1177" s="38"/>
    </row>
    <row r="1178" s="3" customFormat="1" ht="48" customHeight="1" outlineLevel="2" spans="1:18">
      <c r="A1178" s="41">
        <f>1+N(A1177)</f>
        <v>4</v>
      </c>
      <c r="B1178" s="28" t="s">
        <v>104</v>
      </c>
      <c r="C1178" s="28" t="s">
        <v>105</v>
      </c>
      <c r="D1178" s="28" t="s">
        <v>98</v>
      </c>
      <c r="E1178" s="28" t="s">
        <v>99</v>
      </c>
      <c r="F1178" s="29" t="s">
        <v>39</v>
      </c>
      <c r="G1178" s="30">
        <v>8.84</v>
      </c>
      <c r="H1178" s="31">
        <v>109.74</v>
      </c>
      <c r="I1178" s="39"/>
      <c r="J1178" s="31">
        <f>H1178*(1-$I$4)</f>
        <v>109.74</v>
      </c>
      <c r="K1178" s="33">
        <f>ROUND(G1178*J1178,2)</f>
        <v>970.1</v>
      </c>
      <c r="L1178" s="34" t="s">
        <v>28</v>
      </c>
      <c r="M1178" s="35"/>
      <c r="O1178" s="21">
        <v>108.2</v>
      </c>
      <c r="P1178" s="22" t="s">
        <v>106</v>
      </c>
      <c r="Q1178" s="38"/>
      <c r="R1178" s="38"/>
    </row>
    <row r="1179" s="3" customFormat="1" ht="132" customHeight="1" outlineLevel="2" spans="1:18">
      <c r="A1179" s="41">
        <f>1+N(A1178)</f>
        <v>5</v>
      </c>
      <c r="B1179" s="28" t="s">
        <v>107</v>
      </c>
      <c r="C1179" s="28" t="s">
        <v>108</v>
      </c>
      <c r="D1179" s="28" t="s">
        <v>109</v>
      </c>
      <c r="E1179" s="28" t="s">
        <v>110</v>
      </c>
      <c r="F1179" s="29" t="s">
        <v>27</v>
      </c>
      <c r="G1179" s="30">
        <v>23.56</v>
      </c>
      <c r="H1179" s="31">
        <v>152.22</v>
      </c>
      <c r="I1179" s="39"/>
      <c r="J1179" s="31">
        <f>H1179*(1-$I$4)</f>
        <v>152.22</v>
      </c>
      <c r="K1179" s="33">
        <f>ROUND(G1179*J1179,2)</f>
        <v>3586.3</v>
      </c>
      <c r="L1179" s="34" t="s">
        <v>28</v>
      </c>
      <c r="M1179" s="35"/>
      <c r="O1179" s="21">
        <v>151.58</v>
      </c>
      <c r="P1179" s="22" t="s">
        <v>111</v>
      </c>
      <c r="Q1179" s="38"/>
      <c r="R1179" s="38"/>
    </row>
    <row r="1180" s="3" customFormat="1" outlineLevel="1" spans="1:18">
      <c r="A1180" s="40"/>
      <c r="B1180" s="28" t="s">
        <v>112</v>
      </c>
      <c r="C1180" s="28"/>
      <c r="D1180" s="28"/>
      <c r="E1180" s="28"/>
      <c r="F1180" s="29"/>
      <c r="G1180" s="30"/>
      <c r="H1180" s="31"/>
      <c r="I1180" s="39"/>
      <c r="J1180" s="31"/>
      <c r="K1180" s="33"/>
      <c r="L1180" s="34"/>
      <c r="M1180" s="35"/>
      <c r="O1180" s="36"/>
      <c r="P1180" s="37"/>
      <c r="Q1180" s="38"/>
      <c r="R1180" s="38"/>
    </row>
    <row r="1181" s="3" customFormat="1" spans="1:18">
      <c r="A1181" s="27" t="s">
        <v>186</v>
      </c>
      <c r="B1181" s="17" t="s">
        <v>734</v>
      </c>
      <c r="C1181" s="28"/>
      <c r="D1181" s="28"/>
      <c r="E1181" s="28"/>
      <c r="F1181" s="29"/>
      <c r="G1181" s="30"/>
      <c r="H1181" s="31"/>
      <c r="I1181" s="39"/>
      <c r="J1181" s="31"/>
      <c r="K1181" s="33"/>
      <c r="L1181" s="34"/>
      <c r="M1181" s="35"/>
      <c r="O1181" s="36"/>
      <c r="P1181" s="37"/>
      <c r="Q1181" s="38"/>
      <c r="R1181" s="38"/>
    </row>
    <row r="1182" s="3" customFormat="1" outlineLevel="1" spans="1:18">
      <c r="A1182" s="27" t="s">
        <v>20</v>
      </c>
      <c r="B1182" s="28" t="s">
        <v>722</v>
      </c>
      <c r="C1182" s="28"/>
      <c r="D1182" s="28"/>
      <c r="E1182" s="28"/>
      <c r="F1182" s="29"/>
      <c r="G1182" s="30"/>
      <c r="H1182" s="31"/>
      <c r="I1182" s="39"/>
      <c r="J1182" s="31"/>
      <c r="K1182" s="33"/>
      <c r="L1182" s="34"/>
      <c r="M1182" s="35"/>
      <c r="O1182" s="36"/>
      <c r="P1182" s="37"/>
      <c r="Q1182" s="38"/>
      <c r="R1182" s="38"/>
    </row>
    <row r="1183" s="3" customFormat="1" outlineLevel="1" spans="1:18">
      <c r="A1183" s="40"/>
      <c r="B1183" s="28" t="s">
        <v>22</v>
      </c>
      <c r="C1183" s="28"/>
      <c r="D1183" s="28"/>
      <c r="E1183" s="28"/>
      <c r="F1183" s="29"/>
      <c r="G1183" s="30"/>
      <c r="H1183" s="31"/>
      <c r="I1183" s="39"/>
      <c r="J1183" s="31"/>
      <c r="K1183" s="33"/>
      <c r="L1183" s="34"/>
      <c r="M1183" s="35"/>
      <c r="O1183" s="36"/>
      <c r="P1183" s="37"/>
      <c r="Q1183" s="38"/>
      <c r="R1183" s="38"/>
    </row>
    <row r="1184" s="3" customFormat="1" ht="108" customHeight="1" outlineLevel="2" spans="1:18">
      <c r="A1184" s="41">
        <f>1+N(A1183)</f>
        <v>1</v>
      </c>
      <c r="B1184" s="28" t="s">
        <v>23</v>
      </c>
      <c r="C1184" s="28" t="s">
        <v>24</v>
      </c>
      <c r="D1184" s="28" t="s">
        <v>25</v>
      </c>
      <c r="E1184" s="28" t="s">
        <v>26</v>
      </c>
      <c r="F1184" s="29" t="s">
        <v>27</v>
      </c>
      <c r="G1184" s="30">
        <v>11.43</v>
      </c>
      <c r="H1184" s="31">
        <v>940.91</v>
      </c>
      <c r="I1184" s="39"/>
      <c r="J1184" s="31">
        <f>H1184*(1-$I$4)</f>
        <v>940.91</v>
      </c>
      <c r="K1184" s="33">
        <f>ROUND(G1184*J1184,2)</f>
        <v>10754.6</v>
      </c>
      <c r="L1184" s="34" t="s">
        <v>28</v>
      </c>
      <c r="M1184" s="35"/>
      <c r="O1184" s="21">
        <v>886.6</v>
      </c>
      <c r="P1184" s="22" t="s">
        <v>29</v>
      </c>
      <c r="Q1184" s="38"/>
      <c r="R1184" s="38"/>
    </row>
    <row r="1185" s="3" customFormat="1" ht="108" customHeight="1" outlineLevel="2" spans="1:18">
      <c r="A1185" s="41">
        <f>1+N(A1184)</f>
        <v>2</v>
      </c>
      <c r="B1185" s="28" t="s">
        <v>30</v>
      </c>
      <c r="C1185" s="28" t="s">
        <v>31</v>
      </c>
      <c r="D1185" s="28" t="s">
        <v>25</v>
      </c>
      <c r="E1185" s="28" t="s">
        <v>26</v>
      </c>
      <c r="F1185" s="29" t="s">
        <v>27</v>
      </c>
      <c r="G1185" s="30">
        <v>16.52</v>
      </c>
      <c r="H1185" s="31">
        <v>1412.25</v>
      </c>
      <c r="I1185" s="39"/>
      <c r="J1185" s="31">
        <f>H1185*(1-$I$4)</f>
        <v>1412.25</v>
      </c>
      <c r="K1185" s="33">
        <f>ROUND(G1185*J1185,2)</f>
        <v>23330.37</v>
      </c>
      <c r="L1185" s="34" t="s">
        <v>28</v>
      </c>
      <c r="M1185" s="35"/>
      <c r="O1185" s="21">
        <v>1135.86</v>
      </c>
      <c r="P1185" s="22" t="s">
        <v>32</v>
      </c>
      <c r="Q1185" s="38"/>
      <c r="R1185" s="38"/>
    </row>
    <row r="1186" s="3" customFormat="1" ht="72" customHeight="1" outlineLevel="2" spans="1:18">
      <c r="A1186" s="41">
        <f>1+N(A1185)</f>
        <v>3</v>
      </c>
      <c r="B1186" s="28" t="s">
        <v>36</v>
      </c>
      <c r="C1186" s="28" t="s">
        <v>37</v>
      </c>
      <c r="D1186" s="28" t="s">
        <v>25</v>
      </c>
      <c r="E1186" s="28" t="s">
        <v>38</v>
      </c>
      <c r="F1186" s="29" t="s">
        <v>39</v>
      </c>
      <c r="G1186" s="30">
        <v>17.27</v>
      </c>
      <c r="H1186" s="31">
        <v>89.27</v>
      </c>
      <c r="I1186" s="39"/>
      <c r="J1186" s="31">
        <f>H1186*(1-$I$4)</f>
        <v>89.27</v>
      </c>
      <c r="K1186" s="33">
        <f>ROUND(G1186*J1186,2)</f>
        <v>1541.69</v>
      </c>
      <c r="L1186" s="34" t="s">
        <v>28</v>
      </c>
      <c r="M1186" s="35"/>
      <c r="O1186" s="21">
        <v>35.28</v>
      </c>
      <c r="P1186" s="22" t="s">
        <v>40</v>
      </c>
      <c r="Q1186" s="38"/>
      <c r="R1186" s="38"/>
    </row>
    <row r="1187" s="3" customFormat="1" ht="72" customHeight="1" outlineLevel="2" spans="1:18">
      <c r="A1187" s="41">
        <f>1+N(A1186)</f>
        <v>4</v>
      </c>
      <c r="B1187" s="28" t="s">
        <v>41</v>
      </c>
      <c r="C1187" s="28" t="s">
        <v>42</v>
      </c>
      <c r="D1187" s="28" t="s">
        <v>25</v>
      </c>
      <c r="E1187" s="28" t="s">
        <v>26</v>
      </c>
      <c r="F1187" s="29" t="s">
        <v>27</v>
      </c>
      <c r="G1187" s="30">
        <v>27.95</v>
      </c>
      <c r="H1187" s="31">
        <v>64.9</v>
      </c>
      <c r="I1187" s="39"/>
      <c r="J1187" s="31">
        <f>H1187*(1-$I$4)</f>
        <v>64.9</v>
      </c>
      <c r="K1187" s="33">
        <f>ROUND(G1187*J1187,2)</f>
        <v>1813.96</v>
      </c>
      <c r="L1187" s="34" t="s">
        <v>28</v>
      </c>
      <c r="M1187" s="35"/>
      <c r="O1187" s="21">
        <v>61.38</v>
      </c>
      <c r="P1187" s="22" t="s">
        <v>43</v>
      </c>
      <c r="Q1187" s="38"/>
      <c r="R1187" s="38"/>
    </row>
    <row r="1188" s="3" customFormat="1" outlineLevel="1" spans="1:18">
      <c r="A1188" s="40"/>
      <c r="B1188" s="28" t="s">
        <v>687</v>
      </c>
      <c r="C1188" s="28"/>
      <c r="D1188" s="28"/>
      <c r="E1188" s="28"/>
      <c r="F1188" s="29"/>
      <c r="G1188" s="30"/>
      <c r="H1188" s="31"/>
      <c r="I1188" s="39"/>
      <c r="J1188" s="31"/>
      <c r="K1188" s="33"/>
      <c r="L1188" s="34"/>
      <c r="M1188" s="35"/>
      <c r="O1188" s="36"/>
      <c r="P1188" s="37"/>
      <c r="Q1188" s="38"/>
      <c r="R1188" s="38"/>
    </row>
    <row r="1189" s="3" customFormat="1" ht="108" customHeight="1" outlineLevel="2" spans="1:18">
      <c r="A1189" s="41">
        <f t="shared" ref="A1189:A1200" si="177">1+N(A1188)</f>
        <v>1</v>
      </c>
      <c r="B1189" s="28" t="s">
        <v>45</v>
      </c>
      <c r="C1189" s="28" t="s">
        <v>46</v>
      </c>
      <c r="D1189" s="28" t="s">
        <v>47</v>
      </c>
      <c r="E1189" s="28" t="s">
        <v>48</v>
      </c>
      <c r="F1189" s="29" t="s">
        <v>27</v>
      </c>
      <c r="G1189" s="30">
        <v>6.1</v>
      </c>
      <c r="H1189" s="31">
        <v>2668.45</v>
      </c>
      <c r="I1189" s="39"/>
      <c r="J1189" s="31">
        <f t="shared" ref="J1189:J1200" si="178">H1189*(1-$I$4)</f>
        <v>2668.45</v>
      </c>
      <c r="K1189" s="33">
        <f t="shared" ref="K1189:K1200" si="179">ROUND(G1189*J1189,2)</f>
        <v>16277.55</v>
      </c>
      <c r="L1189" s="34" t="s">
        <v>28</v>
      </c>
      <c r="M1189" s="35"/>
      <c r="O1189" s="21">
        <v>1019.76</v>
      </c>
      <c r="P1189" s="22" t="s">
        <v>49</v>
      </c>
      <c r="Q1189" s="38"/>
      <c r="R1189" s="38"/>
    </row>
    <row r="1190" s="3" customFormat="1" ht="156" customHeight="1" outlineLevel="2" spans="1:18">
      <c r="A1190" s="41">
        <f t="shared" si="177"/>
        <v>2</v>
      </c>
      <c r="B1190" s="28" t="s">
        <v>50</v>
      </c>
      <c r="C1190" s="28" t="s">
        <v>51</v>
      </c>
      <c r="D1190" s="28" t="s">
        <v>52</v>
      </c>
      <c r="E1190" s="28" t="s">
        <v>48</v>
      </c>
      <c r="F1190" s="29" t="s">
        <v>27</v>
      </c>
      <c r="G1190" s="30">
        <v>24.88</v>
      </c>
      <c r="H1190" s="31">
        <v>996.46</v>
      </c>
      <c r="I1190" s="39"/>
      <c r="J1190" s="31">
        <f t="shared" si="178"/>
        <v>996.46</v>
      </c>
      <c r="K1190" s="33">
        <f t="shared" si="179"/>
        <v>24791.92</v>
      </c>
      <c r="L1190" s="34" t="s">
        <v>28</v>
      </c>
      <c r="M1190" s="35"/>
      <c r="O1190" s="21">
        <v>1000.51</v>
      </c>
      <c r="P1190" s="22" t="s">
        <v>723</v>
      </c>
      <c r="Q1190" s="38"/>
      <c r="R1190" s="38"/>
    </row>
    <row r="1191" s="3" customFormat="1" ht="120" customHeight="1" outlineLevel="2" spans="1:18">
      <c r="A1191" s="41">
        <f t="shared" si="177"/>
        <v>3</v>
      </c>
      <c r="B1191" s="28" t="s">
        <v>291</v>
      </c>
      <c r="C1191" s="28" t="s">
        <v>289</v>
      </c>
      <c r="D1191" s="28" t="s">
        <v>52</v>
      </c>
      <c r="E1191" s="28" t="s">
        <v>63</v>
      </c>
      <c r="F1191" s="29" t="s">
        <v>27</v>
      </c>
      <c r="G1191" s="30">
        <v>4.93</v>
      </c>
      <c r="H1191" s="31">
        <v>580.35</v>
      </c>
      <c r="I1191" s="39"/>
      <c r="J1191" s="31">
        <f t="shared" si="178"/>
        <v>580.35</v>
      </c>
      <c r="K1191" s="33">
        <f t="shared" si="179"/>
        <v>2861.13</v>
      </c>
      <c r="L1191" s="34" t="s">
        <v>28</v>
      </c>
      <c r="M1191" s="35"/>
      <c r="O1191" s="21">
        <v>479.36</v>
      </c>
      <c r="P1191" s="22" t="s">
        <v>724</v>
      </c>
      <c r="Q1191" s="38"/>
      <c r="R1191" s="38"/>
    </row>
    <row r="1192" s="3" customFormat="1" ht="96" customHeight="1" outlineLevel="2" spans="1:18">
      <c r="A1192" s="41">
        <f t="shared" si="177"/>
        <v>4</v>
      </c>
      <c r="B1192" s="28" t="s">
        <v>295</v>
      </c>
      <c r="C1192" s="28" t="s">
        <v>296</v>
      </c>
      <c r="D1192" s="28" t="s">
        <v>59</v>
      </c>
      <c r="E1192" s="28" t="s">
        <v>26</v>
      </c>
      <c r="F1192" s="29" t="s">
        <v>27</v>
      </c>
      <c r="G1192" s="30">
        <v>25.49</v>
      </c>
      <c r="H1192" s="31">
        <v>311.52</v>
      </c>
      <c r="I1192" s="39"/>
      <c r="J1192" s="31">
        <f t="shared" si="178"/>
        <v>311.52</v>
      </c>
      <c r="K1192" s="33">
        <f t="shared" si="179"/>
        <v>7940.64</v>
      </c>
      <c r="L1192" s="34" t="s">
        <v>28</v>
      </c>
      <c r="M1192" s="35"/>
      <c r="O1192" s="21">
        <v>278.47</v>
      </c>
      <c r="P1192" s="22" t="s">
        <v>297</v>
      </c>
      <c r="Q1192" s="38"/>
      <c r="R1192" s="38"/>
    </row>
    <row r="1193" s="3" customFormat="1" ht="120" customHeight="1" outlineLevel="2" spans="1:18">
      <c r="A1193" s="41">
        <f t="shared" si="177"/>
        <v>5</v>
      </c>
      <c r="B1193" s="28" t="s">
        <v>61</v>
      </c>
      <c r="C1193" s="28" t="s">
        <v>62</v>
      </c>
      <c r="D1193" s="28" t="s">
        <v>52</v>
      </c>
      <c r="E1193" s="28" t="s">
        <v>63</v>
      </c>
      <c r="F1193" s="29" t="s">
        <v>27</v>
      </c>
      <c r="G1193" s="30">
        <v>1.1</v>
      </c>
      <c r="H1193" s="31">
        <v>630.65</v>
      </c>
      <c r="I1193" s="39"/>
      <c r="J1193" s="31">
        <f t="shared" si="178"/>
        <v>630.65</v>
      </c>
      <c r="K1193" s="33">
        <f t="shared" si="179"/>
        <v>693.72</v>
      </c>
      <c r="L1193" s="34" t="s">
        <v>28</v>
      </c>
      <c r="M1193" s="35"/>
      <c r="O1193" s="21">
        <v>681.67</v>
      </c>
      <c r="P1193" s="22" t="s">
        <v>64</v>
      </c>
      <c r="Q1193" s="38"/>
      <c r="R1193" s="38"/>
    </row>
    <row r="1194" s="3" customFormat="1" ht="120" customHeight="1" outlineLevel="2" spans="1:18">
      <c r="A1194" s="41">
        <f t="shared" si="177"/>
        <v>6</v>
      </c>
      <c r="B1194" s="28" t="s">
        <v>65</v>
      </c>
      <c r="C1194" s="28" t="s">
        <v>62</v>
      </c>
      <c r="D1194" s="28" t="s">
        <v>52</v>
      </c>
      <c r="E1194" s="28" t="s">
        <v>63</v>
      </c>
      <c r="F1194" s="29" t="s">
        <v>27</v>
      </c>
      <c r="G1194" s="30">
        <v>3.4</v>
      </c>
      <c r="H1194" s="31">
        <v>630.65</v>
      </c>
      <c r="I1194" s="39"/>
      <c r="J1194" s="31">
        <f t="shared" si="178"/>
        <v>630.65</v>
      </c>
      <c r="K1194" s="33">
        <f t="shared" si="179"/>
        <v>2144.21</v>
      </c>
      <c r="L1194" s="34" t="s">
        <v>28</v>
      </c>
      <c r="M1194" s="35"/>
      <c r="O1194" s="21">
        <v>681.67</v>
      </c>
      <c r="P1194" s="22" t="s">
        <v>64</v>
      </c>
      <c r="Q1194" s="38"/>
      <c r="R1194" s="38"/>
    </row>
    <row r="1195" s="3" customFormat="1" ht="120" customHeight="1" outlineLevel="2" spans="1:18">
      <c r="A1195" s="41">
        <f t="shared" si="177"/>
        <v>7</v>
      </c>
      <c r="B1195" s="28" t="s">
        <v>66</v>
      </c>
      <c r="C1195" s="28" t="s">
        <v>67</v>
      </c>
      <c r="D1195" s="28" t="s">
        <v>52</v>
      </c>
      <c r="E1195" s="28" t="s">
        <v>63</v>
      </c>
      <c r="F1195" s="29" t="s">
        <v>27</v>
      </c>
      <c r="G1195" s="30">
        <v>0.9</v>
      </c>
      <c r="H1195" s="31">
        <v>812.96</v>
      </c>
      <c r="I1195" s="39"/>
      <c r="J1195" s="31">
        <f t="shared" si="178"/>
        <v>812.96</v>
      </c>
      <c r="K1195" s="33">
        <f t="shared" si="179"/>
        <v>731.66</v>
      </c>
      <c r="L1195" s="34" t="s">
        <v>28</v>
      </c>
      <c r="M1195" s="35"/>
      <c r="O1195" s="21">
        <v>681.67</v>
      </c>
      <c r="P1195" s="22" t="s">
        <v>68</v>
      </c>
      <c r="Q1195" s="38"/>
      <c r="R1195" s="38"/>
    </row>
    <row r="1196" s="3" customFormat="1" ht="120" customHeight="1" outlineLevel="2" spans="1:18">
      <c r="A1196" s="41">
        <f t="shared" si="177"/>
        <v>8</v>
      </c>
      <c r="B1196" s="28" t="s">
        <v>69</v>
      </c>
      <c r="C1196" s="28" t="s">
        <v>70</v>
      </c>
      <c r="D1196" s="28" t="s">
        <v>52</v>
      </c>
      <c r="E1196" s="28" t="s">
        <v>63</v>
      </c>
      <c r="F1196" s="29" t="s">
        <v>27</v>
      </c>
      <c r="G1196" s="30">
        <v>0.26</v>
      </c>
      <c r="H1196" s="31">
        <v>1175.56</v>
      </c>
      <c r="I1196" s="39"/>
      <c r="J1196" s="31">
        <f t="shared" si="178"/>
        <v>1175.56</v>
      </c>
      <c r="K1196" s="33">
        <f t="shared" si="179"/>
        <v>305.65</v>
      </c>
      <c r="L1196" s="34" t="s">
        <v>28</v>
      </c>
      <c r="M1196" s="35"/>
      <c r="O1196" s="21">
        <v>681.67</v>
      </c>
      <c r="P1196" s="22" t="s">
        <v>71</v>
      </c>
      <c r="Q1196" s="38"/>
      <c r="R1196" s="38"/>
    </row>
    <row r="1197" s="3" customFormat="1" ht="96" customHeight="1" outlineLevel="2" spans="1:18">
      <c r="A1197" s="41">
        <f t="shared" si="177"/>
        <v>9</v>
      </c>
      <c r="B1197" s="28" t="s">
        <v>75</v>
      </c>
      <c r="C1197" s="28" t="s">
        <v>76</v>
      </c>
      <c r="D1197" s="28" t="s">
        <v>59</v>
      </c>
      <c r="E1197" s="28" t="s">
        <v>38</v>
      </c>
      <c r="F1197" s="29" t="s">
        <v>39</v>
      </c>
      <c r="G1197" s="30">
        <v>26.42</v>
      </c>
      <c r="H1197" s="31">
        <v>67.08</v>
      </c>
      <c r="I1197" s="39"/>
      <c r="J1197" s="31">
        <f t="shared" si="178"/>
        <v>67.08</v>
      </c>
      <c r="K1197" s="33">
        <f t="shared" si="179"/>
        <v>1772.25</v>
      </c>
      <c r="L1197" s="34" t="s">
        <v>28</v>
      </c>
      <c r="M1197" s="35"/>
      <c r="O1197" s="21">
        <v>45.71</v>
      </c>
      <c r="P1197" s="22" t="s">
        <v>77</v>
      </c>
      <c r="Q1197" s="38"/>
      <c r="R1197" s="38"/>
    </row>
    <row r="1198" s="3" customFormat="1" ht="96" customHeight="1" outlineLevel="2" spans="1:18">
      <c r="A1198" s="41">
        <f t="shared" si="177"/>
        <v>10</v>
      </c>
      <c r="B1198" s="28" t="s">
        <v>725</v>
      </c>
      <c r="C1198" s="28" t="s">
        <v>726</v>
      </c>
      <c r="D1198" s="28" t="s">
        <v>59</v>
      </c>
      <c r="E1198" s="28" t="s">
        <v>38</v>
      </c>
      <c r="F1198" s="29" t="s">
        <v>39</v>
      </c>
      <c r="G1198" s="30">
        <v>11.88</v>
      </c>
      <c r="H1198" s="31">
        <v>71.9</v>
      </c>
      <c r="I1198" s="39"/>
      <c r="J1198" s="31">
        <f t="shared" si="178"/>
        <v>71.9</v>
      </c>
      <c r="K1198" s="33">
        <f t="shared" si="179"/>
        <v>854.17</v>
      </c>
      <c r="L1198" s="34" t="s">
        <v>28</v>
      </c>
      <c r="M1198" s="35"/>
      <c r="O1198" s="21">
        <v>50.8</v>
      </c>
      <c r="P1198" s="22" t="s">
        <v>727</v>
      </c>
      <c r="Q1198" s="38"/>
      <c r="R1198" s="38"/>
    </row>
    <row r="1199" s="3" customFormat="1" ht="96" customHeight="1" outlineLevel="2" spans="1:18">
      <c r="A1199" s="41">
        <f t="shared" si="177"/>
        <v>11</v>
      </c>
      <c r="B1199" s="28" t="s">
        <v>84</v>
      </c>
      <c r="C1199" s="28" t="s">
        <v>85</v>
      </c>
      <c r="D1199" s="28" t="s">
        <v>59</v>
      </c>
      <c r="E1199" s="28" t="s">
        <v>38</v>
      </c>
      <c r="F1199" s="29" t="s">
        <v>39</v>
      </c>
      <c r="G1199" s="30">
        <v>10.8</v>
      </c>
      <c r="H1199" s="31">
        <v>117.84</v>
      </c>
      <c r="I1199" s="39"/>
      <c r="J1199" s="31">
        <f t="shared" si="178"/>
        <v>117.84</v>
      </c>
      <c r="K1199" s="33">
        <f t="shared" si="179"/>
        <v>1272.67</v>
      </c>
      <c r="L1199" s="34" t="s">
        <v>28</v>
      </c>
      <c r="M1199" s="35"/>
      <c r="O1199" s="21">
        <v>95.14</v>
      </c>
      <c r="P1199" s="22" t="s">
        <v>86</v>
      </c>
      <c r="Q1199" s="38"/>
      <c r="R1199" s="38"/>
    </row>
    <row r="1200" s="3" customFormat="1" ht="96" customHeight="1" outlineLevel="2" spans="1:18">
      <c r="A1200" s="41">
        <f t="shared" si="177"/>
        <v>12</v>
      </c>
      <c r="B1200" s="28" t="s">
        <v>87</v>
      </c>
      <c r="C1200" s="28" t="s">
        <v>88</v>
      </c>
      <c r="D1200" s="28" t="s">
        <v>59</v>
      </c>
      <c r="E1200" s="28" t="s">
        <v>38</v>
      </c>
      <c r="F1200" s="29" t="s">
        <v>39</v>
      </c>
      <c r="G1200" s="30">
        <v>26.03</v>
      </c>
      <c r="H1200" s="31">
        <v>64.25</v>
      </c>
      <c r="I1200" s="39"/>
      <c r="J1200" s="31">
        <f t="shared" si="178"/>
        <v>64.25</v>
      </c>
      <c r="K1200" s="33">
        <f t="shared" si="179"/>
        <v>1672.43</v>
      </c>
      <c r="L1200" s="34" t="s">
        <v>28</v>
      </c>
      <c r="M1200" s="35"/>
      <c r="O1200" s="21">
        <v>43.16</v>
      </c>
      <c r="P1200" s="22" t="s">
        <v>89</v>
      </c>
      <c r="Q1200" s="38"/>
      <c r="R1200" s="38"/>
    </row>
    <row r="1201" s="3" customFormat="1" outlineLevel="1" spans="1:18">
      <c r="A1201" s="40"/>
      <c r="B1201" s="28" t="s">
        <v>90</v>
      </c>
      <c r="C1201" s="28"/>
      <c r="D1201" s="28"/>
      <c r="E1201" s="28"/>
      <c r="F1201" s="29"/>
      <c r="G1201" s="30"/>
      <c r="H1201" s="31"/>
      <c r="I1201" s="39"/>
      <c r="J1201" s="31"/>
      <c r="K1201" s="33"/>
      <c r="L1201" s="34"/>
      <c r="M1201" s="35"/>
      <c r="O1201" s="36"/>
      <c r="P1201" s="37"/>
      <c r="Q1201" s="38"/>
      <c r="R1201" s="38"/>
    </row>
    <row r="1202" s="3" customFormat="1" ht="168" customHeight="1" outlineLevel="2" spans="1:18">
      <c r="A1202" s="41">
        <f>1+N(A1201)</f>
        <v>1</v>
      </c>
      <c r="B1202" s="28" t="s">
        <v>636</v>
      </c>
      <c r="C1202" s="28" t="s">
        <v>92</v>
      </c>
      <c r="D1202" s="28" t="s">
        <v>93</v>
      </c>
      <c r="E1202" s="28" t="s">
        <v>94</v>
      </c>
      <c r="F1202" s="29" t="s">
        <v>27</v>
      </c>
      <c r="G1202" s="30">
        <v>28.1</v>
      </c>
      <c r="H1202" s="31">
        <v>150.71</v>
      </c>
      <c r="I1202" s="39"/>
      <c r="J1202" s="31">
        <f>H1202*(1-$I$4)</f>
        <v>150.71</v>
      </c>
      <c r="K1202" s="33">
        <f>ROUND(G1202*J1202,2)</f>
        <v>4234.95</v>
      </c>
      <c r="L1202" s="34" t="s">
        <v>28</v>
      </c>
      <c r="M1202" s="35"/>
      <c r="O1202" s="21">
        <v>150.38</v>
      </c>
      <c r="P1202" s="22" t="s">
        <v>728</v>
      </c>
      <c r="Q1202" s="38"/>
      <c r="R1202" s="38"/>
    </row>
    <row r="1203" s="3" customFormat="1" ht="48" customHeight="1" outlineLevel="2" spans="1:18">
      <c r="A1203" s="41">
        <f>1+N(A1202)</f>
        <v>2</v>
      </c>
      <c r="B1203" s="28" t="s">
        <v>96</v>
      </c>
      <c r="C1203" s="28" t="s">
        <v>97</v>
      </c>
      <c r="D1203" s="28" t="s">
        <v>98</v>
      </c>
      <c r="E1203" s="28" t="s">
        <v>99</v>
      </c>
      <c r="F1203" s="29" t="s">
        <v>39</v>
      </c>
      <c r="G1203" s="30">
        <v>17.29</v>
      </c>
      <c r="H1203" s="31">
        <v>112.16</v>
      </c>
      <c r="I1203" s="39"/>
      <c r="J1203" s="31">
        <f>H1203*(1-$I$4)</f>
        <v>112.16</v>
      </c>
      <c r="K1203" s="33">
        <f>ROUND(G1203*J1203,2)</f>
        <v>1939.25</v>
      </c>
      <c r="L1203" s="34" t="s">
        <v>28</v>
      </c>
      <c r="M1203" s="35"/>
      <c r="O1203" s="21">
        <v>79.3</v>
      </c>
      <c r="P1203" s="22" t="s">
        <v>100</v>
      </c>
      <c r="Q1203" s="38"/>
      <c r="R1203" s="38"/>
    </row>
    <row r="1204" s="3" customFormat="1" ht="48" customHeight="1" outlineLevel="2" spans="1:18">
      <c r="A1204" s="41">
        <f>1+N(A1203)</f>
        <v>3</v>
      </c>
      <c r="B1204" s="28" t="s">
        <v>101</v>
      </c>
      <c r="C1204" s="28" t="s">
        <v>102</v>
      </c>
      <c r="D1204" s="28" t="s">
        <v>98</v>
      </c>
      <c r="E1204" s="28" t="s">
        <v>99</v>
      </c>
      <c r="F1204" s="29" t="s">
        <v>39</v>
      </c>
      <c r="G1204" s="30">
        <v>17.29</v>
      </c>
      <c r="H1204" s="31">
        <v>75.82</v>
      </c>
      <c r="I1204" s="39"/>
      <c r="J1204" s="31">
        <f>H1204*(1-$I$4)</f>
        <v>75.82</v>
      </c>
      <c r="K1204" s="33">
        <f>ROUND(G1204*J1204,2)</f>
        <v>1310.93</v>
      </c>
      <c r="L1204" s="34" t="s">
        <v>28</v>
      </c>
      <c r="M1204" s="35"/>
      <c r="O1204" s="21">
        <v>203.56</v>
      </c>
      <c r="P1204" s="22" t="s">
        <v>103</v>
      </c>
      <c r="Q1204" s="38"/>
      <c r="R1204" s="38"/>
    </row>
    <row r="1205" s="3" customFormat="1" ht="48" customHeight="1" outlineLevel="2" spans="1:18">
      <c r="A1205" s="41">
        <f>1+N(A1204)</f>
        <v>4</v>
      </c>
      <c r="B1205" s="28" t="s">
        <v>104</v>
      </c>
      <c r="C1205" s="28" t="s">
        <v>105</v>
      </c>
      <c r="D1205" s="28" t="s">
        <v>98</v>
      </c>
      <c r="E1205" s="28" t="s">
        <v>99</v>
      </c>
      <c r="F1205" s="29" t="s">
        <v>39</v>
      </c>
      <c r="G1205" s="30">
        <v>10.24</v>
      </c>
      <c r="H1205" s="31">
        <v>109.74</v>
      </c>
      <c r="I1205" s="39"/>
      <c r="J1205" s="31">
        <f>H1205*(1-$I$4)</f>
        <v>109.74</v>
      </c>
      <c r="K1205" s="33">
        <f>ROUND(G1205*J1205,2)</f>
        <v>1123.74</v>
      </c>
      <c r="L1205" s="34" t="s">
        <v>28</v>
      </c>
      <c r="M1205" s="35"/>
      <c r="O1205" s="21">
        <v>108.2</v>
      </c>
      <c r="P1205" s="22" t="s">
        <v>106</v>
      </c>
      <c r="Q1205" s="38"/>
      <c r="R1205" s="38"/>
    </row>
    <row r="1206" s="3" customFormat="1" ht="132" customHeight="1" outlineLevel="2" spans="1:18">
      <c r="A1206" s="41">
        <f>1+N(A1205)</f>
        <v>5</v>
      </c>
      <c r="B1206" s="28" t="s">
        <v>107</v>
      </c>
      <c r="C1206" s="28" t="s">
        <v>108</v>
      </c>
      <c r="D1206" s="28" t="s">
        <v>109</v>
      </c>
      <c r="E1206" s="28" t="s">
        <v>110</v>
      </c>
      <c r="F1206" s="29" t="s">
        <v>27</v>
      </c>
      <c r="G1206" s="30">
        <v>34.05</v>
      </c>
      <c r="H1206" s="31">
        <v>152.22</v>
      </c>
      <c r="I1206" s="39"/>
      <c r="J1206" s="31">
        <f>H1206*(1-$I$4)</f>
        <v>152.22</v>
      </c>
      <c r="K1206" s="33">
        <f>ROUND(G1206*J1206,2)</f>
        <v>5183.09</v>
      </c>
      <c r="L1206" s="34" t="s">
        <v>28</v>
      </c>
      <c r="M1206" s="35"/>
      <c r="O1206" s="21">
        <v>151.58</v>
      </c>
      <c r="P1206" s="22" t="s">
        <v>111</v>
      </c>
      <c r="Q1206" s="38"/>
      <c r="R1206" s="38"/>
    </row>
    <row r="1207" s="3" customFormat="1" outlineLevel="1" spans="1:18">
      <c r="A1207" s="40"/>
      <c r="B1207" s="28" t="s">
        <v>112</v>
      </c>
      <c r="C1207" s="28"/>
      <c r="D1207" s="28"/>
      <c r="E1207" s="28"/>
      <c r="F1207" s="29"/>
      <c r="G1207" s="30"/>
      <c r="H1207" s="31"/>
      <c r="I1207" s="39"/>
      <c r="J1207" s="31"/>
      <c r="K1207" s="33"/>
      <c r="L1207" s="34"/>
      <c r="M1207" s="35"/>
      <c r="O1207" s="36"/>
      <c r="P1207" s="37"/>
      <c r="Q1207" s="38"/>
      <c r="R1207" s="38"/>
    </row>
    <row r="1208" s="3" customFormat="1" outlineLevel="1" spans="1:18">
      <c r="A1208" s="27" t="s">
        <v>123</v>
      </c>
      <c r="B1208" s="28" t="s">
        <v>731</v>
      </c>
      <c r="C1208" s="28"/>
      <c r="D1208" s="28"/>
      <c r="E1208" s="28"/>
      <c r="F1208" s="29"/>
      <c r="G1208" s="30"/>
      <c r="H1208" s="31"/>
      <c r="I1208" s="39"/>
      <c r="J1208" s="31"/>
      <c r="K1208" s="33"/>
      <c r="L1208" s="34"/>
      <c r="M1208" s="35"/>
      <c r="O1208" s="36"/>
      <c r="P1208" s="37"/>
      <c r="Q1208" s="38"/>
      <c r="R1208" s="38"/>
    </row>
    <row r="1209" s="3" customFormat="1" outlineLevel="1" spans="1:18">
      <c r="A1209" s="40"/>
      <c r="B1209" s="28" t="s">
        <v>22</v>
      </c>
      <c r="C1209" s="28"/>
      <c r="D1209" s="28"/>
      <c r="E1209" s="28"/>
      <c r="F1209" s="29"/>
      <c r="G1209" s="30"/>
      <c r="H1209" s="31"/>
      <c r="I1209" s="39"/>
      <c r="J1209" s="31"/>
      <c r="K1209" s="33"/>
      <c r="L1209" s="34"/>
      <c r="M1209" s="35"/>
      <c r="O1209" s="36"/>
      <c r="P1209" s="37"/>
      <c r="Q1209" s="38"/>
      <c r="R1209" s="38"/>
    </row>
    <row r="1210" s="3" customFormat="1" ht="108" customHeight="1" outlineLevel="2" spans="1:18">
      <c r="A1210" s="41">
        <f>1+N(A1209)</f>
        <v>1</v>
      </c>
      <c r="B1210" s="28" t="s">
        <v>23</v>
      </c>
      <c r="C1210" s="28" t="s">
        <v>24</v>
      </c>
      <c r="D1210" s="28" t="s">
        <v>25</v>
      </c>
      <c r="E1210" s="28" t="s">
        <v>26</v>
      </c>
      <c r="F1210" s="29" t="s">
        <v>27</v>
      </c>
      <c r="G1210" s="30">
        <v>9.22</v>
      </c>
      <c r="H1210" s="31">
        <v>940.91</v>
      </c>
      <c r="I1210" s="39"/>
      <c r="J1210" s="31">
        <f>H1210*(1-$I$4)</f>
        <v>940.91</v>
      </c>
      <c r="K1210" s="33">
        <f>ROUND(G1210*J1210,2)</f>
        <v>8675.19</v>
      </c>
      <c r="L1210" s="34" t="s">
        <v>28</v>
      </c>
      <c r="M1210" s="35"/>
      <c r="O1210" s="21">
        <v>886.6</v>
      </c>
      <c r="P1210" s="22" t="s">
        <v>29</v>
      </c>
      <c r="Q1210" s="38"/>
      <c r="R1210" s="38"/>
    </row>
    <row r="1211" s="3" customFormat="1" ht="108" customHeight="1" outlineLevel="2" spans="1:18">
      <c r="A1211" s="41">
        <f>1+N(A1210)</f>
        <v>2</v>
      </c>
      <c r="B1211" s="28" t="s">
        <v>30</v>
      </c>
      <c r="C1211" s="28" t="s">
        <v>31</v>
      </c>
      <c r="D1211" s="28" t="s">
        <v>25</v>
      </c>
      <c r="E1211" s="28" t="s">
        <v>26</v>
      </c>
      <c r="F1211" s="29" t="s">
        <v>27</v>
      </c>
      <c r="G1211" s="30">
        <v>11.42</v>
      </c>
      <c r="H1211" s="31">
        <v>1412.25</v>
      </c>
      <c r="I1211" s="39"/>
      <c r="J1211" s="31">
        <f>H1211*(1-$I$4)</f>
        <v>1412.25</v>
      </c>
      <c r="K1211" s="33">
        <f>ROUND(G1211*J1211,2)</f>
        <v>16127.9</v>
      </c>
      <c r="L1211" s="34" t="s">
        <v>28</v>
      </c>
      <c r="M1211" s="35"/>
      <c r="O1211" s="21">
        <v>1135.86</v>
      </c>
      <c r="P1211" s="22" t="s">
        <v>32</v>
      </c>
      <c r="Q1211" s="38"/>
      <c r="R1211" s="38"/>
    </row>
    <row r="1212" s="3" customFormat="1" ht="72" customHeight="1" outlineLevel="2" spans="1:18">
      <c r="A1212" s="41">
        <f>1+N(A1211)</f>
        <v>3</v>
      </c>
      <c r="B1212" s="28" t="s">
        <v>36</v>
      </c>
      <c r="C1212" s="28" t="s">
        <v>37</v>
      </c>
      <c r="D1212" s="28" t="s">
        <v>25</v>
      </c>
      <c r="E1212" s="28" t="s">
        <v>38</v>
      </c>
      <c r="F1212" s="29" t="s">
        <v>39</v>
      </c>
      <c r="G1212" s="30">
        <v>13.33</v>
      </c>
      <c r="H1212" s="31">
        <v>89.27</v>
      </c>
      <c r="I1212" s="39"/>
      <c r="J1212" s="31">
        <f>H1212*(1-$I$4)</f>
        <v>89.27</v>
      </c>
      <c r="K1212" s="33">
        <f>ROUND(G1212*J1212,2)</f>
        <v>1189.97</v>
      </c>
      <c r="L1212" s="34" t="s">
        <v>28</v>
      </c>
      <c r="M1212" s="35"/>
      <c r="O1212" s="21">
        <v>35.28</v>
      </c>
      <c r="P1212" s="22" t="s">
        <v>40</v>
      </c>
      <c r="Q1212" s="38"/>
      <c r="R1212" s="38"/>
    </row>
    <row r="1213" s="3" customFormat="1" ht="72" customHeight="1" outlineLevel="2" spans="1:18">
      <c r="A1213" s="41">
        <f>1+N(A1212)</f>
        <v>4</v>
      </c>
      <c r="B1213" s="28" t="s">
        <v>41</v>
      </c>
      <c r="C1213" s="28" t="s">
        <v>42</v>
      </c>
      <c r="D1213" s="28" t="s">
        <v>25</v>
      </c>
      <c r="E1213" s="28" t="s">
        <v>26</v>
      </c>
      <c r="F1213" s="29" t="s">
        <v>27</v>
      </c>
      <c r="G1213" s="30">
        <v>20.64</v>
      </c>
      <c r="H1213" s="31">
        <v>64.9</v>
      </c>
      <c r="I1213" s="39"/>
      <c r="J1213" s="31">
        <f>H1213*(1-$I$4)</f>
        <v>64.9</v>
      </c>
      <c r="K1213" s="33">
        <f>ROUND(G1213*J1213,2)</f>
        <v>1339.54</v>
      </c>
      <c r="L1213" s="34" t="s">
        <v>28</v>
      </c>
      <c r="M1213" s="35"/>
      <c r="O1213" s="21">
        <v>61.38</v>
      </c>
      <c r="P1213" s="22" t="s">
        <v>43</v>
      </c>
      <c r="Q1213" s="38"/>
      <c r="R1213" s="38"/>
    </row>
    <row r="1214" s="3" customFormat="1" outlineLevel="1" spans="1:18">
      <c r="A1214" s="40"/>
      <c r="B1214" s="28" t="s">
        <v>687</v>
      </c>
      <c r="C1214" s="28"/>
      <c r="D1214" s="28"/>
      <c r="E1214" s="28"/>
      <c r="F1214" s="29"/>
      <c r="G1214" s="30"/>
      <c r="H1214" s="31"/>
      <c r="I1214" s="39"/>
      <c r="J1214" s="31"/>
      <c r="K1214" s="33"/>
      <c r="L1214" s="34"/>
      <c r="M1214" s="35"/>
      <c r="O1214" s="36"/>
      <c r="P1214" s="37"/>
      <c r="Q1214" s="38"/>
      <c r="R1214" s="38"/>
    </row>
    <row r="1215" s="3" customFormat="1" ht="108" customHeight="1" outlineLevel="2" spans="1:18">
      <c r="A1215" s="41">
        <f t="shared" ref="A1215:A1223" si="180">1+N(A1214)</f>
        <v>1</v>
      </c>
      <c r="B1215" s="28" t="s">
        <v>45</v>
      </c>
      <c r="C1215" s="28" t="s">
        <v>46</v>
      </c>
      <c r="D1215" s="28" t="s">
        <v>47</v>
      </c>
      <c r="E1215" s="28" t="s">
        <v>48</v>
      </c>
      <c r="F1215" s="29" t="s">
        <v>27</v>
      </c>
      <c r="G1215" s="30">
        <v>8.62</v>
      </c>
      <c r="H1215" s="31">
        <v>2668.45</v>
      </c>
      <c r="I1215" s="39"/>
      <c r="J1215" s="31">
        <f t="shared" ref="J1215:J1223" si="181">H1215*(1-$I$4)</f>
        <v>2668.45</v>
      </c>
      <c r="K1215" s="33">
        <f t="shared" ref="K1215:K1223" si="182">ROUND(G1215*J1215,2)</f>
        <v>23002.04</v>
      </c>
      <c r="L1215" s="34" t="s">
        <v>28</v>
      </c>
      <c r="M1215" s="35"/>
      <c r="O1215" s="21">
        <v>1019.76</v>
      </c>
      <c r="P1215" s="22" t="s">
        <v>49</v>
      </c>
      <c r="Q1215" s="38"/>
      <c r="R1215" s="38"/>
    </row>
    <row r="1216" s="3" customFormat="1" ht="156" customHeight="1" outlineLevel="2" spans="1:18">
      <c r="A1216" s="41">
        <f t="shared" si="180"/>
        <v>2</v>
      </c>
      <c r="B1216" s="28" t="s">
        <v>50</v>
      </c>
      <c r="C1216" s="28" t="s">
        <v>51</v>
      </c>
      <c r="D1216" s="28" t="s">
        <v>52</v>
      </c>
      <c r="E1216" s="28" t="s">
        <v>48</v>
      </c>
      <c r="F1216" s="29" t="s">
        <v>27</v>
      </c>
      <c r="G1216" s="30">
        <v>32.55</v>
      </c>
      <c r="H1216" s="31">
        <v>996.46</v>
      </c>
      <c r="I1216" s="39"/>
      <c r="J1216" s="31">
        <f t="shared" si="181"/>
        <v>996.46</v>
      </c>
      <c r="K1216" s="33">
        <f t="shared" si="182"/>
        <v>32434.77</v>
      </c>
      <c r="L1216" s="34" t="s">
        <v>28</v>
      </c>
      <c r="M1216" s="35"/>
      <c r="O1216" s="21">
        <v>1000.51</v>
      </c>
      <c r="P1216" s="22" t="s">
        <v>723</v>
      </c>
      <c r="Q1216" s="38"/>
      <c r="R1216" s="38"/>
    </row>
    <row r="1217" s="3" customFormat="1" ht="120" customHeight="1" outlineLevel="2" spans="1:18">
      <c r="A1217" s="41">
        <f t="shared" si="180"/>
        <v>3</v>
      </c>
      <c r="B1217" s="28" t="s">
        <v>291</v>
      </c>
      <c r="C1217" s="28" t="s">
        <v>289</v>
      </c>
      <c r="D1217" s="28" t="s">
        <v>52</v>
      </c>
      <c r="E1217" s="28" t="s">
        <v>63</v>
      </c>
      <c r="F1217" s="29" t="s">
        <v>27</v>
      </c>
      <c r="G1217" s="30">
        <v>1.91</v>
      </c>
      <c r="H1217" s="31">
        <v>580.35</v>
      </c>
      <c r="I1217" s="39"/>
      <c r="J1217" s="31">
        <f t="shared" si="181"/>
        <v>580.35</v>
      </c>
      <c r="K1217" s="33">
        <f t="shared" si="182"/>
        <v>1108.47</v>
      </c>
      <c r="L1217" s="34" t="s">
        <v>28</v>
      </c>
      <c r="M1217" s="35"/>
      <c r="O1217" s="21">
        <v>479.36</v>
      </c>
      <c r="P1217" s="22" t="s">
        <v>724</v>
      </c>
      <c r="Q1217" s="38"/>
      <c r="R1217" s="38"/>
    </row>
    <row r="1218" s="3" customFormat="1" ht="120" customHeight="1" outlineLevel="2" spans="1:18">
      <c r="A1218" s="41">
        <f t="shared" si="180"/>
        <v>4</v>
      </c>
      <c r="B1218" s="28" t="s">
        <v>65</v>
      </c>
      <c r="C1218" s="28" t="s">
        <v>62</v>
      </c>
      <c r="D1218" s="28" t="s">
        <v>52</v>
      </c>
      <c r="E1218" s="28" t="s">
        <v>63</v>
      </c>
      <c r="F1218" s="29" t="s">
        <v>27</v>
      </c>
      <c r="G1218" s="30">
        <v>3.4</v>
      </c>
      <c r="H1218" s="31">
        <v>630.65</v>
      </c>
      <c r="I1218" s="39"/>
      <c r="J1218" s="31">
        <f t="shared" si="181"/>
        <v>630.65</v>
      </c>
      <c r="K1218" s="33">
        <f t="shared" si="182"/>
        <v>2144.21</v>
      </c>
      <c r="L1218" s="34" t="s">
        <v>28</v>
      </c>
      <c r="M1218" s="35"/>
      <c r="O1218" s="21">
        <v>681.67</v>
      </c>
      <c r="P1218" s="22" t="s">
        <v>64</v>
      </c>
      <c r="Q1218" s="38"/>
      <c r="R1218" s="38"/>
    </row>
    <row r="1219" s="3" customFormat="1" ht="120" customHeight="1" outlineLevel="2" spans="1:18">
      <c r="A1219" s="41">
        <f t="shared" si="180"/>
        <v>5</v>
      </c>
      <c r="B1219" s="28" t="s">
        <v>66</v>
      </c>
      <c r="C1219" s="28" t="s">
        <v>67</v>
      </c>
      <c r="D1219" s="28" t="s">
        <v>52</v>
      </c>
      <c r="E1219" s="28" t="s">
        <v>63</v>
      </c>
      <c r="F1219" s="29" t="s">
        <v>27</v>
      </c>
      <c r="G1219" s="30">
        <v>0.9</v>
      </c>
      <c r="H1219" s="31">
        <v>812.96</v>
      </c>
      <c r="I1219" s="39"/>
      <c r="J1219" s="31">
        <f t="shared" si="181"/>
        <v>812.96</v>
      </c>
      <c r="K1219" s="33">
        <f t="shared" si="182"/>
        <v>731.66</v>
      </c>
      <c r="L1219" s="34" t="s">
        <v>28</v>
      </c>
      <c r="M1219" s="35"/>
      <c r="O1219" s="21">
        <v>681.67</v>
      </c>
      <c r="P1219" s="22" t="s">
        <v>68</v>
      </c>
      <c r="Q1219" s="38"/>
      <c r="R1219" s="38"/>
    </row>
    <row r="1220" s="3" customFormat="1" ht="120" customHeight="1" outlineLevel="2" spans="1:18">
      <c r="A1220" s="41">
        <f t="shared" si="180"/>
        <v>6</v>
      </c>
      <c r="B1220" s="28" t="s">
        <v>69</v>
      </c>
      <c r="C1220" s="28" t="s">
        <v>70</v>
      </c>
      <c r="D1220" s="28" t="s">
        <v>52</v>
      </c>
      <c r="E1220" s="28" t="s">
        <v>63</v>
      </c>
      <c r="F1220" s="29" t="s">
        <v>27</v>
      </c>
      <c r="G1220" s="30">
        <v>0.26</v>
      </c>
      <c r="H1220" s="31">
        <v>1175.56</v>
      </c>
      <c r="I1220" s="39"/>
      <c r="J1220" s="31">
        <f t="shared" si="181"/>
        <v>1175.56</v>
      </c>
      <c r="K1220" s="33">
        <f t="shared" si="182"/>
        <v>305.65</v>
      </c>
      <c r="L1220" s="34" t="s">
        <v>28</v>
      </c>
      <c r="M1220" s="35"/>
      <c r="O1220" s="21">
        <v>681.67</v>
      </c>
      <c r="P1220" s="22" t="s">
        <v>71</v>
      </c>
      <c r="Q1220" s="38"/>
      <c r="R1220" s="38"/>
    </row>
    <row r="1221" s="3" customFormat="1" ht="96" customHeight="1" outlineLevel="2" spans="1:18">
      <c r="A1221" s="41">
        <f t="shared" si="180"/>
        <v>7</v>
      </c>
      <c r="B1221" s="28" t="s">
        <v>75</v>
      </c>
      <c r="C1221" s="28" t="s">
        <v>76</v>
      </c>
      <c r="D1221" s="28" t="s">
        <v>59</v>
      </c>
      <c r="E1221" s="28" t="s">
        <v>38</v>
      </c>
      <c r="F1221" s="29" t="s">
        <v>39</v>
      </c>
      <c r="G1221" s="30">
        <v>17.89</v>
      </c>
      <c r="H1221" s="31">
        <v>67.08</v>
      </c>
      <c r="I1221" s="39"/>
      <c r="J1221" s="31">
        <f t="shared" si="181"/>
        <v>67.08</v>
      </c>
      <c r="K1221" s="33">
        <f t="shared" si="182"/>
        <v>1200.06</v>
      </c>
      <c r="L1221" s="34" t="s">
        <v>28</v>
      </c>
      <c r="M1221" s="35"/>
      <c r="O1221" s="21">
        <v>45.71</v>
      </c>
      <c r="P1221" s="22" t="s">
        <v>77</v>
      </c>
      <c r="Q1221" s="38"/>
      <c r="R1221" s="38"/>
    </row>
    <row r="1222" s="3" customFormat="1" ht="96" customHeight="1" outlineLevel="2" spans="1:18">
      <c r="A1222" s="41">
        <f t="shared" si="180"/>
        <v>8</v>
      </c>
      <c r="B1222" s="28" t="s">
        <v>84</v>
      </c>
      <c r="C1222" s="28" t="s">
        <v>85</v>
      </c>
      <c r="D1222" s="28" t="s">
        <v>59</v>
      </c>
      <c r="E1222" s="28" t="s">
        <v>38</v>
      </c>
      <c r="F1222" s="29" t="s">
        <v>39</v>
      </c>
      <c r="G1222" s="30">
        <v>15.25</v>
      </c>
      <c r="H1222" s="31">
        <v>117.84</v>
      </c>
      <c r="I1222" s="39"/>
      <c r="J1222" s="31">
        <f t="shared" si="181"/>
        <v>117.84</v>
      </c>
      <c r="K1222" s="33">
        <f t="shared" si="182"/>
        <v>1797.06</v>
      </c>
      <c r="L1222" s="34" t="s">
        <v>28</v>
      </c>
      <c r="M1222" s="35"/>
      <c r="O1222" s="21">
        <v>95.14</v>
      </c>
      <c r="P1222" s="22" t="s">
        <v>86</v>
      </c>
      <c r="Q1222" s="38"/>
      <c r="R1222" s="38"/>
    </row>
    <row r="1223" s="3" customFormat="1" ht="96" customHeight="1" outlineLevel="2" spans="1:18">
      <c r="A1223" s="41">
        <f t="shared" si="180"/>
        <v>9</v>
      </c>
      <c r="B1223" s="28" t="s">
        <v>87</v>
      </c>
      <c r="C1223" s="28" t="s">
        <v>88</v>
      </c>
      <c r="D1223" s="28" t="s">
        <v>59</v>
      </c>
      <c r="E1223" s="28" t="s">
        <v>38</v>
      </c>
      <c r="F1223" s="29" t="s">
        <v>39</v>
      </c>
      <c r="G1223" s="30">
        <v>18.67</v>
      </c>
      <c r="H1223" s="31">
        <v>64.25</v>
      </c>
      <c r="I1223" s="39"/>
      <c r="J1223" s="31">
        <f t="shared" si="181"/>
        <v>64.25</v>
      </c>
      <c r="K1223" s="33">
        <f t="shared" si="182"/>
        <v>1199.55</v>
      </c>
      <c r="L1223" s="34" t="s">
        <v>28</v>
      </c>
      <c r="M1223" s="35"/>
      <c r="O1223" s="21">
        <v>43.16</v>
      </c>
      <c r="P1223" s="22" t="s">
        <v>89</v>
      </c>
      <c r="Q1223" s="38"/>
      <c r="R1223" s="38"/>
    </row>
    <row r="1224" s="3" customFormat="1" outlineLevel="1" spans="1:18">
      <c r="A1224" s="40"/>
      <c r="B1224" s="28" t="s">
        <v>90</v>
      </c>
      <c r="C1224" s="28"/>
      <c r="D1224" s="28"/>
      <c r="E1224" s="28"/>
      <c r="F1224" s="29"/>
      <c r="G1224" s="30"/>
      <c r="H1224" s="31"/>
      <c r="I1224" s="39"/>
      <c r="J1224" s="31"/>
      <c r="K1224" s="33"/>
      <c r="L1224" s="34"/>
      <c r="M1224" s="35"/>
      <c r="O1224" s="36"/>
      <c r="P1224" s="37"/>
      <c r="Q1224" s="38"/>
      <c r="R1224" s="38"/>
    </row>
    <row r="1225" s="3" customFormat="1" ht="168" customHeight="1" outlineLevel="2" spans="1:18">
      <c r="A1225" s="41">
        <f>1+N(A1224)</f>
        <v>1</v>
      </c>
      <c r="B1225" s="28" t="s">
        <v>636</v>
      </c>
      <c r="C1225" s="28" t="s">
        <v>92</v>
      </c>
      <c r="D1225" s="28" t="s">
        <v>93</v>
      </c>
      <c r="E1225" s="28" t="s">
        <v>94</v>
      </c>
      <c r="F1225" s="29" t="s">
        <v>27</v>
      </c>
      <c r="G1225" s="30">
        <v>21.32</v>
      </c>
      <c r="H1225" s="31">
        <v>150.71</v>
      </c>
      <c r="I1225" s="39"/>
      <c r="J1225" s="31">
        <f>H1225*(1-$I$4)</f>
        <v>150.71</v>
      </c>
      <c r="K1225" s="33">
        <f>ROUND(G1225*J1225,2)</f>
        <v>3213.14</v>
      </c>
      <c r="L1225" s="34" t="s">
        <v>28</v>
      </c>
      <c r="M1225" s="35"/>
      <c r="O1225" s="21">
        <v>150.38</v>
      </c>
      <c r="P1225" s="22" t="s">
        <v>728</v>
      </c>
      <c r="Q1225" s="38"/>
      <c r="R1225" s="38"/>
    </row>
    <row r="1226" s="3" customFormat="1" ht="48" customHeight="1" outlineLevel="2" spans="1:18">
      <c r="A1226" s="41">
        <f>1+N(A1225)</f>
        <v>2</v>
      </c>
      <c r="B1226" s="28" t="s">
        <v>96</v>
      </c>
      <c r="C1226" s="28" t="s">
        <v>97</v>
      </c>
      <c r="D1226" s="28" t="s">
        <v>98</v>
      </c>
      <c r="E1226" s="28" t="s">
        <v>99</v>
      </c>
      <c r="F1226" s="29" t="s">
        <v>39</v>
      </c>
      <c r="G1226" s="30">
        <v>13.35</v>
      </c>
      <c r="H1226" s="31">
        <v>112.16</v>
      </c>
      <c r="I1226" s="39"/>
      <c r="J1226" s="31">
        <f>H1226*(1-$I$4)</f>
        <v>112.16</v>
      </c>
      <c r="K1226" s="33">
        <f>ROUND(G1226*J1226,2)</f>
        <v>1497.34</v>
      </c>
      <c r="L1226" s="34" t="s">
        <v>28</v>
      </c>
      <c r="M1226" s="35"/>
      <c r="O1226" s="21">
        <v>79.3</v>
      </c>
      <c r="P1226" s="22" t="s">
        <v>100</v>
      </c>
      <c r="Q1226" s="38"/>
      <c r="R1226" s="38"/>
    </row>
    <row r="1227" s="3" customFormat="1" ht="48" customHeight="1" outlineLevel="2" spans="1:18">
      <c r="A1227" s="41">
        <f>1+N(A1226)</f>
        <v>3</v>
      </c>
      <c r="B1227" s="28" t="s">
        <v>101</v>
      </c>
      <c r="C1227" s="28" t="s">
        <v>102</v>
      </c>
      <c r="D1227" s="28" t="s">
        <v>98</v>
      </c>
      <c r="E1227" s="28" t="s">
        <v>99</v>
      </c>
      <c r="F1227" s="29" t="s">
        <v>39</v>
      </c>
      <c r="G1227" s="30">
        <v>13.35</v>
      </c>
      <c r="H1227" s="31">
        <v>75.82</v>
      </c>
      <c r="I1227" s="39"/>
      <c r="J1227" s="31">
        <f>H1227*(1-$I$4)</f>
        <v>75.82</v>
      </c>
      <c r="K1227" s="33">
        <f>ROUND(G1227*J1227,2)</f>
        <v>1012.2</v>
      </c>
      <c r="L1227" s="34" t="s">
        <v>28</v>
      </c>
      <c r="M1227" s="35"/>
      <c r="O1227" s="21">
        <v>203.56</v>
      </c>
      <c r="P1227" s="22" t="s">
        <v>103</v>
      </c>
      <c r="Q1227" s="38"/>
      <c r="R1227" s="38"/>
    </row>
    <row r="1228" s="3" customFormat="1" ht="48" customHeight="1" outlineLevel="2" spans="1:18">
      <c r="A1228" s="41">
        <f>1+N(A1227)</f>
        <v>4</v>
      </c>
      <c r="B1228" s="28" t="s">
        <v>104</v>
      </c>
      <c r="C1228" s="28" t="s">
        <v>105</v>
      </c>
      <c r="D1228" s="28" t="s">
        <v>98</v>
      </c>
      <c r="E1228" s="28" t="s">
        <v>99</v>
      </c>
      <c r="F1228" s="29" t="s">
        <v>39</v>
      </c>
      <c r="G1228" s="30">
        <v>7.6</v>
      </c>
      <c r="H1228" s="31">
        <v>109.74</v>
      </c>
      <c r="I1228" s="39"/>
      <c r="J1228" s="31">
        <f>H1228*(1-$I$4)</f>
        <v>109.74</v>
      </c>
      <c r="K1228" s="33">
        <f>ROUND(G1228*J1228,2)</f>
        <v>834.02</v>
      </c>
      <c r="L1228" s="34" t="s">
        <v>28</v>
      </c>
      <c r="M1228" s="35"/>
      <c r="O1228" s="21">
        <v>108.2</v>
      </c>
      <c r="P1228" s="22" t="s">
        <v>106</v>
      </c>
      <c r="Q1228" s="38"/>
      <c r="R1228" s="38"/>
    </row>
    <row r="1229" s="3" customFormat="1" ht="132" customHeight="1" outlineLevel="2" spans="1:18">
      <c r="A1229" s="41">
        <f>1+N(A1228)</f>
        <v>5</v>
      </c>
      <c r="B1229" s="28" t="s">
        <v>107</v>
      </c>
      <c r="C1229" s="28" t="s">
        <v>108</v>
      </c>
      <c r="D1229" s="28" t="s">
        <v>109</v>
      </c>
      <c r="E1229" s="28" t="s">
        <v>110</v>
      </c>
      <c r="F1229" s="29" t="s">
        <v>27</v>
      </c>
      <c r="G1229" s="30">
        <v>25.9</v>
      </c>
      <c r="H1229" s="31">
        <v>152.22</v>
      </c>
      <c r="I1229" s="39"/>
      <c r="J1229" s="31">
        <f>H1229*(1-$I$4)</f>
        <v>152.22</v>
      </c>
      <c r="K1229" s="33">
        <f>ROUND(G1229*J1229,2)</f>
        <v>3942.5</v>
      </c>
      <c r="L1229" s="34" t="s">
        <v>28</v>
      </c>
      <c r="M1229" s="35"/>
      <c r="O1229" s="21">
        <v>151.58</v>
      </c>
      <c r="P1229" s="22" t="s">
        <v>111</v>
      </c>
      <c r="Q1229" s="38"/>
      <c r="R1229" s="38"/>
    </row>
    <row r="1230" s="3" customFormat="1" outlineLevel="1" spans="1:18">
      <c r="A1230" s="40"/>
      <c r="B1230" s="28" t="s">
        <v>112</v>
      </c>
      <c r="C1230" s="28"/>
      <c r="D1230" s="28"/>
      <c r="E1230" s="28"/>
      <c r="F1230" s="29"/>
      <c r="G1230" s="30"/>
      <c r="H1230" s="31"/>
      <c r="I1230" s="39"/>
      <c r="J1230" s="31"/>
      <c r="K1230" s="33"/>
      <c r="L1230" s="34"/>
      <c r="M1230" s="35"/>
      <c r="O1230" s="36"/>
      <c r="P1230" s="37"/>
      <c r="Q1230" s="38"/>
      <c r="R1230" s="38"/>
    </row>
    <row r="1231" s="3" customFormat="1" outlineLevel="1" spans="1:18">
      <c r="A1231" s="27" t="s">
        <v>135</v>
      </c>
      <c r="B1231" s="28" t="s">
        <v>732</v>
      </c>
      <c r="C1231" s="28"/>
      <c r="D1231" s="28"/>
      <c r="E1231" s="28"/>
      <c r="F1231" s="29"/>
      <c r="G1231" s="30"/>
      <c r="H1231" s="31"/>
      <c r="I1231" s="39"/>
      <c r="J1231" s="31"/>
      <c r="K1231" s="33"/>
      <c r="L1231" s="34"/>
      <c r="M1231" s="35"/>
      <c r="O1231" s="36"/>
      <c r="P1231" s="37"/>
      <c r="Q1231" s="38"/>
      <c r="R1231" s="38"/>
    </row>
    <row r="1232" s="3" customFormat="1" outlineLevel="1" spans="1:18">
      <c r="A1232" s="40"/>
      <c r="B1232" s="28" t="s">
        <v>22</v>
      </c>
      <c r="C1232" s="28"/>
      <c r="D1232" s="28"/>
      <c r="E1232" s="28"/>
      <c r="F1232" s="29"/>
      <c r="G1232" s="30"/>
      <c r="H1232" s="31"/>
      <c r="I1232" s="39"/>
      <c r="J1232" s="31"/>
      <c r="K1232" s="33"/>
      <c r="L1232" s="34"/>
      <c r="M1232" s="35"/>
      <c r="O1232" s="36"/>
      <c r="P1232" s="37"/>
      <c r="Q1232" s="38"/>
      <c r="R1232" s="38"/>
    </row>
    <row r="1233" s="3" customFormat="1" ht="108" customHeight="1" outlineLevel="2" spans="1:18">
      <c r="A1233" s="41">
        <f>1+N(A1232)</f>
        <v>1</v>
      </c>
      <c r="B1233" s="28" t="s">
        <v>23</v>
      </c>
      <c r="C1233" s="28" t="s">
        <v>24</v>
      </c>
      <c r="D1233" s="28" t="s">
        <v>25</v>
      </c>
      <c r="E1233" s="28" t="s">
        <v>26</v>
      </c>
      <c r="F1233" s="29" t="s">
        <v>27</v>
      </c>
      <c r="G1233" s="30">
        <v>11.96</v>
      </c>
      <c r="H1233" s="31">
        <v>940.91</v>
      </c>
      <c r="I1233" s="39"/>
      <c r="J1233" s="31">
        <f>H1233*(1-$I$4)</f>
        <v>940.91</v>
      </c>
      <c r="K1233" s="33">
        <f>ROUND(G1233*J1233,2)</f>
        <v>11253.28</v>
      </c>
      <c r="L1233" s="34" t="s">
        <v>28</v>
      </c>
      <c r="M1233" s="35"/>
      <c r="O1233" s="21">
        <v>886.6</v>
      </c>
      <c r="P1233" s="22" t="s">
        <v>29</v>
      </c>
      <c r="Q1233" s="38"/>
      <c r="R1233" s="38"/>
    </row>
    <row r="1234" s="3" customFormat="1" ht="108" customHeight="1" outlineLevel="2" spans="1:18">
      <c r="A1234" s="41">
        <f>1+N(A1233)</f>
        <v>2</v>
      </c>
      <c r="B1234" s="28" t="s">
        <v>30</v>
      </c>
      <c r="C1234" s="28" t="s">
        <v>31</v>
      </c>
      <c r="D1234" s="28" t="s">
        <v>25</v>
      </c>
      <c r="E1234" s="28" t="s">
        <v>26</v>
      </c>
      <c r="F1234" s="29" t="s">
        <v>27</v>
      </c>
      <c r="G1234" s="30">
        <v>14.84</v>
      </c>
      <c r="H1234" s="31">
        <v>1412.25</v>
      </c>
      <c r="I1234" s="39"/>
      <c r="J1234" s="31">
        <f>H1234*(1-$I$4)</f>
        <v>1412.25</v>
      </c>
      <c r="K1234" s="33">
        <f>ROUND(G1234*J1234,2)</f>
        <v>20957.79</v>
      </c>
      <c r="L1234" s="34" t="s">
        <v>28</v>
      </c>
      <c r="M1234" s="35"/>
      <c r="O1234" s="21">
        <v>1135.86</v>
      </c>
      <c r="P1234" s="22" t="s">
        <v>32</v>
      </c>
      <c r="Q1234" s="38"/>
      <c r="R1234" s="38"/>
    </row>
    <row r="1235" s="3" customFormat="1" ht="72" customHeight="1" outlineLevel="2" spans="1:18">
      <c r="A1235" s="41">
        <f>1+N(A1234)</f>
        <v>3</v>
      </c>
      <c r="B1235" s="28" t="s">
        <v>36</v>
      </c>
      <c r="C1235" s="28" t="s">
        <v>37</v>
      </c>
      <c r="D1235" s="28" t="s">
        <v>25</v>
      </c>
      <c r="E1235" s="28" t="s">
        <v>38</v>
      </c>
      <c r="F1235" s="29" t="s">
        <v>39</v>
      </c>
      <c r="G1235" s="30">
        <v>15.97</v>
      </c>
      <c r="H1235" s="31">
        <v>89.27</v>
      </c>
      <c r="I1235" s="39"/>
      <c r="J1235" s="31">
        <f>H1235*(1-$I$4)</f>
        <v>89.27</v>
      </c>
      <c r="K1235" s="33">
        <f>ROUND(G1235*J1235,2)</f>
        <v>1425.64</v>
      </c>
      <c r="L1235" s="34" t="s">
        <v>28</v>
      </c>
      <c r="M1235" s="35"/>
      <c r="O1235" s="21">
        <v>35.28</v>
      </c>
      <c r="P1235" s="22" t="s">
        <v>40</v>
      </c>
      <c r="Q1235" s="38"/>
      <c r="R1235" s="38"/>
    </row>
    <row r="1236" s="3" customFormat="1" ht="72" customHeight="1" outlineLevel="2" spans="1:18">
      <c r="A1236" s="41">
        <f>1+N(A1235)</f>
        <v>4</v>
      </c>
      <c r="B1236" s="28" t="s">
        <v>41</v>
      </c>
      <c r="C1236" s="28" t="s">
        <v>42</v>
      </c>
      <c r="D1236" s="28" t="s">
        <v>25</v>
      </c>
      <c r="E1236" s="28" t="s">
        <v>26</v>
      </c>
      <c r="F1236" s="29" t="s">
        <v>27</v>
      </c>
      <c r="G1236" s="30">
        <v>26.8</v>
      </c>
      <c r="H1236" s="31">
        <v>64.9</v>
      </c>
      <c r="I1236" s="39"/>
      <c r="J1236" s="31">
        <f>H1236*(1-$I$4)</f>
        <v>64.9</v>
      </c>
      <c r="K1236" s="33">
        <f>ROUND(G1236*J1236,2)</f>
        <v>1739.32</v>
      </c>
      <c r="L1236" s="34" t="s">
        <v>28</v>
      </c>
      <c r="M1236" s="35"/>
      <c r="O1236" s="21">
        <v>61.38</v>
      </c>
      <c r="P1236" s="22" t="s">
        <v>43</v>
      </c>
      <c r="Q1236" s="38"/>
      <c r="R1236" s="38"/>
    </row>
    <row r="1237" s="3" customFormat="1" outlineLevel="1" spans="1:18">
      <c r="A1237" s="40"/>
      <c r="B1237" s="28" t="s">
        <v>687</v>
      </c>
      <c r="C1237" s="28"/>
      <c r="D1237" s="28"/>
      <c r="E1237" s="28"/>
      <c r="F1237" s="29"/>
      <c r="G1237" s="30"/>
      <c r="H1237" s="31"/>
      <c r="I1237" s="39"/>
      <c r="J1237" s="31"/>
      <c r="K1237" s="33"/>
      <c r="L1237" s="34"/>
      <c r="M1237" s="35"/>
      <c r="O1237" s="36"/>
      <c r="P1237" s="37"/>
      <c r="Q1237" s="38"/>
      <c r="R1237" s="38"/>
    </row>
    <row r="1238" s="3" customFormat="1" ht="108" customHeight="1" outlineLevel="2" spans="1:18">
      <c r="A1238" s="41">
        <f t="shared" ref="A1238:A1249" si="183">1+N(A1237)</f>
        <v>1</v>
      </c>
      <c r="B1238" s="28" t="s">
        <v>45</v>
      </c>
      <c r="C1238" s="28" t="s">
        <v>46</v>
      </c>
      <c r="D1238" s="28" t="s">
        <v>47</v>
      </c>
      <c r="E1238" s="28" t="s">
        <v>48</v>
      </c>
      <c r="F1238" s="29" t="s">
        <v>27</v>
      </c>
      <c r="G1238" s="30">
        <v>5.32</v>
      </c>
      <c r="H1238" s="31">
        <v>2668.45</v>
      </c>
      <c r="I1238" s="39"/>
      <c r="J1238" s="31">
        <f t="shared" ref="J1238:J1249" si="184">H1238*(1-$I$4)</f>
        <v>2668.45</v>
      </c>
      <c r="K1238" s="33">
        <f t="shared" ref="K1238:K1249" si="185">ROUND(G1238*J1238,2)</f>
        <v>14196.15</v>
      </c>
      <c r="L1238" s="34" t="s">
        <v>28</v>
      </c>
      <c r="M1238" s="35"/>
      <c r="O1238" s="21">
        <v>1019.76</v>
      </c>
      <c r="P1238" s="22" t="s">
        <v>49</v>
      </c>
      <c r="Q1238" s="38"/>
      <c r="R1238" s="38"/>
    </row>
    <row r="1239" s="3" customFormat="1" ht="156" customHeight="1" outlineLevel="2" spans="1:18">
      <c r="A1239" s="41">
        <f t="shared" si="183"/>
        <v>2</v>
      </c>
      <c r="B1239" s="28" t="s">
        <v>50</v>
      </c>
      <c r="C1239" s="28" t="s">
        <v>51</v>
      </c>
      <c r="D1239" s="28" t="s">
        <v>52</v>
      </c>
      <c r="E1239" s="28" t="s">
        <v>48</v>
      </c>
      <c r="F1239" s="29" t="s">
        <v>27</v>
      </c>
      <c r="G1239" s="30">
        <v>22.28</v>
      </c>
      <c r="H1239" s="31">
        <v>996.46</v>
      </c>
      <c r="I1239" s="39"/>
      <c r="J1239" s="31">
        <f t="shared" si="184"/>
        <v>996.46</v>
      </c>
      <c r="K1239" s="33">
        <f t="shared" si="185"/>
        <v>22201.13</v>
      </c>
      <c r="L1239" s="34" t="s">
        <v>28</v>
      </c>
      <c r="M1239" s="35"/>
      <c r="O1239" s="21">
        <v>1000.51</v>
      </c>
      <c r="P1239" s="22" t="s">
        <v>723</v>
      </c>
      <c r="Q1239" s="38"/>
      <c r="R1239" s="38"/>
    </row>
    <row r="1240" s="3" customFormat="1" ht="120" customHeight="1" outlineLevel="2" spans="1:18">
      <c r="A1240" s="41">
        <f t="shared" si="183"/>
        <v>3</v>
      </c>
      <c r="B1240" s="28" t="s">
        <v>291</v>
      </c>
      <c r="C1240" s="28" t="s">
        <v>289</v>
      </c>
      <c r="D1240" s="28" t="s">
        <v>52</v>
      </c>
      <c r="E1240" s="28" t="s">
        <v>63</v>
      </c>
      <c r="F1240" s="29" t="s">
        <v>27</v>
      </c>
      <c r="G1240" s="30">
        <v>4.93</v>
      </c>
      <c r="H1240" s="31">
        <v>580.35</v>
      </c>
      <c r="I1240" s="39"/>
      <c r="J1240" s="31">
        <f t="shared" si="184"/>
        <v>580.35</v>
      </c>
      <c r="K1240" s="33">
        <f t="shared" si="185"/>
        <v>2861.13</v>
      </c>
      <c r="L1240" s="34" t="s">
        <v>28</v>
      </c>
      <c r="M1240" s="35"/>
      <c r="O1240" s="21">
        <v>479.36</v>
      </c>
      <c r="P1240" s="22" t="s">
        <v>724</v>
      </c>
      <c r="Q1240" s="38"/>
      <c r="R1240" s="38"/>
    </row>
    <row r="1241" s="3" customFormat="1" ht="96" customHeight="1" outlineLevel="2" spans="1:18">
      <c r="A1241" s="41">
        <f t="shared" si="183"/>
        <v>4</v>
      </c>
      <c r="B1241" s="28" t="s">
        <v>295</v>
      </c>
      <c r="C1241" s="28" t="s">
        <v>296</v>
      </c>
      <c r="D1241" s="28" t="s">
        <v>59</v>
      </c>
      <c r="E1241" s="28" t="s">
        <v>26</v>
      </c>
      <c r="F1241" s="29" t="s">
        <v>27</v>
      </c>
      <c r="G1241" s="30">
        <v>29.3</v>
      </c>
      <c r="H1241" s="31">
        <v>311.52</v>
      </c>
      <c r="I1241" s="39"/>
      <c r="J1241" s="31">
        <f t="shared" si="184"/>
        <v>311.52</v>
      </c>
      <c r="K1241" s="33">
        <f t="shared" si="185"/>
        <v>9127.54</v>
      </c>
      <c r="L1241" s="34" t="s">
        <v>28</v>
      </c>
      <c r="M1241" s="35"/>
      <c r="O1241" s="21">
        <v>278.47</v>
      </c>
      <c r="P1241" s="22" t="s">
        <v>297</v>
      </c>
      <c r="Q1241" s="38"/>
      <c r="R1241" s="38"/>
    </row>
    <row r="1242" s="3" customFormat="1" ht="120" customHeight="1" outlineLevel="2" spans="1:18">
      <c r="A1242" s="41">
        <f t="shared" si="183"/>
        <v>5</v>
      </c>
      <c r="B1242" s="28" t="s">
        <v>61</v>
      </c>
      <c r="C1242" s="28" t="s">
        <v>62</v>
      </c>
      <c r="D1242" s="28" t="s">
        <v>52</v>
      </c>
      <c r="E1242" s="28" t="s">
        <v>63</v>
      </c>
      <c r="F1242" s="29" t="s">
        <v>27</v>
      </c>
      <c r="G1242" s="30">
        <v>1.67</v>
      </c>
      <c r="H1242" s="31">
        <v>630.65</v>
      </c>
      <c r="I1242" s="39"/>
      <c r="J1242" s="31">
        <f t="shared" si="184"/>
        <v>630.65</v>
      </c>
      <c r="K1242" s="33">
        <f t="shared" si="185"/>
        <v>1053.19</v>
      </c>
      <c r="L1242" s="34" t="s">
        <v>28</v>
      </c>
      <c r="M1242" s="35"/>
      <c r="O1242" s="21">
        <v>681.67</v>
      </c>
      <c r="P1242" s="22" t="s">
        <v>64</v>
      </c>
      <c r="Q1242" s="38"/>
      <c r="R1242" s="38"/>
    </row>
    <row r="1243" s="3" customFormat="1" ht="120" customHeight="1" outlineLevel="2" spans="1:18">
      <c r="A1243" s="41">
        <f t="shared" si="183"/>
        <v>6</v>
      </c>
      <c r="B1243" s="28" t="s">
        <v>65</v>
      </c>
      <c r="C1243" s="28" t="s">
        <v>62</v>
      </c>
      <c r="D1243" s="28" t="s">
        <v>52</v>
      </c>
      <c r="E1243" s="28" t="s">
        <v>63</v>
      </c>
      <c r="F1243" s="29" t="s">
        <v>27</v>
      </c>
      <c r="G1243" s="30">
        <v>3.4</v>
      </c>
      <c r="H1243" s="31">
        <v>630.65</v>
      </c>
      <c r="I1243" s="39"/>
      <c r="J1243" s="31">
        <f t="shared" si="184"/>
        <v>630.65</v>
      </c>
      <c r="K1243" s="33">
        <f t="shared" si="185"/>
        <v>2144.21</v>
      </c>
      <c r="L1243" s="34" t="s">
        <v>28</v>
      </c>
      <c r="M1243" s="35"/>
      <c r="O1243" s="21">
        <v>681.67</v>
      </c>
      <c r="P1243" s="22" t="s">
        <v>64</v>
      </c>
      <c r="Q1243" s="38"/>
      <c r="R1243" s="38"/>
    </row>
    <row r="1244" s="3" customFormat="1" ht="120" customHeight="1" outlineLevel="2" spans="1:18">
      <c r="A1244" s="41">
        <f t="shared" si="183"/>
        <v>7</v>
      </c>
      <c r="B1244" s="28" t="s">
        <v>66</v>
      </c>
      <c r="C1244" s="28" t="s">
        <v>67</v>
      </c>
      <c r="D1244" s="28" t="s">
        <v>52</v>
      </c>
      <c r="E1244" s="28" t="s">
        <v>63</v>
      </c>
      <c r="F1244" s="29" t="s">
        <v>27</v>
      </c>
      <c r="G1244" s="30">
        <v>0.9</v>
      </c>
      <c r="H1244" s="31">
        <v>812.96</v>
      </c>
      <c r="I1244" s="39"/>
      <c r="J1244" s="31">
        <f t="shared" si="184"/>
        <v>812.96</v>
      </c>
      <c r="K1244" s="33">
        <f t="shared" si="185"/>
        <v>731.66</v>
      </c>
      <c r="L1244" s="34" t="s">
        <v>28</v>
      </c>
      <c r="M1244" s="35"/>
      <c r="O1244" s="21">
        <v>681.67</v>
      </c>
      <c r="P1244" s="22" t="s">
        <v>68</v>
      </c>
      <c r="Q1244" s="38"/>
      <c r="R1244" s="38"/>
    </row>
    <row r="1245" s="3" customFormat="1" ht="120" customHeight="1" outlineLevel="2" spans="1:18">
      <c r="A1245" s="41">
        <f t="shared" si="183"/>
        <v>8</v>
      </c>
      <c r="B1245" s="28" t="s">
        <v>69</v>
      </c>
      <c r="C1245" s="28" t="s">
        <v>70</v>
      </c>
      <c r="D1245" s="28" t="s">
        <v>52</v>
      </c>
      <c r="E1245" s="28" t="s">
        <v>63</v>
      </c>
      <c r="F1245" s="29" t="s">
        <v>27</v>
      </c>
      <c r="G1245" s="30">
        <v>0.26</v>
      </c>
      <c r="H1245" s="31">
        <v>1175.56</v>
      </c>
      <c r="I1245" s="39"/>
      <c r="J1245" s="31">
        <f t="shared" si="184"/>
        <v>1175.56</v>
      </c>
      <c r="K1245" s="33">
        <f t="shared" si="185"/>
        <v>305.65</v>
      </c>
      <c r="L1245" s="34" t="s">
        <v>28</v>
      </c>
      <c r="M1245" s="35"/>
      <c r="O1245" s="21">
        <v>681.67</v>
      </c>
      <c r="P1245" s="22" t="s">
        <v>71</v>
      </c>
      <c r="Q1245" s="38"/>
      <c r="R1245" s="38"/>
    </row>
    <row r="1246" s="3" customFormat="1" ht="96" customHeight="1" outlineLevel="2" spans="1:18">
      <c r="A1246" s="41">
        <f t="shared" si="183"/>
        <v>9</v>
      </c>
      <c r="B1246" s="28" t="s">
        <v>75</v>
      </c>
      <c r="C1246" s="28" t="s">
        <v>76</v>
      </c>
      <c r="D1246" s="28" t="s">
        <v>59</v>
      </c>
      <c r="E1246" s="28" t="s">
        <v>38</v>
      </c>
      <c r="F1246" s="29" t="s">
        <v>39</v>
      </c>
      <c r="G1246" s="30">
        <v>25.94</v>
      </c>
      <c r="H1246" s="31">
        <v>67.08</v>
      </c>
      <c r="I1246" s="39"/>
      <c r="J1246" s="31">
        <f t="shared" si="184"/>
        <v>67.08</v>
      </c>
      <c r="K1246" s="33">
        <f t="shared" si="185"/>
        <v>1740.06</v>
      </c>
      <c r="L1246" s="34" t="s">
        <v>28</v>
      </c>
      <c r="M1246" s="35"/>
      <c r="O1246" s="21">
        <v>45.71</v>
      </c>
      <c r="P1246" s="22" t="s">
        <v>77</v>
      </c>
      <c r="Q1246" s="38"/>
      <c r="R1246" s="38"/>
    </row>
    <row r="1247" s="3" customFormat="1" ht="96" customHeight="1" outlineLevel="2" spans="1:18">
      <c r="A1247" s="41">
        <f t="shared" si="183"/>
        <v>10</v>
      </c>
      <c r="B1247" s="28" t="s">
        <v>725</v>
      </c>
      <c r="C1247" s="28" t="s">
        <v>726</v>
      </c>
      <c r="D1247" s="28" t="s">
        <v>59</v>
      </c>
      <c r="E1247" s="28" t="s">
        <v>38</v>
      </c>
      <c r="F1247" s="29" t="s">
        <v>39</v>
      </c>
      <c r="G1247" s="30">
        <v>12.78</v>
      </c>
      <c r="H1247" s="31">
        <v>71.9</v>
      </c>
      <c r="I1247" s="39"/>
      <c r="J1247" s="31">
        <f t="shared" si="184"/>
        <v>71.9</v>
      </c>
      <c r="K1247" s="33">
        <f t="shared" si="185"/>
        <v>918.88</v>
      </c>
      <c r="L1247" s="34" t="s">
        <v>28</v>
      </c>
      <c r="M1247" s="35"/>
      <c r="O1247" s="21">
        <v>50.8</v>
      </c>
      <c r="P1247" s="22" t="s">
        <v>727</v>
      </c>
      <c r="Q1247" s="38"/>
      <c r="R1247" s="38"/>
    </row>
    <row r="1248" s="3" customFormat="1" ht="96" customHeight="1" outlineLevel="2" spans="1:18">
      <c r="A1248" s="41">
        <f t="shared" si="183"/>
        <v>11</v>
      </c>
      <c r="B1248" s="28" t="s">
        <v>84</v>
      </c>
      <c r="C1248" s="28" t="s">
        <v>85</v>
      </c>
      <c r="D1248" s="28" t="s">
        <v>59</v>
      </c>
      <c r="E1248" s="28" t="s">
        <v>38</v>
      </c>
      <c r="F1248" s="29" t="s">
        <v>39</v>
      </c>
      <c r="G1248" s="30">
        <v>9.41</v>
      </c>
      <c r="H1248" s="31">
        <v>117.84</v>
      </c>
      <c r="I1248" s="39"/>
      <c r="J1248" s="31">
        <f t="shared" si="184"/>
        <v>117.84</v>
      </c>
      <c r="K1248" s="33">
        <f t="shared" si="185"/>
        <v>1108.87</v>
      </c>
      <c r="L1248" s="34" t="s">
        <v>28</v>
      </c>
      <c r="M1248" s="35"/>
      <c r="O1248" s="21">
        <v>95.14</v>
      </c>
      <c r="P1248" s="22" t="s">
        <v>86</v>
      </c>
      <c r="Q1248" s="38"/>
      <c r="R1248" s="38"/>
    </row>
    <row r="1249" s="3" customFormat="1" ht="96" customHeight="1" outlineLevel="2" spans="1:18">
      <c r="A1249" s="41">
        <f t="shared" si="183"/>
        <v>12</v>
      </c>
      <c r="B1249" s="28" t="s">
        <v>87</v>
      </c>
      <c r="C1249" s="28" t="s">
        <v>88</v>
      </c>
      <c r="D1249" s="28" t="s">
        <v>59</v>
      </c>
      <c r="E1249" s="28" t="s">
        <v>38</v>
      </c>
      <c r="F1249" s="29" t="s">
        <v>39</v>
      </c>
      <c r="G1249" s="30">
        <v>26.88</v>
      </c>
      <c r="H1249" s="31">
        <v>64.25</v>
      </c>
      <c r="I1249" s="39"/>
      <c r="J1249" s="31">
        <f t="shared" si="184"/>
        <v>64.25</v>
      </c>
      <c r="K1249" s="33">
        <f t="shared" si="185"/>
        <v>1727.04</v>
      </c>
      <c r="L1249" s="34" t="s">
        <v>28</v>
      </c>
      <c r="M1249" s="35"/>
      <c r="O1249" s="21">
        <v>43.16</v>
      </c>
      <c r="P1249" s="22" t="s">
        <v>89</v>
      </c>
      <c r="Q1249" s="38"/>
      <c r="R1249" s="38"/>
    </row>
    <row r="1250" s="3" customFormat="1" outlineLevel="1" spans="1:18">
      <c r="A1250" s="40"/>
      <c r="B1250" s="28" t="s">
        <v>90</v>
      </c>
      <c r="C1250" s="28"/>
      <c r="D1250" s="28"/>
      <c r="E1250" s="28"/>
      <c r="F1250" s="29"/>
      <c r="G1250" s="30"/>
      <c r="H1250" s="31"/>
      <c r="I1250" s="39"/>
      <c r="J1250" s="31"/>
      <c r="K1250" s="33"/>
      <c r="L1250" s="34"/>
      <c r="M1250" s="35"/>
      <c r="O1250" s="36"/>
      <c r="P1250" s="37"/>
      <c r="Q1250" s="38"/>
      <c r="R1250" s="38"/>
    </row>
    <row r="1251" s="3" customFormat="1" ht="168" customHeight="1" outlineLevel="2" spans="1:18">
      <c r="A1251" s="41">
        <f>1+N(A1250)</f>
        <v>1</v>
      </c>
      <c r="B1251" s="28" t="s">
        <v>636</v>
      </c>
      <c r="C1251" s="28" t="s">
        <v>92</v>
      </c>
      <c r="D1251" s="28" t="s">
        <v>93</v>
      </c>
      <c r="E1251" s="28" t="s">
        <v>94</v>
      </c>
      <c r="F1251" s="29" t="s">
        <v>27</v>
      </c>
      <c r="G1251" s="30">
        <v>27.29</v>
      </c>
      <c r="H1251" s="31">
        <v>150.71</v>
      </c>
      <c r="I1251" s="39"/>
      <c r="J1251" s="31">
        <f>H1251*(1-$I$4)</f>
        <v>150.71</v>
      </c>
      <c r="K1251" s="33">
        <f>ROUND(G1251*J1251,2)</f>
        <v>4112.88</v>
      </c>
      <c r="L1251" s="34" t="s">
        <v>28</v>
      </c>
      <c r="M1251" s="35"/>
      <c r="O1251" s="21">
        <v>150.38</v>
      </c>
      <c r="P1251" s="22" t="s">
        <v>728</v>
      </c>
      <c r="Q1251" s="38"/>
      <c r="R1251" s="38"/>
    </row>
    <row r="1252" s="3" customFormat="1" ht="48" customHeight="1" outlineLevel="2" spans="1:18">
      <c r="A1252" s="41">
        <f>1+N(A1251)</f>
        <v>2</v>
      </c>
      <c r="B1252" s="28" t="s">
        <v>96</v>
      </c>
      <c r="C1252" s="28" t="s">
        <v>97</v>
      </c>
      <c r="D1252" s="28" t="s">
        <v>98</v>
      </c>
      <c r="E1252" s="28" t="s">
        <v>99</v>
      </c>
      <c r="F1252" s="29" t="s">
        <v>39</v>
      </c>
      <c r="G1252" s="30">
        <v>15.99</v>
      </c>
      <c r="H1252" s="31">
        <v>112.16</v>
      </c>
      <c r="I1252" s="39"/>
      <c r="J1252" s="31">
        <f>H1252*(1-$I$4)</f>
        <v>112.16</v>
      </c>
      <c r="K1252" s="33">
        <f>ROUND(G1252*J1252,2)</f>
        <v>1793.44</v>
      </c>
      <c r="L1252" s="34" t="s">
        <v>28</v>
      </c>
      <c r="M1252" s="35"/>
      <c r="O1252" s="21">
        <v>79.3</v>
      </c>
      <c r="P1252" s="22" t="s">
        <v>100</v>
      </c>
      <c r="Q1252" s="38"/>
      <c r="R1252" s="38"/>
    </row>
    <row r="1253" s="3" customFormat="1" ht="48" customHeight="1" outlineLevel="2" spans="1:18">
      <c r="A1253" s="41">
        <f>1+N(A1252)</f>
        <v>3</v>
      </c>
      <c r="B1253" s="28" t="s">
        <v>101</v>
      </c>
      <c r="C1253" s="28" t="s">
        <v>102</v>
      </c>
      <c r="D1253" s="28" t="s">
        <v>98</v>
      </c>
      <c r="E1253" s="28" t="s">
        <v>99</v>
      </c>
      <c r="F1253" s="29" t="s">
        <v>39</v>
      </c>
      <c r="G1253" s="30">
        <v>15.99</v>
      </c>
      <c r="H1253" s="31">
        <v>75.82</v>
      </c>
      <c r="I1253" s="39"/>
      <c r="J1253" s="31">
        <f>H1253*(1-$I$4)</f>
        <v>75.82</v>
      </c>
      <c r="K1253" s="33">
        <f>ROUND(G1253*J1253,2)</f>
        <v>1212.36</v>
      </c>
      <c r="L1253" s="34" t="s">
        <v>28</v>
      </c>
      <c r="M1253" s="35"/>
      <c r="O1253" s="21">
        <v>203.56</v>
      </c>
      <c r="P1253" s="22" t="s">
        <v>103</v>
      </c>
      <c r="Q1253" s="38"/>
      <c r="R1253" s="38"/>
    </row>
    <row r="1254" s="3" customFormat="1" ht="48" customHeight="1" outlineLevel="2" spans="1:18">
      <c r="A1254" s="41">
        <f>1+N(A1253)</f>
        <v>4</v>
      </c>
      <c r="B1254" s="28" t="s">
        <v>104</v>
      </c>
      <c r="C1254" s="28" t="s">
        <v>105</v>
      </c>
      <c r="D1254" s="28" t="s">
        <v>98</v>
      </c>
      <c r="E1254" s="28" t="s">
        <v>99</v>
      </c>
      <c r="F1254" s="29" t="s">
        <v>39</v>
      </c>
      <c r="G1254" s="30">
        <v>10.24</v>
      </c>
      <c r="H1254" s="31">
        <v>109.74</v>
      </c>
      <c r="I1254" s="39"/>
      <c r="J1254" s="31">
        <f>H1254*(1-$I$4)</f>
        <v>109.74</v>
      </c>
      <c r="K1254" s="33">
        <f>ROUND(G1254*J1254,2)</f>
        <v>1123.74</v>
      </c>
      <c r="L1254" s="34" t="s">
        <v>28</v>
      </c>
      <c r="M1254" s="35"/>
      <c r="O1254" s="21">
        <v>108.2</v>
      </c>
      <c r="P1254" s="22" t="s">
        <v>106</v>
      </c>
      <c r="Q1254" s="38"/>
      <c r="R1254" s="38"/>
    </row>
    <row r="1255" s="3" customFormat="1" ht="132" customHeight="1" outlineLevel="2" spans="1:18">
      <c r="A1255" s="41">
        <f>1+N(A1254)</f>
        <v>5</v>
      </c>
      <c r="B1255" s="28" t="s">
        <v>107</v>
      </c>
      <c r="C1255" s="28" t="s">
        <v>108</v>
      </c>
      <c r="D1255" s="28" t="s">
        <v>109</v>
      </c>
      <c r="E1255" s="28" t="s">
        <v>110</v>
      </c>
      <c r="F1255" s="29" t="s">
        <v>27</v>
      </c>
      <c r="G1255" s="30">
        <v>32.79</v>
      </c>
      <c r="H1255" s="31">
        <v>152.22</v>
      </c>
      <c r="I1255" s="39"/>
      <c r="J1255" s="31">
        <f>H1255*(1-$I$4)</f>
        <v>152.22</v>
      </c>
      <c r="K1255" s="33">
        <f>ROUND(G1255*J1255,2)</f>
        <v>4991.29</v>
      </c>
      <c r="L1255" s="34" t="s">
        <v>28</v>
      </c>
      <c r="M1255" s="35"/>
      <c r="O1255" s="21">
        <v>151.58</v>
      </c>
      <c r="P1255" s="22" t="s">
        <v>111</v>
      </c>
      <c r="Q1255" s="38"/>
      <c r="R1255" s="38"/>
    </row>
    <row r="1256" s="3" customFormat="1" outlineLevel="1" spans="1:18">
      <c r="A1256" s="40"/>
      <c r="B1256" s="28" t="s">
        <v>112</v>
      </c>
      <c r="C1256" s="28"/>
      <c r="D1256" s="28"/>
      <c r="E1256" s="28"/>
      <c r="F1256" s="29"/>
      <c r="G1256" s="30"/>
      <c r="H1256" s="31"/>
      <c r="I1256" s="39"/>
      <c r="J1256" s="31"/>
      <c r="K1256" s="33"/>
      <c r="L1256" s="34"/>
      <c r="M1256" s="35"/>
      <c r="O1256" s="36"/>
      <c r="P1256" s="37"/>
      <c r="Q1256" s="38"/>
      <c r="R1256" s="38"/>
    </row>
    <row r="1257" s="3" customFormat="1" outlineLevel="1" spans="1:18">
      <c r="A1257" s="27" t="s">
        <v>151</v>
      </c>
      <c r="B1257" s="28" t="s">
        <v>733</v>
      </c>
      <c r="C1257" s="28"/>
      <c r="D1257" s="28"/>
      <c r="E1257" s="28"/>
      <c r="F1257" s="29"/>
      <c r="G1257" s="30"/>
      <c r="H1257" s="31"/>
      <c r="I1257" s="39"/>
      <c r="J1257" s="31"/>
      <c r="K1257" s="33"/>
      <c r="L1257" s="34"/>
      <c r="M1257" s="35"/>
      <c r="O1257" s="36"/>
      <c r="P1257" s="37"/>
      <c r="Q1257" s="38"/>
      <c r="R1257" s="38"/>
    </row>
    <row r="1258" s="3" customFormat="1" outlineLevel="1" spans="1:18">
      <c r="A1258" s="40"/>
      <c r="B1258" s="28" t="s">
        <v>22</v>
      </c>
      <c r="C1258" s="28"/>
      <c r="D1258" s="28"/>
      <c r="E1258" s="28"/>
      <c r="F1258" s="29"/>
      <c r="G1258" s="30"/>
      <c r="H1258" s="31"/>
      <c r="I1258" s="39"/>
      <c r="J1258" s="31"/>
      <c r="K1258" s="33"/>
      <c r="L1258" s="34"/>
      <c r="M1258" s="35"/>
      <c r="O1258" s="36"/>
      <c r="P1258" s="37"/>
      <c r="Q1258" s="38"/>
      <c r="R1258" s="38"/>
    </row>
    <row r="1259" s="3" customFormat="1" ht="108" customHeight="1" outlineLevel="2" spans="1:18">
      <c r="A1259" s="41">
        <f>1+N(A1258)</f>
        <v>1</v>
      </c>
      <c r="B1259" s="28" t="s">
        <v>23</v>
      </c>
      <c r="C1259" s="28" t="s">
        <v>24</v>
      </c>
      <c r="D1259" s="28" t="s">
        <v>25</v>
      </c>
      <c r="E1259" s="28" t="s">
        <v>26</v>
      </c>
      <c r="F1259" s="29" t="s">
        <v>27</v>
      </c>
      <c r="G1259" s="30">
        <v>3.95</v>
      </c>
      <c r="H1259" s="31">
        <v>940.91</v>
      </c>
      <c r="I1259" s="39"/>
      <c r="J1259" s="31">
        <f>H1259*(1-$I$4)</f>
        <v>940.91</v>
      </c>
      <c r="K1259" s="33">
        <f>ROUND(G1259*J1259,2)</f>
        <v>3716.59</v>
      </c>
      <c r="L1259" s="34" t="s">
        <v>28</v>
      </c>
      <c r="M1259" s="35"/>
      <c r="O1259" s="21">
        <v>886.6</v>
      </c>
      <c r="P1259" s="22" t="s">
        <v>29</v>
      </c>
      <c r="Q1259" s="38"/>
      <c r="R1259" s="38"/>
    </row>
    <row r="1260" s="3" customFormat="1" ht="108" customHeight="1" outlineLevel="2" spans="1:18">
      <c r="A1260" s="41">
        <f>1+N(A1259)</f>
        <v>2</v>
      </c>
      <c r="B1260" s="28" t="s">
        <v>30</v>
      </c>
      <c r="C1260" s="28" t="s">
        <v>31</v>
      </c>
      <c r="D1260" s="28" t="s">
        <v>25</v>
      </c>
      <c r="E1260" s="28" t="s">
        <v>26</v>
      </c>
      <c r="F1260" s="29" t="s">
        <v>27</v>
      </c>
      <c r="G1260" s="30">
        <v>13.03</v>
      </c>
      <c r="H1260" s="31">
        <v>1412.25</v>
      </c>
      <c r="I1260" s="39"/>
      <c r="J1260" s="31">
        <f>H1260*(1-$I$4)</f>
        <v>1412.25</v>
      </c>
      <c r="K1260" s="33">
        <f>ROUND(G1260*J1260,2)</f>
        <v>18401.62</v>
      </c>
      <c r="L1260" s="34" t="s">
        <v>28</v>
      </c>
      <c r="M1260" s="35"/>
      <c r="O1260" s="21">
        <v>1135.86</v>
      </c>
      <c r="P1260" s="22" t="s">
        <v>32</v>
      </c>
      <c r="Q1260" s="38"/>
      <c r="R1260" s="38"/>
    </row>
    <row r="1261" s="3" customFormat="1" ht="72" customHeight="1" outlineLevel="2" spans="1:18">
      <c r="A1261" s="41">
        <f>1+N(A1260)</f>
        <v>3</v>
      </c>
      <c r="B1261" s="28" t="s">
        <v>36</v>
      </c>
      <c r="C1261" s="28" t="s">
        <v>37</v>
      </c>
      <c r="D1261" s="28" t="s">
        <v>25</v>
      </c>
      <c r="E1261" s="28" t="s">
        <v>38</v>
      </c>
      <c r="F1261" s="29" t="s">
        <v>39</v>
      </c>
      <c r="G1261" s="30">
        <v>14.57</v>
      </c>
      <c r="H1261" s="31">
        <v>89.27</v>
      </c>
      <c r="I1261" s="39"/>
      <c r="J1261" s="31">
        <f>H1261*(1-$I$4)</f>
        <v>89.27</v>
      </c>
      <c r="K1261" s="33">
        <f>ROUND(G1261*J1261,2)</f>
        <v>1300.66</v>
      </c>
      <c r="L1261" s="34" t="s">
        <v>28</v>
      </c>
      <c r="M1261" s="35"/>
      <c r="O1261" s="21">
        <v>35.28</v>
      </c>
      <c r="P1261" s="22" t="s">
        <v>40</v>
      </c>
      <c r="Q1261" s="38"/>
      <c r="R1261" s="38"/>
    </row>
    <row r="1262" s="3" customFormat="1" ht="72" customHeight="1" outlineLevel="2" spans="1:18">
      <c r="A1262" s="41">
        <f>1+N(A1261)</f>
        <v>4</v>
      </c>
      <c r="B1262" s="28" t="s">
        <v>41</v>
      </c>
      <c r="C1262" s="28" t="s">
        <v>42</v>
      </c>
      <c r="D1262" s="28" t="s">
        <v>25</v>
      </c>
      <c r="E1262" s="28" t="s">
        <v>26</v>
      </c>
      <c r="F1262" s="29" t="s">
        <v>27</v>
      </c>
      <c r="G1262" s="30">
        <v>16.98</v>
      </c>
      <c r="H1262" s="31">
        <v>64.9</v>
      </c>
      <c r="I1262" s="39"/>
      <c r="J1262" s="31">
        <f>H1262*(1-$I$4)</f>
        <v>64.9</v>
      </c>
      <c r="K1262" s="33">
        <f>ROUND(G1262*J1262,2)</f>
        <v>1102</v>
      </c>
      <c r="L1262" s="34" t="s">
        <v>28</v>
      </c>
      <c r="M1262" s="35"/>
      <c r="O1262" s="21">
        <v>61.38</v>
      </c>
      <c r="P1262" s="22" t="s">
        <v>43</v>
      </c>
      <c r="Q1262" s="38"/>
      <c r="R1262" s="38"/>
    </row>
    <row r="1263" s="3" customFormat="1" outlineLevel="1" spans="1:18">
      <c r="A1263" s="40"/>
      <c r="B1263" s="28" t="s">
        <v>687</v>
      </c>
      <c r="C1263" s="28"/>
      <c r="D1263" s="28"/>
      <c r="E1263" s="28"/>
      <c r="F1263" s="29"/>
      <c r="G1263" s="30"/>
      <c r="H1263" s="31"/>
      <c r="I1263" s="39"/>
      <c r="J1263" s="31"/>
      <c r="K1263" s="33"/>
      <c r="L1263" s="34"/>
      <c r="M1263" s="35"/>
      <c r="O1263" s="36"/>
      <c r="P1263" s="37"/>
      <c r="Q1263" s="38"/>
      <c r="R1263" s="38"/>
    </row>
    <row r="1264" s="3" customFormat="1" ht="108" customHeight="1" outlineLevel="2" spans="1:18">
      <c r="A1264" s="41">
        <f t="shared" ref="A1264:A1272" si="186">1+N(A1263)</f>
        <v>1</v>
      </c>
      <c r="B1264" s="28" t="s">
        <v>45</v>
      </c>
      <c r="C1264" s="28" t="s">
        <v>46</v>
      </c>
      <c r="D1264" s="28" t="s">
        <v>47</v>
      </c>
      <c r="E1264" s="28" t="s">
        <v>48</v>
      </c>
      <c r="F1264" s="29" t="s">
        <v>27</v>
      </c>
      <c r="G1264" s="30">
        <v>5.32</v>
      </c>
      <c r="H1264" s="31">
        <v>2668.45</v>
      </c>
      <c r="I1264" s="39"/>
      <c r="J1264" s="31">
        <f t="shared" ref="J1264:J1272" si="187">H1264*(1-$I$4)</f>
        <v>2668.45</v>
      </c>
      <c r="K1264" s="33">
        <f t="shared" ref="K1264:K1272" si="188">ROUND(G1264*J1264,2)</f>
        <v>14196.15</v>
      </c>
      <c r="L1264" s="34" t="s">
        <v>28</v>
      </c>
      <c r="M1264" s="35"/>
      <c r="O1264" s="21">
        <v>1019.76</v>
      </c>
      <c r="P1264" s="22" t="s">
        <v>49</v>
      </c>
      <c r="Q1264" s="38"/>
      <c r="R1264" s="38"/>
    </row>
    <row r="1265" s="3" customFormat="1" ht="156" customHeight="1" outlineLevel="2" spans="1:18">
      <c r="A1265" s="41">
        <f t="shared" si="186"/>
        <v>2</v>
      </c>
      <c r="B1265" s="28" t="s">
        <v>50</v>
      </c>
      <c r="C1265" s="28" t="s">
        <v>51</v>
      </c>
      <c r="D1265" s="28" t="s">
        <v>52</v>
      </c>
      <c r="E1265" s="28" t="s">
        <v>48</v>
      </c>
      <c r="F1265" s="29" t="s">
        <v>27</v>
      </c>
      <c r="G1265" s="30">
        <v>22.24</v>
      </c>
      <c r="H1265" s="31">
        <v>996.46</v>
      </c>
      <c r="I1265" s="39"/>
      <c r="J1265" s="31">
        <f t="shared" si="187"/>
        <v>996.46</v>
      </c>
      <c r="K1265" s="33">
        <f t="shared" si="188"/>
        <v>22161.27</v>
      </c>
      <c r="L1265" s="34" t="s">
        <v>28</v>
      </c>
      <c r="M1265" s="35"/>
      <c r="O1265" s="21">
        <v>1000.51</v>
      </c>
      <c r="P1265" s="22" t="s">
        <v>723</v>
      </c>
      <c r="Q1265" s="38"/>
      <c r="R1265" s="38"/>
    </row>
    <row r="1266" s="3" customFormat="1" ht="120" customHeight="1" outlineLevel="2" spans="1:18">
      <c r="A1266" s="41">
        <f t="shared" si="186"/>
        <v>3</v>
      </c>
      <c r="B1266" s="28" t="s">
        <v>291</v>
      </c>
      <c r="C1266" s="28" t="s">
        <v>289</v>
      </c>
      <c r="D1266" s="28" t="s">
        <v>52</v>
      </c>
      <c r="E1266" s="28" t="s">
        <v>63</v>
      </c>
      <c r="F1266" s="29" t="s">
        <v>27</v>
      </c>
      <c r="G1266" s="30">
        <v>1.91</v>
      </c>
      <c r="H1266" s="31">
        <v>580.35</v>
      </c>
      <c r="I1266" s="39"/>
      <c r="J1266" s="31">
        <f t="shared" si="187"/>
        <v>580.35</v>
      </c>
      <c r="K1266" s="33">
        <f t="shared" si="188"/>
        <v>1108.47</v>
      </c>
      <c r="L1266" s="34" t="s">
        <v>28</v>
      </c>
      <c r="M1266" s="35"/>
      <c r="O1266" s="21">
        <v>479.36</v>
      </c>
      <c r="P1266" s="22" t="s">
        <v>724</v>
      </c>
      <c r="Q1266" s="38"/>
      <c r="R1266" s="38"/>
    </row>
    <row r="1267" s="3" customFormat="1" ht="120" customHeight="1" outlineLevel="2" spans="1:18">
      <c r="A1267" s="41">
        <f t="shared" si="186"/>
        <v>4</v>
      </c>
      <c r="B1267" s="28" t="s">
        <v>65</v>
      </c>
      <c r="C1267" s="28" t="s">
        <v>62</v>
      </c>
      <c r="D1267" s="28" t="s">
        <v>52</v>
      </c>
      <c r="E1267" s="28" t="s">
        <v>63</v>
      </c>
      <c r="F1267" s="29" t="s">
        <v>27</v>
      </c>
      <c r="G1267" s="30">
        <v>3.4</v>
      </c>
      <c r="H1267" s="31">
        <v>630.65</v>
      </c>
      <c r="I1267" s="39"/>
      <c r="J1267" s="31">
        <f t="shared" si="187"/>
        <v>630.65</v>
      </c>
      <c r="K1267" s="33">
        <f t="shared" si="188"/>
        <v>2144.21</v>
      </c>
      <c r="L1267" s="34" t="s">
        <v>28</v>
      </c>
      <c r="M1267" s="35"/>
      <c r="O1267" s="21">
        <v>681.67</v>
      </c>
      <c r="P1267" s="22" t="s">
        <v>64</v>
      </c>
      <c r="Q1267" s="38"/>
      <c r="R1267" s="38"/>
    </row>
    <row r="1268" s="3" customFormat="1" ht="120" customHeight="1" outlineLevel="2" spans="1:18">
      <c r="A1268" s="41">
        <f t="shared" si="186"/>
        <v>5</v>
      </c>
      <c r="B1268" s="28" t="s">
        <v>66</v>
      </c>
      <c r="C1268" s="28" t="s">
        <v>67</v>
      </c>
      <c r="D1268" s="28" t="s">
        <v>52</v>
      </c>
      <c r="E1268" s="28" t="s">
        <v>63</v>
      </c>
      <c r="F1268" s="29" t="s">
        <v>27</v>
      </c>
      <c r="G1268" s="30">
        <v>0.9</v>
      </c>
      <c r="H1268" s="31">
        <v>812.96</v>
      </c>
      <c r="I1268" s="39"/>
      <c r="J1268" s="31">
        <f t="shared" si="187"/>
        <v>812.96</v>
      </c>
      <c r="K1268" s="33">
        <f t="shared" si="188"/>
        <v>731.66</v>
      </c>
      <c r="L1268" s="34" t="s">
        <v>28</v>
      </c>
      <c r="M1268" s="35"/>
      <c r="O1268" s="21">
        <v>681.67</v>
      </c>
      <c r="P1268" s="22" t="s">
        <v>68</v>
      </c>
      <c r="Q1268" s="38"/>
      <c r="R1268" s="38"/>
    </row>
    <row r="1269" s="3" customFormat="1" ht="120" customHeight="1" outlineLevel="2" spans="1:18">
      <c r="A1269" s="41">
        <f t="shared" si="186"/>
        <v>6</v>
      </c>
      <c r="B1269" s="28" t="s">
        <v>69</v>
      </c>
      <c r="C1269" s="28" t="s">
        <v>70</v>
      </c>
      <c r="D1269" s="28" t="s">
        <v>52</v>
      </c>
      <c r="E1269" s="28" t="s">
        <v>63</v>
      </c>
      <c r="F1269" s="29" t="s">
        <v>27</v>
      </c>
      <c r="G1269" s="30">
        <v>0.26</v>
      </c>
      <c r="H1269" s="31">
        <v>1175.56</v>
      </c>
      <c r="I1269" s="39"/>
      <c r="J1269" s="31">
        <f t="shared" si="187"/>
        <v>1175.56</v>
      </c>
      <c r="K1269" s="33">
        <f t="shared" si="188"/>
        <v>305.65</v>
      </c>
      <c r="L1269" s="34" t="s">
        <v>28</v>
      </c>
      <c r="M1269" s="35"/>
      <c r="O1269" s="21">
        <v>681.67</v>
      </c>
      <c r="P1269" s="22" t="s">
        <v>71</v>
      </c>
      <c r="Q1269" s="38"/>
      <c r="R1269" s="38"/>
    </row>
    <row r="1270" s="3" customFormat="1" ht="96" customHeight="1" outlineLevel="2" spans="1:18">
      <c r="A1270" s="41">
        <f t="shared" si="186"/>
        <v>7</v>
      </c>
      <c r="B1270" s="28" t="s">
        <v>75</v>
      </c>
      <c r="C1270" s="28" t="s">
        <v>76</v>
      </c>
      <c r="D1270" s="28" t="s">
        <v>59</v>
      </c>
      <c r="E1270" s="28" t="s">
        <v>38</v>
      </c>
      <c r="F1270" s="29" t="s">
        <v>39</v>
      </c>
      <c r="G1270" s="30">
        <v>11.97</v>
      </c>
      <c r="H1270" s="31">
        <v>67.08</v>
      </c>
      <c r="I1270" s="39"/>
      <c r="J1270" s="31">
        <f t="shared" si="187"/>
        <v>67.08</v>
      </c>
      <c r="K1270" s="33">
        <f t="shared" si="188"/>
        <v>802.95</v>
      </c>
      <c r="L1270" s="34" t="s">
        <v>28</v>
      </c>
      <c r="M1270" s="35"/>
      <c r="O1270" s="21">
        <v>45.71</v>
      </c>
      <c r="P1270" s="22" t="s">
        <v>77</v>
      </c>
      <c r="Q1270" s="38"/>
      <c r="R1270" s="38"/>
    </row>
    <row r="1271" s="3" customFormat="1" ht="96" customHeight="1" outlineLevel="2" spans="1:18">
      <c r="A1271" s="41">
        <f t="shared" si="186"/>
        <v>8</v>
      </c>
      <c r="B1271" s="28" t="s">
        <v>84</v>
      </c>
      <c r="C1271" s="28" t="s">
        <v>85</v>
      </c>
      <c r="D1271" s="28" t="s">
        <v>59</v>
      </c>
      <c r="E1271" s="28" t="s">
        <v>38</v>
      </c>
      <c r="F1271" s="29" t="s">
        <v>39</v>
      </c>
      <c r="G1271" s="30">
        <v>9.42</v>
      </c>
      <c r="H1271" s="31">
        <v>117.84</v>
      </c>
      <c r="I1271" s="39"/>
      <c r="J1271" s="31">
        <f t="shared" si="187"/>
        <v>117.84</v>
      </c>
      <c r="K1271" s="33">
        <f t="shared" si="188"/>
        <v>1110.05</v>
      </c>
      <c r="L1271" s="34" t="s">
        <v>28</v>
      </c>
      <c r="M1271" s="35"/>
      <c r="O1271" s="21">
        <v>95.14</v>
      </c>
      <c r="P1271" s="22" t="s">
        <v>86</v>
      </c>
      <c r="Q1271" s="38"/>
      <c r="R1271" s="38"/>
    </row>
    <row r="1272" s="3" customFormat="1" ht="96" customHeight="1" outlineLevel="2" spans="1:18">
      <c r="A1272" s="41">
        <f t="shared" si="186"/>
        <v>9</v>
      </c>
      <c r="B1272" s="28" t="s">
        <v>87</v>
      </c>
      <c r="C1272" s="28" t="s">
        <v>88</v>
      </c>
      <c r="D1272" s="28" t="s">
        <v>59</v>
      </c>
      <c r="E1272" s="28" t="s">
        <v>38</v>
      </c>
      <c r="F1272" s="29" t="s">
        <v>39</v>
      </c>
      <c r="G1272" s="30">
        <v>12.8</v>
      </c>
      <c r="H1272" s="31">
        <v>64.25</v>
      </c>
      <c r="I1272" s="39"/>
      <c r="J1272" s="31">
        <f t="shared" si="187"/>
        <v>64.25</v>
      </c>
      <c r="K1272" s="33">
        <f t="shared" si="188"/>
        <v>822.4</v>
      </c>
      <c r="L1272" s="34" t="s">
        <v>28</v>
      </c>
      <c r="M1272" s="35"/>
      <c r="O1272" s="21">
        <v>43.16</v>
      </c>
      <c r="P1272" s="22" t="s">
        <v>89</v>
      </c>
      <c r="Q1272" s="38"/>
      <c r="R1272" s="38"/>
    </row>
    <row r="1273" s="3" customFormat="1" outlineLevel="1" spans="1:18">
      <c r="A1273" s="40"/>
      <c r="B1273" s="28" t="s">
        <v>90</v>
      </c>
      <c r="C1273" s="28"/>
      <c r="D1273" s="28"/>
      <c r="E1273" s="28"/>
      <c r="F1273" s="29"/>
      <c r="G1273" s="30"/>
      <c r="H1273" s="31"/>
      <c r="I1273" s="39"/>
      <c r="J1273" s="31"/>
      <c r="K1273" s="33"/>
      <c r="L1273" s="34"/>
      <c r="M1273" s="35"/>
      <c r="O1273" s="36"/>
      <c r="P1273" s="37"/>
      <c r="Q1273" s="38"/>
      <c r="R1273" s="38"/>
    </row>
    <row r="1274" s="3" customFormat="1" ht="168" customHeight="1" outlineLevel="2" spans="1:18">
      <c r="A1274" s="41">
        <f>1+N(A1273)</f>
        <v>1</v>
      </c>
      <c r="B1274" s="28" t="s">
        <v>636</v>
      </c>
      <c r="C1274" s="28" t="s">
        <v>92</v>
      </c>
      <c r="D1274" s="28" t="s">
        <v>93</v>
      </c>
      <c r="E1274" s="28" t="s">
        <v>94</v>
      </c>
      <c r="F1274" s="29" t="s">
        <v>27</v>
      </c>
      <c r="G1274" s="30">
        <v>17.83</v>
      </c>
      <c r="H1274" s="31">
        <v>150.71</v>
      </c>
      <c r="I1274" s="39"/>
      <c r="J1274" s="31">
        <f>H1274*(1-$I$4)</f>
        <v>150.71</v>
      </c>
      <c r="K1274" s="33">
        <f>ROUND(G1274*J1274,2)</f>
        <v>2687.16</v>
      </c>
      <c r="L1274" s="34" t="s">
        <v>28</v>
      </c>
      <c r="M1274" s="35"/>
      <c r="O1274" s="21">
        <v>150.38</v>
      </c>
      <c r="P1274" s="22" t="s">
        <v>728</v>
      </c>
      <c r="Q1274" s="38"/>
      <c r="R1274" s="38"/>
    </row>
    <row r="1275" s="3" customFormat="1" ht="48" customHeight="1" outlineLevel="2" spans="1:18">
      <c r="A1275" s="41">
        <f>1+N(A1274)</f>
        <v>2</v>
      </c>
      <c r="B1275" s="28" t="s">
        <v>96</v>
      </c>
      <c r="C1275" s="28" t="s">
        <v>97</v>
      </c>
      <c r="D1275" s="28" t="s">
        <v>98</v>
      </c>
      <c r="E1275" s="28" t="s">
        <v>99</v>
      </c>
      <c r="F1275" s="29" t="s">
        <v>39</v>
      </c>
      <c r="G1275" s="30">
        <v>14.59</v>
      </c>
      <c r="H1275" s="31">
        <v>112.16</v>
      </c>
      <c r="I1275" s="39"/>
      <c r="J1275" s="31">
        <f>H1275*(1-$I$4)</f>
        <v>112.16</v>
      </c>
      <c r="K1275" s="33">
        <f>ROUND(G1275*J1275,2)</f>
        <v>1636.41</v>
      </c>
      <c r="L1275" s="34" t="s">
        <v>28</v>
      </c>
      <c r="M1275" s="35"/>
      <c r="O1275" s="21">
        <v>79.3</v>
      </c>
      <c r="P1275" s="22" t="s">
        <v>100</v>
      </c>
      <c r="Q1275" s="38"/>
      <c r="R1275" s="38"/>
    </row>
    <row r="1276" s="3" customFormat="1" ht="48" customHeight="1" outlineLevel="2" spans="1:18">
      <c r="A1276" s="41">
        <f>1+N(A1275)</f>
        <v>3</v>
      </c>
      <c r="B1276" s="28" t="s">
        <v>101</v>
      </c>
      <c r="C1276" s="28" t="s">
        <v>102</v>
      </c>
      <c r="D1276" s="28" t="s">
        <v>98</v>
      </c>
      <c r="E1276" s="28" t="s">
        <v>99</v>
      </c>
      <c r="F1276" s="29" t="s">
        <v>39</v>
      </c>
      <c r="G1276" s="30">
        <v>14.59</v>
      </c>
      <c r="H1276" s="31">
        <v>75.82</v>
      </c>
      <c r="I1276" s="39"/>
      <c r="J1276" s="31">
        <f>H1276*(1-$I$4)</f>
        <v>75.82</v>
      </c>
      <c r="K1276" s="33">
        <f>ROUND(G1276*J1276,2)</f>
        <v>1106.21</v>
      </c>
      <c r="L1276" s="34" t="s">
        <v>28</v>
      </c>
      <c r="M1276" s="35"/>
      <c r="O1276" s="21">
        <v>203.56</v>
      </c>
      <c r="P1276" s="22" t="s">
        <v>103</v>
      </c>
      <c r="Q1276" s="38"/>
      <c r="R1276" s="38"/>
    </row>
    <row r="1277" s="3" customFormat="1" ht="48" customHeight="1" outlineLevel="2" spans="1:18">
      <c r="A1277" s="41">
        <f>1+N(A1276)</f>
        <v>4</v>
      </c>
      <c r="B1277" s="28" t="s">
        <v>104</v>
      </c>
      <c r="C1277" s="28" t="s">
        <v>105</v>
      </c>
      <c r="D1277" s="28" t="s">
        <v>98</v>
      </c>
      <c r="E1277" s="28" t="s">
        <v>99</v>
      </c>
      <c r="F1277" s="29" t="s">
        <v>39</v>
      </c>
      <c r="G1277" s="30">
        <v>8.84</v>
      </c>
      <c r="H1277" s="31">
        <v>109.74</v>
      </c>
      <c r="I1277" s="39"/>
      <c r="J1277" s="31">
        <f>H1277*(1-$I$4)</f>
        <v>109.74</v>
      </c>
      <c r="K1277" s="33">
        <f>ROUND(G1277*J1277,2)</f>
        <v>970.1</v>
      </c>
      <c r="L1277" s="34" t="s">
        <v>28</v>
      </c>
      <c r="M1277" s="35"/>
      <c r="O1277" s="21">
        <v>108.2</v>
      </c>
      <c r="P1277" s="22" t="s">
        <v>106</v>
      </c>
      <c r="Q1277" s="38"/>
      <c r="R1277" s="38"/>
    </row>
    <row r="1278" s="3" customFormat="1" ht="132" customHeight="1" outlineLevel="2" spans="1:18">
      <c r="A1278" s="41">
        <f>1+N(A1277)</f>
        <v>5</v>
      </c>
      <c r="B1278" s="28" t="s">
        <v>107</v>
      </c>
      <c r="C1278" s="28" t="s">
        <v>108</v>
      </c>
      <c r="D1278" s="28" t="s">
        <v>109</v>
      </c>
      <c r="E1278" s="28" t="s">
        <v>110</v>
      </c>
      <c r="F1278" s="29" t="s">
        <v>27</v>
      </c>
      <c r="G1278" s="30">
        <v>22.84</v>
      </c>
      <c r="H1278" s="31">
        <v>152.22</v>
      </c>
      <c r="I1278" s="39"/>
      <c r="J1278" s="31">
        <f>H1278*(1-$I$4)</f>
        <v>152.22</v>
      </c>
      <c r="K1278" s="33">
        <f>ROUND(G1278*J1278,2)</f>
        <v>3476.7</v>
      </c>
      <c r="L1278" s="34" t="s">
        <v>28</v>
      </c>
      <c r="M1278" s="35"/>
      <c r="O1278" s="21">
        <v>151.58</v>
      </c>
      <c r="P1278" s="22" t="s">
        <v>111</v>
      </c>
      <c r="Q1278" s="38"/>
      <c r="R1278" s="38"/>
    </row>
    <row r="1279" s="3" customFormat="1" outlineLevel="1" spans="1:18">
      <c r="A1279" s="40"/>
      <c r="B1279" s="28" t="s">
        <v>112</v>
      </c>
      <c r="C1279" s="28"/>
      <c r="D1279" s="28"/>
      <c r="E1279" s="28"/>
      <c r="F1279" s="29"/>
      <c r="G1279" s="30"/>
      <c r="H1279" s="31"/>
      <c r="I1279" s="39"/>
      <c r="J1279" s="31"/>
      <c r="K1279" s="33"/>
      <c r="L1279" s="34"/>
      <c r="M1279" s="35"/>
      <c r="O1279" s="36"/>
      <c r="P1279" s="37"/>
      <c r="Q1279" s="38"/>
      <c r="R1279" s="38"/>
    </row>
    <row r="1280" s="3" customFormat="1" spans="1:18">
      <c r="A1280" s="27" t="s">
        <v>279</v>
      </c>
      <c r="B1280" s="17" t="s">
        <v>735</v>
      </c>
      <c r="C1280" s="28"/>
      <c r="D1280" s="28"/>
      <c r="E1280" s="28"/>
      <c r="F1280" s="29"/>
      <c r="G1280" s="30"/>
      <c r="H1280" s="31"/>
      <c r="I1280" s="39"/>
      <c r="J1280" s="31"/>
      <c r="K1280" s="33"/>
      <c r="L1280" s="34"/>
      <c r="M1280" s="35"/>
      <c r="O1280" s="36"/>
      <c r="P1280" s="37"/>
      <c r="Q1280" s="38"/>
      <c r="R1280" s="38"/>
    </row>
    <row r="1281" s="3" customFormat="1" outlineLevel="1" spans="1:18">
      <c r="A1281" s="27" t="s">
        <v>20</v>
      </c>
      <c r="B1281" s="28" t="s">
        <v>722</v>
      </c>
      <c r="C1281" s="28"/>
      <c r="D1281" s="28"/>
      <c r="E1281" s="28"/>
      <c r="F1281" s="29"/>
      <c r="G1281" s="30"/>
      <c r="H1281" s="31"/>
      <c r="I1281" s="39"/>
      <c r="J1281" s="31"/>
      <c r="K1281" s="33"/>
      <c r="L1281" s="34"/>
      <c r="M1281" s="35"/>
      <c r="O1281" s="36"/>
      <c r="P1281" s="37"/>
      <c r="Q1281" s="38"/>
      <c r="R1281" s="38"/>
    </row>
    <row r="1282" s="3" customFormat="1" outlineLevel="1" spans="1:18">
      <c r="A1282" s="40"/>
      <c r="B1282" s="28" t="s">
        <v>22</v>
      </c>
      <c r="C1282" s="28"/>
      <c r="D1282" s="28"/>
      <c r="E1282" s="28"/>
      <c r="F1282" s="29"/>
      <c r="G1282" s="30"/>
      <c r="H1282" s="31"/>
      <c r="I1282" s="39"/>
      <c r="J1282" s="31"/>
      <c r="K1282" s="33"/>
      <c r="L1282" s="34"/>
      <c r="M1282" s="35"/>
      <c r="O1282" s="36"/>
      <c r="P1282" s="37"/>
      <c r="Q1282" s="38"/>
      <c r="R1282" s="38"/>
    </row>
    <row r="1283" s="3" customFormat="1" ht="108" customHeight="1" outlineLevel="2" spans="1:18">
      <c r="A1283" s="41">
        <f>1+N(A1282)</f>
        <v>1</v>
      </c>
      <c r="B1283" s="28" t="s">
        <v>23</v>
      </c>
      <c r="C1283" s="28" t="s">
        <v>24</v>
      </c>
      <c r="D1283" s="28" t="s">
        <v>25</v>
      </c>
      <c r="E1283" s="28" t="s">
        <v>26</v>
      </c>
      <c r="F1283" s="29" t="s">
        <v>27</v>
      </c>
      <c r="G1283" s="30">
        <v>7.55</v>
      </c>
      <c r="H1283" s="31">
        <v>940.91</v>
      </c>
      <c r="I1283" s="39"/>
      <c r="J1283" s="31">
        <f>H1283*(1-$I$4)</f>
        <v>940.91</v>
      </c>
      <c r="K1283" s="33">
        <f>ROUND(G1283*J1283,2)</f>
        <v>7103.87</v>
      </c>
      <c r="L1283" s="34" t="s">
        <v>28</v>
      </c>
      <c r="M1283" s="35"/>
      <c r="O1283" s="21">
        <v>886.6</v>
      </c>
      <c r="P1283" s="22" t="s">
        <v>29</v>
      </c>
      <c r="Q1283" s="38"/>
      <c r="R1283" s="38"/>
    </row>
    <row r="1284" s="3" customFormat="1" ht="108" customHeight="1" outlineLevel="2" spans="1:18">
      <c r="A1284" s="41">
        <f>1+N(A1283)</f>
        <v>2</v>
      </c>
      <c r="B1284" s="28" t="s">
        <v>30</v>
      </c>
      <c r="C1284" s="28" t="s">
        <v>31</v>
      </c>
      <c r="D1284" s="28" t="s">
        <v>25</v>
      </c>
      <c r="E1284" s="28" t="s">
        <v>26</v>
      </c>
      <c r="F1284" s="29" t="s">
        <v>27</v>
      </c>
      <c r="G1284" s="30">
        <v>16.52</v>
      </c>
      <c r="H1284" s="31">
        <v>1412.25</v>
      </c>
      <c r="I1284" s="39"/>
      <c r="J1284" s="31">
        <f>H1284*(1-$I$4)</f>
        <v>1412.25</v>
      </c>
      <c r="K1284" s="33">
        <f>ROUND(G1284*J1284,2)</f>
        <v>23330.37</v>
      </c>
      <c r="L1284" s="34" t="s">
        <v>28</v>
      </c>
      <c r="M1284" s="35"/>
      <c r="O1284" s="21">
        <v>1135.86</v>
      </c>
      <c r="P1284" s="22" t="s">
        <v>32</v>
      </c>
      <c r="Q1284" s="38"/>
      <c r="R1284" s="38"/>
    </row>
    <row r="1285" s="3" customFormat="1" ht="72" customHeight="1" outlineLevel="2" spans="1:18">
      <c r="A1285" s="41">
        <f>1+N(A1284)</f>
        <v>3</v>
      </c>
      <c r="B1285" s="28" t="s">
        <v>36</v>
      </c>
      <c r="C1285" s="28" t="s">
        <v>37</v>
      </c>
      <c r="D1285" s="28" t="s">
        <v>25</v>
      </c>
      <c r="E1285" s="28" t="s">
        <v>38</v>
      </c>
      <c r="F1285" s="29" t="s">
        <v>39</v>
      </c>
      <c r="G1285" s="30">
        <v>17.27</v>
      </c>
      <c r="H1285" s="31">
        <v>89.27</v>
      </c>
      <c r="I1285" s="39"/>
      <c r="J1285" s="31">
        <f>H1285*(1-$I$4)</f>
        <v>89.27</v>
      </c>
      <c r="K1285" s="33">
        <f>ROUND(G1285*J1285,2)</f>
        <v>1541.69</v>
      </c>
      <c r="L1285" s="34" t="s">
        <v>28</v>
      </c>
      <c r="M1285" s="35"/>
      <c r="O1285" s="21">
        <v>35.28</v>
      </c>
      <c r="P1285" s="22" t="s">
        <v>40</v>
      </c>
      <c r="Q1285" s="38"/>
      <c r="R1285" s="38"/>
    </row>
    <row r="1286" s="3" customFormat="1" ht="72" customHeight="1" outlineLevel="2" spans="1:18">
      <c r="A1286" s="41">
        <f>1+N(A1285)</f>
        <v>4</v>
      </c>
      <c r="B1286" s="28" t="s">
        <v>41</v>
      </c>
      <c r="C1286" s="28" t="s">
        <v>42</v>
      </c>
      <c r="D1286" s="28" t="s">
        <v>25</v>
      </c>
      <c r="E1286" s="28" t="s">
        <v>26</v>
      </c>
      <c r="F1286" s="29" t="s">
        <v>27</v>
      </c>
      <c r="G1286" s="30">
        <v>24.07</v>
      </c>
      <c r="H1286" s="31">
        <v>64.9</v>
      </c>
      <c r="I1286" s="39"/>
      <c r="J1286" s="31">
        <f>H1286*(1-$I$4)</f>
        <v>64.9</v>
      </c>
      <c r="K1286" s="33">
        <f>ROUND(G1286*J1286,2)</f>
        <v>1562.14</v>
      </c>
      <c r="L1286" s="34" t="s">
        <v>28</v>
      </c>
      <c r="M1286" s="35"/>
      <c r="O1286" s="21">
        <v>61.38</v>
      </c>
      <c r="P1286" s="22" t="s">
        <v>43</v>
      </c>
      <c r="Q1286" s="38"/>
      <c r="R1286" s="38"/>
    </row>
    <row r="1287" s="3" customFormat="1" outlineLevel="1" spans="1:18">
      <c r="A1287" s="40"/>
      <c r="B1287" s="28" t="s">
        <v>687</v>
      </c>
      <c r="C1287" s="28"/>
      <c r="D1287" s="28"/>
      <c r="E1287" s="28"/>
      <c r="F1287" s="29"/>
      <c r="G1287" s="30"/>
      <c r="H1287" s="31"/>
      <c r="I1287" s="39"/>
      <c r="J1287" s="31"/>
      <c r="K1287" s="33"/>
      <c r="L1287" s="34"/>
      <c r="M1287" s="35"/>
      <c r="O1287" s="36"/>
      <c r="P1287" s="37"/>
      <c r="Q1287" s="38"/>
      <c r="R1287" s="38"/>
    </row>
    <row r="1288" s="3" customFormat="1" ht="108" customHeight="1" outlineLevel="2" spans="1:18">
      <c r="A1288" s="41">
        <f t="shared" ref="A1288:A1299" si="189">1+N(A1287)</f>
        <v>1</v>
      </c>
      <c r="B1288" s="28" t="s">
        <v>45</v>
      </c>
      <c r="C1288" s="28" t="s">
        <v>46</v>
      </c>
      <c r="D1288" s="28" t="s">
        <v>47</v>
      </c>
      <c r="E1288" s="28" t="s">
        <v>48</v>
      </c>
      <c r="F1288" s="29" t="s">
        <v>27</v>
      </c>
      <c r="G1288" s="30">
        <v>6.1</v>
      </c>
      <c r="H1288" s="31">
        <v>2668.45</v>
      </c>
      <c r="I1288" s="39"/>
      <c r="J1288" s="31">
        <f t="shared" ref="J1288:J1299" si="190">H1288*(1-$I$4)</f>
        <v>2668.45</v>
      </c>
      <c r="K1288" s="33">
        <f t="shared" ref="K1288:K1299" si="191">ROUND(G1288*J1288,2)</f>
        <v>16277.55</v>
      </c>
      <c r="L1288" s="34" t="s">
        <v>28</v>
      </c>
      <c r="M1288" s="35"/>
      <c r="O1288" s="21">
        <v>1019.76</v>
      </c>
      <c r="P1288" s="22" t="s">
        <v>49</v>
      </c>
      <c r="Q1288" s="38"/>
      <c r="R1288" s="38"/>
    </row>
    <row r="1289" s="3" customFormat="1" ht="156" customHeight="1" outlineLevel="2" spans="1:18">
      <c r="A1289" s="41">
        <f t="shared" si="189"/>
        <v>2</v>
      </c>
      <c r="B1289" s="28" t="s">
        <v>50</v>
      </c>
      <c r="C1289" s="28" t="s">
        <v>51</v>
      </c>
      <c r="D1289" s="28" t="s">
        <v>52</v>
      </c>
      <c r="E1289" s="28" t="s">
        <v>48</v>
      </c>
      <c r="F1289" s="29" t="s">
        <v>27</v>
      </c>
      <c r="G1289" s="30">
        <v>24.88</v>
      </c>
      <c r="H1289" s="31">
        <v>996.46</v>
      </c>
      <c r="I1289" s="39"/>
      <c r="J1289" s="31">
        <f t="shared" si="190"/>
        <v>996.46</v>
      </c>
      <c r="K1289" s="33">
        <f t="shared" si="191"/>
        <v>24791.92</v>
      </c>
      <c r="L1289" s="34" t="s">
        <v>28</v>
      </c>
      <c r="M1289" s="35"/>
      <c r="O1289" s="21">
        <v>1000.51</v>
      </c>
      <c r="P1289" s="22" t="s">
        <v>723</v>
      </c>
      <c r="Q1289" s="38"/>
      <c r="R1289" s="38"/>
    </row>
    <row r="1290" s="3" customFormat="1" ht="120" customHeight="1" outlineLevel="2" spans="1:18">
      <c r="A1290" s="41">
        <f t="shared" si="189"/>
        <v>3</v>
      </c>
      <c r="B1290" s="28" t="s">
        <v>291</v>
      </c>
      <c r="C1290" s="28" t="s">
        <v>289</v>
      </c>
      <c r="D1290" s="28" t="s">
        <v>52</v>
      </c>
      <c r="E1290" s="28" t="s">
        <v>63</v>
      </c>
      <c r="F1290" s="29" t="s">
        <v>27</v>
      </c>
      <c r="G1290" s="30">
        <v>4.93</v>
      </c>
      <c r="H1290" s="31">
        <v>580.35</v>
      </c>
      <c r="I1290" s="39"/>
      <c r="J1290" s="31">
        <f t="shared" si="190"/>
        <v>580.35</v>
      </c>
      <c r="K1290" s="33">
        <f t="shared" si="191"/>
        <v>2861.13</v>
      </c>
      <c r="L1290" s="34" t="s">
        <v>28</v>
      </c>
      <c r="M1290" s="35"/>
      <c r="O1290" s="21">
        <v>479.36</v>
      </c>
      <c r="P1290" s="22" t="s">
        <v>724</v>
      </c>
      <c r="Q1290" s="38"/>
      <c r="R1290" s="38"/>
    </row>
    <row r="1291" s="3" customFormat="1" ht="96" customHeight="1" outlineLevel="2" spans="1:18">
      <c r="A1291" s="41">
        <f t="shared" si="189"/>
        <v>4</v>
      </c>
      <c r="B1291" s="28" t="s">
        <v>295</v>
      </c>
      <c r="C1291" s="28" t="s">
        <v>296</v>
      </c>
      <c r="D1291" s="28" t="s">
        <v>59</v>
      </c>
      <c r="E1291" s="28" t="s">
        <v>26</v>
      </c>
      <c r="F1291" s="29" t="s">
        <v>27</v>
      </c>
      <c r="G1291" s="30">
        <v>13.79</v>
      </c>
      <c r="H1291" s="31">
        <v>311.52</v>
      </c>
      <c r="I1291" s="39"/>
      <c r="J1291" s="31">
        <f t="shared" si="190"/>
        <v>311.52</v>
      </c>
      <c r="K1291" s="33">
        <f t="shared" si="191"/>
        <v>4295.86</v>
      </c>
      <c r="L1291" s="34" t="s">
        <v>28</v>
      </c>
      <c r="M1291" s="35"/>
      <c r="O1291" s="21">
        <v>278.47</v>
      </c>
      <c r="P1291" s="22" t="s">
        <v>297</v>
      </c>
      <c r="Q1291" s="38"/>
      <c r="R1291" s="38"/>
    </row>
    <row r="1292" s="3" customFormat="1" ht="120" customHeight="1" outlineLevel="2" spans="1:18">
      <c r="A1292" s="41">
        <f t="shared" si="189"/>
        <v>5</v>
      </c>
      <c r="B1292" s="28" t="s">
        <v>61</v>
      </c>
      <c r="C1292" s="28" t="s">
        <v>62</v>
      </c>
      <c r="D1292" s="28" t="s">
        <v>52</v>
      </c>
      <c r="E1292" s="28" t="s">
        <v>63</v>
      </c>
      <c r="F1292" s="29" t="s">
        <v>27</v>
      </c>
      <c r="G1292" s="30">
        <v>1.1</v>
      </c>
      <c r="H1292" s="31">
        <v>630.65</v>
      </c>
      <c r="I1292" s="39"/>
      <c r="J1292" s="31">
        <f t="shared" si="190"/>
        <v>630.65</v>
      </c>
      <c r="K1292" s="33">
        <f t="shared" si="191"/>
        <v>693.72</v>
      </c>
      <c r="L1292" s="34" t="s">
        <v>28</v>
      </c>
      <c r="M1292" s="35"/>
      <c r="O1292" s="21">
        <v>681.67</v>
      </c>
      <c r="P1292" s="22" t="s">
        <v>64</v>
      </c>
      <c r="Q1292" s="38"/>
      <c r="R1292" s="38"/>
    </row>
    <row r="1293" s="3" customFormat="1" ht="120" customHeight="1" outlineLevel="2" spans="1:18">
      <c r="A1293" s="41">
        <f t="shared" si="189"/>
        <v>6</v>
      </c>
      <c r="B1293" s="28" t="s">
        <v>65</v>
      </c>
      <c r="C1293" s="28" t="s">
        <v>62</v>
      </c>
      <c r="D1293" s="28" t="s">
        <v>52</v>
      </c>
      <c r="E1293" s="28" t="s">
        <v>63</v>
      </c>
      <c r="F1293" s="29" t="s">
        <v>27</v>
      </c>
      <c r="G1293" s="30">
        <v>3.4</v>
      </c>
      <c r="H1293" s="31">
        <v>630.65</v>
      </c>
      <c r="I1293" s="39"/>
      <c r="J1293" s="31">
        <f t="shared" si="190"/>
        <v>630.65</v>
      </c>
      <c r="K1293" s="33">
        <f t="shared" si="191"/>
        <v>2144.21</v>
      </c>
      <c r="L1293" s="34" t="s">
        <v>28</v>
      </c>
      <c r="M1293" s="35"/>
      <c r="O1293" s="21">
        <v>681.67</v>
      </c>
      <c r="P1293" s="22" t="s">
        <v>64</v>
      </c>
      <c r="Q1293" s="38"/>
      <c r="R1293" s="38"/>
    </row>
    <row r="1294" s="3" customFormat="1" ht="120" customHeight="1" outlineLevel="2" spans="1:18">
      <c r="A1294" s="41">
        <f t="shared" si="189"/>
        <v>7</v>
      </c>
      <c r="B1294" s="28" t="s">
        <v>66</v>
      </c>
      <c r="C1294" s="28" t="s">
        <v>67</v>
      </c>
      <c r="D1294" s="28" t="s">
        <v>52</v>
      </c>
      <c r="E1294" s="28" t="s">
        <v>63</v>
      </c>
      <c r="F1294" s="29" t="s">
        <v>27</v>
      </c>
      <c r="G1294" s="30">
        <v>0.9</v>
      </c>
      <c r="H1294" s="31">
        <v>812.96</v>
      </c>
      <c r="I1294" s="39"/>
      <c r="J1294" s="31">
        <f t="shared" si="190"/>
        <v>812.96</v>
      </c>
      <c r="K1294" s="33">
        <f t="shared" si="191"/>
        <v>731.66</v>
      </c>
      <c r="L1294" s="34" t="s">
        <v>28</v>
      </c>
      <c r="M1294" s="35"/>
      <c r="O1294" s="21">
        <v>681.67</v>
      </c>
      <c r="P1294" s="22" t="s">
        <v>68</v>
      </c>
      <c r="Q1294" s="38"/>
      <c r="R1294" s="38"/>
    </row>
    <row r="1295" s="3" customFormat="1" ht="120" customHeight="1" outlineLevel="2" spans="1:18">
      <c r="A1295" s="41">
        <f t="shared" si="189"/>
        <v>8</v>
      </c>
      <c r="B1295" s="28" t="s">
        <v>69</v>
      </c>
      <c r="C1295" s="28" t="s">
        <v>70</v>
      </c>
      <c r="D1295" s="28" t="s">
        <v>52</v>
      </c>
      <c r="E1295" s="28" t="s">
        <v>63</v>
      </c>
      <c r="F1295" s="29" t="s">
        <v>27</v>
      </c>
      <c r="G1295" s="30">
        <v>0.26</v>
      </c>
      <c r="H1295" s="31">
        <v>1175.56</v>
      </c>
      <c r="I1295" s="39"/>
      <c r="J1295" s="31">
        <f t="shared" si="190"/>
        <v>1175.56</v>
      </c>
      <c r="K1295" s="33">
        <f t="shared" si="191"/>
        <v>305.65</v>
      </c>
      <c r="L1295" s="34" t="s">
        <v>28</v>
      </c>
      <c r="M1295" s="35"/>
      <c r="O1295" s="21">
        <v>681.67</v>
      </c>
      <c r="P1295" s="22" t="s">
        <v>71</v>
      </c>
      <c r="Q1295" s="38"/>
      <c r="R1295" s="38"/>
    </row>
    <row r="1296" s="3" customFormat="1" ht="96" customHeight="1" outlineLevel="2" spans="1:18">
      <c r="A1296" s="41">
        <f t="shared" si="189"/>
        <v>9</v>
      </c>
      <c r="B1296" s="28" t="s">
        <v>75</v>
      </c>
      <c r="C1296" s="28" t="s">
        <v>76</v>
      </c>
      <c r="D1296" s="28" t="s">
        <v>59</v>
      </c>
      <c r="E1296" s="28" t="s">
        <v>38</v>
      </c>
      <c r="F1296" s="29" t="s">
        <v>39</v>
      </c>
      <c r="G1296" s="30">
        <v>19.62</v>
      </c>
      <c r="H1296" s="31">
        <v>67.08</v>
      </c>
      <c r="I1296" s="39"/>
      <c r="J1296" s="31">
        <f t="shared" si="190"/>
        <v>67.08</v>
      </c>
      <c r="K1296" s="33">
        <f t="shared" si="191"/>
        <v>1316.11</v>
      </c>
      <c r="L1296" s="34" t="s">
        <v>28</v>
      </c>
      <c r="M1296" s="35"/>
      <c r="O1296" s="21">
        <v>45.71</v>
      </c>
      <c r="P1296" s="22" t="s">
        <v>77</v>
      </c>
      <c r="Q1296" s="38"/>
      <c r="R1296" s="38"/>
    </row>
    <row r="1297" s="3" customFormat="1" ht="96" customHeight="1" outlineLevel="2" spans="1:18">
      <c r="A1297" s="41">
        <f t="shared" si="189"/>
        <v>10</v>
      </c>
      <c r="B1297" s="28" t="s">
        <v>725</v>
      </c>
      <c r="C1297" s="28" t="s">
        <v>726</v>
      </c>
      <c r="D1297" s="28" t="s">
        <v>59</v>
      </c>
      <c r="E1297" s="28" t="s">
        <v>38</v>
      </c>
      <c r="F1297" s="29" t="s">
        <v>39</v>
      </c>
      <c r="G1297" s="30">
        <v>5.07</v>
      </c>
      <c r="H1297" s="31">
        <v>71.9</v>
      </c>
      <c r="I1297" s="39"/>
      <c r="J1297" s="31">
        <f t="shared" si="190"/>
        <v>71.9</v>
      </c>
      <c r="K1297" s="33">
        <f t="shared" si="191"/>
        <v>364.53</v>
      </c>
      <c r="L1297" s="34" t="s">
        <v>28</v>
      </c>
      <c r="M1297" s="35"/>
      <c r="O1297" s="21">
        <v>50.8</v>
      </c>
      <c r="P1297" s="22" t="s">
        <v>727</v>
      </c>
      <c r="Q1297" s="38"/>
      <c r="R1297" s="38"/>
    </row>
    <row r="1298" s="3" customFormat="1" ht="96" customHeight="1" outlineLevel="2" spans="1:18">
      <c r="A1298" s="41">
        <f t="shared" si="189"/>
        <v>11</v>
      </c>
      <c r="B1298" s="28" t="s">
        <v>84</v>
      </c>
      <c r="C1298" s="28" t="s">
        <v>85</v>
      </c>
      <c r="D1298" s="28" t="s">
        <v>59</v>
      </c>
      <c r="E1298" s="28" t="s">
        <v>38</v>
      </c>
      <c r="F1298" s="29" t="s">
        <v>39</v>
      </c>
      <c r="G1298" s="30">
        <v>10.8</v>
      </c>
      <c r="H1298" s="31">
        <v>117.84</v>
      </c>
      <c r="I1298" s="39"/>
      <c r="J1298" s="31">
        <f t="shared" si="190"/>
        <v>117.84</v>
      </c>
      <c r="K1298" s="33">
        <f t="shared" si="191"/>
        <v>1272.67</v>
      </c>
      <c r="L1298" s="34" t="s">
        <v>28</v>
      </c>
      <c r="M1298" s="35"/>
      <c r="O1298" s="21">
        <v>95.14</v>
      </c>
      <c r="P1298" s="22" t="s">
        <v>86</v>
      </c>
      <c r="Q1298" s="38"/>
      <c r="R1298" s="38"/>
    </row>
    <row r="1299" s="3" customFormat="1" ht="96" customHeight="1" outlineLevel="2" spans="1:18">
      <c r="A1299" s="41">
        <f t="shared" si="189"/>
        <v>12</v>
      </c>
      <c r="B1299" s="28" t="s">
        <v>87</v>
      </c>
      <c r="C1299" s="28" t="s">
        <v>88</v>
      </c>
      <c r="D1299" s="28" t="s">
        <v>59</v>
      </c>
      <c r="E1299" s="28" t="s">
        <v>38</v>
      </c>
      <c r="F1299" s="29" t="s">
        <v>39</v>
      </c>
      <c r="G1299" s="30">
        <v>22.76</v>
      </c>
      <c r="H1299" s="31">
        <v>64.25</v>
      </c>
      <c r="I1299" s="39"/>
      <c r="J1299" s="31">
        <f t="shared" si="190"/>
        <v>64.25</v>
      </c>
      <c r="K1299" s="33">
        <f t="shared" si="191"/>
        <v>1462.33</v>
      </c>
      <c r="L1299" s="34" t="s">
        <v>28</v>
      </c>
      <c r="M1299" s="35"/>
      <c r="O1299" s="21">
        <v>43.16</v>
      </c>
      <c r="P1299" s="22" t="s">
        <v>89</v>
      </c>
      <c r="Q1299" s="38"/>
      <c r="R1299" s="38"/>
    </row>
    <row r="1300" s="3" customFormat="1" outlineLevel="1" spans="1:18">
      <c r="A1300" s="40"/>
      <c r="B1300" s="28" t="s">
        <v>90</v>
      </c>
      <c r="C1300" s="28"/>
      <c r="D1300" s="28"/>
      <c r="E1300" s="28"/>
      <c r="F1300" s="29"/>
      <c r="G1300" s="30"/>
      <c r="H1300" s="31"/>
      <c r="I1300" s="39"/>
      <c r="J1300" s="31"/>
      <c r="K1300" s="33"/>
      <c r="L1300" s="34"/>
      <c r="M1300" s="35"/>
      <c r="O1300" s="36"/>
      <c r="P1300" s="37"/>
      <c r="Q1300" s="38"/>
      <c r="R1300" s="38"/>
    </row>
    <row r="1301" s="3" customFormat="1" ht="168" customHeight="1" outlineLevel="2" spans="1:18">
      <c r="A1301" s="41">
        <f>1+N(A1300)</f>
        <v>1</v>
      </c>
      <c r="B1301" s="28" t="s">
        <v>636</v>
      </c>
      <c r="C1301" s="28" t="s">
        <v>92</v>
      </c>
      <c r="D1301" s="28" t="s">
        <v>93</v>
      </c>
      <c r="E1301" s="28" t="s">
        <v>94</v>
      </c>
      <c r="F1301" s="29" t="s">
        <v>27</v>
      </c>
      <c r="G1301" s="30">
        <v>25.03</v>
      </c>
      <c r="H1301" s="31">
        <v>150.71</v>
      </c>
      <c r="I1301" s="39"/>
      <c r="J1301" s="31">
        <f>H1301*(1-$I$4)</f>
        <v>150.71</v>
      </c>
      <c r="K1301" s="33">
        <f>ROUND(G1301*J1301,2)</f>
        <v>3772.27</v>
      </c>
      <c r="L1301" s="34" t="s">
        <v>28</v>
      </c>
      <c r="M1301" s="35"/>
      <c r="O1301" s="21">
        <v>150.38</v>
      </c>
      <c r="P1301" s="22" t="s">
        <v>728</v>
      </c>
      <c r="Q1301" s="38"/>
      <c r="R1301" s="38"/>
    </row>
    <row r="1302" s="3" customFormat="1" ht="48" customHeight="1" outlineLevel="2" spans="1:18">
      <c r="A1302" s="41">
        <f>1+N(A1301)</f>
        <v>2</v>
      </c>
      <c r="B1302" s="28" t="s">
        <v>96</v>
      </c>
      <c r="C1302" s="28" t="s">
        <v>97</v>
      </c>
      <c r="D1302" s="28" t="s">
        <v>98</v>
      </c>
      <c r="E1302" s="28" t="s">
        <v>99</v>
      </c>
      <c r="F1302" s="29" t="s">
        <v>39</v>
      </c>
      <c r="G1302" s="30">
        <v>17.29</v>
      </c>
      <c r="H1302" s="31">
        <v>112.16</v>
      </c>
      <c r="I1302" s="39"/>
      <c r="J1302" s="31">
        <f>H1302*(1-$I$4)</f>
        <v>112.16</v>
      </c>
      <c r="K1302" s="33">
        <f>ROUND(G1302*J1302,2)</f>
        <v>1939.25</v>
      </c>
      <c r="L1302" s="34" t="s">
        <v>28</v>
      </c>
      <c r="M1302" s="35"/>
      <c r="O1302" s="21">
        <v>79.3</v>
      </c>
      <c r="P1302" s="22" t="s">
        <v>100</v>
      </c>
      <c r="Q1302" s="38"/>
      <c r="R1302" s="38"/>
    </row>
    <row r="1303" s="3" customFormat="1" ht="48" customHeight="1" outlineLevel="2" spans="1:18">
      <c r="A1303" s="41">
        <f>1+N(A1302)</f>
        <v>3</v>
      </c>
      <c r="B1303" s="28" t="s">
        <v>101</v>
      </c>
      <c r="C1303" s="28" t="s">
        <v>102</v>
      </c>
      <c r="D1303" s="28" t="s">
        <v>98</v>
      </c>
      <c r="E1303" s="28" t="s">
        <v>99</v>
      </c>
      <c r="F1303" s="29" t="s">
        <v>39</v>
      </c>
      <c r="G1303" s="30">
        <v>17.29</v>
      </c>
      <c r="H1303" s="31">
        <v>75.82</v>
      </c>
      <c r="I1303" s="39"/>
      <c r="J1303" s="31">
        <f>H1303*(1-$I$4)</f>
        <v>75.82</v>
      </c>
      <c r="K1303" s="33">
        <f>ROUND(G1303*J1303,2)</f>
        <v>1310.93</v>
      </c>
      <c r="L1303" s="34" t="s">
        <v>28</v>
      </c>
      <c r="M1303" s="35"/>
      <c r="O1303" s="21">
        <v>203.56</v>
      </c>
      <c r="P1303" s="22" t="s">
        <v>103</v>
      </c>
      <c r="Q1303" s="38"/>
      <c r="R1303" s="38"/>
    </row>
    <row r="1304" s="3" customFormat="1" ht="48" customHeight="1" outlineLevel="2" spans="1:18">
      <c r="A1304" s="41">
        <f>1+N(A1303)</f>
        <v>4</v>
      </c>
      <c r="B1304" s="28" t="s">
        <v>104</v>
      </c>
      <c r="C1304" s="28" t="s">
        <v>105</v>
      </c>
      <c r="D1304" s="28" t="s">
        <v>98</v>
      </c>
      <c r="E1304" s="28" t="s">
        <v>99</v>
      </c>
      <c r="F1304" s="29" t="s">
        <v>39</v>
      </c>
      <c r="G1304" s="30">
        <v>10.24</v>
      </c>
      <c r="H1304" s="31">
        <v>109.74</v>
      </c>
      <c r="I1304" s="39"/>
      <c r="J1304" s="31">
        <f>H1304*(1-$I$4)</f>
        <v>109.74</v>
      </c>
      <c r="K1304" s="33">
        <f>ROUND(G1304*J1304,2)</f>
        <v>1123.74</v>
      </c>
      <c r="L1304" s="34" t="s">
        <v>28</v>
      </c>
      <c r="M1304" s="35"/>
      <c r="O1304" s="21">
        <v>108.2</v>
      </c>
      <c r="P1304" s="22" t="s">
        <v>106</v>
      </c>
      <c r="Q1304" s="38"/>
      <c r="R1304" s="38"/>
    </row>
    <row r="1305" s="3" customFormat="1" ht="132" customHeight="1" outlineLevel="2" spans="1:18">
      <c r="A1305" s="41">
        <f>1+N(A1304)</f>
        <v>5</v>
      </c>
      <c r="B1305" s="28" t="s">
        <v>107</v>
      </c>
      <c r="C1305" s="28" t="s">
        <v>108</v>
      </c>
      <c r="D1305" s="28" t="s">
        <v>109</v>
      </c>
      <c r="E1305" s="28" t="s">
        <v>110</v>
      </c>
      <c r="F1305" s="29" t="s">
        <v>27</v>
      </c>
      <c r="G1305" s="30">
        <v>30.98</v>
      </c>
      <c r="H1305" s="31">
        <v>152.22</v>
      </c>
      <c r="I1305" s="39"/>
      <c r="J1305" s="31">
        <f>H1305*(1-$I$4)</f>
        <v>152.22</v>
      </c>
      <c r="K1305" s="33">
        <f>ROUND(G1305*J1305,2)</f>
        <v>4715.78</v>
      </c>
      <c r="L1305" s="34" t="s">
        <v>28</v>
      </c>
      <c r="M1305" s="35"/>
      <c r="O1305" s="21">
        <v>151.58</v>
      </c>
      <c r="P1305" s="22" t="s">
        <v>111</v>
      </c>
      <c r="Q1305" s="38"/>
      <c r="R1305" s="38"/>
    </row>
    <row r="1306" s="3" customFormat="1" outlineLevel="1" spans="1:18">
      <c r="A1306" s="40"/>
      <c r="B1306" s="28" t="s">
        <v>112</v>
      </c>
      <c r="C1306" s="28"/>
      <c r="D1306" s="28"/>
      <c r="E1306" s="28"/>
      <c r="F1306" s="29"/>
      <c r="G1306" s="30"/>
      <c r="H1306" s="31"/>
      <c r="I1306" s="39"/>
      <c r="J1306" s="31"/>
      <c r="K1306" s="33"/>
      <c r="L1306" s="34"/>
      <c r="M1306" s="35"/>
      <c r="O1306" s="36"/>
      <c r="P1306" s="37"/>
      <c r="Q1306" s="38"/>
      <c r="R1306" s="38"/>
    </row>
    <row r="1307" s="3" customFormat="1" outlineLevel="1" spans="1:18">
      <c r="A1307" s="27" t="s">
        <v>123</v>
      </c>
      <c r="B1307" s="28" t="s">
        <v>731</v>
      </c>
      <c r="C1307" s="28"/>
      <c r="D1307" s="28"/>
      <c r="E1307" s="28"/>
      <c r="F1307" s="29"/>
      <c r="G1307" s="30"/>
      <c r="H1307" s="31"/>
      <c r="I1307" s="39"/>
      <c r="J1307" s="31"/>
      <c r="K1307" s="33"/>
      <c r="L1307" s="34"/>
      <c r="M1307" s="35"/>
      <c r="O1307" s="36"/>
      <c r="P1307" s="37"/>
      <c r="Q1307" s="38"/>
      <c r="R1307" s="38"/>
    </row>
    <row r="1308" s="3" customFormat="1" outlineLevel="1" spans="1:18">
      <c r="A1308" s="40"/>
      <c r="B1308" s="28" t="s">
        <v>22</v>
      </c>
      <c r="C1308" s="28"/>
      <c r="D1308" s="28"/>
      <c r="E1308" s="28"/>
      <c r="F1308" s="29"/>
      <c r="G1308" s="30"/>
      <c r="H1308" s="31"/>
      <c r="I1308" s="39"/>
      <c r="J1308" s="31"/>
      <c r="K1308" s="33"/>
      <c r="L1308" s="34"/>
      <c r="M1308" s="35"/>
      <c r="O1308" s="36"/>
      <c r="P1308" s="37"/>
      <c r="Q1308" s="38"/>
      <c r="R1308" s="38"/>
    </row>
    <row r="1309" s="3" customFormat="1" ht="108" customHeight="1" outlineLevel="2" spans="1:18">
      <c r="A1309" s="41">
        <f>1+N(A1308)</f>
        <v>1</v>
      </c>
      <c r="B1309" s="28" t="s">
        <v>23</v>
      </c>
      <c r="C1309" s="28" t="s">
        <v>24</v>
      </c>
      <c r="D1309" s="28" t="s">
        <v>25</v>
      </c>
      <c r="E1309" s="28" t="s">
        <v>26</v>
      </c>
      <c r="F1309" s="29" t="s">
        <v>27</v>
      </c>
      <c r="G1309" s="30">
        <v>6.9</v>
      </c>
      <c r="H1309" s="31">
        <v>940.91</v>
      </c>
      <c r="I1309" s="39"/>
      <c r="J1309" s="31">
        <f>H1309*(1-$I$4)</f>
        <v>940.91</v>
      </c>
      <c r="K1309" s="33">
        <f>ROUND(G1309*J1309,2)</f>
        <v>6492.28</v>
      </c>
      <c r="L1309" s="34" t="s">
        <v>28</v>
      </c>
      <c r="M1309" s="35"/>
      <c r="O1309" s="21">
        <v>886.6</v>
      </c>
      <c r="P1309" s="22" t="s">
        <v>29</v>
      </c>
      <c r="Q1309" s="38"/>
      <c r="R1309" s="38"/>
    </row>
    <row r="1310" s="3" customFormat="1" ht="108" customHeight="1" outlineLevel="2" spans="1:18">
      <c r="A1310" s="41">
        <f>1+N(A1309)</f>
        <v>2</v>
      </c>
      <c r="B1310" s="28" t="s">
        <v>30</v>
      </c>
      <c r="C1310" s="28" t="s">
        <v>31</v>
      </c>
      <c r="D1310" s="28" t="s">
        <v>25</v>
      </c>
      <c r="E1310" s="28" t="s">
        <v>26</v>
      </c>
      <c r="F1310" s="29" t="s">
        <v>27</v>
      </c>
      <c r="G1310" s="30">
        <v>17.12</v>
      </c>
      <c r="H1310" s="31">
        <v>1412.25</v>
      </c>
      <c r="I1310" s="39"/>
      <c r="J1310" s="31">
        <f>H1310*(1-$I$4)</f>
        <v>1412.25</v>
      </c>
      <c r="K1310" s="33">
        <f>ROUND(G1310*J1310,2)</f>
        <v>24177.72</v>
      </c>
      <c r="L1310" s="34" t="s">
        <v>28</v>
      </c>
      <c r="M1310" s="35"/>
      <c r="O1310" s="21">
        <v>1135.86</v>
      </c>
      <c r="P1310" s="22" t="s">
        <v>32</v>
      </c>
      <c r="Q1310" s="38"/>
      <c r="R1310" s="38"/>
    </row>
    <row r="1311" s="3" customFormat="1" ht="72" customHeight="1" outlineLevel="2" spans="1:18">
      <c r="A1311" s="41">
        <f>1+N(A1310)</f>
        <v>3</v>
      </c>
      <c r="B1311" s="28" t="s">
        <v>36</v>
      </c>
      <c r="C1311" s="28" t="s">
        <v>37</v>
      </c>
      <c r="D1311" s="28" t="s">
        <v>25</v>
      </c>
      <c r="E1311" s="28" t="s">
        <v>38</v>
      </c>
      <c r="F1311" s="29" t="s">
        <v>39</v>
      </c>
      <c r="G1311" s="30">
        <v>17.73</v>
      </c>
      <c r="H1311" s="31">
        <v>89.27</v>
      </c>
      <c r="I1311" s="39"/>
      <c r="J1311" s="31">
        <f>H1311*(1-$I$4)</f>
        <v>89.27</v>
      </c>
      <c r="K1311" s="33">
        <f>ROUND(G1311*J1311,2)</f>
        <v>1582.76</v>
      </c>
      <c r="L1311" s="34" t="s">
        <v>28</v>
      </c>
      <c r="M1311" s="35"/>
      <c r="O1311" s="21">
        <v>35.28</v>
      </c>
      <c r="P1311" s="22" t="s">
        <v>40</v>
      </c>
      <c r="Q1311" s="38"/>
      <c r="R1311" s="38"/>
    </row>
    <row r="1312" s="3" customFormat="1" ht="72" customHeight="1" outlineLevel="2" spans="1:18">
      <c r="A1312" s="41">
        <f>1+N(A1311)</f>
        <v>4</v>
      </c>
      <c r="B1312" s="28" t="s">
        <v>41</v>
      </c>
      <c r="C1312" s="28" t="s">
        <v>42</v>
      </c>
      <c r="D1312" s="28" t="s">
        <v>25</v>
      </c>
      <c r="E1312" s="28" t="s">
        <v>26</v>
      </c>
      <c r="F1312" s="29" t="s">
        <v>27</v>
      </c>
      <c r="G1312" s="30">
        <v>24.01</v>
      </c>
      <c r="H1312" s="31">
        <v>64.9</v>
      </c>
      <c r="I1312" s="39"/>
      <c r="J1312" s="31">
        <f>H1312*(1-$I$4)</f>
        <v>64.9</v>
      </c>
      <c r="K1312" s="33">
        <f>ROUND(G1312*J1312,2)</f>
        <v>1558.25</v>
      </c>
      <c r="L1312" s="34" t="s">
        <v>28</v>
      </c>
      <c r="M1312" s="35"/>
      <c r="O1312" s="21">
        <v>61.38</v>
      </c>
      <c r="P1312" s="22" t="s">
        <v>43</v>
      </c>
      <c r="Q1312" s="38"/>
      <c r="R1312" s="38"/>
    </row>
    <row r="1313" s="3" customFormat="1" outlineLevel="1" spans="1:18">
      <c r="A1313" s="40"/>
      <c r="B1313" s="28" t="s">
        <v>687</v>
      </c>
      <c r="C1313" s="28"/>
      <c r="D1313" s="28"/>
      <c r="E1313" s="28"/>
      <c r="F1313" s="29"/>
      <c r="G1313" s="30"/>
      <c r="H1313" s="31"/>
      <c r="I1313" s="39"/>
      <c r="J1313" s="31"/>
      <c r="K1313" s="33"/>
      <c r="L1313" s="34"/>
      <c r="M1313" s="35"/>
      <c r="O1313" s="36"/>
      <c r="P1313" s="37"/>
      <c r="Q1313" s="38"/>
      <c r="R1313" s="38"/>
    </row>
    <row r="1314" s="3" customFormat="1" ht="108" customHeight="1" outlineLevel="2" spans="1:18">
      <c r="A1314" s="41">
        <f t="shared" ref="A1314:A1321" si="192">1+N(A1313)</f>
        <v>1</v>
      </c>
      <c r="B1314" s="28" t="s">
        <v>45</v>
      </c>
      <c r="C1314" s="28" t="s">
        <v>46</v>
      </c>
      <c r="D1314" s="28" t="s">
        <v>47</v>
      </c>
      <c r="E1314" s="28" t="s">
        <v>48</v>
      </c>
      <c r="F1314" s="29" t="s">
        <v>27</v>
      </c>
      <c r="G1314" s="30">
        <v>8.45</v>
      </c>
      <c r="H1314" s="31">
        <v>2668.45</v>
      </c>
      <c r="I1314" s="39"/>
      <c r="J1314" s="31">
        <f t="shared" ref="J1314:J1321" si="193">H1314*(1-$I$4)</f>
        <v>2668.45</v>
      </c>
      <c r="K1314" s="33">
        <f t="shared" ref="K1314:K1321" si="194">ROUND(G1314*J1314,2)</f>
        <v>22548.4</v>
      </c>
      <c r="L1314" s="34" t="s">
        <v>28</v>
      </c>
      <c r="M1314" s="35"/>
      <c r="O1314" s="21">
        <v>1019.76</v>
      </c>
      <c r="P1314" s="22" t="s">
        <v>49</v>
      </c>
      <c r="Q1314" s="38"/>
      <c r="R1314" s="38"/>
    </row>
    <row r="1315" s="3" customFormat="1" ht="156" customHeight="1" outlineLevel="2" spans="1:18">
      <c r="A1315" s="41">
        <f t="shared" si="192"/>
        <v>2</v>
      </c>
      <c r="B1315" s="28" t="s">
        <v>50</v>
      </c>
      <c r="C1315" s="28" t="s">
        <v>51</v>
      </c>
      <c r="D1315" s="28" t="s">
        <v>52</v>
      </c>
      <c r="E1315" s="28" t="s">
        <v>48</v>
      </c>
      <c r="F1315" s="29" t="s">
        <v>27</v>
      </c>
      <c r="G1315" s="30">
        <v>32.97</v>
      </c>
      <c r="H1315" s="31">
        <v>996.46</v>
      </c>
      <c r="I1315" s="39"/>
      <c r="J1315" s="31">
        <f t="shared" si="193"/>
        <v>996.46</v>
      </c>
      <c r="K1315" s="33">
        <f t="shared" si="194"/>
        <v>32853.29</v>
      </c>
      <c r="L1315" s="34" t="s">
        <v>28</v>
      </c>
      <c r="M1315" s="35"/>
      <c r="O1315" s="21">
        <v>1000.51</v>
      </c>
      <c r="P1315" s="22" t="s">
        <v>723</v>
      </c>
      <c r="Q1315" s="38"/>
      <c r="R1315" s="38"/>
    </row>
    <row r="1316" s="3" customFormat="1" ht="120" customHeight="1" outlineLevel="2" spans="1:18">
      <c r="A1316" s="41">
        <f t="shared" si="192"/>
        <v>3</v>
      </c>
      <c r="B1316" s="28" t="s">
        <v>65</v>
      </c>
      <c r="C1316" s="28" t="s">
        <v>62</v>
      </c>
      <c r="D1316" s="28" t="s">
        <v>52</v>
      </c>
      <c r="E1316" s="28" t="s">
        <v>63</v>
      </c>
      <c r="F1316" s="29" t="s">
        <v>27</v>
      </c>
      <c r="G1316" s="30">
        <v>3.4</v>
      </c>
      <c r="H1316" s="31">
        <v>630.65</v>
      </c>
      <c r="I1316" s="39"/>
      <c r="J1316" s="31">
        <f t="shared" si="193"/>
        <v>630.65</v>
      </c>
      <c r="K1316" s="33">
        <f t="shared" si="194"/>
        <v>2144.21</v>
      </c>
      <c r="L1316" s="34" t="s">
        <v>28</v>
      </c>
      <c r="M1316" s="35"/>
      <c r="O1316" s="21">
        <v>681.67</v>
      </c>
      <c r="P1316" s="22" t="s">
        <v>64</v>
      </c>
      <c r="Q1316" s="38"/>
      <c r="R1316" s="38"/>
    </row>
    <row r="1317" s="3" customFormat="1" ht="120" customHeight="1" outlineLevel="2" spans="1:18">
      <c r="A1317" s="41">
        <f t="shared" si="192"/>
        <v>4</v>
      </c>
      <c r="B1317" s="28" t="s">
        <v>66</v>
      </c>
      <c r="C1317" s="28" t="s">
        <v>67</v>
      </c>
      <c r="D1317" s="28" t="s">
        <v>52</v>
      </c>
      <c r="E1317" s="28" t="s">
        <v>63</v>
      </c>
      <c r="F1317" s="29" t="s">
        <v>27</v>
      </c>
      <c r="G1317" s="30">
        <v>0.9</v>
      </c>
      <c r="H1317" s="31">
        <v>812.96</v>
      </c>
      <c r="I1317" s="39"/>
      <c r="J1317" s="31">
        <f t="shared" si="193"/>
        <v>812.96</v>
      </c>
      <c r="K1317" s="33">
        <f t="shared" si="194"/>
        <v>731.66</v>
      </c>
      <c r="L1317" s="34" t="s">
        <v>28</v>
      </c>
      <c r="M1317" s="35"/>
      <c r="O1317" s="21">
        <v>681.67</v>
      </c>
      <c r="P1317" s="22" t="s">
        <v>68</v>
      </c>
      <c r="Q1317" s="38"/>
      <c r="R1317" s="38"/>
    </row>
    <row r="1318" s="3" customFormat="1" ht="120" customHeight="1" outlineLevel="2" spans="1:18">
      <c r="A1318" s="41">
        <f t="shared" si="192"/>
        <v>5</v>
      </c>
      <c r="B1318" s="28" t="s">
        <v>69</v>
      </c>
      <c r="C1318" s="28" t="s">
        <v>70</v>
      </c>
      <c r="D1318" s="28" t="s">
        <v>52</v>
      </c>
      <c r="E1318" s="28" t="s">
        <v>63</v>
      </c>
      <c r="F1318" s="29" t="s">
        <v>27</v>
      </c>
      <c r="G1318" s="30">
        <v>0.26</v>
      </c>
      <c r="H1318" s="31">
        <v>1175.56</v>
      </c>
      <c r="I1318" s="39"/>
      <c r="J1318" s="31">
        <f t="shared" si="193"/>
        <v>1175.56</v>
      </c>
      <c r="K1318" s="33">
        <f t="shared" si="194"/>
        <v>305.65</v>
      </c>
      <c r="L1318" s="34" t="s">
        <v>28</v>
      </c>
      <c r="M1318" s="35"/>
      <c r="O1318" s="21">
        <v>681.67</v>
      </c>
      <c r="P1318" s="22" t="s">
        <v>71</v>
      </c>
      <c r="Q1318" s="38"/>
      <c r="R1318" s="38"/>
    </row>
    <row r="1319" s="3" customFormat="1" ht="96" customHeight="1" outlineLevel="2" spans="1:18">
      <c r="A1319" s="41">
        <f t="shared" si="192"/>
        <v>6</v>
      </c>
      <c r="B1319" s="28" t="s">
        <v>75</v>
      </c>
      <c r="C1319" s="28" t="s">
        <v>76</v>
      </c>
      <c r="D1319" s="28" t="s">
        <v>59</v>
      </c>
      <c r="E1319" s="28" t="s">
        <v>38</v>
      </c>
      <c r="F1319" s="29" t="s">
        <v>39</v>
      </c>
      <c r="G1319" s="30">
        <v>16.8</v>
      </c>
      <c r="H1319" s="31">
        <v>67.08</v>
      </c>
      <c r="I1319" s="39"/>
      <c r="J1319" s="31">
        <f t="shared" si="193"/>
        <v>67.08</v>
      </c>
      <c r="K1319" s="33">
        <f t="shared" si="194"/>
        <v>1126.94</v>
      </c>
      <c r="L1319" s="34" t="s">
        <v>28</v>
      </c>
      <c r="M1319" s="35"/>
      <c r="O1319" s="21">
        <v>45.71</v>
      </c>
      <c r="P1319" s="22" t="s">
        <v>77</v>
      </c>
      <c r="Q1319" s="38"/>
      <c r="R1319" s="38"/>
    </row>
    <row r="1320" s="3" customFormat="1" ht="96" customHeight="1" outlineLevel="2" spans="1:18">
      <c r="A1320" s="41">
        <f t="shared" si="192"/>
        <v>7</v>
      </c>
      <c r="B1320" s="28" t="s">
        <v>84</v>
      </c>
      <c r="C1320" s="28" t="s">
        <v>85</v>
      </c>
      <c r="D1320" s="28" t="s">
        <v>59</v>
      </c>
      <c r="E1320" s="28" t="s">
        <v>38</v>
      </c>
      <c r="F1320" s="29" t="s">
        <v>39</v>
      </c>
      <c r="G1320" s="30">
        <v>14.95</v>
      </c>
      <c r="H1320" s="31">
        <v>67.08</v>
      </c>
      <c r="I1320" s="39"/>
      <c r="J1320" s="31">
        <f t="shared" si="193"/>
        <v>67.08</v>
      </c>
      <c r="K1320" s="33">
        <f t="shared" si="194"/>
        <v>1002.85</v>
      </c>
      <c r="L1320" s="34" t="s">
        <v>28</v>
      </c>
      <c r="M1320" s="35"/>
      <c r="O1320" s="21">
        <v>95.14</v>
      </c>
      <c r="P1320" s="22" t="s">
        <v>736</v>
      </c>
      <c r="Q1320" s="38"/>
      <c r="R1320" s="38"/>
    </row>
    <row r="1321" s="3" customFormat="1" ht="96" customHeight="1" outlineLevel="2" spans="1:18">
      <c r="A1321" s="41">
        <f t="shared" si="192"/>
        <v>8</v>
      </c>
      <c r="B1321" s="28" t="s">
        <v>87</v>
      </c>
      <c r="C1321" s="28" t="s">
        <v>88</v>
      </c>
      <c r="D1321" s="28" t="s">
        <v>59</v>
      </c>
      <c r="E1321" s="28" t="s">
        <v>38</v>
      </c>
      <c r="F1321" s="29" t="s">
        <v>39</v>
      </c>
      <c r="G1321" s="30">
        <v>18.67</v>
      </c>
      <c r="H1321" s="31">
        <v>64.25</v>
      </c>
      <c r="I1321" s="39"/>
      <c r="J1321" s="31">
        <f t="shared" si="193"/>
        <v>64.25</v>
      </c>
      <c r="K1321" s="33">
        <f t="shared" si="194"/>
        <v>1199.55</v>
      </c>
      <c r="L1321" s="34" t="s">
        <v>28</v>
      </c>
      <c r="M1321" s="35"/>
      <c r="O1321" s="21">
        <v>43.16</v>
      </c>
      <c r="P1321" s="22" t="s">
        <v>89</v>
      </c>
      <c r="Q1321" s="38"/>
      <c r="R1321" s="38"/>
    </row>
    <row r="1322" s="3" customFormat="1" outlineLevel="1" spans="1:18">
      <c r="A1322" s="40"/>
      <c r="B1322" s="28" t="s">
        <v>90</v>
      </c>
      <c r="C1322" s="28"/>
      <c r="D1322" s="28"/>
      <c r="E1322" s="28"/>
      <c r="F1322" s="29"/>
      <c r="G1322" s="30"/>
      <c r="H1322" s="31"/>
      <c r="I1322" s="39"/>
      <c r="J1322" s="31"/>
      <c r="K1322" s="33"/>
      <c r="L1322" s="34"/>
      <c r="M1322" s="35"/>
      <c r="O1322" s="36"/>
      <c r="P1322" s="37"/>
      <c r="Q1322" s="38"/>
      <c r="R1322" s="38"/>
    </row>
    <row r="1323" s="3" customFormat="1" ht="168" customHeight="1" outlineLevel="2" spans="1:18">
      <c r="A1323" s="41">
        <f>1+N(A1322)</f>
        <v>1</v>
      </c>
      <c r="B1323" s="28" t="s">
        <v>636</v>
      </c>
      <c r="C1323" s="28" t="s">
        <v>92</v>
      </c>
      <c r="D1323" s="28" t="s">
        <v>93</v>
      </c>
      <c r="E1323" s="28" t="s">
        <v>94</v>
      </c>
      <c r="F1323" s="29" t="s">
        <v>27</v>
      </c>
      <c r="G1323" s="30">
        <v>25.19</v>
      </c>
      <c r="H1323" s="31">
        <v>150.71</v>
      </c>
      <c r="I1323" s="39"/>
      <c r="J1323" s="31">
        <f>H1323*(1-$I$4)</f>
        <v>150.71</v>
      </c>
      <c r="K1323" s="33">
        <f>ROUND(G1323*J1323,2)</f>
        <v>3796.38</v>
      </c>
      <c r="L1323" s="34" t="s">
        <v>28</v>
      </c>
      <c r="M1323" s="35"/>
      <c r="O1323" s="21">
        <v>150.38</v>
      </c>
      <c r="P1323" s="22" t="s">
        <v>728</v>
      </c>
      <c r="Q1323" s="38"/>
      <c r="R1323" s="38"/>
    </row>
    <row r="1324" s="3" customFormat="1" ht="48" customHeight="1" outlineLevel="2" spans="1:18">
      <c r="A1324" s="41">
        <f>1+N(A1323)</f>
        <v>2</v>
      </c>
      <c r="B1324" s="28" t="s">
        <v>96</v>
      </c>
      <c r="C1324" s="28" t="s">
        <v>97</v>
      </c>
      <c r="D1324" s="28" t="s">
        <v>98</v>
      </c>
      <c r="E1324" s="28" t="s">
        <v>99</v>
      </c>
      <c r="F1324" s="29" t="s">
        <v>39</v>
      </c>
      <c r="G1324" s="30">
        <v>17.75</v>
      </c>
      <c r="H1324" s="31">
        <v>112.16</v>
      </c>
      <c r="I1324" s="39"/>
      <c r="J1324" s="31">
        <f>H1324*(1-$I$4)</f>
        <v>112.16</v>
      </c>
      <c r="K1324" s="33">
        <f>ROUND(G1324*J1324,2)</f>
        <v>1990.84</v>
      </c>
      <c r="L1324" s="34" t="s">
        <v>28</v>
      </c>
      <c r="M1324" s="35"/>
      <c r="O1324" s="21">
        <v>79.3</v>
      </c>
      <c r="P1324" s="22" t="s">
        <v>100</v>
      </c>
      <c r="Q1324" s="38"/>
      <c r="R1324" s="38"/>
    </row>
    <row r="1325" s="3" customFormat="1" ht="48" customHeight="1" outlineLevel="2" spans="1:18">
      <c r="A1325" s="41">
        <f>1+N(A1324)</f>
        <v>3</v>
      </c>
      <c r="B1325" s="28" t="s">
        <v>101</v>
      </c>
      <c r="C1325" s="28" t="s">
        <v>102</v>
      </c>
      <c r="D1325" s="28" t="s">
        <v>98</v>
      </c>
      <c r="E1325" s="28" t="s">
        <v>99</v>
      </c>
      <c r="F1325" s="29" t="s">
        <v>39</v>
      </c>
      <c r="G1325" s="30">
        <v>17.75</v>
      </c>
      <c r="H1325" s="31">
        <v>75.82</v>
      </c>
      <c r="I1325" s="39"/>
      <c r="J1325" s="31">
        <f>H1325*(1-$I$4)</f>
        <v>75.82</v>
      </c>
      <c r="K1325" s="33">
        <f>ROUND(G1325*J1325,2)</f>
        <v>1345.81</v>
      </c>
      <c r="L1325" s="34" t="s">
        <v>28</v>
      </c>
      <c r="M1325" s="35"/>
      <c r="O1325" s="21">
        <v>203.56</v>
      </c>
      <c r="P1325" s="22" t="s">
        <v>103</v>
      </c>
      <c r="Q1325" s="38"/>
      <c r="R1325" s="38"/>
    </row>
    <row r="1326" s="3" customFormat="1" ht="48" customHeight="1" outlineLevel="2" spans="1:18">
      <c r="A1326" s="41">
        <f>1+N(A1325)</f>
        <v>4</v>
      </c>
      <c r="B1326" s="28" t="s">
        <v>104</v>
      </c>
      <c r="C1326" s="28" t="s">
        <v>105</v>
      </c>
      <c r="D1326" s="28" t="s">
        <v>98</v>
      </c>
      <c r="E1326" s="28" t="s">
        <v>99</v>
      </c>
      <c r="F1326" s="29" t="s">
        <v>39</v>
      </c>
      <c r="G1326" s="30">
        <v>12</v>
      </c>
      <c r="H1326" s="31">
        <v>109.74</v>
      </c>
      <c r="I1326" s="39"/>
      <c r="J1326" s="31">
        <f>H1326*(1-$I$4)</f>
        <v>109.74</v>
      </c>
      <c r="K1326" s="33">
        <f>ROUND(G1326*J1326,2)</f>
        <v>1316.88</v>
      </c>
      <c r="L1326" s="34" t="s">
        <v>28</v>
      </c>
      <c r="M1326" s="35"/>
      <c r="O1326" s="21">
        <v>108.2</v>
      </c>
      <c r="P1326" s="22" t="s">
        <v>106</v>
      </c>
      <c r="Q1326" s="38"/>
      <c r="R1326" s="38"/>
    </row>
    <row r="1327" s="3" customFormat="1" ht="132" customHeight="1" outlineLevel="2" spans="1:18">
      <c r="A1327" s="41">
        <f>1+N(A1326)</f>
        <v>5</v>
      </c>
      <c r="B1327" s="28" t="s">
        <v>107</v>
      </c>
      <c r="C1327" s="28" t="s">
        <v>108</v>
      </c>
      <c r="D1327" s="28" t="s">
        <v>109</v>
      </c>
      <c r="E1327" s="28" t="s">
        <v>110</v>
      </c>
      <c r="F1327" s="29" t="s">
        <v>27</v>
      </c>
      <c r="G1327" s="30">
        <v>31.3</v>
      </c>
      <c r="H1327" s="31">
        <v>152.22</v>
      </c>
      <c r="I1327" s="39"/>
      <c r="J1327" s="31">
        <f>H1327*(1-$I$4)</f>
        <v>152.22</v>
      </c>
      <c r="K1327" s="33">
        <f>ROUND(G1327*J1327,2)</f>
        <v>4764.49</v>
      </c>
      <c r="L1327" s="34" t="s">
        <v>28</v>
      </c>
      <c r="M1327" s="35"/>
      <c r="O1327" s="21">
        <v>151.58</v>
      </c>
      <c r="P1327" s="22" t="s">
        <v>111</v>
      </c>
      <c r="Q1327" s="38"/>
      <c r="R1327" s="38"/>
    </row>
    <row r="1328" s="3" customFormat="1" outlineLevel="1" spans="1:18">
      <c r="A1328" s="40"/>
      <c r="B1328" s="28" t="s">
        <v>112</v>
      </c>
      <c r="C1328" s="28"/>
      <c r="D1328" s="28"/>
      <c r="E1328" s="28"/>
      <c r="F1328" s="29"/>
      <c r="G1328" s="30"/>
      <c r="H1328" s="31"/>
      <c r="I1328" s="39"/>
      <c r="J1328" s="31"/>
      <c r="K1328" s="33"/>
      <c r="L1328" s="34"/>
      <c r="M1328" s="35"/>
      <c r="O1328" s="36"/>
      <c r="P1328" s="37"/>
      <c r="Q1328" s="38"/>
      <c r="R1328" s="38"/>
    </row>
    <row r="1329" s="3" customFormat="1" outlineLevel="1" spans="1:18">
      <c r="A1329" s="27" t="s">
        <v>135</v>
      </c>
      <c r="B1329" s="28" t="s">
        <v>732</v>
      </c>
      <c r="C1329" s="28"/>
      <c r="D1329" s="28"/>
      <c r="E1329" s="28"/>
      <c r="F1329" s="29"/>
      <c r="G1329" s="30"/>
      <c r="H1329" s="31"/>
      <c r="I1329" s="39"/>
      <c r="J1329" s="31"/>
      <c r="K1329" s="33"/>
      <c r="L1329" s="34"/>
      <c r="M1329" s="35"/>
      <c r="O1329" s="36"/>
      <c r="P1329" s="37"/>
      <c r="Q1329" s="38"/>
      <c r="R1329" s="38"/>
    </row>
    <row r="1330" s="3" customFormat="1" outlineLevel="1" spans="1:18">
      <c r="A1330" s="40"/>
      <c r="B1330" s="28" t="s">
        <v>22</v>
      </c>
      <c r="C1330" s="28"/>
      <c r="D1330" s="28"/>
      <c r="E1330" s="28"/>
      <c r="F1330" s="29"/>
      <c r="G1330" s="30"/>
      <c r="H1330" s="31"/>
      <c r="I1330" s="39"/>
      <c r="J1330" s="31"/>
      <c r="K1330" s="33"/>
      <c r="L1330" s="34"/>
      <c r="M1330" s="35"/>
      <c r="O1330" s="36"/>
      <c r="P1330" s="37"/>
      <c r="Q1330" s="38"/>
      <c r="R1330" s="38"/>
    </row>
    <row r="1331" s="3" customFormat="1" ht="108" customHeight="1" outlineLevel="2" spans="1:18">
      <c r="A1331" s="41">
        <f>1+N(A1330)</f>
        <v>1</v>
      </c>
      <c r="B1331" s="28" t="s">
        <v>23</v>
      </c>
      <c r="C1331" s="28" t="s">
        <v>24</v>
      </c>
      <c r="D1331" s="28" t="s">
        <v>25</v>
      </c>
      <c r="E1331" s="28" t="s">
        <v>26</v>
      </c>
      <c r="F1331" s="29" t="s">
        <v>27</v>
      </c>
      <c r="G1331" s="30">
        <v>5.99</v>
      </c>
      <c r="H1331" s="31">
        <v>940.91</v>
      </c>
      <c r="I1331" s="39"/>
      <c r="J1331" s="31">
        <f>H1331*(1-$I$4)</f>
        <v>940.91</v>
      </c>
      <c r="K1331" s="33">
        <f>ROUND(G1331*J1331,2)</f>
        <v>5636.05</v>
      </c>
      <c r="L1331" s="34" t="s">
        <v>28</v>
      </c>
      <c r="M1331" s="35"/>
      <c r="O1331" s="21">
        <v>886.6</v>
      </c>
      <c r="P1331" s="22" t="s">
        <v>29</v>
      </c>
      <c r="Q1331" s="38"/>
      <c r="R1331" s="38"/>
    </row>
    <row r="1332" s="3" customFormat="1" ht="108" customHeight="1" outlineLevel="2" spans="1:18">
      <c r="A1332" s="41">
        <f>1+N(A1331)</f>
        <v>2</v>
      </c>
      <c r="B1332" s="28" t="s">
        <v>30</v>
      </c>
      <c r="C1332" s="28" t="s">
        <v>31</v>
      </c>
      <c r="D1332" s="28" t="s">
        <v>25</v>
      </c>
      <c r="E1332" s="28" t="s">
        <v>26</v>
      </c>
      <c r="F1332" s="29" t="s">
        <v>27</v>
      </c>
      <c r="G1332" s="30">
        <v>7.72</v>
      </c>
      <c r="H1332" s="31">
        <v>1412.25</v>
      </c>
      <c r="I1332" s="39"/>
      <c r="J1332" s="31">
        <f>H1332*(1-$I$4)</f>
        <v>1412.25</v>
      </c>
      <c r="K1332" s="33">
        <f>ROUND(G1332*J1332,2)</f>
        <v>10902.57</v>
      </c>
      <c r="L1332" s="34" t="s">
        <v>28</v>
      </c>
      <c r="M1332" s="35"/>
      <c r="O1332" s="21">
        <v>1135.86</v>
      </c>
      <c r="P1332" s="22" t="s">
        <v>32</v>
      </c>
      <c r="Q1332" s="38"/>
      <c r="R1332" s="38"/>
    </row>
    <row r="1333" s="3" customFormat="1" ht="72" customHeight="1" outlineLevel="2" spans="1:18">
      <c r="A1333" s="41">
        <f>1+N(A1332)</f>
        <v>3</v>
      </c>
      <c r="B1333" s="28" t="s">
        <v>36</v>
      </c>
      <c r="C1333" s="28" t="s">
        <v>37</v>
      </c>
      <c r="D1333" s="28" t="s">
        <v>25</v>
      </c>
      <c r="E1333" s="28" t="s">
        <v>38</v>
      </c>
      <c r="F1333" s="29" t="s">
        <v>39</v>
      </c>
      <c r="G1333" s="30">
        <v>10.47</v>
      </c>
      <c r="H1333" s="31">
        <v>89.27</v>
      </c>
      <c r="I1333" s="39"/>
      <c r="J1333" s="31">
        <f>H1333*(1-$I$4)</f>
        <v>89.27</v>
      </c>
      <c r="K1333" s="33">
        <f>ROUND(G1333*J1333,2)</f>
        <v>934.66</v>
      </c>
      <c r="L1333" s="34" t="s">
        <v>28</v>
      </c>
      <c r="M1333" s="35"/>
      <c r="O1333" s="21">
        <v>35.28</v>
      </c>
      <c r="P1333" s="22" t="s">
        <v>40</v>
      </c>
      <c r="Q1333" s="38"/>
      <c r="R1333" s="38"/>
    </row>
    <row r="1334" s="3" customFormat="1" ht="72" customHeight="1" outlineLevel="2" spans="1:18">
      <c r="A1334" s="41">
        <f>1+N(A1333)</f>
        <v>4</v>
      </c>
      <c r="B1334" s="28" t="s">
        <v>41</v>
      </c>
      <c r="C1334" s="28" t="s">
        <v>42</v>
      </c>
      <c r="D1334" s="28" t="s">
        <v>25</v>
      </c>
      <c r="E1334" s="28" t="s">
        <v>26</v>
      </c>
      <c r="F1334" s="29" t="s">
        <v>27</v>
      </c>
      <c r="G1334" s="30">
        <v>13.7</v>
      </c>
      <c r="H1334" s="31">
        <v>64.9</v>
      </c>
      <c r="I1334" s="39"/>
      <c r="J1334" s="31">
        <f>H1334*(1-$I$4)</f>
        <v>64.9</v>
      </c>
      <c r="K1334" s="33">
        <f>ROUND(G1334*J1334,2)</f>
        <v>889.13</v>
      </c>
      <c r="L1334" s="34" t="s">
        <v>28</v>
      </c>
      <c r="M1334" s="35"/>
      <c r="O1334" s="21">
        <v>61.38</v>
      </c>
      <c r="P1334" s="22" t="s">
        <v>43</v>
      </c>
      <c r="Q1334" s="38"/>
      <c r="R1334" s="38"/>
    </row>
    <row r="1335" s="3" customFormat="1" outlineLevel="1" spans="1:18">
      <c r="A1335" s="40"/>
      <c r="B1335" s="28" t="s">
        <v>687</v>
      </c>
      <c r="C1335" s="28"/>
      <c r="D1335" s="28"/>
      <c r="E1335" s="28"/>
      <c r="F1335" s="29"/>
      <c r="G1335" s="30"/>
      <c r="H1335" s="31"/>
      <c r="I1335" s="39"/>
      <c r="J1335" s="31"/>
      <c r="K1335" s="33"/>
      <c r="L1335" s="34"/>
      <c r="M1335" s="35"/>
      <c r="O1335" s="36"/>
      <c r="P1335" s="37"/>
      <c r="Q1335" s="38"/>
      <c r="R1335" s="38"/>
    </row>
    <row r="1336" s="3" customFormat="1" ht="108" customHeight="1" outlineLevel="2" spans="1:18">
      <c r="A1336" s="41">
        <f t="shared" ref="A1336:A1347" si="195">1+N(A1335)</f>
        <v>1</v>
      </c>
      <c r="B1336" s="28" t="s">
        <v>45</v>
      </c>
      <c r="C1336" s="28" t="s">
        <v>46</v>
      </c>
      <c r="D1336" s="28" t="s">
        <v>47</v>
      </c>
      <c r="E1336" s="28" t="s">
        <v>48</v>
      </c>
      <c r="F1336" s="29" t="s">
        <v>27</v>
      </c>
      <c r="G1336" s="30">
        <v>3.17</v>
      </c>
      <c r="H1336" s="31">
        <v>2668.45</v>
      </c>
      <c r="I1336" s="39"/>
      <c r="J1336" s="31">
        <f t="shared" ref="J1336:J1347" si="196">H1336*(1-$I$4)</f>
        <v>2668.45</v>
      </c>
      <c r="K1336" s="33">
        <f t="shared" ref="K1336:K1347" si="197">ROUND(G1336*J1336,2)</f>
        <v>8458.99</v>
      </c>
      <c r="L1336" s="34" t="s">
        <v>28</v>
      </c>
      <c r="M1336" s="35"/>
      <c r="O1336" s="21">
        <v>1019.76</v>
      </c>
      <c r="P1336" s="22" t="s">
        <v>49</v>
      </c>
      <c r="Q1336" s="38"/>
      <c r="R1336" s="38"/>
    </row>
    <row r="1337" s="3" customFormat="1" ht="156" customHeight="1" outlineLevel="2" spans="1:18">
      <c r="A1337" s="41">
        <f t="shared" si="195"/>
        <v>2</v>
      </c>
      <c r="B1337" s="28" t="s">
        <v>50</v>
      </c>
      <c r="C1337" s="28" t="s">
        <v>51</v>
      </c>
      <c r="D1337" s="28" t="s">
        <v>52</v>
      </c>
      <c r="E1337" s="28" t="s">
        <v>48</v>
      </c>
      <c r="F1337" s="29" t="s">
        <v>27</v>
      </c>
      <c r="G1337" s="30">
        <v>15.12</v>
      </c>
      <c r="H1337" s="31">
        <v>996.46</v>
      </c>
      <c r="I1337" s="39"/>
      <c r="J1337" s="31">
        <f t="shared" si="196"/>
        <v>996.46</v>
      </c>
      <c r="K1337" s="33">
        <f t="shared" si="197"/>
        <v>15066.48</v>
      </c>
      <c r="L1337" s="34" t="s">
        <v>28</v>
      </c>
      <c r="M1337" s="35"/>
      <c r="O1337" s="21">
        <v>1000.51</v>
      </c>
      <c r="P1337" s="22" t="s">
        <v>723</v>
      </c>
      <c r="Q1337" s="38"/>
      <c r="R1337" s="38"/>
    </row>
    <row r="1338" s="3" customFormat="1" ht="120" customHeight="1" outlineLevel="2" spans="1:18">
      <c r="A1338" s="41">
        <f t="shared" si="195"/>
        <v>3</v>
      </c>
      <c r="B1338" s="28" t="s">
        <v>291</v>
      </c>
      <c r="C1338" s="28" t="s">
        <v>289</v>
      </c>
      <c r="D1338" s="28" t="s">
        <v>52</v>
      </c>
      <c r="E1338" s="28" t="s">
        <v>63</v>
      </c>
      <c r="F1338" s="29" t="s">
        <v>27</v>
      </c>
      <c r="G1338" s="30">
        <v>4.93</v>
      </c>
      <c r="H1338" s="31">
        <v>580.35</v>
      </c>
      <c r="I1338" s="39"/>
      <c r="J1338" s="31">
        <f t="shared" si="196"/>
        <v>580.35</v>
      </c>
      <c r="K1338" s="33">
        <f t="shared" si="197"/>
        <v>2861.13</v>
      </c>
      <c r="L1338" s="34" t="s">
        <v>28</v>
      </c>
      <c r="M1338" s="35"/>
      <c r="O1338" s="21">
        <v>479.36</v>
      </c>
      <c r="P1338" s="22" t="s">
        <v>724</v>
      </c>
      <c r="Q1338" s="38"/>
      <c r="R1338" s="38"/>
    </row>
    <row r="1339" s="3" customFormat="1" ht="96" customHeight="1" outlineLevel="2" spans="1:18">
      <c r="A1339" s="41">
        <f t="shared" si="195"/>
        <v>4</v>
      </c>
      <c r="B1339" s="28" t="s">
        <v>295</v>
      </c>
      <c r="C1339" s="28" t="s">
        <v>296</v>
      </c>
      <c r="D1339" s="28" t="s">
        <v>59</v>
      </c>
      <c r="E1339" s="28" t="s">
        <v>26</v>
      </c>
      <c r="F1339" s="29" t="s">
        <v>27</v>
      </c>
      <c r="G1339" s="30">
        <v>29.3</v>
      </c>
      <c r="H1339" s="31">
        <v>311.52</v>
      </c>
      <c r="I1339" s="39"/>
      <c r="J1339" s="31">
        <f t="shared" si="196"/>
        <v>311.52</v>
      </c>
      <c r="K1339" s="33">
        <f t="shared" si="197"/>
        <v>9127.54</v>
      </c>
      <c r="L1339" s="34" t="s">
        <v>28</v>
      </c>
      <c r="M1339" s="35"/>
      <c r="O1339" s="21">
        <v>278.47</v>
      </c>
      <c r="P1339" s="22" t="s">
        <v>297</v>
      </c>
      <c r="Q1339" s="38"/>
      <c r="R1339" s="38"/>
    </row>
    <row r="1340" s="3" customFormat="1" ht="120" customHeight="1" outlineLevel="2" spans="1:18">
      <c r="A1340" s="41">
        <f t="shared" si="195"/>
        <v>5</v>
      </c>
      <c r="B1340" s="28" t="s">
        <v>61</v>
      </c>
      <c r="C1340" s="28" t="s">
        <v>62</v>
      </c>
      <c r="D1340" s="28" t="s">
        <v>52</v>
      </c>
      <c r="E1340" s="28" t="s">
        <v>63</v>
      </c>
      <c r="F1340" s="29" t="s">
        <v>27</v>
      </c>
      <c r="G1340" s="30">
        <v>11.05</v>
      </c>
      <c r="H1340" s="31">
        <v>630.65</v>
      </c>
      <c r="I1340" s="39"/>
      <c r="J1340" s="31">
        <f t="shared" si="196"/>
        <v>630.65</v>
      </c>
      <c r="K1340" s="33">
        <f t="shared" si="197"/>
        <v>6968.68</v>
      </c>
      <c r="L1340" s="34" t="s">
        <v>28</v>
      </c>
      <c r="M1340" s="35"/>
      <c r="O1340" s="21">
        <v>681.67</v>
      </c>
      <c r="P1340" s="22" t="s">
        <v>64</v>
      </c>
      <c r="Q1340" s="38"/>
      <c r="R1340" s="38"/>
    </row>
    <row r="1341" s="3" customFormat="1" ht="120" customHeight="1" outlineLevel="2" spans="1:18">
      <c r="A1341" s="41">
        <f t="shared" si="195"/>
        <v>6</v>
      </c>
      <c r="B1341" s="28" t="s">
        <v>65</v>
      </c>
      <c r="C1341" s="28" t="s">
        <v>62</v>
      </c>
      <c r="D1341" s="28" t="s">
        <v>52</v>
      </c>
      <c r="E1341" s="28" t="s">
        <v>63</v>
      </c>
      <c r="F1341" s="29" t="s">
        <v>27</v>
      </c>
      <c r="G1341" s="30">
        <v>3.4</v>
      </c>
      <c r="H1341" s="31">
        <v>630.65</v>
      </c>
      <c r="I1341" s="39"/>
      <c r="J1341" s="31">
        <f t="shared" si="196"/>
        <v>630.65</v>
      </c>
      <c r="K1341" s="33">
        <f t="shared" si="197"/>
        <v>2144.21</v>
      </c>
      <c r="L1341" s="34" t="s">
        <v>28</v>
      </c>
      <c r="M1341" s="35"/>
      <c r="O1341" s="21">
        <v>681.67</v>
      </c>
      <c r="P1341" s="22" t="s">
        <v>64</v>
      </c>
      <c r="Q1341" s="38"/>
      <c r="R1341" s="38"/>
    </row>
    <row r="1342" s="3" customFormat="1" ht="120" customHeight="1" outlineLevel="2" spans="1:18">
      <c r="A1342" s="41">
        <f t="shared" si="195"/>
        <v>7</v>
      </c>
      <c r="B1342" s="28" t="s">
        <v>66</v>
      </c>
      <c r="C1342" s="28" t="s">
        <v>67</v>
      </c>
      <c r="D1342" s="28" t="s">
        <v>52</v>
      </c>
      <c r="E1342" s="28" t="s">
        <v>63</v>
      </c>
      <c r="F1342" s="29" t="s">
        <v>27</v>
      </c>
      <c r="G1342" s="30">
        <v>0.9</v>
      </c>
      <c r="H1342" s="31">
        <v>812.96</v>
      </c>
      <c r="I1342" s="39"/>
      <c r="J1342" s="31">
        <f t="shared" si="196"/>
        <v>812.96</v>
      </c>
      <c r="K1342" s="33">
        <f t="shared" si="197"/>
        <v>731.66</v>
      </c>
      <c r="L1342" s="34" t="s">
        <v>28</v>
      </c>
      <c r="M1342" s="35"/>
      <c r="O1342" s="21">
        <v>681.67</v>
      </c>
      <c r="P1342" s="22" t="s">
        <v>68</v>
      </c>
      <c r="Q1342" s="38"/>
      <c r="R1342" s="38"/>
    </row>
    <row r="1343" s="3" customFormat="1" ht="120" customHeight="1" outlineLevel="2" spans="1:18">
      <c r="A1343" s="41">
        <f t="shared" si="195"/>
        <v>8</v>
      </c>
      <c r="B1343" s="28" t="s">
        <v>69</v>
      </c>
      <c r="C1343" s="28" t="s">
        <v>70</v>
      </c>
      <c r="D1343" s="28" t="s">
        <v>52</v>
      </c>
      <c r="E1343" s="28" t="s">
        <v>63</v>
      </c>
      <c r="F1343" s="29" t="s">
        <v>27</v>
      </c>
      <c r="G1343" s="30">
        <v>0.26</v>
      </c>
      <c r="H1343" s="31">
        <v>1175.56</v>
      </c>
      <c r="I1343" s="39"/>
      <c r="J1343" s="31">
        <f t="shared" si="196"/>
        <v>1175.56</v>
      </c>
      <c r="K1343" s="33">
        <f t="shared" si="197"/>
        <v>305.65</v>
      </c>
      <c r="L1343" s="34" t="s">
        <v>28</v>
      </c>
      <c r="M1343" s="35"/>
      <c r="O1343" s="21">
        <v>681.67</v>
      </c>
      <c r="P1343" s="22" t="s">
        <v>71</v>
      </c>
      <c r="Q1343" s="38"/>
      <c r="R1343" s="38"/>
    </row>
    <row r="1344" s="3" customFormat="1" ht="96" customHeight="1" outlineLevel="2" spans="1:18">
      <c r="A1344" s="41">
        <f t="shared" si="195"/>
        <v>9</v>
      </c>
      <c r="B1344" s="28" t="s">
        <v>75</v>
      </c>
      <c r="C1344" s="28" t="s">
        <v>76</v>
      </c>
      <c r="D1344" s="28" t="s">
        <v>59</v>
      </c>
      <c r="E1344" s="28" t="s">
        <v>38</v>
      </c>
      <c r="F1344" s="29" t="s">
        <v>39</v>
      </c>
      <c r="G1344" s="30">
        <v>13.6</v>
      </c>
      <c r="H1344" s="31">
        <v>67.08</v>
      </c>
      <c r="I1344" s="39"/>
      <c r="J1344" s="31">
        <f t="shared" si="196"/>
        <v>67.08</v>
      </c>
      <c r="K1344" s="33">
        <f t="shared" si="197"/>
        <v>912.29</v>
      </c>
      <c r="L1344" s="34" t="s">
        <v>28</v>
      </c>
      <c r="M1344" s="35"/>
      <c r="O1344" s="21">
        <v>45.71</v>
      </c>
      <c r="P1344" s="22" t="s">
        <v>77</v>
      </c>
      <c r="Q1344" s="38"/>
      <c r="R1344" s="38"/>
    </row>
    <row r="1345" s="3" customFormat="1" ht="96" customHeight="1" outlineLevel="2" spans="1:18">
      <c r="A1345" s="41">
        <f t="shared" si="195"/>
        <v>10</v>
      </c>
      <c r="B1345" s="28" t="s">
        <v>725</v>
      </c>
      <c r="C1345" s="28" t="s">
        <v>726</v>
      </c>
      <c r="D1345" s="28" t="s">
        <v>59</v>
      </c>
      <c r="E1345" s="28" t="s">
        <v>38</v>
      </c>
      <c r="F1345" s="29" t="s">
        <v>39</v>
      </c>
      <c r="G1345" s="30">
        <v>4.26</v>
      </c>
      <c r="H1345" s="31">
        <v>71.9</v>
      </c>
      <c r="I1345" s="39"/>
      <c r="J1345" s="31">
        <f t="shared" si="196"/>
        <v>71.9</v>
      </c>
      <c r="K1345" s="33">
        <f t="shared" si="197"/>
        <v>306.29</v>
      </c>
      <c r="L1345" s="34" t="s">
        <v>28</v>
      </c>
      <c r="M1345" s="35"/>
      <c r="O1345" s="21">
        <v>50.8</v>
      </c>
      <c r="P1345" s="22" t="s">
        <v>727</v>
      </c>
      <c r="Q1345" s="38"/>
      <c r="R1345" s="38"/>
    </row>
    <row r="1346" s="3" customFormat="1" ht="96" customHeight="1" outlineLevel="2" spans="1:18">
      <c r="A1346" s="41">
        <f t="shared" si="195"/>
        <v>11</v>
      </c>
      <c r="B1346" s="28" t="s">
        <v>84</v>
      </c>
      <c r="C1346" s="28" t="s">
        <v>85</v>
      </c>
      <c r="D1346" s="28" t="s">
        <v>59</v>
      </c>
      <c r="E1346" s="28" t="s">
        <v>38</v>
      </c>
      <c r="F1346" s="29" t="s">
        <v>39</v>
      </c>
      <c r="G1346" s="30">
        <v>5.61</v>
      </c>
      <c r="H1346" s="31">
        <v>117.84</v>
      </c>
      <c r="I1346" s="39"/>
      <c r="J1346" s="31">
        <f t="shared" si="196"/>
        <v>117.84</v>
      </c>
      <c r="K1346" s="33">
        <f t="shared" si="197"/>
        <v>661.08</v>
      </c>
      <c r="L1346" s="34" t="s">
        <v>28</v>
      </c>
      <c r="M1346" s="35"/>
      <c r="O1346" s="21">
        <v>95.14</v>
      </c>
      <c r="P1346" s="22" t="s">
        <v>86</v>
      </c>
      <c r="Q1346" s="38"/>
      <c r="R1346" s="38"/>
    </row>
    <row r="1347" s="3" customFormat="1" ht="96" customHeight="1" outlineLevel="2" spans="1:18">
      <c r="A1347" s="41">
        <f t="shared" si="195"/>
        <v>12</v>
      </c>
      <c r="B1347" s="28" t="s">
        <v>87</v>
      </c>
      <c r="C1347" s="28" t="s">
        <v>88</v>
      </c>
      <c r="D1347" s="28" t="s">
        <v>59</v>
      </c>
      <c r="E1347" s="28" t="s">
        <v>38</v>
      </c>
      <c r="F1347" s="29" t="s">
        <v>39</v>
      </c>
      <c r="G1347" s="30">
        <v>15.99</v>
      </c>
      <c r="H1347" s="31">
        <v>64.25</v>
      </c>
      <c r="I1347" s="39"/>
      <c r="J1347" s="31">
        <f t="shared" si="196"/>
        <v>64.25</v>
      </c>
      <c r="K1347" s="33">
        <f t="shared" si="197"/>
        <v>1027.36</v>
      </c>
      <c r="L1347" s="34" t="s">
        <v>28</v>
      </c>
      <c r="M1347" s="35"/>
      <c r="O1347" s="21">
        <v>43.16</v>
      </c>
      <c r="P1347" s="22" t="s">
        <v>89</v>
      </c>
      <c r="Q1347" s="38"/>
      <c r="R1347" s="38"/>
    </row>
    <row r="1348" s="3" customFormat="1" outlineLevel="1" spans="1:18">
      <c r="A1348" s="40"/>
      <c r="B1348" s="28" t="s">
        <v>90</v>
      </c>
      <c r="C1348" s="28"/>
      <c r="D1348" s="28"/>
      <c r="E1348" s="28"/>
      <c r="F1348" s="29"/>
      <c r="G1348" s="30"/>
      <c r="H1348" s="31"/>
      <c r="I1348" s="39"/>
      <c r="J1348" s="31"/>
      <c r="K1348" s="33"/>
      <c r="L1348" s="34"/>
      <c r="M1348" s="35"/>
      <c r="O1348" s="36"/>
      <c r="P1348" s="37"/>
      <c r="Q1348" s="38"/>
      <c r="R1348" s="38"/>
    </row>
    <row r="1349" s="3" customFormat="1" ht="168" customHeight="1" outlineLevel="2" spans="1:18">
      <c r="A1349" s="41">
        <f>1+N(A1348)</f>
        <v>1</v>
      </c>
      <c r="B1349" s="28" t="s">
        <v>636</v>
      </c>
      <c r="C1349" s="28" t="s">
        <v>92</v>
      </c>
      <c r="D1349" s="28" t="s">
        <v>93</v>
      </c>
      <c r="E1349" s="28" t="s">
        <v>94</v>
      </c>
      <c r="F1349" s="29" t="s">
        <v>27</v>
      </c>
      <c r="G1349" s="30">
        <v>13.81</v>
      </c>
      <c r="H1349" s="31">
        <v>150.71</v>
      </c>
      <c r="I1349" s="39"/>
      <c r="J1349" s="31">
        <f>H1349*(1-$I$4)</f>
        <v>150.71</v>
      </c>
      <c r="K1349" s="33">
        <f>ROUND(G1349*J1349,2)</f>
        <v>2081.31</v>
      </c>
      <c r="L1349" s="34" t="s">
        <v>28</v>
      </c>
      <c r="M1349" s="35"/>
      <c r="O1349" s="21">
        <v>150.38</v>
      </c>
      <c r="P1349" s="22" t="s">
        <v>728</v>
      </c>
      <c r="Q1349" s="38"/>
      <c r="R1349" s="38"/>
    </row>
    <row r="1350" s="3" customFormat="1" ht="48" customHeight="1" outlineLevel="2" spans="1:18">
      <c r="A1350" s="41">
        <f>1+N(A1349)</f>
        <v>2</v>
      </c>
      <c r="B1350" s="28" t="s">
        <v>96</v>
      </c>
      <c r="C1350" s="28" t="s">
        <v>97</v>
      </c>
      <c r="D1350" s="28" t="s">
        <v>98</v>
      </c>
      <c r="E1350" s="28" t="s">
        <v>99</v>
      </c>
      <c r="F1350" s="29" t="s">
        <v>39</v>
      </c>
      <c r="G1350" s="30">
        <v>10.49</v>
      </c>
      <c r="H1350" s="31">
        <v>112.16</v>
      </c>
      <c r="I1350" s="39"/>
      <c r="J1350" s="31">
        <f>H1350*(1-$I$4)</f>
        <v>112.16</v>
      </c>
      <c r="K1350" s="33">
        <f>ROUND(G1350*J1350,2)</f>
        <v>1176.56</v>
      </c>
      <c r="L1350" s="34" t="s">
        <v>28</v>
      </c>
      <c r="M1350" s="35"/>
      <c r="O1350" s="21">
        <v>79.3</v>
      </c>
      <c r="P1350" s="22" t="s">
        <v>100</v>
      </c>
      <c r="Q1350" s="38"/>
      <c r="R1350" s="38"/>
    </row>
    <row r="1351" s="3" customFormat="1" ht="48" customHeight="1" outlineLevel="2" spans="1:18">
      <c r="A1351" s="41">
        <f>1+N(A1350)</f>
        <v>3</v>
      </c>
      <c r="B1351" s="28" t="s">
        <v>101</v>
      </c>
      <c r="C1351" s="28" t="s">
        <v>102</v>
      </c>
      <c r="D1351" s="28" t="s">
        <v>98</v>
      </c>
      <c r="E1351" s="28" t="s">
        <v>99</v>
      </c>
      <c r="F1351" s="29" t="s">
        <v>39</v>
      </c>
      <c r="G1351" s="30">
        <v>10.49</v>
      </c>
      <c r="H1351" s="31">
        <v>75.82</v>
      </c>
      <c r="I1351" s="39"/>
      <c r="J1351" s="31">
        <f>H1351*(1-$I$4)</f>
        <v>75.82</v>
      </c>
      <c r="K1351" s="33">
        <f>ROUND(G1351*J1351,2)</f>
        <v>795.35</v>
      </c>
      <c r="L1351" s="34" t="s">
        <v>28</v>
      </c>
      <c r="M1351" s="35"/>
      <c r="O1351" s="21">
        <v>203.56</v>
      </c>
      <c r="P1351" s="22" t="s">
        <v>103</v>
      </c>
      <c r="Q1351" s="38"/>
      <c r="R1351" s="38"/>
    </row>
    <row r="1352" s="3" customFormat="1" ht="48" customHeight="1" outlineLevel="2" spans="1:18">
      <c r="A1352" s="41">
        <f>1+N(A1351)</f>
        <v>4</v>
      </c>
      <c r="B1352" s="28" t="s">
        <v>104</v>
      </c>
      <c r="C1352" s="28" t="s">
        <v>105</v>
      </c>
      <c r="D1352" s="28" t="s">
        <v>98</v>
      </c>
      <c r="E1352" s="28" t="s">
        <v>99</v>
      </c>
      <c r="F1352" s="29" t="s">
        <v>39</v>
      </c>
      <c r="G1352" s="30">
        <v>4.74</v>
      </c>
      <c r="H1352" s="31">
        <v>109.74</v>
      </c>
      <c r="I1352" s="39"/>
      <c r="J1352" s="31">
        <f>H1352*(1-$I$4)</f>
        <v>109.74</v>
      </c>
      <c r="K1352" s="33">
        <f>ROUND(G1352*J1352,2)</f>
        <v>520.17</v>
      </c>
      <c r="L1352" s="34" t="s">
        <v>28</v>
      </c>
      <c r="M1352" s="35"/>
      <c r="O1352" s="21">
        <v>108.2</v>
      </c>
      <c r="P1352" s="22" t="s">
        <v>106</v>
      </c>
      <c r="Q1352" s="38"/>
      <c r="R1352" s="38"/>
    </row>
    <row r="1353" s="3" customFormat="1" ht="132" customHeight="1" outlineLevel="2" spans="1:18">
      <c r="A1353" s="41">
        <f>1+N(A1352)</f>
        <v>5</v>
      </c>
      <c r="B1353" s="28" t="s">
        <v>107</v>
      </c>
      <c r="C1353" s="28" t="s">
        <v>108</v>
      </c>
      <c r="D1353" s="28" t="s">
        <v>109</v>
      </c>
      <c r="E1353" s="28" t="s">
        <v>110</v>
      </c>
      <c r="F1353" s="29" t="s">
        <v>27</v>
      </c>
      <c r="G1353" s="30">
        <v>17.4</v>
      </c>
      <c r="H1353" s="31">
        <v>152.22</v>
      </c>
      <c r="I1353" s="39"/>
      <c r="J1353" s="31">
        <f>H1353*(1-$I$4)</f>
        <v>152.22</v>
      </c>
      <c r="K1353" s="33">
        <f>ROUND(G1353*J1353,2)</f>
        <v>2648.63</v>
      </c>
      <c r="L1353" s="34" t="s">
        <v>28</v>
      </c>
      <c r="M1353" s="35"/>
      <c r="O1353" s="21">
        <v>151.58</v>
      </c>
      <c r="P1353" s="22" t="s">
        <v>111</v>
      </c>
      <c r="Q1353" s="38"/>
      <c r="R1353" s="38"/>
    </row>
    <row r="1354" s="3" customFormat="1" outlineLevel="1" spans="1:18">
      <c r="A1354" s="40"/>
      <c r="B1354" s="28" t="s">
        <v>112</v>
      </c>
      <c r="C1354" s="28"/>
      <c r="D1354" s="28"/>
      <c r="E1354" s="28"/>
      <c r="F1354" s="29"/>
      <c r="G1354" s="30"/>
      <c r="H1354" s="31"/>
      <c r="I1354" s="39"/>
      <c r="J1354" s="31"/>
      <c r="K1354" s="33"/>
      <c r="L1354" s="34"/>
      <c r="M1354" s="35"/>
      <c r="O1354" s="36"/>
      <c r="P1354" s="37"/>
      <c r="Q1354" s="38"/>
      <c r="R1354" s="38"/>
    </row>
    <row r="1355" s="3" customFormat="1" outlineLevel="1" spans="1:18">
      <c r="A1355" s="27" t="s">
        <v>151</v>
      </c>
      <c r="B1355" s="28" t="s">
        <v>733</v>
      </c>
      <c r="C1355" s="28"/>
      <c r="D1355" s="28"/>
      <c r="E1355" s="28"/>
      <c r="F1355" s="29"/>
      <c r="G1355" s="30"/>
      <c r="H1355" s="31"/>
      <c r="I1355" s="39"/>
      <c r="J1355" s="31"/>
      <c r="K1355" s="33"/>
      <c r="L1355" s="34"/>
      <c r="M1355" s="35"/>
      <c r="O1355" s="36"/>
      <c r="P1355" s="37"/>
      <c r="Q1355" s="38"/>
      <c r="R1355" s="38"/>
    </row>
    <row r="1356" s="3" customFormat="1" outlineLevel="1" spans="1:18">
      <c r="A1356" s="40"/>
      <c r="B1356" s="28" t="s">
        <v>22</v>
      </c>
      <c r="C1356" s="28"/>
      <c r="D1356" s="28"/>
      <c r="E1356" s="28"/>
      <c r="F1356" s="29"/>
      <c r="G1356" s="30"/>
      <c r="H1356" s="31"/>
      <c r="I1356" s="39"/>
      <c r="J1356" s="31"/>
      <c r="K1356" s="33"/>
      <c r="L1356" s="34"/>
      <c r="M1356" s="35"/>
      <c r="O1356" s="36"/>
      <c r="P1356" s="37"/>
      <c r="Q1356" s="38"/>
      <c r="R1356" s="38"/>
    </row>
    <row r="1357" s="3" customFormat="1" ht="108" customHeight="1" outlineLevel="2" spans="1:18">
      <c r="A1357" s="41">
        <f>1+N(A1356)</f>
        <v>1</v>
      </c>
      <c r="B1357" s="28" t="s">
        <v>23</v>
      </c>
      <c r="C1357" s="28" t="s">
        <v>24</v>
      </c>
      <c r="D1357" s="28" t="s">
        <v>25</v>
      </c>
      <c r="E1357" s="28" t="s">
        <v>26</v>
      </c>
      <c r="F1357" s="29" t="s">
        <v>27</v>
      </c>
      <c r="G1357" s="30">
        <v>3.86</v>
      </c>
      <c r="H1357" s="31">
        <v>940.91</v>
      </c>
      <c r="I1357" s="39"/>
      <c r="J1357" s="31">
        <f>H1357*(1-$I$4)</f>
        <v>940.91</v>
      </c>
      <c r="K1357" s="33">
        <f>ROUND(G1357*J1357,2)</f>
        <v>3631.91</v>
      </c>
      <c r="L1357" s="34" t="s">
        <v>28</v>
      </c>
      <c r="M1357" s="35"/>
      <c r="O1357" s="21">
        <v>886.6</v>
      </c>
      <c r="P1357" s="22" t="s">
        <v>29</v>
      </c>
      <c r="Q1357" s="38"/>
      <c r="R1357" s="38"/>
    </row>
    <row r="1358" s="3" customFormat="1" ht="108" customHeight="1" outlineLevel="2" spans="1:18">
      <c r="A1358" s="41">
        <f>1+N(A1357)</f>
        <v>2</v>
      </c>
      <c r="B1358" s="28" t="s">
        <v>30</v>
      </c>
      <c r="C1358" s="28" t="s">
        <v>31</v>
      </c>
      <c r="D1358" s="28" t="s">
        <v>25</v>
      </c>
      <c r="E1358" s="28" t="s">
        <v>26</v>
      </c>
      <c r="F1358" s="29" t="s">
        <v>27</v>
      </c>
      <c r="G1358" s="30">
        <v>12.3</v>
      </c>
      <c r="H1358" s="31">
        <v>1412.25</v>
      </c>
      <c r="I1358" s="39"/>
      <c r="J1358" s="31">
        <f>H1358*(1-$I$4)</f>
        <v>1412.25</v>
      </c>
      <c r="K1358" s="33">
        <f>ROUND(G1358*J1358,2)</f>
        <v>17370.68</v>
      </c>
      <c r="L1358" s="34" t="s">
        <v>28</v>
      </c>
      <c r="M1358" s="35"/>
      <c r="O1358" s="21">
        <v>1135.86</v>
      </c>
      <c r="P1358" s="22" t="s">
        <v>32</v>
      </c>
      <c r="Q1358" s="38"/>
      <c r="R1358" s="38"/>
    </row>
    <row r="1359" s="3" customFormat="1" ht="72" customHeight="1" outlineLevel="2" spans="1:18">
      <c r="A1359" s="41">
        <f>1+N(A1358)</f>
        <v>3</v>
      </c>
      <c r="B1359" s="28" t="s">
        <v>36</v>
      </c>
      <c r="C1359" s="28" t="s">
        <v>37</v>
      </c>
      <c r="D1359" s="28" t="s">
        <v>25</v>
      </c>
      <c r="E1359" s="28" t="s">
        <v>38</v>
      </c>
      <c r="F1359" s="29" t="s">
        <v>39</v>
      </c>
      <c r="G1359" s="30">
        <v>14.01</v>
      </c>
      <c r="H1359" s="31">
        <v>89.27</v>
      </c>
      <c r="I1359" s="39"/>
      <c r="J1359" s="31">
        <f>H1359*(1-$I$4)</f>
        <v>89.27</v>
      </c>
      <c r="K1359" s="33">
        <f>ROUND(G1359*J1359,2)</f>
        <v>1250.67</v>
      </c>
      <c r="L1359" s="34" t="s">
        <v>28</v>
      </c>
      <c r="M1359" s="35"/>
      <c r="O1359" s="21">
        <v>35.28</v>
      </c>
      <c r="P1359" s="22" t="s">
        <v>40</v>
      </c>
      <c r="Q1359" s="38"/>
      <c r="R1359" s="38"/>
    </row>
    <row r="1360" s="3" customFormat="1" ht="72" customHeight="1" outlineLevel="2" spans="1:18">
      <c r="A1360" s="41">
        <f>1+N(A1359)</f>
        <v>4</v>
      </c>
      <c r="B1360" s="28" t="s">
        <v>41</v>
      </c>
      <c r="C1360" s="28" t="s">
        <v>42</v>
      </c>
      <c r="D1360" s="28" t="s">
        <v>25</v>
      </c>
      <c r="E1360" s="28" t="s">
        <v>26</v>
      </c>
      <c r="F1360" s="29" t="s">
        <v>27</v>
      </c>
      <c r="G1360" s="30">
        <v>16.16</v>
      </c>
      <c r="H1360" s="31">
        <v>64.9</v>
      </c>
      <c r="I1360" s="39"/>
      <c r="J1360" s="31">
        <f>H1360*(1-$I$4)</f>
        <v>64.9</v>
      </c>
      <c r="K1360" s="33">
        <f>ROUND(G1360*J1360,2)</f>
        <v>1048.78</v>
      </c>
      <c r="L1360" s="34" t="s">
        <v>28</v>
      </c>
      <c r="M1360" s="35"/>
      <c r="O1360" s="21">
        <v>61.38</v>
      </c>
      <c r="P1360" s="22" t="s">
        <v>43</v>
      </c>
      <c r="Q1360" s="38"/>
      <c r="R1360" s="38"/>
    </row>
    <row r="1361" s="3" customFormat="1" outlineLevel="1" spans="1:18">
      <c r="A1361" s="40"/>
      <c r="B1361" s="28" t="s">
        <v>687</v>
      </c>
      <c r="C1361" s="28"/>
      <c r="D1361" s="28"/>
      <c r="E1361" s="28"/>
      <c r="F1361" s="29"/>
      <c r="G1361" s="30"/>
      <c r="H1361" s="31"/>
      <c r="I1361" s="39"/>
      <c r="J1361" s="31"/>
      <c r="K1361" s="33"/>
      <c r="L1361" s="34"/>
      <c r="M1361" s="35"/>
      <c r="O1361" s="36"/>
      <c r="P1361" s="37"/>
      <c r="Q1361" s="38"/>
      <c r="R1361" s="38"/>
    </row>
    <row r="1362" s="3" customFormat="1" ht="108" customHeight="1" outlineLevel="2" spans="1:18">
      <c r="A1362" s="41">
        <f t="shared" ref="A1362:A1370" si="198">1+N(A1361)</f>
        <v>1</v>
      </c>
      <c r="B1362" s="28" t="s">
        <v>45</v>
      </c>
      <c r="C1362" s="28" t="s">
        <v>46</v>
      </c>
      <c r="D1362" s="28" t="s">
        <v>47</v>
      </c>
      <c r="E1362" s="28" t="s">
        <v>48</v>
      </c>
      <c r="F1362" s="29" t="s">
        <v>27</v>
      </c>
      <c r="G1362" s="30">
        <v>6.06</v>
      </c>
      <c r="H1362" s="31">
        <v>2668.45</v>
      </c>
      <c r="I1362" s="39"/>
      <c r="J1362" s="31">
        <f t="shared" ref="J1362:J1370" si="199">H1362*(1-$I$4)</f>
        <v>2668.45</v>
      </c>
      <c r="K1362" s="33">
        <f t="shared" ref="K1362:K1370" si="200">ROUND(G1362*J1362,2)</f>
        <v>16170.81</v>
      </c>
      <c r="L1362" s="34" t="s">
        <v>28</v>
      </c>
      <c r="M1362" s="35"/>
      <c r="O1362" s="21">
        <v>1019.76</v>
      </c>
      <c r="P1362" s="22" t="s">
        <v>49</v>
      </c>
      <c r="Q1362" s="38"/>
      <c r="R1362" s="38"/>
    </row>
    <row r="1363" s="3" customFormat="1" ht="156" customHeight="1" outlineLevel="2" spans="1:18">
      <c r="A1363" s="41">
        <f t="shared" si="198"/>
        <v>2</v>
      </c>
      <c r="B1363" s="28" t="s">
        <v>50</v>
      </c>
      <c r="C1363" s="28" t="s">
        <v>51</v>
      </c>
      <c r="D1363" s="28" t="s">
        <v>52</v>
      </c>
      <c r="E1363" s="28" t="s">
        <v>48</v>
      </c>
      <c r="F1363" s="29" t="s">
        <v>27</v>
      </c>
      <c r="G1363" s="30">
        <v>24.33</v>
      </c>
      <c r="H1363" s="31">
        <v>996.46</v>
      </c>
      <c r="I1363" s="39"/>
      <c r="J1363" s="31">
        <f t="shared" si="199"/>
        <v>996.46</v>
      </c>
      <c r="K1363" s="33">
        <f t="shared" si="200"/>
        <v>24243.87</v>
      </c>
      <c r="L1363" s="34" t="s">
        <v>28</v>
      </c>
      <c r="M1363" s="35"/>
      <c r="O1363" s="21">
        <v>1000.51</v>
      </c>
      <c r="P1363" s="22" t="s">
        <v>723</v>
      </c>
      <c r="Q1363" s="38"/>
      <c r="R1363" s="38"/>
    </row>
    <row r="1364" s="3" customFormat="1" ht="120" customHeight="1" outlineLevel="2" spans="1:18">
      <c r="A1364" s="41">
        <f t="shared" si="198"/>
        <v>3</v>
      </c>
      <c r="B1364" s="28" t="s">
        <v>291</v>
      </c>
      <c r="C1364" s="28" t="s">
        <v>289</v>
      </c>
      <c r="D1364" s="28" t="s">
        <v>52</v>
      </c>
      <c r="E1364" s="28" t="s">
        <v>63</v>
      </c>
      <c r="F1364" s="29" t="s">
        <v>27</v>
      </c>
      <c r="G1364" s="30">
        <v>1.91</v>
      </c>
      <c r="H1364" s="31">
        <v>580.35</v>
      </c>
      <c r="I1364" s="39"/>
      <c r="J1364" s="31">
        <f t="shared" si="199"/>
        <v>580.35</v>
      </c>
      <c r="K1364" s="33">
        <f t="shared" si="200"/>
        <v>1108.47</v>
      </c>
      <c r="L1364" s="34" t="s">
        <v>28</v>
      </c>
      <c r="M1364" s="35"/>
      <c r="O1364" s="21">
        <v>479.36</v>
      </c>
      <c r="P1364" s="22" t="s">
        <v>724</v>
      </c>
      <c r="Q1364" s="38"/>
      <c r="R1364" s="38"/>
    </row>
    <row r="1365" s="3" customFormat="1" ht="120" customHeight="1" outlineLevel="2" spans="1:18">
      <c r="A1365" s="41">
        <f t="shared" si="198"/>
        <v>4</v>
      </c>
      <c r="B1365" s="28" t="s">
        <v>65</v>
      </c>
      <c r="C1365" s="28" t="s">
        <v>62</v>
      </c>
      <c r="D1365" s="28" t="s">
        <v>52</v>
      </c>
      <c r="E1365" s="28" t="s">
        <v>63</v>
      </c>
      <c r="F1365" s="29" t="s">
        <v>27</v>
      </c>
      <c r="G1365" s="30">
        <v>3.4</v>
      </c>
      <c r="H1365" s="31">
        <v>630.65</v>
      </c>
      <c r="I1365" s="39"/>
      <c r="J1365" s="31">
        <f t="shared" si="199"/>
        <v>630.65</v>
      </c>
      <c r="K1365" s="33">
        <f t="shared" si="200"/>
        <v>2144.21</v>
      </c>
      <c r="L1365" s="34" t="s">
        <v>28</v>
      </c>
      <c r="M1365" s="35"/>
      <c r="O1365" s="21">
        <v>681.67</v>
      </c>
      <c r="P1365" s="22" t="s">
        <v>64</v>
      </c>
      <c r="Q1365" s="38"/>
      <c r="R1365" s="38"/>
    </row>
    <row r="1366" s="3" customFormat="1" ht="120" customHeight="1" outlineLevel="2" spans="1:18">
      <c r="A1366" s="41">
        <f t="shared" si="198"/>
        <v>5</v>
      </c>
      <c r="B1366" s="28" t="s">
        <v>66</v>
      </c>
      <c r="C1366" s="28" t="s">
        <v>67</v>
      </c>
      <c r="D1366" s="28" t="s">
        <v>52</v>
      </c>
      <c r="E1366" s="28" t="s">
        <v>63</v>
      </c>
      <c r="F1366" s="29" t="s">
        <v>27</v>
      </c>
      <c r="G1366" s="30">
        <v>0.9</v>
      </c>
      <c r="H1366" s="31">
        <v>812.96</v>
      </c>
      <c r="I1366" s="39"/>
      <c r="J1366" s="31">
        <f t="shared" si="199"/>
        <v>812.96</v>
      </c>
      <c r="K1366" s="33">
        <f t="shared" si="200"/>
        <v>731.66</v>
      </c>
      <c r="L1366" s="34" t="s">
        <v>28</v>
      </c>
      <c r="M1366" s="35"/>
      <c r="O1366" s="21">
        <v>681.67</v>
      </c>
      <c r="P1366" s="22" t="s">
        <v>68</v>
      </c>
      <c r="Q1366" s="38"/>
      <c r="R1366" s="38"/>
    </row>
    <row r="1367" s="3" customFormat="1" ht="120" customHeight="1" outlineLevel="2" spans="1:18">
      <c r="A1367" s="41">
        <f t="shared" si="198"/>
        <v>6</v>
      </c>
      <c r="B1367" s="28" t="s">
        <v>69</v>
      </c>
      <c r="C1367" s="28" t="s">
        <v>70</v>
      </c>
      <c r="D1367" s="28" t="s">
        <v>52</v>
      </c>
      <c r="E1367" s="28" t="s">
        <v>63</v>
      </c>
      <c r="F1367" s="29" t="s">
        <v>27</v>
      </c>
      <c r="G1367" s="30">
        <v>0.26</v>
      </c>
      <c r="H1367" s="31">
        <v>1175.56</v>
      </c>
      <c r="I1367" s="39"/>
      <c r="J1367" s="31">
        <f t="shared" si="199"/>
        <v>1175.56</v>
      </c>
      <c r="K1367" s="33">
        <f t="shared" si="200"/>
        <v>305.65</v>
      </c>
      <c r="L1367" s="34" t="s">
        <v>28</v>
      </c>
      <c r="M1367" s="35"/>
      <c r="O1367" s="21">
        <v>681.67</v>
      </c>
      <c r="P1367" s="22" t="s">
        <v>71</v>
      </c>
      <c r="Q1367" s="38"/>
      <c r="R1367" s="38"/>
    </row>
    <row r="1368" s="3" customFormat="1" ht="96" customHeight="1" outlineLevel="2" spans="1:18">
      <c r="A1368" s="41">
        <f t="shared" si="198"/>
        <v>7</v>
      </c>
      <c r="B1368" s="28" t="s">
        <v>75</v>
      </c>
      <c r="C1368" s="28" t="s">
        <v>76</v>
      </c>
      <c r="D1368" s="28" t="s">
        <v>59</v>
      </c>
      <c r="E1368" s="28" t="s">
        <v>38</v>
      </c>
      <c r="F1368" s="29" t="s">
        <v>39</v>
      </c>
      <c r="G1368" s="30">
        <v>13.27</v>
      </c>
      <c r="H1368" s="31">
        <v>67.08</v>
      </c>
      <c r="I1368" s="39"/>
      <c r="J1368" s="31">
        <f t="shared" si="199"/>
        <v>67.08</v>
      </c>
      <c r="K1368" s="33">
        <f t="shared" si="200"/>
        <v>890.15</v>
      </c>
      <c r="L1368" s="34" t="s">
        <v>28</v>
      </c>
      <c r="M1368" s="35"/>
      <c r="O1368" s="21">
        <v>45.71</v>
      </c>
      <c r="P1368" s="22" t="s">
        <v>77</v>
      </c>
      <c r="Q1368" s="38"/>
      <c r="R1368" s="38"/>
    </row>
    <row r="1369" s="3" customFormat="1" ht="96" customHeight="1" outlineLevel="2" spans="1:18">
      <c r="A1369" s="41">
        <f t="shared" si="198"/>
        <v>8</v>
      </c>
      <c r="B1369" s="28" t="s">
        <v>84</v>
      </c>
      <c r="C1369" s="28" t="s">
        <v>85</v>
      </c>
      <c r="D1369" s="28" t="s">
        <v>59</v>
      </c>
      <c r="E1369" s="28" t="s">
        <v>38</v>
      </c>
      <c r="F1369" s="29" t="s">
        <v>39</v>
      </c>
      <c r="G1369" s="30">
        <v>10.71</v>
      </c>
      <c r="H1369" s="31">
        <v>117.84</v>
      </c>
      <c r="I1369" s="39"/>
      <c r="J1369" s="31">
        <f t="shared" si="199"/>
        <v>117.84</v>
      </c>
      <c r="K1369" s="33">
        <f t="shared" si="200"/>
        <v>1262.07</v>
      </c>
      <c r="L1369" s="34" t="s">
        <v>28</v>
      </c>
      <c r="M1369" s="35"/>
      <c r="O1369" s="21">
        <v>95.14</v>
      </c>
      <c r="P1369" s="22" t="s">
        <v>86</v>
      </c>
      <c r="Q1369" s="38"/>
      <c r="R1369" s="38"/>
    </row>
    <row r="1370" s="3" customFormat="1" ht="96" customHeight="1" outlineLevel="2" spans="1:18">
      <c r="A1370" s="41">
        <f t="shared" si="198"/>
        <v>9</v>
      </c>
      <c r="B1370" s="28" t="s">
        <v>87</v>
      </c>
      <c r="C1370" s="28" t="s">
        <v>88</v>
      </c>
      <c r="D1370" s="28" t="s">
        <v>59</v>
      </c>
      <c r="E1370" s="28" t="s">
        <v>38</v>
      </c>
      <c r="F1370" s="29" t="s">
        <v>39</v>
      </c>
      <c r="G1370" s="30">
        <v>15.3</v>
      </c>
      <c r="H1370" s="31">
        <v>64.25</v>
      </c>
      <c r="I1370" s="39"/>
      <c r="J1370" s="31">
        <f t="shared" si="199"/>
        <v>64.25</v>
      </c>
      <c r="K1370" s="33">
        <f t="shared" si="200"/>
        <v>983.03</v>
      </c>
      <c r="L1370" s="34" t="s">
        <v>28</v>
      </c>
      <c r="M1370" s="35"/>
      <c r="O1370" s="21">
        <v>43.16</v>
      </c>
      <c r="P1370" s="22" t="s">
        <v>89</v>
      </c>
      <c r="Q1370" s="38"/>
      <c r="R1370" s="38"/>
    </row>
    <row r="1371" s="3" customFormat="1" outlineLevel="1" spans="1:18">
      <c r="A1371" s="40"/>
      <c r="B1371" s="28" t="s">
        <v>90</v>
      </c>
      <c r="C1371" s="28"/>
      <c r="D1371" s="28"/>
      <c r="E1371" s="28"/>
      <c r="F1371" s="29"/>
      <c r="G1371" s="30"/>
      <c r="H1371" s="31"/>
      <c r="I1371" s="39"/>
      <c r="J1371" s="31"/>
      <c r="K1371" s="33"/>
      <c r="L1371" s="34"/>
      <c r="M1371" s="35"/>
      <c r="O1371" s="36"/>
      <c r="P1371" s="37"/>
      <c r="Q1371" s="38"/>
      <c r="R1371" s="38"/>
    </row>
    <row r="1372" s="3" customFormat="1" ht="168" customHeight="1" outlineLevel="2" spans="1:18">
      <c r="A1372" s="41">
        <f>1+N(A1371)</f>
        <v>1</v>
      </c>
      <c r="B1372" s="28" t="s">
        <v>636</v>
      </c>
      <c r="C1372" s="28" t="s">
        <v>92</v>
      </c>
      <c r="D1372" s="28" t="s">
        <v>93</v>
      </c>
      <c r="E1372" s="28" t="s">
        <v>94</v>
      </c>
      <c r="F1372" s="29" t="s">
        <v>27</v>
      </c>
      <c r="G1372" s="30">
        <v>16.93</v>
      </c>
      <c r="H1372" s="31">
        <v>150.71</v>
      </c>
      <c r="I1372" s="39"/>
      <c r="J1372" s="31">
        <f>H1372*(1-$I$4)</f>
        <v>150.71</v>
      </c>
      <c r="K1372" s="33">
        <f>ROUND(G1372*J1372,2)</f>
        <v>2551.52</v>
      </c>
      <c r="L1372" s="34" t="s">
        <v>28</v>
      </c>
      <c r="M1372" s="35"/>
      <c r="O1372" s="21">
        <v>150.38</v>
      </c>
      <c r="P1372" s="22" t="s">
        <v>728</v>
      </c>
      <c r="Q1372" s="38"/>
      <c r="R1372" s="38"/>
    </row>
    <row r="1373" s="3" customFormat="1" ht="48" customHeight="1" outlineLevel="2" spans="1:18">
      <c r="A1373" s="41">
        <f>1+N(A1372)</f>
        <v>2</v>
      </c>
      <c r="B1373" s="28" t="s">
        <v>96</v>
      </c>
      <c r="C1373" s="28" t="s">
        <v>97</v>
      </c>
      <c r="D1373" s="28" t="s">
        <v>98</v>
      </c>
      <c r="E1373" s="28" t="s">
        <v>99</v>
      </c>
      <c r="F1373" s="29" t="s">
        <v>39</v>
      </c>
      <c r="G1373" s="30">
        <v>14.03</v>
      </c>
      <c r="H1373" s="31">
        <v>112.16</v>
      </c>
      <c r="I1373" s="39"/>
      <c r="J1373" s="31">
        <f>H1373*(1-$I$4)</f>
        <v>112.16</v>
      </c>
      <c r="K1373" s="33">
        <f>ROUND(G1373*J1373,2)</f>
        <v>1573.6</v>
      </c>
      <c r="L1373" s="34" t="s">
        <v>28</v>
      </c>
      <c r="M1373" s="35"/>
      <c r="O1373" s="21">
        <v>79.3</v>
      </c>
      <c r="P1373" s="22" t="s">
        <v>100</v>
      </c>
      <c r="Q1373" s="38"/>
      <c r="R1373" s="38"/>
    </row>
    <row r="1374" s="3" customFormat="1" ht="48" customHeight="1" outlineLevel="2" spans="1:18">
      <c r="A1374" s="41">
        <f>1+N(A1373)</f>
        <v>3</v>
      </c>
      <c r="B1374" s="28" t="s">
        <v>101</v>
      </c>
      <c r="C1374" s="28" t="s">
        <v>102</v>
      </c>
      <c r="D1374" s="28" t="s">
        <v>98</v>
      </c>
      <c r="E1374" s="28" t="s">
        <v>99</v>
      </c>
      <c r="F1374" s="29" t="s">
        <v>39</v>
      </c>
      <c r="G1374" s="30">
        <v>14.03</v>
      </c>
      <c r="H1374" s="31">
        <v>75.82</v>
      </c>
      <c r="I1374" s="39"/>
      <c r="J1374" s="31">
        <f>H1374*(1-$I$4)</f>
        <v>75.82</v>
      </c>
      <c r="K1374" s="33">
        <f>ROUND(G1374*J1374,2)</f>
        <v>1063.75</v>
      </c>
      <c r="L1374" s="34" t="s">
        <v>28</v>
      </c>
      <c r="M1374" s="35"/>
      <c r="O1374" s="21">
        <v>203.56</v>
      </c>
      <c r="P1374" s="22" t="s">
        <v>103</v>
      </c>
      <c r="Q1374" s="38"/>
      <c r="R1374" s="38"/>
    </row>
    <row r="1375" s="3" customFormat="1" ht="48" customHeight="1" outlineLevel="2" spans="1:18">
      <c r="A1375" s="41">
        <f>1+N(A1374)</f>
        <v>4</v>
      </c>
      <c r="B1375" s="28" t="s">
        <v>104</v>
      </c>
      <c r="C1375" s="28" t="s">
        <v>105</v>
      </c>
      <c r="D1375" s="28" t="s">
        <v>98</v>
      </c>
      <c r="E1375" s="28" t="s">
        <v>99</v>
      </c>
      <c r="F1375" s="29" t="s">
        <v>39</v>
      </c>
      <c r="G1375" s="30">
        <v>8.84</v>
      </c>
      <c r="H1375" s="31">
        <v>109.74</v>
      </c>
      <c r="I1375" s="39"/>
      <c r="J1375" s="31">
        <f>H1375*(1-$I$4)</f>
        <v>109.74</v>
      </c>
      <c r="K1375" s="33">
        <f>ROUND(G1375*J1375,2)</f>
        <v>970.1</v>
      </c>
      <c r="L1375" s="34" t="s">
        <v>28</v>
      </c>
      <c r="M1375" s="35"/>
      <c r="O1375" s="21">
        <v>108.2</v>
      </c>
      <c r="P1375" s="22" t="s">
        <v>106</v>
      </c>
      <c r="Q1375" s="38"/>
      <c r="R1375" s="38"/>
    </row>
    <row r="1376" s="3" customFormat="1" ht="132" customHeight="1" outlineLevel="2" spans="1:18">
      <c r="A1376" s="41">
        <f>1+N(A1375)</f>
        <v>5</v>
      </c>
      <c r="B1376" s="28" t="s">
        <v>107</v>
      </c>
      <c r="C1376" s="28" t="s">
        <v>108</v>
      </c>
      <c r="D1376" s="28" t="s">
        <v>109</v>
      </c>
      <c r="E1376" s="28" t="s">
        <v>110</v>
      </c>
      <c r="F1376" s="29" t="s">
        <v>27</v>
      </c>
      <c r="G1376" s="30">
        <v>21.74</v>
      </c>
      <c r="H1376" s="31">
        <v>152.22</v>
      </c>
      <c r="I1376" s="39"/>
      <c r="J1376" s="31">
        <f>H1376*(1-$I$4)</f>
        <v>152.22</v>
      </c>
      <c r="K1376" s="33">
        <f>ROUND(G1376*J1376,2)</f>
        <v>3309.26</v>
      </c>
      <c r="L1376" s="34" t="s">
        <v>28</v>
      </c>
      <c r="M1376" s="35"/>
      <c r="O1376" s="21">
        <v>151.58</v>
      </c>
      <c r="P1376" s="22" t="s">
        <v>111</v>
      </c>
      <c r="Q1376" s="38"/>
      <c r="R1376" s="38"/>
    </row>
    <row r="1377" s="3" customFormat="1" outlineLevel="1" spans="1:20">
      <c r="A1377" s="40"/>
      <c r="B1377" s="28" t="s">
        <v>112</v>
      </c>
      <c r="C1377" s="28"/>
      <c r="D1377" s="28"/>
      <c r="E1377" s="28"/>
      <c r="F1377" s="29"/>
      <c r="G1377" s="30"/>
      <c r="H1377" s="31"/>
      <c r="I1377" s="39"/>
      <c r="J1377" s="31"/>
      <c r="K1377" s="33"/>
      <c r="L1377" s="34"/>
      <c r="M1377" s="35"/>
      <c r="O1377" s="36"/>
      <c r="P1377" s="37"/>
      <c r="Q1377" s="38"/>
      <c r="R1377" s="38"/>
    </row>
    <row r="1378" s="4" customFormat="1" spans="1:20">
      <c r="A1378" s="43"/>
      <c r="B1378" s="28" t="s">
        <v>685</v>
      </c>
      <c r="C1378" s="28"/>
      <c r="D1378" s="28"/>
      <c r="E1378" s="28"/>
      <c r="F1378" s="29"/>
      <c r="G1378" s="30"/>
      <c r="H1378" s="31"/>
      <c r="I1378" s="39"/>
      <c r="J1378" s="31"/>
      <c r="K1378" s="46"/>
      <c r="L1378" s="34"/>
      <c r="M1378" s="35"/>
      <c r="O1378" s="44"/>
      <c r="P1378" s="37"/>
      <c r="S1378" s="3"/>
      <c r="T1378" s="3"/>
    </row>
    <row r="1379" s="5" customFormat="1" spans="1:20">
      <c r="A1379" s="47"/>
      <c r="B1379" s="17" t="s">
        <v>737</v>
      </c>
      <c r="C1379" s="28"/>
      <c r="D1379" s="28"/>
      <c r="E1379" s="28"/>
      <c r="F1379" s="29"/>
      <c r="G1379" s="30"/>
      <c r="H1379" s="31"/>
      <c r="I1379" s="39"/>
      <c r="J1379" s="31"/>
      <c r="K1379" s="33"/>
      <c r="L1379" s="34"/>
      <c r="M1379" s="35"/>
      <c r="O1379" s="48"/>
      <c r="P1379" s="37"/>
      <c r="Q1379" s="49"/>
      <c r="R1379" s="49"/>
      <c r="S1379" s="3"/>
      <c r="T1379" s="3"/>
    </row>
    <row r="1380" s="5" customFormat="1" outlineLevel="1" spans="1:20">
      <c r="A1380" s="47"/>
      <c r="B1380" s="28" t="s">
        <v>738</v>
      </c>
      <c r="C1380" s="28"/>
      <c r="D1380" s="28"/>
      <c r="E1380" s="28"/>
      <c r="F1380" s="29"/>
      <c r="G1380" s="30"/>
      <c r="H1380" s="31"/>
      <c r="I1380" s="39"/>
      <c r="J1380" s="31"/>
      <c r="K1380" s="33"/>
      <c r="L1380" s="34"/>
      <c r="M1380" s="35"/>
      <c r="O1380" s="48"/>
      <c r="P1380" s="37"/>
      <c r="Q1380" s="49"/>
      <c r="R1380" s="49"/>
      <c r="S1380" s="3"/>
      <c r="T1380" s="3"/>
    </row>
    <row r="1381" s="6" customFormat="1" ht="60" customHeight="1" outlineLevel="2" spans="1:20">
      <c r="A1381" s="50">
        <f t="shared" ref="A1381:A1444" si="201">A1380+1</f>
        <v>1</v>
      </c>
      <c r="B1381" s="28" t="s">
        <v>739</v>
      </c>
      <c r="C1381" s="28" t="s">
        <v>740</v>
      </c>
      <c r="D1381" s="28" t="s">
        <v>98</v>
      </c>
      <c r="E1381" s="28" t="s">
        <v>741</v>
      </c>
      <c r="F1381" s="29" t="s">
        <v>175</v>
      </c>
      <c r="G1381" s="30">
        <v>17</v>
      </c>
      <c r="H1381" s="31">
        <v>105.02</v>
      </c>
      <c r="I1381" s="39"/>
      <c r="J1381" s="31">
        <f t="shared" ref="J1381:J1444" si="202">H1381*(1-$I$4)</f>
        <v>105.02</v>
      </c>
      <c r="K1381" s="33">
        <f t="shared" ref="K1381:K1444" si="203">ROUND(G1381*J1381,2)</f>
        <v>1785.34</v>
      </c>
      <c r="L1381" s="34" t="s">
        <v>28</v>
      </c>
      <c r="M1381" s="35"/>
      <c r="O1381" s="21">
        <v>153.45</v>
      </c>
      <c r="P1381" s="37" t="s">
        <v>742</v>
      </c>
      <c r="Q1381" s="51"/>
      <c r="R1381" s="51"/>
      <c r="S1381" s="3"/>
      <c r="T1381" s="3"/>
    </row>
    <row r="1382" s="6" customFormat="1" ht="60" customHeight="1" outlineLevel="2" spans="1:20">
      <c r="A1382" s="50">
        <f t="shared" si="201"/>
        <v>2</v>
      </c>
      <c r="B1382" s="28" t="s">
        <v>743</v>
      </c>
      <c r="C1382" s="28" t="s">
        <v>744</v>
      </c>
      <c r="D1382" s="28" t="s">
        <v>98</v>
      </c>
      <c r="E1382" s="28" t="s">
        <v>741</v>
      </c>
      <c r="F1382" s="29" t="s">
        <v>175</v>
      </c>
      <c r="G1382" s="30">
        <v>124</v>
      </c>
      <c r="H1382" s="31">
        <v>105.02</v>
      </c>
      <c r="I1382" s="39"/>
      <c r="J1382" s="31">
        <f t="shared" si="202"/>
        <v>105.02</v>
      </c>
      <c r="K1382" s="33">
        <f t="shared" si="203"/>
        <v>13022.48</v>
      </c>
      <c r="L1382" s="34" t="s">
        <v>28</v>
      </c>
      <c r="M1382" s="35"/>
      <c r="O1382" s="21">
        <v>153.45</v>
      </c>
      <c r="P1382" s="37" t="s">
        <v>742</v>
      </c>
      <c r="Q1382" s="51"/>
      <c r="R1382" s="51"/>
      <c r="S1382" s="3"/>
      <c r="T1382" s="3"/>
    </row>
    <row r="1383" s="6" customFormat="1" ht="60" customHeight="1" outlineLevel="2" spans="1:20">
      <c r="A1383" s="50">
        <f t="shared" si="201"/>
        <v>3</v>
      </c>
      <c r="B1383" s="28" t="s">
        <v>745</v>
      </c>
      <c r="C1383" s="28" t="s">
        <v>746</v>
      </c>
      <c r="D1383" s="28" t="s">
        <v>98</v>
      </c>
      <c r="E1383" s="28" t="s">
        <v>741</v>
      </c>
      <c r="F1383" s="29" t="s">
        <v>175</v>
      </c>
      <c r="G1383" s="30">
        <v>26</v>
      </c>
      <c r="H1383" s="31">
        <v>105.02</v>
      </c>
      <c r="I1383" s="39"/>
      <c r="J1383" s="31">
        <f t="shared" si="202"/>
        <v>105.02</v>
      </c>
      <c r="K1383" s="33">
        <f t="shared" si="203"/>
        <v>2730.52</v>
      </c>
      <c r="L1383" s="34" t="s">
        <v>28</v>
      </c>
      <c r="M1383" s="35"/>
      <c r="O1383" s="21">
        <v>153.45</v>
      </c>
      <c r="P1383" s="37" t="s">
        <v>742</v>
      </c>
      <c r="Q1383" s="51"/>
      <c r="R1383" s="51"/>
      <c r="S1383" s="3"/>
      <c r="T1383" s="3"/>
    </row>
    <row r="1384" s="6" customFormat="1" ht="60" customHeight="1" outlineLevel="2" spans="1:20">
      <c r="A1384" s="50">
        <f t="shared" si="201"/>
        <v>4</v>
      </c>
      <c r="B1384" s="28" t="s">
        <v>747</v>
      </c>
      <c r="C1384" s="28" t="s">
        <v>748</v>
      </c>
      <c r="D1384" s="28" t="s">
        <v>98</v>
      </c>
      <c r="E1384" s="28" t="s">
        <v>741</v>
      </c>
      <c r="F1384" s="29" t="s">
        <v>175</v>
      </c>
      <c r="G1384" s="30">
        <v>104</v>
      </c>
      <c r="H1384" s="31">
        <v>105.02</v>
      </c>
      <c r="I1384" s="39"/>
      <c r="J1384" s="31">
        <f t="shared" si="202"/>
        <v>105.02</v>
      </c>
      <c r="K1384" s="33">
        <f t="shared" si="203"/>
        <v>10922.08</v>
      </c>
      <c r="L1384" s="34" t="s">
        <v>28</v>
      </c>
      <c r="M1384" s="35"/>
      <c r="O1384" s="21">
        <v>153.45</v>
      </c>
      <c r="P1384" s="37" t="s">
        <v>742</v>
      </c>
      <c r="Q1384" s="51"/>
      <c r="R1384" s="51"/>
      <c r="S1384" s="3"/>
      <c r="T1384" s="3"/>
    </row>
    <row r="1385" s="6" customFormat="1" ht="60" customHeight="1" outlineLevel="2" spans="1:20">
      <c r="A1385" s="50">
        <f t="shared" si="201"/>
        <v>5</v>
      </c>
      <c r="B1385" s="28" t="s">
        <v>749</v>
      </c>
      <c r="C1385" s="28" t="s">
        <v>750</v>
      </c>
      <c r="D1385" s="28" t="s">
        <v>98</v>
      </c>
      <c r="E1385" s="28" t="s">
        <v>741</v>
      </c>
      <c r="F1385" s="29" t="s">
        <v>175</v>
      </c>
      <c r="G1385" s="30">
        <v>9</v>
      </c>
      <c r="H1385" s="31">
        <v>105.02</v>
      </c>
      <c r="I1385" s="39"/>
      <c r="J1385" s="31">
        <f t="shared" si="202"/>
        <v>105.02</v>
      </c>
      <c r="K1385" s="33">
        <f t="shared" si="203"/>
        <v>945.18</v>
      </c>
      <c r="L1385" s="34" t="s">
        <v>28</v>
      </c>
      <c r="M1385" s="35"/>
      <c r="O1385" s="21">
        <v>153.45</v>
      </c>
      <c r="P1385" s="37" t="s">
        <v>742</v>
      </c>
      <c r="Q1385" s="51"/>
      <c r="R1385" s="51"/>
      <c r="S1385" s="3"/>
      <c r="T1385" s="3"/>
    </row>
    <row r="1386" s="6" customFormat="1" ht="60" customHeight="1" outlineLevel="2" spans="1:20">
      <c r="A1386" s="50">
        <f t="shared" si="201"/>
        <v>6</v>
      </c>
      <c r="B1386" s="28" t="s">
        <v>751</v>
      </c>
      <c r="C1386" s="28" t="s">
        <v>752</v>
      </c>
      <c r="D1386" s="28" t="s">
        <v>98</v>
      </c>
      <c r="E1386" s="28" t="s">
        <v>741</v>
      </c>
      <c r="F1386" s="29" t="s">
        <v>175</v>
      </c>
      <c r="G1386" s="30">
        <v>96</v>
      </c>
      <c r="H1386" s="31">
        <v>105.02</v>
      </c>
      <c r="I1386" s="39"/>
      <c r="J1386" s="31">
        <f t="shared" si="202"/>
        <v>105.02</v>
      </c>
      <c r="K1386" s="33">
        <f t="shared" si="203"/>
        <v>10081.92</v>
      </c>
      <c r="L1386" s="34" t="s">
        <v>28</v>
      </c>
      <c r="M1386" s="35"/>
      <c r="O1386" s="21">
        <v>153.45</v>
      </c>
      <c r="P1386" s="37" t="s">
        <v>742</v>
      </c>
      <c r="Q1386" s="51"/>
      <c r="R1386" s="51"/>
      <c r="S1386" s="3"/>
      <c r="T1386" s="3"/>
    </row>
    <row r="1387" s="6" customFormat="1" ht="60" customHeight="1" outlineLevel="2" spans="1:20">
      <c r="A1387" s="50">
        <f t="shared" si="201"/>
        <v>7</v>
      </c>
      <c r="B1387" s="28" t="s">
        <v>753</v>
      </c>
      <c r="C1387" s="28" t="s">
        <v>754</v>
      </c>
      <c r="D1387" s="28" t="s">
        <v>98</v>
      </c>
      <c r="E1387" s="28" t="s">
        <v>741</v>
      </c>
      <c r="F1387" s="29" t="s">
        <v>175</v>
      </c>
      <c r="G1387" s="30">
        <v>24</v>
      </c>
      <c r="H1387" s="31">
        <v>105.02</v>
      </c>
      <c r="I1387" s="39"/>
      <c r="J1387" s="31">
        <f t="shared" si="202"/>
        <v>105.02</v>
      </c>
      <c r="K1387" s="33">
        <f t="shared" si="203"/>
        <v>2520.48</v>
      </c>
      <c r="L1387" s="34" t="s">
        <v>28</v>
      </c>
      <c r="M1387" s="35"/>
      <c r="O1387" s="21">
        <v>153.45</v>
      </c>
      <c r="P1387" s="37" t="s">
        <v>742</v>
      </c>
      <c r="Q1387" s="51"/>
      <c r="R1387" s="51"/>
      <c r="S1387" s="3"/>
      <c r="T1387" s="3"/>
    </row>
    <row r="1388" s="6" customFormat="1" ht="60" customHeight="1" outlineLevel="2" spans="1:20">
      <c r="A1388" s="50">
        <f t="shared" si="201"/>
        <v>8</v>
      </c>
      <c r="B1388" s="28" t="s">
        <v>755</v>
      </c>
      <c r="C1388" s="28" t="s">
        <v>756</v>
      </c>
      <c r="D1388" s="28" t="s">
        <v>98</v>
      </c>
      <c r="E1388" s="28" t="s">
        <v>741</v>
      </c>
      <c r="F1388" s="29" t="s">
        <v>175</v>
      </c>
      <c r="G1388" s="30">
        <v>12</v>
      </c>
      <c r="H1388" s="31">
        <v>105.02</v>
      </c>
      <c r="I1388" s="39"/>
      <c r="J1388" s="31">
        <f t="shared" si="202"/>
        <v>105.02</v>
      </c>
      <c r="K1388" s="33">
        <f t="shared" si="203"/>
        <v>1260.24</v>
      </c>
      <c r="L1388" s="34" t="s">
        <v>28</v>
      </c>
      <c r="M1388" s="35"/>
      <c r="O1388" s="21">
        <v>153.45</v>
      </c>
      <c r="P1388" s="37" t="s">
        <v>742</v>
      </c>
      <c r="Q1388" s="51"/>
      <c r="R1388" s="51"/>
      <c r="S1388" s="3"/>
      <c r="T1388" s="3"/>
    </row>
    <row r="1389" s="6" customFormat="1" ht="72" customHeight="1" outlineLevel="2" spans="1:20">
      <c r="A1389" s="50">
        <f t="shared" si="201"/>
        <v>9</v>
      </c>
      <c r="B1389" s="28" t="s">
        <v>757</v>
      </c>
      <c r="C1389" s="28" t="s">
        <v>758</v>
      </c>
      <c r="D1389" s="28" t="s">
        <v>98</v>
      </c>
      <c r="E1389" s="28" t="s">
        <v>741</v>
      </c>
      <c r="F1389" s="29" t="s">
        <v>175</v>
      </c>
      <c r="G1389" s="30">
        <v>6</v>
      </c>
      <c r="H1389" s="31">
        <v>169.92</v>
      </c>
      <c r="I1389" s="39"/>
      <c r="J1389" s="31">
        <f t="shared" si="202"/>
        <v>169.92</v>
      </c>
      <c r="K1389" s="33">
        <f t="shared" si="203"/>
        <v>1019.52</v>
      </c>
      <c r="L1389" s="34" t="s">
        <v>28</v>
      </c>
      <c r="M1389" s="35"/>
      <c r="O1389" s="21">
        <v>199.65</v>
      </c>
      <c r="P1389" s="37" t="s">
        <v>759</v>
      </c>
      <c r="Q1389" s="51"/>
      <c r="R1389" s="51"/>
      <c r="S1389" s="3"/>
      <c r="T1389" s="3"/>
    </row>
    <row r="1390" s="6" customFormat="1" ht="72" customHeight="1" outlineLevel="2" spans="1:20">
      <c r="A1390" s="50">
        <f t="shared" si="201"/>
        <v>10</v>
      </c>
      <c r="B1390" s="28" t="s">
        <v>760</v>
      </c>
      <c r="C1390" s="28" t="s">
        <v>761</v>
      </c>
      <c r="D1390" s="28" t="s">
        <v>98</v>
      </c>
      <c r="E1390" s="28" t="s">
        <v>741</v>
      </c>
      <c r="F1390" s="29" t="s">
        <v>175</v>
      </c>
      <c r="G1390" s="30">
        <v>8</v>
      </c>
      <c r="H1390" s="31">
        <v>169.92</v>
      </c>
      <c r="I1390" s="39"/>
      <c r="J1390" s="31">
        <f t="shared" si="202"/>
        <v>169.92</v>
      </c>
      <c r="K1390" s="33">
        <f t="shared" si="203"/>
        <v>1359.36</v>
      </c>
      <c r="L1390" s="34" t="s">
        <v>28</v>
      </c>
      <c r="M1390" s="35"/>
      <c r="O1390" s="21">
        <v>199.65</v>
      </c>
      <c r="P1390" s="37" t="s">
        <v>759</v>
      </c>
      <c r="Q1390" s="51"/>
      <c r="R1390" s="51"/>
      <c r="S1390" s="3"/>
      <c r="T1390" s="3"/>
    </row>
    <row r="1391" s="6" customFormat="1" ht="72" customHeight="1" outlineLevel="2" spans="1:20">
      <c r="A1391" s="50">
        <f t="shared" si="201"/>
        <v>11</v>
      </c>
      <c r="B1391" s="28" t="s">
        <v>762</v>
      </c>
      <c r="C1391" s="28" t="s">
        <v>763</v>
      </c>
      <c r="D1391" s="28" t="s">
        <v>98</v>
      </c>
      <c r="E1391" s="28" t="s">
        <v>741</v>
      </c>
      <c r="F1391" s="29" t="s">
        <v>175</v>
      </c>
      <c r="G1391" s="30">
        <v>6</v>
      </c>
      <c r="H1391" s="31">
        <v>169.92</v>
      </c>
      <c r="I1391" s="39"/>
      <c r="J1391" s="31">
        <f t="shared" si="202"/>
        <v>169.92</v>
      </c>
      <c r="K1391" s="33">
        <f t="shared" si="203"/>
        <v>1019.52</v>
      </c>
      <c r="L1391" s="34" t="s">
        <v>28</v>
      </c>
      <c r="M1391" s="35"/>
      <c r="O1391" s="21">
        <v>199.65</v>
      </c>
      <c r="P1391" s="37" t="s">
        <v>759</v>
      </c>
      <c r="Q1391" s="51"/>
      <c r="R1391" s="51"/>
      <c r="S1391" s="3"/>
      <c r="T1391" s="3"/>
    </row>
    <row r="1392" s="6" customFormat="1" ht="72" customHeight="1" outlineLevel="2" spans="1:20">
      <c r="A1392" s="50">
        <f t="shared" si="201"/>
        <v>12</v>
      </c>
      <c r="B1392" s="28" t="s">
        <v>764</v>
      </c>
      <c r="C1392" s="28" t="s">
        <v>765</v>
      </c>
      <c r="D1392" s="28" t="s">
        <v>98</v>
      </c>
      <c r="E1392" s="28" t="s">
        <v>741</v>
      </c>
      <c r="F1392" s="29" t="s">
        <v>175</v>
      </c>
      <c r="G1392" s="30">
        <v>25</v>
      </c>
      <c r="H1392" s="31">
        <v>169.92</v>
      </c>
      <c r="I1392" s="39"/>
      <c r="J1392" s="31">
        <f t="shared" si="202"/>
        <v>169.92</v>
      </c>
      <c r="K1392" s="33">
        <f t="shared" si="203"/>
        <v>4248</v>
      </c>
      <c r="L1392" s="34" t="s">
        <v>28</v>
      </c>
      <c r="M1392" s="35"/>
      <c r="O1392" s="21">
        <v>199.65</v>
      </c>
      <c r="P1392" s="37" t="s">
        <v>759</v>
      </c>
      <c r="Q1392" s="51"/>
      <c r="R1392" s="51"/>
      <c r="S1392" s="3"/>
      <c r="T1392" s="3"/>
    </row>
    <row r="1393" s="6" customFormat="1" ht="60" customHeight="1" outlineLevel="2" spans="1:20">
      <c r="A1393" s="50">
        <f t="shared" si="201"/>
        <v>13</v>
      </c>
      <c r="B1393" s="28" t="s">
        <v>766</v>
      </c>
      <c r="C1393" s="28" t="s">
        <v>767</v>
      </c>
      <c r="D1393" s="28" t="s">
        <v>98</v>
      </c>
      <c r="E1393" s="28" t="s">
        <v>741</v>
      </c>
      <c r="F1393" s="29" t="s">
        <v>175</v>
      </c>
      <c r="G1393" s="30">
        <v>4</v>
      </c>
      <c r="H1393" s="31">
        <v>105.02</v>
      </c>
      <c r="I1393" s="39"/>
      <c r="J1393" s="31">
        <f t="shared" si="202"/>
        <v>105.02</v>
      </c>
      <c r="K1393" s="33">
        <f t="shared" si="203"/>
        <v>420.08</v>
      </c>
      <c r="L1393" s="34" t="s">
        <v>28</v>
      </c>
      <c r="M1393" s="35"/>
      <c r="O1393" s="21">
        <v>160.6</v>
      </c>
      <c r="P1393" s="37" t="s">
        <v>768</v>
      </c>
      <c r="Q1393" s="51"/>
      <c r="R1393" s="51"/>
      <c r="S1393" s="3"/>
      <c r="T1393" s="3"/>
    </row>
    <row r="1394" s="6" customFormat="1" ht="60" customHeight="1" outlineLevel="2" spans="1:20">
      <c r="A1394" s="50">
        <f t="shared" si="201"/>
        <v>14</v>
      </c>
      <c r="B1394" s="28" t="s">
        <v>769</v>
      </c>
      <c r="C1394" s="28" t="s">
        <v>770</v>
      </c>
      <c r="D1394" s="28" t="s">
        <v>98</v>
      </c>
      <c r="E1394" s="28" t="s">
        <v>741</v>
      </c>
      <c r="F1394" s="29" t="s">
        <v>175</v>
      </c>
      <c r="G1394" s="30">
        <v>4</v>
      </c>
      <c r="H1394" s="31">
        <v>169.92</v>
      </c>
      <c r="I1394" s="39"/>
      <c r="J1394" s="31">
        <f t="shared" si="202"/>
        <v>169.92</v>
      </c>
      <c r="K1394" s="33">
        <f t="shared" si="203"/>
        <v>679.68</v>
      </c>
      <c r="L1394" s="34" t="s">
        <v>28</v>
      </c>
      <c r="M1394" s="35"/>
      <c r="O1394" s="21">
        <v>161.15</v>
      </c>
      <c r="P1394" s="37" t="s">
        <v>771</v>
      </c>
      <c r="Q1394" s="51"/>
      <c r="R1394" s="51"/>
      <c r="S1394" s="3"/>
      <c r="T1394" s="3"/>
    </row>
    <row r="1395" s="6" customFormat="1" ht="60" customHeight="1" outlineLevel="2" spans="1:20">
      <c r="A1395" s="50">
        <f t="shared" si="201"/>
        <v>15</v>
      </c>
      <c r="B1395" s="28" t="s">
        <v>772</v>
      </c>
      <c r="C1395" s="28" t="s">
        <v>773</v>
      </c>
      <c r="D1395" s="28" t="s">
        <v>98</v>
      </c>
      <c r="E1395" s="28" t="s">
        <v>741</v>
      </c>
      <c r="F1395" s="29" t="s">
        <v>175</v>
      </c>
      <c r="G1395" s="30">
        <v>9</v>
      </c>
      <c r="H1395" s="31">
        <v>96.76</v>
      </c>
      <c r="I1395" s="39"/>
      <c r="J1395" s="31">
        <f t="shared" si="202"/>
        <v>96.76</v>
      </c>
      <c r="K1395" s="33">
        <f t="shared" si="203"/>
        <v>870.84</v>
      </c>
      <c r="L1395" s="34" t="s">
        <v>28</v>
      </c>
      <c r="M1395" s="35"/>
      <c r="O1395" s="21">
        <v>103.95</v>
      </c>
      <c r="P1395" s="37" t="s">
        <v>774</v>
      </c>
      <c r="Q1395" s="51"/>
      <c r="R1395" s="51"/>
      <c r="S1395" s="3"/>
      <c r="T1395" s="3"/>
    </row>
    <row r="1396" s="6" customFormat="1" ht="60" customHeight="1" outlineLevel="2" spans="1:20">
      <c r="A1396" s="50">
        <f t="shared" si="201"/>
        <v>16</v>
      </c>
      <c r="B1396" s="28" t="s">
        <v>775</v>
      </c>
      <c r="C1396" s="28" t="s">
        <v>776</v>
      </c>
      <c r="D1396" s="28" t="s">
        <v>98</v>
      </c>
      <c r="E1396" s="28" t="s">
        <v>741</v>
      </c>
      <c r="F1396" s="29" t="s">
        <v>175</v>
      </c>
      <c r="G1396" s="30">
        <v>8</v>
      </c>
      <c r="H1396" s="31">
        <v>105.02</v>
      </c>
      <c r="I1396" s="39"/>
      <c r="J1396" s="31">
        <f t="shared" si="202"/>
        <v>105.02</v>
      </c>
      <c r="K1396" s="33">
        <f t="shared" si="203"/>
        <v>840.16</v>
      </c>
      <c r="L1396" s="34" t="s">
        <v>28</v>
      </c>
      <c r="M1396" s="35"/>
      <c r="O1396" s="21">
        <v>153.45</v>
      </c>
      <c r="P1396" s="37" t="s">
        <v>742</v>
      </c>
      <c r="Q1396" s="51"/>
      <c r="R1396" s="51"/>
      <c r="S1396" s="3"/>
      <c r="T1396" s="3"/>
    </row>
    <row r="1397" s="6" customFormat="1" ht="60" customHeight="1" outlineLevel="2" spans="1:20">
      <c r="A1397" s="50">
        <f t="shared" si="201"/>
        <v>17</v>
      </c>
      <c r="B1397" s="28" t="s">
        <v>777</v>
      </c>
      <c r="C1397" s="28" t="s">
        <v>778</v>
      </c>
      <c r="D1397" s="28" t="s">
        <v>98</v>
      </c>
      <c r="E1397" s="28" t="s">
        <v>741</v>
      </c>
      <c r="F1397" s="29" t="s">
        <v>175</v>
      </c>
      <c r="G1397" s="30">
        <v>34</v>
      </c>
      <c r="H1397" s="31">
        <v>105.02</v>
      </c>
      <c r="I1397" s="39"/>
      <c r="J1397" s="31">
        <f t="shared" si="202"/>
        <v>105.02</v>
      </c>
      <c r="K1397" s="33">
        <f t="shared" si="203"/>
        <v>3570.68</v>
      </c>
      <c r="L1397" s="34" t="s">
        <v>28</v>
      </c>
      <c r="M1397" s="35"/>
      <c r="O1397" s="21">
        <v>153.45</v>
      </c>
      <c r="P1397" s="37" t="s">
        <v>742</v>
      </c>
      <c r="Q1397" s="51"/>
      <c r="R1397" s="51"/>
      <c r="S1397" s="3"/>
      <c r="T1397" s="3"/>
    </row>
    <row r="1398" s="6" customFormat="1" ht="60" customHeight="1" outlineLevel="2" spans="1:20">
      <c r="A1398" s="50">
        <f t="shared" si="201"/>
        <v>18</v>
      </c>
      <c r="B1398" s="28" t="s">
        <v>779</v>
      </c>
      <c r="C1398" s="28" t="s">
        <v>780</v>
      </c>
      <c r="D1398" s="28" t="s">
        <v>98</v>
      </c>
      <c r="E1398" s="28" t="s">
        <v>741</v>
      </c>
      <c r="F1398" s="29" t="s">
        <v>175</v>
      </c>
      <c r="G1398" s="30">
        <v>82</v>
      </c>
      <c r="H1398" s="31">
        <v>105.02</v>
      </c>
      <c r="I1398" s="39"/>
      <c r="J1398" s="31">
        <f t="shared" si="202"/>
        <v>105.02</v>
      </c>
      <c r="K1398" s="33">
        <f t="shared" si="203"/>
        <v>8611.64</v>
      </c>
      <c r="L1398" s="34" t="s">
        <v>28</v>
      </c>
      <c r="M1398" s="35"/>
      <c r="O1398" s="21">
        <v>153.45</v>
      </c>
      <c r="P1398" s="37" t="s">
        <v>742</v>
      </c>
      <c r="Q1398" s="51"/>
      <c r="R1398" s="51"/>
      <c r="S1398" s="3"/>
      <c r="T1398" s="3"/>
    </row>
    <row r="1399" s="6" customFormat="1" ht="60" customHeight="1" outlineLevel="2" spans="1:20">
      <c r="A1399" s="50">
        <f t="shared" si="201"/>
        <v>19</v>
      </c>
      <c r="B1399" s="28" t="s">
        <v>781</v>
      </c>
      <c r="C1399" s="28" t="s">
        <v>782</v>
      </c>
      <c r="D1399" s="28" t="s">
        <v>98</v>
      </c>
      <c r="E1399" s="28" t="s">
        <v>741</v>
      </c>
      <c r="F1399" s="29" t="s">
        <v>175</v>
      </c>
      <c r="G1399" s="30">
        <v>5</v>
      </c>
      <c r="H1399" s="31">
        <v>105.02</v>
      </c>
      <c r="I1399" s="39"/>
      <c r="J1399" s="31">
        <f t="shared" si="202"/>
        <v>105.02</v>
      </c>
      <c r="K1399" s="33">
        <f t="shared" si="203"/>
        <v>525.1</v>
      </c>
      <c r="L1399" s="34" t="s">
        <v>28</v>
      </c>
      <c r="M1399" s="35"/>
      <c r="O1399" s="21">
        <v>153.45</v>
      </c>
      <c r="P1399" s="37" t="s">
        <v>742</v>
      </c>
      <c r="Q1399" s="51"/>
      <c r="R1399" s="51"/>
      <c r="S1399" s="3"/>
      <c r="T1399" s="3"/>
    </row>
    <row r="1400" s="6" customFormat="1" ht="60" customHeight="1" outlineLevel="2" spans="1:20">
      <c r="A1400" s="50">
        <f t="shared" si="201"/>
        <v>20</v>
      </c>
      <c r="B1400" s="28" t="s">
        <v>783</v>
      </c>
      <c r="C1400" s="28" t="s">
        <v>784</v>
      </c>
      <c r="D1400" s="28" t="s">
        <v>98</v>
      </c>
      <c r="E1400" s="28" t="s">
        <v>741</v>
      </c>
      <c r="F1400" s="29" t="s">
        <v>175</v>
      </c>
      <c r="G1400" s="30">
        <v>18</v>
      </c>
      <c r="H1400" s="31">
        <v>105.02</v>
      </c>
      <c r="I1400" s="39"/>
      <c r="J1400" s="31">
        <f t="shared" si="202"/>
        <v>105.02</v>
      </c>
      <c r="K1400" s="33">
        <f t="shared" si="203"/>
        <v>1890.36</v>
      </c>
      <c r="L1400" s="34" t="s">
        <v>28</v>
      </c>
      <c r="M1400" s="35"/>
      <c r="O1400" s="21">
        <v>153.45</v>
      </c>
      <c r="P1400" s="37" t="s">
        <v>742</v>
      </c>
      <c r="Q1400" s="51"/>
      <c r="R1400" s="51"/>
      <c r="S1400" s="3"/>
      <c r="T1400" s="3"/>
    </row>
    <row r="1401" s="6" customFormat="1" ht="72" customHeight="1" outlineLevel="2" spans="1:20">
      <c r="A1401" s="50">
        <f t="shared" si="201"/>
        <v>21</v>
      </c>
      <c r="B1401" s="28" t="s">
        <v>785</v>
      </c>
      <c r="C1401" s="28" t="s">
        <v>786</v>
      </c>
      <c r="D1401" s="28" t="s">
        <v>98</v>
      </c>
      <c r="E1401" s="28" t="s">
        <v>741</v>
      </c>
      <c r="F1401" s="29" t="s">
        <v>175</v>
      </c>
      <c r="G1401" s="30">
        <v>2</v>
      </c>
      <c r="H1401" s="31">
        <v>169.92</v>
      </c>
      <c r="I1401" s="39"/>
      <c r="J1401" s="31">
        <f t="shared" si="202"/>
        <v>169.92</v>
      </c>
      <c r="K1401" s="33">
        <f t="shared" si="203"/>
        <v>339.84</v>
      </c>
      <c r="L1401" s="34" t="s">
        <v>28</v>
      </c>
      <c r="M1401" s="35"/>
      <c r="O1401" s="21">
        <v>199.65</v>
      </c>
      <c r="P1401" s="37" t="s">
        <v>759</v>
      </c>
      <c r="Q1401" s="51"/>
      <c r="R1401" s="51"/>
      <c r="S1401" s="3"/>
      <c r="T1401" s="3"/>
    </row>
    <row r="1402" s="6" customFormat="1" ht="72" customHeight="1" outlineLevel="2" spans="1:20">
      <c r="A1402" s="50">
        <f t="shared" si="201"/>
        <v>22</v>
      </c>
      <c r="B1402" s="28" t="s">
        <v>787</v>
      </c>
      <c r="C1402" s="28" t="s">
        <v>788</v>
      </c>
      <c r="D1402" s="28" t="s">
        <v>98</v>
      </c>
      <c r="E1402" s="28" t="s">
        <v>741</v>
      </c>
      <c r="F1402" s="29" t="s">
        <v>175</v>
      </c>
      <c r="G1402" s="30">
        <v>6</v>
      </c>
      <c r="H1402" s="31">
        <v>169.92</v>
      </c>
      <c r="I1402" s="39"/>
      <c r="J1402" s="31">
        <f t="shared" si="202"/>
        <v>169.92</v>
      </c>
      <c r="K1402" s="33">
        <f t="shared" si="203"/>
        <v>1019.52</v>
      </c>
      <c r="L1402" s="34" t="s">
        <v>28</v>
      </c>
      <c r="M1402" s="35"/>
      <c r="O1402" s="21">
        <v>221.65</v>
      </c>
      <c r="P1402" s="37" t="s">
        <v>789</v>
      </c>
      <c r="Q1402" s="51"/>
      <c r="R1402" s="51"/>
      <c r="S1402" s="3"/>
      <c r="T1402" s="3"/>
    </row>
    <row r="1403" s="6" customFormat="1" ht="72" customHeight="1" outlineLevel="2" spans="1:20">
      <c r="A1403" s="50">
        <f t="shared" si="201"/>
        <v>23</v>
      </c>
      <c r="B1403" s="28" t="s">
        <v>790</v>
      </c>
      <c r="C1403" s="28" t="s">
        <v>791</v>
      </c>
      <c r="D1403" s="28" t="s">
        <v>98</v>
      </c>
      <c r="E1403" s="28" t="s">
        <v>741</v>
      </c>
      <c r="F1403" s="29" t="s">
        <v>39</v>
      </c>
      <c r="G1403" s="30">
        <v>106.7</v>
      </c>
      <c r="H1403" s="31">
        <v>142.78</v>
      </c>
      <c r="I1403" s="39"/>
      <c r="J1403" s="31">
        <f t="shared" si="202"/>
        <v>142.78</v>
      </c>
      <c r="K1403" s="33">
        <f t="shared" si="203"/>
        <v>15234.63</v>
      </c>
      <c r="L1403" s="34" t="s">
        <v>28</v>
      </c>
      <c r="M1403" s="35"/>
      <c r="O1403" s="21">
        <v>147.95</v>
      </c>
      <c r="P1403" s="37" t="s">
        <v>792</v>
      </c>
      <c r="Q1403" s="51"/>
      <c r="R1403" s="51"/>
      <c r="S1403" s="3"/>
      <c r="T1403" s="3"/>
    </row>
    <row r="1404" s="6" customFormat="1" ht="72" customHeight="1" outlineLevel="2" spans="1:20">
      <c r="A1404" s="50">
        <f t="shared" si="201"/>
        <v>24</v>
      </c>
      <c r="B1404" s="28" t="s">
        <v>793</v>
      </c>
      <c r="C1404" s="28" t="s">
        <v>794</v>
      </c>
      <c r="D1404" s="28" t="s">
        <v>98</v>
      </c>
      <c r="E1404" s="28" t="s">
        <v>741</v>
      </c>
      <c r="F1404" s="29" t="s">
        <v>39</v>
      </c>
      <c r="G1404" s="30">
        <v>24.4</v>
      </c>
      <c r="H1404" s="31">
        <v>50.62</v>
      </c>
      <c r="I1404" s="39"/>
      <c r="J1404" s="31">
        <f t="shared" si="202"/>
        <v>50.62</v>
      </c>
      <c r="K1404" s="33">
        <f t="shared" si="203"/>
        <v>1235.13</v>
      </c>
      <c r="L1404" s="34" t="s">
        <v>28</v>
      </c>
      <c r="M1404" s="35"/>
      <c r="O1404" s="21">
        <v>180.95</v>
      </c>
      <c r="P1404" s="37" t="s">
        <v>795</v>
      </c>
      <c r="Q1404" s="51"/>
      <c r="R1404" s="51"/>
      <c r="S1404" s="3"/>
      <c r="T1404" s="3"/>
    </row>
    <row r="1405" s="6" customFormat="1" ht="84" customHeight="1" outlineLevel="2" spans="1:20">
      <c r="A1405" s="50">
        <f t="shared" si="201"/>
        <v>25</v>
      </c>
      <c r="B1405" s="28" t="s">
        <v>796</v>
      </c>
      <c r="C1405" s="28" t="s">
        <v>797</v>
      </c>
      <c r="D1405" s="28" t="s">
        <v>98</v>
      </c>
      <c r="E1405" s="28" t="s">
        <v>741</v>
      </c>
      <c r="F1405" s="29" t="s">
        <v>39</v>
      </c>
      <c r="G1405" s="30">
        <v>207.49</v>
      </c>
      <c r="H1405" s="31">
        <v>110.33</v>
      </c>
      <c r="I1405" s="39"/>
      <c r="J1405" s="31">
        <f t="shared" si="202"/>
        <v>110.33</v>
      </c>
      <c r="K1405" s="33">
        <f t="shared" si="203"/>
        <v>22892.37</v>
      </c>
      <c r="L1405" s="34" t="s">
        <v>28</v>
      </c>
      <c r="M1405" s="35"/>
      <c r="O1405" s="21">
        <v>180.95</v>
      </c>
      <c r="P1405" s="37" t="s">
        <v>798</v>
      </c>
      <c r="Q1405" s="51"/>
      <c r="R1405" s="51"/>
      <c r="S1405" s="3"/>
      <c r="T1405" s="3"/>
    </row>
    <row r="1406" s="6" customFormat="1" ht="84" customHeight="1" outlineLevel="2" spans="1:20">
      <c r="A1406" s="50">
        <f t="shared" si="201"/>
        <v>26</v>
      </c>
      <c r="B1406" s="28" t="s">
        <v>799</v>
      </c>
      <c r="C1406" s="28" t="s">
        <v>800</v>
      </c>
      <c r="D1406" s="28" t="s">
        <v>98</v>
      </c>
      <c r="E1406" s="28" t="s">
        <v>741</v>
      </c>
      <c r="F1406" s="29" t="s">
        <v>39</v>
      </c>
      <c r="G1406" s="30">
        <v>65.31</v>
      </c>
      <c r="H1406" s="31">
        <v>50.62</v>
      </c>
      <c r="I1406" s="39"/>
      <c r="J1406" s="31">
        <f t="shared" si="202"/>
        <v>50.62</v>
      </c>
      <c r="K1406" s="33">
        <f t="shared" si="203"/>
        <v>3305.99</v>
      </c>
      <c r="L1406" s="34" t="s">
        <v>28</v>
      </c>
      <c r="M1406" s="35"/>
      <c r="O1406" s="21">
        <v>33.55</v>
      </c>
      <c r="P1406" s="37" t="s">
        <v>801</v>
      </c>
      <c r="Q1406" s="51"/>
      <c r="R1406" s="51"/>
      <c r="S1406" s="3"/>
      <c r="T1406" s="3"/>
    </row>
    <row r="1407" s="6" customFormat="1" ht="84" customHeight="1" outlineLevel="2" spans="1:20">
      <c r="A1407" s="50">
        <f t="shared" si="201"/>
        <v>27</v>
      </c>
      <c r="B1407" s="28" t="s">
        <v>802</v>
      </c>
      <c r="C1407" s="28" t="s">
        <v>803</v>
      </c>
      <c r="D1407" s="28" t="s">
        <v>98</v>
      </c>
      <c r="E1407" s="28" t="s">
        <v>741</v>
      </c>
      <c r="F1407" s="29" t="s">
        <v>39</v>
      </c>
      <c r="G1407" s="30">
        <v>103.2</v>
      </c>
      <c r="H1407" s="31">
        <v>50.62</v>
      </c>
      <c r="I1407" s="39"/>
      <c r="J1407" s="31">
        <f t="shared" si="202"/>
        <v>50.62</v>
      </c>
      <c r="K1407" s="33">
        <f t="shared" si="203"/>
        <v>5223.98</v>
      </c>
      <c r="L1407" s="34" t="s">
        <v>28</v>
      </c>
      <c r="M1407" s="35"/>
      <c r="O1407" s="21">
        <v>47.85</v>
      </c>
      <c r="P1407" s="37" t="s">
        <v>804</v>
      </c>
      <c r="Q1407" s="51"/>
      <c r="R1407" s="51"/>
      <c r="S1407" s="3"/>
      <c r="T1407" s="3"/>
    </row>
    <row r="1408" s="6" customFormat="1" ht="84" customHeight="1" outlineLevel="2" spans="1:20">
      <c r="A1408" s="50">
        <f t="shared" si="201"/>
        <v>28</v>
      </c>
      <c r="B1408" s="28" t="s">
        <v>805</v>
      </c>
      <c r="C1408" s="28" t="s">
        <v>806</v>
      </c>
      <c r="D1408" s="28" t="s">
        <v>98</v>
      </c>
      <c r="E1408" s="28" t="s">
        <v>741</v>
      </c>
      <c r="F1408" s="29" t="s">
        <v>39</v>
      </c>
      <c r="G1408" s="30">
        <v>511.3</v>
      </c>
      <c r="H1408" s="31">
        <v>50.62</v>
      </c>
      <c r="I1408" s="39"/>
      <c r="J1408" s="31">
        <f t="shared" si="202"/>
        <v>50.62</v>
      </c>
      <c r="K1408" s="33">
        <f t="shared" si="203"/>
        <v>25882.01</v>
      </c>
      <c r="L1408" s="34" t="s">
        <v>28</v>
      </c>
      <c r="M1408" s="35"/>
      <c r="O1408" s="21">
        <v>47.85</v>
      </c>
      <c r="P1408" s="37" t="s">
        <v>804</v>
      </c>
      <c r="Q1408" s="51"/>
      <c r="R1408" s="51"/>
      <c r="S1408" s="3"/>
      <c r="T1408" s="3"/>
    </row>
    <row r="1409" s="6" customFormat="1" ht="84" customHeight="1" outlineLevel="2" spans="1:20">
      <c r="A1409" s="50">
        <f t="shared" si="201"/>
        <v>29</v>
      </c>
      <c r="B1409" s="28" t="s">
        <v>807</v>
      </c>
      <c r="C1409" s="28" t="s">
        <v>808</v>
      </c>
      <c r="D1409" s="28" t="s">
        <v>98</v>
      </c>
      <c r="E1409" s="28" t="s">
        <v>741</v>
      </c>
      <c r="F1409" s="29" t="s">
        <v>39</v>
      </c>
      <c r="G1409" s="30">
        <v>50.71</v>
      </c>
      <c r="H1409" s="31">
        <v>50.62</v>
      </c>
      <c r="I1409" s="39"/>
      <c r="J1409" s="31">
        <f t="shared" si="202"/>
        <v>50.62</v>
      </c>
      <c r="K1409" s="33">
        <f t="shared" si="203"/>
        <v>2566.94</v>
      </c>
      <c r="L1409" s="34" t="s">
        <v>28</v>
      </c>
      <c r="M1409" s="35"/>
      <c r="O1409" s="21">
        <v>47.85</v>
      </c>
      <c r="P1409" s="37" t="s">
        <v>804</v>
      </c>
      <c r="Q1409" s="51"/>
      <c r="R1409" s="51"/>
      <c r="S1409" s="3"/>
      <c r="T1409" s="3"/>
    </row>
    <row r="1410" s="6" customFormat="1" ht="84" customHeight="1" outlineLevel="2" spans="1:20">
      <c r="A1410" s="50">
        <f t="shared" si="201"/>
        <v>30</v>
      </c>
      <c r="B1410" s="28" t="s">
        <v>809</v>
      </c>
      <c r="C1410" s="28" t="s">
        <v>810</v>
      </c>
      <c r="D1410" s="28" t="s">
        <v>98</v>
      </c>
      <c r="E1410" s="28" t="s">
        <v>741</v>
      </c>
      <c r="F1410" s="29" t="s">
        <v>39</v>
      </c>
      <c r="G1410" s="30">
        <v>10.75</v>
      </c>
      <c r="H1410" s="31">
        <v>50.62</v>
      </c>
      <c r="I1410" s="39"/>
      <c r="J1410" s="31">
        <f t="shared" si="202"/>
        <v>50.62</v>
      </c>
      <c r="K1410" s="33">
        <f t="shared" si="203"/>
        <v>544.17</v>
      </c>
      <c r="L1410" s="34" t="s">
        <v>28</v>
      </c>
      <c r="M1410" s="35"/>
      <c r="O1410" s="21">
        <v>47.85</v>
      </c>
      <c r="P1410" s="37" t="s">
        <v>804</v>
      </c>
      <c r="Q1410" s="51"/>
      <c r="R1410" s="51"/>
      <c r="S1410" s="3"/>
      <c r="T1410" s="3"/>
    </row>
    <row r="1411" s="6" customFormat="1" ht="72" customHeight="1" outlineLevel="2" spans="1:20">
      <c r="A1411" s="50">
        <f t="shared" si="201"/>
        <v>31</v>
      </c>
      <c r="B1411" s="28" t="s">
        <v>811</v>
      </c>
      <c r="C1411" s="28" t="s">
        <v>812</v>
      </c>
      <c r="D1411" s="28" t="s">
        <v>98</v>
      </c>
      <c r="E1411" s="28" t="s">
        <v>741</v>
      </c>
      <c r="F1411" s="29" t="s">
        <v>39</v>
      </c>
      <c r="G1411" s="30">
        <v>51.99</v>
      </c>
      <c r="H1411" s="31">
        <v>142.78</v>
      </c>
      <c r="I1411" s="39"/>
      <c r="J1411" s="31">
        <f t="shared" si="202"/>
        <v>142.78</v>
      </c>
      <c r="K1411" s="33">
        <f t="shared" si="203"/>
        <v>7423.13</v>
      </c>
      <c r="L1411" s="34" t="s">
        <v>28</v>
      </c>
      <c r="M1411" s="35"/>
      <c r="O1411" s="21">
        <v>188.65</v>
      </c>
      <c r="P1411" s="37" t="s">
        <v>813</v>
      </c>
      <c r="Q1411" s="51"/>
      <c r="R1411" s="51"/>
      <c r="S1411" s="3"/>
      <c r="T1411" s="3"/>
    </row>
    <row r="1412" s="6" customFormat="1" ht="72" customHeight="1" outlineLevel="2" spans="1:20">
      <c r="A1412" s="50">
        <f t="shared" si="201"/>
        <v>32</v>
      </c>
      <c r="B1412" s="28" t="s">
        <v>814</v>
      </c>
      <c r="C1412" s="28" t="s">
        <v>815</v>
      </c>
      <c r="D1412" s="28" t="s">
        <v>98</v>
      </c>
      <c r="E1412" s="28" t="s">
        <v>741</v>
      </c>
      <c r="F1412" s="29" t="s">
        <v>39</v>
      </c>
      <c r="G1412" s="30">
        <v>27.26</v>
      </c>
      <c r="H1412" s="31">
        <v>142.78</v>
      </c>
      <c r="I1412" s="39"/>
      <c r="J1412" s="31">
        <f t="shared" si="202"/>
        <v>142.78</v>
      </c>
      <c r="K1412" s="33">
        <f t="shared" si="203"/>
        <v>3892.18</v>
      </c>
      <c r="L1412" s="34" t="s">
        <v>28</v>
      </c>
      <c r="M1412" s="35"/>
      <c r="O1412" s="21">
        <v>188.65</v>
      </c>
      <c r="P1412" s="37" t="s">
        <v>813</v>
      </c>
      <c r="Q1412" s="51"/>
      <c r="R1412" s="51"/>
      <c r="S1412" s="3"/>
      <c r="T1412" s="3"/>
    </row>
    <row r="1413" s="6" customFormat="1" ht="84" customHeight="1" outlineLevel="2" spans="1:20">
      <c r="A1413" s="50">
        <f t="shared" si="201"/>
        <v>33</v>
      </c>
      <c r="B1413" s="28" t="s">
        <v>816</v>
      </c>
      <c r="C1413" s="28" t="s">
        <v>817</v>
      </c>
      <c r="D1413" s="28" t="s">
        <v>98</v>
      </c>
      <c r="E1413" s="28" t="s">
        <v>741</v>
      </c>
      <c r="F1413" s="29" t="s">
        <v>39</v>
      </c>
      <c r="G1413" s="30">
        <v>12.99</v>
      </c>
      <c r="H1413" s="31">
        <v>50.62</v>
      </c>
      <c r="I1413" s="39"/>
      <c r="J1413" s="31">
        <f t="shared" si="202"/>
        <v>50.62</v>
      </c>
      <c r="K1413" s="33">
        <f t="shared" si="203"/>
        <v>657.55</v>
      </c>
      <c r="L1413" s="34" t="s">
        <v>28</v>
      </c>
      <c r="M1413" s="35"/>
      <c r="O1413" s="21">
        <v>33.55</v>
      </c>
      <c r="P1413" s="37" t="s">
        <v>801</v>
      </c>
      <c r="Q1413" s="51"/>
      <c r="R1413" s="51"/>
      <c r="S1413" s="3"/>
      <c r="T1413" s="3"/>
    </row>
    <row r="1414" s="6" customFormat="1" ht="84" customHeight="1" outlineLevel="2" spans="1:20">
      <c r="A1414" s="50">
        <f t="shared" si="201"/>
        <v>34</v>
      </c>
      <c r="B1414" s="28" t="s">
        <v>818</v>
      </c>
      <c r="C1414" s="28" t="s">
        <v>819</v>
      </c>
      <c r="D1414" s="28" t="s">
        <v>98</v>
      </c>
      <c r="E1414" s="28" t="s">
        <v>741</v>
      </c>
      <c r="F1414" s="29" t="s">
        <v>39</v>
      </c>
      <c r="G1414" s="30">
        <v>123.46</v>
      </c>
      <c r="H1414" s="31">
        <v>50.62</v>
      </c>
      <c r="I1414" s="39"/>
      <c r="J1414" s="31">
        <f t="shared" si="202"/>
        <v>50.62</v>
      </c>
      <c r="K1414" s="33">
        <f t="shared" si="203"/>
        <v>6249.55</v>
      </c>
      <c r="L1414" s="34" t="s">
        <v>28</v>
      </c>
      <c r="M1414" s="35"/>
      <c r="O1414" s="21">
        <v>47.85</v>
      </c>
      <c r="P1414" s="37" t="s">
        <v>804</v>
      </c>
      <c r="Q1414" s="51"/>
      <c r="R1414" s="51"/>
      <c r="S1414" s="3"/>
      <c r="T1414" s="3"/>
    </row>
    <row r="1415" s="6" customFormat="1" ht="60" customHeight="1" outlineLevel="2" spans="1:20">
      <c r="A1415" s="50">
        <f t="shared" si="201"/>
        <v>35</v>
      </c>
      <c r="B1415" s="28" t="s">
        <v>820</v>
      </c>
      <c r="C1415" s="28" t="s">
        <v>821</v>
      </c>
      <c r="D1415" s="28" t="s">
        <v>98</v>
      </c>
      <c r="E1415" s="28" t="s">
        <v>741</v>
      </c>
      <c r="F1415" s="29" t="s">
        <v>39</v>
      </c>
      <c r="G1415" s="30">
        <v>31.48</v>
      </c>
      <c r="H1415" s="31">
        <v>111.51</v>
      </c>
      <c r="I1415" s="39"/>
      <c r="J1415" s="31">
        <f t="shared" si="202"/>
        <v>111.51</v>
      </c>
      <c r="K1415" s="33">
        <f t="shared" si="203"/>
        <v>3510.33</v>
      </c>
      <c r="L1415" s="34" t="s">
        <v>28</v>
      </c>
      <c r="M1415" s="35"/>
      <c r="O1415" s="21">
        <v>210.65</v>
      </c>
      <c r="P1415" s="37" t="s">
        <v>822</v>
      </c>
      <c r="Q1415" s="51"/>
      <c r="R1415" s="51"/>
      <c r="S1415" s="3"/>
      <c r="T1415" s="3"/>
    </row>
    <row r="1416" s="6" customFormat="1" ht="48" customHeight="1" outlineLevel="2" spans="1:20">
      <c r="A1416" s="50">
        <f t="shared" si="201"/>
        <v>36</v>
      </c>
      <c r="B1416" s="28" t="s">
        <v>823</v>
      </c>
      <c r="C1416" s="28" t="s">
        <v>824</v>
      </c>
      <c r="D1416" s="28" t="s">
        <v>98</v>
      </c>
      <c r="E1416" s="28" t="s">
        <v>741</v>
      </c>
      <c r="F1416" s="29" t="s">
        <v>825</v>
      </c>
      <c r="G1416" s="30">
        <v>11</v>
      </c>
      <c r="H1416" s="31">
        <v>33.53</v>
      </c>
      <c r="I1416" s="39"/>
      <c r="J1416" s="31">
        <f t="shared" si="202"/>
        <v>33.53</v>
      </c>
      <c r="K1416" s="33">
        <f t="shared" si="203"/>
        <v>368.83</v>
      </c>
      <c r="L1416" s="34" t="s">
        <v>28</v>
      </c>
      <c r="M1416" s="35"/>
      <c r="O1416" s="21">
        <v>36.3</v>
      </c>
      <c r="P1416" s="37" t="s">
        <v>826</v>
      </c>
      <c r="Q1416" s="51"/>
      <c r="R1416" s="51"/>
      <c r="S1416" s="3"/>
      <c r="T1416" s="3"/>
    </row>
    <row r="1417" s="6" customFormat="1" ht="48" customHeight="1" outlineLevel="2" spans="1:20">
      <c r="A1417" s="50">
        <f t="shared" si="201"/>
        <v>37</v>
      </c>
      <c r="B1417" s="28" t="s">
        <v>827</v>
      </c>
      <c r="C1417" s="28" t="s">
        <v>828</v>
      </c>
      <c r="D1417" s="28" t="s">
        <v>98</v>
      </c>
      <c r="E1417" s="28" t="s">
        <v>741</v>
      </c>
      <c r="F1417" s="29" t="s">
        <v>825</v>
      </c>
      <c r="G1417" s="30">
        <v>12</v>
      </c>
      <c r="H1417" s="31">
        <v>45.3</v>
      </c>
      <c r="I1417" s="39"/>
      <c r="J1417" s="31">
        <f t="shared" si="202"/>
        <v>45.3</v>
      </c>
      <c r="K1417" s="33">
        <f t="shared" si="203"/>
        <v>543.6</v>
      </c>
      <c r="L1417" s="34" t="s">
        <v>28</v>
      </c>
      <c r="M1417" s="35"/>
      <c r="O1417" s="21">
        <v>34.1</v>
      </c>
      <c r="P1417" s="37" t="s">
        <v>829</v>
      </c>
      <c r="Q1417" s="51"/>
      <c r="R1417" s="51"/>
      <c r="S1417" s="3"/>
      <c r="T1417" s="3"/>
    </row>
    <row r="1418" s="6" customFormat="1" ht="48" customHeight="1" outlineLevel="2" spans="1:20">
      <c r="A1418" s="50">
        <f t="shared" si="201"/>
        <v>38</v>
      </c>
      <c r="B1418" s="28" t="s">
        <v>830</v>
      </c>
      <c r="C1418" s="28" t="s">
        <v>831</v>
      </c>
      <c r="D1418" s="28" t="s">
        <v>98</v>
      </c>
      <c r="E1418" s="28" t="s">
        <v>741</v>
      </c>
      <c r="F1418" s="29" t="s">
        <v>825</v>
      </c>
      <c r="G1418" s="30">
        <v>41</v>
      </c>
      <c r="H1418" s="31">
        <v>55.29</v>
      </c>
      <c r="I1418" s="39"/>
      <c r="J1418" s="31">
        <f t="shared" si="202"/>
        <v>55.29</v>
      </c>
      <c r="K1418" s="33">
        <f t="shared" si="203"/>
        <v>2266.89</v>
      </c>
      <c r="L1418" s="34" t="s">
        <v>28</v>
      </c>
      <c r="M1418" s="35"/>
      <c r="O1418" s="21">
        <v>35.2</v>
      </c>
      <c r="P1418" s="37" t="s">
        <v>832</v>
      </c>
      <c r="Q1418" s="51"/>
      <c r="R1418" s="51"/>
      <c r="S1418" s="3"/>
      <c r="T1418" s="3"/>
    </row>
    <row r="1419" s="6" customFormat="1" ht="48" customHeight="1" outlineLevel="2" spans="1:20">
      <c r="A1419" s="50">
        <f t="shared" si="201"/>
        <v>39</v>
      </c>
      <c r="B1419" s="28" t="s">
        <v>833</v>
      </c>
      <c r="C1419" s="28" t="s">
        <v>834</v>
      </c>
      <c r="D1419" s="28" t="s">
        <v>98</v>
      </c>
      <c r="E1419" s="28" t="s">
        <v>741</v>
      </c>
      <c r="F1419" s="29" t="s">
        <v>825</v>
      </c>
      <c r="G1419" s="30">
        <v>113</v>
      </c>
      <c r="H1419" s="31">
        <v>37.41</v>
      </c>
      <c r="I1419" s="39"/>
      <c r="J1419" s="31">
        <f t="shared" si="202"/>
        <v>37.41</v>
      </c>
      <c r="K1419" s="33">
        <f t="shared" si="203"/>
        <v>4227.33</v>
      </c>
      <c r="L1419" s="34" t="s">
        <v>28</v>
      </c>
      <c r="M1419" s="35"/>
      <c r="O1419" s="21">
        <v>30.25</v>
      </c>
      <c r="P1419" s="37" t="s">
        <v>835</v>
      </c>
      <c r="Q1419" s="51"/>
      <c r="R1419" s="51"/>
      <c r="S1419" s="3"/>
      <c r="T1419" s="3"/>
    </row>
    <row r="1420" s="6" customFormat="1" ht="48" customHeight="1" outlineLevel="2" spans="1:20">
      <c r="A1420" s="50">
        <f t="shared" si="201"/>
        <v>40</v>
      </c>
      <c r="B1420" s="28" t="s">
        <v>836</v>
      </c>
      <c r="C1420" s="28" t="s">
        <v>837</v>
      </c>
      <c r="D1420" s="28" t="s">
        <v>98</v>
      </c>
      <c r="E1420" s="28" t="s">
        <v>741</v>
      </c>
      <c r="F1420" s="29" t="s">
        <v>825</v>
      </c>
      <c r="G1420" s="30">
        <v>29</v>
      </c>
      <c r="H1420" s="31">
        <v>235.06</v>
      </c>
      <c r="I1420" s="39"/>
      <c r="J1420" s="31">
        <f t="shared" si="202"/>
        <v>235.06</v>
      </c>
      <c r="K1420" s="33">
        <f t="shared" si="203"/>
        <v>6816.74</v>
      </c>
      <c r="L1420" s="34" t="s">
        <v>28</v>
      </c>
      <c r="M1420" s="35"/>
      <c r="O1420" s="21">
        <v>162.25</v>
      </c>
      <c r="P1420" s="37" t="s">
        <v>838</v>
      </c>
      <c r="Q1420" s="51"/>
      <c r="R1420" s="51"/>
      <c r="S1420" s="3"/>
      <c r="T1420" s="3"/>
    </row>
    <row r="1421" s="6" customFormat="1" ht="48" customHeight="1" outlineLevel="2" spans="1:20">
      <c r="A1421" s="50">
        <f t="shared" si="201"/>
        <v>41</v>
      </c>
      <c r="B1421" s="28" t="s">
        <v>839</v>
      </c>
      <c r="C1421" s="28" t="s">
        <v>840</v>
      </c>
      <c r="D1421" s="28" t="s">
        <v>98</v>
      </c>
      <c r="E1421" s="28" t="s">
        <v>741</v>
      </c>
      <c r="F1421" s="29" t="s">
        <v>825</v>
      </c>
      <c r="G1421" s="30">
        <v>21</v>
      </c>
      <c r="H1421" s="31">
        <v>55.58</v>
      </c>
      <c r="I1421" s="39"/>
      <c r="J1421" s="31">
        <f t="shared" si="202"/>
        <v>55.58</v>
      </c>
      <c r="K1421" s="33">
        <f t="shared" si="203"/>
        <v>1167.18</v>
      </c>
      <c r="L1421" s="34" t="s">
        <v>28</v>
      </c>
      <c r="M1421" s="35"/>
      <c r="O1421" s="21">
        <v>46.2</v>
      </c>
      <c r="P1421" s="37" t="s">
        <v>841</v>
      </c>
      <c r="Q1421" s="51"/>
      <c r="R1421" s="51"/>
      <c r="S1421" s="3"/>
      <c r="T1421" s="3"/>
    </row>
    <row r="1422" s="6" customFormat="1" ht="48" customHeight="1" outlineLevel="2" spans="1:20">
      <c r="A1422" s="50">
        <f t="shared" si="201"/>
        <v>42</v>
      </c>
      <c r="B1422" s="28" t="s">
        <v>842</v>
      </c>
      <c r="C1422" s="28" t="s">
        <v>843</v>
      </c>
      <c r="D1422" s="28" t="s">
        <v>98</v>
      </c>
      <c r="E1422" s="28" t="s">
        <v>741</v>
      </c>
      <c r="F1422" s="29" t="s">
        <v>825</v>
      </c>
      <c r="G1422" s="30">
        <v>1265.2</v>
      </c>
      <c r="H1422" s="31">
        <v>6.49</v>
      </c>
      <c r="I1422" s="39"/>
      <c r="J1422" s="31">
        <f t="shared" si="202"/>
        <v>6.49</v>
      </c>
      <c r="K1422" s="33">
        <f t="shared" si="203"/>
        <v>8211.15</v>
      </c>
      <c r="L1422" s="34" t="s">
        <v>28</v>
      </c>
      <c r="M1422" s="35"/>
      <c r="O1422" s="21">
        <v>5.72</v>
      </c>
      <c r="P1422" s="37" t="s">
        <v>844</v>
      </c>
      <c r="Q1422" s="51"/>
      <c r="R1422" s="51"/>
      <c r="S1422" s="3"/>
      <c r="T1422" s="3"/>
    </row>
    <row r="1423" s="6" customFormat="1" ht="72" customHeight="1" outlineLevel="2" spans="1:20">
      <c r="A1423" s="50">
        <f t="shared" si="201"/>
        <v>43</v>
      </c>
      <c r="B1423" s="28" t="s">
        <v>845</v>
      </c>
      <c r="C1423" s="28" t="s">
        <v>846</v>
      </c>
      <c r="D1423" s="28" t="s">
        <v>98</v>
      </c>
      <c r="E1423" s="28" t="s">
        <v>741</v>
      </c>
      <c r="F1423" s="29" t="s">
        <v>39</v>
      </c>
      <c r="G1423" s="30">
        <v>202.68</v>
      </c>
      <c r="H1423" s="31">
        <v>136.93</v>
      </c>
      <c r="I1423" s="39"/>
      <c r="J1423" s="31">
        <f t="shared" si="202"/>
        <v>136.93</v>
      </c>
      <c r="K1423" s="33">
        <f t="shared" si="203"/>
        <v>27752.97</v>
      </c>
      <c r="L1423" s="34" t="s">
        <v>28</v>
      </c>
      <c r="M1423" s="35"/>
      <c r="O1423" s="21">
        <v>86.053</v>
      </c>
      <c r="P1423" s="37" t="s">
        <v>847</v>
      </c>
      <c r="Q1423" s="51"/>
      <c r="R1423" s="51"/>
      <c r="S1423" s="3"/>
      <c r="T1423" s="3"/>
    </row>
    <row r="1424" s="6" customFormat="1" ht="72" customHeight="1" outlineLevel="2" spans="1:20">
      <c r="A1424" s="50">
        <f t="shared" si="201"/>
        <v>44</v>
      </c>
      <c r="B1424" s="28" t="s">
        <v>848</v>
      </c>
      <c r="C1424" s="28" t="s">
        <v>849</v>
      </c>
      <c r="D1424" s="28" t="s">
        <v>850</v>
      </c>
      <c r="E1424" s="28" t="s">
        <v>851</v>
      </c>
      <c r="F1424" s="29" t="s">
        <v>39</v>
      </c>
      <c r="G1424" s="30">
        <v>10.71</v>
      </c>
      <c r="H1424" s="31">
        <v>274.34</v>
      </c>
      <c r="I1424" s="39"/>
      <c r="J1424" s="31">
        <f t="shared" si="202"/>
        <v>274.34</v>
      </c>
      <c r="K1424" s="33">
        <f t="shared" si="203"/>
        <v>2938.18</v>
      </c>
      <c r="L1424" s="34" t="s">
        <v>28</v>
      </c>
      <c r="M1424" s="35"/>
      <c r="O1424" s="21">
        <v>442.2</v>
      </c>
      <c r="P1424" s="37" t="s">
        <v>852</v>
      </c>
      <c r="Q1424" s="51"/>
      <c r="R1424" s="51"/>
      <c r="S1424" s="3"/>
      <c r="T1424" s="3"/>
    </row>
    <row r="1425" s="6" customFormat="1" ht="84" customHeight="1" outlineLevel="2" spans="1:20">
      <c r="A1425" s="50">
        <f t="shared" si="201"/>
        <v>45</v>
      </c>
      <c r="B1425" s="28" t="s">
        <v>853</v>
      </c>
      <c r="C1425" s="28" t="s">
        <v>854</v>
      </c>
      <c r="D1425" s="28" t="s">
        <v>855</v>
      </c>
      <c r="E1425" s="28" t="s">
        <v>856</v>
      </c>
      <c r="F1425" s="29" t="s">
        <v>39</v>
      </c>
      <c r="G1425" s="30">
        <v>13851.43</v>
      </c>
      <c r="H1425" s="31">
        <v>4.94</v>
      </c>
      <c r="I1425" s="39"/>
      <c r="J1425" s="31">
        <f t="shared" si="202"/>
        <v>4.94</v>
      </c>
      <c r="K1425" s="33">
        <f t="shared" si="203"/>
        <v>68426.06</v>
      </c>
      <c r="L1425" s="34" t="s">
        <v>28</v>
      </c>
      <c r="M1425" s="35"/>
      <c r="O1425" s="21">
        <v>6.6572</v>
      </c>
      <c r="P1425" s="37" t="s">
        <v>857</v>
      </c>
      <c r="Q1425" s="51"/>
      <c r="R1425" s="51"/>
      <c r="S1425" s="3"/>
      <c r="T1425" s="3"/>
    </row>
    <row r="1426" s="6" customFormat="1" ht="84" customHeight="1" outlineLevel="2" spans="1:20">
      <c r="A1426" s="50">
        <f t="shared" si="201"/>
        <v>46</v>
      </c>
      <c r="B1426" s="28" t="s">
        <v>858</v>
      </c>
      <c r="C1426" s="28" t="s">
        <v>859</v>
      </c>
      <c r="D1426" s="28" t="s">
        <v>855</v>
      </c>
      <c r="E1426" s="28" t="s">
        <v>856</v>
      </c>
      <c r="F1426" s="29" t="s">
        <v>39</v>
      </c>
      <c r="G1426" s="30">
        <v>2897.42</v>
      </c>
      <c r="H1426" s="31">
        <v>6.87</v>
      </c>
      <c r="I1426" s="39"/>
      <c r="J1426" s="31">
        <f t="shared" si="202"/>
        <v>6.87</v>
      </c>
      <c r="K1426" s="33">
        <f t="shared" si="203"/>
        <v>19905.28</v>
      </c>
      <c r="L1426" s="34" t="s">
        <v>28</v>
      </c>
      <c r="M1426" s="35"/>
      <c r="O1426" s="21">
        <v>9.0959</v>
      </c>
      <c r="P1426" s="37" t="s">
        <v>860</v>
      </c>
      <c r="Q1426" s="51"/>
      <c r="R1426" s="51"/>
      <c r="S1426" s="3"/>
      <c r="T1426" s="3"/>
    </row>
    <row r="1427" s="6" customFormat="1" ht="84" customHeight="1" outlineLevel="2" spans="1:20">
      <c r="A1427" s="50">
        <f t="shared" si="201"/>
        <v>47</v>
      </c>
      <c r="B1427" s="28" t="s">
        <v>861</v>
      </c>
      <c r="C1427" s="28" t="s">
        <v>862</v>
      </c>
      <c r="D1427" s="28" t="s">
        <v>855</v>
      </c>
      <c r="E1427" s="28" t="s">
        <v>856</v>
      </c>
      <c r="F1427" s="29" t="s">
        <v>39</v>
      </c>
      <c r="G1427" s="30">
        <v>691.47</v>
      </c>
      <c r="H1427" s="31">
        <v>9.4</v>
      </c>
      <c r="I1427" s="39"/>
      <c r="J1427" s="31">
        <f t="shared" si="202"/>
        <v>9.4</v>
      </c>
      <c r="K1427" s="33">
        <f t="shared" si="203"/>
        <v>6499.82</v>
      </c>
      <c r="L1427" s="34" t="s">
        <v>28</v>
      </c>
      <c r="M1427" s="35"/>
      <c r="O1427" s="21">
        <v>11.9823</v>
      </c>
      <c r="P1427" s="37" t="s">
        <v>863</v>
      </c>
      <c r="Q1427" s="51"/>
      <c r="R1427" s="51"/>
      <c r="S1427" s="3"/>
      <c r="T1427" s="3"/>
    </row>
    <row r="1428" s="6" customFormat="1" ht="84" customHeight="1" outlineLevel="2" spans="1:20">
      <c r="A1428" s="50">
        <f t="shared" si="201"/>
        <v>48</v>
      </c>
      <c r="B1428" s="28" t="s">
        <v>864</v>
      </c>
      <c r="C1428" s="28" t="s">
        <v>865</v>
      </c>
      <c r="D1428" s="28" t="s">
        <v>855</v>
      </c>
      <c r="E1428" s="28" t="s">
        <v>856</v>
      </c>
      <c r="F1428" s="29" t="s">
        <v>39</v>
      </c>
      <c r="G1428" s="30">
        <v>54.1</v>
      </c>
      <c r="H1428" s="31">
        <v>14.68</v>
      </c>
      <c r="I1428" s="39"/>
      <c r="J1428" s="31">
        <f t="shared" si="202"/>
        <v>14.68</v>
      </c>
      <c r="K1428" s="33">
        <f t="shared" si="203"/>
        <v>794.19</v>
      </c>
      <c r="L1428" s="34" t="s">
        <v>28</v>
      </c>
      <c r="M1428" s="35"/>
      <c r="O1428" s="21">
        <v>18.0895</v>
      </c>
      <c r="P1428" s="37" t="s">
        <v>866</v>
      </c>
      <c r="Q1428" s="51"/>
      <c r="R1428" s="51"/>
      <c r="S1428" s="3"/>
      <c r="T1428" s="3"/>
    </row>
    <row r="1429" s="6" customFormat="1" ht="84" customHeight="1" outlineLevel="2" spans="1:20">
      <c r="A1429" s="50">
        <f t="shared" si="201"/>
        <v>49</v>
      </c>
      <c r="B1429" s="28" t="s">
        <v>867</v>
      </c>
      <c r="C1429" s="28" t="s">
        <v>868</v>
      </c>
      <c r="D1429" s="28" t="s">
        <v>855</v>
      </c>
      <c r="E1429" s="28" t="s">
        <v>856</v>
      </c>
      <c r="F1429" s="29" t="s">
        <v>39</v>
      </c>
      <c r="G1429" s="30">
        <v>160.69</v>
      </c>
      <c r="H1429" s="31">
        <v>22.53</v>
      </c>
      <c r="I1429" s="39"/>
      <c r="J1429" s="31">
        <f t="shared" si="202"/>
        <v>22.53</v>
      </c>
      <c r="K1429" s="33">
        <f t="shared" si="203"/>
        <v>3620.35</v>
      </c>
      <c r="L1429" s="34" t="s">
        <v>28</v>
      </c>
      <c r="M1429" s="35"/>
      <c r="O1429" s="21">
        <v>24.7522</v>
      </c>
      <c r="P1429" s="37" t="s">
        <v>869</v>
      </c>
      <c r="Q1429" s="51"/>
      <c r="R1429" s="51"/>
      <c r="S1429" s="3"/>
      <c r="T1429" s="3"/>
    </row>
    <row r="1430" s="6" customFormat="1" ht="84" customHeight="1" outlineLevel="2" spans="1:20">
      <c r="A1430" s="50">
        <f t="shared" si="201"/>
        <v>50</v>
      </c>
      <c r="B1430" s="28" t="s">
        <v>870</v>
      </c>
      <c r="C1430" s="28" t="s">
        <v>871</v>
      </c>
      <c r="D1430" s="28" t="s">
        <v>855</v>
      </c>
      <c r="E1430" s="28" t="s">
        <v>856</v>
      </c>
      <c r="F1430" s="29" t="s">
        <v>39</v>
      </c>
      <c r="G1430" s="30">
        <v>4671.42</v>
      </c>
      <c r="H1430" s="31">
        <v>4.94</v>
      </c>
      <c r="I1430" s="39"/>
      <c r="J1430" s="31">
        <f t="shared" si="202"/>
        <v>4.94</v>
      </c>
      <c r="K1430" s="33">
        <f t="shared" si="203"/>
        <v>23076.81</v>
      </c>
      <c r="L1430" s="34" t="s">
        <v>28</v>
      </c>
      <c r="M1430" s="35"/>
      <c r="O1430" s="21">
        <v>5.4032</v>
      </c>
      <c r="P1430" s="37" t="s">
        <v>872</v>
      </c>
      <c r="Q1430" s="51"/>
      <c r="R1430" s="51"/>
      <c r="S1430" s="3"/>
      <c r="T1430" s="3"/>
    </row>
    <row r="1431" s="6" customFormat="1" ht="84" customHeight="1" outlineLevel="2" spans="1:20">
      <c r="A1431" s="50">
        <f t="shared" si="201"/>
        <v>51</v>
      </c>
      <c r="B1431" s="28" t="s">
        <v>873</v>
      </c>
      <c r="C1431" s="28" t="s">
        <v>874</v>
      </c>
      <c r="D1431" s="28" t="s">
        <v>855</v>
      </c>
      <c r="E1431" s="28" t="s">
        <v>856</v>
      </c>
      <c r="F1431" s="29" t="s">
        <v>39</v>
      </c>
      <c r="G1431" s="30">
        <v>3444.3</v>
      </c>
      <c r="H1431" s="31">
        <v>6.87</v>
      </c>
      <c r="I1431" s="39"/>
      <c r="J1431" s="31">
        <f t="shared" si="202"/>
        <v>6.87</v>
      </c>
      <c r="K1431" s="33">
        <f t="shared" si="203"/>
        <v>23662.34</v>
      </c>
      <c r="L1431" s="34" t="s">
        <v>28</v>
      </c>
      <c r="M1431" s="35"/>
      <c r="O1431" s="21">
        <v>7.8419</v>
      </c>
      <c r="P1431" s="37" t="s">
        <v>875</v>
      </c>
      <c r="Q1431" s="51"/>
      <c r="R1431" s="51"/>
      <c r="S1431" s="3"/>
      <c r="T1431" s="3"/>
    </row>
    <row r="1432" s="6" customFormat="1" ht="84" customHeight="1" outlineLevel="2" spans="1:20">
      <c r="A1432" s="50">
        <f t="shared" si="201"/>
        <v>52</v>
      </c>
      <c r="B1432" s="28" t="s">
        <v>876</v>
      </c>
      <c r="C1432" s="28" t="s">
        <v>877</v>
      </c>
      <c r="D1432" s="28" t="s">
        <v>855</v>
      </c>
      <c r="E1432" s="28" t="s">
        <v>856</v>
      </c>
      <c r="F1432" s="29" t="s">
        <v>39</v>
      </c>
      <c r="G1432" s="30">
        <v>1559.04</v>
      </c>
      <c r="H1432" s="31">
        <v>9.4</v>
      </c>
      <c r="I1432" s="39"/>
      <c r="J1432" s="31">
        <f t="shared" si="202"/>
        <v>9.4</v>
      </c>
      <c r="K1432" s="33">
        <f t="shared" si="203"/>
        <v>14654.98</v>
      </c>
      <c r="L1432" s="34" t="s">
        <v>28</v>
      </c>
      <c r="M1432" s="35"/>
      <c r="O1432" s="21">
        <v>10.7283</v>
      </c>
      <c r="P1432" s="37" t="s">
        <v>878</v>
      </c>
      <c r="Q1432" s="51"/>
      <c r="R1432" s="51"/>
      <c r="S1432" s="3"/>
      <c r="T1432" s="3"/>
    </row>
    <row r="1433" s="6" customFormat="1" ht="84" customHeight="1" outlineLevel="2" spans="1:20">
      <c r="A1433" s="50">
        <f t="shared" si="201"/>
        <v>53</v>
      </c>
      <c r="B1433" s="28" t="s">
        <v>879</v>
      </c>
      <c r="C1433" s="28" t="s">
        <v>880</v>
      </c>
      <c r="D1433" s="28" t="s">
        <v>855</v>
      </c>
      <c r="E1433" s="28" t="s">
        <v>856</v>
      </c>
      <c r="F1433" s="29" t="s">
        <v>39</v>
      </c>
      <c r="G1433" s="30">
        <v>156.35</v>
      </c>
      <c r="H1433" s="31">
        <v>14.68</v>
      </c>
      <c r="I1433" s="39"/>
      <c r="J1433" s="31">
        <f t="shared" si="202"/>
        <v>14.68</v>
      </c>
      <c r="K1433" s="33">
        <f t="shared" si="203"/>
        <v>2295.22</v>
      </c>
      <c r="L1433" s="34" t="s">
        <v>28</v>
      </c>
      <c r="M1433" s="35"/>
      <c r="O1433" s="21">
        <v>16.8355</v>
      </c>
      <c r="P1433" s="37" t="s">
        <v>881</v>
      </c>
      <c r="Q1433" s="51"/>
      <c r="R1433" s="51"/>
      <c r="S1433" s="3"/>
      <c r="T1433" s="3"/>
    </row>
    <row r="1434" s="6" customFormat="1" ht="84" customHeight="1" outlineLevel="2" spans="1:20">
      <c r="A1434" s="50">
        <f t="shared" si="201"/>
        <v>54</v>
      </c>
      <c r="B1434" s="28" t="s">
        <v>882</v>
      </c>
      <c r="C1434" s="28" t="s">
        <v>883</v>
      </c>
      <c r="D1434" s="28" t="s">
        <v>855</v>
      </c>
      <c r="E1434" s="28" t="s">
        <v>856</v>
      </c>
      <c r="F1434" s="29" t="s">
        <v>39</v>
      </c>
      <c r="G1434" s="30">
        <v>423.14</v>
      </c>
      <c r="H1434" s="31">
        <v>22.53</v>
      </c>
      <c r="I1434" s="39"/>
      <c r="J1434" s="31">
        <f t="shared" si="202"/>
        <v>22.53</v>
      </c>
      <c r="K1434" s="33">
        <f t="shared" si="203"/>
        <v>9533.34</v>
      </c>
      <c r="L1434" s="34" t="s">
        <v>28</v>
      </c>
      <c r="M1434" s="35"/>
      <c r="O1434" s="21">
        <v>23.4982</v>
      </c>
      <c r="P1434" s="37" t="s">
        <v>884</v>
      </c>
      <c r="Q1434" s="51"/>
      <c r="R1434" s="51"/>
      <c r="S1434" s="3"/>
      <c r="T1434" s="3"/>
    </row>
    <row r="1435" s="6" customFormat="1" ht="60" customHeight="1" outlineLevel="2" spans="1:20">
      <c r="A1435" s="50">
        <f t="shared" si="201"/>
        <v>55</v>
      </c>
      <c r="B1435" s="28" t="s">
        <v>885</v>
      </c>
      <c r="C1435" s="28" t="s">
        <v>886</v>
      </c>
      <c r="D1435" s="28" t="s">
        <v>98</v>
      </c>
      <c r="E1435" s="28" t="s">
        <v>741</v>
      </c>
      <c r="F1435" s="29" t="s">
        <v>39</v>
      </c>
      <c r="G1435" s="30">
        <v>55.78</v>
      </c>
      <c r="H1435" s="31">
        <v>134.78</v>
      </c>
      <c r="I1435" s="39"/>
      <c r="J1435" s="31">
        <f t="shared" si="202"/>
        <v>134.78</v>
      </c>
      <c r="K1435" s="33">
        <f t="shared" si="203"/>
        <v>7518.03</v>
      </c>
      <c r="L1435" s="34" t="s">
        <v>28</v>
      </c>
      <c r="M1435" s="35"/>
      <c r="O1435" s="21">
        <v>191.95</v>
      </c>
      <c r="P1435" s="37" t="s">
        <v>887</v>
      </c>
      <c r="Q1435" s="51"/>
      <c r="R1435" s="51"/>
      <c r="S1435" s="3"/>
      <c r="T1435" s="3"/>
    </row>
    <row r="1436" s="6" customFormat="1" ht="60" customHeight="1" outlineLevel="2" spans="1:20">
      <c r="A1436" s="50">
        <f t="shared" si="201"/>
        <v>56</v>
      </c>
      <c r="B1436" s="28" t="s">
        <v>888</v>
      </c>
      <c r="C1436" s="28" t="s">
        <v>889</v>
      </c>
      <c r="D1436" s="28" t="s">
        <v>890</v>
      </c>
      <c r="E1436" s="28" t="s">
        <v>891</v>
      </c>
      <c r="F1436" s="29" t="s">
        <v>39</v>
      </c>
      <c r="G1436" s="30">
        <v>2574.76</v>
      </c>
      <c r="H1436" s="31">
        <v>20.8</v>
      </c>
      <c r="I1436" s="39"/>
      <c r="J1436" s="31">
        <f t="shared" si="202"/>
        <v>20.8</v>
      </c>
      <c r="K1436" s="33">
        <f t="shared" si="203"/>
        <v>53555.01</v>
      </c>
      <c r="L1436" s="34" t="s">
        <v>28</v>
      </c>
      <c r="M1436" s="35"/>
      <c r="O1436" s="21">
        <v>17.1072</v>
      </c>
      <c r="P1436" s="37" t="s">
        <v>892</v>
      </c>
      <c r="Q1436" s="51"/>
      <c r="R1436" s="51"/>
      <c r="S1436" s="3"/>
      <c r="T1436" s="3"/>
    </row>
    <row r="1437" s="6" customFormat="1" ht="60" customHeight="1" outlineLevel="2" spans="1:20">
      <c r="A1437" s="50">
        <f t="shared" si="201"/>
        <v>57</v>
      </c>
      <c r="B1437" s="28" t="s">
        <v>893</v>
      </c>
      <c r="C1437" s="28" t="s">
        <v>894</v>
      </c>
      <c r="D1437" s="28" t="s">
        <v>890</v>
      </c>
      <c r="E1437" s="28" t="s">
        <v>891</v>
      </c>
      <c r="F1437" s="29" t="s">
        <v>39</v>
      </c>
      <c r="G1437" s="30">
        <v>30.09</v>
      </c>
      <c r="H1437" s="31">
        <v>22.85</v>
      </c>
      <c r="I1437" s="39"/>
      <c r="J1437" s="31">
        <f t="shared" si="202"/>
        <v>22.85</v>
      </c>
      <c r="K1437" s="33">
        <f t="shared" si="203"/>
        <v>687.56</v>
      </c>
      <c r="L1437" s="34" t="s">
        <v>28</v>
      </c>
      <c r="M1437" s="35"/>
      <c r="O1437" s="21">
        <v>18.7737</v>
      </c>
      <c r="P1437" s="37" t="s">
        <v>895</v>
      </c>
      <c r="Q1437" s="51"/>
      <c r="R1437" s="51"/>
      <c r="S1437" s="3"/>
      <c r="T1437" s="3"/>
    </row>
    <row r="1438" s="6" customFormat="1" ht="60" customHeight="1" outlineLevel="2" spans="1:20">
      <c r="A1438" s="50">
        <f t="shared" si="201"/>
        <v>58</v>
      </c>
      <c r="B1438" s="28" t="s">
        <v>896</v>
      </c>
      <c r="C1438" s="28" t="s">
        <v>897</v>
      </c>
      <c r="D1438" s="28" t="s">
        <v>890</v>
      </c>
      <c r="E1438" s="28" t="s">
        <v>891</v>
      </c>
      <c r="F1438" s="29" t="s">
        <v>39</v>
      </c>
      <c r="G1438" s="30">
        <v>138.3</v>
      </c>
      <c r="H1438" s="31">
        <v>26.12</v>
      </c>
      <c r="I1438" s="39"/>
      <c r="J1438" s="31">
        <f t="shared" si="202"/>
        <v>26.12</v>
      </c>
      <c r="K1438" s="33">
        <f t="shared" si="203"/>
        <v>3612.4</v>
      </c>
      <c r="L1438" s="34" t="s">
        <v>28</v>
      </c>
      <c r="M1438" s="35"/>
      <c r="O1438" s="21">
        <v>21.1068</v>
      </c>
      <c r="P1438" s="37" t="s">
        <v>898</v>
      </c>
      <c r="Q1438" s="51"/>
      <c r="R1438" s="51"/>
      <c r="S1438" s="3"/>
      <c r="T1438" s="3"/>
    </row>
    <row r="1439" s="6" customFormat="1" ht="60" customHeight="1" outlineLevel="2" spans="1:20">
      <c r="A1439" s="50">
        <f t="shared" si="201"/>
        <v>59</v>
      </c>
      <c r="B1439" s="28" t="s">
        <v>899</v>
      </c>
      <c r="C1439" s="28" t="s">
        <v>900</v>
      </c>
      <c r="D1439" s="28" t="s">
        <v>890</v>
      </c>
      <c r="E1439" s="28" t="s">
        <v>891</v>
      </c>
      <c r="F1439" s="29" t="s">
        <v>39</v>
      </c>
      <c r="G1439" s="30">
        <v>10.82</v>
      </c>
      <c r="H1439" s="31">
        <v>33.99</v>
      </c>
      <c r="I1439" s="39"/>
      <c r="J1439" s="31">
        <f t="shared" si="202"/>
        <v>33.99</v>
      </c>
      <c r="K1439" s="33">
        <f t="shared" si="203"/>
        <v>367.77</v>
      </c>
      <c r="L1439" s="34" t="s">
        <v>28</v>
      </c>
      <c r="M1439" s="35"/>
      <c r="O1439" s="21">
        <v>23.7732</v>
      </c>
      <c r="P1439" s="37" t="s">
        <v>901</v>
      </c>
      <c r="Q1439" s="51"/>
      <c r="R1439" s="51"/>
      <c r="S1439" s="3"/>
      <c r="T1439" s="3"/>
    </row>
    <row r="1440" s="6" customFormat="1" ht="60" customHeight="1" outlineLevel="2" spans="1:20">
      <c r="A1440" s="50">
        <f t="shared" si="201"/>
        <v>60</v>
      </c>
      <c r="B1440" s="28" t="s">
        <v>902</v>
      </c>
      <c r="C1440" s="28" t="s">
        <v>903</v>
      </c>
      <c r="D1440" s="28" t="s">
        <v>890</v>
      </c>
      <c r="E1440" s="28" t="s">
        <v>891</v>
      </c>
      <c r="F1440" s="29" t="s">
        <v>39</v>
      </c>
      <c r="G1440" s="30">
        <v>46.68</v>
      </c>
      <c r="H1440" s="31">
        <v>39.28</v>
      </c>
      <c r="I1440" s="39"/>
      <c r="J1440" s="31">
        <f t="shared" si="202"/>
        <v>39.28</v>
      </c>
      <c r="K1440" s="33">
        <f t="shared" si="203"/>
        <v>1833.59</v>
      </c>
      <c r="L1440" s="34" t="s">
        <v>28</v>
      </c>
      <c r="M1440" s="35"/>
      <c r="O1440" s="21">
        <v>56.65</v>
      </c>
      <c r="P1440" s="37" t="s">
        <v>904</v>
      </c>
      <c r="Q1440" s="51"/>
      <c r="R1440" s="51"/>
      <c r="S1440" s="3"/>
      <c r="T1440" s="3"/>
    </row>
    <row r="1441" s="6" customFormat="1" ht="60" customHeight="1" outlineLevel="2" spans="1:20">
      <c r="A1441" s="50">
        <f t="shared" si="201"/>
        <v>61</v>
      </c>
      <c r="B1441" s="28" t="s">
        <v>905</v>
      </c>
      <c r="C1441" s="28" t="s">
        <v>906</v>
      </c>
      <c r="D1441" s="28" t="s">
        <v>890</v>
      </c>
      <c r="E1441" s="28" t="s">
        <v>891</v>
      </c>
      <c r="F1441" s="29" t="s">
        <v>39</v>
      </c>
      <c r="G1441" s="30">
        <v>144.99</v>
      </c>
      <c r="H1441" s="31">
        <v>10.87</v>
      </c>
      <c r="I1441" s="39"/>
      <c r="J1441" s="31">
        <f t="shared" si="202"/>
        <v>10.87</v>
      </c>
      <c r="K1441" s="33">
        <f t="shared" si="203"/>
        <v>1576.04</v>
      </c>
      <c r="L1441" s="34" t="s">
        <v>28</v>
      </c>
      <c r="M1441" s="35"/>
      <c r="O1441" s="21">
        <v>16.7739</v>
      </c>
      <c r="P1441" s="37" t="s">
        <v>907</v>
      </c>
      <c r="Q1441" s="51"/>
      <c r="R1441" s="51"/>
      <c r="S1441" s="3"/>
      <c r="T1441" s="3"/>
    </row>
    <row r="1442" s="6" customFormat="1" ht="60" customHeight="1" outlineLevel="2" spans="1:20">
      <c r="A1442" s="50">
        <f t="shared" si="201"/>
        <v>62</v>
      </c>
      <c r="B1442" s="28" t="s">
        <v>908</v>
      </c>
      <c r="C1442" s="28" t="s">
        <v>909</v>
      </c>
      <c r="D1442" s="28" t="s">
        <v>890</v>
      </c>
      <c r="E1442" s="28" t="s">
        <v>891</v>
      </c>
      <c r="F1442" s="29" t="s">
        <v>39</v>
      </c>
      <c r="G1442" s="30">
        <v>935.73</v>
      </c>
      <c r="H1442" s="31">
        <v>12.49</v>
      </c>
      <c r="I1442" s="39"/>
      <c r="J1442" s="31">
        <f t="shared" si="202"/>
        <v>12.49</v>
      </c>
      <c r="K1442" s="33">
        <f t="shared" si="203"/>
        <v>11687.27</v>
      </c>
      <c r="L1442" s="34" t="s">
        <v>28</v>
      </c>
      <c r="M1442" s="35"/>
      <c r="O1442" s="21">
        <v>18.5515</v>
      </c>
      <c r="P1442" s="37" t="s">
        <v>910</v>
      </c>
      <c r="Q1442" s="51"/>
      <c r="R1442" s="51"/>
      <c r="S1442" s="3"/>
      <c r="T1442" s="3"/>
    </row>
    <row r="1443" s="6" customFormat="1" ht="60" customHeight="1" outlineLevel="2" spans="1:20">
      <c r="A1443" s="50">
        <f t="shared" si="201"/>
        <v>63</v>
      </c>
      <c r="B1443" s="28" t="s">
        <v>911</v>
      </c>
      <c r="C1443" s="28" t="s">
        <v>912</v>
      </c>
      <c r="D1443" s="28" t="s">
        <v>890</v>
      </c>
      <c r="E1443" s="28" t="s">
        <v>891</v>
      </c>
      <c r="F1443" s="29" t="s">
        <v>39</v>
      </c>
      <c r="G1443" s="30">
        <v>1584</v>
      </c>
      <c r="H1443" s="31">
        <v>11.92</v>
      </c>
      <c r="I1443" s="39"/>
      <c r="J1443" s="31">
        <f t="shared" si="202"/>
        <v>11.92</v>
      </c>
      <c r="K1443" s="33">
        <f t="shared" si="203"/>
        <v>18881.28</v>
      </c>
      <c r="L1443" s="34" t="s">
        <v>28</v>
      </c>
      <c r="M1443" s="35"/>
      <c r="O1443" s="21">
        <v>12.76</v>
      </c>
      <c r="P1443" s="37" t="s">
        <v>913</v>
      </c>
      <c r="Q1443" s="51"/>
      <c r="R1443" s="51"/>
      <c r="S1443" s="3"/>
      <c r="T1443" s="3"/>
    </row>
    <row r="1444" s="6" customFormat="1" ht="48" customHeight="1" outlineLevel="2" spans="1:20">
      <c r="A1444" s="50">
        <f t="shared" si="201"/>
        <v>64</v>
      </c>
      <c r="B1444" s="28" t="s">
        <v>914</v>
      </c>
      <c r="C1444" s="28" t="s">
        <v>915</v>
      </c>
      <c r="D1444" s="28" t="s">
        <v>98</v>
      </c>
      <c r="E1444" s="28" t="s">
        <v>741</v>
      </c>
      <c r="F1444" s="29" t="s">
        <v>39</v>
      </c>
      <c r="G1444" s="30">
        <v>124.65</v>
      </c>
      <c r="H1444" s="31">
        <v>30.68</v>
      </c>
      <c r="I1444" s="39"/>
      <c r="J1444" s="31">
        <f t="shared" si="202"/>
        <v>30.68</v>
      </c>
      <c r="K1444" s="33">
        <f t="shared" si="203"/>
        <v>3824.26</v>
      </c>
      <c r="L1444" s="34" t="s">
        <v>28</v>
      </c>
      <c r="M1444" s="35"/>
      <c r="O1444" s="21">
        <v>24.2</v>
      </c>
      <c r="P1444" s="37" t="s">
        <v>916</v>
      </c>
      <c r="Q1444" s="51"/>
      <c r="R1444" s="51"/>
      <c r="S1444" s="3"/>
      <c r="T1444" s="3"/>
    </row>
    <row r="1445" s="6" customFormat="1" ht="48" customHeight="1" outlineLevel="2" spans="1:20">
      <c r="A1445" s="50">
        <f>A1444+1</f>
        <v>65</v>
      </c>
      <c r="B1445" s="28" t="s">
        <v>917</v>
      </c>
      <c r="C1445" s="28" t="s">
        <v>918</v>
      </c>
      <c r="D1445" s="28" t="s">
        <v>98</v>
      </c>
      <c r="E1445" s="28" t="s">
        <v>741</v>
      </c>
      <c r="F1445" s="29" t="s">
        <v>39</v>
      </c>
      <c r="G1445" s="30">
        <v>47</v>
      </c>
      <c r="H1445" s="31">
        <v>43.66</v>
      </c>
      <c r="I1445" s="39"/>
      <c r="J1445" s="31">
        <f>H1445*(1-$I$4)</f>
        <v>43.66</v>
      </c>
      <c r="K1445" s="33">
        <f>ROUND(G1445*J1445,2)</f>
        <v>2052.02</v>
      </c>
      <c r="L1445" s="34" t="s">
        <v>28</v>
      </c>
      <c r="M1445" s="35"/>
      <c r="O1445" s="21">
        <v>24.2</v>
      </c>
      <c r="P1445" s="37" t="s">
        <v>919</v>
      </c>
      <c r="Q1445" s="51"/>
      <c r="R1445" s="51"/>
      <c r="S1445" s="3"/>
      <c r="T1445" s="3"/>
    </row>
    <row r="1446" s="6" customFormat="1" ht="72" customHeight="1" outlineLevel="2" spans="1:20">
      <c r="A1446" s="50">
        <f>A1445+1</f>
        <v>66</v>
      </c>
      <c r="B1446" s="28" t="s">
        <v>920</v>
      </c>
      <c r="C1446" s="28" t="s">
        <v>921</v>
      </c>
      <c r="D1446" s="28" t="s">
        <v>98</v>
      </c>
      <c r="E1446" s="28" t="s">
        <v>741</v>
      </c>
      <c r="F1446" s="29" t="s">
        <v>825</v>
      </c>
      <c r="G1446" s="30">
        <v>1</v>
      </c>
      <c r="H1446" s="31">
        <v>3832.64</v>
      </c>
      <c r="I1446" s="39"/>
      <c r="J1446" s="31">
        <f>H1446*(1-$I$4)</f>
        <v>3832.64</v>
      </c>
      <c r="K1446" s="33">
        <f>ROUND(G1446*J1446,2)</f>
        <v>3832.64</v>
      </c>
      <c r="L1446" s="34" t="s">
        <v>28</v>
      </c>
      <c r="M1446" s="35"/>
      <c r="O1446" s="21">
        <v>9416</v>
      </c>
      <c r="P1446" s="37" t="s">
        <v>922</v>
      </c>
      <c r="Q1446" s="51"/>
      <c r="R1446" s="51"/>
      <c r="S1446" s="3"/>
      <c r="T1446" s="3"/>
    </row>
    <row r="1447" s="6" customFormat="1" ht="60" customHeight="1" outlineLevel="2" spans="1:20">
      <c r="A1447" s="50">
        <f>A1446+1</f>
        <v>67</v>
      </c>
      <c r="B1447" s="28" t="s">
        <v>923</v>
      </c>
      <c r="C1447" s="28" t="s">
        <v>924</v>
      </c>
      <c r="D1447" s="28" t="s">
        <v>98</v>
      </c>
      <c r="E1447" s="28" t="s">
        <v>741</v>
      </c>
      <c r="F1447" s="29" t="s">
        <v>825</v>
      </c>
      <c r="G1447" s="30">
        <v>8</v>
      </c>
      <c r="H1447" s="31">
        <v>352.05</v>
      </c>
      <c r="I1447" s="39"/>
      <c r="J1447" s="31">
        <f>H1447*(1-$I$4)</f>
        <v>352.05</v>
      </c>
      <c r="K1447" s="33">
        <f>ROUND(G1447*J1447,2)</f>
        <v>2816.4</v>
      </c>
      <c r="L1447" s="34" t="s">
        <v>28</v>
      </c>
      <c r="M1447" s="35"/>
      <c r="O1447" s="21">
        <v>441.65</v>
      </c>
      <c r="P1447" s="37" t="s">
        <v>925</v>
      </c>
      <c r="Q1447" s="51"/>
      <c r="R1447" s="51"/>
      <c r="S1447" s="3"/>
      <c r="T1447" s="3"/>
    </row>
    <row r="1448" s="6" customFormat="1" ht="48" customHeight="1" outlineLevel="2" spans="1:20">
      <c r="A1448" s="50">
        <f>A1447+1</f>
        <v>68</v>
      </c>
      <c r="B1448" s="28" t="s">
        <v>926</v>
      </c>
      <c r="C1448" s="28" t="s">
        <v>927</v>
      </c>
      <c r="D1448" s="28" t="s">
        <v>98</v>
      </c>
      <c r="E1448" s="28" t="s">
        <v>741</v>
      </c>
      <c r="F1448" s="29" t="s">
        <v>825</v>
      </c>
      <c r="G1448" s="30">
        <v>3</v>
      </c>
      <c r="H1448" s="31">
        <v>4229.12</v>
      </c>
      <c r="I1448" s="39"/>
      <c r="J1448" s="31">
        <f>H1448*(1-$I$4)</f>
        <v>4229.12</v>
      </c>
      <c r="K1448" s="33">
        <f>ROUND(G1448*J1448,2)</f>
        <v>12687.36</v>
      </c>
      <c r="L1448" s="34" t="s">
        <v>28</v>
      </c>
      <c r="M1448" s="35"/>
      <c r="O1448" s="21">
        <v>4746.5</v>
      </c>
      <c r="P1448" s="37" t="s">
        <v>928</v>
      </c>
      <c r="Q1448" s="51"/>
      <c r="R1448" s="51"/>
      <c r="S1448" s="3"/>
      <c r="T1448" s="3"/>
    </row>
    <row r="1449" s="6" customFormat="1" ht="48" customHeight="1" outlineLevel="2" spans="1:20">
      <c r="A1449" s="50">
        <f>A1448+1</f>
        <v>69</v>
      </c>
      <c r="B1449" s="28" t="s">
        <v>929</v>
      </c>
      <c r="C1449" s="28" t="s">
        <v>930</v>
      </c>
      <c r="D1449" s="28" t="s">
        <v>98</v>
      </c>
      <c r="E1449" s="28" t="s">
        <v>741</v>
      </c>
      <c r="F1449" s="29" t="s">
        <v>825</v>
      </c>
      <c r="G1449" s="30">
        <v>2</v>
      </c>
      <c r="H1449" s="31">
        <v>2907.52</v>
      </c>
      <c r="I1449" s="39"/>
      <c r="J1449" s="31">
        <f>H1449*(1-$I$4)</f>
        <v>2907.52</v>
      </c>
      <c r="K1449" s="33">
        <f>ROUND(G1449*J1449,2)</f>
        <v>5815.04</v>
      </c>
      <c r="L1449" s="34" t="s">
        <v>28</v>
      </c>
      <c r="M1449" s="35"/>
      <c r="O1449" s="21">
        <v>4746.5</v>
      </c>
      <c r="P1449" s="37" t="s">
        <v>931</v>
      </c>
      <c r="Q1449" s="51"/>
      <c r="R1449" s="51"/>
      <c r="S1449" s="3"/>
      <c r="T1449" s="3"/>
    </row>
    <row r="1450" s="7" customFormat="1" outlineLevel="1" spans="1:20">
      <c r="A1450" s="52"/>
      <c r="B1450" s="28" t="s">
        <v>932</v>
      </c>
      <c r="C1450" s="28"/>
      <c r="D1450" s="28"/>
      <c r="E1450" s="28"/>
      <c r="F1450" s="29"/>
      <c r="G1450" s="30"/>
      <c r="H1450" s="31"/>
      <c r="I1450" s="39"/>
      <c r="J1450" s="31"/>
      <c r="K1450" s="33"/>
      <c r="L1450" s="34"/>
      <c r="M1450" s="35"/>
      <c r="O1450" s="53"/>
      <c r="P1450" s="37"/>
      <c r="Q1450" s="54"/>
      <c r="R1450" s="54"/>
      <c r="S1450" s="3"/>
      <c r="T1450" s="3"/>
    </row>
    <row r="1451" s="6" customFormat="1" ht="60" customHeight="1" outlineLevel="2" spans="1:20">
      <c r="A1451" s="50">
        <f>A1450+1</f>
        <v>1</v>
      </c>
      <c r="B1451" s="28" t="s">
        <v>743</v>
      </c>
      <c r="C1451" s="28" t="s">
        <v>744</v>
      </c>
      <c r="D1451" s="28" t="s">
        <v>98</v>
      </c>
      <c r="E1451" s="28" t="s">
        <v>741</v>
      </c>
      <c r="F1451" s="29" t="s">
        <v>175</v>
      </c>
      <c r="G1451" s="30">
        <v>588</v>
      </c>
      <c r="H1451" s="31">
        <v>105.02</v>
      </c>
      <c r="I1451" s="39"/>
      <c r="J1451" s="31">
        <f>H1451*(1-$I$4)</f>
        <v>105.02</v>
      </c>
      <c r="K1451" s="33">
        <f>ROUND(G1451*J1451,2)</f>
        <v>61751.76</v>
      </c>
      <c r="L1451" s="34" t="s">
        <v>28</v>
      </c>
      <c r="M1451" s="35"/>
      <c r="O1451" s="21">
        <v>153.45</v>
      </c>
      <c r="P1451" s="37" t="s">
        <v>742</v>
      </c>
      <c r="Q1451" s="51"/>
      <c r="R1451" s="51"/>
      <c r="S1451" s="3"/>
      <c r="T1451" s="3"/>
    </row>
    <row r="1452" s="6" customFormat="1" ht="72" customHeight="1" outlineLevel="2" spans="1:20">
      <c r="A1452" s="50">
        <f>A1451+1</f>
        <v>2</v>
      </c>
      <c r="B1452" s="28" t="s">
        <v>793</v>
      </c>
      <c r="C1452" s="28" t="s">
        <v>794</v>
      </c>
      <c r="D1452" s="28" t="s">
        <v>98</v>
      </c>
      <c r="E1452" s="28" t="s">
        <v>741</v>
      </c>
      <c r="F1452" s="29" t="s">
        <v>39</v>
      </c>
      <c r="G1452" s="30">
        <v>380.8</v>
      </c>
      <c r="H1452" s="31">
        <v>50.62</v>
      </c>
      <c r="I1452" s="39"/>
      <c r="J1452" s="31">
        <f>H1452*(1-$I$4)</f>
        <v>50.62</v>
      </c>
      <c r="K1452" s="33">
        <f>ROUND(G1452*J1452,2)</f>
        <v>19276.1</v>
      </c>
      <c r="L1452" s="34" t="s">
        <v>28</v>
      </c>
      <c r="M1452" s="35"/>
      <c r="O1452" s="21">
        <v>180.95</v>
      </c>
      <c r="P1452" s="37" t="s">
        <v>795</v>
      </c>
      <c r="Q1452" s="51"/>
      <c r="R1452" s="51"/>
      <c r="S1452" s="3"/>
      <c r="T1452" s="3"/>
    </row>
    <row r="1453" s="6" customFormat="1" ht="84" customHeight="1" outlineLevel="2" spans="1:20">
      <c r="A1453" s="50">
        <f>A1452+1</f>
        <v>3</v>
      </c>
      <c r="B1453" s="28" t="s">
        <v>805</v>
      </c>
      <c r="C1453" s="28" t="s">
        <v>806</v>
      </c>
      <c r="D1453" s="28" t="s">
        <v>98</v>
      </c>
      <c r="E1453" s="28" t="s">
        <v>741</v>
      </c>
      <c r="F1453" s="29" t="s">
        <v>39</v>
      </c>
      <c r="G1453" s="30">
        <v>1016.26</v>
      </c>
      <c r="H1453" s="31">
        <v>50.62</v>
      </c>
      <c r="I1453" s="39"/>
      <c r="J1453" s="31">
        <f>H1453*(1-$I$4)</f>
        <v>50.62</v>
      </c>
      <c r="K1453" s="33">
        <f>ROUND(G1453*J1453,2)</f>
        <v>51443.08</v>
      </c>
      <c r="L1453" s="34" t="s">
        <v>28</v>
      </c>
      <c r="M1453" s="35"/>
      <c r="O1453" s="21">
        <v>47.85</v>
      </c>
      <c r="P1453" s="37" t="s">
        <v>804</v>
      </c>
      <c r="Q1453" s="51"/>
      <c r="R1453" s="51"/>
      <c r="S1453" s="3"/>
      <c r="T1453" s="3"/>
    </row>
    <row r="1454" s="7" customFormat="1" outlineLevel="1" spans="1:20">
      <c r="A1454" s="52"/>
      <c r="B1454" s="28" t="s">
        <v>933</v>
      </c>
      <c r="C1454" s="28"/>
      <c r="D1454" s="28"/>
      <c r="E1454" s="28"/>
      <c r="F1454" s="29"/>
      <c r="G1454" s="30"/>
      <c r="H1454" s="31"/>
      <c r="I1454" s="39"/>
      <c r="J1454" s="31"/>
      <c r="K1454" s="33"/>
      <c r="L1454" s="34"/>
      <c r="M1454" s="35"/>
      <c r="O1454" s="53"/>
      <c r="P1454" s="37"/>
      <c r="Q1454" s="54"/>
      <c r="R1454" s="54"/>
      <c r="S1454" s="3"/>
      <c r="T1454" s="3"/>
    </row>
    <row r="1455" s="6" customFormat="1" ht="60" customHeight="1" outlineLevel="2" spans="1:20">
      <c r="A1455" s="50">
        <f>A1454+1</f>
        <v>1</v>
      </c>
      <c r="B1455" s="28" t="s">
        <v>743</v>
      </c>
      <c r="C1455" s="28" t="s">
        <v>744</v>
      </c>
      <c r="D1455" s="28" t="s">
        <v>98</v>
      </c>
      <c r="E1455" s="28" t="s">
        <v>741</v>
      </c>
      <c r="F1455" s="29" t="s">
        <v>175</v>
      </c>
      <c r="G1455" s="30">
        <v>78</v>
      </c>
      <c r="H1455" s="31">
        <v>105.02</v>
      </c>
      <c r="I1455" s="39"/>
      <c r="J1455" s="31">
        <f>H1455*(1-$I$4)</f>
        <v>105.02</v>
      </c>
      <c r="K1455" s="33">
        <f>ROUND(G1455*J1455,2)</f>
        <v>8191.56</v>
      </c>
      <c r="L1455" s="34" t="s">
        <v>28</v>
      </c>
      <c r="M1455" s="35"/>
      <c r="O1455" s="21">
        <v>153.45</v>
      </c>
      <c r="P1455" s="37" t="s">
        <v>742</v>
      </c>
      <c r="Q1455" s="51"/>
      <c r="R1455" s="51"/>
      <c r="S1455" s="3"/>
      <c r="T1455" s="3"/>
    </row>
    <row r="1456" s="6" customFormat="1" ht="72" customHeight="1" outlineLevel="2" spans="1:20">
      <c r="A1456" s="50">
        <f>A1455+1</f>
        <v>2</v>
      </c>
      <c r="B1456" s="28" t="s">
        <v>793</v>
      </c>
      <c r="C1456" s="28" t="s">
        <v>794</v>
      </c>
      <c r="D1456" s="28" t="s">
        <v>98</v>
      </c>
      <c r="E1456" s="28" t="s">
        <v>741</v>
      </c>
      <c r="F1456" s="29" t="s">
        <v>39</v>
      </c>
      <c r="G1456" s="30">
        <v>40.8</v>
      </c>
      <c r="H1456" s="31">
        <v>50.62</v>
      </c>
      <c r="I1456" s="39"/>
      <c r="J1456" s="31">
        <f>H1456*(1-$I$4)</f>
        <v>50.62</v>
      </c>
      <c r="K1456" s="33">
        <f>ROUND(G1456*J1456,2)</f>
        <v>2065.3</v>
      </c>
      <c r="L1456" s="34" t="s">
        <v>28</v>
      </c>
      <c r="M1456" s="35"/>
      <c r="O1456" s="21">
        <v>180.95</v>
      </c>
      <c r="P1456" s="37" t="s">
        <v>795</v>
      </c>
      <c r="Q1456" s="51"/>
      <c r="R1456" s="51"/>
      <c r="S1456" s="3"/>
      <c r="T1456" s="3"/>
    </row>
    <row r="1457" s="6" customFormat="1" ht="84" customHeight="1" outlineLevel="2" spans="1:20">
      <c r="A1457" s="50">
        <f>A1456+1</f>
        <v>3</v>
      </c>
      <c r="B1457" s="28" t="s">
        <v>805</v>
      </c>
      <c r="C1457" s="28" t="s">
        <v>806</v>
      </c>
      <c r="D1457" s="28" t="s">
        <v>98</v>
      </c>
      <c r="E1457" s="28" t="s">
        <v>741</v>
      </c>
      <c r="F1457" s="29" t="s">
        <v>39</v>
      </c>
      <c r="G1457" s="30">
        <v>184.32</v>
      </c>
      <c r="H1457" s="31">
        <v>50.62</v>
      </c>
      <c r="I1457" s="39"/>
      <c r="J1457" s="31">
        <f>H1457*(1-$I$4)</f>
        <v>50.62</v>
      </c>
      <c r="K1457" s="33">
        <f>ROUND(G1457*J1457,2)</f>
        <v>9330.28</v>
      </c>
      <c r="L1457" s="34" t="s">
        <v>28</v>
      </c>
      <c r="M1457" s="35"/>
      <c r="O1457" s="21">
        <v>47.85</v>
      </c>
      <c r="P1457" s="37" t="s">
        <v>804</v>
      </c>
      <c r="Q1457" s="51"/>
      <c r="R1457" s="51"/>
      <c r="S1457" s="3"/>
      <c r="T1457" s="3"/>
    </row>
    <row r="1458" s="7" customFormat="1" outlineLevel="1" spans="1:20">
      <c r="A1458" s="52"/>
      <c r="B1458" s="28" t="s">
        <v>934</v>
      </c>
      <c r="C1458" s="28"/>
      <c r="D1458" s="28"/>
      <c r="E1458" s="28"/>
      <c r="F1458" s="29"/>
      <c r="G1458" s="30"/>
      <c r="H1458" s="31"/>
      <c r="I1458" s="39"/>
      <c r="J1458" s="31"/>
      <c r="K1458" s="33"/>
      <c r="L1458" s="34"/>
      <c r="M1458" s="35"/>
      <c r="O1458" s="53"/>
      <c r="P1458" s="37"/>
      <c r="Q1458" s="54"/>
      <c r="R1458" s="54"/>
      <c r="S1458" s="3"/>
      <c r="T1458" s="3"/>
    </row>
    <row r="1459" s="6" customFormat="1" ht="72" customHeight="1" outlineLevel="2" spans="1:20">
      <c r="A1459" s="50">
        <f>A1458+1</f>
        <v>1</v>
      </c>
      <c r="B1459" s="28" t="s">
        <v>760</v>
      </c>
      <c r="C1459" s="28" t="s">
        <v>761</v>
      </c>
      <c r="D1459" s="28" t="s">
        <v>98</v>
      </c>
      <c r="E1459" s="28" t="s">
        <v>741</v>
      </c>
      <c r="F1459" s="29" t="s">
        <v>175</v>
      </c>
      <c r="G1459" s="30">
        <v>16</v>
      </c>
      <c r="H1459" s="31">
        <v>169.92</v>
      </c>
      <c r="I1459" s="39"/>
      <c r="J1459" s="31">
        <f>H1459*(1-$I$4)</f>
        <v>169.92</v>
      </c>
      <c r="K1459" s="33">
        <f>ROUND(G1459*J1459,2)</f>
        <v>2718.72</v>
      </c>
      <c r="L1459" s="34" t="s">
        <v>28</v>
      </c>
      <c r="M1459" s="35"/>
      <c r="O1459" s="21">
        <v>199.65</v>
      </c>
      <c r="P1459" s="37" t="s">
        <v>759</v>
      </c>
      <c r="Q1459" s="51"/>
      <c r="R1459" s="51"/>
      <c r="S1459" s="3"/>
      <c r="T1459" s="3"/>
    </row>
    <row r="1460" s="6" customFormat="1" ht="84" customHeight="1" outlineLevel="2" spans="1:20">
      <c r="A1460" s="50">
        <f>A1459+1</f>
        <v>2</v>
      </c>
      <c r="B1460" s="28" t="s">
        <v>799</v>
      </c>
      <c r="C1460" s="28" t="s">
        <v>800</v>
      </c>
      <c r="D1460" s="28" t="s">
        <v>98</v>
      </c>
      <c r="E1460" s="28" t="s">
        <v>741</v>
      </c>
      <c r="F1460" s="29" t="s">
        <v>39</v>
      </c>
      <c r="G1460" s="30">
        <v>55.84</v>
      </c>
      <c r="H1460" s="31">
        <v>50.62</v>
      </c>
      <c r="I1460" s="39"/>
      <c r="J1460" s="31">
        <f>H1460*(1-$I$4)</f>
        <v>50.62</v>
      </c>
      <c r="K1460" s="33">
        <f>ROUND(G1460*J1460,2)</f>
        <v>2826.62</v>
      </c>
      <c r="L1460" s="34" t="s">
        <v>28</v>
      </c>
      <c r="M1460" s="35"/>
      <c r="O1460" s="21">
        <v>33.55</v>
      </c>
      <c r="P1460" s="37" t="s">
        <v>801</v>
      </c>
      <c r="Q1460" s="51"/>
      <c r="R1460" s="51"/>
      <c r="S1460" s="3"/>
      <c r="T1460" s="3"/>
    </row>
    <row r="1461" s="6" customFormat="1" ht="84" customHeight="1" outlineLevel="2" spans="1:20">
      <c r="A1461" s="50">
        <f>A1460+1</f>
        <v>3</v>
      </c>
      <c r="B1461" s="28" t="s">
        <v>805</v>
      </c>
      <c r="C1461" s="28" t="s">
        <v>806</v>
      </c>
      <c r="D1461" s="28" t="s">
        <v>98</v>
      </c>
      <c r="E1461" s="28" t="s">
        <v>741</v>
      </c>
      <c r="F1461" s="29" t="s">
        <v>39</v>
      </c>
      <c r="G1461" s="30">
        <v>38.24</v>
      </c>
      <c r="H1461" s="31">
        <v>50.62</v>
      </c>
      <c r="I1461" s="39"/>
      <c r="J1461" s="31">
        <f>H1461*(1-$I$4)</f>
        <v>50.62</v>
      </c>
      <c r="K1461" s="33">
        <f>ROUND(G1461*J1461,2)</f>
        <v>1935.71</v>
      </c>
      <c r="L1461" s="34" t="s">
        <v>28</v>
      </c>
      <c r="M1461" s="35"/>
      <c r="O1461" s="21">
        <v>47.85</v>
      </c>
      <c r="P1461" s="37" t="s">
        <v>804</v>
      </c>
      <c r="Q1461" s="51"/>
      <c r="R1461" s="51"/>
      <c r="S1461" s="3"/>
      <c r="T1461" s="3"/>
    </row>
    <row r="1462" s="6" customFormat="1" spans="1:20">
      <c r="A1462" s="55"/>
      <c r="B1462" s="17" t="s">
        <v>935</v>
      </c>
      <c r="C1462" s="28"/>
      <c r="D1462" s="28"/>
      <c r="E1462" s="28"/>
      <c r="F1462" s="29"/>
      <c r="G1462" s="30"/>
      <c r="H1462" s="31"/>
      <c r="I1462" s="39"/>
      <c r="J1462" s="31"/>
      <c r="K1462" s="33"/>
      <c r="L1462" s="34"/>
      <c r="M1462" s="35"/>
      <c r="O1462" s="56"/>
      <c r="P1462" s="37"/>
      <c r="Q1462" s="51"/>
      <c r="R1462" s="51"/>
      <c r="S1462" s="3"/>
      <c r="T1462" s="3"/>
    </row>
    <row r="1463" s="6" customFormat="1" ht="48" customHeight="1" outlineLevel="2" spans="1:20">
      <c r="A1463" s="50" t="s">
        <v>936</v>
      </c>
      <c r="B1463" s="28" t="s">
        <v>937</v>
      </c>
      <c r="C1463" s="28" t="s">
        <v>938</v>
      </c>
      <c r="D1463" s="28" t="s">
        <v>98</v>
      </c>
      <c r="E1463" s="28" t="s">
        <v>741</v>
      </c>
      <c r="F1463" s="29" t="s">
        <v>825</v>
      </c>
      <c r="G1463" s="30">
        <v>3</v>
      </c>
      <c r="H1463" s="31">
        <v>1227.2</v>
      </c>
      <c r="I1463" s="39"/>
      <c r="J1463" s="31">
        <f t="shared" ref="J1463:J1486" si="204">H1463*(1-$I$4)</f>
        <v>1227.2</v>
      </c>
      <c r="K1463" s="33">
        <f t="shared" ref="K1463:K1486" si="205">ROUND(G1463*J1463,2)</f>
        <v>3681.6</v>
      </c>
      <c r="L1463" s="34" t="s">
        <v>28</v>
      </c>
      <c r="M1463" s="35"/>
      <c r="O1463" s="21">
        <v>1154.78</v>
      </c>
      <c r="P1463" s="37" t="s">
        <v>939</v>
      </c>
      <c r="Q1463" s="51"/>
      <c r="R1463" s="51"/>
      <c r="S1463" s="3"/>
      <c r="T1463" s="3"/>
    </row>
    <row r="1464" s="6" customFormat="1" ht="60" customHeight="1" outlineLevel="2" spans="1:20">
      <c r="A1464" s="50">
        <f t="shared" ref="A1464:A1473" si="206">A1463+1</f>
        <v>2</v>
      </c>
      <c r="B1464" s="28" t="s">
        <v>940</v>
      </c>
      <c r="C1464" s="28" t="s">
        <v>941</v>
      </c>
      <c r="D1464" s="28" t="s">
        <v>98</v>
      </c>
      <c r="E1464" s="28" t="s">
        <v>741</v>
      </c>
      <c r="F1464" s="29" t="s">
        <v>825</v>
      </c>
      <c r="G1464" s="30">
        <v>3</v>
      </c>
      <c r="H1464" s="31">
        <v>1062</v>
      </c>
      <c r="I1464" s="39"/>
      <c r="J1464" s="31">
        <f t="shared" si="204"/>
        <v>1062</v>
      </c>
      <c r="K1464" s="33">
        <f t="shared" si="205"/>
        <v>3186</v>
      </c>
      <c r="L1464" s="34" t="s">
        <v>28</v>
      </c>
      <c r="M1464" s="35"/>
      <c r="O1464" s="21">
        <v>647.68</v>
      </c>
      <c r="P1464" s="37" t="s">
        <v>942</v>
      </c>
      <c r="Q1464" s="51"/>
      <c r="R1464" s="51"/>
      <c r="S1464" s="3"/>
      <c r="T1464" s="3"/>
    </row>
    <row r="1465" s="6" customFormat="1" ht="48" customHeight="1" outlineLevel="2" spans="1:20">
      <c r="A1465" s="50">
        <f t="shared" si="206"/>
        <v>3</v>
      </c>
      <c r="B1465" s="28" t="s">
        <v>943</v>
      </c>
      <c r="C1465" s="28" t="s">
        <v>944</v>
      </c>
      <c r="D1465" s="28" t="s">
        <v>98</v>
      </c>
      <c r="E1465" s="28" t="s">
        <v>741</v>
      </c>
      <c r="F1465" s="29" t="s">
        <v>825</v>
      </c>
      <c r="G1465" s="30">
        <v>2</v>
      </c>
      <c r="H1465" s="31">
        <v>719.8</v>
      </c>
      <c r="I1465" s="39"/>
      <c r="J1465" s="31">
        <f t="shared" si="204"/>
        <v>719.8</v>
      </c>
      <c r="K1465" s="33">
        <f t="shared" si="205"/>
        <v>1439.6</v>
      </c>
      <c r="L1465" s="34" t="s">
        <v>28</v>
      </c>
      <c r="M1465" s="35"/>
      <c r="N1465" s="6">
        <v>1</v>
      </c>
      <c r="O1465" s="21">
        <v>461.78</v>
      </c>
      <c r="P1465" s="37" t="s">
        <v>945</v>
      </c>
      <c r="Q1465" s="51"/>
      <c r="R1465" s="51"/>
      <c r="S1465" s="3"/>
      <c r="T1465" s="3"/>
    </row>
    <row r="1466" s="6" customFormat="1" ht="60" customHeight="1" outlineLevel="2" spans="1:20">
      <c r="A1466" s="50">
        <f t="shared" si="206"/>
        <v>4</v>
      </c>
      <c r="B1466" s="28" t="s">
        <v>946</v>
      </c>
      <c r="C1466" s="28" t="s">
        <v>947</v>
      </c>
      <c r="D1466" s="28" t="s">
        <v>98</v>
      </c>
      <c r="E1466" s="28" t="s">
        <v>741</v>
      </c>
      <c r="F1466" s="29" t="s">
        <v>825</v>
      </c>
      <c r="G1466" s="30">
        <v>6</v>
      </c>
      <c r="H1466" s="31">
        <v>1003</v>
      </c>
      <c r="I1466" s="39"/>
      <c r="J1466" s="31">
        <f t="shared" si="204"/>
        <v>1003</v>
      </c>
      <c r="K1466" s="33">
        <f t="shared" si="205"/>
        <v>6018</v>
      </c>
      <c r="L1466" s="34" t="s">
        <v>28</v>
      </c>
      <c r="M1466" s="35"/>
      <c r="O1466" s="21">
        <v>1016.18</v>
      </c>
      <c r="P1466" s="37" t="s">
        <v>948</v>
      </c>
      <c r="Q1466" s="51"/>
      <c r="R1466" s="51"/>
      <c r="S1466" s="3"/>
      <c r="T1466" s="3"/>
    </row>
    <row r="1467" s="6" customFormat="1" ht="60" customHeight="1" outlineLevel="2" spans="1:20">
      <c r="A1467" s="50">
        <f t="shared" si="206"/>
        <v>5</v>
      </c>
      <c r="B1467" s="28" t="s">
        <v>949</v>
      </c>
      <c r="C1467" s="28" t="s">
        <v>950</v>
      </c>
      <c r="D1467" s="28" t="s">
        <v>98</v>
      </c>
      <c r="E1467" s="28" t="s">
        <v>741</v>
      </c>
      <c r="F1467" s="29" t="s">
        <v>825</v>
      </c>
      <c r="G1467" s="30">
        <v>7</v>
      </c>
      <c r="H1467" s="31">
        <v>5793.8</v>
      </c>
      <c r="I1467" s="39"/>
      <c r="J1467" s="31">
        <f t="shared" si="204"/>
        <v>5793.8</v>
      </c>
      <c r="K1467" s="33">
        <f t="shared" si="205"/>
        <v>40556.6</v>
      </c>
      <c r="L1467" s="34" t="s">
        <v>28</v>
      </c>
      <c r="M1467" s="35"/>
      <c r="O1467" s="21">
        <v>3635.5</v>
      </c>
      <c r="P1467" s="37" t="s">
        <v>951</v>
      </c>
      <c r="Q1467" s="51"/>
      <c r="R1467" s="51"/>
      <c r="S1467" s="3"/>
      <c r="T1467" s="3"/>
    </row>
    <row r="1468" s="6" customFormat="1" ht="60" customHeight="1" outlineLevel="2" spans="1:20">
      <c r="A1468" s="50">
        <f t="shared" si="206"/>
        <v>6</v>
      </c>
      <c r="B1468" s="28" t="s">
        <v>952</v>
      </c>
      <c r="C1468" s="28" t="s">
        <v>953</v>
      </c>
      <c r="D1468" s="28" t="s">
        <v>98</v>
      </c>
      <c r="E1468" s="28" t="s">
        <v>741</v>
      </c>
      <c r="F1468" s="29" t="s">
        <v>825</v>
      </c>
      <c r="G1468" s="30">
        <v>1</v>
      </c>
      <c r="H1468" s="31">
        <v>2489.8</v>
      </c>
      <c r="I1468" s="39"/>
      <c r="J1468" s="31">
        <f t="shared" si="204"/>
        <v>2489.8</v>
      </c>
      <c r="K1468" s="33">
        <f t="shared" si="205"/>
        <v>2489.8</v>
      </c>
      <c r="L1468" s="34" t="s">
        <v>28</v>
      </c>
      <c r="M1468" s="35"/>
      <c r="O1468" s="21">
        <v>1309</v>
      </c>
      <c r="P1468" s="37" t="s">
        <v>954</v>
      </c>
      <c r="Q1468" s="51"/>
      <c r="R1468" s="51"/>
      <c r="S1468" s="3"/>
      <c r="T1468" s="3"/>
    </row>
    <row r="1469" s="6" customFormat="1" ht="60" customHeight="1" outlineLevel="2" spans="1:20">
      <c r="A1469" s="50">
        <f t="shared" si="206"/>
        <v>7</v>
      </c>
      <c r="B1469" s="28" t="s">
        <v>955</v>
      </c>
      <c r="C1469" s="28" t="s">
        <v>956</v>
      </c>
      <c r="D1469" s="28" t="s">
        <v>98</v>
      </c>
      <c r="E1469" s="28" t="s">
        <v>741</v>
      </c>
      <c r="F1469" s="29" t="s">
        <v>825</v>
      </c>
      <c r="G1469" s="30">
        <v>4</v>
      </c>
      <c r="H1469" s="31">
        <v>4248</v>
      </c>
      <c r="I1469" s="39"/>
      <c r="J1469" s="31">
        <f t="shared" si="204"/>
        <v>4248</v>
      </c>
      <c r="K1469" s="33">
        <f t="shared" si="205"/>
        <v>16992</v>
      </c>
      <c r="L1469" s="34" t="s">
        <v>28</v>
      </c>
      <c r="M1469" s="35"/>
      <c r="O1469" s="21">
        <v>1050.5</v>
      </c>
      <c r="P1469" s="37" t="s">
        <v>957</v>
      </c>
      <c r="Q1469" s="51"/>
      <c r="R1469" s="51"/>
      <c r="S1469" s="3"/>
      <c r="T1469" s="3"/>
    </row>
    <row r="1470" s="6" customFormat="1" ht="48" customHeight="1" outlineLevel="2" spans="1:20">
      <c r="A1470" s="50">
        <f t="shared" si="206"/>
        <v>8</v>
      </c>
      <c r="B1470" s="28" t="s">
        <v>958</v>
      </c>
      <c r="C1470" s="28" t="s">
        <v>959</v>
      </c>
      <c r="D1470" s="28" t="s">
        <v>98</v>
      </c>
      <c r="E1470" s="28" t="s">
        <v>741</v>
      </c>
      <c r="F1470" s="29" t="s">
        <v>825</v>
      </c>
      <c r="G1470" s="30">
        <v>1</v>
      </c>
      <c r="H1470" s="31">
        <v>507.4</v>
      </c>
      <c r="I1470" s="39"/>
      <c r="J1470" s="31">
        <f t="shared" si="204"/>
        <v>507.4</v>
      </c>
      <c r="K1470" s="33">
        <f t="shared" si="205"/>
        <v>507.4</v>
      </c>
      <c r="L1470" s="34" t="s">
        <v>28</v>
      </c>
      <c r="M1470" s="35"/>
      <c r="O1470" s="21">
        <v>419.1</v>
      </c>
      <c r="P1470" s="37" t="s">
        <v>960</v>
      </c>
      <c r="Q1470" s="51"/>
      <c r="R1470" s="51"/>
      <c r="S1470" s="3"/>
      <c r="T1470" s="3"/>
    </row>
    <row r="1471" s="6" customFormat="1" ht="48" customHeight="1" outlineLevel="2" spans="1:20">
      <c r="A1471" s="50">
        <f t="shared" si="206"/>
        <v>9</v>
      </c>
      <c r="B1471" s="28" t="s">
        <v>961</v>
      </c>
      <c r="C1471" s="28" t="s">
        <v>962</v>
      </c>
      <c r="D1471" s="28" t="s">
        <v>98</v>
      </c>
      <c r="E1471" s="28" t="s">
        <v>741</v>
      </c>
      <c r="F1471" s="29" t="s">
        <v>825</v>
      </c>
      <c r="G1471" s="30">
        <v>2</v>
      </c>
      <c r="H1471" s="31">
        <v>208.86</v>
      </c>
      <c r="I1471" s="39"/>
      <c r="J1471" s="31">
        <f t="shared" si="204"/>
        <v>208.86</v>
      </c>
      <c r="K1471" s="33">
        <f t="shared" si="205"/>
        <v>417.72</v>
      </c>
      <c r="L1471" s="34" t="s">
        <v>28</v>
      </c>
      <c r="M1471" s="35"/>
      <c r="O1471" s="21">
        <v>62.48</v>
      </c>
      <c r="P1471" s="37" t="s">
        <v>963</v>
      </c>
      <c r="Q1471" s="51"/>
      <c r="R1471" s="51"/>
      <c r="S1471" s="3"/>
      <c r="T1471" s="3"/>
    </row>
    <row r="1472" s="6" customFormat="1" ht="48" customHeight="1" outlineLevel="2" spans="1:20">
      <c r="A1472" s="50">
        <f t="shared" si="206"/>
        <v>10</v>
      </c>
      <c r="B1472" s="28" t="s">
        <v>964</v>
      </c>
      <c r="C1472" s="28" t="s">
        <v>965</v>
      </c>
      <c r="D1472" s="28" t="s">
        <v>98</v>
      </c>
      <c r="E1472" s="28" t="s">
        <v>741</v>
      </c>
      <c r="F1472" s="29" t="s">
        <v>175</v>
      </c>
      <c r="G1472" s="30">
        <v>4</v>
      </c>
      <c r="H1472" s="31">
        <v>3138.8</v>
      </c>
      <c r="I1472" s="39"/>
      <c r="J1472" s="31">
        <f t="shared" si="204"/>
        <v>3138.8</v>
      </c>
      <c r="K1472" s="33">
        <f t="shared" si="205"/>
        <v>12555.2</v>
      </c>
      <c r="L1472" s="34" t="s">
        <v>28</v>
      </c>
      <c r="M1472" s="35"/>
      <c r="O1472" s="21">
        <v>1276</v>
      </c>
      <c r="P1472" s="37" t="s">
        <v>966</v>
      </c>
      <c r="Q1472" s="51"/>
      <c r="R1472" s="51"/>
      <c r="S1472" s="3"/>
      <c r="T1472" s="3"/>
    </row>
    <row r="1473" s="6" customFormat="1" ht="48" customHeight="1" outlineLevel="2" spans="1:20">
      <c r="A1473" s="50">
        <f t="shared" si="206"/>
        <v>11</v>
      </c>
      <c r="B1473" s="28" t="s">
        <v>967</v>
      </c>
      <c r="C1473" s="28" t="s">
        <v>968</v>
      </c>
      <c r="D1473" s="28" t="s">
        <v>98</v>
      </c>
      <c r="E1473" s="28" t="s">
        <v>741</v>
      </c>
      <c r="F1473" s="29" t="s">
        <v>825</v>
      </c>
      <c r="G1473" s="30">
        <v>14</v>
      </c>
      <c r="H1473" s="31">
        <v>109.74</v>
      </c>
      <c r="I1473" s="39"/>
      <c r="J1473" s="31">
        <f t="shared" si="204"/>
        <v>109.74</v>
      </c>
      <c r="K1473" s="33">
        <f t="shared" si="205"/>
        <v>1536.36</v>
      </c>
      <c r="L1473" s="34" t="s">
        <v>28</v>
      </c>
      <c r="M1473" s="35"/>
      <c r="O1473" s="21">
        <v>89.65</v>
      </c>
      <c r="P1473" s="37" t="s">
        <v>969</v>
      </c>
      <c r="Q1473" s="51"/>
      <c r="R1473" s="51"/>
      <c r="S1473" s="3"/>
      <c r="T1473" s="3"/>
    </row>
    <row r="1474" s="6" customFormat="1" ht="48" customHeight="1" outlineLevel="2" spans="1:20">
      <c r="A1474" s="50">
        <f>A1472+1</f>
        <v>11</v>
      </c>
      <c r="B1474" s="28" t="s">
        <v>970</v>
      </c>
      <c r="C1474" s="28" t="s">
        <v>971</v>
      </c>
      <c r="D1474" s="28" t="s">
        <v>98</v>
      </c>
      <c r="E1474" s="28" t="s">
        <v>741</v>
      </c>
      <c r="F1474" s="29" t="s">
        <v>825</v>
      </c>
      <c r="G1474" s="30">
        <v>4</v>
      </c>
      <c r="H1474" s="31">
        <v>814.2</v>
      </c>
      <c r="I1474" s="39"/>
      <c r="J1474" s="31">
        <f t="shared" si="204"/>
        <v>814.2</v>
      </c>
      <c r="K1474" s="33">
        <f t="shared" si="205"/>
        <v>3256.8</v>
      </c>
      <c r="L1474" s="34" t="s">
        <v>28</v>
      </c>
      <c r="M1474" s="35"/>
      <c r="O1474" s="21">
        <v>368.28</v>
      </c>
      <c r="P1474" s="37" t="s">
        <v>972</v>
      </c>
      <c r="Q1474" s="51"/>
      <c r="R1474" s="51"/>
      <c r="S1474" s="3"/>
      <c r="T1474" s="3"/>
    </row>
    <row r="1475" s="6" customFormat="1" ht="72" customHeight="1" outlineLevel="2" spans="1:20">
      <c r="A1475" s="50">
        <f t="shared" ref="A1475:A1486" si="207">A1474+1</f>
        <v>12</v>
      </c>
      <c r="B1475" s="28" t="s">
        <v>973</v>
      </c>
      <c r="C1475" s="28" t="s">
        <v>974</v>
      </c>
      <c r="D1475" s="28" t="s">
        <v>975</v>
      </c>
      <c r="E1475" s="28" t="s">
        <v>976</v>
      </c>
      <c r="F1475" s="29" t="s">
        <v>39</v>
      </c>
      <c r="G1475" s="30">
        <v>172.17</v>
      </c>
      <c r="H1475" s="31">
        <v>23.87</v>
      </c>
      <c r="I1475" s="39"/>
      <c r="J1475" s="31">
        <f t="shared" si="204"/>
        <v>23.87</v>
      </c>
      <c r="K1475" s="33">
        <f t="shared" si="205"/>
        <v>4109.7</v>
      </c>
      <c r="L1475" s="34" t="s">
        <v>28</v>
      </c>
      <c r="M1475" s="35"/>
      <c r="O1475" s="21">
        <v>26.5056</v>
      </c>
      <c r="P1475" s="37" t="s">
        <v>977</v>
      </c>
      <c r="Q1475" s="51"/>
      <c r="R1475" s="51"/>
      <c r="S1475" s="3"/>
      <c r="T1475" s="3"/>
    </row>
    <row r="1476" s="6" customFormat="1" ht="72" customHeight="1" outlineLevel="2" spans="1:20">
      <c r="A1476" s="50">
        <f t="shared" si="207"/>
        <v>13</v>
      </c>
      <c r="B1476" s="28" t="s">
        <v>978</v>
      </c>
      <c r="C1476" s="28" t="s">
        <v>979</v>
      </c>
      <c r="D1476" s="28" t="s">
        <v>975</v>
      </c>
      <c r="E1476" s="28" t="s">
        <v>976</v>
      </c>
      <c r="F1476" s="29" t="s">
        <v>39</v>
      </c>
      <c r="G1476" s="30">
        <v>9.87</v>
      </c>
      <c r="H1476" s="31">
        <v>26.01</v>
      </c>
      <c r="I1476" s="39"/>
      <c r="J1476" s="31">
        <f t="shared" si="204"/>
        <v>26.01</v>
      </c>
      <c r="K1476" s="33">
        <f t="shared" si="205"/>
        <v>256.72</v>
      </c>
      <c r="L1476" s="34" t="s">
        <v>28</v>
      </c>
      <c r="M1476" s="35"/>
      <c r="O1476" s="21">
        <v>27.19673</v>
      </c>
      <c r="P1476" s="37" t="s">
        <v>980</v>
      </c>
      <c r="Q1476" s="51"/>
      <c r="R1476" s="51"/>
      <c r="S1476" s="3"/>
      <c r="T1476" s="3"/>
    </row>
    <row r="1477" s="6" customFormat="1" ht="72" customHeight="1" outlineLevel="2" spans="1:20">
      <c r="A1477" s="50">
        <f t="shared" si="207"/>
        <v>14</v>
      </c>
      <c r="B1477" s="28" t="s">
        <v>981</v>
      </c>
      <c r="C1477" s="28" t="s">
        <v>982</v>
      </c>
      <c r="D1477" s="28" t="s">
        <v>975</v>
      </c>
      <c r="E1477" s="28" t="s">
        <v>976</v>
      </c>
      <c r="F1477" s="29" t="s">
        <v>39</v>
      </c>
      <c r="G1477" s="30">
        <v>23.27</v>
      </c>
      <c r="H1477" s="31">
        <v>29.42</v>
      </c>
      <c r="I1477" s="39"/>
      <c r="J1477" s="31">
        <f t="shared" si="204"/>
        <v>29.42</v>
      </c>
      <c r="K1477" s="33">
        <f t="shared" si="205"/>
        <v>684.6</v>
      </c>
      <c r="L1477" s="34" t="s">
        <v>28</v>
      </c>
      <c r="M1477" s="35"/>
      <c r="O1477" s="21">
        <v>29.1115</v>
      </c>
      <c r="P1477" s="37" t="s">
        <v>983</v>
      </c>
      <c r="Q1477" s="51"/>
      <c r="R1477" s="51"/>
      <c r="S1477" s="3"/>
      <c r="T1477" s="3"/>
    </row>
    <row r="1478" s="6" customFormat="1" ht="72" customHeight="1" outlineLevel="2" spans="1:20">
      <c r="A1478" s="50">
        <f t="shared" si="207"/>
        <v>15</v>
      </c>
      <c r="B1478" s="28" t="s">
        <v>984</v>
      </c>
      <c r="C1478" s="28" t="s">
        <v>985</v>
      </c>
      <c r="D1478" s="28" t="s">
        <v>975</v>
      </c>
      <c r="E1478" s="28" t="s">
        <v>976</v>
      </c>
      <c r="F1478" s="29" t="s">
        <v>39</v>
      </c>
      <c r="G1478" s="30">
        <v>20.72</v>
      </c>
      <c r="H1478" s="31">
        <v>36.14</v>
      </c>
      <c r="I1478" s="39"/>
      <c r="J1478" s="31">
        <f t="shared" si="204"/>
        <v>36.14</v>
      </c>
      <c r="K1478" s="33">
        <f t="shared" si="205"/>
        <v>748.82</v>
      </c>
      <c r="L1478" s="34" t="s">
        <v>28</v>
      </c>
      <c r="M1478" s="35"/>
      <c r="O1478" s="21">
        <v>39.3085</v>
      </c>
      <c r="P1478" s="37" t="s">
        <v>986</v>
      </c>
      <c r="Q1478" s="51"/>
      <c r="R1478" s="51"/>
      <c r="S1478" s="3"/>
      <c r="T1478" s="3"/>
    </row>
    <row r="1479" s="6" customFormat="1" ht="72" customHeight="1" outlineLevel="2" spans="1:20">
      <c r="A1479" s="50">
        <f t="shared" si="207"/>
        <v>16</v>
      </c>
      <c r="B1479" s="28" t="s">
        <v>987</v>
      </c>
      <c r="C1479" s="28" t="s">
        <v>988</v>
      </c>
      <c r="D1479" s="28" t="s">
        <v>975</v>
      </c>
      <c r="E1479" s="28" t="s">
        <v>976</v>
      </c>
      <c r="F1479" s="29" t="s">
        <v>39</v>
      </c>
      <c r="G1479" s="30">
        <v>12.6</v>
      </c>
      <c r="H1479" s="31">
        <v>46.21</v>
      </c>
      <c r="I1479" s="39"/>
      <c r="J1479" s="31">
        <f t="shared" si="204"/>
        <v>46.21</v>
      </c>
      <c r="K1479" s="33">
        <f t="shared" si="205"/>
        <v>582.25</v>
      </c>
      <c r="L1479" s="34" t="s">
        <v>28</v>
      </c>
      <c r="M1479" s="35"/>
      <c r="O1479" s="21">
        <v>45.54</v>
      </c>
      <c r="P1479" s="37" t="s">
        <v>989</v>
      </c>
      <c r="Q1479" s="51"/>
      <c r="R1479" s="51"/>
      <c r="S1479" s="3"/>
      <c r="T1479" s="3"/>
    </row>
    <row r="1480" s="6" customFormat="1" ht="72" customHeight="1" outlineLevel="2" spans="1:20">
      <c r="A1480" s="50">
        <f t="shared" si="207"/>
        <v>17</v>
      </c>
      <c r="B1480" s="28" t="s">
        <v>990</v>
      </c>
      <c r="C1480" s="28" t="s">
        <v>991</v>
      </c>
      <c r="D1480" s="28" t="s">
        <v>975</v>
      </c>
      <c r="E1480" s="28" t="s">
        <v>976</v>
      </c>
      <c r="F1480" s="29" t="s">
        <v>39</v>
      </c>
      <c r="G1480" s="30">
        <v>59.62</v>
      </c>
      <c r="H1480" s="31">
        <v>24.74</v>
      </c>
      <c r="I1480" s="39"/>
      <c r="J1480" s="31">
        <f t="shared" si="204"/>
        <v>24.74</v>
      </c>
      <c r="K1480" s="33">
        <f t="shared" si="205"/>
        <v>1475</v>
      </c>
      <c r="L1480" s="34" t="s">
        <v>28</v>
      </c>
      <c r="M1480" s="35"/>
      <c r="O1480" s="21">
        <v>27.0721</v>
      </c>
      <c r="P1480" s="37" t="s">
        <v>992</v>
      </c>
      <c r="Q1480" s="51"/>
      <c r="R1480" s="51"/>
      <c r="S1480" s="3"/>
      <c r="T1480" s="3"/>
    </row>
    <row r="1481" s="6" customFormat="1" ht="72" customHeight="1" outlineLevel="2" spans="1:20">
      <c r="A1481" s="50">
        <f t="shared" si="207"/>
        <v>18</v>
      </c>
      <c r="B1481" s="28" t="s">
        <v>993</v>
      </c>
      <c r="C1481" s="28" t="s">
        <v>994</v>
      </c>
      <c r="D1481" s="28" t="s">
        <v>975</v>
      </c>
      <c r="E1481" s="28" t="s">
        <v>976</v>
      </c>
      <c r="F1481" s="29" t="s">
        <v>39</v>
      </c>
      <c r="G1481" s="30">
        <v>11.64</v>
      </c>
      <c r="H1481" s="31">
        <v>27.21</v>
      </c>
      <c r="I1481" s="39"/>
      <c r="J1481" s="31">
        <f t="shared" si="204"/>
        <v>27.21</v>
      </c>
      <c r="K1481" s="33">
        <f t="shared" si="205"/>
        <v>316.72</v>
      </c>
      <c r="L1481" s="34" t="s">
        <v>28</v>
      </c>
      <c r="M1481" s="35"/>
      <c r="O1481" s="21">
        <v>27.7519</v>
      </c>
      <c r="P1481" s="37" t="s">
        <v>995</v>
      </c>
      <c r="Q1481" s="51"/>
      <c r="R1481" s="51"/>
      <c r="S1481" s="3"/>
      <c r="T1481" s="3"/>
    </row>
    <row r="1482" s="6" customFormat="1" ht="72" customHeight="1" outlineLevel="2" spans="1:20">
      <c r="A1482" s="50">
        <f t="shared" si="207"/>
        <v>19</v>
      </c>
      <c r="B1482" s="28" t="s">
        <v>996</v>
      </c>
      <c r="C1482" s="28" t="s">
        <v>997</v>
      </c>
      <c r="D1482" s="28" t="s">
        <v>975</v>
      </c>
      <c r="E1482" s="28" t="s">
        <v>976</v>
      </c>
      <c r="F1482" s="29" t="s">
        <v>39</v>
      </c>
      <c r="G1482" s="30">
        <v>48.66</v>
      </c>
      <c r="H1482" s="31">
        <v>31.56</v>
      </c>
      <c r="I1482" s="39"/>
      <c r="J1482" s="31">
        <f t="shared" si="204"/>
        <v>31.56</v>
      </c>
      <c r="K1482" s="33">
        <f t="shared" si="205"/>
        <v>1535.71</v>
      </c>
      <c r="L1482" s="34" t="s">
        <v>28</v>
      </c>
      <c r="M1482" s="35"/>
      <c r="O1482" s="21">
        <v>29.7913</v>
      </c>
      <c r="P1482" s="37" t="s">
        <v>998</v>
      </c>
      <c r="Q1482" s="51"/>
      <c r="R1482" s="51"/>
      <c r="S1482" s="3"/>
      <c r="T1482" s="3"/>
    </row>
    <row r="1483" s="6" customFormat="1" ht="48" customHeight="1" outlineLevel="2" spans="1:20">
      <c r="A1483" s="50">
        <f t="shared" si="207"/>
        <v>20</v>
      </c>
      <c r="B1483" s="28" t="s">
        <v>999</v>
      </c>
      <c r="C1483" s="28" t="s">
        <v>1000</v>
      </c>
      <c r="D1483" s="28" t="s">
        <v>975</v>
      </c>
      <c r="E1483" s="28" t="s">
        <v>976</v>
      </c>
      <c r="F1483" s="29" t="s">
        <v>39</v>
      </c>
      <c r="G1483" s="30">
        <v>42.54</v>
      </c>
      <c r="H1483" s="31">
        <v>40.93</v>
      </c>
      <c r="I1483" s="39"/>
      <c r="J1483" s="31">
        <f t="shared" si="204"/>
        <v>40.93</v>
      </c>
      <c r="K1483" s="33">
        <f t="shared" si="205"/>
        <v>1741.16</v>
      </c>
      <c r="L1483" s="34" t="s">
        <v>28</v>
      </c>
      <c r="M1483" s="35"/>
      <c r="O1483" s="21">
        <v>34.32</v>
      </c>
      <c r="P1483" s="37" t="s">
        <v>1001</v>
      </c>
      <c r="Q1483" s="51"/>
      <c r="R1483" s="51"/>
      <c r="S1483" s="3"/>
      <c r="T1483" s="3"/>
    </row>
    <row r="1484" s="6" customFormat="1" ht="48" customHeight="1" outlineLevel="2" spans="1:20">
      <c r="A1484" s="50">
        <f t="shared" si="207"/>
        <v>21</v>
      </c>
      <c r="B1484" s="28" t="s">
        <v>1002</v>
      </c>
      <c r="C1484" s="28" t="s">
        <v>1003</v>
      </c>
      <c r="D1484" s="28" t="s">
        <v>975</v>
      </c>
      <c r="E1484" s="28" t="s">
        <v>976</v>
      </c>
      <c r="F1484" s="29" t="s">
        <v>39</v>
      </c>
      <c r="G1484" s="30">
        <v>13.51</v>
      </c>
      <c r="H1484" s="31">
        <v>48.64</v>
      </c>
      <c r="I1484" s="39"/>
      <c r="J1484" s="31">
        <f t="shared" si="204"/>
        <v>48.64</v>
      </c>
      <c r="K1484" s="33">
        <f t="shared" si="205"/>
        <v>657.13</v>
      </c>
      <c r="L1484" s="34" t="s">
        <v>28</v>
      </c>
      <c r="M1484" s="35"/>
      <c r="O1484" s="21">
        <v>70.95</v>
      </c>
      <c r="P1484" s="37" t="s">
        <v>1004</v>
      </c>
      <c r="Q1484" s="51"/>
      <c r="R1484" s="51"/>
      <c r="S1484" s="3"/>
      <c r="T1484" s="3"/>
    </row>
    <row r="1485" s="6" customFormat="1" ht="48" customHeight="1" outlineLevel="2" spans="1:20">
      <c r="A1485" s="50">
        <f t="shared" si="207"/>
        <v>22</v>
      </c>
      <c r="B1485" s="28" t="s">
        <v>1005</v>
      </c>
      <c r="C1485" s="28" t="s">
        <v>1006</v>
      </c>
      <c r="D1485" s="28" t="s">
        <v>975</v>
      </c>
      <c r="E1485" s="28" t="s">
        <v>976</v>
      </c>
      <c r="F1485" s="29" t="s">
        <v>39</v>
      </c>
      <c r="G1485" s="30">
        <v>121.48</v>
      </c>
      <c r="H1485" s="31">
        <v>62.38</v>
      </c>
      <c r="I1485" s="39"/>
      <c r="J1485" s="31">
        <f t="shared" si="204"/>
        <v>62.38</v>
      </c>
      <c r="K1485" s="33">
        <f t="shared" si="205"/>
        <v>7577.92</v>
      </c>
      <c r="L1485" s="34" t="s">
        <v>28</v>
      </c>
      <c r="M1485" s="35"/>
      <c r="O1485" s="21">
        <v>102.08</v>
      </c>
      <c r="P1485" s="37" t="s">
        <v>1007</v>
      </c>
      <c r="Q1485" s="51"/>
      <c r="R1485" s="51"/>
      <c r="S1485" s="3"/>
      <c r="T1485" s="3"/>
    </row>
    <row r="1486" s="6" customFormat="1" ht="48" customHeight="1" outlineLevel="2" spans="1:20">
      <c r="A1486" s="50">
        <f t="shared" si="207"/>
        <v>23</v>
      </c>
      <c r="B1486" s="28" t="s">
        <v>1008</v>
      </c>
      <c r="C1486" s="28" t="s">
        <v>1009</v>
      </c>
      <c r="D1486" s="28" t="s">
        <v>98</v>
      </c>
      <c r="E1486" s="28" t="s">
        <v>741</v>
      </c>
      <c r="F1486" s="29" t="s">
        <v>825</v>
      </c>
      <c r="G1486" s="30">
        <v>1</v>
      </c>
      <c r="H1486" s="31">
        <v>160.48</v>
      </c>
      <c r="I1486" s="39"/>
      <c r="J1486" s="31">
        <f t="shared" si="204"/>
        <v>160.48</v>
      </c>
      <c r="K1486" s="33">
        <f t="shared" si="205"/>
        <v>160.48</v>
      </c>
      <c r="L1486" s="34" t="s">
        <v>28</v>
      </c>
      <c r="M1486" s="35"/>
      <c r="O1486" s="21">
        <v>155.65</v>
      </c>
      <c r="P1486" s="37" t="s">
        <v>1010</v>
      </c>
      <c r="Q1486" s="51"/>
      <c r="R1486" s="51"/>
      <c r="S1486" s="3"/>
      <c r="T1486" s="3"/>
    </row>
    <row r="1487" spans="1:20">
      <c r="A1487" s="43" t="s">
        <v>123</v>
      </c>
      <c r="B1487" s="28" t="s">
        <v>685</v>
      </c>
      <c r="C1487" s="28"/>
      <c r="D1487" s="28"/>
      <c r="E1487" s="28"/>
      <c r="F1487" s="29"/>
      <c r="G1487" s="30"/>
      <c r="H1487" s="31"/>
      <c r="I1487" s="39"/>
      <c r="J1487" s="31"/>
      <c r="K1487" s="46"/>
      <c r="L1487" s="34"/>
      <c r="M1487" s="35"/>
      <c r="P1487" s="37"/>
      <c r="S1487" s="3"/>
      <c r="T1487" s="3"/>
    </row>
    <row r="1488" s="4" customFormat="1" spans="1:20">
      <c r="A1488" s="43" t="s">
        <v>20</v>
      </c>
      <c r="B1488" s="17" t="s">
        <v>1011</v>
      </c>
      <c r="C1488" s="28"/>
      <c r="D1488" s="28"/>
      <c r="E1488" s="28"/>
      <c r="F1488" s="29"/>
      <c r="G1488" s="30"/>
      <c r="H1488" s="31"/>
      <c r="I1488" s="39"/>
      <c r="J1488" s="31"/>
      <c r="K1488" s="33"/>
      <c r="L1488" s="34"/>
      <c r="M1488" s="35"/>
      <c r="O1488" s="44"/>
      <c r="P1488" s="37"/>
      <c r="S1488" s="3"/>
      <c r="T1488" s="3"/>
    </row>
    <row r="1489" s="4" customFormat="1" ht="48" customHeight="1" outlineLevel="1" spans="1:20">
      <c r="A1489" s="57">
        <v>1</v>
      </c>
      <c r="B1489" s="28" t="s">
        <v>1012</v>
      </c>
      <c r="C1489" s="28" t="s">
        <v>1013</v>
      </c>
      <c r="D1489" s="28" t="s">
        <v>98</v>
      </c>
      <c r="E1489" s="28" t="s">
        <v>115</v>
      </c>
      <c r="F1489" s="29" t="s">
        <v>27</v>
      </c>
      <c r="G1489" s="30">
        <v>3700.17</v>
      </c>
      <c r="H1489" s="31">
        <v>29.5</v>
      </c>
      <c r="I1489" s="39"/>
      <c r="J1489" s="31">
        <f>H1489*(1-$I$4)</f>
        <v>29.5</v>
      </c>
      <c r="K1489" s="33">
        <f>ROUND(G1489*J1489,2)</f>
        <v>109155.02</v>
      </c>
      <c r="L1489" s="34" t="s">
        <v>28</v>
      </c>
      <c r="M1489" s="35"/>
      <c r="O1489" s="21">
        <v>19.8</v>
      </c>
      <c r="P1489" s="37" t="s">
        <v>1014</v>
      </c>
      <c r="S1489" s="3"/>
      <c r="T1489" s="3"/>
    </row>
    <row r="1490" s="4" customFormat="1" ht="48" customHeight="1" outlineLevel="1" spans="1:20">
      <c r="A1490" s="57">
        <v>2</v>
      </c>
      <c r="B1490" s="28" t="s">
        <v>1015</v>
      </c>
      <c r="C1490" s="28" t="s">
        <v>1016</v>
      </c>
      <c r="D1490" s="28" t="s">
        <v>98</v>
      </c>
      <c r="E1490" s="28" t="s">
        <v>1017</v>
      </c>
      <c r="F1490" s="29" t="s">
        <v>27</v>
      </c>
      <c r="G1490" s="30">
        <v>3700.17</v>
      </c>
      <c r="H1490" s="31">
        <v>17.7</v>
      </c>
      <c r="I1490" s="39"/>
      <c r="J1490" s="31">
        <f>H1490*(1-$I$4)</f>
        <v>17.7</v>
      </c>
      <c r="K1490" s="33">
        <f>ROUND(G1490*J1490,2)</f>
        <v>65493.01</v>
      </c>
      <c r="L1490" s="34" t="s">
        <v>28</v>
      </c>
      <c r="M1490" s="35"/>
      <c r="O1490" s="21">
        <v>19.8</v>
      </c>
      <c r="P1490" s="37" t="s">
        <v>1018</v>
      </c>
      <c r="S1490" s="3"/>
      <c r="T1490" s="3"/>
    </row>
    <row r="1491" s="4" customFormat="1" spans="1:20">
      <c r="A1491" s="43"/>
      <c r="B1491" s="43" t="s">
        <v>1019</v>
      </c>
      <c r="C1491" s="43"/>
      <c r="D1491" s="43"/>
      <c r="E1491" s="43"/>
      <c r="F1491" s="43"/>
      <c r="G1491" s="58"/>
      <c r="H1491" s="46"/>
      <c r="I1491" s="23"/>
      <c r="J1491" s="46"/>
      <c r="K1491" s="46">
        <f>SUM(K7:K1490)</f>
        <v>14931995.38</v>
      </c>
      <c r="L1491" s="59"/>
      <c r="M1491" s="43"/>
      <c r="O1491" s="44">
        <v>8039199.04787601</v>
      </c>
      <c r="P1491" s="60"/>
      <c r="Q1491" s="4">
        <f>+K1491-O1491</f>
        <v>6892796.33212403</v>
      </c>
    </row>
    <row r="1492" spans="1:20">
      <c r="A1492" s="43"/>
      <c r="B1492" s="43" t="s">
        <v>1020</v>
      </c>
      <c r="C1492" s="43"/>
      <c r="D1492" s="43"/>
      <c r="E1492" s="43"/>
      <c r="F1492" s="43"/>
      <c r="G1492" s="58"/>
      <c r="H1492" s="46"/>
      <c r="I1492" s="61"/>
      <c r="J1492" s="46"/>
      <c r="K1492" s="46">
        <f>+K1491*0.09</f>
        <v>1343879.5842</v>
      </c>
      <c r="L1492" s="59"/>
      <c r="M1492" s="43"/>
    </row>
    <row r="1493" spans="1:20">
      <c r="A1493" s="43"/>
      <c r="B1493" s="43" t="s">
        <v>1021</v>
      </c>
      <c r="C1493" s="43"/>
      <c r="D1493" s="43"/>
      <c r="E1493" s="43"/>
      <c r="F1493" s="43"/>
      <c r="G1493" s="58"/>
      <c r="H1493" s="46"/>
      <c r="I1493" s="61"/>
      <c r="J1493" s="46"/>
      <c r="K1493" s="46">
        <f>+K1491+K1492</f>
        <v>16275874.9642</v>
      </c>
      <c r="L1493" s="59"/>
      <c r="M1493" s="43"/>
    </row>
  </sheetData>
  <autoFilter xmlns:etc="http://www.wps.cn/officeDocument/2017/etCustomData" ref="A3:V1493" etc:filterBottomFollowUsedRange="0">
    <extLst/>
  </autoFilter>
  <mergeCells count="13">
    <mergeCell ref="A1:M1"/>
    <mergeCell ref="J2:K2"/>
    <mergeCell ref="A2:A3"/>
    <mergeCell ref="B2:B3"/>
    <mergeCell ref="C2:C3"/>
    <mergeCell ref="D2:D3"/>
    <mergeCell ref="E2:E3"/>
    <mergeCell ref="F2:F3"/>
    <mergeCell ref="G2:G3"/>
    <mergeCell ref="I2:I3"/>
    <mergeCell ref="I4:I1491"/>
    <mergeCell ref="L2:L3"/>
    <mergeCell ref="M2:M3"/>
  </mergeCells>
  <conditionalFormatting sqref="B2">
    <cfRule type="duplicateValues" dxfId="0" priority="17"/>
  </conditionalFormatting>
  <conditionalFormatting sqref="B4">
    <cfRule type="duplicateValues" dxfId="0" priority="16"/>
  </conditionalFormatting>
  <conditionalFormatting sqref="B168">
    <cfRule type="duplicateValues" dxfId="0" priority="15"/>
  </conditionalFormatting>
  <conditionalFormatting sqref="B336">
    <cfRule type="duplicateValues" dxfId="0" priority="14"/>
  </conditionalFormatting>
  <conditionalFormatting sqref="B448">
    <cfRule type="duplicateValues" dxfId="0" priority="13"/>
  </conditionalFormatting>
  <conditionalFormatting sqref="B911">
    <cfRule type="duplicateValues" dxfId="0" priority="12"/>
  </conditionalFormatting>
  <conditionalFormatting sqref="B1039">
    <cfRule type="duplicateValues" dxfId="0" priority="11"/>
  </conditionalFormatting>
  <conditionalFormatting sqref="B1059">
    <cfRule type="duplicateValues" dxfId="0" priority="10"/>
  </conditionalFormatting>
  <conditionalFormatting sqref="B1080">
    <cfRule type="duplicateValues" dxfId="0" priority="9"/>
  </conditionalFormatting>
  <conditionalFormatting sqref="B1181">
    <cfRule type="duplicateValues" dxfId="0" priority="8"/>
  </conditionalFormatting>
  <conditionalFormatting sqref="B1280">
    <cfRule type="duplicateValues" dxfId="0" priority="7"/>
  </conditionalFormatting>
  <conditionalFormatting sqref="B1379">
    <cfRule type="duplicateValues" dxfId="0" priority="6"/>
  </conditionalFormatting>
  <conditionalFormatting sqref="B1462">
    <cfRule type="duplicateValues" dxfId="0" priority="5"/>
  </conditionalFormatting>
  <conditionalFormatting sqref="B1488">
    <cfRule type="duplicateValues" dxfId="0" priority="4"/>
  </conditionalFormatting>
  <conditionalFormatting sqref="B1491">
    <cfRule type="duplicateValues" dxfId="0" priority="1"/>
  </conditionalFormatting>
  <conditionalFormatting sqref="B1492">
    <cfRule type="duplicateValues" dxfId="0" priority="3"/>
  </conditionalFormatting>
  <conditionalFormatting sqref="B1493">
    <cfRule type="duplicateValues" dxfId="0" priority="2"/>
  </conditionalFormatting>
  <printOptions horizontalCentered="1"/>
  <pageMargins left="0.393055555555556" right="0.393055555555556" top="0.235416666666667" bottom="0.15625" header="0.55" footer="0.235416666666667"/>
  <pageSetup paperSize="9" scale="97" fitToHeight="0" orientation="landscape" blackAndWhite="1"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公区装饰工程量清单-综合单价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DYJ</dc:creator>
  <cp:lastModifiedBy>叶渭淋</cp:lastModifiedBy>
  <dcterms:created xsi:type="dcterms:W3CDTF">2026-08-05T01:08:00Z</dcterms:created>
  <dcterms:modified xsi:type="dcterms:W3CDTF">2026-08-06T01:43:27Z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135E37AC138544A7BF146F3F4F88B1E4_11</vt:lpwstr>
  </property>
  <property fmtid="{D5CDD505-2E9C-101B-9397-08002B2CF9AE}" pid="3" name="KSOProductBuildVer">
    <vt:lpwstr>2052-12.1.0.28043</vt:lpwstr>
  </property>
  <property fmtid="{D5CDD505-2E9C-101B-9397-08002B2CF9AE}" pid="4" name="CalculationRule">
    <vt:i4>0</vt:i4>
  </property>
</Properties>
</file>