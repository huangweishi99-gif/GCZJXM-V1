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门窗清单" sheetId="1" r:id="rId1"/>
  </sheets>
  <definedNames>
    <definedName name="_xlnm._FilterDatabase" localSheetId="0" hidden="1">门窗清单!$A$3:$V$37</definedName>
    <definedName name="_xlnm.Print_Area" localSheetId="0">门窗清单!$A$1:$V$37</definedName>
    <definedName name="_xlnm.Print_Titles" localSheetId="0">门窗清单!$1:$4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<sst xmlns="http://schemas.openxmlformats.org/spreadsheetml/2006/main" count="118" uniqueCount="92">
  <si>
    <t>公区精装工程招标清单</t>
  </si>
  <si>
    <t>工程名称：新霖臻邑花园项目                                              招标内容：室内精装                                      标段：一标段                   单位：元</t>
  </si>
  <si>
    <t>序号</t>
  </si>
  <si>
    <t>分部分项</t>
  </si>
  <si>
    <t>项目特征</t>
  </si>
  <si>
    <t>单价包含工作内容</t>
  </si>
  <si>
    <t>工程量计算规则及依据</t>
  </si>
  <si>
    <t>计量单位</t>
  </si>
  <si>
    <t>1#</t>
  </si>
  <si>
    <t>2#</t>
  </si>
  <si>
    <t>3#</t>
  </si>
  <si>
    <t>4#</t>
  </si>
  <si>
    <t>1#地下室</t>
  </si>
  <si>
    <t>2#地下室</t>
  </si>
  <si>
    <t>3#地下室</t>
  </si>
  <si>
    <t>4#地下室</t>
  </si>
  <si>
    <t>暂定工程量</t>
  </si>
  <si>
    <t>综合单价</t>
  </si>
  <si>
    <t>成本单价分析</t>
  </si>
  <si>
    <t>人工费</t>
  </si>
  <si>
    <t>材料费（主材）</t>
  </si>
  <si>
    <t>辅材+机具+其他措施</t>
  </si>
  <si>
    <t>管理费</t>
  </si>
  <si>
    <t>利润</t>
  </si>
  <si>
    <t>综合单价(不含税)</t>
  </si>
  <si>
    <t>金额(不含税)</t>
  </si>
  <si>
    <t>成本单价</t>
  </si>
  <si>
    <t>主材</t>
  </si>
  <si>
    <t>损耗率</t>
  </si>
  <si>
    <t>人工</t>
  </si>
  <si>
    <t>辅材</t>
  </si>
  <si>
    <t>机械</t>
  </si>
  <si>
    <t>措施费</t>
  </si>
  <si>
    <t>合价</t>
  </si>
  <si>
    <t>塔楼</t>
  </si>
  <si>
    <t>地面工程</t>
  </si>
  <si>
    <t>块料楼地面</t>
  </si>
  <si>
    <t>1.结合层:素水泥浆10mm，1：3干硬性水泥砂浆结合层20mm，水泥膏10mm
2.面层:陶瓷地砖 600mm×600mm
3.满足设计图纸、相关规范及招标文件的要求</t>
  </si>
  <si>
    <t>m2</t>
  </si>
  <si>
    <t>石材零星项目（门槛石）</t>
  </si>
  <si>
    <t>1.找平层厚度、砂浆配合比:素水泥浆10mm，1：3干硬性水泥砂浆10mm
2.结合层:专用胶粘剂粘贴
3.面层:15厚黑金花大理石
4.满足设计图纸、相关规范及招标文件的要求</t>
  </si>
  <si>
    <t>块料地面</t>
  </si>
  <si>
    <t>1.基层处理:素水泥处理
2.结合层:20mm厚1：3于硬性水泥砂浆结合层，表面撒水泥粉
3.面层材料:贴600*600地面砖(CT-01)</t>
  </si>
  <si>
    <t>天棚工程</t>
  </si>
  <si>
    <t>吊顶天棚</t>
  </si>
  <si>
    <t>(1)吊顶形式、吊杆规格、高度:φ8钢筋吊杆,双向吊点,900~1200
(2)龙骨材料种类、规格、中距:轻钢龙骨
(3)基层材料种类、规格:9MM阻燃夹板基层
(4)面层材料品种、规格:9.5mm石膏板
(5)刮白胶腻子找平二遍
(6)孔眼用腻子填平(防锈),阴、阳角及板
(7)接缝处分别贴专用封缝带
(8)刷涂料三遍(一底、二面漆)
(9)满足设计图纸、相关规范及招标文件的要求</t>
  </si>
  <si>
    <t>天棚抹灰(平梁、原顶)</t>
  </si>
  <si>
    <t>(1)刮白胶腻子二遍、刷白色乳胶漆三遍
(2)满足设计图纸、相关规范及招标文件的要求</t>
  </si>
  <si>
    <t>金属装饰线</t>
  </si>
  <si>
    <t>(1)名称:MT01黑色铝条15*15mm
(2)满足设计图纸、相关规范及招标文件的要求</t>
  </si>
  <si>
    <t>m</t>
  </si>
  <si>
    <t>天棚吊顶</t>
  </si>
  <si>
    <t>1.龙骨种类:轻钢龙骨
2.基层材料:9mm奥松板
3.面层材料:9.5mm纸面石膏板，天棚开孔73个
4.腻子遍数:刮腻子三遍
5.油漆遍数:外油白乳胶漆PT-01三遍
6.其他:详见大样图009，02/002</t>
  </si>
  <si>
    <t>悬挑式灯槽</t>
  </si>
  <si>
    <t>1.型式、尺寸:正投影宽度100mm，展开宽度300mm
2.基层材料:9mm奥松板
3.面层材料:9.5mm纸面石膏板
4.腻子遍数:刮腻子三遍
5.油漆遍数:外油白乳胶漆PT-01三遍
6.其他:详见大样</t>
  </si>
  <si>
    <t>1.基层类型:石膏板吊顶
2.线条材料品种、规格、颜色:0.8厚玫瑰金不锈钢装饰线条25mm宽</t>
  </si>
  <si>
    <t>天棚装饰缝</t>
  </si>
  <si>
    <t>1、天棚凹槽描黑</t>
  </si>
  <si>
    <t>墙、柱面装饰工程</t>
  </si>
  <si>
    <t>块料墙面</t>
  </si>
  <si>
    <t>1.水泥石灰浆打底
2.1：1水泥石灰浆(加107胶)粘结层
3.陶瓷 300mm×600mm
4.满足设计图纸、相关规范及招标文件的要求</t>
  </si>
  <si>
    <t>窗台瓷砖</t>
  </si>
  <si>
    <t>1.水泥石灰浆打底
2.1：1水泥石灰浆(加107胶)粘结层、海棠口收边
3.陶瓷 300mm×600mm
4.满足设计图纸、相关规范及招标文件的要求</t>
  </si>
  <si>
    <t>1.结合层:10mm厚1：3于硬性水泥砂浆结合层
2.面层材料:300*600仿米黄墙面砖</t>
  </si>
  <si>
    <t>电梯门套基层</t>
  </si>
  <si>
    <t>1.基层材料：9m胶合板打底
2.部位：电梯门套打底</t>
  </si>
  <si>
    <t>其他工程</t>
  </si>
  <si>
    <t>铁皮封堵</t>
  </si>
  <si>
    <t>电梯厅门地坎用1.5mm镀锌铁皮封堵</t>
  </si>
  <si>
    <t>个</t>
  </si>
  <si>
    <t>安装工程</t>
  </si>
  <si>
    <t>普通灯具</t>
  </si>
  <si>
    <t>(1)名称:筒灯
(2)型号:5W/3000K
(3)类型:吸顶</t>
  </si>
  <si>
    <t>套</t>
  </si>
  <si>
    <t>装饰灯</t>
  </si>
  <si>
    <t>(1)名称:LED灯带
(2)型号:5W/3000K</t>
  </si>
  <si>
    <t>配管</t>
  </si>
  <si>
    <t>(1)名称:电气配管
(2)规格:JDG20
(3)配置形式:暗敷</t>
  </si>
  <si>
    <t>凿(压)槽</t>
  </si>
  <si>
    <t>(1)名称:管道凿墙及恢复JDG20</t>
  </si>
  <si>
    <t>配线</t>
  </si>
  <si>
    <t>(1)名称:管内穿线
(2)规格:WDZ-BYJ-2.5</t>
  </si>
  <si>
    <t>照明开关</t>
  </si>
  <si>
    <t>(1)名称:单联单控开关
(2)型号:250V/10A</t>
  </si>
  <si>
    <t>(1)名称:双联单控开关
(2)型号:250V/10A</t>
  </si>
  <si>
    <t>插座</t>
  </si>
  <si>
    <t>(1)名称:电源插座
(2)型号:250V/10A</t>
  </si>
  <si>
    <t>接线盒</t>
  </si>
  <si>
    <t>(1)名称:线盒</t>
  </si>
  <si>
    <t>不含税合计</t>
  </si>
  <si>
    <t>税金（税率：9%）</t>
  </si>
  <si>
    <t>含税合计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</si>
</sst>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23" formatCode="\$#,##0_);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  <numFmt numFmtId="178" formatCode="0.00_ "/>
    <numFmt numFmtId="179" formatCode="#,##0.00_ "/>
  </numFmts>
  <fonts count="33">
    <font>
      <sz val="11"/>
      <color theme="1"/>
      <name val="宋体"/>
      <charset val="134"/>
      <scheme val="minor"/>
    </font>
    <font>
      <sz val="10"/>
      <color theme="1"/>
      <name val="黑体"/>
      <charset val="134"/>
    </font>
    <font>
      <sz val="10"/>
      <name val="黑体"/>
      <charset val="134"/>
    </font>
    <font>
      <b/>
      <sz val="16"/>
      <name val="黑体"/>
      <charset val="134"/>
    </font>
    <font>
      <sz val="10"/>
      <color rgb="FFFF0000"/>
      <name val="黑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indexed="8"/>
      <name val="黑体"/>
      <charset val="134"/>
    </font>
    <font>
      <sz val="10"/>
      <color theme="1"/>
      <name val="宋体"/>
      <charset val="134"/>
      <scheme val="minor"/>
    </font>
    <font>
      <b/>
      <sz val="10"/>
      <name val="黑体"/>
      <charset val="134"/>
    </font>
    <font>
      <b/>
      <sz val="10"/>
      <color indexed="8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7" applyNumberFormat="0" applyAlignment="0" applyProtection="0">
      <alignment vertical="center"/>
    </xf>
    <xf numFmtId="0" fontId="21" fillId="6" borderId="18" applyNumberFormat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1" fillId="0" borderId="0"/>
    <xf numFmtId="0" fontId="32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vertical="center"/>
    </xf>
    <xf numFmtId="178" fontId="1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10" fontId="1" fillId="0" borderId="0" xfId="3" applyNumberFormat="1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78" fontId="2" fillId="0" borderId="5" xfId="0" applyNumberFormat="1" applyFont="1" applyFill="1" applyBorder="1" applyAlignment="1">
      <alignment horizontal="center" vertical="center" wrapText="1"/>
    </xf>
    <xf numFmtId="178" fontId="5" fillId="0" borderId="6" xfId="0" applyNumberFormat="1" applyFont="1" applyFill="1" applyBorder="1" applyAlignment="1">
      <alignment horizontal="center" vertical="center"/>
    </xf>
    <xf numFmtId="178" fontId="6" fillId="0" borderId="7" xfId="0" applyNumberFormat="1" applyFont="1" applyFill="1" applyBorder="1" applyAlignment="1">
      <alignment horizontal="center" vertical="center"/>
    </xf>
    <xf numFmtId="10" fontId="6" fillId="0" borderId="7" xfId="0" applyNumberFormat="1" applyFont="1" applyFill="1" applyBorder="1" applyAlignment="1">
      <alignment horizontal="center" vertical="center"/>
    </xf>
    <xf numFmtId="178" fontId="6" fillId="0" borderId="8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9" xfId="49" applyFont="1" applyFill="1" applyBorder="1" applyAlignment="1">
      <alignment horizontal="center" vertical="center" wrapText="1"/>
    </xf>
    <xf numFmtId="178" fontId="2" fillId="0" borderId="9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178" fontId="5" fillId="0" borderId="10" xfId="0" applyNumberFormat="1" applyFont="1" applyFill="1" applyBorder="1" applyAlignment="1">
      <alignment horizontal="center" vertical="center" wrapText="1"/>
    </xf>
    <xf numFmtId="178" fontId="5" fillId="0" borderId="11" xfId="0" applyNumberFormat="1" applyFont="1" applyFill="1" applyBorder="1" applyAlignment="1">
      <alignment horizontal="center" vertical="center" wrapText="1"/>
    </xf>
    <xf numFmtId="10" fontId="5" fillId="0" borderId="11" xfId="0" applyNumberFormat="1" applyFont="1" applyFill="1" applyBorder="1" applyAlignment="1">
      <alignment horizontal="center" vertical="center" wrapText="1"/>
    </xf>
    <xf numFmtId="178" fontId="5" fillId="0" borderId="12" xfId="0" applyNumberFormat="1" applyFont="1" applyFill="1" applyBorder="1" applyAlignment="1">
      <alignment horizontal="center" vertical="center" wrapText="1"/>
    </xf>
    <xf numFmtId="0" fontId="2" fillId="0" borderId="9" xfId="49" applyFont="1" applyFill="1" applyBorder="1" applyAlignment="1">
      <alignment horizontal="left" vertical="center" wrapText="1"/>
    </xf>
    <xf numFmtId="178" fontId="2" fillId="0" borderId="13" xfId="0" applyNumberFormat="1" applyFont="1" applyFill="1" applyBorder="1" applyAlignment="1">
      <alignment horizontal="center" vertical="center" wrapText="1"/>
    </xf>
    <xf numFmtId="178" fontId="6" fillId="0" borderId="10" xfId="0" applyNumberFormat="1" applyFont="1" applyFill="1" applyBorder="1" applyAlignment="1">
      <alignment horizontal="center" vertical="center"/>
    </xf>
    <xf numFmtId="178" fontId="6" fillId="0" borderId="11" xfId="0" applyNumberFormat="1" applyFont="1" applyFill="1" applyBorder="1" applyAlignment="1">
      <alignment horizontal="center" vertical="center"/>
    </xf>
    <xf numFmtId="10" fontId="6" fillId="0" borderId="11" xfId="0" applyNumberFormat="1" applyFont="1" applyFill="1" applyBorder="1" applyAlignment="1">
      <alignment horizontal="center" vertical="center"/>
    </xf>
    <xf numFmtId="178" fontId="6" fillId="0" borderId="12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178" fontId="2" fillId="2" borderId="11" xfId="0" applyNumberFormat="1" applyFont="1" applyFill="1" applyBorder="1" applyAlignment="1">
      <alignment horizontal="center" vertical="center" wrapText="1"/>
    </xf>
    <xf numFmtId="178" fontId="2" fillId="2" borderId="11" xfId="0" applyNumberFormat="1" applyFont="1" applyFill="1" applyBorder="1" applyAlignment="1">
      <alignment horizontal="left" vertical="center" wrapText="1"/>
    </xf>
    <xf numFmtId="178" fontId="2" fillId="2" borderId="11" xfId="49" applyNumberFormat="1" applyFont="1" applyFill="1" applyBorder="1" applyAlignment="1" applyProtection="1">
      <alignment horizontal="center" vertical="center" wrapText="1"/>
      <protection locked="0"/>
    </xf>
    <xf numFmtId="178" fontId="1" fillId="2" borderId="11" xfId="0" applyNumberFormat="1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78" fontId="2" fillId="0" borderId="11" xfId="0" applyNumberFormat="1" applyFont="1" applyFill="1" applyBorder="1" applyAlignment="1">
      <alignment horizontal="center" vertical="center" wrapText="1"/>
    </xf>
    <xf numFmtId="178" fontId="2" fillId="0" borderId="11" xfId="0" applyNumberFormat="1" applyFont="1" applyFill="1" applyBorder="1" applyAlignment="1">
      <alignment horizontal="left" vertical="center" wrapText="1"/>
    </xf>
    <xf numFmtId="178" fontId="2" fillId="0" borderId="11" xfId="49" applyNumberFormat="1" applyFont="1" applyFill="1" applyBorder="1" applyAlignment="1" applyProtection="1">
      <alignment horizontal="center" vertical="center" wrapText="1"/>
      <protection locked="0"/>
    </xf>
    <xf numFmtId="178" fontId="1" fillId="0" borderId="11" xfId="0" applyNumberFormat="1" applyFont="1" applyFill="1" applyBorder="1" applyAlignment="1">
      <alignment horizontal="center" vertical="center" wrapText="1"/>
    </xf>
    <xf numFmtId="10" fontId="1" fillId="0" borderId="0" xfId="3" applyNumberFormat="1" applyFont="1" applyFill="1" applyAlignment="1">
      <alignment vertical="center"/>
    </xf>
    <xf numFmtId="178" fontId="7" fillId="0" borderId="10" xfId="0" applyNumberFormat="1" applyFont="1" applyFill="1" applyBorder="1" applyAlignment="1">
      <alignment horizontal="center" vertical="center"/>
    </xf>
    <xf numFmtId="178" fontId="7" fillId="0" borderId="11" xfId="0" applyNumberFormat="1" applyFont="1" applyFill="1" applyBorder="1" applyAlignment="1">
      <alignment horizontal="center" vertical="center"/>
    </xf>
    <xf numFmtId="10" fontId="7" fillId="0" borderId="11" xfId="0" applyNumberFormat="1" applyFont="1" applyFill="1" applyBorder="1" applyAlignment="1">
      <alignment horizontal="center" vertical="center"/>
    </xf>
    <xf numFmtId="178" fontId="7" fillId="0" borderId="12" xfId="0" applyNumberFormat="1" applyFont="1" applyFill="1" applyBorder="1" applyAlignment="1">
      <alignment horizontal="center" vertical="center"/>
    </xf>
    <xf numFmtId="178" fontId="1" fillId="0" borderId="11" xfId="0" applyNumberFormat="1" applyFont="1" applyFill="1" applyBorder="1" applyAlignment="1">
      <alignment horizontal="center" vertical="center"/>
    </xf>
    <xf numFmtId="10" fontId="1" fillId="0" borderId="1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23" fontId="2" fillId="0" borderId="11" xfId="0" applyNumberFormat="1" applyFont="1" applyFill="1" applyBorder="1" applyAlignment="1" applyProtection="1">
      <alignment horizontal="center" vertical="center" wrapText="1"/>
    </xf>
    <xf numFmtId="178" fontId="2" fillId="0" borderId="0" xfId="0" applyNumberFormat="1" applyFont="1" applyFill="1" applyAlignment="1">
      <alignment vertical="center"/>
    </xf>
    <xf numFmtId="23" fontId="8" fillId="0" borderId="11" xfId="0" applyNumberFormat="1" applyFont="1" applyFill="1" applyBorder="1" applyAlignment="1" applyProtection="1">
      <alignment horizontal="center" vertical="center" wrapText="1"/>
    </xf>
    <xf numFmtId="2" fontId="8" fillId="0" borderId="11" xfId="0" applyNumberFormat="1" applyFont="1" applyFill="1" applyBorder="1" applyAlignment="1" applyProtection="1">
      <alignment horizontal="right" vertical="center" shrinkToFit="1"/>
    </xf>
    <xf numFmtId="2" fontId="8" fillId="0" borderId="11" xfId="0" applyNumberFormat="1" applyFont="1" applyFill="1" applyBorder="1" applyAlignment="1" applyProtection="1">
      <alignment horizontal="center" vertical="center" shrinkToFit="1"/>
    </xf>
    <xf numFmtId="2" fontId="8" fillId="2" borderId="11" xfId="0" applyNumberFormat="1" applyFont="1" applyFill="1" applyBorder="1" applyAlignment="1" applyProtection="1">
      <alignment horizontal="center" vertical="center" shrinkToFit="1"/>
    </xf>
    <xf numFmtId="2" fontId="8" fillId="2" borderId="11" xfId="0" applyNumberFormat="1" applyFont="1" applyFill="1" applyBorder="1" applyAlignment="1" applyProtection="1">
      <alignment horizontal="right" vertical="center" shrinkToFit="1"/>
    </xf>
    <xf numFmtId="178" fontId="9" fillId="3" borderId="11" xfId="0" applyNumberFormat="1" applyFont="1" applyFill="1" applyBorder="1" applyAlignment="1">
      <alignment horizontal="center" vertical="center"/>
    </xf>
    <xf numFmtId="179" fontId="1" fillId="0" borderId="11" xfId="0" applyNumberFormat="1" applyFont="1" applyFill="1" applyBorder="1" applyAlignment="1">
      <alignment horizontal="center" vertical="center" wrapText="1"/>
    </xf>
    <xf numFmtId="178" fontId="2" fillId="0" borderId="11" xfId="0" applyNumberFormat="1" applyFont="1" applyFill="1" applyBorder="1" applyAlignment="1">
      <alignment horizontal="center" vertical="center"/>
    </xf>
    <xf numFmtId="10" fontId="2" fillId="0" borderId="11" xfId="0" applyNumberFormat="1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left" vertical="center" wrapText="1"/>
    </xf>
    <xf numFmtId="178" fontId="10" fillId="0" borderId="11" xfId="0" applyNumberFormat="1" applyFont="1" applyFill="1" applyBorder="1" applyAlignment="1">
      <alignment horizontal="center" vertical="center" wrapText="1"/>
    </xf>
    <xf numFmtId="178" fontId="11" fillId="0" borderId="11" xfId="50" applyNumberFormat="1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38"/>
  <sheetViews>
    <sheetView tabSelected="1" view="pageBreakPreview" zoomScaleNormal="100" workbookViewId="0">
      <pane ySplit="4" topLeftCell="A5" activePane="bottomLeft" state="frozen"/>
      <selection/>
      <selection pane="bottomLeft" activeCell="AB7" sqref="AB7"/>
    </sheetView>
  </sheetViews>
  <sheetFormatPr defaultColWidth="9" defaultRowHeight="12"/>
  <cols>
    <col min="1" max="1" width="7.26666666666667" style="3" customWidth="1"/>
    <col min="2" max="2" width="16.75" style="4" customWidth="1"/>
    <col min="3" max="3" width="36.5" style="5" customWidth="1"/>
    <col min="4" max="4" width="39.7333333333333" style="3" hidden="1" customWidth="1"/>
    <col min="5" max="5" width="39.7333333333333" style="6" hidden="1" customWidth="1"/>
    <col min="6" max="6" width="8.44166666666667" style="3" customWidth="1"/>
    <col min="7" max="14" width="8.44166666666667" style="3" hidden="1" customWidth="1" outlineLevel="1"/>
    <col min="15" max="15" width="10.775" style="7" customWidth="1" collapsed="1"/>
    <col min="16" max="21" width="10.125" style="7" customWidth="1"/>
    <col min="22" max="22" width="13.625" style="3" customWidth="1"/>
    <col min="23" max="23" width="9" style="8"/>
    <col min="24" max="32" width="9" style="9"/>
    <col min="33" max="33" width="10.125" style="9"/>
    <col min="34" max="47" width="9" style="8"/>
    <col min="48" max="16384" width="9" style="1"/>
  </cols>
  <sheetData>
    <row r="1" s="1" customFormat="1" ht="20.25" spans="1:47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8"/>
      <c r="X1" s="9"/>
      <c r="Y1" s="9">
        <v>1</v>
      </c>
      <c r="Z1" s="9"/>
      <c r="AA1" s="9">
        <v>1</v>
      </c>
      <c r="AB1" s="9">
        <v>1</v>
      </c>
      <c r="AC1" s="9">
        <v>1</v>
      </c>
      <c r="AD1" s="12">
        <v>0.08</v>
      </c>
      <c r="AE1" s="12">
        <v>0</v>
      </c>
      <c r="AF1" s="12">
        <v>0</v>
      </c>
      <c r="AG1" s="9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</row>
    <row r="2" s="1" customFormat="1" spans="1:47">
      <c r="A2" s="13" t="s">
        <v>1</v>
      </c>
      <c r="B2" s="2"/>
      <c r="C2" s="14"/>
      <c r="D2" s="2"/>
      <c r="E2" s="2"/>
      <c r="F2" s="15"/>
      <c r="G2" s="2"/>
      <c r="H2" s="2"/>
      <c r="I2" s="2"/>
      <c r="J2" s="2"/>
      <c r="K2" s="2"/>
      <c r="L2" s="2"/>
      <c r="M2" s="2"/>
      <c r="N2" s="2"/>
      <c r="O2" s="2"/>
      <c r="P2" s="15"/>
      <c r="Q2" s="15"/>
      <c r="R2" s="15"/>
      <c r="S2" s="15"/>
      <c r="T2" s="15"/>
      <c r="U2" s="2"/>
      <c r="V2" s="2"/>
      <c r="W2" s="8"/>
      <c r="X2" s="9"/>
      <c r="Y2" s="9"/>
      <c r="Z2" s="9"/>
      <c r="AA2" s="9"/>
      <c r="AB2" s="9"/>
      <c r="AC2" s="9"/>
      <c r="AD2" s="9"/>
      <c r="AE2" s="9"/>
      <c r="AF2" s="9"/>
      <c r="AG2" s="9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</row>
    <row r="3" s="1" customFormat="1" spans="1:47">
      <c r="A3" s="16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14</v>
      </c>
      <c r="N3" s="16" t="s">
        <v>15</v>
      </c>
      <c r="O3" s="18" t="s">
        <v>16</v>
      </c>
      <c r="P3" s="19" t="s">
        <v>17</v>
      </c>
      <c r="Q3" s="20"/>
      <c r="R3" s="20"/>
      <c r="S3" s="20"/>
      <c r="T3" s="20"/>
      <c r="U3" s="21"/>
      <c r="V3" s="22"/>
      <c r="W3" s="8"/>
      <c r="X3" s="23" t="s">
        <v>18</v>
      </c>
      <c r="Y3" s="24"/>
      <c r="Z3" s="25"/>
      <c r="AA3" s="24"/>
      <c r="AB3" s="24"/>
      <c r="AC3" s="24"/>
      <c r="AD3" s="24"/>
      <c r="AE3" s="24"/>
      <c r="AF3" s="24"/>
      <c r="AG3" s="26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</row>
    <row r="4" s="1" customFormat="1" ht="24" spans="1:47">
      <c r="A4" s="27"/>
      <c r="B4" s="28"/>
      <c r="C4" s="28"/>
      <c r="D4" s="28"/>
      <c r="E4" s="28"/>
      <c r="F4" s="27"/>
      <c r="G4" s="27"/>
      <c r="H4" s="27"/>
      <c r="I4" s="27"/>
      <c r="J4" s="27"/>
      <c r="K4" s="27"/>
      <c r="L4" s="27"/>
      <c r="M4" s="27"/>
      <c r="N4" s="27"/>
      <c r="O4" s="29"/>
      <c r="P4" s="16" t="s">
        <v>19</v>
      </c>
      <c r="Q4" s="16" t="s">
        <v>20</v>
      </c>
      <c r="R4" s="16" t="s">
        <v>21</v>
      </c>
      <c r="S4" s="16" t="s">
        <v>22</v>
      </c>
      <c r="T4" s="16" t="s">
        <v>23</v>
      </c>
      <c r="U4" s="30" t="s">
        <v>24</v>
      </c>
      <c r="V4" s="18" t="s">
        <v>25</v>
      </c>
      <c r="W4" s="8"/>
      <c r="X4" s="31" t="s">
        <v>26</v>
      </c>
      <c r="Y4" s="32" t="s">
        <v>27</v>
      </c>
      <c r="Z4" s="33" t="s">
        <v>28</v>
      </c>
      <c r="AA4" s="32" t="s">
        <v>29</v>
      </c>
      <c r="AB4" s="32" t="s">
        <v>30</v>
      </c>
      <c r="AC4" s="32" t="s">
        <v>31</v>
      </c>
      <c r="AD4" s="32" t="s">
        <v>32</v>
      </c>
      <c r="AE4" s="32" t="s">
        <v>22</v>
      </c>
      <c r="AF4" s="32" t="s">
        <v>23</v>
      </c>
      <c r="AG4" s="34" t="s">
        <v>33</v>
      </c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</row>
    <row r="5" s="1" customFormat="1" spans="1:47">
      <c r="A5" s="27"/>
      <c r="B5" s="28" t="s">
        <v>34</v>
      </c>
      <c r="C5" s="35"/>
      <c r="D5" s="28"/>
      <c r="E5" s="28"/>
      <c r="F5" s="27"/>
      <c r="G5" s="27"/>
      <c r="H5" s="27"/>
      <c r="I5" s="27"/>
      <c r="J5" s="27"/>
      <c r="K5" s="27"/>
      <c r="L5" s="27"/>
      <c r="M5" s="27"/>
      <c r="N5" s="27"/>
      <c r="O5" s="29"/>
      <c r="P5" s="36"/>
      <c r="Q5" s="36"/>
      <c r="R5" s="36"/>
      <c r="S5" s="36"/>
      <c r="T5" s="36"/>
      <c r="U5" s="36"/>
      <c r="V5" s="18"/>
      <c r="W5" s="8"/>
      <c r="X5" s="37"/>
      <c r="Y5" s="38"/>
      <c r="Z5" s="39"/>
      <c r="AA5" s="38"/>
      <c r="AB5" s="38"/>
      <c r="AC5" s="38"/>
      <c r="AD5" s="38"/>
      <c r="AE5" s="38"/>
      <c r="AF5" s="38"/>
      <c r="AG5" s="40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</row>
    <row r="6" s="1" customFormat="1" spans="1:47">
      <c r="A6" s="41"/>
      <c r="B6" s="42" t="s">
        <v>35</v>
      </c>
      <c r="C6" s="43"/>
      <c r="D6" s="41"/>
      <c r="E6" s="44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8"/>
      <c r="X6" s="37"/>
      <c r="Y6" s="38"/>
      <c r="Z6" s="39"/>
      <c r="AA6" s="38"/>
      <c r="AB6" s="38"/>
      <c r="AC6" s="38"/>
      <c r="AD6" s="38"/>
      <c r="AE6" s="38"/>
      <c r="AF6" s="38"/>
      <c r="AG6" s="40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</row>
    <row r="7" s="1" customFormat="1" ht="48" spans="1:47">
      <c r="A7" s="46">
        <v>1</v>
      </c>
      <c r="B7" s="47" t="s">
        <v>36</v>
      </c>
      <c r="C7" s="48" t="s">
        <v>37</v>
      </c>
      <c r="D7" s="46"/>
      <c r="E7" s="49"/>
      <c r="F7" s="50" t="s">
        <v>38</v>
      </c>
      <c r="G7" s="50">
        <v>1030.44</v>
      </c>
      <c r="H7" s="50">
        <v>1063.68</v>
      </c>
      <c r="I7" s="50">
        <v>1063.68</v>
      </c>
      <c r="J7" s="50">
        <v>1063.68</v>
      </c>
      <c r="K7" s="50"/>
      <c r="L7" s="50"/>
      <c r="M7" s="50"/>
      <c r="N7" s="50"/>
      <c r="O7" s="50">
        <f t="shared" ref="O7:O9" si="0">SUM(G7:N7)</f>
        <v>4221.48</v>
      </c>
      <c r="P7" s="50">
        <f>AA7*$AA$1</f>
        <v>48</v>
      </c>
      <c r="Q7" s="50">
        <f>(Y7+Y7*Z7)*$Y$1</f>
        <v>49.5</v>
      </c>
      <c r="R7" s="50">
        <f>(AB7+AC7)*$AB$1+AD7</f>
        <v>27.78</v>
      </c>
      <c r="S7" s="50">
        <f>AE7</f>
        <v>0</v>
      </c>
      <c r="T7" s="50">
        <f>AF7</f>
        <v>0</v>
      </c>
      <c r="U7" s="50">
        <f t="shared" ref="U7:U9" si="1">P7+Q7+R7+S7+T7</f>
        <v>125.28</v>
      </c>
      <c r="V7" s="50">
        <f t="shared" ref="V7:V9" si="2">U7*O7</f>
        <v>528867.0144</v>
      </c>
      <c r="W7" s="51"/>
      <c r="X7" s="52">
        <f t="shared" ref="X7:X11" si="3">Y7+Y7*Z7+AA7+AB7+AC7+AD7</f>
        <v>125.28</v>
      </c>
      <c r="Y7" s="53">
        <v>45</v>
      </c>
      <c r="Z7" s="54">
        <v>0.1</v>
      </c>
      <c r="AA7" s="53">
        <v>48</v>
      </c>
      <c r="AB7" s="53">
        <v>16.5</v>
      </c>
      <c r="AC7" s="53">
        <v>2</v>
      </c>
      <c r="AD7" s="53">
        <f t="shared" ref="AD7:AD11" si="4">(Y7+Y7*Z7+AA7+AB7+AC7)*$AD$1</f>
        <v>9.28</v>
      </c>
      <c r="AE7" s="53">
        <f t="shared" ref="AE7:AE11" si="5">(Y7+Y7*Z7+AA7+AB7+AC7)*$AE$1</f>
        <v>0</v>
      </c>
      <c r="AF7" s="53">
        <f t="shared" ref="AF7:AF11" si="6">(Y7+Y7*Z7+AA7+AB7+AC7+AE7)*$AF$1</f>
        <v>0</v>
      </c>
      <c r="AG7" s="55">
        <f t="shared" ref="AG7:AG11" si="7">X7*O7</f>
        <v>528867.0144</v>
      </c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="1" customFormat="1" ht="60" spans="1:47">
      <c r="A8" s="46">
        <v>2</v>
      </c>
      <c r="B8" s="47" t="s">
        <v>39</v>
      </c>
      <c r="C8" s="48" t="s">
        <v>40</v>
      </c>
      <c r="D8" s="46"/>
      <c r="E8" s="49"/>
      <c r="F8" s="50" t="s">
        <v>38</v>
      </c>
      <c r="G8" s="50">
        <v>27.28</v>
      </c>
      <c r="H8" s="50">
        <v>28.16</v>
      </c>
      <c r="I8" s="50">
        <v>23.36</v>
      </c>
      <c r="J8" s="50">
        <v>23.36</v>
      </c>
      <c r="K8" s="50">
        <v>1.8</v>
      </c>
      <c r="L8" s="50">
        <v>2.1</v>
      </c>
      <c r="M8" s="50">
        <v>2.5</v>
      </c>
      <c r="N8" s="50">
        <v>2.26</v>
      </c>
      <c r="O8" s="50">
        <f t="shared" si="0"/>
        <v>110.82</v>
      </c>
      <c r="P8" s="50">
        <f>AA8*$AA$1</f>
        <v>140</v>
      </c>
      <c r="Q8" s="50">
        <f>(Y8+Y8*Z8)*$Y$1</f>
        <v>139.05</v>
      </c>
      <c r="R8" s="50">
        <f>(AB8+AC8)*$AB$1+AD8</f>
        <v>35.824</v>
      </c>
      <c r="S8" s="50">
        <f>AE8</f>
        <v>0</v>
      </c>
      <c r="T8" s="50">
        <f>AF8</f>
        <v>0</v>
      </c>
      <c r="U8" s="50">
        <f t="shared" si="1"/>
        <v>314.874</v>
      </c>
      <c r="V8" s="50">
        <f t="shared" si="2"/>
        <v>34894.33668</v>
      </c>
      <c r="W8" s="8"/>
      <c r="X8" s="52">
        <f t="shared" si="3"/>
        <v>314.874</v>
      </c>
      <c r="Y8" s="53">
        <v>135</v>
      </c>
      <c r="Z8" s="54">
        <v>0.03</v>
      </c>
      <c r="AA8" s="53">
        <v>140</v>
      </c>
      <c r="AB8" s="53">
        <v>12</v>
      </c>
      <c r="AC8" s="53">
        <v>0.5</v>
      </c>
      <c r="AD8" s="53">
        <f t="shared" si="4"/>
        <v>23.324</v>
      </c>
      <c r="AE8" s="53">
        <f t="shared" si="5"/>
        <v>0</v>
      </c>
      <c r="AF8" s="53">
        <f t="shared" si="6"/>
        <v>0</v>
      </c>
      <c r="AG8" s="55">
        <f t="shared" si="7"/>
        <v>34894.33668</v>
      </c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="1" customFormat="1" ht="48" spans="1:47">
      <c r="A9" s="46">
        <v>3</v>
      </c>
      <c r="B9" s="47" t="s">
        <v>41</v>
      </c>
      <c r="C9" s="48" t="s">
        <v>42</v>
      </c>
      <c r="D9" s="46"/>
      <c r="E9" s="49"/>
      <c r="F9" s="50" t="s">
        <v>38</v>
      </c>
      <c r="G9" s="50"/>
      <c r="H9" s="50"/>
      <c r="I9" s="50"/>
      <c r="J9" s="50"/>
      <c r="K9" s="50">
        <v>73.65</v>
      </c>
      <c r="L9" s="50">
        <v>75.66</v>
      </c>
      <c r="M9" s="50">
        <v>66.41</v>
      </c>
      <c r="N9" s="50">
        <v>43.38</v>
      </c>
      <c r="O9" s="50">
        <f t="shared" si="0"/>
        <v>259.1</v>
      </c>
      <c r="P9" s="50">
        <f>AA9*$AA$1</f>
        <v>48</v>
      </c>
      <c r="Q9" s="50">
        <f>(Y9+Y9*Z9)*$Y$1</f>
        <v>49.5</v>
      </c>
      <c r="R9" s="50">
        <f>(AB9+AC9)*$AB$1+AD9</f>
        <v>25.08</v>
      </c>
      <c r="S9" s="50">
        <f>AE9</f>
        <v>0</v>
      </c>
      <c r="T9" s="50">
        <f>AF9</f>
        <v>0</v>
      </c>
      <c r="U9" s="50">
        <f t="shared" si="1"/>
        <v>122.58</v>
      </c>
      <c r="V9" s="50">
        <f t="shared" si="2"/>
        <v>31760.478</v>
      </c>
      <c r="W9" s="51"/>
      <c r="X9" s="52">
        <f t="shared" si="3"/>
        <v>122.58</v>
      </c>
      <c r="Y9" s="53">
        <v>45</v>
      </c>
      <c r="Z9" s="54">
        <v>0.1</v>
      </c>
      <c r="AA9" s="53">
        <v>48</v>
      </c>
      <c r="AB9" s="53">
        <v>14</v>
      </c>
      <c r="AC9" s="53">
        <v>2</v>
      </c>
      <c r="AD9" s="53">
        <f t="shared" si="4"/>
        <v>9.08</v>
      </c>
      <c r="AE9" s="53">
        <f t="shared" si="5"/>
        <v>0</v>
      </c>
      <c r="AF9" s="53">
        <f t="shared" si="6"/>
        <v>0</v>
      </c>
      <c r="AG9" s="55">
        <f t="shared" si="7"/>
        <v>31760.478</v>
      </c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="1" customFormat="1" spans="1:47">
      <c r="A10" s="41"/>
      <c r="B10" s="42" t="s">
        <v>43</v>
      </c>
      <c r="C10" s="43"/>
      <c r="D10" s="41"/>
      <c r="E10" s="44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8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="1" customFormat="1" ht="120" spans="1:47">
      <c r="A11" s="46">
        <v>4</v>
      </c>
      <c r="B11" s="47" t="s">
        <v>44</v>
      </c>
      <c r="C11" s="48" t="s">
        <v>45</v>
      </c>
      <c r="D11" s="46"/>
      <c r="E11" s="49"/>
      <c r="F11" s="50" t="s">
        <v>38</v>
      </c>
      <c r="G11" s="50">
        <v>680.76</v>
      </c>
      <c r="H11" s="50">
        <v>702.72</v>
      </c>
      <c r="I11" s="50">
        <v>696.96</v>
      </c>
      <c r="J11" s="50">
        <v>696.96</v>
      </c>
      <c r="K11" s="50"/>
      <c r="L11" s="50"/>
      <c r="M11" s="50"/>
      <c r="N11" s="50"/>
      <c r="O11" s="50">
        <f t="shared" ref="O11:O17" si="8">SUM(G11:N11)</f>
        <v>2777.4</v>
      </c>
      <c r="P11" s="50">
        <f t="shared" ref="P11:P17" si="9">AA11*$AA$1</f>
        <v>102.5</v>
      </c>
      <c r="Q11" s="50">
        <f t="shared" ref="Q11:Q17" si="10">(Y11+Y11*Z11)*$Y$1</f>
        <v>5.61</v>
      </c>
      <c r="R11" s="50">
        <f t="shared" ref="R11:R17" si="11">(AB11+AC11)*$AB$1+AD11</f>
        <v>95.69896</v>
      </c>
      <c r="S11" s="50">
        <f t="shared" ref="S11:S17" si="12">AE11</f>
        <v>0</v>
      </c>
      <c r="T11" s="50">
        <f t="shared" ref="T11:T17" si="13">AF11</f>
        <v>0</v>
      </c>
      <c r="U11" s="50">
        <f t="shared" ref="U11:U17" si="14">P11+Q11+R11+S11+T11</f>
        <v>203.80896</v>
      </c>
      <c r="V11" s="50">
        <f t="shared" ref="V11:V17" si="15">U11*O11</f>
        <v>566059.005504</v>
      </c>
      <c r="W11" s="8"/>
      <c r="X11" s="52">
        <f t="shared" si="3"/>
        <v>203.80896</v>
      </c>
      <c r="Y11" s="56">
        <v>5.5</v>
      </c>
      <c r="Z11" s="57">
        <v>0.02</v>
      </c>
      <c r="AA11" s="56">
        <f>19.5+8+75</f>
        <v>102.5</v>
      </c>
      <c r="AB11" s="56">
        <f>(3.3*3.7+1.1*4.7+1.5+6*0.23+1*0.75+1*0.13+80*0.04+1*2.8)*1.05+10.5*1.45+28*1.05+5.98</f>
        <v>79.102</v>
      </c>
      <c r="AC11" s="56">
        <v>1.5</v>
      </c>
      <c r="AD11" s="53">
        <f t="shared" si="4"/>
        <v>15.09696</v>
      </c>
      <c r="AE11" s="53">
        <f t="shared" si="5"/>
        <v>0</v>
      </c>
      <c r="AF11" s="53">
        <f t="shared" si="6"/>
        <v>0</v>
      </c>
      <c r="AG11" s="55">
        <f t="shared" si="7"/>
        <v>566059.005504</v>
      </c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="1" customFormat="1" ht="24" spans="1:47">
      <c r="A12" s="46">
        <v>5</v>
      </c>
      <c r="B12" s="47" t="s">
        <v>46</v>
      </c>
      <c r="C12" s="48" t="s">
        <v>47</v>
      </c>
      <c r="D12" s="58"/>
      <c r="E12" s="49"/>
      <c r="F12" s="50" t="s">
        <v>38</v>
      </c>
      <c r="G12" s="50">
        <v>349.68</v>
      </c>
      <c r="H12" s="50">
        <v>360.96</v>
      </c>
      <c r="I12" s="50">
        <v>366.72</v>
      </c>
      <c r="J12" s="50">
        <v>366.72</v>
      </c>
      <c r="K12" s="50"/>
      <c r="L12" s="50"/>
      <c r="M12" s="50"/>
      <c r="N12" s="50"/>
      <c r="O12" s="50">
        <f t="shared" si="8"/>
        <v>1444.08</v>
      </c>
      <c r="P12" s="50">
        <f t="shared" si="9"/>
        <v>47.5</v>
      </c>
      <c r="Q12" s="50">
        <f t="shared" si="10"/>
        <v>5.555</v>
      </c>
      <c r="R12" s="50">
        <f t="shared" si="11"/>
        <v>23.7492</v>
      </c>
      <c r="S12" s="50">
        <f t="shared" si="12"/>
        <v>0</v>
      </c>
      <c r="T12" s="50">
        <f t="shared" si="13"/>
        <v>0</v>
      </c>
      <c r="U12" s="50">
        <f t="shared" si="14"/>
        <v>76.8042</v>
      </c>
      <c r="V12" s="50">
        <f t="shared" si="15"/>
        <v>110911.409136</v>
      </c>
      <c r="W12" s="8"/>
      <c r="X12" s="52">
        <f t="shared" ref="X12:X17" si="16">Y12+Y12*Z12+AA12+AB12+AC12+AD12</f>
        <v>76.8042</v>
      </c>
      <c r="Y12" s="53">
        <v>5.5</v>
      </c>
      <c r="Z12" s="54">
        <v>0.01</v>
      </c>
      <c r="AA12" s="53">
        <f>20+19.5+8</f>
        <v>47.5</v>
      </c>
      <c r="AB12" s="53">
        <f>12+5.86</f>
        <v>17.86</v>
      </c>
      <c r="AC12" s="38">
        <v>0.2</v>
      </c>
      <c r="AD12" s="53">
        <f t="shared" ref="AD12:AD17" si="17">(Y12+Y12*Z12+AA12+AB12+AC12)*$AD$1</f>
        <v>5.6892</v>
      </c>
      <c r="AE12" s="53">
        <f t="shared" ref="AE12:AE17" si="18">(Y12+Y12*Z12+AA12+AB12+AC12)*$AE$1</f>
        <v>0</v>
      </c>
      <c r="AF12" s="53">
        <f t="shared" ref="AF12:AF17" si="19">(Y12+Y12*Z12+AA12+AB12+AC12+AE12)*$AF$1</f>
        <v>0</v>
      </c>
      <c r="AG12" s="55">
        <f t="shared" ref="AG12:AG17" si="20">X12*O12</f>
        <v>110911.409136</v>
      </c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="1" customFormat="1" ht="24" spans="1:47">
      <c r="A13" s="46">
        <v>6</v>
      </c>
      <c r="B13" s="47" t="s">
        <v>48</v>
      </c>
      <c r="C13" s="48" t="s">
        <v>49</v>
      </c>
      <c r="D13" s="46"/>
      <c r="E13" s="49"/>
      <c r="F13" s="50" t="s">
        <v>50</v>
      </c>
      <c r="G13" s="50">
        <v>309.13</v>
      </c>
      <c r="H13" s="50">
        <v>319.1</v>
      </c>
      <c r="I13" s="50">
        <v>319.04</v>
      </c>
      <c r="J13" s="50">
        <v>319.04</v>
      </c>
      <c r="K13" s="50"/>
      <c r="L13" s="50"/>
      <c r="M13" s="50"/>
      <c r="N13" s="50"/>
      <c r="O13" s="50">
        <f t="shared" si="8"/>
        <v>1266.31</v>
      </c>
      <c r="P13" s="50">
        <f t="shared" si="9"/>
        <v>12</v>
      </c>
      <c r="Q13" s="50">
        <f t="shared" si="10"/>
        <v>28.84</v>
      </c>
      <c r="R13" s="50">
        <f t="shared" si="11"/>
        <v>6.1832</v>
      </c>
      <c r="S13" s="50">
        <f t="shared" si="12"/>
        <v>0</v>
      </c>
      <c r="T13" s="50">
        <f t="shared" si="13"/>
        <v>0</v>
      </c>
      <c r="U13" s="50">
        <f t="shared" si="14"/>
        <v>47.0232</v>
      </c>
      <c r="V13" s="50">
        <f t="shared" si="15"/>
        <v>59545.948392</v>
      </c>
      <c r="W13" s="8"/>
      <c r="X13" s="52">
        <f t="shared" si="16"/>
        <v>47.0232</v>
      </c>
      <c r="Y13" s="53">
        <f>38-10</f>
        <v>28</v>
      </c>
      <c r="Z13" s="54">
        <v>0.03</v>
      </c>
      <c r="AA13" s="53">
        <v>12</v>
      </c>
      <c r="AB13" s="53">
        <v>2.5</v>
      </c>
      <c r="AC13" s="53">
        <v>0.2</v>
      </c>
      <c r="AD13" s="53">
        <f t="shared" si="17"/>
        <v>3.4832</v>
      </c>
      <c r="AE13" s="53">
        <f t="shared" si="18"/>
        <v>0</v>
      </c>
      <c r="AF13" s="53">
        <f t="shared" si="19"/>
        <v>0</v>
      </c>
      <c r="AG13" s="55">
        <f t="shared" si="20"/>
        <v>59545.948392</v>
      </c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="1" customFormat="1" ht="72" spans="1:47">
      <c r="A14" s="46">
        <v>7</v>
      </c>
      <c r="B14" s="47" t="s">
        <v>51</v>
      </c>
      <c r="C14" s="48" t="s">
        <v>52</v>
      </c>
      <c r="D14" s="46"/>
      <c r="E14" s="49"/>
      <c r="F14" s="50" t="s">
        <v>38</v>
      </c>
      <c r="G14" s="50"/>
      <c r="H14" s="50"/>
      <c r="I14" s="50"/>
      <c r="J14" s="50"/>
      <c r="K14" s="50">
        <v>73.65</v>
      </c>
      <c r="L14" s="50">
        <v>75.66</v>
      </c>
      <c r="M14" s="50">
        <v>66.41</v>
      </c>
      <c r="N14" s="50">
        <v>43.38</v>
      </c>
      <c r="O14" s="50">
        <f t="shared" si="8"/>
        <v>259.1</v>
      </c>
      <c r="P14" s="50">
        <f t="shared" si="9"/>
        <v>102.5</v>
      </c>
      <c r="Q14" s="50">
        <f t="shared" si="10"/>
        <v>5.61</v>
      </c>
      <c r="R14" s="50">
        <f t="shared" si="11"/>
        <v>90.02896</v>
      </c>
      <c r="S14" s="50">
        <f t="shared" si="12"/>
        <v>0</v>
      </c>
      <c r="T14" s="50">
        <f t="shared" si="13"/>
        <v>0</v>
      </c>
      <c r="U14" s="50">
        <f t="shared" si="14"/>
        <v>198.13896</v>
      </c>
      <c r="V14" s="50">
        <f t="shared" si="15"/>
        <v>51337.804536</v>
      </c>
      <c r="W14" s="8"/>
      <c r="X14" s="52">
        <f t="shared" si="16"/>
        <v>198.13896</v>
      </c>
      <c r="Y14" s="56">
        <v>5.5</v>
      </c>
      <c r="Z14" s="57">
        <v>0.02</v>
      </c>
      <c r="AA14" s="56">
        <f>19.5+8+75</f>
        <v>102.5</v>
      </c>
      <c r="AB14" s="56">
        <f>(3.3*3.7+1.1*4.7+1.5+6*0.23+1*0.75+1*0.13+80*0.04+1*2.8)*1.05+10.5*1.45+23*1.05+5.98</f>
        <v>73.852</v>
      </c>
      <c r="AC14" s="56">
        <v>1.5</v>
      </c>
      <c r="AD14" s="53">
        <f t="shared" si="17"/>
        <v>14.67696</v>
      </c>
      <c r="AE14" s="53">
        <f t="shared" si="18"/>
        <v>0</v>
      </c>
      <c r="AF14" s="53">
        <f t="shared" si="19"/>
        <v>0</v>
      </c>
      <c r="AG14" s="55">
        <f t="shared" si="20"/>
        <v>51337.804536</v>
      </c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="1" customFormat="1" ht="84" spans="1:47">
      <c r="A15" s="46">
        <v>8</v>
      </c>
      <c r="B15" s="47" t="s">
        <v>53</v>
      </c>
      <c r="C15" s="48" t="s">
        <v>54</v>
      </c>
      <c r="D15" s="46"/>
      <c r="E15" s="49"/>
      <c r="F15" s="50" t="s">
        <v>38</v>
      </c>
      <c r="G15" s="50"/>
      <c r="H15" s="50"/>
      <c r="I15" s="50"/>
      <c r="J15" s="50"/>
      <c r="K15" s="50">
        <v>9.1</v>
      </c>
      <c r="L15" s="50">
        <v>8.25</v>
      </c>
      <c r="M15" s="50">
        <v>7.98</v>
      </c>
      <c r="N15" s="50">
        <v>7.82</v>
      </c>
      <c r="O15" s="50">
        <f t="shared" si="8"/>
        <v>33.15</v>
      </c>
      <c r="P15" s="50">
        <f t="shared" si="9"/>
        <v>46</v>
      </c>
      <c r="Q15" s="50">
        <f t="shared" si="10"/>
        <v>9.999</v>
      </c>
      <c r="R15" s="50">
        <f t="shared" si="11"/>
        <v>6.31592</v>
      </c>
      <c r="S15" s="50">
        <f t="shared" si="12"/>
        <v>0</v>
      </c>
      <c r="T15" s="50">
        <f t="shared" si="13"/>
        <v>0</v>
      </c>
      <c r="U15" s="50">
        <f t="shared" si="14"/>
        <v>62.31492</v>
      </c>
      <c r="V15" s="50">
        <f t="shared" si="15"/>
        <v>2065.739598</v>
      </c>
      <c r="W15" s="8"/>
      <c r="X15" s="52">
        <f t="shared" si="16"/>
        <v>62.31492</v>
      </c>
      <c r="Y15" s="53">
        <f>(25*2+10.5+5.5)*0.15</f>
        <v>9.9</v>
      </c>
      <c r="Z15" s="54">
        <v>0.01</v>
      </c>
      <c r="AA15" s="53">
        <f>38+8</f>
        <v>46</v>
      </c>
      <c r="AB15" s="53">
        <v>1.5</v>
      </c>
      <c r="AC15" s="38">
        <v>0.2</v>
      </c>
      <c r="AD15" s="53">
        <f t="shared" si="17"/>
        <v>4.61592</v>
      </c>
      <c r="AE15" s="53">
        <f t="shared" si="18"/>
        <v>0</v>
      </c>
      <c r="AF15" s="53">
        <f t="shared" si="19"/>
        <v>0</v>
      </c>
      <c r="AG15" s="55">
        <f t="shared" si="20"/>
        <v>2065.739598</v>
      </c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="2" customFormat="1" ht="39" customHeight="1" spans="1:47">
      <c r="A16" s="59">
        <v>9</v>
      </c>
      <c r="B16" s="47" t="s">
        <v>48</v>
      </c>
      <c r="C16" s="48" t="s">
        <v>55</v>
      </c>
      <c r="D16" s="59"/>
      <c r="E16" s="49"/>
      <c r="F16" s="60" t="s">
        <v>50</v>
      </c>
      <c r="G16" s="47"/>
      <c r="H16" s="47"/>
      <c r="I16" s="47"/>
      <c r="J16" s="47"/>
      <c r="K16" s="47">
        <v>41.65</v>
      </c>
      <c r="L16" s="47">
        <v>58.8</v>
      </c>
      <c r="M16" s="47">
        <v>44.24</v>
      </c>
      <c r="N16" s="47">
        <v>27.35</v>
      </c>
      <c r="O16" s="47">
        <f t="shared" si="8"/>
        <v>172.04</v>
      </c>
      <c r="P16" s="50">
        <f t="shared" si="9"/>
        <v>18</v>
      </c>
      <c r="Q16" s="50">
        <f t="shared" si="10"/>
        <v>12.875</v>
      </c>
      <c r="R16" s="50">
        <f t="shared" si="11"/>
        <v>6.574</v>
      </c>
      <c r="S16" s="50">
        <f t="shared" si="12"/>
        <v>0</v>
      </c>
      <c r="T16" s="50">
        <f t="shared" si="13"/>
        <v>0</v>
      </c>
      <c r="U16" s="47">
        <f t="shared" si="14"/>
        <v>37.449</v>
      </c>
      <c r="V16" s="47">
        <f t="shared" si="15"/>
        <v>6442.72596</v>
      </c>
      <c r="W16" s="61"/>
      <c r="X16" s="52">
        <f t="shared" si="16"/>
        <v>37.449</v>
      </c>
      <c r="Y16" s="53">
        <v>12.5</v>
      </c>
      <c r="Z16" s="54">
        <v>0.03</v>
      </c>
      <c r="AA16" s="53">
        <v>18</v>
      </c>
      <c r="AB16" s="53">
        <v>3.5</v>
      </c>
      <c r="AC16" s="53">
        <v>0.3</v>
      </c>
      <c r="AD16" s="53">
        <f t="shared" si="17"/>
        <v>2.774</v>
      </c>
      <c r="AE16" s="53">
        <f t="shared" si="18"/>
        <v>0</v>
      </c>
      <c r="AF16" s="53">
        <f t="shared" si="19"/>
        <v>0</v>
      </c>
      <c r="AG16" s="55">
        <f t="shared" si="20"/>
        <v>6442.72596</v>
      </c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</row>
    <row r="17" s="2" customFormat="1" ht="39" customHeight="1" spans="1:47">
      <c r="A17" s="59">
        <v>10</v>
      </c>
      <c r="B17" s="47" t="s">
        <v>56</v>
      </c>
      <c r="C17" s="48" t="s">
        <v>57</v>
      </c>
      <c r="D17" s="59"/>
      <c r="E17" s="49"/>
      <c r="F17" s="60" t="s">
        <v>50</v>
      </c>
      <c r="G17" s="47"/>
      <c r="H17" s="47"/>
      <c r="I17" s="47"/>
      <c r="J17" s="47"/>
      <c r="K17" s="47">
        <v>36.9</v>
      </c>
      <c r="L17" s="47">
        <v>50.46</v>
      </c>
      <c r="M17" s="47">
        <v>39.58</v>
      </c>
      <c r="N17" s="47">
        <v>24.14</v>
      </c>
      <c r="O17" s="47">
        <f t="shared" si="8"/>
        <v>151.08</v>
      </c>
      <c r="P17" s="50">
        <f t="shared" si="9"/>
        <v>8</v>
      </c>
      <c r="Q17" s="50">
        <f t="shared" si="10"/>
        <v>0.5</v>
      </c>
      <c r="R17" s="50">
        <f t="shared" si="11"/>
        <v>1.328</v>
      </c>
      <c r="S17" s="50">
        <f t="shared" si="12"/>
        <v>0</v>
      </c>
      <c r="T17" s="50">
        <f t="shared" si="13"/>
        <v>0</v>
      </c>
      <c r="U17" s="47">
        <f t="shared" si="14"/>
        <v>9.828</v>
      </c>
      <c r="V17" s="47">
        <f t="shared" si="15"/>
        <v>1484.81424</v>
      </c>
      <c r="W17" s="61"/>
      <c r="X17" s="52">
        <f t="shared" si="16"/>
        <v>9.828</v>
      </c>
      <c r="Y17" s="53">
        <v>0.5</v>
      </c>
      <c r="Z17" s="54">
        <v>0</v>
      </c>
      <c r="AA17" s="53">
        <v>8</v>
      </c>
      <c r="AB17" s="53">
        <v>0.5</v>
      </c>
      <c r="AC17" s="53">
        <v>0.1</v>
      </c>
      <c r="AD17" s="53">
        <f t="shared" si="17"/>
        <v>0.728</v>
      </c>
      <c r="AE17" s="53">
        <f t="shared" si="18"/>
        <v>0</v>
      </c>
      <c r="AF17" s="53">
        <f t="shared" si="19"/>
        <v>0</v>
      </c>
      <c r="AG17" s="55">
        <f t="shared" si="20"/>
        <v>1484.81424</v>
      </c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</row>
    <row r="18" s="1" customFormat="1" spans="1:47">
      <c r="A18" s="41"/>
      <c r="B18" s="42" t="s">
        <v>58</v>
      </c>
      <c r="C18" s="43"/>
      <c r="D18" s="41"/>
      <c r="E18" s="44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51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="1" customFormat="1" ht="48" spans="1:47">
      <c r="A19" s="46">
        <v>11</v>
      </c>
      <c r="B19" s="47" t="s">
        <v>59</v>
      </c>
      <c r="C19" s="48" t="s">
        <v>60</v>
      </c>
      <c r="D19" s="46"/>
      <c r="E19" s="49"/>
      <c r="F19" s="62" t="s">
        <v>38</v>
      </c>
      <c r="G19" s="63">
        <v>2349.18</v>
      </c>
      <c r="H19" s="50">
        <v>2424.96</v>
      </c>
      <c r="I19" s="50">
        <v>2340.16</v>
      </c>
      <c r="J19" s="50">
        <v>2340.16</v>
      </c>
      <c r="K19" s="50"/>
      <c r="L19" s="50"/>
      <c r="M19" s="50"/>
      <c r="N19" s="50"/>
      <c r="O19" s="50">
        <f t="shared" ref="O19:O22" si="21">SUM(G19:N19)</f>
        <v>9454.46</v>
      </c>
      <c r="P19" s="50">
        <f>AA19*$AA$1</f>
        <v>68</v>
      </c>
      <c r="Q19" s="50">
        <f>(Y19+Y19*Z19)*$Y$1</f>
        <v>60.5</v>
      </c>
      <c r="R19" s="50">
        <f>(AB19+AC19)*$AB$1+AD19</f>
        <v>62.984</v>
      </c>
      <c r="S19" s="50">
        <f>AE19</f>
        <v>0</v>
      </c>
      <c r="T19" s="50">
        <f>AF19</f>
        <v>0</v>
      </c>
      <c r="U19" s="50">
        <f t="shared" ref="U19:U22" si="22">P19+Q19+R19+S19+T19</f>
        <v>191.484</v>
      </c>
      <c r="V19" s="50">
        <f t="shared" ref="V19:V22" si="23">U19*O19</f>
        <v>1810377.81864</v>
      </c>
      <c r="W19" s="8"/>
      <c r="X19" s="52">
        <f t="shared" ref="X19:X22" si="24">Y19+Y19*Z19+AA19+AB19+AC19+AD19</f>
        <v>191.484</v>
      </c>
      <c r="Y19" s="53">
        <v>55</v>
      </c>
      <c r="Z19" s="54">
        <v>0.1</v>
      </c>
      <c r="AA19" s="53">
        <f t="shared" ref="AA19:AA21" si="25">48+20</f>
        <v>68</v>
      </c>
      <c r="AB19" s="53">
        <f t="shared" ref="AB19:AB21" si="26">30+16.8</f>
        <v>46.8</v>
      </c>
      <c r="AC19" s="53">
        <v>2</v>
      </c>
      <c r="AD19" s="53">
        <f t="shared" ref="AD19:AD22" si="27">(Y19+Y19*Z19+AA19+AB19+AC19)*$AD$1</f>
        <v>14.184</v>
      </c>
      <c r="AE19" s="53">
        <f t="shared" ref="AE19:AE22" si="28">(Y19+Y19*Z19+AA19+AB19+AC19)*$AE$1</f>
        <v>0</v>
      </c>
      <c r="AF19" s="53">
        <f t="shared" ref="AF19:AF22" si="29">(Y19+Y19*Z19+AA19+AB19+AC19+AE19)*$AF$1</f>
        <v>0</v>
      </c>
      <c r="AG19" s="55">
        <f t="shared" ref="AG19:AG22" si="30">X19*O19</f>
        <v>1810377.81864</v>
      </c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</row>
    <row r="20" s="1" customFormat="1" ht="60" spans="1:47">
      <c r="A20" s="46">
        <v>12</v>
      </c>
      <c r="B20" s="47" t="s">
        <v>61</v>
      </c>
      <c r="C20" s="48" t="s">
        <v>62</v>
      </c>
      <c r="D20" s="46"/>
      <c r="E20" s="49"/>
      <c r="F20" s="62" t="s">
        <v>38</v>
      </c>
      <c r="G20" s="63">
        <v>64.17</v>
      </c>
      <c r="H20" s="50">
        <v>45.44</v>
      </c>
      <c r="I20" s="50">
        <v>66.24</v>
      </c>
      <c r="J20" s="50">
        <v>66.24</v>
      </c>
      <c r="K20" s="50"/>
      <c r="L20" s="50"/>
      <c r="M20" s="50"/>
      <c r="N20" s="50"/>
      <c r="O20" s="50">
        <f t="shared" si="21"/>
        <v>242.09</v>
      </c>
      <c r="P20" s="50">
        <f>AA20*$AA$1</f>
        <v>68</v>
      </c>
      <c r="Q20" s="50">
        <f>(Y20+Y20*Z20)*$Y$1</f>
        <v>59.4</v>
      </c>
      <c r="R20" s="50">
        <f>(AB20+AC20)*$AB$1+AD20</f>
        <v>62.896</v>
      </c>
      <c r="S20" s="50">
        <f>AE20</f>
        <v>0</v>
      </c>
      <c r="T20" s="50">
        <f>AF20</f>
        <v>0</v>
      </c>
      <c r="U20" s="50">
        <f t="shared" si="22"/>
        <v>190.296</v>
      </c>
      <c r="V20" s="50">
        <f t="shared" si="23"/>
        <v>46068.75864</v>
      </c>
      <c r="W20" s="8"/>
      <c r="X20" s="52">
        <f t="shared" si="24"/>
        <v>190.296</v>
      </c>
      <c r="Y20" s="53">
        <v>55</v>
      </c>
      <c r="Z20" s="54">
        <v>0.08</v>
      </c>
      <c r="AA20" s="53">
        <f t="shared" si="25"/>
        <v>68</v>
      </c>
      <c r="AB20" s="53">
        <f t="shared" si="26"/>
        <v>46.8</v>
      </c>
      <c r="AC20" s="53">
        <v>2</v>
      </c>
      <c r="AD20" s="53">
        <f t="shared" si="27"/>
        <v>14.096</v>
      </c>
      <c r="AE20" s="53">
        <f t="shared" si="28"/>
        <v>0</v>
      </c>
      <c r="AF20" s="53">
        <f t="shared" si="29"/>
        <v>0</v>
      </c>
      <c r="AG20" s="55">
        <f t="shared" si="30"/>
        <v>46068.75864</v>
      </c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="1" customFormat="1" ht="36" customHeight="1" spans="1:47">
      <c r="A21" s="46">
        <v>13</v>
      </c>
      <c r="B21" s="47" t="s">
        <v>59</v>
      </c>
      <c r="C21" s="48" t="s">
        <v>63</v>
      </c>
      <c r="D21" s="46"/>
      <c r="E21" s="49"/>
      <c r="F21" s="62" t="s">
        <v>38</v>
      </c>
      <c r="G21" s="63"/>
      <c r="H21" s="50"/>
      <c r="I21" s="50"/>
      <c r="J21" s="50"/>
      <c r="K21" s="50">
        <v>256.27</v>
      </c>
      <c r="L21" s="50">
        <v>247.44</v>
      </c>
      <c r="M21" s="50">
        <v>238.86</v>
      </c>
      <c r="N21" s="50">
        <v>164.01</v>
      </c>
      <c r="O21" s="50">
        <f t="shared" si="21"/>
        <v>906.58</v>
      </c>
      <c r="P21" s="50">
        <f>AA21*$AA$1</f>
        <v>68</v>
      </c>
      <c r="Q21" s="50">
        <f>(Y21+Y21*Z21)*$Y$1</f>
        <v>60.5</v>
      </c>
      <c r="R21" s="50">
        <f>(AB21+AC21)*$AB$1+AD21</f>
        <v>62.984</v>
      </c>
      <c r="S21" s="50">
        <f>AE21</f>
        <v>0</v>
      </c>
      <c r="T21" s="50">
        <f>AF21</f>
        <v>0</v>
      </c>
      <c r="U21" s="50">
        <f t="shared" si="22"/>
        <v>191.484</v>
      </c>
      <c r="V21" s="50">
        <f t="shared" si="23"/>
        <v>173595.56472</v>
      </c>
      <c r="W21" s="8"/>
      <c r="X21" s="52">
        <f t="shared" si="24"/>
        <v>191.484</v>
      </c>
      <c r="Y21" s="53">
        <v>55</v>
      </c>
      <c r="Z21" s="54">
        <v>0.1</v>
      </c>
      <c r="AA21" s="53">
        <f t="shared" si="25"/>
        <v>68</v>
      </c>
      <c r="AB21" s="53">
        <f t="shared" si="26"/>
        <v>46.8</v>
      </c>
      <c r="AC21" s="53">
        <v>2</v>
      </c>
      <c r="AD21" s="53">
        <f t="shared" si="27"/>
        <v>14.184</v>
      </c>
      <c r="AE21" s="53">
        <f t="shared" si="28"/>
        <v>0</v>
      </c>
      <c r="AF21" s="53">
        <f t="shared" si="29"/>
        <v>0</v>
      </c>
      <c r="AG21" s="55">
        <f t="shared" si="30"/>
        <v>173595.56472</v>
      </c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="1" customFormat="1" ht="27" customHeight="1" spans="1:47">
      <c r="A22" s="46">
        <v>14</v>
      </c>
      <c r="B22" s="47" t="s">
        <v>64</v>
      </c>
      <c r="C22" s="48" t="s">
        <v>65</v>
      </c>
      <c r="D22" s="46"/>
      <c r="E22" s="49"/>
      <c r="F22" s="62" t="s">
        <v>38</v>
      </c>
      <c r="G22" s="63"/>
      <c r="H22" s="50"/>
      <c r="I22" s="50"/>
      <c r="J22" s="50"/>
      <c r="K22" s="50">
        <v>1.18</v>
      </c>
      <c r="L22" s="50">
        <v>1.18</v>
      </c>
      <c r="M22" s="50">
        <v>1.18</v>
      </c>
      <c r="N22" s="50">
        <v>1.18</v>
      </c>
      <c r="O22" s="50">
        <f t="shared" si="21"/>
        <v>4.72</v>
      </c>
      <c r="P22" s="50">
        <f>AA22*$AA$1</f>
        <v>75</v>
      </c>
      <c r="Q22" s="50">
        <f>(Y22+Y22*Z22)*$Y$1</f>
        <v>28.84</v>
      </c>
      <c r="R22" s="50">
        <f>(AB22+AC22)*$AB$1+AD22</f>
        <v>25.5872</v>
      </c>
      <c r="S22" s="50">
        <f>AE22</f>
        <v>0</v>
      </c>
      <c r="T22" s="50">
        <f>AF22</f>
        <v>0</v>
      </c>
      <c r="U22" s="50">
        <f t="shared" si="22"/>
        <v>129.4272</v>
      </c>
      <c r="V22" s="50">
        <f t="shared" si="23"/>
        <v>610.896384</v>
      </c>
      <c r="W22" s="8"/>
      <c r="X22" s="52">
        <f t="shared" si="24"/>
        <v>129.4272</v>
      </c>
      <c r="Y22" s="53">
        <v>28</v>
      </c>
      <c r="Z22" s="54">
        <v>0.03</v>
      </c>
      <c r="AA22" s="53">
        <v>75</v>
      </c>
      <c r="AB22" s="53">
        <v>15</v>
      </c>
      <c r="AC22" s="53">
        <v>1</v>
      </c>
      <c r="AD22" s="53">
        <f t="shared" si="27"/>
        <v>9.5872</v>
      </c>
      <c r="AE22" s="53">
        <f t="shared" si="28"/>
        <v>0</v>
      </c>
      <c r="AF22" s="53">
        <f t="shared" si="29"/>
        <v>0</v>
      </c>
      <c r="AG22" s="55">
        <f t="shared" si="30"/>
        <v>610.896384</v>
      </c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</row>
    <row r="23" s="1" customFormat="1" spans="1:47">
      <c r="A23" s="41"/>
      <c r="B23" s="42" t="s">
        <v>66</v>
      </c>
      <c r="C23" s="43"/>
      <c r="D23" s="41"/>
      <c r="E23" s="44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8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</row>
    <row r="24" s="1" customFormat="1" ht="24" customHeight="1" spans="1:47">
      <c r="A24" s="46">
        <v>15</v>
      </c>
      <c r="B24" s="47" t="s">
        <v>67</v>
      </c>
      <c r="C24" s="48" t="s">
        <v>68</v>
      </c>
      <c r="D24" s="47"/>
      <c r="E24" s="49"/>
      <c r="F24" s="64" t="s">
        <v>69</v>
      </c>
      <c r="G24" s="63">
        <v>62</v>
      </c>
      <c r="H24" s="63">
        <v>64</v>
      </c>
      <c r="I24" s="63">
        <v>64</v>
      </c>
      <c r="J24" s="63">
        <v>64</v>
      </c>
      <c r="K24" s="63"/>
      <c r="L24" s="63"/>
      <c r="M24" s="63"/>
      <c r="N24" s="63"/>
      <c r="O24" s="50">
        <f t="shared" ref="O24:O34" si="31">SUM(G24:N24)</f>
        <v>254</v>
      </c>
      <c r="P24" s="50">
        <f>AA24*$AA$1</f>
        <v>110</v>
      </c>
      <c r="Q24" s="50">
        <f>(Y24+Y24*Z24)*$Y$1</f>
        <v>59.4</v>
      </c>
      <c r="R24" s="50">
        <f>(AB24+AC24)*$AB$1+AD24</f>
        <v>92.392</v>
      </c>
      <c r="S24" s="50">
        <f>AE24</f>
        <v>0</v>
      </c>
      <c r="T24" s="50">
        <f>AF24</f>
        <v>0</v>
      </c>
      <c r="U24" s="50">
        <f t="shared" ref="U24:U34" si="32">P24+Q24+R24+S24+T24</f>
        <v>261.792</v>
      </c>
      <c r="V24" s="50">
        <f t="shared" ref="V24:V34" si="33">U24*O24</f>
        <v>66495.168</v>
      </c>
      <c r="W24" s="8"/>
      <c r="X24" s="52">
        <f>Y24+Y24*Z24+AA24+AB24+AC24+AD24</f>
        <v>261.792</v>
      </c>
      <c r="Y24" s="53">
        <v>54</v>
      </c>
      <c r="Z24" s="54">
        <v>0.1</v>
      </c>
      <c r="AA24" s="53">
        <v>110</v>
      </c>
      <c r="AB24" s="53">
        <f>55+15</f>
        <v>70</v>
      </c>
      <c r="AC24" s="53">
        <v>3</v>
      </c>
      <c r="AD24" s="53">
        <f>(Y24+Y24*Z24+AA24+AB24+AC24)*$AD$1</f>
        <v>19.392</v>
      </c>
      <c r="AE24" s="53">
        <f>(Y24+Y24*Z24+AA24+AB24+AC24)*$AE$1</f>
        <v>0</v>
      </c>
      <c r="AF24" s="53">
        <f>(Y24+Y24*Z24+AA24+AB24+AC24+AE24)*$AF$1</f>
        <v>0</v>
      </c>
      <c r="AG24" s="55">
        <f>X24*O24</f>
        <v>66495.168</v>
      </c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</row>
    <row r="25" s="1" customFormat="1" spans="1:47">
      <c r="A25" s="41"/>
      <c r="B25" s="42" t="s">
        <v>70</v>
      </c>
      <c r="C25" s="43"/>
      <c r="D25" s="42"/>
      <c r="E25" s="44"/>
      <c r="F25" s="65"/>
      <c r="G25" s="66"/>
      <c r="H25" s="66"/>
      <c r="I25" s="66"/>
      <c r="J25" s="66"/>
      <c r="K25" s="66"/>
      <c r="L25" s="66"/>
      <c r="M25" s="66"/>
      <c r="N25" s="66"/>
      <c r="O25" s="66"/>
      <c r="P25" s="65"/>
      <c r="Q25" s="65"/>
      <c r="R25" s="65"/>
      <c r="S25" s="65"/>
      <c r="T25" s="65"/>
      <c r="U25" s="66"/>
      <c r="V25" s="66"/>
      <c r="W25" s="8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 s="1" customFormat="1" ht="36" spans="1:47">
      <c r="A26" s="46">
        <v>16</v>
      </c>
      <c r="B26" s="47" t="s">
        <v>71</v>
      </c>
      <c r="C26" s="48" t="s">
        <v>72</v>
      </c>
      <c r="D26" s="47"/>
      <c r="E26" s="49"/>
      <c r="F26" s="64" t="s">
        <v>73</v>
      </c>
      <c r="G26" s="63">
        <v>310</v>
      </c>
      <c r="H26" s="63">
        <v>320</v>
      </c>
      <c r="I26" s="63">
        <v>320</v>
      </c>
      <c r="J26" s="63">
        <v>320</v>
      </c>
      <c r="K26" s="63">
        <v>27</v>
      </c>
      <c r="L26" s="63">
        <v>32</v>
      </c>
      <c r="M26" s="63">
        <v>33</v>
      </c>
      <c r="N26" s="63">
        <v>17</v>
      </c>
      <c r="O26" s="50">
        <f t="shared" si="31"/>
        <v>1379</v>
      </c>
      <c r="P26" s="50">
        <f t="shared" ref="P26:P34" si="34">AA26*$AA$1</f>
        <v>18</v>
      </c>
      <c r="Q26" s="50">
        <f t="shared" ref="Q26:Q34" si="35">(Y26+Y26*Z26)*$Y$1</f>
        <v>48</v>
      </c>
      <c r="R26" s="50">
        <f t="shared" ref="R26:R34" si="36">(AB26+AC26)*$AB$1+AD26</f>
        <v>7.116</v>
      </c>
      <c r="S26" s="50">
        <f t="shared" ref="S26:S34" si="37">AE26</f>
        <v>0</v>
      </c>
      <c r="T26" s="50">
        <f t="shared" ref="T26:T34" si="38">AF26</f>
        <v>0</v>
      </c>
      <c r="U26" s="50">
        <f t="shared" si="32"/>
        <v>73.116</v>
      </c>
      <c r="V26" s="50">
        <f t="shared" si="33"/>
        <v>100826.964</v>
      </c>
      <c r="W26" s="8"/>
      <c r="X26" s="52">
        <f>Y26+Y26*Z26+AA26+AB26+AC26+AD26</f>
        <v>73.116</v>
      </c>
      <c r="Y26" s="53">
        <v>48</v>
      </c>
      <c r="Z26" s="54">
        <v>0</v>
      </c>
      <c r="AA26" s="67">
        <v>18</v>
      </c>
      <c r="AB26" s="68">
        <v>1.5</v>
      </c>
      <c r="AC26" s="38">
        <v>0.2</v>
      </c>
      <c r="AD26" s="53">
        <f>(Y26+Y26*Z26+AA26+AB26+AC26)*$AD$1</f>
        <v>5.416</v>
      </c>
      <c r="AE26" s="53">
        <f>(Y26+Y26*Z26+AA26+AB26+AC26)*$AE$1</f>
        <v>0</v>
      </c>
      <c r="AF26" s="53">
        <f>(Y26+Y26*Z26+AA26+AB26+AC26+AE26)*$AF$1</f>
        <v>0</v>
      </c>
      <c r="AG26" s="55">
        <f>X26*O26</f>
        <v>100826.964</v>
      </c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</row>
    <row r="27" s="1" customFormat="1" ht="24" spans="1:47">
      <c r="A27" s="46">
        <v>17</v>
      </c>
      <c r="B27" s="47" t="s">
        <v>74</v>
      </c>
      <c r="C27" s="48" t="s">
        <v>75</v>
      </c>
      <c r="D27" s="47"/>
      <c r="E27" s="49"/>
      <c r="F27" s="64" t="s">
        <v>50</v>
      </c>
      <c r="G27" s="63"/>
      <c r="H27" s="63"/>
      <c r="I27" s="63"/>
      <c r="J27" s="63"/>
      <c r="K27" s="63">
        <v>53.48</v>
      </c>
      <c r="L27" s="63">
        <v>60.07</v>
      </c>
      <c r="M27" s="63">
        <v>45.83</v>
      </c>
      <c r="N27" s="63">
        <v>38.08</v>
      </c>
      <c r="O27" s="50">
        <f t="shared" si="31"/>
        <v>197.46</v>
      </c>
      <c r="P27" s="50">
        <f t="shared" si="34"/>
        <v>10</v>
      </c>
      <c r="Q27" s="50">
        <f t="shared" si="35"/>
        <v>17</v>
      </c>
      <c r="R27" s="50">
        <f t="shared" si="36"/>
        <v>3.996</v>
      </c>
      <c r="S27" s="50">
        <f t="shared" si="37"/>
        <v>0</v>
      </c>
      <c r="T27" s="50">
        <f t="shared" si="38"/>
        <v>0</v>
      </c>
      <c r="U27" s="50">
        <f t="shared" si="32"/>
        <v>30.996</v>
      </c>
      <c r="V27" s="50">
        <f t="shared" si="33"/>
        <v>6120.47016</v>
      </c>
      <c r="W27" s="8"/>
      <c r="X27" s="52">
        <f t="shared" ref="X27:X34" si="39">Y27+Y27*Z27+AA27+AB27+AC27+AD27</f>
        <v>30.996</v>
      </c>
      <c r="Y27" s="69">
        <f>12+5</f>
        <v>17</v>
      </c>
      <c r="Z27" s="70">
        <v>0</v>
      </c>
      <c r="AA27" s="69">
        <v>10</v>
      </c>
      <c r="AB27" s="69">
        <v>1.5</v>
      </c>
      <c r="AC27" s="38">
        <v>0.2</v>
      </c>
      <c r="AD27" s="53">
        <f t="shared" ref="AD27:AD34" si="40">(Y27+Y27*Z27+AA27+AB27+AC27)*$AD$1</f>
        <v>2.296</v>
      </c>
      <c r="AE27" s="53">
        <f t="shared" ref="AE27:AE34" si="41">(Y27+Y27*Z27+AA27+AB27+AC27)*$AE$1</f>
        <v>0</v>
      </c>
      <c r="AF27" s="53">
        <f t="shared" ref="AF27:AF34" si="42">(Y27+Y27*Z27+AA27+AB27+AC27+AE27)*$AF$1</f>
        <v>0</v>
      </c>
      <c r="AG27" s="55">
        <f t="shared" ref="AG27:AG34" si="43">X27*O27</f>
        <v>6120.47016</v>
      </c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</row>
    <row r="28" s="1" customFormat="1" ht="36" spans="1:47">
      <c r="A28" s="46">
        <v>18</v>
      </c>
      <c r="B28" s="47" t="s">
        <v>76</v>
      </c>
      <c r="C28" s="48" t="s">
        <v>77</v>
      </c>
      <c r="D28" s="47"/>
      <c r="E28" s="49"/>
      <c r="F28" s="64" t="s">
        <v>50</v>
      </c>
      <c r="G28" s="63">
        <v>663.4</v>
      </c>
      <c r="H28" s="63">
        <v>684.8</v>
      </c>
      <c r="I28" s="63">
        <v>684.8</v>
      </c>
      <c r="J28" s="63">
        <v>684.8</v>
      </c>
      <c r="K28" s="63">
        <v>75.66</v>
      </c>
      <c r="L28" s="63">
        <v>89.81</v>
      </c>
      <c r="M28" s="63">
        <v>92.1</v>
      </c>
      <c r="N28" s="63">
        <v>69.56</v>
      </c>
      <c r="O28" s="50">
        <f t="shared" si="31"/>
        <v>3044.93</v>
      </c>
      <c r="P28" s="50">
        <f t="shared" si="34"/>
        <v>10</v>
      </c>
      <c r="Q28" s="50">
        <f t="shared" si="35"/>
        <v>3.34</v>
      </c>
      <c r="R28" s="50">
        <f t="shared" si="36"/>
        <v>1.8232</v>
      </c>
      <c r="S28" s="50">
        <f t="shared" si="37"/>
        <v>0</v>
      </c>
      <c r="T28" s="50">
        <f t="shared" si="38"/>
        <v>0</v>
      </c>
      <c r="U28" s="50">
        <f t="shared" si="32"/>
        <v>15.1632</v>
      </c>
      <c r="V28" s="50">
        <f t="shared" si="33"/>
        <v>46170.882576</v>
      </c>
      <c r="W28" s="8"/>
      <c r="X28" s="52">
        <f t="shared" si="39"/>
        <v>15.1632</v>
      </c>
      <c r="Y28" s="69">
        <v>3.34</v>
      </c>
      <c r="Z28" s="70">
        <v>0</v>
      </c>
      <c r="AA28" s="69">
        <v>10</v>
      </c>
      <c r="AB28" s="69">
        <v>0.5</v>
      </c>
      <c r="AC28" s="38">
        <v>0.2</v>
      </c>
      <c r="AD28" s="53">
        <f t="shared" si="40"/>
        <v>1.1232</v>
      </c>
      <c r="AE28" s="53">
        <f t="shared" si="41"/>
        <v>0</v>
      </c>
      <c r="AF28" s="53">
        <f t="shared" si="42"/>
        <v>0</v>
      </c>
      <c r="AG28" s="55">
        <f t="shared" si="43"/>
        <v>46170.882576</v>
      </c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</row>
    <row r="29" s="1" customFormat="1" spans="1:47">
      <c r="A29" s="46">
        <v>19</v>
      </c>
      <c r="B29" s="47" t="s">
        <v>78</v>
      </c>
      <c r="C29" s="48" t="s">
        <v>79</v>
      </c>
      <c r="D29" s="47"/>
      <c r="E29" s="49"/>
      <c r="F29" s="64" t="s">
        <v>50</v>
      </c>
      <c r="G29" s="63">
        <v>46.5</v>
      </c>
      <c r="H29" s="63">
        <v>48</v>
      </c>
      <c r="I29" s="63">
        <v>48</v>
      </c>
      <c r="J29" s="63">
        <v>48</v>
      </c>
      <c r="K29" s="63">
        <v>19.7</v>
      </c>
      <c r="L29" s="63">
        <v>22.6</v>
      </c>
      <c r="M29" s="63">
        <v>22.6</v>
      </c>
      <c r="N29" s="63">
        <v>16</v>
      </c>
      <c r="O29" s="50">
        <f t="shared" si="31"/>
        <v>271.4</v>
      </c>
      <c r="P29" s="50">
        <f t="shared" si="34"/>
        <v>10</v>
      </c>
      <c r="Q29" s="50">
        <f t="shared" si="35"/>
        <v>10</v>
      </c>
      <c r="R29" s="50">
        <f t="shared" si="36"/>
        <v>2.356</v>
      </c>
      <c r="S29" s="50">
        <f t="shared" si="37"/>
        <v>0</v>
      </c>
      <c r="T29" s="50">
        <f t="shared" si="38"/>
        <v>0</v>
      </c>
      <c r="U29" s="50">
        <f t="shared" si="32"/>
        <v>22.356</v>
      </c>
      <c r="V29" s="50">
        <f t="shared" si="33"/>
        <v>6067.4184</v>
      </c>
      <c r="W29" s="8"/>
      <c r="X29" s="52">
        <f t="shared" si="39"/>
        <v>22.356</v>
      </c>
      <c r="Y29" s="69">
        <v>10</v>
      </c>
      <c r="Z29" s="70">
        <v>0</v>
      </c>
      <c r="AA29" s="69">
        <v>10</v>
      </c>
      <c r="AB29" s="69">
        <v>0.5</v>
      </c>
      <c r="AC29" s="38">
        <v>0.2</v>
      </c>
      <c r="AD29" s="53">
        <f t="shared" si="40"/>
        <v>1.656</v>
      </c>
      <c r="AE29" s="53">
        <f t="shared" si="41"/>
        <v>0</v>
      </c>
      <c r="AF29" s="53">
        <f t="shared" si="42"/>
        <v>0</v>
      </c>
      <c r="AG29" s="55">
        <f t="shared" si="43"/>
        <v>6067.4184</v>
      </c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</row>
    <row r="30" s="1" customFormat="1" ht="24" spans="1:47">
      <c r="A30" s="46">
        <v>20</v>
      </c>
      <c r="B30" s="47" t="s">
        <v>80</v>
      </c>
      <c r="C30" s="48" t="s">
        <v>81</v>
      </c>
      <c r="D30" s="47"/>
      <c r="E30" s="49"/>
      <c r="F30" s="64" t="s">
        <v>50</v>
      </c>
      <c r="G30" s="63">
        <v>2492.4</v>
      </c>
      <c r="H30" s="63">
        <v>2572.8</v>
      </c>
      <c r="I30" s="63">
        <v>2572.8</v>
      </c>
      <c r="J30" s="63">
        <v>2572.8</v>
      </c>
      <c r="K30" s="63">
        <v>260.58</v>
      </c>
      <c r="L30" s="63">
        <v>308.43</v>
      </c>
      <c r="M30" s="63">
        <v>316.2</v>
      </c>
      <c r="N30" s="63">
        <v>232.38</v>
      </c>
      <c r="O30" s="50">
        <f t="shared" si="31"/>
        <v>11328.39</v>
      </c>
      <c r="P30" s="50">
        <f t="shared" si="34"/>
        <v>1.5</v>
      </c>
      <c r="Q30" s="50">
        <f t="shared" si="35"/>
        <v>2.48</v>
      </c>
      <c r="R30" s="50">
        <f t="shared" si="36"/>
        <v>0.7504</v>
      </c>
      <c r="S30" s="50">
        <f t="shared" si="37"/>
        <v>0</v>
      </c>
      <c r="T30" s="50">
        <f t="shared" si="38"/>
        <v>0</v>
      </c>
      <c r="U30" s="50">
        <f t="shared" si="32"/>
        <v>4.7304</v>
      </c>
      <c r="V30" s="50">
        <f t="shared" si="33"/>
        <v>53587.816056</v>
      </c>
      <c r="W30" s="8"/>
      <c r="X30" s="52">
        <f t="shared" si="39"/>
        <v>4.7304</v>
      </c>
      <c r="Y30" s="69">
        <v>2.48</v>
      </c>
      <c r="Z30" s="70">
        <v>0</v>
      </c>
      <c r="AA30" s="69">
        <v>1.5</v>
      </c>
      <c r="AB30" s="69">
        <v>0.2</v>
      </c>
      <c r="AC30" s="38">
        <v>0.2</v>
      </c>
      <c r="AD30" s="53">
        <f t="shared" si="40"/>
        <v>0.3504</v>
      </c>
      <c r="AE30" s="53">
        <f t="shared" si="41"/>
        <v>0</v>
      </c>
      <c r="AF30" s="53">
        <f t="shared" si="42"/>
        <v>0</v>
      </c>
      <c r="AG30" s="55">
        <f t="shared" si="43"/>
        <v>53587.816056</v>
      </c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</row>
    <row r="31" s="1" customFormat="1" ht="24" spans="1:47">
      <c r="A31" s="46">
        <v>21</v>
      </c>
      <c r="B31" s="47" t="s">
        <v>82</v>
      </c>
      <c r="C31" s="48" t="s">
        <v>83</v>
      </c>
      <c r="D31" s="47"/>
      <c r="E31" s="49"/>
      <c r="F31" s="64" t="s">
        <v>69</v>
      </c>
      <c r="G31" s="63">
        <v>31</v>
      </c>
      <c r="H31" s="63">
        <v>32</v>
      </c>
      <c r="I31" s="63">
        <v>32</v>
      </c>
      <c r="J31" s="63">
        <v>32</v>
      </c>
      <c r="K31" s="63">
        <v>1</v>
      </c>
      <c r="L31" s="63">
        <v>2</v>
      </c>
      <c r="M31" s="63">
        <v>3</v>
      </c>
      <c r="N31" s="63">
        <v>2</v>
      </c>
      <c r="O31" s="50">
        <f t="shared" si="31"/>
        <v>135</v>
      </c>
      <c r="P31" s="50">
        <f t="shared" si="34"/>
        <v>10</v>
      </c>
      <c r="Q31" s="50">
        <f t="shared" si="35"/>
        <v>12</v>
      </c>
      <c r="R31" s="50">
        <f t="shared" si="36"/>
        <v>2.516</v>
      </c>
      <c r="S31" s="50">
        <f t="shared" si="37"/>
        <v>0</v>
      </c>
      <c r="T31" s="50">
        <f t="shared" si="38"/>
        <v>0</v>
      </c>
      <c r="U31" s="50">
        <f t="shared" si="32"/>
        <v>24.516</v>
      </c>
      <c r="V31" s="50">
        <f t="shared" si="33"/>
        <v>3309.66</v>
      </c>
      <c r="W31" s="8"/>
      <c r="X31" s="52">
        <f t="shared" si="39"/>
        <v>24.516</v>
      </c>
      <c r="Y31" s="69">
        <v>12</v>
      </c>
      <c r="Z31" s="70">
        <v>0</v>
      </c>
      <c r="AA31" s="69">
        <v>10</v>
      </c>
      <c r="AB31" s="69">
        <v>0.5</v>
      </c>
      <c r="AC31" s="38">
        <v>0.2</v>
      </c>
      <c r="AD31" s="53">
        <f t="shared" si="40"/>
        <v>1.816</v>
      </c>
      <c r="AE31" s="53">
        <f t="shared" si="41"/>
        <v>0</v>
      </c>
      <c r="AF31" s="53">
        <f t="shared" si="42"/>
        <v>0</v>
      </c>
      <c r="AG31" s="55">
        <f t="shared" si="43"/>
        <v>3309.66</v>
      </c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 s="1" customFormat="1" ht="24" spans="1:47">
      <c r="A32" s="46">
        <v>22</v>
      </c>
      <c r="B32" s="47" t="s">
        <v>82</v>
      </c>
      <c r="C32" s="48" t="s">
        <v>84</v>
      </c>
      <c r="D32" s="46"/>
      <c r="E32" s="49"/>
      <c r="F32" s="64" t="s">
        <v>69</v>
      </c>
      <c r="G32" s="63">
        <v>62</v>
      </c>
      <c r="H32" s="63">
        <v>62</v>
      </c>
      <c r="I32" s="63">
        <v>62</v>
      </c>
      <c r="J32" s="63">
        <v>62</v>
      </c>
      <c r="K32" s="63">
        <v>4</v>
      </c>
      <c r="L32" s="63">
        <v>4</v>
      </c>
      <c r="M32" s="63">
        <v>3</v>
      </c>
      <c r="N32" s="63">
        <v>2</v>
      </c>
      <c r="O32" s="50">
        <f t="shared" si="31"/>
        <v>261</v>
      </c>
      <c r="P32" s="50">
        <f t="shared" si="34"/>
        <v>10</v>
      </c>
      <c r="Q32" s="50">
        <f t="shared" si="35"/>
        <v>12.5</v>
      </c>
      <c r="R32" s="50">
        <f t="shared" si="36"/>
        <v>2.556</v>
      </c>
      <c r="S32" s="50">
        <f t="shared" si="37"/>
        <v>0</v>
      </c>
      <c r="T32" s="50">
        <f t="shared" si="38"/>
        <v>0</v>
      </c>
      <c r="U32" s="50">
        <f t="shared" si="32"/>
        <v>25.056</v>
      </c>
      <c r="V32" s="50">
        <f t="shared" si="33"/>
        <v>6539.616</v>
      </c>
      <c r="W32" s="8"/>
      <c r="X32" s="52">
        <f t="shared" si="39"/>
        <v>25.056</v>
      </c>
      <c r="Y32" s="69">
        <v>12.5</v>
      </c>
      <c r="Z32" s="70">
        <v>0</v>
      </c>
      <c r="AA32" s="69">
        <v>10</v>
      </c>
      <c r="AB32" s="69">
        <v>0.5</v>
      </c>
      <c r="AC32" s="38">
        <v>0.2</v>
      </c>
      <c r="AD32" s="53">
        <f t="shared" si="40"/>
        <v>1.856</v>
      </c>
      <c r="AE32" s="53">
        <f t="shared" si="41"/>
        <v>0</v>
      </c>
      <c r="AF32" s="53">
        <f t="shared" si="42"/>
        <v>0</v>
      </c>
      <c r="AG32" s="55">
        <f t="shared" si="43"/>
        <v>6539.616</v>
      </c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</row>
    <row r="33" s="1" customFormat="1" ht="24" spans="1:47">
      <c r="A33" s="46">
        <v>23</v>
      </c>
      <c r="B33" s="47" t="s">
        <v>85</v>
      </c>
      <c r="C33" s="48" t="s">
        <v>86</v>
      </c>
      <c r="D33" s="46"/>
      <c r="E33" s="49" t="s">
        <v>69</v>
      </c>
      <c r="F33" s="64" t="s">
        <v>69</v>
      </c>
      <c r="G33" s="63"/>
      <c r="H33" s="63"/>
      <c r="I33" s="63"/>
      <c r="J33" s="63"/>
      <c r="K33" s="63">
        <v>2</v>
      </c>
      <c r="L33" s="63">
        <v>2</v>
      </c>
      <c r="M33" s="63">
        <v>2</v>
      </c>
      <c r="N33" s="63">
        <v>2</v>
      </c>
      <c r="O33" s="50">
        <f t="shared" si="31"/>
        <v>8</v>
      </c>
      <c r="P33" s="50">
        <f t="shared" si="34"/>
        <v>10</v>
      </c>
      <c r="Q33" s="50">
        <f t="shared" si="35"/>
        <v>12</v>
      </c>
      <c r="R33" s="50">
        <f t="shared" si="36"/>
        <v>2.516</v>
      </c>
      <c r="S33" s="50">
        <f t="shared" si="37"/>
        <v>0</v>
      </c>
      <c r="T33" s="50">
        <f t="shared" si="38"/>
        <v>0</v>
      </c>
      <c r="U33" s="50">
        <f t="shared" si="32"/>
        <v>24.516</v>
      </c>
      <c r="V33" s="50">
        <f t="shared" si="33"/>
        <v>196.128</v>
      </c>
      <c r="W33" s="8"/>
      <c r="X33" s="52">
        <f t="shared" si="39"/>
        <v>24.516</v>
      </c>
      <c r="Y33" s="69">
        <v>12</v>
      </c>
      <c r="Z33" s="70">
        <v>0</v>
      </c>
      <c r="AA33" s="69">
        <v>10</v>
      </c>
      <c r="AB33" s="69">
        <v>0.5</v>
      </c>
      <c r="AC33" s="38">
        <v>0.2</v>
      </c>
      <c r="AD33" s="53">
        <f t="shared" si="40"/>
        <v>1.816</v>
      </c>
      <c r="AE33" s="53">
        <f t="shared" si="41"/>
        <v>0</v>
      </c>
      <c r="AF33" s="53">
        <f t="shared" si="42"/>
        <v>0</v>
      </c>
      <c r="AG33" s="55">
        <f t="shared" si="43"/>
        <v>196.128</v>
      </c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</row>
    <row r="34" s="1" customFormat="1" spans="1:47">
      <c r="A34" s="46">
        <v>24</v>
      </c>
      <c r="B34" s="47" t="s">
        <v>87</v>
      </c>
      <c r="C34" s="48" t="s">
        <v>88</v>
      </c>
      <c r="D34" s="46"/>
      <c r="E34" s="49"/>
      <c r="F34" s="64" t="s">
        <v>69</v>
      </c>
      <c r="G34" s="63">
        <v>589</v>
      </c>
      <c r="H34" s="63">
        <v>608</v>
      </c>
      <c r="I34" s="63">
        <v>608</v>
      </c>
      <c r="J34" s="63">
        <v>608</v>
      </c>
      <c r="K34" s="63">
        <v>34</v>
      </c>
      <c r="L34" s="63">
        <v>40</v>
      </c>
      <c r="M34" s="63">
        <v>41</v>
      </c>
      <c r="N34" s="63">
        <v>23</v>
      </c>
      <c r="O34" s="50">
        <f t="shared" si="31"/>
        <v>2551</v>
      </c>
      <c r="P34" s="50">
        <f t="shared" si="34"/>
        <v>4.5</v>
      </c>
      <c r="Q34" s="50">
        <f t="shared" si="35"/>
        <v>1.2</v>
      </c>
      <c r="R34" s="50">
        <f t="shared" si="36"/>
        <v>0.672</v>
      </c>
      <c r="S34" s="50">
        <f t="shared" si="37"/>
        <v>0</v>
      </c>
      <c r="T34" s="50">
        <f t="shared" si="38"/>
        <v>0</v>
      </c>
      <c r="U34" s="50">
        <f t="shared" si="32"/>
        <v>6.372</v>
      </c>
      <c r="V34" s="50">
        <f t="shared" si="33"/>
        <v>16254.972</v>
      </c>
      <c r="W34" s="8"/>
      <c r="X34" s="52">
        <f t="shared" si="39"/>
        <v>6.372</v>
      </c>
      <c r="Y34" s="69">
        <v>1.2</v>
      </c>
      <c r="Z34" s="70">
        <v>0</v>
      </c>
      <c r="AA34" s="69">
        <v>4.5</v>
      </c>
      <c r="AB34" s="38">
        <v>0.1</v>
      </c>
      <c r="AC34" s="38">
        <v>0.1</v>
      </c>
      <c r="AD34" s="53">
        <f t="shared" si="40"/>
        <v>0.472</v>
      </c>
      <c r="AE34" s="53">
        <f t="shared" si="41"/>
        <v>0</v>
      </c>
      <c r="AF34" s="53">
        <f t="shared" si="42"/>
        <v>0</v>
      </c>
      <c r="AG34" s="55">
        <f t="shared" si="43"/>
        <v>16254.972</v>
      </c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</row>
    <row r="35" s="1" customFormat="1" ht="21" customHeight="1" spans="1:47">
      <c r="A35" s="71" t="s">
        <v>89</v>
      </c>
      <c r="B35" s="71"/>
      <c r="C35" s="72"/>
      <c r="D35" s="71"/>
      <c r="E35" s="73"/>
      <c r="F35" s="74"/>
      <c r="G35" s="74"/>
      <c r="H35" s="74"/>
      <c r="I35" s="74"/>
      <c r="J35" s="74"/>
      <c r="K35" s="74"/>
      <c r="L35" s="74"/>
      <c r="M35" s="74"/>
      <c r="N35" s="74"/>
      <c r="O35" s="50"/>
      <c r="P35" s="50"/>
      <c r="Q35" s="50"/>
      <c r="R35" s="50"/>
      <c r="S35" s="50"/>
      <c r="T35" s="50"/>
      <c r="U35" s="50"/>
      <c r="V35" s="68">
        <f>SUM(V6:V34)</f>
        <v>3729591.410022</v>
      </c>
      <c r="W35" s="8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</row>
    <row r="36" s="1" customFormat="1" ht="21" customHeight="1" spans="1:47">
      <c r="A36" s="71" t="s">
        <v>90</v>
      </c>
      <c r="B36" s="71"/>
      <c r="C36" s="72"/>
      <c r="D36" s="71"/>
      <c r="E36" s="73"/>
      <c r="F36" s="74"/>
      <c r="G36" s="74"/>
      <c r="H36" s="74"/>
      <c r="I36" s="74"/>
      <c r="J36" s="74"/>
      <c r="K36" s="74"/>
      <c r="L36" s="74"/>
      <c r="M36" s="74"/>
      <c r="N36" s="74"/>
      <c r="O36" s="50"/>
      <c r="P36" s="50"/>
      <c r="Q36" s="50"/>
      <c r="R36" s="50"/>
      <c r="S36" s="50"/>
      <c r="T36" s="50"/>
      <c r="U36" s="50"/>
      <c r="V36" s="68">
        <f>V35*0.09</f>
        <v>335663.22690198</v>
      </c>
      <c r="W36" s="8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</row>
    <row r="37" s="1" customFormat="1" ht="21" customHeight="1" spans="1:47">
      <c r="A37" s="71" t="s">
        <v>91</v>
      </c>
      <c r="B37" s="71"/>
      <c r="C37" s="72"/>
      <c r="D37" s="71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50"/>
      <c r="P37" s="50"/>
      <c r="Q37" s="50"/>
      <c r="R37" s="50"/>
      <c r="S37" s="50"/>
      <c r="T37" s="50"/>
      <c r="U37" s="50"/>
      <c r="V37" s="68">
        <f>V35+V36</f>
        <v>4065254.63692398</v>
      </c>
      <c r="W37" s="8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  <row r="38" ht="21" customHeight="1" spans="1:47">
      <c r="A38" s="75"/>
      <c r="B38" s="76"/>
      <c r="C38" s="76"/>
      <c r="D38" s="76"/>
      <c r="E38" s="76"/>
      <c r="F38" s="77"/>
      <c r="G38" s="76"/>
      <c r="H38" s="76"/>
      <c r="I38" s="76"/>
      <c r="J38" s="76"/>
      <c r="K38" s="76"/>
      <c r="L38" s="76"/>
      <c r="M38" s="76"/>
      <c r="N38" s="76"/>
      <c r="O38" s="76"/>
      <c r="P38" s="77"/>
      <c r="Q38" s="77"/>
      <c r="R38" s="77"/>
      <c r="S38" s="77"/>
      <c r="T38" s="77"/>
      <c r="U38" s="76"/>
      <c r="V38" s="76"/>
    </row>
  </sheetData>
  <autoFilter xmlns:etc="http://www.wps.cn/officeDocument/2017/etCustomData" ref="A3:V37" etc:filterBottomFollowUsedRange="0">
    <extLst/>
  </autoFilter>
  <mergeCells count="22">
    <mergeCell ref="A1:V1"/>
    <mergeCell ref="P3:U3"/>
    <mergeCell ref="X3:AG3"/>
    <mergeCell ref="A35:D35"/>
    <mergeCell ref="A36:D36"/>
    <mergeCell ref="A37:D37"/>
    <mergeCell ref="A38:V38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rintOptions horizontalCentered="1"/>
  <pageMargins left="0.590277777777778" right="0.590277777777778" top="0.590277777777778" bottom="0.590277777777778" header="0.196527777777778" footer="0.196527777777778"/>
  <pageSetup paperSize="9" scale="88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门窗清单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</dc:creator>
  <cp:lastModifiedBy>叶渭淋</cp:lastModifiedBy>
  <dcterms:created xsi:type="dcterms:W3CDTF">2025-11-06T07:39:00Z</dcterms:created>
  <dcterms:modified xsi:type="dcterms:W3CDTF">2026-07-27T04:08:11Z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29B527D5D91A416CA133FCC28FA7CC85_13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