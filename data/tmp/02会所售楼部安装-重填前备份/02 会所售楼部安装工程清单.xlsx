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投标项目\云湾花园会所售楼处、5#6#楼户内及公区、架空层、样板间装修及安装工程-20260824\投标文件\云湾花园会所售楼部安装及装饰工程招标\"/>
    </mc:Choice>
  </mc:AlternateContent>
  <bookViews>
    <workbookView windowWidth="27945" windowHeight="12255" firstSheet="1" activeTab="2"/>
  </bookViews>
  <sheets>
    <sheet name="汇总表" sheetId="2" r:id="rId1"/>
    <sheet name="电气工程" sheetId="1" r:id="rId2"/>
    <sheet name="给排水工程" sheetId="3" r:id="rId3"/>
    <sheet name="空调工程" sheetId="4" r:id="rId4"/>
  </sheets>
  <definedNames>
    <definedName name="_xlnm._FilterDatabase" localSheetId="1" hidden="1">电气工程!$A$2:$AF$63</definedName>
    <definedName name="_xlnm._FilterDatabase" localSheetId="2" hidden="1">给排水工程!$A$2:$AF$31</definedName>
    <definedName name="_xlnm._FilterDatabase" localSheetId="3" hidden="1">空调工程!$A$2:$AF$61</definedName>
    <definedName name="_xlnm.Print_Area" localSheetId="1">电气工程!$A$1:$M$63</definedName>
    <definedName name="_xlnm.Print_Titles" localSheetId="1">电气工程!$1:$3</definedName>
    <definedName name="_xlnm.Print_Titles" localSheetId="0">汇总表!$1:$2</definedName>
    <definedName name="_xlnm.Print_Area" localSheetId="2">给排水工程!$A$1:$M$31</definedName>
    <definedName name="_xlnm.Print_Titles" localSheetId="2">给排水工程!$1:$3</definedName>
    <definedName name="_xlnm.Print_Area" localSheetId="3">空调工程!$A$1:$M$61</definedName>
    <definedName name="_xlnm.Print_Titles" localSheetId="3">空调工程!$1:$3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<sst xmlns="http://schemas.openxmlformats.org/spreadsheetml/2006/main" count="476" uniqueCount="237">
  <si>
    <t>会所售楼部安装工程汇总表</t>
  </si>
  <si>
    <t>序号</t>
  </si>
  <si>
    <t>单位工程</t>
  </si>
  <si>
    <t>含税合价</t>
  </si>
  <si>
    <t>不含税控制合价</t>
  </si>
  <si>
    <t>含税控制合价</t>
  </si>
  <si>
    <t>备注</t>
  </si>
  <si>
    <t>会所售楼部安装工程——电气</t>
  </si>
  <si>
    <t>会所售楼部安装工程——给排水</t>
  </si>
  <si>
    <t>会所售楼部安装工程——空调</t>
  </si>
  <si>
    <t>小计</t>
  </si>
  <si>
    <t>会所售楼部电气工程工程量清单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</si>
  <si>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</si>
  <si>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</si>
  <si>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</si>
  <si>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</si>
  <si>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</si>
  <si>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</si>
  <si>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</si>
  <si>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</si>
  <si>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</si>
  <si>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</si>
  <si>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</si>
  <si>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</si>
  <si>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</si>
  <si>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</si>
  <si>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</si>
  <si>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</si>
  <si>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</si>
  <si>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</si>
  <si>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</si>
  <si>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</si>
  <si>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</si>
  <si>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</si>
  <si>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套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</si>
  <si>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</si>
  <si>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</si>
  <si>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</si>
  <si>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</si>
  <si>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</si>
  <si>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</si>
  <si>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</si>
  <si>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</si>
  <si>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</si>
  <si>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</si>
  <si>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</si>
  <si>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</si>
  <si>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</si>
  <si>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</si>
  <si>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</si>
  <si>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</si>
  <si>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</si>
  <si>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</si>
  <si>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</si>
  <si>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</si>
  <si>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</si>
  <si>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</si>
  <si>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</si>
  <si>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</si>
  <si>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</si>
  <si>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</si>
  <si>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</si>
  <si>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</si>
  <si>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</si>
  <si>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</si>
  <si>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</si>
  <si>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</si>
  <si>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m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</si>
  <si>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</si>
  <si>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</si>
  <si>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</si>
  <si>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</si>
  <si>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</si>
  <si>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</si>
  <si>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</si>
  <si>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</si>
  <si>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</si>
  <si>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</si>
  <si>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</si>
  <si>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</si>
  <si>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</si>
  <si>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洗碗机</t>
  </si>
  <si>
    <t>1.名称：洗碗机
2.规格：-
3.尺寸：详见物料表
4.其他：包括但不限于满足图纸、招标文件、规范及验收要求等一切相关费用</t>
  </si>
  <si>
    <t>台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</si>
  <si>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</si>
  <si>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</si>
  <si>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</si>
  <si>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</si>
  <si>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</si>
  <si>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</si>
  <si>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插座</t>
  </si>
  <si>
    <t>1.名称：三孔插座
2.规格：86*86mm
3.安装方式：暗装
4.其他：包括但不限于满足图纸、招标文件、规范及验收要求等一切相关费用</t>
  </si>
  <si>
    <t>1.名称：五孔插座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</si>
  <si>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</si>
  <si>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</si>
  <si>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</si>
  <si>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</si>
  <si>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</si>
  <si>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</si>
  <si>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</si>
  <si>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</si>
  <si>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</si>
  <si>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</si>
  <si>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</si>
  <si>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</si>
  <si>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</si>
  <si>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</si>
  <si>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</si>
  <si>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</si>
  <si>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</si>
  <si>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</si>
  <si>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</si>
  <si>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</si>
  <si>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</si>
  <si>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</si>
  <si>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</si>
  <si>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</si>
  <si>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</si>
  <si>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</si>
  <si>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</si>
  <si>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</si>
  <si>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税前合价</t>
  </si>
  <si>
    <t>元</t>
  </si>
  <si>
    <t>税金</t>
  </si>
  <si>
    <t>会所售楼部给排水工程工程量清单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</si>
  <si>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</si>
  <si>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</si>
  <si>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</si>
  <si>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</si>
  <si>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</si>
  <si>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</si>
  <si>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</si>
  <si>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</si>
  <si>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</si>
  <si>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</si>
  <si>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</si>
  <si>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</si>
  <si>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</si>
  <si>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</si>
  <si>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</si>
  <si>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</si>
  <si>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</si>
  <si>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</si>
  <si>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</si>
  <si>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</si>
  <si>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</si>
  <si>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淋浴器</t>
  </si>
  <si>
    <t>1.名称：淋浴花洒
2.型号规格：详见物料表
3.其他：包括但不限于满足图纸、招标文件、规范及验收要求等一切相关费用</t>
  </si>
  <si>
    <t>拖把池及龙头</t>
  </si>
  <si>
    <t>1.名称：拖把池及冷热龙头
2.型号规格：详见物料表
3.其他：包括但不限于满足图纸、招标文件、规范及验收要求等一切相关费用</t>
  </si>
  <si>
    <t>台下盆及龙头</t>
  </si>
  <si>
    <t>1.名称：洗手盆及冷热龙头
2.型号规格：详见物料表
3.其他：包括但不限于满足图纸、招标文件、规范及验收要求等一切相关费用</t>
  </si>
  <si>
    <t>吧台水槽及龙头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</si>
  <si>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</si>
  <si>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</si>
  <si>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</si>
  <si>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</si>
  <si>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</si>
  <si>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</si>
  <si>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</si>
  <si>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</t>
  </si>
  <si>
    <t>1.名称：挂衣钩
2.型号规格：详见物料表
3.其他：包括但不限于满足图纸、招标文件、规范及验收要求等一切相关费用</t>
  </si>
  <si>
    <t>会所售楼部空调工程工程量清单</t>
  </si>
  <si>
    <t>多联机空调</t>
  </si>
  <si>
    <t>设备</t>
  </si>
  <si>
    <t>风管机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</si>
  <si>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</si>
  <si>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</si>
  <si>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</si>
  <si>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</si>
  <si>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</si>
  <si>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</si>
  <si>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</si>
  <si>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</si>
  <si>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</si>
  <si>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多联式室外机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</si>
  <si>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</si>
  <si>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</si>
  <si>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</si>
  <si>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</si>
  <si>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</si>
  <si>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</si>
  <si>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</si>
  <si>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</si>
  <si>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</si>
  <si>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</si>
  <si>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</si>
  <si>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</si>
  <si>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</si>
  <si>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</si>
  <si>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</si>
  <si>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</si>
  <si>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</si>
  <si>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</si>
  <si>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</si>
  <si>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</si>
  <si>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</si>
  <si>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</si>
  <si>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风管部件</t>
  </si>
  <si>
    <t>单层百叶风口</t>
  </si>
  <si>
    <t>1.名称：单层百叶风口
2.周长：≤1800mm
3.规格：600*150
4.其他：包括但不限于满足图纸、招标文件、规范及验收要求等一切相关费用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</si>
  <si>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</si>
  <si>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</si>
  <si>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</si>
  <si>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</si>
  <si>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</si>
  <si>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</si>
  <si>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</si>
  <si>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</si>
  <si>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</si>
  <si>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</si>
  <si>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</si>
  <si>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</si>
  <si>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</si>
  <si>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</si>
  <si>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</si>
  <si>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</si>
  <si>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</si>
  <si>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</si>
  <si>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</si>
  <si>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</si>
  <si>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</si>
  <si>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</si>
  <si>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塑料管</t>
  </si>
  <si>
    <t>1.名称：UPVC管
2.规格：DN20
3.介质：冷凝水
4.连接方式：粘接
5.其他：包括但不限于满足图纸、招标文件、规范及验收要求等一切相关费用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</si>
  <si>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</si>
  <si>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</si>
  <si>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</si>
  <si>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</si>
  <si>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</si>
  <si>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</si>
  <si>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</si>
  <si>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1.名称：冷媒管保温
2.材质：难燃B1级橡塑
3.厚度：25mm
4.其他：包括但不限于满足图纸、招标文件、规范及验收要求等一切相关费用</t>
  </si>
  <si>
    <t>1.名称：冷凝管保温
2.材质：难燃B1级橡塑
3.厚度：13mm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</si>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</sst>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002060"/>
      <name val="黑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8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/>
  </cellStyleXfs>
  <cellXfs count="58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 applyProtection="1">
      <alignment horizontal="center" vertical="center" wrapText="1"/>
      <protection locked="0"/>
    </xf>
    <xf numFmtId="10" fontId="1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/>
    <xf numFmtId="176" fontId="1" fillId="0" borderId="4" xfId="3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76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176" fontId="5" fillId="2" borderId="5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2" fillId="2" borderId="4" xfId="49" applyNumberFormat="1" applyFont="1" applyFill="1" applyBorder="1" applyAlignment="1">
      <alignment horizontal="center" vertical="center" wrapText="1"/>
    </xf>
    <xf numFmtId="10" fontId="2" fillId="2" borderId="4" xfId="49" applyNumberFormat="1" applyFont="1" applyFill="1" applyBorder="1" applyAlignment="1">
      <alignment horizontal="center" vertical="center" wrapText="1"/>
    </xf>
    <xf numFmtId="176" fontId="6" fillId="2" borderId="4" xfId="0" applyNumberFormat="1" applyFont="1" applyFill="1" applyBorder="1" applyAlignment="1" applyProtection="1">
      <alignment horizontal="center" vertical="center" wrapText="1"/>
      <protection locked="0"/>
    </xf>
    <xf numFmtId="176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5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2" fillId="3" borderId="4" xfId="49" applyNumberFormat="1" applyFont="1" applyFill="1" applyBorder="1" applyAlignment="1">
      <alignment horizontal="center" vertical="center" wrapText="1"/>
    </xf>
    <xf numFmtId="10" fontId="2" fillId="3" borderId="4" xfId="49" applyNumberFormat="1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0" fontId="0" fillId="0" borderId="7" xfId="0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view="pageBreakPreview" zoomScaleNormal="100" workbookViewId="0">
      <selection activeCell="C4" sqref="C4"/>
    </sheetView>
  </sheetViews>
  <sheetFormatPr defaultColWidth="9" defaultRowHeight="13.5" outlineLevelRow="7" outlineLevelCol="6"/>
  <cols>
    <col min="1" max="1" width="8" style="44" customWidth="1"/>
    <col min="2" max="2" width="27" style="45" customWidth="1"/>
    <col min="3" max="3" width="18.25" style="46" customWidth="1"/>
    <col min="4" max="5" width="14.625" style="46" customWidth="1"/>
    <col min="6" max="6" width="12.875" style="47" customWidth="1"/>
    <col min="7" max="7" width="10.5" style="47" customWidth="1"/>
    <col min="8" max="8" width="12.875" style="47" customWidth="1"/>
    <col min="9" max="17" width="9" style="47" customWidth="1"/>
  </cols>
  <sheetData>
    <row r="1" ht="30" customHeight="1" spans="1:7">
      <c r="A1" s="48" t="s">
        <v>0</v>
      </c>
      <c r="B1" s="49"/>
      <c r="C1" s="50"/>
      <c r="D1" s="50"/>
      <c r="E1" s="50"/>
      <c r="F1" s="50"/>
    </row>
    <row r="2" ht="30" customHeight="1" spans="1:7">
      <c r="A2" s="51" t="s">
        <v>1</v>
      </c>
      <c r="B2" s="52" t="s">
        <v>2</v>
      </c>
      <c r="C2" s="53" t="s">
        <v>3</v>
      </c>
      <c r="D2" s="54" t="s">
        <v>4</v>
      </c>
      <c r="E2" s="54" t="s">
        <v>5</v>
      </c>
      <c r="F2" s="53" t="s">
        <v>6</v>
      </c>
    </row>
    <row r="3" ht="36" customHeight="1" spans="1:7">
      <c r="A3" s="51">
        <v>1</v>
      </c>
      <c r="B3" s="52" t="s">
        <v>7</v>
      </c>
      <c r="C3" s="53">
        <f>电气工程!M63</f>
        <v>1055985.3718735</v>
      </c>
      <c r="D3" s="54">
        <v>472090.65</v>
      </c>
      <c r="E3" s="54">
        <f>D3*1.09</f>
        <v>514578.8085</v>
      </c>
      <c r="F3" s="55"/>
    </row>
    <row r="4" ht="36" customHeight="1" spans="1:7">
      <c r="A4" s="51">
        <v>2</v>
      </c>
      <c r="B4" s="52" t="s">
        <v>8</v>
      </c>
      <c r="C4" s="53">
        <f>给排水工程!M31</f>
        <v>37242.207016</v>
      </c>
      <c r="D4" s="54">
        <v>102836</v>
      </c>
      <c r="E4" s="54">
        <f>D4*1.09</f>
        <v>112091.24</v>
      </c>
      <c r="F4" s="53"/>
      <c r="G4" s="56"/>
    </row>
    <row r="5" ht="36" customHeight="1" spans="1:7">
      <c r="A5" s="51">
        <v>3</v>
      </c>
      <c r="B5" s="52" t="s">
        <v>9</v>
      </c>
      <c r="C5" s="53">
        <f>空调工程!M61</f>
        <v>634956.10702168</v>
      </c>
      <c r="D5" s="54">
        <v>322743.33</v>
      </c>
      <c r="E5" s="54">
        <f>D5*1.09</f>
        <v>351790.2297</v>
      </c>
      <c r="F5" s="53"/>
    </row>
    <row r="6" ht="36" customHeight="1" spans="1:7">
      <c r="A6" s="51"/>
      <c r="B6" s="52"/>
      <c r="C6" s="53"/>
      <c r="D6" s="54"/>
      <c r="E6" s="54"/>
      <c r="F6" s="53"/>
    </row>
    <row r="7" ht="36" customHeight="1" spans="1:7">
      <c r="A7" s="51"/>
      <c r="B7" s="52"/>
      <c r="C7" s="53"/>
      <c r="D7" s="54"/>
      <c r="E7" s="54"/>
      <c r="F7" s="53"/>
    </row>
    <row r="8" ht="36" customHeight="1" spans="1:7">
      <c r="A8" s="51" t="s">
        <v>10</v>
      </c>
      <c r="B8" s="57"/>
      <c r="C8" s="53">
        <f>SUM(C3:C7)</f>
        <v>1728183.68591118</v>
      </c>
      <c r="D8" s="54">
        <f>SUM(D3:D7)</f>
        <v>897669.98</v>
      </c>
      <c r="E8" s="54">
        <f>SUM(E3:E7)</f>
        <v>978460.2782</v>
      </c>
      <c r="F8" s="55"/>
    </row>
  </sheetData>
  <mergeCells count="2">
    <mergeCell ref="A1:F1"/>
    <mergeCell ref="A8:B8"/>
  </mergeCells>
  <printOptions horizontalCentered="1"/>
  <pageMargins left="0.700694444444445" right="0.700694444444445" top="0.751388888888889" bottom="0.751388888888889" header="0.298611111111111" footer="0.298611111111111"/>
  <pageSetup paperSize="9" scale="93" orientation="portrait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63"/>
  <sheetViews>
    <sheetView view="pageBreakPreview" zoomScaleNormal="100" workbookViewId="0">
      <pane xSplit="5" ySplit="3" topLeftCell="F47" activePane="bottomRight" state="frozen"/>
      <selection/>
      <selection pane="topRight"/>
      <selection pane="bottomLeft"/>
      <selection pane="bottomRight" activeCell="A56" sqref="A56"/>
    </sheetView>
  </sheetViews>
  <sheetFormatPr defaultColWidth="9" defaultRowHeight="1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ht="18.75" customHeight="1" spans="1:32">
      <c r="A1" s="6" t="s">
        <v>11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8"/>
      <c r="O1" s="9" t="s">
        <v>12</v>
      </c>
      <c r="P1" s="10"/>
      <c r="Q1" s="10"/>
      <c r="R1" s="10"/>
      <c r="S1" s="10"/>
      <c r="T1" s="10"/>
      <c r="U1" s="11"/>
    </row>
    <row r="2" ht="24" customHeight="1" spans="1:32">
      <c r="A2" s="12" t="s">
        <v>1</v>
      </c>
      <c r="B2" s="12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4" t="s">
        <v>21</v>
      </c>
      <c r="K2" s="14" t="s">
        <v>22</v>
      </c>
      <c r="L2" s="14" t="s">
        <v>23</v>
      </c>
      <c r="M2" s="14" t="s">
        <v>24</v>
      </c>
      <c r="N2" s="14"/>
      <c r="O2" s="14" t="s">
        <v>25</v>
      </c>
      <c r="P2" s="15" t="s">
        <v>26</v>
      </c>
      <c r="Q2" s="16" t="s">
        <v>27</v>
      </c>
      <c r="R2" s="15" t="s">
        <v>18</v>
      </c>
      <c r="S2" s="15" t="s">
        <v>28</v>
      </c>
      <c r="T2" s="15" t="s">
        <v>20</v>
      </c>
      <c r="U2" s="14" t="s">
        <v>29</v>
      </c>
    </row>
    <row r="3" s="1" customFormat="1" spans="1:32">
      <c r="A3" s="17"/>
      <c r="B3" s="17"/>
      <c r="C3" s="17"/>
      <c r="D3" s="17"/>
      <c r="E3" s="17"/>
      <c r="F3" s="17"/>
      <c r="G3" s="17"/>
      <c r="H3" s="17"/>
      <c r="I3" s="17"/>
      <c r="J3" s="18">
        <v>0</v>
      </c>
      <c r="K3" s="18">
        <v>0</v>
      </c>
      <c r="L3" s="17"/>
      <c r="M3" s="17"/>
      <c r="N3" s="14"/>
      <c r="O3" s="19"/>
      <c r="P3" s="19">
        <v>1</v>
      </c>
      <c r="Q3" s="19"/>
      <c r="R3" s="19">
        <v>1</v>
      </c>
      <c r="S3" s="19">
        <v>1</v>
      </c>
      <c r="T3" s="19">
        <v>1</v>
      </c>
      <c r="U3" s="19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="1" customFormat="1" spans="1:32">
      <c r="A4" s="12"/>
      <c r="B4" s="20" t="s">
        <v>2</v>
      </c>
      <c r="C4" s="20"/>
      <c r="D4" s="20"/>
      <c r="E4" s="12"/>
      <c r="F4" s="14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1"/>
      <c r="T4" s="21"/>
      <c r="U4" s="21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="1" customFormat="1" spans="1:32">
      <c r="A5" s="12"/>
      <c r="B5" s="20"/>
      <c r="C5" s="20" t="s">
        <v>30</v>
      </c>
      <c r="D5" s="20"/>
      <c r="E5" s="12"/>
      <c r="F5" s="14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1"/>
      <c r="S5" s="21"/>
      <c r="T5" s="21"/>
      <c r="U5" s="21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="1" customFormat="1" outlineLevel="1" spans="1:32">
      <c r="A6" s="12"/>
      <c r="B6" s="20"/>
      <c r="C6" s="20" t="s">
        <v>31</v>
      </c>
      <c r="D6" s="20"/>
      <c r="E6" s="12"/>
      <c r="F6" s="14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  <c r="R6" s="21"/>
      <c r="S6" s="21"/>
      <c r="T6" s="21"/>
      <c r="U6" s="21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="1" customFormat="1" ht="72" customHeight="1" outlineLevel="2" spans="1:32">
      <c r="A7" s="23">
        <v>1</v>
      </c>
      <c r="B7" s="24">
        <v>30413002001</v>
      </c>
      <c r="C7" s="24" t="s">
        <v>32</v>
      </c>
      <c r="D7" s="24" t="s">
        <v>33</v>
      </c>
      <c r="E7" s="23" t="s">
        <v>34</v>
      </c>
      <c r="F7" s="25">
        <v>68</v>
      </c>
      <c r="G7" s="26">
        <f t="shared" ref="G7:G30" si="0">R7*$R$3</f>
        <v>18</v>
      </c>
      <c r="H7" s="27">
        <f t="shared" ref="H7:H30" si="1">P7*(1+Q7)*$P$3+S7*$S$3</f>
        <v>87</v>
      </c>
      <c r="I7" s="27">
        <f t="shared" ref="I7:I30" si="2">T7*$T$3</f>
        <v>4</v>
      </c>
      <c r="J7" s="27">
        <f t="shared" ref="J7:J30" si="3">(G7+H7+I7)*$J$3</f>
        <v>0</v>
      </c>
      <c r="K7" s="27">
        <f t="shared" ref="K7:K30" si="4">(G7+H7+I7+J7)*$K$3</f>
        <v>0</v>
      </c>
      <c r="L7" s="27">
        <f t="shared" ref="L7:L30" si="5">G7+H7+I7+J7+K7</f>
        <v>109</v>
      </c>
      <c r="M7" s="27">
        <f t="shared" ref="M7:M30" si="6">F7*L7</f>
        <v>7412</v>
      </c>
      <c r="N7" s="28"/>
      <c r="O7" s="14">
        <f t="shared" ref="O7:O30" si="7">P7*(1+Q7)+R7+S7+T7</f>
        <v>109</v>
      </c>
      <c r="P7" s="29">
        <v>85</v>
      </c>
      <c r="Q7" s="30">
        <v>0</v>
      </c>
      <c r="R7" s="29">
        <v>18</v>
      </c>
      <c r="S7" s="31">
        <v>2</v>
      </c>
      <c r="T7" s="32">
        <v>4</v>
      </c>
      <c r="U7" s="25">
        <f t="shared" ref="U7:U30" si="8">F7*O7</f>
        <v>7412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="1" customFormat="1" ht="72" customHeight="1" outlineLevel="2" spans="1:32">
      <c r="A8" s="23">
        <v>2</v>
      </c>
      <c r="B8" s="24">
        <v>30413002002</v>
      </c>
      <c r="C8" s="24" t="s">
        <v>35</v>
      </c>
      <c r="D8" s="24" t="s">
        <v>36</v>
      </c>
      <c r="E8" s="23" t="s">
        <v>34</v>
      </c>
      <c r="F8" s="25">
        <v>16</v>
      </c>
      <c r="G8" s="26">
        <f t="shared" si="0"/>
        <v>18</v>
      </c>
      <c r="H8" s="27">
        <f t="shared" si="1"/>
        <v>91</v>
      </c>
      <c r="I8" s="27">
        <f t="shared" si="2"/>
        <v>8</v>
      </c>
      <c r="J8" s="27">
        <f t="shared" si="3"/>
        <v>0</v>
      </c>
      <c r="K8" s="27">
        <f t="shared" si="4"/>
        <v>0</v>
      </c>
      <c r="L8" s="27">
        <f t="shared" si="5"/>
        <v>117</v>
      </c>
      <c r="M8" s="27">
        <f t="shared" si="6"/>
        <v>1872</v>
      </c>
      <c r="N8" s="28"/>
      <c r="O8" s="14">
        <f t="shared" si="7"/>
        <v>117</v>
      </c>
      <c r="P8" s="29">
        <v>85</v>
      </c>
      <c r="Q8" s="30">
        <v>0</v>
      </c>
      <c r="R8" s="29">
        <v>18</v>
      </c>
      <c r="S8" s="31">
        <v>6</v>
      </c>
      <c r="T8" s="32">
        <v>8</v>
      </c>
      <c r="U8" s="25">
        <f t="shared" si="8"/>
        <v>1872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="1" customFormat="1" ht="72" customHeight="1" outlineLevel="2" spans="1:32">
      <c r="A9" s="23">
        <v>3</v>
      </c>
      <c r="B9" s="24">
        <v>30413002003</v>
      </c>
      <c r="C9" s="24" t="s">
        <v>37</v>
      </c>
      <c r="D9" s="24" t="s">
        <v>38</v>
      </c>
      <c r="E9" s="23" t="s">
        <v>34</v>
      </c>
      <c r="F9" s="25">
        <v>156</v>
      </c>
      <c r="G9" s="26">
        <f t="shared" si="0"/>
        <v>18</v>
      </c>
      <c r="H9" s="27">
        <f t="shared" si="1"/>
        <v>87</v>
      </c>
      <c r="I9" s="27">
        <f t="shared" si="2"/>
        <v>4</v>
      </c>
      <c r="J9" s="27">
        <f t="shared" si="3"/>
        <v>0</v>
      </c>
      <c r="K9" s="27">
        <f t="shared" si="4"/>
        <v>0</v>
      </c>
      <c r="L9" s="27">
        <f t="shared" si="5"/>
        <v>109</v>
      </c>
      <c r="M9" s="27">
        <f t="shared" si="6"/>
        <v>17004</v>
      </c>
      <c r="N9" s="28"/>
      <c r="O9" s="14">
        <f t="shared" si="7"/>
        <v>109</v>
      </c>
      <c r="P9" s="29">
        <v>85</v>
      </c>
      <c r="Q9" s="30">
        <v>0</v>
      </c>
      <c r="R9" s="29">
        <v>18</v>
      </c>
      <c r="S9" s="31">
        <v>2</v>
      </c>
      <c r="T9" s="32">
        <v>4</v>
      </c>
      <c r="U9" s="25">
        <f t="shared" si="8"/>
        <v>17004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="1" customFormat="1" ht="72" customHeight="1" outlineLevel="2" spans="1:32">
      <c r="A10" s="23">
        <v>4</v>
      </c>
      <c r="B10" s="24">
        <v>30413002004</v>
      </c>
      <c r="C10" s="24" t="s">
        <v>39</v>
      </c>
      <c r="D10" s="24" t="s">
        <v>40</v>
      </c>
      <c r="E10" s="23" t="s">
        <v>34</v>
      </c>
      <c r="F10" s="25">
        <v>21</v>
      </c>
      <c r="G10" s="26">
        <f t="shared" si="0"/>
        <v>18</v>
      </c>
      <c r="H10" s="27">
        <f t="shared" si="1"/>
        <v>87</v>
      </c>
      <c r="I10" s="27">
        <f t="shared" si="2"/>
        <v>4</v>
      </c>
      <c r="J10" s="27">
        <f t="shared" si="3"/>
        <v>0</v>
      </c>
      <c r="K10" s="27">
        <f t="shared" si="4"/>
        <v>0</v>
      </c>
      <c r="L10" s="27">
        <f t="shared" si="5"/>
        <v>109</v>
      </c>
      <c r="M10" s="27">
        <f t="shared" si="6"/>
        <v>2289</v>
      </c>
      <c r="N10" s="28"/>
      <c r="O10" s="14">
        <f t="shared" si="7"/>
        <v>109</v>
      </c>
      <c r="P10" s="29">
        <v>85</v>
      </c>
      <c r="Q10" s="30">
        <v>0</v>
      </c>
      <c r="R10" s="29">
        <v>18</v>
      </c>
      <c r="S10" s="31">
        <v>2</v>
      </c>
      <c r="T10" s="32">
        <v>4</v>
      </c>
      <c r="U10" s="25">
        <f t="shared" si="8"/>
        <v>2289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="1" customFormat="1" ht="72" customHeight="1" outlineLevel="2" spans="1:32">
      <c r="A11" s="23">
        <v>5</v>
      </c>
      <c r="B11" s="24">
        <v>30413002005</v>
      </c>
      <c r="C11" s="24" t="s">
        <v>41</v>
      </c>
      <c r="D11" s="24" t="s">
        <v>42</v>
      </c>
      <c r="E11" s="23" t="s">
        <v>34</v>
      </c>
      <c r="F11" s="25">
        <v>4</v>
      </c>
      <c r="G11" s="26">
        <f t="shared" si="0"/>
        <v>18</v>
      </c>
      <c r="H11" s="27">
        <f t="shared" si="1"/>
        <v>87</v>
      </c>
      <c r="I11" s="27">
        <f t="shared" si="2"/>
        <v>4</v>
      </c>
      <c r="J11" s="27">
        <f t="shared" si="3"/>
        <v>0</v>
      </c>
      <c r="K11" s="27">
        <f t="shared" si="4"/>
        <v>0</v>
      </c>
      <c r="L11" s="27">
        <f t="shared" si="5"/>
        <v>109</v>
      </c>
      <c r="M11" s="27">
        <f t="shared" si="6"/>
        <v>436</v>
      </c>
      <c r="N11" s="28"/>
      <c r="O11" s="14">
        <f t="shared" si="7"/>
        <v>109</v>
      </c>
      <c r="P11" s="29">
        <v>85</v>
      </c>
      <c r="Q11" s="30">
        <v>0</v>
      </c>
      <c r="R11" s="29">
        <v>18</v>
      </c>
      <c r="S11" s="31">
        <v>2</v>
      </c>
      <c r="T11" s="32">
        <v>4</v>
      </c>
      <c r="U11" s="25">
        <f t="shared" si="8"/>
        <v>436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="1" customFormat="1" ht="72" customHeight="1" outlineLevel="2" spans="1:32">
      <c r="A12" s="23">
        <v>6</v>
      </c>
      <c r="B12" s="24">
        <v>30413002006</v>
      </c>
      <c r="C12" s="24" t="s">
        <v>43</v>
      </c>
      <c r="D12" s="24" t="s">
        <v>44</v>
      </c>
      <c r="E12" s="23" t="s">
        <v>34</v>
      </c>
      <c r="F12" s="25">
        <v>2</v>
      </c>
      <c r="G12" s="26">
        <f t="shared" si="0"/>
        <v>18</v>
      </c>
      <c r="H12" s="27">
        <f t="shared" si="1"/>
        <v>87</v>
      </c>
      <c r="I12" s="27">
        <f t="shared" si="2"/>
        <v>4</v>
      </c>
      <c r="J12" s="27">
        <f t="shared" si="3"/>
        <v>0</v>
      </c>
      <c r="K12" s="27">
        <f t="shared" si="4"/>
        <v>0</v>
      </c>
      <c r="L12" s="27">
        <f t="shared" si="5"/>
        <v>109</v>
      </c>
      <c r="M12" s="27">
        <f t="shared" si="6"/>
        <v>218</v>
      </c>
      <c r="N12" s="28"/>
      <c r="O12" s="14">
        <f t="shared" si="7"/>
        <v>109</v>
      </c>
      <c r="P12" s="29">
        <v>85</v>
      </c>
      <c r="Q12" s="30">
        <v>0</v>
      </c>
      <c r="R12" s="29">
        <v>18</v>
      </c>
      <c r="S12" s="31">
        <v>2</v>
      </c>
      <c r="T12" s="32">
        <v>4</v>
      </c>
      <c r="U12" s="25">
        <f t="shared" si="8"/>
        <v>218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="1" customFormat="1" ht="72" customHeight="1" outlineLevel="2" spans="1:32">
      <c r="A13" s="23">
        <v>7</v>
      </c>
      <c r="B13" s="24">
        <v>30413002007</v>
      </c>
      <c r="C13" s="24" t="s">
        <v>45</v>
      </c>
      <c r="D13" s="24" t="s">
        <v>46</v>
      </c>
      <c r="E13" s="23" t="s">
        <v>34</v>
      </c>
      <c r="F13" s="25">
        <v>11</v>
      </c>
      <c r="G13" s="26">
        <f t="shared" si="0"/>
        <v>18</v>
      </c>
      <c r="H13" s="27">
        <f t="shared" si="1"/>
        <v>87</v>
      </c>
      <c r="I13" s="27">
        <f t="shared" si="2"/>
        <v>4</v>
      </c>
      <c r="J13" s="27">
        <f t="shared" si="3"/>
        <v>0</v>
      </c>
      <c r="K13" s="27">
        <f t="shared" si="4"/>
        <v>0</v>
      </c>
      <c r="L13" s="27">
        <f t="shared" si="5"/>
        <v>109</v>
      </c>
      <c r="M13" s="27">
        <f t="shared" si="6"/>
        <v>1199</v>
      </c>
      <c r="N13" s="28"/>
      <c r="O13" s="14">
        <f t="shared" si="7"/>
        <v>109</v>
      </c>
      <c r="P13" s="29">
        <v>85</v>
      </c>
      <c r="Q13" s="30">
        <v>0</v>
      </c>
      <c r="R13" s="29">
        <v>18</v>
      </c>
      <c r="S13" s="31">
        <v>2</v>
      </c>
      <c r="T13" s="32">
        <v>4</v>
      </c>
      <c r="U13" s="25">
        <f t="shared" si="8"/>
        <v>1199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="1" customFormat="1" ht="72" customHeight="1" outlineLevel="2" spans="1:32">
      <c r="A14" s="23">
        <v>8</v>
      </c>
      <c r="B14" s="24">
        <v>30413002008</v>
      </c>
      <c r="C14" s="24" t="s">
        <v>47</v>
      </c>
      <c r="D14" s="24" t="s">
        <v>48</v>
      </c>
      <c r="E14" s="23" t="s">
        <v>34</v>
      </c>
      <c r="F14" s="25">
        <v>7</v>
      </c>
      <c r="G14" s="26">
        <f t="shared" si="0"/>
        <v>18</v>
      </c>
      <c r="H14" s="27">
        <f t="shared" si="1"/>
        <v>87</v>
      </c>
      <c r="I14" s="27">
        <f t="shared" si="2"/>
        <v>4</v>
      </c>
      <c r="J14" s="27">
        <f t="shared" si="3"/>
        <v>0</v>
      </c>
      <c r="K14" s="27">
        <f t="shared" si="4"/>
        <v>0</v>
      </c>
      <c r="L14" s="27">
        <f t="shared" si="5"/>
        <v>109</v>
      </c>
      <c r="M14" s="27">
        <f t="shared" si="6"/>
        <v>763</v>
      </c>
      <c r="N14" s="28"/>
      <c r="O14" s="14">
        <f t="shared" si="7"/>
        <v>109</v>
      </c>
      <c r="P14" s="29">
        <v>85</v>
      </c>
      <c r="Q14" s="30">
        <v>0</v>
      </c>
      <c r="R14" s="29">
        <v>18</v>
      </c>
      <c r="S14" s="31">
        <v>2</v>
      </c>
      <c r="T14" s="32">
        <v>4</v>
      </c>
      <c r="U14" s="25">
        <f t="shared" si="8"/>
        <v>763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="1" customFormat="1" ht="72" customHeight="1" outlineLevel="2" spans="1:32">
      <c r="A15" s="23">
        <v>9</v>
      </c>
      <c r="B15" s="24">
        <v>30413002009</v>
      </c>
      <c r="C15" s="24" t="s">
        <v>49</v>
      </c>
      <c r="D15" s="24" t="s">
        <v>50</v>
      </c>
      <c r="E15" s="23" t="s">
        <v>34</v>
      </c>
      <c r="F15" s="25">
        <v>20</v>
      </c>
      <c r="G15" s="26">
        <f t="shared" si="0"/>
        <v>18</v>
      </c>
      <c r="H15" s="27">
        <f t="shared" si="1"/>
        <v>87</v>
      </c>
      <c r="I15" s="27">
        <f t="shared" si="2"/>
        <v>4</v>
      </c>
      <c r="J15" s="27">
        <f t="shared" si="3"/>
        <v>0</v>
      </c>
      <c r="K15" s="27">
        <f t="shared" si="4"/>
        <v>0</v>
      </c>
      <c r="L15" s="27">
        <f t="shared" si="5"/>
        <v>109</v>
      </c>
      <c r="M15" s="27">
        <f t="shared" si="6"/>
        <v>2180</v>
      </c>
      <c r="N15" s="28"/>
      <c r="O15" s="14">
        <f t="shared" si="7"/>
        <v>109</v>
      </c>
      <c r="P15" s="29">
        <v>85</v>
      </c>
      <c r="Q15" s="30">
        <v>0</v>
      </c>
      <c r="R15" s="29">
        <v>18</v>
      </c>
      <c r="S15" s="31">
        <v>2</v>
      </c>
      <c r="T15" s="32">
        <v>4</v>
      </c>
      <c r="U15" s="25">
        <f t="shared" si="8"/>
        <v>2180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="1" customFormat="1" ht="72" customHeight="1" outlineLevel="2" spans="1:32">
      <c r="A16" s="23">
        <v>10</v>
      </c>
      <c r="B16" s="24">
        <v>30413001001</v>
      </c>
      <c r="C16" s="24" t="s">
        <v>51</v>
      </c>
      <c r="D16" s="24" t="s">
        <v>52</v>
      </c>
      <c r="E16" s="23" t="s">
        <v>34</v>
      </c>
      <c r="F16" s="25">
        <v>7</v>
      </c>
      <c r="G16" s="26">
        <f t="shared" si="0"/>
        <v>18</v>
      </c>
      <c r="H16" s="27">
        <f t="shared" si="1"/>
        <v>126</v>
      </c>
      <c r="I16" s="27">
        <f t="shared" si="2"/>
        <v>8</v>
      </c>
      <c r="J16" s="27">
        <f t="shared" si="3"/>
        <v>0</v>
      </c>
      <c r="K16" s="27">
        <f t="shared" si="4"/>
        <v>0</v>
      </c>
      <c r="L16" s="27">
        <f t="shared" si="5"/>
        <v>152</v>
      </c>
      <c r="M16" s="27">
        <f t="shared" si="6"/>
        <v>1064</v>
      </c>
      <c r="N16" s="28"/>
      <c r="O16" s="14">
        <f t="shared" si="7"/>
        <v>152</v>
      </c>
      <c r="P16" s="29">
        <v>120</v>
      </c>
      <c r="Q16" s="30">
        <v>0</v>
      </c>
      <c r="R16" s="29">
        <v>18</v>
      </c>
      <c r="S16" s="31">
        <v>6</v>
      </c>
      <c r="T16" s="32">
        <v>8</v>
      </c>
      <c r="U16" s="25">
        <f t="shared" si="8"/>
        <v>1064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="1" customFormat="1" ht="72" customHeight="1" outlineLevel="2" spans="1:32">
      <c r="A17" s="23">
        <v>11</v>
      </c>
      <c r="B17" s="24">
        <v>30413001002</v>
      </c>
      <c r="C17" s="24" t="s">
        <v>53</v>
      </c>
      <c r="D17" s="24" t="s">
        <v>54</v>
      </c>
      <c r="E17" s="23" t="s">
        <v>34</v>
      </c>
      <c r="F17" s="25">
        <v>4</v>
      </c>
      <c r="G17" s="26">
        <f t="shared" si="0"/>
        <v>18</v>
      </c>
      <c r="H17" s="27">
        <f t="shared" si="1"/>
        <v>66</v>
      </c>
      <c r="I17" s="27">
        <f t="shared" si="2"/>
        <v>8</v>
      </c>
      <c r="J17" s="27">
        <f t="shared" si="3"/>
        <v>0</v>
      </c>
      <c r="K17" s="27">
        <f t="shared" si="4"/>
        <v>0</v>
      </c>
      <c r="L17" s="27">
        <f t="shared" si="5"/>
        <v>92</v>
      </c>
      <c r="M17" s="27">
        <f t="shared" si="6"/>
        <v>368</v>
      </c>
      <c r="N17" s="28"/>
      <c r="O17" s="14">
        <f t="shared" si="7"/>
        <v>92</v>
      </c>
      <c r="P17" s="29">
        <v>60</v>
      </c>
      <c r="Q17" s="30">
        <v>0</v>
      </c>
      <c r="R17" s="29">
        <v>18</v>
      </c>
      <c r="S17" s="31">
        <v>6</v>
      </c>
      <c r="T17" s="32">
        <v>8</v>
      </c>
      <c r="U17" s="25">
        <f t="shared" si="8"/>
        <v>368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="1" customFormat="1" ht="72" customHeight="1" outlineLevel="2" spans="1:32">
      <c r="A18" s="23">
        <v>12</v>
      </c>
      <c r="B18" s="24">
        <v>30413004001</v>
      </c>
      <c r="C18" s="24" t="s">
        <v>55</v>
      </c>
      <c r="D18" s="24" t="s">
        <v>56</v>
      </c>
      <c r="E18" s="23" t="s">
        <v>34</v>
      </c>
      <c r="F18" s="25">
        <v>3</v>
      </c>
      <c r="G18" s="26">
        <f t="shared" si="0"/>
        <v>18</v>
      </c>
      <c r="H18" s="27">
        <f t="shared" si="1"/>
        <v>126</v>
      </c>
      <c r="I18" s="27">
        <f t="shared" si="2"/>
        <v>8</v>
      </c>
      <c r="J18" s="27">
        <f t="shared" si="3"/>
        <v>0</v>
      </c>
      <c r="K18" s="27">
        <f t="shared" si="4"/>
        <v>0</v>
      </c>
      <c r="L18" s="27">
        <f t="shared" si="5"/>
        <v>152</v>
      </c>
      <c r="M18" s="27">
        <f t="shared" si="6"/>
        <v>456</v>
      </c>
      <c r="N18" s="28"/>
      <c r="O18" s="14">
        <f t="shared" si="7"/>
        <v>152</v>
      </c>
      <c r="P18" s="29">
        <v>120</v>
      </c>
      <c r="Q18" s="30">
        <v>0</v>
      </c>
      <c r="R18" s="29">
        <v>18</v>
      </c>
      <c r="S18" s="31">
        <v>6</v>
      </c>
      <c r="T18" s="32">
        <v>8</v>
      </c>
      <c r="U18" s="25">
        <f t="shared" si="8"/>
        <v>456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="1" customFormat="1" ht="72" customHeight="1" outlineLevel="2" spans="1:32">
      <c r="A19" s="23">
        <v>13</v>
      </c>
      <c r="B19" s="24">
        <v>30413002010</v>
      </c>
      <c r="C19" s="24" t="s">
        <v>57</v>
      </c>
      <c r="D19" s="24" t="s">
        <v>58</v>
      </c>
      <c r="E19" s="23" t="s">
        <v>34</v>
      </c>
      <c r="F19" s="25">
        <v>4</v>
      </c>
      <c r="G19" s="26">
        <f t="shared" si="0"/>
        <v>18</v>
      </c>
      <c r="H19" s="27">
        <f t="shared" si="1"/>
        <v>126</v>
      </c>
      <c r="I19" s="27">
        <f t="shared" si="2"/>
        <v>8</v>
      </c>
      <c r="J19" s="27">
        <f t="shared" si="3"/>
        <v>0</v>
      </c>
      <c r="K19" s="27">
        <f t="shared" si="4"/>
        <v>0</v>
      </c>
      <c r="L19" s="27">
        <f t="shared" si="5"/>
        <v>152</v>
      </c>
      <c r="M19" s="27">
        <f t="shared" si="6"/>
        <v>608</v>
      </c>
      <c r="N19" s="28"/>
      <c r="O19" s="14">
        <f t="shared" si="7"/>
        <v>152</v>
      </c>
      <c r="P19" s="29">
        <v>120</v>
      </c>
      <c r="Q19" s="30">
        <v>0</v>
      </c>
      <c r="R19" s="29">
        <v>18</v>
      </c>
      <c r="S19" s="31">
        <v>6</v>
      </c>
      <c r="T19" s="32">
        <v>8</v>
      </c>
      <c r="U19" s="25">
        <f t="shared" si="8"/>
        <v>608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="1" customFormat="1" ht="72" customHeight="1" outlineLevel="2" spans="1:32">
      <c r="A20" s="23">
        <v>14</v>
      </c>
      <c r="B20" s="24">
        <v>30413002011</v>
      </c>
      <c r="C20" s="24" t="s">
        <v>59</v>
      </c>
      <c r="D20" s="24" t="s">
        <v>60</v>
      </c>
      <c r="E20" s="23" t="s">
        <v>34</v>
      </c>
      <c r="F20" s="25">
        <v>10</v>
      </c>
      <c r="G20" s="26">
        <f t="shared" si="0"/>
        <v>18</v>
      </c>
      <c r="H20" s="27">
        <f t="shared" si="1"/>
        <v>126</v>
      </c>
      <c r="I20" s="27">
        <f t="shared" si="2"/>
        <v>8</v>
      </c>
      <c r="J20" s="27">
        <f t="shared" si="3"/>
        <v>0</v>
      </c>
      <c r="K20" s="27">
        <f t="shared" si="4"/>
        <v>0</v>
      </c>
      <c r="L20" s="27">
        <f t="shared" si="5"/>
        <v>152</v>
      </c>
      <c r="M20" s="27">
        <f t="shared" si="6"/>
        <v>1520</v>
      </c>
      <c r="N20" s="28"/>
      <c r="O20" s="14">
        <f t="shared" si="7"/>
        <v>152</v>
      </c>
      <c r="P20" s="29">
        <v>120</v>
      </c>
      <c r="Q20" s="30">
        <v>0</v>
      </c>
      <c r="R20" s="29">
        <v>18</v>
      </c>
      <c r="S20" s="31">
        <v>6</v>
      </c>
      <c r="T20" s="32">
        <v>8</v>
      </c>
      <c r="U20" s="25">
        <f t="shared" si="8"/>
        <v>1520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="1" customFormat="1" ht="84" customHeight="1" outlineLevel="2" spans="1:32">
      <c r="A21" s="23">
        <v>15</v>
      </c>
      <c r="B21" s="24">
        <v>30413002012</v>
      </c>
      <c r="C21" s="24" t="s">
        <v>61</v>
      </c>
      <c r="D21" s="24" t="s">
        <v>62</v>
      </c>
      <c r="E21" s="23" t="s">
        <v>34</v>
      </c>
      <c r="F21" s="25">
        <v>3</v>
      </c>
      <c r="G21" s="26">
        <f t="shared" si="0"/>
        <v>18</v>
      </c>
      <c r="H21" s="27">
        <f t="shared" si="1"/>
        <v>126</v>
      </c>
      <c r="I21" s="27">
        <f t="shared" si="2"/>
        <v>8</v>
      </c>
      <c r="J21" s="27">
        <f t="shared" si="3"/>
        <v>0</v>
      </c>
      <c r="K21" s="27">
        <f t="shared" si="4"/>
        <v>0</v>
      </c>
      <c r="L21" s="27">
        <f t="shared" si="5"/>
        <v>152</v>
      </c>
      <c r="M21" s="27">
        <f t="shared" si="6"/>
        <v>456</v>
      </c>
      <c r="N21" s="28"/>
      <c r="O21" s="14">
        <f t="shared" si="7"/>
        <v>152</v>
      </c>
      <c r="P21" s="29">
        <v>120</v>
      </c>
      <c r="Q21" s="30">
        <v>0</v>
      </c>
      <c r="R21" s="29">
        <v>18</v>
      </c>
      <c r="S21" s="31">
        <v>6</v>
      </c>
      <c r="T21" s="32">
        <v>8</v>
      </c>
      <c r="U21" s="25">
        <f t="shared" si="8"/>
        <v>456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="1" customFormat="1" ht="72" customHeight="1" outlineLevel="2" spans="1:32">
      <c r="A22" s="23">
        <v>16</v>
      </c>
      <c r="B22" s="24">
        <v>30413004002</v>
      </c>
      <c r="C22" s="24" t="s">
        <v>63</v>
      </c>
      <c r="D22" s="24" t="s">
        <v>64</v>
      </c>
      <c r="E22" s="23" t="s">
        <v>34</v>
      </c>
      <c r="F22" s="25">
        <v>38</v>
      </c>
      <c r="G22" s="26">
        <f t="shared" si="0"/>
        <v>25</v>
      </c>
      <c r="H22" s="27">
        <f t="shared" si="1"/>
        <v>128</v>
      </c>
      <c r="I22" s="27">
        <f t="shared" si="2"/>
        <v>5</v>
      </c>
      <c r="J22" s="27">
        <f t="shared" si="3"/>
        <v>0</v>
      </c>
      <c r="K22" s="27">
        <f t="shared" si="4"/>
        <v>0</v>
      </c>
      <c r="L22" s="27">
        <f t="shared" si="5"/>
        <v>158</v>
      </c>
      <c r="M22" s="27">
        <f t="shared" si="6"/>
        <v>6004</v>
      </c>
      <c r="N22" s="28"/>
      <c r="O22" s="14">
        <f t="shared" si="7"/>
        <v>158</v>
      </c>
      <c r="P22" s="29">
        <v>120</v>
      </c>
      <c r="Q22" s="30">
        <v>0</v>
      </c>
      <c r="R22" s="29">
        <v>25</v>
      </c>
      <c r="S22" s="31">
        <v>8</v>
      </c>
      <c r="T22" s="32">
        <v>5</v>
      </c>
      <c r="U22" s="25">
        <f t="shared" si="8"/>
        <v>6004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="1" customFormat="1" ht="72" customHeight="1" outlineLevel="2" spans="1:32">
      <c r="A23" s="23">
        <v>17</v>
      </c>
      <c r="B23" s="24">
        <v>30413002013</v>
      </c>
      <c r="C23" s="24" t="s">
        <v>65</v>
      </c>
      <c r="D23" s="24" t="s">
        <v>66</v>
      </c>
      <c r="E23" s="23" t="s">
        <v>67</v>
      </c>
      <c r="F23" s="25">
        <v>208.01</v>
      </c>
      <c r="G23" s="26">
        <f t="shared" si="0"/>
        <v>12.5</v>
      </c>
      <c r="H23" s="27">
        <f t="shared" si="1"/>
        <v>19.18</v>
      </c>
      <c r="I23" s="27">
        <f t="shared" si="2"/>
        <v>0</v>
      </c>
      <c r="J23" s="27">
        <f t="shared" si="3"/>
        <v>0</v>
      </c>
      <c r="K23" s="27">
        <f t="shared" si="4"/>
        <v>0</v>
      </c>
      <c r="L23" s="27">
        <f t="shared" si="5"/>
        <v>31.68</v>
      </c>
      <c r="M23" s="27">
        <f t="shared" si="6"/>
        <v>6589.7568</v>
      </c>
      <c r="N23" s="28"/>
      <c r="O23" s="14">
        <f t="shared" si="7"/>
        <v>31.68</v>
      </c>
      <c r="P23" s="29">
        <v>18.8</v>
      </c>
      <c r="Q23" s="30">
        <v>0</v>
      </c>
      <c r="R23" s="29">
        <v>12.5</v>
      </c>
      <c r="S23" s="31">
        <v>0.38</v>
      </c>
      <c r="T23" s="32">
        <v>0</v>
      </c>
      <c r="U23" s="25">
        <f t="shared" si="8"/>
        <v>6589.7568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="1" customFormat="1" ht="72" customHeight="1" outlineLevel="2" spans="1:32">
      <c r="A24" s="23">
        <v>18</v>
      </c>
      <c r="B24" s="24">
        <v>30413002014</v>
      </c>
      <c r="C24" s="24" t="s">
        <v>68</v>
      </c>
      <c r="D24" s="24" t="s">
        <v>69</v>
      </c>
      <c r="E24" s="23" t="s">
        <v>67</v>
      </c>
      <c r="F24" s="25">
        <v>217.9</v>
      </c>
      <c r="G24" s="26">
        <f t="shared" si="0"/>
        <v>12.5</v>
      </c>
      <c r="H24" s="27">
        <f t="shared" si="1"/>
        <v>17.54</v>
      </c>
      <c r="I24" s="27">
        <f t="shared" si="2"/>
        <v>0</v>
      </c>
      <c r="J24" s="27">
        <f t="shared" si="3"/>
        <v>0</v>
      </c>
      <c r="K24" s="27">
        <f t="shared" si="4"/>
        <v>0</v>
      </c>
      <c r="L24" s="27">
        <f t="shared" si="5"/>
        <v>30.04</v>
      </c>
      <c r="M24" s="27">
        <f t="shared" si="6"/>
        <v>6545.716</v>
      </c>
      <c r="N24" s="28"/>
      <c r="O24" s="14">
        <f t="shared" si="7"/>
        <v>30.04</v>
      </c>
      <c r="P24" s="29">
        <v>17.2</v>
      </c>
      <c r="Q24" s="30">
        <v>0</v>
      </c>
      <c r="R24" s="29">
        <v>12.5</v>
      </c>
      <c r="S24" s="31">
        <v>0.34</v>
      </c>
      <c r="T24" s="32">
        <v>0</v>
      </c>
      <c r="U24" s="25">
        <f t="shared" si="8"/>
        <v>6545.716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="1" customFormat="1" ht="72" customHeight="1" outlineLevel="2" spans="1:32">
      <c r="A25" s="23">
        <v>19</v>
      </c>
      <c r="B25" s="24">
        <v>30413002015</v>
      </c>
      <c r="C25" s="24" t="s">
        <v>70</v>
      </c>
      <c r="D25" s="24" t="s">
        <v>71</v>
      </c>
      <c r="E25" s="23" t="s">
        <v>67</v>
      </c>
      <c r="F25" s="25">
        <v>67.63</v>
      </c>
      <c r="G25" s="26">
        <f t="shared" si="0"/>
        <v>12.5</v>
      </c>
      <c r="H25" s="27">
        <f t="shared" si="1"/>
        <v>17.54</v>
      </c>
      <c r="I25" s="27">
        <f t="shared" si="2"/>
        <v>0</v>
      </c>
      <c r="J25" s="27">
        <f t="shared" si="3"/>
        <v>0</v>
      </c>
      <c r="K25" s="27">
        <f t="shared" si="4"/>
        <v>0</v>
      </c>
      <c r="L25" s="27">
        <f t="shared" si="5"/>
        <v>30.04</v>
      </c>
      <c r="M25" s="27">
        <f t="shared" si="6"/>
        <v>2031.6052</v>
      </c>
      <c r="N25" s="28"/>
      <c r="O25" s="14">
        <f t="shared" si="7"/>
        <v>30.04</v>
      </c>
      <c r="P25" s="29">
        <v>17.2</v>
      </c>
      <c r="Q25" s="30">
        <v>0</v>
      </c>
      <c r="R25" s="29">
        <v>12.5</v>
      </c>
      <c r="S25" s="31">
        <v>0.34</v>
      </c>
      <c r="T25" s="32">
        <v>0</v>
      </c>
      <c r="U25" s="25">
        <f t="shared" si="8"/>
        <v>2031.6052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="1" customFormat="1" ht="72" customHeight="1" outlineLevel="2" spans="1:32">
      <c r="A26" s="23">
        <v>20</v>
      </c>
      <c r="B26" s="24">
        <v>30413002016</v>
      </c>
      <c r="C26" s="24" t="s">
        <v>72</v>
      </c>
      <c r="D26" s="24" t="s">
        <v>73</v>
      </c>
      <c r="E26" s="23" t="s">
        <v>67</v>
      </c>
      <c r="F26" s="25">
        <v>95.26</v>
      </c>
      <c r="G26" s="26">
        <f t="shared" si="0"/>
        <v>12.5</v>
      </c>
      <c r="H26" s="27">
        <f t="shared" si="1"/>
        <v>19.18</v>
      </c>
      <c r="I26" s="27">
        <f t="shared" si="2"/>
        <v>0</v>
      </c>
      <c r="J26" s="27">
        <f t="shared" si="3"/>
        <v>0</v>
      </c>
      <c r="K26" s="27">
        <f t="shared" si="4"/>
        <v>0</v>
      </c>
      <c r="L26" s="27">
        <f t="shared" si="5"/>
        <v>31.68</v>
      </c>
      <c r="M26" s="27">
        <f t="shared" si="6"/>
        <v>3017.8368</v>
      </c>
      <c r="N26" s="28"/>
      <c r="O26" s="14">
        <f t="shared" si="7"/>
        <v>31.68</v>
      </c>
      <c r="P26" s="29">
        <v>18.8</v>
      </c>
      <c r="Q26" s="30">
        <v>0</v>
      </c>
      <c r="R26" s="29">
        <v>12.5</v>
      </c>
      <c r="S26" s="31">
        <v>0.38</v>
      </c>
      <c r="T26" s="32">
        <v>0</v>
      </c>
      <c r="U26" s="25">
        <f t="shared" si="8"/>
        <v>3017.8368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="1" customFormat="1" ht="72" customHeight="1" outlineLevel="2" spans="1:32">
      <c r="A27" s="23">
        <v>21</v>
      </c>
      <c r="B27" s="24">
        <v>30413002017</v>
      </c>
      <c r="C27" s="24" t="s">
        <v>74</v>
      </c>
      <c r="D27" s="24" t="s">
        <v>75</v>
      </c>
      <c r="E27" s="23" t="s">
        <v>67</v>
      </c>
      <c r="F27" s="25">
        <v>887.49</v>
      </c>
      <c r="G27" s="26">
        <f t="shared" si="0"/>
        <v>18</v>
      </c>
      <c r="H27" s="27">
        <f t="shared" si="1"/>
        <v>17</v>
      </c>
      <c r="I27" s="27">
        <f t="shared" si="2"/>
        <v>5</v>
      </c>
      <c r="J27" s="27">
        <f t="shared" si="3"/>
        <v>0</v>
      </c>
      <c r="K27" s="27">
        <f t="shared" si="4"/>
        <v>0</v>
      </c>
      <c r="L27" s="27">
        <f t="shared" si="5"/>
        <v>40</v>
      </c>
      <c r="M27" s="27">
        <f t="shared" si="6"/>
        <v>35499.6</v>
      </c>
      <c r="N27" s="28"/>
      <c r="O27" s="14">
        <f t="shared" si="7"/>
        <v>40</v>
      </c>
      <c r="P27" s="29">
        <v>12</v>
      </c>
      <c r="Q27" s="30">
        <v>0</v>
      </c>
      <c r="R27" s="29">
        <v>18</v>
      </c>
      <c r="S27" s="31">
        <v>5</v>
      </c>
      <c r="T27" s="32">
        <v>5</v>
      </c>
      <c r="U27" s="25">
        <f t="shared" si="8"/>
        <v>35499.6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="1" customFormat="1" ht="72" customHeight="1" outlineLevel="2" spans="1:32">
      <c r="A28" s="23">
        <v>22</v>
      </c>
      <c r="B28" s="24">
        <v>30413002018</v>
      </c>
      <c r="C28" s="24" t="s">
        <v>76</v>
      </c>
      <c r="D28" s="24" t="s">
        <v>77</v>
      </c>
      <c r="E28" s="23" t="s">
        <v>67</v>
      </c>
      <c r="F28" s="25">
        <v>4</v>
      </c>
      <c r="G28" s="26">
        <f t="shared" si="0"/>
        <v>22</v>
      </c>
      <c r="H28" s="27">
        <f t="shared" si="1"/>
        <v>91</v>
      </c>
      <c r="I28" s="27">
        <f t="shared" si="2"/>
        <v>4</v>
      </c>
      <c r="J28" s="27">
        <f t="shared" si="3"/>
        <v>0</v>
      </c>
      <c r="K28" s="27">
        <f t="shared" si="4"/>
        <v>0</v>
      </c>
      <c r="L28" s="27">
        <f t="shared" si="5"/>
        <v>117</v>
      </c>
      <c r="M28" s="27">
        <f t="shared" si="6"/>
        <v>468</v>
      </c>
      <c r="N28" s="28"/>
      <c r="O28" s="14">
        <f t="shared" si="7"/>
        <v>117</v>
      </c>
      <c r="P28" s="29">
        <v>85</v>
      </c>
      <c r="Q28" s="30">
        <v>0</v>
      </c>
      <c r="R28" s="29">
        <v>22</v>
      </c>
      <c r="S28" s="31">
        <v>6</v>
      </c>
      <c r="T28" s="32">
        <v>4</v>
      </c>
      <c r="U28" s="25">
        <f t="shared" si="8"/>
        <v>468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="1" customFormat="1" ht="60" customHeight="1" outlineLevel="2" spans="1:32">
      <c r="A29" s="12">
        <v>23</v>
      </c>
      <c r="B29" s="20">
        <v>30413009001</v>
      </c>
      <c r="C29" s="20" t="s">
        <v>78</v>
      </c>
      <c r="D29" s="20" t="s">
        <v>79</v>
      </c>
      <c r="E29" s="12" t="s">
        <v>80</v>
      </c>
      <c r="F29" s="14">
        <v>280</v>
      </c>
      <c r="G29" s="33">
        <f t="shared" si="0"/>
        <v>3</v>
      </c>
      <c r="H29" s="34">
        <f t="shared" si="1"/>
        <v>20.5</v>
      </c>
      <c r="I29" s="34">
        <f t="shared" si="2"/>
        <v>0</v>
      </c>
      <c r="J29" s="34">
        <f t="shared" si="3"/>
        <v>0</v>
      </c>
      <c r="K29" s="34">
        <f t="shared" si="4"/>
        <v>0</v>
      </c>
      <c r="L29" s="34">
        <f t="shared" si="5"/>
        <v>23.5</v>
      </c>
      <c r="M29" s="34">
        <f t="shared" si="6"/>
        <v>6580</v>
      </c>
      <c r="N29" s="8"/>
      <c r="O29" s="14">
        <f t="shared" si="7"/>
        <v>23.5</v>
      </c>
      <c r="P29" s="35">
        <v>20</v>
      </c>
      <c r="Q29" s="36">
        <v>0</v>
      </c>
      <c r="R29" s="35">
        <v>3</v>
      </c>
      <c r="S29" s="37">
        <v>0.5</v>
      </c>
      <c r="T29" s="15">
        <v>0</v>
      </c>
      <c r="U29" s="14">
        <f t="shared" si="8"/>
        <v>6580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="1" customFormat="1" ht="60" customHeight="1" outlineLevel="2" spans="1:32">
      <c r="A30" s="12">
        <v>24</v>
      </c>
      <c r="B30" s="20">
        <v>30405017001</v>
      </c>
      <c r="C30" s="20" t="s">
        <v>81</v>
      </c>
      <c r="D30" s="20" t="s">
        <v>82</v>
      </c>
      <c r="E30" s="12" t="s">
        <v>83</v>
      </c>
      <c r="F30" s="14">
        <v>1</v>
      </c>
      <c r="G30" s="33">
        <f t="shared" si="0"/>
        <v>250</v>
      </c>
      <c r="H30" s="34">
        <f t="shared" si="1"/>
        <v>4235</v>
      </c>
      <c r="I30" s="34">
        <f t="shared" si="2"/>
        <v>8.5</v>
      </c>
      <c r="J30" s="34">
        <f t="shared" si="3"/>
        <v>0</v>
      </c>
      <c r="K30" s="34">
        <f t="shared" si="4"/>
        <v>0</v>
      </c>
      <c r="L30" s="34">
        <f t="shared" si="5"/>
        <v>4493.5</v>
      </c>
      <c r="M30" s="34">
        <f t="shared" si="6"/>
        <v>4493.5</v>
      </c>
      <c r="N30" s="8"/>
      <c r="O30" s="14">
        <f t="shared" si="7"/>
        <v>4493.5</v>
      </c>
      <c r="P30" s="35">
        <v>4200</v>
      </c>
      <c r="Q30" s="36">
        <v>0</v>
      </c>
      <c r="R30" s="35">
        <v>250</v>
      </c>
      <c r="S30" s="37">
        <v>35</v>
      </c>
      <c r="T30" s="15">
        <v>8.5</v>
      </c>
      <c r="U30" s="14">
        <f t="shared" si="8"/>
        <v>4493.5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="1" customFormat="1" outlineLevel="1" spans="1:32">
      <c r="A31" s="12"/>
      <c r="B31" s="20"/>
      <c r="C31" s="20" t="s">
        <v>84</v>
      </c>
      <c r="D31" s="20"/>
      <c r="E31" s="12"/>
      <c r="F31" s="14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2"/>
      <c r="R31" s="21"/>
      <c r="S31" s="21"/>
      <c r="T31" s="21"/>
      <c r="U31" s="2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="1" customFormat="1" ht="60" customHeight="1" outlineLevel="2" spans="1:32">
      <c r="A32" s="12">
        <v>25</v>
      </c>
      <c r="B32" s="20">
        <v>30413013001</v>
      </c>
      <c r="C32" s="20" t="s">
        <v>85</v>
      </c>
      <c r="D32" s="20" t="s">
        <v>86</v>
      </c>
      <c r="E32" s="12" t="s">
        <v>34</v>
      </c>
      <c r="F32" s="14">
        <v>5</v>
      </c>
      <c r="G32" s="33">
        <f t="shared" ref="G32:G41" si="9">R32*$R$3</f>
        <v>6.31</v>
      </c>
      <c r="H32" s="34">
        <f t="shared" ref="H32:H41" si="10">P32*(1+Q32)*$P$3+S32*$S$3</f>
        <v>15.74</v>
      </c>
      <c r="I32" s="34">
        <f t="shared" ref="I32:I41" si="11">T32*$T$3</f>
        <v>0</v>
      </c>
      <c r="J32" s="34">
        <f t="shared" ref="J32:J41" si="12">(G32+H32+I32)*$J$3</f>
        <v>0</v>
      </c>
      <c r="K32" s="34">
        <f t="shared" ref="K32:K41" si="13">(G32+H32+I32+J32)*$K$3</f>
        <v>0</v>
      </c>
      <c r="L32" s="34">
        <f t="shared" ref="L32:L41" si="14">G32+H32+I32+J32+K32</f>
        <v>22.05</v>
      </c>
      <c r="M32" s="34">
        <f t="shared" ref="M32:M41" si="15">F32*L32</f>
        <v>110.25</v>
      </c>
      <c r="N32" s="8"/>
      <c r="O32" s="14">
        <f t="shared" ref="O32:O41" si="16">P32*(1+Q32)+R32+S32+T32</f>
        <v>22.05</v>
      </c>
      <c r="P32" s="35">
        <v>14.62</v>
      </c>
      <c r="Q32" s="36">
        <v>0</v>
      </c>
      <c r="R32" s="35">
        <v>6.31</v>
      </c>
      <c r="S32" s="37">
        <v>1.12</v>
      </c>
      <c r="T32" s="15">
        <v>0</v>
      </c>
      <c r="U32" s="14">
        <f t="shared" ref="U32:U41" si="17">F32*O32</f>
        <v>110.25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="1" customFormat="1" ht="60" customHeight="1" outlineLevel="2" spans="1:32">
      <c r="A33" s="12">
        <v>26</v>
      </c>
      <c r="B33" s="20">
        <v>30413013002</v>
      </c>
      <c r="C33" s="20" t="s">
        <v>85</v>
      </c>
      <c r="D33" s="20" t="s">
        <v>87</v>
      </c>
      <c r="E33" s="12" t="s">
        <v>34</v>
      </c>
      <c r="F33" s="14">
        <v>10</v>
      </c>
      <c r="G33" s="33">
        <f t="shared" si="9"/>
        <v>10</v>
      </c>
      <c r="H33" s="34">
        <f t="shared" si="10"/>
        <v>19.5</v>
      </c>
      <c r="I33" s="34">
        <f t="shared" si="11"/>
        <v>0</v>
      </c>
      <c r="J33" s="34">
        <f t="shared" si="12"/>
        <v>0</v>
      </c>
      <c r="K33" s="34">
        <f t="shared" si="13"/>
        <v>0</v>
      </c>
      <c r="L33" s="34">
        <f t="shared" si="14"/>
        <v>29.5</v>
      </c>
      <c r="M33" s="34">
        <f t="shared" si="15"/>
        <v>295</v>
      </c>
      <c r="N33" s="8"/>
      <c r="O33" s="14">
        <f t="shared" si="16"/>
        <v>29.5</v>
      </c>
      <c r="P33" s="35">
        <v>18</v>
      </c>
      <c r="Q33" s="36">
        <v>0</v>
      </c>
      <c r="R33" s="35">
        <v>10</v>
      </c>
      <c r="S33" s="37">
        <v>1.5</v>
      </c>
      <c r="T33" s="15">
        <v>0</v>
      </c>
      <c r="U33" s="14">
        <f t="shared" si="17"/>
        <v>295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="1" customFormat="1" ht="60" customHeight="1" outlineLevel="2" spans="1:32">
      <c r="A34" s="12">
        <v>27</v>
      </c>
      <c r="B34" s="20">
        <v>30413013003</v>
      </c>
      <c r="C34" s="20" t="s">
        <v>85</v>
      </c>
      <c r="D34" s="20" t="s">
        <v>88</v>
      </c>
      <c r="E34" s="12" t="s">
        <v>34</v>
      </c>
      <c r="F34" s="14">
        <v>23</v>
      </c>
      <c r="G34" s="33">
        <f t="shared" si="9"/>
        <v>12</v>
      </c>
      <c r="H34" s="34">
        <f t="shared" si="10"/>
        <v>21.5</v>
      </c>
      <c r="I34" s="34">
        <f t="shared" si="11"/>
        <v>0</v>
      </c>
      <c r="J34" s="34">
        <f t="shared" si="12"/>
        <v>0</v>
      </c>
      <c r="K34" s="34">
        <f t="shared" si="13"/>
        <v>0</v>
      </c>
      <c r="L34" s="34">
        <f t="shared" si="14"/>
        <v>33.5</v>
      </c>
      <c r="M34" s="34">
        <f t="shared" si="15"/>
        <v>770.5</v>
      </c>
      <c r="N34" s="8"/>
      <c r="O34" s="14">
        <f t="shared" si="16"/>
        <v>33.5</v>
      </c>
      <c r="P34" s="35">
        <v>20</v>
      </c>
      <c r="Q34" s="36">
        <v>0</v>
      </c>
      <c r="R34" s="35">
        <v>12</v>
      </c>
      <c r="S34" s="37">
        <v>1.5</v>
      </c>
      <c r="T34" s="15">
        <v>0</v>
      </c>
      <c r="U34" s="14">
        <f t="shared" si="17"/>
        <v>770.5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="1" customFormat="1" ht="60" customHeight="1" outlineLevel="2" spans="1:32">
      <c r="A35" s="23">
        <v>28</v>
      </c>
      <c r="B35" s="24">
        <v>30413013004</v>
      </c>
      <c r="C35" s="24" t="s">
        <v>85</v>
      </c>
      <c r="D35" s="24" t="s">
        <v>89</v>
      </c>
      <c r="E35" s="23" t="s">
        <v>34</v>
      </c>
      <c r="F35" s="25">
        <v>4</v>
      </c>
      <c r="G35" s="26">
        <f t="shared" si="9"/>
        <v>6.31</v>
      </c>
      <c r="H35" s="27">
        <f t="shared" si="10"/>
        <v>15.74</v>
      </c>
      <c r="I35" s="27">
        <f t="shared" si="11"/>
        <v>0</v>
      </c>
      <c r="J35" s="27">
        <f t="shared" si="12"/>
        <v>0</v>
      </c>
      <c r="K35" s="27">
        <f t="shared" si="13"/>
        <v>0</v>
      </c>
      <c r="L35" s="27">
        <f t="shared" si="14"/>
        <v>22.05</v>
      </c>
      <c r="M35" s="27">
        <f t="shared" si="15"/>
        <v>88.2</v>
      </c>
      <c r="N35" s="28"/>
      <c r="O35" s="14">
        <f t="shared" si="16"/>
        <v>22.05</v>
      </c>
      <c r="P35" s="29">
        <v>14.62</v>
      </c>
      <c r="Q35" s="30">
        <v>0</v>
      </c>
      <c r="R35" s="29">
        <v>6.31</v>
      </c>
      <c r="S35" s="31">
        <v>1.12</v>
      </c>
      <c r="T35" s="32">
        <v>0</v>
      </c>
      <c r="U35" s="25">
        <f t="shared" si="17"/>
        <v>88.2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="1" customFormat="1" ht="60" customHeight="1" outlineLevel="2" spans="1:32">
      <c r="A36" s="12">
        <v>29</v>
      </c>
      <c r="B36" s="20">
        <v>30413014001</v>
      </c>
      <c r="C36" s="20" t="s">
        <v>90</v>
      </c>
      <c r="D36" s="20" t="s">
        <v>91</v>
      </c>
      <c r="E36" s="12" t="s">
        <v>34</v>
      </c>
      <c r="F36" s="14">
        <v>2</v>
      </c>
      <c r="G36" s="33">
        <f t="shared" si="9"/>
        <v>6.31</v>
      </c>
      <c r="H36" s="34">
        <f t="shared" si="10"/>
        <v>15.74</v>
      </c>
      <c r="I36" s="34">
        <f t="shared" si="11"/>
        <v>0</v>
      </c>
      <c r="J36" s="34">
        <f t="shared" si="12"/>
        <v>0</v>
      </c>
      <c r="K36" s="34">
        <f t="shared" si="13"/>
        <v>0</v>
      </c>
      <c r="L36" s="34">
        <f t="shared" si="14"/>
        <v>22.05</v>
      </c>
      <c r="M36" s="34">
        <f t="shared" si="15"/>
        <v>44.1</v>
      </c>
      <c r="N36" s="8"/>
      <c r="O36" s="14">
        <f t="shared" si="16"/>
        <v>22.05</v>
      </c>
      <c r="P36" s="35">
        <v>14.62</v>
      </c>
      <c r="Q36" s="36">
        <v>0</v>
      </c>
      <c r="R36" s="35">
        <v>6.31</v>
      </c>
      <c r="S36" s="37">
        <v>1.12</v>
      </c>
      <c r="T36" s="15">
        <v>0</v>
      </c>
      <c r="U36" s="14">
        <f t="shared" si="17"/>
        <v>44.1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="1" customFormat="1" ht="60" customHeight="1" outlineLevel="2" spans="1:32">
      <c r="A37" s="12">
        <v>30</v>
      </c>
      <c r="B37" s="20">
        <v>30413014002</v>
      </c>
      <c r="C37" s="20" t="s">
        <v>90</v>
      </c>
      <c r="D37" s="20" t="s">
        <v>92</v>
      </c>
      <c r="E37" s="12" t="s">
        <v>34</v>
      </c>
      <c r="F37" s="14">
        <v>63</v>
      </c>
      <c r="G37" s="33">
        <f t="shared" si="9"/>
        <v>6.31</v>
      </c>
      <c r="H37" s="34">
        <f t="shared" si="10"/>
        <v>15.74</v>
      </c>
      <c r="I37" s="34">
        <f t="shared" si="11"/>
        <v>0</v>
      </c>
      <c r="J37" s="34">
        <f t="shared" si="12"/>
        <v>0</v>
      </c>
      <c r="K37" s="34">
        <f t="shared" si="13"/>
        <v>0</v>
      </c>
      <c r="L37" s="34">
        <f t="shared" si="14"/>
        <v>22.05</v>
      </c>
      <c r="M37" s="34">
        <f t="shared" si="15"/>
        <v>1389.15</v>
      </c>
      <c r="N37" s="8"/>
      <c r="O37" s="14">
        <f t="shared" si="16"/>
        <v>22.05</v>
      </c>
      <c r="P37" s="35">
        <v>14.62</v>
      </c>
      <c r="Q37" s="36">
        <v>0</v>
      </c>
      <c r="R37" s="35">
        <v>6.31</v>
      </c>
      <c r="S37" s="37">
        <v>1.12</v>
      </c>
      <c r="T37" s="15">
        <v>0</v>
      </c>
      <c r="U37" s="14">
        <f t="shared" si="17"/>
        <v>1389.15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="1" customFormat="1" ht="60" customHeight="1" outlineLevel="2" spans="1:32">
      <c r="A38" s="12">
        <v>31</v>
      </c>
      <c r="B38" s="20">
        <v>30413014003</v>
      </c>
      <c r="C38" s="20" t="s">
        <v>90</v>
      </c>
      <c r="D38" s="20" t="s">
        <v>93</v>
      </c>
      <c r="E38" s="12" t="s">
        <v>34</v>
      </c>
      <c r="F38" s="14">
        <v>15</v>
      </c>
      <c r="G38" s="33">
        <f t="shared" si="9"/>
        <v>6.31</v>
      </c>
      <c r="H38" s="34">
        <f t="shared" si="10"/>
        <v>15.74</v>
      </c>
      <c r="I38" s="34">
        <f t="shared" si="11"/>
        <v>0</v>
      </c>
      <c r="J38" s="34">
        <f t="shared" si="12"/>
        <v>0</v>
      </c>
      <c r="K38" s="34">
        <f t="shared" si="13"/>
        <v>0</v>
      </c>
      <c r="L38" s="34">
        <f t="shared" si="14"/>
        <v>22.05</v>
      </c>
      <c r="M38" s="34">
        <f t="shared" si="15"/>
        <v>330.75</v>
      </c>
      <c r="N38" s="8"/>
      <c r="O38" s="14">
        <f t="shared" si="16"/>
        <v>22.05</v>
      </c>
      <c r="P38" s="35">
        <v>14.62</v>
      </c>
      <c r="Q38" s="36">
        <v>0</v>
      </c>
      <c r="R38" s="35">
        <v>6.31</v>
      </c>
      <c r="S38" s="37">
        <v>1.12</v>
      </c>
      <c r="T38" s="15">
        <v>0</v>
      </c>
      <c r="U38" s="14">
        <f t="shared" si="17"/>
        <v>330.75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="1" customFormat="1" ht="60" customHeight="1" outlineLevel="2" spans="1:32">
      <c r="A39" s="12">
        <v>32</v>
      </c>
      <c r="B39" s="20">
        <v>30413014004</v>
      </c>
      <c r="C39" s="20" t="s">
        <v>90</v>
      </c>
      <c r="D39" s="20" t="s">
        <v>94</v>
      </c>
      <c r="E39" s="12" t="s">
        <v>34</v>
      </c>
      <c r="F39" s="14">
        <v>21</v>
      </c>
      <c r="G39" s="33">
        <f t="shared" si="9"/>
        <v>6.31</v>
      </c>
      <c r="H39" s="34">
        <f t="shared" si="10"/>
        <v>15.74</v>
      </c>
      <c r="I39" s="34">
        <f t="shared" si="11"/>
        <v>0</v>
      </c>
      <c r="J39" s="34">
        <f t="shared" si="12"/>
        <v>0</v>
      </c>
      <c r="K39" s="34">
        <f t="shared" si="13"/>
        <v>0</v>
      </c>
      <c r="L39" s="34">
        <f t="shared" si="14"/>
        <v>22.05</v>
      </c>
      <c r="M39" s="34">
        <f t="shared" si="15"/>
        <v>463.05</v>
      </c>
      <c r="N39" s="8"/>
      <c r="O39" s="14">
        <f t="shared" si="16"/>
        <v>22.05</v>
      </c>
      <c r="P39" s="35">
        <v>14.62</v>
      </c>
      <c r="Q39" s="36">
        <v>0</v>
      </c>
      <c r="R39" s="35">
        <v>6.31</v>
      </c>
      <c r="S39" s="37">
        <v>1.12</v>
      </c>
      <c r="T39" s="15">
        <v>0</v>
      </c>
      <c r="U39" s="14">
        <f t="shared" si="17"/>
        <v>463.05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="1" customFormat="1" ht="60" customHeight="1" outlineLevel="2" spans="1:32">
      <c r="A40" s="12">
        <v>33</v>
      </c>
      <c r="B40" s="20">
        <v>30413014005</v>
      </c>
      <c r="C40" s="20" t="s">
        <v>90</v>
      </c>
      <c r="D40" s="20" t="s">
        <v>95</v>
      </c>
      <c r="E40" s="12" t="s">
        <v>34</v>
      </c>
      <c r="F40" s="14">
        <v>4</v>
      </c>
      <c r="G40" s="33">
        <f t="shared" si="9"/>
        <v>6.31</v>
      </c>
      <c r="H40" s="34">
        <f t="shared" si="10"/>
        <v>15.74</v>
      </c>
      <c r="I40" s="34">
        <f t="shared" si="11"/>
        <v>0</v>
      </c>
      <c r="J40" s="34">
        <f t="shared" si="12"/>
        <v>0</v>
      </c>
      <c r="K40" s="34">
        <f t="shared" si="13"/>
        <v>0</v>
      </c>
      <c r="L40" s="34">
        <f t="shared" si="14"/>
        <v>22.05</v>
      </c>
      <c r="M40" s="34">
        <f t="shared" si="15"/>
        <v>88.2</v>
      </c>
      <c r="N40" s="8"/>
      <c r="O40" s="14">
        <f t="shared" si="16"/>
        <v>22.05</v>
      </c>
      <c r="P40" s="35">
        <v>14.62</v>
      </c>
      <c r="Q40" s="36">
        <v>0</v>
      </c>
      <c r="R40" s="35">
        <v>6.31</v>
      </c>
      <c r="S40" s="37">
        <v>1.12</v>
      </c>
      <c r="T40" s="15">
        <v>0</v>
      </c>
      <c r="U40" s="14">
        <f t="shared" si="17"/>
        <v>88.2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="1" customFormat="1" ht="60" customHeight="1" outlineLevel="2" spans="1:32">
      <c r="A41" s="23">
        <v>34</v>
      </c>
      <c r="B41" s="24">
        <v>30413014006</v>
      </c>
      <c r="C41" s="24" t="s">
        <v>90</v>
      </c>
      <c r="D41" s="24" t="s">
        <v>96</v>
      </c>
      <c r="E41" s="23" t="s">
        <v>34</v>
      </c>
      <c r="F41" s="25">
        <v>51</v>
      </c>
      <c r="G41" s="26">
        <f t="shared" si="9"/>
        <v>6.31</v>
      </c>
      <c r="H41" s="27">
        <f t="shared" si="10"/>
        <v>15.74</v>
      </c>
      <c r="I41" s="27">
        <f t="shared" si="11"/>
        <v>0</v>
      </c>
      <c r="J41" s="27">
        <f t="shared" si="12"/>
        <v>0</v>
      </c>
      <c r="K41" s="27">
        <f t="shared" si="13"/>
        <v>0</v>
      </c>
      <c r="L41" s="27">
        <f t="shared" si="14"/>
        <v>22.05</v>
      </c>
      <c r="M41" s="27">
        <f t="shared" si="15"/>
        <v>1124.55</v>
      </c>
      <c r="N41" s="28"/>
      <c r="O41" s="14">
        <f t="shared" si="16"/>
        <v>22.05</v>
      </c>
      <c r="P41" s="29">
        <v>14.62</v>
      </c>
      <c r="Q41" s="30">
        <v>0</v>
      </c>
      <c r="R41" s="29">
        <v>6.31</v>
      </c>
      <c r="S41" s="31">
        <v>1.12</v>
      </c>
      <c r="T41" s="32">
        <v>0</v>
      </c>
      <c r="U41" s="25">
        <f t="shared" si="17"/>
        <v>1124.55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="1" customFormat="1" outlineLevel="1" spans="1:32">
      <c r="A42" s="12"/>
      <c r="B42" s="20"/>
      <c r="C42" s="20" t="s">
        <v>97</v>
      </c>
      <c r="D42" s="20"/>
      <c r="E42" s="12"/>
      <c r="F42" s="14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2"/>
      <c r="R42" s="21"/>
      <c r="S42" s="21"/>
      <c r="T42" s="21"/>
      <c r="U42" s="2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="1" customFormat="1" ht="60" customHeight="1" outlineLevel="2" spans="1:32">
      <c r="A43" s="23">
        <v>35</v>
      </c>
      <c r="B43" s="24">
        <v>30412001001</v>
      </c>
      <c r="C43" s="24" t="s">
        <v>98</v>
      </c>
      <c r="D43" s="24" t="s">
        <v>99</v>
      </c>
      <c r="E43" s="23" t="s">
        <v>67</v>
      </c>
      <c r="F43" s="25">
        <v>2169.81</v>
      </c>
      <c r="G43" s="26">
        <f t="shared" ref="G43:G60" si="18">R43*$R$3</f>
        <v>2.61</v>
      </c>
      <c r="H43" s="27">
        <f t="shared" ref="H43:H60" si="19">P43*(1+Q43)*$P$3+S43*$S$3</f>
        <v>1.8</v>
      </c>
      <c r="I43" s="27">
        <f t="shared" ref="I43:I60" si="20">T43*$T$3</f>
        <v>0.09</v>
      </c>
      <c r="J43" s="27">
        <f t="shared" ref="J43:J60" si="21">(G43+H43+I43)*$J$3</f>
        <v>0</v>
      </c>
      <c r="K43" s="27">
        <f t="shared" ref="K43:K60" si="22">(G43+H43+I43+J43)*$K$3</f>
        <v>0</v>
      </c>
      <c r="L43" s="27">
        <f t="shared" ref="L43:L60" si="23">G43+H43+I43+J43+K43</f>
        <v>4.5</v>
      </c>
      <c r="M43" s="27">
        <f t="shared" ref="M43:M60" si="24">F43*L43</f>
        <v>9764.145</v>
      </c>
      <c r="N43" s="28"/>
      <c r="O43" s="14">
        <f t="shared" ref="O43:O60" si="25">P43*(1+Q43)+R43+S43+T43</f>
        <v>4.5</v>
      </c>
      <c r="P43" s="29">
        <v>1.57</v>
      </c>
      <c r="Q43" s="30">
        <v>0</v>
      </c>
      <c r="R43" s="29">
        <v>2.61</v>
      </c>
      <c r="S43" s="31">
        <v>0.23</v>
      </c>
      <c r="T43" s="32">
        <v>0.09</v>
      </c>
      <c r="U43" s="25">
        <f t="shared" ref="U43:U60" si="26">F43*O43</f>
        <v>9764.145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="1" customFormat="1" ht="60" customHeight="1" outlineLevel="2" spans="1:32">
      <c r="A44" s="23">
        <v>36</v>
      </c>
      <c r="B44" s="24">
        <v>30412001002</v>
      </c>
      <c r="C44" s="24" t="s">
        <v>98</v>
      </c>
      <c r="D44" s="24" t="s">
        <v>100</v>
      </c>
      <c r="E44" s="23" t="s">
        <v>67</v>
      </c>
      <c r="F44" s="25">
        <v>324.48</v>
      </c>
      <c r="G44" s="26">
        <f t="shared" si="18"/>
        <v>10.8</v>
      </c>
      <c r="H44" s="27">
        <f t="shared" si="19"/>
        <v>7.135</v>
      </c>
      <c r="I44" s="27">
        <f t="shared" si="20"/>
        <v>0.2</v>
      </c>
      <c r="J44" s="27">
        <f t="shared" si="21"/>
        <v>0</v>
      </c>
      <c r="K44" s="27">
        <f t="shared" si="22"/>
        <v>0</v>
      </c>
      <c r="L44" s="27">
        <f t="shared" si="23"/>
        <v>18.135</v>
      </c>
      <c r="M44" s="27">
        <f t="shared" si="24"/>
        <v>5884.4448</v>
      </c>
      <c r="N44" s="28"/>
      <c r="O44" s="14">
        <f t="shared" si="25"/>
        <v>18.135</v>
      </c>
      <c r="P44" s="29">
        <v>6.5</v>
      </c>
      <c r="Q44" s="30">
        <v>0.03</v>
      </c>
      <c r="R44" s="29">
        <v>10.8</v>
      </c>
      <c r="S44" s="31">
        <v>0.44</v>
      </c>
      <c r="T44" s="32">
        <v>0.2</v>
      </c>
      <c r="U44" s="25">
        <f t="shared" si="26"/>
        <v>5884.4448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="1" customFormat="1" ht="60" customHeight="1" outlineLevel="2" spans="1:32">
      <c r="A45" s="23">
        <v>37</v>
      </c>
      <c r="B45" s="24">
        <v>30412001003</v>
      </c>
      <c r="C45" s="24" t="s">
        <v>98</v>
      </c>
      <c r="D45" s="24" t="s">
        <v>101</v>
      </c>
      <c r="E45" s="23" t="s">
        <v>67</v>
      </c>
      <c r="F45" s="25">
        <v>616.28</v>
      </c>
      <c r="G45" s="26">
        <f t="shared" si="18"/>
        <v>8.5</v>
      </c>
      <c r="H45" s="27">
        <f t="shared" si="19"/>
        <v>6.66</v>
      </c>
      <c r="I45" s="27">
        <f t="shared" si="20"/>
        <v>0.2</v>
      </c>
      <c r="J45" s="27">
        <f t="shared" si="21"/>
        <v>0</v>
      </c>
      <c r="K45" s="27">
        <f t="shared" si="22"/>
        <v>0</v>
      </c>
      <c r="L45" s="27">
        <f t="shared" si="23"/>
        <v>15.36</v>
      </c>
      <c r="M45" s="27">
        <f t="shared" si="24"/>
        <v>9466.0608</v>
      </c>
      <c r="N45" s="28"/>
      <c r="O45" s="14">
        <f t="shared" si="25"/>
        <v>15.36</v>
      </c>
      <c r="P45" s="29">
        <v>6</v>
      </c>
      <c r="Q45" s="30">
        <v>0.03</v>
      </c>
      <c r="R45" s="29">
        <v>8.5</v>
      </c>
      <c r="S45" s="31">
        <v>0.48</v>
      </c>
      <c r="T45" s="32">
        <v>0.2</v>
      </c>
      <c r="U45" s="25">
        <f t="shared" si="26"/>
        <v>9466.0608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="1" customFormat="1" ht="60" customHeight="1" outlineLevel="2" spans="1:32">
      <c r="A46" s="23">
        <v>38</v>
      </c>
      <c r="B46" s="24">
        <v>30412001004</v>
      </c>
      <c r="C46" s="24" t="s">
        <v>98</v>
      </c>
      <c r="D46" s="24" t="s">
        <v>102</v>
      </c>
      <c r="E46" s="23" t="s">
        <v>67</v>
      </c>
      <c r="F46" s="25">
        <v>932.93</v>
      </c>
      <c r="G46" s="26">
        <f t="shared" si="18"/>
        <v>8.5</v>
      </c>
      <c r="H46" s="27">
        <f t="shared" si="19"/>
        <v>6.66</v>
      </c>
      <c r="I46" s="27">
        <f t="shared" si="20"/>
        <v>0.2</v>
      </c>
      <c r="J46" s="27">
        <f t="shared" si="21"/>
        <v>0</v>
      </c>
      <c r="K46" s="27">
        <f t="shared" si="22"/>
        <v>0</v>
      </c>
      <c r="L46" s="27">
        <f t="shared" si="23"/>
        <v>15.36</v>
      </c>
      <c r="M46" s="27">
        <f t="shared" si="24"/>
        <v>14329.8048</v>
      </c>
      <c r="N46" s="28"/>
      <c r="O46" s="14">
        <f t="shared" si="25"/>
        <v>15.36</v>
      </c>
      <c r="P46" s="29">
        <v>6</v>
      </c>
      <c r="Q46" s="30">
        <v>0.03</v>
      </c>
      <c r="R46" s="29">
        <v>8.5</v>
      </c>
      <c r="S46" s="31">
        <v>0.48</v>
      </c>
      <c r="T46" s="32">
        <v>0.2</v>
      </c>
      <c r="U46" s="25">
        <f t="shared" si="26"/>
        <v>14329.8048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="1" customFormat="1" ht="60" customHeight="1" outlineLevel="2" spans="1:32">
      <c r="A47" s="23">
        <v>39</v>
      </c>
      <c r="B47" s="24">
        <v>30412001005</v>
      </c>
      <c r="C47" s="24" t="s">
        <v>98</v>
      </c>
      <c r="D47" s="24" t="s">
        <v>103</v>
      </c>
      <c r="E47" s="23" t="s">
        <v>67</v>
      </c>
      <c r="F47" s="25">
        <v>24.68</v>
      </c>
      <c r="G47" s="26">
        <f t="shared" si="18"/>
        <v>8.5</v>
      </c>
      <c r="H47" s="27">
        <f t="shared" si="19"/>
        <v>6.66</v>
      </c>
      <c r="I47" s="27">
        <f t="shared" si="20"/>
        <v>0.2</v>
      </c>
      <c r="J47" s="27">
        <f t="shared" si="21"/>
        <v>0</v>
      </c>
      <c r="K47" s="27">
        <f t="shared" si="22"/>
        <v>0</v>
      </c>
      <c r="L47" s="27">
        <f t="shared" si="23"/>
        <v>15.36</v>
      </c>
      <c r="M47" s="27">
        <f t="shared" si="24"/>
        <v>379.0848</v>
      </c>
      <c r="N47" s="28"/>
      <c r="O47" s="14">
        <f t="shared" si="25"/>
        <v>15.36</v>
      </c>
      <c r="P47" s="29">
        <v>6</v>
      </c>
      <c r="Q47" s="30">
        <v>0.03</v>
      </c>
      <c r="R47" s="29">
        <v>8.5</v>
      </c>
      <c r="S47" s="31">
        <v>0.48</v>
      </c>
      <c r="T47" s="32">
        <v>0.2</v>
      </c>
      <c r="U47" s="25">
        <f t="shared" si="26"/>
        <v>379.0848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="1" customFormat="1" ht="60" customHeight="1" outlineLevel="2" spans="1:32">
      <c r="A48" s="23">
        <v>40</v>
      </c>
      <c r="B48" s="24">
        <v>30412001006</v>
      </c>
      <c r="C48" s="24" t="s">
        <v>98</v>
      </c>
      <c r="D48" s="24" t="s">
        <v>104</v>
      </c>
      <c r="E48" s="23" t="s">
        <v>67</v>
      </c>
      <c r="F48" s="25">
        <v>686.43</v>
      </c>
      <c r="G48" s="26">
        <f t="shared" si="18"/>
        <v>7.6</v>
      </c>
      <c r="H48" s="27">
        <f t="shared" si="19"/>
        <v>8.993</v>
      </c>
      <c r="I48" s="27">
        <f t="shared" si="20"/>
        <v>0.2</v>
      </c>
      <c r="J48" s="27">
        <f t="shared" si="21"/>
        <v>0</v>
      </c>
      <c r="K48" s="27">
        <f t="shared" si="22"/>
        <v>0</v>
      </c>
      <c r="L48" s="27">
        <f t="shared" si="23"/>
        <v>16.793</v>
      </c>
      <c r="M48" s="27">
        <f t="shared" si="24"/>
        <v>11527.21899</v>
      </c>
      <c r="N48" s="28"/>
      <c r="O48" s="14">
        <f t="shared" si="25"/>
        <v>16.793</v>
      </c>
      <c r="P48" s="29">
        <v>8.1</v>
      </c>
      <c r="Q48" s="30">
        <v>0.03</v>
      </c>
      <c r="R48" s="29">
        <v>7.6</v>
      </c>
      <c r="S48" s="31">
        <v>0.65</v>
      </c>
      <c r="T48" s="32">
        <v>0.2</v>
      </c>
      <c r="U48" s="25">
        <f t="shared" si="26"/>
        <v>11527.21899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="1" customFormat="1" ht="60" customHeight="1" outlineLevel="2" spans="1:32">
      <c r="A49" s="23">
        <v>41</v>
      </c>
      <c r="B49" s="24">
        <v>30412001007</v>
      </c>
      <c r="C49" s="24" t="s">
        <v>98</v>
      </c>
      <c r="D49" s="24" t="s">
        <v>105</v>
      </c>
      <c r="E49" s="23" t="s">
        <v>67</v>
      </c>
      <c r="F49" s="25">
        <v>286.28</v>
      </c>
      <c r="G49" s="26">
        <f t="shared" si="18"/>
        <v>8.5</v>
      </c>
      <c r="H49" s="27">
        <f t="shared" si="19"/>
        <v>10.545</v>
      </c>
      <c r="I49" s="27">
        <f t="shared" si="20"/>
        <v>0.2</v>
      </c>
      <c r="J49" s="27">
        <f t="shared" si="21"/>
        <v>0</v>
      </c>
      <c r="K49" s="27">
        <f t="shared" si="22"/>
        <v>0</v>
      </c>
      <c r="L49" s="27">
        <f t="shared" si="23"/>
        <v>19.245</v>
      </c>
      <c r="M49" s="27">
        <f t="shared" si="24"/>
        <v>5509.4586</v>
      </c>
      <c r="N49" s="28"/>
      <c r="O49" s="14">
        <f t="shared" si="25"/>
        <v>19.245</v>
      </c>
      <c r="P49" s="29">
        <v>9.5</v>
      </c>
      <c r="Q49" s="30">
        <v>0.03</v>
      </c>
      <c r="R49" s="29">
        <v>8.5</v>
      </c>
      <c r="S49" s="31">
        <v>0.76</v>
      </c>
      <c r="T49" s="32">
        <v>0.2</v>
      </c>
      <c r="U49" s="25">
        <f t="shared" si="26"/>
        <v>5509.4586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="1" customFormat="1" ht="60" customHeight="1" outlineLevel="2" spans="1:32">
      <c r="A50" s="23">
        <v>42</v>
      </c>
      <c r="B50" s="24">
        <v>31301001001</v>
      </c>
      <c r="C50" s="24" t="s">
        <v>106</v>
      </c>
      <c r="D50" s="24" t="s">
        <v>107</v>
      </c>
      <c r="E50" s="23" t="s">
        <v>67</v>
      </c>
      <c r="F50" s="25">
        <v>606.51</v>
      </c>
      <c r="G50" s="26">
        <f t="shared" si="18"/>
        <v>17.65</v>
      </c>
      <c r="H50" s="27">
        <f t="shared" si="19"/>
        <v>0</v>
      </c>
      <c r="I50" s="27">
        <f t="shared" si="20"/>
        <v>2.41</v>
      </c>
      <c r="J50" s="27">
        <f t="shared" si="21"/>
        <v>0</v>
      </c>
      <c r="K50" s="27">
        <f t="shared" si="22"/>
        <v>0</v>
      </c>
      <c r="L50" s="27">
        <f t="shared" si="23"/>
        <v>20.06</v>
      </c>
      <c r="M50" s="27">
        <f t="shared" si="24"/>
        <v>12166.5906</v>
      </c>
      <c r="N50" s="28"/>
      <c r="O50" s="14">
        <f t="shared" si="25"/>
        <v>20.06</v>
      </c>
      <c r="P50" s="29">
        <v>0</v>
      </c>
      <c r="Q50" s="30">
        <v>0</v>
      </c>
      <c r="R50" s="29">
        <v>17.65</v>
      </c>
      <c r="S50" s="31">
        <v>0</v>
      </c>
      <c r="T50" s="32">
        <v>2.41</v>
      </c>
      <c r="U50" s="25">
        <f t="shared" si="26"/>
        <v>12166.5906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="1" customFormat="1" ht="60" customHeight="1" outlineLevel="2" spans="1:32">
      <c r="A51" s="23">
        <v>43</v>
      </c>
      <c r="B51" s="24">
        <v>30412006001</v>
      </c>
      <c r="C51" s="24" t="s">
        <v>108</v>
      </c>
      <c r="D51" s="24" t="s">
        <v>109</v>
      </c>
      <c r="E51" s="23" t="s">
        <v>80</v>
      </c>
      <c r="F51" s="25">
        <v>861</v>
      </c>
      <c r="G51" s="26">
        <f t="shared" si="18"/>
        <v>2.17</v>
      </c>
      <c r="H51" s="27">
        <f t="shared" si="19"/>
        <v>2.58</v>
      </c>
      <c r="I51" s="27">
        <f t="shared" si="20"/>
        <v>0</v>
      </c>
      <c r="J51" s="27">
        <f t="shared" si="21"/>
        <v>0</v>
      </c>
      <c r="K51" s="27">
        <f t="shared" si="22"/>
        <v>0</v>
      </c>
      <c r="L51" s="27">
        <f t="shared" si="23"/>
        <v>4.75</v>
      </c>
      <c r="M51" s="27">
        <f t="shared" si="24"/>
        <v>4089.75</v>
      </c>
      <c r="N51" s="28"/>
      <c r="O51" s="14">
        <f t="shared" si="25"/>
        <v>4.75</v>
      </c>
      <c r="P51" s="29">
        <v>2.28</v>
      </c>
      <c r="Q51" s="30">
        <v>0</v>
      </c>
      <c r="R51" s="29">
        <v>2.17</v>
      </c>
      <c r="S51" s="31">
        <v>0.3</v>
      </c>
      <c r="T51" s="32">
        <v>0</v>
      </c>
      <c r="U51" s="25">
        <f t="shared" si="26"/>
        <v>4089.75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="1" customFormat="1" ht="60" customHeight="1" outlineLevel="2" spans="1:32">
      <c r="A52" s="23">
        <v>44</v>
      </c>
      <c r="B52" s="24">
        <v>30412006002</v>
      </c>
      <c r="C52" s="24" t="s">
        <v>110</v>
      </c>
      <c r="D52" s="24" t="s">
        <v>111</v>
      </c>
      <c r="E52" s="23" t="s">
        <v>80</v>
      </c>
      <c r="F52" s="25">
        <v>73</v>
      </c>
      <c r="G52" s="26">
        <f t="shared" si="18"/>
        <v>10</v>
      </c>
      <c r="H52" s="27">
        <f t="shared" si="19"/>
        <v>16</v>
      </c>
      <c r="I52" s="27">
        <f t="shared" si="20"/>
        <v>0</v>
      </c>
      <c r="J52" s="27">
        <f t="shared" si="21"/>
        <v>0</v>
      </c>
      <c r="K52" s="27">
        <f t="shared" si="22"/>
        <v>0</v>
      </c>
      <c r="L52" s="27">
        <f t="shared" si="23"/>
        <v>26</v>
      </c>
      <c r="M52" s="27">
        <f t="shared" si="24"/>
        <v>1898</v>
      </c>
      <c r="N52" s="28"/>
      <c r="O52" s="14">
        <f t="shared" si="25"/>
        <v>26</v>
      </c>
      <c r="P52" s="29">
        <v>15</v>
      </c>
      <c r="Q52" s="30">
        <v>0</v>
      </c>
      <c r="R52" s="29">
        <v>10</v>
      </c>
      <c r="S52" s="31">
        <v>1</v>
      </c>
      <c r="T52" s="32">
        <v>0</v>
      </c>
      <c r="U52" s="25">
        <f t="shared" si="26"/>
        <v>1898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="1" customFormat="1" ht="60" customHeight="1" outlineLevel="2" spans="1:32">
      <c r="A53" s="23">
        <v>45</v>
      </c>
      <c r="B53" s="24">
        <v>30412006003</v>
      </c>
      <c r="C53" s="24" t="s">
        <v>110</v>
      </c>
      <c r="D53" s="24" t="s">
        <v>112</v>
      </c>
      <c r="E53" s="23" t="s">
        <v>80</v>
      </c>
      <c r="F53" s="25">
        <v>162</v>
      </c>
      <c r="G53" s="26">
        <f t="shared" si="18"/>
        <v>10</v>
      </c>
      <c r="H53" s="27">
        <f t="shared" si="19"/>
        <v>16</v>
      </c>
      <c r="I53" s="27">
        <f t="shared" si="20"/>
        <v>0</v>
      </c>
      <c r="J53" s="27">
        <f t="shared" si="21"/>
        <v>0</v>
      </c>
      <c r="K53" s="27">
        <f t="shared" si="22"/>
        <v>0</v>
      </c>
      <c r="L53" s="27">
        <f t="shared" si="23"/>
        <v>26</v>
      </c>
      <c r="M53" s="27">
        <f t="shared" si="24"/>
        <v>4212</v>
      </c>
      <c r="N53" s="28"/>
      <c r="O53" s="14">
        <f t="shared" si="25"/>
        <v>26</v>
      </c>
      <c r="P53" s="29">
        <v>15</v>
      </c>
      <c r="Q53" s="30">
        <v>0</v>
      </c>
      <c r="R53" s="29">
        <v>10</v>
      </c>
      <c r="S53" s="31">
        <v>1</v>
      </c>
      <c r="T53" s="32">
        <v>0</v>
      </c>
      <c r="U53" s="25">
        <f t="shared" si="26"/>
        <v>4212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="1" customFormat="1" ht="60" customHeight="1" outlineLevel="2" spans="1:32">
      <c r="A54" s="12">
        <v>46</v>
      </c>
      <c r="B54" s="20">
        <v>30412004001</v>
      </c>
      <c r="C54" s="20" t="s">
        <v>113</v>
      </c>
      <c r="D54" s="20" t="s">
        <v>114</v>
      </c>
      <c r="E54" s="12" t="s">
        <v>67</v>
      </c>
      <c r="F54" s="14">
        <v>10389.06</v>
      </c>
      <c r="G54" s="33">
        <f t="shared" si="18"/>
        <v>2.2</v>
      </c>
      <c r="H54" s="34">
        <f t="shared" si="19"/>
        <v>3.1884</v>
      </c>
      <c r="I54" s="34">
        <f t="shared" si="20"/>
        <v>0.02</v>
      </c>
      <c r="J54" s="34">
        <f t="shared" si="21"/>
        <v>0</v>
      </c>
      <c r="K54" s="34">
        <f t="shared" si="22"/>
        <v>0</v>
      </c>
      <c r="L54" s="34">
        <f t="shared" si="23"/>
        <v>5.4084</v>
      </c>
      <c r="M54" s="34">
        <f t="shared" si="24"/>
        <v>56188.192104</v>
      </c>
      <c r="N54" s="8"/>
      <c r="O54" s="14">
        <f t="shared" si="25"/>
        <v>5.4084</v>
      </c>
      <c r="P54" s="35">
        <v>2.92</v>
      </c>
      <c r="Q54" s="36">
        <v>0.02</v>
      </c>
      <c r="R54" s="35">
        <v>2.2</v>
      </c>
      <c r="S54" s="37">
        <v>0.21</v>
      </c>
      <c r="T54" s="15">
        <v>0.02</v>
      </c>
      <c r="U54" s="14">
        <f t="shared" si="26"/>
        <v>56188.192104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="1" customFormat="1" ht="60" customHeight="1" outlineLevel="2" spans="1:32">
      <c r="A55" s="23">
        <v>47</v>
      </c>
      <c r="B55" s="24">
        <v>30412004002</v>
      </c>
      <c r="C55" s="24" t="s">
        <v>113</v>
      </c>
      <c r="D55" s="24" t="s">
        <v>115</v>
      </c>
      <c r="E55" s="23" t="s">
        <v>67</v>
      </c>
      <c r="F55" s="25">
        <v>311.04</v>
      </c>
      <c r="G55" s="26">
        <f t="shared" si="18"/>
        <v>2.2</v>
      </c>
      <c r="H55" s="27">
        <f t="shared" si="19"/>
        <v>3.1884</v>
      </c>
      <c r="I55" s="27">
        <f t="shared" si="20"/>
        <v>0.02</v>
      </c>
      <c r="J55" s="27">
        <f t="shared" si="21"/>
        <v>0</v>
      </c>
      <c r="K55" s="27">
        <f t="shared" si="22"/>
        <v>0</v>
      </c>
      <c r="L55" s="27">
        <f t="shared" si="23"/>
        <v>5.4084</v>
      </c>
      <c r="M55" s="27">
        <f t="shared" si="24"/>
        <v>1682.228736</v>
      </c>
      <c r="N55" s="28"/>
      <c r="O55" s="14">
        <f t="shared" si="25"/>
        <v>5.4084</v>
      </c>
      <c r="P55" s="29">
        <v>2.92</v>
      </c>
      <c r="Q55" s="30">
        <v>0.02</v>
      </c>
      <c r="R55" s="29">
        <v>2.2</v>
      </c>
      <c r="S55" s="31">
        <v>0.21</v>
      </c>
      <c r="T55" s="32">
        <v>0.02</v>
      </c>
      <c r="U55" s="25">
        <f t="shared" si="26"/>
        <v>1682.228736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="1" customFormat="1" ht="60" customHeight="1" outlineLevel="2" spans="1:32">
      <c r="A56" s="23">
        <v>48</v>
      </c>
      <c r="B56" s="24">
        <v>30412004003</v>
      </c>
      <c r="C56" s="24" t="s">
        <v>113</v>
      </c>
      <c r="D56" s="24" t="s">
        <v>116</v>
      </c>
      <c r="E56" s="23" t="s">
        <v>67</v>
      </c>
      <c r="F56" s="25">
        <v>3896.09</v>
      </c>
      <c r="G56" s="26">
        <f t="shared" si="18"/>
        <v>14</v>
      </c>
      <c r="H56" s="27">
        <f t="shared" si="19"/>
        <v>134.252</v>
      </c>
      <c r="I56" s="27">
        <f t="shared" si="20"/>
        <v>1.04</v>
      </c>
      <c r="J56" s="27">
        <f t="shared" si="21"/>
        <v>0</v>
      </c>
      <c r="K56" s="27">
        <f t="shared" si="22"/>
        <v>0</v>
      </c>
      <c r="L56" s="27">
        <f t="shared" si="23"/>
        <v>149.292</v>
      </c>
      <c r="M56" s="27">
        <f t="shared" si="24"/>
        <v>581655.06828</v>
      </c>
      <c r="N56" s="28"/>
      <c r="O56" s="14">
        <f t="shared" si="25"/>
        <v>149.292</v>
      </c>
      <c r="P56" s="29">
        <v>130.6</v>
      </c>
      <c r="Q56" s="30">
        <v>0.02</v>
      </c>
      <c r="R56" s="29">
        <v>14</v>
      </c>
      <c r="S56" s="31">
        <v>1.04</v>
      </c>
      <c r="T56" s="32">
        <v>1.04</v>
      </c>
      <c r="U56" s="25">
        <f t="shared" si="26"/>
        <v>581655.06828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="1" customFormat="1" ht="60" customHeight="1" outlineLevel="2" spans="1:32">
      <c r="A57" s="23">
        <v>49</v>
      </c>
      <c r="B57" s="24">
        <v>30412004004</v>
      </c>
      <c r="C57" s="24" t="s">
        <v>113</v>
      </c>
      <c r="D57" s="24" t="s">
        <v>117</v>
      </c>
      <c r="E57" s="23" t="s">
        <v>67</v>
      </c>
      <c r="F57" s="25">
        <v>1846.08</v>
      </c>
      <c r="G57" s="26">
        <f t="shared" si="18"/>
        <v>21.2</v>
      </c>
      <c r="H57" s="27">
        <f t="shared" si="19"/>
        <v>36.754</v>
      </c>
      <c r="I57" s="27">
        <f t="shared" si="20"/>
        <v>0.21</v>
      </c>
      <c r="J57" s="27">
        <f t="shared" si="21"/>
        <v>0</v>
      </c>
      <c r="K57" s="27">
        <f t="shared" si="22"/>
        <v>0</v>
      </c>
      <c r="L57" s="27">
        <f t="shared" si="23"/>
        <v>58.164</v>
      </c>
      <c r="M57" s="27">
        <f t="shared" si="24"/>
        <v>107375.39712</v>
      </c>
      <c r="N57" s="28"/>
      <c r="O57" s="14">
        <f t="shared" si="25"/>
        <v>58.164</v>
      </c>
      <c r="P57" s="29">
        <v>35.2</v>
      </c>
      <c r="Q57" s="30">
        <v>0.02</v>
      </c>
      <c r="R57" s="29">
        <v>21.2</v>
      </c>
      <c r="S57" s="31">
        <v>0.85</v>
      </c>
      <c r="T57" s="32">
        <v>0.21</v>
      </c>
      <c r="U57" s="25">
        <f t="shared" si="26"/>
        <v>107375.39712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="1" customFormat="1" ht="60" customHeight="1" outlineLevel="2" spans="1:32">
      <c r="A58" s="12">
        <v>50</v>
      </c>
      <c r="B58" s="20">
        <v>30412004005</v>
      </c>
      <c r="C58" s="20" t="s">
        <v>113</v>
      </c>
      <c r="D58" s="20" t="s">
        <v>118</v>
      </c>
      <c r="E58" s="12" t="s">
        <v>67</v>
      </c>
      <c r="F58" s="14">
        <v>96.51</v>
      </c>
      <c r="G58" s="33">
        <f t="shared" si="18"/>
        <v>15</v>
      </c>
      <c r="H58" s="34">
        <f t="shared" si="19"/>
        <v>137.138</v>
      </c>
      <c r="I58" s="34">
        <f t="shared" si="20"/>
        <v>1.07</v>
      </c>
      <c r="J58" s="34">
        <f t="shared" si="21"/>
        <v>0</v>
      </c>
      <c r="K58" s="34">
        <f t="shared" si="22"/>
        <v>0</v>
      </c>
      <c r="L58" s="34">
        <f t="shared" si="23"/>
        <v>153.208</v>
      </c>
      <c r="M58" s="34">
        <f t="shared" si="24"/>
        <v>14786.10408</v>
      </c>
      <c r="N58" s="8"/>
      <c r="O58" s="14">
        <f t="shared" si="25"/>
        <v>153.208</v>
      </c>
      <c r="P58" s="35">
        <v>133.4</v>
      </c>
      <c r="Q58" s="36">
        <v>0.02</v>
      </c>
      <c r="R58" s="35">
        <v>15</v>
      </c>
      <c r="S58" s="37">
        <v>1.07</v>
      </c>
      <c r="T58" s="15">
        <v>1.07</v>
      </c>
      <c r="U58" s="14">
        <f t="shared" si="26"/>
        <v>14786.10408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="1" customFormat="1" ht="60" customHeight="1" outlineLevel="2" spans="1:32">
      <c r="A59" s="23">
        <v>51</v>
      </c>
      <c r="B59" s="24">
        <v>30412004006</v>
      </c>
      <c r="C59" s="24" t="s">
        <v>113</v>
      </c>
      <c r="D59" s="24" t="s">
        <v>119</v>
      </c>
      <c r="E59" s="23" t="s">
        <v>67</v>
      </c>
      <c r="F59" s="25">
        <v>140.84</v>
      </c>
      <c r="G59" s="26">
        <f t="shared" si="18"/>
        <v>21.8</v>
      </c>
      <c r="H59" s="27">
        <f t="shared" si="19"/>
        <v>39.466</v>
      </c>
      <c r="I59" s="27">
        <f t="shared" si="20"/>
        <v>0.22</v>
      </c>
      <c r="J59" s="27">
        <f t="shared" si="21"/>
        <v>0</v>
      </c>
      <c r="K59" s="27">
        <f t="shared" si="22"/>
        <v>0</v>
      </c>
      <c r="L59" s="27">
        <f t="shared" si="23"/>
        <v>61.486</v>
      </c>
      <c r="M59" s="27">
        <f t="shared" si="24"/>
        <v>8659.68824</v>
      </c>
      <c r="N59" s="28"/>
      <c r="O59" s="14">
        <f t="shared" si="25"/>
        <v>61.486</v>
      </c>
      <c r="P59" s="29">
        <v>37.8</v>
      </c>
      <c r="Q59" s="30">
        <v>0.02</v>
      </c>
      <c r="R59" s="29">
        <v>21.8</v>
      </c>
      <c r="S59" s="31">
        <v>0.91</v>
      </c>
      <c r="T59" s="32">
        <v>0.22</v>
      </c>
      <c r="U59" s="25">
        <f t="shared" si="26"/>
        <v>8659.68824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="1" customFormat="1" ht="60" customHeight="1" outlineLevel="2" spans="1:32">
      <c r="A60" s="12">
        <v>52</v>
      </c>
      <c r="B60" s="20">
        <v>30412004007</v>
      </c>
      <c r="C60" s="20" t="s">
        <v>113</v>
      </c>
      <c r="D60" s="20" t="s">
        <v>120</v>
      </c>
      <c r="E60" s="12" t="s">
        <v>67</v>
      </c>
      <c r="F60" s="14">
        <v>581.65</v>
      </c>
      <c r="G60" s="33">
        <f t="shared" si="18"/>
        <v>5.2</v>
      </c>
      <c r="H60" s="34">
        <f t="shared" si="19"/>
        <v>4.106</v>
      </c>
      <c r="I60" s="34">
        <f t="shared" si="20"/>
        <v>0.05</v>
      </c>
      <c r="J60" s="34">
        <f t="shared" si="21"/>
        <v>0</v>
      </c>
      <c r="K60" s="34">
        <f t="shared" si="22"/>
        <v>0</v>
      </c>
      <c r="L60" s="34">
        <f t="shared" si="23"/>
        <v>9.356</v>
      </c>
      <c r="M60" s="34">
        <f t="shared" si="24"/>
        <v>5441.9174</v>
      </c>
      <c r="N60" s="8"/>
      <c r="O60" s="14">
        <f t="shared" si="25"/>
        <v>9.356</v>
      </c>
      <c r="P60" s="35">
        <v>3.8</v>
      </c>
      <c r="Q60" s="36">
        <v>0.02</v>
      </c>
      <c r="R60" s="35">
        <v>5.2</v>
      </c>
      <c r="S60" s="37">
        <v>0.23</v>
      </c>
      <c r="T60" s="15">
        <v>0.05</v>
      </c>
      <c r="U60" s="14">
        <f t="shared" si="26"/>
        <v>5441.9174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95" customHeight="1" spans="1:32">
      <c r="A61" s="38"/>
      <c r="B61" s="39" t="s">
        <v>121</v>
      </c>
      <c r="C61" s="39"/>
      <c r="D61" s="39"/>
      <c r="E61" s="40" t="s">
        <v>122</v>
      </c>
      <c r="F61" s="40"/>
      <c r="G61" s="41"/>
      <c r="H61" s="42"/>
      <c r="I61" s="42"/>
      <c r="J61" s="42"/>
      <c r="K61" s="42"/>
      <c r="L61" s="42"/>
      <c r="M61" s="43">
        <f>SUM(M4:M60)</f>
        <v>968793.91915</v>
      </c>
      <c r="N61" s="21"/>
      <c r="O61" s="21"/>
      <c r="P61" s="21"/>
      <c r="Q61" s="22"/>
      <c r="R61" s="21"/>
      <c r="S61" s="21"/>
      <c r="T61" s="21"/>
      <c r="U61" s="21"/>
    </row>
    <row r="62" ht="24.95" customHeight="1" spans="1:32">
      <c r="A62" s="38"/>
      <c r="B62" s="39" t="s">
        <v>123</v>
      </c>
      <c r="C62" s="39"/>
      <c r="D62" s="39"/>
      <c r="E62" s="40" t="s">
        <v>122</v>
      </c>
      <c r="F62" s="40"/>
      <c r="G62" s="41"/>
      <c r="H62" s="42"/>
      <c r="I62" s="42"/>
      <c r="J62" s="42"/>
      <c r="K62" s="42"/>
      <c r="L62" s="42"/>
      <c r="M62" s="43">
        <f>$M$61*0.09</f>
        <v>87191.4527235</v>
      </c>
      <c r="N62" s="21"/>
      <c r="O62" s="21"/>
      <c r="P62" s="21"/>
      <c r="Q62" s="22"/>
      <c r="R62" s="21"/>
      <c r="S62" s="21"/>
      <c r="T62" s="21"/>
      <c r="U62" s="21"/>
    </row>
    <row r="63" ht="24.95" customHeight="1" spans="1:32">
      <c r="A63" s="38"/>
      <c r="B63" s="39" t="s">
        <v>3</v>
      </c>
      <c r="C63" s="39"/>
      <c r="D63" s="39"/>
      <c r="E63" s="40" t="s">
        <v>122</v>
      </c>
      <c r="F63" s="40"/>
      <c r="G63" s="41"/>
      <c r="H63" s="42"/>
      <c r="I63" s="42"/>
      <c r="J63" s="42"/>
      <c r="K63" s="42"/>
      <c r="L63" s="42"/>
      <c r="M63" s="43">
        <f>$M$61+$M$62</f>
        <v>1055985.3718735</v>
      </c>
      <c r="N63" s="21"/>
      <c r="O63" s="21"/>
      <c r="P63" s="21"/>
      <c r="Q63" s="22"/>
      <c r="R63" s="21"/>
      <c r="S63" s="21"/>
      <c r="T63" s="21"/>
      <c r="U63" s="21"/>
    </row>
  </sheetData>
  <autoFilter xmlns:etc="http://www.wps.cn/officeDocument/2017/etCustomData" ref="A2:AF63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31"/>
  <sheetViews>
    <sheetView tabSelected="1" view="pageBreakPreview" zoomScaleNormal="100" workbookViewId="0">
      <pane xSplit="5" ySplit="3" topLeftCell="F4" activePane="bottomRight" state="frozen"/>
      <selection/>
      <selection pane="topRight"/>
      <selection pane="bottomLeft"/>
      <selection pane="bottomRight" activeCell="P9" sqref="P9"/>
    </sheetView>
  </sheetViews>
  <sheetFormatPr defaultColWidth="9" defaultRowHeight="1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ht="18.75" customHeight="1" spans="1:32">
      <c r="A1" s="6" t="s">
        <v>124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8"/>
      <c r="O1" s="9" t="s">
        <v>12</v>
      </c>
      <c r="P1" s="10"/>
      <c r="Q1" s="10"/>
      <c r="R1" s="10"/>
      <c r="S1" s="10"/>
      <c r="T1" s="10"/>
      <c r="U1" s="11"/>
    </row>
    <row r="2" ht="24" customHeight="1" spans="1:32">
      <c r="A2" s="12" t="s">
        <v>1</v>
      </c>
      <c r="B2" s="12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4" t="s">
        <v>21</v>
      </c>
      <c r="K2" s="14" t="s">
        <v>22</v>
      </c>
      <c r="L2" s="14" t="s">
        <v>23</v>
      </c>
      <c r="M2" s="14" t="s">
        <v>24</v>
      </c>
      <c r="N2" s="14"/>
      <c r="O2" s="14" t="s">
        <v>25</v>
      </c>
      <c r="P2" s="15" t="s">
        <v>26</v>
      </c>
      <c r="Q2" s="16" t="s">
        <v>27</v>
      </c>
      <c r="R2" s="15" t="s">
        <v>18</v>
      </c>
      <c r="S2" s="15" t="s">
        <v>28</v>
      </c>
      <c r="T2" s="15" t="s">
        <v>20</v>
      </c>
      <c r="U2" s="14" t="s">
        <v>29</v>
      </c>
    </row>
    <row r="3" s="1" customFormat="1" spans="1:32">
      <c r="A3" s="17"/>
      <c r="B3" s="17"/>
      <c r="C3" s="17"/>
      <c r="D3" s="17"/>
      <c r="E3" s="17"/>
      <c r="F3" s="17"/>
      <c r="G3" s="17"/>
      <c r="H3" s="17"/>
      <c r="I3" s="17"/>
      <c r="J3" s="18">
        <v>0</v>
      </c>
      <c r="K3" s="18">
        <v>0</v>
      </c>
      <c r="L3" s="17"/>
      <c r="M3" s="17"/>
      <c r="N3" s="14"/>
      <c r="O3" s="19"/>
      <c r="P3" s="19">
        <v>1</v>
      </c>
      <c r="Q3" s="19"/>
      <c r="R3" s="19">
        <v>1</v>
      </c>
      <c r="S3" s="19">
        <v>1</v>
      </c>
      <c r="T3" s="19">
        <v>1</v>
      </c>
      <c r="U3" s="19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="1" customFormat="1" spans="1:32">
      <c r="A4" s="12"/>
      <c r="B4" s="20" t="s">
        <v>2</v>
      </c>
      <c r="C4" s="20"/>
      <c r="D4" s="20"/>
      <c r="E4" s="12"/>
      <c r="F4" s="14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1"/>
      <c r="T4" s="21"/>
      <c r="U4" s="21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="1" customFormat="1" spans="1:32">
      <c r="A5" s="12"/>
      <c r="B5" s="20"/>
      <c r="C5" s="20" t="s">
        <v>125</v>
      </c>
      <c r="D5" s="20"/>
      <c r="E5" s="12"/>
      <c r="F5" s="14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1"/>
      <c r="S5" s="21"/>
      <c r="T5" s="21"/>
      <c r="U5" s="21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="1" customFormat="1" outlineLevel="1" spans="1:32">
      <c r="A6" s="12"/>
      <c r="B6" s="20"/>
      <c r="C6" s="20" t="s">
        <v>126</v>
      </c>
      <c r="D6" s="20"/>
      <c r="E6" s="12"/>
      <c r="F6" s="14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  <c r="R6" s="21"/>
      <c r="S6" s="21"/>
      <c r="T6" s="21"/>
      <c r="U6" s="21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="1" customFormat="1" ht="84" customHeight="1" outlineLevel="2" spans="1:32">
      <c r="A7" s="23">
        <v>53</v>
      </c>
      <c r="B7" s="24">
        <v>31001008001</v>
      </c>
      <c r="C7" s="24" t="s">
        <v>127</v>
      </c>
      <c r="D7" s="24" t="s">
        <v>128</v>
      </c>
      <c r="E7" s="23" t="s">
        <v>67</v>
      </c>
      <c r="F7" s="25">
        <v>108.55</v>
      </c>
      <c r="G7" s="26">
        <f t="shared" ref="G7:G17" si="0">R7*$R$3</f>
        <v>20</v>
      </c>
      <c r="H7" s="27">
        <f t="shared" ref="H7:H17" si="1">P7*(1+Q7)*$P$3+S7*$S$3</f>
        <v>3.97</v>
      </c>
      <c r="I7" s="27">
        <f t="shared" ref="I7:I17" si="2">T7*$T$3</f>
        <v>0.13</v>
      </c>
      <c r="J7" s="27">
        <f t="shared" ref="J7:J17" si="3">(G7+H7+I7)*$J$3</f>
        <v>0</v>
      </c>
      <c r="K7" s="27">
        <f t="shared" ref="K7:K17" si="4">(G7+H7+I7+J7)*$K$3</f>
        <v>0</v>
      </c>
      <c r="L7" s="27">
        <f t="shared" ref="L7:L17" si="5">G7+H7+I7+J7+K7</f>
        <v>24.1</v>
      </c>
      <c r="M7" s="27">
        <f t="shared" ref="M7:M17" si="6">F7*L7</f>
        <v>2616.055</v>
      </c>
      <c r="N7" s="28"/>
      <c r="O7" s="14">
        <f t="shared" ref="O7:O17" si="7">P7*(1+Q7)+R7+S7+T7</f>
        <v>24.1</v>
      </c>
      <c r="P7" s="29">
        <v>3.2</v>
      </c>
      <c r="Q7" s="30">
        <v>0</v>
      </c>
      <c r="R7" s="29">
        <v>20</v>
      </c>
      <c r="S7" s="31">
        <v>0.77</v>
      </c>
      <c r="T7" s="32">
        <v>0.13</v>
      </c>
      <c r="U7" s="25">
        <f t="shared" ref="U7:U17" si="8">F7*O7</f>
        <v>2616.055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="1" customFormat="1" ht="84" customHeight="1" outlineLevel="2" spans="1:32">
      <c r="A8" s="23">
        <v>54</v>
      </c>
      <c r="B8" s="24">
        <v>31001008002</v>
      </c>
      <c r="C8" s="24" t="s">
        <v>127</v>
      </c>
      <c r="D8" s="24" t="s">
        <v>129</v>
      </c>
      <c r="E8" s="23" t="s">
        <v>67</v>
      </c>
      <c r="F8" s="25">
        <v>24.67</v>
      </c>
      <c r="G8" s="26">
        <f t="shared" si="0"/>
        <v>18</v>
      </c>
      <c r="H8" s="27">
        <f t="shared" si="1"/>
        <v>4.76</v>
      </c>
      <c r="I8" s="27">
        <f t="shared" si="2"/>
        <v>0.04</v>
      </c>
      <c r="J8" s="27">
        <f t="shared" si="3"/>
        <v>0</v>
      </c>
      <c r="K8" s="27">
        <f t="shared" si="4"/>
        <v>0</v>
      </c>
      <c r="L8" s="27">
        <f t="shared" si="5"/>
        <v>22.8</v>
      </c>
      <c r="M8" s="27">
        <f t="shared" si="6"/>
        <v>562.476</v>
      </c>
      <c r="N8" s="28"/>
      <c r="O8" s="14">
        <f t="shared" si="7"/>
        <v>22.8</v>
      </c>
      <c r="P8" s="29">
        <v>4.5</v>
      </c>
      <c r="Q8" s="30">
        <v>0</v>
      </c>
      <c r="R8" s="29">
        <v>18</v>
      </c>
      <c r="S8" s="31">
        <v>0.26</v>
      </c>
      <c r="T8" s="32">
        <v>0.04</v>
      </c>
      <c r="U8" s="25">
        <f t="shared" si="8"/>
        <v>562.476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="1" customFormat="1" ht="84" customHeight="1" outlineLevel="2" spans="1:32">
      <c r="A9" s="23">
        <v>55</v>
      </c>
      <c r="B9" s="24">
        <v>31001008003</v>
      </c>
      <c r="C9" s="24" t="s">
        <v>127</v>
      </c>
      <c r="D9" s="24" t="s">
        <v>130</v>
      </c>
      <c r="E9" s="23" t="s">
        <v>67</v>
      </c>
      <c r="F9" s="25">
        <v>21.64</v>
      </c>
      <c r="G9" s="26">
        <f t="shared" si="0"/>
        <v>22.09</v>
      </c>
      <c r="H9" s="27">
        <f t="shared" si="1"/>
        <v>8.76</v>
      </c>
      <c r="I9" s="27">
        <f t="shared" si="2"/>
        <v>0.04</v>
      </c>
      <c r="J9" s="27">
        <f t="shared" si="3"/>
        <v>0</v>
      </c>
      <c r="K9" s="27">
        <f t="shared" si="4"/>
        <v>0</v>
      </c>
      <c r="L9" s="27">
        <f t="shared" si="5"/>
        <v>30.89</v>
      </c>
      <c r="M9" s="27">
        <f t="shared" si="6"/>
        <v>668.4596</v>
      </c>
      <c r="N9" s="28"/>
      <c r="O9" s="14">
        <f t="shared" si="7"/>
        <v>30.89</v>
      </c>
      <c r="P9" s="29">
        <v>8.5</v>
      </c>
      <c r="Q9" s="30">
        <v>0</v>
      </c>
      <c r="R9" s="29">
        <v>22.09</v>
      </c>
      <c r="S9" s="31">
        <v>0.26</v>
      </c>
      <c r="T9" s="32">
        <v>0.04</v>
      </c>
      <c r="U9" s="25">
        <f t="shared" si="8"/>
        <v>668.4596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="1" customFormat="1" ht="84" customHeight="1" outlineLevel="2" spans="1:32">
      <c r="A10" s="23">
        <v>56</v>
      </c>
      <c r="B10" s="24">
        <v>31001008004</v>
      </c>
      <c r="C10" s="24" t="s">
        <v>127</v>
      </c>
      <c r="D10" s="24" t="s">
        <v>131</v>
      </c>
      <c r="E10" s="23" t="s">
        <v>67</v>
      </c>
      <c r="F10" s="25">
        <v>16.52</v>
      </c>
      <c r="G10" s="26">
        <f t="shared" si="0"/>
        <v>23.68</v>
      </c>
      <c r="H10" s="27">
        <f t="shared" si="1"/>
        <v>11.86</v>
      </c>
      <c r="I10" s="27">
        <f t="shared" si="2"/>
        <v>0.05</v>
      </c>
      <c r="J10" s="27">
        <f t="shared" si="3"/>
        <v>0</v>
      </c>
      <c r="K10" s="27">
        <f t="shared" si="4"/>
        <v>0</v>
      </c>
      <c r="L10" s="27">
        <f t="shared" si="5"/>
        <v>35.59</v>
      </c>
      <c r="M10" s="27">
        <f t="shared" si="6"/>
        <v>587.9468</v>
      </c>
      <c r="N10" s="28"/>
      <c r="O10" s="14">
        <f t="shared" si="7"/>
        <v>35.59</v>
      </c>
      <c r="P10" s="29">
        <v>11.59</v>
      </c>
      <c r="Q10" s="30">
        <v>0</v>
      </c>
      <c r="R10" s="29">
        <v>23.68</v>
      </c>
      <c r="S10" s="31">
        <v>0.27</v>
      </c>
      <c r="T10" s="32">
        <v>0.05</v>
      </c>
      <c r="U10" s="25">
        <f t="shared" si="8"/>
        <v>587.9468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="1" customFormat="1" ht="84" customHeight="1" outlineLevel="2" spans="1:32">
      <c r="A11" s="23">
        <v>57</v>
      </c>
      <c r="B11" s="24">
        <v>31001008005</v>
      </c>
      <c r="C11" s="24" t="s">
        <v>132</v>
      </c>
      <c r="D11" s="24" t="s">
        <v>133</v>
      </c>
      <c r="E11" s="23" t="s">
        <v>67</v>
      </c>
      <c r="F11" s="25">
        <v>27.1</v>
      </c>
      <c r="G11" s="26">
        <f t="shared" si="0"/>
        <v>20</v>
      </c>
      <c r="H11" s="27">
        <f t="shared" si="1"/>
        <v>3.97</v>
      </c>
      <c r="I11" s="27">
        <f t="shared" si="2"/>
        <v>0.13</v>
      </c>
      <c r="J11" s="27">
        <f t="shared" si="3"/>
        <v>0</v>
      </c>
      <c r="K11" s="27">
        <f t="shared" si="4"/>
        <v>0</v>
      </c>
      <c r="L11" s="27">
        <f t="shared" si="5"/>
        <v>24.1</v>
      </c>
      <c r="M11" s="27">
        <f t="shared" si="6"/>
        <v>653.11</v>
      </c>
      <c r="N11" s="28"/>
      <c r="O11" s="14">
        <f t="shared" si="7"/>
        <v>24.1</v>
      </c>
      <c r="P11" s="29">
        <v>3.2</v>
      </c>
      <c r="Q11" s="30">
        <v>0</v>
      </c>
      <c r="R11" s="29">
        <v>20</v>
      </c>
      <c r="S11" s="31">
        <v>0.77</v>
      </c>
      <c r="T11" s="32">
        <v>0.13</v>
      </c>
      <c r="U11" s="25">
        <f t="shared" si="8"/>
        <v>653.11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="1" customFormat="1" ht="84" customHeight="1" outlineLevel="2" spans="1:32">
      <c r="A12" s="23">
        <v>58</v>
      </c>
      <c r="B12" s="24">
        <v>31001008006</v>
      </c>
      <c r="C12" s="24" t="s">
        <v>132</v>
      </c>
      <c r="D12" s="24" t="s">
        <v>134</v>
      </c>
      <c r="E12" s="23" t="s">
        <v>67</v>
      </c>
      <c r="F12" s="25">
        <v>23.43</v>
      </c>
      <c r="G12" s="26">
        <f t="shared" si="0"/>
        <v>18</v>
      </c>
      <c r="H12" s="27">
        <f t="shared" si="1"/>
        <v>4.76</v>
      </c>
      <c r="I12" s="27">
        <f t="shared" si="2"/>
        <v>0.04</v>
      </c>
      <c r="J12" s="27">
        <f t="shared" si="3"/>
        <v>0</v>
      </c>
      <c r="K12" s="27">
        <f t="shared" si="4"/>
        <v>0</v>
      </c>
      <c r="L12" s="27">
        <f t="shared" si="5"/>
        <v>22.8</v>
      </c>
      <c r="M12" s="27">
        <f t="shared" si="6"/>
        <v>534.204</v>
      </c>
      <c r="N12" s="28"/>
      <c r="O12" s="14">
        <f t="shared" si="7"/>
        <v>22.8</v>
      </c>
      <c r="P12" s="29">
        <v>4.5</v>
      </c>
      <c r="Q12" s="30">
        <v>0</v>
      </c>
      <c r="R12" s="29">
        <v>18</v>
      </c>
      <c r="S12" s="31">
        <v>0.26</v>
      </c>
      <c r="T12" s="32">
        <v>0.04</v>
      </c>
      <c r="U12" s="25">
        <f t="shared" si="8"/>
        <v>534.204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="1" customFormat="1" ht="84" customHeight="1" outlineLevel="2" spans="1:32">
      <c r="A13" s="23">
        <v>59</v>
      </c>
      <c r="B13" s="24">
        <v>31001008007</v>
      </c>
      <c r="C13" s="24" t="s">
        <v>132</v>
      </c>
      <c r="D13" s="24" t="s">
        <v>135</v>
      </c>
      <c r="E13" s="23" t="s">
        <v>67</v>
      </c>
      <c r="F13" s="25">
        <v>14.1</v>
      </c>
      <c r="G13" s="26">
        <f t="shared" si="0"/>
        <v>22.09</v>
      </c>
      <c r="H13" s="27">
        <f t="shared" si="1"/>
        <v>8.76</v>
      </c>
      <c r="I13" s="27">
        <f t="shared" si="2"/>
        <v>0.04</v>
      </c>
      <c r="J13" s="27">
        <f t="shared" si="3"/>
        <v>0</v>
      </c>
      <c r="K13" s="27">
        <f t="shared" si="4"/>
        <v>0</v>
      </c>
      <c r="L13" s="27">
        <f t="shared" si="5"/>
        <v>30.89</v>
      </c>
      <c r="M13" s="27">
        <f t="shared" si="6"/>
        <v>435.549</v>
      </c>
      <c r="N13" s="28"/>
      <c r="O13" s="14">
        <f t="shared" si="7"/>
        <v>30.89</v>
      </c>
      <c r="P13" s="29">
        <v>8.5</v>
      </c>
      <c r="Q13" s="30">
        <v>0</v>
      </c>
      <c r="R13" s="29">
        <v>22.09</v>
      </c>
      <c r="S13" s="31">
        <v>0.26</v>
      </c>
      <c r="T13" s="32">
        <v>0.04</v>
      </c>
      <c r="U13" s="25">
        <f t="shared" si="8"/>
        <v>435.549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="1" customFormat="1" ht="60" customHeight="1" outlineLevel="2" spans="1:32">
      <c r="A14" s="12">
        <v>60</v>
      </c>
      <c r="B14" s="20">
        <v>31301001002</v>
      </c>
      <c r="C14" s="20" t="s">
        <v>106</v>
      </c>
      <c r="D14" s="20" t="s">
        <v>107</v>
      </c>
      <c r="E14" s="12" t="s">
        <v>67</v>
      </c>
      <c r="F14" s="14">
        <v>51.2</v>
      </c>
      <c r="G14" s="33">
        <f t="shared" si="0"/>
        <v>17.65</v>
      </c>
      <c r="H14" s="34">
        <f t="shared" si="1"/>
        <v>0</v>
      </c>
      <c r="I14" s="34">
        <f t="shared" si="2"/>
        <v>2.41</v>
      </c>
      <c r="J14" s="34">
        <f t="shared" si="3"/>
        <v>0</v>
      </c>
      <c r="K14" s="34">
        <f t="shared" si="4"/>
        <v>0</v>
      </c>
      <c r="L14" s="34">
        <f t="shared" si="5"/>
        <v>20.06</v>
      </c>
      <c r="M14" s="34">
        <f t="shared" si="6"/>
        <v>1027.072</v>
      </c>
      <c r="N14" s="8"/>
      <c r="O14" s="14">
        <f t="shared" si="7"/>
        <v>20.06</v>
      </c>
      <c r="P14" s="35">
        <f>电气工程!P50</f>
        <v>0</v>
      </c>
      <c r="Q14" s="30">
        <f>电气工程!Q50</f>
        <v>0</v>
      </c>
      <c r="R14" s="35">
        <f>电气工程!R50</f>
        <v>17.65</v>
      </c>
      <c r="S14" s="35">
        <f>电气工程!S50</f>
        <v>0</v>
      </c>
      <c r="T14" s="35">
        <f>电气工程!T50</f>
        <v>2.41</v>
      </c>
      <c r="U14" s="14">
        <f t="shared" si="8"/>
        <v>1027.072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="1" customFormat="1" ht="84" customHeight="1" outlineLevel="2" spans="1:32">
      <c r="A15" s="12">
        <v>61</v>
      </c>
      <c r="B15" s="20">
        <v>31001008008</v>
      </c>
      <c r="C15" s="20" t="s">
        <v>136</v>
      </c>
      <c r="D15" s="20" t="s">
        <v>137</v>
      </c>
      <c r="E15" s="12" t="s">
        <v>67</v>
      </c>
      <c r="F15" s="14">
        <v>18.49</v>
      </c>
      <c r="G15" s="33">
        <f t="shared" si="0"/>
        <v>24</v>
      </c>
      <c r="H15" s="34">
        <f t="shared" si="1"/>
        <v>16.27</v>
      </c>
      <c r="I15" s="34">
        <f t="shared" si="2"/>
        <v>0.23</v>
      </c>
      <c r="J15" s="34">
        <f t="shared" si="3"/>
        <v>0</v>
      </c>
      <c r="K15" s="34">
        <f t="shared" si="4"/>
        <v>0</v>
      </c>
      <c r="L15" s="34">
        <f t="shared" si="5"/>
        <v>40.5</v>
      </c>
      <c r="M15" s="34">
        <f t="shared" si="6"/>
        <v>748.845</v>
      </c>
      <c r="N15" s="8"/>
      <c r="O15" s="14">
        <f t="shared" si="7"/>
        <v>40.5</v>
      </c>
      <c r="P15" s="35">
        <v>15</v>
      </c>
      <c r="Q15" s="36">
        <v>0</v>
      </c>
      <c r="R15" s="35">
        <v>24</v>
      </c>
      <c r="S15" s="37">
        <v>1.27</v>
      </c>
      <c r="T15" s="15">
        <v>0.23</v>
      </c>
      <c r="U15" s="14">
        <f t="shared" si="8"/>
        <v>748.845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="1" customFormat="1" ht="84" customHeight="1" outlineLevel="2" spans="1:32">
      <c r="A16" s="12">
        <v>62</v>
      </c>
      <c r="B16" s="20">
        <v>31001008009</v>
      </c>
      <c r="C16" s="20" t="s">
        <v>136</v>
      </c>
      <c r="D16" s="20" t="s">
        <v>138</v>
      </c>
      <c r="E16" s="12" t="s">
        <v>67</v>
      </c>
      <c r="F16" s="14">
        <v>41.77</v>
      </c>
      <c r="G16" s="33">
        <f t="shared" si="0"/>
        <v>55</v>
      </c>
      <c r="H16" s="34">
        <f t="shared" si="1"/>
        <v>28</v>
      </c>
      <c r="I16" s="34">
        <f t="shared" si="2"/>
        <v>3</v>
      </c>
      <c r="J16" s="34">
        <f t="shared" si="3"/>
        <v>0</v>
      </c>
      <c r="K16" s="34">
        <f t="shared" si="4"/>
        <v>0</v>
      </c>
      <c r="L16" s="34">
        <f t="shared" si="5"/>
        <v>86</v>
      </c>
      <c r="M16" s="34">
        <f t="shared" si="6"/>
        <v>3592.22</v>
      </c>
      <c r="N16" s="8"/>
      <c r="O16" s="14">
        <f t="shared" si="7"/>
        <v>86</v>
      </c>
      <c r="P16" s="35">
        <v>25</v>
      </c>
      <c r="Q16" s="36">
        <v>0</v>
      </c>
      <c r="R16" s="35">
        <v>55</v>
      </c>
      <c r="S16" s="37">
        <v>3</v>
      </c>
      <c r="T16" s="15">
        <v>3</v>
      </c>
      <c r="U16" s="14">
        <f t="shared" si="8"/>
        <v>3592.22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="1" customFormat="1" ht="84" customHeight="1" outlineLevel="2" spans="1:32">
      <c r="A17" s="12">
        <v>63</v>
      </c>
      <c r="B17" s="20">
        <v>31001008010</v>
      </c>
      <c r="C17" s="20" t="s">
        <v>136</v>
      </c>
      <c r="D17" s="20" t="s">
        <v>139</v>
      </c>
      <c r="E17" s="12" t="s">
        <v>67</v>
      </c>
      <c r="F17" s="14">
        <v>31.35</v>
      </c>
      <c r="G17" s="33">
        <f t="shared" si="0"/>
        <v>30</v>
      </c>
      <c r="H17" s="34">
        <f t="shared" si="1"/>
        <v>38.12</v>
      </c>
      <c r="I17" s="34">
        <f t="shared" si="2"/>
        <v>0.38</v>
      </c>
      <c r="J17" s="34">
        <f t="shared" si="3"/>
        <v>0</v>
      </c>
      <c r="K17" s="34">
        <f t="shared" si="4"/>
        <v>0</v>
      </c>
      <c r="L17" s="34">
        <f t="shared" si="5"/>
        <v>68.5</v>
      </c>
      <c r="M17" s="34">
        <f t="shared" si="6"/>
        <v>2147.475</v>
      </c>
      <c r="N17" s="8"/>
      <c r="O17" s="14">
        <f t="shared" si="7"/>
        <v>68.5</v>
      </c>
      <c r="P17" s="35">
        <v>36</v>
      </c>
      <c r="Q17" s="36">
        <v>0</v>
      </c>
      <c r="R17" s="35">
        <v>30</v>
      </c>
      <c r="S17" s="37">
        <v>2.12</v>
      </c>
      <c r="T17" s="15">
        <v>0.38</v>
      </c>
      <c r="U17" s="14">
        <f t="shared" si="8"/>
        <v>2147.475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="1" customFormat="1" outlineLevel="1" spans="1:32">
      <c r="A18" s="12"/>
      <c r="B18" s="20"/>
      <c r="C18" s="20" t="s">
        <v>140</v>
      </c>
      <c r="D18" s="20"/>
      <c r="E18" s="12"/>
      <c r="F18" s="14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="1" customFormat="1" ht="61" customHeight="1" outlineLevel="2" spans="1:32">
      <c r="A19" s="23">
        <v>64</v>
      </c>
      <c r="B19" s="24">
        <v>31003006001</v>
      </c>
      <c r="C19" s="24" t="s">
        <v>141</v>
      </c>
      <c r="D19" s="24" t="s">
        <v>142</v>
      </c>
      <c r="E19" s="23" t="s">
        <v>143</v>
      </c>
      <c r="F19" s="25">
        <v>7</v>
      </c>
      <c r="G19" s="26">
        <f t="shared" ref="G19:G28" si="9">R19*$R$3</f>
        <v>100</v>
      </c>
      <c r="H19" s="27">
        <f t="shared" ref="H19:H28" si="10">P19*(1+Q19)*$P$3+S19*$S$3</f>
        <v>120</v>
      </c>
      <c r="I19" s="27">
        <f t="shared" ref="I19:I28" si="11">T19*$T$3</f>
        <v>0</v>
      </c>
      <c r="J19" s="27">
        <f t="shared" ref="J19:J28" si="12">(G19+H19+I19)*$J$3</f>
        <v>0</v>
      </c>
      <c r="K19" s="27">
        <f t="shared" ref="K19:K28" si="13">(G19+H19+I19+J19)*$K$3</f>
        <v>0</v>
      </c>
      <c r="L19" s="27">
        <f t="shared" ref="L19:L28" si="14">G19+H19+I19+J19+K19</f>
        <v>220</v>
      </c>
      <c r="M19" s="27">
        <f t="shared" ref="M19:M28" si="15">F19*L19</f>
        <v>1540</v>
      </c>
      <c r="N19" s="28"/>
      <c r="O19" s="14">
        <f t="shared" ref="O19:O28" si="16">P19*(1+Q19)+R19+S19+T19</f>
        <v>220</v>
      </c>
      <c r="P19" s="29">
        <v>0</v>
      </c>
      <c r="Q19" s="30">
        <v>0</v>
      </c>
      <c r="R19" s="29">
        <v>100</v>
      </c>
      <c r="S19" s="31">
        <v>120</v>
      </c>
      <c r="T19" s="32">
        <v>0</v>
      </c>
      <c r="U19" s="25">
        <f t="shared" ref="U19:U28" si="17">F19*O19</f>
        <v>1540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="1" customFormat="1" ht="48" customHeight="1" outlineLevel="2" spans="1:32">
      <c r="A20" s="23">
        <v>65</v>
      </c>
      <c r="B20" s="24">
        <v>31003007001</v>
      </c>
      <c r="C20" s="24" t="s">
        <v>144</v>
      </c>
      <c r="D20" s="24" t="s">
        <v>145</v>
      </c>
      <c r="E20" s="23" t="s">
        <v>143</v>
      </c>
      <c r="F20" s="25">
        <v>3</v>
      </c>
      <c r="G20" s="26">
        <f t="shared" si="9"/>
        <v>85</v>
      </c>
      <c r="H20" s="27">
        <f t="shared" si="10"/>
        <v>515</v>
      </c>
      <c r="I20" s="27">
        <f t="shared" si="11"/>
        <v>0</v>
      </c>
      <c r="J20" s="27">
        <f t="shared" si="12"/>
        <v>0</v>
      </c>
      <c r="K20" s="27">
        <f t="shared" si="13"/>
        <v>0</v>
      </c>
      <c r="L20" s="27">
        <f t="shared" si="14"/>
        <v>600</v>
      </c>
      <c r="M20" s="27">
        <f t="shared" si="15"/>
        <v>1800</v>
      </c>
      <c r="N20" s="28"/>
      <c r="O20" s="14">
        <f t="shared" si="16"/>
        <v>600</v>
      </c>
      <c r="P20" s="29">
        <v>480</v>
      </c>
      <c r="Q20" s="30">
        <v>0</v>
      </c>
      <c r="R20" s="29">
        <v>85</v>
      </c>
      <c r="S20" s="31">
        <v>35</v>
      </c>
      <c r="T20" s="32">
        <v>0</v>
      </c>
      <c r="U20" s="25">
        <f t="shared" si="17"/>
        <v>1800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="1" customFormat="1" ht="48" customHeight="1" outlineLevel="2" spans="1:32">
      <c r="A21" s="23">
        <v>66</v>
      </c>
      <c r="B21" s="24">
        <v>31003010001</v>
      </c>
      <c r="C21" s="24" t="s">
        <v>146</v>
      </c>
      <c r="D21" s="24" t="s">
        <v>147</v>
      </c>
      <c r="E21" s="23" t="s">
        <v>34</v>
      </c>
      <c r="F21" s="25">
        <v>2</v>
      </c>
      <c r="G21" s="26">
        <f t="shared" si="9"/>
        <v>90</v>
      </c>
      <c r="H21" s="27">
        <f t="shared" si="10"/>
        <v>1135</v>
      </c>
      <c r="I21" s="27">
        <f t="shared" si="11"/>
        <v>0</v>
      </c>
      <c r="J21" s="27">
        <f t="shared" si="12"/>
        <v>0</v>
      </c>
      <c r="K21" s="27">
        <f t="shared" si="13"/>
        <v>0</v>
      </c>
      <c r="L21" s="27">
        <f t="shared" si="14"/>
        <v>1225</v>
      </c>
      <c r="M21" s="27">
        <f t="shared" si="15"/>
        <v>2450</v>
      </c>
      <c r="N21" s="28"/>
      <c r="O21" s="14">
        <f t="shared" si="16"/>
        <v>1225</v>
      </c>
      <c r="P21" s="29">
        <v>1100</v>
      </c>
      <c r="Q21" s="30">
        <v>0</v>
      </c>
      <c r="R21" s="29">
        <v>90</v>
      </c>
      <c r="S21" s="31">
        <v>35</v>
      </c>
      <c r="T21" s="32">
        <v>0</v>
      </c>
      <c r="U21" s="25">
        <f t="shared" si="17"/>
        <v>2450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="1" customFormat="1" ht="48" customHeight="1" outlineLevel="2" spans="1:32">
      <c r="A22" s="23">
        <v>67</v>
      </c>
      <c r="B22" s="24">
        <v>31003008001</v>
      </c>
      <c r="C22" s="24" t="s">
        <v>148</v>
      </c>
      <c r="D22" s="24" t="s">
        <v>149</v>
      </c>
      <c r="E22" s="23" t="s">
        <v>143</v>
      </c>
      <c r="F22" s="25">
        <v>1</v>
      </c>
      <c r="G22" s="26">
        <f t="shared" si="9"/>
        <v>65</v>
      </c>
      <c r="H22" s="27">
        <f t="shared" si="10"/>
        <v>375</v>
      </c>
      <c r="I22" s="27">
        <f t="shared" si="11"/>
        <v>0</v>
      </c>
      <c r="J22" s="27">
        <f t="shared" si="12"/>
        <v>0</v>
      </c>
      <c r="K22" s="27">
        <f t="shared" si="13"/>
        <v>0</v>
      </c>
      <c r="L22" s="27">
        <f t="shared" si="14"/>
        <v>440</v>
      </c>
      <c r="M22" s="27">
        <f t="shared" si="15"/>
        <v>440</v>
      </c>
      <c r="N22" s="28"/>
      <c r="O22" s="14">
        <f t="shared" si="16"/>
        <v>440</v>
      </c>
      <c r="P22" s="29">
        <v>350</v>
      </c>
      <c r="Q22" s="30">
        <v>0</v>
      </c>
      <c r="R22" s="29">
        <v>65</v>
      </c>
      <c r="S22" s="31">
        <v>25</v>
      </c>
      <c r="T22" s="32">
        <v>0</v>
      </c>
      <c r="U22" s="25">
        <f t="shared" si="17"/>
        <v>440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="1" customFormat="1" ht="48" customHeight="1" outlineLevel="2" spans="1:32">
      <c r="A23" s="23">
        <v>68</v>
      </c>
      <c r="B23" s="24">
        <v>31003003001</v>
      </c>
      <c r="C23" s="24" t="s">
        <v>150</v>
      </c>
      <c r="D23" s="24" t="s">
        <v>151</v>
      </c>
      <c r="E23" s="23" t="s">
        <v>143</v>
      </c>
      <c r="F23" s="25">
        <v>4</v>
      </c>
      <c r="G23" s="26">
        <f t="shared" si="9"/>
        <v>90</v>
      </c>
      <c r="H23" s="27">
        <f t="shared" si="10"/>
        <v>562</v>
      </c>
      <c r="I23" s="27">
        <f t="shared" si="11"/>
        <v>0</v>
      </c>
      <c r="J23" s="27">
        <f t="shared" si="12"/>
        <v>0</v>
      </c>
      <c r="K23" s="27">
        <f t="shared" si="13"/>
        <v>0</v>
      </c>
      <c r="L23" s="27">
        <f t="shared" si="14"/>
        <v>652</v>
      </c>
      <c r="M23" s="27">
        <f t="shared" si="15"/>
        <v>2608</v>
      </c>
      <c r="N23" s="28"/>
      <c r="O23" s="14">
        <f t="shared" si="16"/>
        <v>652</v>
      </c>
      <c r="P23" s="29">
        <v>550</v>
      </c>
      <c r="Q23" s="30">
        <v>0</v>
      </c>
      <c r="R23" s="29">
        <v>90</v>
      </c>
      <c r="S23" s="31">
        <v>12</v>
      </c>
      <c r="T23" s="32">
        <v>0</v>
      </c>
      <c r="U23" s="25">
        <f t="shared" si="17"/>
        <v>2608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="1" customFormat="1" ht="48" customHeight="1" outlineLevel="2" spans="1:32">
      <c r="A24" s="23">
        <v>69</v>
      </c>
      <c r="B24" s="24">
        <v>31003004001</v>
      </c>
      <c r="C24" s="24" t="s">
        <v>152</v>
      </c>
      <c r="D24" s="24" t="s">
        <v>153</v>
      </c>
      <c r="E24" s="23" t="s">
        <v>143</v>
      </c>
      <c r="F24" s="25">
        <v>1</v>
      </c>
      <c r="G24" s="26">
        <f t="shared" si="9"/>
        <v>95</v>
      </c>
      <c r="H24" s="27">
        <f t="shared" si="10"/>
        <v>560</v>
      </c>
      <c r="I24" s="27">
        <f t="shared" si="11"/>
        <v>0</v>
      </c>
      <c r="J24" s="27">
        <f t="shared" si="12"/>
        <v>0</v>
      </c>
      <c r="K24" s="27">
        <f t="shared" si="13"/>
        <v>0</v>
      </c>
      <c r="L24" s="27">
        <f t="shared" si="14"/>
        <v>655</v>
      </c>
      <c r="M24" s="27">
        <f t="shared" si="15"/>
        <v>655</v>
      </c>
      <c r="N24" s="28"/>
      <c r="O24" s="14">
        <f t="shared" si="16"/>
        <v>655</v>
      </c>
      <c r="P24" s="29">
        <v>520</v>
      </c>
      <c r="Q24" s="30">
        <v>0</v>
      </c>
      <c r="R24" s="29">
        <v>95</v>
      </c>
      <c r="S24" s="31">
        <v>40</v>
      </c>
      <c r="T24" s="32">
        <v>0</v>
      </c>
      <c r="U24" s="25">
        <f t="shared" si="17"/>
        <v>655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="1" customFormat="1" ht="48" customHeight="1" outlineLevel="2" spans="1:32">
      <c r="A25" s="23">
        <v>70</v>
      </c>
      <c r="B25" s="24">
        <v>31003014001</v>
      </c>
      <c r="C25" s="24" t="s">
        <v>154</v>
      </c>
      <c r="D25" s="24" t="s">
        <v>155</v>
      </c>
      <c r="E25" s="23" t="s">
        <v>80</v>
      </c>
      <c r="F25" s="25">
        <v>14</v>
      </c>
      <c r="G25" s="26">
        <f t="shared" si="9"/>
        <v>18</v>
      </c>
      <c r="H25" s="27">
        <f t="shared" si="10"/>
        <v>40</v>
      </c>
      <c r="I25" s="27">
        <f t="shared" si="11"/>
        <v>0</v>
      </c>
      <c r="J25" s="27">
        <f t="shared" si="12"/>
        <v>0</v>
      </c>
      <c r="K25" s="27">
        <f t="shared" si="13"/>
        <v>0</v>
      </c>
      <c r="L25" s="27">
        <f t="shared" si="14"/>
        <v>58</v>
      </c>
      <c r="M25" s="27">
        <f t="shared" si="15"/>
        <v>812</v>
      </c>
      <c r="N25" s="28"/>
      <c r="O25" s="14">
        <f t="shared" si="16"/>
        <v>58</v>
      </c>
      <c r="P25" s="29">
        <v>35</v>
      </c>
      <c r="Q25" s="30">
        <v>0</v>
      </c>
      <c r="R25" s="29">
        <v>18</v>
      </c>
      <c r="S25" s="31">
        <v>5</v>
      </c>
      <c r="T25" s="32">
        <v>0</v>
      </c>
      <c r="U25" s="25">
        <f t="shared" si="17"/>
        <v>812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="1" customFormat="1" ht="48" customHeight="1" outlineLevel="2" spans="1:32">
      <c r="A26" s="23">
        <v>71</v>
      </c>
      <c r="B26" s="24">
        <v>31002001001</v>
      </c>
      <c r="C26" s="24" t="s">
        <v>156</v>
      </c>
      <c r="D26" s="24" t="s">
        <v>157</v>
      </c>
      <c r="E26" s="23" t="s">
        <v>80</v>
      </c>
      <c r="F26" s="25">
        <v>5</v>
      </c>
      <c r="G26" s="26">
        <f t="shared" si="9"/>
        <v>167.09</v>
      </c>
      <c r="H26" s="27">
        <f t="shared" si="10"/>
        <v>1504.2</v>
      </c>
      <c r="I26" s="27">
        <f t="shared" si="11"/>
        <v>12.03</v>
      </c>
      <c r="J26" s="27">
        <f t="shared" si="12"/>
        <v>0</v>
      </c>
      <c r="K26" s="27">
        <f t="shared" si="13"/>
        <v>0</v>
      </c>
      <c r="L26" s="27">
        <f t="shared" si="14"/>
        <v>1683.32</v>
      </c>
      <c r="M26" s="27">
        <f t="shared" si="15"/>
        <v>8416.6</v>
      </c>
      <c r="N26" s="28"/>
      <c r="O26" s="14">
        <f t="shared" si="16"/>
        <v>1683.32</v>
      </c>
      <c r="P26" s="29">
        <v>1504.2</v>
      </c>
      <c r="Q26" s="30">
        <v>0</v>
      </c>
      <c r="R26" s="29">
        <v>167.09</v>
      </c>
      <c r="S26" s="31">
        <v>0</v>
      </c>
      <c r="T26" s="32">
        <v>12.03</v>
      </c>
      <c r="U26" s="25">
        <f t="shared" si="17"/>
        <v>8416.6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="1" customFormat="1" ht="48" customHeight="1" outlineLevel="2" spans="1:32">
      <c r="A27" s="23">
        <v>72</v>
      </c>
      <c r="B27" s="24">
        <v>31003014002</v>
      </c>
      <c r="C27" s="24" t="s">
        <v>158</v>
      </c>
      <c r="D27" s="24" t="s">
        <v>159</v>
      </c>
      <c r="E27" s="23" t="s">
        <v>80</v>
      </c>
      <c r="F27" s="25">
        <v>7</v>
      </c>
      <c r="G27" s="26">
        <f t="shared" si="9"/>
        <v>34.95</v>
      </c>
      <c r="H27" s="27">
        <f t="shared" si="10"/>
        <v>193.39</v>
      </c>
      <c r="I27" s="27">
        <f t="shared" si="11"/>
        <v>4.66</v>
      </c>
      <c r="J27" s="27">
        <f t="shared" si="12"/>
        <v>0</v>
      </c>
      <c r="K27" s="27">
        <f t="shared" si="13"/>
        <v>0</v>
      </c>
      <c r="L27" s="27">
        <f t="shared" si="14"/>
        <v>233</v>
      </c>
      <c r="M27" s="27">
        <f t="shared" si="15"/>
        <v>1631</v>
      </c>
      <c r="N27" s="28"/>
      <c r="O27" s="14">
        <f t="shared" si="16"/>
        <v>233</v>
      </c>
      <c r="P27" s="29">
        <v>181.74</v>
      </c>
      <c r="Q27" s="30">
        <v>0</v>
      </c>
      <c r="R27" s="29">
        <v>34.95</v>
      </c>
      <c r="S27" s="31">
        <v>11.65</v>
      </c>
      <c r="T27" s="32">
        <v>4.66</v>
      </c>
      <c r="U27" s="25">
        <f t="shared" si="17"/>
        <v>1631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="1" customFormat="1" ht="48" customHeight="1" outlineLevel="2" spans="1:32">
      <c r="A28" s="23">
        <v>73</v>
      </c>
      <c r="B28" s="24">
        <v>31003014003</v>
      </c>
      <c r="C28" s="24" t="s">
        <v>160</v>
      </c>
      <c r="D28" s="24" t="s">
        <v>161</v>
      </c>
      <c r="E28" s="23" t="s">
        <v>80</v>
      </c>
      <c r="F28" s="25">
        <v>7</v>
      </c>
      <c r="G28" s="26">
        <f t="shared" si="9"/>
        <v>6.45</v>
      </c>
      <c r="H28" s="27">
        <f t="shared" si="10"/>
        <v>28</v>
      </c>
      <c r="I28" s="27">
        <f t="shared" si="11"/>
        <v>0</v>
      </c>
      <c r="J28" s="27">
        <f t="shared" si="12"/>
        <v>0</v>
      </c>
      <c r="K28" s="27">
        <f t="shared" si="13"/>
        <v>0</v>
      </c>
      <c r="L28" s="27">
        <f t="shared" si="14"/>
        <v>34.45</v>
      </c>
      <c r="M28" s="27">
        <f t="shared" si="15"/>
        <v>241.15</v>
      </c>
      <c r="N28" s="28"/>
      <c r="O28" s="14">
        <f t="shared" si="16"/>
        <v>34.45</v>
      </c>
      <c r="P28" s="29">
        <v>28</v>
      </c>
      <c r="Q28" s="30">
        <v>0</v>
      </c>
      <c r="R28" s="29">
        <v>6.45</v>
      </c>
      <c r="S28" s="31">
        <v>0</v>
      </c>
      <c r="T28" s="32">
        <v>0</v>
      </c>
      <c r="U28" s="25">
        <f t="shared" si="17"/>
        <v>241.15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95" customHeight="1" spans="1:32">
      <c r="A29" s="38"/>
      <c r="B29" s="39" t="s">
        <v>121</v>
      </c>
      <c r="C29" s="39"/>
      <c r="D29" s="39"/>
      <c r="E29" s="40" t="s">
        <v>122</v>
      </c>
      <c r="F29" s="40"/>
      <c r="G29" s="41"/>
      <c r="H29" s="42"/>
      <c r="I29" s="42"/>
      <c r="J29" s="42"/>
      <c r="K29" s="42"/>
      <c r="L29" s="42"/>
      <c r="M29" s="43">
        <f>SUM(M4:M28)</f>
        <v>34167.1624</v>
      </c>
      <c r="N29" s="21"/>
      <c r="O29" s="21"/>
      <c r="P29" s="21"/>
      <c r="Q29" s="22"/>
      <c r="R29" s="21"/>
      <c r="S29" s="21"/>
      <c r="T29" s="21"/>
      <c r="U29" s="21"/>
    </row>
    <row r="30" ht="24.95" customHeight="1" spans="1:32">
      <c r="A30" s="38"/>
      <c r="B30" s="39" t="s">
        <v>123</v>
      </c>
      <c r="C30" s="39"/>
      <c r="D30" s="39"/>
      <c r="E30" s="40" t="s">
        <v>122</v>
      </c>
      <c r="F30" s="40"/>
      <c r="G30" s="41"/>
      <c r="H30" s="42"/>
      <c r="I30" s="42"/>
      <c r="J30" s="42"/>
      <c r="K30" s="42"/>
      <c r="L30" s="42"/>
      <c r="M30" s="43">
        <f>$M$29*0.09</f>
        <v>3075.044616</v>
      </c>
      <c r="N30" s="21"/>
      <c r="O30" s="21"/>
      <c r="P30" s="21"/>
      <c r="Q30" s="22"/>
      <c r="R30" s="21"/>
      <c r="S30" s="21"/>
      <c r="T30" s="21"/>
      <c r="U30" s="21"/>
    </row>
    <row r="31" ht="24.95" customHeight="1" spans="1:32">
      <c r="A31" s="38"/>
      <c r="B31" s="39" t="s">
        <v>3</v>
      </c>
      <c r="C31" s="39"/>
      <c r="D31" s="39"/>
      <c r="E31" s="40" t="s">
        <v>122</v>
      </c>
      <c r="F31" s="40"/>
      <c r="G31" s="41"/>
      <c r="H31" s="42"/>
      <c r="I31" s="42"/>
      <c r="J31" s="42"/>
      <c r="K31" s="42"/>
      <c r="L31" s="42"/>
      <c r="M31" s="43">
        <f>$M$29+$M$30</f>
        <v>37242.207016</v>
      </c>
      <c r="N31" s="21"/>
      <c r="O31" s="21"/>
      <c r="P31" s="21"/>
      <c r="Q31" s="22"/>
      <c r="R31" s="21"/>
      <c r="S31" s="21"/>
      <c r="T31" s="21"/>
      <c r="U31" s="21"/>
    </row>
  </sheetData>
  <autoFilter xmlns:etc="http://www.wps.cn/officeDocument/2017/etCustomData" ref="A2:AF31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61"/>
  <sheetViews>
    <sheetView view="pageBreakPreview" zoomScaleNormal="100" workbookViewId="0">
      <pane xSplit="5" ySplit="3" topLeftCell="F4" activePane="bottomRight" state="frozen"/>
      <selection/>
      <selection pane="topRight"/>
      <selection pane="bottomLeft"/>
      <selection pane="bottomRight" activeCell="A2" sqref="A2:A3"/>
    </sheetView>
  </sheetViews>
  <sheetFormatPr defaultColWidth="9" defaultRowHeight="1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ht="18.75" customHeight="1" spans="1:32">
      <c r="A1" s="6" t="s">
        <v>162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8"/>
      <c r="O1" s="9" t="s">
        <v>12</v>
      </c>
      <c r="P1" s="10"/>
      <c r="Q1" s="10"/>
      <c r="R1" s="10"/>
      <c r="S1" s="10"/>
      <c r="T1" s="10"/>
      <c r="U1" s="11"/>
    </row>
    <row r="2" ht="24" customHeight="1" spans="1:32">
      <c r="A2" s="12" t="s">
        <v>1</v>
      </c>
      <c r="B2" s="12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4" t="s">
        <v>21</v>
      </c>
      <c r="K2" s="14" t="s">
        <v>22</v>
      </c>
      <c r="L2" s="14" t="s">
        <v>23</v>
      </c>
      <c r="M2" s="14" t="s">
        <v>24</v>
      </c>
      <c r="N2" s="14"/>
      <c r="O2" s="14" t="s">
        <v>25</v>
      </c>
      <c r="P2" s="15" t="s">
        <v>26</v>
      </c>
      <c r="Q2" s="16" t="s">
        <v>27</v>
      </c>
      <c r="R2" s="15" t="s">
        <v>18</v>
      </c>
      <c r="S2" s="15" t="s">
        <v>28</v>
      </c>
      <c r="T2" s="15" t="s">
        <v>20</v>
      </c>
      <c r="U2" s="14" t="s">
        <v>29</v>
      </c>
    </row>
    <row r="3" s="1" customFormat="1" spans="1:32">
      <c r="A3" s="17"/>
      <c r="B3" s="17"/>
      <c r="C3" s="17"/>
      <c r="D3" s="17"/>
      <c r="E3" s="17"/>
      <c r="F3" s="17"/>
      <c r="G3" s="17"/>
      <c r="H3" s="17"/>
      <c r="I3" s="17"/>
      <c r="J3" s="18">
        <v>0</v>
      </c>
      <c r="K3" s="18">
        <v>0</v>
      </c>
      <c r="L3" s="17"/>
      <c r="M3" s="17"/>
      <c r="N3" s="14"/>
      <c r="O3" s="19"/>
      <c r="P3" s="19">
        <v>1</v>
      </c>
      <c r="Q3" s="19"/>
      <c r="R3" s="19">
        <v>1</v>
      </c>
      <c r="S3" s="19">
        <v>1</v>
      </c>
      <c r="T3" s="19">
        <v>1</v>
      </c>
      <c r="U3" s="19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="1" customFormat="1" spans="1:32">
      <c r="A4" s="12"/>
      <c r="B4" s="20" t="s">
        <v>2</v>
      </c>
      <c r="C4" s="20"/>
      <c r="D4" s="20"/>
      <c r="E4" s="12"/>
      <c r="F4" s="14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1"/>
      <c r="T4" s="21"/>
      <c r="U4" s="21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="1" customFormat="1" spans="1:32">
      <c r="A5" s="12"/>
      <c r="B5" s="20"/>
      <c r="C5" s="20" t="s">
        <v>163</v>
      </c>
      <c r="D5" s="20"/>
      <c r="E5" s="12"/>
      <c r="F5" s="14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1"/>
      <c r="S5" s="21"/>
      <c r="T5" s="21"/>
      <c r="U5" s="21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="1" customFormat="1" outlineLevel="1" spans="1:32">
      <c r="A6" s="12"/>
      <c r="B6" s="20"/>
      <c r="C6" s="20" t="s">
        <v>164</v>
      </c>
      <c r="D6" s="20"/>
      <c r="E6" s="12"/>
      <c r="F6" s="14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  <c r="R6" s="21"/>
      <c r="S6" s="21"/>
      <c r="T6" s="21"/>
      <c r="U6" s="21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="1" customFormat="1" ht="84" customHeight="1" outlineLevel="2" spans="1:32">
      <c r="A7" s="23">
        <v>74</v>
      </c>
      <c r="B7" s="24">
        <v>30701003001</v>
      </c>
      <c r="C7" s="24" t="s">
        <v>165</v>
      </c>
      <c r="D7" s="24" t="s">
        <v>166</v>
      </c>
      <c r="E7" s="23" t="s">
        <v>83</v>
      </c>
      <c r="F7" s="25">
        <v>2</v>
      </c>
      <c r="G7" s="26">
        <f t="shared" ref="G7:G19" si="0">R7*$R$3</f>
        <v>1000</v>
      </c>
      <c r="H7" s="27">
        <f t="shared" ref="H7:H19" si="1">P7*(1+Q7)*$P$3+S7*$S$3</f>
        <v>4800</v>
      </c>
      <c r="I7" s="27">
        <f t="shared" ref="I7:I19" si="2">T7*$T$3</f>
        <v>45</v>
      </c>
      <c r="J7" s="27">
        <f t="shared" ref="J7:J19" si="3">(G7+H7+I7)*$J$3</f>
        <v>0</v>
      </c>
      <c r="K7" s="27">
        <f t="shared" ref="K7:K19" si="4">(G7+H7+I7+J7)*$K$3</f>
        <v>0</v>
      </c>
      <c r="L7" s="27">
        <f t="shared" ref="L7:L19" si="5">G7+H7+I7+J7+K7</f>
        <v>5845</v>
      </c>
      <c r="M7" s="27">
        <f t="shared" ref="M7:M19" si="6">F7*L7</f>
        <v>11690</v>
      </c>
      <c r="N7" s="28"/>
      <c r="O7" s="14">
        <f t="shared" ref="O7:O19" si="7">P7*(1+Q7)+R7+S7+T7</f>
        <v>5845</v>
      </c>
      <c r="P7" s="29">
        <v>3600</v>
      </c>
      <c r="Q7" s="30">
        <v>0</v>
      </c>
      <c r="R7" s="29">
        <v>1000</v>
      </c>
      <c r="S7" s="31">
        <v>1200</v>
      </c>
      <c r="T7" s="32">
        <v>45</v>
      </c>
      <c r="U7" s="25">
        <f t="shared" ref="U7:U19" si="8">F7*O7</f>
        <v>11690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="1" customFormat="1" ht="84" customHeight="1" outlineLevel="2" spans="1:32">
      <c r="A8" s="23">
        <v>75</v>
      </c>
      <c r="B8" s="24">
        <v>30701003002</v>
      </c>
      <c r="C8" s="24" t="s">
        <v>165</v>
      </c>
      <c r="D8" s="24" t="s">
        <v>167</v>
      </c>
      <c r="E8" s="23" t="s">
        <v>83</v>
      </c>
      <c r="F8" s="25">
        <v>1</v>
      </c>
      <c r="G8" s="26">
        <f t="shared" si="0"/>
        <v>1000</v>
      </c>
      <c r="H8" s="27">
        <f t="shared" si="1"/>
        <v>4800</v>
      </c>
      <c r="I8" s="27">
        <f t="shared" si="2"/>
        <v>45</v>
      </c>
      <c r="J8" s="27">
        <f t="shared" si="3"/>
        <v>0</v>
      </c>
      <c r="K8" s="27">
        <f t="shared" si="4"/>
        <v>0</v>
      </c>
      <c r="L8" s="27">
        <f t="shared" si="5"/>
        <v>5845</v>
      </c>
      <c r="M8" s="27">
        <f t="shared" si="6"/>
        <v>5845</v>
      </c>
      <c r="N8" s="28"/>
      <c r="O8" s="14">
        <f t="shared" si="7"/>
        <v>5845</v>
      </c>
      <c r="P8" s="29">
        <v>3600</v>
      </c>
      <c r="Q8" s="30">
        <v>0</v>
      </c>
      <c r="R8" s="29">
        <v>1000</v>
      </c>
      <c r="S8" s="31">
        <v>1200</v>
      </c>
      <c r="T8" s="32">
        <v>45</v>
      </c>
      <c r="U8" s="25">
        <f t="shared" si="8"/>
        <v>5845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="1" customFormat="1" ht="84" customHeight="1" outlineLevel="2" spans="1:32">
      <c r="A9" s="23">
        <v>76</v>
      </c>
      <c r="B9" s="24">
        <v>30701003003</v>
      </c>
      <c r="C9" s="24" t="s">
        <v>165</v>
      </c>
      <c r="D9" s="24" t="s">
        <v>168</v>
      </c>
      <c r="E9" s="23" t="s">
        <v>83</v>
      </c>
      <c r="F9" s="25">
        <v>3</v>
      </c>
      <c r="G9" s="26">
        <f t="shared" si="0"/>
        <v>1000</v>
      </c>
      <c r="H9" s="27">
        <f t="shared" si="1"/>
        <v>4800</v>
      </c>
      <c r="I9" s="27">
        <f t="shared" si="2"/>
        <v>45</v>
      </c>
      <c r="J9" s="27">
        <f t="shared" si="3"/>
        <v>0</v>
      </c>
      <c r="K9" s="27">
        <f t="shared" si="4"/>
        <v>0</v>
      </c>
      <c r="L9" s="27">
        <f t="shared" si="5"/>
        <v>5845</v>
      </c>
      <c r="M9" s="27">
        <f t="shared" si="6"/>
        <v>17535</v>
      </c>
      <c r="N9" s="28"/>
      <c r="O9" s="14">
        <f t="shared" si="7"/>
        <v>5845</v>
      </c>
      <c r="P9" s="29">
        <v>3600</v>
      </c>
      <c r="Q9" s="30">
        <v>0</v>
      </c>
      <c r="R9" s="29">
        <v>1000</v>
      </c>
      <c r="S9" s="31">
        <v>1200</v>
      </c>
      <c r="T9" s="32">
        <v>45</v>
      </c>
      <c r="U9" s="25">
        <f t="shared" si="8"/>
        <v>17535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="1" customFormat="1" ht="84" customHeight="1" outlineLevel="2" spans="1:32">
      <c r="A10" s="23">
        <v>77</v>
      </c>
      <c r="B10" s="24">
        <v>30701003004</v>
      </c>
      <c r="C10" s="24" t="s">
        <v>165</v>
      </c>
      <c r="D10" s="24" t="s">
        <v>169</v>
      </c>
      <c r="E10" s="23" t="s">
        <v>83</v>
      </c>
      <c r="F10" s="25">
        <v>3</v>
      </c>
      <c r="G10" s="26">
        <f t="shared" si="0"/>
        <v>1000</v>
      </c>
      <c r="H10" s="27">
        <f t="shared" si="1"/>
        <v>4800</v>
      </c>
      <c r="I10" s="27">
        <f t="shared" si="2"/>
        <v>45</v>
      </c>
      <c r="J10" s="27">
        <f t="shared" si="3"/>
        <v>0</v>
      </c>
      <c r="K10" s="27">
        <f t="shared" si="4"/>
        <v>0</v>
      </c>
      <c r="L10" s="27">
        <f t="shared" si="5"/>
        <v>5845</v>
      </c>
      <c r="M10" s="27">
        <f t="shared" si="6"/>
        <v>17535</v>
      </c>
      <c r="N10" s="28"/>
      <c r="O10" s="14">
        <f t="shared" si="7"/>
        <v>5845</v>
      </c>
      <c r="P10" s="29">
        <v>3600</v>
      </c>
      <c r="Q10" s="30">
        <v>0</v>
      </c>
      <c r="R10" s="29">
        <v>1000</v>
      </c>
      <c r="S10" s="31">
        <v>1200</v>
      </c>
      <c r="T10" s="32">
        <v>45</v>
      </c>
      <c r="U10" s="25">
        <f t="shared" si="8"/>
        <v>17535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="1" customFormat="1" ht="84" customHeight="1" outlineLevel="2" spans="1:32">
      <c r="A11" s="23">
        <v>78</v>
      </c>
      <c r="B11" s="24">
        <v>30701003005</v>
      </c>
      <c r="C11" s="24" t="s">
        <v>165</v>
      </c>
      <c r="D11" s="24" t="s">
        <v>170</v>
      </c>
      <c r="E11" s="23" t="s">
        <v>83</v>
      </c>
      <c r="F11" s="25">
        <v>1</v>
      </c>
      <c r="G11" s="26">
        <f t="shared" si="0"/>
        <v>1000</v>
      </c>
      <c r="H11" s="27">
        <f t="shared" si="1"/>
        <v>4800</v>
      </c>
      <c r="I11" s="27">
        <f t="shared" si="2"/>
        <v>45</v>
      </c>
      <c r="J11" s="27">
        <f t="shared" si="3"/>
        <v>0</v>
      </c>
      <c r="K11" s="27">
        <f t="shared" si="4"/>
        <v>0</v>
      </c>
      <c r="L11" s="27">
        <f t="shared" si="5"/>
        <v>5845</v>
      </c>
      <c r="M11" s="27">
        <f t="shared" si="6"/>
        <v>5845</v>
      </c>
      <c r="N11" s="28"/>
      <c r="O11" s="14">
        <f t="shared" si="7"/>
        <v>5845</v>
      </c>
      <c r="P11" s="29">
        <v>3600</v>
      </c>
      <c r="Q11" s="30">
        <v>0</v>
      </c>
      <c r="R11" s="29">
        <v>1000</v>
      </c>
      <c r="S11" s="31">
        <v>1200</v>
      </c>
      <c r="T11" s="32">
        <v>45</v>
      </c>
      <c r="U11" s="25">
        <f t="shared" si="8"/>
        <v>5845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="1" customFormat="1" ht="84" customHeight="1" outlineLevel="2" spans="1:32">
      <c r="A12" s="23">
        <v>79</v>
      </c>
      <c r="B12" s="24">
        <v>30701003006</v>
      </c>
      <c r="C12" s="24" t="s">
        <v>165</v>
      </c>
      <c r="D12" s="24" t="s">
        <v>171</v>
      </c>
      <c r="E12" s="23" t="s">
        <v>83</v>
      </c>
      <c r="F12" s="25">
        <v>3</v>
      </c>
      <c r="G12" s="26">
        <f t="shared" si="0"/>
        <v>1000</v>
      </c>
      <c r="H12" s="27">
        <f t="shared" si="1"/>
        <v>4800</v>
      </c>
      <c r="I12" s="27">
        <f t="shared" si="2"/>
        <v>45</v>
      </c>
      <c r="J12" s="27">
        <f t="shared" si="3"/>
        <v>0</v>
      </c>
      <c r="K12" s="27">
        <f t="shared" si="4"/>
        <v>0</v>
      </c>
      <c r="L12" s="27">
        <f t="shared" si="5"/>
        <v>5845</v>
      </c>
      <c r="M12" s="27">
        <f t="shared" si="6"/>
        <v>17535</v>
      </c>
      <c r="N12" s="28"/>
      <c r="O12" s="14">
        <f t="shared" si="7"/>
        <v>5845</v>
      </c>
      <c r="P12" s="29">
        <v>3600</v>
      </c>
      <c r="Q12" s="30">
        <v>0</v>
      </c>
      <c r="R12" s="29">
        <v>1000</v>
      </c>
      <c r="S12" s="31">
        <v>1200</v>
      </c>
      <c r="T12" s="32">
        <v>45</v>
      </c>
      <c r="U12" s="25">
        <f t="shared" si="8"/>
        <v>17535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="1" customFormat="1" ht="84" customHeight="1" outlineLevel="2" spans="1:32">
      <c r="A13" s="23">
        <v>80</v>
      </c>
      <c r="B13" s="24">
        <v>30701003007</v>
      </c>
      <c r="C13" s="24" t="s">
        <v>165</v>
      </c>
      <c r="D13" s="24" t="s">
        <v>172</v>
      </c>
      <c r="E13" s="23" t="s">
        <v>83</v>
      </c>
      <c r="F13" s="25">
        <v>8</v>
      </c>
      <c r="G13" s="26">
        <f t="shared" si="0"/>
        <v>1000</v>
      </c>
      <c r="H13" s="27">
        <f t="shared" si="1"/>
        <v>4800</v>
      </c>
      <c r="I13" s="27">
        <f t="shared" si="2"/>
        <v>45</v>
      </c>
      <c r="J13" s="27">
        <f t="shared" si="3"/>
        <v>0</v>
      </c>
      <c r="K13" s="27">
        <f t="shared" si="4"/>
        <v>0</v>
      </c>
      <c r="L13" s="27">
        <f t="shared" si="5"/>
        <v>5845</v>
      </c>
      <c r="M13" s="27">
        <f t="shared" si="6"/>
        <v>46760</v>
      </c>
      <c r="N13" s="28"/>
      <c r="O13" s="14">
        <f t="shared" si="7"/>
        <v>5845</v>
      </c>
      <c r="P13" s="29">
        <v>3600</v>
      </c>
      <c r="Q13" s="30">
        <v>0</v>
      </c>
      <c r="R13" s="29">
        <v>1000</v>
      </c>
      <c r="S13" s="31">
        <v>1200</v>
      </c>
      <c r="T13" s="32">
        <v>45</v>
      </c>
      <c r="U13" s="25">
        <f t="shared" si="8"/>
        <v>46760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="1" customFormat="1" ht="84" customHeight="1" outlineLevel="2" spans="1:32">
      <c r="A14" s="23">
        <v>81</v>
      </c>
      <c r="B14" s="24">
        <v>30701003008</v>
      </c>
      <c r="C14" s="24" t="s">
        <v>165</v>
      </c>
      <c r="D14" s="24" t="s">
        <v>173</v>
      </c>
      <c r="E14" s="23" t="s">
        <v>83</v>
      </c>
      <c r="F14" s="25">
        <v>3</v>
      </c>
      <c r="G14" s="26">
        <f t="shared" si="0"/>
        <v>1000</v>
      </c>
      <c r="H14" s="27">
        <f t="shared" si="1"/>
        <v>4800</v>
      </c>
      <c r="I14" s="27">
        <f t="shared" si="2"/>
        <v>45</v>
      </c>
      <c r="J14" s="27">
        <f t="shared" si="3"/>
        <v>0</v>
      </c>
      <c r="K14" s="27">
        <f t="shared" si="4"/>
        <v>0</v>
      </c>
      <c r="L14" s="27">
        <f t="shared" si="5"/>
        <v>5845</v>
      </c>
      <c r="M14" s="27">
        <f t="shared" si="6"/>
        <v>17535</v>
      </c>
      <c r="N14" s="28"/>
      <c r="O14" s="14">
        <f t="shared" si="7"/>
        <v>5845</v>
      </c>
      <c r="P14" s="29">
        <v>3600</v>
      </c>
      <c r="Q14" s="30">
        <v>0</v>
      </c>
      <c r="R14" s="29">
        <v>1000</v>
      </c>
      <c r="S14" s="31">
        <v>1200</v>
      </c>
      <c r="T14" s="32">
        <v>45</v>
      </c>
      <c r="U14" s="25">
        <f t="shared" si="8"/>
        <v>17535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="1" customFormat="1" ht="84" customHeight="1" outlineLevel="2" spans="1:32">
      <c r="A15" s="23">
        <v>82</v>
      </c>
      <c r="B15" s="24">
        <v>30701003009</v>
      </c>
      <c r="C15" s="24" t="s">
        <v>165</v>
      </c>
      <c r="D15" s="24" t="s">
        <v>174</v>
      </c>
      <c r="E15" s="23" t="s">
        <v>83</v>
      </c>
      <c r="F15" s="25">
        <v>6</v>
      </c>
      <c r="G15" s="26">
        <f t="shared" si="0"/>
        <v>1000</v>
      </c>
      <c r="H15" s="27">
        <f t="shared" si="1"/>
        <v>4800</v>
      </c>
      <c r="I15" s="27">
        <f t="shared" si="2"/>
        <v>45</v>
      </c>
      <c r="J15" s="27">
        <f t="shared" si="3"/>
        <v>0</v>
      </c>
      <c r="K15" s="27">
        <f t="shared" si="4"/>
        <v>0</v>
      </c>
      <c r="L15" s="27">
        <f t="shared" si="5"/>
        <v>5845</v>
      </c>
      <c r="M15" s="27">
        <f t="shared" si="6"/>
        <v>35070</v>
      </c>
      <c r="N15" s="28"/>
      <c r="O15" s="14">
        <f t="shared" si="7"/>
        <v>5845</v>
      </c>
      <c r="P15" s="29">
        <v>3600</v>
      </c>
      <c r="Q15" s="30">
        <v>0</v>
      </c>
      <c r="R15" s="29">
        <v>1000</v>
      </c>
      <c r="S15" s="31">
        <v>1200</v>
      </c>
      <c r="T15" s="32">
        <v>45</v>
      </c>
      <c r="U15" s="25">
        <f t="shared" si="8"/>
        <v>35070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="1" customFormat="1" ht="84" customHeight="1" outlineLevel="2" spans="1:32">
      <c r="A16" s="23">
        <v>83</v>
      </c>
      <c r="B16" s="24">
        <v>30701003010</v>
      </c>
      <c r="C16" s="24" t="s">
        <v>175</v>
      </c>
      <c r="D16" s="24" t="s">
        <v>176</v>
      </c>
      <c r="E16" s="23" t="s">
        <v>83</v>
      </c>
      <c r="F16" s="25">
        <v>1</v>
      </c>
      <c r="G16" s="26">
        <f t="shared" si="0"/>
        <v>800</v>
      </c>
      <c r="H16" s="27">
        <f t="shared" si="1"/>
        <v>12080</v>
      </c>
      <c r="I16" s="27">
        <f t="shared" si="2"/>
        <v>60</v>
      </c>
      <c r="J16" s="27">
        <f t="shared" si="3"/>
        <v>0</v>
      </c>
      <c r="K16" s="27">
        <f t="shared" si="4"/>
        <v>0</v>
      </c>
      <c r="L16" s="27">
        <f t="shared" si="5"/>
        <v>12940</v>
      </c>
      <c r="M16" s="27">
        <f t="shared" si="6"/>
        <v>12940</v>
      </c>
      <c r="N16" s="28"/>
      <c r="O16" s="14">
        <f t="shared" si="7"/>
        <v>12940</v>
      </c>
      <c r="P16" s="29">
        <v>12000</v>
      </c>
      <c r="Q16" s="30">
        <v>0</v>
      </c>
      <c r="R16" s="29">
        <v>800</v>
      </c>
      <c r="S16" s="31">
        <v>80</v>
      </c>
      <c r="T16" s="32">
        <v>60</v>
      </c>
      <c r="U16" s="25">
        <f t="shared" si="8"/>
        <v>12940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="1" customFormat="1" ht="84" customHeight="1" outlineLevel="2" spans="1:32">
      <c r="A17" s="23">
        <v>84</v>
      </c>
      <c r="B17" s="24">
        <v>30701003011</v>
      </c>
      <c r="C17" s="24" t="s">
        <v>175</v>
      </c>
      <c r="D17" s="24" t="s">
        <v>177</v>
      </c>
      <c r="E17" s="23" t="s">
        <v>83</v>
      </c>
      <c r="F17" s="25">
        <v>1</v>
      </c>
      <c r="G17" s="26">
        <f t="shared" si="0"/>
        <v>800</v>
      </c>
      <c r="H17" s="27">
        <f t="shared" si="1"/>
        <v>12080</v>
      </c>
      <c r="I17" s="27">
        <f t="shared" si="2"/>
        <v>60</v>
      </c>
      <c r="J17" s="27">
        <f t="shared" si="3"/>
        <v>0</v>
      </c>
      <c r="K17" s="27">
        <f t="shared" si="4"/>
        <v>0</v>
      </c>
      <c r="L17" s="27">
        <f t="shared" si="5"/>
        <v>12940</v>
      </c>
      <c r="M17" s="27">
        <f t="shared" si="6"/>
        <v>12940</v>
      </c>
      <c r="N17" s="28"/>
      <c r="O17" s="14">
        <f t="shared" si="7"/>
        <v>12940</v>
      </c>
      <c r="P17" s="29">
        <v>12000</v>
      </c>
      <c r="Q17" s="30">
        <v>0</v>
      </c>
      <c r="R17" s="29">
        <v>800</v>
      </c>
      <c r="S17" s="31">
        <v>80</v>
      </c>
      <c r="T17" s="32">
        <v>60</v>
      </c>
      <c r="U17" s="25">
        <f t="shared" si="8"/>
        <v>12940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="1" customFormat="1" ht="84" customHeight="1" outlineLevel="2" spans="1:32">
      <c r="A18" s="23">
        <v>85</v>
      </c>
      <c r="B18" s="24">
        <v>30701003012</v>
      </c>
      <c r="C18" s="24" t="s">
        <v>175</v>
      </c>
      <c r="D18" s="24" t="s">
        <v>178</v>
      </c>
      <c r="E18" s="23" t="s">
        <v>83</v>
      </c>
      <c r="F18" s="25">
        <v>1</v>
      </c>
      <c r="G18" s="26">
        <f t="shared" si="0"/>
        <v>800</v>
      </c>
      <c r="H18" s="27">
        <f t="shared" si="1"/>
        <v>12080</v>
      </c>
      <c r="I18" s="27">
        <f t="shared" si="2"/>
        <v>60</v>
      </c>
      <c r="J18" s="27">
        <f t="shared" si="3"/>
        <v>0</v>
      </c>
      <c r="K18" s="27">
        <f t="shared" si="4"/>
        <v>0</v>
      </c>
      <c r="L18" s="27">
        <f t="shared" si="5"/>
        <v>12940</v>
      </c>
      <c r="M18" s="27">
        <f t="shared" si="6"/>
        <v>12940</v>
      </c>
      <c r="N18" s="28"/>
      <c r="O18" s="14">
        <f t="shared" si="7"/>
        <v>12940</v>
      </c>
      <c r="P18" s="29">
        <v>12000</v>
      </c>
      <c r="Q18" s="30">
        <v>0</v>
      </c>
      <c r="R18" s="29">
        <v>800</v>
      </c>
      <c r="S18" s="31">
        <v>80</v>
      </c>
      <c r="T18" s="32">
        <v>60</v>
      </c>
      <c r="U18" s="25">
        <f t="shared" si="8"/>
        <v>12940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="1" customFormat="1" ht="60" customHeight="1" outlineLevel="2" spans="1:32">
      <c r="A19" s="12">
        <v>86</v>
      </c>
      <c r="B19" s="20">
        <v>30413013005</v>
      </c>
      <c r="C19" s="20" t="s">
        <v>179</v>
      </c>
      <c r="D19" s="20" t="s">
        <v>180</v>
      </c>
      <c r="E19" s="12" t="s">
        <v>34</v>
      </c>
      <c r="F19" s="14">
        <v>30</v>
      </c>
      <c r="G19" s="33">
        <f t="shared" si="0"/>
        <v>35</v>
      </c>
      <c r="H19" s="34">
        <f t="shared" si="1"/>
        <v>103</v>
      </c>
      <c r="I19" s="34">
        <f t="shared" si="2"/>
        <v>0</v>
      </c>
      <c r="J19" s="34">
        <f t="shared" si="3"/>
        <v>0</v>
      </c>
      <c r="K19" s="34">
        <f t="shared" si="4"/>
        <v>0</v>
      </c>
      <c r="L19" s="34">
        <f t="shared" si="5"/>
        <v>138</v>
      </c>
      <c r="M19" s="34">
        <f t="shared" si="6"/>
        <v>4140</v>
      </c>
      <c r="N19" s="8"/>
      <c r="O19" s="14">
        <f t="shared" si="7"/>
        <v>138</v>
      </c>
      <c r="P19" s="35">
        <v>95</v>
      </c>
      <c r="Q19" s="36">
        <v>0</v>
      </c>
      <c r="R19" s="35">
        <v>35</v>
      </c>
      <c r="S19" s="37">
        <v>8</v>
      </c>
      <c r="T19" s="15">
        <v>0</v>
      </c>
      <c r="U19" s="14">
        <f t="shared" si="8"/>
        <v>4140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="1" customFormat="1" outlineLevel="1" spans="1:32">
      <c r="A20" s="12"/>
      <c r="B20" s="20"/>
      <c r="C20" s="20" t="s">
        <v>181</v>
      </c>
      <c r="D20" s="20"/>
      <c r="E20" s="12"/>
      <c r="F20" s="14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2"/>
      <c r="R20" s="21"/>
      <c r="S20" s="21"/>
      <c r="T20" s="21"/>
      <c r="U20" s="2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="1" customFormat="1" ht="72" customHeight="1" outlineLevel="2" spans="1:32">
      <c r="A21" s="12">
        <v>87</v>
      </c>
      <c r="B21" s="20">
        <v>30702001001</v>
      </c>
      <c r="C21" s="20" t="s">
        <v>182</v>
      </c>
      <c r="D21" s="20" t="s">
        <v>183</v>
      </c>
      <c r="E21" s="12" t="s">
        <v>184</v>
      </c>
      <c r="F21" s="14">
        <v>44.37</v>
      </c>
      <c r="G21" s="33">
        <f t="shared" ref="G21:G28" si="9">R21*$R$3</f>
        <v>48</v>
      </c>
      <c r="H21" s="34">
        <f t="shared" ref="H21:H28" si="10">P21*(1+Q21)*$P$3+S21*$S$3</f>
        <v>99.55</v>
      </c>
      <c r="I21" s="34">
        <f t="shared" ref="I21:I28" si="11">T21*$T$3</f>
        <v>2</v>
      </c>
      <c r="J21" s="34">
        <f t="shared" ref="J21:J28" si="12">(G21+H21+I21)*$J$3</f>
        <v>0</v>
      </c>
      <c r="K21" s="34">
        <f t="shared" ref="K21:K28" si="13">(G21+H21+I21+J21)*$K$3</f>
        <v>0</v>
      </c>
      <c r="L21" s="34">
        <f t="shared" ref="L21:L28" si="14">G21+H21+I21+J21+K21</f>
        <v>149.55</v>
      </c>
      <c r="M21" s="34">
        <f t="shared" ref="M21:M28" si="15">F21*L21</f>
        <v>6635.5335</v>
      </c>
      <c r="N21" s="8"/>
      <c r="O21" s="14">
        <f t="shared" ref="O21:O28" si="16">P21*(1+Q21)+R21+S21+T21</f>
        <v>149.55</v>
      </c>
      <c r="P21" s="35">
        <v>85</v>
      </c>
      <c r="Q21" s="36">
        <v>0.03</v>
      </c>
      <c r="R21" s="35">
        <v>48</v>
      </c>
      <c r="S21" s="37">
        <v>12</v>
      </c>
      <c r="T21" s="15">
        <v>2</v>
      </c>
      <c r="U21" s="14">
        <f t="shared" ref="U21:U28" si="17">F21*O21</f>
        <v>6635.5335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="1" customFormat="1" ht="72" customHeight="1" outlineLevel="2" spans="1:32">
      <c r="A22" s="12">
        <v>88</v>
      </c>
      <c r="B22" s="20">
        <v>30702001002</v>
      </c>
      <c r="C22" s="20" t="s">
        <v>182</v>
      </c>
      <c r="D22" s="20" t="s">
        <v>185</v>
      </c>
      <c r="E22" s="12" t="s">
        <v>184</v>
      </c>
      <c r="F22" s="14">
        <v>45.59</v>
      </c>
      <c r="G22" s="33">
        <f t="shared" si="9"/>
        <v>48</v>
      </c>
      <c r="H22" s="34">
        <f t="shared" si="10"/>
        <v>99.55</v>
      </c>
      <c r="I22" s="34">
        <f t="shared" si="11"/>
        <v>2</v>
      </c>
      <c r="J22" s="34">
        <f t="shared" si="12"/>
        <v>0</v>
      </c>
      <c r="K22" s="34">
        <f t="shared" si="13"/>
        <v>0</v>
      </c>
      <c r="L22" s="34">
        <f t="shared" si="14"/>
        <v>149.55</v>
      </c>
      <c r="M22" s="34">
        <f t="shared" si="15"/>
        <v>6817.9845</v>
      </c>
      <c r="N22" s="8"/>
      <c r="O22" s="14">
        <f t="shared" si="16"/>
        <v>149.55</v>
      </c>
      <c r="P22" s="35">
        <v>85</v>
      </c>
      <c r="Q22" s="36">
        <v>0.03</v>
      </c>
      <c r="R22" s="35">
        <v>48</v>
      </c>
      <c r="S22" s="37">
        <v>12</v>
      </c>
      <c r="T22" s="15">
        <v>2</v>
      </c>
      <c r="U22" s="14">
        <f t="shared" si="17"/>
        <v>6817.9845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="1" customFormat="1" ht="72" customHeight="1" outlineLevel="2" spans="1:32">
      <c r="A23" s="12">
        <v>89</v>
      </c>
      <c r="B23" s="20">
        <v>30702001003</v>
      </c>
      <c r="C23" s="20" t="s">
        <v>182</v>
      </c>
      <c r="D23" s="20" t="s">
        <v>186</v>
      </c>
      <c r="E23" s="12" t="s">
        <v>184</v>
      </c>
      <c r="F23" s="14">
        <v>66.86</v>
      </c>
      <c r="G23" s="33">
        <f t="shared" si="9"/>
        <v>48</v>
      </c>
      <c r="H23" s="34">
        <f t="shared" si="10"/>
        <v>99.55</v>
      </c>
      <c r="I23" s="34">
        <f t="shared" si="11"/>
        <v>2</v>
      </c>
      <c r="J23" s="34">
        <f t="shared" si="12"/>
        <v>0</v>
      </c>
      <c r="K23" s="34">
        <f t="shared" si="13"/>
        <v>0</v>
      </c>
      <c r="L23" s="34">
        <f t="shared" si="14"/>
        <v>149.55</v>
      </c>
      <c r="M23" s="34">
        <f t="shared" si="15"/>
        <v>9998.913</v>
      </c>
      <c r="N23" s="8"/>
      <c r="O23" s="14">
        <f t="shared" si="16"/>
        <v>149.55</v>
      </c>
      <c r="P23" s="35">
        <v>85</v>
      </c>
      <c r="Q23" s="36">
        <v>0.03</v>
      </c>
      <c r="R23" s="35">
        <v>48</v>
      </c>
      <c r="S23" s="37">
        <v>12</v>
      </c>
      <c r="T23" s="15">
        <v>2</v>
      </c>
      <c r="U23" s="14">
        <f t="shared" si="17"/>
        <v>9998.913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="1" customFormat="1" ht="72" customHeight="1" outlineLevel="2" spans="1:32">
      <c r="A24" s="23">
        <v>90</v>
      </c>
      <c r="B24" s="24">
        <v>30702001004</v>
      </c>
      <c r="C24" s="24" t="s">
        <v>182</v>
      </c>
      <c r="D24" s="24" t="s">
        <v>187</v>
      </c>
      <c r="E24" s="23" t="s">
        <v>184</v>
      </c>
      <c r="F24" s="25">
        <v>279.53</v>
      </c>
      <c r="G24" s="26">
        <f t="shared" si="9"/>
        <v>48</v>
      </c>
      <c r="H24" s="27">
        <f t="shared" si="10"/>
        <v>99.55</v>
      </c>
      <c r="I24" s="27">
        <f t="shared" si="11"/>
        <v>2</v>
      </c>
      <c r="J24" s="27">
        <f t="shared" si="12"/>
        <v>0</v>
      </c>
      <c r="K24" s="27">
        <f t="shared" si="13"/>
        <v>0</v>
      </c>
      <c r="L24" s="27">
        <f t="shared" si="14"/>
        <v>149.55</v>
      </c>
      <c r="M24" s="27">
        <f t="shared" si="15"/>
        <v>41803.7115</v>
      </c>
      <c r="N24" s="28"/>
      <c r="O24" s="14">
        <f t="shared" si="16"/>
        <v>149.55</v>
      </c>
      <c r="P24" s="29">
        <v>85</v>
      </c>
      <c r="Q24" s="30">
        <v>0.03</v>
      </c>
      <c r="R24" s="29">
        <v>48</v>
      </c>
      <c r="S24" s="31">
        <v>12</v>
      </c>
      <c r="T24" s="32">
        <v>2</v>
      </c>
      <c r="U24" s="25">
        <f t="shared" si="17"/>
        <v>41803.7115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="1" customFormat="1" ht="60" customHeight="1" outlineLevel="2" spans="1:32">
      <c r="A25" s="12">
        <v>91</v>
      </c>
      <c r="B25" s="20">
        <v>30703019001</v>
      </c>
      <c r="C25" s="20" t="s">
        <v>188</v>
      </c>
      <c r="D25" s="20" t="s">
        <v>189</v>
      </c>
      <c r="E25" s="12" t="s">
        <v>184</v>
      </c>
      <c r="F25" s="14">
        <v>32.82</v>
      </c>
      <c r="G25" s="33">
        <f t="shared" si="9"/>
        <v>55</v>
      </c>
      <c r="H25" s="34">
        <f t="shared" si="10"/>
        <v>78.89</v>
      </c>
      <c r="I25" s="34">
        <f t="shared" si="11"/>
        <v>2.75</v>
      </c>
      <c r="J25" s="34">
        <f t="shared" si="12"/>
        <v>0</v>
      </c>
      <c r="K25" s="34">
        <f t="shared" si="13"/>
        <v>0</v>
      </c>
      <c r="L25" s="34">
        <f t="shared" si="14"/>
        <v>136.64</v>
      </c>
      <c r="M25" s="34">
        <f t="shared" si="15"/>
        <v>4484.5248</v>
      </c>
      <c r="N25" s="8"/>
      <c r="O25" s="14">
        <f t="shared" si="16"/>
        <v>136.64</v>
      </c>
      <c r="P25" s="35">
        <v>19.49</v>
      </c>
      <c r="Q25" s="36">
        <v>0</v>
      </c>
      <c r="R25" s="35">
        <v>55</v>
      </c>
      <c r="S25" s="37">
        <v>59.4</v>
      </c>
      <c r="T25" s="15">
        <v>2.75</v>
      </c>
      <c r="U25" s="14">
        <f t="shared" si="17"/>
        <v>4484.5248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="1" customFormat="1" ht="60" customHeight="1" outlineLevel="2" spans="1:32">
      <c r="A26" s="12">
        <v>92</v>
      </c>
      <c r="B26" s="20">
        <v>31301005001</v>
      </c>
      <c r="C26" s="20" t="s">
        <v>190</v>
      </c>
      <c r="D26" s="20" t="s">
        <v>191</v>
      </c>
      <c r="E26" s="12" t="s">
        <v>192</v>
      </c>
      <c r="F26" s="14">
        <v>1884.04</v>
      </c>
      <c r="G26" s="33">
        <f t="shared" si="9"/>
        <v>5.77</v>
      </c>
      <c r="H26" s="34">
        <f t="shared" si="10"/>
        <v>6.87</v>
      </c>
      <c r="I26" s="34">
        <f t="shared" si="11"/>
        <v>1.21</v>
      </c>
      <c r="J26" s="34">
        <f t="shared" si="12"/>
        <v>0</v>
      </c>
      <c r="K26" s="34">
        <f t="shared" si="13"/>
        <v>0</v>
      </c>
      <c r="L26" s="34">
        <f t="shared" si="14"/>
        <v>13.85</v>
      </c>
      <c r="M26" s="34">
        <f t="shared" si="15"/>
        <v>26093.954</v>
      </c>
      <c r="N26" s="8"/>
      <c r="O26" s="14">
        <f t="shared" si="16"/>
        <v>13.85</v>
      </c>
      <c r="P26" s="35">
        <v>6.87</v>
      </c>
      <c r="Q26" s="36">
        <v>0</v>
      </c>
      <c r="R26" s="35">
        <v>5.77</v>
      </c>
      <c r="S26" s="37">
        <v>0</v>
      </c>
      <c r="T26" s="15">
        <v>1.21</v>
      </c>
      <c r="U26" s="14">
        <f t="shared" si="17"/>
        <v>26093.954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="1" customFormat="1" ht="84" customHeight="1" outlineLevel="2" spans="1:32">
      <c r="A27" s="12">
        <v>93</v>
      </c>
      <c r="B27" s="20">
        <v>31208003001</v>
      </c>
      <c r="C27" s="20" t="s">
        <v>193</v>
      </c>
      <c r="D27" s="20" t="s">
        <v>194</v>
      </c>
      <c r="E27" s="12" t="s">
        <v>184</v>
      </c>
      <c r="F27" s="14">
        <v>469.67</v>
      </c>
      <c r="G27" s="33">
        <f t="shared" si="9"/>
        <v>48</v>
      </c>
      <c r="H27" s="34">
        <f t="shared" si="10"/>
        <v>412</v>
      </c>
      <c r="I27" s="34">
        <f t="shared" si="11"/>
        <v>2</v>
      </c>
      <c r="J27" s="34">
        <f t="shared" si="12"/>
        <v>0</v>
      </c>
      <c r="K27" s="34">
        <f t="shared" si="13"/>
        <v>0</v>
      </c>
      <c r="L27" s="34">
        <f t="shared" si="14"/>
        <v>462</v>
      </c>
      <c r="M27" s="34">
        <f t="shared" si="15"/>
        <v>216987.54</v>
      </c>
      <c r="N27" s="8"/>
      <c r="O27" s="14">
        <f t="shared" si="16"/>
        <v>462</v>
      </c>
      <c r="P27" s="35">
        <v>400</v>
      </c>
      <c r="Q27" s="36">
        <v>0</v>
      </c>
      <c r="R27" s="35">
        <v>48</v>
      </c>
      <c r="S27" s="37">
        <v>12</v>
      </c>
      <c r="T27" s="15">
        <v>2</v>
      </c>
      <c r="U27" s="14">
        <f t="shared" si="17"/>
        <v>216987.54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="1" customFormat="1" outlineLevel="2" spans="1:32">
      <c r="A28" s="12">
        <v>94</v>
      </c>
      <c r="B28" s="20">
        <v>30704001001</v>
      </c>
      <c r="C28" s="20" t="s">
        <v>195</v>
      </c>
      <c r="D28" s="20" t="s">
        <v>196</v>
      </c>
      <c r="E28" s="12" t="s">
        <v>197</v>
      </c>
      <c r="F28" s="14">
        <v>1</v>
      </c>
      <c r="G28" s="33">
        <f t="shared" si="9"/>
        <v>380</v>
      </c>
      <c r="H28" s="34">
        <f t="shared" si="10"/>
        <v>600</v>
      </c>
      <c r="I28" s="34">
        <f t="shared" si="11"/>
        <v>20</v>
      </c>
      <c r="J28" s="34">
        <f t="shared" si="12"/>
        <v>0</v>
      </c>
      <c r="K28" s="34">
        <f t="shared" si="13"/>
        <v>0</v>
      </c>
      <c r="L28" s="34">
        <f t="shared" si="14"/>
        <v>1000</v>
      </c>
      <c r="M28" s="34">
        <f t="shared" si="15"/>
        <v>1000</v>
      </c>
      <c r="N28" s="8"/>
      <c r="O28" s="14">
        <f t="shared" si="16"/>
        <v>1000</v>
      </c>
      <c r="P28" s="35">
        <v>400</v>
      </c>
      <c r="Q28" s="36">
        <v>0</v>
      </c>
      <c r="R28" s="35">
        <v>380</v>
      </c>
      <c r="S28" s="37">
        <v>200</v>
      </c>
      <c r="T28" s="15">
        <v>20</v>
      </c>
      <c r="U28" s="14">
        <f t="shared" si="17"/>
        <v>1000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="1" customFormat="1" outlineLevel="1" spans="1:32">
      <c r="A29" s="12"/>
      <c r="B29" s="20"/>
      <c r="C29" s="20" t="s">
        <v>198</v>
      </c>
      <c r="D29" s="20"/>
      <c r="E29" s="12"/>
      <c r="F29" s="14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2"/>
      <c r="R29" s="21"/>
      <c r="S29" s="21"/>
      <c r="T29" s="21"/>
      <c r="U29" s="2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="1" customFormat="1" ht="60" customHeight="1" outlineLevel="2" spans="1:32">
      <c r="A30" s="12">
        <v>95</v>
      </c>
      <c r="B30" s="20">
        <v>30703007001</v>
      </c>
      <c r="C30" s="20" t="s">
        <v>199</v>
      </c>
      <c r="D30" s="20" t="s">
        <v>200</v>
      </c>
      <c r="E30" s="12" t="s">
        <v>80</v>
      </c>
      <c r="F30" s="14">
        <v>12</v>
      </c>
      <c r="G30" s="33">
        <f t="shared" ref="G30:G37" si="18">R30*$R$3</f>
        <v>20</v>
      </c>
      <c r="H30" s="34">
        <f t="shared" ref="H30:H37" si="19">P30*(1+Q30)*$P$3+S30*$S$3</f>
        <v>81</v>
      </c>
      <c r="I30" s="34">
        <f t="shared" ref="I30:I37" si="20">T30*$T$3</f>
        <v>0</v>
      </c>
      <c r="J30" s="34">
        <f t="shared" ref="J30:J37" si="21">(G30+H30+I30)*$J$3</f>
        <v>0</v>
      </c>
      <c r="K30" s="34">
        <f t="shared" ref="K30:K37" si="22">(G30+H30+I30+J30)*$K$3</f>
        <v>0</v>
      </c>
      <c r="L30" s="34">
        <f t="shared" ref="L30:L37" si="23">G30+H30+I30+J30+K30</f>
        <v>101</v>
      </c>
      <c r="M30" s="34">
        <f t="shared" ref="M30:M37" si="24">F30*L30</f>
        <v>1212</v>
      </c>
      <c r="N30" s="8"/>
      <c r="O30" s="14">
        <f t="shared" ref="O30:O37" si="25">P30*(1+Q30)+R30+S30+T30</f>
        <v>101</v>
      </c>
      <c r="P30" s="35">
        <v>75</v>
      </c>
      <c r="Q30" s="36">
        <v>0</v>
      </c>
      <c r="R30" s="35">
        <v>20</v>
      </c>
      <c r="S30" s="37">
        <v>6</v>
      </c>
      <c r="T30" s="15">
        <v>0</v>
      </c>
      <c r="U30" s="14">
        <f t="shared" ref="U30:U37" si="26">F30*O30</f>
        <v>1212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="1" customFormat="1" ht="60" customHeight="1" outlineLevel="2" spans="1:32">
      <c r="A31" s="23">
        <v>96</v>
      </c>
      <c r="B31" s="24">
        <v>30703007002</v>
      </c>
      <c r="C31" s="24" t="s">
        <v>199</v>
      </c>
      <c r="D31" s="24" t="s">
        <v>201</v>
      </c>
      <c r="E31" s="23" t="s">
        <v>80</v>
      </c>
      <c r="F31" s="25">
        <v>6</v>
      </c>
      <c r="G31" s="26">
        <f t="shared" si="18"/>
        <v>20</v>
      </c>
      <c r="H31" s="27">
        <f t="shared" si="19"/>
        <v>81</v>
      </c>
      <c r="I31" s="27">
        <f t="shared" si="20"/>
        <v>0</v>
      </c>
      <c r="J31" s="27">
        <f t="shared" si="21"/>
        <v>0</v>
      </c>
      <c r="K31" s="27">
        <f t="shared" si="22"/>
        <v>0</v>
      </c>
      <c r="L31" s="27">
        <f t="shared" si="23"/>
        <v>101</v>
      </c>
      <c r="M31" s="27">
        <f t="shared" si="24"/>
        <v>606</v>
      </c>
      <c r="N31" s="28"/>
      <c r="O31" s="14">
        <f t="shared" si="25"/>
        <v>101</v>
      </c>
      <c r="P31" s="29">
        <v>75</v>
      </c>
      <c r="Q31" s="30">
        <v>0</v>
      </c>
      <c r="R31" s="29">
        <v>20</v>
      </c>
      <c r="S31" s="31">
        <v>6</v>
      </c>
      <c r="T31" s="32">
        <v>0</v>
      </c>
      <c r="U31" s="25">
        <f t="shared" si="26"/>
        <v>606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="1" customFormat="1" ht="60" customHeight="1" outlineLevel="2" spans="1:32">
      <c r="A32" s="23">
        <v>97</v>
      </c>
      <c r="B32" s="24">
        <v>30703007003</v>
      </c>
      <c r="C32" s="24" t="s">
        <v>199</v>
      </c>
      <c r="D32" s="24" t="s">
        <v>202</v>
      </c>
      <c r="E32" s="23" t="s">
        <v>80</v>
      </c>
      <c r="F32" s="25">
        <v>2</v>
      </c>
      <c r="G32" s="26">
        <f t="shared" si="18"/>
        <v>20</v>
      </c>
      <c r="H32" s="27">
        <f t="shared" si="19"/>
        <v>81</v>
      </c>
      <c r="I32" s="27">
        <f t="shared" si="20"/>
        <v>0</v>
      </c>
      <c r="J32" s="27">
        <f t="shared" si="21"/>
        <v>0</v>
      </c>
      <c r="K32" s="27">
        <f t="shared" si="22"/>
        <v>0</v>
      </c>
      <c r="L32" s="27">
        <f t="shared" si="23"/>
        <v>101</v>
      </c>
      <c r="M32" s="27">
        <f t="shared" si="24"/>
        <v>202</v>
      </c>
      <c r="N32" s="28"/>
      <c r="O32" s="14">
        <f t="shared" si="25"/>
        <v>101</v>
      </c>
      <c r="P32" s="29">
        <v>75</v>
      </c>
      <c r="Q32" s="30">
        <v>0</v>
      </c>
      <c r="R32" s="29">
        <v>20</v>
      </c>
      <c r="S32" s="31">
        <v>6</v>
      </c>
      <c r="T32" s="32">
        <v>0</v>
      </c>
      <c r="U32" s="25">
        <f t="shared" si="26"/>
        <v>202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="1" customFormat="1" ht="60" customHeight="1" outlineLevel="2" spans="1:32">
      <c r="A33" s="23">
        <v>98</v>
      </c>
      <c r="B33" s="24">
        <v>30703007004</v>
      </c>
      <c r="C33" s="24" t="s">
        <v>199</v>
      </c>
      <c r="D33" s="24" t="s">
        <v>203</v>
      </c>
      <c r="E33" s="23" t="s">
        <v>80</v>
      </c>
      <c r="F33" s="25">
        <v>16</v>
      </c>
      <c r="G33" s="26">
        <f t="shared" si="18"/>
        <v>20</v>
      </c>
      <c r="H33" s="27">
        <f t="shared" si="19"/>
        <v>81</v>
      </c>
      <c r="I33" s="27">
        <f t="shared" si="20"/>
        <v>0</v>
      </c>
      <c r="J33" s="27">
        <f t="shared" si="21"/>
        <v>0</v>
      </c>
      <c r="K33" s="27">
        <f t="shared" si="22"/>
        <v>0</v>
      </c>
      <c r="L33" s="27">
        <f t="shared" si="23"/>
        <v>101</v>
      </c>
      <c r="M33" s="27">
        <f t="shared" si="24"/>
        <v>1616</v>
      </c>
      <c r="N33" s="28"/>
      <c r="O33" s="14">
        <f t="shared" si="25"/>
        <v>101</v>
      </c>
      <c r="P33" s="29">
        <v>75</v>
      </c>
      <c r="Q33" s="30">
        <v>0</v>
      </c>
      <c r="R33" s="29">
        <v>20</v>
      </c>
      <c r="S33" s="31">
        <v>6</v>
      </c>
      <c r="T33" s="32">
        <v>0</v>
      </c>
      <c r="U33" s="25">
        <f t="shared" si="26"/>
        <v>1616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="1" customFormat="1" ht="60" customHeight="1" outlineLevel="2" spans="1:32">
      <c r="A34" s="23">
        <v>99</v>
      </c>
      <c r="B34" s="24">
        <v>30703007005</v>
      </c>
      <c r="C34" s="24" t="s">
        <v>199</v>
      </c>
      <c r="D34" s="24" t="s">
        <v>204</v>
      </c>
      <c r="E34" s="23" t="s">
        <v>80</v>
      </c>
      <c r="F34" s="25">
        <v>24</v>
      </c>
      <c r="G34" s="26">
        <f t="shared" si="18"/>
        <v>20</v>
      </c>
      <c r="H34" s="27">
        <f t="shared" si="19"/>
        <v>81</v>
      </c>
      <c r="I34" s="27">
        <f t="shared" si="20"/>
        <v>0</v>
      </c>
      <c r="J34" s="27">
        <f t="shared" si="21"/>
        <v>0</v>
      </c>
      <c r="K34" s="27">
        <f t="shared" si="22"/>
        <v>0</v>
      </c>
      <c r="L34" s="27">
        <f t="shared" si="23"/>
        <v>101</v>
      </c>
      <c r="M34" s="27">
        <f t="shared" si="24"/>
        <v>2424</v>
      </c>
      <c r="N34" s="28"/>
      <c r="O34" s="14">
        <f t="shared" si="25"/>
        <v>101</v>
      </c>
      <c r="P34" s="29">
        <v>75</v>
      </c>
      <c r="Q34" s="30">
        <v>0</v>
      </c>
      <c r="R34" s="29">
        <v>20</v>
      </c>
      <c r="S34" s="31">
        <v>6</v>
      </c>
      <c r="T34" s="32">
        <v>0</v>
      </c>
      <c r="U34" s="25">
        <f t="shared" si="26"/>
        <v>2424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="1" customFormat="1" ht="48" customHeight="1" outlineLevel="2" spans="1:32">
      <c r="A35" s="23">
        <v>100</v>
      </c>
      <c r="B35" s="24">
        <v>30703021001</v>
      </c>
      <c r="C35" s="24" t="s">
        <v>205</v>
      </c>
      <c r="D35" s="24" t="s">
        <v>206</v>
      </c>
      <c r="E35" s="23" t="s">
        <v>80</v>
      </c>
      <c r="F35" s="25">
        <v>2</v>
      </c>
      <c r="G35" s="26">
        <f t="shared" si="18"/>
        <v>10</v>
      </c>
      <c r="H35" s="27">
        <f t="shared" si="19"/>
        <v>47</v>
      </c>
      <c r="I35" s="27">
        <f t="shared" si="20"/>
        <v>1</v>
      </c>
      <c r="J35" s="27">
        <f t="shared" si="21"/>
        <v>0</v>
      </c>
      <c r="K35" s="27">
        <f t="shared" si="22"/>
        <v>0</v>
      </c>
      <c r="L35" s="27">
        <f t="shared" si="23"/>
        <v>58</v>
      </c>
      <c r="M35" s="27">
        <f t="shared" si="24"/>
        <v>116</v>
      </c>
      <c r="N35" s="28"/>
      <c r="O35" s="14">
        <f t="shared" si="25"/>
        <v>58</v>
      </c>
      <c r="P35" s="29">
        <v>45</v>
      </c>
      <c r="Q35" s="30">
        <v>0</v>
      </c>
      <c r="R35" s="29">
        <v>10</v>
      </c>
      <c r="S35" s="31">
        <v>2</v>
      </c>
      <c r="T35" s="32">
        <v>1</v>
      </c>
      <c r="U35" s="25">
        <f t="shared" si="26"/>
        <v>116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="1" customFormat="1" ht="48" customHeight="1" outlineLevel="2" spans="1:32">
      <c r="A36" s="23">
        <v>101</v>
      </c>
      <c r="B36" s="24">
        <v>30703021002</v>
      </c>
      <c r="C36" s="24" t="s">
        <v>205</v>
      </c>
      <c r="D36" s="24" t="s">
        <v>207</v>
      </c>
      <c r="E36" s="23" t="s">
        <v>80</v>
      </c>
      <c r="F36" s="25">
        <v>16</v>
      </c>
      <c r="G36" s="26">
        <f t="shared" si="18"/>
        <v>10</v>
      </c>
      <c r="H36" s="27">
        <f t="shared" si="19"/>
        <v>47</v>
      </c>
      <c r="I36" s="27">
        <f t="shared" si="20"/>
        <v>1</v>
      </c>
      <c r="J36" s="27">
        <f t="shared" si="21"/>
        <v>0</v>
      </c>
      <c r="K36" s="27">
        <f t="shared" si="22"/>
        <v>0</v>
      </c>
      <c r="L36" s="27">
        <f t="shared" si="23"/>
        <v>58</v>
      </c>
      <c r="M36" s="27">
        <f t="shared" si="24"/>
        <v>928</v>
      </c>
      <c r="N36" s="28"/>
      <c r="O36" s="14">
        <f t="shared" si="25"/>
        <v>58</v>
      </c>
      <c r="P36" s="29">
        <v>45</v>
      </c>
      <c r="Q36" s="30">
        <v>0</v>
      </c>
      <c r="R36" s="29">
        <v>10</v>
      </c>
      <c r="S36" s="31">
        <v>2</v>
      </c>
      <c r="T36" s="32">
        <v>1</v>
      </c>
      <c r="U36" s="25">
        <f t="shared" si="26"/>
        <v>928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="1" customFormat="1" ht="48" customHeight="1" outlineLevel="2" spans="1:32">
      <c r="A37" s="23">
        <v>102</v>
      </c>
      <c r="B37" s="24">
        <v>30703021003</v>
      </c>
      <c r="C37" s="24" t="s">
        <v>205</v>
      </c>
      <c r="D37" s="24" t="s">
        <v>208</v>
      </c>
      <c r="E37" s="23" t="s">
        <v>80</v>
      </c>
      <c r="F37" s="25">
        <v>24</v>
      </c>
      <c r="G37" s="26">
        <f t="shared" si="18"/>
        <v>10</v>
      </c>
      <c r="H37" s="27">
        <f t="shared" si="19"/>
        <v>47</v>
      </c>
      <c r="I37" s="27">
        <f t="shared" si="20"/>
        <v>1</v>
      </c>
      <c r="J37" s="27">
        <f t="shared" si="21"/>
        <v>0</v>
      </c>
      <c r="K37" s="27">
        <f t="shared" si="22"/>
        <v>0</v>
      </c>
      <c r="L37" s="27">
        <f t="shared" si="23"/>
        <v>58</v>
      </c>
      <c r="M37" s="27">
        <f t="shared" si="24"/>
        <v>1392</v>
      </c>
      <c r="N37" s="28"/>
      <c r="O37" s="14">
        <f t="shared" si="25"/>
        <v>58</v>
      </c>
      <c r="P37" s="29">
        <v>45</v>
      </c>
      <c r="Q37" s="30">
        <v>0</v>
      </c>
      <c r="R37" s="29">
        <v>10</v>
      </c>
      <c r="S37" s="31">
        <v>2</v>
      </c>
      <c r="T37" s="32">
        <v>1</v>
      </c>
      <c r="U37" s="25">
        <f t="shared" si="26"/>
        <v>1392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="1" customFormat="1" outlineLevel="1" spans="1:32">
      <c r="A38" s="12"/>
      <c r="B38" s="20"/>
      <c r="C38" s="20" t="s">
        <v>209</v>
      </c>
      <c r="D38" s="20"/>
      <c r="E38" s="12"/>
      <c r="F38" s="14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2"/>
      <c r="R38" s="21"/>
      <c r="S38" s="21"/>
      <c r="T38" s="21"/>
      <c r="U38" s="21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="1" customFormat="1" ht="72" customHeight="1" outlineLevel="2" spans="1:32">
      <c r="A39" s="12">
        <v>103</v>
      </c>
      <c r="B39" s="20">
        <v>31001005001</v>
      </c>
      <c r="C39" s="20" t="s">
        <v>210</v>
      </c>
      <c r="D39" s="20" t="s">
        <v>211</v>
      </c>
      <c r="E39" s="12" t="s">
        <v>67</v>
      </c>
      <c r="F39" s="14">
        <v>37.15</v>
      </c>
      <c r="G39" s="33">
        <f t="shared" ref="G39:G58" si="27">R39*$R$3</f>
        <v>9.64</v>
      </c>
      <c r="H39" s="34">
        <f t="shared" ref="H39:H58" si="28">P39*(1+Q39)*$P$3+S39*$S$3</f>
        <v>13.1816</v>
      </c>
      <c r="I39" s="34">
        <f t="shared" ref="I39:I58" si="29">T39*$T$3</f>
        <v>0</v>
      </c>
      <c r="J39" s="34">
        <f t="shared" ref="J39:J58" si="30">(G39+H39+I39)*$J$3</f>
        <v>0</v>
      </c>
      <c r="K39" s="34">
        <f t="shared" ref="K39:K58" si="31">(G39+H39+I39+J39)*$K$3</f>
        <v>0</v>
      </c>
      <c r="L39" s="34">
        <f t="shared" ref="L39:L58" si="32">G39+H39+I39+J39+K39</f>
        <v>22.8216</v>
      </c>
      <c r="M39" s="34">
        <f t="shared" ref="M39:M58" si="33">F39*L39</f>
        <v>847.82244</v>
      </c>
      <c r="N39" s="8"/>
      <c r="O39" s="14">
        <f t="shared" ref="O39:O58" si="34">P39*(1+Q39)+R39+S39+T39</f>
        <v>22.8216</v>
      </c>
      <c r="P39" s="35">
        <v>10.72</v>
      </c>
      <c r="Q39" s="36">
        <v>0.03</v>
      </c>
      <c r="R39" s="35">
        <v>9.64</v>
      </c>
      <c r="S39" s="37">
        <v>2.14</v>
      </c>
      <c r="T39" s="15">
        <v>0</v>
      </c>
      <c r="U39" s="14">
        <f t="shared" ref="U39:U58" si="35">F39*O39</f>
        <v>847.82244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="1" customFormat="1" ht="72" customHeight="1" outlineLevel="2" spans="1:32">
      <c r="A40" s="12">
        <v>104</v>
      </c>
      <c r="B40" s="20">
        <v>31001005002</v>
      </c>
      <c r="C40" s="20" t="s">
        <v>210</v>
      </c>
      <c r="D40" s="20" t="s">
        <v>212</v>
      </c>
      <c r="E40" s="12" t="s">
        <v>67</v>
      </c>
      <c r="F40" s="14">
        <v>95.8</v>
      </c>
      <c r="G40" s="33">
        <f t="shared" si="27"/>
        <v>14.29</v>
      </c>
      <c r="H40" s="34">
        <f t="shared" si="28"/>
        <v>17.7632</v>
      </c>
      <c r="I40" s="34">
        <f t="shared" si="29"/>
        <v>0</v>
      </c>
      <c r="J40" s="34">
        <f t="shared" si="30"/>
        <v>0</v>
      </c>
      <c r="K40" s="34">
        <f t="shared" si="31"/>
        <v>0</v>
      </c>
      <c r="L40" s="34">
        <f t="shared" si="32"/>
        <v>32.0532</v>
      </c>
      <c r="M40" s="34">
        <f t="shared" si="33"/>
        <v>3070.69656</v>
      </c>
      <c r="N40" s="8"/>
      <c r="O40" s="14">
        <f t="shared" si="34"/>
        <v>32.0532</v>
      </c>
      <c r="P40" s="35">
        <v>14.44</v>
      </c>
      <c r="Q40" s="36">
        <v>0.03</v>
      </c>
      <c r="R40" s="35">
        <v>14.29</v>
      </c>
      <c r="S40" s="37">
        <v>2.89</v>
      </c>
      <c r="T40" s="15">
        <v>0</v>
      </c>
      <c r="U40" s="14">
        <f t="shared" si="35"/>
        <v>3070.69656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="1" customFormat="1" ht="72" customHeight="1" outlineLevel="2" spans="1:32">
      <c r="A41" s="12">
        <v>105</v>
      </c>
      <c r="B41" s="20">
        <v>31001005003</v>
      </c>
      <c r="C41" s="20" t="s">
        <v>210</v>
      </c>
      <c r="D41" s="20" t="s">
        <v>213</v>
      </c>
      <c r="E41" s="12" t="s">
        <v>67</v>
      </c>
      <c r="F41" s="14">
        <v>56.45</v>
      </c>
      <c r="G41" s="33">
        <f t="shared" si="27"/>
        <v>19.09</v>
      </c>
      <c r="H41" s="34">
        <f t="shared" si="28"/>
        <v>19.0138</v>
      </c>
      <c r="I41" s="34">
        <f t="shared" si="29"/>
        <v>0</v>
      </c>
      <c r="J41" s="34">
        <f t="shared" si="30"/>
        <v>0</v>
      </c>
      <c r="K41" s="34">
        <f t="shared" si="31"/>
        <v>0</v>
      </c>
      <c r="L41" s="34">
        <f t="shared" si="32"/>
        <v>38.1038</v>
      </c>
      <c r="M41" s="34">
        <f t="shared" si="33"/>
        <v>2150.95951</v>
      </c>
      <c r="N41" s="8"/>
      <c r="O41" s="14">
        <f t="shared" si="34"/>
        <v>38.1038</v>
      </c>
      <c r="P41" s="35">
        <v>15.46</v>
      </c>
      <c r="Q41" s="36">
        <v>0.03</v>
      </c>
      <c r="R41" s="35">
        <v>19.09</v>
      </c>
      <c r="S41" s="37">
        <v>3.09</v>
      </c>
      <c r="T41" s="15">
        <v>0</v>
      </c>
      <c r="U41" s="14">
        <f t="shared" si="35"/>
        <v>2150.95951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="1" customFormat="1" ht="72" customHeight="1" outlineLevel="2" spans="1:32">
      <c r="A42" s="12">
        <v>106</v>
      </c>
      <c r="B42" s="20">
        <v>31001005004</v>
      </c>
      <c r="C42" s="20" t="s">
        <v>210</v>
      </c>
      <c r="D42" s="20" t="s">
        <v>214</v>
      </c>
      <c r="E42" s="12" t="s">
        <v>67</v>
      </c>
      <c r="F42" s="14">
        <v>102.36</v>
      </c>
      <c r="G42" s="33">
        <f t="shared" si="27"/>
        <v>23.89</v>
      </c>
      <c r="H42" s="34">
        <f t="shared" si="28"/>
        <v>26.4962</v>
      </c>
      <c r="I42" s="34">
        <f t="shared" si="29"/>
        <v>0</v>
      </c>
      <c r="J42" s="34">
        <f t="shared" si="30"/>
        <v>0</v>
      </c>
      <c r="K42" s="34">
        <f t="shared" si="31"/>
        <v>0</v>
      </c>
      <c r="L42" s="34">
        <f t="shared" si="32"/>
        <v>50.3862</v>
      </c>
      <c r="M42" s="34">
        <f t="shared" si="33"/>
        <v>5157.531432</v>
      </c>
      <c r="N42" s="8"/>
      <c r="O42" s="14">
        <f t="shared" si="34"/>
        <v>50.3862</v>
      </c>
      <c r="P42" s="35">
        <v>21.54</v>
      </c>
      <c r="Q42" s="36">
        <v>0.03</v>
      </c>
      <c r="R42" s="35">
        <v>23.89</v>
      </c>
      <c r="S42" s="37">
        <v>4.31</v>
      </c>
      <c r="T42" s="15">
        <v>0</v>
      </c>
      <c r="U42" s="14">
        <f t="shared" si="35"/>
        <v>5157.531432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="1" customFormat="1" ht="72" customHeight="1" outlineLevel="2" spans="1:32">
      <c r="A43" s="12">
        <v>107</v>
      </c>
      <c r="B43" s="20">
        <v>31001005005</v>
      </c>
      <c r="C43" s="20" t="s">
        <v>210</v>
      </c>
      <c r="D43" s="20" t="s">
        <v>215</v>
      </c>
      <c r="E43" s="12" t="s">
        <v>67</v>
      </c>
      <c r="F43" s="14">
        <v>43.33</v>
      </c>
      <c r="G43" s="33">
        <f t="shared" si="27"/>
        <v>28.7</v>
      </c>
      <c r="H43" s="34">
        <f t="shared" si="28"/>
        <v>35.8339</v>
      </c>
      <c r="I43" s="34">
        <f t="shared" si="29"/>
        <v>0</v>
      </c>
      <c r="J43" s="34">
        <f t="shared" si="30"/>
        <v>0</v>
      </c>
      <c r="K43" s="34">
        <f t="shared" si="31"/>
        <v>0</v>
      </c>
      <c r="L43" s="34">
        <f t="shared" si="32"/>
        <v>64.5339</v>
      </c>
      <c r="M43" s="34">
        <f t="shared" si="33"/>
        <v>2796.253887</v>
      </c>
      <c r="N43" s="8"/>
      <c r="O43" s="14">
        <f t="shared" si="34"/>
        <v>64.5339</v>
      </c>
      <c r="P43" s="35">
        <v>29.13</v>
      </c>
      <c r="Q43" s="36">
        <v>0.03</v>
      </c>
      <c r="R43" s="35">
        <v>28.7</v>
      </c>
      <c r="S43" s="37">
        <v>5.83</v>
      </c>
      <c r="T43" s="15">
        <v>0</v>
      </c>
      <c r="U43" s="14">
        <f t="shared" si="35"/>
        <v>2796.253887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="1" customFormat="1" ht="72" customHeight="1" outlineLevel="2" spans="1:32">
      <c r="A44" s="12">
        <v>108</v>
      </c>
      <c r="B44" s="20">
        <v>31001005006</v>
      </c>
      <c r="C44" s="20" t="s">
        <v>210</v>
      </c>
      <c r="D44" s="20" t="s">
        <v>216</v>
      </c>
      <c r="E44" s="12" t="s">
        <v>67</v>
      </c>
      <c r="F44" s="14">
        <v>22.44</v>
      </c>
      <c r="G44" s="33">
        <f t="shared" si="27"/>
        <v>33.34</v>
      </c>
      <c r="H44" s="34">
        <f t="shared" si="28"/>
        <v>39.6469</v>
      </c>
      <c r="I44" s="34">
        <f t="shared" si="29"/>
        <v>0</v>
      </c>
      <c r="J44" s="34">
        <f t="shared" si="30"/>
        <v>0</v>
      </c>
      <c r="K44" s="34">
        <f t="shared" si="31"/>
        <v>0</v>
      </c>
      <c r="L44" s="34">
        <f t="shared" si="32"/>
        <v>72.9869</v>
      </c>
      <c r="M44" s="34">
        <f t="shared" si="33"/>
        <v>1637.826036</v>
      </c>
      <c r="N44" s="8"/>
      <c r="O44" s="14">
        <f t="shared" si="34"/>
        <v>72.9869</v>
      </c>
      <c r="P44" s="35">
        <v>32.23</v>
      </c>
      <c r="Q44" s="36">
        <v>0.03</v>
      </c>
      <c r="R44" s="35">
        <v>33.34</v>
      </c>
      <c r="S44" s="37">
        <v>6.45</v>
      </c>
      <c r="T44" s="15">
        <v>0</v>
      </c>
      <c r="U44" s="14">
        <f t="shared" si="35"/>
        <v>1637.826036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="1" customFormat="1" ht="72" customHeight="1" outlineLevel="2" spans="1:32">
      <c r="A45" s="23">
        <v>109</v>
      </c>
      <c r="B45" s="24">
        <v>31001005007</v>
      </c>
      <c r="C45" s="24" t="s">
        <v>210</v>
      </c>
      <c r="D45" s="24" t="s">
        <v>217</v>
      </c>
      <c r="E45" s="23" t="s">
        <v>67</v>
      </c>
      <c r="F45" s="25">
        <v>55.75</v>
      </c>
      <c r="G45" s="26">
        <f t="shared" si="27"/>
        <v>42.95</v>
      </c>
      <c r="H45" s="27">
        <f t="shared" si="28"/>
        <v>53.6689</v>
      </c>
      <c r="I45" s="27">
        <f t="shared" si="29"/>
        <v>0</v>
      </c>
      <c r="J45" s="27">
        <f t="shared" si="30"/>
        <v>0</v>
      </c>
      <c r="K45" s="27">
        <f t="shared" si="31"/>
        <v>0</v>
      </c>
      <c r="L45" s="27">
        <f t="shared" si="32"/>
        <v>96.6189</v>
      </c>
      <c r="M45" s="27">
        <f t="shared" si="33"/>
        <v>5386.503675</v>
      </c>
      <c r="N45" s="28"/>
      <c r="O45" s="14">
        <f t="shared" si="34"/>
        <v>96.6189</v>
      </c>
      <c r="P45" s="29">
        <v>43.63</v>
      </c>
      <c r="Q45" s="30">
        <v>0.03</v>
      </c>
      <c r="R45" s="29">
        <v>42.95</v>
      </c>
      <c r="S45" s="31">
        <v>8.73</v>
      </c>
      <c r="T45" s="32">
        <v>0</v>
      </c>
      <c r="U45" s="25">
        <f t="shared" si="35"/>
        <v>5386.503675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="1" customFormat="1" ht="72" customHeight="1" outlineLevel="2" spans="1:32">
      <c r="A46" s="23">
        <v>110</v>
      </c>
      <c r="B46" s="24">
        <v>31001005008</v>
      </c>
      <c r="C46" s="24" t="s">
        <v>210</v>
      </c>
      <c r="D46" s="24" t="s">
        <v>218</v>
      </c>
      <c r="E46" s="23" t="s">
        <v>67</v>
      </c>
      <c r="F46" s="25">
        <v>35.88</v>
      </c>
      <c r="G46" s="26">
        <f t="shared" si="27"/>
        <v>47.74</v>
      </c>
      <c r="H46" s="27">
        <f t="shared" si="28"/>
        <v>57.6049</v>
      </c>
      <c r="I46" s="27">
        <f t="shared" si="29"/>
        <v>0</v>
      </c>
      <c r="J46" s="27">
        <f t="shared" si="30"/>
        <v>0</v>
      </c>
      <c r="K46" s="27">
        <f t="shared" si="31"/>
        <v>0</v>
      </c>
      <c r="L46" s="27">
        <f t="shared" si="32"/>
        <v>105.3449</v>
      </c>
      <c r="M46" s="27">
        <f t="shared" si="33"/>
        <v>3779.775012</v>
      </c>
      <c r="N46" s="28"/>
      <c r="O46" s="14">
        <f t="shared" si="34"/>
        <v>105.3449</v>
      </c>
      <c r="P46" s="29">
        <v>46.83</v>
      </c>
      <c r="Q46" s="30">
        <v>0.03</v>
      </c>
      <c r="R46" s="29">
        <v>47.74</v>
      </c>
      <c r="S46" s="31">
        <v>9.37</v>
      </c>
      <c r="T46" s="32">
        <v>0</v>
      </c>
      <c r="U46" s="25">
        <f t="shared" si="35"/>
        <v>3779.775012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="1" customFormat="1" ht="48" customHeight="1" outlineLevel="2" spans="1:32">
      <c r="A47" s="12">
        <v>111</v>
      </c>
      <c r="B47" s="20">
        <v>31002001002</v>
      </c>
      <c r="C47" s="20" t="s">
        <v>219</v>
      </c>
      <c r="D47" s="20" t="s">
        <v>220</v>
      </c>
      <c r="E47" s="12" t="s">
        <v>80</v>
      </c>
      <c r="F47" s="14">
        <v>11</v>
      </c>
      <c r="G47" s="33">
        <f t="shared" si="27"/>
        <v>94</v>
      </c>
      <c r="H47" s="34">
        <f t="shared" si="28"/>
        <v>177</v>
      </c>
      <c r="I47" s="34">
        <f t="shared" si="29"/>
        <v>4.7</v>
      </c>
      <c r="J47" s="34">
        <f t="shared" si="30"/>
        <v>0</v>
      </c>
      <c r="K47" s="34">
        <f t="shared" si="31"/>
        <v>0</v>
      </c>
      <c r="L47" s="34">
        <f t="shared" si="32"/>
        <v>275.7</v>
      </c>
      <c r="M47" s="34">
        <f t="shared" si="33"/>
        <v>3032.7</v>
      </c>
      <c r="N47" s="8"/>
      <c r="O47" s="14">
        <f t="shared" si="34"/>
        <v>275.7</v>
      </c>
      <c r="P47" s="35">
        <v>118</v>
      </c>
      <c r="Q47" s="36">
        <v>0</v>
      </c>
      <c r="R47" s="35">
        <v>94</v>
      </c>
      <c r="S47" s="37">
        <v>59</v>
      </c>
      <c r="T47" s="15">
        <v>4.7</v>
      </c>
      <c r="U47" s="14">
        <f t="shared" si="35"/>
        <v>3032.7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="1" customFormat="1" ht="48" customHeight="1" outlineLevel="2" spans="1:32">
      <c r="A48" s="23">
        <v>112</v>
      </c>
      <c r="B48" s="24">
        <v>31002001003</v>
      </c>
      <c r="C48" s="24" t="s">
        <v>219</v>
      </c>
      <c r="D48" s="24" t="s">
        <v>221</v>
      </c>
      <c r="E48" s="23" t="s">
        <v>80</v>
      </c>
      <c r="F48" s="25">
        <v>12</v>
      </c>
      <c r="G48" s="26">
        <f t="shared" si="27"/>
        <v>94</v>
      </c>
      <c r="H48" s="27">
        <f t="shared" si="28"/>
        <v>177</v>
      </c>
      <c r="I48" s="27">
        <f t="shared" si="29"/>
        <v>4.7</v>
      </c>
      <c r="J48" s="27">
        <f t="shared" si="30"/>
        <v>0</v>
      </c>
      <c r="K48" s="27">
        <f t="shared" si="31"/>
        <v>0</v>
      </c>
      <c r="L48" s="27">
        <f t="shared" si="32"/>
        <v>275.7</v>
      </c>
      <c r="M48" s="27">
        <f t="shared" si="33"/>
        <v>3308.4</v>
      </c>
      <c r="N48" s="28"/>
      <c r="O48" s="14">
        <f t="shared" si="34"/>
        <v>275.7</v>
      </c>
      <c r="P48" s="29">
        <v>118</v>
      </c>
      <c r="Q48" s="30">
        <v>0</v>
      </c>
      <c r="R48" s="29">
        <v>94</v>
      </c>
      <c r="S48" s="31">
        <v>59</v>
      </c>
      <c r="T48" s="32">
        <v>4.7</v>
      </c>
      <c r="U48" s="25">
        <f t="shared" si="35"/>
        <v>3308.4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="1" customFormat="1" ht="48" customHeight="1" outlineLevel="2" spans="1:32">
      <c r="A49" s="23">
        <v>113</v>
      </c>
      <c r="B49" s="24">
        <v>31002001004</v>
      </c>
      <c r="C49" s="24" t="s">
        <v>219</v>
      </c>
      <c r="D49" s="24" t="s">
        <v>222</v>
      </c>
      <c r="E49" s="23" t="s">
        <v>80</v>
      </c>
      <c r="F49" s="25">
        <v>4</v>
      </c>
      <c r="G49" s="26">
        <f t="shared" si="27"/>
        <v>94</v>
      </c>
      <c r="H49" s="27">
        <f t="shared" si="28"/>
        <v>177</v>
      </c>
      <c r="I49" s="27">
        <f t="shared" si="29"/>
        <v>4.7</v>
      </c>
      <c r="J49" s="27">
        <f t="shared" si="30"/>
        <v>0</v>
      </c>
      <c r="K49" s="27">
        <f t="shared" si="31"/>
        <v>0</v>
      </c>
      <c r="L49" s="27">
        <f t="shared" si="32"/>
        <v>275.7</v>
      </c>
      <c r="M49" s="27">
        <f t="shared" si="33"/>
        <v>1102.8</v>
      </c>
      <c r="N49" s="28"/>
      <c r="O49" s="14">
        <f t="shared" si="34"/>
        <v>275.7</v>
      </c>
      <c r="P49" s="29">
        <v>118</v>
      </c>
      <c r="Q49" s="30">
        <v>0</v>
      </c>
      <c r="R49" s="29">
        <v>94</v>
      </c>
      <c r="S49" s="31">
        <v>59</v>
      </c>
      <c r="T49" s="32">
        <v>4.7</v>
      </c>
      <c r="U49" s="25">
        <f t="shared" si="35"/>
        <v>1102.8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="1" customFormat="1" ht="72" customHeight="1" outlineLevel="2" spans="1:32">
      <c r="A50" s="12">
        <v>114</v>
      </c>
      <c r="B50" s="20">
        <v>31001008011</v>
      </c>
      <c r="C50" s="20" t="s">
        <v>223</v>
      </c>
      <c r="D50" s="20" t="s">
        <v>224</v>
      </c>
      <c r="E50" s="12" t="s">
        <v>67</v>
      </c>
      <c r="F50" s="14">
        <v>45.57</v>
      </c>
      <c r="G50" s="33">
        <f t="shared" si="27"/>
        <v>18</v>
      </c>
      <c r="H50" s="34">
        <f t="shared" si="28"/>
        <v>4.76</v>
      </c>
      <c r="I50" s="34">
        <f t="shared" si="29"/>
        <v>0.04</v>
      </c>
      <c r="J50" s="34">
        <f t="shared" si="30"/>
        <v>0</v>
      </c>
      <c r="K50" s="34">
        <f t="shared" si="31"/>
        <v>0</v>
      </c>
      <c r="L50" s="34">
        <f t="shared" si="32"/>
        <v>22.8</v>
      </c>
      <c r="M50" s="34">
        <f t="shared" si="33"/>
        <v>1038.996</v>
      </c>
      <c r="N50" s="8"/>
      <c r="O50" s="14">
        <f t="shared" si="34"/>
        <v>22.8</v>
      </c>
      <c r="P50" s="35">
        <v>4.5</v>
      </c>
      <c r="Q50" s="36">
        <v>0</v>
      </c>
      <c r="R50" s="35">
        <v>18</v>
      </c>
      <c r="S50" s="37">
        <v>0.26</v>
      </c>
      <c r="T50" s="15">
        <v>0.04</v>
      </c>
      <c r="U50" s="14">
        <f t="shared" si="35"/>
        <v>1038.996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="1" customFormat="1" ht="72" customHeight="1" outlineLevel="2" spans="1:32">
      <c r="A51" s="12">
        <v>115</v>
      </c>
      <c r="B51" s="20">
        <v>31001008012</v>
      </c>
      <c r="C51" s="20" t="s">
        <v>223</v>
      </c>
      <c r="D51" s="20" t="s">
        <v>225</v>
      </c>
      <c r="E51" s="12" t="s">
        <v>67</v>
      </c>
      <c r="F51" s="14">
        <v>63.86</v>
      </c>
      <c r="G51" s="33">
        <f t="shared" si="27"/>
        <v>22.09</v>
      </c>
      <c r="H51" s="34">
        <f t="shared" si="28"/>
        <v>8.76</v>
      </c>
      <c r="I51" s="34">
        <f t="shared" si="29"/>
        <v>0.04</v>
      </c>
      <c r="J51" s="34">
        <f t="shared" si="30"/>
        <v>0</v>
      </c>
      <c r="K51" s="34">
        <f t="shared" si="31"/>
        <v>0</v>
      </c>
      <c r="L51" s="34">
        <f t="shared" si="32"/>
        <v>30.89</v>
      </c>
      <c r="M51" s="34">
        <f t="shared" si="33"/>
        <v>1972.6354</v>
      </c>
      <c r="N51" s="8"/>
      <c r="O51" s="14">
        <f t="shared" si="34"/>
        <v>30.89</v>
      </c>
      <c r="P51" s="35">
        <v>8.5</v>
      </c>
      <c r="Q51" s="36">
        <v>0</v>
      </c>
      <c r="R51" s="35">
        <v>22.09</v>
      </c>
      <c r="S51" s="37">
        <v>0.26</v>
      </c>
      <c r="T51" s="15">
        <v>0.04</v>
      </c>
      <c r="U51" s="14">
        <f t="shared" si="35"/>
        <v>1972.6354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="1" customFormat="1" ht="72" customHeight="1" outlineLevel="2" spans="1:32">
      <c r="A52" s="12">
        <v>116</v>
      </c>
      <c r="B52" s="20">
        <v>31001008013</v>
      </c>
      <c r="C52" s="20" t="s">
        <v>223</v>
      </c>
      <c r="D52" s="20" t="s">
        <v>226</v>
      </c>
      <c r="E52" s="12" t="s">
        <v>67</v>
      </c>
      <c r="F52" s="14">
        <v>44.21</v>
      </c>
      <c r="G52" s="33">
        <f t="shared" si="27"/>
        <v>23.68</v>
      </c>
      <c r="H52" s="34">
        <f t="shared" si="28"/>
        <v>11.86</v>
      </c>
      <c r="I52" s="34">
        <f t="shared" si="29"/>
        <v>0.05</v>
      </c>
      <c r="J52" s="34">
        <f t="shared" si="30"/>
        <v>0</v>
      </c>
      <c r="K52" s="34">
        <f t="shared" si="31"/>
        <v>0</v>
      </c>
      <c r="L52" s="34">
        <f t="shared" si="32"/>
        <v>35.59</v>
      </c>
      <c r="M52" s="34">
        <f t="shared" si="33"/>
        <v>1573.4339</v>
      </c>
      <c r="N52" s="8"/>
      <c r="O52" s="14">
        <f t="shared" si="34"/>
        <v>35.59</v>
      </c>
      <c r="P52" s="35">
        <v>11.59</v>
      </c>
      <c r="Q52" s="36">
        <v>0</v>
      </c>
      <c r="R52" s="35">
        <v>23.68</v>
      </c>
      <c r="S52" s="37">
        <v>0.27</v>
      </c>
      <c r="T52" s="15">
        <v>0.05</v>
      </c>
      <c r="U52" s="14">
        <f t="shared" si="35"/>
        <v>1573.4339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="1" customFormat="1" ht="72" customHeight="1" outlineLevel="2" spans="1:32">
      <c r="A53" s="12">
        <v>117</v>
      </c>
      <c r="B53" s="20">
        <v>31001008014</v>
      </c>
      <c r="C53" s="20" t="s">
        <v>223</v>
      </c>
      <c r="D53" s="20" t="s">
        <v>227</v>
      </c>
      <c r="E53" s="12" t="s">
        <v>67</v>
      </c>
      <c r="F53" s="14">
        <v>45.78</v>
      </c>
      <c r="G53" s="33">
        <f t="shared" si="27"/>
        <v>23.68</v>
      </c>
      <c r="H53" s="34">
        <f t="shared" si="28"/>
        <v>20.44</v>
      </c>
      <c r="I53" s="34">
        <f t="shared" si="29"/>
        <v>0.06</v>
      </c>
      <c r="J53" s="34">
        <f t="shared" si="30"/>
        <v>0</v>
      </c>
      <c r="K53" s="34">
        <f t="shared" si="31"/>
        <v>0</v>
      </c>
      <c r="L53" s="34">
        <f t="shared" si="32"/>
        <v>44.18</v>
      </c>
      <c r="M53" s="34">
        <f t="shared" si="33"/>
        <v>2022.5604</v>
      </c>
      <c r="N53" s="8"/>
      <c r="O53" s="14">
        <f t="shared" si="34"/>
        <v>44.18</v>
      </c>
      <c r="P53" s="35">
        <v>20.12</v>
      </c>
      <c r="Q53" s="36">
        <v>0</v>
      </c>
      <c r="R53" s="35">
        <v>23.68</v>
      </c>
      <c r="S53" s="37">
        <v>0.32</v>
      </c>
      <c r="T53" s="15">
        <v>0.06</v>
      </c>
      <c r="U53" s="14">
        <f t="shared" si="35"/>
        <v>2022.5604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="1" customFormat="1" ht="72" customHeight="1" outlineLevel="2" spans="1:32">
      <c r="A54" s="23">
        <v>118</v>
      </c>
      <c r="B54" s="24">
        <v>31001008015</v>
      </c>
      <c r="C54" s="24" t="s">
        <v>223</v>
      </c>
      <c r="D54" s="24" t="s">
        <v>228</v>
      </c>
      <c r="E54" s="23" t="s">
        <v>67</v>
      </c>
      <c r="F54" s="25">
        <v>3.47</v>
      </c>
      <c r="G54" s="26">
        <f t="shared" si="27"/>
        <v>24</v>
      </c>
      <c r="H54" s="27">
        <f t="shared" si="28"/>
        <v>16.27</v>
      </c>
      <c r="I54" s="27">
        <f t="shared" si="29"/>
        <v>0.23</v>
      </c>
      <c r="J54" s="27">
        <f t="shared" si="30"/>
        <v>0</v>
      </c>
      <c r="K54" s="27">
        <f t="shared" si="31"/>
        <v>0</v>
      </c>
      <c r="L54" s="27">
        <f t="shared" si="32"/>
        <v>40.5</v>
      </c>
      <c r="M54" s="27">
        <f t="shared" si="33"/>
        <v>140.535</v>
      </c>
      <c r="N54" s="28"/>
      <c r="O54" s="14">
        <f t="shared" si="34"/>
        <v>40.5</v>
      </c>
      <c r="P54" s="29">
        <v>15</v>
      </c>
      <c r="Q54" s="30">
        <v>0</v>
      </c>
      <c r="R54" s="29">
        <v>24</v>
      </c>
      <c r="S54" s="31">
        <v>1.27</v>
      </c>
      <c r="T54" s="32">
        <v>0.23</v>
      </c>
      <c r="U54" s="25">
        <f t="shared" si="35"/>
        <v>140.535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="1" customFormat="1" ht="60" customHeight="1" outlineLevel="2" spans="1:32">
      <c r="A55" s="12">
        <v>119</v>
      </c>
      <c r="B55" s="20">
        <v>31208002001</v>
      </c>
      <c r="C55" s="20" t="s">
        <v>229</v>
      </c>
      <c r="D55" s="20" t="s">
        <v>230</v>
      </c>
      <c r="E55" s="12" t="s">
        <v>231</v>
      </c>
      <c r="F55" s="14">
        <v>0.76</v>
      </c>
      <c r="G55" s="33">
        <f t="shared" si="27"/>
        <v>120</v>
      </c>
      <c r="H55" s="34">
        <f t="shared" si="28"/>
        <v>410</v>
      </c>
      <c r="I55" s="34">
        <f t="shared" si="29"/>
        <v>5</v>
      </c>
      <c r="J55" s="34">
        <f t="shared" si="30"/>
        <v>0</v>
      </c>
      <c r="K55" s="34">
        <f t="shared" si="31"/>
        <v>0</v>
      </c>
      <c r="L55" s="34">
        <f t="shared" si="32"/>
        <v>535</v>
      </c>
      <c r="M55" s="34">
        <f t="shared" si="33"/>
        <v>406.6</v>
      </c>
      <c r="N55" s="8"/>
      <c r="O55" s="14">
        <f t="shared" si="34"/>
        <v>535</v>
      </c>
      <c r="P55" s="35">
        <v>400</v>
      </c>
      <c r="Q55" s="36">
        <v>0</v>
      </c>
      <c r="R55" s="35">
        <v>120</v>
      </c>
      <c r="S55" s="37">
        <v>10</v>
      </c>
      <c r="T55" s="15">
        <v>5</v>
      </c>
      <c r="U55" s="14">
        <f t="shared" si="35"/>
        <v>406.6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="1" customFormat="1" ht="60" customHeight="1" outlineLevel="2" spans="1:32">
      <c r="A56" s="23">
        <v>120</v>
      </c>
      <c r="B56" s="24">
        <v>31208002002</v>
      </c>
      <c r="C56" s="24" t="s">
        <v>229</v>
      </c>
      <c r="D56" s="24" t="s">
        <v>232</v>
      </c>
      <c r="E56" s="23" t="s">
        <v>231</v>
      </c>
      <c r="F56" s="25">
        <v>0.45</v>
      </c>
      <c r="G56" s="26">
        <f t="shared" si="27"/>
        <v>120</v>
      </c>
      <c r="H56" s="27">
        <f t="shared" si="28"/>
        <v>410</v>
      </c>
      <c r="I56" s="27">
        <f t="shared" si="29"/>
        <v>5</v>
      </c>
      <c r="J56" s="27">
        <f t="shared" si="30"/>
        <v>0</v>
      </c>
      <c r="K56" s="27">
        <f t="shared" si="31"/>
        <v>0</v>
      </c>
      <c r="L56" s="27">
        <f t="shared" si="32"/>
        <v>535</v>
      </c>
      <c r="M56" s="27">
        <f t="shared" si="33"/>
        <v>240.75</v>
      </c>
      <c r="N56" s="28"/>
      <c r="O56" s="14">
        <f t="shared" si="34"/>
        <v>535</v>
      </c>
      <c r="P56" s="29">
        <v>400</v>
      </c>
      <c r="Q56" s="30">
        <v>0</v>
      </c>
      <c r="R56" s="29">
        <v>120</v>
      </c>
      <c r="S56" s="31">
        <v>10</v>
      </c>
      <c r="T56" s="32">
        <v>5</v>
      </c>
      <c r="U56" s="25">
        <f t="shared" si="35"/>
        <v>240.75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="1" customFormat="1" ht="60" customHeight="1" outlineLevel="2" spans="1:32">
      <c r="A57" s="12">
        <v>121</v>
      </c>
      <c r="B57" s="20">
        <v>31208002003</v>
      </c>
      <c r="C57" s="20" t="s">
        <v>229</v>
      </c>
      <c r="D57" s="20" t="s">
        <v>233</v>
      </c>
      <c r="E57" s="12" t="s">
        <v>231</v>
      </c>
      <c r="F57" s="14">
        <v>0.44</v>
      </c>
      <c r="G57" s="33">
        <f t="shared" si="27"/>
        <v>120</v>
      </c>
      <c r="H57" s="34">
        <f t="shared" si="28"/>
        <v>410</v>
      </c>
      <c r="I57" s="34">
        <f t="shared" si="29"/>
        <v>5</v>
      </c>
      <c r="J57" s="34">
        <f t="shared" si="30"/>
        <v>0</v>
      </c>
      <c r="K57" s="34">
        <f t="shared" si="31"/>
        <v>0</v>
      </c>
      <c r="L57" s="34">
        <f t="shared" si="32"/>
        <v>535</v>
      </c>
      <c r="M57" s="34">
        <f t="shared" si="33"/>
        <v>235.4</v>
      </c>
      <c r="N57" s="8"/>
      <c r="O57" s="14">
        <f t="shared" si="34"/>
        <v>535</v>
      </c>
      <c r="P57" s="35">
        <v>400</v>
      </c>
      <c r="Q57" s="36">
        <v>0</v>
      </c>
      <c r="R57" s="35">
        <v>120</v>
      </c>
      <c r="S57" s="37">
        <v>10</v>
      </c>
      <c r="T57" s="15">
        <v>5</v>
      </c>
      <c r="U57" s="14">
        <f t="shared" si="35"/>
        <v>235.4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="1" customFormat="1" ht="60" customHeight="1" outlineLevel="2" spans="1:32">
      <c r="A58" s="23">
        <v>122</v>
      </c>
      <c r="B58" s="24">
        <v>31301005002</v>
      </c>
      <c r="C58" s="24" t="s">
        <v>234</v>
      </c>
      <c r="D58" s="24" t="s">
        <v>235</v>
      </c>
      <c r="E58" s="23" t="s">
        <v>236</v>
      </c>
      <c r="F58" s="25">
        <v>214.86</v>
      </c>
      <c r="G58" s="26">
        <f t="shared" si="27"/>
        <v>1.5</v>
      </c>
      <c r="H58" s="27">
        <f t="shared" si="28"/>
        <v>7.5</v>
      </c>
      <c r="I58" s="27">
        <f t="shared" si="29"/>
        <v>0.3</v>
      </c>
      <c r="J58" s="27">
        <f t="shared" si="30"/>
        <v>0</v>
      </c>
      <c r="K58" s="27">
        <f t="shared" si="31"/>
        <v>0</v>
      </c>
      <c r="L58" s="27">
        <f t="shared" si="32"/>
        <v>9.3</v>
      </c>
      <c r="M58" s="27">
        <f t="shared" si="33"/>
        <v>1998.198</v>
      </c>
      <c r="N58" s="28"/>
      <c r="O58" s="14">
        <f t="shared" si="34"/>
        <v>9.3</v>
      </c>
      <c r="P58" s="29">
        <v>7</v>
      </c>
      <c r="Q58" s="30">
        <v>0</v>
      </c>
      <c r="R58" s="29">
        <v>1.5</v>
      </c>
      <c r="S58" s="31">
        <v>0.5</v>
      </c>
      <c r="T58" s="32">
        <v>0.3</v>
      </c>
      <c r="U58" s="25">
        <f t="shared" si="35"/>
        <v>1998.198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95" customHeight="1" spans="1:32">
      <c r="A59" s="38"/>
      <c r="B59" s="39" t="s">
        <v>121</v>
      </c>
      <c r="C59" s="39"/>
      <c r="D59" s="39"/>
      <c r="E59" s="40" t="s">
        <v>122</v>
      </c>
      <c r="F59" s="40"/>
      <c r="G59" s="41"/>
      <c r="H59" s="42"/>
      <c r="I59" s="42"/>
      <c r="J59" s="42"/>
      <c r="K59" s="42"/>
      <c r="L59" s="42"/>
      <c r="M59" s="43">
        <f>SUM(M4:M58)</f>
        <v>582528.538552</v>
      </c>
      <c r="N59" s="21"/>
      <c r="O59" s="21"/>
      <c r="P59" s="21"/>
      <c r="Q59" s="22"/>
      <c r="R59" s="21"/>
      <c r="S59" s="21"/>
      <c r="T59" s="21"/>
      <c r="U59" s="21"/>
    </row>
    <row r="60" ht="24.95" customHeight="1" spans="1:32">
      <c r="A60" s="38"/>
      <c r="B60" s="39" t="s">
        <v>123</v>
      </c>
      <c r="C60" s="39"/>
      <c r="D60" s="39"/>
      <c r="E60" s="40" t="s">
        <v>122</v>
      </c>
      <c r="F60" s="40"/>
      <c r="G60" s="41"/>
      <c r="H60" s="42"/>
      <c r="I60" s="42"/>
      <c r="J60" s="42"/>
      <c r="K60" s="42"/>
      <c r="L60" s="42"/>
      <c r="M60" s="43">
        <f>$M$59*0.09</f>
        <v>52427.56846968</v>
      </c>
      <c r="N60" s="21"/>
      <c r="O60" s="21"/>
      <c r="P60" s="21"/>
      <c r="Q60" s="22"/>
      <c r="R60" s="21"/>
      <c r="S60" s="21"/>
      <c r="T60" s="21"/>
      <c r="U60" s="21"/>
    </row>
    <row r="61" ht="24.95" customHeight="1" spans="1:32">
      <c r="A61" s="38"/>
      <c r="B61" s="39" t="s">
        <v>3</v>
      </c>
      <c r="C61" s="39"/>
      <c r="D61" s="39"/>
      <c r="E61" s="40" t="s">
        <v>122</v>
      </c>
      <c r="F61" s="40"/>
      <c r="G61" s="41"/>
      <c r="H61" s="42"/>
      <c r="I61" s="42"/>
      <c r="J61" s="42"/>
      <c r="K61" s="42"/>
      <c r="L61" s="42"/>
      <c r="M61" s="43">
        <f>$M$59+$M$60</f>
        <v>634956.10702168</v>
      </c>
      <c r="N61" s="21"/>
      <c r="O61" s="21"/>
      <c r="P61" s="21"/>
      <c r="Q61" s="22"/>
      <c r="R61" s="21"/>
      <c r="S61" s="21"/>
      <c r="T61" s="21"/>
      <c r="U61" s="21"/>
    </row>
  </sheetData>
  <autoFilter xmlns:etc="http://www.wps.cn/officeDocument/2017/etCustomData" ref="A2:AF61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汇总表</vt:lpstr>
      <vt:lpstr>电气工程</vt:lpstr>
      <vt:lpstr>给排水工程</vt:lpstr>
      <vt:lpstr>空调工程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guangwan</dc:creator>
  <cp:lastModifiedBy>叶渭淋</cp:lastModifiedBy>
  <dcterms:created xsi:type="dcterms:W3CDTF">2026-08-26T03:00:00Z</dcterms:created>
  <dcterms:modified xsi:type="dcterms:W3CDTF">2026-08-26T03:20:42Z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DF9BD90DAE6F4C9B84EA92DC19282451_11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