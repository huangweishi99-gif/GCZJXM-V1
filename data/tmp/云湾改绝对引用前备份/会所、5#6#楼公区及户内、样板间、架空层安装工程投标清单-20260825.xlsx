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07" firstSheet="0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架空层安装工程" sheetId="2" state="visible" r:id="rId2"/>
    <sheet xmlns:r="http://schemas.openxmlformats.org/officeDocument/2006/relationships" name="会所售楼部安装工程" sheetId="3" state="visible" r:id="rId3"/>
    <sheet xmlns:r="http://schemas.openxmlformats.org/officeDocument/2006/relationships" name="样板房安装工程" sheetId="4" state="visible" r:id="rId4"/>
    <sheet xmlns:r="http://schemas.openxmlformats.org/officeDocument/2006/relationships" name="公共区域安装工程" sheetId="5" state="visible" r:id="rId5"/>
    <sheet xmlns:r="http://schemas.openxmlformats.org/officeDocument/2006/relationships" name="户内交标安装工程" sheetId="6" state="visible" r:id="rId6"/>
    <sheet xmlns:r="http://schemas.openxmlformats.org/officeDocument/2006/relationships" name="会所售楼处消防电工程" sheetId="7" state="visible" r:id="rId7"/>
    <sheet xmlns:r="http://schemas.openxmlformats.org/officeDocument/2006/relationships" name="会所售楼处消防水工程" sheetId="8" state="visible" r:id="rId8"/>
    <sheet xmlns:r="http://schemas.openxmlformats.org/officeDocument/2006/relationships" name="项目甲供清单" sheetId="9" state="visible" r:id="rId9"/>
  </sheets>
  <definedNames>
    <definedName name="_xlnm.Print_Titles" localSheetId="0">'汇总表'!$1:$2</definedName>
    <definedName name="_xlnm._FilterDatabase" localSheetId="1" hidden="1">'架空层安装工程'!$A$2:$U$62</definedName>
    <definedName name="_xlnm.Print_Titles" localSheetId="1">'架空层安装工程'!$1:$3</definedName>
    <definedName name="_xlnm.Print_Area" localSheetId="1">'架空层安装工程'!$A$1:$M$62</definedName>
    <definedName name="_xlnm._FilterDatabase" localSheetId="2" hidden="1">'会所售楼部安装工程'!$A$2:$AF$141</definedName>
    <definedName name="_xlnm.Print_Titles" localSheetId="2">'会所售楼部安装工程'!$1:$3</definedName>
    <definedName name="_xlnm.Print_Area" localSheetId="2">'会所售楼部安装工程'!$A$1:$M$141</definedName>
    <definedName name="_xlnm._FilterDatabase" localSheetId="3" hidden="1">'样板房安装工程'!$A$2:$U$261</definedName>
    <definedName name="_xlnm.Print_Titles" localSheetId="3">'样板房安装工程'!$1:$3</definedName>
    <definedName name="_xlnm.Print_Area" localSheetId="3">'样板房安装工程'!$A$1:$M$261</definedName>
    <definedName name="_xlnm._FilterDatabase" localSheetId="4" hidden="1">'公共区域安装工程'!$A$2:$U$25</definedName>
    <definedName name="_xlnm.Print_Titles" localSheetId="4">'公共区域安装工程'!$1:$3</definedName>
    <definedName name="_xlnm.Print_Area" localSheetId="4">'公共区域安装工程'!$A$1:$M$25</definedName>
    <definedName name="_xlnm._FilterDatabase" localSheetId="5" hidden="1">'户内交标安装工程'!$A$2:$GKM$66</definedName>
    <definedName name="_xlnm.Print_Titles" localSheetId="5">'户内交标安装工程'!$1:$3</definedName>
    <definedName name="_xlnm.Print_Area" localSheetId="5">'户内交标安装工程'!$A$1:$M$66</definedName>
    <definedName name="_xlnm._FilterDatabase" localSheetId="6" hidden="1">'会所售楼处消防电工程'!$A$2:$U$24</definedName>
    <definedName name="_xlnm.Print_Titles" localSheetId="6">'会所售楼处消防电工程'!$1:$3</definedName>
    <definedName name="_xlnm.Print_Area" localSheetId="6">'会所售楼处消防电工程'!$A$1:$M$24</definedName>
    <definedName name="_xlnm._FilterDatabase" localSheetId="7" hidden="1">'会所售楼处消防水工程'!$A$2:$U$20</definedName>
    <definedName name="_xlnm.Print_Titles" localSheetId="7">'会所售楼处消防水工程'!$1:$3</definedName>
    <definedName name="_xlnm.Print_Area" localSheetId="7">'会所售楼处消防水工程'!$A$1:$M$20</definedName>
    <definedName name="_xlnm.Print_Titles" localSheetId="8">'项目甲供清单'!$1:$2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37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仿宋"/>
      <charset val="134"/>
      <color theme="1"/>
      <sz val="11"/>
    </font>
    <font>
      <name val="黑体"/>
      <charset val="134"/>
      <sz val="10"/>
    </font>
    <font>
      <name val="黑体"/>
      <charset val="134"/>
      <color theme="1"/>
      <sz val="10"/>
    </font>
    <font>
      <name val="黑体"/>
      <charset val="134"/>
      <sz val="14"/>
    </font>
    <font>
      <name val="黑体"/>
      <charset val="134"/>
      <color theme="1"/>
      <sz val="9"/>
    </font>
    <font>
      <name val="黑体"/>
      <charset val="134"/>
      <color rgb="FF002060"/>
      <sz val="10"/>
    </font>
    <font>
      <name val="黑体"/>
      <charset val="134"/>
      <b val="1"/>
      <sz val="9"/>
    </font>
    <font>
      <name val="黑体"/>
      <charset val="134"/>
      <b val="1"/>
      <sz val="10"/>
    </font>
    <font>
      <name val="宋体"/>
      <charset val="134"/>
      <color theme="1"/>
      <sz val="10"/>
      <scheme val="minor"/>
    </font>
    <font>
      <name val="宋体"/>
      <charset val="134"/>
      <sz val="10"/>
    </font>
    <font>
      <name val="SimSun"/>
      <charset val="134"/>
      <b val="1"/>
      <sz val="9"/>
    </font>
    <font>
      <name val="SimSun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FFF8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4" borderId="6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7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5" borderId="9" applyAlignment="1">
      <alignment vertical="center"/>
    </xf>
    <xf numFmtId="0" fontId="26" fillId="6" borderId="10" applyAlignment="1">
      <alignment vertical="center"/>
    </xf>
    <xf numFmtId="0" fontId="27" fillId="6" borderId="9" applyAlignment="1">
      <alignment vertical="center"/>
    </xf>
    <xf numFmtId="0" fontId="28" fillId="7" borderId="11" applyAlignment="1">
      <alignment vertical="center"/>
    </xf>
    <xf numFmtId="0" fontId="29" fillId="0" borderId="12" applyAlignment="1">
      <alignment vertical="center"/>
    </xf>
    <xf numFmtId="0" fontId="30" fillId="0" borderId="13" applyAlignment="1">
      <alignment vertical="center"/>
    </xf>
    <xf numFmtId="0" fontId="31" fillId="8" borderId="0" applyAlignment="1">
      <alignment vertical="center"/>
    </xf>
    <xf numFmtId="0" fontId="32" fillId="9" borderId="0" applyAlignment="1">
      <alignment vertical="center"/>
    </xf>
    <xf numFmtId="0" fontId="33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35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4" fillId="34" borderId="0" applyAlignment="1">
      <alignment vertical="center"/>
    </xf>
    <xf numFmtId="0" fontId="36" fillId="0" borderId="0"/>
  </cellStyleXfs>
  <cellXfs count="1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2" applyAlignment="1" pivotButton="0" quotePrefix="0" xfId="49">
      <alignment horizontal="center" vertical="center" wrapText="1"/>
    </xf>
    <xf numFmtId="10" fontId="5" fillId="0" borderId="2" applyAlignment="1" pivotButton="0" quotePrefix="0" xfId="49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3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8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6" fillId="2" borderId="1" applyAlignment="1" pivotButton="0" quotePrefix="0" xfId="49">
      <alignment horizontal="center" vertical="center" wrapText="1"/>
    </xf>
    <xf numFmtId="10" fontId="6" fillId="2" borderId="1" applyAlignment="1" pivotButton="0" quotePrefix="0" xfId="49">
      <alignment horizontal="center" vertical="center" wrapText="1"/>
    </xf>
    <xf numFmtId="164" fontId="9" fillId="2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49">
      <alignment horizontal="center" vertical="center" wrapText="1"/>
    </xf>
    <xf numFmtId="10" fontId="5" fillId="0" borderId="1" applyAlignment="1" pivotButton="0" quotePrefix="0" xfId="49">
      <alignment horizontal="center" vertical="center" wrapText="1"/>
    </xf>
    <xf numFmtId="165" fontId="5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5" fillId="0" borderId="0" pivotButton="0" quotePrefix="0" xfId="0"/>
    <xf numFmtId="164" fontId="5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/>
    </xf>
    <xf numFmtId="10" fontId="5" fillId="0" borderId="0" applyAlignment="1" pivotButton="0" quotePrefix="0" xfId="0">
      <alignment horizontal="center"/>
    </xf>
    <xf numFmtId="164" fontId="12" fillId="0" borderId="3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wrapText="1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 wrapText="1"/>
    </xf>
    <xf numFmtId="1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10" fontId="5" fillId="0" borderId="1" applyAlignment="1" pivotButton="0" quotePrefix="0" xfId="3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16" pivotButton="0" quotePrefix="0" xfId="0"/>
    <xf numFmtId="16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 wrapText="1"/>
    </xf>
    <xf numFmtId="164" fontId="5" fillId="0" borderId="1" applyAlignment="1" pivotButton="0" quotePrefix="0" xfId="49">
      <alignment horizontal="center" vertical="center" wrapText="1"/>
    </xf>
    <xf numFmtId="0" fontId="0" fillId="0" borderId="17" pivotButton="0" quotePrefix="0" xfId="0"/>
    <xf numFmtId="164" fontId="5" fillId="0" borderId="1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164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164" fontId="6" fillId="2" borderId="1" applyAlignment="1" pivotButton="0" quotePrefix="0" xfId="49">
      <alignment horizontal="center" vertical="center" wrapText="1"/>
    </xf>
    <xf numFmtId="164" fontId="9" fillId="2" borderId="1" applyAlignment="1" applyProtection="1" pivotButton="0" quotePrefix="0" xfId="0">
      <alignment horizontal="center" vertical="center" wrapText="1"/>
      <protection locked="0" hidden="0"/>
    </xf>
    <xf numFmtId="0" fontId="5" fillId="35" borderId="1" applyAlignment="1" pivotButton="0" quotePrefix="0" xfId="0">
      <alignment horizontal="center" vertical="center" wrapText="1"/>
    </xf>
    <xf numFmtId="164" fontId="5" fillId="35" borderId="1" applyAlignment="1" pivotButton="0" quotePrefix="0" xfId="0">
      <alignment horizontal="center" vertical="center" wrapText="1"/>
    </xf>
    <xf numFmtId="164" fontId="5" fillId="35" borderId="1" applyAlignment="1" pivotButton="0" quotePrefix="0" xfId="0">
      <alignment horizontal="left" vertical="center" wrapText="1"/>
    </xf>
    <xf numFmtId="164" fontId="6" fillId="35" borderId="3" applyAlignment="1" pivotButton="0" quotePrefix="0" xfId="0">
      <alignment horizontal="center" vertical="center" wrapText="1"/>
    </xf>
    <xf numFmtId="164" fontId="5" fillId="35" borderId="3" applyAlignment="1" pivotButton="0" quotePrefix="0" xfId="0">
      <alignment horizontal="center" vertical="center" wrapText="1"/>
    </xf>
    <xf numFmtId="164" fontId="5" fillId="35" borderId="0" applyAlignment="1" pivotButton="0" quotePrefix="0" xfId="0">
      <alignment horizontal="center" vertical="center" wrapText="1"/>
    </xf>
    <xf numFmtId="164" fontId="6" fillId="35" borderId="1" applyAlignment="1" pivotButton="0" quotePrefix="0" xfId="49">
      <alignment horizontal="center" vertical="center" wrapText="1"/>
    </xf>
    <xf numFmtId="10" fontId="6" fillId="35" borderId="1" applyAlignment="1" pivotButton="0" quotePrefix="0" xfId="49">
      <alignment horizontal="center" vertical="center" wrapText="1"/>
    </xf>
    <xf numFmtId="164" fontId="9" fillId="35" borderId="1" applyAlignment="1" applyProtection="1" pivotButton="0" quotePrefix="0" xfId="0">
      <alignment horizontal="center" vertical="center" wrapText="1"/>
      <protection locked="0" hidden="0"/>
    </xf>
    <xf numFmtId="164" fontId="5" fillId="35" borderId="1" applyAlignment="1" applyProtection="1" pivotButton="0" quotePrefix="0" xfId="0">
      <alignment horizontal="center" vertical="center" wrapText="1"/>
      <protection locked="0" hidden="0"/>
    </xf>
    <xf numFmtId="164" fontId="6" fillId="0" borderId="3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4" fontId="5" fillId="0" borderId="2" applyAlignment="1" pivotButton="0" quotePrefix="0" xfId="49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5" fillId="0" borderId="1" applyAlignment="1" pivotButton="0" quotePrefix="0" xfId="3">
      <alignment horizontal="center" vertical="center" wrapText="1"/>
    </xf>
    <xf numFmtId="164" fontId="5" fillId="0" borderId="1" applyAlignment="1" pivotButton="0" quotePrefix="0" xfId="0">
      <alignment horizontal="center"/>
    </xf>
    <xf numFmtId="0" fontId="5" fillId="35" borderId="1" applyAlignment="1" pivotButton="0" quotePrefix="0" xfId="0">
      <alignment horizontal="left" vertical="center" wrapText="1"/>
    </xf>
    <xf numFmtId="164" fontId="12" fillId="35" borderId="3" applyAlignment="1" pivotButton="0" quotePrefix="0" xfId="0">
      <alignment horizontal="center" vertical="center" wrapText="1"/>
    </xf>
    <xf numFmtId="164" fontId="13" fillId="35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164" fontId="5" fillId="0" borderId="0" pivotButton="0" quotePrefix="0" xfId="0"/>
    <xf numFmtId="164" fontId="5" fillId="0" borderId="1" applyAlignment="1" pivotButton="0" quotePrefix="0" xfId="0">
      <alignment horizontal="right" vertical="center" wrapText="1"/>
    </xf>
    <xf numFmtId="164" fontId="5" fillId="35" borderId="1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35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8" fillId="35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view="pageBreakPreview" zoomScaleNormal="100" workbookViewId="0">
      <selection activeCell="I9" sqref="I9"/>
    </sheetView>
  </sheetViews>
  <sheetFormatPr baseColWidth="8" defaultColWidth="9" defaultRowHeight="13.5"/>
  <cols>
    <col width="8" customWidth="1" style="82" min="1" max="1"/>
    <col width="23.875" customWidth="1" style="82" min="2" max="2"/>
    <col width="18.25" customWidth="1" style="93" min="3" max="3"/>
    <col hidden="1" width="14.625" customWidth="1" style="93" min="4" max="4"/>
    <col width="16.125" customWidth="1" style="93" min="5" max="5"/>
    <col width="12.875" customWidth="1" style="94" min="6" max="6"/>
    <col width="10.55" customWidth="1" style="94" min="7" max="7"/>
    <col width="12.8166666666667" customWidth="1" style="94" min="8" max="8"/>
    <col width="9" customWidth="1" style="94" min="9" max="17"/>
  </cols>
  <sheetData>
    <row r="1" ht="30" customHeight="1" s="95">
      <c r="A1" s="86" t="inlineStr">
        <is>
          <t>汇总表</t>
        </is>
      </c>
    </row>
    <row r="2" ht="30" customHeight="1" s="95">
      <c r="A2" s="88" t="inlineStr">
        <is>
          <t>序号</t>
        </is>
      </c>
      <c r="B2" s="88" t="inlineStr">
        <is>
          <t>单位工程</t>
        </is>
      </c>
      <c r="C2" s="96" t="inlineStr">
        <is>
          <t>含税合价</t>
        </is>
      </c>
      <c r="D2" s="97" t="inlineStr">
        <is>
          <t>不含税控制合价</t>
        </is>
      </c>
      <c r="E2" s="97" t="inlineStr">
        <is>
          <t>含税控制合价</t>
        </is>
      </c>
      <c r="F2" s="96" t="inlineStr">
        <is>
          <t>备注</t>
        </is>
      </c>
    </row>
    <row r="3" ht="36" customHeight="1" s="95">
      <c r="A3" s="88" t="n">
        <v>1</v>
      </c>
      <c r="B3" s="88" t="inlineStr">
        <is>
          <t>架空层安装工程</t>
        </is>
      </c>
      <c r="C3" s="96">
        <f>架空层安装工程!M62</f>
        <v/>
      </c>
      <c r="D3" s="97" t="n">
        <v>88648.61</v>
      </c>
      <c r="E3" s="97">
        <f>D3*1.09</f>
        <v/>
      </c>
      <c r="F3" s="98" t="n"/>
    </row>
    <row r="4" ht="36" customHeight="1" s="95">
      <c r="A4" s="88" t="n">
        <v>2</v>
      </c>
      <c r="B4" s="88" t="inlineStr">
        <is>
          <t>会所售楼部安装工程</t>
        </is>
      </c>
      <c r="C4" s="96">
        <f>会所售楼部安装工程!M141</f>
        <v/>
      </c>
      <c r="D4" s="97" t="n">
        <v>597991.63</v>
      </c>
      <c r="E4" s="97">
        <f>D4*1.09</f>
        <v/>
      </c>
      <c r="F4" s="96" t="n"/>
      <c r="G4" s="99" t="n"/>
    </row>
    <row r="5" ht="36" customHeight="1" s="95">
      <c r="A5" s="88" t="n">
        <v>3</v>
      </c>
      <c r="B5" s="88" t="inlineStr">
        <is>
          <t>样板房安装工程</t>
        </is>
      </c>
      <c r="C5" s="96">
        <f>样板房安装工程!M261</f>
        <v/>
      </c>
      <c r="D5" s="97" t="n">
        <v>177912.2</v>
      </c>
      <c r="E5" s="97">
        <f>D5*1.09</f>
        <v/>
      </c>
      <c r="F5" s="96" t="n"/>
    </row>
    <row r="6" ht="36" customHeight="1" s="95">
      <c r="A6" s="88" t="n">
        <v>4</v>
      </c>
      <c r="B6" s="88" t="inlineStr">
        <is>
          <t>公共区域安装工程</t>
        </is>
      </c>
      <c r="C6" s="96">
        <f>公共区域安装工程!M25</f>
        <v/>
      </c>
      <c r="D6" s="97" t="n">
        <v>103574.11</v>
      </c>
      <c r="E6" s="97">
        <f>D6*1.09</f>
        <v/>
      </c>
      <c r="F6" s="96" t="n"/>
    </row>
    <row r="7" ht="36" customHeight="1" s="95">
      <c r="A7" s="88" t="n">
        <v>5</v>
      </c>
      <c r="B7" s="88" t="inlineStr">
        <is>
          <t>户内交标安装工程</t>
        </is>
      </c>
      <c r="C7" s="96">
        <f>户内交标安装工程!M66</f>
        <v/>
      </c>
      <c r="D7" s="97" t="n">
        <v>1011927.96666667</v>
      </c>
      <c r="E7" s="97">
        <f>D7*1.09</f>
        <v/>
      </c>
      <c r="F7" s="96" t="n"/>
    </row>
    <row r="8" ht="36" customHeight="1" s="95">
      <c r="A8" s="88" t="n">
        <v>6</v>
      </c>
      <c r="B8" s="88" t="inlineStr">
        <is>
          <t>会所售楼处消防电工程</t>
        </is>
      </c>
      <c r="C8" s="96">
        <f>会所售楼处消防电工程!M24</f>
        <v/>
      </c>
      <c r="D8" s="97" t="n">
        <v>19891.5</v>
      </c>
      <c r="E8" s="97">
        <f>D8*1.09</f>
        <v/>
      </c>
      <c r="F8" s="96" t="n"/>
    </row>
    <row r="9" ht="36" customHeight="1" s="95">
      <c r="A9" s="88" t="n">
        <v>7</v>
      </c>
      <c r="B9" s="88" t="inlineStr">
        <is>
          <t>会所售楼处消防水工程</t>
        </is>
      </c>
      <c r="C9" s="96">
        <f>会所售楼处消防水工程!M20</f>
        <v/>
      </c>
      <c r="D9" s="97" t="n">
        <v>63764.22</v>
      </c>
      <c r="E9" s="97">
        <f>D9*1.09</f>
        <v/>
      </c>
      <c r="F9" s="96" t="n"/>
    </row>
    <row r="10" ht="36" customHeight="1" s="95">
      <c r="A10" s="88" t="inlineStr">
        <is>
          <t>小计</t>
        </is>
      </c>
      <c r="B10" s="100" t="n"/>
      <c r="C10" s="96" t="n"/>
      <c r="D10" s="97">
        <f>SUM(D3:D9)</f>
        <v/>
      </c>
      <c r="E10" s="97">
        <f>SUM(E3:E9)</f>
        <v/>
      </c>
      <c r="F10" s="98" t="n"/>
    </row>
  </sheetData>
  <mergeCells count="2">
    <mergeCell ref="A1:F1"/>
    <mergeCell ref="A10:B10"/>
  </mergeCells>
  <printOptions horizontalCentered="1"/>
  <pageMargins left="0.700694444444445" right="0.700694444444445" top="0.751388888888889" bottom="0.751388888888889" header="0.298611111111111" footer="0.298611111111111"/>
  <pageSetup orientation="portrait" paperSize="9" horizontalDpi="600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U62"/>
  <sheetViews>
    <sheetView tabSelected="1" view="pageBreakPreview" zoomScaleNormal="100" workbookViewId="0">
      <pane xSplit="5" ySplit="3" topLeftCell="F4" activePane="bottomRight" state="frozen"/>
      <selection activeCell="A1" sqref="A1"/>
      <selection pane="topRight" activeCell="A1" sqref="A1"/>
      <selection pane="bottomLeft" activeCell="A1" sqref="A1"/>
      <selection pane="bottomRight" activeCell="N7" sqref="N7"/>
    </sheetView>
  </sheetViews>
  <sheetFormatPr baseColWidth="8" defaultColWidth="9" defaultRowHeight="12"/>
  <cols>
    <col width="8.125" customWidth="1" style="67" min="1" max="1"/>
    <col width="11.875" customWidth="1" style="67" min="2" max="2"/>
    <col width="19.25" customWidth="1" style="101" min="3" max="3"/>
    <col width="29.125" customWidth="1" style="102" min="4" max="4"/>
    <col width="7" customWidth="1" style="101" min="5" max="5"/>
    <col width="11.7166666666667" customWidth="1" style="101" min="6" max="6"/>
    <col width="10.125" customWidth="1" style="101" min="7" max="11"/>
    <col width="11.25" customWidth="1" style="101" min="12" max="12"/>
    <col width="13.25" customWidth="1" style="101" min="13" max="13"/>
    <col width="9" customWidth="1" style="101" min="14" max="16"/>
    <col width="6.875" customWidth="1" style="69" min="17" max="17"/>
    <col width="9" customWidth="1" style="101" min="18" max="20"/>
    <col width="9.875" customWidth="1" style="101" min="21" max="21"/>
    <col width="9" customWidth="1" style="7" min="22" max="16384"/>
  </cols>
  <sheetData>
    <row r="1" ht="30" customHeight="1" s="95">
      <c r="A1" s="8" t="inlineStr">
        <is>
          <t>架空层安装工程工程量清单</t>
        </is>
      </c>
      <c r="O1" s="103" t="inlineStr">
        <is>
          <t>成本单价组成（投标人填写）</t>
        </is>
      </c>
      <c r="P1" s="104" t="n"/>
      <c r="Q1" s="104" t="n"/>
      <c r="R1" s="104" t="n"/>
      <c r="S1" s="104" t="n"/>
      <c r="T1" s="104" t="n"/>
      <c r="U1" s="100" t="n"/>
    </row>
    <row r="2" ht="27" customFormat="1" customHeight="1" s="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6" t="inlineStr">
        <is>
          <t>人工费</t>
        </is>
      </c>
      <c r="H2" s="106" t="inlineStr">
        <is>
          <t>材料费</t>
        </is>
      </c>
      <c r="I2" s="106" t="inlineStr">
        <is>
          <t>机械费</t>
        </is>
      </c>
      <c r="J2" s="106" t="inlineStr">
        <is>
          <t>管理费</t>
        </is>
      </c>
      <c r="K2" s="106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1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ht="21" customFormat="1" customHeigh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75" t="n">
        <v>0</v>
      </c>
      <c r="K3" s="75" t="n">
        <v>0</v>
      </c>
      <c r="L3" s="108" t="n"/>
      <c r="M3" s="108" t="n"/>
      <c r="N3" s="101" t="n"/>
      <c r="O3" s="109" t="n"/>
      <c r="P3" s="109" t="n">
        <v>1</v>
      </c>
      <c r="Q3" s="76" t="n"/>
      <c r="R3" s="109" t="n">
        <v>1</v>
      </c>
      <c r="S3" s="109" t="n">
        <v>1</v>
      </c>
      <c r="T3" s="109" t="n">
        <v>1</v>
      </c>
      <c r="U3" s="109" t="n"/>
    </row>
    <row r="4" customFormat="1" s="5">
      <c r="A4" s="27" t="inlineStr"/>
      <c r="B4" s="27" t="inlineStr">
        <is>
          <t>单位工程</t>
        </is>
      </c>
      <c r="C4" s="105" t="inlineStr"/>
      <c r="D4" s="110" t="inlineStr"/>
      <c r="E4" s="105" t="inlineStr"/>
      <c r="F4" s="105" t="inlineStr"/>
      <c r="G4" s="105" t="n"/>
      <c r="H4" s="105" t="n"/>
      <c r="I4" s="105" t="n"/>
      <c r="J4" s="105" t="n"/>
      <c r="K4" s="105" t="n"/>
      <c r="L4" s="105" t="n"/>
      <c r="M4" s="105" t="n"/>
      <c r="N4" s="101" t="n"/>
      <c r="O4" s="105" t="n"/>
      <c r="P4" s="111" t="n"/>
      <c r="Q4" s="32" t="n"/>
      <c r="R4" s="111" t="n"/>
      <c r="S4" s="112" t="n"/>
      <c r="T4" s="107" t="n"/>
      <c r="U4" s="105" t="n"/>
    </row>
    <row r="5" customFormat="1" s="5">
      <c r="A5" s="27" t="inlineStr"/>
      <c r="B5" s="27" t="inlineStr"/>
      <c r="C5" s="105" t="inlineStr">
        <is>
          <t>电气工程</t>
        </is>
      </c>
      <c r="D5" s="110" t="inlineStr"/>
      <c r="E5" s="105" t="inlineStr"/>
      <c r="F5" s="105" t="inlineStr"/>
      <c r="G5" s="105" t="n"/>
      <c r="H5" s="105" t="n"/>
      <c r="I5" s="105" t="n"/>
      <c r="J5" s="105" t="n"/>
      <c r="K5" s="105" t="n"/>
      <c r="L5" s="105" t="n"/>
      <c r="M5" s="105" t="n"/>
      <c r="N5" s="101" t="n"/>
      <c r="O5" s="105" t="n"/>
      <c r="P5" s="111" t="n"/>
      <c r="Q5" s="32" t="n"/>
      <c r="R5" s="111" t="n"/>
      <c r="S5" s="112" t="n"/>
      <c r="T5" s="107" t="n"/>
      <c r="U5" s="105" t="n"/>
    </row>
    <row r="6" outlineLevel="1" customFormat="1" s="5">
      <c r="A6" s="27" t="inlineStr"/>
      <c r="B6" s="27" t="inlineStr"/>
      <c r="C6" s="105" t="inlineStr">
        <is>
          <t>灯具</t>
        </is>
      </c>
      <c r="D6" s="110" t="inlineStr"/>
      <c r="E6" s="105" t="inlineStr"/>
      <c r="F6" s="105" t="inlineStr"/>
      <c r="G6" s="105" t="n"/>
      <c r="H6" s="105" t="n"/>
      <c r="I6" s="105" t="n"/>
      <c r="J6" s="105" t="n"/>
      <c r="K6" s="105" t="n"/>
      <c r="L6" s="105" t="n"/>
      <c r="M6" s="105" t="n"/>
      <c r="N6" s="101" t="n"/>
      <c r="O6" s="105" t="n"/>
      <c r="P6" s="111" t="n"/>
      <c r="Q6" s="32" t="n"/>
      <c r="R6" s="111" t="n"/>
      <c r="S6" s="112" t="n"/>
      <c r="T6" s="107" t="n"/>
      <c r="U6" s="105" t="n"/>
    </row>
    <row r="7" outlineLevel="2" ht="84" customFormat="1" customHeight="1" s="5">
      <c r="A7" s="113" t="n">
        <v>1</v>
      </c>
      <c r="B7" s="113" t="n">
        <v>30413002007</v>
      </c>
      <c r="C7" s="114" t="inlineStr">
        <is>
          <t>LA-01 筒灯</t>
        </is>
      </c>
      <c r="D7" s="115" t="inlineStr">
        <is>
          <t>1.名称：LA-01 筒灯
2.规格：12W 4000K 灯体尺寸Φ118*50mm
3.安装方式：嵌装
4.其他：包括但不限于满足图纸、招标文件、规范及验收要求等一切相关费用</t>
        </is>
      </c>
      <c r="E7" s="114" t="inlineStr">
        <is>
          <t>套</t>
        </is>
      </c>
      <c r="F7" s="114" t="n">
        <v>100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70</v>
      </c>
      <c r="Q7" s="120" t="n">
        <v>0</v>
      </c>
      <c r="R7" s="119" t="n">
        <v>20</v>
      </c>
      <c r="S7" s="121" t="n">
        <v>6</v>
      </c>
      <c r="T7" s="122" t="n">
        <v>0</v>
      </c>
      <c r="U7" s="114">
        <f>F7*O7</f>
        <v/>
      </c>
    </row>
    <row r="8" outlineLevel="2" ht="84" customFormat="1" customHeight="1" s="5">
      <c r="A8" s="113" t="n">
        <v>2</v>
      </c>
      <c r="B8" s="113" t="n">
        <v>30413002008</v>
      </c>
      <c r="C8" s="114" t="inlineStr">
        <is>
          <t>LA-06 LED明装筒灯</t>
        </is>
      </c>
      <c r="D8" s="115" t="inlineStr">
        <is>
          <t>1.名称：LA-06 LED明装筒灯
2.规格：9W 4000K 灯体尺寸Φ150*100mm
3.安装方式：明装
4.其他：包括但不限于满足图纸、招标文件、规范及验收要求等一切相关费用</t>
        </is>
      </c>
      <c r="E8" s="114" t="inlineStr">
        <is>
          <t>套</t>
        </is>
      </c>
      <c r="F8" s="114" t="n">
        <v>93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70</v>
      </c>
      <c r="Q8" s="120" t="n">
        <v>0</v>
      </c>
      <c r="R8" s="119" t="n">
        <v>20</v>
      </c>
      <c r="S8" s="121" t="n">
        <v>6</v>
      </c>
      <c r="T8" s="122" t="n">
        <v>0</v>
      </c>
      <c r="U8" s="114">
        <f>F8*O8</f>
        <v/>
      </c>
    </row>
    <row r="9" outlineLevel="2" ht="72" customFormat="1" customHeight="1" s="5">
      <c r="A9" s="113" t="n">
        <v>3</v>
      </c>
      <c r="B9" s="113" t="n">
        <v>30413002009</v>
      </c>
      <c r="C9" s="114" t="inlineStr">
        <is>
          <t>LA-03 LED灯带</t>
        </is>
      </c>
      <c r="D9" s="115" t="inlineStr">
        <is>
          <t>1.名称：LA-03 LED灯带
2.规格：8W/米 4000K
3.安装方式：天花
4.其他：包括但不限于满足图纸、招标文件、规范及验收要求等一切相关费用</t>
        </is>
      </c>
      <c r="E9" s="114" t="inlineStr">
        <is>
          <t>m</t>
        </is>
      </c>
      <c r="F9" s="114" t="n">
        <v>63.63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20.4</v>
      </c>
      <c r="Q9" s="120" t="n">
        <v>0</v>
      </c>
      <c r="R9" s="119" t="n">
        <v>12.5</v>
      </c>
      <c r="S9" s="121" t="n">
        <v>0.41</v>
      </c>
      <c r="T9" s="122" t="n">
        <v>0</v>
      </c>
      <c r="U9" s="114">
        <f>F9*O9</f>
        <v/>
      </c>
    </row>
    <row r="10" outlineLevel="2" ht="84" customFormat="1" customHeight="1" s="5">
      <c r="A10" s="113" t="n">
        <v>4</v>
      </c>
      <c r="B10" s="113" t="n">
        <v>30413009002</v>
      </c>
      <c r="C10" s="114" t="inlineStr">
        <is>
          <t>LED 灯带驱动电源</t>
        </is>
      </c>
      <c r="D10" s="115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0" s="114" t="inlineStr">
        <is>
          <t>个</t>
        </is>
      </c>
      <c r="F10" s="114" t="n">
        <v>8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20</v>
      </c>
      <c r="Q10" s="120" t="n">
        <v>0</v>
      </c>
      <c r="R10" s="119" t="n">
        <v>3</v>
      </c>
      <c r="S10" s="121" t="n">
        <v>0.5</v>
      </c>
      <c r="T10" s="122" t="n">
        <v>0</v>
      </c>
      <c r="U10" s="114">
        <f>F10*O10</f>
        <v/>
      </c>
    </row>
    <row r="11" outlineLevel="2" ht="72" customFormat="1" customHeight="1" s="5">
      <c r="A11" s="113" t="n">
        <v>5</v>
      </c>
      <c r="B11" s="113" t="n">
        <v>30413002010</v>
      </c>
      <c r="C11" s="114" t="inlineStr">
        <is>
          <t>LA-05 吊装硬条灯</t>
        </is>
      </c>
      <c r="D11" s="115" t="inlineStr">
        <is>
          <t>1.名称：LA-05 吊装硬条灯
2.规格：4000K
3.安装方式：吊装
4.其他：包括但不限于满足图纸、招标文件、规范及验收要求等一切相关费用</t>
        </is>
      </c>
      <c r="E11" s="114" t="inlineStr">
        <is>
          <t>m</t>
        </is>
      </c>
      <c r="F11" s="114" t="n">
        <v>79.02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180</v>
      </c>
      <c r="Q11" s="120" t="n">
        <v>0</v>
      </c>
      <c r="R11" s="119" t="n">
        <v>15</v>
      </c>
      <c r="S11" s="121" t="n">
        <v>2</v>
      </c>
      <c r="T11" s="122" t="n">
        <v>0</v>
      </c>
      <c r="U11" s="114">
        <f>F11*O11</f>
        <v/>
      </c>
    </row>
    <row r="12" outlineLevel="2" ht="84" customFormat="1" customHeight="1" s="5">
      <c r="A12" s="113" t="n">
        <v>6</v>
      </c>
      <c r="B12" s="113" t="n">
        <v>30413002011</v>
      </c>
      <c r="C12" s="114" t="inlineStr">
        <is>
          <t>LA-04 艺术吊灯</t>
        </is>
      </c>
      <c r="D12" s="115" t="inlineStr">
        <is>
          <t>1.名称：LA-04 艺术吊灯
2.规格：铁艺+铝材+玻璃 颜色：磨砂黑+烟灰灯罩 色温4000K
3.安装方式：吊装
4.其他：包括但不限于满足图纸、招标文件、规范及验收要求等一切相关费用</t>
        </is>
      </c>
      <c r="E12" s="114" t="inlineStr">
        <is>
          <t>套</t>
        </is>
      </c>
      <c r="F12" s="114" t="n">
        <v>1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800</v>
      </c>
      <c r="Q12" s="120" t="n">
        <v>0</v>
      </c>
      <c r="R12" s="119" t="n">
        <v>30</v>
      </c>
      <c r="S12" s="121" t="n">
        <v>10</v>
      </c>
      <c r="T12" s="122" t="n">
        <v>0</v>
      </c>
      <c r="U12" s="114">
        <f>F12*O12</f>
        <v/>
      </c>
    </row>
    <row r="13" outlineLevel="2" ht="84" customFormat="1" customHeight="1" s="5">
      <c r="A13" s="113" t="n">
        <v>7</v>
      </c>
      <c r="B13" s="113" t="n">
        <v>30413002012</v>
      </c>
      <c r="C13" s="114" t="inlineStr">
        <is>
          <t>LA-07 LED云朵灯</t>
        </is>
      </c>
      <c r="D13" s="115" t="inlineStr">
        <is>
          <t>1.名称：LA-07 LED云朵灯
2.规格：48W 4000K 产品尺寸：L800*W35mm
3.安装方式：吊装
4.其他：包括但不限于满足图纸、招标文件、规范及验收要求等一切相关费用</t>
        </is>
      </c>
      <c r="E13" s="114" t="inlineStr">
        <is>
          <t>套</t>
        </is>
      </c>
      <c r="F13" s="114" t="n">
        <v>2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280</v>
      </c>
      <c r="Q13" s="120" t="n">
        <v>0</v>
      </c>
      <c r="R13" s="119" t="n">
        <v>20</v>
      </c>
      <c r="S13" s="121" t="n">
        <v>3</v>
      </c>
      <c r="T13" s="122" t="n">
        <v>0</v>
      </c>
      <c r="U13" s="114">
        <f>F13*O13</f>
        <v/>
      </c>
    </row>
    <row r="14" outlineLevel="1" customFormat="1" s="5">
      <c r="A14" s="27" t="inlineStr"/>
      <c r="B14" s="27" t="inlineStr"/>
      <c r="C14" s="105" t="inlineStr">
        <is>
          <t>开关插座</t>
        </is>
      </c>
      <c r="D14" s="110" t="inlineStr"/>
      <c r="E14" s="105" t="inlineStr"/>
      <c r="F14" s="105" t="inlineStr"/>
      <c r="G14" s="105" t="n"/>
      <c r="H14" s="105" t="n"/>
      <c r="I14" s="105" t="n"/>
      <c r="J14" s="105" t="n"/>
      <c r="K14" s="105" t="n"/>
      <c r="L14" s="105" t="n"/>
      <c r="M14" s="105" t="n"/>
      <c r="N14" s="101" t="n"/>
      <c r="O14" s="105" t="n"/>
      <c r="P14" s="105" t="n"/>
      <c r="Q14" s="78" t="n"/>
      <c r="R14" s="105" t="n"/>
      <c r="S14" s="105" t="n"/>
      <c r="T14" s="105" t="n"/>
      <c r="U14" s="105">
        <f>F14*O14</f>
        <v/>
      </c>
    </row>
    <row r="15" outlineLevel="2" ht="72" customFormat="1" customHeight="1" s="5">
      <c r="A15" s="27" t="n">
        <v>8</v>
      </c>
      <c r="B15" s="27" t="n">
        <v>30413013004</v>
      </c>
      <c r="C15" s="105" t="inlineStr">
        <is>
          <t>照明开关</t>
        </is>
      </c>
      <c r="D15" s="110" t="inlineStr">
        <is>
          <t>1.名称：单联单控开关
2.规格：86*86mm
3.安装方式：暗装
4.其他：包括但不限于满足图纸、招标文件、规范及验收要求等一切相关费用</t>
        </is>
      </c>
      <c r="E15" s="105" t="inlineStr">
        <is>
          <t>套</t>
        </is>
      </c>
      <c r="F15" s="105" t="n">
        <v>5</v>
      </c>
      <c r="G15" s="123">
        <f>R15*$R$3</f>
        <v/>
      </c>
      <c r="H15" s="106">
        <f>P15*(1+Q15)*$P$3+S15*$S$3</f>
        <v/>
      </c>
      <c r="I15" s="106">
        <f>T15*$T$3</f>
        <v/>
      </c>
      <c r="J15" s="106">
        <f>(G15+H15+I15)*$J$3</f>
        <v/>
      </c>
      <c r="K15" s="106">
        <f>(G15+H15+I15+J15)*$K$3</f>
        <v/>
      </c>
      <c r="L15" s="106">
        <f>G15+H15+I15+J15+K15</f>
        <v/>
      </c>
      <c r="M15" s="106">
        <f>F15*L15</f>
        <v/>
      </c>
      <c r="N15" s="101" t="n"/>
      <c r="O15" s="105">
        <f>P15*(1+Q15)+R15+S15+T15</f>
        <v/>
      </c>
      <c r="P15" s="111">
        <f>'公共区域安装工程'!P14</f>
        <v/>
      </c>
      <c r="Q15" s="32">
        <f>'公共区域安装工程'!Q14</f>
        <v/>
      </c>
      <c r="R15" s="111">
        <f>'公共区域安装工程'!R14</f>
        <v/>
      </c>
      <c r="S15" s="112">
        <f>'公共区域安装工程'!S14</f>
        <v/>
      </c>
      <c r="T15" s="107">
        <f>'公共区域安装工程'!T14</f>
        <v/>
      </c>
      <c r="U15" s="105">
        <f>F15*O15</f>
        <v/>
      </c>
    </row>
    <row r="16" outlineLevel="2" ht="72" customFormat="1" customHeight="1" s="5">
      <c r="A16" s="113" t="n">
        <v>9</v>
      </c>
      <c r="B16" s="113" t="n">
        <v>30413013005</v>
      </c>
      <c r="C16" s="114" t="inlineStr">
        <is>
          <t>照明开关</t>
        </is>
      </c>
      <c r="D16" s="115" t="inlineStr">
        <is>
          <t>1.名称：双联单控开关
2.规格：86*86mm
3.安装方式：暗装
4.其他：包括但不限于满足图纸、招标文件、规范及验收要求等一切相关费用</t>
        </is>
      </c>
      <c r="E16" s="114" t="inlineStr">
        <is>
          <t>套</t>
        </is>
      </c>
      <c r="F16" s="114" t="n">
        <v>5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18</v>
      </c>
      <c r="Q16" s="120" t="n">
        <v>0</v>
      </c>
      <c r="R16" s="119" t="n">
        <v>10</v>
      </c>
      <c r="S16" s="121" t="n">
        <v>1.5</v>
      </c>
      <c r="T16" s="122" t="n">
        <v>0</v>
      </c>
      <c r="U16" s="114">
        <f>F16*O16</f>
        <v/>
      </c>
    </row>
    <row r="17" outlineLevel="2" ht="72" customFormat="1" customHeight="1" s="5">
      <c r="A17" s="27" t="n">
        <v>10</v>
      </c>
      <c r="B17" s="27" t="n">
        <v>30413013006</v>
      </c>
      <c r="C17" s="105" t="inlineStr">
        <is>
          <t>照明开关</t>
        </is>
      </c>
      <c r="D17" s="110" t="inlineStr">
        <is>
          <t>1.名称：三联单控开关
2.规格：86*86mm
3.安装方式：暗装
4.其他：包括但不限于满足图纸、招标文件、规范及验收要求等一切相关费用</t>
        </is>
      </c>
      <c r="E17" s="105" t="inlineStr">
        <is>
          <t>套</t>
        </is>
      </c>
      <c r="F17" s="105" t="n">
        <v>10</v>
      </c>
      <c r="G17" s="123">
        <f>R17*$R$3</f>
        <v/>
      </c>
      <c r="H17" s="106">
        <f>P17*(1+Q17)*$P$3+S17*$S$3</f>
        <v/>
      </c>
      <c r="I17" s="106">
        <f>T17*$T$3</f>
        <v/>
      </c>
      <c r="J17" s="106">
        <f>(G17+H17+I17)*$J$3</f>
        <v/>
      </c>
      <c r="K17" s="106">
        <f>(G17+H17+I17+J17)*$K$3</f>
        <v/>
      </c>
      <c r="L17" s="106">
        <f>G17+H17+I17+J17+K17</f>
        <v/>
      </c>
      <c r="M17" s="106">
        <f>F17*L17</f>
        <v/>
      </c>
      <c r="N17" s="101" t="n"/>
      <c r="O17" s="105">
        <f>P17*(1+Q17)+R17+S17+T17</f>
        <v/>
      </c>
      <c r="P17" s="111">
        <f>'公共区域安装工程'!P15</f>
        <v/>
      </c>
      <c r="Q17" s="32">
        <f>'公共区域安装工程'!Q15</f>
        <v/>
      </c>
      <c r="R17" s="111">
        <f>'公共区域安装工程'!R15</f>
        <v/>
      </c>
      <c r="S17" s="112">
        <f>'公共区域安装工程'!S15</f>
        <v/>
      </c>
      <c r="T17" s="107">
        <f>'公共区域安装工程'!T15</f>
        <v/>
      </c>
      <c r="U17" s="105">
        <f>F17*O17</f>
        <v/>
      </c>
    </row>
    <row r="18" outlineLevel="2" ht="72" customFormat="1" customHeight="1" s="5">
      <c r="A18" s="27" t="n">
        <v>11</v>
      </c>
      <c r="B18" s="27" t="n">
        <v>30413014001</v>
      </c>
      <c r="C18" s="105" t="inlineStr">
        <is>
          <t>插座</t>
        </is>
      </c>
      <c r="D18" s="110" t="inlineStr">
        <is>
          <t>1.名称：五孔插座
2.规格：86*86mm
3.安装方式：暗装
4.其他：包括但不限于满足图纸、招标文件、规范及验收要求等一切相关费用</t>
        </is>
      </c>
      <c r="E18" s="105" t="inlineStr">
        <is>
          <t>套</t>
        </is>
      </c>
      <c r="F18" s="105" t="n">
        <v>14</v>
      </c>
      <c r="G18" s="123">
        <f>R18*$R$3</f>
        <v/>
      </c>
      <c r="H18" s="106">
        <f>P18*(1+Q18)*$P$3+S18*$S$3</f>
        <v/>
      </c>
      <c r="I18" s="106">
        <f>T18*$T$3</f>
        <v/>
      </c>
      <c r="J18" s="106">
        <f>(G18+H18+I18)*$J$3</f>
        <v/>
      </c>
      <c r="K18" s="106">
        <f>(G18+H18+I18+J18)*$K$3</f>
        <v/>
      </c>
      <c r="L18" s="106">
        <f>G18+H18+I18+J18+K18</f>
        <v/>
      </c>
      <c r="M18" s="106">
        <f>F18*L18</f>
        <v/>
      </c>
      <c r="N18" s="101" t="n"/>
      <c r="O18" s="105">
        <f>P18*(1+Q18)+R18+S18+T18</f>
        <v/>
      </c>
      <c r="P18" s="111">
        <f>'公共区域安装工程'!P16</f>
        <v/>
      </c>
      <c r="Q18" s="32">
        <f>'公共区域安装工程'!Q16</f>
        <v/>
      </c>
      <c r="R18" s="111">
        <f>'公共区域安装工程'!R16</f>
        <v/>
      </c>
      <c r="S18" s="112">
        <f>'公共区域安装工程'!S16</f>
        <v/>
      </c>
      <c r="T18" s="107">
        <f>'公共区域安装工程'!T16</f>
        <v/>
      </c>
      <c r="U18" s="105">
        <f>F18*O18</f>
        <v/>
      </c>
    </row>
    <row r="19" outlineLevel="2" ht="72" customFormat="1" customHeight="1" s="5">
      <c r="A19" s="113" t="n">
        <v>12</v>
      </c>
      <c r="B19" s="113" t="n">
        <v>30413014002</v>
      </c>
      <c r="C19" s="114" t="inlineStr">
        <is>
          <t>插座</t>
        </is>
      </c>
      <c r="D19" s="115" t="inlineStr">
        <is>
          <t>1.名称：地面五孔插座
2.规格：86*86mm
3.安装方式：暗装
4.其他：包括但不限于满足图纸、招标文件、规范及验收要求等一切相关费用</t>
        </is>
      </c>
      <c r="E19" s="114" t="inlineStr">
        <is>
          <t>套</t>
        </is>
      </c>
      <c r="F19" s="114" t="n">
        <v>6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14.62</v>
      </c>
      <c r="Q19" s="120" t="n">
        <v>0</v>
      </c>
      <c r="R19" s="119" t="n">
        <v>6.31</v>
      </c>
      <c r="S19" s="121" t="n">
        <v>1.12</v>
      </c>
      <c r="T19" s="122" t="n">
        <v>0</v>
      </c>
      <c r="U19" s="114">
        <f>F19*O19</f>
        <v/>
      </c>
    </row>
    <row r="20" outlineLevel="1" customFormat="1" s="5">
      <c r="A20" s="27" t="inlineStr"/>
      <c r="B20" s="27" t="inlineStr"/>
      <c r="C20" s="105" t="inlineStr">
        <is>
          <t>配线</t>
        </is>
      </c>
      <c r="D20" s="110" t="inlineStr"/>
      <c r="E20" s="105" t="inlineStr"/>
      <c r="F20" s="105" t="inlineStr"/>
      <c r="G20" s="105" t="n"/>
      <c r="H20" s="105" t="n"/>
      <c r="I20" s="105" t="n"/>
      <c r="J20" s="105" t="n"/>
      <c r="K20" s="105" t="n"/>
      <c r="L20" s="105" t="n"/>
      <c r="M20" s="105" t="n"/>
      <c r="N20" s="101" t="n"/>
      <c r="O20" s="105" t="n"/>
      <c r="P20" s="105" t="n"/>
      <c r="Q20" s="78" t="n"/>
      <c r="R20" s="105" t="n"/>
      <c r="S20" s="105" t="n"/>
      <c r="T20" s="105" t="n"/>
      <c r="U20" s="105">
        <f>F20*O20</f>
        <v/>
      </c>
    </row>
    <row r="21" outlineLevel="2" ht="72" customFormat="1" customHeight="1" s="5">
      <c r="A21" s="27" t="n">
        <v>13</v>
      </c>
      <c r="B21" s="27" t="n">
        <v>30412004002</v>
      </c>
      <c r="C21" s="105" t="inlineStr">
        <is>
          <t>配线</t>
        </is>
      </c>
      <c r="D21" s="110" t="inlineStr">
        <is>
          <t>1.名称：电气配线
2.型号规格：WDZC-BYJ-2.5
3.安装方式：管内穿线
4.其他：包括但不限于满足图纸、招标文件、规范及验收要求等一切相关费用</t>
        </is>
      </c>
      <c r="E21" s="105" t="inlineStr">
        <is>
          <t>m</t>
        </is>
      </c>
      <c r="F21" s="105" t="n">
        <v>3020.18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'公共区域安装工程'!P17</f>
        <v/>
      </c>
      <c r="Q21" s="32">
        <f>'公共区域安装工程'!Q17</f>
        <v/>
      </c>
      <c r="R21" s="111">
        <f>'公共区域安装工程'!R17</f>
        <v/>
      </c>
      <c r="S21" s="112">
        <f>'公共区域安装工程'!S17</f>
        <v/>
      </c>
      <c r="T21" s="107">
        <f>'公共区域安装工程'!T17</f>
        <v/>
      </c>
      <c r="U21" s="105">
        <f>F21*O21</f>
        <v/>
      </c>
    </row>
    <row r="22" outlineLevel="2" ht="72" customFormat="1" customHeight="1" s="5">
      <c r="A22" s="113" t="n">
        <v>14</v>
      </c>
      <c r="B22" s="113" t="n">
        <v>30412004003</v>
      </c>
      <c r="C22" s="114" t="inlineStr">
        <is>
          <t>配线</t>
        </is>
      </c>
      <c r="D22" s="115" t="inlineStr">
        <is>
          <t>1.名称：电气配线
2.型号规格：WDZC-BYJ-6
3.安装方式：管内穿线
4.其他：包括但不限于满足图纸、招标文件、规范及验收要求等一切相关费用</t>
        </is>
      </c>
      <c r="E22" s="114" t="inlineStr">
        <is>
          <t>m</t>
        </is>
      </c>
      <c r="F22" s="114" t="n">
        <v>372.91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133.4</v>
      </c>
      <c r="Q22" s="120" t="n">
        <v>0.02</v>
      </c>
      <c r="R22" s="119" t="n">
        <v>15</v>
      </c>
      <c r="S22" s="121" t="n">
        <v>1.07</v>
      </c>
      <c r="T22" s="122" t="n">
        <v>1.07</v>
      </c>
      <c r="U22" s="114">
        <f>F22*O22</f>
        <v/>
      </c>
    </row>
    <row r="23" outlineLevel="2" ht="72" customFormat="1" customHeight="1" s="5">
      <c r="A23" s="113" t="n">
        <v>15</v>
      </c>
      <c r="B23" s="113" t="n">
        <v>30412004004</v>
      </c>
      <c r="C23" s="114" t="inlineStr">
        <is>
          <t>配线</t>
        </is>
      </c>
      <c r="D23" s="115" t="inlineStr">
        <is>
          <t>1.名称：电气配线
2.型号规格：RVS-4*1.0
3.安装方式：管内穿线
4.其他：包括但不限于满足图纸、招标文件、规范及验收要求等一切相关费用</t>
        </is>
      </c>
      <c r="E23" s="114" t="inlineStr">
        <is>
          <t>m</t>
        </is>
      </c>
      <c r="F23" s="114" t="n">
        <v>87.48999999999999</v>
      </c>
      <c r="G23" s="116">
        <f>R23*$R$3</f>
        <v/>
      </c>
      <c r="H23" s="117">
        <f>P23*(1+Q23)*$P$3+S23*$S$3</f>
        <v/>
      </c>
      <c r="I23" s="117">
        <f>T23*$T$3</f>
        <v/>
      </c>
      <c r="J23" s="117">
        <f>(G23+H23+I23)*$J$3</f>
        <v/>
      </c>
      <c r="K23" s="117">
        <f>(G23+H23+I23+J23)*$K$3</f>
        <v/>
      </c>
      <c r="L23" s="117">
        <f>G23+H23+I23+J23+K23</f>
        <v/>
      </c>
      <c r="M23" s="117">
        <f>F23*L23</f>
        <v/>
      </c>
      <c r="N23" s="118" t="n"/>
      <c r="O23" s="114">
        <f>P23*(1+Q23)+R23+S23+T23</f>
        <v/>
      </c>
      <c r="P23" s="119" t="n">
        <v>3.8</v>
      </c>
      <c r="Q23" s="120" t="n">
        <v>0.02</v>
      </c>
      <c r="R23" s="119" t="n">
        <v>5.2</v>
      </c>
      <c r="S23" s="121" t="n">
        <v>0.23</v>
      </c>
      <c r="T23" s="122" t="n">
        <v>0.05</v>
      </c>
      <c r="U23" s="114">
        <f>F23*O23</f>
        <v/>
      </c>
    </row>
    <row r="24" customFormat="1" s="5">
      <c r="A24" s="27" t="inlineStr"/>
      <c r="B24" s="27" t="inlineStr"/>
      <c r="C24" s="105" t="inlineStr">
        <is>
          <t>空调工程</t>
        </is>
      </c>
      <c r="D24" s="110" t="inlineStr"/>
      <c r="E24" s="105" t="inlineStr"/>
      <c r="F24" s="105" t="inlineStr"/>
      <c r="G24" s="105" t="n"/>
      <c r="H24" s="105" t="n"/>
      <c r="I24" s="105" t="n"/>
      <c r="J24" s="105" t="n"/>
      <c r="K24" s="105" t="n"/>
      <c r="L24" s="105" t="n"/>
      <c r="M24" s="105" t="n"/>
      <c r="N24" s="101" t="n"/>
      <c r="O24" s="105" t="n"/>
      <c r="P24" s="105" t="n"/>
      <c r="Q24" s="78" t="n"/>
      <c r="R24" s="105" t="n"/>
      <c r="S24" s="105" t="n"/>
      <c r="T24" s="105" t="n"/>
      <c r="U24" s="105">
        <f>F24*O24</f>
        <v/>
      </c>
    </row>
    <row r="25" outlineLevel="1" customFormat="1" s="5">
      <c r="A25" s="27" t="inlineStr"/>
      <c r="B25" s="27" t="inlineStr"/>
      <c r="C25" s="105" t="inlineStr">
        <is>
          <t>设备</t>
        </is>
      </c>
      <c r="D25" s="110" t="inlineStr"/>
      <c r="E25" s="105" t="inlineStr"/>
      <c r="F25" s="105" t="inlineStr"/>
      <c r="G25" s="105" t="n"/>
      <c r="H25" s="105" t="n"/>
      <c r="I25" s="105" t="n"/>
      <c r="J25" s="105" t="n"/>
      <c r="K25" s="105" t="n"/>
      <c r="L25" s="105" t="n"/>
      <c r="M25" s="105" t="n"/>
      <c r="N25" s="101" t="n"/>
      <c r="O25" s="105" t="n"/>
      <c r="P25" s="105" t="n"/>
      <c r="Q25" s="78" t="n"/>
      <c r="R25" s="105" t="n"/>
      <c r="S25" s="105" t="n"/>
      <c r="T25" s="105" t="n"/>
      <c r="U25" s="105">
        <f>F25*O25</f>
        <v/>
      </c>
    </row>
    <row r="26" outlineLevel="2" ht="96" customFormat="1" customHeight="1" s="5">
      <c r="A26" s="113" t="n">
        <v>16</v>
      </c>
      <c r="B26" s="113" t="n">
        <v>30701003001</v>
      </c>
      <c r="C26" s="114" t="inlineStr">
        <is>
          <t>风管机</t>
        </is>
      </c>
      <c r="D26" s="115" t="inlineStr">
        <is>
          <t>1.名称：风管机 F22
2.规格：制冷量2.2kW 制热量2.6kW 风量480m3/h 机外静压10Pa 额定功率0.05kW 运转噪音≤37dB(A)
3.安装方式：吊装
4.其他：包括但不限于满足图纸、招标文件、规范及验收要求等一切相关费用</t>
        </is>
      </c>
      <c r="E26" s="114" t="inlineStr">
        <is>
          <t>台</t>
        </is>
      </c>
      <c r="F26" s="114" t="n">
        <v>2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3600</v>
      </c>
      <c r="Q26" s="120" t="n">
        <v>0</v>
      </c>
      <c r="R26" s="119" t="n">
        <v>1000</v>
      </c>
      <c r="S26" s="121" t="n">
        <v>1200</v>
      </c>
      <c r="T26" s="122" t="n">
        <v>45</v>
      </c>
      <c r="U26" s="114">
        <f>F26*O26</f>
        <v/>
      </c>
    </row>
    <row r="27" outlineLevel="2" ht="96" customFormat="1" customHeight="1" s="5">
      <c r="A27" s="113" t="n">
        <v>17</v>
      </c>
      <c r="B27" s="113" t="n">
        <v>30701003002</v>
      </c>
      <c r="C27" s="114" t="inlineStr">
        <is>
          <t>风管机</t>
        </is>
      </c>
      <c r="D27" s="115" t="inlineStr">
        <is>
          <t>1.名称：风管机 F32
2.规格：制冷量3.2kW 制热量3.6kW 风量570m3/h 机外静压30Pa 额定功率0.05kW 运转噪音≤37dB(A)
3.安装方式：吊装
4.其他：包括但不限于满足图纸、招标文件、规范及验收要求等一切相关费用</t>
        </is>
      </c>
      <c r="E27" s="114" t="inlineStr">
        <is>
          <t>台</t>
        </is>
      </c>
      <c r="F27" s="114" t="n">
        <v>1</v>
      </c>
      <c r="G27" s="116">
        <f>R27*$R$3</f>
        <v/>
      </c>
      <c r="H27" s="117">
        <f>P27*(1+Q27)*$P$3+S27*$S$3</f>
        <v/>
      </c>
      <c r="I27" s="117">
        <f>T27*$T$3</f>
        <v/>
      </c>
      <c r="J27" s="117">
        <f>(G27+H27+I27)*$J$3</f>
        <v/>
      </c>
      <c r="K27" s="117">
        <f>(G27+H27+I27+J27)*$K$3</f>
        <v/>
      </c>
      <c r="L27" s="117">
        <f>G27+H27+I27+J27+K27</f>
        <v/>
      </c>
      <c r="M27" s="117">
        <f>F27*L27</f>
        <v/>
      </c>
      <c r="N27" s="118" t="n"/>
      <c r="O27" s="114">
        <f>P27*(1+Q27)+R27+S27+T27</f>
        <v/>
      </c>
      <c r="P27" s="119" t="n">
        <v>3600</v>
      </c>
      <c r="Q27" s="120" t="n">
        <v>0</v>
      </c>
      <c r="R27" s="119" t="n">
        <v>1000</v>
      </c>
      <c r="S27" s="121" t="n">
        <v>1200</v>
      </c>
      <c r="T27" s="122" t="n">
        <v>45</v>
      </c>
      <c r="U27" s="114">
        <f>F27*O27</f>
        <v/>
      </c>
    </row>
    <row r="28" outlineLevel="2" ht="96" customFormat="1" customHeight="1" s="5">
      <c r="A28" s="113" t="n">
        <v>18</v>
      </c>
      <c r="B28" s="113" t="n">
        <v>30701003003</v>
      </c>
      <c r="C28" s="114" t="inlineStr">
        <is>
          <t>风管机</t>
        </is>
      </c>
      <c r="D28" s="115" t="inlineStr">
        <is>
          <t>1.名称：风管机 F45
2.规格：制冷量4.5kW 制热量5.0kW 风量800m3/h 机外静压30Pa 额定功率0.05kW 运转噪音≤37dB(A)
3.安装方式：吊装
4.其他：包括但不限于满足图纸、招标文件、规范及验收要求等一切相关费用</t>
        </is>
      </c>
      <c r="E28" s="114" t="inlineStr">
        <is>
          <t>台</t>
        </is>
      </c>
      <c r="F28" s="114" t="n">
        <v>1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3600</v>
      </c>
      <c r="Q28" s="120" t="n">
        <v>0</v>
      </c>
      <c r="R28" s="119" t="n">
        <v>1000</v>
      </c>
      <c r="S28" s="121" t="n">
        <v>1200</v>
      </c>
      <c r="T28" s="122" t="n">
        <v>45</v>
      </c>
      <c r="U28" s="114">
        <f>F28*O28</f>
        <v/>
      </c>
    </row>
    <row r="29" outlineLevel="2" ht="96" customFormat="1" customHeight="1" s="5">
      <c r="A29" s="113" t="n">
        <v>19</v>
      </c>
      <c r="B29" s="113" t="n">
        <v>30701003004</v>
      </c>
      <c r="C29" s="114" t="inlineStr">
        <is>
          <t>风管机</t>
        </is>
      </c>
      <c r="D29" s="115" t="inlineStr">
        <is>
          <t>1.名称：风管机 F56
2.规格：制冷量5.6kW 制热量6.3kW 风量550m3/h 机外静压10Pa 额定功率0.05kW 运转噪音≤37dB(A)
3.安装方式：吊装
4.其他：包括但不限于满足图纸、招标文件、规范及验收要求等一切相关费用</t>
        </is>
      </c>
      <c r="E29" s="114" t="inlineStr">
        <is>
          <t>台</t>
        </is>
      </c>
      <c r="F29" s="114" t="n">
        <v>4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3600</v>
      </c>
      <c r="Q29" s="120" t="n">
        <v>0</v>
      </c>
      <c r="R29" s="119" t="n">
        <v>1000</v>
      </c>
      <c r="S29" s="121" t="n">
        <v>1200</v>
      </c>
      <c r="T29" s="122" t="n">
        <v>45</v>
      </c>
      <c r="U29" s="114">
        <f>F29*O29</f>
        <v/>
      </c>
    </row>
    <row r="30" outlineLevel="2" ht="96" customFormat="1" customHeight="1" s="5">
      <c r="A30" s="113" t="n">
        <v>20</v>
      </c>
      <c r="B30" s="113" t="n">
        <v>30701003006</v>
      </c>
      <c r="C30" s="114" t="inlineStr">
        <is>
          <t>风管机</t>
        </is>
      </c>
      <c r="D30" s="115" t="inlineStr">
        <is>
          <t>1.名称：风管机 F63
2.规格：制冷量6.3kW 制热量7.1kW 风量1000m3/h 机外静压30Pa 额定功率0.11kW 运转噪音≤40dB(A)
3.安装方式：吊装
4.其他：包括但不限于满足图纸、招标文件、规范及验收要求等一切相关费用</t>
        </is>
      </c>
      <c r="E30" s="114" t="inlineStr">
        <is>
          <t>台</t>
        </is>
      </c>
      <c r="F30" s="114" t="n">
        <v>1</v>
      </c>
      <c r="G30" s="116">
        <f>R30*$R$3</f>
        <v/>
      </c>
      <c r="H30" s="117">
        <f>P30*(1+Q30)*$P$3+S30*$S$3</f>
        <v/>
      </c>
      <c r="I30" s="117">
        <f>T30*$T$3</f>
        <v/>
      </c>
      <c r="J30" s="117">
        <f>(G30+H30+I30)*$J$3</f>
        <v/>
      </c>
      <c r="K30" s="117">
        <f>(G30+H30+I30+J30)*$K$3</f>
        <v/>
      </c>
      <c r="L30" s="117">
        <f>G30+H30+I30+J30+K30</f>
        <v/>
      </c>
      <c r="M30" s="117">
        <f>F30*L30</f>
        <v/>
      </c>
      <c r="N30" s="118" t="n"/>
      <c r="O30" s="114">
        <f>P30*(1+Q30)+R30+S30+T30</f>
        <v/>
      </c>
      <c r="P30" s="119" t="n">
        <v>3600</v>
      </c>
      <c r="Q30" s="120" t="n">
        <v>0</v>
      </c>
      <c r="R30" s="119" t="n">
        <v>1000</v>
      </c>
      <c r="S30" s="121" t="n">
        <v>1200</v>
      </c>
      <c r="T30" s="122" t="n">
        <v>45</v>
      </c>
      <c r="U30" s="114">
        <f>F30*O30</f>
        <v/>
      </c>
    </row>
    <row r="31" outlineLevel="2" ht="96" customFormat="1" customHeight="1" s="5">
      <c r="A31" s="113" t="n">
        <v>21</v>
      </c>
      <c r="B31" s="113" t="n">
        <v>30701003007</v>
      </c>
      <c r="C31" s="114" t="inlineStr">
        <is>
          <t>风管机</t>
        </is>
      </c>
      <c r="D31" s="115" t="inlineStr">
        <is>
          <t>1.名称：风管机 F90
2.规格：制冷量9.0kW 制热量10.0kW 风量1450m3/h 机外静压30Pa 额定功率0.11kW 运转噪音≤40dB(A)
3.安装方式：吊装
4.其他：包括但不限于满足图纸、招标文件、规范及验收要求等一切相关费用</t>
        </is>
      </c>
      <c r="E31" s="114" t="inlineStr">
        <is>
          <t>台</t>
        </is>
      </c>
      <c r="F31" s="114" t="n">
        <v>1</v>
      </c>
      <c r="G31" s="116">
        <f>R31*$R$3</f>
        <v/>
      </c>
      <c r="H31" s="117">
        <f>P31*(1+Q31)*$P$3+S31*$S$3</f>
        <v/>
      </c>
      <c r="I31" s="117">
        <f>T31*$T$3</f>
        <v/>
      </c>
      <c r="J31" s="117">
        <f>(G31+H31+I31)*$J$3</f>
        <v/>
      </c>
      <c r="K31" s="117">
        <f>(G31+H31+I31+J31)*$K$3</f>
        <v/>
      </c>
      <c r="L31" s="117">
        <f>G31+H31+I31+J31+K31</f>
        <v/>
      </c>
      <c r="M31" s="117">
        <f>F31*L31</f>
        <v/>
      </c>
      <c r="N31" s="118" t="n"/>
      <c r="O31" s="114">
        <f>P31*(1+Q31)+R31+S31+T31</f>
        <v/>
      </c>
      <c r="P31" s="119" t="n">
        <v>3600</v>
      </c>
      <c r="Q31" s="120" t="n">
        <v>0</v>
      </c>
      <c r="R31" s="119" t="n">
        <v>1000</v>
      </c>
      <c r="S31" s="121" t="n">
        <v>1200</v>
      </c>
      <c r="T31" s="122" t="n">
        <v>45</v>
      </c>
      <c r="U31" s="114">
        <f>F31*O31</f>
        <v/>
      </c>
    </row>
    <row r="32" outlineLevel="2" ht="96" customFormat="1" customHeight="1" s="5">
      <c r="A32" s="113" t="n">
        <v>22</v>
      </c>
      <c r="B32" s="113" t="n">
        <v>30701003005</v>
      </c>
      <c r="C32" s="114" t="inlineStr">
        <is>
          <t>多联式室外机</t>
        </is>
      </c>
      <c r="D32" s="115" t="inlineStr">
        <is>
          <t>1.名称：多联式室外机 L-1#-1/2
2.规格：制冷量24.0kW 制热量26.0kW 风量10000m3/h 机外静压-Pa 额定功率7.6kW 运转噪音≤61dB(A)
3.安装方式：落地
4.其他：包括但不限于满足图纸、招标文件、规范及验收要求等一切相关费用</t>
        </is>
      </c>
      <c r="E32" s="114" t="inlineStr">
        <is>
          <t>台</t>
        </is>
      </c>
      <c r="F32" s="114" t="n">
        <v>2</v>
      </c>
      <c r="G32" s="116">
        <f>R32*$R$3</f>
        <v/>
      </c>
      <c r="H32" s="117">
        <f>P32*(1+Q32)*$P$3+S32*$S$3</f>
        <v/>
      </c>
      <c r="I32" s="117">
        <f>T32*$T$3</f>
        <v/>
      </c>
      <c r="J32" s="117">
        <f>(G32+H32+I32)*$J$3</f>
        <v/>
      </c>
      <c r="K32" s="117">
        <f>(G32+H32+I32+J32)*$K$3</f>
        <v/>
      </c>
      <c r="L32" s="117">
        <f>G32+H32+I32+J32+K32</f>
        <v/>
      </c>
      <c r="M32" s="117">
        <f>F32*L32</f>
        <v/>
      </c>
      <c r="N32" s="118" t="n"/>
      <c r="O32" s="114">
        <f>P32*(1+Q32)+R32+S32+T32</f>
        <v/>
      </c>
      <c r="P32" s="119" t="n">
        <v>12000</v>
      </c>
      <c r="Q32" s="120" t="n">
        <v>0</v>
      </c>
      <c r="R32" s="119" t="n">
        <v>800</v>
      </c>
      <c r="S32" s="121" t="n">
        <v>80</v>
      </c>
      <c r="T32" s="122" t="n">
        <v>60</v>
      </c>
      <c r="U32" s="114">
        <f>F32*O32</f>
        <v/>
      </c>
    </row>
    <row r="33" outlineLevel="2" ht="72" customFormat="1" customHeight="1" s="5">
      <c r="A33" s="113" t="n">
        <v>23</v>
      </c>
      <c r="B33" s="113" t="n">
        <v>30413013010</v>
      </c>
      <c r="C33" s="114" t="inlineStr">
        <is>
          <t>空调温控面板</t>
        </is>
      </c>
      <c r="D33" s="115" t="inlineStr">
        <is>
          <t>1.名称：空调温控面板
2.规格：86*86mm
3.安装方式：暗装
4.其他：包括但不限于满足图纸、招标文件、规范及验收要求等一切相关费用</t>
        </is>
      </c>
      <c r="E33" s="114" t="inlineStr">
        <is>
          <t>套</t>
        </is>
      </c>
      <c r="F33" s="114" t="n">
        <v>7</v>
      </c>
      <c r="G33" s="116">
        <f>R33*$R$3</f>
        <v/>
      </c>
      <c r="H33" s="117">
        <f>P33*(1+Q33)*$P$3+S33*$S$3</f>
        <v/>
      </c>
      <c r="I33" s="117">
        <f>T33*$T$3</f>
        <v/>
      </c>
      <c r="J33" s="117">
        <f>(G33+H33+I33)*$J$3</f>
        <v/>
      </c>
      <c r="K33" s="117">
        <f>(G33+H33+I33+J33)*$K$3</f>
        <v/>
      </c>
      <c r="L33" s="117">
        <f>G33+H33+I33+J33+K33</f>
        <v/>
      </c>
      <c r="M33" s="117">
        <f>F33*L33</f>
        <v/>
      </c>
      <c r="N33" s="118" t="n"/>
      <c r="O33" s="114">
        <f>P33*(1+Q33)+R33+S33+T33</f>
        <v/>
      </c>
      <c r="P33" s="119" t="n">
        <v>95</v>
      </c>
      <c r="Q33" s="120" t="n">
        <v>0</v>
      </c>
      <c r="R33" s="119" t="n">
        <v>35</v>
      </c>
      <c r="S33" s="121" t="n">
        <v>8</v>
      </c>
      <c r="T33" s="122" t="n">
        <v>0</v>
      </c>
      <c r="U33" s="114">
        <f>F33*O33</f>
        <v/>
      </c>
    </row>
    <row r="34" outlineLevel="2" ht="72" customFormat="1" customHeight="1" s="5">
      <c r="A34" s="113" t="n">
        <v>24</v>
      </c>
      <c r="B34" s="113" t="n">
        <v>30703007001</v>
      </c>
      <c r="C34" s="114" t="inlineStr">
        <is>
          <t>单层百叶风口</t>
        </is>
      </c>
      <c r="D34" s="115" t="inlineStr">
        <is>
          <t>1.名称：单层百叶风口
2.周长：≤1800mm
3.规格：500*150
4.其他：包括但不限于满足图纸、招标文件、规范及验收要求等一切相关费用</t>
        </is>
      </c>
      <c r="E34" s="114" t="inlineStr">
        <is>
          <t>个</t>
        </is>
      </c>
      <c r="F34" s="114" t="n">
        <v>4</v>
      </c>
      <c r="G34" s="116">
        <f>R34*$R$3</f>
        <v/>
      </c>
      <c r="H34" s="117">
        <f>P34*(1+Q34)*$P$3+S34*$S$3</f>
        <v/>
      </c>
      <c r="I34" s="117">
        <f>T34*$T$3</f>
        <v/>
      </c>
      <c r="J34" s="117">
        <f>(G34+H34+I34)*$J$3</f>
        <v/>
      </c>
      <c r="K34" s="117">
        <f>(G34+H34+I34+J34)*$K$3</f>
        <v/>
      </c>
      <c r="L34" s="117">
        <f>G34+H34+I34+J34+K34</f>
        <v/>
      </c>
      <c r="M34" s="117">
        <f>F34*L34</f>
        <v/>
      </c>
      <c r="N34" s="118" t="n"/>
      <c r="O34" s="114">
        <f>P34*(1+Q34)+R34+S34+T34</f>
        <v/>
      </c>
      <c r="P34" s="119" t="n">
        <v>75</v>
      </c>
      <c r="Q34" s="120" t="n">
        <v>0</v>
      </c>
      <c r="R34" s="119" t="n">
        <v>20</v>
      </c>
      <c r="S34" s="121" t="n">
        <v>6</v>
      </c>
      <c r="T34" s="122" t="n">
        <v>0</v>
      </c>
      <c r="U34" s="114">
        <f>F34*O34</f>
        <v/>
      </c>
    </row>
    <row r="35" outlineLevel="2" ht="72" customFormat="1" customHeight="1" s="5">
      <c r="A35" s="113" t="n">
        <v>25</v>
      </c>
      <c r="B35" s="113" t="n">
        <v>30703007006</v>
      </c>
      <c r="C35" s="114" t="inlineStr">
        <is>
          <t>单层百叶风口</t>
        </is>
      </c>
      <c r="D35" s="115" t="inlineStr">
        <is>
          <t>1.名称：单层百叶风口
2.周长：≤1800mm
3.规格：600*150
4.其他：包括但不限于满足图纸、招标文件、规范及验收要求等一切相关费用</t>
        </is>
      </c>
      <c r="E35" s="114" t="inlineStr">
        <is>
          <t>个</t>
        </is>
      </c>
      <c r="F35" s="114" t="n">
        <v>2</v>
      </c>
      <c r="G35" s="116">
        <f>R35*$R$3</f>
        <v/>
      </c>
      <c r="H35" s="117">
        <f>P35*(1+Q35)*$P$3+S35*$S$3</f>
        <v/>
      </c>
      <c r="I35" s="117">
        <f>T35*$T$3</f>
        <v/>
      </c>
      <c r="J35" s="117">
        <f>(G35+H35+I35)*$J$3</f>
        <v/>
      </c>
      <c r="K35" s="117">
        <f>(G35+H35+I35+J35)*$K$3</f>
        <v/>
      </c>
      <c r="L35" s="117">
        <f>G35+H35+I35+J35+K35</f>
        <v/>
      </c>
      <c r="M35" s="117">
        <f>F35*L35</f>
        <v/>
      </c>
      <c r="N35" s="118" t="n"/>
      <c r="O35" s="114">
        <f>P35*(1+Q35)+R35+S35+T35</f>
        <v/>
      </c>
      <c r="P35" s="119" t="n">
        <v>75</v>
      </c>
      <c r="Q35" s="120" t="n">
        <v>0</v>
      </c>
      <c r="R35" s="119" t="n">
        <v>20</v>
      </c>
      <c r="S35" s="121" t="n">
        <v>6</v>
      </c>
      <c r="T35" s="122" t="n">
        <v>0</v>
      </c>
      <c r="U35" s="114">
        <f>F35*O35</f>
        <v/>
      </c>
    </row>
    <row r="36" outlineLevel="2" ht="72" customFormat="1" customHeight="1" s="5">
      <c r="A36" s="113" t="n">
        <v>26</v>
      </c>
      <c r="B36" s="113" t="n">
        <v>30703007007</v>
      </c>
      <c r="C36" s="114" t="inlineStr">
        <is>
          <t>单层百叶风口</t>
        </is>
      </c>
      <c r="D36" s="115" t="inlineStr">
        <is>
          <t>1.名称：单层百叶风口
2.周长：≤1800mm
3.规格：700*150
4.其他：包括但不限于满足图纸、招标文件、规范及验收要求等一切相关费用</t>
        </is>
      </c>
      <c r="E36" s="114" t="inlineStr">
        <is>
          <t>个</t>
        </is>
      </c>
      <c r="F36" s="114" t="n">
        <v>2</v>
      </c>
      <c r="G36" s="116">
        <f>R36*$R$3</f>
        <v/>
      </c>
      <c r="H36" s="117">
        <f>P36*(1+Q36)*$P$3+S36*$S$3</f>
        <v/>
      </c>
      <c r="I36" s="117">
        <f>T36*$T$3</f>
        <v/>
      </c>
      <c r="J36" s="117">
        <f>(G36+H36+I36)*$J$3</f>
        <v/>
      </c>
      <c r="K36" s="117">
        <f>(G36+H36+I36+J36)*$K$3</f>
        <v/>
      </c>
      <c r="L36" s="117">
        <f>G36+H36+I36+J36+K36</f>
        <v/>
      </c>
      <c r="M36" s="117">
        <f>F36*L36</f>
        <v/>
      </c>
      <c r="N36" s="118" t="n"/>
      <c r="O36" s="114">
        <f>P36*(1+Q36)+R36+S36+T36</f>
        <v/>
      </c>
      <c r="P36" s="119" t="n">
        <v>75</v>
      </c>
      <c r="Q36" s="120" t="n">
        <v>0</v>
      </c>
      <c r="R36" s="119" t="n">
        <v>20</v>
      </c>
      <c r="S36" s="121" t="n">
        <v>6</v>
      </c>
      <c r="T36" s="122" t="n">
        <v>0</v>
      </c>
      <c r="U36" s="114">
        <f>F36*O36</f>
        <v/>
      </c>
    </row>
    <row r="37" outlineLevel="2" ht="72" customFormat="1" customHeight="1" s="5">
      <c r="A37" s="113" t="n">
        <v>27</v>
      </c>
      <c r="B37" s="113" t="n">
        <v>30703007004</v>
      </c>
      <c r="C37" s="114" t="inlineStr">
        <is>
          <t>单层百叶风口</t>
        </is>
      </c>
      <c r="D37" s="115" t="inlineStr">
        <is>
          <t>1.名称：单层百叶风口
2.周长：≤3300mm
3.规格：900*150
4.其他：包括但不限于满足图纸、招标文件、规范及验收要求等一切相关费用</t>
        </is>
      </c>
      <c r="E37" s="114" t="inlineStr">
        <is>
          <t>个</t>
        </is>
      </c>
      <c r="F37" s="114" t="n">
        <v>8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75</v>
      </c>
      <c r="Q37" s="120" t="n">
        <v>0</v>
      </c>
      <c r="R37" s="119" t="n">
        <v>20</v>
      </c>
      <c r="S37" s="121" t="n">
        <v>6</v>
      </c>
      <c r="T37" s="122" t="n">
        <v>0</v>
      </c>
      <c r="U37" s="114">
        <f>F37*O37</f>
        <v/>
      </c>
    </row>
    <row r="38" outlineLevel="2" ht="72" customFormat="1" customHeight="1" s="5">
      <c r="A38" s="113" t="n">
        <v>28</v>
      </c>
      <c r="B38" s="113" t="n">
        <v>30703007008</v>
      </c>
      <c r="C38" s="114" t="inlineStr">
        <is>
          <t>单层百叶风口</t>
        </is>
      </c>
      <c r="D38" s="115" t="inlineStr">
        <is>
          <t>1.名称：单层百叶风口
2.周长：≤4200mm
3.规格：1250*150
4.其他：包括但不限于满足图纸、招标文件、规范及验收要求等一切相关费用</t>
        </is>
      </c>
      <c r="E38" s="114" t="inlineStr">
        <is>
          <t>个</t>
        </is>
      </c>
      <c r="F38" s="114" t="n">
        <v>4</v>
      </c>
      <c r="G38" s="116">
        <f>R38*$R$3</f>
        <v/>
      </c>
      <c r="H38" s="117">
        <f>P38*(1+Q38)*$P$3+S38*$S$3</f>
        <v/>
      </c>
      <c r="I38" s="117">
        <f>T38*$T$3</f>
        <v/>
      </c>
      <c r="J38" s="117">
        <f>(G38+H38+I38)*$J$3</f>
        <v/>
      </c>
      <c r="K38" s="117">
        <f>(G38+H38+I38+J38)*$K$3</f>
        <v/>
      </c>
      <c r="L38" s="117">
        <f>G38+H38+I38+J38+K38</f>
        <v/>
      </c>
      <c r="M38" s="117">
        <f>F38*L38</f>
        <v/>
      </c>
      <c r="N38" s="118" t="n"/>
      <c r="O38" s="114">
        <f>P38*(1+Q38)+R38+S38+T38</f>
        <v/>
      </c>
      <c r="P38" s="119" t="n">
        <v>75</v>
      </c>
      <c r="Q38" s="120" t="n">
        <v>0</v>
      </c>
      <c r="R38" s="119" t="n">
        <v>20</v>
      </c>
      <c r="S38" s="121" t="n">
        <v>6</v>
      </c>
      <c r="T38" s="122" t="n">
        <v>0</v>
      </c>
      <c r="U38" s="114">
        <f>F38*O38</f>
        <v/>
      </c>
    </row>
    <row r="39" outlineLevel="1" customFormat="1" s="5">
      <c r="A39" s="27" t="inlineStr"/>
      <c r="B39" s="27" t="inlineStr"/>
      <c r="C39" s="105" t="inlineStr">
        <is>
          <t>风管</t>
        </is>
      </c>
      <c r="D39" s="110" t="inlineStr"/>
      <c r="E39" s="105" t="inlineStr"/>
      <c r="F39" s="105" t="inlineStr"/>
      <c r="G39" s="105" t="n"/>
      <c r="H39" s="105" t="n"/>
      <c r="I39" s="105" t="n"/>
      <c r="J39" s="105" t="n"/>
      <c r="K39" s="105" t="n"/>
      <c r="L39" s="105" t="n"/>
      <c r="M39" s="105" t="n"/>
      <c r="N39" s="101" t="n"/>
      <c r="O39" s="105" t="n"/>
      <c r="P39" s="105" t="n"/>
      <c r="Q39" s="78" t="n"/>
      <c r="R39" s="105" t="n"/>
      <c r="S39" s="105" t="n"/>
      <c r="T39" s="105" t="n"/>
      <c r="U39" s="105">
        <f>F39*O39</f>
        <v/>
      </c>
    </row>
    <row r="40" outlineLevel="2" ht="84" customFormat="1" customHeight="1" s="5">
      <c r="A40" s="113" t="n">
        <v>29</v>
      </c>
      <c r="B40" s="113" t="n">
        <v>30702001001</v>
      </c>
      <c r="C40" s="114" t="inlineStr">
        <is>
          <t>碳钢通风管道</t>
        </is>
      </c>
      <c r="D40" s="115" t="inlineStr">
        <is>
          <t>1.名称：矩形风管
2.材质：镀锌薄钢板
3.厚度：0.6mm
4.长边：≤1000mm
5.其他：包括但不限于满足图纸、招标文件、规范及验收要求等一切相关费用</t>
        </is>
      </c>
      <c r="E40" s="114" t="inlineStr">
        <is>
          <t>m2</t>
        </is>
      </c>
      <c r="F40" s="114" t="n">
        <v>6.28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85</v>
      </c>
      <c r="Q40" s="120" t="n">
        <v>0.03</v>
      </c>
      <c r="R40" s="119" t="n">
        <v>48</v>
      </c>
      <c r="S40" s="121" t="n">
        <v>12</v>
      </c>
      <c r="T40" s="122" t="n">
        <v>2</v>
      </c>
      <c r="U40" s="114">
        <f>F40*O40</f>
        <v/>
      </c>
    </row>
    <row r="41" outlineLevel="2" ht="84" customFormat="1" customHeight="1" s="5">
      <c r="A41" s="113" t="n">
        <v>30</v>
      </c>
      <c r="B41" s="113" t="n">
        <v>30702001002</v>
      </c>
      <c r="C41" s="114" t="inlineStr">
        <is>
          <t>碳钢通风管道</t>
        </is>
      </c>
      <c r="D41" s="115" t="inlineStr">
        <is>
          <t>1.名称：矩形风管
2.材质：镀锌薄钢板
3.厚度：0.75mm
4.长边：≤1000mm
5.其他：包括但不限于满足图纸、招标文件、规范及验收要求等一切相关费用</t>
        </is>
      </c>
      <c r="E41" s="114" t="inlineStr">
        <is>
          <t>m2</t>
        </is>
      </c>
      <c r="F41" s="114" t="n">
        <v>27.07</v>
      </c>
      <c r="G41" s="116">
        <f>R41*$R$3</f>
        <v/>
      </c>
      <c r="H41" s="117">
        <f>P41*(1+Q41)*$P$3+S41*$S$3</f>
        <v/>
      </c>
      <c r="I41" s="117">
        <f>T41*$T$3</f>
        <v/>
      </c>
      <c r="J41" s="117">
        <f>(G41+H41+I41)*$J$3</f>
        <v/>
      </c>
      <c r="K41" s="117">
        <f>(G41+H41+I41+J41)*$K$3</f>
        <v/>
      </c>
      <c r="L41" s="117">
        <f>G41+H41+I41+J41+K41</f>
        <v/>
      </c>
      <c r="M41" s="117">
        <f>F41*L41</f>
        <v/>
      </c>
      <c r="N41" s="118" t="n"/>
      <c r="O41" s="114">
        <f>P41*(1+Q41)+R41+S41+T41</f>
        <v/>
      </c>
      <c r="P41" s="119" t="n">
        <v>85</v>
      </c>
      <c r="Q41" s="120" t="n">
        <v>0.03</v>
      </c>
      <c r="R41" s="119" t="n">
        <v>48</v>
      </c>
      <c r="S41" s="121" t="n">
        <v>12</v>
      </c>
      <c r="T41" s="122" t="n">
        <v>2</v>
      </c>
      <c r="U41" s="114">
        <f>F41*O41</f>
        <v/>
      </c>
    </row>
    <row r="42" outlineLevel="2" ht="84" customFormat="1" customHeight="1" s="5">
      <c r="A42" s="113" t="n">
        <v>31</v>
      </c>
      <c r="B42" s="113" t="n">
        <v>30702001003</v>
      </c>
      <c r="C42" s="114" t="inlineStr">
        <is>
          <t>碳钢通风管道</t>
        </is>
      </c>
      <c r="D42" s="115" t="inlineStr">
        <is>
          <t>1.名称：矩形风管
2.材质：镀锌薄钢板
3.厚度：1.0mm
4.长边：≤1250mm
5.其他：包括但不限于满足图纸、招标文件、规范及验收要求等一切相关费用</t>
        </is>
      </c>
      <c r="E42" s="114" t="inlineStr">
        <is>
          <t>m2</t>
        </is>
      </c>
      <c r="F42" s="114" t="n">
        <v>20.66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85</v>
      </c>
      <c r="Q42" s="120" t="n">
        <v>0.03</v>
      </c>
      <c r="R42" s="119" t="n">
        <v>48</v>
      </c>
      <c r="S42" s="121" t="n">
        <v>12</v>
      </c>
      <c r="T42" s="122" t="n">
        <v>2</v>
      </c>
      <c r="U42" s="114">
        <f>F42*O42</f>
        <v/>
      </c>
    </row>
    <row r="43" outlineLevel="2" ht="72" customFormat="1" customHeight="1" s="5">
      <c r="A43" s="113" t="n">
        <v>32</v>
      </c>
      <c r="B43" s="113" t="n">
        <v>30703019001</v>
      </c>
      <c r="C43" s="114" t="inlineStr">
        <is>
          <t>柔性接口</t>
        </is>
      </c>
      <c r="D43" s="115" t="inlineStr">
        <is>
          <t>1.名称：帆布软接口
2.材质：帆布
3.厚度：满足验收要求
4.其他：包括但不限于满足图纸、招标文件、规范及验收要求等一切相关费用</t>
        </is>
      </c>
      <c r="E43" s="114" t="inlineStr">
        <is>
          <t>m2</t>
        </is>
      </c>
      <c r="F43" s="114" t="n">
        <v>8.16</v>
      </c>
      <c r="G43" s="116">
        <f>R43*$R$3</f>
        <v/>
      </c>
      <c r="H43" s="117">
        <f>P43*(1+Q43)*$P$3+S43*$S$3</f>
        <v/>
      </c>
      <c r="I43" s="117">
        <f>T43*$T$3</f>
        <v/>
      </c>
      <c r="J43" s="117">
        <f>(G43+H43+I43)*$J$3</f>
        <v/>
      </c>
      <c r="K43" s="117">
        <f>(G43+H43+I43+J43)*$K$3</f>
        <v/>
      </c>
      <c r="L43" s="117">
        <f>G43+H43+I43+J43+K43</f>
        <v/>
      </c>
      <c r="M43" s="117">
        <f>F43*L43</f>
        <v/>
      </c>
      <c r="N43" s="118" t="n"/>
      <c r="O43" s="114">
        <f>P43*(1+Q43)+R43+S43+T43</f>
        <v/>
      </c>
      <c r="P43" s="119" t="n">
        <v>19.49</v>
      </c>
      <c r="Q43" s="120" t="n">
        <v>0</v>
      </c>
      <c r="R43" s="119" t="n">
        <v>55</v>
      </c>
      <c r="S43" s="121" t="n">
        <v>59.4</v>
      </c>
      <c r="T43" s="122" t="n">
        <v>2.75</v>
      </c>
      <c r="U43" s="114">
        <f>F43*O43</f>
        <v/>
      </c>
    </row>
    <row r="44" outlineLevel="2" ht="72" customFormat="1" customHeight="1" s="5">
      <c r="A44" s="113" t="n">
        <v>33</v>
      </c>
      <c r="B44" s="113" t="n">
        <v>31301005001</v>
      </c>
      <c r="C44" s="114" t="inlineStr">
        <is>
          <t>风管支架刷油</t>
        </is>
      </c>
      <c r="D44" s="115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44" s="114" t="inlineStr">
        <is>
          <t>kg</t>
        </is>
      </c>
      <c r="F44" s="114" t="n">
        <v>208.7</v>
      </c>
      <c r="G44" s="116">
        <f>R44*$R$3</f>
        <v/>
      </c>
      <c r="H44" s="117">
        <f>P44*(1+Q44)*$P$3+S44*$S$3</f>
        <v/>
      </c>
      <c r="I44" s="117">
        <f>T44*$T$3</f>
        <v/>
      </c>
      <c r="J44" s="117">
        <f>(G44+H44+I44)*$J$3</f>
        <v/>
      </c>
      <c r="K44" s="117">
        <f>(G44+H44+I44+J44)*$K$3</f>
        <v/>
      </c>
      <c r="L44" s="117">
        <f>G44+H44+I44+J44+K44</f>
        <v/>
      </c>
      <c r="M44" s="117">
        <f>F44*L44</f>
        <v/>
      </c>
      <c r="N44" s="118" t="n"/>
      <c r="O44" s="114">
        <f>P44*(1+Q44)+R44+S44+T44</f>
        <v/>
      </c>
      <c r="P44" s="119" t="n">
        <v>6.87</v>
      </c>
      <c r="Q44" s="120" t="n">
        <v>0</v>
      </c>
      <c r="R44" s="119" t="n">
        <v>5.77</v>
      </c>
      <c r="S44" s="121" t="n">
        <v>0</v>
      </c>
      <c r="T44" s="122" t="n">
        <v>1.21</v>
      </c>
      <c r="U44" s="114">
        <f>F44*O44</f>
        <v/>
      </c>
    </row>
    <row r="45" outlineLevel="2" ht="108" customFormat="1" customHeight="1" s="5">
      <c r="A45" s="113" t="n">
        <v>34</v>
      </c>
      <c r="B45" s="113" t="n">
        <v>31208003001</v>
      </c>
      <c r="C45" s="114" t="inlineStr">
        <is>
          <t>通风管道绝热</t>
        </is>
      </c>
      <c r="D45" s="115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45" s="114" t="inlineStr">
        <is>
          <t>m2</t>
        </is>
      </c>
      <c r="F45" s="114" t="n">
        <v>47.31</v>
      </c>
      <c r="G45" s="116">
        <f>R45*$R$3</f>
        <v/>
      </c>
      <c r="H45" s="117">
        <f>P45*(1+Q45)*$P$3+S45*$S$3</f>
        <v/>
      </c>
      <c r="I45" s="117">
        <f>T45*$T$3</f>
        <v/>
      </c>
      <c r="J45" s="117">
        <f>(G45+H45+I45)*$J$3</f>
        <v/>
      </c>
      <c r="K45" s="117">
        <f>(G45+H45+I45+J45)*$K$3</f>
        <v/>
      </c>
      <c r="L45" s="117">
        <f>G45+H45+I45+J45+K45</f>
        <v/>
      </c>
      <c r="M45" s="117">
        <f>F45*L45</f>
        <v/>
      </c>
      <c r="N45" s="118" t="n"/>
      <c r="O45" s="114">
        <f>P45*(1+Q45)+R45+S45+T45</f>
        <v/>
      </c>
      <c r="P45" s="119" t="n">
        <v>400</v>
      </c>
      <c r="Q45" s="120" t="n">
        <v>0</v>
      </c>
      <c r="R45" s="119" t="n">
        <v>48</v>
      </c>
      <c r="S45" s="121" t="n">
        <v>12</v>
      </c>
      <c r="T45" s="122" t="n">
        <v>2</v>
      </c>
      <c r="U45" s="114">
        <f>F45*O45</f>
        <v/>
      </c>
    </row>
    <row r="46" outlineLevel="2" customFormat="1" s="5">
      <c r="A46" s="113" t="n">
        <v>35</v>
      </c>
      <c r="B46" s="113" t="n">
        <v>30704001001</v>
      </c>
      <c r="C46" s="114" t="inlineStr">
        <is>
          <t>通风工程检测、调试</t>
        </is>
      </c>
      <c r="D46" s="115" t="inlineStr">
        <is>
          <t>1.名称：风管漏光试验、漏风试验</t>
        </is>
      </c>
      <c r="E46" s="114" t="inlineStr">
        <is>
          <t>系统</t>
        </is>
      </c>
      <c r="F46" s="114" t="n">
        <v>1</v>
      </c>
      <c r="G46" s="116">
        <f>R46*$R$3</f>
        <v/>
      </c>
      <c r="H46" s="117">
        <f>P46*(1+Q46)*$P$3+S46*$S$3</f>
        <v/>
      </c>
      <c r="I46" s="117">
        <f>T46*$T$3</f>
        <v/>
      </c>
      <c r="J46" s="117">
        <f>(G46+H46+I46)*$J$3</f>
        <v/>
      </c>
      <c r="K46" s="117">
        <f>(G46+H46+I46+J46)*$K$3</f>
        <v/>
      </c>
      <c r="L46" s="117">
        <f>G46+H46+I46+J46+K46</f>
        <v/>
      </c>
      <c r="M46" s="117">
        <f>F46*L46</f>
        <v/>
      </c>
      <c r="N46" s="118" t="n"/>
      <c r="O46" s="114">
        <f>P46*(1+Q46)+R46+S46+T46</f>
        <v/>
      </c>
      <c r="P46" s="119" t="n">
        <v>400</v>
      </c>
      <c r="Q46" s="120" t="n">
        <v>0</v>
      </c>
      <c r="R46" s="119" t="n">
        <v>380</v>
      </c>
      <c r="S46" s="121" t="n">
        <v>200</v>
      </c>
      <c r="T46" s="122" t="n">
        <v>20</v>
      </c>
      <c r="U46" s="114">
        <f>F46*O46</f>
        <v/>
      </c>
    </row>
    <row r="47" outlineLevel="1" customFormat="1" s="5">
      <c r="A47" s="27" t="inlineStr"/>
      <c r="B47" s="27" t="inlineStr"/>
      <c r="C47" s="105" t="inlineStr">
        <is>
          <t>水管</t>
        </is>
      </c>
      <c r="D47" s="110" t="inlineStr"/>
      <c r="E47" s="105" t="inlineStr"/>
      <c r="F47" s="105" t="inlineStr"/>
      <c r="G47" s="105" t="n"/>
      <c r="H47" s="105" t="n"/>
      <c r="I47" s="105" t="n"/>
      <c r="J47" s="105" t="n"/>
      <c r="K47" s="105" t="n"/>
      <c r="L47" s="105" t="n"/>
      <c r="M47" s="105" t="n"/>
      <c r="N47" s="101" t="n"/>
      <c r="O47" s="105" t="n"/>
      <c r="P47" s="105" t="n"/>
      <c r="Q47" s="78" t="n"/>
      <c r="R47" s="105" t="n"/>
      <c r="S47" s="105" t="n"/>
      <c r="T47" s="105" t="n"/>
      <c r="U47" s="105">
        <f>F47*O47</f>
        <v/>
      </c>
    </row>
    <row r="48" outlineLevel="2" ht="84" customFormat="1" customHeight="1" s="5">
      <c r="A48" s="113" t="n">
        <v>36</v>
      </c>
      <c r="B48" s="113" t="n">
        <v>31001005001</v>
      </c>
      <c r="C48" s="114" t="inlineStr">
        <is>
          <t>铜管</t>
        </is>
      </c>
      <c r="D48" s="115" t="inlineStr">
        <is>
          <t>1.名称：紫铜管
2.规格：φ6.4
3.厚度：0.8mm
4.连接方式：钎焊连结
5.其他：包括但不限于满足图纸、招标文件、规范及验收要求等一切相关费用</t>
        </is>
      </c>
      <c r="E48" s="114" t="inlineStr">
        <is>
          <t>m</t>
        </is>
      </c>
      <c r="F48" s="114" t="n">
        <v>24.46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>
        <v>10.72</v>
      </c>
      <c r="Q48" s="120" t="n">
        <v>0.03</v>
      </c>
      <c r="R48" s="119" t="n">
        <v>9.640000000000001</v>
      </c>
      <c r="S48" s="121" t="n">
        <v>2.14</v>
      </c>
      <c r="T48" s="122" t="n">
        <v>0</v>
      </c>
      <c r="U48" s="114">
        <f>F48*O48</f>
        <v/>
      </c>
    </row>
    <row r="49" outlineLevel="2" ht="84" customFormat="1" customHeight="1" s="5">
      <c r="A49" s="113" t="n">
        <v>37</v>
      </c>
      <c r="B49" s="113" t="n">
        <v>31001005002</v>
      </c>
      <c r="C49" s="114" t="inlineStr">
        <is>
          <t>铜管</t>
        </is>
      </c>
      <c r="D49" s="115" t="inlineStr">
        <is>
          <t>1.名称：紫铜管
2.规格：φ9.5
3.厚度：0.8mm
4.连接方式：钎焊连结
5.其他：包括但不限于满足图纸、招标文件、规范及验收要求等一切相关费用</t>
        </is>
      </c>
      <c r="E49" s="114" t="inlineStr">
        <is>
          <t>m</t>
        </is>
      </c>
      <c r="F49" s="114" t="n">
        <v>35.16</v>
      </c>
      <c r="G49" s="116">
        <f>R49*$R$3</f>
        <v/>
      </c>
      <c r="H49" s="117">
        <f>P49*(1+Q49)*$P$3+S49*$S$3</f>
        <v/>
      </c>
      <c r="I49" s="117">
        <f>T49*$T$3</f>
        <v/>
      </c>
      <c r="J49" s="117">
        <f>(G49+H49+I49)*$J$3</f>
        <v/>
      </c>
      <c r="K49" s="117">
        <f>(G49+H49+I49+J49)*$K$3</f>
        <v/>
      </c>
      <c r="L49" s="117">
        <f>G49+H49+I49+J49+K49</f>
        <v/>
      </c>
      <c r="M49" s="117">
        <f>F49*L49</f>
        <v/>
      </c>
      <c r="N49" s="118" t="n"/>
      <c r="O49" s="114">
        <f>P49*(1+Q49)+R49+S49+T49</f>
        <v/>
      </c>
      <c r="P49" s="119" t="n">
        <v>14.44</v>
      </c>
      <c r="Q49" s="120" t="n">
        <v>0.03</v>
      </c>
      <c r="R49" s="119" t="n">
        <v>14.29</v>
      </c>
      <c r="S49" s="121" t="n">
        <v>2.89</v>
      </c>
      <c r="T49" s="122" t="n">
        <v>0</v>
      </c>
      <c r="U49" s="114">
        <f>F49*O49</f>
        <v/>
      </c>
    </row>
    <row r="50" outlineLevel="2" ht="84" customFormat="1" customHeight="1" s="5">
      <c r="A50" s="113" t="n">
        <v>38</v>
      </c>
      <c r="B50" s="113" t="n">
        <v>31001005003</v>
      </c>
      <c r="C50" s="114" t="inlineStr">
        <is>
          <t>铜管</t>
        </is>
      </c>
      <c r="D50" s="115" t="inlineStr">
        <is>
          <t>1.名称：紫铜管
2.规格：φ12.7
3.厚度：0.8mm
4.连接方式：钎焊连结
5.其他：包括但不限于满足图纸、招标文件、规范及验收要求等一切相关费用</t>
        </is>
      </c>
      <c r="E50" s="114" t="inlineStr">
        <is>
          <t>m</t>
        </is>
      </c>
      <c r="F50" s="114" t="n">
        <v>24.46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>
        <v>15.46</v>
      </c>
      <c r="Q50" s="120" t="n">
        <v>0.03</v>
      </c>
      <c r="R50" s="119" t="n">
        <v>19.09</v>
      </c>
      <c r="S50" s="121" t="n">
        <v>3.09</v>
      </c>
      <c r="T50" s="122" t="n">
        <v>0</v>
      </c>
      <c r="U50" s="114">
        <f>F50*O50</f>
        <v/>
      </c>
    </row>
    <row r="51" outlineLevel="2" ht="84" customFormat="1" customHeight="1" s="5">
      <c r="A51" s="113" t="n">
        <v>39</v>
      </c>
      <c r="B51" s="113" t="n">
        <v>31001005004</v>
      </c>
      <c r="C51" s="114" t="inlineStr">
        <is>
          <t>铜管</t>
        </is>
      </c>
      <c r="D51" s="115" t="inlineStr">
        <is>
          <t>1.名称：紫铜管
2.规格：φ15.9
3.厚度：1.0mm
4.连接方式：钎焊连结
5.其他：包括但不限于满足图纸、招标文件、规范及验收要求等一切相关费用</t>
        </is>
      </c>
      <c r="E51" s="114" t="inlineStr">
        <is>
          <t>m</t>
        </is>
      </c>
      <c r="F51" s="114" t="n">
        <v>16.04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>
        <v>21.54</v>
      </c>
      <c r="Q51" s="120" t="n">
        <v>0.03</v>
      </c>
      <c r="R51" s="119" t="n">
        <v>23.89</v>
      </c>
      <c r="S51" s="121" t="n">
        <v>4.31</v>
      </c>
      <c r="T51" s="122" t="n">
        <v>0</v>
      </c>
      <c r="U51" s="114">
        <f>F51*O51</f>
        <v/>
      </c>
    </row>
    <row r="52" outlineLevel="2" ht="84" customFormat="1" customHeight="1" s="5">
      <c r="A52" s="113" t="n">
        <v>40</v>
      </c>
      <c r="B52" s="113" t="n">
        <v>31001005005</v>
      </c>
      <c r="C52" s="114" t="inlineStr">
        <is>
          <t>铜管</t>
        </is>
      </c>
      <c r="D52" s="115" t="inlineStr">
        <is>
          <t>1.名称：紫铜管
2.规格：φ19.1
3.厚度：1.0mm
4.连接方式：钎焊连结
5.其他：包括但不限于满足图纸、招标文件、规范及验收要求等一切相关费用</t>
        </is>
      </c>
      <c r="E52" s="114" t="inlineStr">
        <is>
          <t>m</t>
        </is>
      </c>
      <c r="F52" s="114" t="n">
        <v>9.369999999999999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>
        <v>29.13</v>
      </c>
      <c r="Q52" s="120" t="n">
        <v>0.03</v>
      </c>
      <c r="R52" s="119" t="n">
        <v>28.7</v>
      </c>
      <c r="S52" s="121" t="n">
        <v>5.83</v>
      </c>
      <c r="T52" s="122" t="n">
        <v>0</v>
      </c>
      <c r="U52" s="114">
        <f>F52*O52</f>
        <v/>
      </c>
    </row>
    <row r="53" outlineLevel="2" ht="84" customFormat="1" customHeight="1" s="5">
      <c r="A53" s="113" t="n">
        <v>41</v>
      </c>
      <c r="B53" s="113" t="n">
        <v>31001005006</v>
      </c>
      <c r="C53" s="114" t="inlineStr">
        <is>
          <t>铜管</t>
        </is>
      </c>
      <c r="D53" s="115" t="inlineStr">
        <is>
          <t>1.名称：紫铜管
2.规格：φ22.2
3.厚度：1.0mm
4.连接方式：钎焊连结
5.其他：包括但不限于满足图纸、招标文件、规范及验收要求等一切相关费用</t>
        </is>
      </c>
      <c r="E53" s="114" t="inlineStr">
        <is>
          <t>m</t>
        </is>
      </c>
      <c r="F53" s="114" t="n">
        <v>9.75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>
        <v>32.23</v>
      </c>
      <c r="Q53" s="120" t="n">
        <v>0.03</v>
      </c>
      <c r="R53" s="119" t="n">
        <v>33.34</v>
      </c>
      <c r="S53" s="121" t="n">
        <v>6.45</v>
      </c>
      <c r="T53" s="122" t="n">
        <v>0</v>
      </c>
      <c r="U53" s="114">
        <f>F53*O53</f>
        <v/>
      </c>
    </row>
    <row r="54" outlineLevel="2" ht="60" customFormat="1" customHeight="1" s="5">
      <c r="A54" s="113" t="n">
        <v>42</v>
      </c>
      <c r="B54" s="113" t="n">
        <v>31002001001</v>
      </c>
      <c r="C54" s="114" t="inlineStr">
        <is>
          <t>分歧器</t>
        </is>
      </c>
      <c r="D54" s="115" t="inlineStr">
        <is>
          <t>1.名称：分歧器
2.规格：公称直径20mm以内
3.其他：包括但不限于满足图纸、招标文件、规范及验收要求等一切相关费用</t>
        </is>
      </c>
      <c r="E54" s="114" t="inlineStr">
        <is>
          <t>个</t>
        </is>
      </c>
      <c r="F54" s="114" t="n">
        <v>8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>
        <v>118</v>
      </c>
      <c r="Q54" s="120" t="n">
        <v>0</v>
      </c>
      <c r="R54" s="119" t="n">
        <v>94</v>
      </c>
      <c r="S54" s="121" t="n">
        <v>59</v>
      </c>
      <c r="T54" s="122" t="n">
        <v>4.7</v>
      </c>
      <c r="U54" s="114">
        <f>F54*O54</f>
        <v/>
      </c>
    </row>
    <row r="55" outlineLevel="2" ht="84" customFormat="1" customHeight="1" s="5">
      <c r="A55" s="113" t="n">
        <v>43</v>
      </c>
      <c r="B55" s="113" t="n">
        <v>31001008002</v>
      </c>
      <c r="C55" s="114" t="inlineStr">
        <is>
          <t>塑料管</t>
        </is>
      </c>
      <c r="D55" s="115" t="inlineStr">
        <is>
          <t>1.名称：UPVC管
2.规格：DN25
3.介质：冷凝水
4.连接方式：粘接
5.其他：包括但不限于满足图纸、招标文件、规范及验收要求等一切相关费用</t>
        </is>
      </c>
      <c r="E55" s="114" t="inlineStr">
        <is>
          <t>m</t>
        </is>
      </c>
      <c r="F55" s="114" t="n">
        <v>36.98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>
        <v>8.5</v>
      </c>
      <c r="Q55" s="120" t="n">
        <v>0</v>
      </c>
      <c r="R55" s="119" t="n">
        <v>22.09</v>
      </c>
      <c r="S55" s="121" t="n">
        <v>0.26</v>
      </c>
      <c r="T55" s="122" t="n">
        <v>0.04</v>
      </c>
      <c r="U55" s="114">
        <f>F55*O55</f>
        <v/>
      </c>
    </row>
    <row r="56" outlineLevel="2" ht="84" customFormat="1" customHeight="1" s="5">
      <c r="A56" s="113" t="n">
        <v>44</v>
      </c>
      <c r="B56" s="113" t="n">
        <v>31001008003</v>
      </c>
      <c r="C56" s="114" t="inlineStr">
        <is>
          <t>塑料管</t>
        </is>
      </c>
      <c r="D56" s="115" t="inlineStr">
        <is>
          <t>1.名称：UPVC管
2.规格：DN32
3.介质：冷凝水
4.连接方式：粘接
5.其他：包括但不限于满足图纸、招标文件、规范及验收要求等一切相关费用</t>
        </is>
      </c>
      <c r="E56" s="114" t="inlineStr">
        <is>
          <t>m</t>
        </is>
      </c>
      <c r="F56" s="114" t="n">
        <v>7.5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>
        <v>11.59</v>
      </c>
      <c r="Q56" s="120" t="n">
        <v>0</v>
      </c>
      <c r="R56" s="119" t="n">
        <v>23.68</v>
      </c>
      <c r="S56" s="121" t="n">
        <v>0.27</v>
      </c>
      <c r="T56" s="122" t="n">
        <v>0.05</v>
      </c>
      <c r="U56" s="114">
        <f>F56*O56</f>
        <v/>
      </c>
    </row>
    <row r="57" outlineLevel="2" ht="84" customFormat="1" customHeight="1" s="5">
      <c r="A57" s="113" t="n">
        <v>45</v>
      </c>
      <c r="B57" s="113" t="n">
        <v>31001008004</v>
      </c>
      <c r="C57" s="114" t="inlineStr">
        <is>
          <t>塑料管</t>
        </is>
      </c>
      <c r="D57" s="115" t="inlineStr">
        <is>
          <t>1.名称：UPVC管
2.规格：DN40
3.介质：冷凝水
4.连接方式：粘接
5.其他：包括但不限于满足图纸、招标文件、规范及验收要求等一切相关费用</t>
        </is>
      </c>
      <c r="E57" s="114" t="inlineStr">
        <is>
          <t>m</t>
        </is>
      </c>
      <c r="F57" s="114" t="n">
        <v>9.32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>
        <v>20.12</v>
      </c>
      <c r="Q57" s="120" t="n">
        <v>0</v>
      </c>
      <c r="R57" s="119" t="n">
        <v>23.68</v>
      </c>
      <c r="S57" s="121" t="n">
        <v>0.32</v>
      </c>
      <c r="T57" s="122" t="n">
        <v>0.06</v>
      </c>
      <c r="U57" s="114">
        <f>F57*O57</f>
        <v/>
      </c>
    </row>
    <row r="58" outlineLevel="2" ht="72" customFormat="1" customHeight="1" s="5">
      <c r="A58" s="113" t="n">
        <v>46</v>
      </c>
      <c r="B58" s="113" t="n">
        <v>31208002001</v>
      </c>
      <c r="C58" s="114" t="inlineStr">
        <is>
          <t>其他管道绝热</t>
        </is>
      </c>
      <c r="D58" s="115" t="inlineStr">
        <is>
          <t>1.名称：冷媒管保温
2.材质：难燃B1级橡塑
3.厚度：20mm
4.其他：包括但不限于满足图纸、招标文件、规范及验收要求等一切相关费用</t>
        </is>
      </c>
      <c r="E58" s="114" t="inlineStr">
        <is>
          <t>m3</t>
        </is>
      </c>
      <c r="F58" s="114" t="n">
        <v>0.27</v>
      </c>
      <c r="G58" s="116">
        <f>R58*$R$3</f>
        <v/>
      </c>
      <c r="H58" s="117">
        <f>P58*(1+Q58)*$P$3+S58*$S$3</f>
        <v/>
      </c>
      <c r="I58" s="117">
        <f>T58*$T$3</f>
        <v/>
      </c>
      <c r="J58" s="117">
        <f>(G58+H58+I58)*$J$3</f>
        <v/>
      </c>
      <c r="K58" s="117">
        <f>(G58+H58+I58+J58)*$K$3</f>
        <v/>
      </c>
      <c r="L58" s="117">
        <f>G58+H58+I58+J58+K58</f>
        <v/>
      </c>
      <c r="M58" s="117">
        <f>F58*L58</f>
        <v/>
      </c>
      <c r="N58" s="118" t="n"/>
      <c r="O58" s="114">
        <f>P58*(1+Q58)+R58+S58+T58</f>
        <v/>
      </c>
      <c r="P58" s="119" t="n">
        <v>400</v>
      </c>
      <c r="Q58" s="120" t="n">
        <v>0</v>
      </c>
      <c r="R58" s="119" t="n">
        <v>120</v>
      </c>
      <c r="S58" s="121" t="n">
        <v>10</v>
      </c>
      <c r="T58" s="122" t="n">
        <v>5</v>
      </c>
      <c r="U58" s="114">
        <f>F58*O58</f>
        <v/>
      </c>
    </row>
    <row r="59" outlineLevel="2" ht="72" customFormat="1" customHeight="1" s="5">
      <c r="A59" s="113" t="n">
        <v>47</v>
      </c>
      <c r="B59" s="113" t="n">
        <v>31208002002</v>
      </c>
      <c r="C59" s="114" t="inlineStr">
        <is>
          <t>其他管道绝热</t>
        </is>
      </c>
      <c r="D59" s="115" t="inlineStr">
        <is>
          <t>1.名称：冷凝管保温
2.材质：难燃B1级橡塑
3.厚度：13mm
4.其他：包括但不限于满足图纸、招标文件、规范及验收要求等一切相关费用</t>
        </is>
      </c>
      <c r="E59" s="114" t="inlineStr">
        <is>
          <t>m3</t>
        </is>
      </c>
      <c r="F59" s="114" t="n">
        <v>0.11</v>
      </c>
      <c r="G59" s="116">
        <f>R59*$R$3</f>
        <v/>
      </c>
      <c r="H59" s="117">
        <f>P59*(1+Q59)*$P$3+S59*$S$3</f>
        <v/>
      </c>
      <c r="I59" s="117">
        <f>T59*$T$3</f>
        <v/>
      </c>
      <c r="J59" s="117">
        <f>(G59+H59+I59)*$J$3</f>
        <v/>
      </c>
      <c r="K59" s="117">
        <f>(G59+H59+I59+J59)*$K$3</f>
        <v/>
      </c>
      <c r="L59" s="117">
        <f>G59+H59+I59+J59+K59</f>
        <v/>
      </c>
      <c r="M59" s="117">
        <f>F59*L59</f>
        <v/>
      </c>
      <c r="N59" s="118" t="n"/>
      <c r="O59" s="114">
        <f>P59*(1+Q59)+R59+S59+T59</f>
        <v/>
      </c>
      <c r="P59" s="119" t="n">
        <v>400</v>
      </c>
      <c r="Q59" s="120" t="n">
        <v>0</v>
      </c>
      <c r="R59" s="119" t="n">
        <v>120</v>
      </c>
      <c r="S59" s="121" t="n">
        <v>10</v>
      </c>
      <c r="T59" s="122" t="n">
        <v>5</v>
      </c>
      <c r="U59" s="114">
        <f>F59*O59</f>
        <v/>
      </c>
    </row>
    <row r="60" ht="21" customHeight="1" s="95">
      <c r="A60" s="34" t="n"/>
      <c r="B60" s="35" t="inlineStr">
        <is>
          <t>税前合价</t>
        </is>
      </c>
      <c r="C60" s="35" t="n"/>
      <c r="D60" s="35" t="n"/>
      <c r="E60" s="36" t="inlineStr">
        <is>
          <t>元</t>
        </is>
      </c>
      <c r="F60" s="36" t="n"/>
      <c r="G60" s="124" t="n"/>
      <c r="H60" s="125" t="n"/>
      <c r="I60" s="125" t="n"/>
      <c r="J60" s="125" t="n"/>
      <c r="K60" s="125" t="n"/>
      <c r="L60" s="125" t="n"/>
      <c r="M60" s="126">
        <f>SUM(M4:M59)</f>
        <v/>
      </c>
      <c r="N60" s="127" t="n"/>
      <c r="O60" s="125" t="n"/>
      <c r="P60" s="125" t="n"/>
      <c r="Q60" s="80" t="n"/>
      <c r="R60" s="128" t="n"/>
      <c r="S60" s="105" t="n"/>
      <c r="T60" s="105" t="n"/>
      <c r="U60" s="105" t="n"/>
    </row>
    <row r="61" ht="21" customHeight="1" s="95">
      <c r="A61" s="34" t="n"/>
      <c r="B61" s="35" t="inlineStr">
        <is>
          <t>税金</t>
        </is>
      </c>
      <c r="C61" s="35" t="n"/>
      <c r="D61" s="35" t="n"/>
      <c r="E61" s="36" t="inlineStr">
        <is>
          <t>元</t>
        </is>
      </c>
      <c r="F61" s="36" t="n"/>
      <c r="G61" s="124" t="n"/>
      <c r="H61" s="125" t="n"/>
      <c r="I61" s="125" t="n"/>
      <c r="J61" s="125" t="n"/>
      <c r="K61" s="125" t="n"/>
      <c r="L61" s="125" t="n"/>
      <c r="M61" s="126">
        <f>M60*0.09</f>
        <v/>
      </c>
      <c r="N61" s="127" t="n"/>
      <c r="O61" s="125" t="n"/>
      <c r="P61" s="125" t="n"/>
      <c r="Q61" s="80" t="n"/>
      <c r="R61" s="128" t="n"/>
      <c r="S61" s="105" t="n"/>
      <c r="T61" s="105" t="n"/>
      <c r="U61" s="105" t="n"/>
    </row>
    <row r="62" ht="21" customHeight="1" s="95">
      <c r="A62" s="34" t="n"/>
      <c r="B62" s="35" t="inlineStr">
        <is>
          <t>含税合价</t>
        </is>
      </c>
      <c r="C62" s="35" t="n"/>
      <c r="D62" s="35" t="n"/>
      <c r="E62" s="36" t="inlineStr">
        <is>
          <t>元</t>
        </is>
      </c>
      <c r="F62" s="36" t="n"/>
      <c r="G62" s="124" t="n"/>
      <c r="H62" s="125" t="n"/>
      <c r="I62" s="125" t="n"/>
      <c r="J62" s="125" t="n"/>
      <c r="K62" s="125" t="n"/>
      <c r="L62" s="125" t="n"/>
      <c r="M62" s="126">
        <f>M60+M61</f>
        <v/>
      </c>
      <c r="N62" s="127" t="n"/>
      <c r="O62" s="125" t="n"/>
      <c r="P62" s="125" t="n"/>
      <c r="Q62" s="80" t="n"/>
      <c r="R62" s="128" t="n"/>
      <c r="S62" s="105" t="n"/>
      <c r="T62" s="105" t="n"/>
      <c r="U62" s="105" t="n"/>
    </row>
  </sheetData>
  <autoFilter ref="A2:U62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7" horizontalDpi="600"/>
  <headerFooter>
    <oddHeader/>
    <oddFooter>&amp;C第 &amp;P 页，共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141"/>
  <sheetViews>
    <sheetView view="pageBreakPreview" zoomScaleNormal="100" workbookViewId="0">
      <pane xSplit="5" ySplit="3" topLeftCell="F134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7.125" customWidth="1" style="5" min="1" max="1"/>
    <col width="14.375" customWidth="1" style="5" min="2" max="2"/>
    <col width="19.375" customWidth="1" style="5" min="3" max="3"/>
    <col width="35.7166666666667" customWidth="1" style="5" min="4" max="4"/>
    <col width="6.625" customWidth="1" style="5" min="5" max="5"/>
    <col width="10.75" customWidth="1" style="129" min="6" max="6"/>
    <col width="9" customWidth="1" style="129" min="7" max="12"/>
    <col width="11.125" customWidth="1" style="129" min="13" max="13"/>
    <col width="9" customWidth="1" style="129" min="14" max="16"/>
    <col width="9" customWidth="1" style="58" min="17" max="17"/>
    <col width="9" customWidth="1" style="129" min="18" max="21"/>
    <col width="9" customWidth="1" style="130" min="22" max="32"/>
    <col width="9" customWidth="1" style="7" min="33" max="16384"/>
  </cols>
  <sheetData>
    <row r="1" ht="18.75" customHeight="1" s="95">
      <c r="A1" s="8" t="inlineStr">
        <is>
          <t>会所售楼部安装工程工程量清单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05" t="inlineStr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55" t="n"/>
      <c r="R4" s="135" t="n"/>
      <c r="S4" s="135" t="n"/>
      <c r="T4" s="135" t="n"/>
      <c r="U4" s="135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</row>
    <row r="5" customFormat="1" s="5">
      <c r="A5" s="27" t="inlineStr"/>
      <c r="B5" s="28" t="inlineStr"/>
      <c r="C5" s="28" t="inlineStr">
        <is>
          <t>电气工程</t>
        </is>
      </c>
      <c r="D5" s="28" t="inlineStr"/>
      <c r="E5" s="27" t="inlineStr"/>
      <c r="F5" s="105" t="inlineStr"/>
      <c r="G5" s="135" t="n"/>
      <c r="H5" s="135" t="n"/>
      <c r="I5" s="135" t="n"/>
      <c r="J5" s="135" t="n"/>
      <c r="K5" s="135" t="n"/>
      <c r="L5" s="135" t="n"/>
      <c r="M5" s="135" t="n"/>
      <c r="N5" s="135" t="n"/>
      <c r="O5" s="135" t="n"/>
      <c r="P5" s="135" t="n"/>
      <c r="Q5" s="55" t="n"/>
      <c r="R5" s="135" t="n"/>
      <c r="S5" s="135" t="n"/>
      <c r="T5" s="135" t="n"/>
      <c r="U5" s="135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</row>
    <row r="6" outlineLevel="1" customFormat="1" s="5">
      <c r="A6" s="27" t="inlineStr"/>
      <c r="B6" s="28" t="inlineStr"/>
      <c r="C6" s="28" t="inlineStr">
        <is>
          <t>灯具、电器</t>
        </is>
      </c>
      <c r="D6" s="28" t="inlineStr"/>
      <c r="E6" s="27" t="inlineStr"/>
      <c r="F6" s="105" t="inlineStr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55" t="n"/>
      <c r="R6" s="135" t="n"/>
      <c r="S6" s="135" t="n"/>
      <c r="T6" s="135" t="n"/>
      <c r="U6" s="135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</row>
    <row r="7" outlineLevel="2" ht="72" customFormat="1" customHeight="1" s="5">
      <c r="A7" s="113" t="n">
        <v>1</v>
      </c>
      <c r="B7" s="136" t="n">
        <v>30413002001</v>
      </c>
      <c r="C7" s="136" t="inlineStr">
        <is>
          <t>L1 嵌入式LED可调射灯</t>
        </is>
      </c>
      <c r="D7" s="136" t="inlineStr">
        <is>
          <t>1.名称：L1 嵌入式LED可调射灯
2.规格：LED COB 15W 3000K±50
3.尺寸：φ77mm*H90mm
4.安装方式：嵌装
5.其他：包括但不限于满足图纸、招标文件、规范及验收要求等一切相关费用</t>
        </is>
      </c>
      <c r="E7" s="113" t="inlineStr">
        <is>
          <t>套</t>
        </is>
      </c>
      <c r="F7" s="114" t="n">
        <v>68</v>
      </c>
      <c r="G7" s="137">
        <f>R7*$R$3</f>
        <v/>
      </c>
      <c r="H7" s="138">
        <f>P7*(1+Q7)*$P$3+S7*$S$3</f>
        <v/>
      </c>
      <c r="I7" s="138">
        <f>T7*$T$3</f>
        <v/>
      </c>
      <c r="J7" s="138">
        <f>(G7+H7+I7)*$J$3</f>
        <v/>
      </c>
      <c r="K7" s="138">
        <f>(G7+H7+I7+J7)*$K$3</f>
        <v/>
      </c>
      <c r="L7" s="138">
        <f>G7+H7+I7+J7+K7</f>
        <v/>
      </c>
      <c r="M7" s="138">
        <f>F7*L7</f>
        <v/>
      </c>
      <c r="N7" s="118" t="n"/>
      <c r="O7" s="114">
        <f>P7*(1+Q7)+R7+S7+T7</f>
        <v/>
      </c>
      <c r="P7" s="119" t="n">
        <v>135</v>
      </c>
      <c r="Q7" s="120" t="n">
        <v>0</v>
      </c>
      <c r="R7" s="119" t="n">
        <v>115</v>
      </c>
      <c r="S7" s="121" t="n">
        <v>2</v>
      </c>
      <c r="T7" s="122" t="n">
        <v>4</v>
      </c>
      <c r="U7" s="114">
        <f>F7*O7</f>
        <v/>
      </c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</row>
    <row r="8" outlineLevel="2" ht="72" customFormat="1" customHeight="1" s="5">
      <c r="A8" s="113" t="n">
        <v>2</v>
      </c>
      <c r="B8" s="136" t="n">
        <v>30413002002</v>
      </c>
      <c r="C8" s="136" t="inlineStr">
        <is>
          <t>L2 嵌入式LED筒灯</t>
        </is>
      </c>
      <c r="D8" s="136" t="inlineStr">
        <is>
          <t>1.名称：L2 嵌入式LED筒灯
2.规格：LED COB 15W 3000K±50
3.尺寸：φ77mm*H99mm
4.安装方式：嵌装
5.其他：包括但不限于满足图纸、招标文件、规范及验收要求等一切相关费用</t>
        </is>
      </c>
      <c r="E8" s="113" t="inlineStr">
        <is>
          <t>套</t>
        </is>
      </c>
      <c r="F8" s="114" t="n">
        <v>16</v>
      </c>
      <c r="G8" s="137">
        <f>R8*$R$3</f>
        <v/>
      </c>
      <c r="H8" s="138">
        <f>P8*(1+Q8)*$P$3+S8*$S$3</f>
        <v/>
      </c>
      <c r="I8" s="138">
        <f>T8*$T$3</f>
        <v/>
      </c>
      <c r="J8" s="138">
        <f>(G8+H8+I8)*$J$3</f>
        <v/>
      </c>
      <c r="K8" s="138">
        <f>(G8+H8+I8+J8)*$K$3</f>
        <v/>
      </c>
      <c r="L8" s="138">
        <f>G8+H8+I8+J8+K8</f>
        <v/>
      </c>
      <c r="M8" s="138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6</v>
      </c>
      <c r="T8" s="122" t="n">
        <v>8</v>
      </c>
      <c r="U8" s="114">
        <f>F8*O8</f>
        <v/>
      </c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</row>
    <row r="9" outlineLevel="2" ht="72" customFormat="1" customHeight="1" s="5">
      <c r="A9" s="113" t="n">
        <v>3</v>
      </c>
      <c r="B9" s="136" t="n">
        <v>30413002003</v>
      </c>
      <c r="C9" s="136" t="inlineStr">
        <is>
          <t>L3 嵌入式LED可调射灯</t>
        </is>
      </c>
      <c r="D9" s="136" t="inlineStr">
        <is>
          <t>1.名称：L3 嵌入式LED可调射灯
2.规格：LED COB 7W 2700K±50
3.尺寸：φ77mm*H78mm
4.安装方式：嵌装
5.其他：包括但不限于满足图纸、招标文件、规范及验收要求等一切相关费用</t>
        </is>
      </c>
      <c r="E9" s="113" t="inlineStr">
        <is>
          <t>套</t>
        </is>
      </c>
      <c r="F9" s="114" t="n">
        <v>156</v>
      </c>
      <c r="G9" s="137">
        <f>R9*$R$3</f>
        <v/>
      </c>
      <c r="H9" s="138">
        <f>P9*(1+Q9)*$P$3+S9*$S$3</f>
        <v/>
      </c>
      <c r="I9" s="138">
        <f>T9*$T$3</f>
        <v/>
      </c>
      <c r="J9" s="138">
        <f>(G9+H9+I9)*$J$3</f>
        <v/>
      </c>
      <c r="K9" s="138">
        <f>(G9+H9+I9+J9)*$K$3</f>
        <v/>
      </c>
      <c r="L9" s="138">
        <f>G9+H9+I9+J9+K9</f>
        <v/>
      </c>
      <c r="M9" s="138">
        <f>F9*L9</f>
        <v/>
      </c>
      <c r="N9" s="118" t="n"/>
      <c r="O9" s="114">
        <f>P9*(1+Q9)+R9+S9+T9</f>
        <v/>
      </c>
      <c r="P9" s="119" t="n">
        <v>135</v>
      </c>
      <c r="Q9" s="120" t="n">
        <v>0</v>
      </c>
      <c r="R9" s="119" t="n">
        <v>115</v>
      </c>
      <c r="S9" s="121" t="n">
        <v>2</v>
      </c>
      <c r="T9" s="122" t="n">
        <v>4</v>
      </c>
      <c r="U9" s="114">
        <f>F9*O9</f>
        <v/>
      </c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</row>
    <row r="10" outlineLevel="2" ht="72" customFormat="1" customHeight="1" s="5">
      <c r="A10" s="113" t="n">
        <v>4</v>
      </c>
      <c r="B10" s="136" t="n">
        <v>30413002004</v>
      </c>
      <c r="C10" s="136" t="inlineStr">
        <is>
          <t>L4 嵌入式LED可调射灯</t>
        </is>
      </c>
      <c r="D10" s="136" t="inlineStr">
        <is>
          <t>1.名称：L4 嵌入式LED可调射灯
2.规格：LED COB 9W 2700K±50 
3.尺寸：φ77mm*H78mm
4.安装方式：嵌装
5.其他：包括但不限于满足图纸、招标文件、规范及验收要求等一切相关费用</t>
        </is>
      </c>
      <c r="E10" s="113" t="inlineStr">
        <is>
          <t>套</t>
        </is>
      </c>
      <c r="F10" s="114" t="n">
        <v>21</v>
      </c>
      <c r="G10" s="137">
        <f>R10*$R$3</f>
        <v/>
      </c>
      <c r="H10" s="138">
        <f>P10*(1+Q10)*$P$3+S10*$S$3</f>
        <v/>
      </c>
      <c r="I10" s="138">
        <f>T10*$T$3</f>
        <v/>
      </c>
      <c r="J10" s="138">
        <f>(G10+H10+I10)*$J$3</f>
        <v/>
      </c>
      <c r="K10" s="138">
        <f>(G10+H10+I10+J10)*$K$3</f>
        <v/>
      </c>
      <c r="L10" s="138">
        <f>G10+H10+I10+J10+K10</f>
        <v/>
      </c>
      <c r="M10" s="138">
        <f>F10*L10</f>
        <v/>
      </c>
      <c r="N10" s="118" t="n"/>
      <c r="O10" s="114">
        <f>P10*(1+Q10)+R10+S10+T10</f>
        <v/>
      </c>
      <c r="P10" s="119" t="n">
        <v>135</v>
      </c>
      <c r="Q10" s="120" t="n">
        <v>0</v>
      </c>
      <c r="R10" s="119" t="n">
        <v>115</v>
      </c>
      <c r="S10" s="121" t="n">
        <v>2</v>
      </c>
      <c r="T10" s="122" t="n">
        <v>4</v>
      </c>
      <c r="U10" s="114">
        <f>F10*O10</f>
        <v/>
      </c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</row>
    <row r="11" outlineLevel="2" ht="72" customFormat="1" customHeight="1" s="5">
      <c r="A11" s="113" t="n">
        <v>5</v>
      </c>
      <c r="B11" s="136" t="n">
        <v>30413002005</v>
      </c>
      <c r="C11" s="136" t="inlineStr">
        <is>
          <t>L5 明装LED可调射灯</t>
        </is>
      </c>
      <c r="D11" s="136" t="inlineStr">
        <is>
          <t>1.名称：L5 明装LED可调射灯
2.规格：LED COB 15W 3500K±50
3.尺寸：L85mm*W85mm*H90mm
4.安装方式：明装
5.其他：包括但不限于满足图纸、招标文件、规范及验收要求等一切相关费用</t>
        </is>
      </c>
      <c r="E11" s="113" t="inlineStr">
        <is>
          <t>套</t>
        </is>
      </c>
      <c r="F11" s="114" t="n">
        <v>4</v>
      </c>
      <c r="G11" s="137">
        <f>R11*$R$3</f>
        <v/>
      </c>
      <c r="H11" s="138">
        <f>P11*(1+Q11)*$P$3+S11*$S$3</f>
        <v/>
      </c>
      <c r="I11" s="138">
        <f>T11*$T$3</f>
        <v/>
      </c>
      <c r="J11" s="138">
        <f>(G11+H11+I11)*$J$3</f>
        <v/>
      </c>
      <c r="K11" s="138">
        <f>(G11+H11+I11+J11)*$K$3</f>
        <v/>
      </c>
      <c r="L11" s="138">
        <f>G11+H11+I11+J11+K11</f>
        <v/>
      </c>
      <c r="M11" s="138">
        <f>F11*L11</f>
        <v/>
      </c>
      <c r="N11" s="118" t="n"/>
      <c r="O11" s="114">
        <f>P11*(1+Q11)+R11+S11+T11</f>
        <v/>
      </c>
      <c r="P11" s="119" t="n">
        <v>135</v>
      </c>
      <c r="Q11" s="120" t="n">
        <v>0</v>
      </c>
      <c r="R11" s="119" t="n">
        <v>115</v>
      </c>
      <c r="S11" s="121" t="n">
        <v>2</v>
      </c>
      <c r="T11" s="122" t="n">
        <v>4</v>
      </c>
      <c r="U11" s="114">
        <f>F11*O11</f>
        <v/>
      </c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</row>
    <row r="12" outlineLevel="2" ht="72" customFormat="1" customHeight="1" s="5">
      <c r="A12" s="113" t="n">
        <v>6</v>
      </c>
      <c r="B12" s="136" t="n">
        <v>30413002006</v>
      </c>
      <c r="C12" s="136" t="inlineStr">
        <is>
          <t>L6 嵌入式LED可调射灯</t>
        </is>
      </c>
      <c r="D12" s="136" t="inlineStr">
        <is>
          <t>1.名称：L6 嵌入式LED可调射灯
2.规格：LED COB 12W 2700K±50
3.尺寸：φ77mm*H78mm
4.安装方式：嵌装
5.其他：包括但不限于满足图纸、招标文件、规范及验收要求等一切相关费用</t>
        </is>
      </c>
      <c r="E12" s="113" t="inlineStr">
        <is>
          <t>套</t>
        </is>
      </c>
      <c r="F12" s="114" t="n">
        <v>2</v>
      </c>
      <c r="G12" s="137">
        <f>R12*$R$3</f>
        <v/>
      </c>
      <c r="H12" s="138">
        <f>P12*(1+Q12)*$P$3+S12*$S$3</f>
        <v/>
      </c>
      <c r="I12" s="138">
        <f>T12*$T$3</f>
        <v/>
      </c>
      <c r="J12" s="138">
        <f>(G12+H12+I12)*$J$3</f>
        <v/>
      </c>
      <c r="K12" s="138">
        <f>(G12+H12+I12+J12)*$K$3</f>
        <v/>
      </c>
      <c r="L12" s="138">
        <f>G12+H12+I12+J12+K12</f>
        <v/>
      </c>
      <c r="M12" s="138">
        <f>F12*L12</f>
        <v/>
      </c>
      <c r="N12" s="118" t="n"/>
      <c r="O12" s="114">
        <f>P12*(1+Q12)+R12+S12+T12</f>
        <v/>
      </c>
      <c r="P12" s="119" t="n">
        <v>135</v>
      </c>
      <c r="Q12" s="120" t="n">
        <v>0</v>
      </c>
      <c r="R12" s="119" t="n">
        <v>115</v>
      </c>
      <c r="S12" s="121" t="n">
        <v>2</v>
      </c>
      <c r="T12" s="122" t="n">
        <v>4</v>
      </c>
      <c r="U12" s="114">
        <f>F12*O12</f>
        <v/>
      </c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</row>
    <row r="13" outlineLevel="2" ht="72" customFormat="1" customHeight="1" s="5">
      <c r="A13" s="113" t="n">
        <v>7</v>
      </c>
      <c r="B13" s="136" t="n">
        <v>30413002007</v>
      </c>
      <c r="C13" s="136" t="inlineStr">
        <is>
          <t>L7 嵌入式LED可调射灯</t>
        </is>
      </c>
      <c r="D13" s="136" t="inlineStr">
        <is>
          <t>1.名称：L7 嵌入式LED可调射灯
2.规格：LED COB 12W 2700K±50
3.尺寸：φ77mm*H78mm
4.安装方式：嵌装
5.其他：包括但不限于满足图纸、招标文件、规范及验收要求等一切相关费用</t>
        </is>
      </c>
      <c r="E13" s="113" t="inlineStr">
        <is>
          <t>套</t>
        </is>
      </c>
      <c r="F13" s="114" t="n">
        <v>11</v>
      </c>
      <c r="G13" s="137">
        <f>R13*$R$3</f>
        <v/>
      </c>
      <c r="H13" s="138">
        <f>P13*(1+Q13)*$P$3+S13*$S$3</f>
        <v/>
      </c>
      <c r="I13" s="138">
        <f>T13*$T$3</f>
        <v/>
      </c>
      <c r="J13" s="138">
        <f>(G13+H13+I13)*$J$3</f>
        <v/>
      </c>
      <c r="K13" s="138">
        <f>(G13+H13+I13+J13)*$K$3</f>
        <v/>
      </c>
      <c r="L13" s="138">
        <f>G13+H13+I13+J13+K13</f>
        <v/>
      </c>
      <c r="M13" s="138">
        <f>F13*L13</f>
        <v/>
      </c>
      <c r="N13" s="118" t="n"/>
      <c r="O13" s="114">
        <f>P13*(1+Q13)+R13+S13+T13</f>
        <v/>
      </c>
      <c r="P13" s="119" t="n">
        <v>135</v>
      </c>
      <c r="Q13" s="120" t="n">
        <v>0</v>
      </c>
      <c r="R13" s="119" t="n">
        <v>115</v>
      </c>
      <c r="S13" s="121" t="n">
        <v>2</v>
      </c>
      <c r="T13" s="122" t="n">
        <v>4</v>
      </c>
      <c r="U13" s="114">
        <f>F13*O13</f>
        <v/>
      </c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</row>
    <row r="14" outlineLevel="2" ht="72" customFormat="1" customHeight="1" s="5">
      <c r="A14" s="113" t="n">
        <v>8</v>
      </c>
      <c r="B14" s="136" t="n">
        <v>30413002008</v>
      </c>
      <c r="C14" s="136" t="inlineStr">
        <is>
          <t>L8 嵌入式LED可调射灯</t>
        </is>
      </c>
      <c r="D14" s="136" t="inlineStr">
        <is>
          <t>1.名称：L8 嵌入式LED可调射灯
2.规格：LED COB 7W 2700K±50
3.尺寸：φ77mm*H78mm
4.安装方式：嵌装
5.其他：包括但不限于满足图纸、招标文件、规范及验收要求等一切相关费用</t>
        </is>
      </c>
      <c r="E14" s="113" t="inlineStr">
        <is>
          <t>套</t>
        </is>
      </c>
      <c r="F14" s="114" t="n">
        <v>7</v>
      </c>
      <c r="G14" s="137">
        <f>R14*$R$3</f>
        <v/>
      </c>
      <c r="H14" s="138">
        <f>P14*(1+Q14)*$P$3+S14*$S$3</f>
        <v/>
      </c>
      <c r="I14" s="138">
        <f>T14*$T$3</f>
        <v/>
      </c>
      <c r="J14" s="138">
        <f>(G14+H14+I14)*$J$3</f>
        <v/>
      </c>
      <c r="K14" s="138">
        <f>(G14+H14+I14+J14)*$K$3</f>
        <v/>
      </c>
      <c r="L14" s="138">
        <f>G14+H14+I14+J14+K14</f>
        <v/>
      </c>
      <c r="M14" s="138">
        <f>F14*L14</f>
        <v/>
      </c>
      <c r="N14" s="118" t="n"/>
      <c r="O14" s="114">
        <f>P14*(1+Q14)+R14+S14+T14</f>
        <v/>
      </c>
      <c r="P14" s="119" t="n">
        <v>135</v>
      </c>
      <c r="Q14" s="120" t="n">
        <v>0</v>
      </c>
      <c r="R14" s="119" t="n">
        <v>115</v>
      </c>
      <c r="S14" s="121" t="n">
        <v>2</v>
      </c>
      <c r="T14" s="122" t="n">
        <v>4</v>
      </c>
      <c r="U14" s="114">
        <f>F14*O14</f>
        <v/>
      </c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</row>
    <row r="15" outlineLevel="2" ht="72" customFormat="1" customHeight="1" s="5">
      <c r="A15" s="113" t="n">
        <v>9</v>
      </c>
      <c r="B15" s="136" t="n">
        <v>30413002009</v>
      </c>
      <c r="C15" s="136" t="inlineStr">
        <is>
          <t>L10 嵌入式LED可调射灯</t>
        </is>
      </c>
      <c r="D15" s="136" t="inlineStr">
        <is>
          <t>1.名称：L10 嵌入式LED可调射灯
2.规格：LED COB 7W 2700K±50 
3.尺寸：φ77mm*H78mm
4.安装方式：嵌装
5.其他：包括但不限于满足图纸、招标文件、规范及验收要求等一切相关费用</t>
        </is>
      </c>
      <c r="E15" s="113" t="inlineStr">
        <is>
          <t>套</t>
        </is>
      </c>
      <c r="F15" s="114" t="n">
        <v>20</v>
      </c>
      <c r="G15" s="137">
        <f>R15*$R$3</f>
        <v/>
      </c>
      <c r="H15" s="138">
        <f>P15*(1+Q15)*$P$3+S15*$S$3</f>
        <v/>
      </c>
      <c r="I15" s="138">
        <f>T15*$T$3</f>
        <v/>
      </c>
      <c r="J15" s="138">
        <f>(G15+H15+I15)*$J$3</f>
        <v/>
      </c>
      <c r="K15" s="138">
        <f>(G15+H15+I15+J15)*$K$3</f>
        <v/>
      </c>
      <c r="L15" s="138">
        <f>G15+H15+I15+J15+K15</f>
        <v/>
      </c>
      <c r="M15" s="138">
        <f>F15*L15</f>
        <v/>
      </c>
      <c r="N15" s="118" t="n"/>
      <c r="O15" s="114">
        <f>P15*(1+Q15)+R15+S15+T15</f>
        <v/>
      </c>
      <c r="P15" s="119" t="n">
        <v>135</v>
      </c>
      <c r="Q15" s="120" t="n">
        <v>0</v>
      </c>
      <c r="R15" s="119" t="n">
        <v>115</v>
      </c>
      <c r="S15" s="121" t="n">
        <v>2</v>
      </c>
      <c r="T15" s="122" t="n">
        <v>4</v>
      </c>
      <c r="U15" s="114">
        <f>F15*O15</f>
        <v/>
      </c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</row>
    <row r="16" outlineLevel="2" ht="72" customFormat="1" customHeight="1" s="5">
      <c r="A16" s="113" t="n">
        <v>10</v>
      </c>
      <c r="B16" s="136" t="n">
        <v>30413001001</v>
      </c>
      <c r="C16" s="136" t="inlineStr">
        <is>
          <t>L11 吊线办公灯</t>
        </is>
      </c>
      <c r="D16" s="136" t="inlineStr">
        <is>
          <t>1.名称：L11 吊线办公灯
2.规格：LED 30W 4000K±50 
3.尺寸：L1206mm*W75mm*H73.5mm
4.安装方式：吊装
5.其他：包括但不限于满足图纸、招标文件、规范及验收要求等一切相关费用</t>
        </is>
      </c>
      <c r="E16" s="113" t="inlineStr">
        <is>
          <t>套</t>
        </is>
      </c>
      <c r="F16" s="114" t="n">
        <v>7</v>
      </c>
      <c r="G16" s="137">
        <f>R16*$R$3</f>
        <v/>
      </c>
      <c r="H16" s="138">
        <f>P16*(1+Q16)*$P$3+S16*$S$3</f>
        <v/>
      </c>
      <c r="I16" s="138">
        <f>T16*$T$3</f>
        <v/>
      </c>
      <c r="J16" s="138">
        <f>(G16+H16+I16)*$J$3</f>
        <v/>
      </c>
      <c r="K16" s="138">
        <f>(G16+H16+I16+J16)*$K$3</f>
        <v/>
      </c>
      <c r="L16" s="138">
        <f>G16+H16+I16+J16+K16</f>
        <v/>
      </c>
      <c r="M16" s="138">
        <f>F16*L16</f>
        <v/>
      </c>
      <c r="N16" s="118" t="n"/>
      <c r="O16" s="114">
        <f>P16*(1+Q16)+R16+S16+T16</f>
        <v/>
      </c>
      <c r="P16" s="119" t="n">
        <v>120</v>
      </c>
      <c r="Q16" s="120" t="n">
        <v>0</v>
      </c>
      <c r="R16" s="119" t="n">
        <v>18</v>
      </c>
      <c r="S16" s="121" t="n">
        <v>6</v>
      </c>
      <c r="T16" s="122" t="n">
        <v>8</v>
      </c>
      <c r="U16" s="114">
        <f>F16*O16</f>
        <v/>
      </c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</row>
    <row r="17" outlineLevel="2" ht="72" customFormat="1" customHeight="1" s="5">
      <c r="A17" s="113" t="n">
        <v>11</v>
      </c>
      <c r="B17" s="136" t="n">
        <v>30413001002</v>
      </c>
      <c r="C17" s="136" t="inlineStr">
        <is>
          <t>L12 吸顶灯</t>
        </is>
      </c>
      <c r="D17" s="136" t="inlineStr">
        <is>
          <t>1.名称：L12 吸顶灯
2.规格：LED 18W 4000K±50 
3.尺寸：Φ290mm*H54.5mm
4.安装方式：吸顶
5.其他：包括但不限于满足图纸、招标文件、规范及验收要求等一切相关费用</t>
        </is>
      </c>
      <c r="E17" s="113" t="inlineStr">
        <is>
          <t>套</t>
        </is>
      </c>
      <c r="F17" s="114" t="n">
        <v>4</v>
      </c>
      <c r="G17" s="137">
        <f>R17*$R$3</f>
        <v/>
      </c>
      <c r="H17" s="138">
        <f>P17*(1+Q17)*$P$3+S17*$S$3</f>
        <v/>
      </c>
      <c r="I17" s="138">
        <f>T17*$T$3</f>
        <v/>
      </c>
      <c r="J17" s="138">
        <f>(G17+H17+I17)*$J$3</f>
        <v/>
      </c>
      <c r="K17" s="138">
        <f>(G17+H17+I17+J17)*$K$3</f>
        <v/>
      </c>
      <c r="L17" s="138">
        <f>G17+H17+I17+J17+K17</f>
        <v/>
      </c>
      <c r="M17" s="138">
        <f>F17*L17</f>
        <v/>
      </c>
      <c r="N17" s="118" t="n"/>
      <c r="O17" s="114">
        <f>P17*(1+Q17)+R17+S17+T17</f>
        <v/>
      </c>
      <c r="P17" s="119" t="n">
        <v>60</v>
      </c>
      <c r="Q17" s="120" t="n">
        <v>0</v>
      </c>
      <c r="R17" s="119" t="n">
        <v>18</v>
      </c>
      <c r="S17" s="121" t="n">
        <v>6</v>
      </c>
      <c r="T17" s="122" t="n">
        <v>8</v>
      </c>
      <c r="U17" s="114">
        <f>F17*O17</f>
        <v/>
      </c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</row>
    <row r="18" outlineLevel="2" ht="72" customFormat="1" customHeight="1" s="5">
      <c r="A18" s="113" t="n">
        <v>12</v>
      </c>
      <c r="B18" s="136" t="n">
        <v>30413004001</v>
      </c>
      <c r="C18" s="136" t="inlineStr">
        <is>
          <t>L13 LED地埋灯</t>
        </is>
      </c>
      <c r="D18" s="136" t="inlineStr">
        <is>
          <t>1.名称：L13 LED地埋灯
2.规格：LED 1W 2700K±50
3.尺寸：Φ42mm*H75mm
4.安装方式：埋地
5.其他：包括但不限于满足图纸、招标文件、规范及验收要求等一切相关费用</t>
        </is>
      </c>
      <c r="E18" s="113" t="inlineStr">
        <is>
          <t>套</t>
        </is>
      </c>
      <c r="F18" s="114" t="n">
        <v>3</v>
      </c>
      <c r="G18" s="137">
        <f>R18*$R$3</f>
        <v/>
      </c>
      <c r="H18" s="138">
        <f>P18*(1+Q18)*$P$3+S18*$S$3</f>
        <v/>
      </c>
      <c r="I18" s="138">
        <f>T18*$T$3</f>
        <v/>
      </c>
      <c r="J18" s="138">
        <f>(G18+H18+I18)*$J$3</f>
        <v/>
      </c>
      <c r="K18" s="138">
        <f>(G18+H18+I18+J18)*$K$3</f>
        <v/>
      </c>
      <c r="L18" s="138">
        <f>G18+H18+I18+J18+K18</f>
        <v/>
      </c>
      <c r="M18" s="138">
        <f>F18*L18</f>
        <v/>
      </c>
      <c r="N18" s="118" t="n"/>
      <c r="O18" s="114">
        <f>P18*(1+Q18)+R18+S18+T18</f>
        <v/>
      </c>
      <c r="P18" s="119" t="n">
        <v>120</v>
      </c>
      <c r="Q18" s="120" t="n">
        <v>0</v>
      </c>
      <c r="R18" s="119" t="n">
        <v>18</v>
      </c>
      <c r="S18" s="121" t="n">
        <v>6</v>
      </c>
      <c r="T18" s="122" t="n">
        <v>8</v>
      </c>
      <c r="U18" s="114">
        <f>F18*O18</f>
        <v/>
      </c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</row>
    <row r="19" outlineLevel="2" ht="72" customFormat="1" customHeight="1" s="5">
      <c r="A19" s="113" t="n">
        <v>13</v>
      </c>
      <c r="B19" s="136" t="n">
        <v>30413002010</v>
      </c>
      <c r="C19" s="136" t="inlineStr">
        <is>
          <t>G1 LED格栅射灯</t>
        </is>
      </c>
      <c r="D19" s="136" t="inlineStr">
        <is>
          <t>1.名称：G1 LED格栅射灯
2.规格：LED 10*2W 2700K±50
3.尺寸：L278.5mm*W43mm*H41mm
4.安装方式：嵌入
5.其他：包括但不限于满足图纸、招标文件、规范及验收要求等一切相关费用</t>
        </is>
      </c>
      <c r="E19" s="113" t="inlineStr">
        <is>
          <t>套</t>
        </is>
      </c>
      <c r="F19" s="114" t="n">
        <v>4</v>
      </c>
      <c r="G19" s="137">
        <f>R19*$R$3</f>
        <v/>
      </c>
      <c r="H19" s="138">
        <f>P19*(1+Q19)*$P$3+S19*$S$3</f>
        <v/>
      </c>
      <c r="I19" s="138">
        <f>T19*$T$3</f>
        <v/>
      </c>
      <c r="J19" s="138">
        <f>(G19+H19+I19)*$J$3</f>
        <v/>
      </c>
      <c r="K19" s="138">
        <f>(G19+H19+I19+J19)*$K$3</f>
        <v/>
      </c>
      <c r="L19" s="138">
        <f>G19+H19+I19+J19+K19</f>
        <v/>
      </c>
      <c r="M19" s="138">
        <f>F19*L19</f>
        <v/>
      </c>
      <c r="N19" s="118" t="n"/>
      <c r="O19" s="114">
        <f>P19*(1+Q19)+R19+S19+T19</f>
        <v/>
      </c>
      <c r="P19" s="119" t="n">
        <v>120</v>
      </c>
      <c r="Q19" s="120" t="n">
        <v>0</v>
      </c>
      <c r="R19" s="119" t="n">
        <v>18</v>
      </c>
      <c r="S19" s="121" t="n">
        <v>6</v>
      </c>
      <c r="T19" s="122" t="n">
        <v>8</v>
      </c>
      <c r="U19" s="114">
        <f>F19*O19</f>
        <v/>
      </c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</row>
    <row r="20" outlineLevel="2" ht="72" customFormat="1" customHeight="1" s="5">
      <c r="A20" s="113" t="n">
        <v>14</v>
      </c>
      <c r="B20" s="136" t="n">
        <v>30413002011</v>
      </c>
      <c r="C20" s="136" t="inlineStr">
        <is>
          <t>G2 LED格栅射灯</t>
        </is>
      </c>
      <c r="D20" s="136" t="inlineStr">
        <is>
          <t>1.名称：G2 LED格栅射灯
2.规格：LED 5*2W 2700K±50 
3.尺寸：L145.9mm*W43mm*H41mm
4.安装方式：嵌入
5.其他：包括但不限于满足图纸、招标文件、规范及验收要求等一切相关费用</t>
        </is>
      </c>
      <c r="E20" s="113" t="inlineStr">
        <is>
          <t>套</t>
        </is>
      </c>
      <c r="F20" s="114" t="n">
        <v>10</v>
      </c>
      <c r="G20" s="137">
        <f>R20*$R$3</f>
        <v/>
      </c>
      <c r="H20" s="138">
        <f>P20*(1+Q20)*$P$3+S20*$S$3</f>
        <v/>
      </c>
      <c r="I20" s="138">
        <f>T20*$T$3</f>
        <v/>
      </c>
      <c r="J20" s="138">
        <f>(G20+H20+I20)*$J$3</f>
        <v/>
      </c>
      <c r="K20" s="138">
        <f>(G20+H20+I20+J20)*$K$3</f>
        <v/>
      </c>
      <c r="L20" s="138">
        <f>G20+H20+I20+J20+K20</f>
        <v/>
      </c>
      <c r="M20" s="138">
        <f>F20*L20</f>
        <v/>
      </c>
      <c r="N20" s="118" t="n"/>
      <c r="O20" s="114">
        <f>P20*(1+Q20)+R20+S20+T20</f>
        <v/>
      </c>
      <c r="P20" s="119" t="n">
        <v>120</v>
      </c>
      <c r="Q20" s="120" t="n">
        <v>0</v>
      </c>
      <c r="R20" s="119" t="n">
        <v>18</v>
      </c>
      <c r="S20" s="121" t="n">
        <v>6</v>
      </c>
      <c r="T20" s="122" t="n">
        <v>8</v>
      </c>
      <c r="U20" s="114">
        <f>F20*O20</f>
        <v/>
      </c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</row>
    <row r="21" outlineLevel="2" ht="84" customFormat="1" customHeight="1" s="5">
      <c r="A21" s="113" t="n">
        <v>15</v>
      </c>
      <c r="B21" s="136" t="n">
        <v>30413002012</v>
      </c>
      <c r="C21" s="136" t="inlineStr">
        <is>
          <t>G3 导轨射灯</t>
        </is>
      </c>
      <c r="D21" s="136" t="inlineStr">
        <is>
          <t>1.名称：G3 导轨射灯
2.规格：LED COB 5W 2700K±50 
3.尺寸：L90mm*W34mm*H84mm，轨道尺寸：L2000mm*W45mm*H13.5mm
4.安装方式：嵌入
5.其他：包括但不限于满足图纸、招标文件、规范及验收要求等一切相关费用</t>
        </is>
      </c>
      <c r="E21" s="113" t="inlineStr">
        <is>
          <t>套</t>
        </is>
      </c>
      <c r="F21" s="114" t="n">
        <v>3</v>
      </c>
      <c r="G21" s="137">
        <f>R21*$R$3</f>
        <v/>
      </c>
      <c r="H21" s="138">
        <f>P21*(1+Q21)*$P$3+S21*$S$3</f>
        <v/>
      </c>
      <c r="I21" s="138">
        <f>T21*$T$3</f>
        <v/>
      </c>
      <c r="J21" s="138">
        <f>(G21+H21+I21)*$J$3</f>
        <v/>
      </c>
      <c r="K21" s="138">
        <f>(G21+H21+I21+J21)*$K$3</f>
        <v/>
      </c>
      <c r="L21" s="138">
        <f>G21+H21+I21+J21+K21</f>
        <v/>
      </c>
      <c r="M21" s="138">
        <f>F21*L21</f>
        <v/>
      </c>
      <c r="N21" s="118" t="n"/>
      <c r="O21" s="114">
        <f>P21*(1+Q21)+R21+S21+T21</f>
        <v/>
      </c>
      <c r="P21" s="119" t="n">
        <v>120</v>
      </c>
      <c r="Q21" s="120" t="n">
        <v>0</v>
      </c>
      <c r="R21" s="119" t="n">
        <v>18</v>
      </c>
      <c r="S21" s="121" t="n">
        <v>6</v>
      </c>
      <c r="T21" s="122" t="n">
        <v>8</v>
      </c>
      <c r="U21" s="114">
        <f>F21*O21</f>
        <v/>
      </c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</row>
    <row r="22" outlineLevel="2" ht="72" customFormat="1" customHeight="1" s="5">
      <c r="A22" s="113" t="n">
        <v>16</v>
      </c>
      <c r="B22" s="136" t="n">
        <v>30413004002</v>
      </c>
      <c r="C22" s="136" t="inlineStr">
        <is>
          <t>T1 LED梯步灯</t>
        </is>
      </c>
      <c r="D22" s="136" t="inlineStr">
        <is>
          <t>1.名称：T1 LED梯步灯
2.规格：LED 1W 2700K±50
3.尺寸：L90mm*W90mm*H46mm
4.安装方式：壁装
5.其他：包括但不限于满足图纸、招标文件、规范及验收要求等一切相关费用</t>
        </is>
      </c>
      <c r="E22" s="113" t="inlineStr">
        <is>
          <t>套</t>
        </is>
      </c>
      <c r="F22" s="114" t="n">
        <v>38</v>
      </c>
      <c r="G22" s="137">
        <f>R22*$R$3</f>
        <v/>
      </c>
      <c r="H22" s="138">
        <f>P22*(1+Q22)*$P$3+S22*$S$3</f>
        <v/>
      </c>
      <c r="I22" s="138">
        <f>T22*$T$3</f>
        <v/>
      </c>
      <c r="J22" s="138">
        <f>(G22+H22+I22)*$J$3</f>
        <v/>
      </c>
      <c r="K22" s="138">
        <f>(G22+H22+I22+J22)*$K$3</f>
        <v/>
      </c>
      <c r="L22" s="138">
        <f>G22+H22+I22+J22+K22</f>
        <v/>
      </c>
      <c r="M22" s="138">
        <f>F22*L22</f>
        <v/>
      </c>
      <c r="N22" s="118" t="n"/>
      <c r="O22" s="114">
        <f>P22*(1+Q22)+R22+S22+T22</f>
        <v/>
      </c>
      <c r="P22" s="119" t="n">
        <v>120</v>
      </c>
      <c r="Q22" s="120" t="n">
        <v>0</v>
      </c>
      <c r="R22" s="119" t="n">
        <v>25</v>
      </c>
      <c r="S22" s="121" t="n">
        <v>8</v>
      </c>
      <c r="T22" s="122" t="n">
        <v>5</v>
      </c>
      <c r="U22" s="114">
        <f>F22*O22</f>
        <v/>
      </c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</row>
    <row r="23" outlineLevel="2" ht="72" customFormat="1" customHeight="1" s="5">
      <c r="A23" s="113" t="n">
        <v>17</v>
      </c>
      <c r="B23" s="136" t="n">
        <v>30413002013</v>
      </c>
      <c r="C23" s="136" t="inlineStr">
        <is>
          <t>R1 LED灯带</t>
        </is>
      </c>
      <c r="D23" s="136" t="inlineStr">
        <is>
          <t>1.名称：R1 LED灯带
2.规格：LED 6W/M 每米120颗芯片 2700K±50 
3.尺寸：15*10mm  
4.安装方式：天花
5.其他：包括但不限于满足图纸、招标文件、规范及验收要求等一切相关费用</t>
        </is>
      </c>
      <c r="E23" s="113" t="inlineStr">
        <is>
          <t>m</t>
        </is>
      </c>
      <c r="F23" s="114" t="n">
        <v>208.01</v>
      </c>
      <c r="G23" s="137">
        <f>R23*$R$3</f>
        <v/>
      </c>
      <c r="H23" s="138">
        <f>P23*(1+Q23)*$P$3+S23*$S$3</f>
        <v/>
      </c>
      <c r="I23" s="138">
        <f>T23*$T$3</f>
        <v/>
      </c>
      <c r="J23" s="138">
        <f>(G23+H23+I23)*$J$3</f>
        <v/>
      </c>
      <c r="K23" s="138">
        <f>(G23+H23+I23+J23)*$K$3</f>
        <v/>
      </c>
      <c r="L23" s="138">
        <f>G23+H23+I23+J23+K23</f>
        <v/>
      </c>
      <c r="M23" s="138">
        <f>F23*L23</f>
        <v/>
      </c>
      <c r="N23" s="118" t="n"/>
      <c r="O23" s="114">
        <f>P23*(1+Q23)+R23+S23+T23</f>
        <v/>
      </c>
      <c r="P23" s="119" t="n">
        <v>18.8</v>
      </c>
      <c r="Q23" s="120" t="n">
        <v>0</v>
      </c>
      <c r="R23" s="119" t="n">
        <v>12.5</v>
      </c>
      <c r="S23" s="121" t="n">
        <v>0.38</v>
      </c>
      <c r="T23" s="122" t="n">
        <v>0</v>
      </c>
      <c r="U23" s="114">
        <f>F23*O23</f>
        <v/>
      </c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</row>
    <row r="24" outlineLevel="2" ht="72" customFormat="1" customHeight="1" s="5">
      <c r="A24" s="113" t="n">
        <v>18</v>
      </c>
      <c r="B24" s="136" t="n">
        <v>30413002014</v>
      </c>
      <c r="C24" s="136" t="inlineStr">
        <is>
          <t>R2 LED灯带</t>
        </is>
      </c>
      <c r="D24" s="136" t="inlineStr">
        <is>
          <t>1.名称：R2 LED灯带
2.规格：LED 4W/M 每米120颗芯片 2700K±50 
3.尺寸：10*10mm  
4.安装方式：墙面
5.其他：包括但不限于满足图纸、招标文件、规范及验收要求等一切相关费用</t>
        </is>
      </c>
      <c r="E24" s="113" t="inlineStr">
        <is>
          <t>m</t>
        </is>
      </c>
      <c r="F24" s="114" t="n">
        <v>217.9</v>
      </c>
      <c r="G24" s="137">
        <f>R24*$R$3</f>
        <v/>
      </c>
      <c r="H24" s="138">
        <f>P24*(1+Q24)*$P$3+S24*$S$3</f>
        <v/>
      </c>
      <c r="I24" s="138">
        <f>T24*$T$3</f>
        <v/>
      </c>
      <c r="J24" s="138">
        <f>(G24+H24+I24)*$J$3</f>
        <v/>
      </c>
      <c r="K24" s="138">
        <f>(G24+H24+I24+J24)*$K$3</f>
        <v/>
      </c>
      <c r="L24" s="138">
        <f>G24+H24+I24+J24+K24</f>
        <v/>
      </c>
      <c r="M24" s="138">
        <f>F24*L24</f>
        <v/>
      </c>
      <c r="N24" s="118" t="n"/>
      <c r="O24" s="114">
        <f>P24*(1+Q24)+R24+S24+T24</f>
        <v/>
      </c>
      <c r="P24" s="119" t="n">
        <v>17.2</v>
      </c>
      <c r="Q24" s="120" t="n">
        <v>0</v>
      </c>
      <c r="R24" s="119" t="n">
        <v>12.5</v>
      </c>
      <c r="S24" s="121" t="n">
        <v>0.34</v>
      </c>
      <c r="T24" s="122" t="n">
        <v>0</v>
      </c>
      <c r="U24" s="114">
        <f>F24*O24</f>
        <v/>
      </c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</row>
    <row r="25" outlineLevel="2" ht="72" customFormat="1" customHeight="1" s="5">
      <c r="A25" s="113" t="n">
        <v>19</v>
      </c>
      <c r="B25" s="136" t="n">
        <v>30413002015</v>
      </c>
      <c r="C25" s="136" t="inlineStr">
        <is>
          <t>R4 LED防水柔性灯带</t>
        </is>
      </c>
      <c r="D25" s="136" t="inlineStr">
        <is>
          <t>1.名称：R4 LED防水柔性灯带
2.规格：LED 4W/M 每米120颗芯片 2700K±50
3.尺寸：10000*6*12mm
4.安装方式：墙面
5.其他：包括但不限于满足图纸、招标文件、规范及验收要求等一切相关费用</t>
        </is>
      </c>
      <c r="E25" s="113" t="inlineStr">
        <is>
          <t>m</t>
        </is>
      </c>
      <c r="F25" s="114" t="n">
        <v>67.63</v>
      </c>
      <c r="G25" s="137">
        <f>R25*$R$3</f>
        <v/>
      </c>
      <c r="H25" s="138">
        <f>P25*(1+Q25)*$P$3+S25*$S$3</f>
        <v/>
      </c>
      <c r="I25" s="138">
        <f>T25*$T$3</f>
        <v/>
      </c>
      <c r="J25" s="138">
        <f>(G25+H25+I25)*$J$3</f>
        <v/>
      </c>
      <c r="K25" s="138">
        <f>(G25+H25+I25+J25)*$K$3</f>
        <v/>
      </c>
      <c r="L25" s="138">
        <f>G25+H25+I25+J25+K25</f>
        <v/>
      </c>
      <c r="M25" s="138">
        <f>F25*L25</f>
        <v/>
      </c>
      <c r="N25" s="118" t="n"/>
      <c r="O25" s="114">
        <f>P25*(1+Q25)+R25+S25+T25</f>
        <v/>
      </c>
      <c r="P25" s="119" t="n">
        <v>17.2</v>
      </c>
      <c r="Q25" s="120" t="n">
        <v>0</v>
      </c>
      <c r="R25" s="119" t="n">
        <v>12.5</v>
      </c>
      <c r="S25" s="121" t="n">
        <v>0.34</v>
      </c>
      <c r="T25" s="122" t="n">
        <v>0</v>
      </c>
      <c r="U25" s="114">
        <f>F25*O25</f>
        <v/>
      </c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</row>
    <row r="26" outlineLevel="2" ht="72" customFormat="1" customHeight="1" s="5">
      <c r="A26" s="113" t="n">
        <v>20</v>
      </c>
      <c r="B26" s="136" t="n">
        <v>30413002016</v>
      </c>
      <c r="C26" s="136" t="inlineStr">
        <is>
          <t>R5 LED柜子灯带</t>
        </is>
      </c>
      <c r="D26" s="136" t="inlineStr">
        <is>
          <t>1.名称：R5 LED柜子灯带
2.规格：LED 6W/M 每米120颗芯片 2700K±50 
3.尺寸：10*10mm  
4.安装方式：柜体
5.其他：包括但不限于满足图纸、招标文件、规范及验收要求等一切相关费用</t>
        </is>
      </c>
      <c r="E26" s="113" t="inlineStr">
        <is>
          <t>m</t>
        </is>
      </c>
      <c r="F26" s="114" t="n">
        <v>95.26000000000001</v>
      </c>
      <c r="G26" s="137">
        <f>R26*$R$3</f>
        <v/>
      </c>
      <c r="H26" s="138">
        <f>P26*(1+Q26)*$P$3+S26*$S$3</f>
        <v/>
      </c>
      <c r="I26" s="138">
        <f>T26*$T$3</f>
        <v/>
      </c>
      <c r="J26" s="138">
        <f>(G26+H26+I26)*$J$3</f>
        <v/>
      </c>
      <c r="K26" s="138">
        <f>(G26+H26+I26+J26)*$K$3</f>
        <v/>
      </c>
      <c r="L26" s="138">
        <f>G26+H26+I26+J26+K26</f>
        <v/>
      </c>
      <c r="M26" s="138">
        <f>F26*L26</f>
        <v/>
      </c>
      <c r="N26" s="118" t="n"/>
      <c r="O26" s="114">
        <f>P26*(1+Q26)+R26+S26+T26</f>
        <v/>
      </c>
      <c r="P26" s="119" t="n">
        <v>18.8</v>
      </c>
      <c r="Q26" s="120" t="n">
        <v>0</v>
      </c>
      <c r="R26" s="119" t="n">
        <v>12.5</v>
      </c>
      <c r="S26" s="121" t="n">
        <v>0.38</v>
      </c>
      <c r="T26" s="122" t="n">
        <v>0</v>
      </c>
      <c r="U26" s="114">
        <f>F26*O26</f>
        <v/>
      </c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</row>
    <row r="27" outlineLevel="2" ht="72" customFormat="1" customHeight="1" s="5">
      <c r="A27" s="113" t="n">
        <v>21</v>
      </c>
      <c r="B27" s="136" t="n">
        <v>30413002017</v>
      </c>
      <c r="C27" s="136" t="inlineStr">
        <is>
          <t>R6 LED灯条</t>
        </is>
      </c>
      <c r="D27" s="136" t="inlineStr">
        <is>
          <t>1.名称：R6 LED灯条
2.规格：LED 12W/M 2700K±50 
3.尺寸：L950mm*W17mm*H1.4mm  
4.安装方式：天花
5.其他：包括但不限于满足图纸、招标文件、规范及验收要求等一切相关费用</t>
        </is>
      </c>
      <c r="E27" s="113" t="inlineStr">
        <is>
          <t>m</t>
        </is>
      </c>
      <c r="F27" s="114" t="n">
        <v>887.49</v>
      </c>
      <c r="G27" s="137">
        <f>R27*$R$3</f>
        <v/>
      </c>
      <c r="H27" s="138">
        <f>P27*(1+Q27)*$P$3+S27*$S$3</f>
        <v/>
      </c>
      <c r="I27" s="138">
        <f>T27*$T$3</f>
        <v/>
      </c>
      <c r="J27" s="138">
        <f>(G27+H27+I27)*$J$3</f>
        <v/>
      </c>
      <c r="K27" s="138">
        <f>(G27+H27+I27+J27)*$K$3</f>
        <v/>
      </c>
      <c r="L27" s="138">
        <f>G27+H27+I27+J27+K27</f>
        <v/>
      </c>
      <c r="M27" s="138">
        <f>F27*L27</f>
        <v/>
      </c>
      <c r="N27" s="118" t="n"/>
      <c r="O27" s="114">
        <f>P27*(1+Q27)+R27+S27+T27</f>
        <v/>
      </c>
      <c r="P27" s="119" t="n">
        <v>12</v>
      </c>
      <c r="Q27" s="120" t="n">
        <v>0</v>
      </c>
      <c r="R27" s="119" t="n">
        <v>18</v>
      </c>
      <c r="S27" s="121" t="n">
        <v>5</v>
      </c>
      <c r="T27" s="122" t="n">
        <v>5</v>
      </c>
      <c r="U27" s="114">
        <f>F27*O27</f>
        <v/>
      </c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</row>
    <row r="28" outlineLevel="2" ht="72" customFormat="1" customHeight="1" s="5">
      <c r="A28" s="113" t="n">
        <v>22</v>
      </c>
      <c r="B28" s="136" t="n">
        <v>30413002018</v>
      </c>
      <c r="C28" s="136" t="inlineStr">
        <is>
          <t>R7 地面洗墙灯</t>
        </is>
      </c>
      <c r="D28" s="136" t="inlineStr">
        <is>
          <t>1.名称：R7 地面洗墙灯
2.规格：LED 18W 2700K±50 
3.尺寸：1000*43*53mm，灯体截面29*45mm  
4.安装方式：地面
5.其他：包括但不限于满足图纸、招标文件、规范及验收要求等一切相关费用</t>
        </is>
      </c>
      <c r="E28" s="113" t="inlineStr">
        <is>
          <t>m</t>
        </is>
      </c>
      <c r="F28" s="114" t="n">
        <v>4</v>
      </c>
      <c r="G28" s="137">
        <f>R28*$R$3</f>
        <v/>
      </c>
      <c r="H28" s="138">
        <f>P28*(1+Q28)*$P$3+S28*$S$3</f>
        <v/>
      </c>
      <c r="I28" s="138">
        <f>T28*$T$3</f>
        <v/>
      </c>
      <c r="J28" s="138">
        <f>(G28+H28+I28)*$J$3</f>
        <v/>
      </c>
      <c r="K28" s="138">
        <f>(G28+H28+I28+J28)*$K$3</f>
        <v/>
      </c>
      <c r="L28" s="138">
        <f>G28+H28+I28+J28+K28</f>
        <v/>
      </c>
      <c r="M28" s="138">
        <f>F28*L28</f>
        <v/>
      </c>
      <c r="N28" s="118" t="n"/>
      <c r="O28" s="114">
        <f>P28*(1+Q28)+R28+S28+T28</f>
        <v/>
      </c>
      <c r="P28" s="119" t="n">
        <v>85</v>
      </c>
      <c r="Q28" s="120" t="n">
        <v>0</v>
      </c>
      <c r="R28" s="119" t="n">
        <v>22</v>
      </c>
      <c r="S28" s="121" t="n">
        <v>6</v>
      </c>
      <c r="T28" s="122" t="n">
        <v>4</v>
      </c>
      <c r="U28" s="114">
        <f>F28*O28</f>
        <v/>
      </c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</row>
    <row r="29" outlineLevel="2" ht="60" customFormat="1" customHeight="1" s="5">
      <c r="A29" s="27" t="n">
        <v>23</v>
      </c>
      <c r="B29" s="28" t="n">
        <v>30413009001</v>
      </c>
      <c r="C29" s="28" t="inlineStr">
        <is>
          <t>LED 灯带驱动电源</t>
        </is>
      </c>
      <c r="D29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29" s="27" t="inlineStr">
        <is>
          <t>个</t>
        </is>
      </c>
      <c r="F29" s="105" t="n">
        <v>280</v>
      </c>
      <c r="G29" s="139">
        <f>R29*$R$3</f>
        <v/>
      </c>
      <c r="H29" s="140">
        <f>P29*(1+Q29)*$P$3+S29*$S$3</f>
        <v/>
      </c>
      <c r="I29" s="140">
        <f>T29*$T$3</f>
        <v/>
      </c>
      <c r="J29" s="140">
        <f>(G29+H29+I29)*$J$3</f>
        <v/>
      </c>
      <c r="K29" s="140">
        <f>(G29+H29+I29+J29)*$K$3</f>
        <v/>
      </c>
      <c r="L29" s="140">
        <f>G29+H29+I29+J29+K29</f>
        <v/>
      </c>
      <c r="M29" s="140">
        <f>F29*L29</f>
        <v/>
      </c>
      <c r="N29" s="101" t="n"/>
      <c r="O29" s="105">
        <f>P29*(1+Q29)+R29+S29+T29</f>
        <v/>
      </c>
      <c r="P29" s="111">
        <f>'架空层安装工程'!P10</f>
        <v/>
      </c>
      <c r="Q29" s="32">
        <f>'架空层安装工程'!Q10</f>
        <v/>
      </c>
      <c r="R29" s="111">
        <f>'架空层安装工程'!R10</f>
        <v/>
      </c>
      <c r="S29" s="112">
        <f>'架空层安装工程'!S10</f>
        <v/>
      </c>
      <c r="T29" s="107">
        <f>'架空层安装工程'!T10</f>
        <v/>
      </c>
      <c r="U29" s="105">
        <f>F29*O29</f>
        <v/>
      </c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</row>
    <row r="30" outlineLevel="2" ht="60" customFormat="1" customHeight="1" s="5">
      <c r="A30" s="27" t="n">
        <v>24</v>
      </c>
      <c r="B30" s="28" t="n">
        <v>30405017001</v>
      </c>
      <c r="C30" s="28" t="inlineStr">
        <is>
          <t>洗碗机</t>
        </is>
      </c>
      <c r="D30" s="28" t="inlineStr">
        <is>
          <t>1.名称：洗碗机
2.规格：-
3.尺寸：详见物料表
4.其他：包括但不限于满足图纸、招标文件、规范及验收要求等一切相关费用</t>
        </is>
      </c>
      <c r="E30" s="27" t="inlineStr">
        <is>
          <t>台</t>
        </is>
      </c>
      <c r="F30" s="105" t="n">
        <v>1</v>
      </c>
      <c r="G30" s="139">
        <f>R30*$R$3</f>
        <v/>
      </c>
      <c r="H30" s="140">
        <f>P30*(1+Q30)*$P$3+S30*$S$3</f>
        <v/>
      </c>
      <c r="I30" s="140">
        <f>T30*$T$3</f>
        <v/>
      </c>
      <c r="J30" s="140">
        <f>(G30+H30+I30)*$J$3</f>
        <v/>
      </c>
      <c r="K30" s="140">
        <f>(G30+H30+I30+J30)*$K$3</f>
        <v/>
      </c>
      <c r="L30" s="140">
        <f>G30+H30+I30+J30+K30</f>
        <v/>
      </c>
      <c r="M30" s="140">
        <f>F30*L30</f>
        <v/>
      </c>
      <c r="N30" s="101" t="n"/>
      <c r="O30" s="105">
        <f>P30*(1+Q30)+R30+S30+T30</f>
        <v/>
      </c>
      <c r="P30" s="111">
        <f>'样板房安装工程'!P19</f>
        <v/>
      </c>
      <c r="Q30" s="32">
        <f>'样板房安装工程'!Q19</f>
        <v/>
      </c>
      <c r="R30" s="111">
        <f>'样板房安装工程'!R19</f>
        <v/>
      </c>
      <c r="S30" s="112">
        <f>'样板房安装工程'!S19</f>
        <v/>
      </c>
      <c r="T30" s="107">
        <f>'样板房安装工程'!T19</f>
        <v/>
      </c>
      <c r="U30" s="105">
        <f>F30*O30</f>
        <v/>
      </c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</row>
    <row r="31" outlineLevel="1" customFormat="1" s="5">
      <c r="A31" s="27" t="inlineStr"/>
      <c r="B31" s="28" t="inlineStr"/>
      <c r="C31" s="28" t="inlineStr">
        <is>
          <t>开关插座</t>
        </is>
      </c>
      <c r="D31" s="28" t="inlineStr"/>
      <c r="E31" s="27" t="inlineStr"/>
      <c r="F31" s="105" t="inlineStr"/>
      <c r="G31" s="135" t="n"/>
      <c r="H31" s="135" t="n"/>
      <c r="I31" s="135" t="n"/>
      <c r="J31" s="135" t="n"/>
      <c r="K31" s="135" t="n"/>
      <c r="L31" s="135" t="n"/>
      <c r="M31" s="135" t="n"/>
      <c r="N31" s="135" t="n"/>
      <c r="O31" s="135" t="n"/>
      <c r="P31" s="135" t="n"/>
      <c r="Q31" s="55" t="n"/>
      <c r="R31" s="135" t="n"/>
      <c r="S31" s="135" t="n"/>
      <c r="T31" s="135" t="n"/>
      <c r="U31" s="135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</row>
    <row r="32" outlineLevel="2" ht="60" customFormat="1" customHeight="1" s="5">
      <c r="A32" s="27" t="n">
        <v>25</v>
      </c>
      <c r="B32" s="28" t="n">
        <v>30413013001</v>
      </c>
      <c r="C32" s="28" t="inlineStr">
        <is>
          <t>照明开关</t>
        </is>
      </c>
      <c r="D32" s="28" t="inlineStr">
        <is>
          <t>1.名称：单联单控开关
2.规格：86*86mm
3.安装方式：暗装
4.其他：包括但不限于满足图纸、招标文件、规范及验收要求等一切相关费用</t>
        </is>
      </c>
      <c r="E32" s="27" t="inlineStr">
        <is>
          <t>套</t>
        </is>
      </c>
      <c r="F32" s="105" t="n">
        <v>5</v>
      </c>
      <c r="G32" s="139">
        <f>R32*$R$3</f>
        <v/>
      </c>
      <c r="H32" s="140">
        <f>P32*(1+Q32)*$P$3+S32*$S$3</f>
        <v/>
      </c>
      <c r="I32" s="140">
        <f>T32*$T$3</f>
        <v/>
      </c>
      <c r="J32" s="140">
        <f>(G32+H32+I32)*$J$3</f>
        <v/>
      </c>
      <c r="K32" s="140">
        <f>(G32+H32+I32+J32)*$K$3</f>
        <v/>
      </c>
      <c r="L32" s="140">
        <f>G32+H32+I32+J32+K32</f>
        <v/>
      </c>
      <c r="M32" s="140">
        <f>F32*L32</f>
        <v/>
      </c>
      <c r="N32" s="101" t="n"/>
      <c r="O32" s="105">
        <f>P32*(1+Q32)+R32+S32+T32</f>
        <v/>
      </c>
      <c r="P32" s="111">
        <f>'公共区域安装工程'!P14</f>
        <v/>
      </c>
      <c r="Q32" s="32">
        <f>'公共区域安装工程'!Q14</f>
        <v/>
      </c>
      <c r="R32" s="111">
        <f>'公共区域安装工程'!R14</f>
        <v/>
      </c>
      <c r="S32" s="112">
        <f>'公共区域安装工程'!S14</f>
        <v/>
      </c>
      <c r="T32" s="107">
        <f>'公共区域安装工程'!T14</f>
        <v/>
      </c>
      <c r="U32" s="105">
        <f>F32*O32</f>
        <v/>
      </c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</row>
    <row r="33" outlineLevel="2" ht="60" customFormat="1" customHeight="1" s="5">
      <c r="A33" s="27" t="n">
        <v>26</v>
      </c>
      <c r="B33" s="28" t="n">
        <v>30413013002</v>
      </c>
      <c r="C33" s="28" t="inlineStr">
        <is>
          <t>照明开关</t>
        </is>
      </c>
      <c r="D33" s="28" t="inlineStr">
        <is>
          <t>1.名称：双联单控开关
2.规格：86*86mm
3.安装方式：暗装
4.其他：包括但不限于满足图纸、招标文件、规范及验收要求等一切相关费用</t>
        </is>
      </c>
      <c r="E33" s="27" t="inlineStr">
        <is>
          <t>套</t>
        </is>
      </c>
      <c r="F33" s="105" t="n">
        <v>10</v>
      </c>
      <c r="G33" s="139">
        <f>R33*$R$3</f>
        <v/>
      </c>
      <c r="H33" s="140">
        <f>P33*(1+Q33)*$P$3+S33*$S$3</f>
        <v/>
      </c>
      <c r="I33" s="140">
        <f>T33*$T$3</f>
        <v/>
      </c>
      <c r="J33" s="140">
        <f>(G33+H33+I33)*$J$3</f>
        <v/>
      </c>
      <c r="K33" s="140">
        <f>(G33+H33+I33+J33)*$K$3</f>
        <v/>
      </c>
      <c r="L33" s="140">
        <f>G33+H33+I33+J33+K33</f>
        <v/>
      </c>
      <c r="M33" s="140">
        <f>F33*L33</f>
        <v/>
      </c>
      <c r="N33" s="101" t="n"/>
      <c r="O33" s="105">
        <f>P33*(1+Q33)+R33+S33+T33</f>
        <v/>
      </c>
      <c r="P33" s="111">
        <f>'架空层安装工程'!P16</f>
        <v/>
      </c>
      <c r="Q33" s="32">
        <f>'架空层安装工程'!Q16</f>
        <v/>
      </c>
      <c r="R33" s="111">
        <f>'架空层安装工程'!R16</f>
        <v/>
      </c>
      <c r="S33" s="112">
        <f>'架空层安装工程'!S16</f>
        <v/>
      </c>
      <c r="T33" s="107">
        <f>'架空层安装工程'!T16</f>
        <v/>
      </c>
      <c r="U33" s="105">
        <f>F33*O33</f>
        <v/>
      </c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</row>
    <row r="34" outlineLevel="2" ht="60" customFormat="1" customHeight="1" s="5">
      <c r="A34" s="27" t="n">
        <v>27</v>
      </c>
      <c r="B34" s="28" t="n">
        <v>30413013003</v>
      </c>
      <c r="C34" s="28" t="inlineStr">
        <is>
          <t>照明开关</t>
        </is>
      </c>
      <c r="D34" s="28" t="inlineStr">
        <is>
          <t>1.名称：三联单控开关
2.规格：86*86mm
3.安装方式：暗装
4.其他：包括但不限于满足图纸、招标文件、规范及验收要求等一切相关费用</t>
        </is>
      </c>
      <c r="E34" s="27" t="inlineStr">
        <is>
          <t>套</t>
        </is>
      </c>
      <c r="F34" s="105" t="n">
        <v>23</v>
      </c>
      <c r="G34" s="139">
        <f>R34*$R$3</f>
        <v/>
      </c>
      <c r="H34" s="140">
        <f>P34*(1+Q34)*$P$3+S34*$S$3</f>
        <v/>
      </c>
      <c r="I34" s="140">
        <f>T34*$T$3</f>
        <v/>
      </c>
      <c r="J34" s="140">
        <f>(G34+H34+I34)*$J$3</f>
        <v/>
      </c>
      <c r="K34" s="140">
        <f>(G34+H34+I34+J34)*$K$3</f>
        <v/>
      </c>
      <c r="L34" s="140">
        <f>G34+H34+I34+J34+K34</f>
        <v/>
      </c>
      <c r="M34" s="140">
        <f>F34*L34</f>
        <v/>
      </c>
      <c r="N34" s="101" t="n"/>
      <c r="O34" s="105">
        <f>P34*(1+Q34)+R34+S34+T34</f>
        <v/>
      </c>
      <c r="P34" s="111">
        <f>'公共区域安装工程'!P15</f>
        <v/>
      </c>
      <c r="Q34" s="32">
        <f>'公共区域安装工程'!Q15</f>
        <v/>
      </c>
      <c r="R34" s="111">
        <f>'公共区域安装工程'!R15</f>
        <v/>
      </c>
      <c r="S34" s="112">
        <f>'公共区域安装工程'!S15</f>
        <v/>
      </c>
      <c r="T34" s="107">
        <f>'公共区域安装工程'!T15</f>
        <v/>
      </c>
      <c r="U34" s="105">
        <f>F34*O34</f>
        <v/>
      </c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</row>
    <row r="35" outlineLevel="2" ht="60" customFormat="1" customHeight="1" s="5">
      <c r="A35" s="113" t="n">
        <v>28</v>
      </c>
      <c r="B35" s="136" t="n">
        <v>30413013004</v>
      </c>
      <c r="C35" s="136" t="inlineStr">
        <is>
          <t>照明开关</t>
        </is>
      </c>
      <c r="D35" s="136" t="inlineStr">
        <is>
          <t>1.名称：卫生间排风开关
2.规格：86*86mm
3.安装方式：暗装
4.其他：包括但不限于满足图纸、招标文件、规范及验收要求等一切相关费用</t>
        </is>
      </c>
      <c r="E35" s="113" t="inlineStr">
        <is>
          <t>套</t>
        </is>
      </c>
      <c r="F35" s="114" t="n">
        <v>4</v>
      </c>
      <c r="G35" s="137">
        <f>R35*$R$3</f>
        <v/>
      </c>
      <c r="H35" s="138">
        <f>P35*(1+Q35)*$P$3+S35*$S$3</f>
        <v/>
      </c>
      <c r="I35" s="138">
        <f>T35*$T$3</f>
        <v/>
      </c>
      <c r="J35" s="138">
        <f>(G35+H35+I35)*$J$3</f>
        <v/>
      </c>
      <c r="K35" s="138">
        <f>(G35+H35+I35+J35)*$K$3</f>
        <v/>
      </c>
      <c r="L35" s="138">
        <f>G35+H35+I35+J35+K35</f>
        <v/>
      </c>
      <c r="M35" s="138">
        <f>F35*L35</f>
        <v/>
      </c>
      <c r="N35" s="118" t="n"/>
      <c r="O35" s="114">
        <f>P35*(1+Q35)+R35+S35+T35</f>
        <v/>
      </c>
      <c r="P35" s="119" t="n">
        <v>14.62</v>
      </c>
      <c r="Q35" s="120" t="n">
        <v>0</v>
      </c>
      <c r="R35" s="119" t="n">
        <v>6.31</v>
      </c>
      <c r="S35" s="121" t="n">
        <v>1.12</v>
      </c>
      <c r="T35" s="122" t="n">
        <v>0</v>
      </c>
      <c r="U35" s="114">
        <f>F35*O35</f>
        <v/>
      </c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</row>
    <row r="36" outlineLevel="2" ht="60" customFormat="1" customHeight="1" s="5">
      <c r="A36" s="27" t="n">
        <v>29</v>
      </c>
      <c r="B36" s="28" t="n">
        <v>30413014001</v>
      </c>
      <c r="C36" s="28" t="inlineStr">
        <is>
          <t>插座</t>
        </is>
      </c>
      <c r="D36" s="28" t="inlineStr">
        <is>
          <t>1.名称：三孔插座
2.规格：86*86mm
3.安装方式：暗装
4.其他：包括但不限于满足图纸、招标文件、规范及验收要求等一切相关费用</t>
        </is>
      </c>
      <c r="E36" s="27" t="inlineStr">
        <is>
          <t>套</t>
        </is>
      </c>
      <c r="F36" s="105" t="n">
        <v>2</v>
      </c>
      <c r="G36" s="139">
        <f>R36*$R$3</f>
        <v/>
      </c>
      <c r="H36" s="140">
        <f>P36*(1+Q36)*$P$3+S36*$S$3</f>
        <v/>
      </c>
      <c r="I36" s="140">
        <f>T36*$T$3</f>
        <v/>
      </c>
      <c r="J36" s="140">
        <f>(G36+H36+I36)*$J$3</f>
        <v/>
      </c>
      <c r="K36" s="140">
        <f>(G36+H36+I36+J36)*$K$3</f>
        <v/>
      </c>
      <c r="L36" s="140">
        <f>G36+H36+I36+J36+K36</f>
        <v/>
      </c>
      <c r="M36" s="140">
        <f>F36*L36</f>
        <v/>
      </c>
      <c r="N36" s="101" t="n"/>
      <c r="O36" s="105">
        <f>P36*(1+Q36)+R36+S36+T36</f>
        <v/>
      </c>
      <c r="P36" s="111">
        <f>'户内交标安装工程'!P27</f>
        <v/>
      </c>
      <c r="Q36" s="32">
        <f>'户内交标安装工程'!Q27</f>
        <v/>
      </c>
      <c r="R36" s="111">
        <f>'户内交标安装工程'!R27</f>
        <v/>
      </c>
      <c r="S36" s="112">
        <f>'户内交标安装工程'!S27</f>
        <v/>
      </c>
      <c r="T36" s="107">
        <f>'户内交标安装工程'!T27</f>
        <v/>
      </c>
      <c r="U36" s="105">
        <f>F36*O36</f>
        <v/>
      </c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</row>
    <row r="37" outlineLevel="2" ht="60" customFormat="1" customHeight="1" s="5">
      <c r="A37" s="27" t="n">
        <v>30</v>
      </c>
      <c r="B37" s="28" t="n">
        <v>30413014002</v>
      </c>
      <c r="C37" s="28" t="inlineStr">
        <is>
          <t>插座</t>
        </is>
      </c>
      <c r="D37" s="28" t="inlineStr">
        <is>
          <t>1.名称：五孔插座
2.规格：86*86mm
3.安装方式：暗装
4.其他：包括但不限于满足图纸、招标文件、规范及验收要求等一切相关费用</t>
        </is>
      </c>
      <c r="E37" s="27" t="inlineStr">
        <is>
          <t>套</t>
        </is>
      </c>
      <c r="F37" s="105" t="n">
        <v>63</v>
      </c>
      <c r="G37" s="139">
        <f>R37*$R$3</f>
        <v/>
      </c>
      <c r="H37" s="140">
        <f>P37*(1+Q37)*$P$3+S37*$S$3</f>
        <v/>
      </c>
      <c r="I37" s="140">
        <f>T37*$T$3</f>
        <v/>
      </c>
      <c r="J37" s="140">
        <f>(G37+H37+I37)*$J$3</f>
        <v/>
      </c>
      <c r="K37" s="140">
        <f>(G37+H37+I37+J37)*$K$3</f>
        <v/>
      </c>
      <c r="L37" s="140">
        <f>G37+H37+I37+J37+K37</f>
        <v/>
      </c>
      <c r="M37" s="140">
        <f>F37*L37</f>
        <v/>
      </c>
      <c r="N37" s="101" t="n"/>
      <c r="O37" s="105">
        <f>P37*(1+Q37)+R37+S37+T37</f>
        <v/>
      </c>
      <c r="P37" s="111">
        <f>'公共区域安装工程'!P16</f>
        <v/>
      </c>
      <c r="Q37" s="32">
        <f>'公共区域安装工程'!Q16</f>
        <v/>
      </c>
      <c r="R37" s="111">
        <f>'公共区域安装工程'!R16</f>
        <v/>
      </c>
      <c r="S37" s="112">
        <f>'公共区域安装工程'!S16</f>
        <v/>
      </c>
      <c r="T37" s="107">
        <f>'公共区域安装工程'!T16</f>
        <v/>
      </c>
      <c r="U37" s="105">
        <f>F37*O37</f>
        <v/>
      </c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</row>
    <row r="38" outlineLevel="2" ht="60" customFormat="1" customHeight="1" s="5">
      <c r="A38" s="27" t="n">
        <v>31</v>
      </c>
      <c r="B38" s="28" t="n">
        <v>30413014003</v>
      </c>
      <c r="C38" s="28" t="inlineStr">
        <is>
          <t>插座</t>
        </is>
      </c>
      <c r="D38" s="28" t="inlineStr">
        <is>
          <t>1.名称：五孔插座（带防溅盒）
2.规格：86*86mm
3.安装方式：暗装
4.其他：包括但不限于满足图纸、招标文件、规范及验收要求等一切相关费用</t>
        </is>
      </c>
      <c r="E38" s="27" t="inlineStr">
        <is>
          <t>套</t>
        </is>
      </c>
      <c r="F38" s="105" t="n">
        <v>15</v>
      </c>
      <c r="G38" s="139">
        <f>R38*$R$3</f>
        <v/>
      </c>
      <c r="H38" s="140">
        <f>P38*(1+Q38)*$P$3+S38*$S$3</f>
        <v/>
      </c>
      <c r="I38" s="140">
        <f>T38*$T$3</f>
        <v/>
      </c>
      <c r="J38" s="140">
        <f>(G38+H38+I38)*$J$3</f>
        <v/>
      </c>
      <c r="K38" s="140">
        <f>(G38+H38+I38+J38)*$K$3</f>
        <v/>
      </c>
      <c r="L38" s="140">
        <f>G38+H38+I38+J38+K38</f>
        <v/>
      </c>
      <c r="M38" s="140">
        <f>F38*L38</f>
        <v/>
      </c>
      <c r="N38" s="101" t="n"/>
      <c r="O38" s="105">
        <f>P38*(1+Q38)+R38+S38+T38</f>
        <v/>
      </c>
      <c r="P38" s="111">
        <f>'样板房安装工程'!P28</f>
        <v/>
      </c>
      <c r="Q38" s="32">
        <f>'样板房安装工程'!Q28</f>
        <v/>
      </c>
      <c r="R38" s="111">
        <f>'样板房安装工程'!R28</f>
        <v/>
      </c>
      <c r="S38" s="112">
        <f>'样板房安装工程'!S28</f>
        <v/>
      </c>
      <c r="T38" s="107">
        <f>'样板房安装工程'!T28</f>
        <v/>
      </c>
      <c r="U38" s="105">
        <f>F38*O38</f>
        <v/>
      </c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</row>
    <row r="39" outlineLevel="2" ht="60" customFormat="1" customHeight="1" s="5">
      <c r="A39" s="27" t="n">
        <v>32</v>
      </c>
      <c r="B39" s="28" t="n">
        <v>30413014004</v>
      </c>
      <c r="C39" s="28" t="inlineStr">
        <is>
          <t>插座</t>
        </is>
      </c>
      <c r="D39" s="28" t="inlineStr">
        <is>
          <t>1.名称：五孔插座带开关
2.规格：86*86mm
3.安装方式：暗装
4.其他：包括但不限于满足图纸、招标文件、规范及验收要求等一切相关费用</t>
        </is>
      </c>
      <c r="E39" s="27" t="inlineStr">
        <is>
          <t>套</t>
        </is>
      </c>
      <c r="F39" s="105" t="n">
        <v>21</v>
      </c>
      <c r="G39" s="139">
        <f>R39*$R$3</f>
        <v/>
      </c>
      <c r="H39" s="140">
        <f>P39*(1+Q39)*$P$3+S39*$S$3</f>
        <v/>
      </c>
      <c r="I39" s="140">
        <f>T39*$T$3</f>
        <v/>
      </c>
      <c r="J39" s="140">
        <f>(G39+H39+I39)*$J$3</f>
        <v/>
      </c>
      <c r="K39" s="140">
        <f>(G39+H39+I39+J39)*$K$3</f>
        <v/>
      </c>
      <c r="L39" s="140">
        <f>G39+H39+I39+J39+K39</f>
        <v/>
      </c>
      <c r="M39" s="140">
        <f>F39*L39</f>
        <v/>
      </c>
      <c r="N39" s="101" t="n"/>
      <c r="O39" s="105">
        <f>P39*(1+Q39)+R39+S39+T39</f>
        <v/>
      </c>
      <c r="P39" s="111">
        <f>'户内交标安装工程'!P25</f>
        <v/>
      </c>
      <c r="Q39" s="32">
        <f>'户内交标安装工程'!Q25</f>
        <v/>
      </c>
      <c r="R39" s="111">
        <f>'户内交标安装工程'!R25</f>
        <v/>
      </c>
      <c r="S39" s="112">
        <f>'户内交标安装工程'!S25</f>
        <v/>
      </c>
      <c r="T39" s="107">
        <f>'户内交标安装工程'!T25</f>
        <v/>
      </c>
      <c r="U39" s="105">
        <f>F39*O39</f>
        <v/>
      </c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</row>
    <row r="40" outlineLevel="2" ht="60" customFormat="1" customHeight="1" s="5">
      <c r="A40" s="27" t="n">
        <v>33</v>
      </c>
      <c r="B40" s="28" t="n">
        <v>30413014005</v>
      </c>
      <c r="C40" s="28" t="inlineStr">
        <is>
          <t>插座</t>
        </is>
      </c>
      <c r="D40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40" s="27" t="inlineStr">
        <is>
          <t>套</t>
        </is>
      </c>
      <c r="F40" s="105" t="n">
        <v>4</v>
      </c>
      <c r="G40" s="139">
        <f>R40*$R$3</f>
        <v/>
      </c>
      <c r="H40" s="140">
        <f>P40*(1+Q40)*$P$3+S40*$S$3</f>
        <v/>
      </c>
      <c r="I40" s="140">
        <f>T40*$T$3</f>
        <v/>
      </c>
      <c r="J40" s="140">
        <f>(G40+H40+I40)*$J$3</f>
        <v/>
      </c>
      <c r="K40" s="140">
        <f>(G40+H40+I40+J40)*$K$3</f>
        <v/>
      </c>
      <c r="L40" s="140">
        <f>G40+H40+I40+J40+K40</f>
        <v/>
      </c>
      <c r="M40" s="140">
        <f>F40*L40</f>
        <v/>
      </c>
      <c r="N40" s="101" t="n"/>
      <c r="O40" s="105">
        <f>P40*(1+Q40)+R40+S40+T40</f>
        <v/>
      </c>
      <c r="P40" s="111">
        <f>'样板房安装工程'!P31</f>
        <v/>
      </c>
      <c r="Q40" s="32">
        <f>'样板房安装工程'!Q31</f>
        <v/>
      </c>
      <c r="R40" s="111">
        <f>'样板房安装工程'!R31</f>
        <v/>
      </c>
      <c r="S40" s="112">
        <f>'样板房安装工程'!S31</f>
        <v/>
      </c>
      <c r="T40" s="107">
        <f>'样板房安装工程'!T31</f>
        <v/>
      </c>
      <c r="U40" s="105">
        <f>F40*O40</f>
        <v/>
      </c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</row>
    <row r="41" outlineLevel="2" ht="60" customFormat="1" customHeight="1" s="5">
      <c r="A41" s="113" t="n">
        <v>34</v>
      </c>
      <c r="B41" s="136" t="n">
        <v>30413014006</v>
      </c>
      <c r="C41" s="136" t="inlineStr">
        <is>
          <t>插座</t>
        </is>
      </c>
      <c r="D41" s="136" t="inlineStr">
        <is>
          <t>1.名称：五孔地面插座
2.规格：86*86mm
3.安装方式：暗装
4.其他：包括但不限于满足图纸、招标文件、规范及验收要求等一切相关费用</t>
        </is>
      </c>
      <c r="E41" s="113" t="inlineStr">
        <is>
          <t>套</t>
        </is>
      </c>
      <c r="F41" s="114" t="n">
        <v>51</v>
      </c>
      <c r="G41" s="137">
        <f>R41*$R$3</f>
        <v/>
      </c>
      <c r="H41" s="138">
        <f>P41*(1+Q41)*$P$3+S41*$S$3</f>
        <v/>
      </c>
      <c r="I41" s="138">
        <f>T41*$T$3</f>
        <v/>
      </c>
      <c r="J41" s="138">
        <f>(G41+H41+I41)*$J$3</f>
        <v/>
      </c>
      <c r="K41" s="138">
        <f>(G41+H41+I41+J41)*$K$3</f>
        <v/>
      </c>
      <c r="L41" s="138">
        <f>G41+H41+I41+J41+K41</f>
        <v/>
      </c>
      <c r="M41" s="138">
        <f>F41*L41</f>
        <v/>
      </c>
      <c r="N41" s="118" t="n"/>
      <c r="O41" s="114">
        <f>P41*(1+Q41)+R41+S41+T41</f>
        <v/>
      </c>
      <c r="P41" s="119" t="n">
        <v>14.62</v>
      </c>
      <c r="Q41" s="120" t="n">
        <v>0</v>
      </c>
      <c r="R41" s="119" t="n">
        <v>6.31</v>
      </c>
      <c r="S41" s="121" t="n">
        <v>1.12</v>
      </c>
      <c r="T41" s="122" t="n">
        <v>0</v>
      </c>
      <c r="U41" s="114">
        <f>F41*O41</f>
        <v/>
      </c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</row>
    <row r="42" outlineLevel="1" customFormat="1" s="5">
      <c r="A42" s="27" t="inlineStr"/>
      <c r="B42" s="28" t="inlineStr"/>
      <c r="C42" s="28" t="inlineStr">
        <is>
          <t>配管配线</t>
        </is>
      </c>
      <c r="D42" s="28" t="inlineStr"/>
      <c r="E42" s="27" t="inlineStr"/>
      <c r="F42" s="105" t="inlineStr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55" t="n"/>
      <c r="R42" s="135" t="n"/>
      <c r="S42" s="135" t="n"/>
      <c r="T42" s="135" t="n"/>
      <c r="U42" s="135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</row>
    <row r="43" outlineLevel="2" ht="60" customFormat="1" customHeight="1" s="5">
      <c r="A43" s="113" t="n">
        <v>35</v>
      </c>
      <c r="B43" s="136" t="n">
        <v>30412001001</v>
      </c>
      <c r="C43" s="136" t="inlineStr">
        <is>
          <t>配管</t>
        </is>
      </c>
      <c r="D43" s="136" t="inlineStr">
        <is>
          <t>1.名称：电气配管
2.规格：JDG20
3.安装方式：暗装
4.其他：包括但不限于满足图纸、招标文件、规范及验收要求等一切相关费用</t>
        </is>
      </c>
      <c r="E43" s="113" t="inlineStr">
        <is>
          <t>m</t>
        </is>
      </c>
      <c r="F43" s="114" t="n">
        <v>2169.81</v>
      </c>
      <c r="G43" s="137">
        <f>R43*$R$3</f>
        <v/>
      </c>
      <c r="H43" s="138">
        <f>P43*(1+Q43)*$P$3+S43*$S$3</f>
        <v/>
      </c>
      <c r="I43" s="138">
        <f>T43*$T$3</f>
        <v/>
      </c>
      <c r="J43" s="138">
        <f>(G43+H43+I43)*$J$3</f>
        <v/>
      </c>
      <c r="K43" s="138">
        <f>(G43+H43+I43+J43)*$K$3</f>
        <v/>
      </c>
      <c r="L43" s="138">
        <f>G43+H43+I43+J43+K43</f>
        <v/>
      </c>
      <c r="M43" s="138">
        <f>F43*L43</f>
        <v/>
      </c>
      <c r="N43" s="118" t="n"/>
      <c r="O43" s="114">
        <f>P43*(1+Q43)+R43+S43+T43</f>
        <v/>
      </c>
      <c r="P43" s="119" t="n">
        <v>1.57</v>
      </c>
      <c r="Q43" s="120" t="n">
        <v>0</v>
      </c>
      <c r="R43" s="119" t="n">
        <v>2.61</v>
      </c>
      <c r="S43" s="121" t="n">
        <v>0.23</v>
      </c>
      <c r="T43" s="122" t="n">
        <v>0.09</v>
      </c>
      <c r="U43" s="114">
        <f>F43*O43</f>
        <v/>
      </c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</row>
    <row r="44" outlineLevel="2" ht="60" customFormat="1" customHeight="1" s="5">
      <c r="A44" s="113" t="n">
        <v>36</v>
      </c>
      <c r="B44" s="136" t="n">
        <v>30412001002</v>
      </c>
      <c r="C44" s="136" t="inlineStr">
        <is>
          <t>配管</t>
        </is>
      </c>
      <c r="D44" s="136" t="inlineStr">
        <is>
          <t>1.名称：电气配管
2.规格：JDG25
3.安装方式：暗装
4.其他：包括但不限于满足图纸、招标文件、规范及验收要求等一切相关费用</t>
        </is>
      </c>
      <c r="E44" s="113" t="inlineStr">
        <is>
          <t>m</t>
        </is>
      </c>
      <c r="F44" s="114" t="n">
        <v>324.48</v>
      </c>
      <c r="G44" s="137">
        <f>R44*$R$3</f>
        <v/>
      </c>
      <c r="H44" s="138">
        <f>P44*(1+Q44)*$P$3+S44*$S$3</f>
        <v/>
      </c>
      <c r="I44" s="138">
        <f>T44*$T$3</f>
        <v/>
      </c>
      <c r="J44" s="138">
        <f>(G44+H44+I44)*$J$3</f>
        <v/>
      </c>
      <c r="K44" s="138">
        <f>(G44+H44+I44+J44)*$K$3</f>
        <v/>
      </c>
      <c r="L44" s="138">
        <f>G44+H44+I44+J44+K44</f>
        <v/>
      </c>
      <c r="M44" s="138">
        <f>F44*L44</f>
        <v/>
      </c>
      <c r="N44" s="118" t="n"/>
      <c r="O44" s="114">
        <f>P44*(1+Q44)+R44+S44+T44</f>
        <v/>
      </c>
      <c r="P44" s="119" t="n">
        <v>6.5</v>
      </c>
      <c r="Q44" s="120" t="n">
        <v>0.03</v>
      </c>
      <c r="R44" s="119" t="n">
        <v>10.8</v>
      </c>
      <c r="S44" s="121" t="n">
        <v>0.44</v>
      </c>
      <c r="T44" s="122" t="n">
        <v>0.2</v>
      </c>
      <c r="U44" s="114">
        <f>F44*O44</f>
        <v/>
      </c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</row>
    <row r="45" outlineLevel="2" ht="60" customFormat="1" customHeight="1" s="5">
      <c r="A45" s="113" t="n">
        <v>37</v>
      </c>
      <c r="B45" s="136" t="n">
        <v>30412001003</v>
      </c>
      <c r="C45" s="136" t="inlineStr">
        <is>
          <t>配管</t>
        </is>
      </c>
      <c r="D45" s="136" t="inlineStr">
        <is>
          <t>1.名称：电气配管
2.规格：PC20
3.安装方式：暗装
4.其他：包括但不限于满足图纸、招标文件、规范及验收要求等一切相关费用</t>
        </is>
      </c>
      <c r="E45" s="113" t="inlineStr">
        <is>
          <t>m</t>
        </is>
      </c>
      <c r="F45" s="114" t="n">
        <v>616.28</v>
      </c>
      <c r="G45" s="137">
        <f>R45*$R$3</f>
        <v/>
      </c>
      <c r="H45" s="138">
        <f>P45*(1+Q45)*$P$3+S45*$S$3</f>
        <v/>
      </c>
      <c r="I45" s="138">
        <f>T45*$T$3</f>
        <v/>
      </c>
      <c r="J45" s="138">
        <f>(G45+H45+I45)*$J$3</f>
        <v/>
      </c>
      <c r="K45" s="138">
        <f>(G45+H45+I45+J45)*$K$3</f>
        <v/>
      </c>
      <c r="L45" s="138">
        <f>G45+H45+I45+J45+K45</f>
        <v/>
      </c>
      <c r="M45" s="138">
        <f>F45*L45</f>
        <v/>
      </c>
      <c r="N45" s="118" t="n"/>
      <c r="O45" s="114">
        <f>P45*(1+Q45)+R45+S45+T45</f>
        <v/>
      </c>
      <c r="P45" s="119" t="n">
        <v>6</v>
      </c>
      <c r="Q45" s="120" t="n">
        <v>0.03</v>
      </c>
      <c r="R45" s="119" t="n">
        <v>8.5</v>
      </c>
      <c r="S45" s="121" t="n">
        <v>0.48</v>
      </c>
      <c r="T45" s="122" t="n">
        <v>0.2</v>
      </c>
      <c r="U45" s="114">
        <f>F45*O45</f>
        <v/>
      </c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</row>
    <row r="46" outlineLevel="2" ht="60" customFormat="1" customHeight="1" s="5">
      <c r="A46" s="113" t="n">
        <v>38</v>
      </c>
      <c r="B46" s="136" t="n">
        <v>30412001004</v>
      </c>
      <c r="C46" s="136" t="inlineStr">
        <is>
          <t>配管</t>
        </is>
      </c>
      <c r="D46" s="136" t="inlineStr">
        <is>
          <t>1.名称：电气配管
2.规格：PC25
3.安装方式：暗装
4.其他：包括但不限于满足图纸、招标文件、规范及验收要求等一切相关费用</t>
        </is>
      </c>
      <c r="E46" s="113" t="inlineStr">
        <is>
          <t>m</t>
        </is>
      </c>
      <c r="F46" s="114" t="n">
        <v>932.9299999999999</v>
      </c>
      <c r="G46" s="137">
        <f>R46*$R$3</f>
        <v/>
      </c>
      <c r="H46" s="138">
        <f>P46*(1+Q46)*$P$3+S46*$S$3</f>
        <v/>
      </c>
      <c r="I46" s="138">
        <f>T46*$T$3</f>
        <v/>
      </c>
      <c r="J46" s="138">
        <f>(G46+H46+I46)*$J$3</f>
        <v/>
      </c>
      <c r="K46" s="138">
        <f>(G46+H46+I46+J46)*$K$3</f>
        <v/>
      </c>
      <c r="L46" s="138">
        <f>G46+H46+I46+J46+K46</f>
        <v/>
      </c>
      <c r="M46" s="138">
        <f>F46*L46</f>
        <v/>
      </c>
      <c r="N46" s="118" t="n"/>
      <c r="O46" s="114">
        <f>P46*(1+Q46)+R46+S46+T46</f>
        <v/>
      </c>
      <c r="P46" s="119" t="n">
        <v>6</v>
      </c>
      <c r="Q46" s="120" t="n">
        <v>0.03</v>
      </c>
      <c r="R46" s="119" t="n">
        <v>8.5</v>
      </c>
      <c r="S46" s="121" t="n">
        <v>0.48</v>
      </c>
      <c r="T46" s="122" t="n">
        <v>0.2</v>
      </c>
      <c r="U46" s="114">
        <f>F46*O46</f>
        <v/>
      </c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</row>
    <row r="47" outlineLevel="2" ht="60" customFormat="1" customHeight="1" s="5">
      <c r="A47" s="113" t="n">
        <v>39</v>
      </c>
      <c r="B47" s="136" t="n">
        <v>30412001005</v>
      </c>
      <c r="C47" s="136" t="inlineStr">
        <is>
          <t>配管</t>
        </is>
      </c>
      <c r="D47" s="136" t="inlineStr">
        <is>
          <t>1.名称：电气配管
2.规格：PC32
3.安装方式：暗装
4.其他：包括但不限于满足图纸、招标文件、规范及验收要求等一切相关费用</t>
        </is>
      </c>
      <c r="E47" s="113" t="inlineStr">
        <is>
          <t>m</t>
        </is>
      </c>
      <c r="F47" s="114" t="n">
        <v>24.68</v>
      </c>
      <c r="G47" s="137">
        <f>R47*$R$3</f>
        <v/>
      </c>
      <c r="H47" s="138">
        <f>P47*(1+Q47)*$P$3+S47*$S$3</f>
        <v/>
      </c>
      <c r="I47" s="138">
        <f>T47*$T$3</f>
        <v/>
      </c>
      <c r="J47" s="138">
        <f>(G47+H47+I47)*$J$3</f>
        <v/>
      </c>
      <c r="K47" s="138">
        <f>(G47+H47+I47+J47)*$K$3</f>
        <v/>
      </c>
      <c r="L47" s="138">
        <f>G47+H47+I47+J47+K47</f>
        <v/>
      </c>
      <c r="M47" s="138">
        <f>F47*L47</f>
        <v/>
      </c>
      <c r="N47" s="118" t="n"/>
      <c r="O47" s="114">
        <f>P47*(1+Q47)+R47+S47+T47</f>
        <v/>
      </c>
      <c r="P47" s="119" t="n">
        <v>6</v>
      </c>
      <c r="Q47" s="120" t="n">
        <v>0.03</v>
      </c>
      <c r="R47" s="119" t="n">
        <v>8.5</v>
      </c>
      <c r="S47" s="121" t="n">
        <v>0.48</v>
      </c>
      <c r="T47" s="122" t="n">
        <v>0.2</v>
      </c>
      <c r="U47" s="114">
        <f>F47*O47</f>
        <v/>
      </c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</row>
    <row r="48" outlineLevel="2" ht="60" customFormat="1" customHeight="1" s="5">
      <c r="A48" s="113" t="n">
        <v>40</v>
      </c>
      <c r="B48" s="136" t="n">
        <v>30412001006</v>
      </c>
      <c r="C48" s="136" t="inlineStr">
        <is>
          <t>配管</t>
        </is>
      </c>
      <c r="D48" s="136" t="inlineStr">
        <is>
          <t>1.名称：金属软管
2.规格：DN20
3.安装方式：吊顶内安装
4.其他：包括但不限于满足图纸、招标文件、规范及验收要求等一切相关费用</t>
        </is>
      </c>
      <c r="E48" s="113" t="inlineStr">
        <is>
          <t>m</t>
        </is>
      </c>
      <c r="F48" s="114" t="n">
        <v>686.4299999999999</v>
      </c>
      <c r="G48" s="137">
        <f>R48*$R$3</f>
        <v/>
      </c>
      <c r="H48" s="138">
        <f>P48*(1+Q48)*$P$3+S48*$S$3</f>
        <v/>
      </c>
      <c r="I48" s="138">
        <f>T48*$T$3</f>
        <v/>
      </c>
      <c r="J48" s="138">
        <f>(G48+H48+I48)*$J$3</f>
        <v/>
      </c>
      <c r="K48" s="138">
        <f>(G48+H48+I48+J48)*$K$3</f>
        <v/>
      </c>
      <c r="L48" s="138">
        <f>G48+H48+I48+J48+K48</f>
        <v/>
      </c>
      <c r="M48" s="138">
        <f>F48*L48</f>
        <v/>
      </c>
      <c r="N48" s="118" t="n"/>
      <c r="O48" s="114">
        <f>P48*(1+Q48)+R48+S48+T48</f>
        <v/>
      </c>
      <c r="P48" s="119" t="n">
        <v>8.1</v>
      </c>
      <c r="Q48" s="120" t="n">
        <v>0.03</v>
      </c>
      <c r="R48" s="119" t="n">
        <v>7.6</v>
      </c>
      <c r="S48" s="121" t="n">
        <v>0.65</v>
      </c>
      <c r="T48" s="122" t="n">
        <v>0.2</v>
      </c>
      <c r="U48" s="114">
        <f>F48*O48</f>
        <v/>
      </c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</row>
    <row r="49" outlineLevel="2" ht="60" customFormat="1" customHeight="1" s="5">
      <c r="A49" s="113" t="n">
        <v>41</v>
      </c>
      <c r="B49" s="136" t="n">
        <v>30412001007</v>
      </c>
      <c r="C49" s="136" t="inlineStr">
        <is>
          <t>配管</t>
        </is>
      </c>
      <c r="D49" s="136" t="inlineStr">
        <is>
          <t>1.名称：金属软管
2.规格：DN25
3.安装方式：吊顶内安装
4.其他：包括但不限于满足图纸、招标文件、规范及验收要求等一切相关费用</t>
        </is>
      </c>
      <c r="E49" s="113" t="inlineStr">
        <is>
          <t>m</t>
        </is>
      </c>
      <c r="F49" s="114" t="n">
        <v>286.28</v>
      </c>
      <c r="G49" s="137">
        <f>R49*$R$3</f>
        <v/>
      </c>
      <c r="H49" s="138">
        <f>P49*(1+Q49)*$P$3+S49*$S$3</f>
        <v/>
      </c>
      <c r="I49" s="138">
        <f>T49*$T$3</f>
        <v/>
      </c>
      <c r="J49" s="138">
        <f>(G49+H49+I49)*$J$3</f>
        <v/>
      </c>
      <c r="K49" s="138">
        <f>(G49+H49+I49+J49)*$K$3</f>
        <v/>
      </c>
      <c r="L49" s="138">
        <f>G49+H49+I49+J49+K49</f>
        <v/>
      </c>
      <c r="M49" s="138">
        <f>F49*L49</f>
        <v/>
      </c>
      <c r="N49" s="118" t="n"/>
      <c r="O49" s="114">
        <f>P49*(1+Q49)+R49+S49+T49</f>
        <v/>
      </c>
      <c r="P49" s="119" t="n">
        <v>9.5</v>
      </c>
      <c r="Q49" s="120" t="n">
        <v>0.03</v>
      </c>
      <c r="R49" s="119" t="n">
        <v>8.5</v>
      </c>
      <c r="S49" s="121" t="n">
        <v>0.76</v>
      </c>
      <c r="T49" s="122" t="n">
        <v>0.2</v>
      </c>
      <c r="U49" s="114">
        <f>F49*O49</f>
        <v/>
      </c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</row>
    <row r="50" outlineLevel="2" ht="60" customFormat="1" customHeight="1" s="5">
      <c r="A50" s="113" t="n">
        <v>42</v>
      </c>
      <c r="B50" s="136" t="n">
        <v>31301001001</v>
      </c>
      <c r="C50" s="136" t="inlineStr">
        <is>
          <t>凿槽及修复</t>
        </is>
      </c>
      <c r="D50" s="136" t="inlineStr">
        <is>
          <t>1.名称：凿槽及修复
2.规格：70*70
3.部位：砖、混凝土结构综合考虑
4.其他：包括但不限于满足图纸、招标文件、规范及验收要求等一切相关费用</t>
        </is>
      </c>
      <c r="E50" s="113" t="inlineStr">
        <is>
          <t>m</t>
        </is>
      </c>
      <c r="F50" s="114" t="n">
        <v>606.51</v>
      </c>
      <c r="G50" s="137">
        <f>R50*$R$3</f>
        <v/>
      </c>
      <c r="H50" s="138">
        <f>P50*(1+Q50)*$P$3+S50*$S$3</f>
        <v/>
      </c>
      <c r="I50" s="138">
        <f>T50*$T$3</f>
        <v/>
      </c>
      <c r="J50" s="138">
        <f>(G50+H50+I50)*$J$3</f>
        <v/>
      </c>
      <c r="K50" s="138">
        <f>(G50+H50+I50+J50)*$K$3</f>
        <v/>
      </c>
      <c r="L50" s="138">
        <f>G50+H50+I50+J50+K50</f>
        <v/>
      </c>
      <c r="M50" s="138">
        <f>F50*L50</f>
        <v/>
      </c>
      <c r="N50" s="118" t="n"/>
      <c r="O50" s="114">
        <f>P50*(1+Q50)+R50+S50+T50</f>
        <v/>
      </c>
      <c r="P50" s="119" t="n">
        <v>0</v>
      </c>
      <c r="Q50" s="120" t="n">
        <v>0</v>
      </c>
      <c r="R50" s="119" t="n">
        <v>17.65</v>
      </c>
      <c r="S50" s="121" t="n">
        <v>0</v>
      </c>
      <c r="T50" s="122" t="n">
        <v>2.41</v>
      </c>
      <c r="U50" s="114">
        <f>F50*O50</f>
        <v/>
      </c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</row>
    <row r="51" outlineLevel="2" ht="60" customFormat="1" customHeight="1" s="5">
      <c r="A51" s="113" t="n">
        <v>43</v>
      </c>
      <c r="B51" s="136" t="n">
        <v>30412006001</v>
      </c>
      <c r="C51" s="136" t="inlineStr">
        <is>
          <t>接线盒</t>
        </is>
      </c>
      <c r="D51" s="136" t="inlineStr">
        <is>
          <t>1.名称：接线盒
2.材质：钢制
3.安装方式：暗装
4.其他：包括但不限于满足图纸、招标文件、规范及验收要求等一切相关费用</t>
        </is>
      </c>
      <c r="E51" s="113" t="inlineStr">
        <is>
          <t>个</t>
        </is>
      </c>
      <c r="F51" s="114" t="n">
        <v>861</v>
      </c>
      <c r="G51" s="137">
        <f>R51*$R$3</f>
        <v/>
      </c>
      <c r="H51" s="138">
        <f>P51*(1+Q51)*$P$3+S51*$S$3</f>
        <v/>
      </c>
      <c r="I51" s="138">
        <f>T51*$T$3</f>
        <v/>
      </c>
      <c r="J51" s="138">
        <f>(G51+H51+I51)*$J$3</f>
        <v/>
      </c>
      <c r="K51" s="138">
        <f>(G51+H51+I51+J51)*$K$3</f>
        <v/>
      </c>
      <c r="L51" s="138">
        <f>G51+H51+I51+J51+K51</f>
        <v/>
      </c>
      <c r="M51" s="138">
        <f>F51*L51</f>
        <v/>
      </c>
      <c r="N51" s="118" t="n"/>
      <c r="O51" s="114">
        <f>P51*(1+Q51)+R51+S51+T51</f>
        <v/>
      </c>
      <c r="P51" s="119" t="n">
        <v>2.28</v>
      </c>
      <c r="Q51" s="120" t="n">
        <v>0</v>
      </c>
      <c r="R51" s="119" t="n">
        <v>2.17</v>
      </c>
      <c r="S51" s="121" t="n">
        <v>0.3</v>
      </c>
      <c r="T51" s="122" t="n">
        <v>0</v>
      </c>
      <c r="U51" s="114">
        <f>F51*O51</f>
        <v/>
      </c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</row>
    <row r="52" outlineLevel="2" ht="60" customFormat="1" customHeight="1" s="5">
      <c r="A52" s="113" t="n">
        <v>44</v>
      </c>
      <c r="B52" s="136" t="n">
        <v>30412006002</v>
      </c>
      <c r="C52" s="136" t="inlineStr">
        <is>
          <t>开关（插座）盒</t>
        </is>
      </c>
      <c r="D52" s="136" t="inlineStr">
        <is>
          <t>1.名称：开关（插座）盒
2.材质：钢制
3.安装方式：暗装
4.其他：包括但不限于满足图纸、招标文件、规范及验收要求等一切相关费用</t>
        </is>
      </c>
      <c r="E52" s="113" t="inlineStr">
        <is>
          <t>个</t>
        </is>
      </c>
      <c r="F52" s="114" t="n">
        <v>73</v>
      </c>
      <c r="G52" s="137">
        <f>R52*$R$3</f>
        <v/>
      </c>
      <c r="H52" s="138">
        <f>P52*(1+Q52)*$P$3+S52*$S$3</f>
        <v/>
      </c>
      <c r="I52" s="138">
        <f>T52*$T$3</f>
        <v/>
      </c>
      <c r="J52" s="138">
        <f>(G52+H52+I52)*$J$3</f>
        <v/>
      </c>
      <c r="K52" s="138">
        <f>(G52+H52+I52+J52)*$K$3</f>
        <v/>
      </c>
      <c r="L52" s="138">
        <f>G52+H52+I52+J52+K52</f>
        <v/>
      </c>
      <c r="M52" s="138">
        <f>F52*L52</f>
        <v/>
      </c>
      <c r="N52" s="118" t="n"/>
      <c r="O52" s="114">
        <f>P52*(1+Q52)+R52+S52+T52</f>
        <v/>
      </c>
      <c r="P52" s="119" t="n">
        <v>15</v>
      </c>
      <c r="Q52" s="120" t="n">
        <v>0</v>
      </c>
      <c r="R52" s="119" t="n">
        <v>10</v>
      </c>
      <c r="S52" s="121" t="n">
        <v>1</v>
      </c>
      <c r="T52" s="122" t="n">
        <v>0</v>
      </c>
      <c r="U52" s="114">
        <f>F52*O52</f>
        <v/>
      </c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</row>
    <row r="53" outlineLevel="2" ht="60" customFormat="1" customHeight="1" s="5">
      <c r="A53" s="113" t="n">
        <v>45</v>
      </c>
      <c r="B53" s="136" t="n">
        <v>30412006003</v>
      </c>
      <c r="C53" s="136" t="inlineStr">
        <is>
          <t>开关（插座）盒</t>
        </is>
      </c>
      <c r="D53" s="136" t="inlineStr">
        <is>
          <t>1.名称：开关（插座）盒
2.材质：塑料
3.安装方式：暗装
4.其他：包括但不限于满足图纸、招标文件、规范及验收要求等一切相关费用</t>
        </is>
      </c>
      <c r="E53" s="113" t="inlineStr">
        <is>
          <t>个</t>
        </is>
      </c>
      <c r="F53" s="114" t="n">
        <v>162</v>
      </c>
      <c r="G53" s="137">
        <f>R53*$R$3</f>
        <v/>
      </c>
      <c r="H53" s="138">
        <f>P53*(1+Q53)*$P$3+S53*$S$3</f>
        <v/>
      </c>
      <c r="I53" s="138">
        <f>T53*$T$3</f>
        <v/>
      </c>
      <c r="J53" s="138">
        <f>(G53+H53+I53)*$J$3</f>
        <v/>
      </c>
      <c r="K53" s="138">
        <f>(G53+H53+I53+J53)*$K$3</f>
        <v/>
      </c>
      <c r="L53" s="138">
        <f>G53+H53+I53+J53+K53</f>
        <v/>
      </c>
      <c r="M53" s="138">
        <f>F53*L53</f>
        <v/>
      </c>
      <c r="N53" s="118" t="n"/>
      <c r="O53" s="114">
        <f>P53*(1+Q53)+R53+S53+T53</f>
        <v/>
      </c>
      <c r="P53" s="119" t="n">
        <v>15</v>
      </c>
      <c r="Q53" s="120" t="n">
        <v>0</v>
      </c>
      <c r="R53" s="119" t="n">
        <v>10</v>
      </c>
      <c r="S53" s="121" t="n">
        <v>1</v>
      </c>
      <c r="T53" s="122" t="n">
        <v>0</v>
      </c>
      <c r="U53" s="114">
        <f>F53*O53</f>
        <v/>
      </c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</row>
    <row r="54" outlineLevel="2" ht="60" customFormat="1" customHeight="1" s="5">
      <c r="A54" s="27" t="n">
        <v>46</v>
      </c>
      <c r="B54" s="28" t="n">
        <v>30412004001</v>
      </c>
      <c r="C54" s="28" t="inlineStr">
        <is>
          <t>配线</t>
        </is>
      </c>
      <c r="D54" s="28" t="inlineStr">
        <is>
          <t>1.名称：电气配线
2.型号规格：WDZC-BYJ-2.5
3.安装方式：管内穿线
4.其他：包括但不限于满足图纸、招标文件、规范及验收要求等一切相关费用</t>
        </is>
      </c>
      <c r="E54" s="27" t="inlineStr">
        <is>
          <t>m</t>
        </is>
      </c>
      <c r="F54" s="105" t="n">
        <v>10389.06</v>
      </c>
      <c r="G54" s="139">
        <f>R54*$R$3</f>
        <v/>
      </c>
      <c r="H54" s="140">
        <f>P54*(1+Q54)*$P$3+S54*$S$3</f>
        <v/>
      </c>
      <c r="I54" s="140">
        <f>T54*$T$3</f>
        <v/>
      </c>
      <c r="J54" s="140">
        <f>(G54+H54+I54)*$J$3</f>
        <v/>
      </c>
      <c r="K54" s="140">
        <f>(G54+H54+I54+J54)*$K$3</f>
        <v/>
      </c>
      <c r="L54" s="140">
        <f>G54+H54+I54+J54+K54</f>
        <v/>
      </c>
      <c r="M54" s="140">
        <f>F54*L54</f>
        <v/>
      </c>
      <c r="N54" s="101" t="n"/>
      <c r="O54" s="105">
        <f>P54*(1+Q54)+R54+S54+T54</f>
        <v/>
      </c>
      <c r="P54" s="111">
        <f>'公共区域安装工程'!P17</f>
        <v/>
      </c>
      <c r="Q54" s="32">
        <f>'公共区域安装工程'!Q17</f>
        <v/>
      </c>
      <c r="R54" s="111">
        <f>'公共区域安装工程'!R17</f>
        <v/>
      </c>
      <c r="S54" s="112">
        <f>'公共区域安装工程'!S17</f>
        <v/>
      </c>
      <c r="T54" s="107">
        <f>'公共区域安装工程'!T17</f>
        <v/>
      </c>
      <c r="U54" s="105">
        <f>F54*O54</f>
        <v/>
      </c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</row>
    <row r="55" outlineLevel="2" ht="60" customFormat="1" customHeight="1" s="5">
      <c r="A55" s="113" t="n">
        <v>47</v>
      </c>
      <c r="B55" s="136" t="n">
        <v>30412004002</v>
      </c>
      <c r="C55" s="136" t="inlineStr">
        <is>
          <t>配线</t>
        </is>
      </c>
      <c r="D55" s="136" t="inlineStr">
        <is>
          <t>1.名称：电气配线
2.型号规格：WDZC-BYJ-2.5
3.安装方式：线槽配线
4.其他：包括但不限于满足图纸、招标文件、规范及验收要求等一切相关费用</t>
        </is>
      </c>
      <c r="E55" s="113" t="inlineStr">
        <is>
          <t>m</t>
        </is>
      </c>
      <c r="F55" s="114" t="n">
        <v>311.04</v>
      </c>
      <c r="G55" s="137">
        <f>R55*$R$3</f>
        <v/>
      </c>
      <c r="H55" s="138">
        <f>P55*(1+Q55)*$P$3+S55*$S$3</f>
        <v/>
      </c>
      <c r="I55" s="138">
        <f>T55*$T$3</f>
        <v/>
      </c>
      <c r="J55" s="138">
        <f>(G55+H55+I55)*$J$3</f>
        <v/>
      </c>
      <c r="K55" s="138">
        <f>(G55+H55+I55+J55)*$K$3</f>
        <v/>
      </c>
      <c r="L55" s="138">
        <f>G55+H55+I55+J55+K55</f>
        <v/>
      </c>
      <c r="M55" s="138">
        <f>F55*L55</f>
        <v/>
      </c>
      <c r="N55" s="118" t="n"/>
      <c r="O55" s="114">
        <f>P55*(1+Q55)+R55+S55+T55</f>
        <v/>
      </c>
      <c r="P55" s="119" t="n">
        <v>2.92</v>
      </c>
      <c r="Q55" s="120" t="n">
        <v>0.02</v>
      </c>
      <c r="R55" s="119" t="n">
        <v>2.2</v>
      </c>
      <c r="S55" s="121" t="n">
        <v>0.21</v>
      </c>
      <c r="T55" s="122" t="n">
        <v>0.02</v>
      </c>
      <c r="U55" s="114">
        <f>F55*O55</f>
        <v/>
      </c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</row>
    <row r="56" outlineLevel="2" ht="60" customFormat="1" customHeight="1" s="5">
      <c r="A56" s="113" t="n">
        <v>48</v>
      </c>
      <c r="B56" s="136" t="n">
        <v>30412004003</v>
      </c>
      <c r="C56" s="136" t="inlineStr">
        <is>
          <t>配线</t>
        </is>
      </c>
      <c r="D56" s="136" t="inlineStr">
        <is>
          <t>1.名称：电气配线
2.型号规格：WDZC-BYJ-4
3.安装方式：管内穿线
4.其他：包括但不限于满足图纸、招标文件、规范及验收要求等一切相关费用</t>
        </is>
      </c>
      <c r="E56" s="113" t="inlineStr">
        <is>
          <t>m</t>
        </is>
      </c>
      <c r="F56" s="114" t="n">
        <v>3896.09</v>
      </c>
      <c r="G56" s="137">
        <f>R56*$R$3</f>
        <v/>
      </c>
      <c r="H56" s="138">
        <f>P56*(1+Q56)*$P$3+S56*$S$3</f>
        <v/>
      </c>
      <c r="I56" s="138">
        <f>T56*$T$3</f>
        <v/>
      </c>
      <c r="J56" s="138">
        <f>(G56+H56+I56)*$J$3</f>
        <v/>
      </c>
      <c r="K56" s="138">
        <f>(G56+H56+I56+J56)*$K$3</f>
        <v/>
      </c>
      <c r="L56" s="138">
        <f>G56+H56+I56+J56+K56</f>
        <v/>
      </c>
      <c r="M56" s="138">
        <f>F56*L56</f>
        <v/>
      </c>
      <c r="N56" s="118" t="n"/>
      <c r="O56" s="114">
        <f>P56*(1+Q56)+R56+S56+T56</f>
        <v/>
      </c>
      <c r="P56" s="119" t="n">
        <v>130.6</v>
      </c>
      <c r="Q56" s="120" t="n">
        <v>0.02</v>
      </c>
      <c r="R56" s="119" t="n">
        <v>14</v>
      </c>
      <c r="S56" s="121" t="n">
        <v>1.04</v>
      </c>
      <c r="T56" s="122" t="n">
        <v>1.04</v>
      </c>
      <c r="U56" s="114">
        <f>F56*O56</f>
        <v/>
      </c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</row>
    <row r="57" outlineLevel="2" ht="60" customFormat="1" customHeight="1" s="5">
      <c r="A57" s="113" t="n">
        <v>49</v>
      </c>
      <c r="B57" s="136" t="n">
        <v>30412004004</v>
      </c>
      <c r="C57" s="136" t="inlineStr">
        <is>
          <t>配线</t>
        </is>
      </c>
      <c r="D57" s="136" t="inlineStr">
        <is>
          <t>1.名称：电气配线
2.型号规格：WDZC-BYJ-4
3.安装方式：线槽配线
4.其他：包括但不限于满足图纸、招标文件、规范及验收要求等一切相关费用</t>
        </is>
      </c>
      <c r="E57" s="113" t="inlineStr">
        <is>
          <t>m</t>
        </is>
      </c>
      <c r="F57" s="114" t="n">
        <v>1846.08</v>
      </c>
      <c r="G57" s="137">
        <f>R57*$R$3</f>
        <v/>
      </c>
      <c r="H57" s="138">
        <f>P57*(1+Q57)*$P$3+S57*$S$3</f>
        <v/>
      </c>
      <c r="I57" s="138">
        <f>T57*$T$3</f>
        <v/>
      </c>
      <c r="J57" s="138">
        <f>(G57+H57+I57)*$J$3</f>
        <v/>
      </c>
      <c r="K57" s="138">
        <f>(G57+H57+I57+J57)*$K$3</f>
        <v/>
      </c>
      <c r="L57" s="138">
        <f>G57+H57+I57+J57+K57</f>
        <v/>
      </c>
      <c r="M57" s="138">
        <f>F57*L57</f>
        <v/>
      </c>
      <c r="N57" s="118" t="n"/>
      <c r="O57" s="114">
        <f>P57*(1+Q57)+R57+S57+T57</f>
        <v/>
      </c>
      <c r="P57" s="119" t="n">
        <v>35.2</v>
      </c>
      <c r="Q57" s="120" t="n">
        <v>0.02</v>
      </c>
      <c r="R57" s="119" t="n">
        <v>21.2</v>
      </c>
      <c r="S57" s="121" t="n">
        <v>0.85</v>
      </c>
      <c r="T57" s="122" t="n">
        <v>0.21</v>
      </c>
      <c r="U57" s="114">
        <f>F57*O57</f>
        <v/>
      </c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</row>
    <row r="58" outlineLevel="2" ht="60" customFormat="1" customHeight="1" s="5">
      <c r="A58" s="27" t="n">
        <v>50</v>
      </c>
      <c r="B58" s="28" t="n">
        <v>30412004005</v>
      </c>
      <c r="C58" s="28" t="inlineStr">
        <is>
          <t>配线</t>
        </is>
      </c>
      <c r="D58" s="28" t="inlineStr">
        <is>
          <t>1.名称：电气配线
2.型号规格：WDZC-BYJ-6
3.安装方式：管内穿线
4.其他：包括但不限于满足图纸、招标文件、规范及验收要求等一切相关费用</t>
        </is>
      </c>
      <c r="E58" s="27" t="inlineStr">
        <is>
          <t>m</t>
        </is>
      </c>
      <c r="F58" s="105" t="n">
        <v>96.51000000000001</v>
      </c>
      <c r="G58" s="139">
        <f>R58*$R$3</f>
        <v/>
      </c>
      <c r="H58" s="140">
        <f>P58*(1+Q58)*$P$3+S58*$S$3</f>
        <v/>
      </c>
      <c r="I58" s="140">
        <f>T58*$T$3</f>
        <v/>
      </c>
      <c r="J58" s="140">
        <f>(G58+H58+I58)*$J$3</f>
        <v/>
      </c>
      <c r="K58" s="140">
        <f>(G58+H58+I58+J58)*$K$3</f>
        <v/>
      </c>
      <c r="L58" s="140">
        <f>G58+H58+I58+J58+K58</f>
        <v/>
      </c>
      <c r="M58" s="140">
        <f>F58*L58</f>
        <v/>
      </c>
      <c r="N58" s="101" t="n"/>
      <c r="O58" s="105">
        <f>P58*(1+Q58)+R58+S58+T58</f>
        <v/>
      </c>
      <c r="P58" s="111">
        <f>'架空层安装工程'!P22</f>
        <v/>
      </c>
      <c r="Q58" s="32">
        <f>'架空层安装工程'!Q22</f>
        <v/>
      </c>
      <c r="R58" s="111">
        <f>'架空层安装工程'!R22</f>
        <v/>
      </c>
      <c r="S58" s="112">
        <f>'架空层安装工程'!S22</f>
        <v/>
      </c>
      <c r="T58" s="107">
        <f>'架空层安装工程'!T22</f>
        <v/>
      </c>
      <c r="U58" s="105">
        <f>F58*O58</f>
        <v/>
      </c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</row>
    <row r="59" outlineLevel="2" ht="60" customFormat="1" customHeight="1" s="5">
      <c r="A59" s="113" t="n">
        <v>51</v>
      </c>
      <c r="B59" s="136" t="n">
        <v>30412004006</v>
      </c>
      <c r="C59" s="136" t="inlineStr">
        <is>
          <t>配线</t>
        </is>
      </c>
      <c r="D59" s="136" t="inlineStr">
        <is>
          <t>1.名称：电气配线
2.型号规格：WDZC-BYJ-6
3.安装方式：线槽配线
4.其他：包括但不限于满足图纸、招标文件、规范及验收要求等一切相关费用</t>
        </is>
      </c>
      <c r="E59" s="113" t="inlineStr">
        <is>
          <t>m</t>
        </is>
      </c>
      <c r="F59" s="114" t="n">
        <v>140.84</v>
      </c>
      <c r="G59" s="137">
        <f>R59*$R$3</f>
        <v/>
      </c>
      <c r="H59" s="138">
        <f>P59*(1+Q59)*$P$3+S59*$S$3</f>
        <v/>
      </c>
      <c r="I59" s="138">
        <f>T59*$T$3</f>
        <v/>
      </c>
      <c r="J59" s="138">
        <f>(G59+H59+I59)*$J$3</f>
        <v/>
      </c>
      <c r="K59" s="138">
        <f>(G59+H59+I59+J59)*$K$3</f>
        <v/>
      </c>
      <c r="L59" s="138">
        <f>G59+H59+I59+J59+K59</f>
        <v/>
      </c>
      <c r="M59" s="138">
        <f>F59*L59</f>
        <v/>
      </c>
      <c r="N59" s="118" t="n"/>
      <c r="O59" s="114">
        <f>P59*(1+Q59)+R59+S59+T59</f>
        <v/>
      </c>
      <c r="P59" s="119" t="n">
        <v>37.8</v>
      </c>
      <c r="Q59" s="120" t="n">
        <v>0.02</v>
      </c>
      <c r="R59" s="119" t="n">
        <v>21.8</v>
      </c>
      <c r="S59" s="121" t="n">
        <v>0.91</v>
      </c>
      <c r="T59" s="122" t="n">
        <v>0.22</v>
      </c>
      <c r="U59" s="114">
        <f>F59*O59</f>
        <v/>
      </c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</row>
    <row r="60" outlineLevel="2" ht="60" customFormat="1" customHeight="1" s="5">
      <c r="A60" s="27" t="n">
        <v>52</v>
      </c>
      <c r="B60" s="28" t="n">
        <v>30412004007</v>
      </c>
      <c r="C60" s="28" t="inlineStr">
        <is>
          <t>配线</t>
        </is>
      </c>
      <c r="D60" s="28" t="inlineStr">
        <is>
          <t>1.名称：电气配线
2.型号规格：RVS-4*1.0
3.安装方式：管内穿线
4.其他：包括但不限于满足图纸、招标文件、规范及验收要求等一切相关费用</t>
        </is>
      </c>
      <c r="E60" s="27" t="inlineStr">
        <is>
          <t>m</t>
        </is>
      </c>
      <c r="F60" s="105" t="n">
        <v>581.65</v>
      </c>
      <c r="G60" s="139">
        <f>R60*$R$3</f>
        <v/>
      </c>
      <c r="H60" s="140">
        <f>P60*(1+Q60)*$P$3+S60*$S$3</f>
        <v/>
      </c>
      <c r="I60" s="140">
        <f>T60*$T$3</f>
        <v/>
      </c>
      <c r="J60" s="140">
        <f>(G60+H60+I60)*$J$3</f>
        <v/>
      </c>
      <c r="K60" s="140">
        <f>(G60+H60+I60+J60)*$K$3</f>
        <v/>
      </c>
      <c r="L60" s="140">
        <f>G60+H60+I60+J60+K60</f>
        <v/>
      </c>
      <c r="M60" s="140">
        <f>F60*L60</f>
        <v/>
      </c>
      <c r="N60" s="101" t="n"/>
      <c r="O60" s="105">
        <f>P60*(1+Q60)+R60+S60+T60</f>
        <v/>
      </c>
      <c r="P60" s="111">
        <f>'架空层安装工程'!P23</f>
        <v/>
      </c>
      <c r="Q60" s="32">
        <f>'架空层安装工程'!Q23</f>
        <v/>
      </c>
      <c r="R60" s="111">
        <f>'架空层安装工程'!R23</f>
        <v/>
      </c>
      <c r="S60" s="112">
        <f>'架空层安装工程'!S23</f>
        <v/>
      </c>
      <c r="T60" s="107">
        <f>'架空层安装工程'!T23</f>
        <v/>
      </c>
      <c r="U60" s="105">
        <f>F60*O60</f>
        <v/>
      </c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</row>
    <row r="61" customFormat="1" s="5">
      <c r="A61" s="27" t="inlineStr"/>
      <c r="B61" s="28" t="inlineStr"/>
      <c r="C61" s="28" t="inlineStr">
        <is>
          <t>给排水工程</t>
        </is>
      </c>
      <c r="D61" s="28" t="inlineStr"/>
      <c r="E61" s="27" t="inlineStr"/>
      <c r="F61" s="105" t="inlineStr"/>
      <c r="G61" s="135" t="n"/>
      <c r="H61" s="135" t="n"/>
      <c r="I61" s="135" t="n"/>
      <c r="J61" s="135" t="n"/>
      <c r="K61" s="135" t="n"/>
      <c r="L61" s="135" t="n"/>
      <c r="M61" s="135" t="n"/>
      <c r="N61" s="135" t="n"/>
      <c r="O61" s="135" t="n"/>
      <c r="P61" s="135" t="n"/>
      <c r="Q61" s="55" t="n"/>
      <c r="R61" s="135" t="n"/>
      <c r="S61" s="135" t="n"/>
      <c r="T61" s="135" t="n"/>
      <c r="U61" s="135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</row>
    <row r="62" outlineLevel="1" customFormat="1" s="5">
      <c r="A62" s="27" t="inlineStr"/>
      <c r="B62" s="28" t="inlineStr"/>
      <c r="C62" s="28" t="inlineStr">
        <is>
          <t>给排水管</t>
        </is>
      </c>
      <c r="D62" s="28" t="inlineStr"/>
      <c r="E62" s="27" t="inlineStr"/>
      <c r="F62" s="105" t="inlineStr"/>
      <c r="G62" s="135" t="n"/>
      <c r="H62" s="135" t="n"/>
      <c r="I62" s="135" t="n"/>
      <c r="J62" s="135" t="n"/>
      <c r="K62" s="135" t="n"/>
      <c r="L62" s="135" t="n"/>
      <c r="M62" s="135" t="n"/>
      <c r="N62" s="135" t="n"/>
      <c r="O62" s="135" t="n"/>
      <c r="P62" s="135" t="n"/>
      <c r="Q62" s="55" t="n"/>
      <c r="R62" s="135" t="n"/>
      <c r="S62" s="135" t="n"/>
      <c r="T62" s="135" t="n"/>
      <c r="U62" s="135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</row>
    <row r="63" outlineLevel="2" ht="84" customFormat="1" customHeight="1" s="5">
      <c r="A63" s="113" t="n">
        <v>53</v>
      </c>
      <c r="B63" s="136" t="n">
        <v>31001008001</v>
      </c>
      <c r="C63" s="136" t="inlineStr">
        <is>
          <t>冷水 PPR管</t>
        </is>
      </c>
      <c r="D63" s="136" t="inlineStr">
        <is>
          <t>1.名称：冷水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E63" s="113" t="inlineStr">
        <is>
          <t>m</t>
        </is>
      </c>
      <c r="F63" s="114" t="n">
        <v>108.55</v>
      </c>
      <c r="G63" s="137">
        <f>R63*$R$3</f>
        <v/>
      </c>
      <c r="H63" s="138">
        <f>P63*(1+Q63)*$P$3+S63*$S$3</f>
        <v/>
      </c>
      <c r="I63" s="138">
        <f>T63*$T$3</f>
        <v/>
      </c>
      <c r="J63" s="138">
        <f>(G63+H63+I63)*$J$3</f>
        <v/>
      </c>
      <c r="K63" s="138">
        <f>(G63+H63+I63+J63)*$K$3</f>
        <v/>
      </c>
      <c r="L63" s="138">
        <f>G63+H63+I63+J63+K63</f>
        <v/>
      </c>
      <c r="M63" s="138">
        <f>F63*L63</f>
        <v/>
      </c>
      <c r="N63" s="118" t="n"/>
      <c r="O63" s="114">
        <f>P63*(1+Q63)+R63+S63+T63</f>
        <v/>
      </c>
      <c r="P63" s="119" t="n">
        <v>3.2</v>
      </c>
      <c r="Q63" s="120" t="n">
        <v>0</v>
      </c>
      <c r="R63" s="119" t="n">
        <v>20</v>
      </c>
      <c r="S63" s="121" t="n">
        <v>0.77</v>
      </c>
      <c r="T63" s="122" t="n">
        <v>0.13</v>
      </c>
      <c r="U63" s="114">
        <f>F63*O63</f>
        <v/>
      </c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</row>
    <row r="64" outlineLevel="2" ht="84" customFormat="1" customHeight="1" s="5">
      <c r="A64" s="113" t="n">
        <v>54</v>
      </c>
      <c r="B64" s="136" t="n">
        <v>31001008002</v>
      </c>
      <c r="C64" s="136" t="inlineStr">
        <is>
          <t>冷水 PPR管</t>
        </is>
      </c>
      <c r="D64" s="136" t="inlineStr">
        <is>
          <t>1.名称：冷水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E64" s="113" t="inlineStr">
        <is>
          <t>m</t>
        </is>
      </c>
      <c r="F64" s="114" t="n">
        <v>24.67</v>
      </c>
      <c r="G64" s="137">
        <f>R64*$R$3</f>
        <v/>
      </c>
      <c r="H64" s="138">
        <f>P64*(1+Q64)*$P$3+S64*$S$3</f>
        <v/>
      </c>
      <c r="I64" s="138">
        <f>T64*$T$3</f>
        <v/>
      </c>
      <c r="J64" s="138">
        <f>(G64+H64+I64)*$J$3</f>
        <v/>
      </c>
      <c r="K64" s="138">
        <f>(G64+H64+I64+J64)*$K$3</f>
        <v/>
      </c>
      <c r="L64" s="138">
        <f>G64+H64+I64+J64+K64</f>
        <v/>
      </c>
      <c r="M64" s="138">
        <f>F64*L64</f>
        <v/>
      </c>
      <c r="N64" s="118" t="n"/>
      <c r="O64" s="114">
        <f>P64*(1+Q64)+R64+S64+T64</f>
        <v/>
      </c>
      <c r="P64" s="119" t="n">
        <v>4.5</v>
      </c>
      <c r="Q64" s="120" t="n">
        <v>0</v>
      </c>
      <c r="R64" s="119" t="n">
        <v>18</v>
      </c>
      <c r="S64" s="121" t="n">
        <v>0.26</v>
      </c>
      <c r="T64" s="122" t="n">
        <v>0.04</v>
      </c>
      <c r="U64" s="114">
        <f>F64*O64</f>
        <v/>
      </c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</row>
    <row r="65" outlineLevel="2" ht="84" customFormat="1" customHeight="1" s="5">
      <c r="A65" s="113" t="n">
        <v>55</v>
      </c>
      <c r="B65" s="136" t="n">
        <v>31001008003</v>
      </c>
      <c r="C65" s="136" t="inlineStr">
        <is>
          <t>冷水 PPR管</t>
        </is>
      </c>
      <c r="D65" s="136" t="inlineStr">
        <is>
          <t>1.名称：冷水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E65" s="113" t="inlineStr">
        <is>
          <t>m</t>
        </is>
      </c>
      <c r="F65" s="114" t="n">
        <v>21.64</v>
      </c>
      <c r="G65" s="137">
        <f>R65*$R$3</f>
        <v/>
      </c>
      <c r="H65" s="138">
        <f>P65*(1+Q65)*$P$3+S65*$S$3</f>
        <v/>
      </c>
      <c r="I65" s="138">
        <f>T65*$T$3</f>
        <v/>
      </c>
      <c r="J65" s="138">
        <f>(G65+H65+I65)*$J$3</f>
        <v/>
      </c>
      <c r="K65" s="138">
        <f>(G65+H65+I65+J65)*$K$3</f>
        <v/>
      </c>
      <c r="L65" s="138">
        <f>G65+H65+I65+J65+K65</f>
        <v/>
      </c>
      <c r="M65" s="138">
        <f>F65*L65</f>
        <v/>
      </c>
      <c r="N65" s="118" t="n"/>
      <c r="O65" s="114">
        <f>P65*(1+Q65)+R65+S65+T65</f>
        <v/>
      </c>
      <c r="P65" s="119" t="n">
        <v>8.5</v>
      </c>
      <c r="Q65" s="120" t="n">
        <v>0</v>
      </c>
      <c r="R65" s="119" t="n">
        <v>22.09</v>
      </c>
      <c r="S65" s="121" t="n">
        <v>0.26</v>
      </c>
      <c r="T65" s="122" t="n">
        <v>0.04</v>
      </c>
      <c r="U65" s="114">
        <f>F65*O65</f>
        <v/>
      </c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</row>
    <row r="66" outlineLevel="2" ht="84" customFormat="1" customHeight="1" s="5">
      <c r="A66" s="113" t="n">
        <v>56</v>
      </c>
      <c r="B66" s="136" t="n">
        <v>31001008004</v>
      </c>
      <c r="C66" s="136" t="inlineStr">
        <is>
          <t>冷水 PPR管</t>
        </is>
      </c>
      <c r="D66" s="136" t="inlineStr">
        <is>
          <t>1.名称：冷水 PPR管
2.规格：DN32
3.连接方式：热熔连接
4.压力试验及吹、洗要求：水压试验、水冲洗、消毒冲洗、管道标识等
5.其他：包括但不限于满足图纸、招标文件、规范及验收要求等一切相关费用</t>
        </is>
      </c>
      <c r="E66" s="113" t="inlineStr">
        <is>
          <t>m</t>
        </is>
      </c>
      <c r="F66" s="114" t="n">
        <v>16.52</v>
      </c>
      <c r="G66" s="137">
        <f>R66*$R$3</f>
        <v/>
      </c>
      <c r="H66" s="138">
        <f>P66*(1+Q66)*$P$3+S66*$S$3</f>
        <v/>
      </c>
      <c r="I66" s="138">
        <f>T66*$T$3</f>
        <v/>
      </c>
      <c r="J66" s="138">
        <f>(G66+H66+I66)*$J$3</f>
        <v/>
      </c>
      <c r="K66" s="138">
        <f>(G66+H66+I66+J66)*$K$3</f>
        <v/>
      </c>
      <c r="L66" s="138">
        <f>G66+H66+I66+J66+K66</f>
        <v/>
      </c>
      <c r="M66" s="138">
        <f>F66*L66</f>
        <v/>
      </c>
      <c r="N66" s="118" t="n"/>
      <c r="O66" s="114">
        <f>P66*(1+Q66)+R66+S66+T66</f>
        <v/>
      </c>
      <c r="P66" s="119" t="n">
        <v>11.59</v>
      </c>
      <c r="Q66" s="120" t="n">
        <v>0</v>
      </c>
      <c r="R66" s="119" t="n">
        <v>23.68</v>
      </c>
      <c r="S66" s="121" t="n">
        <v>0.27</v>
      </c>
      <c r="T66" s="122" t="n">
        <v>0.05</v>
      </c>
      <c r="U66" s="114">
        <f>F66*O66</f>
        <v/>
      </c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</row>
    <row r="67" outlineLevel="2" ht="84" customFormat="1" customHeight="1" s="5">
      <c r="A67" s="113" t="n">
        <v>57</v>
      </c>
      <c r="B67" s="136" t="n">
        <v>31001008005</v>
      </c>
      <c r="C67" s="136" t="inlineStr">
        <is>
          <t>热水 PPR管</t>
        </is>
      </c>
      <c r="D67" s="136" t="inlineStr">
        <is>
          <t>1.名称：热水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E67" s="113" t="inlineStr">
        <is>
          <t>m</t>
        </is>
      </c>
      <c r="F67" s="114" t="n">
        <v>27.1</v>
      </c>
      <c r="G67" s="137">
        <f>R67*$R$3</f>
        <v/>
      </c>
      <c r="H67" s="138">
        <f>P67*(1+Q67)*$P$3+S67*$S$3</f>
        <v/>
      </c>
      <c r="I67" s="138">
        <f>T67*$T$3</f>
        <v/>
      </c>
      <c r="J67" s="138">
        <f>(G67+H67+I67)*$J$3</f>
        <v/>
      </c>
      <c r="K67" s="138">
        <f>(G67+H67+I67+J67)*$K$3</f>
        <v/>
      </c>
      <c r="L67" s="138">
        <f>G67+H67+I67+J67+K67</f>
        <v/>
      </c>
      <c r="M67" s="138">
        <f>F67*L67</f>
        <v/>
      </c>
      <c r="N67" s="118" t="n"/>
      <c r="O67" s="114">
        <f>P67*(1+Q67)+R67+S67+T67</f>
        <v/>
      </c>
      <c r="P67" s="119" t="n">
        <v>3.2</v>
      </c>
      <c r="Q67" s="120" t="n">
        <v>0</v>
      </c>
      <c r="R67" s="119" t="n">
        <v>20</v>
      </c>
      <c r="S67" s="121" t="n">
        <v>0.77</v>
      </c>
      <c r="T67" s="122" t="n">
        <v>0.13</v>
      </c>
      <c r="U67" s="114">
        <f>F67*O67</f>
        <v/>
      </c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</row>
    <row r="68" outlineLevel="2" ht="84" customFormat="1" customHeight="1" s="5">
      <c r="A68" s="113" t="n">
        <v>58</v>
      </c>
      <c r="B68" s="136" t="n">
        <v>31001008006</v>
      </c>
      <c r="C68" s="136" t="inlineStr">
        <is>
          <t>热水 PPR管</t>
        </is>
      </c>
      <c r="D68" s="136" t="inlineStr">
        <is>
          <t>1.名称：热水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E68" s="113" t="inlineStr">
        <is>
          <t>m</t>
        </is>
      </c>
      <c r="F68" s="114" t="n">
        <v>23.43</v>
      </c>
      <c r="G68" s="137">
        <f>R68*$R$3</f>
        <v/>
      </c>
      <c r="H68" s="138">
        <f>P68*(1+Q68)*$P$3+S68*$S$3</f>
        <v/>
      </c>
      <c r="I68" s="138">
        <f>T68*$T$3</f>
        <v/>
      </c>
      <c r="J68" s="138">
        <f>(G68+H68+I68)*$J$3</f>
        <v/>
      </c>
      <c r="K68" s="138">
        <f>(G68+H68+I68+J68)*$K$3</f>
        <v/>
      </c>
      <c r="L68" s="138">
        <f>G68+H68+I68+J68+K68</f>
        <v/>
      </c>
      <c r="M68" s="138">
        <f>F68*L68</f>
        <v/>
      </c>
      <c r="N68" s="118" t="n"/>
      <c r="O68" s="114">
        <f>P68*(1+Q68)+R68+S68+T68</f>
        <v/>
      </c>
      <c r="P68" s="119" t="n">
        <v>4.5</v>
      </c>
      <c r="Q68" s="120" t="n">
        <v>0</v>
      </c>
      <c r="R68" s="119" t="n">
        <v>18</v>
      </c>
      <c r="S68" s="121" t="n">
        <v>0.26</v>
      </c>
      <c r="T68" s="122" t="n">
        <v>0.04</v>
      </c>
      <c r="U68" s="114">
        <f>F68*O68</f>
        <v/>
      </c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</row>
    <row r="69" outlineLevel="2" ht="84" customFormat="1" customHeight="1" s="5">
      <c r="A69" s="113" t="n">
        <v>59</v>
      </c>
      <c r="B69" s="136" t="n">
        <v>31001008007</v>
      </c>
      <c r="C69" s="136" t="inlineStr">
        <is>
          <t>热水 PPR管</t>
        </is>
      </c>
      <c r="D69" s="136" t="inlineStr">
        <is>
          <t>1.名称：热水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E69" s="113" t="inlineStr">
        <is>
          <t>m</t>
        </is>
      </c>
      <c r="F69" s="114" t="n">
        <v>14.1</v>
      </c>
      <c r="G69" s="137">
        <f>R69*$R$3</f>
        <v/>
      </c>
      <c r="H69" s="138">
        <f>P69*(1+Q69)*$P$3+S69*$S$3</f>
        <v/>
      </c>
      <c r="I69" s="138">
        <f>T69*$T$3</f>
        <v/>
      </c>
      <c r="J69" s="138">
        <f>(G69+H69+I69)*$J$3</f>
        <v/>
      </c>
      <c r="K69" s="138">
        <f>(G69+H69+I69+J69)*$K$3</f>
        <v/>
      </c>
      <c r="L69" s="138">
        <f>G69+H69+I69+J69+K69</f>
        <v/>
      </c>
      <c r="M69" s="138">
        <f>F69*L69</f>
        <v/>
      </c>
      <c r="N69" s="118" t="n"/>
      <c r="O69" s="114">
        <f>P69*(1+Q69)+R69+S69+T69</f>
        <v/>
      </c>
      <c r="P69" s="119" t="n">
        <v>8.5</v>
      </c>
      <c r="Q69" s="120" t="n">
        <v>0</v>
      </c>
      <c r="R69" s="119" t="n">
        <v>22.09</v>
      </c>
      <c r="S69" s="121" t="n">
        <v>0.26</v>
      </c>
      <c r="T69" s="122" t="n">
        <v>0.04</v>
      </c>
      <c r="U69" s="114">
        <f>F69*O69</f>
        <v/>
      </c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</row>
    <row r="70" outlineLevel="2" ht="60" customFormat="1" customHeight="1" s="5">
      <c r="A70" s="27" t="n">
        <v>60</v>
      </c>
      <c r="B70" s="28" t="n">
        <v>31301001002</v>
      </c>
      <c r="C70" s="28" t="inlineStr">
        <is>
          <t>凿槽及修复</t>
        </is>
      </c>
      <c r="D70" s="28" t="inlineStr">
        <is>
          <t>1.名称：凿槽及修复
2.规格：70*70
3.部位：砖、混凝土结构综合考虑
4.其他：包括但不限于满足图纸、招标文件、规范及验收要求等一切相关费用</t>
        </is>
      </c>
      <c r="E70" s="27" t="inlineStr">
        <is>
          <t>m</t>
        </is>
      </c>
      <c r="F70" s="105" t="n">
        <v>51.2</v>
      </c>
      <c r="G70" s="139">
        <f>R70*$R$3</f>
        <v/>
      </c>
      <c r="H70" s="140">
        <f>P70*(1+Q70)*$P$3+S70*$S$3</f>
        <v/>
      </c>
      <c r="I70" s="140">
        <f>T70*$T$3</f>
        <v/>
      </c>
      <c r="J70" s="140">
        <f>(G70+H70+I70)*$J$3</f>
        <v/>
      </c>
      <c r="K70" s="140">
        <f>(G70+H70+I70+J70)*$K$3</f>
        <v/>
      </c>
      <c r="L70" s="140">
        <f>G70+H70+I70+J70+K70</f>
        <v/>
      </c>
      <c r="M70" s="140">
        <f>F70*L70</f>
        <v/>
      </c>
      <c r="N70" s="101" t="n"/>
      <c r="O70" s="105">
        <f>P70*(1+Q70)+R70+S70+T70</f>
        <v/>
      </c>
      <c r="P70" s="111">
        <f>P50</f>
        <v/>
      </c>
      <c r="Q70" s="32">
        <f>Q50</f>
        <v/>
      </c>
      <c r="R70" s="111">
        <f>R50</f>
        <v/>
      </c>
      <c r="S70" s="112">
        <f>S50</f>
        <v/>
      </c>
      <c r="T70" s="107">
        <f>T50</f>
        <v/>
      </c>
      <c r="U70" s="105">
        <f>F70*O70</f>
        <v/>
      </c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</row>
    <row r="71" outlineLevel="2" ht="84" customFormat="1" customHeight="1" s="5">
      <c r="A71" s="27" t="n">
        <v>61</v>
      </c>
      <c r="B71" s="28" t="n">
        <v>31001008008</v>
      </c>
      <c r="C71" s="28" t="inlineStr">
        <is>
          <t>UPVC排水管</t>
        </is>
      </c>
      <c r="D7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71" s="27" t="inlineStr">
        <is>
          <t>m</t>
        </is>
      </c>
      <c r="F71" s="105" t="n">
        <v>18.49</v>
      </c>
      <c r="G71" s="139">
        <f>R71*$R$3</f>
        <v/>
      </c>
      <c r="H71" s="140">
        <f>P71*(1+Q71)*$P$3+S71*$S$3</f>
        <v/>
      </c>
      <c r="I71" s="140">
        <f>T71*$T$3</f>
        <v/>
      </c>
      <c r="J71" s="140">
        <f>(G71+H71+I71)*$J$3</f>
        <v/>
      </c>
      <c r="K71" s="140">
        <f>(G71+H71+I71+J71)*$K$3</f>
        <v/>
      </c>
      <c r="L71" s="140">
        <f>G71+H71+I71+J71+K71</f>
        <v/>
      </c>
      <c r="M71" s="140">
        <f>F71*L71</f>
        <v/>
      </c>
      <c r="N71" s="101" t="n"/>
      <c r="O71" s="105">
        <f>P71*(1+Q71)+R71+S71+T71</f>
        <v/>
      </c>
      <c r="P71" s="111">
        <f>'样板房安装工程'!P46</f>
        <v/>
      </c>
      <c r="Q71" s="32">
        <f>'样板房安装工程'!Q46</f>
        <v/>
      </c>
      <c r="R71" s="111">
        <f>'样板房安装工程'!R46</f>
        <v/>
      </c>
      <c r="S71" s="112">
        <f>'样板房安装工程'!S46</f>
        <v/>
      </c>
      <c r="T71" s="107">
        <f>'样板房安装工程'!T46</f>
        <v/>
      </c>
      <c r="U71" s="105">
        <f>F71*O71</f>
        <v/>
      </c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</row>
    <row r="72" outlineLevel="2" ht="84" customFormat="1" customHeight="1" s="5">
      <c r="A72" s="27" t="n">
        <v>62</v>
      </c>
      <c r="B72" s="28" t="n">
        <v>31001008009</v>
      </c>
      <c r="C72" s="28" t="inlineStr">
        <is>
          <t>UPVC排水管</t>
        </is>
      </c>
      <c r="D7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72" s="27" t="inlineStr">
        <is>
          <t>m</t>
        </is>
      </c>
      <c r="F72" s="105" t="n">
        <v>41.77</v>
      </c>
      <c r="G72" s="139">
        <f>R72*$R$3</f>
        <v/>
      </c>
      <c r="H72" s="140">
        <f>P72*(1+Q72)*$P$3+S72*$S$3</f>
        <v/>
      </c>
      <c r="I72" s="140">
        <f>T72*$T$3</f>
        <v/>
      </c>
      <c r="J72" s="140">
        <f>(G72+H72+I72)*$J$3</f>
        <v/>
      </c>
      <c r="K72" s="140">
        <f>(G72+H72+I72+J72)*$K$3</f>
        <v/>
      </c>
      <c r="L72" s="140">
        <f>G72+H72+I72+J72+K72</f>
        <v/>
      </c>
      <c r="M72" s="140">
        <f>F72*L72</f>
        <v/>
      </c>
      <c r="N72" s="101" t="n"/>
      <c r="O72" s="105">
        <f>P72*(1+Q72)+R72+S72+T72</f>
        <v/>
      </c>
      <c r="P72" s="111">
        <f>'样板房安装工程'!P47</f>
        <v/>
      </c>
      <c r="Q72" s="32">
        <f>'样板房安装工程'!Q47</f>
        <v/>
      </c>
      <c r="R72" s="111">
        <f>'样板房安装工程'!R47</f>
        <v/>
      </c>
      <c r="S72" s="112">
        <f>'样板房安装工程'!S47</f>
        <v/>
      </c>
      <c r="T72" s="107">
        <f>'样板房安装工程'!T47</f>
        <v/>
      </c>
      <c r="U72" s="105">
        <f>F72*O72</f>
        <v/>
      </c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</row>
    <row r="73" outlineLevel="2" ht="84" customFormat="1" customHeight="1" s="5">
      <c r="A73" s="27" t="n">
        <v>63</v>
      </c>
      <c r="B73" s="28" t="n">
        <v>31001008010</v>
      </c>
      <c r="C73" s="28" t="inlineStr">
        <is>
          <t>UPVC排水管</t>
        </is>
      </c>
      <c r="D7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73" s="27" t="inlineStr">
        <is>
          <t>m</t>
        </is>
      </c>
      <c r="F73" s="105" t="n">
        <v>31.35</v>
      </c>
      <c r="G73" s="139">
        <f>R73*$R$3</f>
        <v/>
      </c>
      <c r="H73" s="140">
        <f>P73*(1+Q73)*$P$3+S73*$S$3</f>
        <v/>
      </c>
      <c r="I73" s="140">
        <f>T73*$T$3</f>
        <v/>
      </c>
      <c r="J73" s="140">
        <f>(G73+H73+I73)*$J$3</f>
        <v/>
      </c>
      <c r="K73" s="140">
        <f>(G73+H73+I73+J73)*$K$3</f>
        <v/>
      </c>
      <c r="L73" s="140">
        <f>G73+H73+I73+J73+K73</f>
        <v/>
      </c>
      <c r="M73" s="140">
        <f>F73*L73</f>
        <v/>
      </c>
      <c r="N73" s="101" t="n"/>
      <c r="O73" s="105">
        <f>P73*(1+Q73)+R73+S73+T73</f>
        <v/>
      </c>
      <c r="P73" s="111">
        <f>'样板房安装工程'!P48</f>
        <v/>
      </c>
      <c r="Q73" s="32">
        <f>'样板房安装工程'!Q48</f>
        <v/>
      </c>
      <c r="R73" s="111">
        <f>'样板房安装工程'!R48</f>
        <v/>
      </c>
      <c r="S73" s="112">
        <f>'样板房安装工程'!S48</f>
        <v/>
      </c>
      <c r="T73" s="107">
        <f>'样板房安装工程'!T48</f>
        <v/>
      </c>
      <c r="U73" s="105">
        <f>F73*O73</f>
        <v/>
      </c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</row>
    <row r="74" outlineLevel="1" customFormat="1" s="5">
      <c r="A74" s="27" t="inlineStr"/>
      <c r="B74" s="28" t="inlineStr"/>
      <c r="C74" s="28" t="inlineStr">
        <is>
          <t>洁具五金</t>
        </is>
      </c>
      <c r="D74" s="28" t="inlineStr"/>
      <c r="E74" s="27" t="inlineStr"/>
      <c r="F74" s="105" t="inlineStr"/>
      <c r="G74" s="135" t="n"/>
      <c r="H74" s="135" t="n"/>
      <c r="I74" s="135" t="n"/>
      <c r="J74" s="135" t="n"/>
      <c r="K74" s="135" t="n"/>
      <c r="L74" s="135" t="n"/>
      <c r="M74" s="135" t="n"/>
      <c r="N74" s="135" t="n"/>
      <c r="O74" s="135" t="n"/>
      <c r="P74" s="135" t="n"/>
      <c r="Q74" s="55" t="n"/>
      <c r="R74" s="135" t="n"/>
      <c r="S74" s="135" t="n"/>
      <c r="T74" s="135" t="n"/>
      <c r="U74" s="135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</row>
    <row r="75" outlineLevel="2" ht="48" customFormat="1" customHeight="1" s="5">
      <c r="A75" s="113" t="n">
        <v>64</v>
      </c>
      <c r="B75" s="136" t="n">
        <v>31003006001</v>
      </c>
      <c r="C75" s="136" t="inlineStr">
        <is>
          <t>轻智能马桶</t>
        </is>
      </c>
      <c r="D75" s="136" t="inlineStr">
        <is>
          <t>1.名称：轻智能马桶
2.型号规格：详见物料表
3.其他：包括但不限于满足图纸、招标文件、规范及验收要求等一切相关费用</t>
        </is>
      </c>
      <c r="E75" s="113" t="inlineStr">
        <is>
          <t>组</t>
        </is>
      </c>
      <c r="F75" s="114" t="n">
        <v>7</v>
      </c>
      <c r="G75" s="137">
        <f>R75*$R$3</f>
        <v/>
      </c>
      <c r="H75" s="138">
        <f>P75*(1+Q75)*$P$3+S75*$S$3</f>
        <v/>
      </c>
      <c r="I75" s="138">
        <f>T75*$T$3</f>
        <v/>
      </c>
      <c r="J75" s="138">
        <f>(G75+H75+I75)*$J$3</f>
        <v/>
      </c>
      <c r="K75" s="138">
        <f>(G75+H75+I75+J75)*$K$3</f>
        <v/>
      </c>
      <c r="L75" s="138">
        <f>G75+H75+I75+J75+K75</f>
        <v/>
      </c>
      <c r="M75" s="138">
        <f>F75*L75</f>
        <v/>
      </c>
      <c r="N75" s="118" t="n"/>
      <c r="O75" s="114">
        <f>P75*(1+Q75)+R75+S75+T75</f>
        <v/>
      </c>
      <c r="P75" s="119" t="n">
        <v>0</v>
      </c>
      <c r="Q75" s="120" t="n">
        <v>0</v>
      </c>
      <c r="R75" s="119" t="n">
        <v>100</v>
      </c>
      <c r="S75" s="121" t="n">
        <v>120</v>
      </c>
      <c r="T75" s="122" t="n">
        <v>0</v>
      </c>
      <c r="U75" s="114">
        <f>F75*O75</f>
        <v/>
      </c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</row>
    <row r="76" outlineLevel="2" ht="48" customFormat="1" customHeight="1" s="5">
      <c r="A76" s="113" t="n">
        <v>65</v>
      </c>
      <c r="B76" s="136" t="n">
        <v>31003007001</v>
      </c>
      <c r="C76" s="136" t="inlineStr">
        <is>
          <t>挂墙式自动感应小便器</t>
        </is>
      </c>
      <c r="D76" s="136" t="inlineStr">
        <is>
          <t>1.名称：挂墙式自动感应小便器
2.型号规格：详见物料表
3.其他：包括但不限于满足图纸、招标文件、规范及验收要求等一切相关费用</t>
        </is>
      </c>
      <c r="E76" s="113" t="inlineStr">
        <is>
          <t>组</t>
        </is>
      </c>
      <c r="F76" s="114" t="n">
        <v>3</v>
      </c>
      <c r="G76" s="137">
        <f>R76*$R$3</f>
        <v/>
      </c>
      <c r="H76" s="138">
        <f>P76*(1+Q76)*$P$3+S76*$S$3</f>
        <v/>
      </c>
      <c r="I76" s="138">
        <f>T76*$T$3</f>
        <v/>
      </c>
      <c r="J76" s="138">
        <f>(G76+H76+I76)*$J$3</f>
        <v/>
      </c>
      <c r="K76" s="138">
        <f>(G76+H76+I76+J76)*$K$3</f>
        <v/>
      </c>
      <c r="L76" s="138">
        <f>G76+H76+I76+J76+K76</f>
        <v/>
      </c>
      <c r="M76" s="138">
        <f>F76*L76</f>
        <v/>
      </c>
      <c r="N76" s="118" t="n"/>
      <c r="O76" s="114">
        <f>P76*(1+Q76)+R76+S76+T76</f>
        <v/>
      </c>
      <c r="P76" s="119" t="n">
        <v>480</v>
      </c>
      <c r="Q76" s="120" t="n">
        <v>0</v>
      </c>
      <c r="R76" s="119" t="n">
        <v>85</v>
      </c>
      <c r="S76" s="121" t="n">
        <v>35</v>
      </c>
      <c r="T76" s="122" t="n">
        <v>0</v>
      </c>
      <c r="U76" s="114">
        <f>F76*O76</f>
        <v/>
      </c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</row>
    <row r="77" outlineLevel="2" ht="48" customFormat="1" customHeight="1" s="5">
      <c r="A77" s="113" t="n">
        <v>66</v>
      </c>
      <c r="B77" s="136" t="n">
        <v>31003010001</v>
      </c>
      <c r="C77" s="136" t="inlineStr">
        <is>
          <t>淋浴器</t>
        </is>
      </c>
      <c r="D77" s="136" t="inlineStr">
        <is>
          <t>1.名称：淋浴花洒
2.型号规格：详见物料表
3.其他：包括但不限于满足图纸、招标文件、规范及验收要求等一切相关费用</t>
        </is>
      </c>
      <c r="E77" s="113" t="inlineStr">
        <is>
          <t>套</t>
        </is>
      </c>
      <c r="F77" s="114" t="n">
        <v>2</v>
      </c>
      <c r="G77" s="137">
        <f>R77*$R$3</f>
        <v/>
      </c>
      <c r="H77" s="138">
        <f>P77*(1+Q77)*$P$3+S77*$S$3</f>
        <v/>
      </c>
      <c r="I77" s="138">
        <f>T77*$T$3</f>
        <v/>
      </c>
      <c r="J77" s="138">
        <f>(G77+H77+I77)*$J$3</f>
        <v/>
      </c>
      <c r="K77" s="138">
        <f>(G77+H77+I77+J77)*$K$3</f>
        <v/>
      </c>
      <c r="L77" s="138">
        <f>G77+H77+I77+J77+K77</f>
        <v/>
      </c>
      <c r="M77" s="138">
        <f>F77*L77</f>
        <v/>
      </c>
      <c r="N77" s="118" t="n"/>
      <c r="O77" s="114">
        <f>P77*(1+Q77)+R77+S77+T77</f>
        <v/>
      </c>
      <c r="P77" s="119" t="n">
        <v>1100</v>
      </c>
      <c r="Q77" s="120" t="n">
        <v>0</v>
      </c>
      <c r="R77" s="119" t="n">
        <v>90</v>
      </c>
      <c r="S77" s="121" t="n">
        <v>35</v>
      </c>
      <c r="T77" s="122" t="n">
        <v>0</v>
      </c>
      <c r="U77" s="114">
        <f>F77*O77</f>
        <v/>
      </c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</row>
    <row r="78" outlineLevel="2" ht="48" customFormat="1" customHeight="1" s="5">
      <c r="A78" s="113" t="n">
        <v>67</v>
      </c>
      <c r="B78" s="136" t="n">
        <v>31003008001</v>
      </c>
      <c r="C78" s="136" t="inlineStr">
        <is>
          <t>拖把池及龙头</t>
        </is>
      </c>
      <c r="D78" s="136" t="inlineStr">
        <is>
          <t>1.名称：拖把池及冷热龙头
2.型号规格：详见物料表
3.其他：包括但不限于满足图纸、招标文件、规范及验收要求等一切相关费用</t>
        </is>
      </c>
      <c r="E78" s="113" t="inlineStr">
        <is>
          <t>组</t>
        </is>
      </c>
      <c r="F78" s="114" t="n">
        <v>1</v>
      </c>
      <c r="G78" s="137">
        <f>R78*$R$3</f>
        <v/>
      </c>
      <c r="H78" s="138">
        <f>P78*(1+Q78)*$P$3+S78*$S$3</f>
        <v/>
      </c>
      <c r="I78" s="138">
        <f>T78*$T$3</f>
        <v/>
      </c>
      <c r="J78" s="138">
        <f>(G78+H78+I78)*$J$3</f>
        <v/>
      </c>
      <c r="K78" s="138">
        <f>(G78+H78+I78+J78)*$K$3</f>
        <v/>
      </c>
      <c r="L78" s="138">
        <f>G78+H78+I78+J78+K78</f>
        <v/>
      </c>
      <c r="M78" s="138">
        <f>F78*L78</f>
        <v/>
      </c>
      <c r="N78" s="118" t="n"/>
      <c r="O78" s="114">
        <f>P78*(1+Q78)+R78+S78+T78</f>
        <v/>
      </c>
      <c r="P78" s="119" t="n">
        <v>350</v>
      </c>
      <c r="Q78" s="120" t="n">
        <v>0</v>
      </c>
      <c r="R78" s="119" t="n">
        <v>65</v>
      </c>
      <c r="S78" s="121" t="n">
        <v>25</v>
      </c>
      <c r="T78" s="122" t="n">
        <v>0</v>
      </c>
      <c r="U78" s="114">
        <f>F78*O78</f>
        <v/>
      </c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</row>
    <row r="79" outlineLevel="2" ht="48" customFormat="1" customHeight="1" s="5">
      <c r="A79" s="113" t="n">
        <v>68</v>
      </c>
      <c r="B79" s="136" t="n">
        <v>31003003001</v>
      </c>
      <c r="C79" s="136" t="inlineStr">
        <is>
          <t>台下盆及龙头</t>
        </is>
      </c>
      <c r="D79" s="136" t="inlineStr">
        <is>
          <t>1.名称：洗手盆及冷热龙头
2.型号规格：详见物料表
3.其他：包括但不限于满足图纸、招标文件、规范及验收要求等一切相关费用</t>
        </is>
      </c>
      <c r="E79" s="113" t="inlineStr">
        <is>
          <t>组</t>
        </is>
      </c>
      <c r="F79" s="114" t="n">
        <v>4</v>
      </c>
      <c r="G79" s="137">
        <f>R79*$R$3</f>
        <v/>
      </c>
      <c r="H79" s="138">
        <f>P79*(1+Q79)*$P$3+S79*$S$3</f>
        <v/>
      </c>
      <c r="I79" s="138">
        <f>T79*$T$3</f>
        <v/>
      </c>
      <c r="J79" s="138">
        <f>(G79+H79+I79)*$J$3</f>
        <v/>
      </c>
      <c r="K79" s="138">
        <f>(G79+H79+I79+J79)*$K$3</f>
        <v/>
      </c>
      <c r="L79" s="138">
        <f>G79+H79+I79+J79+K79</f>
        <v/>
      </c>
      <c r="M79" s="138">
        <f>F79*L79</f>
        <v/>
      </c>
      <c r="N79" s="118" t="n"/>
      <c r="O79" s="114">
        <f>P79*(1+Q79)+R79+S79+T79</f>
        <v/>
      </c>
      <c r="P79" s="119" t="n">
        <v>550</v>
      </c>
      <c r="Q79" s="120" t="n">
        <v>0</v>
      </c>
      <c r="R79" s="119" t="n">
        <v>90</v>
      </c>
      <c r="S79" s="121" t="n">
        <v>12</v>
      </c>
      <c r="T79" s="122" t="n">
        <v>0</v>
      </c>
      <c r="U79" s="114">
        <f>F79*O79</f>
        <v/>
      </c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</row>
    <row r="80" outlineLevel="2" ht="48" customFormat="1" customHeight="1" s="5">
      <c r="A80" s="113" t="n">
        <v>69</v>
      </c>
      <c r="B80" s="136" t="n">
        <v>31003004001</v>
      </c>
      <c r="C80" s="136" t="inlineStr">
        <is>
          <t>吧台水槽及龙头</t>
        </is>
      </c>
      <c r="D80" s="136" t="inlineStr">
        <is>
          <t>1.名称：吧台水槽及冷热龙头
2.型号规格：详见物料表
3.其他：包括但不限于满足图纸、招标文件、规范及验收要求等一切相关费用</t>
        </is>
      </c>
      <c r="E80" s="113" t="inlineStr">
        <is>
          <t>组</t>
        </is>
      </c>
      <c r="F80" s="114" t="n">
        <v>1</v>
      </c>
      <c r="G80" s="137">
        <f>R80*$R$3</f>
        <v/>
      </c>
      <c r="H80" s="138">
        <f>P80*(1+Q80)*$P$3+S80*$S$3</f>
        <v/>
      </c>
      <c r="I80" s="138">
        <f>T80*$T$3</f>
        <v/>
      </c>
      <c r="J80" s="138">
        <f>(G80+H80+I80)*$J$3</f>
        <v/>
      </c>
      <c r="K80" s="138">
        <f>(G80+H80+I80+J80)*$K$3</f>
        <v/>
      </c>
      <c r="L80" s="138">
        <f>G80+H80+I80+J80+K80</f>
        <v/>
      </c>
      <c r="M80" s="138">
        <f>F80*L80</f>
        <v/>
      </c>
      <c r="N80" s="118" t="n"/>
      <c r="O80" s="114">
        <f>P80*(1+Q80)+R80+S80+T80</f>
        <v/>
      </c>
      <c r="P80" s="119" t="n">
        <v>520</v>
      </c>
      <c r="Q80" s="120" t="n">
        <v>0</v>
      </c>
      <c r="R80" s="119" t="n">
        <v>95</v>
      </c>
      <c r="S80" s="121" t="n">
        <v>40</v>
      </c>
      <c r="T80" s="122" t="n">
        <v>0</v>
      </c>
      <c r="U80" s="114">
        <f>F80*O80</f>
        <v/>
      </c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</row>
    <row r="81" outlineLevel="2" ht="48" customFormat="1" customHeight="1" s="5">
      <c r="A81" s="113" t="n">
        <v>70</v>
      </c>
      <c r="B81" s="136" t="n">
        <v>31003014001</v>
      </c>
      <c r="C81" s="136" t="inlineStr">
        <is>
          <t>隐藏地漏</t>
        </is>
      </c>
      <c r="D81" s="136" t="inlineStr">
        <is>
          <t>1.名称：隐藏地漏
2.型号规格：100*100*19mm
3.其他：包括但不限于满足图纸、招标文件、规范及验收要求等一切相关费用</t>
        </is>
      </c>
      <c r="E81" s="113" t="inlineStr">
        <is>
          <t>个</t>
        </is>
      </c>
      <c r="F81" s="114" t="n">
        <v>14</v>
      </c>
      <c r="G81" s="137">
        <f>R81*$R$3</f>
        <v/>
      </c>
      <c r="H81" s="138">
        <f>P81*(1+Q81)*$P$3+S81*$S$3</f>
        <v/>
      </c>
      <c r="I81" s="138">
        <f>T81*$T$3</f>
        <v/>
      </c>
      <c r="J81" s="138">
        <f>(G81+H81+I81)*$J$3</f>
        <v/>
      </c>
      <c r="K81" s="138">
        <f>(G81+H81+I81+J81)*$K$3</f>
        <v/>
      </c>
      <c r="L81" s="138">
        <f>G81+H81+I81+J81+K81</f>
        <v/>
      </c>
      <c r="M81" s="138">
        <f>F81*L81</f>
        <v/>
      </c>
      <c r="N81" s="118" t="n"/>
      <c r="O81" s="114">
        <f>P81*(1+Q81)+R81+S81+T81</f>
        <v/>
      </c>
      <c r="P81" s="119" t="n">
        <v>35</v>
      </c>
      <c r="Q81" s="120" t="n">
        <v>0</v>
      </c>
      <c r="R81" s="119" t="n">
        <v>18</v>
      </c>
      <c r="S81" s="121" t="n">
        <v>5</v>
      </c>
      <c r="T81" s="122" t="n">
        <v>0</v>
      </c>
      <c r="U81" s="114">
        <f>F81*O81</f>
        <v/>
      </c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</row>
    <row r="82" outlineLevel="2" ht="48" customFormat="1" customHeight="1" s="5">
      <c r="A82" s="113" t="n">
        <v>71</v>
      </c>
      <c r="B82" s="136" t="n">
        <v>31002001001</v>
      </c>
      <c r="C82" s="136" t="inlineStr">
        <is>
          <t>角阀</t>
        </is>
      </c>
      <c r="D82" s="136" t="inlineStr">
        <is>
          <t>1.名称：角阀（热水器、洗碗机、制冰机）
2.型号规格：DN15
3.其他：包括但不限于满足图纸、招标文件、规范及验收要求等一切相关费用</t>
        </is>
      </c>
      <c r="E82" s="113" t="inlineStr">
        <is>
          <t>个</t>
        </is>
      </c>
      <c r="F82" s="114" t="n">
        <v>5</v>
      </c>
      <c r="G82" s="137">
        <f>R82*$R$3</f>
        <v/>
      </c>
      <c r="H82" s="138">
        <f>P82*(1+Q82)*$P$3+S82*$S$3</f>
        <v/>
      </c>
      <c r="I82" s="138">
        <f>T82*$T$3</f>
        <v/>
      </c>
      <c r="J82" s="138">
        <f>(G82+H82+I82)*$J$3</f>
        <v/>
      </c>
      <c r="K82" s="138">
        <f>(G82+H82+I82+J82)*$K$3</f>
        <v/>
      </c>
      <c r="L82" s="138">
        <f>G82+H82+I82+J82+K82</f>
        <v/>
      </c>
      <c r="M82" s="138">
        <f>F82*L82</f>
        <v/>
      </c>
      <c r="N82" s="118" t="n"/>
      <c r="O82" s="114">
        <f>P82*(1+Q82)+R82+S82+T82</f>
        <v/>
      </c>
      <c r="P82" s="119" t="n">
        <v>1504.2</v>
      </c>
      <c r="Q82" s="120" t="n">
        <v>0</v>
      </c>
      <c r="R82" s="119" t="n">
        <v>167.09</v>
      </c>
      <c r="S82" s="121" t="n">
        <v>0</v>
      </c>
      <c r="T82" s="122" t="n">
        <v>12.03</v>
      </c>
      <c r="U82" s="114">
        <f>F82*O82</f>
        <v/>
      </c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</row>
    <row r="83" outlineLevel="2" ht="48" customFormat="1" customHeight="1" s="5">
      <c r="A83" s="113" t="n">
        <v>72</v>
      </c>
      <c r="B83" s="136" t="n">
        <v>31003014002</v>
      </c>
      <c r="C83" s="136" t="inlineStr">
        <is>
          <t>纸巾架</t>
        </is>
      </c>
      <c r="D83" s="136" t="inlineStr">
        <is>
          <t>1.名称：纸巾架
2.型号规格：170*120*81mm
3.其他：包括但不限于满足图纸、招标文件、规范及验收要求等一切相关费用</t>
        </is>
      </c>
      <c r="E83" s="113" t="inlineStr">
        <is>
          <t>个</t>
        </is>
      </c>
      <c r="F83" s="114" t="n">
        <v>7</v>
      </c>
      <c r="G83" s="137">
        <f>R83*$R$3</f>
        <v/>
      </c>
      <c r="H83" s="138">
        <f>P83*(1+Q83)*$P$3+S83*$S$3</f>
        <v/>
      </c>
      <c r="I83" s="138">
        <f>T83*$T$3</f>
        <v/>
      </c>
      <c r="J83" s="138">
        <f>(G83+H83+I83)*$J$3</f>
        <v/>
      </c>
      <c r="K83" s="138">
        <f>(G83+H83+I83+J83)*$K$3</f>
        <v/>
      </c>
      <c r="L83" s="138">
        <f>G83+H83+I83+J83+K83</f>
        <v/>
      </c>
      <c r="M83" s="138">
        <f>F83*L83</f>
        <v/>
      </c>
      <c r="N83" s="118" t="n"/>
      <c r="O83" s="114">
        <f>P83*(1+Q83)+R83+S83+T83</f>
        <v/>
      </c>
      <c r="P83" s="119" t="n">
        <v>181.74</v>
      </c>
      <c r="Q83" s="120" t="n">
        <v>0</v>
      </c>
      <c r="R83" s="119" t="n">
        <v>34.95</v>
      </c>
      <c r="S83" s="121" t="n">
        <v>11.65</v>
      </c>
      <c r="T83" s="122" t="n">
        <v>4.66</v>
      </c>
      <c r="U83" s="114">
        <f>F83*O83</f>
        <v/>
      </c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</row>
    <row r="84" outlineLevel="2" ht="48" customFormat="1" customHeight="1" s="5">
      <c r="A84" s="113" t="n">
        <v>73</v>
      </c>
      <c r="B84" s="136" t="n">
        <v>31003014003</v>
      </c>
      <c r="C84" s="136" t="inlineStr">
        <is>
          <t>挂衣钩</t>
        </is>
      </c>
      <c r="D84" s="136" t="inlineStr">
        <is>
          <t>1.名称：挂衣钩
2.型号规格：详见物料表
3.其他：包括但不限于满足图纸、招标文件、规范及验收要求等一切相关费用</t>
        </is>
      </c>
      <c r="E84" s="113" t="inlineStr">
        <is>
          <t>个</t>
        </is>
      </c>
      <c r="F84" s="114" t="n">
        <v>7</v>
      </c>
      <c r="G84" s="137">
        <f>R84*$R$3</f>
        <v/>
      </c>
      <c r="H84" s="138">
        <f>P84*(1+Q84)*$P$3+S84*$S$3</f>
        <v/>
      </c>
      <c r="I84" s="138">
        <f>T84*$T$3</f>
        <v/>
      </c>
      <c r="J84" s="138">
        <f>(G84+H84+I84)*$J$3</f>
        <v/>
      </c>
      <c r="K84" s="138">
        <f>(G84+H84+I84+J84)*$K$3</f>
        <v/>
      </c>
      <c r="L84" s="138">
        <f>G84+H84+I84+J84+K84</f>
        <v/>
      </c>
      <c r="M84" s="138">
        <f>F84*L84</f>
        <v/>
      </c>
      <c r="N84" s="118" t="n"/>
      <c r="O84" s="114">
        <f>P84*(1+Q84)+R84+S84+T84</f>
        <v/>
      </c>
      <c r="P84" s="119" t="n">
        <v>28</v>
      </c>
      <c r="Q84" s="120" t="n">
        <v>0</v>
      </c>
      <c r="R84" s="119" t="n">
        <v>6.45</v>
      </c>
      <c r="S84" s="121" t="n">
        <v>0</v>
      </c>
      <c r="T84" s="122" t="n">
        <v>0</v>
      </c>
      <c r="U84" s="114">
        <f>F84*O84</f>
        <v/>
      </c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</row>
    <row r="85" customFormat="1" s="5">
      <c r="A85" s="27" t="inlineStr"/>
      <c r="B85" s="28" t="inlineStr"/>
      <c r="C85" s="28" t="inlineStr">
        <is>
          <t>多联机空调</t>
        </is>
      </c>
      <c r="D85" s="28" t="inlineStr"/>
      <c r="E85" s="27" t="inlineStr"/>
      <c r="F85" s="105" t="inlineStr"/>
      <c r="G85" s="135" t="n"/>
      <c r="H85" s="135" t="n"/>
      <c r="I85" s="135" t="n"/>
      <c r="J85" s="135" t="n"/>
      <c r="K85" s="135" t="n"/>
      <c r="L85" s="135" t="n"/>
      <c r="M85" s="135" t="n"/>
      <c r="N85" s="135" t="n"/>
      <c r="O85" s="135" t="n"/>
      <c r="P85" s="135" t="n"/>
      <c r="Q85" s="55" t="n"/>
      <c r="R85" s="135" t="n"/>
      <c r="S85" s="135" t="n"/>
      <c r="T85" s="135" t="n"/>
      <c r="U85" s="135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</row>
    <row r="86" outlineLevel="1" customFormat="1" s="5">
      <c r="A86" s="27" t="inlineStr"/>
      <c r="B86" s="28" t="inlineStr"/>
      <c r="C86" s="28" t="inlineStr">
        <is>
          <t>设备</t>
        </is>
      </c>
      <c r="D86" s="28" t="inlineStr"/>
      <c r="E86" s="27" t="inlineStr"/>
      <c r="F86" s="105" t="inlineStr"/>
      <c r="G86" s="135" t="n"/>
      <c r="H86" s="135" t="n"/>
      <c r="I86" s="135" t="n"/>
      <c r="J86" s="135" t="n"/>
      <c r="K86" s="135" t="n"/>
      <c r="L86" s="135" t="n"/>
      <c r="M86" s="135" t="n"/>
      <c r="N86" s="135" t="n"/>
      <c r="O86" s="135" t="n"/>
      <c r="P86" s="135" t="n"/>
      <c r="Q86" s="55" t="n"/>
      <c r="R86" s="135" t="n"/>
      <c r="S86" s="135" t="n"/>
      <c r="T86" s="135" t="n"/>
      <c r="U86" s="135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</row>
    <row r="87" outlineLevel="2" ht="84" customFormat="1" customHeight="1" s="5">
      <c r="A87" s="113" t="n">
        <v>74</v>
      </c>
      <c r="B87" s="136" t="n">
        <v>30701003001</v>
      </c>
      <c r="C87" s="136" t="inlineStr">
        <is>
          <t>风管机</t>
        </is>
      </c>
      <c r="D87" s="136" t="inlineStr">
        <is>
      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      </is>
      </c>
      <c r="E87" s="113" t="inlineStr">
        <is>
          <t>台</t>
        </is>
      </c>
      <c r="F87" s="114" t="n">
        <v>2</v>
      </c>
      <c r="G87" s="137">
        <f>R87*$R$3</f>
        <v/>
      </c>
      <c r="H87" s="138">
        <f>P87*(1+Q87)*$P$3+S87*$S$3</f>
        <v/>
      </c>
      <c r="I87" s="138">
        <f>T87*$T$3</f>
        <v/>
      </c>
      <c r="J87" s="138">
        <f>(G87+H87+I87)*$J$3</f>
        <v/>
      </c>
      <c r="K87" s="138">
        <f>(G87+H87+I87+J87)*$K$3</f>
        <v/>
      </c>
      <c r="L87" s="138">
        <f>G87+H87+I87+J87+K87</f>
        <v/>
      </c>
      <c r="M87" s="138">
        <f>F87*L87</f>
        <v/>
      </c>
      <c r="N87" s="118" t="n"/>
      <c r="O87" s="114">
        <f>P87*(1+Q87)+R87+S87+T87</f>
        <v/>
      </c>
      <c r="P87" s="119" t="n">
        <v>3600</v>
      </c>
      <c r="Q87" s="120" t="n">
        <v>0</v>
      </c>
      <c r="R87" s="119" t="n">
        <v>1000</v>
      </c>
      <c r="S87" s="121" t="n">
        <v>1200</v>
      </c>
      <c r="T87" s="122" t="n">
        <v>45</v>
      </c>
      <c r="U87" s="114">
        <f>F87*O87</f>
        <v/>
      </c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</row>
    <row r="88" outlineLevel="2" ht="84" customFormat="1" customHeight="1" s="5">
      <c r="A88" s="113" t="n">
        <v>75</v>
      </c>
      <c r="B88" s="136" t="n">
        <v>30701003002</v>
      </c>
      <c r="C88" s="136" t="inlineStr">
        <is>
          <t>风管机</t>
        </is>
      </c>
      <c r="D88" s="136" t="inlineStr">
        <is>
      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      </is>
      </c>
      <c r="E88" s="113" t="inlineStr">
        <is>
          <t>台</t>
        </is>
      </c>
      <c r="F88" s="114" t="n">
        <v>1</v>
      </c>
      <c r="G88" s="137">
        <f>R88*$R$3</f>
        <v/>
      </c>
      <c r="H88" s="138">
        <f>P88*(1+Q88)*$P$3+S88*$S$3</f>
        <v/>
      </c>
      <c r="I88" s="138">
        <f>T88*$T$3</f>
        <v/>
      </c>
      <c r="J88" s="138">
        <f>(G88+H88+I88)*$J$3</f>
        <v/>
      </c>
      <c r="K88" s="138">
        <f>(G88+H88+I88+J88)*$K$3</f>
        <v/>
      </c>
      <c r="L88" s="138">
        <f>G88+H88+I88+J88+K88</f>
        <v/>
      </c>
      <c r="M88" s="138">
        <f>F88*L88</f>
        <v/>
      </c>
      <c r="N88" s="118" t="n"/>
      <c r="O88" s="114">
        <f>P88*(1+Q88)+R88+S88+T88</f>
        <v/>
      </c>
      <c r="P88" s="119" t="n">
        <v>3600</v>
      </c>
      <c r="Q88" s="120" t="n">
        <v>0</v>
      </c>
      <c r="R88" s="119" t="n">
        <v>1000</v>
      </c>
      <c r="S88" s="121" t="n">
        <v>1200</v>
      </c>
      <c r="T88" s="122" t="n">
        <v>45</v>
      </c>
      <c r="U88" s="114">
        <f>F88*O88</f>
        <v/>
      </c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</row>
    <row r="89" outlineLevel="2" ht="84" customFormat="1" customHeight="1" s="5">
      <c r="A89" s="113" t="n">
        <v>76</v>
      </c>
      <c r="B89" s="136" t="n">
        <v>30701003003</v>
      </c>
      <c r="C89" s="136" t="inlineStr">
        <is>
          <t>风管机</t>
        </is>
      </c>
      <c r="D89" s="136" t="inlineStr">
        <is>
      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      </is>
      </c>
      <c r="E89" s="113" t="inlineStr">
        <is>
          <t>台</t>
        </is>
      </c>
      <c r="F89" s="114" t="n">
        <v>3</v>
      </c>
      <c r="G89" s="137">
        <f>R89*$R$3</f>
        <v/>
      </c>
      <c r="H89" s="138">
        <f>P89*(1+Q89)*$P$3+S89*$S$3</f>
        <v/>
      </c>
      <c r="I89" s="138">
        <f>T89*$T$3</f>
        <v/>
      </c>
      <c r="J89" s="138">
        <f>(G89+H89+I89)*$J$3</f>
        <v/>
      </c>
      <c r="K89" s="138">
        <f>(G89+H89+I89+J89)*$K$3</f>
        <v/>
      </c>
      <c r="L89" s="138">
        <f>G89+H89+I89+J89+K89</f>
        <v/>
      </c>
      <c r="M89" s="138">
        <f>F89*L89</f>
        <v/>
      </c>
      <c r="N89" s="118" t="n"/>
      <c r="O89" s="114">
        <f>P89*(1+Q89)+R89+S89+T89</f>
        <v/>
      </c>
      <c r="P89" s="119" t="n">
        <v>3600</v>
      </c>
      <c r="Q89" s="120" t="n">
        <v>0</v>
      </c>
      <c r="R89" s="119" t="n">
        <v>1000</v>
      </c>
      <c r="S89" s="121" t="n">
        <v>1200</v>
      </c>
      <c r="T89" s="122" t="n">
        <v>45</v>
      </c>
      <c r="U89" s="114">
        <f>F89*O89</f>
        <v/>
      </c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</row>
    <row r="90" outlineLevel="2" ht="84" customFormat="1" customHeight="1" s="5">
      <c r="A90" s="113" t="n">
        <v>77</v>
      </c>
      <c r="B90" s="136" t="n">
        <v>30701003004</v>
      </c>
      <c r="C90" s="136" t="inlineStr">
        <is>
          <t>风管机</t>
        </is>
      </c>
      <c r="D90" s="136" t="inlineStr">
        <is>
      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      </is>
      </c>
      <c r="E90" s="113" t="inlineStr">
        <is>
          <t>台</t>
        </is>
      </c>
      <c r="F90" s="114" t="n">
        <v>3</v>
      </c>
      <c r="G90" s="137">
        <f>R90*$R$3</f>
        <v/>
      </c>
      <c r="H90" s="138">
        <f>P90*(1+Q90)*$P$3+S90*$S$3</f>
        <v/>
      </c>
      <c r="I90" s="138">
        <f>T90*$T$3</f>
        <v/>
      </c>
      <c r="J90" s="138">
        <f>(G90+H90+I90)*$J$3</f>
        <v/>
      </c>
      <c r="K90" s="138">
        <f>(G90+H90+I90+J90)*$K$3</f>
        <v/>
      </c>
      <c r="L90" s="138">
        <f>G90+H90+I90+J90+K90</f>
        <v/>
      </c>
      <c r="M90" s="138">
        <f>F90*L90</f>
        <v/>
      </c>
      <c r="N90" s="118" t="n"/>
      <c r="O90" s="114">
        <f>P90*(1+Q90)+R90+S90+T90</f>
        <v/>
      </c>
      <c r="P90" s="119" t="n">
        <v>3600</v>
      </c>
      <c r="Q90" s="120" t="n">
        <v>0</v>
      </c>
      <c r="R90" s="119" t="n">
        <v>1000</v>
      </c>
      <c r="S90" s="121" t="n">
        <v>1200</v>
      </c>
      <c r="T90" s="122" t="n">
        <v>45</v>
      </c>
      <c r="U90" s="114">
        <f>F90*O90</f>
        <v/>
      </c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</row>
    <row r="91" outlineLevel="2" ht="84" customFormat="1" customHeight="1" s="5">
      <c r="A91" s="113" t="n">
        <v>78</v>
      </c>
      <c r="B91" s="136" t="n">
        <v>30701003005</v>
      </c>
      <c r="C91" s="136" t="inlineStr">
        <is>
          <t>风管机</t>
        </is>
      </c>
      <c r="D91" s="136" t="inlineStr">
        <is>
      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      </is>
      </c>
      <c r="E91" s="113" t="inlineStr">
        <is>
          <t>台</t>
        </is>
      </c>
      <c r="F91" s="114" t="n">
        <v>1</v>
      </c>
      <c r="G91" s="137">
        <f>R91*$R$3</f>
        <v/>
      </c>
      <c r="H91" s="138">
        <f>P91*(1+Q91)*$P$3+S91*$S$3</f>
        <v/>
      </c>
      <c r="I91" s="138">
        <f>T91*$T$3</f>
        <v/>
      </c>
      <c r="J91" s="138">
        <f>(G91+H91+I91)*$J$3</f>
        <v/>
      </c>
      <c r="K91" s="138">
        <f>(G91+H91+I91+J91)*$K$3</f>
        <v/>
      </c>
      <c r="L91" s="138">
        <f>G91+H91+I91+J91+K91</f>
        <v/>
      </c>
      <c r="M91" s="138">
        <f>F91*L91</f>
        <v/>
      </c>
      <c r="N91" s="118" t="n"/>
      <c r="O91" s="114">
        <f>P91*(1+Q91)+R91+S91+T91</f>
        <v/>
      </c>
      <c r="P91" s="119" t="n">
        <v>3600</v>
      </c>
      <c r="Q91" s="120" t="n">
        <v>0</v>
      </c>
      <c r="R91" s="119" t="n">
        <v>1000</v>
      </c>
      <c r="S91" s="121" t="n">
        <v>1200</v>
      </c>
      <c r="T91" s="122" t="n">
        <v>45</v>
      </c>
      <c r="U91" s="114">
        <f>F91*O91</f>
        <v/>
      </c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</row>
    <row r="92" outlineLevel="2" ht="84" customFormat="1" customHeight="1" s="5">
      <c r="A92" s="113" t="n">
        <v>79</v>
      </c>
      <c r="B92" s="136" t="n">
        <v>30701003006</v>
      </c>
      <c r="C92" s="136" t="inlineStr">
        <is>
          <t>风管机</t>
        </is>
      </c>
      <c r="D92" s="136" t="inlineStr">
        <is>
      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      </is>
      </c>
      <c r="E92" s="113" t="inlineStr">
        <is>
          <t>台</t>
        </is>
      </c>
      <c r="F92" s="114" t="n">
        <v>3</v>
      </c>
      <c r="G92" s="137">
        <f>R92*$R$3</f>
        <v/>
      </c>
      <c r="H92" s="138">
        <f>P92*(1+Q92)*$P$3+S92*$S$3</f>
        <v/>
      </c>
      <c r="I92" s="138">
        <f>T92*$T$3</f>
        <v/>
      </c>
      <c r="J92" s="138">
        <f>(G92+H92+I92)*$J$3</f>
        <v/>
      </c>
      <c r="K92" s="138">
        <f>(G92+H92+I92+J92)*$K$3</f>
        <v/>
      </c>
      <c r="L92" s="138">
        <f>G92+H92+I92+J92+K92</f>
        <v/>
      </c>
      <c r="M92" s="138">
        <f>F92*L92</f>
        <v/>
      </c>
      <c r="N92" s="118" t="n"/>
      <c r="O92" s="114">
        <f>P92*(1+Q92)+R92+S92+T92</f>
        <v/>
      </c>
      <c r="P92" s="119" t="n">
        <v>3600</v>
      </c>
      <c r="Q92" s="120" t="n">
        <v>0</v>
      </c>
      <c r="R92" s="119" t="n">
        <v>1000</v>
      </c>
      <c r="S92" s="121" t="n">
        <v>1200</v>
      </c>
      <c r="T92" s="122" t="n">
        <v>45</v>
      </c>
      <c r="U92" s="114">
        <f>F92*O92</f>
        <v/>
      </c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</row>
    <row r="93" outlineLevel="2" ht="84" customFormat="1" customHeight="1" s="5">
      <c r="A93" s="113" t="n">
        <v>80</v>
      </c>
      <c r="B93" s="136" t="n">
        <v>30701003007</v>
      </c>
      <c r="C93" s="136" t="inlineStr">
        <is>
          <t>风管机</t>
        </is>
      </c>
      <c r="D93" s="136" t="inlineStr">
        <is>
      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      </is>
      </c>
      <c r="E93" s="113" t="inlineStr">
        <is>
          <t>台</t>
        </is>
      </c>
      <c r="F93" s="114" t="n">
        <v>8</v>
      </c>
      <c r="G93" s="137">
        <f>R93*$R$3</f>
        <v/>
      </c>
      <c r="H93" s="138">
        <f>P93*(1+Q93)*$P$3+S93*$S$3</f>
        <v/>
      </c>
      <c r="I93" s="138">
        <f>T93*$T$3</f>
        <v/>
      </c>
      <c r="J93" s="138">
        <f>(G93+H93+I93)*$J$3</f>
        <v/>
      </c>
      <c r="K93" s="138">
        <f>(G93+H93+I93+J93)*$K$3</f>
        <v/>
      </c>
      <c r="L93" s="138">
        <f>G93+H93+I93+J93+K93</f>
        <v/>
      </c>
      <c r="M93" s="138">
        <f>F93*L93</f>
        <v/>
      </c>
      <c r="N93" s="118" t="n"/>
      <c r="O93" s="114">
        <f>P93*(1+Q93)+R93+S93+T93</f>
        <v/>
      </c>
      <c r="P93" s="119" t="n">
        <v>3600</v>
      </c>
      <c r="Q93" s="120" t="n">
        <v>0</v>
      </c>
      <c r="R93" s="119" t="n">
        <v>1000</v>
      </c>
      <c r="S93" s="121" t="n">
        <v>1200</v>
      </c>
      <c r="T93" s="122" t="n">
        <v>45</v>
      </c>
      <c r="U93" s="114">
        <f>F93*O93</f>
        <v/>
      </c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</row>
    <row r="94" outlineLevel="2" ht="84" customFormat="1" customHeight="1" s="5">
      <c r="A94" s="113" t="n">
        <v>81</v>
      </c>
      <c r="B94" s="136" t="n">
        <v>30701003008</v>
      </c>
      <c r="C94" s="136" t="inlineStr">
        <is>
          <t>风管机</t>
        </is>
      </c>
      <c r="D94" s="136" t="inlineStr">
        <is>
      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      </is>
      </c>
      <c r="E94" s="113" t="inlineStr">
        <is>
          <t>台</t>
        </is>
      </c>
      <c r="F94" s="114" t="n">
        <v>3</v>
      </c>
      <c r="G94" s="137">
        <f>R94*$R$3</f>
        <v/>
      </c>
      <c r="H94" s="138">
        <f>P94*(1+Q94)*$P$3+S94*$S$3</f>
        <v/>
      </c>
      <c r="I94" s="138">
        <f>T94*$T$3</f>
        <v/>
      </c>
      <c r="J94" s="138">
        <f>(G94+H94+I94)*$J$3</f>
        <v/>
      </c>
      <c r="K94" s="138">
        <f>(G94+H94+I94+J94)*$K$3</f>
        <v/>
      </c>
      <c r="L94" s="138">
        <f>G94+H94+I94+J94+K94</f>
        <v/>
      </c>
      <c r="M94" s="138">
        <f>F94*L94</f>
        <v/>
      </c>
      <c r="N94" s="118" t="n"/>
      <c r="O94" s="114">
        <f>P94*(1+Q94)+R94+S94+T94</f>
        <v/>
      </c>
      <c r="P94" s="119" t="n">
        <v>3600</v>
      </c>
      <c r="Q94" s="120" t="n">
        <v>0</v>
      </c>
      <c r="R94" s="119" t="n">
        <v>1000</v>
      </c>
      <c r="S94" s="121" t="n">
        <v>1200</v>
      </c>
      <c r="T94" s="122" t="n">
        <v>45</v>
      </c>
      <c r="U94" s="114">
        <f>F94*O94</f>
        <v/>
      </c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</row>
    <row r="95" outlineLevel="2" ht="84" customFormat="1" customHeight="1" s="5">
      <c r="A95" s="113" t="n">
        <v>82</v>
      </c>
      <c r="B95" s="136" t="n">
        <v>30701003009</v>
      </c>
      <c r="C95" s="136" t="inlineStr">
        <is>
          <t>风管机</t>
        </is>
      </c>
      <c r="D95" s="136" t="inlineStr">
        <is>
      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      </is>
      </c>
      <c r="E95" s="113" t="inlineStr">
        <is>
          <t>台</t>
        </is>
      </c>
      <c r="F95" s="114" t="n">
        <v>6</v>
      </c>
      <c r="G95" s="137">
        <f>R95*$R$3</f>
        <v/>
      </c>
      <c r="H95" s="138">
        <f>P95*(1+Q95)*$P$3+S95*$S$3</f>
        <v/>
      </c>
      <c r="I95" s="138">
        <f>T95*$T$3</f>
        <v/>
      </c>
      <c r="J95" s="138">
        <f>(G95+H95+I95)*$J$3</f>
        <v/>
      </c>
      <c r="K95" s="138">
        <f>(G95+H95+I95+J95)*$K$3</f>
        <v/>
      </c>
      <c r="L95" s="138">
        <f>G95+H95+I95+J95+K95</f>
        <v/>
      </c>
      <c r="M95" s="138">
        <f>F95*L95</f>
        <v/>
      </c>
      <c r="N95" s="118" t="n"/>
      <c r="O95" s="114">
        <f>P95*(1+Q95)+R95+S95+T95</f>
        <v/>
      </c>
      <c r="P95" s="119" t="n">
        <v>3600</v>
      </c>
      <c r="Q95" s="120" t="n">
        <v>0</v>
      </c>
      <c r="R95" s="119" t="n">
        <v>1000</v>
      </c>
      <c r="S95" s="121" t="n">
        <v>1200</v>
      </c>
      <c r="T95" s="122" t="n">
        <v>45</v>
      </c>
      <c r="U95" s="114">
        <f>F95*O95</f>
        <v/>
      </c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</row>
    <row r="96" outlineLevel="2" ht="84" customFormat="1" customHeight="1" s="5">
      <c r="A96" s="113" t="n">
        <v>83</v>
      </c>
      <c r="B96" s="136" t="n">
        <v>30701003010</v>
      </c>
      <c r="C96" s="136" t="inlineStr">
        <is>
          <t>多联式室外机</t>
        </is>
      </c>
      <c r="D96" s="136" t="inlineStr">
        <is>
      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      </is>
      </c>
      <c r="E96" s="113" t="inlineStr">
        <is>
          <t>台</t>
        </is>
      </c>
      <c r="F96" s="114" t="n">
        <v>1</v>
      </c>
      <c r="G96" s="137">
        <f>R96*$R$3</f>
        <v/>
      </c>
      <c r="H96" s="138">
        <f>P96*(1+Q96)*$P$3+S96*$S$3</f>
        <v/>
      </c>
      <c r="I96" s="138">
        <f>T96*$T$3</f>
        <v/>
      </c>
      <c r="J96" s="138">
        <f>(G96+H96+I96)*$J$3</f>
        <v/>
      </c>
      <c r="K96" s="138">
        <f>(G96+H96+I96+J96)*$K$3</f>
        <v/>
      </c>
      <c r="L96" s="138">
        <f>G96+H96+I96+J96+K96</f>
        <v/>
      </c>
      <c r="M96" s="138">
        <f>F96*L96</f>
        <v/>
      </c>
      <c r="N96" s="118" t="n"/>
      <c r="O96" s="114">
        <f>P96*(1+Q96)+R96+S96+T96</f>
        <v/>
      </c>
      <c r="P96" s="119" t="n">
        <v>12000</v>
      </c>
      <c r="Q96" s="120" t="n">
        <v>0</v>
      </c>
      <c r="R96" s="119" t="n">
        <v>800</v>
      </c>
      <c r="S96" s="121" t="n">
        <v>80</v>
      </c>
      <c r="T96" s="122" t="n">
        <v>60</v>
      </c>
      <c r="U96" s="114">
        <f>F96*O96</f>
        <v/>
      </c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</row>
    <row r="97" outlineLevel="2" ht="84" customFormat="1" customHeight="1" s="5">
      <c r="A97" s="113" t="n">
        <v>84</v>
      </c>
      <c r="B97" s="136" t="n">
        <v>30701003011</v>
      </c>
      <c r="C97" s="136" t="inlineStr">
        <is>
          <t>多联式室外机</t>
        </is>
      </c>
      <c r="D97" s="136" t="inlineStr">
        <is>
      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      </is>
      </c>
      <c r="E97" s="113" t="inlineStr">
        <is>
          <t>台</t>
        </is>
      </c>
      <c r="F97" s="114" t="n">
        <v>1</v>
      </c>
      <c r="G97" s="137">
        <f>R97*$R$3</f>
        <v/>
      </c>
      <c r="H97" s="138">
        <f>P97*(1+Q97)*$P$3+S97*$S$3</f>
        <v/>
      </c>
      <c r="I97" s="138">
        <f>T97*$T$3</f>
        <v/>
      </c>
      <c r="J97" s="138">
        <f>(G97+H97+I97)*$J$3</f>
        <v/>
      </c>
      <c r="K97" s="138">
        <f>(G97+H97+I97+J97)*$K$3</f>
        <v/>
      </c>
      <c r="L97" s="138">
        <f>G97+H97+I97+J97+K97</f>
        <v/>
      </c>
      <c r="M97" s="138">
        <f>F97*L97</f>
        <v/>
      </c>
      <c r="N97" s="118" t="n"/>
      <c r="O97" s="114">
        <f>P97*(1+Q97)+R97+S97+T97</f>
        <v/>
      </c>
      <c r="P97" s="119" t="n">
        <v>12000</v>
      </c>
      <c r="Q97" s="120" t="n">
        <v>0</v>
      </c>
      <c r="R97" s="119" t="n">
        <v>800</v>
      </c>
      <c r="S97" s="121" t="n">
        <v>80</v>
      </c>
      <c r="T97" s="122" t="n">
        <v>60</v>
      </c>
      <c r="U97" s="114">
        <f>F97*O97</f>
        <v/>
      </c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</row>
    <row r="98" outlineLevel="2" ht="84" customFormat="1" customHeight="1" s="5">
      <c r="A98" s="113" t="n">
        <v>85</v>
      </c>
      <c r="B98" s="136" t="n">
        <v>30701003012</v>
      </c>
      <c r="C98" s="136" t="inlineStr">
        <is>
          <t>多联式室外机</t>
        </is>
      </c>
      <c r="D98" s="136" t="inlineStr">
        <is>
      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      </is>
      </c>
      <c r="E98" s="113" t="inlineStr">
        <is>
          <t>台</t>
        </is>
      </c>
      <c r="F98" s="114" t="n">
        <v>1</v>
      </c>
      <c r="G98" s="137">
        <f>R98*$R$3</f>
        <v/>
      </c>
      <c r="H98" s="138">
        <f>P98*(1+Q98)*$P$3+S98*$S$3</f>
        <v/>
      </c>
      <c r="I98" s="138">
        <f>T98*$T$3</f>
        <v/>
      </c>
      <c r="J98" s="138">
        <f>(G98+H98+I98)*$J$3</f>
        <v/>
      </c>
      <c r="K98" s="138">
        <f>(G98+H98+I98+J98)*$K$3</f>
        <v/>
      </c>
      <c r="L98" s="138">
        <f>G98+H98+I98+J98+K98</f>
        <v/>
      </c>
      <c r="M98" s="138">
        <f>F98*L98</f>
        <v/>
      </c>
      <c r="N98" s="118" t="n"/>
      <c r="O98" s="114">
        <f>P98*(1+Q98)+R98+S98+T98</f>
        <v/>
      </c>
      <c r="P98" s="119" t="n">
        <v>12000</v>
      </c>
      <c r="Q98" s="120" t="n">
        <v>0</v>
      </c>
      <c r="R98" s="119" t="n">
        <v>800</v>
      </c>
      <c r="S98" s="121" t="n">
        <v>80</v>
      </c>
      <c r="T98" s="122" t="n">
        <v>60</v>
      </c>
      <c r="U98" s="114">
        <f>F98*O98</f>
        <v/>
      </c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</row>
    <row r="99" outlineLevel="2" ht="60" customFormat="1" customHeight="1" s="5">
      <c r="A99" s="27" t="n">
        <v>86</v>
      </c>
      <c r="B99" s="28" t="n">
        <v>30413013005</v>
      </c>
      <c r="C99" s="28" t="inlineStr">
        <is>
          <t>空调温控面板</t>
        </is>
      </c>
      <c r="D99" s="28" t="inlineStr">
        <is>
          <t>1.名称：空调温控面板
2.规格：86*86mm
3.安装方式：暗装
4.其他：包括但不限于满足图纸、招标文件、规范及验收要求等一切相关费用</t>
        </is>
      </c>
      <c r="E99" s="27" t="inlineStr">
        <is>
          <t>套</t>
        </is>
      </c>
      <c r="F99" s="105" t="n">
        <v>30</v>
      </c>
      <c r="G99" s="139">
        <f>R99*$R$3</f>
        <v/>
      </c>
      <c r="H99" s="140">
        <f>P99*(1+Q99)*$P$3+S99*$S$3</f>
        <v/>
      </c>
      <c r="I99" s="140">
        <f>T99*$T$3</f>
        <v/>
      </c>
      <c r="J99" s="140">
        <f>(G99+H99+I99)*$J$3</f>
        <v/>
      </c>
      <c r="K99" s="140">
        <f>(G99+H99+I99+J99)*$K$3</f>
        <v/>
      </c>
      <c r="L99" s="140">
        <f>G99+H99+I99+J99+K99</f>
        <v/>
      </c>
      <c r="M99" s="140">
        <f>F99*L99</f>
        <v/>
      </c>
      <c r="N99" s="101" t="n"/>
      <c r="O99" s="105">
        <f>P99*(1+Q99)+R99+S99+T99</f>
        <v/>
      </c>
      <c r="P99" s="111">
        <f>'架空层安装工程'!P33</f>
        <v/>
      </c>
      <c r="Q99" s="32">
        <f>'架空层安装工程'!Q33</f>
        <v/>
      </c>
      <c r="R99" s="111">
        <f>'架空层安装工程'!R33</f>
        <v/>
      </c>
      <c r="S99" s="112">
        <f>'架空层安装工程'!S33</f>
        <v/>
      </c>
      <c r="T99" s="107">
        <f>'架空层安装工程'!T33</f>
        <v/>
      </c>
      <c r="U99" s="105">
        <f>F99*O99</f>
        <v/>
      </c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</row>
    <row r="100" outlineLevel="1" customFormat="1" s="5">
      <c r="A100" s="27" t="inlineStr"/>
      <c r="B100" s="28" t="inlineStr"/>
      <c r="C100" s="28" t="inlineStr">
        <is>
          <t>风管</t>
        </is>
      </c>
      <c r="D100" s="28" t="inlineStr"/>
      <c r="E100" s="27" t="inlineStr"/>
      <c r="F100" s="105" t="inlineStr"/>
      <c r="G100" s="135" t="n"/>
      <c r="H100" s="135" t="n"/>
      <c r="I100" s="135" t="n"/>
      <c r="J100" s="135" t="n"/>
      <c r="K100" s="135" t="n"/>
      <c r="L100" s="135" t="n"/>
      <c r="M100" s="135" t="n"/>
      <c r="N100" s="135" t="n"/>
      <c r="O100" s="135" t="n"/>
      <c r="P100" s="135" t="n"/>
      <c r="Q100" s="55" t="n"/>
      <c r="R100" s="135" t="n"/>
      <c r="S100" s="135" t="n"/>
      <c r="T100" s="135" t="n"/>
      <c r="U100" s="135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</row>
    <row r="101" outlineLevel="2" ht="72" customFormat="1" customHeight="1" s="5">
      <c r="A101" s="27" t="n">
        <v>87</v>
      </c>
      <c r="B101" s="28" t="n">
        <v>30702001001</v>
      </c>
      <c r="C101" s="28" t="inlineStr">
        <is>
          <t>碳钢通风管道</t>
        </is>
      </c>
      <c r="D101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101" s="27" t="inlineStr">
        <is>
          <t>m2</t>
        </is>
      </c>
      <c r="F101" s="105" t="n">
        <v>44.37</v>
      </c>
      <c r="G101" s="139">
        <f>R101*$R$3</f>
        <v/>
      </c>
      <c r="H101" s="140">
        <f>P101*(1+Q101)*$P$3+S101*$S$3</f>
        <v/>
      </c>
      <c r="I101" s="140">
        <f>T101*$T$3</f>
        <v/>
      </c>
      <c r="J101" s="140">
        <f>(G101+H101+I101)*$J$3</f>
        <v/>
      </c>
      <c r="K101" s="140">
        <f>(G101+H101+I101+J101)*$K$3</f>
        <v/>
      </c>
      <c r="L101" s="140">
        <f>G101+H101+I101+J101+K101</f>
        <v/>
      </c>
      <c r="M101" s="140">
        <f>F101*L101</f>
        <v/>
      </c>
      <c r="N101" s="101" t="n"/>
      <c r="O101" s="105">
        <f>P101*(1+Q101)+R101+S101+T101</f>
        <v/>
      </c>
      <c r="P101" s="111">
        <f>'架空层安装工程'!P40</f>
        <v/>
      </c>
      <c r="Q101" s="32">
        <f>'架空层安装工程'!Q40</f>
        <v/>
      </c>
      <c r="R101" s="111">
        <f>'架空层安装工程'!R40</f>
        <v/>
      </c>
      <c r="S101" s="112">
        <f>'架空层安装工程'!S40</f>
        <v/>
      </c>
      <c r="T101" s="107">
        <f>'架空层安装工程'!T40</f>
        <v/>
      </c>
      <c r="U101" s="105">
        <f>F101*O101</f>
        <v/>
      </c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</row>
    <row r="102" outlineLevel="2" ht="72" customFormat="1" customHeight="1" s="5">
      <c r="A102" s="27" t="n">
        <v>88</v>
      </c>
      <c r="B102" s="28" t="n">
        <v>30702001002</v>
      </c>
      <c r="C102" s="28" t="inlineStr">
        <is>
          <t>碳钢通风管道</t>
        </is>
      </c>
      <c r="D102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102" s="27" t="inlineStr">
        <is>
          <t>m2</t>
        </is>
      </c>
      <c r="F102" s="105" t="n">
        <v>45.59</v>
      </c>
      <c r="G102" s="139">
        <f>R102*$R$3</f>
        <v/>
      </c>
      <c r="H102" s="140">
        <f>P102*(1+Q102)*$P$3+S102*$S$3</f>
        <v/>
      </c>
      <c r="I102" s="140">
        <f>T102*$T$3</f>
        <v/>
      </c>
      <c r="J102" s="140">
        <f>(G102+H102+I102)*$J$3</f>
        <v/>
      </c>
      <c r="K102" s="140">
        <f>(G102+H102+I102+J102)*$K$3</f>
        <v/>
      </c>
      <c r="L102" s="140">
        <f>G102+H102+I102+J102+K102</f>
        <v/>
      </c>
      <c r="M102" s="140">
        <f>F102*L102</f>
        <v/>
      </c>
      <c r="N102" s="101" t="n"/>
      <c r="O102" s="105">
        <f>P102*(1+Q102)+R102+S102+T102</f>
        <v/>
      </c>
      <c r="P102" s="111">
        <f>'架空层安装工程'!P41</f>
        <v/>
      </c>
      <c r="Q102" s="32">
        <f>'架空层安装工程'!Q41</f>
        <v/>
      </c>
      <c r="R102" s="111">
        <f>'架空层安装工程'!R41</f>
        <v/>
      </c>
      <c r="S102" s="112">
        <f>'架空层安装工程'!S41</f>
        <v/>
      </c>
      <c r="T102" s="107">
        <f>'架空层安装工程'!T41</f>
        <v/>
      </c>
      <c r="U102" s="105">
        <f>F102*O102</f>
        <v/>
      </c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</row>
    <row r="103" outlineLevel="2" ht="72" customFormat="1" customHeight="1" s="5">
      <c r="A103" s="27" t="n">
        <v>89</v>
      </c>
      <c r="B103" s="28" t="n">
        <v>30702001003</v>
      </c>
      <c r="C103" s="28" t="inlineStr">
        <is>
          <t>碳钢通风管道</t>
        </is>
      </c>
      <c r="D103" s="28" t="inlineStr">
        <is>
          <t>1.名称：矩形风管
2.材质：镀锌薄钢板
3.厚度：1.0mm
4.长边：≤1250mm
5.其他：包括但不限于满足图纸、招标文件、规范及验收要求等一切相关费用</t>
        </is>
      </c>
      <c r="E103" s="27" t="inlineStr">
        <is>
          <t>m2</t>
        </is>
      </c>
      <c r="F103" s="105" t="n">
        <v>66.86</v>
      </c>
      <c r="G103" s="139">
        <f>R103*$R$3</f>
        <v/>
      </c>
      <c r="H103" s="140">
        <f>P103*(1+Q103)*$P$3+S103*$S$3</f>
        <v/>
      </c>
      <c r="I103" s="140">
        <f>T103*$T$3</f>
        <v/>
      </c>
      <c r="J103" s="140">
        <f>(G103+H103+I103)*$J$3</f>
        <v/>
      </c>
      <c r="K103" s="140">
        <f>(G103+H103+I103+J103)*$K$3</f>
        <v/>
      </c>
      <c r="L103" s="140">
        <f>G103+H103+I103+J103+K103</f>
        <v/>
      </c>
      <c r="M103" s="140">
        <f>F103*L103</f>
        <v/>
      </c>
      <c r="N103" s="101" t="n"/>
      <c r="O103" s="105">
        <f>P103*(1+Q103)+R103+S103+T103</f>
        <v/>
      </c>
      <c r="P103" s="111">
        <f>'架空层安装工程'!P42</f>
        <v/>
      </c>
      <c r="Q103" s="32">
        <f>'架空层安装工程'!Q42</f>
        <v/>
      </c>
      <c r="R103" s="111">
        <f>'架空层安装工程'!R42</f>
        <v/>
      </c>
      <c r="S103" s="112">
        <f>'架空层安装工程'!S42</f>
        <v/>
      </c>
      <c r="T103" s="107">
        <f>'架空层安装工程'!T42</f>
        <v/>
      </c>
      <c r="U103" s="105">
        <f>F103*O103</f>
        <v/>
      </c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</row>
    <row r="104" outlineLevel="2" ht="72" customFormat="1" customHeight="1" s="5">
      <c r="A104" s="113" t="n">
        <v>90</v>
      </c>
      <c r="B104" s="136" t="n">
        <v>30702001004</v>
      </c>
      <c r="C104" s="136" t="inlineStr">
        <is>
          <t>碳钢通风管道</t>
        </is>
      </c>
      <c r="D104" s="136" t="inlineStr">
        <is>
          <t>1.名称：矩形风管
2.材质：镀锌薄钢板
3.厚度：1.0mm
4.长边：≤2000mm
5.其他：包括但不限于满足图纸、招标文件、规范及验收要求等一切相关费用</t>
        </is>
      </c>
      <c r="E104" s="113" t="inlineStr">
        <is>
          <t>m2</t>
        </is>
      </c>
      <c r="F104" s="114" t="n">
        <v>279.53</v>
      </c>
      <c r="G104" s="137">
        <f>R104*$R$3</f>
        <v/>
      </c>
      <c r="H104" s="138">
        <f>P104*(1+Q104)*$P$3+S104*$S$3</f>
        <v/>
      </c>
      <c r="I104" s="138">
        <f>T104*$T$3</f>
        <v/>
      </c>
      <c r="J104" s="138">
        <f>(G104+H104+I104)*$J$3</f>
        <v/>
      </c>
      <c r="K104" s="138">
        <f>(G104+H104+I104+J104)*$K$3</f>
        <v/>
      </c>
      <c r="L104" s="138">
        <f>G104+H104+I104+J104+K104</f>
        <v/>
      </c>
      <c r="M104" s="138">
        <f>F104*L104</f>
        <v/>
      </c>
      <c r="N104" s="118" t="n"/>
      <c r="O104" s="114">
        <f>P104*(1+Q104)+R104+S104+T104</f>
        <v/>
      </c>
      <c r="P104" s="119" t="n">
        <v>85</v>
      </c>
      <c r="Q104" s="120" t="n">
        <v>0.03</v>
      </c>
      <c r="R104" s="119" t="n">
        <v>48</v>
      </c>
      <c r="S104" s="121" t="n">
        <v>12</v>
      </c>
      <c r="T104" s="122" t="n">
        <v>2</v>
      </c>
      <c r="U104" s="114">
        <f>F104*O104</f>
        <v/>
      </c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</row>
    <row r="105" outlineLevel="2" ht="60" customFormat="1" customHeight="1" s="5">
      <c r="A105" s="27" t="n">
        <v>91</v>
      </c>
      <c r="B105" s="28" t="n">
        <v>30703019001</v>
      </c>
      <c r="C105" s="28" t="inlineStr">
        <is>
          <t>柔性接口</t>
        </is>
      </c>
      <c r="D105" s="28" t="inlineStr">
        <is>
          <t>1.名称：帆布软接口
2.材质：帆布
3.厚度：满足验收要求
4.其他：包括但不限于满足图纸、招标文件、规范及验收要求等一切相关费用</t>
        </is>
      </c>
      <c r="E105" s="27" t="inlineStr">
        <is>
          <t>m2</t>
        </is>
      </c>
      <c r="F105" s="105" t="n">
        <v>32.82</v>
      </c>
      <c r="G105" s="139">
        <f>R105*$R$3</f>
        <v/>
      </c>
      <c r="H105" s="140">
        <f>P105*(1+Q105)*$P$3+S105*$S$3</f>
        <v/>
      </c>
      <c r="I105" s="140">
        <f>T105*$T$3</f>
        <v/>
      </c>
      <c r="J105" s="140">
        <f>(G105+H105+I105)*$J$3</f>
        <v/>
      </c>
      <c r="K105" s="140">
        <f>(G105+H105+I105+J105)*$K$3</f>
        <v/>
      </c>
      <c r="L105" s="140">
        <f>G105+H105+I105+J105+K105</f>
        <v/>
      </c>
      <c r="M105" s="140">
        <f>F105*L105</f>
        <v/>
      </c>
      <c r="N105" s="101" t="n"/>
      <c r="O105" s="105">
        <f>P105*(1+Q105)+R105+S105+T105</f>
        <v/>
      </c>
      <c r="P105" s="111">
        <f>'架空层安装工程'!P43</f>
        <v/>
      </c>
      <c r="Q105" s="32">
        <f>'架空层安装工程'!Q43</f>
        <v/>
      </c>
      <c r="R105" s="111">
        <f>'架空层安装工程'!R43</f>
        <v/>
      </c>
      <c r="S105" s="112">
        <f>'架空层安装工程'!S43</f>
        <v/>
      </c>
      <c r="T105" s="107">
        <f>'架空层安装工程'!T43</f>
        <v/>
      </c>
      <c r="U105" s="105">
        <f>F105*O105</f>
        <v/>
      </c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</row>
    <row r="106" outlineLevel="2" ht="60" customFormat="1" customHeight="1" s="5">
      <c r="A106" s="27" t="n">
        <v>92</v>
      </c>
      <c r="B106" s="28" t="n">
        <v>31301005001</v>
      </c>
      <c r="C106" s="28" t="inlineStr">
        <is>
          <t>风管支架刷油</t>
        </is>
      </c>
      <c r="D106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106" s="27" t="inlineStr">
        <is>
          <t>kg</t>
        </is>
      </c>
      <c r="F106" s="105" t="n">
        <v>1884.04</v>
      </c>
      <c r="G106" s="139">
        <f>R106*$R$3</f>
        <v/>
      </c>
      <c r="H106" s="140">
        <f>P106*(1+Q106)*$P$3+S106*$S$3</f>
        <v/>
      </c>
      <c r="I106" s="140">
        <f>T106*$T$3</f>
        <v/>
      </c>
      <c r="J106" s="140">
        <f>(G106+H106+I106)*$J$3</f>
        <v/>
      </c>
      <c r="K106" s="140">
        <f>(G106+H106+I106+J106)*$K$3</f>
        <v/>
      </c>
      <c r="L106" s="140">
        <f>G106+H106+I106+J106+K106</f>
        <v/>
      </c>
      <c r="M106" s="140">
        <f>F106*L106</f>
        <v/>
      </c>
      <c r="N106" s="101" t="n"/>
      <c r="O106" s="105">
        <f>P106*(1+Q106)+R106+S106+T106</f>
        <v/>
      </c>
      <c r="P106" s="111">
        <f>'架空层安装工程'!P44</f>
        <v/>
      </c>
      <c r="Q106" s="32">
        <f>'架空层安装工程'!Q44</f>
        <v/>
      </c>
      <c r="R106" s="111">
        <f>'架空层安装工程'!R44</f>
        <v/>
      </c>
      <c r="S106" s="112">
        <f>'架空层安装工程'!S44</f>
        <v/>
      </c>
      <c r="T106" s="107">
        <f>'架空层安装工程'!T44</f>
        <v/>
      </c>
      <c r="U106" s="105">
        <f>F106*O106</f>
        <v/>
      </c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</row>
    <row r="107" outlineLevel="2" ht="84" customFormat="1" customHeight="1" s="5">
      <c r="A107" s="27" t="n">
        <v>93</v>
      </c>
      <c r="B107" s="28" t="n">
        <v>31208003001</v>
      </c>
      <c r="C107" s="28" t="inlineStr">
        <is>
          <t>通风管道绝热</t>
        </is>
      </c>
      <c r="D107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107" s="27" t="inlineStr">
        <is>
          <t>m2</t>
        </is>
      </c>
      <c r="F107" s="105" t="n">
        <v>469.67</v>
      </c>
      <c r="G107" s="139">
        <f>R107*$R$3</f>
        <v/>
      </c>
      <c r="H107" s="140">
        <f>P107*(1+Q107)*$P$3+S107*$S$3</f>
        <v/>
      </c>
      <c r="I107" s="140">
        <f>T107*$T$3</f>
        <v/>
      </c>
      <c r="J107" s="140">
        <f>(G107+H107+I107)*$J$3</f>
        <v/>
      </c>
      <c r="K107" s="140">
        <f>(G107+H107+I107+J107)*$K$3</f>
        <v/>
      </c>
      <c r="L107" s="140">
        <f>G107+H107+I107+J107+K107</f>
        <v/>
      </c>
      <c r="M107" s="140">
        <f>F107*L107</f>
        <v/>
      </c>
      <c r="N107" s="101" t="n"/>
      <c r="O107" s="105">
        <f>P107*(1+Q107)+R107+S107+T107</f>
        <v/>
      </c>
      <c r="P107" s="111">
        <f>'架空层安装工程'!P45</f>
        <v/>
      </c>
      <c r="Q107" s="32">
        <f>'架空层安装工程'!Q45</f>
        <v/>
      </c>
      <c r="R107" s="111">
        <f>'架空层安装工程'!R45</f>
        <v/>
      </c>
      <c r="S107" s="112">
        <f>'架空层安装工程'!S45</f>
        <v/>
      </c>
      <c r="T107" s="107">
        <f>'架空层安装工程'!T45</f>
        <v/>
      </c>
      <c r="U107" s="105">
        <f>F107*O107</f>
        <v/>
      </c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</row>
    <row r="108" outlineLevel="2" customFormat="1" s="5">
      <c r="A108" s="27" t="n">
        <v>94</v>
      </c>
      <c r="B108" s="28" t="n">
        <v>30704001001</v>
      </c>
      <c r="C108" s="28" t="inlineStr">
        <is>
          <t>通风工程检测、调试</t>
        </is>
      </c>
      <c r="D108" s="28" t="inlineStr">
        <is>
          <t>1.名称：风管漏光试验、漏风试验</t>
        </is>
      </c>
      <c r="E108" s="27" t="inlineStr">
        <is>
          <t>系统</t>
        </is>
      </c>
      <c r="F108" s="105" t="n">
        <v>1</v>
      </c>
      <c r="G108" s="139">
        <f>R108*$R$3</f>
        <v/>
      </c>
      <c r="H108" s="140">
        <f>P108*(1+Q108)*$P$3+S108*$S$3</f>
        <v/>
      </c>
      <c r="I108" s="140">
        <f>T108*$T$3</f>
        <v/>
      </c>
      <c r="J108" s="140">
        <f>(G108+H108+I108)*$J$3</f>
        <v/>
      </c>
      <c r="K108" s="140">
        <f>(G108+H108+I108+J108)*$K$3</f>
        <v/>
      </c>
      <c r="L108" s="140">
        <f>G108+H108+I108+J108+K108</f>
        <v/>
      </c>
      <c r="M108" s="140">
        <f>F108*L108</f>
        <v/>
      </c>
      <c r="N108" s="101" t="n"/>
      <c r="O108" s="105">
        <f>P108*(1+Q108)+R108+S108+T108</f>
        <v/>
      </c>
      <c r="P108" s="111">
        <f>'架空层安装工程'!P46</f>
        <v/>
      </c>
      <c r="Q108" s="32">
        <f>'架空层安装工程'!Q46</f>
        <v/>
      </c>
      <c r="R108" s="111">
        <f>'架空层安装工程'!R46</f>
        <v/>
      </c>
      <c r="S108" s="112">
        <f>'架空层安装工程'!S46</f>
        <v/>
      </c>
      <c r="T108" s="107">
        <f>'架空层安装工程'!T46</f>
        <v/>
      </c>
      <c r="U108" s="105">
        <f>F108*O108</f>
        <v/>
      </c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</row>
    <row r="109" outlineLevel="1" customFormat="1" s="5">
      <c r="A109" s="27" t="inlineStr"/>
      <c r="B109" s="28" t="inlineStr"/>
      <c r="C109" s="28" t="inlineStr">
        <is>
          <t>风管部件</t>
        </is>
      </c>
      <c r="D109" s="28" t="inlineStr"/>
      <c r="E109" s="27" t="inlineStr"/>
      <c r="F109" s="105" t="inlineStr"/>
      <c r="G109" s="135" t="n"/>
      <c r="H109" s="135" t="n"/>
      <c r="I109" s="135" t="n"/>
      <c r="J109" s="135" t="n"/>
      <c r="K109" s="135" t="n"/>
      <c r="L109" s="135" t="n"/>
      <c r="M109" s="135" t="n"/>
      <c r="N109" s="135" t="n"/>
      <c r="O109" s="135" t="n"/>
      <c r="P109" s="135" t="n"/>
      <c r="Q109" s="55" t="n"/>
      <c r="R109" s="135" t="n"/>
      <c r="S109" s="135" t="n"/>
      <c r="T109" s="135" t="n"/>
      <c r="U109" s="135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</row>
    <row r="110" outlineLevel="2" ht="60" customFormat="1" customHeight="1" s="5">
      <c r="A110" s="27" t="n">
        <v>95</v>
      </c>
      <c r="B110" s="28" t="n">
        <v>30703007001</v>
      </c>
      <c r="C110" s="28" t="inlineStr">
        <is>
          <t>单层百叶风口</t>
        </is>
      </c>
      <c r="D110" s="28" t="inlineStr">
        <is>
          <t>1.名称：单层百叶风口
2.周长：≤1800mm
3.规格：600*150
4.其他：包括但不限于满足图纸、招标文件、规范及验收要求等一切相关费用</t>
        </is>
      </c>
      <c r="E110" s="27" t="inlineStr">
        <is>
          <t>个</t>
        </is>
      </c>
      <c r="F110" s="105" t="n">
        <v>12</v>
      </c>
      <c r="G110" s="139">
        <f>R110*$R$3</f>
        <v/>
      </c>
      <c r="H110" s="140">
        <f>P110*(1+Q110)*$P$3+S110*$S$3</f>
        <v/>
      </c>
      <c r="I110" s="140">
        <f>T110*$T$3</f>
        <v/>
      </c>
      <c r="J110" s="140">
        <f>(G110+H110+I110)*$J$3</f>
        <v/>
      </c>
      <c r="K110" s="140">
        <f>(G110+H110+I110+J110)*$K$3</f>
        <v/>
      </c>
      <c r="L110" s="140">
        <f>G110+H110+I110+J110+K110</f>
        <v/>
      </c>
      <c r="M110" s="140">
        <f>F110*L110</f>
        <v/>
      </c>
      <c r="N110" s="101" t="n"/>
      <c r="O110" s="105">
        <f>P110*(1+Q110)+R110+S110+T110</f>
        <v/>
      </c>
      <c r="P110" s="111">
        <f>'架空层安装工程'!P35</f>
        <v/>
      </c>
      <c r="Q110" s="32">
        <f>'架空层安装工程'!Q35</f>
        <v/>
      </c>
      <c r="R110" s="111">
        <f>'架空层安装工程'!R35</f>
        <v/>
      </c>
      <c r="S110" s="112">
        <f>'架空层安装工程'!S35</f>
        <v/>
      </c>
      <c r="T110" s="107">
        <f>'架空层安装工程'!T35</f>
        <v/>
      </c>
      <c r="U110" s="105">
        <f>F110*O110</f>
        <v/>
      </c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</row>
    <row r="111" outlineLevel="2" ht="60" customFormat="1" customHeight="1" s="5">
      <c r="A111" s="113" t="n">
        <v>96</v>
      </c>
      <c r="B111" s="136" t="n">
        <v>30703007002</v>
      </c>
      <c r="C111" s="136" t="inlineStr">
        <is>
          <t>单层百叶风口</t>
        </is>
      </c>
      <c r="D111" s="136" t="inlineStr">
        <is>
          <t>1.名称：单层百叶风口
2.周长：≤2500mm
3.规格：800*150
4.其他：包括但不限于满足图纸、招标文件、规范及验收要求等一切相关费用</t>
        </is>
      </c>
      <c r="E111" s="113" t="inlineStr">
        <is>
          <t>个</t>
        </is>
      </c>
      <c r="F111" s="114" t="n">
        <v>6</v>
      </c>
      <c r="G111" s="137">
        <f>R111*$R$3</f>
        <v/>
      </c>
      <c r="H111" s="138">
        <f>P111*(1+Q111)*$P$3+S111*$S$3</f>
        <v/>
      </c>
      <c r="I111" s="138">
        <f>T111*$T$3</f>
        <v/>
      </c>
      <c r="J111" s="138">
        <f>(G111+H111+I111)*$J$3</f>
        <v/>
      </c>
      <c r="K111" s="138">
        <f>(G111+H111+I111+J111)*$K$3</f>
        <v/>
      </c>
      <c r="L111" s="138">
        <f>G111+H111+I111+J111+K111</f>
        <v/>
      </c>
      <c r="M111" s="138">
        <f>F111*L111</f>
        <v/>
      </c>
      <c r="N111" s="118" t="n"/>
      <c r="O111" s="114">
        <f>P111*(1+Q111)+R111+S111+T111</f>
        <v/>
      </c>
      <c r="P111" s="119" t="n">
        <v>75</v>
      </c>
      <c r="Q111" s="120" t="n">
        <v>0</v>
      </c>
      <c r="R111" s="119" t="n">
        <v>20</v>
      </c>
      <c r="S111" s="121" t="n">
        <v>6</v>
      </c>
      <c r="T111" s="122" t="n">
        <v>0</v>
      </c>
      <c r="U111" s="114">
        <f>F111*O111</f>
        <v/>
      </c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</row>
    <row r="112" outlineLevel="2" ht="60" customFormat="1" customHeight="1" s="5">
      <c r="A112" s="113" t="n">
        <v>97</v>
      </c>
      <c r="B112" s="136" t="n">
        <v>30703007003</v>
      </c>
      <c r="C112" s="136" t="inlineStr">
        <is>
          <t>单层百叶风口</t>
        </is>
      </c>
      <c r="D112" s="136" t="inlineStr">
        <is>
          <t>1.名称：单层百叶风口
2.周长：≤2500mm
3.规格：1000*120
4.其他：包括但不限于满足图纸、招标文件、规范及验收要求等一切相关费用</t>
        </is>
      </c>
      <c r="E112" s="113" t="inlineStr">
        <is>
          <t>个</t>
        </is>
      </c>
      <c r="F112" s="114" t="n">
        <v>2</v>
      </c>
      <c r="G112" s="137">
        <f>R112*$R$3</f>
        <v/>
      </c>
      <c r="H112" s="138">
        <f>P112*(1+Q112)*$P$3+S112*$S$3</f>
        <v/>
      </c>
      <c r="I112" s="138">
        <f>T112*$T$3</f>
        <v/>
      </c>
      <c r="J112" s="138">
        <f>(G112+H112+I112)*$J$3</f>
        <v/>
      </c>
      <c r="K112" s="138">
        <f>(G112+H112+I112+J112)*$K$3</f>
        <v/>
      </c>
      <c r="L112" s="138">
        <f>G112+H112+I112+J112+K112</f>
        <v/>
      </c>
      <c r="M112" s="138">
        <f>F112*L112</f>
        <v/>
      </c>
      <c r="N112" s="118" t="n"/>
      <c r="O112" s="114">
        <f>P112*(1+Q112)+R112+S112+T112</f>
        <v/>
      </c>
      <c r="P112" s="119" t="n">
        <v>75</v>
      </c>
      <c r="Q112" s="120" t="n">
        <v>0</v>
      </c>
      <c r="R112" s="119" t="n">
        <v>20</v>
      </c>
      <c r="S112" s="121" t="n">
        <v>6</v>
      </c>
      <c r="T112" s="122" t="n">
        <v>0</v>
      </c>
      <c r="U112" s="114">
        <f>F112*O112</f>
        <v/>
      </c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</row>
    <row r="113" outlineLevel="2" ht="60" customFormat="1" customHeight="1" s="5">
      <c r="A113" s="113" t="n">
        <v>98</v>
      </c>
      <c r="B113" s="136" t="n">
        <v>30703007004</v>
      </c>
      <c r="C113" s="136" t="inlineStr">
        <is>
          <t>单层百叶风口</t>
        </is>
      </c>
      <c r="D113" s="136" t="inlineStr">
        <is>
          <t>1.名称：单层百叶风口
2.周长：≤3300mm
3.规格：1400*150
4.其他：包括但不限于满足图纸、招标文件、规范及验收要求等一切相关费用</t>
        </is>
      </c>
      <c r="E113" s="113" t="inlineStr">
        <is>
          <t>个</t>
        </is>
      </c>
      <c r="F113" s="114" t="n">
        <v>16</v>
      </c>
      <c r="G113" s="137">
        <f>R113*$R$3</f>
        <v/>
      </c>
      <c r="H113" s="138">
        <f>P113*(1+Q113)*$P$3+S113*$S$3</f>
        <v/>
      </c>
      <c r="I113" s="138">
        <f>T113*$T$3</f>
        <v/>
      </c>
      <c r="J113" s="138">
        <f>(G113+H113+I113)*$J$3</f>
        <v/>
      </c>
      <c r="K113" s="138">
        <f>(G113+H113+I113+J113)*$K$3</f>
        <v/>
      </c>
      <c r="L113" s="138">
        <f>G113+H113+I113+J113+K113</f>
        <v/>
      </c>
      <c r="M113" s="138">
        <f>F113*L113</f>
        <v/>
      </c>
      <c r="N113" s="118" t="n"/>
      <c r="O113" s="114">
        <f>P113*(1+Q113)+R113+S113+T113</f>
        <v/>
      </c>
      <c r="P113" s="119" t="n">
        <v>75</v>
      </c>
      <c r="Q113" s="120" t="n">
        <v>0</v>
      </c>
      <c r="R113" s="119" t="n">
        <v>20</v>
      </c>
      <c r="S113" s="121" t="n">
        <v>6</v>
      </c>
      <c r="T113" s="122" t="n">
        <v>0</v>
      </c>
      <c r="U113" s="114">
        <f>F113*O113</f>
        <v/>
      </c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</row>
    <row r="114" outlineLevel="2" ht="60" customFormat="1" customHeight="1" s="5">
      <c r="A114" s="113" t="n">
        <v>99</v>
      </c>
      <c r="B114" s="136" t="n">
        <v>30703007005</v>
      </c>
      <c r="C114" s="136" t="inlineStr">
        <is>
          <t>单层百叶风口</t>
        </is>
      </c>
      <c r="D114" s="136" t="inlineStr">
        <is>
          <t>1.名称：单层百叶风口
2.周长：≤5200mm
3.规格：2000*150
4.其他：包括但不限于满足图纸、招标文件、规范及验收要求等一切相关费用</t>
        </is>
      </c>
      <c r="E114" s="113" t="inlineStr">
        <is>
          <t>个</t>
        </is>
      </c>
      <c r="F114" s="114" t="n">
        <v>24</v>
      </c>
      <c r="G114" s="137">
        <f>R114*$R$3</f>
        <v/>
      </c>
      <c r="H114" s="138">
        <f>P114*(1+Q114)*$P$3+S114*$S$3</f>
        <v/>
      </c>
      <c r="I114" s="138">
        <f>T114*$T$3</f>
        <v/>
      </c>
      <c r="J114" s="138">
        <f>(G114+H114+I114)*$J$3</f>
        <v/>
      </c>
      <c r="K114" s="138">
        <f>(G114+H114+I114+J114)*$K$3</f>
        <v/>
      </c>
      <c r="L114" s="138">
        <f>G114+H114+I114+J114+K114</f>
        <v/>
      </c>
      <c r="M114" s="138">
        <f>F114*L114</f>
        <v/>
      </c>
      <c r="N114" s="118" t="n"/>
      <c r="O114" s="114">
        <f>P114*(1+Q114)+R114+S114+T114</f>
        <v/>
      </c>
      <c r="P114" s="119" t="n">
        <v>75</v>
      </c>
      <c r="Q114" s="120" t="n">
        <v>0</v>
      </c>
      <c r="R114" s="119" t="n">
        <v>20</v>
      </c>
      <c r="S114" s="121" t="n">
        <v>6</v>
      </c>
      <c r="T114" s="122" t="n">
        <v>0</v>
      </c>
      <c r="U114" s="114">
        <f>F114*O114</f>
        <v/>
      </c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</row>
    <row r="115" outlineLevel="2" ht="48" customFormat="1" customHeight="1" s="5">
      <c r="A115" s="113" t="n">
        <v>100</v>
      </c>
      <c r="B115" s="136" t="n">
        <v>30703021001</v>
      </c>
      <c r="C115" s="136" t="inlineStr">
        <is>
          <t>连通管</t>
        </is>
      </c>
      <c r="D115" s="136" t="inlineStr">
        <is>
          <t>1.名称：连通管
2.规格：1200(L)*300(W)*300(H)
3.其他：包括但不限于满足图纸、招标文件、规范及验收要求等一切相关费用</t>
        </is>
      </c>
      <c r="E115" s="113" t="inlineStr">
        <is>
          <t>个</t>
        </is>
      </c>
      <c r="F115" s="114" t="n">
        <v>2</v>
      </c>
      <c r="G115" s="137">
        <f>R115*$R$3</f>
        <v/>
      </c>
      <c r="H115" s="138">
        <f>P115*(1+Q115)*$P$3+S115*$S$3</f>
        <v/>
      </c>
      <c r="I115" s="138">
        <f>T115*$T$3</f>
        <v/>
      </c>
      <c r="J115" s="138">
        <f>(G115+H115+I115)*$J$3</f>
        <v/>
      </c>
      <c r="K115" s="138">
        <f>(G115+H115+I115+J115)*$K$3</f>
        <v/>
      </c>
      <c r="L115" s="138">
        <f>G115+H115+I115+J115+K115</f>
        <v/>
      </c>
      <c r="M115" s="138">
        <f>F115*L115</f>
        <v/>
      </c>
      <c r="N115" s="118" t="n"/>
      <c r="O115" s="114">
        <f>P115*(1+Q115)+R115+S115+T115</f>
        <v/>
      </c>
      <c r="P115" s="119" t="n">
        <v>45</v>
      </c>
      <c r="Q115" s="120" t="n">
        <v>0</v>
      </c>
      <c r="R115" s="119" t="n">
        <v>10</v>
      </c>
      <c r="S115" s="121" t="n">
        <v>2</v>
      </c>
      <c r="T115" s="122" t="n">
        <v>1</v>
      </c>
      <c r="U115" s="114">
        <f>F115*O115</f>
        <v/>
      </c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</row>
    <row r="116" outlineLevel="2" ht="48" customFormat="1" customHeight="1" s="5">
      <c r="A116" s="113" t="n">
        <v>101</v>
      </c>
      <c r="B116" s="136" t="n">
        <v>30703021002</v>
      </c>
      <c r="C116" s="136" t="inlineStr">
        <is>
          <t>连通管</t>
        </is>
      </c>
      <c r="D116" s="136" t="inlineStr">
        <is>
          <t>1.名称：连通管
2.规格：1200(L)*250(W)*300(H)
3.其他：包括但不限于满足图纸、招标文件、规范及验收要求等一切相关费用</t>
        </is>
      </c>
      <c r="E116" s="113" t="inlineStr">
        <is>
          <t>个</t>
        </is>
      </c>
      <c r="F116" s="114" t="n">
        <v>16</v>
      </c>
      <c r="G116" s="137">
        <f>R116*$R$3</f>
        <v/>
      </c>
      <c r="H116" s="138">
        <f>P116*(1+Q116)*$P$3+S116*$S$3</f>
        <v/>
      </c>
      <c r="I116" s="138">
        <f>T116*$T$3</f>
        <v/>
      </c>
      <c r="J116" s="138">
        <f>(G116+H116+I116)*$J$3</f>
        <v/>
      </c>
      <c r="K116" s="138">
        <f>(G116+H116+I116+J116)*$K$3</f>
        <v/>
      </c>
      <c r="L116" s="138">
        <f>G116+H116+I116+J116+K116</f>
        <v/>
      </c>
      <c r="M116" s="138">
        <f>F116*L116</f>
        <v/>
      </c>
      <c r="N116" s="118" t="n"/>
      <c r="O116" s="114">
        <f>P116*(1+Q116)+R116+S116+T116</f>
        <v/>
      </c>
      <c r="P116" s="119" t="n">
        <v>45</v>
      </c>
      <c r="Q116" s="120" t="n">
        <v>0</v>
      </c>
      <c r="R116" s="119" t="n">
        <v>10</v>
      </c>
      <c r="S116" s="121" t="n">
        <v>2</v>
      </c>
      <c r="T116" s="122" t="n">
        <v>1</v>
      </c>
      <c r="U116" s="114">
        <f>F116*O116</f>
        <v/>
      </c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</row>
    <row r="117" outlineLevel="2" ht="48" customFormat="1" customHeight="1" s="5">
      <c r="A117" s="113" t="n">
        <v>102</v>
      </c>
      <c r="B117" s="136" t="n">
        <v>30703021003</v>
      </c>
      <c r="C117" s="136" t="inlineStr">
        <is>
          <t>连通管</t>
        </is>
      </c>
      <c r="D117" s="136" t="inlineStr">
        <is>
          <t>1.名称：连通管
2.规格：2200(L)*250(W)*300(H)
3.其他：包括但不限于满足图纸、招标文件、规范及验收要求等一切相关费用</t>
        </is>
      </c>
      <c r="E117" s="113" t="inlineStr">
        <is>
          <t>个</t>
        </is>
      </c>
      <c r="F117" s="114" t="n">
        <v>24</v>
      </c>
      <c r="G117" s="137">
        <f>R117*$R$3</f>
        <v/>
      </c>
      <c r="H117" s="138">
        <f>P117*(1+Q117)*$P$3+S117*$S$3</f>
        <v/>
      </c>
      <c r="I117" s="138">
        <f>T117*$T$3</f>
        <v/>
      </c>
      <c r="J117" s="138">
        <f>(G117+H117+I117)*$J$3</f>
        <v/>
      </c>
      <c r="K117" s="138">
        <f>(G117+H117+I117+J117)*$K$3</f>
        <v/>
      </c>
      <c r="L117" s="138">
        <f>G117+H117+I117+J117+K117</f>
        <v/>
      </c>
      <c r="M117" s="138">
        <f>F117*L117</f>
        <v/>
      </c>
      <c r="N117" s="118" t="n"/>
      <c r="O117" s="114">
        <f>P117*(1+Q117)+R117+S117+T117</f>
        <v/>
      </c>
      <c r="P117" s="119" t="n">
        <v>45</v>
      </c>
      <c r="Q117" s="120" t="n">
        <v>0</v>
      </c>
      <c r="R117" s="119" t="n">
        <v>10</v>
      </c>
      <c r="S117" s="121" t="n">
        <v>2</v>
      </c>
      <c r="T117" s="122" t="n">
        <v>1</v>
      </c>
      <c r="U117" s="114">
        <f>F117*O117</f>
        <v/>
      </c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</row>
    <row r="118" outlineLevel="1" customFormat="1" s="5">
      <c r="A118" s="27" t="inlineStr"/>
      <c r="B118" s="28" t="inlineStr"/>
      <c r="C118" s="28" t="inlineStr">
        <is>
          <t>水管</t>
        </is>
      </c>
      <c r="D118" s="28" t="inlineStr"/>
      <c r="E118" s="27" t="inlineStr"/>
      <c r="F118" s="105" t="inlineStr"/>
      <c r="G118" s="135" t="n"/>
      <c r="H118" s="135" t="n"/>
      <c r="I118" s="135" t="n"/>
      <c r="J118" s="135" t="n"/>
      <c r="K118" s="135" t="n"/>
      <c r="L118" s="135" t="n"/>
      <c r="M118" s="135" t="n"/>
      <c r="N118" s="135" t="n"/>
      <c r="O118" s="135" t="n"/>
      <c r="P118" s="135" t="n"/>
      <c r="Q118" s="55" t="n"/>
      <c r="R118" s="135" t="n"/>
      <c r="S118" s="135" t="n"/>
      <c r="T118" s="135" t="n"/>
      <c r="U118" s="135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</row>
    <row r="119" outlineLevel="2" ht="72" customFormat="1" customHeight="1" s="5">
      <c r="A119" s="27" t="n">
        <v>103</v>
      </c>
      <c r="B119" s="28" t="n">
        <v>31001005001</v>
      </c>
      <c r="C119" s="28" t="inlineStr">
        <is>
          <t>铜管</t>
        </is>
      </c>
      <c r="D119" s="28" t="inlineStr">
        <is>
          <t>1.名称：紫铜管
2.规格：φ6.4
3.厚度：0.8mm
4.连接方式：钎焊连结
5.其他：包括但不限于满足图纸、招标文件、规范及验收要求等一切相关费用</t>
        </is>
      </c>
      <c r="E119" s="27" t="inlineStr">
        <is>
          <t>m</t>
        </is>
      </c>
      <c r="F119" s="105" t="n">
        <v>37.15</v>
      </c>
      <c r="G119" s="139">
        <f>R119*$R$3</f>
        <v/>
      </c>
      <c r="H119" s="140">
        <f>P119*(1+Q119)*$P$3+S119*$S$3</f>
        <v/>
      </c>
      <c r="I119" s="140">
        <f>T119*$T$3</f>
        <v/>
      </c>
      <c r="J119" s="140">
        <f>(G119+H119+I119)*$J$3</f>
        <v/>
      </c>
      <c r="K119" s="140">
        <f>(G119+H119+I119+J119)*$K$3</f>
        <v/>
      </c>
      <c r="L119" s="140">
        <f>G119+H119+I119+J119+K119</f>
        <v/>
      </c>
      <c r="M119" s="140">
        <f>F119*L119</f>
        <v/>
      </c>
      <c r="N119" s="101" t="n"/>
      <c r="O119" s="105">
        <f>P119*(1+Q119)+R119+S119+T119</f>
        <v/>
      </c>
      <c r="P119" s="111">
        <f>'架空层安装工程'!P48</f>
        <v/>
      </c>
      <c r="Q119" s="32">
        <f>'架空层安装工程'!Q48</f>
        <v/>
      </c>
      <c r="R119" s="111">
        <f>'架空层安装工程'!R48</f>
        <v/>
      </c>
      <c r="S119" s="112">
        <f>'架空层安装工程'!S48</f>
        <v/>
      </c>
      <c r="T119" s="107">
        <f>'架空层安装工程'!T48</f>
        <v/>
      </c>
      <c r="U119" s="105">
        <f>F119*O119</f>
        <v/>
      </c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</row>
    <row r="120" outlineLevel="2" ht="72" customFormat="1" customHeight="1" s="5">
      <c r="A120" s="27" t="n">
        <v>104</v>
      </c>
      <c r="B120" s="28" t="n">
        <v>31001005002</v>
      </c>
      <c r="C120" s="28" t="inlineStr">
        <is>
          <t>铜管</t>
        </is>
      </c>
      <c r="D120" s="28" t="inlineStr">
        <is>
          <t>1.名称：紫铜管
2.规格：φ9.5
3.厚度：0.8mm
4.连接方式：钎焊连结
5.其他：包括但不限于满足图纸、招标文件、规范及验收要求等一切相关费用</t>
        </is>
      </c>
      <c r="E120" s="27" t="inlineStr">
        <is>
          <t>m</t>
        </is>
      </c>
      <c r="F120" s="105" t="n">
        <v>95.8</v>
      </c>
      <c r="G120" s="139">
        <f>R120*$R$3</f>
        <v/>
      </c>
      <c r="H120" s="140">
        <f>P120*(1+Q120)*$P$3+S120*$S$3</f>
        <v/>
      </c>
      <c r="I120" s="140">
        <f>T120*$T$3</f>
        <v/>
      </c>
      <c r="J120" s="140">
        <f>(G120+H120+I120)*$J$3</f>
        <v/>
      </c>
      <c r="K120" s="140">
        <f>(G120+H120+I120+J120)*$K$3</f>
        <v/>
      </c>
      <c r="L120" s="140">
        <f>G120+H120+I120+J120+K120</f>
        <v/>
      </c>
      <c r="M120" s="140">
        <f>F120*L120</f>
        <v/>
      </c>
      <c r="N120" s="101" t="n"/>
      <c r="O120" s="105">
        <f>P120*(1+Q120)+R120+S120+T120</f>
        <v/>
      </c>
      <c r="P120" s="111">
        <f>'架空层安装工程'!P49</f>
        <v/>
      </c>
      <c r="Q120" s="32">
        <f>'架空层安装工程'!Q49</f>
        <v/>
      </c>
      <c r="R120" s="111">
        <f>'架空层安装工程'!R49</f>
        <v/>
      </c>
      <c r="S120" s="112">
        <f>'架空层安装工程'!S49</f>
        <v/>
      </c>
      <c r="T120" s="107">
        <f>'架空层安装工程'!T49</f>
        <v/>
      </c>
      <c r="U120" s="105">
        <f>F120*O120</f>
        <v/>
      </c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</row>
    <row r="121" outlineLevel="2" ht="72" customFormat="1" customHeight="1" s="5">
      <c r="A121" s="27" t="n">
        <v>105</v>
      </c>
      <c r="B121" s="28" t="n">
        <v>31001005003</v>
      </c>
      <c r="C121" s="28" t="inlineStr">
        <is>
          <t>铜管</t>
        </is>
      </c>
      <c r="D121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121" s="27" t="inlineStr">
        <is>
          <t>m</t>
        </is>
      </c>
      <c r="F121" s="105" t="n">
        <v>56.45</v>
      </c>
      <c r="G121" s="139">
        <f>R121*$R$3</f>
        <v/>
      </c>
      <c r="H121" s="140">
        <f>P121*(1+Q121)*$P$3+S121*$S$3</f>
        <v/>
      </c>
      <c r="I121" s="140">
        <f>T121*$T$3</f>
        <v/>
      </c>
      <c r="J121" s="140">
        <f>(G121+H121+I121)*$J$3</f>
        <v/>
      </c>
      <c r="K121" s="140">
        <f>(G121+H121+I121+J121)*$K$3</f>
        <v/>
      </c>
      <c r="L121" s="140">
        <f>G121+H121+I121+J121+K121</f>
        <v/>
      </c>
      <c r="M121" s="140">
        <f>F121*L121</f>
        <v/>
      </c>
      <c r="N121" s="101" t="n"/>
      <c r="O121" s="105">
        <f>P121*(1+Q121)+R121+S121+T121</f>
        <v/>
      </c>
      <c r="P121" s="111">
        <f>'架空层安装工程'!P50</f>
        <v/>
      </c>
      <c r="Q121" s="32">
        <f>'架空层安装工程'!Q50</f>
        <v/>
      </c>
      <c r="R121" s="111">
        <f>'架空层安装工程'!R50</f>
        <v/>
      </c>
      <c r="S121" s="112">
        <f>'架空层安装工程'!S50</f>
        <v/>
      </c>
      <c r="T121" s="107">
        <f>'架空层安装工程'!T50</f>
        <v/>
      </c>
      <c r="U121" s="105">
        <f>F121*O121</f>
        <v/>
      </c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</row>
    <row r="122" outlineLevel="2" ht="72" customFormat="1" customHeight="1" s="5">
      <c r="A122" s="27" t="n">
        <v>106</v>
      </c>
      <c r="B122" s="28" t="n">
        <v>31001005004</v>
      </c>
      <c r="C122" s="28" t="inlineStr">
        <is>
          <t>铜管</t>
        </is>
      </c>
      <c r="D122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122" s="27" t="inlineStr">
        <is>
          <t>m</t>
        </is>
      </c>
      <c r="F122" s="105" t="n">
        <v>102.36</v>
      </c>
      <c r="G122" s="139">
        <f>R122*$R$3</f>
        <v/>
      </c>
      <c r="H122" s="140">
        <f>P122*(1+Q122)*$P$3+S122*$S$3</f>
        <v/>
      </c>
      <c r="I122" s="140">
        <f>T122*$T$3</f>
        <v/>
      </c>
      <c r="J122" s="140">
        <f>(G122+H122+I122)*$J$3</f>
        <v/>
      </c>
      <c r="K122" s="140">
        <f>(G122+H122+I122+J122)*$K$3</f>
        <v/>
      </c>
      <c r="L122" s="140">
        <f>G122+H122+I122+J122+K122</f>
        <v/>
      </c>
      <c r="M122" s="140">
        <f>F122*L122</f>
        <v/>
      </c>
      <c r="N122" s="101" t="n"/>
      <c r="O122" s="105">
        <f>P122*(1+Q122)+R122+S122+T122</f>
        <v/>
      </c>
      <c r="P122" s="111">
        <f>'架空层安装工程'!P51</f>
        <v/>
      </c>
      <c r="Q122" s="32">
        <f>'架空层安装工程'!Q51</f>
        <v/>
      </c>
      <c r="R122" s="111">
        <f>'架空层安装工程'!R51</f>
        <v/>
      </c>
      <c r="S122" s="112">
        <f>'架空层安装工程'!S51</f>
        <v/>
      </c>
      <c r="T122" s="107">
        <f>'架空层安装工程'!T51</f>
        <v/>
      </c>
      <c r="U122" s="105">
        <f>F122*O122</f>
        <v/>
      </c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</row>
    <row r="123" outlineLevel="2" ht="72" customFormat="1" customHeight="1" s="5">
      <c r="A123" s="27" t="n">
        <v>107</v>
      </c>
      <c r="B123" s="28" t="n">
        <v>31001005005</v>
      </c>
      <c r="C123" s="28" t="inlineStr">
        <is>
          <t>铜管</t>
        </is>
      </c>
      <c r="D123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123" s="27" t="inlineStr">
        <is>
          <t>m</t>
        </is>
      </c>
      <c r="F123" s="105" t="n">
        <v>43.33</v>
      </c>
      <c r="G123" s="139">
        <f>R123*$R$3</f>
        <v/>
      </c>
      <c r="H123" s="140">
        <f>P123*(1+Q123)*$P$3+S123*$S$3</f>
        <v/>
      </c>
      <c r="I123" s="140">
        <f>T123*$T$3</f>
        <v/>
      </c>
      <c r="J123" s="140">
        <f>(G123+H123+I123)*$J$3</f>
        <v/>
      </c>
      <c r="K123" s="140">
        <f>(G123+H123+I123+J123)*$K$3</f>
        <v/>
      </c>
      <c r="L123" s="140">
        <f>G123+H123+I123+J123+K123</f>
        <v/>
      </c>
      <c r="M123" s="140">
        <f>F123*L123</f>
        <v/>
      </c>
      <c r="N123" s="101" t="n"/>
      <c r="O123" s="105">
        <f>P123*(1+Q123)+R123+S123+T123</f>
        <v/>
      </c>
      <c r="P123" s="111">
        <f>'架空层安装工程'!P52</f>
        <v/>
      </c>
      <c r="Q123" s="32">
        <f>'架空层安装工程'!Q52</f>
        <v/>
      </c>
      <c r="R123" s="111">
        <f>'架空层安装工程'!R52</f>
        <v/>
      </c>
      <c r="S123" s="112">
        <f>'架空层安装工程'!S52</f>
        <v/>
      </c>
      <c r="T123" s="107">
        <f>'架空层安装工程'!T52</f>
        <v/>
      </c>
      <c r="U123" s="105">
        <f>F123*O123</f>
        <v/>
      </c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</row>
    <row r="124" outlineLevel="2" ht="72" customFormat="1" customHeight="1" s="5">
      <c r="A124" s="27" t="n">
        <v>108</v>
      </c>
      <c r="B124" s="28" t="n">
        <v>31001005006</v>
      </c>
      <c r="C124" s="28" t="inlineStr">
        <is>
          <t>铜管</t>
        </is>
      </c>
      <c r="D124" s="28" t="inlineStr">
        <is>
          <t>1.名称：紫铜管
2.规格：φ22.2
3.厚度：1.0mm
4.连接方式：钎焊连结
5.其他：包括但不限于满足图纸、招标文件、规范及验收要求等一切相关费用</t>
        </is>
      </c>
      <c r="E124" s="27" t="inlineStr">
        <is>
          <t>m</t>
        </is>
      </c>
      <c r="F124" s="105" t="n">
        <v>22.44</v>
      </c>
      <c r="G124" s="139">
        <f>R124*$R$3</f>
        <v/>
      </c>
      <c r="H124" s="140">
        <f>P124*(1+Q124)*$P$3+S124*$S$3</f>
        <v/>
      </c>
      <c r="I124" s="140">
        <f>T124*$T$3</f>
        <v/>
      </c>
      <c r="J124" s="140">
        <f>(G124+H124+I124)*$J$3</f>
        <v/>
      </c>
      <c r="K124" s="140">
        <f>(G124+H124+I124+J124)*$K$3</f>
        <v/>
      </c>
      <c r="L124" s="140">
        <f>G124+H124+I124+J124+K124</f>
        <v/>
      </c>
      <c r="M124" s="140">
        <f>F124*L124</f>
        <v/>
      </c>
      <c r="N124" s="101" t="n"/>
      <c r="O124" s="105">
        <f>P124*(1+Q124)+R124+S124+T124</f>
        <v/>
      </c>
      <c r="P124" s="111">
        <f>'架空层安装工程'!P53</f>
        <v/>
      </c>
      <c r="Q124" s="32">
        <f>'架空层安装工程'!Q53</f>
        <v/>
      </c>
      <c r="R124" s="111">
        <f>'架空层安装工程'!R53</f>
        <v/>
      </c>
      <c r="S124" s="112">
        <f>'架空层安装工程'!S53</f>
        <v/>
      </c>
      <c r="T124" s="107">
        <f>'架空层安装工程'!T53</f>
        <v/>
      </c>
      <c r="U124" s="105">
        <f>F124*O124</f>
        <v/>
      </c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</row>
    <row r="125" outlineLevel="2" ht="72" customFormat="1" customHeight="1" s="5">
      <c r="A125" s="113" t="n">
        <v>109</v>
      </c>
      <c r="B125" s="136" t="n">
        <v>31001005007</v>
      </c>
      <c r="C125" s="136" t="inlineStr">
        <is>
          <t>铜管</t>
        </is>
      </c>
      <c r="D125" s="136" t="inlineStr">
        <is>
          <t>1.名称：紫铜管
2.规格：φ28.6
3.厚度：1.2mm
4.连接方式：钎焊连结
5.其他：包括但不限于满足图纸、招标文件、规范及验收要求等一切相关费用</t>
        </is>
      </c>
      <c r="E125" s="113" t="inlineStr">
        <is>
          <t>m</t>
        </is>
      </c>
      <c r="F125" s="114" t="n">
        <v>55.75</v>
      </c>
      <c r="G125" s="137">
        <f>R125*$R$3</f>
        <v/>
      </c>
      <c r="H125" s="138">
        <f>P125*(1+Q125)*$P$3+S125*$S$3</f>
        <v/>
      </c>
      <c r="I125" s="138">
        <f>T125*$T$3</f>
        <v/>
      </c>
      <c r="J125" s="138">
        <f>(G125+H125+I125)*$J$3</f>
        <v/>
      </c>
      <c r="K125" s="138">
        <f>(G125+H125+I125+J125)*$K$3</f>
        <v/>
      </c>
      <c r="L125" s="138">
        <f>G125+H125+I125+J125+K125</f>
        <v/>
      </c>
      <c r="M125" s="138">
        <f>F125*L125</f>
        <v/>
      </c>
      <c r="N125" s="118" t="n"/>
      <c r="O125" s="114">
        <f>P125*(1+Q125)+R125+S125+T125</f>
        <v/>
      </c>
      <c r="P125" s="119" t="n">
        <v>43.63</v>
      </c>
      <c r="Q125" s="120" t="n">
        <v>0.03</v>
      </c>
      <c r="R125" s="119" t="n">
        <v>42.95</v>
      </c>
      <c r="S125" s="121" t="n">
        <v>8.73</v>
      </c>
      <c r="T125" s="122" t="n">
        <v>0</v>
      </c>
      <c r="U125" s="114">
        <f>F125*O125</f>
        <v/>
      </c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</row>
    <row r="126" outlineLevel="2" ht="72" customFormat="1" customHeight="1" s="5">
      <c r="A126" s="113" t="n">
        <v>110</v>
      </c>
      <c r="B126" s="136" t="n">
        <v>31001005008</v>
      </c>
      <c r="C126" s="136" t="inlineStr">
        <is>
          <t>铜管</t>
        </is>
      </c>
      <c r="D126" s="136" t="inlineStr">
        <is>
          <t>1.名称：紫铜管
2.规格：φ31.8
3.厚度：1.2mm
4.连接方式：钎焊连结
5.其他：包括但不限于满足图纸、招标文件、规范及验收要求等一切相关费用</t>
        </is>
      </c>
      <c r="E126" s="113" t="inlineStr">
        <is>
          <t>m</t>
        </is>
      </c>
      <c r="F126" s="114" t="n">
        <v>35.88</v>
      </c>
      <c r="G126" s="137">
        <f>R126*$R$3</f>
        <v/>
      </c>
      <c r="H126" s="138">
        <f>P126*(1+Q126)*$P$3+S126*$S$3</f>
        <v/>
      </c>
      <c r="I126" s="138">
        <f>T126*$T$3</f>
        <v/>
      </c>
      <c r="J126" s="138">
        <f>(G126+H126+I126)*$J$3</f>
        <v/>
      </c>
      <c r="K126" s="138">
        <f>(G126+H126+I126+J126)*$K$3</f>
        <v/>
      </c>
      <c r="L126" s="138">
        <f>G126+H126+I126+J126+K126</f>
        <v/>
      </c>
      <c r="M126" s="138">
        <f>F126*L126</f>
        <v/>
      </c>
      <c r="N126" s="118" t="n"/>
      <c r="O126" s="114">
        <f>P126*(1+Q126)+R126+S126+T126</f>
        <v/>
      </c>
      <c r="P126" s="119" t="n">
        <v>46.83</v>
      </c>
      <c r="Q126" s="120" t="n">
        <v>0.03</v>
      </c>
      <c r="R126" s="119" t="n">
        <v>47.74</v>
      </c>
      <c r="S126" s="121" t="n">
        <v>9.369999999999999</v>
      </c>
      <c r="T126" s="122" t="n">
        <v>0</v>
      </c>
      <c r="U126" s="114">
        <f>F126*O126</f>
        <v/>
      </c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</row>
    <row r="127" outlineLevel="2" ht="48" customFormat="1" customHeight="1" s="5">
      <c r="A127" s="27" t="n">
        <v>111</v>
      </c>
      <c r="B127" s="28" t="n">
        <v>31002001002</v>
      </c>
      <c r="C127" s="28" t="inlineStr">
        <is>
          <t>分歧器</t>
        </is>
      </c>
      <c r="D127" s="28" t="inlineStr">
        <is>
          <t>1.名称：分歧器
2.规格：公称直径20mm以内
3.其他：包括但不限于满足图纸、招标文件、规范及验收要求等一切相关费用</t>
        </is>
      </c>
      <c r="E127" s="27" t="inlineStr">
        <is>
          <t>个</t>
        </is>
      </c>
      <c r="F127" s="105" t="n">
        <v>11</v>
      </c>
      <c r="G127" s="139">
        <f>R127*$R$3</f>
        <v/>
      </c>
      <c r="H127" s="140">
        <f>P127*(1+Q127)*$P$3+S127*$S$3</f>
        <v/>
      </c>
      <c r="I127" s="140">
        <f>T127*$T$3</f>
        <v/>
      </c>
      <c r="J127" s="140">
        <f>(G127+H127+I127)*$J$3</f>
        <v/>
      </c>
      <c r="K127" s="140">
        <f>(G127+H127+I127+J127)*$K$3</f>
        <v/>
      </c>
      <c r="L127" s="140">
        <f>G127+H127+I127+J127+K127</f>
        <v/>
      </c>
      <c r="M127" s="140">
        <f>F127*L127</f>
        <v/>
      </c>
      <c r="N127" s="101" t="n"/>
      <c r="O127" s="105">
        <f>P127*(1+Q127)+R127+S127+T127</f>
        <v/>
      </c>
      <c r="P127" s="111">
        <f>'架空层安装工程'!P54</f>
        <v/>
      </c>
      <c r="Q127" s="32">
        <f>'架空层安装工程'!Q54</f>
        <v/>
      </c>
      <c r="R127" s="111">
        <f>'架空层安装工程'!R54</f>
        <v/>
      </c>
      <c r="S127" s="112">
        <f>'架空层安装工程'!S54</f>
        <v/>
      </c>
      <c r="T127" s="107">
        <f>'架空层安装工程'!T54</f>
        <v/>
      </c>
      <c r="U127" s="105">
        <f>F127*O127</f>
        <v/>
      </c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</row>
    <row r="128" outlineLevel="2" ht="48" customFormat="1" customHeight="1" s="5">
      <c r="A128" s="113" t="n">
        <v>112</v>
      </c>
      <c r="B128" s="136" t="n">
        <v>31002001003</v>
      </c>
      <c r="C128" s="136" t="inlineStr">
        <is>
          <t>分歧器</t>
        </is>
      </c>
      <c r="D128" s="136" t="inlineStr">
        <is>
          <t>1.名称：分歧器
2.规格：公称直径30mm以内
3.其他：包括但不限于满足图纸、招标文件、规范及验收要求等一切相关费用</t>
        </is>
      </c>
      <c r="E128" s="113" t="inlineStr">
        <is>
          <t>个</t>
        </is>
      </c>
      <c r="F128" s="114" t="n">
        <v>12</v>
      </c>
      <c r="G128" s="137">
        <f>R128*$R$3</f>
        <v/>
      </c>
      <c r="H128" s="138">
        <f>P128*(1+Q128)*$P$3+S128*$S$3</f>
        <v/>
      </c>
      <c r="I128" s="138">
        <f>T128*$T$3</f>
        <v/>
      </c>
      <c r="J128" s="138">
        <f>(G128+H128+I128)*$J$3</f>
        <v/>
      </c>
      <c r="K128" s="138">
        <f>(G128+H128+I128+J128)*$K$3</f>
        <v/>
      </c>
      <c r="L128" s="138">
        <f>G128+H128+I128+J128+K128</f>
        <v/>
      </c>
      <c r="M128" s="138">
        <f>F128*L128</f>
        <v/>
      </c>
      <c r="N128" s="118" t="n"/>
      <c r="O128" s="114">
        <f>P128*(1+Q128)+R128+S128+T128</f>
        <v/>
      </c>
      <c r="P128" s="119" t="n">
        <v>118</v>
      </c>
      <c r="Q128" s="120" t="n">
        <v>0</v>
      </c>
      <c r="R128" s="119" t="n">
        <v>94</v>
      </c>
      <c r="S128" s="121" t="n">
        <v>59</v>
      </c>
      <c r="T128" s="122" t="n">
        <v>4.7</v>
      </c>
      <c r="U128" s="114">
        <f>F128*O128</f>
        <v/>
      </c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</row>
    <row r="129" outlineLevel="2" ht="48" customFormat="1" customHeight="1" s="5">
      <c r="A129" s="113" t="n">
        <v>113</v>
      </c>
      <c r="B129" s="136" t="n">
        <v>31002001004</v>
      </c>
      <c r="C129" s="136" t="inlineStr">
        <is>
          <t>分歧器</t>
        </is>
      </c>
      <c r="D129" s="136" t="inlineStr">
        <is>
          <t>1.名称：分歧器
2.规格：公称直径40mm以内
3.其他：包括但不限于满足图纸、招标文件、规范及验收要求等一切相关费用</t>
        </is>
      </c>
      <c r="E129" s="113" t="inlineStr">
        <is>
          <t>个</t>
        </is>
      </c>
      <c r="F129" s="114" t="n">
        <v>4</v>
      </c>
      <c r="G129" s="137">
        <f>R129*$R$3</f>
        <v/>
      </c>
      <c r="H129" s="138">
        <f>P129*(1+Q129)*$P$3+S129*$S$3</f>
        <v/>
      </c>
      <c r="I129" s="138">
        <f>T129*$T$3</f>
        <v/>
      </c>
      <c r="J129" s="138">
        <f>(G129+H129+I129)*$J$3</f>
        <v/>
      </c>
      <c r="K129" s="138">
        <f>(G129+H129+I129+J129)*$K$3</f>
        <v/>
      </c>
      <c r="L129" s="138">
        <f>G129+H129+I129+J129+K129</f>
        <v/>
      </c>
      <c r="M129" s="138">
        <f>F129*L129</f>
        <v/>
      </c>
      <c r="N129" s="118" t="n"/>
      <c r="O129" s="114">
        <f>P129*(1+Q129)+R129+S129+T129</f>
        <v/>
      </c>
      <c r="P129" s="119" t="n">
        <v>118</v>
      </c>
      <c r="Q129" s="120" t="n">
        <v>0</v>
      </c>
      <c r="R129" s="119" t="n">
        <v>94</v>
      </c>
      <c r="S129" s="121" t="n">
        <v>59</v>
      </c>
      <c r="T129" s="122" t="n">
        <v>4.7</v>
      </c>
      <c r="U129" s="114">
        <f>F129*O129</f>
        <v/>
      </c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</row>
    <row r="130" outlineLevel="2" ht="72" customFormat="1" customHeight="1" s="5">
      <c r="A130" s="27" t="n">
        <v>114</v>
      </c>
      <c r="B130" s="28" t="n">
        <v>31001008011</v>
      </c>
      <c r="C130" s="28" t="inlineStr">
        <is>
          <t>塑料管</t>
        </is>
      </c>
      <c r="D130" s="28" t="inlineStr">
        <is>
          <t>1.名称：UPVC管
2.规格：DN20
3.介质：冷凝水
4.连接方式：粘接
5.其他：包括但不限于满足图纸、招标文件、规范及验收要求等一切相关费用</t>
        </is>
      </c>
      <c r="E130" s="27" t="inlineStr">
        <is>
          <t>m</t>
        </is>
      </c>
      <c r="F130" s="105" t="n">
        <v>45.57</v>
      </c>
      <c r="G130" s="139">
        <f>R130*$R$3</f>
        <v/>
      </c>
      <c r="H130" s="140">
        <f>P130*(1+Q130)*$P$3+S130*$S$3</f>
        <v/>
      </c>
      <c r="I130" s="140">
        <f>T130*$T$3</f>
        <v/>
      </c>
      <c r="J130" s="140">
        <f>(G130+H130+I130)*$J$3</f>
        <v/>
      </c>
      <c r="K130" s="140">
        <f>(G130+H130+I130+J130)*$K$3</f>
        <v/>
      </c>
      <c r="L130" s="140">
        <f>G130+H130+I130+J130+K130</f>
        <v/>
      </c>
      <c r="M130" s="140">
        <f>F130*L130</f>
        <v/>
      </c>
      <c r="N130" s="101" t="n"/>
      <c r="O130" s="105">
        <f>P130*(1+Q130)+R130+S130+T130</f>
        <v/>
      </c>
      <c r="P130" s="111">
        <f>'样板房安装工程'!P83</f>
        <v/>
      </c>
      <c r="Q130" s="32">
        <f>'样板房安装工程'!Q83</f>
        <v/>
      </c>
      <c r="R130" s="111">
        <f>'样板房安装工程'!R83</f>
        <v/>
      </c>
      <c r="S130" s="112">
        <f>'样板房安装工程'!S83</f>
        <v/>
      </c>
      <c r="T130" s="107">
        <f>'样板房安装工程'!T83</f>
        <v/>
      </c>
      <c r="U130" s="105">
        <f>F130*O130</f>
        <v/>
      </c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</row>
    <row r="131" outlineLevel="2" ht="72" customFormat="1" customHeight="1" s="5">
      <c r="A131" s="27" t="n">
        <v>115</v>
      </c>
      <c r="B131" s="28" t="n">
        <v>31001008012</v>
      </c>
      <c r="C131" s="28" t="inlineStr">
        <is>
          <t>塑料管</t>
        </is>
      </c>
      <c r="D131" s="28" t="inlineStr">
        <is>
          <t>1.名称：UPVC管
2.规格：DN25
3.介质：冷凝水
4.连接方式：粘接
5.其他：包括但不限于满足图纸、招标文件、规范及验收要求等一切相关费用</t>
        </is>
      </c>
      <c r="E131" s="27" t="inlineStr">
        <is>
          <t>m</t>
        </is>
      </c>
      <c r="F131" s="105" t="n">
        <v>63.86</v>
      </c>
      <c r="G131" s="139">
        <f>R131*$R$3</f>
        <v/>
      </c>
      <c r="H131" s="140">
        <f>P131*(1+Q131)*$P$3+S131*$S$3</f>
        <v/>
      </c>
      <c r="I131" s="140">
        <f>T131*$T$3</f>
        <v/>
      </c>
      <c r="J131" s="140">
        <f>(G131+H131+I131)*$J$3</f>
        <v/>
      </c>
      <c r="K131" s="140">
        <f>(G131+H131+I131+J131)*$K$3</f>
        <v/>
      </c>
      <c r="L131" s="140">
        <f>G131+H131+I131+J131+K131</f>
        <v/>
      </c>
      <c r="M131" s="140">
        <f>F131*L131</f>
        <v/>
      </c>
      <c r="N131" s="101" t="n"/>
      <c r="O131" s="105">
        <f>P131*(1+Q131)+R131+S131+T131</f>
        <v/>
      </c>
      <c r="P131" s="111">
        <f>'架空层安装工程'!P55</f>
        <v/>
      </c>
      <c r="Q131" s="32">
        <f>'架空层安装工程'!Q55</f>
        <v/>
      </c>
      <c r="R131" s="111">
        <f>'架空层安装工程'!R55</f>
        <v/>
      </c>
      <c r="S131" s="112">
        <f>'架空层安装工程'!S55</f>
        <v/>
      </c>
      <c r="T131" s="107">
        <f>'架空层安装工程'!T55</f>
        <v/>
      </c>
      <c r="U131" s="105">
        <f>F131*O131</f>
        <v/>
      </c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</row>
    <row r="132" outlineLevel="2" ht="72" customFormat="1" customHeight="1" s="5">
      <c r="A132" s="27" t="n">
        <v>116</v>
      </c>
      <c r="B132" s="28" t="n">
        <v>31001008013</v>
      </c>
      <c r="C132" s="28" t="inlineStr">
        <is>
          <t>塑料管</t>
        </is>
      </c>
      <c r="D132" s="28" t="inlineStr">
        <is>
          <t>1.名称：UPVC管
2.规格：DN32
3.介质：冷凝水
4.连接方式：粘接
5.其他：包括但不限于满足图纸、招标文件、规范及验收要求等一切相关费用</t>
        </is>
      </c>
      <c r="E132" s="27" t="inlineStr">
        <is>
          <t>m</t>
        </is>
      </c>
      <c r="F132" s="105" t="n">
        <v>44.21</v>
      </c>
      <c r="G132" s="139">
        <f>R132*$R$3</f>
        <v/>
      </c>
      <c r="H132" s="140">
        <f>P132*(1+Q132)*$P$3+S132*$S$3</f>
        <v/>
      </c>
      <c r="I132" s="140">
        <f>T132*$T$3</f>
        <v/>
      </c>
      <c r="J132" s="140">
        <f>(G132+H132+I132)*$J$3</f>
        <v/>
      </c>
      <c r="K132" s="140">
        <f>(G132+H132+I132+J132)*$K$3</f>
        <v/>
      </c>
      <c r="L132" s="140">
        <f>G132+H132+I132+J132+K132</f>
        <v/>
      </c>
      <c r="M132" s="140">
        <f>F132*L132</f>
        <v/>
      </c>
      <c r="N132" s="101" t="n"/>
      <c r="O132" s="105">
        <f>P132*(1+Q132)+R132+S132+T132</f>
        <v/>
      </c>
      <c r="P132" s="111">
        <f>'架空层安装工程'!P56</f>
        <v/>
      </c>
      <c r="Q132" s="32">
        <f>'架空层安装工程'!Q56</f>
        <v/>
      </c>
      <c r="R132" s="111">
        <f>'架空层安装工程'!R56</f>
        <v/>
      </c>
      <c r="S132" s="112">
        <f>'架空层安装工程'!S56</f>
        <v/>
      </c>
      <c r="T132" s="107">
        <f>'架空层安装工程'!T56</f>
        <v/>
      </c>
      <c r="U132" s="105">
        <f>F132*O132</f>
        <v/>
      </c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</row>
    <row r="133" outlineLevel="2" ht="72" customFormat="1" customHeight="1" s="5">
      <c r="A133" s="27" t="n">
        <v>117</v>
      </c>
      <c r="B133" s="28" t="n">
        <v>31001008014</v>
      </c>
      <c r="C133" s="28" t="inlineStr">
        <is>
          <t>塑料管</t>
        </is>
      </c>
      <c r="D133" s="28" t="inlineStr">
        <is>
          <t>1.名称：UPVC管
2.规格：DN40
3.介质：冷凝水
4.连接方式：粘接
5.其他：包括但不限于满足图纸、招标文件、规范及验收要求等一切相关费用</t>
        </is>
      </c>
      <c r="E133" s="27" t="inlineStr">
        <is>
          <t>m</t>
        </is>
      </c>
      <c r="F133" s="105" t="n">
        <v>45.78</v>
      </c>
      <c r="G133" s="139">
        <f>R133*$R$3</f>
        <v/>
      </c>
      <c r="H133" s="140">
        <f>P133*(1+Q133)*$P$3+S133*$S$3</f>
        <v/>
      </c>
      <c r="I133" s="140">
        <f>T133*$T$3</f>
        <v/>
      </c>
      <c r="J133" s="140">
        <f>(G133+H133+I133)*$J$3</f>
        <v/>
      </c>
      <c r="K133" s="140">
        <f>(G133+H133+I133+J133)*$K$3</f>
        <v/>
      </c>
      <c r="L133" s="140">
        <f>G133+H133+I133+J133+K133</f>
        <v/>
      </c>
      <c r="M133" s="140">
        <f>F133*L133</f>
        <v/>
      </c>
      <c r="N133" s="101" t="n"/>
      <c r="O133" s="105">
        <f>P133*(1+Q133)+R133+S133+T133</f>
        <v/>
      </c>
      <c r="P133" s="111">
        <f>'架空层安装工程'!P57</f>
        <v/>
      </c>
      <c r="Q133" s="32">
        <f>'架空层安装工程'!Q57</f>
        <v/>
      </c>
      <c r="R133" s="111">
        <f>'架空层安装工程'!R57</f>
        <v/>
      </c>
      <c r="S133" s="112">
        <f>'架空层安装工程'!S57</f>
        <v/>
      </c>
      <c r="T133" s="107">
        <f>'架空层安装工程'!T57</f>
        <v/>
      </c>
      <c r="U133" s="105">
        <f>F133*O133</f>
        <v/>
      </c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</row>
    <row r="134" outlineLevel="2" ht="72" customFormat="1" customHeight="1" s="5">
      <c r="A134" s="113" t="n">
        <v>118</v>
      </c>
      <c r="B134" s="136" t="n">
        <v>31001008015</v>
      </c>
      <c r="C134" s="136" t="inlineStr">
        <is>
          <t>塑料管</t>
        </is>
      </c>
      <c r="D134" s="136" t="inlineStr">
        <is>
          <t>1.名称：UPVC管
2.规格：DN50
3.介质：冷凝水
4.连接方式：粘接
5.其他：包括但不限于满足图纸、招标文件、规范及验收要求等一切相关费用</t>
        </is>
      </c>
      <c r="E134" s="113" t="inlineStr">
        <is>
          <t>m</t>
        </is>
      </c>
      <c r="F134" s="114" t="n">
        <v>3.47</v>
      </c>
      <c r="G134" s="137">
        <f>R134*$R$3</f>
        <v/>
      </c>
      <c r="H134" s="138">
        <f>P134*(1+Q134)*$P$3+S134*$S$3</f>
        <v/>
      </c>
      <c r="I134" s="138">
        <f>T134*$T$3</f>
        <v/>
      </c>
      <c r="J134" s="138">
        <f>(G134+H134+I134)*$J$3</f>
        <v/>
      </c>
      <c r="K134" s="138">
        <f>(G134+H134+I134+J134)*$K$3</f>
        <v/>
      </c>
      <c r="L134" s="138">
        <f>G134+H134+I134+J134+K134</f>
        <v/>
      </c>
      <c r="M134" s="138">
        <f>F134*L134</f>
        <v/>
      </c>
      <c r="N134" s="118" t="n"/>
      <c r="O134" s="114">
        <f>P134*(1+Q134)+R134+S134+T134</f>
        <v/>
      </c>
      <c r="P134" s="119" t="n">
        <v>15</v>
      </c>
      <c r="Q134" s="120" t="n">
        <v>0</v>
      </c>
      <c r="R134" s="119" t="n">
        <v>24</v>
      </c>
      <c r="S134" s="121" t="n">
        <v>1.27</v>
      </c>
      <c r="T134" s="122" t="n">
        <v>0.23</v>
      </c>
      <c r="U134" s="114">
        <f>F134*O134</f>
        <v/>
      </c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</row>
    <row r="135" outlineLevel="2" ht="60" customFormat="1" customHeight="1" s="5">
      <c r="A135" s="27" t="n">
        <v>119</v>
      </c>
      <c r="B135" s="28" t="n">
        <v>31208002001</v>
      </c>
      <c r="C135" s="28" t="inlineStr">
        <is>
          <t>其他管道绝热</t>
        </is>
      </c>
      <c r="D135" s="28" t="inlineStr">
        <is>
          <t>1.名称：冷媒管保温
2.材质：难燃B1级橡塑
3.厚度：20mm
4.其他：包括但不限于满足图纸、招标文件、规范及验收要求等一切相关费用</t>
        </is>
      </c>
      <c r="E135" s="27" t="inlineStr">
        <is>
          <t>m3</t>
        </is>
      </c>
      <c r="F135" s="105" t="n">
        <v>0.76</v>
      </c>
      <c r="G135" s="139">
        <f>R135*$R$3</f>
        <v/>
      </c>
      <c r="H135" s="140">
        <f>P135*(1+Q135)*$P$3+S135*$S$3</f>
        <v/>
      </c>
      <c r="I135" s="140">
        <f>T135*$T$3</f>
        <v/>
      </c>
      <c r="J135" s="140">
        <f>(G135+H135+I135)*$J$3</f>
        <v/>
      </c>
      <c r="K135" s="140">
        <f>(G135+H135+I135+J135)*$K$3</f>
        <v/>
      </c>
      <c r="L135" s="140">
        <f>G135+H135+I135+J135+K135</f>
        <v/>
      </c>
      <c r="M135" s="140">
        <f>F135*L135</f>
        <v/>
      </c>
      <c r="N135" s="101" t="n"/>
      <c r="O135" s="105">
        <f>P135*(1+Q135)+R135+S135+T135</f>
        <v/>
      </c>
      <c r="P135" s="111">
        <f>'架空层安装工程'!P58</f>
        <v/>
      </c>
      <c r="Q135" s="32">
        <f>'架空层安装工程'!Q58</f>
        <v/>
      </c>
      <c r="R135" s="111">
        <f>'架空层安装工程'!R58</f>
        <v/>
      </c>
      <c r="S135" s="112">
        <f>'架空层安装工程'!S58</f>
        <v/>
      </c>
      <c r="T135" s="107">
        <f>'架空层安装工程'!T58</f>
        <v/>
      </c>
      <c r="U135" s="105">
        <f>F135*O135</f>
        <v/>
      </c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</row>
    <row r="136" outlineLevel="2" ht="60" customFormat="1" customHeight="1" s="5">
      <c r="A136" s="113" t="n">
        <v>120</v>
      </c>
      <c r="B136" s="136" t="n">
        <v>31208002002</v>
      </c>
      <c r="C136" s="136" t="inlineStr">
        <is>
          <t>其他管道绝热</t>
        </is>
      </c>
      <c r="D136" s="136" t="inlineStr">
        <is>
          <t>1.名称：冷媒管保温
2.材质：难燃B1级橡塑
3.厚度：25mm
4.其他：包括但不限于满足图纸、招标文件、规范及验收要求等一切相关费用</t>
        </is>
      </c>
      <c r="E136" s="113" t="inlineStr">
        <is>
          <t>m3</t>
        </is>
      </c>
      <c r="F136" s="114" t="n">
        <v>0.45</v>
      </c>
      <c r="G136" s="137">
        <f>R136*$R$3</f>
        <v/>
      </c>
      <c r="H136" s="138">
        <f>P136*(1+Q136)*$P$3+S136*$S$3</f>
        <v/>
      </c>
      <c r="I136" s="138">
        <f>T136*$T$3</f>
        <v/>
      </c>
      <c r="J136" s="138">
        <f>(G136+H136+I136)*$J$3</f>
        <v/>
      </c>
      <c r="K136" s="138">
        <f>(G136+H136+I136+J136)*$K$3</f>
        <v/>
      </c>
      <c r="L136" s="138">
        <f>G136+H136+I136+J136+K136</f>
        <v/>
      </c>
      <c r="M136" s="138">
        <f>F136*L136</f>
        <v/>
      </c>
      <c r="N136" s="118" t="n"/>
      <c r="O136" s="114">
        <f>P136*(1+Q136)+R136+S136+T136</f>
        <v/>
      </c>
      <c r="P136" s="119" t="n">
        <v>400</v>
      </c>
      <c r="Q136" s="120" t="n">
        <v>0</v>
      </c>
      <c r="R136" s="119" t="n">
        <v>120</v>
      </c>
      <c r="S136" s="121" t="n">
        <v>10</v>
      </c>
      <c r="T136" s="122" t="n">
        <v>5</v>
      </c>
      <c r="U136" s="114">
        <f>F136*O136</f>
        <v/>
      </c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</row>
    <row r="137" outlineLevel="2" ht="60" customFormat="1" customHeight="1" s="5">
      <c r="A137" s="27" t="n">
        <v>121</v>
      </c>
      <c r="B137" s="28" t="n">
        <v>31208002003</v>
      </c>
      <c r="C137" s="28" t="inlineStr">
        <is>
          <t>其他管道绝热</t>
        </is>
      </c>
      <c r="D137" s="28" t="inlineStr">
        <is>
          <t>1.名称：冷凝管保温
2.材质：难燃B1级橡塑
3.厚度：13mm
4.其他：包括但不限于满足图纸、招标文件、规范及验收要求等一切相关费用</t>
        </is>
      </c>
      <c r="E137" s="27" t="inlineStr">
        <is>
          <t>m3</t>
        </is>
      </c>
      <c r="F137" s="105" t="n">
        <v>0.44</v>
      </c>
      <c r="G137" s="139">
        <f>R137*$R$3</f>
        <v/>
      </c>
      <c r="H137" s="140">
        <f>P137*(1+Q137)*$P$3+S137*$S$3</f>
        <v/>
      </c>
      <c r="I137" s="140">
        <f>T137*$T$3</f>
        <v/>
      </c>
      <c r="J137" s="140">
        <f>(G137+H137+I137)*$J$3</f>
        <v/>
      </c>
      <c r="K137" s="140">
        <f>(G137+H137+I137+J137)*$K$3</f>
        <v/>
      </c>
      <c r="L137" s="140">
        <f>G137+H137+I137+J137+K137</f>
        <v/>
      </c>
      <c r="M137" s="140">
        <f>F137*L137</f>
        <v/>
      </c>
      <c r="N137" s="101" t="n"/>
      <c r="O137" s="105">
        <f>P137*(1+Q137)+R137+S137+T137</f>
        <v/>
      </c>
      <c r="P137" s="111">
        <f>'架空层安装工程'!P59</f>
        <v/>
      </c>
      <c r="Q137" s="32">
        <f>'架空层安装工程'!Q59</f>
        <v/>
      </c>
      <c r="R137" s="111">
        <f>'架空层安装工程'!R59</f>
        <v/>
      </c>
      <c r="S137" s="112">
        <f>'架空层安装工程'!S59</f>
        <v/>
      </c>
      <c r="T137" s="107">
        <f>'架空层安装工程'!T59</f>
        <v/>
      </c>
      <c r="U137" s="105">
        <f>F137*O137</f>
        <v/>
      </c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</row>
    <row r="138" outlineLevel="2" ht="60" customFormat="1" customHeight="1" s="5">
      <c r="A138" s="113" t="n">
        <v>122</v>
      </c>
      <c r="B138" s="136" t="n">
        <v>31301005002</v>
      </c>
      <c r="C138" s="136" t="inlineStr">
        <is>
          <t>管道支架</t>
        </is>
      </c>
      <c r="D138" s="136" t="inlineStr">
        <is>
          <t>1.名称：管道支架
2.刷油防腐：除锈后樟丹防锈漆二道，醇酸磁漆二道
3.其他：包括但不限于满足图纸、招标文件、规范及验收要求等一切相关费用</t>
        </is>
      </c>
      <c r="E138" s="113" t="inlineStr">
        <is>
          <t>Kg</t>
        </is>
      </c>
      <c r="F138" s="114" t="n">
        <v>214.86</v>
      </c>
      <c r="G138" s="137">
        <f>R138*$R$3</f>
        <v/>
      </c>
      <c r="H138" s="138">
        <f>P138*(1+Q138)*$P$3+S138*$S$3</f>
        <v/>
      </c>
      <c r="I138" s="138">
        <f>T138*$T$3</f>
        <v/>
      </c>
      <c r="J138" s="138">
        <f>(G138+H138+I138)*$J$3</f>
        <v/>
      </c>
      <c r="K138" s="138">
        <f>(G138+H138+I138+J138)*$K$3</f>
        <v/>
      </c>
      <c r="L138" s="138">
        <f>G138+H138+I138+J138+K138</f>
        <v/>
      </c>
      <c r="M138" s="138">
        <f>F138*L138</f>
        <v/>
      </c>
      <c r="N138" s="118" t="n"/>
      <c r="O138" s="114">
        <f>P138*(1+Q138)+R138+S138+T138</f>
        <v/>
      </c>
      <c r="P138" s="119" t="n">
        <v>7</v>
      </c>
      <c r="Q138" s="120" t="n">
        <v>0</v>
      </c>
      <c r="R138" s="119" t="n">
        <v>1.5</v>
      </c>
      <c r="S138" s="121" t="n">
        <v>0.5</v>
      </c>
      <c r="T138" s="122" t="n">
        <v>0.3</v>
      </c>
      <c r="U138" s="114">
        <f>F138*O138</f>
        <v/>
      </c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</row>
    <row r="139" ht="25" customHeight="1" s="95">
      <c r="A139" s="61" t="n"/>
      <c r="B139" s="62" t="inlineStr">
        <is>
          <t>税前合价</t>
        </is>
      </c>
      <c r="C139" s="62" t="n"/>
      <c r="D139" s="62" t="n"/>
      <c r="E139" s="63" t="inlineStr">
        <is>
          <t>元</t>
        </is>
      </c>
      <c r="F139" s="63" t="n"/>
      <c r="G139" s="141" t="n"/>
      <c r="H139" s="142" t="n"/>
      <c r="I139" s="142" t="n"/>
      <c r="J139" s="142" t="n"/>
      <c r="K139" s="142" t="n"/>
      <c r="L139" s="142" t="n"/>
      <c r="M139" s="143">
        <f>SUM(M4:M138)</f>
        <v/>
      </c>
      <c r="N139" s="135" t="n"/>
      <c r="O139" s="135" t="n"/>
      <c r="P139" s="135" t="n"/>
      <c r="Q139" s="55" t="n"/>
      <c r="R139" s="135" t="n"/>
      <c r="S139" s="135" t="n"/>
      <c r="T139" s="135" t="n"/>
      <c r="U139" s="135" t="n"/>
    </row>
    <row r="140" ht="25" customHeight="1" s="95">
      <c r="A140" s="61" t="n"/>
      <c r="B140" s="62" t="inlineStr">
        <is>
          <t>税金</t>
        </is>
      </c>
      <c r="C140" s="62" t="n"/>
      <c r="D140" s="62" t="n"/>
      <c r="E140" s="63" t="inlineStr">
        <is>
          <t>元</t>
        </is>
      </c>
      <c r="F140" s="63" t="n"/>
      <c r="G140" s="141" t="n"/>
      <c r="H140" s="142" t="n"/>
      <c r="I140" s="142" t="n"/>
      <c r="J140" s="142" t="n"/>
      <c r="K140" s="142" t="n"/>
      <c r="L140" s="142" t="n"/>
      <c r="M140" s="143">
        <f>M139*0.09</f>
        <v/>
      </c>
      <c r="N140" s="135" t="n"/>
      <c r="O140" s="135" t="n"/>
      <c r="P140" s="135" t="n"/>
      <c r="Q140" s="55" t="n"/>
      <c r="R140" s="135" t="n"/>
      <c r="S140" s="135" t="n"/>
      <c r="T140" s="135" t="n"/>
      <c r="U140" s="135" t="n"/>
    </row>
    <row r="141" ht="25" customHeight="1" s="95">
      <c r="A141" s="61" t="n"/>
      <c r="B141" s="62" t="inlineStr">
        <is>
          <t>含税合价</t>
        </is>
      </c>
      <c r="C141" s="62" t="n"/>
      <c r="D141" s="62" t="n"/>
      <c r="E141" s="63" t="inlineStr">
        <is>
          <t>元</t>
        </is>
      </c>
      <c r="F141" s="63" t="n"/>
      <c r="G141" s="141" t="n"/>
      <c r="H141" s="142" t="n"/>
      <c r="I141" s="142" t="n"/>
      <c r="J141" s="142" t="n"/>
      <c r="K141" s="142" t="n"/>
      <c r="L141" s="142" t="n"/>
      <c r="M141" s="143">
        <f>M139+M140</f>
        <v/>
      </c>
      <c r="N141" s="135" t="n"/>
      <c r="O141" s="135" t="n"/>
      <c r="P141" s="135" t="n"/>
      <c r="Q141" s="55" t="n"/>
      <c r="R141" s="135" t="n"/>
      <c r="S141" s="135" t="n"/>
      <c r="T141" s="135" t="n"/>
      <c r="U141" s="135" t="n"/>
    </row>
  </sheetData>
  <autoFilter ref="A2:AF141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9" horizontalDpi="600"/>
  <headerFooter>
    <oddHeader/>
    <oddFooter>&amp;C第 &amp;P 页，共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261"/>
  <sheetViews>
    <sheetView view="pageBreakPreview" zoomScaleNormal="100" workbookViewId="0">
      <pane xSplit="5" ySplit="3" topLeftCell="F255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6.875" customWidth="1" style="5" min="1" max="1"/>
    <col width="13.25" customWidth="1" style="5" min="2" max="2"/>
    <col width="18" customWidth="1" style="5" min="3" max="3"/>
    <col width="25.75" customWidth="1" style="5" min="4" max="4"/>
    <col width="5.625" customWidth="1" style="5" min="5" max="5"/>
    <col width="11.7166666666667" customWidth="1" style="144" min="6" max="6"/>
    <col width="9" customWidth="1" style="5" min="7" max="12"/>
    <col width="11.37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样板房安装工程工程量清单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5" t="inlineStr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109户型</t>
        </is>
      </c>
      <c r="D5" s="28" t="inlineStr"/>
      <c r="E5" s="27" t="inlineStr"/>
      <c r="F5" s="145" t="inlineStr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customFormat="1" s="5">
      <c r="A6" s="27" t="inlineStr"/>
      <c r="B6" s="28" t="inlineStr"/>
      <c r="C6" s="28" t="inlineStr">
        <is>
          <t>电气工程</t>
        </is>
      </c>
      <c r="D6" s="28" t="inlineStr"/>
      <c r="E6" s="27" t="inlineStr"/>
      <c r="F6" s="145" t="inlineStr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</row>
    <row r="7" outlineLevel="2" customFormat="1" s="5">
      <c r="A7" s="27" t="inlineStr"/>
      <c r="B7" s="28" t="inlineStr"/>
      <c r="C7" s="28" t="inlineStr">
        <is>
          <t>灯具、电器</t>
        </is>
      </c>
      <c r="D7" s="28" t="inlineStr"/>
      <c r="E7" s="27" t="inlineStr"/>
      <c r="F7" s="145" t="inlineStr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</row>
    <row r="8" outlineLevel="3" ht="84" customFormat="1" customHeight="1" s="5">
      <c r="A8" s="113" t="n">
        <v>1</v>
      </c>
      <c r="B8" s="136" t="n">
        <v>30413002001</v>
      </c>
      <c r="C8" s="136" t="inlineStr">
        <is>
          <t>R1 LED嵌入式射灯</t>
        </is>
      </c>
      <c r="D8" s="136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8" s="113" t="inlineStr">
        <is>
          <t>套</t>
        </is>
      </c>
      <c r="F8" s="146" t="n">
        <v>20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6</v>
      </c>
      <c r="T8" s="122" t="n">
        <v>8</v>
      </c>
      <c r="U8" s="114">
        <f>F8*O8</f>
        <v/>
      </c>
    </row>
    <row r="9" outlineLevel="3" ht="96" customFormat="1" customHeight="1" s="5">
      <c r="A9" s="113" t="n">
        <v>2</v>
      </c>
      <c r="B9" s="136" t="n">
        <v>30413002002</v>
      </c>
      <c r="C9" s="136" t="inlineStr">
        <is>
          <t>R2 LED嵌入式可调角射灯</t>
        </is>
      </c>
      <c r="D9" s="136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9" s="113" t="inlineStr">
        <is>
          <t>套</t>
        </is>
      </c>
      <c r="F9" s="146" t="n">
        <v>4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120</v>
      </c>
      <c r="Q9" s="120" t="n">
        <v>0</v>
      </c>
      <c r="R9" s="119" t="n">
        <v>18</v>
      </c>
      <c r="S9" s="121" t="n">
        <v>6</v>
      </c>
      <c r="T9" s="122" t="n">
        <v>8</v>
      </c>
      <c r="U9" s="114">
        <f>F9*O9</f>
        <v/>
      </c>
    </row>
    <row r="10" outlineLevel="3" ht="84" customFormat="1" customHeight="1" s="5">
      <c r="A10" s="113" t="n">
        <v>3</v>
      </c>
      <c r="B10" s="136" t="n">
        <v>30413002003</v>
      </c>
      <c r="C10" s="136" t="inlineStr">
        <is>
          <t>R3 嵌入式防雾射灯</t>
        </is>
      </c>
      <c r="D10" s="136" t="inlineStr">
        <is>
          <t>1.名称：R3 嵌入式防雾射灯
2.规格：12W、3000K、光束角36°
3.安装方式：嵌装
4.其他：包括但不限于满足图纸、招标文件、规范及验收要求等一切相关费用</t>
        </is>
      </c>
      <c r="E10" s="113" t="inlineStr">
        <is>
          <t>套</t>
        </is>
      </c>
      <c r="F10" s="146" t="n">
        <v>6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120</v>
      </c>
      <c r="Q10" s="120" t="n">
        <v>0</v>
      </c>
      <c r="R10" s="119" t="n">
        <v>18</v>
      </c>
      <c r="S10" s="121" t="n">
        <v>6</v>
      </c>
      <c r="T10" s="122" t="n">
        <v>8</v>
      </c>
      <c r="U10" s="114">
        <f>F10*O10</f>
        <v/>
      </c>
    </row>
    <row r="11" outlineLevel="3" ht="84" customFormat="1" customHeight="1" s="5">
      <c r="A11" s="113" t="n">
        <v>4</v>
      </c>
      <c r="B11" s="136" t="n">
        <v>30413002004</v>
      </c>
      <c r="C11" s="136" t="inlineStr">
        <is>
          <t>R4 明装双头射灯</t>
        </is>
      </c>
      <c r="D11" s="136" t="inlineStr">
        <is>
          <t>1.名称：R4 明装双头射灯
2.规格：12W、3000K、光束角36°
3.安装方式：嵌装
4.其他：包括但不限于满足图纸、招标文件、规范及验收要求等一切相关费用</t>
        </is>
      </c>
      <c r="E11" s="113" t="inlineStr">
        <is>
          <t>套</t>
        </is>
      </c>
      <c r="F11" s="146" t="n">
        <v>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120</v>
      </c>
      <c r="Q11" s="120" t="n">
        <v>0</v>
      </c>
      <c r="R11" s="119" t="n">
        <v>18</v>
      </c>
      <c r="S11" s="121" t="n">
        <v>6</v>
      </c>
      <c r="T11" s="122" t="n">
        <v>8</v>
      </c>
      <c r="U11" s="114">
        <f>F11*O11</f>
        <v/>
      </c>
    </row>
    <row r="12" outlineLevel="3" ht="84" customFormat="1" customHeight="1" s="5">
      <c r="A12" s="113" t="n">
        <v>5</v>
      </c>
      <c r="B12" s="136" t="n">
        <v>30413002005</v>
      </c>
      <c r="C12" s="136" t="inlineStr">
        <is>
          <t>R5 明装单头射灯</t>
        </is>
      </c>
      <c r="D12" s="136" t="inlineStr">
        <is>
          <t>1.名称：R5 明装单头射灯
2.规格：12W、3000K、光束角36°
3.安装方式：嵌装
4.其他：包括但不限于满足图纸、招标文件、规范及验收要求等一切相关费用</t>
        </is>
      </c>
      <c r="E12" s="113" t="inlineStr">
        <is>
          <t>套</t>
        </is>
      </c>
      <c r="F12" s="146" t="n">
        <v>5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120</v>
      </c>
      <c r="Q12" s="120" t="n">
        <v>0</v>
      </c>
      <c r="R12" s="119" t="n">
        <v>18</v>
      </c>
      <c r="S12" s="121" t="n">
        <v>6</v>
      </c>
      <c r="T12" s="122" t="n">
        <v>8</v>
      </c>
      <c r="U12" s="114">
        <f>F12*O12</f>
        <v/>
      </c>
    </row>
    <row r="13" outlineLevel="3" ht="84" customFormat="1" customHeight="1" s="5">
      <c r="A13" s="113" t="n">
        <v>6</v>
      </c>
      <c r="B13" s="136" t="n">
        <v>30413002006</v>
      </c>
      <c r="C13" s="136" t="inlineStr">
        <is>
          <t>L1 LED灯条（天花）</t>
        </is>
      </c>
      <c r="D13" s="136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13" s="113" t="inlineStr">
        <is>
          <t>m</t>
        </is>
      </c>
      <c r="F13" s="146" t="n">
        <v>72.19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12</v>
      </c>
      <c r="Q13" s="120" t="n">
        <v>0</v>
      </c>
      <c r="R13" s="119" t="n">
        <v>2.5</v>
      </c>
      <c r="S13" s="121" t="n">
        <v>0.5</v>
      </c>
      <c r="T13" s="122" t="n">
        <v>0</v>
      </c>
      <c r="U13" s="114">
        <f>F13*O13</f>
        <v/>
      </c>
    </row>
    <row r="14" outlineLevel="3" ht="72" customFormat="1" customHeight="1" s="5">
      <c r="A14" s="113" t="n">
        <v>7</v>
      </c>
      <c r="B14" s="136" t="n">
        <v>30413002007</v>
      </c>
      <c r="C14" s="136" t="inlineStr">
        <is>
          <t>L2 LED灯条（墙立面）</t>
        </is>
      </c>
      <c r="D14" s="136" t="inlineStr">
        <is>
          <t>1.名称：L2 LED灯条（墙立面）
2.规格：7W/米,3000K,120珠/米
3.安装方式：天花
4.其他：包括但不限于满足图纸、招标文件、规范及验收要求等一切相关费用</t>
        </is>
      </c>
      <c r="E14" s="113" t="inlineStr">
        <is>
          <t>m</t>
        </is>
      </c>
      <c r="F14" s="146" t="n">
        <v>22.14</v>
      </c>
      <c r="G14" s="116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12</v>
      </c>
      <c r="Q14" s="120" t="n">
        <v>0</v>
      </c>
      <c r="R14" s="119" t="n">
        <v>2.5</v>
      </c>
      <c r="S14" s="121" t="n">
        <v>0.5</v>
      </c>
      <c r="T14" s="122" t="n">
        <v>0</v>
      </c>
      <c r="U14" s="114">
        <f>F14*O14</f>
        <v/>
      </c>
    </row>
    <row r="15" outlineLevel="3" ht="72" customFormat="1" customHeight="1" s="5">
      <c r="A15" s="113" t="n">
        <v>8</v>
      </c>
      <c r="B15" s="136" t="n">
        <v>30413002008</v>
      </c>
      <c r="C15" s="136" t="inlineStr">
        <is>
          <t>L3 LED灯条（柜子）</t>
        </is>
      </c>
      <c r="D15" s="136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15" s="113" t="inlineStr">
        <is>
          <t>m</t>
        </is>
      </c>
      <c r="F15" s="146" t="n">
        <v>15.01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12</v>
      </c>
      <c r="Q15" s="120" t="n">
        <v>0</v>
      </c>
      <c r="R15" s="119" t="n">
        <v>2.5</v>
      </c>
      <c r="S15" s="121" t="n">
        <v>0.5</v>
      </c>
      <c r="T15" s="122" t="n">
        <v>0</v>
      </c>
      <c r="U15" s="114">
        <f>F15*O15</f>
        <v/>
      </c>
    </row>
    <row r="16" outlineLevel="3" ht="84" customFormat="1" customHeight="1" s="5">
      <c r="A16" s="27" t="n">
        <v>9</v>
      </c>
      <c r="B16" s="28" t="n">
        <v>30413009001</v>
      </c>
      <c r="C16" s="28" t="inlineStr">
        <is>
          <t>LED 灯带驱动电源</t>
        </is>
      </c>
      <c r="D16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6" s="27" t="inlineStr">
        <is>
          <t>个</t>
        </is>
      </c>
      <c r="F16" s="145" t="n">
        <v>26</v>
      </c>
      <c r="G16" s="123">
        <f>R16*$R$3</f>
        <v/>
      </c>
      <c r="H16" s="106">
        <f>P16*(1+Q16)*$P$3+S16*$S$3</f>
        <v/>
      </c>
      <c r="I16" s="106">
        <f>T16*$T$3</f>
        <v/>
      </c>
      <c r="J16" s="106">
        <f>(G16+H16+I16)*$J$3</f>
        <v/>
      </c>
      <c r="K16" s="106">
        <f>(G16+H16+I16+J16)*$K$3</f>
        <v/>
      </c>
      <c r="L16" s="106">
        <f>G16+H16+I16+J16+K16</f>
        <v/>
      </c>
      <c r="M16" s="106">
        <f>F16*L16</f>
        <v/>
      </c>
      <c r="N16" s="101" t="n"/>
      <c r="O16" s="105">
        <f>P16*(1+Q16)+R16+S16+T16</f>
        <v/>
      </c>
      <c r="P16" s="111">
        <f>'架空层安装工程'!P10</f>
        <v/>
      </c>
      <c r="Q16" s="32">
        <f>'架空层安装工程'!Q10</f>
        <v/>
      </c>
      <c r="R16" s="111">
        <f>'架空层安装工程'!R10</f>
        <v/>
      </c>
      <c r="S16" s="112">
        <f>'架空层安装工程'!S10</f>
        <v/>
      </c>
      <c r="T16" s="107">
        <f>'架空层安装工程'!T10</f>
        <v/>
      </c>
      <c r="U16" s="105">
        <f>F16*O16</f>
        <v/>
      </c>
    </row>
    <row r="17" outlineLevel="3" ht="72" customFormat="1" customHeight="1" s="5">
      <c r="A17" s="113" t="n">
        <v>10</v>
      </c>
      <c r="B17" s="136" t="n">
        <v>30405015001</v>
      </c>
      <c r="C17" s="136" t="inlineStr">
        <is>
          <t>线型凉霸及开关</t>
        </is>
      </c>
      <c r="D17" s="136" t="inlineStr">
        <is>
          <t>1.名称：线型凉霸及开关
2.规格：34W
3.尺寸：详见物料表
4.其他：包括但不限于满足图纸、招标文件、规范及验收要求等一切相关费用</t>
        </is>
      </c>
      <c r="E17" s="113" t="inlineStr">
        <is>
          <t>台</t>
        </is>
      </c>
      <c r="F17" s="146" t="n">
        <v>1</v>
      </c>
      <c r="G17" s="116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280</v>
      </c>
      <c r="Q17" s="120" t="n">
        <v>0</v>
      </c>
      <c r="R17" s="119" t="n">
        <v>25</v>
      </c>
      <c r="S17" s="121" t="n">
        <v>3</v>
      </c>
      <c r="T17" s="122" t="n">
        <v>0</v>
      </c>
      <c r="U17" s="114">
        <f>F17*O17</f>
        <v/>
      </c>
    </row>
    <row r="18" outlineLevel="3" ht="72" customFormat="1" customHeight="1" s="5">
      <c r="A18" s="113" t="n">
        <v>11</v>
      </c>
      <c r="B18" s="136" t="n">
        <v>30405015002</v>
      </c>
      <c r="C18" s="136" t="inlineStr">
        <is>
          <t>线型浴霸及开关</t>
        </is>
      </c>
      <c r="D18" s="136" t="inlineStr">
        <is>
          <t>1.名称：线型浴霸及开关
2.规格：40W
3.尺寸：详见物料表
4.其他：包括但不限于满足图纸、招标文件、规范及验收要求等一切相关费用</t>
        </is>
      </c>
      <c r="E18" s="113" t="inlineStr">
        <is>
          <t>台</t>
        </is>
      </c>
      <c r="F18" s="146" t="n">
        <v>2</v>
      </c>
      <c r="G18" s="116">
        <f>R18*$R$3</f>
        <v/>
      </c>
      <c r="H18" s="117">
        <f>P18*(1+Q18)*$P$3+S18*$S$3</f>
        <v/>
      </c>
      <c r="I18" s="117">
        <f>T18*$T$3</f>
        <v/>
      </c>
      <c r="J18" s="117">
        <f>(G18+H18+I18)*$J$3</f>
        <v/>
      </c>
      <c r="K18" s="117">
        <f>(G18+H18+I18+J18)*$K$3</f>
        <v/>
      </c>
      <c r="L18" s="117">
        <f>G18+H18+I18+J18+K18</f>
        <v/>
      </c>
      <c r="M18" s="117">
        <f>F18*L18</f>
        <v/>
      </c>
      <c r="N18" s="118" t="n"/>
      <c r="O18" s="114">
        <f>P18*(1+Q18)+R18+S18+T18</f>
        <v/>
      </c>
      <c r="P18" s="119" t="n">
        <v>450</v>
      </c>
      <c r="Q18" s="120" t="n">
        <v>0</v>
      </c>
      <c r="R18" s="119" t="n">
        <v>30</v>
      </c>
      <c r="S18" s="121" t="n">
        <v>3</v>
      </c>
      <c r="T18" s="122" t="n">
        <v>0</v>
      </c>
      <c r="U18" s="114">
        <f>F18*O18</f>
        <v/>
      </c>
    </row>
    <row r="19" outlineLevel="3" ht="72" customFormat="1" customHeight="1" s="5">
      <c r="A19" s="113" t="n">
        <v>12</v>
      </c>
      <c r="B19" s="136" t="n">
        <v>30405017001</v>
      </c>
      <c r="C19" s="136" t="inlineStr">
        <is>
          <t>洗碗机</t>
        </is>
      </c>
      <c r="D19" s="136" t="inlineStr">
        <is>
          <t>1.名称：洗碗机
2.规格：-
3.尺寸：详见物料表
4.其他：包括但不限于满足图纸、招标文件、规范及验收要求等一切相关费用</t>
        </is>
      </c>
      <c r="E19" s="113" t="inlineStr">
        <is>
          <t>台</t>
        </is>
      </c>
      <c r="F19" s="146" t="n">
        <v>1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4200</v>
      </c>
      <c r="Q19" s="120" t="n">
        <v>0</v>
      </c>
      <c r="R19" s="119" t="n">
        <v>250</v>
      </c>
      <c r="S19" s="121" t="n">
        <v>35</v>
      </c>
      <c r="T19" s="122" t="n">
        <v>8.5</v>
      </c>
      <c r="U19" s="114">
        <f>F19*O19</f>
        <v/>
      </c>
    </row>
    <row r="20" outlineLevel="2" customFormat="1" s="5">
      <c r="A20" s="27" t="inlineStr"/>
      <c r="B20" s="28" t="inlineStr"/>
      <c r="C20" s="28" t="inlineStr">
        <is>
          <t>开关插座</t>
        </is>
      </c>
      <c r="D20" s="28" t="inlineStr"/>
      <c r="E20" s="27" t="inlineStr"/>
      <c r="F20" s="145" t="inlineStr"/>
      <c r="G20" s="123" t="n"/>
      <c r="H20" s="106" t="n"/>
      <c r="I20" s="106" t="n"/>
      <c r="J20" s="106" t="n"/>
      <c r="K20" s="106" t="n"/>
      <c r="L20" s="106" t="n"/>
      <c r="M20" s="106" t="n"/>
      <c r="N20" s="101" t="n"/>
      <c r="O20" s="105">
        <f>P20*(1+Q20)+R20+S20+T20</f>
        <v/>
      </c>
      <c r="P20" s="111" t="n"/>
      <c r="Q20" s="32" t="n"/>
      <c r="R20" s="111" t="n"/>
      <c r="S20" s="112" t="n"/>
      <c r="T20" s="107" t="n"/>
      <c r="U20" s="105">
        <f>F20*O20</f>
        <v/>
      </c>
    </row>
    <row r="21" outlineLevel="3" ht="72" customFormat="1" customHeight="1" s="5">
      <c r="A21" s="27" t="n">
        <v>13</v>
      </c>
      <c r="B21" s="28" t="n">
        <v>30413013001</v>
      </c>
      <c r="C21" s="28" t="inlineStr">
        <is>
          <t>照明开关</t>
        </is>
      </c>
      <c r="D21" s="28" t="inlineStr">
        <is>
          <t>1.名称：单联单控开关
2.规格：86*86mm
3.安装方式：暗装
4.其他：包括但不限于满足图纸、招标文件、规范及验收要求等一切相关费用</t>
        </is>
      </c>
      <c r="E21" s="27" t="inlineStr">
        <is>
          <t>套</t>
        </is>
      </c>
      <c r="F21" s="145" t="n">
        <v>2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'公共区域安装工程'!P14</f>
        <v/>
      </c>
      <c r="Q21" s="32">
        <f>'公共区域安装工程'!Q14</f>
        <v/>
      </c>
      <c r="R21" s="111">
        <f>'公共区域安装工程'!R14</f>
        <v/>
      </c>
      <c r="S21" s="112">
        <f>'公共区域安装工程'!S14</f>
        <v/>
      </c>
      <c r="T21" s="107">
        <f>'公共区域安装工程'!T14</f>
        <v/>
      </c>
      <c r="U21" s="105">
        <f>F21*O21</f>
        <v/>
      </c>
    </row>
    <row r="22" outlineLevel="3" ht="72" customFormat="1" customHeight="1" s="5">
      <c r="A22" s="27" t="n">
        <v>14</v>
      </c>
      <c r="B22" s="28" t="n">
        <v>30413013002</v>
      </c>
      <c r="C22" s="28" t="inlineStr">
        <is>
          <t>照明开关</t>
        </is>
      </c>
      <c r="D22" s="28" t="inlineStr">
        <is>
          <t>1.名称：双联单控开关
2.规格：86*86mm
3.安装方式：暗装
4.其他：包括但不限于满足图纸、招标文件、规范及验收要求等一切相关费用</t>
        </is>
      </c>
      <c r="E22" s="27" t="inlineStr">
        <is>
          <t>套</t>
        </is>
      </c>
      <c r="F22" s="145" t="n">
        <v>1</v>
      </c>
      <c r="G22" s="123">
        <f>R22*$R$3</f>
        <v/>
      </c>
      <c r="H22" s="106">
        <f>P22*(1+Q22)*$P$3+S22*$S$3</f>
        <v/>
      </c>
      <c r="I22" s="106">
        <f>T22*$T$3</f>
        <v/>
      </c>
      <c r="J22" s="106">
        <f>(G22+H22+I22)*$J$3</f>
        <v/>
      </c>
      <c r="K22" s="106">
        <f>(G22+H22+I22+J22)*$K$3</f>
        <v/>
      </c>
      <c r="L22" s="106">
        <f>G22+H22+I22+J22+K22</f>
        <v/>
      </c>
      <c r="M22" s="106">
        <f>F22*L22</f>
        <v/>
      </c>
      <c r="N22" s="101" t="n"/>
      <c r="O22" s="105">
        <f>P22*(1+Q22)+R22+S22+T22</f>
        <v/>
      </c>
      <c r="P22" s="111">
        <f>'架空层安装工程'!P16</f>
        <v/>
      </c>
      <c r="Q22" s="32">
        <f>'架空层安装工程'!Q16</f>
        <v/>
      </c>
      <c r="R22" s="111">
        <f>'架空层安装工程'!R16</f>
        <v/>
      </c>
      <c r="S22" s="112">
        <f>'架空层安装工程'!S16</f>
        <v/>
      </c>
      <c r="T22" s="107">
        <f>'架空层安装工程'!T16</f>
        <v/>
      </c>
      <c r="U22" s="105">
        <f>F22*O22</f>
        <v/>
      </c>
    </row>
    <row r="23" outlineLevel="3" ht="72" customFormat="1" customHeight="1" s="5">
      <c r="A23" s="27" t="n">
        <v>15</v>
      </c>
      <c r="B23" s="28" t="n">
        <v>30413013003</v>
      </c>
      <c r="C23" s="28" t="inlineStr">
        <is>
          <t>照明开关</t>
        </is>
      </c>
      <c r="D23" s="28" t="inlineStr">
        <is>
          <t>1.名称：三联单控开关
2.规格：86*86mm
3.安装方式：暗装
4.其他：包括但不限于满足图纸、招标文件、规范及验收要求等一切相关费用</t>
        </is>
      </c>
      <c r="E23" s="27" t="inlineStr">
        <is>
          <t>套</t>
        </is>
      </c>
      <c r="F23" s="145" t="n">
        <v>2</v>
      </c>
      <c r="G23" s="123">
        <f>R23*$R$3</f>
        <v/>
      </c>
      <c r="H23" s="106">
        <f>P23*(1+Q23)*$P$3+S23*$S$3</f>
        <v/>
      </c>
      <c r="I23" s="106">
        <f>T23*$T$3</f>
        <v/>
      </c>
      <c r="J23" s="106">
        <f>(G23+H23+I23)*$J$3</f>
        <v/>
      </c>
      <c r="K23" s="106">
        <f>(G23+H23+I23+J23)*$K$3</f>
        <v/>
      </c>
      <c r="L23" s="106">
        <f>G23+H23+I23+J23+K23</f>
        <v/>
      </c>
      <c r="M23" s="106">
        <f>F23*L23</f>
        <v/>
      </c>
      <c r="N23" s="101" t="n"/>
      <c r="O23" s="105">
        <f>P23*(1+Q23)+R23+S23+T23</f>
        <v/>
      </c>
      <c r="P23" s="111">
        <f>'公共区域安装工程'!P15</f>
        <v/>
      </c>
      <c r="Q23" s="32">
        <f>'公共区域安装工程'!Q15</f>
        <v/>
      </c>
      <c r="R23" s="111">
        <f>'公共区域安装工程'!R15</f>
        <v/>
      </c>
      <c r="S23" s="112">
        <f>'公共区域安装工程'!S15</f>
        <v/>
      </c>
      <c r="T23" s="107">
        <f>'公共区域安装工程'!T15</f>
        <v/>
      </c>
      <c r="U23" s="105">
        <f>F23*O23</f>
        <v/>
      </c>
    </row>
    <row r="24" outlineLevel="3" ht="72" customFormat="1" customHeight="1" s="5">
      <c r="A24" s="27" t="n">
        <v>16</v>
      </c>
      <c r="B24" s="28" t="n">
        <v>30413013004</v>
      </c>
      <c r="C24" s="28" t="inlineStr">
        <is>
          <t>照明开关</t>
        </is>
      </c>
      <c r="D24" s="28" t="inlineStr">
        <is>
          <t>1.名称：双联双控开关
2.规格：86*86mm
3.安装方式：暗装
4.其他：包括但不限于满足图纸、招标文件、规范及验收要求等一切相关费用</t>
        </is>
      </c>
      <c r="E24" s="27" t="inlineStr">
        <is>
          <t>套</t>
        </is>
      </c>
      <c r="F24" s="145" t="n">
        <v>2</v>
      </c>
      <c r="G24" s="123">
        <f>R24*$R$3</f>
        <v/>
      </c>
      <c r="H24" s="106">
        <f>P24*(1+Q24)*$P$3+S24*$S$3</f>
        <v/>
      </c>
      <c r="I24" s="106">
        <f>T24*$T$3</f>
        <v/>
      </c>
      <c r="J24" s="106">
        <f>(G24+H24+I24)*$J$3</f>
        <v/>
      </c>
      <c r="K24" s="106">
        <f>(G24+H24+I24+J24)*$K$3</f>
        <v/>
      </c>
      <c r="L24" s="106">
        <f>G24+H24+I24+J24+K24</f>
        <v/>
      </c>
      <c r="M24" s="106">
        <f>F24*L24</f>
        <v/>
      </c>
      <c r="N24" s="101" t="n"/>
      <c r="O24" s="105">
        <f>P24*(1+Q24)+R24+S24+T24</f>
        <v/>
      </c>
      <c r="P24" s="111">
        <f>'户内交标安装工程'!P21</f>
        <v/>
      </c>
      <c r="Q24" s="32">
        <f>'户内交标安装工程'!Q21</f>
        <v/>
      </c>
      <c r="R24" s="111">
        <f>'户内交标安装工程'!R21</f>
        <v/>
      </c>
      <c r="S24" s="112">
        <f>'户内交标安装工程'!S21</f>
        <v/>
      </c>
      <c r="T24" s="107">
        <f>'户内交标安装工程'!T21</f>
        <v/>
      </c>
      <c r="U24" s="105">
        <f>F24*O24</f>
        <v/>
      </c>
    </row>
    <row r="25" outlineLevel="3" ht="72" customFormat="1" customHeight="1" s="5">
      <c r="A25" s="27" t="n">
        <v>17</v>
      </c>
      <c r="B25" s="28" t="n">
        <v>30413013005</v>
      </c>
      <c r="C25" s="28" t="inlineStr">
        <is>
          <t>照明开关</t>
        </is>
      </c>
      <c r="D25" s="28" t="inlineStr">
        <is>
          <t>1.名称：三联双控开关
2.规格：86*86mm
3.安装方式：暗装
4.其他：包括但不限于满足图纸、招标文件、规范及验收要求等一切相关费用</t>
        </is>
      </c>
      <c r="E25" s="27" t="inlineStr">
        <is>
          <t>套</t>
        </is>
      </c>
      <c r="F25" s="145" t="n">
        <v>8</v>
      </c>
      <c r="G25" s="123">
        <f>R25*$R$3</f>
        <v/>
      </c>
      <c r="H25" s="106">
        <f>P25*(1+Q25)*$P$3+S25*$S$3</f>
        <v/>
      </c>
      <c r="I25" s="106">
        <f>T25*$T$3</f>
        <v/>
      </c>
      <c r="J25" s="106">
        <f>(G25+H25+I25)*$J$3</f>
        <v/>
      </c>
      <c r="K25" s="106">
        <f>(G25+H25+I25+J25)*$K$3</f>
        <v/>
      </c>
      <c r="L25" s="106">
        <f>G25+H25+I25+J25+K25</f>
        <v/>
      </c>
      <c r="M25" s="106">
        <f>F25*L25</f>
        <v/>
      </c>
      <c r="N25" s="101" t="n"/>
      <c r="O25" s="105">
        <f>P25*(1+Q25)+R25+S25+T25</f>
        <v/>
      </c>
      <c r="P25" s="111">
        <f>'户内交标安装工程'!P22</f>
        <v/>
      </c>
      <c r="Q25" s="32">
        <f>'户内交标安装工程'!Q22</f>
        <v/>
      </c>
      <c r="R25" s="111">
        <f>'户内交标安装工程'!R22</f>
        <v/>
      </c>
      <c r="S25" s="112">
        <f>'户内交标安装工程'!S22</f>
        <v/>
      </c>
      <c r="T25" s="107">
        <f>'户内交标安装工程'!T22</f>
        <v/>
      </c>
      <c r="U25" s="105">
        <f>F25*O25</f>
        <v/>
      </c>
    </row>
    <row r="26" outlineLevel="3" ht="72" customFormat="1" customHeight="1" s="5">
      <c r="A26" s="113" t="n">
        <v>18</v>
      </c>
      <c r="B26" s="136" t="n">
        <v>30413013006</v>
      </c>
      <c r="C26" s="136" t="inlineStr">
        <is>
          <t>照明开关</t>
        </is>
      </c>
      <c r="D26" s="136" t="inlineStr">
        <is>
          <t>1.名称：四联双控开关
2.规格：86*86mm
3.安装方式：暗装
4.其他：包括但不限于满足图纸、招标文件、规范及验收要求等一切相关费用</t>
        </is>
      </c>
      <c r="E26" s="113" t="inlineStr">
        <is>
          <t>套</t>
        </is>
      </c>
      <c r="F26" s="146" t="n">
        <v>4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14.62</v>
      </c>
      <c r="Q26" s="120" t="n">
        <v>0</v>
      </c>
      <c r="R26" s="119" t="n">
        <v>6.31</v>
      </c>
      <c r="S26" s="121" t="n">
        <v>1.12</v>
      </c>
      <c r="T26" s="122" t="n">
        <v>0</v>
      </c>
      <c r="U26" s="114">
        <f>F26*O26</f>
        <v/>
      </c>
    </row>
    <row r="27" outlineLevel="3" ht="72" customFormat="1" customHeight="1" s="5">
      <c r="A27" s="27" t="n">
        <v>19</v>
      </c>
      <c r="B27" s="28" t="n">
        <v>30413014001</v>
      </c>
      <c r="C27" s="28" t="inlineStr">
        <is>
          <t>插座</t>
        </is>
      </c>
      <c r="D27" s="28" t="inlineStr">
        <is>
          <t>1.名称：五孔插座
2.规格：86*86mm
3.安装方式：暗装
4.其他：包括但不限于满足图纸、招标文件、规范及验收要求等一切相关费用</t>
        </is>
      </c>
      <c r="E27" s="27" t="inlineStr">
        <is>
          <t>套</t>
        </is>
      </c>
      <c r="F27" s="145" t="n">
        <v>31</v>
      </c>
      <c r="G27" s="123">
        <f>R27*$R$3</f>
        <v/>
      </c>
      <c r="H27" s="106">
        <f>P27*(1+Q27)*$P$3+S27*$S$3</f>
        <v/>
      </c>
      <c r="I27" s="106">
        <f>T27*$T$3</f>
        <v/>
      </c>
      <c r="J27" s="106">
        <f>(G27+H27+I27)*$J$3</f>
        <v/>
      </c>
      <c r="K27" s="106">
        <f>(G27+H27+I27+J27)*$K$3</f>
        <v/>
      </c>
      <c r="L27" s="106">
        <f>G27+H27+I27+J27+K27</f>
        <v/>
      </c>
      <c r="M27" s="106">
        <f>F27*L27</f>
        <v/>
      </c>
      <c r="N27" s="101" t="n"/>
      <c r="O27" s="105">
        <f>P27*(1+Q27)+R27+S27+T27</f>
        <v/>
      </c>
      <c r="P27" s="111">
        <f>'公共区域安装工程'!P16</f>
        <v/>
      </c>
      <c r="Q27" s="32">
        <f>'公共区域安装工程'!Q16</f>
        <v/>
      </c>
      <c r="R27" s="111">
        <f>'公共区域安装工程'!R16</f>
        <v/>
      </c>
      <c r="S27" s="112">
        <f>'公共区域安装工程'!S16</f>
        <v/>
      </c>
      <c r="T27" s="107">
        <f>'公共区域安装工程'!T16</f>
        <v/>
      </c>
      <c r="U27" s="105">
        <f>F27*O27</f>
        <v/>
      </c>
    </row>
    <row r="28" outlineLevel="3" ht="72" customFormat="1" customHeight="1" s="5">
      <c r="A28" s="113" t="n">
        <v>20</v>
      </c>
      <c r="B28" s="136" t="n">
        <v>30413014002</v>
      </c>
      <c r="C28" s="136" t="inlineStr">
        <is>
          <t>插座</t>
        </is>
      </c>
      <c r="D28" s="136" t="inlineStr">
        <is>
          <t>1.名称：五孔插座（带防溅盒）
2.规格：86*86mm
3.安装方式：暗装
4.其他：包括但不限于满足图纸、招标文件、规范及验收要求等一切相关费用</t>
        </is>
      </c>
      <c r="E28" s="113" t="inlineStr">
        <is>
          <t>套</t>
        </is>
      </c>
      <c r="F28" s="146" t="n">
        <v>12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14.62</v>
      </c>
      <c r="Q28" s="120" t="n">
        <v>0</v>
      </c>
      <c r="R28" s="119" t="n">
        <v>6.31</v>
      </c>
      <c r="S28" s="121" t="n">
        <v>1.12</v>
      </c>
      <c r="T28" s="122" t="n">
        <v>0</v>
      </c>
      <c r="U28" s="114">
        <f>F28*O28</f>
        <v/>
      </c>
    </row>
    <row r="29" outlineLevel="3" ht="72" customFormat="1" customHeight="1" s="5">
      <c r="A29" s="113" t="n">
        <v>21</v>
      </c>
      <c r="B29" s="136" t="n">
        <v>30413014003</v>
      </c>
      <c r="C29" s="136" t="inlineStr">
        <is>
          <t>插座</t>
        </is>
      </c>
      <c r="D29" s="136" t="inlineStr">
        <is>
          <t>1.名称：五孔插座带USB
2.规格：86*86mm
3.安装方式：暗装
4.其他：包括但不限于满足图纸、招标文件、规范及验收要求等一切相关费用</t>
        </is>
      </c>
      <c r="E29" s="113" t="inlineStr">
        <is>
          <t>套</t>
        </is>
      </c>
      <c r="F29" s="146" t="n">
        <v>3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14.62</v>
      </c>
      <c r="Q29" s="120" t="n">
        <v>0</v>
      </c>
      <c r="R29" s="119" t="n">
        <v>6.31</v>
      </c>
      <c r="S29" s="121" t="n">
        <v>1.12</v>
      </c>
      <c r="T29" s="122" t="n">
        <v>0</v>
      </c>
      <c r="U29" s="114">
        <f>F29*O29</f>
        <v/>
      </c>
    </row>
    <row r="30" outlineLevel="3" ht="72" customFormat="1" customHeight="1" s="5">
      <c r="A30" s="27" t="n">
        <v>22</v>
      </c>
      <c r="B30" s="28" t="n">
        <v>30413014004</v>
      </c>
      <c r="C30" s="28" t="inlineStr">
        <is>
          <t>插座</t>
        </is>
      </c>
      <c r="D30" s="28" t="inlineStr">
        <is>
          <t>1.名称：五孔插座带开关
2.规格：86*86mm
3.安装方式：暗装
4.其他：包括但不限于满足图纸、招标文件、规范及验收要求等一切相关费用</t>
        </is>
      </c>
      <c r="E30" s="27" t="inlineStr">
        <is>
          <t>套</t>
        </is>
      </c>
      <c r="F30" s="145" t="n">
        <v>2</v>
      </c>
      <c r="G30" s="123">
        <f>R30*$R$3</f>
        <v/>
      </c>
      <c r="H30" s="106">
        <f>P30*(1+Q30)*$P$3+S30*$S$3</f>
        <v/>
      </c>
      <c r="I30" s="106">
        <f>T30*$T$3</f>
        <v/>
      </c>
      <c r="J30" s="106">
        <f>(G30+H30+I30)*$J$3</f>
        <v/>
      </c>
      <c r="K30" s="106">
        <f>(G30+H30+I30+J30)*$K$3</f>
        <v/>
      </c>
      <c r="L30" s="106">
        <f>G30+H30+I30+J30+K30</f>
        <v/>
      </c>
      <c r="M30" s="106">
        <f>F30*L30</f>
        <v/>
      </c>
      <c r="N30" s="101" t="n"/>
      <c r="O30" s="105">
        <f>P30*(1+Q30)+R30+S30+T30</f>
        <v/>
      </c>
      <c r="P30" s="111">
        <f>'户内交标安装工程'!P25</f>
        <v/>
      </c>
      <c r="Q30" s="32">
        <f>'户内交标安装工程'!Q25</f>
        <v/>
      </c>
      <c r="R30" s="111">
        <f>'户内交标安装工程'!R25</f>
        <v/>
      </c>
      <c r="S30" s="112">
        <f>'户内交标安装工程'!S25</f>
        <v/>
      </c>
      <c r="T30" s="107">
        <f>'户内交标安装工程'!T25</f>
        <v/>
      </c>
      <c r="U30" s="105">
        <f>F30*O30</f>
        <v/>
      </c>
    </row>
    <row r="31" outlineLevel="3" ht="84" customFormat="1" customHeight="1" s="5">
      <c r="A31" s="113" t="n">
        <v>23</v>
      </c>
      <c r="B31" s="136" t="n">
        <v>30413014005</v>
      </c>
      <c r="C31" s="136" t="inlineStr">
        <is>
          <t>插座</t>
        </is>
      </c>
      <c r="D31" s="136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31" s="113" t="inlineStr">
        <is>
          <t>套</t>
        </is>
      </c>
      <c r="F31" s="146" t="n">
        <v>2</v>
      </c>
      <c r="G31" s="116">
        <f>R31*$R$3</f>
        <v/>
      </c>
      <c r="H31" s="117">
        <f>P31*(1+Q31)*$P$3+S31*$S$3</f>
        <v/>
      </c>
      <c r="I31" s="117">
        <f>T31*$T$3</f>
        <v/>
      </c>
      <c r="J31" s="117">
        <f>(G31+H31+I31)*$J$3</f>
        <v/>
      </c>
      <c r="K31" s="117">
        <f>(G31+H31+I31+J31)*$K$3</f>
        <v/>
      </c>
      <c r="L31" s="117">
        <f>G31+H31+I31+J31+K31</f>
        <v/>
      </c>
      <c r="M31" s="117">
        <f>F31*L31</f>
        <v/>
      </c>
      <c r="N31" s="118" t="n"/>
      <c r="O31" s="114">
        <f>P31*(1+Q31)+R31+S31+T31</f>
        <v/>
      </c>
      <c r="P31" s="119" t="n">
        <v>14.62</v>
      </c>
      <c r="Q31" s="120" t="n">
        <v>0</v>
      </c>
      <c r="R31" s="119" t="n">
        <v>6.31</v>
      </c>
      <c r="S31" s="121" t="n">
        <v>1.12</v>
      </c>
      <c r="T31" s="122" t="n">
        <v>0</v>
      </c>
      <c r="U31" s="114">
        <f>F31*O31</f>
        <v/>
      </c>
    </row>
    <row r="32" outlineLevel="3" ht="72" customFormat="1" customHeight="1" s="5">
      <c r="A32" s="27" t="n">
        <v>24</v>
      </c>
      <c r="B32" s="28" t="n">
        <v>30413014006</v>
      </c>
      <c r="C32" s="28" t="inlineStr">
        <is>
          <t>插座</t>
        </is>
      </c>
      <c r="D32" s="28" t="inlineStr">
        <is>
          <t>1.名称：地面五孔插座
2.规格：86*86mm
3.安装方式：暗装
4.其他：包括但不限于满足图纸、招标文件、规范及验收要求等一切相关费用</t>
        </is>
      </c>
      <c r="E32" s="27" t="inlineStr">
        <is>
          <t>套</t>
        </is>
      </c>
      <c r="F32" s="145" t="n">
        <v>2</v>
      </c>
      <c r="G32" s="123">
        <f>R32*$R$3</f>
        <v/>
      </c>
      <c r="H32" s="106">
        <f>P32*(1+Q32)*$P$3+S32*$S$3</f>
        <v/>
      </c>
      <c r="I32" s="106">
        <f>T32*$T$3</f>
        <v/>
      </c>
      <c r="J32" s="106">
        <f>(G32+H32+I32)*$J$3</f>
        <v/>
      </c>
      <c r="K32" s="106">
        <f>(G32+H32+I32+J32)*$K$3</f>
        <v/>
      </c>
      <c r="L32" s="106">
        <f>G32+H32+I32+J32+K32</f>
        <v/>
      </c>
      <c r="M32" s="106">
        <f>F32*L32</f>
        <v/>
      </c>
      <c r="N32" s="101" t="n"/>
      <c r="O32" s="105">
        <f>P32*(1+Q32)+R32+S32+T32</f>
        <v/>
      </c>
      <c r="P32" s="111">
        <f>'架空层安装工程'!P19</f>
        <v/>
      </c>
      <c r="Q32" s="32">
        <f>'架空层安装工程'!Q19</f>
        <v/>
      </c>
      <c r="R32" s="111">
        <f>'架空层安装工程'!R19</f>
        <v/>
      </c>
      <c r="S32" s="112">
        <f>'架空层安装工程'!S19</f>
        <v/>
      </c>
      <c r="T32" s="107">
        <f>'架空层安装工程'!T19</f>
        <v/>
      </c>
      <c r="U32" s="105">
        <f>F32*O32</f>
        <v/>
      </c>
    </row>
    <row r="33" outlineLevel="2" customFormat="1" s="5">
      <c r="A33" s="27" t="inlineStr"/>
      <c r="B33" s="28" t="inlineStr"/>
      <c r="C33" s="28" t="inlineStr">
        <is>
          <t>配管配线</t>
        </is>
      </c>
      <c r="D33" s="28" t="inlineStr"/>
      <c r="E33" s="27" t="inlineStr"/>
      <c r="F33" s="145" t="inlineStr"/>
      <c r="G33" s="123" t="n"/>
      <c r="H33" s="106" t="n"/>
      <c r="I33" s="106" t="n"/>
      <c r="J33" s="106" t="n"/>
      <c r="K33" s="106" t="n"/>
      <c r="L33" s="106" t="n"/>
      <c r="M33" s="106" t="n"/>
      <c r="N33" s="101" t="n"/>
      <c r="O33" s="105">
        <f>P33*(1+Q33)+R33+S33+T33</f>
        <v/>
      </c>
      <c r="P33" s="111" t="n"/>
      <c r="Q33" s="32" t="n"/>
      <c r="R33" s="111" t="n"/>
      <c r="S33" s="112" t="n"/>
      <c r="T33" s="107" t="n"/>
      <c r="U33" s="105">
        <f>F33*O33</f>
        <v/>
      </c>
    </row>
    <row r="34" outlineLevel="3" ht="72" customFormat="1" customHeight="1" s="5">
      <c r="A34" s="113" t="n">
        <v>25</v>
      </c>
      <c r="B34" s="136" t="n">
        <v>30412004001</v>
      </c>
      <c r="C34" s="136" t="inlineStr">
        <is>
          <t>配线</t>
        </is>
      </c>
      <c r="D34" s="136" t="inlineStr">
        <is>
          <t>1.名称：电气配线
2.型号规格：BV-1.5
3.安装方式：管内穿线
4.其他：包括但不限于满足图纸、招标文件、规范及验收要求等一切相关费用</t>
        </is>
      </c>
      <c r="E34" s="113" t="inlineStr">
        <is>
          <t>m</t>
        </is>
      </c>
      <c r="F34" s="146" t="n">
        <v>278.13</v>
      </c>
      <c r="G34" s="116">
        <f>R34*$R$3</f>
        <v/>
      </c>
      <c r="H34" s="117">
        <f>P34*(1+Q34)*$P$3+S34*$S$3</f>
        <v/>
      </c>
      <c r="I34" s="117">
        <f>T34*$T$3</f>
        <v/>
      </c>
      <c r="J34" s="117">
        <f>(G34+H34+I34)*$J$3</f>
        <v/>
      </c>
      <c r="K34" s="117">
        <f>(G34+H34+I34+J34)*$K$3</f>
        <v/>
      </c>
      <c r="L34" s="117">
        <f>G34+H34+I34+J34+K34</f>
        <v/>
      </c>
      <c r="M34" s="117">
        <f>F34*L34</f>
        <v/>
      </c>
      <c r="N34" s="118" t="n"/>
      <c r="O34" s="114">
        <f>P34*(1+Q34)+R34+S34+T34</f>
        <v/>
      </c>
      <c r="P34" s="119" t="n">
        <v>1.9</v>
      </c>
      <c r="Q34" s="120" t="n">
        <v>0.02</v>
      </c>
      <c r="R34" s="119" t="n">
        <v>1.58</v>
      </c>
      <c r="S34" s="121" t="n">
        <v>0.19</v>
      </c>
      <c r="T34" s="122" t="n">
        <v>0.02</v>
      </c>
      <c r="U34" s="114">
        <f>F34*O34</f>
        <v/>
      </c>
    </row>
    <row r="35" outlineLevel="3" ht="72" customFormat="1" customHeight="1" s="5">
      <c r="A35" s="27" t="n">
        <v>26</v>
      </c>
      <c r="B35" s="28" t="n">
        <v>30412004002</v>
      </c>
      <c r="C35" s="28" t="inlineStr">
        <is>
          <t>配线</t>
        </is>
      </c>
      <c r="D35" s="28" t="inlineStr">
        <is>
          <t>1.名称：电气配线
2.型号规格：BV-2.5
3.安装方式：管内穿线
4.其他：包括但不限于满足图纸、招标文件、规范及验收要求等一切相关费用</t>
        </is>
      </c>
      <c r="E35" s="27" t="inlineStr">
        <is>
          <t>m</t>
        </is>
      </c>
      <c r="F35" s="145" t="n">
        <v>1134.55</v>
      </c>
      <c r="G35" s="123">
        <f>R35*$R$3</f>
        <v/>
      </c>
      <c r="H35" s="106">
        <f>P35*(1+Q35)*$P$3+S35*$S$3</f>
        <v/>
      </c>
      <c r="I35" s="106">
        <f>T35*$T$3</f>
        <v/>
      </c>
      <c r="J35" s="106">
        <f>(G35+H35+I35)*$J$3</f>
        <v/>
      </c>
      <c r="K35" s="106">
        <f>(G35+H35+I35+J35)*$K$3</f>
        <v/>
      </c>
      <c r="L35" s="106">
        <f>G35+H35+I35+J35+K35</f>
        <v/>
      </c>
      <c r="M35" s="106">
        <f>F35*L35</f>
        <v/>
      </c>
      <c r="N35" s="101" t="n"/>
      <c r="O35" s="105">
        <f>P35*(1+Q35)+R35+S35+T35</f>
        <v/>
      </c>
      <c r="P35" s="111">
        <f>'公共区域安装工程'!P22</f>
        <v/>
      </c>
      <c r="Q35" s="32">
        <f>'公共区域安装工程'!Q22</f>
        <v/>
      </c>
      <c r="R35" s="111">
        <f>'公共区域安装工程'!R22</f>
        <v/>
      </c>
      <c r="S35" s="112">
        <f>'公共区域安装工程'!S22</f>
        <v/>
      </c>
      <c r="T35" s="107">
        <f>'公共区域安装工程'!T22</f>
        <v/>
      </c>
      <c r="U35" s="105">
        <f>F35*O35</f>
        <v/>
      </c>
    </row>
    <row r="36" outlineLevel="3" ht="72" customFormat="1" customHeight="1" s="5">
      <c r="A36" s="27" t="n">
        <v>27</v>
      </c>
      <c r="B36" s="28" t="n">
        <v>30412004003</v>
      </c>
      <c r="C36" s="28" t="inlineStr">
        <is>
          <t>配线</t>
        </is>
      </c>
      <c r="D36" s="28" t="inlineStr">
        <is>
          <t>1.名称：电气配线
2.型号规格：BV-4
3.安装方式：管内穿线
4.其他：包括但不限于满足图纸、招标文件、规范及验收要求等一切相关费用</t>
        </is>
      </c>
      <c r="E36" s="27" t="inlineStr">
        <is>
          <t>m</t>
        </is>
      </c>
      <c r="F36" s="145" t="n">
        <v>720.6</v>
      </c>
      <c r="G36" s="123">
        <f>R36*$R$3</f>
        <v/>
      </c>
      <c r="H36" s="106">
        <f>P36*(1+Q36)*$P$3+S36*$S$3</f>
        <v/>
      </c>
      <c r="I36" s="106">
        <f>T36*$T$3</f>
        <v/>
      </c>
      <c r="J36" s="106">
        <f>(G36+H36+I36)*$J$3</f>
        <v/>
      </c>
      <c r="K36" s="106">
        <f>(G36+H36+I36+J36)*$K$3</f>
        <v/>
      </c>
      <c r="L36" s="106">
        <f>G36+H36+I36+J36+K36</f>
        <v/>
      </c>
      <c r="M36" s="106">
        <f>F36*L36</f>
        <v/>
      </c>
      <c r="N36" s="101" t="n"/>
      <c r="O36" s="105">
        <f>P36*(1+Q36)+R36+S36+T36</f>
        <v/>
      </c>
      <c r="P36" s="111">
        <f>'户内交标安装工程'!P32</f>
        <v/>
      </c>
      <c r="Q36" s="32">
        <f>'户内交标安装工程'!Q32</f>
        <v/>
      </c>
      <c r="R36" s="111">
        <f>'户内交标安装工程'!R32</f>
        <v/>
      </c>
      <c r="S36" s="112">
        <f>'户内交标安装工程'!S32</f>
        <v/>
      </c>
      <c r="T36" s="107">
        <f>'户内交标安装工程'!T32</f>
        <v/>
      </c>
      <c r="U36" s="105">
        <f>F36*O36</f>
        <v/>
      </c>
    </row>
    <row r="37" outlineLevel="3" ht="72" customFormat="1" customHeight="1" s="5">
      <c r="A37" s="113" t="n">
        <v>28</v>
      </c>
      <c r="B37" s="136" t="n">
        <v>30412004004</v>
      </c>
      <c r="C37" s="136" t="inlineStr">
        <is>
          <t>配线</t>
        </is>
      </c>
      <c r="D37" s="136" t="inlineStr">
        <is>
          <t>1.名称：电气配线
2.型号规格：BV-10
3.安装方式：管内穿线
4.其他：包括但不限于满足图纸、招标文件、规范及验收要求等一切相关费用</t>
        </is>
      </c>
      <c r="E37" s="113" t="inlineStr">
        <is>
          <t>m</t>
        </is>
      </c>
      <c r="F37" s="146" t="n">
        <v>31.52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9</v>
      </c>
      <c r="Q37" s="120" t="n">
        <v>0.02</v>
      </c>
      <c r="R37" s="119" t="n">
        <v>2</v>
      </c>
      <c r="S37" s="121" t="n">
        <v>0.33</v>
      </c>
      <c r="T37" s="122" t="n">
        <v>0.02</v>
      </c>
      <c r="U37" s="114">
        <f>F37*O37</f>
        <v/>
      </c>
    </row>
    <row r="38" outlineLevel="1" customFormat="1" s="5">
      <c r="A38" s="27" t="inlineStr"/>
      <c r="B38" s="28" t="inlineStr"/>
      <c r="C38" s="28" t="inlineStr">
        <is>
          <t>弱电工程</t>
        </is>
      </c>
      <c r="D38" s="28" t="inlineStr"/>
      <c r="E38" s="27" t="inlineStr"/>
      <c r="F38" s="145" t="inlineStr"/>
      <c r="G38" s="123" t="n"/>
      <c r="H38" s="106" t="n"/>
      <c r="I38" s="106" t="n"/>
      <c r="J38" s="106" t="n"/>
      <c r="K38" s="106" t="n"/>
      <c r="L38" s="106" t="n"/>
      <c r="M38" s="106" t="n"/>
      <c r="N38" s="101" t="n"/>
      <c r="O38" s="105">
        <f>P38*(1+Q38)+R38+S38+T38</f>
        <v/>
      </c>
      <c r="P38" s="111" t="n"/>
      <c r="Q38" s="32" t="n"/>
      <c r="R38" s="111" t="n"/>
      <c r="S38" s="112" t="n"/>
      <c r="T38" s="107" t="n"/>
      <c r="U38" s="105">
        <f>F38*O38</f>
        <v/>
      </c>
    </row>
    <row r="39" outlineLevel="2" ht="72" customFormat="1" customHeight="1" s="5">
      <c r="A39" s="113" t="n">
        <v>29</v>
      </c>
      <c r="B39" s="136" t="n">
        <v>30413014007</v>
      </c>
      <c r="C39" s="136" t="inlineStr">
        <is>
          <t>插座</t>
        </is>
      </c>
      <c r="D39" s="136" t="inlineStr">
        <is>
          <t>1.名称：网络插座
2.规格：86*86mm
3.安装方式：暗装
4.其他：包括但不限于满足图纸、招标文件、规范及验收要求等一切相关费用</t>
        </is>
      </c>
      <c r="E39" s="113" t="inlineStr">
        <is>
          <t>套</t>
        </is>
      </c>
      <c r="F39" s="146" t="n">
        <v>4</v>
      </c>
      <c r="G39" s="116">
        <f>R39*$R$3</f>
        <v/>
      </c>
      <c r="H39" s="117">
        <f>P39*(1+Q39)*$P$3+S39*$S$3</f>
        <v/>
      </c>
      <c r="I39" s="117">
        <f>T39*$T$3</f>
        <v/>
      </c>
      <c r="J39" s="117">
        <f>(G39+H39+I39)*$J$3</f>
        <v/>
      </c>
      <c r="K39" s="117">
        <f>(G39+H39+I39+J39)*$K$3</f>
        <v/>
      </c>
      <c r="L39" s="117">
        <f>G39+H39+I39+J39+K39</f>
        <v/>
      </c>
      <c r="M39" s="117">
        <f>F39*L39</f>
        <v/>
      </c>
      <c r="N39" s="118" t="n"/>
      <c r="O39" s="114">
        <f>P39*(1+Q39)+R39+S39+T39</f>
        <v/>
      </c>
      <c r="P39" s="119" t="n">
        <v>14.62</v>
      </c>
      <c r="Q39" s="120" t="n">
        <v>0</v>
      </c>
      <c r="R39" s="119" t="n">
        <v>6.31</v>
      </c>
      <c r="S39" s="121" t="n">
        <v>1.12</v>
      </c>
      <c r="T39" s="122" t="n">
        <v>0</v>
      </c>
      <c r="U39" s="114">
        <f>F39*O39</f>
        <v/>
      </c>
    </row>
    <row r="40" outlineLevel="2" ht="72" customFormat="1" customHeight="1" s="5">
      <c r="A40" s="113" t="n">
        <v>30</v>
      </c>
      <c r="B40" s="136" t="n">
        <v>30413014008</v>
      </c>
      <c r="C40" s="136" t="inlineStr">
        <is>
          <t>插座</t>
        </is>
      </c>
      <c r="D40" s="136" t="inlineStr">
        <is>
          <t>1.名称：电视插座
2.规格：86*86mm
3.安装方式：暗装
4.其他：包括但不限于满足图纸、招标文件、规范及验收要求等一切相关费用</t>
        </is>
      </c>
      <c r="E40" s="113" t="inlineStr">
        <is>
          <t>套</t>
        </is>
      </c>
      <c r="F40" s="146" t="n">
        <v>2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14.62</v>
      </c>
      <c r="Q40" s="120" t="n">
        <v>0</v>
      </c>
      <c r="R40" s="119" t="n">
        <v>6.31</v>
      </c>
      <c r="S40" s="121" t="n">
        <v>1.12</v>
      </c>
      <c r="T40" s="122" t="n">
        <v>0</v>
      </c>
      <c r="U40" s="114">
        <f>F40*O40</f>
        <v/>
      </c>
    </row>
    <row r="41" outlineLevel="2" ht="72" customFormat="1" customHeight="1" s="5">
      <c r="A41" s="113" t="n">
        <v>31</v>
      </c>
      <c r="B41" s="136" t="n">
        <v>30413013007</v>
      </c>
      <c r="C41" s="136" t="inlineStr">
        <is>
          <t>紧急按钮</t>
        </is>
      </c>
      <c r="D41" s="136" t="inlineStr">
        <is>
          <t>1.名称：紧急按钮
2.规格：86*86mm
3.安装方式：暗装
4.其他：包括但不限于满足图纸、招标文件、规范及验收要求等一切相关费用</t>
        </is>
      </c>
      <c r="E41" s="113" t="inlineStr">
        <is>
          <t>套</t>
        </is>
      </c>
      <c r="F41" s="146" t="n">
        <v>1</v>
      </c>
      <c r="G41" s="116">
        <f>R41*$R$3</f>
        <v/>
      </c>
      <c r="H41" s="117">
        <f>P41*(1+Q41)*$P$3+S41*$S$3</f>
        <v/>
      </c>
      <c r="I41" s="117">
        <f>T41*$T$3</f>
        <v/>
      </c>
      <c r="J41" s="117">
        <f>(G41+H41+I41)*$J$3</f>
        <v/>
      </c>
      <c r="K41" s="117">
        <f>(G41+H41+I41+J41)*$K$3</f>
        <v/>
      </c>
      <c r="L41" s="117">
        <f>G41+H41+I41+J41+K41</f>
        <v/>
      </c>
      <c r="M41" s="117">
        <f>F41*L41</f>
        <v/>
      </c>
      <c r="N41" s="118" t="n"/>
      <c r="O41" s="114">
        <f>P41*(1+Q41)+R41+S41+T41</f>
        <v/>
      </c>
      <c r="P41" s="119" t="n">
        <v>27</v>
      </c>
      <c r="Q41" s="120" t="n">
        <v>0</v>
      </c>
      <c r="R41" s="119" t="n">
        <v>12</v>
      </c>
      <c r="S41" s="121" t="n">
        <v>2</v>
      </c>
      <c r="T41" s="122" t="n">
        <v>0</v>
      </c>
      <c r="U41" s="114">
        <f>F41*O41</f>
        <v/>
      </c>
    </row>
    <row r="42" outlineLevel="2" ht="72" customFormat="1" customHeight="1" s="5">
      <c r="A42" s="113" t="n">
        <v>32</v>
      </c>
      <c r="B42" s="136" t="n">
        <v>30502003001</v>
      </c>
      <c r="C42" s="136" t="inlineStr">
        <is>
          <t>双绞线缆</t>
        </is>
      </c>
      <c r="D42" s="136" t="inlineStr">
        <is>
          <t>1.名称：超六类网线
2.型号规格：CAT6e
3.敷设方式：管内穿线
4.其他：包括但不限于满足图纸、招标文件、规范及验收要求等一切相关费用</t>
        </is>
      </c>
      <c r="E42" s="113" t="inlineStr">
        <is>
          <t>m</t>
        </is>
      </c>
      <c r="F42" s="146" t="n">
        <v>69.59999999999999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2.5</v>
      </c>
      <c r="Q42" s="120" t="n">
        <v>0</v>
      </c>
      <c r="R42" s="119" t="n">
        <v>0.8</v>
      </c>
      <c r="S42" s="121" t="n">
        <v>0.1</v>
      </c>
      <c r="T42" s="122" t="n">
        <v>0.1</v>
      </c>
      <c r="U42" s="114">
        <f>F42*O42</f>
        <v/>
      </c>
    </row>
    <row r="43" outlineLevel="2" ht="72" customFormat="1" customHeight="1" s="5">
      <c r="A43" s="113" t="n">
        <v>33</v>
      </c>
      <c r="B43" s="136" t="n">
        <v>30502003002</v>
      </c>
      <c r="C43" s="136" t="inlineStr">
        <is>
          <t>多芯软导线</t>
        </is>
      </c>
      <c r="D43" s="136" t="inlineStr">
        <is>
          <t>1.名称：多芯软导线
2.型号规格：RVV-2*1.0
3.敷设方式：管内穿线
4.其他：包括但不限于满足图纸、招标文件、规范及验收要求等一切相关费用</t>
        </is>
      </c>
      <c r="E43" s="113" t="inlineStr">
        <is>
          <t>m</t>
        </is>
      </c>
      <c r="F43" s="146" t="n">
        <v>14.63</v>
      </c>
      <c r="G43" s="116">
        <f>R43*$R$3</f>
        <v/>
      </c>
      <c r="H43" s="117">
        <f>P43*(1+Q43)*$P$3+S43*$S$3</f>
        <v/>
      </c>
      <c r="I43" s="117">
        <f>T43*$T$3</f>
        <v/>
      </c>
      <c r="J43" s="117">
        <f>(G43+H43+I43)*$J$3</f>
        <v/>
      </c>
      <c r="K43" s="117">
        <f>(G43+H43+I43+J43)*$K$3</f>
        <v/>
      </c>
      <c r="L43" s="117">
        <f>G43+H43+I43+J43+K43</f>
        <v/>
      </c>
      <c r="M43" s="117">
        <f>F43*L43</f>
        <v/>
      </c>
      <c r="N43" s="118" t="n"/>
      <c r="O43" s="114">
        <f>P43*(1+Q43)+R43+S43+T43</f>
        <v/>
      </c>
      <c r="P43" s="119" t="n">
        <v>3</v>
      </c>
      <c r="Q43" s="120" t="n">
        <v>0.02</v>
      </c>
      <c r="R43" s="119" t="n">
        <v>1.73</v>
      </c>
      <c r="S43" s="121" t="n">
        <v>0.12</v>
      </c>
      <c r="T43" s="122" t="n">
        <v>0.02</v>
      </c>
      <c r="U43" s="114">
        <f>F43*O43</f>
        <v/>
      </c>
    </row>
    <row r="44" outlineLevel="1" customFormat="1" s="5">
      <c r="A44" s="27" t="inlineStr"/>
      <c r="B44" s="28" t="inlineStr"/>
      <c r="C44" s="28" t="inlineStr">
        <is>
          <t>给排水工程</t>
        </is>
      </c>
      <c r="D44" s="28" t="inlineStr"/>
      <c r="E44" s="27" t="inlineStr"/>
      <c r="F44" s="145" t="inlineStr"/>
      <c r="G44" s="123" t="n"/>
      <c r="H44" s="106" t="n"/>
      <c r="I44" s="106" t="n"/>
      <c r="J44" s="106" t="n"/>
      <c r="K44" s="106" t="n"/>
      <c r="L44" s="106" t="n"/>
      <c r="M44" s="106" t="n"/>
      <c r="N44" s="101" t="n"/>
      <c r="O44" s="105">
        <f>P44*(1+Q44)+R44+S44+T44</f>
        <v/>
      </c>
      <c r="P44" s="111" t="n"/>
      <c r="Q44" s="32" t="n"/>
      <c r="R44" s="111" t="n"/>
      <c r="S44" s="112" t="n"/>
      <c r="T44" s="107" t="n"/>
      <c r="U44" s="105">
        <f>F44*O44</f>
        <v/>
      </c>
    </row>
    <row r="45" outlineLevel="2" customFormat="1" s="5">
      <c r="A45" s="27" t="inlineStr"/>
      <c r="B45" s="28" t="inlineStr"/>
      <c r="C45" s="28" t="inlineStr">
        <is>
          <t>排水管</t>
        </is>
      </c>
      <c r="D45" s="28" t="inlineStr"/>
      <c r="E45" s="27" t="inlineStr"/>
      <c r="F45" s="145" t="inlineStr"/>
      <c r="G45" s="123" t="n"/>
      <c r="H45" s="106" t="n"/>
      <c r="I45" s="106" t="n"/>
      <c r="J45" s="106" t="n"/>
      <c r="K45" s="106" t="n"/>
      <c r="L45" s="106" t="n"/>
      <c r="M45" s="106" t="n"/>
      <c r="N45" s="101" t="n"/>
      <c r="O45" s="105">
        <f>P45*(1+Q45)+R45+S45+T45</f>
        <v/>
      </c>
      <c r="P45" s="111" t="n"/>
      <c r="Q45" s="32" t="n"/>
      <c r="R45" s="111" t="n"/>
      <c r="S45" s="112" t="n"/>
      <c r="T45" s="107" t="n"/>
      <c r="U45" s="105">
        <f>F45*O45</f>
        <v/>
      </c>
    </row>
    <row r="46" outlineLevel="3" ht="96" customFormat="1" customHeight="1" s="5">
      <c r="A46" s="113" t="n">
        <v>34</v>
      </c>
      <c r="B46" s="136" t="n">
        <v>31001008007</v>
      </c>
      <c r="C46" s="136" t="inlineStr">
        <is>
          <t>UPVC排水管</t>
        </is>
      </c>
      <c r="D46" s="136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46" s="113" t="inlineStr">
        <is>
          <t>m</t>
        </is>
      </c>
      <c r="F46" s="146" t="n">
        <v>6.1</v>
      </c>
      <c r="G46" s="116">
        <f>R46*$R$3</f>
        <v/>
      </c>
      <c r="H46" s="117">
        <f>P46*(1+Q46)*$P$3+S46*$S$3</f>
        <v/>
      </c>
      <c r="I46" s="117">
        <f>T46*$T$3</f>
        <v/>
      </c>
      <c r="J46" s="117">
        <f>(G46+H46+I46)*$J$3</f>
        <v/>
      </c>
      <c r="K46" s="117">
        <f>(G46+H46+I46+J46)*$K$3</f>
        <v/>
      </c>
      <c r="L46" s="117">
        <f>G46+H46+I46+J46+K46</f>
        <v/>
      </c>
      <c r="M46" s="117">
        <f>F46*L46</f>
        <v/>
      </c>
      <c r="N46" s="118" t="n"/>
      <c r="O46" s="114">
        <f>P46*(1+Q46)+R46+S46+T46</f>
        <v/>
      </c>
      <c r="P46" s="119" t="n">
        <v>15</v>
      </c>
      <c r="Q46" s="120" t="n">
        <v>0</v>
      </c>
      <c r="R46" s="119" t="n">
        <v>24</v>
      </c>
      <c r="S46" s="121" t="n">
        <v>1.27</v>
      </c>
      <c r="T46" s="122" t="n">
        <v>0.23</v>
      </c>
      <c r="U46" s="114">
        <f>F46*O46</f>
        <v/>
      </c>
    </row>
    <row r="47" outlineLevel="3" ht="96" customFormat="1" customHeight="1" s="5">
      <c r="A47" s="113" t="n">
        <v>35</v>
      </c>
      <c r="B47" s="136" t="n">
        <v>31001008008</v>
      </c>
      <c r="C47" s="136" t="inlineStr">
        <is>
          <t>UPVC排水管</t>
        </is>
      </c>
      <c r="D47" s="136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47" s="113" t="inlineStr">
        <is>
          <t>m</t>
        </is>
      </c>
      <c r="F47" s="146" t="n">
        <v>1.97</v>
      </c>
      <c r="G47" s="116">
        <f>R47*$R$3</f>
        <v/>
      </c>
      <c r="H47" s="117">
        <f>P47*(1+Q47)*$P$3+S47*$S$3</f>
        <v/>
      </c>
      <c r="I47" s="117">
        <f>T47*$T$3</f>
        <v/>
      </c>
      <c r="J47" s="117">
        <f>(G47+H47+I47)*$J$3</f>
        <v/>
      </c>
      <c r="K47" s="117">
        <f>(G47+H47+I47+J47)*$K$3</f>
        <v/>
      </c>
      <c r="L47" s="117">
        <f>G47+H47+I47+J47+K47</f>
        <v/>
      </c>
      <c r="M47" s="117">
        <f>F47*L47</f>
        <v/>
      </c>
      <c r="N47" s="118" t="n"/>
      <c r="O47" s="114">
        <f>P47*(1+Q47)+R47+S47+T47</f>
        <v/>
      </c>
      <c r="P47" s="119" t="n">
        <v>25</v>
      </c>
      <c r="Q47" s="120" t="n">
        <v>0</v>
      </c>
      <c r="R47" s="119" t="n">
        <v>55</v>
      </c>
      <c r="S47" s="121" t="n">
        <v>3</v>
      </c>
      <c r="T47" s="122" t="n">
        <v>3</v>
      </c>
      <c r="U47" s="114">
        <f>F47*O47</f>
        <v/>
      </c>
    </row>
    <row r="48" outlineLevel="3" ht="96" customFormat="1" customHeight="1" s="5">
      <c r="A48" s="113" t="n">
        <v>36</v>
      </c>
      <c r="B48" s="136" t="n">
        <v>31001008009</v>
      </c>
      <c r="C48" s="136" t="inlineStr">
        <is>
          <t>UPVC排水管</t>
        </is>
      </c>
      <c r="D48" s="136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48" s="113" t="inlineStr">
        <is>
          <t>m</t>
        </is>
      </c>
      <c r="F48" s="146" t="n">
        <v>1.53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>
        <v>36</v>
      </c>
      <c r="Q48" s="120" t="n">
        <v>0</v>
      </c>
      <c r="R48" s="119" t="n">
        <v>30</v>
      </c>
      <c r="S48" s="121" t="n">
        <v>2.12</v>
      </c>
      <c r="T48" s="122" t="n">
        <v>0.38</v>
      </c>
      <c r="U48" s="114">
        <f>F48*O48</f>
        <v/>
      </c>
    </row>
    <row r="49" outlineLevel="2" customFormat="1" s="5">
      <c r="A49" s="27" t="inlineStr"/>
      <c r="B49" s="28" t="inlineStr"/>
      <c r="C49" s="28" t="inlineStr">
        <is>
          <t>洁具五金</t>
        </is>
      </c>
      <c r="D49" s="28" t="inlineStr"/>
      <c r="E49" s="27" t="inlineStr"/>
      <c r="F49" s="145" t="inlineStr"/>
      <c r="G49" s="123" t="n"/>
      <c r="H49" s="106" t="n"/>
      <c r="I49" s="106" t="n"/>
      <c r="J49" s="106" t="n"/>
      <c r="K49" s="106" t="n"/>
      <c r="L49" s="106" t="n"/>
      <c r="M49" s="106" t="n"/>
      <c r="N49" s="101" t="n"/>
      <c r="O49" s="105">
        <f>P49*(1+Q49)+R49+S49+T49</f>
        <v/>
      </c>
      <c r="P49" s="111" t="n"/>
      <c r="Q49" s="32" t="n"/>
      <c r="R49" s="111" t="n"/>
      <c r="S49" s="112" t="n"/>
      <c r="T49" s="107" t="n"/>
      <c r="U49" s="105">
        <f>F49*O49</f>
        <v/>
      </c>
    </row>
    <row r="50" outlineLevel="3" ht="60" customFormat="1" customHeight="1" s="5">
      <c r="A50" s="113" t="n">
        <v>37</v>
      </c>
      <c r="B50" s="136" t="n">
        <v>31003006001</v>
      </c>
      <c r="C50" s="136" t="inlineStr">
        <is>
          <t>大便器</t>
        </is>
      </c>
      <c r="D50" s="136" t="inlineStr">
        <is>
          <t>1.名称：智能坐便器-主卫
2.型号：详见物料表
3.其他：包括但不限于满足图纸、招标文件、规范及验收要求等一切相关费用</t>
        </is>
      </c>
      <c r="E50" s="113" t="inlineStr">
        <is>
          <t>组</t>
        </is>
      </c>
      <c r="F50" s="146" t="n">
        <v>1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>
        <v>800</v>
      </c>
      <c r="Q50" s="120" t="n">
        <v>0</v>
      </c>
      <c r="R50" s="119" t="n">
        <v>130</v>
      </c>
      <c r="S50" s="121" t="n">
        <v>15</v>
      </c>
      <c r="T50" s="122" t="n">
        <v>0.8</v>
      </c>
      <c r="U50" s="114">
        <f>F50*O50</f>
        <v/>
      </c>
    </row>
    <row r="51" outlineLevel="3" ht="60" customFormat="1" customHeight="1" s="5">
      <c r="A51" s="113" t="n">
        <v>38</v>
      </c>
      <c r="B51" s="136" t="n">
        <v>31003006002</v>
      </c>
      <c r="C51" s="136" t="inlineStr">
        <is>
          <t>大便器</t>
        </is>
      </c>
      <c r="D51" s="136" t="inlineStr">
        <is>
          <t>1.名称：连体坐便器-公卫
2.型号：详见物料表
3.其他：包括但不限于满足图纸、招标文件、规范及验收要求等一切相关费用</t>
        </is>
      </c>
      <c r="E51" s="113" t="inlineStr">
        <is>
          <t>组</t>
        </is>
      </c>
      <c r="F51" s="146" t="n">
        <v>1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>
        <v>800</v>
      </c>
      <c r="Q51" s="120" t="n">
        <v>0</v>
      </c>
      <c r="R51" s="119" t="n">
        <v>130</v>
      </c>
      <c r="S51" s="121" t="n">
        <v>15</v>
      </c>
      <c r="T51" s="122" t="n">
        <v>0.8</v>
      </c>
      <c r="U51" s="114">
        <f>F51*O51</f>
        <v/>
      </c>
    </row>
    <row r="52" outlineLevel="3" ht="60" customFormat="1" customHeight="1" s="5">
      <c r="A52" s="113" t="n">
        <v>39</v>
      </c>
      <c r="B52" s="136" t="n">
        <v>31003010001</v>
      </c>
      <c r="C52" s="136" t="inlineStr">
        <is>
          <t>淋浴器</t>
        </is>
      </c>
      <c r="D52" s="136" t="inlineStr">
        <is>
          <t>1.名称：淋浴花洒3-主卫
2.型号：详见物料表
3.其他：包括但不限于满足图纸、招标文件、规范及验收要求等一切相关费用</t>
        </is>
      </c>
      <c r="E52" s="113" t="inlineStr">
        <is>
          <t>套</t>
        </is>
      </c>
      <c r="F52" s="146" t="n">
        <v>1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>
        <v>1100</v>
      </c>
      <c r="Q52" s="120" t="n">
        <v>0</v>
      </c>
      <c r="R52" s="119" t="n">
        <v>90</v>
      </c>
      <c r="S52" s="121" t="n">
        <v>35</v>
      </c>
      <c r="T52" s="122" t="n">
        <v>0</v>
      </c>
      <c r="U52" s="114">
        <f>F52*O52</f>
        <v/>
      </c>
    </row>
    <row r="53" outlineLevel="3" ht="60" customFormat="1" customHeight="1" s="5">
      <c r="A53" s="113" t="n">
        <v>40</v>
      </c>
      <c r="B53" s="136" t="n">
        <v>31003010002</v>
      </c>
      <c r="C53" s="136" t="inlineStr">
        <is>
          <t>淋浴器</t>
        </is>
      </c>
      <c r="D53" s="136" t="inlineStr">
        <is>
          <t>1.名称：淋浴花洒2-公卫
2.型号：详见物料表
3.其他：包括但不限于满足图纸、招标文件、规范及验收要求等一切相关费用</t>
        </is>
      </c>
      <c r="E53" s="113" t="inlineStr">
        <is>
          <t>套</t>
        </is>
      </c>
      <c r="F53" s="146" t="n">
        <v>1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>
        <v>1100</v>
      </c>
      <c r="Q53" s="120" t="n">
        <v>0</v>
      </c>
      <c r="R53" s="119" t="n">
        <v>90</v>
      </c>
      <c r="S53" s="121" t="n">
        <v>35</v>
      </c>
      <c r="T53" s="122" t="n">
        <v>0</v>
      </c>
      <c r="U53" s="114">
        <f>F53*O53</f>
        <v/>
      </c>
    </row>
    <row r="54" outlineLevel="3" ht="72" customFormat="1" customHeight="1" s="5">
      <c r="A54" s="113" t="n">
        <v>41</v>
      </c>
      <c r="B54" s="136" t="n">
        <v>31003003001</v>
      </c>
      <c r="C54" s="136" t="inlineStr">
        <is>
          <t>台下盆及龙头</t>
        </is>
      </c>
      <c r="D54" s="136" t="inlineStr">
        <is>
          <t>1.名称：台下盆方形及龙头-主卫
2.型号：详见物料表
3.其他：包括但不限于满足图纸、招标文件、规范及验收要求等一切相关费用</t>
        </is>
      </c>
      <c r="E54" s="113" t="inlineStr">
        <is>
          <t>组</t>
        </is>
      </c>
      <c r="F54" s="146" t="n">
        <v>1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>
        <v>550</v>
      </c>
      <c r="Q54" s="120" t="n">
        <v>0</v>
      </c>
      <c r="R54" s="119" t="n">
        <v>90</v>
      </c>
      <c r="S54" s="121" t="n">
        <v>12</v>
      </c>
      <c r="T54" s="122" t="n">
        <v>0</v>
      </c>
      <c r="U54" s="114">
        <f>F54*O54</f>
        <v/>
      </c>
    </row>
    <row r="55" outlineLevel="3" ht="72" customFormat="1" customHeight="1" s="5">
      <c r="A55" s="113" t="n">
        <v>42</v>
      </c>
      <c r="B55" s="136" t="n">
        <v>31003003002</v>
      </c>
      <c r="C55" s="136" t="inlineStr">
        <is>
          <t>台下盆及龙头</t>
        </is>
      </c>
      <c r="D55" s="136" t="inlineStr">
        <is>
          <t>1.名称：台下盆方形及龙头-公卫
2.型号：详见物料表
3.其他：包括但不限于满足图纸、招标文件、规范及验收要求等一切相关费用</t>
        </is>
      </c>
      <c r="E55" s="113" t="inlineStr">
        <is>
          <t>组</t>
        </is>
      </c>
      <c r="F55" s="146" t="n">
        <v>1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>
        <v>550</v>
      </c>
      <c r="Q55" s="120" t="n">
        <v>0</v>
      </c>
      <c r="R55" s="119" t="n">
        <v>90</v>
      </c>
      <c r="S55" s="121" t="n">
        <v>12</v>
      </c>
      <c r="T55" s="122" t="n">
        <v>0</v>
      </c>
      <c r="U55" s="114">
        <f>F55*O55</f>
        <v/>
      </c>
    </row>
    <row r="56" outlineLevel="3" ht="60" customFormat="1" customHeight="1" s="5">
      <c r="A56" s="113" t="n">
        <v>43</v>
      </c>
      <c r="B56" s="136" t="n">
        <v>31003004001</v>
      </c>
      <c r="C56" s="136" t="inlineStr">
        <is>
          <t>水槽及龙头</t>
        </is>
      </c>
      <c r="D56" s="136" t="inlineStr">
        <is>
          <t>1.名称：厨房大单盆水槽
2.型号：详见物料表
3.其他：包括但不限于满足图纸、招标文件、规范及验收要求等一切相关费用</t>
        </is>
      </c>
      <c r="E56" s="113" t="inlineStr">
        <is>
          <t>组</t>
        </is>
      </c>
      <c r="F56" s="146" t="n">
        <v>1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>
        <v>950</v>
      </c>
      <c r="Q56" s="120" t="n">
        <v>0</v>
      </c>
      <c r="R56" s="119" t="n">
        <v>60</v>
      </c>
      <c r="S56" s="121" t="n">
        <v>40</v>
      </c>
      <c r="T56" s="122" t="n">
        <v>0</v>
      </c>
      <c r="U56" s="114">
        <f>F56*O56</f>
        <v/>
      </c>
    </row>
    <row r="57" outlineLevel="3" ht="72" customFormat="1" customHeight="1" s="5">
      <c r="A57" s="113" t="n">
        <v>44</v>
      </c>
      <c r="B57" s="136" t="n">
        <v>31003014001</v>
      </c>
      <c r="C57" s="136" t="inlineStr">
        <is>
          <t>地漏</t>
        </is>
      </c>
      <c r="D57" s="136" t="inlineStr">
        <is>
          <t>1.名称：隐藏式地漏-干区
2.规格：DN50
3.型号：详见物料表
4.其他：包括但不限于满足图纸、招标文件、规范及验收要求等一切相关费用</t>
        </is>
      </c>
      <c r="E57" s="113" t="inlineStr">
        <is>
          <t>个</t>
        </is>
      </c>
      <c r="F57" s="146" t="n">
        <v>2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>
        <v>35</v>
      </c>
      <c r="Q57" s="120" t="n">
        <v>0</v>
      </c>
      <c r="R57" s="119" t="n">
        <v>18</v>
      </c>
      <c r="S57" s="121" t="n">
        <v>5</v>
      </c>
      <c r="T57" s="122" t="n">
        <v>0</v>
      </c>
      <c r="U57" s="114">
        <f>F57*O57</f>
        <v/>
      </c>
    </row>
    <row r="58" outlineLevel="3" ht="72" customFormat="1" customHeight="1" s="5">
      <c r="A58" s="113" t="n">
        <v>45</v>
      </c>
      <c r="B58" s="136" t="n">
        <v>31003014002</v>
      </c>
      <c r="C58" s="136" t="inlineStr">
        <is>
          <t>地漏</t>
        </is>
      </c>
      <c r="D58" s="136" t="inlineStr">
        <is>
          <t>1.名称：隐形长地漏-淋浴间
2.规格：DN75
3.型号：详见物料表
4.其他：包括但不限于满足图纸、招标文件、规范及验收要求等一切相关费用</t>
        </is>
      </c>
      <c r="E58" s="113" t="inlineStr">
        <is>
          <t>个</t>
        </is>
      </c>
      <c r="F58" s="146" t="n">
        <v>2</v>
      </c>
      <c r="G58" s="116">
        <f>R58*$R$3</f>
        <v/>
      </c>
      <c r="H58" s="117">
        <f>P58*(1+Q58)*$P$3+S58*$S$3</f>
        <v/>
      </c>
      <c r="I58" s="117">
        <f>T58*$T$3</f>
        <v/>
      </c>
      <c r="J58" s="117">
        <f>(G58+H58+I58)*$J$3</f>
        <v/>
      </c>
      <c r="K58" s="117">
        <f>(G58+H58+I58+J58)*$K$3</f>
        <v/>
      </c>
      <c r="L58" s="117">
        <f>G58+H58+I58+J58+K58</f>
        <v/>
      </c>
      <c r="M58" s="117">
        <f>F58*L58</f>
        <v/>
      </c>
      <c r="N58" s="118" t="n"/>
      <c r="O58" s="114">
        <f>P58*(1+Q58)+R58+S58+T58</f>
        <v/>
      </c>
      <c r="P58" s="119" t="n">
        <v>55</v>
      </c>
      <c r="Q58" s="120" t="n">
        <v>0</v>
      </c>
      <c r="R58" s="119" t="n">
        <v>25</v>
      </c>
      <c r="S58" s="121" t="n">
        <v>1.5</v>
      </c>
      <c r="T58" s="122" t="n">
        <v>0.2</v>
      </c>
      <c r="U58" s="114">
        <f>F58*O58</f>
        <v/>
      </c>
    </row>
    <row r="59" outlineLevel="3" ht="72" customFormat="1" customHeight="1" s="5">
      <c r="A59" s="113" t="n">
        <v>46</v>
      </c>
      <c r="B59" s="136" t="n">
        <v>31003014003</v>
      </c>
      <c r="C59" s="136" t="inlineStr">
        <is>
          <t>地漏</t>
        </is>
      </c>
      <c r="D59" s="136" t="inlineStr">
        <is>
          <t>1.名称：隐藏式地漏-阳台
2.规格：DN75
3.型号：详见物料表
4.其他：包括但不限于满足图纸、招标文件、规范及验收要求等一切相关费用</t>
        </is>
      </c>
      <c r="E59" s="113" t="inlineStr">
        <is>
          <t>个</t>
        </is>
      </c>
      <c r="F59" s="146" t="n">
        <v>2</v>
      </c>
      <c r="G59" s="116">
        <f>R59*$R$3</f>
        <v/>
      </c>
      <c r="H59" s="117">
        <f>P59*(1+Q59)*$P$3+S59*$S$3</f>
        <v/>
      </c>
      <c r="I59" s="117">
        <f>T59*$T$3</f>
        <v/>
      </c>
      <c r="J59" s="117">
        <f>(G59+H59+I59)*$J$3</f>
        <v/>
      </c>
      <c r="K59" s="117">
        <f>(G59+H59+I59+J59)*$K$3</f>
        <v/>
      </c>
      <c r="L59" s="117">
        <f>G59+H59+I59+J59+K59</f>
        <v/>
      </c>
      <c r="M59" s="117">
        <f>F59*L59</f>
        <v/>
      </c>
      <c r="N59" s="118" t="n"/>
      <c r="O59" s="114">
        <f>P59*(1+Q59)+R59+S59+T59</f>
        <v/>
      </c>
      <c r="P59" s="119" t="n">
        <v>55</v>
      </c>
      <c r="Q59" s="120" t="n">
        <v>0</v>
      </c>
      <c r="R59" s="119" t="n">
        <v>25</v>
      </c>
      <c r="S59" s="121" t="n">
        <v>1.5</v>
      </c>
      <c r="T59" s="122" t="n">
        <v>0.2</v>
      </c>
      <c r="U59" s="114">
        <f>F59*O59</f>
        <v/>
      </c>
    </row>
    <row r="60" outlineLevel="3" ht="72" customFormat="1" customHeight="1" s="5">
      <c r="A60" s="113" t="n">
        <v>47</v>
      </c>
      <c r="B60" s="136" t="n">
        <v>31003014004</v>
      </c>
      <c r="C60" s="136" t="inlineStr">
        <is>
          <t>地漏</t>
        </is>
      </c>
      <c r="D60" s="136" t="inlineStr">
        <is>
          <t>1.名称：洗衣机地漏
2.规格：DN75
3.型号：详见物料表
4.其他：包括但不限于满足图纸、招标文件、规范及验收要求等一切相关费用</t>
        </is>
      </c>
      <c r="E60" s="113" t="inlineStr">
        <is>
          <t>个</t>
        </is>
      </c>
      <c r="F60" s="146" t="n">
        <v>1</v>
      </c>
      <c r="G60" s="116">
        <f>R60*$R$3</f>
        <v/>
      </c>
      <c r="H60" s="117">
        <f>P60*(1+Q60)*$P$3+S60*$S$3</f>
        <v/>
      </c>
      <c r="I60" s="117">
        <f>T60*$T$3</f>
        <v/>
      </c>
      <c r="J60" s="117">
        <f>(G60+H60+I60)*$J$3</f>
        <v/>
      </c>
      <c r="K60" s="117">
        <f>(G60+H60+I60+J60)*$K$3</f>
        <v/>
      </c>
      <c r="L60" s="117">
        <f>G60+H60+I60+J60+K60</f>
        <v/>
      </c>
      <c r="M60" s="117">
        <f>F60*L60</f>
        <v/>
      </c>
      <c r="N60" s="118" t="n"/>
      <c r="O60" s="114">
        <f>P60*(1+Q60)+R60+S60+T60</f>
        <v/>
      </c>
      <c r="P60" s="119" t="n">
        <v>35</v>
      </c>
      <c r="Q60" s="120" t="n">
        <v>0</v>
      </c>
      <c r="R60" s="119" t="n">
        <v>18</v>
      </c>
      <c r="S60" s="121" t="n">
        <v>5</v>
      </c>
      <c r="T60" s="122" t="n">
        <v>0</v>
      </c>
      <c r="U60" s="114">
        <f>F60*O60</f>
        <v/>
      </c>
    </row>
    <row r="61" outlineLevel="3" ht="72" customFormat="1" customHeight="1" s="5">
      <c r="A61" s="113" t="n">
        <v>48</v>
      </c>
      <c r="B61" s="136" t="n">
        <v>31003014005</v>
      </c>
      <c r="C61" s="136" t="inlineStr">
        <is>
          <t>洗衣机龙头</t>
        </is>
      </c>
      <c r="D61" s="136" t="inlineStr">
        <is>
          <t>1.名称：洗衣机龙头
2.规格：DN15
3.型号：详见物料表
4.其他：包括但不限于满足图纸、招标文件、规范及验收要求等一切相关费用</t>
        </is>
      </c>
      <c r="E61" s="113" t="inlineStr">
        <is>
          <t>个</t>
        </is>
      </c>
      <c r="F61" s="146" t="n">
        <v>1</v>
      </c>
      <c r="G61" s="116">
        <f>R61*$R$3</f>
        <v/>
      </c>
      <c r="H61" s="117">
        <f>P61*(1+Q61)*$P$3+S61*$S$3</f>
        <v/>
      </c>
      <c r="I61" s="117">
        <f>T61*$T$3</f>
        <v/>
      </c>
      <c r="J61" s="117">
        <f>(G61+H61+I61)*$J$3</f>
        <v/>
      </c>
      <c r="K61" s="117">
        <f>(G61+H61+I61+J61)*$K$3</f>
        <v/>
      </c>
      <c r="L61" s="117">
        <f>G61+H61+I61+J61+K61</f>
        <v/>
      </c>
      <c r="M61" s="117">
        <f>F61*L61</f>
        <v/>
      </c>
      <c r="N61" s="118" t="n"/>
      <c r="O61" s="114">
        <f>P61*(1+Q61)+R61+S61+T61</f>
        <v/>
      </c>
      <c r="P61" s="119" t="n">
        <v>465</v>
      </c>
      <c r="Q61" s="120" t="n">
        <v>0</v>
      </c>
      <c r="R61" s="119" t="n">
        <v>55</v>
      </c>
      <c r="S61" s="121" t="n">
        <v>20</v>
      </c>
      <c r="T61" s="122" t="n">
        <v>0</v>
      </c>
      <c r="U61" s="114">
        <f>F61*O61</f>
        <v/>
      </c>
    </row>
    <row r="62" outlineLevel="3" ht="72" customFormat="1" customHeight="1" s="5">
      <c r="A62" s="113" t="n">
        <v>49</v>
      </c>
      <c r="B62" s="136" t="n">
        <v>31002001004</v>
      </c>
      <c r="C62" s="136" t="inlineStr">
        <is>
          <t>角阀</t>
        </is>
      </c>
      <c r="D62" s="136" t="inlineStr">
        <is>
          <t>1.名称：角阀（热水器、洗碗机、扫地机、阳台洗手盆）
2.型号规格：DN15
3.其他：包括但不限于满足图纸、招标文件、规范及验收要求等一切相关费用</t>
        </is>
      </c>
      <c r="E62" s="113" t="inlineStr">
        <is>
          <t>个</t>
        </is>
      </c>
      <c r="F62" s="146" t="n">
        <v>6</v>
      </c>
      <c r="G62" s="116">
        <f>R62*$R$3</f>
        <v/>
      </c>
      <c r="H62" s="117">
        <f>P62*(1+Q62)*$P$3+S62*$S$3</f>
        <v/>
      </c>
      <c r="I62" s="117">
        <f>T62*$T$3</f>
        <v/>
      </c>
      <c r="J62" s="117">
        <f>(G62+H62+I62)*$J$3</f>
        <v/>
      </c>
      <c r="K62" s="117">
        <f>(G62+H62+I62+J62)*$K$3</f>
        <v/>
      </c>
      <c r="L62" s="117">
        <f>G62+H62+I62+J62+K62</f>
        <v/>
      </c>
      <c r="M62" s="117">
        <f>F62*L62</f>
        <v/>
      </c>
      <c r="N62" s="118" t="n"/>
      <c r="O62" s="114">
        <f>P62*(1+Q62)+R62+S62+T62</f>
        <v/>
      </c>
      <c r="P62" s="119" t="n">
        <v>1504.2</v>
      </c>
      <c r="Q62" s="120" t="n">
        <v>0</v>
      </c>
      <c r="R62" s="119" t="n">
        <v>167.09</v>
      </c>
      <c r="S62" s="121" t="n">
        <v>0</v>
      </c>
      <c r="T62" s="122" t="n">
        <v>12.03</v>
      </c>
      <c r="U62" s="114">
        <f>F62*O62</f>
        <v/>
      </c>
    </row>
    <row r="63" outlineLevel="1" customFormat="1" s="5">
      <c r="A63" s="27" t="inlineStr"/>
      <c r="B63" s="28" t="inlineStr"/>
      <c r="C63" s="28" t="inlineStr">
        <is>
          <t>空调工程</t>
        </is>
      </c>
      <c r="D63" s="28" t="inlineStr"/>
      <c r="E63" s="27" t="inlineStr"/>
      <c r="F63" s="145" t="inlineStr"/>
      <c r="G63" s="123" t="n"/>
      <c r="H63" s="106" t="n"/>
      <c r="I63" s="106" t="n"/>
      <c r="J63" s="106" t="n"/>
      <c r="K63" s="106" t="n"/>
      <c r="L63" s="106" t="n"/>
      <c r="M63" s="106" t="n"/>
      <c r="N63" s="101" t="n"/>
      <c r="O63" s="105">
        <f>P63*(1+Q63)+R63+S63+T63</f>
        <v/>
      </c>
      <c r="P63" s="111" t="n"/>
      <c r="Q63" s="32" t="n"/>
      <c r="R63" s="111" t="n"/>
      <c r="S63" s="112" t="n"/>
      <c r="T63" s="107" t="n"/>
      <c r="U63" s="105">
        <f>F63*O63</f>
        <v/>
      </c>
    </row>
    <row r="64" outlineLevel="2" customFormat="1" s="5">
      <c r="A64" s="27" t="inlineStr"/>
      <c r="B64" s="28" t="inlineStr"/>
      <c r="C64" s="28" t="inlineStr">
        <is>
          <t>设备</t>
        </is>
      </c>
      <c r="D64" s="28" t="inlineStr"/>
      <c r="E64" s="27" t="inlineStr"/>
      <c r="F64" s="145" t="inlineStr"/>
      <c r="G64" s="123" t="n"/>
      <c r="H64" s="106" t="n"/>
      <c r="I64" s="106" t="n"/>
      <c r="J64" s="106" t="n"/>
      <c r="K64" s="106" t="n"/>
      <c r="L64" s="106" t="n"/>
      <c r="M64" s="106" t="n"/>
      <c r="N64" s="101" t="n"/>
      <c r="O64" s="105">
        <f>P64*(1+Q64)+R64+S64+T64</f>
        <v/>
      </c>
      <c r="P64" s="111" t="n"/>
      <c r="Q64" s="32" t="n"/>
      <c r="R64" s="111" t="n"/>
      <c r="S64" s="112" t="n"/>
      <c r="T64" s="107" t="n"/>
      <c r="U64" s="105">
        <f>F64*O64</f>
        <v/>
      </c>
    </row>
    <row r="65" outlineLevel="3" ht="120" customFormat="1" customHeight="1" s="5">
      <c r="A65" s="113" t="n">
        <v>50</v>
      </c>
      <c r="B65" s="136" t="n">
        <v>30701003001</v>
      </c>
      <c r="C65" s="136" t="inlineStr">
        <is>
          <t>风管机</t>
        </is>
      </c>
      <c r="D65" s="136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65" s="113" t="inlineStr">
        <is>
          <t>台</t>
        </is>
      </c>
      <c r="F65" s="146" t="n">
        <v>1</v>
      </c>
      <c r="G65" s="116">
        <f>R65*$R$3</f>
        <v/>
      </c>
      <c r="H65" s="117">
        <f>P65*(1+Q65)*$P$3+S65*$S$3</f>
        <v/>
      </c>
      <c r="I65" s="117">
        <f>T65*$T$3</f>
        <v/>
      </c>
      <c r="J65" s="117">
        <f>(G65+H65+I65)*$J$3</f>
        <v/>
      </c>
      <c r="K65" s="117">
        <f>(G65+H65+I65+J65)*$K$3</f>
        <v/>
      </c>
      <c r="L65" s="117">
        <f>G65+H65+I65+J65+K65</f>
        <v/>
      </c>
      <c r="M65" s="117">
        <f>F65*L65</f>
        <v/>
      </c>
      <c r="N65" s="118" t="n"/>
      <c r="O65" s="114">
        <f>P65*(1+Q65)+R65+S65+T65</f>
        <v/>
      </c>
      <c r="P65" s="119" t="n">
        <v>3600</v>
      </c>
      <c r="Q65" s="120" t="n">
        <v>0</v>
      </c>
      <c r="R65" s="119" t="n">
        <v>1000</v>
      </c>
      <c r="S65" s="121" t="n">
        <v>1200</v>
      </c>
      <c r="T65" s="122" t="n">
        <v>45</v>
      </c>
      <c r="U65" s="114">
        <f>F65*O65</f>
        <v/>
      </c>
    </row>
    <row r="66" outlineLevel="3" ht="120" customFormat="1" customHeight="1" s="5">
      <c r="A66" s="113" t="n">
        <v>51</v>
      </c>
      <c r="B66" s="136" t="n">
        <v>30701003002</v>
      </c>
      <c r="C66" s="136" t="inlineStr">
        <is>
          <t>风管机</t>
        </is>
      </c>
      <c r="D66" s="136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66" s="113" t="inlineStr">
        <is>
          <t>台</t>
        </is>
      </c>
      <c r="F66" s="146" t="n">
        <v>2</v>
      </c>
      <c r="G66" s="116">
        <f>R66*$R$3</f>
        <v/>
      </c>
      <c r="H66" s="117">
        <f>P66*(1+Q66)*$P$3+S66*$S$3</f>
        <v/>
      </c>
      <c r="I66" s="117">
        <f>T66*$T$3</f>
        <v/>
      </c>
      <c r="J66" s="117">
        <f>(G66+H66+I66)*$J$3</f>
        <v/>
      </c>
      <c r="K66" s="117">
        <f>(G66+H66+I66+J66)*$K$3</f>
        <v/>
      </c>
      <c r="L66" s="117">
        <f>G66+H66+I66+J66+K66</f>
        <v/>
      </c>
      <c r="M66" s="117">
        <f>F66*L66</f>
        <v/>
      </c>
      <c r="N66" s="118" t="n"/>
      <c r="O66" s="114">
        <f>P66*(1+Q66)+R66+S66+T66</f>
        <v/>
      </c>
      <c r="P66" s="119" t="n">
        <v>3600</v>
      </c>
      <c r="Q66" s="120" t="n">
        <v>0</v>
      </c>
      <c r="R66" s="119" t="n">
        <v>1000</v>
      </c>
      <c r="S66" s="121" t="n">
        <v>1200</v>
      </c>
      <c r="T66" s="122" t="n">
        <v>45</v>
      </c>
      <c r="U66" s="114">
        <f>F66*O66</f>
        <v/>
      </c>
    </row>
    <row r="67" outlineLevel="3" ht="120" customFormat="1" customHeight="1" s="5">
      <c r="A67" s="113" t="n">
        <v>52</v>
      </c>
      <c r="B67" s="136" t="n">
        <v>30701003003</v>
      </c>
      <c r="C67" s="136" t="inlineStr">
        <is>
          <t>风管机</t>
        </is>
      </c>
      <c r="D67" s="136" t="inlineStr">
        <is>
      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      </is>
      </c>
      <c r="E67" s="113" t="inlineStr">
        <is>
          <t>台</t>
        </is>
      </c>
      <c r="F67" s="146" t="n">
        <v>1</v>
      </c>
      <c r="G67" s="116">
        <f>R67*$R$3</f>
        <v/>
      </c>
      <c r="H67" s="117">
        <f>P67*(1+Q67)*$P$3+S67*$S$3</f>
        <v/>
      </c>
      <c r="I67" s="117">
        <f>T67*$T$3</f>
        <v/>
      </c>
      <c r="J67" s="117">
        <f>(G67+H67+I67)*$J$3</f>
        <v/>
      </c>
      <c r="K67" s="117">
        <f>(G67+H67+I67+J67)*$K$3</f>
        <v/>
      </c>
      <c r="L67" s="117">
        <f>G67+H67+I67+J67+K67</f>
        <v/>
      </c>
      <c r="M67" s="117">
        <f>F67*L67</f>
        <v/>
      </c>
      <c r="N67" s="118" t="n"/>
      <c r="O67" s="114">
        <f>P67*(1+Q67)+R67+S67+T67</f>
        <v/>
      </c>
      <c r="P67" s="119" t="n">
        <v>3600</v>
      </c>
      <c r="Q67" s="120" t="n">
        <v>0</v>
      </c>
      <c r="R67" s="119" t="n">
        <v>1000</v>
      </c>
      <c r="S67" s="121" t="n">
        <v>1200</v>
      </c>
      <c r="T67" s="122" t="n">
        <v>45</v>
      </c>
      <c r="U67" s="114">
        <f>F67*O67</f>
        <v/>
      </c>
    </row>
    <row r="68" outlineLevel="3" ht="120" customFormat="1" customHeight="1" s="5">
      <c r="A68" s="113" t="n">
        <v>53</v>
      </c>
      <c r="B68" s="136" t="n">
        <v>30701003004</v>
      </c>
      <c r="C68" s="136" t="inlineStr">
        <is>
          <t>风管机</t>
        </is>
      </c>
      <c r="D68" s="136" t="inlineStr">
        <is>
      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      </is>
      </c>
      <c r="E68" s="113" t="inlineStr">
        <is>
          <t>台</t>
        </is>
      </c>
      <c r="F68" s="146" t="n">
        <v>2</v>
      </c>
      <c r="G68" s="116">
        <f>R68*$R$3</f>
        <v/>
      </c>
      <c r="H68" s="117">
        <f>P68*(1+Q68)*$P$3+S68*$S$3</f>
        <v/>
      </c>
      <c r="I68" s="117">
        <f>T68*$T$3</f>
        <v/>
      </c>
      <c r="J68" s="117">
        <f>(G68+H68+I68)*$J$3</f>
        <v/>
      </c>
      <c r="K68" s="117">
        <f>(G68+H68+I68+J68)*$K$3</f>
        <v/>
      </c>
      <c r="L68" s="117">
        <f>G68+H68+I68+J68+K68</f>
        <v/>
      </c>
      <c r="M68" s="117">
        <f>F68*L68</f>
        <v/>
      </c>
      <c r="N68" s="118" t="n"/>
      <c r="O68" s="114">
        <f>P68*(1+Q68)+R68+S68+T68</f>
        <v/>
      </c>
      <c r="P68" s="119" t="n">
        <v>3600</v>
      </c>
      <c r="Q68" s="120" t="n">
        <v>0</v>
      </c>
      <c r="R68" s="119" t="n">
        <v>1000</v>
      </c>
      <c r="S68" s="121" t="n">
        <v>1200</v>
      </c>
      <c r="T68" s="122" t="n">
        <v>45</v>
      </c>
      <c r="U68" s="114">
        <f>F68*O68</f>
        <v/>
      </c>
    </row>
    <row r="69" outlineLevel="3" ht="108" customFormat="1" customHeight="1" s="5">
      <c r="A69" s="113" t="n">
        <v>54</v>
      </c>
      <c r="B69" s="136" t="n">
        <v>30701003005</v>
      </c>
      <c r="C69" s="136" t="inlineStr">
        <is>
          <t>多联式室外机</t>
        </is>
      </c>
      <c r="D69" s="136" t="inlineStr">
        <is>
      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      </is>
      </c>
      <c r="E69" s="113" t="inlineStr">
        <is>
          <t>台</t>
        </is>
      </c>
      <c r="F69" s="146" t="n">
        <v>1</v>
      </c>
      <c r="G69" s="116">
        <f>R69*$R$3</f>
        <v/>
      </c>
      <c r="H69" s="117">
        <f>P69*(1+Q69)*$P$3+S69*$S$3</f>
        <v/>
      </c>
      <c r="I69" s="117">
        <f>T69*$T$3</f>
        <v/>
      </c>
      <c r="J69" s="117">
        <f>(G69+H69+I69)*$J$3</f>
        <v/>
      </c>
      <c r="K69" s="117">
        <f>(G69+H69+I69+J69)*$K$3</f>
        <v/>
      </c>
      <c r="L69" s="117">
        <f>G69+H69+I69+J69+K69</f>
        <v/>
      </c>
      <c r="M69" s="117">
        <f>F69*L69</f>
        <v/>
      </c>
      <c r="N69" s="118" t="n"/>
      <c r="O69" s="114">
        <f>P69*(1+Q69)+R69+S69+T69</f>
        <v/>
      </c>
      <c r="P69" s="119" t="n">
        <v>12000</v>
      </c>
      <c r="Q69" s="120" t="n">
        <v>0</v>
      </c>
      <c r="R69" s="119" t="n">
        <v>732.5</v>
      </c>
      <c r="S69" s="121" t="n">
        <v>600</v>
      </c>
      <c r="T69" s="122" t="n">
        <v>25</v>
      </c>
      <c r="U69" s="114">
        <f>F69*O69</f>
        <v/>
      </c>
    </row>
    <row r="70" outlineLevel="3" ht="72" customFormat="1" customHeight="1" s="5">
      <c r="A70" s="27" t="n">
        <v>55</v>
      </c>
      <c r="B70" s="28" t="n">
        <v>30413013008</v>
      </c>
      <c r="C70" s="28" t="inlineStr">
        <is>
          <t>空调温控面板</t>
        </is>
      </c>
      <c r="D70" s="28" t="inlineStr">
        <is>
          <t>1.名称：空调温控面板
2.规格：86*86mm
3.安装方式：暗装
4.其他：包括但不限于满足图纸、招标文件、规范及验收要求等一切相关费用</t>
        </is>
      </c>
      <c r="E70" s="27" t="inlineStr">
        <is>
          <t>套</t>
        </is>
      </c>
      <c r="F70" s="145" t="n">
        <v>6</v>
      </c>
      <c r="G70" s="123">
        <f>R70*$R$3</f>
        <v/>
      </c>
      <c r="H70" s="106">
        <f>P70*(1+Q70)*$P$3+S70*$S$3</f>
        <v/>
      </c>
      <c r="I70" s="106">
        <f>T70*$T$3</f>
        <v/>
      </c>
      <c r="J70" s="106">
        <f>(G70+H70+I70)*$J$3</f>
        <v/>
      </c>
      <c r="K70" s="106">
        <f>(G70+H70+I70+J70)*$K$3</f>
        <v/>
      </c>
      <c r="L70" s="106">
        <f>G70+H70+I70+J70+K70</f>
        <v/>
      </c>
      <c r="M70" s="106">
        <f>F70*L70</f>
        <v/>
      </c>
      <c r="N70" s="101" t="n"/>
      <c r="O70" s="105">
        <f>P70*(1+Q70)+R70+S70+T70</f>
        <v/>
      </c>
      <c r="P70" s="111">
        <f>'架空层安装工程'!P33</f>
        <v/>
      </c>
      <c r="Q70" s="32">
        <f>'架空层安装工程'!Q33</f>
        <v/>
      </c>
      <c r="R70" s="111">
        <f>'架空层安装工程'!R33</f>
        <v/>
      </c>
      <c r="S70" s="112">
        <f>'架空层安装工程'!S33</f>
        <v/>
      </c>
      <c r="T70" s="107">
        <f>'架空层安装工程'!T33</f>
        <v/>
      </c>
      <c r="U70" s="105">
        <f>F70*O70</f>
        <v/>
      </c>
    </row>
    <row r="71" outlineLevel="2" customFormat="1" s="5">
      <c r="A71" s="27" t="inlineStr"/>
      <c r="B71" s="28" t="inlineStr"/>
      <c r="C71" s="28" t="inlineStr">
        <is>
          <t>风管</t>
        </is>
      </c>
      <c r="D71" s="28" t="inlineStr"/>
      <c r="E71" s="27" t="inlineStr"/>
      <c r="F71" s="145" t="inlineStr"/>
      <c r="G71" s="123" t="n"/>
      <c r="H71" s="106" t="n"/>
      <c r="I71" s="106" t="n"/>
      <c r="J71" s="106" t="n"/>
      <c r="K71" s="106" t="n"/>
      <c r="L71" s="106" t="n"/>
      <c r="M71" s="106" t="n"/>
      <c r="N71" s="101" t="n"/>
      <c r="O71" s="105">
        <f>P71*(1+Q71)+R71+S71+T71</f>
        <v/>
      </c>
      <c r="P71" s="111" t="n"/>
      <c r="Q71" s="32" t="n"/>
      <c r="R71" s="111" t="n"/>
      <c r="S71" s="112" t="n"/>
      <c r="T71" s="107" t="n"/>
      <c r="U71" s="105">
        <f>F71*O71</f>
        <v/>
      </c>
    </row>
    <row r="72" outlineLevel="3" ht="84" customFormat="1" customHeight="1" s="5">
      <c r="A72" s="27" t="n">
        <v>56</v>
      </c>
      <c r="B72" s="28" t="n">
        <v>30702001001</v>
      </c>
      <c r="C72" s="28" t="inlineStr">
        <is>
          <t>碳钢通风管道</t>
        </is>
      </c>
      <c r="D72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72" s="27" t="inlineStr">
        <is>
          <t>m2</t>
        </is>
      </c>
      <c r="F72" s="145" t="n">
        <v>3.71</v>
      </c>
      <c r="G72" s="123">
        <f>R72*$R$3</f>
        <v/>
      </c>
      <c r="H72" s="106">
        <f>P72*(1+Q72)*$P$3+S72*$S$3</f>
        <v/>
      </c>
      <c r="I72" s="106">
        <f>T72*$T$3</f>
        <v/>
      </c>
      <c r="J72" s="106">
        <f>(G72+H72+I72)*$J$3</f>
        <v/>
      </c>
      <c r="K72" s="106">
        <f>(G72+H72+I72+J72)*$K$3</f>
        <v/>
      </c>
      <c r="L72" s="106">
        <f>G72+H72+I72+J72+K72</f>
        <v/>
      </c>
      <c r="M72" s="106">
        <f>F72*L72</f>
        <v/>
      </c>
      <c r="N72" s="101" t="n"/>
      <c r="O72" s="105">
        <f>P72*(1+Q72)+R72+S72+T72</f>
        <v/>
      </c>
      <c r="P72" s="111">
        <f>'架空层安装工程'!P40</f>
        <v/>
      </c>
      <c r="Q72" s="32">
        <f>'架空层安装工程'!Q40</f>
        <v/>
      </c>
      <c r="R72" s="111">
        <f>'架空层安装工程'!R40</f>
        <v/>
      </c>
      <c r="S72" s="112">
        <f>'架空层安装工程'!S40</f>
        <v/>
      </c>
      <c r="T72" s="107">
        <f>'架空层安装工程'!T40</f>
        <v/>
      </c>
      <c r="U72" s="105">
        <f>F72*O72</f>
        <v/>
      </c>
    </row>
    <row r="73" outlineLevel="3" ht="72" customFormat="1" customHeight="1" s="5">
      <c r="A73" s="27" t="n">
        <v>57</v>
      </c>
      <c r="B73" s="28" t="n">
        <v>30703019001</v>
      </c>
      <c r="C73" s="28" t="inlineStr">
        <is>
          <t>柔性接口</t>
        </is>
      </c>
      <c r="D73" s="28" t="inlineStr">
        <is>
          <t>1.名称：帆布软接口
2.材质：帆布
3.厚度：满足验收要求
4.其他：包括但不限于满足图纸、招标文件、规范及验收要求等一切相关费用</t>
        </is>
      </c>
      <c r="E73" s="27" t="inlineStr">
        <is>
          <t>m2</t>
        </is>
      </c>
      <c r="F73" s="145" t="n">
        <v>1.82</v>
      </c>
      <c r="G73" s="123">
        <f>R73*$R$3</f>
        <v/>
      </c>
      <c r="H73" s="106">
        <f>P73*(1+Q73)*$P$3+S73*$S$3</f>
        <v/>
      </c>
      <c r="I73" s="106">
        <f>T73*$T$3</f>
        <v/>
      </c>
      <c r="J73" s="106">
        <f>(G73+H73+I73)*$J$3</f>
        <v/>
      </c>
      <c r="K73" s="106">
        <f>(G73+H73+I73+J73)*$K$3</f>
        <v/>
      </c>
      <c r="L73" s="106">
        <f>G73+H73+I73+J73+K73</f>
        <v/>
      </c>
      <c r="M73" s="106">
        <f>F73*L73</f>
        <v/>
      </c>
      <c r="N73" s="101" t="n"/>
      <c r="O73" s="105">
        <f>P73*(1+Q73)+R73+S73+T73</f>
        <v/>
      </c>
      <c r="P73" s="111">
        <f>'架空层安装工程'!P43</f>
        <v/>
      </c>
      <c r="Q73" s="32">
        <f>'架空层安装工程'!Q43</f>
        <v/>
      </c>
      <c r="R73" s="111">
        <f>'架空层安装工程'!R43</f>
        <v/>
      </c>
      <c r="S73" s="112">
        <f>'架空层安装工程'!S43</f>
        <v/>
      </c>
      <c r="T73" s="107">
        <f>'架空层安装工程'!T43</f>
        <v/>
      </c>
      <c r="U73" s="105">
        <f>F73*O73</f>
        <v/>
      </c>
    </row>
    <row r="74" outlineLevel="3" ht="72" customFormat="1" customHeight="1" s="5">
      <c r="A74" s="27" t="n">
        <v>58</v>
      </c>
      <c r="B74" s="28" t="n">
        <v>31301005001</v>
      </c>
      <c r="C74" s="28" t="inlineStr">
        <is>
          <t>风管支架刷油</t>
        </is>
      </c>
      <c r="D74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74" s="27" t="inlineStr">
        <is>
          <t>kg</t>
        </is>
      </c>
      <c r="F74" s="145" t="n">
        <v>13.48</v>
      </c>
      <c r="G74" s="123">
        <f>R74*$R$3</f>
        <v/>
      </c>
      <c r="H74" s="106">
        <f>P74*(1+Q74)*$P$3+S74*$S$3</f>
        <v/>
      </c>
      <c r="I74" s="106">
        <f>T74*$T$3</f>
        <v/>
      </c>
      <c r="J74" s="106">
        <f>(G74+H74+I74)*$J$3</f>
        <v/>
      </c>
      <c r="K74" s="106">
        <f>(G74+H74+I74+J74)*$K$3</f>
        <v/>
      </c>
      <c r="L74" s="106">
        <f>G74+H74+I74+J74+K74</f>
        <v/>
      </c>
      <c r="M74" s="106">
        <f>F74*L74</f>
        <v/>
      </c>
      <c r="N74" s="101" t="n"/>
      <c r="O74" s="105">
        <f>P74*(1+Q74)+R74+S74+T74</f>
        <v/>
      </c>
      <c r="P74" s="111">
        <f>'架空层安装工程'!P44</f>
        <v/>
      </c>
      <c r="Q74" s="32">
        <f>'架空层安装工程'!Q44</f>
        <v/>
      </c>
      <c r="R74" s="111">
        <f>'架空层安装工程'!R44</f>
        <v/>
      </c>
      <c r="S74" s="112">
        <f>'架空层安装工程'!S44</f>
        <v/>
      </c>
      <c r="T74" s="107">
        <f>'架空层安装工程'!T44</f>
        <v/>
      </c>
      <c r="U74" s="105">
        <f>F74*O74</f>
        <v/>
      </c>
    </row>
    <row r="75" outlineLevel="3" ht="108" customFormat="1" customHeight="1" s="5">
      <c r="A75" s="27" t="n">
        <v>59</v>
      </c>
      <c r="B75" s="28" t="n">
        <v>31208003001</v>
      </c>
      <c r="C75" s="28" t="inlineStr">
        <is>
          <t>通风管道绝热</t>
        </is>
      </c>
      <c r="D75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75" s="27" t="inlineStr">
        <is>
          <t>m2</t>
        </is>
      </c>
      <c r="F75" s="145" t="n">
        <v>3.71</v>
      </c>
      <c r="G75" s="123">
        <f>R75*$R$3</f>
        <v/>
      </c>
      <c r="H75" s="106">
        <f>P75*(1+Q75)*$P$3+S75*$S$3</f>
        <v/>
      </c>
      <c r="I75" s="106">
        <f>T75*$T$3</f>
        <v/>
      </c>
      <c r="J75" s="106">
        <f>(G75+H75+I75)*$J$3</f>
        <v/>
      </c>
      <c r="K75" s="106">
        <f>(G75+H75+I75+J75)*$K$3</f>
        <v/>
      </c>
      <c r="L75" s="106">
        <f>G75+H75+I75+J75+K75</f>
        <v/>
      </c>
      <c r="M75" s="106">
        <f>F75*L75</f>
        <v/>
      </c>
      <c r="N75" s="101" t="n"/>
      <c r="O75" s="105">
        <f>P75*(1+Q75)+R75+S75+T75</f>
        <v/>
      </c>
      <c r="P75" s="111">
        <f>'架空层安装工程'!P45</f>
        <v/>
      </c>
      <c r="Q75" s="32">
        <f>'架空层安装工程'!Q45</f>
        <v/>
      </c>
      <c r="R75" s="111">
        <f>'架空层安装工程'!R45</f>
        <v/>
      </c>
      <c r="S75" s="112">
        <f>'架空层安装工程'!S45</f>
        <v/>
      </c>
      <c r="T75" s="107">
        <f>'架空层安装工程'!T45</f>
        <v/>
      </c>
      <c r="U75" s="105">
        <f>F75*O75</f>
        <v/>
      </c>
    </row>
    <row r="76" outlineLevel="3" ht="24" customFormat="1" customHeight="1" s="5">
      <c r="A76" s="27" t="n">
        <v>60</v>
      </c>
      <c r="B76" s="28" t="n">
        <v>30704001001</v>
      </c>
      <c r="C76" s="28" t="inlineStr">
        <is>
          <t>通风工程检测、调试</t>
        </is>
      </c>
      <c r="D76" s="28" t="inlineStr">
        <is>
          <t>1.名称：风管漏光试验、漏风试验</t>
        </is>
      </c>
      <c r="E76" s="27" t="inlineStr">
        <is>
          <t>系统</t>
        </is>
      </c>
      <c r="F76" s="145" t="n">
        <v>1</v>
      </c>
      <c r="G76" s="123">
        <f>R76*$R$3</f>
        <v/>
      </c>
      <c r="H76" s="106">
        <f>P76*(1+Q76)*$P$3+S76*$S$3</f>
        <v/>
      </c>
      <c r="I76" s="106">
        <f>T76*$T$3</f>
        <v/>
      </c>
      <c r="J76" s="106">
        <f>(G76+H76+I76)*$J$3</f>
        <v/>
      </c>
      <c r="K76" s="106">
        <f>(G76+H76+I76+J76)*$K$3</f>
        <v/>
      </c>
      <c r="L76" s="106">
        <f>G76+H76+I76+J76+K76</f>
        <v/>
      </c>
      <c r="M76" s="106">
        <f>F76*L76</f>
        <v/>
      </c>
      <c r="N76" s="101" t="n"/>
      <c r="O76" s="105">
        <f>P76*(1+Q76)+R76+S76+T76</f>
        <v/>
      </c>
      <c r="P76" s="111">
        <f>'架空层安装工程'!P46</f>
        <v/>
      </c>
      <c r="Q76" s="32">
        <f>'架空层安装工程'!Q46</f>
        <v/>
      </c>
      <c r="R76" s="111">
        <f>'架空层安装工程'!R46</f>
        <v/>
      </c>
      <c r="S76" s="112">
        <f>'架空层安装工程'!S46</f>
        <v/>
      </c>
      <c r="T76" s="107">
        <f>'架空层安装工程'!T46</f>
        <v/>
      </c>
      <c r="U76" s="105">
        <f>F76*O76</f>
        <v/>
      </c>
    </row>
    <row r="77" outlineLevel="2" customFormat="1" s="5">
      <c r="A77" s="27" t="inlineStr"/>
      <c r="B77" s="28" t="inlineStr"/>
      <c r="C77" s="28" t="inlineStr">
        <is>
          <t>水管</t>
        </is>
      </c>
      <c r="D77" s="28" t="inlineStr"/>
      <c r="E77" s="27" t="inlineStr"/>
      <c r="F77" s="145" t="inlineStr"/>
      <c r="G77" s="123" t="n"/>
      <c r="H77" s="106" t="n"/>
      <c r="I77" s="106" t="n"/>
      <c r="J77" s="106" t="n"/>
      <c r="K77" s="106" t="n"/>
      <c r="L77" s="106" t="n"/>
      <c r="M77" s="106" t="n"/>
      <c r="N77" s="101" t="n"/>
      <c r="O77" s="105">
        <f>P77*(1+Q77)+R77+S77+T77</f>
        <v/>
      </c>
      <c r="P77" s="111" t="n"/>
      <c r="Q77" s="32" t="n"/>
      <c r="R77" s="111" t="n"/>
      <c r="S77" s="112" t="n"/>
      <c r="T77" s="107" t="n"/>
      <c r="U77" s="105">
        <f>F77*O77</f>
        <v/>
      </c>
    </row>
    <row r="78" outlineLevel="3" ht="84" customFormat="1" customHeight="1" s="5">
      <c r="A78" s="27" t="n">
        <v>61</v>
      </c>
      <c r="B78" s="28" t="n">
        <v>31001005001</v>
      </c>
      <c r="C78" s="28" t="inlineStr">
        <is>
          <t>铜管</t>
        </is>
      </c>
      <c r="D78" s="28" t="inlineStr">
        <is>
          <t>1.名称：紫铜管
2.规格：φ6.4
3.厚度：0.8mm
4.连接方式：钎焊连结
5.其他：包括但不限于满足图纸、招标文件、规范及验收要求等一切相关费用</t>
        </is>
      </c>
      <c r="E78" s="27" t="inlineStr">
        <is>
          <t>m</t>
        </is>
      </c>
      <c r="F78" s="145" t="n">
        <v>9.18</v>
      </c>
      <c r="G78" s="123">
        <f>R78*$R$3</f>
        <v/>
      </c>
      <c r="H78" s="106">
        <f>P78*(1+Q78)*$P$3+S78*$S$3</f>
        <v/>
      </c>
      <c r="I78" s="106">
        <f>T78*$T$3</f>
        <v/>
      </c>
      <c r="J78" s="106">
        <f>(G78+H78+I78)*$J$3</f>
        <v/>
      </c>
      <c r="K78" s="106">
        <f>(G78+H78+I78+J78)*$K$3</f>
        <v/>
      </c>
      <c r="L78" s="106">
        <f>G78+H78+I78+J78+K78</f>
        <v/>
      </c>
      <c r="M78" s="106">
        <f>F78*L78</f>
        <v/>
      </c>
      <c r="N78" s="101" t="n"/>
      <c r="O78" s="105">
        <f>P78*(1+Q78)+R78+S78+T78</f>
        <v/>
      </c>
      <c r="P78" s="111">
        <f>'架空层安装工程'!P48</f>
        <v/>
      </c>
      <c r="Q78" s="32">
        <f>'架空层安装工程'!Q48</f>
        <v/>
      </c>
      <c r="R78" s="111">
        <f>'架空层安装工程'!R48</f>
        <v/>
      </c>
      <c r="S78" s="112">
        <f>'架空层安装工程'!S48</f>
        <v/>
      </c>
      <c r="T78" s="107">
        <f>'架空层安装工程'!T48</f>
        <v/>
      </c>
      <c r="U78" s="105">
        <f>F78*O78</f>
        <v/>
      </c>
    </row>
    <row r="79" outlineLevel="3" ht="84" customFormat="1" customHeight="1" s="5">
      <c r="A79" s="27" t="n">
        <v>62</v>
      </c>
      <c r="B79" s="28" t="n">
        <v>31001005002</v>
      </c>
      <c r="C79" s="28" t="inlineStr">
        <is>
          <t>铜管</t>
        </is>
      </c>
      <c r="D79" s="28" t="inlineStr">
        <is>
          <t>1.名称：紫铜管
2.规格：φ9.5
3.厚度：0.8mm
4.连接方式：钎焊连结
5.其他：包括但不限于满足图纸、招标文件、规范及验收要求等一切相关费用</t>
        </is>
      </c>
      <c r="E79" s="27" t="inlineStr">
        <is>
          <t>m</t>
        </is>
      </c>
      <c r="F79" s="145" t="n">
        <v>15.88</v>
      </c>
      <c r="G79" s="123">
        <f>R79*$R$3</f>
        <v/>
      </c>
      <c r="H79" s="106">
        <f>P79*(1+Q79)*$P$3+S79*$S$3</f>
        <v/>
      </c>
      <c r="I79" s="106">
        <f>T79*$T$3</f>
        <v/>
      </c>
      <c r="J79" s="106">
        <f>(G79+H79+I79)*$J$3</f>
        <v/>
      </c>
      <c r="K79" s="106">
        <f>(G79+H79+I79+J79)*$K$3</f>
        <v/>
      </c>
      <c r="L79" s="106">
        <f>G79+H79+I79+J79+K79</f>
        <v/>
      </c>
      <c r="M79" s="106">
        <f>F79*L79</f>
        <v/>
      </c>
      <c r="N79" s="101" t="n"/>
      <c r="O79" s="105">
        <f>P79*(1+Q79)+R79+S79+T79</f>
        <v/>
      </c>
      <c r="P79" s="111">
        <f>'架空层安装工程'!P49</f>
        <v/>
      </c>
      <c r="Q79" s="32">
        <f>'架空层安装工程'!Q49</f>
        <v/>
      </c>
      <c r="R79" s="111">
        <f>'架空层安装工程'!R49</f>
        <v/>
      </c>
      <c r="S79" s="112">
        <f>'架空层安装工程'!S49</f>
        <v/>
      </c>
      <c r="T79" s="107">
        <f>'架空层安装工程'!T49</f>
        <v/>
      </c>
      <c r="U79" s="105">
        <f>F79*O79</f>
        <v/>
      </c>
    </row>
    <row r="80" outlineLevel="3" ht="84" customFormat="1" customHeight="1" s="5">
      <c r="A80" s="27" t="n">
        <v>63</v>
      </c>
      <c r="B80" s="28" t="n">
        <v>31001005003</v>
      </c>
      <c r="C80" s="28" t="inlineStr">
        <is>
          <t>铜管</t>
        </is>
      </c>
      <c r="D80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80" s="27" t="inlineStr">
        <is>
          <t>m</t>
        </is>
      </c>
      <c r="F80" s="145" t="n">
        <v>9.18</v>
      </c>
      <c r="G80" s="123">
        <f>R80*$R$3</f>
        <v/>
      </c>
      <c r="H80" s="106">
        <f>P80*(1+Q80)*$P$3+S80*$S$3</f>
        <v/>
      </c>
      <c r="I80" s="106">
        <f>T80*$T$3</f>
        <v/>
      </c>
      <c r="J80" s="106">
        <f>(G80+H80+I80)*$J$3</f>
        <v/>
      </c>
      <c r="K80" s="106">
        <f>(G80+H80+I80+J80)*$K$3</f>
        <v/>
      </c>
      <c r="L80" s="106">
        <f>G80+H80+I80+J80+K80</f>
        <v/>
      </c>
      <c r="M80" s="106">
        <f>F80*L80</f>
        <v/>
      </c>
      <c r="N80" s="101" t="n"/>
      <c r="O80" s="105">
        <f>P80*(1+Q80)+R80+S80+T80</f>
        <v/>
      </c>
      <c r="P80" s="111">
        <f>'架空层安装工程'!P50</f>
        <v/>
      </c>
      <c r="Q80" s="32">
        <f>'架空层安装工程'!Q50</f>
        <v/>
      </c>
      <c r="R80" s="111">
        <f>'架空层安装工程'!R50</f>
        <v/>
      </c>
      <c r="S80" s="112">
        <f>'架空层安装工程'!S50</f>
        <v/>
      </c>
      <c r="T80" s="107">
        <f>'架空层安装工程'!T50</f>
        <v/>
      </c>
      <c r="U80" s="105">
        <f>F80*O80</f>
        <v/>
      </c>
    </row>
    <row r="81" outlineLevel="3" ht="84" customFormat="1" customHeight="1" s="5">
      <c r="A81" s="27" t="n">
        <v>64</v>
      </c>
      <c r="B81" s="28" t="n">
        <v>31001005004</v>
      </c>
      <c r="C81" s="28" t="inlineStr">
        <is>
          <t>铜管</t>
        </is>
      </c>
      <c r="D81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81" s="27" t="inlineStr">
        <is>
          <t>m</t>
        </is>
      </c>
      <c r="F81" s="145" t="n">
        <v>15.88</v>
      </c>
      <c r="G81" s="123">
        <f>R81*$R$3</f>
        <v/>
      </c>
      <c r="H81" s="106">
        <f>P81*(1+Q81)*$P$3+S81*$S$3</f>
        <v/>
      </c>
      <c r="I81" s="106">
        <f>T81*$T$3</f>
        <v/>
      </c>
      <c r="J81" s="106">
        <f>(G81+H81+I81)*$J$3</f>
        <v/>
      </c>
      <c r="K81" s="106">
        <f>(G81+H81+I81+J81)*$K$3</f>
        <v/>
      </c>
      <c r="L81" s="106">
        <f>G81+H81+I81+J81+K81</f>
        <v/>
      </c>
      <c r="M81" s="106">
        <f>F81*L81</f>
        <v/>
      </c>
      <c r="N81" s="101" t="n"/>
      <c r="O81" s="105">
        <f>P81*(1+Q81)+R81+S81+T81</f>
        <v/>
      </c>
      <c r="P81" s="111">
        <f>'架空层安装工程'!P51</f>
        <v/>
      </c>
      <c r="Q81" s="32">
        <f>'架空层安装工程'!Q51</f>
        <v/>
      </c>
      <c r="R81" s="111">
        <f>'架空层安装工程'!R51</f>
        <v/>
      </c>
      <c r="S81" s="112">
        <f>'架空层安装工程'!S51</f>
        <v/>
      </c>
      <c r="T81" s="107">
        <f>'架空层安装工程'!T51</f>
        <v/>
      </c>
      <c r="U81" s="105">
        <f>F81*O81</f>
        <v/>
      </c>
    </row>
    <row r="82" outlineLevel="3" ht="60" customFormat="1" customHeight="1" s="5">
      <c r="A82" s="27" t="n">
        <v>65</v>
      </c>
      <c r="B82" s="28" t="n">
        <v>31002001001</v>
      </c>
      <c r="C82" s="28" t="inlineStr">
        <is>
          <t>分歧器</t>
        </is>
      </c>
      <c r="D82" s="28" t="inlineStr">
        <is>
          <t>1.名称：分歧器
2.规格：公称直径20mm以内
3.其他：包括但不限于满足图纸、招标文件、规范及验收要求等一切相关费用</t>
        </is>
      </c>
      <c r="E82" s="27" t="inlineStr">
        <is>
          <t>个</t>
        </is>
      </c>
      <c r="F82" s="145" t="n">
        <v>5</v>
      </c>
      <c r="G82" s="123">
        <f>R82*$R$3</f>
        <v/>
      </c>
      <c r="H82" s="106">
        <f>P82*(1+Q82)*$P$3+S82*$S$3</f>
        <v/>
      </c>
      <c r="I82" s="106">
        <f>T82*$T$3</f>
        <v/>
      </c>
      <c r="J82" s="106">
        <f>(G82+H82+I82)*$J$3</f>
        <v/>
      </c>
      <c r="K82" s="106">
        <f>(G82+H82+I82+J82)*$K$3</f>
        <v/>
      </c>
      <c r="L82" s="106">
        <f>G82+H82+I82+J82+K82</f>
        <v/>
      </c>
      <c r="M82" s="106">
        <f>F82*L82</f>
        <v/>
      </c>
      <c r="N82" s="101" t="n"/>
      <c r="O82" s="105">
        <f>P82*(1+Q82)+R82+S82+T82</f>
        <v/>
      </c>
      <c r="P82" s="111">
        <f>'架空层安装工程'!P54</f>
        <v/>
      </c>
      <c r="Q82" s="32">
        <f>'架空层安装工程'!Q54</f>
        <v/>
      </c>
      <c r="R82" s="111">
        <f>'架空层安装工程'!R54</f>
        <v/>
      </c>
      <c r="S82" s="112">
        <f>'架空层安装工程'!S54</f>
        <v/>
      </c>
      <c r="T82" s="107">
        <f>'架空层安装工程'!T54</f>
        <v/>
      </c>
      <c r="U82" s="105">
        <f>F82*O82</f>
        <v/>
      </c>
    </row>
    <row r="83" outlineLevel="3" ht="84" customFormat="1" customHeight="1" s="5">
      <c r="A83" s="113" t="n">
        <v>66</v>
      </c>
      <c r="B83" s="136" t="n">
        <v>31001008010</v>
      </c>
      <c r="C83" s="136" t="inlineStr">
        <is>
          <t>塑料管</t>
        </is>
      </c>
      <c r="D83" s="136" t="inlineStr">
        <is>
          <t>1.名称：UPVC管
2.规格：DN20
3.介质：冷凝水
4.连接方式：粘接
5.其他：包括但不限于满足图纸、招标文件、规范及验收要求等一切相关费用</t>
        </is>
      </c>
      <c r="E83" s="113" t="inlineStr">
        <is>
          <t>m</t>
        </is>
      </c>
      <c r="F83" s="146" t="n">
        <v>15.87</v>
      </c>
      <c r="G83" s="116">
        <f>R83*$R$3</f>
        <v/>
      </c>
      <c r="H83" s="117">
        <f>P83*(1+Q83)*$P$3+S83*$S$3</f>
        <v/>
      </c>
      <c r="I83" s="117">
        <f>T83*$T$3</f>
        <v/>
      </c>
      <c r="J83" s="117">
        <f>(G83+H83+I83)*$J$3</f>
        <v/>
      </c>
      <c r="K83" s="117">
        <f>(G83+H83+I83+J83)*$K$3</f>
        <v/>
      </c>
      <c r="L83" s="117">
        <f>G83+H83+I83+J83+K83</f>
        <v/>
      </c>
      <c r="M83" s="117">
        <f>F83*L83</f>
        <v/>
      </c>
      <c r="N83" s="118" t="n"/>
      <c r="O83" s="114">
        <f>P83*(1+Q83)+R83+S83+T83</f>
        <v/>
      </c>
      <c r="P83" s="119" t="n">
        <v>4.5</v>
      </c>
      <c r="Q83" s="120" t="n">
        <v>0</v>
      </c>
      <c r="R83" s="119" t="n">
        <v>18</v>
      </c>
      <c r="S83" s="121" t="n">
        <v>0.26</v>
      </c>
      <c r="T83" s="122" t="n">
        <v>0.04</v>
      </c>
      <c r="U83" s="114">
        <f>F83*O83</f>
        <v/>
      </c>
    </row>
    <row r="84" outlineLevel="3" ht="84" customFormat="1" customHeight="1" s="5">
      <c r="A84" s="27" t="n">
        <v>67</v>
      </c>
      <c r="B84" s="28" t="n">
        <v>31001008011</v>
      </c>
      <c r="C84" s="28" t="inlineStr">
        <is>
          <t>塑料管</t>
        </is>
      </c>
      <c r="D84" s="28" t="inlineStr">
        <is>
          <t>1.名称：UPVC管
2.规格：DN25
3.介质：冷凝水
4.连接方式：粘接
5.其他：包括但不限于满足图纸、招标文件、规范及验收要求等一切相关费用</t>
        </is>
      </c>
      <c r="E84" s="27" t="inlineStr">
        <is>
          <t>m</t>
        </is>
      </c>
      <c r="F84" s="145" t="n">
        <v>3.81</v>
      </c>
      <c r="G84" s="123">
        <f>R84*$R$3</f>
        <v/>
      </c>
      <c r="H84" s="106">
        <f>P84*(1+Q84)*$P$3+S84*$S$3</f>
        <v/>
      </c>
      <c r="I84" s="106">
        <f>T84*$T$3</f>
        <v/>
      </c>
      <c r="J84" s="106">
        <f>(G84+H84+I84)*$J$3</f>
        <v/>
      </c>
      <c r="K84" s="106">
        <f>(G84+H84+I84+J84)*$K$3</f>
        <v/>
      </c>
      <c r="L84" s="106">
        <f>G84+H84+I84+J84+K84</f>
        <v/>
      </c>
      <c r="M84" s="106">
        <f>F84*L84</f>
        <v/>
      </c>
      <c r="N84" s="101" t="n"/>
      <c r="O84" s="105">
        <f>P84*(1+Q84)+R84+S84+T84</f>
        <v/>
      </c>
      <c r="P84" s="111">
        <f>'架空层安装工程'!P55</f>
        <v/>
      </c>
      <c r="Q84" s="32">
        <f>'架空层安装工程'!Q55</f>
        <v/>
      </c>
      <c r="R84" s="111">
        <f>'架空层安装工程'!R55</f>
        <v/>
      </c>
      <c r="S84" s="112">
        <f>'架空层安装工程'!S55</f>
        <v/>
      </c>
      <c r="T84" s="107">
        <f>'架空层安装工程'!T55</f>
        <v/>
      </c>
      <c r="U84" s="105">
        <f>F84*O84</f>
        <v/>
      </c>
    </row>
    <row r="85" outlineLevel="3" ht="72" customFormat="1" customHeight="1" s="5">
      <c r="A85" s="27" t="n">
        <v>68</v>
      </c>
      <c r="B85" s="28" t="n">
        <v>31208002003</v>
      </c>
      <c r="C85" s="28" t="inlineStr">
        <is>
          <t>其他管道绝热</t>
        </is>
      </c>
      <c r="D85" s="28" t="inlineStr">
        <is>
          <t>1.名称：冷媒管保温
2.材质：难燃B1级橡塑
3.厚度：20mm
4.其他：包括但不限于满足图纸、招标文件、规范及验收要求等一切相关费用</t>
        </is>
      </c>
      <c r="E85" s="27" t="inlineStr">
        <is>
          <t>m3</t>
        </is>
      </c>
      <c r="F85" s="145" t="n">
        <v>0.11</v>
      </c>
      <c r="G85" s="123">
        <f>R85*$R$3</f>
        <v/>
      </c>
      <c r="H85" s="106">
        <f>P85*(1+Q85)*$P$3+S85*$S$3</f>
        <v/>
      </c>
      <c r="I85" s="106">
        <f>T85*$T$3</f>
        <v/>
      </c>
      <c r="J85" s="106">
        <f>(G85+H85+I85)*$J$3</f>
        <v/>
      </c>
      <c r="K85" s="106">
        <f>(G85+H85+I85+J85)*$K$3</f>
        <v/>
      </c>
      <c r="L85" s="106">
        <f>G85+H85+I85+J85+K85</f>
        <v/>
      </c>
      <c r="M85" s="106">
        <f>F85*L85</f>
        <v/>
      </c>
      <c r="N85" s="101" t="n"/>
      <c r="O85" s="105">
        <f>P85*(1+Q85)+R85+S85+T85</f>
        <v/>
      </c>
      <c r="P85" s="111">
        <f>'架空层安装工程'!P58</f>
        <v/>
      </c>
      <c r="Q85" s="32">
        <f>'架空层安装工程'!Q58</f>
        <v/>
      </c>
      <c r="R85" s="111">
        <f>'架空层安装工程'!R58</f>
        <v/>
      </c>
      <c r="S85" s="112">
        <f>'架空层安装工程'!S58</f>
        <v/>
      </c>
      <c r="T85" s="107">
        <f>'架空层安装工程'!T58</f>
        <v/>
      </c>
      <c r="U85" s="105">
        <f>F85*O85</f>
        <v/>
      </c>
    </row>
    <row r="86" outlineLevel="3" ht="72" customFormat="1" customHeight="1" s="5">
      <c r="A86" s="27" t="n">
        <v>69</v>
      </c>
      <c r="B86" s="28" t="n">
        <v>31208002004</v>
      </c>
      <c r="C86" s="28" t="inlineStr">
        <is>
          <t>其他管道绝热</t>
        </is>
      </c>
      <c r="D86" s="28" t="inlineStr">
        <is>
          <t>1.名称：冷凝管保温
2.材质：难燃B1级橡塑
3.厚度：13mm
4.其他：包括但不限于满足图纸、招标文件、规范及验收要求等一切相关费用</t>
        </is>
      </c>
      <c r="E86" s="27" t="inlineStr">
        <is>
          <t>m3</t>
        </is>
      </c>
      <c r="F86" s="145" t="n">
        <v>0.03</v>
      </c>
      <c r="G86" s="123">
        <f>R86*$R$3</f>
        <v/>
      </c>
      <c r="H86" s="106">
        <f>P86*(1+Q86)*$P$3+S86*$S$3</f>
        <v/>
      </c>
      <c r="I86" s="106">
        <f>T86*$T$3</f>
        <v/>
      </c>
      <c r="J86" s="106">
        <f>(G86+H86+I86)*$J$3</f>
        <v/>
      </c>
      <c r="K86" s="106">
        <f>(G86+H86+I86+J86)*$K$3</f>
        <v/>
      </c>
      <c r="L86" s="106">
        <f>G86+H86+I86+J86+K86</f>
        <v/>
      </c>
      <c r="M86" s="106">
        <f>F86*L86</f>
        <v/>
      </c>
      <c r="N86" s="101" t="n"/>
      <c r="O86" s="105">
        <f>P86*(1+Q86)+R86+S86+T86</f>
        <v/>
      </c>
      <c r="P86" s="111">
        <f>'架空层安装工程'!P59</f>
        <v/>
      </c>
      <c r="Q86" s="32">
        <f>'架空层安装工程'!Q59</f>
        <v/>
      </c>
      <c r="R86" s="111">
        <f>'架空层安装工程'!R59</f>
        <v/>
      </c>
      <c r="S86" s="112">
        <f>'架空层安装工程'!S59</f>
        <v/>
      </c>
      <c r="T86" s="107">
        <f>'架空层安装工程'!T59</f>
        <v/>
      </c>
      <c r="U86" s="105">
        <f>F86*O86</f>
        <v/>
      </c>
    </row>
    <row r="87" customFormat="1" s="5">
      <c r="A87" s="27" t="inlineStr"/>
      <c r="B87" s="28" t="inlineStr"/>
      <c r="C87" s="28" t="inlineStr">
        <is>
          <t>119户型</t>
        </is>
      </c>
      <c r="D87" s="28" t="inlineStr"/>
      <c r="E87" s="27" t="inlineStr"/>
      <c r="F87" s="145" t="inlineStr"/>
      <c r="G87" s="123" t="n"/>
      <c r="H87" s="106" t="n"/>
      <c r="I87" s="106" t="n"/>
      <c r="J87" s="106" t="n"/>
      <c r="K87" s="106" t="n"/>
      <c r="L87" s="106" t="n"/>
      <c r="M87" s="106" t="n"/>
      <c r="N87" s="101" t="n"/>
      <c r="O87" s="105">
        <f>P87*(1+Q87)+R87+S87+T87</f>
        <v/>
      </c>
      <c r="P87" s="111" t="n"/>
      <c r="Q87" s="32" t="n"/>
      <c r="R87" s="111" t="n"/>
      <c r="S87" s="112" t="n"/>
      <c r="T87" s="107" t="n"/>
      <c r="U87" s="105">
        <f>F87*O87</f>
        <v/>
      </c>
    </row>
    <row r="88" outlineLevel="1" customFormat="1" s="5">
      <c r="A88" s="27" t="inlineStr"/>
      <c r="B88" s="28" t="inlineStr"/>
      <c r="C88" s="28" t="inlineStr">
        <is>
          <t>电气工程</t>
        </is>
      </c>
      <c r="D88" s="28" t="inlineStr"/>
      <c r="E88" s="27" t="inlineStr"/>
      <c r="F88" s="145" t="inlineStr"/>
      <c r="G88" s="123" t="n"/>
      <c r="H88" s="106" t="n"/>
      <c r="I88" s="106" t="n"/>
      <c r="J88" s="106" t="n"/>
      <c r="K88" s="106" t="n"/>
      <c r="L88" s="106" t="n"/>
      <c r="M88" s="106" t="n"/>
      <c r="N88" s="101" t="n"/>
      <c r="O88" s="105">
        <f>P88*(1+Q88)+R88+S88+T88</f>
        <v/>
      </c>
      <c r="P88" s="111" t="n"/>
      <c r="Q88" s="32" t="n"/>
      <c r="R88" s="111" t="n"/>
      <c r="S88" s="112" t="n"/>
      <c r="T88" s="107" t="n"/>
      <c r="U88" s="105">
        <f>F88*O88</f>
        <v/>
      </c>
    </row>
    <row r="89" outlineLevel="2" customFormat="1" s="5">
      <c r="A89" s="27" t="inlineStr"/>
      <c r="B89" s="28" t="inlineStr"/>
      <c r="C89" s="28" t="inlineStr">
        <is>
          <t>灯具、电器</t>
        </is>
      </c>
      <c r="D89" s="28" t="inlineStr"/>
      <c r="E89" s="27" t="inlineStr"/>
      <c r="F89" s="145" t="inlineStr"/>
      <c r="G89" s="123" t="n"/>
      <c r="H89" s="106" t="n"/>
      <c r="I89" s="106" t="n"/>
      <c r="J89" s="106" t="n"/>
      <c r="K89" s="106" t="n"/>
      <c r="L89" s="106" t="n"/>
      <c r="M89" s="106" t="n"/>
      <c r="N89" s="101" t="n"/>
      <c r="O89" s="105">
        <f>P89*(1+Q89)+R89+S89+T89</f>
        <v/>
      </c>
      <c r="P89" s="111" t="n"/>
      <c r="Q89" s="32" t="n"/>
      <c r="R89" s="111" t="n"/>
      <c r="S89" s="112" t="n"/>
      <c r="T89" s="107" t="n"/>
      <c r="U89" s="105">
        <f>F89*O89</f>
        <v/>
      </c>
    </row>
    <row r="90" outlineLevel="3" ht="84" customFormat="1" customHeight="1" s="5">
      <c r="A90" s="27" t="n">
        <v>70</v>
      </c>
      <c r="B90" s="28" t="n">
        <v>30413002009</v>
      </c>
      <c r="C90" s="28" t="inlineStr">
        <is>
          <t>R1 LED嵌入式射灯</t>
        </is>
      </c>
      <c r="D90" s="28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90" s="27" t="inlineStr">
        <is>
          <t>套</t>
        </is>
      </c>
      <c r="F90" s="145" t="n">
        <v>24</v>
      </c>
      <c r="G90" s="123">
        <f>R90*$R$3</f>
        <v/>
      </c>
      <c r="H90" s="106">
        <f>P90*(1+Q90)*$P$3+S90*$S$3</f>
        <v/>
      </c>
      <c r="I90" s="106">
        <f>T90*$T$3</f>
        <v/>
      </c>
      <c r="J90" s="106">
        <f>(G90+H90+I90)*$J$3</f>
        <v/>
      </c>
      <c r="K90" s="106">
        <f>(G90+H90+I90+J90)*$K$3</f>
        <v/>
      </c>
      <c r="L90" s="106">
        <f>G90+H90+I90+J90+K90</f>
        <v/>
      </c>
      <c r="M90" s="106">
        <f>F90*L90</f>
        <v/>
      </c>
      <c r="N90" s="101" t="n"/>
      <c r="O90" s="105">
        <f>P90*(1+Q90)+R90+S90+T90</f>
        <v/>
      </c>
      <c r="P90" s="111">
        <f>P8</f>
        <v/>
      </c>
      <c r="Q90" s="32">
        <f>Q8</f>
        <v/>
      </c>
      <c r="R90" s="111">
        <f>R8</f>
        <v/>
      </c>
      <c r="S90" s="112">
        <f>S8</f>
        <v/>
      </c>
      <c r="T90" s="107">
        <f>T8</f>
        <v/>
      </c>
      <c r="U90" s="105">
        <f>F90*O90</f>
        <v/>
      </c>
    </row>
    <row r="91" outlineLevel="3" ht="96" customFormat="1" customHeight="1" s="5">
      <c r="A91" s="27" t="n">
        <v>71</v>
      </c>
      <c r="B91" s="28" t="n">
        <v>30413002010</v>
      </c>
      <c r="C91" s="28" t="inlineStr">
        <is>
          <t>R2 LED嵌入式可调角射灯</t>
        </is>
      </c>
      <c r="D91" s="28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91" s="27" t="inlineStr">
        <is>
          <t>套</t>
        </is>
      </c>
      <c r="F91" s="145" t="n">
        <v>26</v>
      </c>
      <c r="G91" s="123">
        <f>R91*$R$3</f>
        <v/>
      </c>
      <c r="H91" s="106">
        <f>P91*(1+Q91)*$P$3+S91*$S$3</f>
        <v/>
      </c>
      <c r="I91" s="106">
        <f>T91*$T$3</f>
        <v/>
      </c>
      <c r="J91" s="106">
        <f>(G91+H91+I91)*$J$3</f>
        <v/>
      </c>
      <c r="K91" s="106">
        <f>(G91+H91+I91+J91)*$K$3</f>
        <v/>
      </c>
      <c r="L91" s="106">
        <f>G91+H91+I91+J91+K91</f>
        <v/>
      </c>
      <c r="M91" s="106">
        <f>F91*L91</f>
        <v/>
      </c>
      <c r="N91" s="101" t="n"/>
      <c r="O91" s="105">
        <f>P91*(1+Q91)+R91+S91+T91</f>
        <v/>
      </c>
      <c r="P91" s="111">
        <f>P9</f>
        <v/>
      </c>
      <c r="Q91" s="32">
        <f>Q9</f>
        <v/>
      </c>
      <c r="R91" s="111">
        <f>R9</f>
        <v/>
      </c>
      <c r="S91" s="112">
        <f>S9</f>
        <v/>
      </c>
      <c r="T91" s="107">
        <f>T9</f>
        <v/>
      </c>
      <c r="U91" s="105">
        <f>F91*O91</f>
        <v/>
      </c>
    </row>
    <row r="92" outlineLevel="3" ht="84" customFormat="1" customHeight="1" s="5">
      <c r="A92" s="27" t="n">
        <v>72</v>
      </c>
      <c r="B92" s="28" t="n">
        <v>30413002011</v>
      </c>
      <c r="C92" s="28" t="inlineStr">
        <is>
          <t>R5 明装单头射灯</t>
        </is>
      </c>
      <c r="D92" s="28" t="inlineStr">
        <is>
          <t>1.名称：R5 明装单头射灯
2.规格：12W、3000K、光束角36°
3.安装方式：嵌装
4.其他：包括但不限于满足图纸、招标文件、规范及验收要求等一切相关费用</t>
        </is>
      </c>
      <c r="E92" s="27" t="inlineStr">
        <is>
          <t>套</t>
        </is>
      </c>
      <c r="F92" s="145" t="n">
        <v>5</v>
      </c>
      <c r="G92" s="123">
        <f>R92*$R$3</f>
        <v/>
      </c>
      <c r="H92" s="106">
        <f>P92*(1+Q92)*$P$3+S92*$S$3</f>
        <v/>
      </c>
      <c r="I92" s="106">
        <f>T92*$T$3</f>
        <v/>
      </c>
      <c r="J92" s="106">
        <f>(G92+H92+I92)*$J$3</f>
        <v/>
      </c>
      <c r="K92" s="106">
        <f>(G92+H92+I92+J92)*$K$3</f>
        <v/>
      </c>
      <c r="L92" s="106">
        <f>G92+H92+I92+J92+K92</f>
        <v/>
      </c>
      <c r="M92" s="106">
        <f>F92*L92</f>
        <v/>
      </c>
      <c r="N92" s="101" t="n"/>
      <c r="O92" s="105">
        <f>P92*(1+Q92)+R92+S92+T92</f>
        <v/>
      </c>
      <c r="P92" s="111">
        <f>P12</f>
        <v/>
      </c>
      <c r="Q92" s="32">
        <f>Q12</f>
        <v/>
      </c>
      <c r="R92" s="111">
        <f>R12</f>
        <v/>
      </c>
      <c r="S92" s="112">
        <f>S12</f>
        <v/>
      </c>
      <c r="T92" s="107">
        <f>T12</f>
        <v/>
      </c>
      <c r="U92" s="105">
        <f>F92*O92</f>
        <v/>
      </c>
    </row>
    <row r="93" outlineLevel="3" ht="84" customFormat="1" customHeight="1" s="5">
      <c r="A93" s="27" t="n">
        <v>73</v>
      </c>
      <c r="B93" s="28" t="n">
        <v>30413002012</v>
      </c>
      <c r="C93" s="28" t="inlineStr">
        <is>
          <t>L1 LED灯条（天花）</t>
        </is>
      </c>
      <c r="D93" s="28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93" s="27" t="inlineStr">
        <is>
          <t>m</t>
        </is>
      </c>
      <c r="F93" s="145" t="n">
        <v>51.35</v>
      </c>
      <c r="G93" s="123">
        <f>R93*$R$3</f>
        <v/>
      </c>
      <c r="H93" s="106">
        <f>P93*(1+Q93)*$P$3+S93*$S$3</f>
        <v/>
      </c>
      <c r="I93" s="106">
        <f>T93*$T$3</f>
        <v/>
      </c>
      <c r="J93" s="106">
        <f>(G93+H93+I93)*$J$3</f>
        <v/>
      </c>
      <c r="K93" s="106">
        <f>(G93+H93+I93+J93)*$K$3</f>
        <v/>
      </c>
      <c r="L93" s="106">
        <f>G93+H93+I93+J93+K93</f>
        <v/>
      </c>
      <c r="M93" s="106">
        <f>F93*L93</f>
        <v/>
      </c>
      <c r="N93" s="101" t="n"/>
      <c r="O93" s="105">
        <f>P93*(1+Q93)+R93+S93+T93</f>
        <v/>
      </c>
      <c r="P93" s="111">
        <f>P13</f>
        <v/>
      </c>
      <c r="Q93" s="32">
        <f>Q13</f>
        <v/>
      </c>
      <c r="R93" s="111">
        <f>R13</f>
        <v/>
      </c>
      <c r="S93" s="112">
        <f>S13</f>
        <v/>
      </c>
      <c r="T93" s="107">
        <f>T13</f>
        <v/>
      </c>
      <c r="U93" s="105">
        <f>F93*O93</f>
        <v/>
      </c>
    </row>
    <row r="94" outlineLevel="3" ht="72" customFormat="1" customHeight="1" s="5">
      <c r="A94" s="27" t="n">
        <v>74</v>
      </c>
      <c r="B94" s="28" t="n">
        <v>30413002013</v>
      </c>
      <c r="C94" s="28" t="inlineStr">
        <is>
          <t>L3 LED灯条（柜子）</t>
        </is>
      </c>
      <c r="D94" s="28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94" s="27" t="inlineStr">
        <is>
          <t>m</t>
        </is>
      </c>
      <c r="F94" s="145" t="n">
        <v>45.73</v>
      </c>
      <c r="G94" s="123">
        <f>R94*$R$3</f>
        <v/>
      </c>
      <c r="H94" s="106">
        <f>P94*(1+Q94)*$P$3+S94*$S$3</f>
        <v/>
      </c>
      <c r="I94" s="106">
        <f>T94*$T$3</f>
        <v/>
      </c>
      <c r="J94" s="106">
        <f>(G94+H94+I94)*$J$3</f>
        <v/>
      </c>
      <c r="K94" s="106">
        <f>(G94+H94+I94+J94)*$K$3</f>
        <v/>
      </c>
      <c r="L94" s="106">
        <f>G94+H94+I94+J94+K94</f>
        <v/>
      </c>
      <c r="M94" s="106">
        <f>F94*L94</f>
        <v/>
      </c>
      <c r="N94" s="101" t="n"/>
      <c r="O94" s="105">
        <f>P94*(1+Q94)+R94+S94+T94</f>
        <v/>
      </c>
      <c r="P94" s="111">
        <f>P15</f>
        <v/>
      </c>
      <c r="Q94" s="32">
        <f>Q15</f>
        <v/>
      </c>
      <c r="R94" s="111">
        <f>R15</f>
        <v/>
      </c>
      <c r="S94" s="112">
        <f>S15</f>
        <v/>
      </c>
      <c r="T94" s="107">
        <f>T15</f>
        <v/>
      </c>
      <c r="U94" s="105">
        <f>F94*O94</f>
        <v/>
      </c>
    </row>
    <row r="95" outlineLevel="3" ht="84" customFormat="1" customHeight="1" s="5">
      <c r="A95" s="27" t="n">
        <v>75</v>
      </c>
      <c r="B95" s="28" t="n">
        <v>30413009002</v>
      </c>
      <c r="C95" s="28" t="inlineStr">
        <is>
          <t>LED 灯带驱动电源</t>
        </is>
      </c>
      <c r="D95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95" s="27" t="inlineStr">
        <is>
          <t>个</t>
        </is>
      </c>
      <c r="F95" s="145" t="n">
        <v>19</v>
      </c>
      <c r="G95" s="123">
        <f>R95*$R$3</f>
        <v/>
      </c>
      <c r="H95" s="106">
        <f>P95*(1+Q95)*$P$3+S95*$S$3</f>
        <v/>
      </c>
      <c r="I95" s="106">
        <f>T95*$T$3</f>
        <v/>
      </c>
      <c r="J95" s="106">
        <f>(G95+H95+I95)*$J$3</f>
        <v/>
      </c>
      <c r="K95" s="106">
        <f>(G95+H95+I95+J95)*$K$3</f>
        <v/>
      </c>
      <c r="L95" s="106">
        <f>G95+H95+I95+J95+K95</f>
        <v/>
      </c>
      <c r="M95" s="106">
        <f>F95*L95</f>
        <v/>
      </c>
      <c r="N95" s="101" t="n"/>
      <c r="O95" s="105">
        <f>P95*(1+Q95)+R95+S95+T95</f>
        <v/>
      </c>
      <c r="P95" s="111">
        <f>'架空层安装工程'!P10</f>
        <v/>
      </c>
      <c r="Q95" s="32">
        <f>'架空层安装工程'!Q10</f>
        <v/>
      </c>
      <c r="R95" s="111">
        <f>'架空层安装工程'!R10</f>
        <v/>
      </c>
      <c r="S95" s="112">
        <f>'架空层安装工程'!S10</f>
        <v/>
      </c>
      <c r="T95" s="107">
        <f>'架空层安装工程'!T10</f>
        <v/>
      </c>
      <c r="U95" s="105">
        <f>F95*O95</f>
        <v/>
      </c>
    </row>
    <row r="96" outlineLevel="3" ht="72" customFormat="1" customHeight="1" s="5">
      <c r="A96" s="27" t="n">
        <v>76</v>
      </c>
      <c r="B96" s="28" t="n">
        <v>30405015003</v>
      </c>
      <c r="C96" s="28" t="inlineStr">
        <is>
          <t>线型凉霸及开关</t>
        </is>
      </c>
      <c r="D96" s="28" t="inlineStr">
        <is>
          <t>1.名称：线型凉霸及开关
2.规格：34W
3.尺寸：详见物料表
4.其他：包括但不限于满足图纸、招标文件、规范及验收要求等一切相关费用</t>
        </is>
      </c>
      <c r="E96" s="27" t="inlineStr">
        <is>
          <t>台</t>
        </is>
      </c>
      <c r="F96" s="145" t="n">
        <v>1</v>
      </c>
      <c r="G96" s="123">
        <f>R96*$R$3</f>
        <v/>
      </c>
      <c r="H96" s="106">
        <f>P96*(1+Q96)*$P$3+S96*$S$3</f>
        <v/>
      </c>
      <c r="I96" s="106">
        <f>T96*$T$3</f>
        <v/>
      </c>
      <c r="J96" s="106">
        <f>(G96+H96+I96)*$J$3</f>
        <v/>
      </c>
      <c r="K96" s="106">
        <f>(G96+H96+I96+J96)*$K$3</f>
        <v/>
      </c>
      <c r="L96" s="106">
        <f>G96+H96+I96+J96+K96</f>
        <v/>
      </c>
      <c r="M96" s="106">
        <f>F96*L96</f>
        <v/>
      </c>
      <c r="N96" s="101" t="n"/>
      <c r="O96" s="105">
        <f>P96*(1+Q96)+R96+S96+T96</f>
        <v/>
      </c>
      <c r="P96" s="111">
        <f>P17</f>
        <v/>
      </c>
      <c r="Q96" s="32">
        <f>Q17</f>
        <v/>
      </c>
      <c r="R96" s="111">
        <f>R17</f>
        <v/>
      </c>
      <c r="S96" s="112">
        <f>S17</f>
        <v/>
      </c>
      <c r="T96" s="107">
        <f>T17</f>
        <v/>
      </c>
      <c r="U96" s="105">
        <f>F96*O96</f>
        <v/>
      </c>
    </row>
    <row r="97" outlineLevel="3" ht="72" customFormat="1" customHeight="1" s="5">
      <c r="A97" s="113" t="n">
        <v>77</v>
      </c>
      <c r="B97" s="136" t="n">
        <v>30405015004</v>
      </c>
      <c r="C97" s="136" t="inlineStr">
        <is>
          <t>暖风机及开关</t>
        </is>
      </c>
      <c r="D97" s="136" t="inlineStr">
        <is>
          <t>1.名称：暖风机及开关
2.规格：40W
3.尺寸：详见物料表
4.其他：包括但不限于满足图纸、招标文件、规范及验收要求等一切相关费用</t>
        </is>
      </c>
      <c r="E97" s="113" t="inlineStr">
        <is>
          <t>台</t>
        </is>
      </c>
      <c r="F97" s="146" t="n">
        <v>3</v>
      </c>
      <c r="G97" s="116">
        <f>R97*$R$3</f>
        <v/>
      </c>
      <c r="H97" s="117">
        <f>P97*(1+Q97)*$P$3+S97*$S$3</f>
        <v/>
      </c>
      <c r="I97" s="117">
        <f>T97*$T$3</f>
        <v/>
      </c>
      <c r="J97" s="117">
        <f>(G97+H97+I97)*$J$3</f>
        <v/>
      </c>
      <c r="K97" s="117">
        <f>(G97+H97+I97+J97)*$K$3</f>
        <v/>
      </c>
      <c r="L97" s="117">
        <f>G97+H97+I97+J97+K97</f>
        <v/>
      </c>
      <c r="M97" s="117">
        <f>F97*L97</f>
        <v/>
      </c>
      <c r="N97" s="118" t="n"/>
      <c r="O97" s="114">
        <f>P97*(1+Q97)+R97+S97+T97</f>
        <v/>
      </c>
      <c r="P97" s="119" t="n">
        <v>550</v>
      </c>
      <c r="Q97" s="120" t="n">
        <v>0</v>
      </c>
      <c r="R97" s="119" t="n">
        <v>30</v>
      </c>
      <c r="S97" s="121" t="n">
        <v>3</v>
      </c>
      <c r="T97" s="122" t="n">
        <v>0</v>
      </c>
      <c r="U97" s="114">
        <f>F97*O97</f>
        <v/>
      </c>
    </row>
    <row r="98" outlineLevel="3" ht="72" customFormat="1" customHeight="1" s="5">
      <c r="A98" s="113" t="n">
        <v>78</v>
      </c>
      <c r="B98" s="136" t="n">
        <v>30405015005</v>
      </c>
      <c r="C98" s="136" t="inlineStr">
        <is>
          <t>排气扇及开关</t>
        </is>
      </c>
      <c r="D98" s="136" t="inlineStr">
        <is>
          <t>1.名称：排气扇及开关
2.规格：-
3.尺寸：详见物料表
4.其他：包括但不限于满足图纸、招标文件、规范及验收要求等一切相关费用</t>
        </is>
      </c>
      <c r="E98" s="113" t="inlineStr">
        <is>
          <t>台</t>
        </is>
      </c>
      <c r="F98" s="146" t="n">
        <v>3</v>
      </c>
      <c r="G98" s="116">
        <f>R98*$R$3</f>
        <v/>
      </c>
      <c r="H98" s="117">
        <f>P98*(1+Q98)*$P$3+S98*$S$3</f>
        <v/>
      </c>
      <c r="I98" s="117">
        <f>T98*$T$3</f>
        <v/>
      </c>
      <c r="J98" s="117">
        <f>(G98+H98+I98)*$J$3</f>
        <v/>
      </c>
      <c r="K98" s="117">
        <f>(G98+H98+I98+J98)*$K$3</f>
        <v/>
      </c>
      <c r="L98" s="117">
        <f>G98+H98+I98+J98+K98</f>
        <v/>
      </c>
      <c r="M98" s="117">
        <f>F98*L98</f>
        <v/>
      </c>
      <c r="N98" s="118" t="n"/>
      <c r="O98" s="114">
        <f>P98*(1+Q98)+R98+S98+T98</f>
        <v/>
      </c>
      <c r="P98" s="119" t="n">
        <v>155</v>
      </c>
      <c r="Q98" s="120" t="n">
        <v>0</v>
      </c>
      <c r="R98" s="119" t="n">
        <v>21</v>
      </c>
      <c r="S98" s="121" t="n">
        <v>2</v>
      </c>
      <c r="T98" s="122" t="n">
        <v>0</v>
      </c>
      <c r="U98" s="114">
        <f>F98*O98</f>
        <v/>
      </c>
    </row>
    <row r="99" outlineLevel="3" ht="72" customFormat="1" customHeight="1" s="5">
      <c r="A99" s="27" t="n">
        <v>79</v>
      </c>
      <c r="B99" s="28" t="n">
        <v>30405017002</v>
      </c>
      <c r="C99" s="28" t="inlineStr">
        <is>
          <t>洗碗机</t>
        </is>
      </c>
      <c r="D99" s="28" t="inlineStr">
        <is>
          <t>1.名称：洗碗机
2.规格：-
3.尺寸：详见物料表
4.其他：包括但不限于满足图纸、招标文件、规范及验收要求等一切相关费用</t>
        </is>
      </c>
      <c r="E99" s="27" t="inlineStr">
        <is>
          <t>台</t>
        </is>
      </c>
      <c r="F99" s="145" t="n">
        <v>1</v>
      </c>
      <c r="G99" s="123">
        <f>R99*$R$3</f>
        <v/>
      </c>
      <c r="H99" s="106">
        <f>P99*(1+Q99)*$P$3+S99*$S$3</f>
        <v/>
      </c>
      <c r="I99" s="106">
        <f>T99*$T$3</f>
        <v/>
      </c>
      <c r="J99" s="106">
        <f>(G99+H99+I99)*$J$3</f>
        <v/>
      </c>
      <c r="K99" s="106">
        <f>(G99+H99+I99+J99)*$K$3</f>
        <v/>
      </c>
      <c r="L99" s="106">
        <f>G99+H99+I99+J99+K99</f>
        <v/>
      </c>
      <c r="M99" s="106">
        <f>F99*L99</f>
        <v/>
      </c>
      <c r="N99" s="101" t="n"/>
      <c r="O99" s="105">
        <f>P99*(1+Q99)+R99+S99+T99</f>
        <v/>
      </c>
      <c r="P99" s="111">
        <f>P19</f>
        <v/>
      </c>
      <c r="Q99" s="32">
        <f>Q19</f>
        <v/>
      </c>
      <c r="R99" s="111">
        <f>R19</f>
        <v/>
      </c>
      <c r="S99" s="112">
        <f>S19</f>
        <v/>
      </c>
      <c r="T99" s="107">
        <f>T19</f>
        <v/>
      </c>
      <c r="U99" s="105">
        <f>F99*O99</f>
        <v/>
      </c>
    </row>
    <row r="100" outlineLevel="2" customFormat="1" s="5">
      <c r="A100" s="27" t="inlineStr"/>
      <c r="B100" s="28" t="inlineStr"/>
      <c r="C100" s="28" t="inlineStr">
        <is>
          <t>开关插座</t>
        </is>
      </c>
      <c r="D100" s="28" t="inlineStr"/>
      <c r="E100" s="27" t="inlineStr"/>
      <c r="F100" s="145" t="inlineStr"/>
      <c r="G100" s="123" t="n"/>
      <c r="H100" s="106" t="n"/>
      <c r="I100" s="106" t="n"/>
      <c r="J100" s="106" t="n"/>
      <c r="K100" s="106" t="n"/>
      <c r="L100" s="106" t="n"/>
      <c r="M100" s="106" t="n"/>
      <c r="N100" s="101" t="n"/>
      <c r="O100" s="105">
        <f>P100*(1+Q100)+R100+S100+T100</f>
        <v/>
      </c>
      <c r="P100" s="111" t="n"/>
      <c r="Q100" s="32" t="n"/>
      <c r="R100" s="111" t="n"/>
      <c r="S100" s="112" t="n"/>
      <c r="T100" s="107" t="n"/>
      <c r="U100" s="105">
        <f>F100*O100</f>
        <v/>
      </c>
    </row>
    <row r="101" outlineLevel="3" ht="72" customFormat="1" customHeight="1" s="5">
      <c r="A101" s="27" t="n">
        <v>80</v>
      </c>
      <c r="B101" s="28" t="n">
        <v>30413013009</v>
      </c>
      <c r="C101" s="28" t="inlineStr">
        <is>
          <t>照明开关</t>
        </is>
      </c>
      <c r="D101" s="28" t="inlineStr">
        <is>
          <t>1.名称：单联单控开关
2.规格：86*86mm
3.安装方式：暗装
4.其他：包括但不限于满足图纸、招标文件、规范及验收要求等一切相关费用</t>
        </is>
      </c>
      <c r="E101" s="27" t="inlineStr">
        <is>
          <t>套</t>
        </is>
      </c>
      <c r="F101" s="145" t="n">
        <v>1</v>
      </c>
      <c r="G101" s="123">
        <f>R101*$R$3</f>
        <v/>
      </c>
      <c r="H101" s="106">
        <f>P101*(1+Q101)*$P$3+S101*$S$3</f>
        <v/>
      </c>
      <c r="I101" s="106">
        <f>T101*$T$3</f>
        <v/>
      </c>
      <c r="J101" s="106">
        <f>(G101+H101+I101)*$J$3</f>
        <v/>
      </c>
      <c r="K101" s="106">
        <f>(G101+H101+I101+J101)*$K$3</f>
        <v/>
      </c>
      <c r="L101" s="106">
        <f>G101+H101+I101+J101+K101</f>
        <v/>
      </c>
      <c r="M101" s="106">
        <f>F101*L101</f>
        <v/>
      </c>
      <c r="N101" s="101" t="n"/>
      <c r="O101" s="105">
        <f>P101*(1+Q101)+R101+S101+T101</f>
        <v/>
      </c>
      <c r="P101" s="111">
        <f>'公共区域安装工程'!P14</f>
        <v/>
      </c>
      <c r="Q101" s="32">
        <f>'公共区域安装工程'!Q14</f>
        <v/>
      </c>
      <c r="R101" s="111">
        <f>'公共区域安装工程'!R14</f>
        <v/>
      </c>
      <c r="S101" s="112">
        <f>'公共区域安装工程'!S14</f>
        <v/>
      </c>
      <c r="T101" s="107">
        <f>'公共区域安装工程'!T14</f>
        <v/>
      </c>
      <c r="U101" s="105">
        <f>F101*O101</f>
        <v/>
      </c>
    </row>
    <row r="102" outlineLevel="3" ht="72" customFormat="1" customHeight="1" s="5">
      <c r="A102" s="27" t="n">
        <v>81</v>
      </c>
      <c r="B102" s="28" t="n">
        <v>30413013010</v>
      </c>
      <c r="C102" s="28" t="inlineStr">
        <is>
          <t>照明开关</t>
        </is>
      </c>
      <c r="D102" s="28" t="inlineStr">
        <is>
          <t>1.名称：三联单控开关
2.规格：86*86mm
3.安装方式：暗装
4.其他：包括但不限于满足图纸、招标文件、规范及验收要求等一切相关费用</t>
        </is>
      </c>
      <c r="E102" s="27" t="inlineStr">
        <is>
          <t>套</t>
        </is>
      </c>
      <c r="F102" s="145" t="n">
        <v>5</v>
      </c>
      <c r="G102" s="123">
        <f>R102*$R$3</f>
        <v/>
      </c>
      <c r="H102" s="106">
        <f>P102*(1+Q102)*$P$3+S102*$S$3</f>
        <v/>
      </c>
      <c r="I102" s="106">
        <f>T102*$T$3</f>
        <v/>
      </c>
      <c r="J102" s="106">
        <f>(G102+H102+I102)*$J$3</f>
        <v/>
      </c>
      <c r="K102" s="106">
        <f>(G102+H102+I102+J102)*$K$3</f>
        <v/>
      </c>
      <c r="L102" s="106">
        <f>G102+H102+I102+J102+K102</f>
        <v/>
      </c>
      <c r="M102" s="106">
        <f>F102*L102</f>
        <v/>
      </c>
      <c r="N102" s="101" t="n"/>
      <c r="O102" s="105">
        <f>P102*(1+Q102)+R102+S102+T102</f>
        <v/>
      </c>
      <c r="P102" s="111">
        <f>'公共区域安装工程'!P15</f>
        <v/>
      </c>
      <c r="Q102" s="32">
        <f>'公共区域安装工程'!Q15</f>
        <v/>
      </c>
      <c r="R102" s="111">
        <f>'公共区域安装工程'!R15</f>
        <v/>
      </c>
      <c r="S102" s="112">
        <f>'公共区域安装工程'!S15</f>
        <v/>
      </c>
      <c r="T102" s="107">
        <f>'公共区域安装工程'!T15</f>
        <v/>
      </c>
      <c r="U102" s="105">
        <f>F102*O102</f>
        <v/>
      </c>
    </row>
    <row r="103" outlineLevel="3" ht="72" customFormat="1" customHeight="1" s="5">
      <c r="A103" s="27" t="n">
        <v>82</v>
      </c>
      <c r="B103" s="28" t="n">
        <v>30413013011</v>
      </c>
      <c r="C103" s="28" t="inlineStr">
        <is>
          <t>照明开关</t>
        </is>
      </c>
      <c r="D103" s="28" t="inlineStr">
        <is>
          <t>1.名称：双联双控开关
2.规格：86*86mm
3.安装方式：暗装
4.其他：包括但不限于满足图纸、招标文件、规范及验收要求等一切相关费用</t>
        </is>
      </c>
      <c r="E103" s="27" t="inlineStr">
        <is>
          <t>套</t>
        </is>
      </c>
      <c r="F103" s="145" t="n">
        <v>2</v>
      </c>
      <c r="G103" s="123">
        <f>R103*$R$3</f>
        <v/>
      </c>
      <c r="H103" s="106">
        <f>P103*(1+Q103)*$P$3+S103*$S$3</f>
        <v/>
      </c>
      <c r="I103" s="106">
        <f>T103*$T$3</f>
        <v/>
      </c>
      <c r="J103" s="106">
        <f>(G103+H103+I103)*$J$3</f>
        <v/>
      </c>
      <c r="K103" s="106">
        <f>(G103+H103+I103+J103)*$K$3</f>
        <v/>
      </c>
      <c r="L103" s="106">
        <f>G103+H103+I103+J103+K103</f>
        <v/>
      </c>
      <c r="M103" s="106">
        <f>F103*L103</f>
        <v/>
      </c>
      <c r="N103" s="101" t="n"/>
      <c r="O103" s="105">
        <f>P103*(1+Q103)+R103+S103+T103</f>
        <v/>
      </c>
      <c r="P103" s="111">
        <f>'户内交标安装工程'!P21</f>
        <v/>
      </c>
      <c r="Q103" s="32">
        <f>'户内交标安装工程'!Q21</f>
        <v/>
      </c>
      <c r="R103" s="111">
        <f>'户内交标安装工程'!R21</f>
        <v/>
      </c>
      <c r="S103" s="112">
        <f>'户内交标安装工程'!S21</f>
        <v/>
      </c>
      <c r="T103" s="107">
        <f>'户内交标安装工程'!T21</f>
        <v/>
      </c>
      <c r="U103" s="105">
        <f>F103*O103</f>
        <v/>
      </c>
    </row>
    <row r="104" outlineLevel="3" ht="72" customFormat="1" customHeight="1" s="5">
      <c r="A104" s="27" t="n">
        <v>83</v>
      </c>
      <c r="B104" s="28" t="n">
        <v>30413013012</v>
      </c>
      <c r="C104" s="28" t="inlineStr">
        <is>
          <t>照明开关</t>
        </is>
      </c>
      <c r="D104" s="28" t="inlineStr">
        <is>
          <t>1.名称：三联双控开关
2.规格：86*86mm
3.安装方式：暗装
4.其他：包括但不限于满足图纸、招标文件、规范及验收要求等一切相关费用</t>
        </is>
      </c>
      <c r="E104" s="27" t="inlineStr">
        <is>
          <t>套</t>
        </is>
      </c>
      <c r="F104" s="145" t="n">
        <v>6</v>
      </c>
      <c r="G104" s="123">
        <f>R104*$R$3</f>
        <v/>
      </c>
      <c r="H104" s="106">
        <f>P104*(1+Q104)*$P$3+S104*$S$3</f>
        <v/>
      </c>
      <c r="I104" s="106">
        <f>T104*$T$3</f>
        <v/>
      </c>
      <c r="J104" s="106">
        <f>(G104+H104+I104)*$J$3</f>
        <v/>
      </c>
      <c r="K104" s="106">
        <f>(G104+H104+I104+J104)*$K$3</f>
        <v/>
      </c>
      <c r="L104" s="106">
        <f>G104+H104+I104+J104+K104</f>
        <v/>
      </c>
      <c r="M104" s="106">
        <f>F104*L104</f>
        <v/>
      </c>
      <c r="N104" s="101" t="n"/>
      <c r="O104" s="105">
        <f>P104*(1+Q104)+R104+S104+T104</f>
        <v/>
      </c>
      <c r="P104" s="111">
        <f>'户内交标安装工程'!P22</f>
        <v/>
      </c>
      <c r="Q104" s="32">
        <f>'户内交标安装工程'!Q22</f>
        <v/>
      </c>
      <c r="R104" s="111">
        <f>'户内交标安装工程'!R22</f>
        <v/>
      </c>
      <c r="S104" s="112">
        <f>'户内交标安装工程'!S22</f>
        <v/>
      </c>
      <c r="T104" s="107">
        <f>'户内交标安装工程'!T22</f>
        <v/>
      </c>
      <c r="U104" s="105">
        <f>F104*O104</f>
        <v/>
      </c>
    </row>
    <row r="105" outlineLevel="3" ht="72" customFormat="1" customHeight="1" s="5">
      <c r="A105" s="27" t="n">
        <v>84</v>
      </c>
      <c r="B105" s="28" t="n">
        <v>30413013013</v>
      </c>
      <c r="C105" s="28" t="inlineStr">
        <is>
          <t>照明开关</t>
        </is>
      </c>
      <c r="D105" s="28" t="inlineStr">
        <is>
          <t>1.名称：四联双控开关
2.规格：86*86mm
3.安装方式：暗装
4.其他：包括但不限于满足图纸、招标文件、规范及验收要求等一切相关费用</t>
        </is>
      </c>
      <c r="E105" s="27" t="inlineStr">
        <is>
          <t>套</t>
        </is>
      </c>
      <c r="F105" s="145" t="n">
        <v>8</v>
      </c>
      <c r="G105" s="123">
        <f>R105*$R$3</f>
        <v/>
      </c>
      <c r="H105" s="106">
        <f>P105*(1+Q105)*$P$3+S105*$S$3</f>
        <v/>
      </c>
      <c r="I105" s="106">
        <f>T105*$T$3</f>
        <v/>
      </c>
      <c r="J105" s="106">
        <f>(G105+H105+I105)*$J$3</f>
        <v/>
      </c>
      <c r="K105" s="106">
        <f>(G105+H105+I105+J105)*$K$3</f>
        <v/>
      </c>
      <c r="L105" s="106">
        <f>G105+H105+I105+J105+K105</f>
        <v/>
      </c>
      <c r="M105" s="106">
        <f>F105*L105</f>
        <v/>
      </c>
      <c r="N105" s="101" t="n"/>
      <c r="O105" s="105">
        <f>P105*(1+Q105)+R105+S105+T105</f>
        <v/>
      </c>
      <c r="P105" s="111">
        <f>P26</f>
        <v/>
      </c>
      <c r="Q105" s="32">
        <f>Q26</f>
        <v/>
      </c>
      <c r="R105" s="111">
        <f>R26</f>
        <v/>
      </c>
      <c r="S105" s="112">
        <f>S26</f>
        <v/>
      </c>
      <c r="T105" s="107">
        <f>T26</f>
        <v/>
      </c>
      <c r="U105" s="105">
        <f>F105*O105</f>
        <v/>
      </c>
    </row>
    <row r="106" outlineLevel="3" ht="72" customFormat="1" customHeight="1" s="5">
      <c r="A106" s="27" t="n">
        <v>85</v>
      </c>
      <c r="B106" s="28" t="n">
        <v>30413014009</v>
      </c>
      <c r="C106" s="28" t="inlineStr">
        <is>
          <t>插座</t>
        </is>
      </c>
      <c r="D106" s="28" t="inlineStr">
        <is>
          <t>1.名称：五孔插座
2.规格：86*86mm
3.安装方式：暗装
4.其他：包括但不限于满足图纸、招标文件、规范及验收要求等一切相关费用</t>
        </is>
      </c>
      <c r="E106" s="27" t="inlineStr">
        <is>
          <t>套</t>
        </is>
      </c>
      <c r="F106" s="145" t="n">
        <v>21</v>
      </c>
      <c r="G106" s="123">
        <f>R106*$R$3</f>
        <v/>
      </c>
      <c r="H106" s="106">
        <f>P106*(1+Q106)*$P$3+S106*$S$3</f>
        <v/>
      </c>
      <c r="I106" s="106">
        <f>T106*$T$3</f>
        <v/>
      </c>
      <c r="J106" s="106">
        <f>(G106+H106+I106)*$J$3</f>
        <v/>
      </c>
      <c r="K106" s="106">
        <f>(G106+H106+I106+J106)*$K$3</f>
        <v/>
      </c>
      <c r="L106" s="106">
        <f>G106+H106+I106+J106+K106</f>
        <v/>
      </c>
      <c r="M106" s="106">
        <f>F106*L106</f>
        <v/>
      </c>
      <c r="N106" s="101" t="n"/>
      <c r="O106" s="105">
        <f>P106*(1+Q106)+R106+S106+T106</f>
        <v/>
      </c>
      <c r="P106" s="111">
        <f>'公共区域安装工程'!P16</f>
        <v/>
      </c>
      <c r="Q106" s="32">
        <f>'公共区域安装工程'!Q16</f>
        <v/>
      </c>
      <c r="R106" s="111">
        <f>'公共区域安装工程'!R16</f>
        <v/>
      </c>
      <c r="S106" s="112">
        <f>'公共区域安装工程'!S16</f>
        <v/>
      </c>
      <c r="T106" s="107">
        <f>'公共区域安装工程'!T16</f>
        <v/>
      </c>
      <c r="U106" s="105">
        <f>F106*O106</f>
        <v/>
      </c>
    </row>
    <row r="107" outlineLevel="3" ht="72" customFormat="1" customHeight="1" s="5">
      <c r="A107" s="27" t="n">
        <v>86</v>
      </c>
      <c r="B107" s="28" t="n">
        <v>30413014010</v>
      </c>
      <c r="C107" s="28" t="inlineStr">
        <is>
          <t>插座</t>
        </is>
      </c>
      <c r="D107" s="28" t="inlineStr">
        <is>
          <t>1.名称：五孔插座（带防溅盒）
2.规格：86*86mm
3.安装方式：暗装
4.其他：包括但不限于满足图纸、招标文件、规范及验收要求等一切相关费用</t>
        </is>
      </c>
      <c r="E107" s="27" t="inlineStr">
        <is>
          <t>套</t>
        </is>
      </c>
      <c r="F107" s="145" t="n">
        <v>16</v>
      </c>
      <c r="G107" s="123">
        <f>R107*$R$3</f>
        <v/>
      </c>
      <c r="H107" s="106">
        <f>P107*(1+Q107)*$P$3+S107*$S$3</f>
        <v/>
      </c>
      <c r="I107" s="106">
        <f>T107*$T$3</f>
        <v/>
      </c>
      <c r="J107" s="106">
        <f>(G107+H107+I107)*$J$3</f>
        <v/>
      </c>
      <c r="K107" s="106">
        <f>(G107+H107+I107+J107)*$K$3</f>
        <v/>
      </c>
      <c r="L107" s="106">
        <f>G107+H107+I107+J107+K107</f>
        <v/>
      </c>
      <c r="M107" s="106">
        <f>F107*L107</f>
        <v/>
      </c>
      <c r="N107" s="101" t="n"/>
      <c r="O107" s="105">
        <f>P107*(1+Q107)+R107+S107+T107</f>
        <v/>
      </c>
      <c r="P107" s="111">
        <f>P28</f>
        <v/>
      </c>
      <c r="Q107" s="32">
        <f>Q28</f>
        <v/>
      </c>
      <c r="R107" s="111">
        <f>R28</f>
        <v/>
      </c>
      <c r="S107" s="112">
        <f>S28</f>
        <v/>
      </c>
      <c r="T107" s="107">
        <f>T28</f>
        <v/>
      </c>
      <c r="U107" s="105">
        <f>F107*O107</f>
        <v/>
      </c>
    </row>
    <row r="108" outlineLevel="3" ht="72" customFormat="1" customHeight="1" s="5">
      <c r="A108" s="27" t="n">
        <v>87</v>
      </c>
      <c r="B108" s="28" t="n">
        <v>30413014011</v>
      </c>
      <c r="C108" s="28" t="inlineStr">
        <is>
          <t>插座</t>
        </is>
      </c>
      <c r="D108" s="28" t="inlineStr">
        <is>
          <t>1.名称：五孔插座带USB
2.规格：86*86mm
3.安装方式：暗装
4.其他：包括但不限于满足图纸、招标文件、规范及验收要求等一切相关费用</t>
        </is>
      </c>
      <c r="E108" s="27" t="inlineStr">
        <is>
          <t>套</t>
        </is>
      </c>
      <c r="F108" s="145" t="n">
        <v>3</v>
      </c>
      <c r="G108" s="123">
        <f>R108*$R$3</f>
        <v/>
      </c>
      <c r="H108" s="106">
        <f>P108*(1+Q108)*$P$3+S108*$S$3</f>
        <v/>
      </c>
      <c r="I108" s="106">
        <f>T108*$T$3</f>
        <v/>
      </c>
      <c r="J108" s="106">
        <f>(G108+H108+I108)*$J$3</f>
        <v/>
      </c>
      <c r="K108" s="106">
        <f>(G108+H108+I108+J108)*$K$3</f>
        <v/>
      </c>
      <c r="L108" s="106">
        <f>G108+H108+I108+J108+K108</f>
        <v/>
      </c>
      <c r="M108" s="106">
        <f>F108*L108</f>
        <v/>
      </c>
      <c r="N108" s="101" t="n"/>
      <c r="O108" s="105">
        <f>P108*(1+Q108)+R108+S108+T108</f>
        <v/>
      </c>
      <c r="P108" s="111">
        <f>P29</f>
        <v/>
      </c>
      <c r="Q108" s="32">
        <f>Q29</f>
        <v/>
      </c>
      <c r="R108" s="111">
        <f>R29</f>
        <v/>
      </c>
      <c r="S108" s="112">
        <f>S29</f>
        <v/>
      </c>
      <c r="T108" s="107">
        <f>T29</f>
        <v/>
      </c>
      <c r="U108" s="105">
        <f>F108*O108</f>
        <v/>
      </c>
    </row>
    <row r="109" outlineLevel="3" ht="84" customFormat="1" customHeight="1" s="5">
      <c r="A109" s="27" t="n">
        <v>88</v>
      </c>
      <c r="B109" s="28" t="n">
        <v>30413014012</v>
      </c>
      <c r="C109" s="28" t="inlineStr">
        <is>
          <t>插座</t>
        </is>
      </c>
      <c r="D109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109" s="27" t="inlineStr">
        <is>
          <t>套</t>
        </is>
      </c>
      <c r="F109" s="145" t="n">
        <v>2</v>
      </c>
      <c r="G109" s="123">
        <f>R109*$R$3</f>
        <v/>
      </c>
      <c r="H109" s="106">
        <f>P109*(1+Q109)*$P$3+S109*$S$3</f>
        <v/>
      </c>
      <c r="I109" s="106">
        <f>T109*$T$3</f>
        <v/>
      </c>
      <c r="J109" s="106">
        <f>(G109+H109+I109)*$J$3</f>
        <v/>
      </c>
      <c r="K109" s="106">
        <f>(G109+H109+I109+J109)*$K$3</f>
        <v/>
      </c>
      <c r="L109" s="106">
        <f>G109+H109+I109+J109+K109</f>
        <v/>
      </c>
      <c r="M109" s="106">
        <f>F109*L109</f>
        <v/>
      </c>
      <c r="N109" s="101" t="n"/>
      <c r="O109" s="105">
        <f>P109*(1+Q109)+R109+S109+T109</f>
        <v/>
      </c>
      <c r="P109" s="111">
        <f>P31</f>
        <v/>
      </c>
      <c r="Q109" s="32">
        <f>Q31</f>
        <v/>
      </c>
      <c r="R109" s="111">
        <f>R31</f>
        <v/>
      </c>
      <c r="S109" s="112">
        <f>S31</f>
        <v/>
      </c>
      <c r="T109" s="107">
        <f>T31</f>
        <v/>
      </c>
      <c r="U109" s="105">
        <f>F109*O109</f>
        <v/>
      </c>
    </row>
    <row r="110" outlineLevel="3" ht="72" customFormat="1" customHeight="1" s="5">
      <c r="A110" s="27" t="n">
        <v>89</v>
      </c>
      <c r="B110" s="28" t="n">
        <v>30413014013</v>
      </c>
      <c r="C110" s="28" t="inlineStr">
        <is>
          <t>插座</t>
        </is>
      </c>
      <c r="D110" s="28" t="inlineStr">
        <is>
          <t>1.名称：地面五孔插座
2.规格：86*86mm
3.安装方式：暗装
4.其他：包括但不限于满足图纸、招标文件、规范及验收要求等一切相关费用</t>
        </is>
      </c>
      <c r="E110" s="27" t="inlineStr">
        <is>
          <t>套</t>
        </is>
      </c>
      <c r="F110" s="145" t="n">
        <v>3</v>
      </c>
      <c r="G110" s="123">
        <f>R110*$R$3</f>
        <v/>
      </c>
      <c r="H110" s="106">
        <f>P110*(1+Q110)*$P$3+S110*$S$3</f>
        <v/>
      </c>
      <c r="I110" s="106">
        <f>T110*$T$3</f>
        <v/>
      </c>
      <c r="J110" s="106">
        <f>(G110+H110+I110)*$J$3</f>
        <v/>
      </c>
      <c r="K110" s="106">
        <f>(G110+H110+I110+J110)*$K$3</f>
        <v/>
      </c>
      <c r="L110" s="106">
        <f>G110+H110+I110+J110+K110</f>
        <v/>
      </c>
      <c r="M110" s="106">
        <f>F110*L110</f>
        <v/>
      </c>
      <c r="N110" s="101" t="n"/>
      <c r="O110" s="105">
        <f>P110*(1+Q110)+R110+S110+T110</f>
        <v/>
      </c>
      <c r="P110" s="111">
        <f>'架空层安装工程'!P19</f>
        <v/>
      </c>
      <c r="Q110" s="32">
        <f>'架空层安装工程'!Q19</f>
        <v/>
      </c>
      <c r="R110" s="111">
        <f>'架空层安装工程'!R19</f>
        <v/>
      </c>
      <c r="S110" s="112">
        <f>'架空层安装工程'!S19</f>
        <v/>
      </c>
      <c r="T110" s="107">
        <f>'架空层安装工程'!T19</f>
        <v/>
      </c>
      <c r="U110" s="105">
        <f>F110*O110</f>
        <v/>
      </c>
    </row>
    <row r="111" outlineLevel="3" ht="72" customFormat="1" customHeight="1" s="5">
      <c r="A111" s="113" t="n">
        <v>90</v>
      </c>
      <c r="B111" s="136" t="n">
        <v>30413014014</v>
      </c>
      <c r="C111" s="136" t="inlineStr">
        <is>
          <t>插座</t>
        </is>
      </c>
      <c r="D111" s="136" t="inlineStr">
        <is>
          <t>1.名称：轨道插座(藏于天花内)
2.规格：-
3.安装方式：暗装
4.其他：包括但不限于满足图纸、招标文件、规范及验收要求等一切相关费用</t>
        </is>
      </c>
      <c r="E111" s="113" t="inlineStr">
        <is>
          <t>套</t>
        </is>
      </c>
      <c r="F111" s="146" t="n">
        <v>1</v>
      </c>
      <c r="G111" s="116">
        <f>R111*$R$3</f>
        <v/>
      </c>
      <c r="H111" s="117">
        <f>P111*(1+Q111)*$P$3+S111*$S$3</f>
        <v/>
      </c>
      <c r="I111" s="117">
        <f>T111*$T$3</f>
        <v/>
      </c>
      <c r="J111" s="117">
        <f>(G111+H111+I111)*$J$3</f>
        <v/>
      </c>
      <c r="K111" s="117">
        <f>(G111+H111+I111+J111)*$K$3</f>
        <v/>
      </c>
      <c r="L111" s="117">
        <f>G111+H111+I111+J111+K111</f>
        <v/>
      </c>
      <c r="M111" s="117">
        <f>F111*L111</f>
        <v/>
      </c>
      <c r="N111" s="118" t="n"/>
      <c r="O111" s="114">
        <f>P111*(1+Q111)+R111+S111+T111</f>
        <v/>
      </c>
      <c r="P111" s="119" t="n">
        <v>14.62</v>
      </c>
      <c r="Q111" s="120" t="n">
        <v>0</v>
      </c>
      <c r="R111" s="119" t="n">
        <v>6.31</v>
      </c>
      <c r="S111" s="121" t="n">
        <v>1.12</v>
      </c>
      <c r="T111" s="122" t="n">
        <v>0</v>
      </c>
      <c r="U111" s="114">
        <f>F111*O111</f>
        <v/>
      </c>
    </row>
    <row r="112" outlineLevel="2" customFormat="1" s="5">
      <c r="A112" s="27" t="inlineStr"/>
      <c r="B112" s="28" t="inlineStr"/>
      <c r="C112" s="28" t="inlineStr">
        <is>
          <t>配管配线</t>
        </is>
      </c>
      <c r="D112" s="28" t="inlineStr"/>
      <c r="E112" s="27" t="inlineStr"/>
      <c r="F112" s="145" t="inlineStr"/>
      <c r="G112" s="123" t="n"/>
      <c r="H112" s="106" t="n"/>
      <c r="I112" s="106" t="n"/>
      <c r="J112" s="106" t="n"/>
      <c r="K112" s="106" t="n"/>
      <c r="L112" s="106" t="n"/>
      <c r="M112" s="106" t="n"/>
      <c r="N112" s="101" t="n"/>
      <c r="O112" s="105">
        <f>P112*(1+Q112)+R112+S112+T112</f>
        <v/>
      </c>
      <c r="P112" s="111" t="n"/>
      <c r="Q112" s="32" t="n"/>
      <c r="R112" s="111" t="n"/>
      <c r="S112" s="112" t="n"/>
      <c r="T112" s="107" t="n"/>
      <c r="U112" s="105">
        <f>F112*O112</f>
        <v/>
      </c>
    </row>
    <row r="113" outlineLevel="3" ht="72" customFormat="1" customHeight="1" s="5">
      <c r="A113" s="27" t="n">
        <v>91</v>
      </c>
      <c r="B113" s="28" t="n">
        <v>30412004005</v>
      </c>
      <c r="C113" s="28" t="inlineStr">
        <is>
          <t>配线</t>
        </is>
      </c>
      <c r="D113" s="28" t="inlineStr">
        <is>
          <t>1.名称：电气配线
2.型号规格：BV-1.5
3.安装方式：管内穿线
4.其他：包括但不限于满足图纸、招标文件、规范及验收要求等一切相关费用</t>
        </is>
      </c>
      <c r="E113" s="27" t="inlineStr">
        <is>
          <t>m</t>
        </is>
      </c>
      <c r="F113" s="145" t="n">
        <v>268.43</v>
      </c>
      <c r="G113" s="123">
        <f>R113*$R$3</f>
        <v/>
      </c>
      <c r="H113" s="106">
        <f>P113*(1+Q113)*$P$3+S113*$S$3</f>
        <v/>
      </c>
      <c r="I113" s="106">
        <f>T113*$T$3</f>
        <v/>
      </c>
      <c r="J113" s="106">
        <f>(G113+H113+I113)*$J$3</f>
        <v/>
      </c>
      <c r="K113" s="106">
        <f>(G113+H113+I113+J113)*$K$3</f>
        <v/>
      </c>
      <c r="L113" s="106">
        <f>G113+H113+I113+J113+K113</f>
        <v/>
      </c>
      <c r="M113" s="106">
        <f>F113*L113</f>
        <v/>
      </c>
      <c r="N113" s="101" t="n"/>
      <c r="O113" s="105">
        <f>P113*(1+Q113)+R113+S113+T113</f>
        <v/>
      </c>
      <c r="P113" s="111">
        <f>P34</f>
        <v/>
      </c>
      <c r="Q113" s="32">
        <f>Q34</f>
        <v/>
      </c>
      <c r="R113" s="111">
        <f>R34</f>
        <v/>
      </c>
      <c r="S113" s="112">
        <f>S34</f>
        <v/>
      </c>
      <c r="T113" s="107">
        <f>T34</f>
        <v/>
      </c>
      <c r="U113" s="105">
        <f>F113*O113</f>
        <v/>
      </c>
    </row>
    <row r="114" outlineLevel="3" ht="72" customFormat="1" customHeight="1" s="5">
      <c r="A114" s="27" t="n">
        <v>92</v>
      </c>
      <c r="B114" s="28" t="n">
        <v>30412004006</v>
      </c>
      <c r="C114" s="28" t="inlineStr">
        <is>
          <t>配线</t>
        </is>
      </c>
      <c r="D114" s="28" t="inlineStr">
        <is>
          <t>1.名称：电气配线
2.型号规格：BV-2.5
3.安装方式：管内穿线
4.其他：包括但不限于满足图纸、招标文件、规范及验收要求等一切相关费用</t>
        </is>
      </c>
      <c r="E114" s="27" t="inlineStr">
        <is>
          <t>m</t>
        </is>
      </c>
      <c r="F114" s="145" t="n">
        <v>1130.84</v>
      </c>
      <c r="G114" s="123">
        <f>R114*$R$3</f>
        <v/>
      </c>
      <c r="H114" s="106">
        <f>P114*(1+Q114)*$P$3+S114*$S$3</f>
        <v/>
      </c>
      <c r="I114" s="106">
        <f>T114*$T$3</f>
        <v/>
      </c>
      <c r="J114" s="106">
        <f>(G114+H114+I114)*$J$3</f>
        <v/>
      </c>
      <c r="K114" s="106">
        <f>(G114+H114+I114+J114)*$K$3</f>
        <v/>
      </c>
      <c r="L114" s="106">
        <f>G114+H114+I114+J114+K114</f>
        <v/>
      </c>
      <c r="M114" s="106">
        <f>F114*L114</f>
        <v/>
      </c>
      <c r="N114" s="101" t="n"/>
      <c r="O114" s="105">
        <f>P114*(1+Q114)+R114+S114+T114</f>
        <v/>
      </c>
      <c r="P114" s="111">
        <f>'公共区域安装工程'!P22</f>
        <v/>
      </c>
      <c r="Q114" s="32">
        <f>'公共区域安装工程'!Q22</f>
        <v/>
      </c>
      <c r="R114" s="111">
        <f>'公共区域安装工程'!R22</f>
        <v/>
      </c>
      <c r="S114" s="112">
        <f>'公共区域安装工程'!S22</f>
        <v/>
      </c>
      <c r="T114" s="107">
        <f>'公共区域安装工程'!T22</f>
        <v/>
      </c>
      <c r="U114" s="105">
        <f>F114*O114</f>
        <v/>
      </c>
    </row>
    <row r="115" outlineLevel="3" ht="72" customFormat="1" customHeight="1" s="5">
      <c r="A115" s="27" t="n">
        <v>93</v>
      </c>
      <c r="B115" s="28" t="n">
        <v>30412004007</v>
      </c>
      <c r="C115" s="28" t="inlineStr">
        <is>
          <t>配线</t>
        </is>
      </c>
      <c r="D115" s="28" t="inlineStr">
        <is>
          <t>1.名称：电气配线
2.型号规格：BV-4
3.安装方式：管内穿线
4.其他：包括但不限于满足图纸、招标文件、规范及验收要求等一切相关费用</t>
        </is>
      </c>
      <c r="E115" s="27" t="inlineStr">
        <is>
          <t>m</t>
        </is>
      </c>
      <c r="F115" s="145" t="n">
        <v>793.55</v>
      </c>
      <c r="G115" s="123">
        <f>R115*$R$3</f>
        <v/>
      </c>
      <c r="H115" s="106">
        <f>P115*(1+Q115)*$P$3+S115*$S$3</f>
        <v/>
      </c>
      <c r="I115" s="106">
        <f>T115*$T$3</f>
        <v/>
      </c>
      <c r="J115" s="106">
        <f>(G115+H115+I115)*$J$3</f>
        <v/>
      </c>
      <c r="K115" s="106">
        <f>(G115+H115+I115+J115)*$K$3</f>
        <v/>
      </c>
      <c r="L115" s="106">
        <f>G115+H115+I115+J115+K115</f>
        <v/>
      </c>
      <c r="M115" s="106">
        <f>F115*L115</f>
        <v/>
      </c>
      <c r="N115" s="101" t="n"/>
      <c r="O115" s="105">
        <f>P115*(1+Q115)+R115+S115+T115</f>
        <v/>
      </c>
      <c r="P115" s="111">
        <f>'户内交标安装工程'!P32</f>
        <v/>
      </c>
      <c r="Q115" s="32">
        <f>'户内交标安装工程'!Q32</f>
        <v/>
      </c>
      <c r="R115" s="111">
        <f>'户内交标安装工程'!R32</f>
        <v/>
      </c>
      <c r="S115" s="112">
        <f>'户内交标安装工程'!S32</f>
        <v/>
      </c>
      <c r="T115" s="107">
        <f>'户内交标安装工程'!T32</f>
        <v/>
      </c>
      <c r="U115" s="105">
        <f>F115*O115</f>
        <v/>
      </c>
    </row>
    <row r="116" outlineLevel="3" ht="72" customFormat="1" customHeight="1" s="5">
      <c r="A116" s="27" t="n">
        <v>94</v>
      </c>
      <c r="B116" s="28" t="n">
        <v>30412004008</v>
      </c>
      <c r="C116" s="28" t="inlineStr">
        <is>
          <t>配线</t>
        </is>
      </c>
      <c r="D116" s="28" t="inlineStr">
        <is>
          <t>1.名称：电气配线
2.型号规格：BV-10
3.安装方式：管内穿线
4.其他：包括但不限于满足图纸、招标文件、规范及验收要求等一切相关费用</t>
        </is>
      </c>
      <c r="E116" s="27" t="inlineStr">
        <is>
          <t>m</t>
        </is>
      </c>
      <c r="F116" s="145" t="n">
        <v>59.86</v>
      </c>
      <c r="G116" s="123">
        <f>R116*$R$3</f>
        <v/>
      </c>
      <c r="H116" s="106">
        <f>P116*(1+Q116)*$P$3+S116*$S$3</f>
        <v/>
      </c>
      <c r="I116" s="106">
        <f>T116*$T$3</f>
        <v/>
      </c>
      <c r="J116" s="106">
        <f>(G116+H116+I116)*$J$3</f>
        <v/>
      </c>
      <c r="K116" s="106">
        <f>(G116+H116+I116+J116)*$K$3</f>
        <v/>
      </c>
      <c r="L116" s="106">
        <f>G116+H116+I116+J116+K116</f>
        <v/>
      </c>
      <c r="M116" s="106">
        <f>F116*L116</f>
        <v/>
      </c>
      <c r="N116" s="101" t="n"/>
      <c r="O116" s="105">
        <f>P116*(1+Q116)+R116+S116+T116</f>
        <v/>
      </c>
      <c r="P116" s="111">
        <f>P37</f>
        <v/>
      </c>
      <c r="Q116" s="32">
        <f>Q37</f>
        <v/>
      </c>
      <c r="R116" s="111">
        <f>R37</f>
        <v/>
      </c>
      <c r="S116" s="112">
        <f>S37</f>
        <v/>
      </c>
      <c r="T116" s="107">
        <f>T37</f>
        <v/>
      </c>
      <c r="U116" s="105">
        <f>F116*O116</f>
        <v/>
      </c>
    </row>
    <row r="117" outlineLevel="1" customFormat="1" s="5">
      <c r="A117" s="27" t="inlineStr"/>
      <c r="B117" s="28" t="inlineStr"/>
      <c r="C117" s="28" t="inlineStr">
        <is>
          <t>弱电工程</t>
        </is>
      </c>
      <c r="D117" s="28" t="inlineStr"/>
      <c r="E117" s="27" t="inlineStr"/>
      <c r="F117" s="145" t="inlineStr"/>
      <c r="G117" s="123" t="n"/>
      <c r="H117" s="106" t="n"/>
      <c r="I117" s="106" t="n"/>
      <c r="J117" s="106" t="n"/>
      <c r="K117" s="106" t="n"/>
      <c r="L117" s="106" t="n"/>
      <c r="M117" s="106" t="n"/>
      <c r="N117" s="101" t="n"/>
      <c r="O117" s="105">
        <f>P117*(1+Q117)+R117+S117+T117</f>
        <v/>
      </c>
      <c r="P117" s="111" t="n"/>
      <c r="Q117" s="32" t="n"/>
      <c r="R117" s="111" t="n"/>
      <c r="S117" s="112" t="n"/>
      <c r="T117" s="107" t="n"/>
      <c r="U117" s="105">
        <f>F117*O117</f>
        <v/>
      </c>
    </row>
    <row r="118" outlineLevel="2" ht="72" customFormat="1" customHeight="1" s="5">
      <c r="A118" s="27" t="n">
        <v>95</v>
      </c>
      <c r="B118" s="28" t="n">
        <v>30413014015</v>
      </c>
      <c r="C118" s="28" t="inlineStr">
        <is>
          <t>插座</t>
        </is>
      </c>
      <c r="D118" s="28" t="inlineStr">
        <is>
          <t>1.名称：网络插座
2.规格：86*86mm
3.安装方式：暗装
4.其他：包括但不限于满足图纸、招标文件、规范及验收要求等一切相关费用</t>
        </is>
      </c>
      <c r="E118" s="27" t="inlineStr">
        <is>
          <t>套</t>
        </is>
      </c>
      <c r="F118" s="145" t="n">
        <v>3</v>
      </c>
      <c r="G118" s="123">
        <f>R118*$R$3</f>
        <v/>
      </c>
      <c r="H118" s="106">
        <f>P118*(1+Q118)*$P$3+S118*$S$3</f>
        <v/>
      </c>
      <c r="I118" s="106">
        <f>T118*$T$3</f>
        <v/>
      </c>
      <c r="J118" s="106">
        <f>(G118+H118+I118)*$J$3</f>
        <v/>
      </c>
      <c r="K118" s="106">
        <f>(G118+H118+I118+J118)*$K$3</f>
        <v/>
      </c>
      <c r="L118" s="106">
        <f>G118+H118+I118+J118+K118</f>
        <v/>
      </c>
      <c r="M118" s="106">
        <f>F118*L118</f>
        <v/>
      </c>
      <c r="N118" s="101" t="n"/>
      <c r="O118" s="105">
        <f>P118*(1+Q118)+R118+S118+T118</f>
        <v/>
      </c>
      <c r="P118" s="111">
        <f>P39</f>
        <v/>
      </c>
      <c r="Q118" s="32">
        <f>Q39</f>
        <v/>
      </c>
      <c r="R118" s="111">
        <f>R39</f>
        <v/>
      </c>
      <c r="S118" s="112">
        <f>S39</f>
        <v/>
      </c>
      <c r="T118" s="107">
        <f>T39</f>
        <v/>
      </c>
      <c r="U118" s="105">
        <f>F118*O118</f>
        <v/>
      </c>
    </row>
    <row r="119" outlineLevel="2" ht="72" customFormat="1" customHeight="1" s="5">
      <c r="A119" s="27" t="n">
        <v>96</v>
      </c>
      <c r="B119" s="28" t="n">
        <v>30413014016</v>
      </c>
      <c r="C119" s="28" t="inlineStr">
        <is>
          <t>插座</t>
        </is>
      </c>
      <c r="D119" s="28" t="inlineStr">
        <is>
          <t>1.名称：电视插座
2.规格：86*86mm
3.安装方式：暗装
4.其他：包括但不限于满足图纸、招标文件、规范及验收要求等一切相关费用</t>
        </is>
      </c>
      <c r="E119" s="27" t="inlineStr">
        <is>
          <t>套</t>
        </is>
      </c>
      <c r="F119" s="145" t="n">
        <v>2</v>
      </c>
      <c r="G119" s="123">
        <f>R119*$R$3</f>
        <v/>
      </c>
      <c r="H119" s="106">
        <f>P119*(1+Q119)*$P$3+S119*$S$3</f>
        <v/>
      </c>
      <c r="I119" s="106">
        <f>T119*$T$3</f>
        <v/>
      </c>
      <c r="J119" s="106">
        <f>(G119+H119+I119)*$J$3</f>
        <v/>
      </c>
      <c r="K119" s="106">
        <f>(G119+H119+I119+J119)*$K$3</f>
        <v/>
      </c>
      <c r="L119" s="106">
        <f>G119+H119+I119+J119+K119</f>
        <v/>
      </c>
      <c r="M119" s="106">
        <f>F119*L119</f>
        <v/>
      </c>
      <c r="N119" s="101" t="n"/>
      <c r="O119" s="105">
        <f>P119*(1+Q119)+R119+S119+T119</f>
        <v/>
      </c>
      <c r="P119" s="111">
        <f>P40</f>
        <v/>
      </c>
      <c r="Q119" s="32">
        <f>Q40</f>
        <v/>
      </c>
      <c r="R119" s="111">
        <f>R40</f>
        <v/>
      </c>
      <c r="S119" s="112">
        <f>S40</f>
        <v/>
      </c>
      <c r="T119" s="107">
        <f>T40</f>
        <v/>
      </c>
      <c r="U119" s="105">
        <f>F119*O119</f>
        <v/>
      </c>
    </row>
    <row r="120" outlineLevel="2" ht="72" customFormat="1" customHeight="1" s="5">
      <c r="A120" s="27" t="n">
        <v>97</v>
      </c>
      <c r="B120" s="28" t="n">
        <v>30413013014</v>
      </c>
      <c r="C120" s="28" t="inlineStr">
        <is>
          <t>紧急按钮</t>
        </is>
      </c>
      <c r="D120" s="28" t="inlineStr">
        <is>
          <t>1.名称：紧急按钮
2.规格：86*86mm
3.安装方式：暗装
4.其他：包括但不限于满足图纸、招标文件、规范及验收要求等一切相关费用</t>
        </is>
      </c>
      <c r="E120" s="27" t="inlineStr">
        <is>
          <t>套</t>
        </is>
      </c>
      <c r="F120" s="145" t="n">
        <v>2</v>
      </c>
      <c r="G120" s="123">
        <f>R120*$R$3</f>
        <v/>
      </c>
      <c r="H120" s="106">
        <f>P120*(1+Q120)*$P$3+S120*$S$3</f>
        <v/>
      </c>
      <c r="I120" s="106">
        <f>T120*$T$3</f>
        <v/>
      </c>
      <c r="J120" s="106">
        <f>(G120+H120+I120)*$J$3</f>
        <v/>
      </c>
      <c r="K120" s="106">
        <f>(G120+H120+I120+J120)*$K$3</f>
        <v/>
      </c>
      <c r="L120" s="106">
        <f>G120+H120+I120+J120+K120</f>
        <v/>
      </c>
      <c r="M120" s="106">
        <f>F120*L120</f>
        <v/>
      </c>
      <c r="N120" s="101" t="n"/>
      <c r="O120" s="105">
        <f>P120*(1+Q120)+R120+S120+T120</f>
        <v/>
      </c>
      <c r="P120" s="111">
        <f>P41</f>
        <v/>
      </c>
      <c r="Q120" s="32">
        <f>Q41</f>
        <v/>
      </c>
      <c r="R120" s="111">
        <f>R41</f>
        <v/>
      </c>
      <c r="S120" s="112">
        <f>S41</f>
        <v/>
      </c>
      <c r="T120" s="107">
        <f>T41</f>
        <v/>
      </c>
      <c r="U120" s="105">
        <f>F120*O120</f>
        <v/>
      </c>
    </row>
    <row r="121" outlineLevel="2" ht="72" customFormat="1" customHeight="1" s="5">
      <c r="A121" s="27" t="n">
        <v>98</v>
      </c>
      <c r="B121" s="28" t="n">
        <v>30502003003</v>
      </c>
      <c r="C121" s="28" t="inlineStr">
        <is>
          <t>双绞线缆</t>
        </is>
      </c>
      <c r="D121" s="28" t="inlineStr">
        <is>
          <t>1.名称：超六类网线
2.型号规格：CAT6e
3.敷设方式：管内穿线
4.其他：包括但不限于满足图纸、招标文件、规范及验收要求等一切相关费用</t>
        </is>
      </c>
      <c r="E121" s="27" t="inlineStr">
        <is>
          <t>m</t>
        </is>
      </c>
      <c r="F121" s="145" t="n">
        <v>68.86</v>
      </c>
      <c r="G121" s="123">
        <f>R121*$R$3</f>
        <v/>
      </c>
      <c r="H121" s="106">
        <f>P121*(1+Q121)*$P$3+S121*$S$3</f>
        <v/>
      </c>
      <c r="I121" s="106">
        <f>T121*$T$3</f>
        <v/>
      </c>
      <c r="J121" s="106">
        <f>(G121+H121+I121)*$J$3</f>
        <v/>
      </c>
      <c r="K121" s="106">
        <f>(G121+H121+I121+J121)*$K$3</f>
        <v/>
      </c>
      <c r="L121" s="106">
        <f>G121+H121+I121+J121+K121</f>
        <v/>
      </c>
      <c r="M121" s="106">
        <f>F121*L121</f>
        <v/>
      </c>
      <c r="N121" s="101" t="n"/>
      <c r="O121" s="105">
        <f>P121*(1+Q121)+R121+S121+T121</f>
        <v/>
      </c>
      <c r="P121" s="111">
        <f>P42</f>
        <v/>
      </c>
      <c r="Q121" s="32">
        <f>Q42</f>
        <v/>
      </c>
      <c r="R121" s="111">
        <f>R42</f>
        <v/>
      </c>
      <c r="S121" s="112">
        <f>S42</f>
        <v/>
      </c>
      <c r="T121" s="107">
        <f>T42</f>
        <v/>
      </c>
      <c r="U121" s="105">
        <f>F121*O121</f>
        <v/>
      </c>
    </row>
    <row r="122" outlineLevel="2" ht="72" customFormat="1" customHeight="1" s="5">
      <c r="A122" s="27" t="n">
        <v>99</v>
      </c>
      <c r="B122" s="28" t="n">
        <v>30502003004</v>
      </c>
      <c r="C122" s="28" t="inlineStr">
        <is>
          <t>多芯软导线</t>
        </is>
      </c>
      <c r="D122" s="28" t="inlineStr">
        <is>
          <t>1.名称：多芯软导线
2.型号规格：RVV-2*1.0
3.敷设方式：管内穿线
4.其他：包括但不限于满足图纸、招标文件、规范及验收要求等一切相关费用</t>
        </is>
      </c>
      <c r="E122" s="27" t="inlineStr">
        <is>
          <t>m</t>
        </is>
      </c>
      <c r="F122" s="145" t="n">
        <v>30.01</v>
      </c>
      <c r="G122" s="123">
        <f>R122*$R$3</f>
        <v/>
      </c>
      <c r="H122" s="106">
        <f>P122*(1+Q122)*$P$3+S122*$S$3</f>
        <v/>
      </c>
      <c r="I122" s="106">
        <f>T122*$T$3</f>
        <v/>
      </c>
      <c r="J122" s="106">
        <f>(G122+H122+I122)*$J$3</f>
        <v/>
      </c>
      <c r="K122" s="106">
        <f>(G122+H122+I122+J122)*$K$3</f>
        <v/>
      </c>
      <c r="L122" s="106">
        <f>G122+H122+I122+J122+K122</f>
        <v/>
      </c>
      <c r="M122" s="106">
        <f>F122*L122</f>
        <v/>
      </c>
      <c r="N122" s="101" t="n"/>
      <c r="O122" s="105">
        <f>P122*(1+Q122)+R122+S122+T122</f>
        <v/>
      </c>
      <c r="P122" s="111">
        <f>P43</f>
        <v/>
      </c>
      <c r="Q122" s="32">
        <f>Q43</f>
        <v/>
      </c>
      <c r="R122" s="111">
        <f>R43</f>
        <v/>
      </c>
      <c r="S122" s="112">
        <f>S43</f>
        <v/>
      </c>
      <c r="T122" s="107">
        <f>T43</f>
        <v/>
      </c>
      <c r="U122" s="105">
        <f>F122*O122</f>
        <v/>
      </c>
    </row>
    <row r="123" outlineLevel="1" customFormat="1" s="5">
      <c r="A123" s="27" t="inlineStr"/>
      <c r="B123" s="28" t="inlineStr"/>
      <c r="C123" s="28" t="inlineStr">
        <is>
          <t>给排水工程</t>
        </is>
      </c>
      <c r="D123" s="28" t="inlineStr"/>
      <c r="E123" s="27" t="inlineStr"/>
      <c r="F123" s="145" t="inlineStr"/>
      <c r="G123" s="123" t="n"/>
      <c r="H123" s="106" t="n"/>
      <c r="I123" s="106" t="n"/>
      <c r="J123" s="106" t="n"/>
      <c r="K123" s="106" t="n"/>
      <c r="L123" s="106" t="n"/>
      <c r="M123" s="106" t="n"/>
      <c r="N123" s="101" t="n"/>
      <c r="O123" s="105">
        <f>P123*(1+Q123)+R123+S123+T123</f>
        <v/>
      </c>
      <c r="P123" s="111" t="n"/>
      <c r="Q123" s="32" t="n"/>
      <c r="R123" s="111" t="n"/>
      <c r="S123" s="112" t="n"/>
      <c r="T123" s="107" t="n"/>
      <c r="U123" s="105">
        <f>F123*O123</f>
        <v/>
      </c>
    </row>
    <row r="124" outlineLevel="2" customFormat="1" s="5">
      <c r="A124" s="27" t="inlineStr"/>
      <c r="B124" s="28" t="inlineStr"/>
      <c r="C124" s="28" t="inlineStr">
        <is>
          <t>给排水管</t>
        </is>
      </c>
      <c r="D124" s="28" t="inlineStr"/>
      <c r="E124" s="27" t="inlineStr"/>
      <c r="F124" s="145" t="inlineStr"/>
      <c r="G124" s="123" t="n"/>
      <c r="H124" s="106" t="n"/>
      <c r="I124" s="106" t="n"/>
      <c r="J124" s="106" t="n"/>
      <c r="K124" s="106" t="n"/>
      <c r="L124" s="106" t="n"/>
      <c r="M124" s="106" t="n"/>
      <c r="N124" s="101" t="n"/>
      <c r="O124" s="105">
        <f>P124*(1+Q124)+R124+S124+T124</f>
        <v/>
      </c>
      <c r="P124" s="111" t="n"/>
      <c r="Q124" s="32" t="n"/>
      <c r="R124" s="111" t="n"/>
      <c r="S124" s="112" t="n"/>
      <c r="T124" s="107" t="n"/>
      <c r="U124" s="105">
        <f>F124*O124</f>
        <v/>
      </c>
    </row>
    <row r="125" outlineLevel="3" ht="96" customFormat="1" customHeight="1" s="5">
      <c r="A125" s="27" t="n">
        <v>100</v>
      </c>
      <c r="B125" s="28" t="n">
        <v>31001008018</v>
      </c>
      <c r="C125" s="28" t="inlineStr">
        <is>
          <t>UPVC排水管</t>
        </is>
      </c>
      <c r="D125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125" s="27" t="inlineStr">
        <is>
          <t>m</t>
        </is>
      </c>
      <c r="F125" s="145" t="n">
        <v>5.83</v>
      </c>
      <c r="G125" s="123">
        <f>R125*$R$3</f>
        <v/>
      </c>
      <c r="H125" s="106">
        <f>P125*(1+Q125)*$P$3+S125*$S$3</f>
        <v/>
      </c>
      <c r="I125" s="106">
        <f>T125*$T$3</f>
        <v/>
      </c>
      <c r="J125" s="106">
        <f>(G125+H125+I125)*$J$3</f>
        <v/>
      </c>
      <c r="K125" s="106">
        <f>(G125+H125+I125+J125)*$K$3</f>
        <v/>
      </c>
      <c r="L125" s="106">
        <f>G125+H125+I125+J125+K125</f>
        <v/>
      </c>
      <c r="M125" s="106">
        <f>F125*L125</f>
        <v/>
      </c>
      <c r="N125" s="101" t="n"/>
      <c r="O125" s="105">
        <f>P125*(1+Q125)+R125+S125+T125</f>
        <v/>
      </c>
      <c r="P125" s="111">
        <f>P46</f>
        <v/>
      </c>
      <c r="Q125" s="32">
        <f>Q46</f>
        <v/>
      </c>
      <c r="R125" s="111">
        <f>R46</f>
        <v/>
      </c>
      <c r="S125" s="112">
        <f>S46</f>
        <v/>
      </c>
      <c r="T125" s="107">
        <f>T46</f>
        <v/>
      </c>
      <c r="U125" s="105">
        <f>F125*O125</f>
        <v/>
      </c>
    </row>
    <row r="126" outlineLevel="3" ht="96" customFormat="1" customHeight="1" s="5">
      <c r="A126" s="27" t="n">
        <v>101</v>
      </c>
      <c r="B126" s="28" t="n">
        <v>31001008019</v>
      </c>
      <c r="C126" s="28" t="inlineStr">
        <is>
          <t>UPVC排水管</t>
        </is>
      </c>
      <c r="D126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126" s="27" t="inlineStr">
        <is>
          <t>m</t>
        </is>
      </c>
      <c r="F126" s="145" t="n">
        <v>6.46</v>
      </c>
      <c r="G126" s="123">
        <f>R126*$R$3</f>
        <v/>
      </c>
      <c r="H126" s="106">
        <f>P126*(1+Q126)*$P$3+S126*$S$3</f>
        <v/>
      </c>
      <c r="I126" s="106">
        <f>T126*$T$3</f>
        <v/>
      </c>
      <c r="J126" s="106">
        <f>(G126+H126+I126)*$J$3</f>
        <v/>
      </c>
      <c r="K126" s="106">
        <f>(G126+H126+I126+J126)*$K$3</f>
        <v/>
      </c>
      <c r="L126" s="106">
        <f>G126+H126+I126+J126+K126</f>
        <v/>
      </c>
      <c r="M126" s="106">
        <f>F126*L126</f>
        <v/>
      </c>
      <c r="N126" s="101" t="n"/>
      <c r="O126" s="105">
        <f>P126*(1+Q126)+R126+S126+T126</f>
        <v/>
      </c>
      <c r="P126" s="111">
        <f>P47</f>
        <v/>
      </c>
      <c r="Q126" s="32">
        <f>Q47</f>
        <v/>
      </c>
      <c r="R126" s="111">
        <f>R47</f>
        <v/>
      </c>
      <c r="S126" s="112">
        <f>S47</f>
        <v/>
      </c>
      <c r="T126" s="107">
        <f>T47</f>
        <v/>
      </c>
      <c r="U126" s="105">
        <f>F126*O126</f>
        <v/>
      </c>
    </row>
    <row r="127" outlineLevel="3" ht="96" customFormat="1" customHeight="1" s="5">
      <c r="A127" s="27" t="n">
        <v>102</v>
      </c>
      <c r="B127" s="28" t="n">
        <v>31001008020</v>
      </c>
      <c r="C127" s="28" t="inlineStr">
        <is>
          <t>UPVC排水管</t>
        </is>
      </c>
      <c r="D127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127" s="27" t="inlineStr">
        <is>
          <t>m</t>
        </is>
      </c>
      <c r="F127" s="145" t="n">
        <v>2.33</v>
      </c>
      <c r="G127" s="123">
        <f>R127*$R$3</f>
        <v/>
      </c>
      <c r="H127" s="106">
        <f>P127*(1+Q127)*$P$3+S127*$S$3</f>
        <v/>
      </c>
      <c r="I127" s="106">
        <f>T127*$T$3</f>
        <v/>
      </c>
      <c r="J127" s="106">
        <f>(G127+H127+I127)*$J$3</f>
        <v/>
      </c>
      <c r="K127" s="106">
        <f>(G127+H127+I127+J127)*$K$3</f>
        <v/>
      </c>
      <c r="L127" s="106">
        <f>G127+H127+I127+J127+K127</f>
        <v/>
      </c>
      <c r="M127" s="106">
        <f>F127*L127</f>
        <v/>
      </c>
      <c r="N127" s="101" t="n"/>
      <c r="O127" s="105">
        <f>P127*(1+Q127)+R127+S127+T127</f>
        <v/>
      </c>
      <c r="P127" s="111">
        <f>P48</f>
        <v/>
      </c>
      <c r="Q127" s="32">
        <f>Q48</f>
        <v/>
      </c>
      <c r="R127" s="111">
        <f>R48</f>
        <v/>
      </c>
      <c r="S127" s="112">
        <f>S48</f>
        <v/>
      </c>
      <c r="T127" s="107">
        <f>T48</f>
        <v/>
      </c>
      <c r="U127" s="105">
        <f>F127*O127</f>
        <v/>
      </c>
    </row>
    <row r="128" outlineLevel="2" customFormat="1" s="5">
      <c r="A128" s="27" t="inlineStr"/>
      <c r="B128" s="28" t="inlineStr"/>
      <c r="C128" s="28" t="inlineStr">
        <is>
          <t>洁具五金</t>
        </is>
      </c>
      <c r="D128" s="28" t="inlineStr"/>
      <c r="E128" s="27" t="inlineStr"/>
      <c r="F128" s="145" t="inlineStr"/>
      <c r="G128" s="123" t="n"/>
      <c r="H128" s="106" t="n"/>
      <c r="I128" s="106" t="n"/>
      <c r="J128" s="106" t="n"/>
      <c r="K128" s="106" t="n"/>
      <c r="L128" s="106" t="n"/>
      <c r="M128" s="106" t="n"/>
      <c r="N128" s="101" t="n"/>
      <c r="O128" s="105">
        <f>P128*(1+Q128)+R128+S128+T128</f>
        <v/>
      </c>
      <c r="P128" s="111" t="n"/>
      <c r="Q128" s="32" t="n"/>
      <c r="R128" s="111" t="n"/>
      <c r="S128" s="112" t="n"/>
      <c r="T128" s="107" t="n"/>
      <c r="U128" s="105">
        <f>F128*O128</f>
        <v/>
      </c>
    </row>
    <row r="129" outlineLevel="3" ht="60" customFormat="1" customHeight="1" s="5">
      <c r="A129" s="27" t="n">
        <v>103</v>
      </c>
      <c r="B129" s="28" t="n">
        <v>31003006003</v>
      </c>
      <c r="C129" s="28" t="inlineStr">
        <is>
          <t>大便器</t>
        </is>
      </c>
      <c r="D129" s="28" t="inlineStr">
        <is>
          <t>1.名称：智能坐便器-主卫
2.型号：详见物料表
3.其他：包括但不限于满足图纸、招标文件、规范及验收要求等一切相关费用</t>
        </is>
      </c>
      <c r="E129" s="27" t="inlineStr">
        <is>
          <t>组</t>
        </is>
      </c>
      <c r="F129" s="145" t="n">
        <v>1</v>
      </c>
      <c r="G129" s="123">
        <f>R129*$R$3</f>
        <v/>
      </c>
      <c r="H129" s="106">
        <f>P129*(1+Q129)*$P$3+S129*$S$3</f>
        <v/>
      </c>
      <c r="I129" s="106">
        <f>T129*$T$3</f>
        <v/>
      </c>
      <c r="J129" s="106">
        <f>(G129+H129+I129)*$J$3</f>
        <v/>
      </c>
      <c r="K129" s="106">
        <f>(G129+H129+I129+J129)*$K$3</f>
        <v/>
      </c>
      <c r="L129" s="106">
        <f>G129+H129+I129+J129+K129</f>
        <v/>
      </c>
      <c r="M129" s="106">
        <f>F129*L129</f>
        <v/>
      </c>
      <c r="N129" s="101" t="n"/>
      <c r="O129" s="105">
        <f>P129*(1+Q129)+R129+S129+T129</f>
        <v/>
      </c>
      <c r="P129" s="111">
        <f>P50</f>
        <v/>
      </c>
      <c r="Q129" s="32">
        <f>Q50</f>
        <v/>
      </c>
      <c r="R129" s="111">
        <f>R50</f>
        <v/>
      </c>
      <c r="S129" s="112">
        <f>S50</f>
        <v/>
      </c>
      <c r="T129" s="107">
        <f>T50</f>
        <v/>
      </c>
      <c r="U129" s="105">
        <f>F129*O129</f>
        <v/>
      </c>
    </row>
    <row r="130" outlineLevel="3" ht="60" customFormat="1" customHeight="1" s="5">
      <c r="A130" s="27" t="n">
        <v>104</v>
      </c>
      <c r="B130" s="28" t="n">
        <v>31003006004</v>
      </c>
      <c r="C130" s="28" t="inlineStr">
        <is>
          <t>大便器</t>
        </is>
      </c>
      <c r="D130" s="28" t="inlineStr">
        <is>
          <t>1.名称：连体坐便器-公卫
2.型号：详见物料表
3.其他：包括但不限于满足图纸、招标文件、规范及验收要求等一切相关费用</t>
        </is>
      </c>
      <c r="E130" s="27" t="inlineStr">
        <is>
          <t>组</t>
        </is>
      </c>
      <c r="F130" s="145" t="n">
        <v>1</v>
      </c>
      <c r="G130" s="123">
        <f>R130*$R$3</f>
        <v/>
      </c>
      <c r="H130" s="106">
        <f>P130*(1+Q130)*$P$3+S130*$S$3</f>
        <v/>
      </c>
      <c r="I130" s="106">
        <f>T130*$T$3</f>
        <v/>
      </c>
      <c r="J130" s="106">
        <f>(G130+H130+I130)*$J$3</f>
        <v/>
      </c>
      <c r="K130" s="106">
        <f>(G130+H130+I130+J130)*$K$3</f>
        <v/>
      </c>
      <c r="L130" s="106">
        <f>G130+H130+I130+J130+K130</f>
        <v/>
      </c>
      <c r="M130" s="106">
        <f>F130*L130</f>
        <v/>
      </c>
      <c r="N130" s="101" t="n"/>
      <c r="O130" s="105">
        <f>P130*(1+Q130)+R130+S130+T130</f>
        <v/>
      </c>
      <c r="P130" s="111">
        <f>P51</f>
        <v/>
      </c>
      <c r="Q130" s="32">
        <f>Q51</f>
        <v/>
      </c>
      <c r="R130" s="111">
        <f>R51</f>
        <v/>
      </c>
      <c r="S130" s="112">
        <f>S51</f>
        <v/>
      </c>
      <c r="T130" s="107">
        <f>T51</f>
        <v/>
      </c>
      <c r="U130" s="105">
        <f>F130*O130</f>
        <v/>
      </c>
    </row>
    <row r="131" outlineLevel="3" ht="60" customFormat="1" customHeight="1" s="5">
      <c r="A131" s="113" t="n">
        <v>105</v>
      </c>
      <c r="B131" s="136" t="n">
        <v>31003006005</v>
      </c>
      <c r="C131" s="136" t="inlineStr">
        <is>
          <t>大便器</t>
        </is>
      </c>
      <c r="D131" s="136" t="inlineStr">
        <is>
          <t>1.名称：连体坐便器-次卫
2.型号：详见物料表
3.其他：包括但不限于满足图纸、招标文件、规范及验收要求等一切相关费用</t>
        </is>
      </c>
      <c r="E131" s="113" t="inlineStr">
        <is>
          <t>组</t>
        </is>
      </c>
      <c r="F131" s="146" t="n">
        <v>1</v>
      </c>
      <c r="G131" s="116">
        <f>R131*$R$3</f>
        <v/>
      </c>
      <c r="H131" s="117">
        <f>P131*(1+Q131)*$P$3+S131*$S$3</f>
        <v/>
      </c>
      <c r="I131" s="117">
        <f>T131*$T$3</f>
        <v/>
      </c>
      <c r="J131" s="117">
        <f>(G131+H131+I131)*$J$3</f>
        <v/>
      </c>
      <c r="K131" s="117">
        <f>(G131+H131+I131+J131)*$K$3</f>
        <v/>
      </c>
      <c r="L131" s="117">
        <f>G131+H131+I131+J131+K131</f>
        <v/>
      </c>
      <c r="M131" s="117">
        <f>F131*L131</f>
        <v/>
      </c>
      <c r="N131" s="118" t="n"/>
      <c r="O131" s="114">
        <f>P131*(1+Q131)+R131+S131+T131</f>
        <v/>
      </c>
      <c r="P131" s="119" t="n">
        <v>800</v>
      </c>
      <c r="Q131" s="120" t="n">
        <v>0</v>
      </c>
      <c r="R131" s="119" t="n">
        <v>130</v>
      </c>
      <c r="S131" s="121" t="n">
        <v>15</v>
      </c>
      <c r="T131" s="122" t="n">
        <v>0.8</v>
      </c>
      <c r="U131" s="114">
        <f>F131*O131</f>
        <v/>
      </c>
    </row>
    <row r="132" outlineLevel="3" ht="60" customFormat="1" customHeight="1" s="5">
      <c r="A132" s="27" t="n">
        <v>106</v>
      </c>
      <c r="B132" s="28" t="n">
        <v>31003010003</v>
      </c>
      <c r="C132" s="28" t="inlineStr">
        <is>
          <t>淋浴器</t>
        </is>
      </c>
      <c r="D132" s="28" t="inlineStr">
        <is>
          <t>1.名称：淋浴花洒3-主卫
2.型号：详见物料表
3.其他：包括但不限于满足图纸、招标文件、规范及验收要求等一切相关费用</t>
        </is>
      </c>
      <c r="E132" s="27" t="inlineStr">
        <is>
          <t>套</t>
        </is>
      </c>
      <c r="F132" s="145" t="n">
        <v>1</v>
      </c>
      <c r="G132" s="123">
        <f>R132*$R$3</f>
        <v/>
      </c>
      <c r="H132" s="106">
        <f>P132*(1+Q132)*$P$3+S132*$S$3</f>
        <v/>
      </c>
      <c r="I132" s="106">
        <f>T132*$T$3</f>
        <v/>
      </c>
      <c r="J132" s="106">
        <f>(G132+H132+I132)*$J$3</f>
        <v/>
      </c>
      <c r="K132" s="106">
        <f>(G132+H132+I132+J132)*$K$3</f>
        <v/>
      </c>
      <c r="L132" s="106">
        <f>G132+H132+I132+J132+K132</f>
        <v/>
      </c>
      <c r="M132" s="106">
        <f>F132*L132</f>
        <v/>
      </c>
      <c r="N132" s="101" t="n"/>
      <c r="O132" s="105">
        <f>P132*(1+Q132)+R132+S132+T132</f>
        <v/>
      </c>
      <c r="P132" s="111">
        <f>P52</f>
        <v/>
      </c>
      <c r="Q132" s="32">
        <f>Q52</f>
        <v/>
      </c>
      <c r="R132" s="111">
        <f>R52</f>
        <v/>
      </c>
      <c r="S132" s="112">
        <f>S52</f>
        <v/>
      </c>
      <c r="T132" s="107">
        <f>T52</f>
        <v/>
      </c>
      <c r="U132" s="105">
        <f>F132*O132</f>
        <v/>
      </c>
    </row>
    <row r="133" outlineLevel="3" ht="60" customFormat="1" customHeight="1" s="5">
      <c r="A133" s="27" t="n">
        <v>107</v>
      </c>
      <c r="B133" s="28" t="n">
        <v>31003010004</v>
      </c>
      <c r="C133" s="28" t="inlineStr">
        <is>
          <t>淋浴器</t>
        </is>
      </c>
      <c r="D133" s="28" t="inlineStr">
        <is>
          <t>1.名称：淋浴花洒2-公卫
2.型号：详见物料表
3.其他：包括但不限于满足图纸、招标文件、规范及验收要求等一切相关费用</t>
        </is>
      </c>
      <c r="E133" s="27" t="inlineStr">
        <is>
          <t>套</t>
        </is>
      </c>
      <c r="F133" s="145" t="n">
        <v>1</v>
      </c>
      <c r="G133" s="123">
        <f>R133*$R$3</f>
        <v/>
      </c>
      <c r="H133" s="106">
        <f>P133*(1+Q133)*$P$3+S133*$S$3</f>
        <v/>
      </c>
      <c r="I133" s="106">
        <f>T133*$T$3</f>
        <v/>
      </c>
      <c r="J133" s="106">
        <f>(G133+H133+I133)*$J$3</f>
        <v/>
      </c>
      <c r="K133" s="106">
        <f>(G133+H133+I133+J133)*$K$3</f>
        <v/>
      </c>
      <c r="L133" s="106">
        <f>G133+H133+I133+J133+K133</f>
        <v/>
      </c>
      <c r="M133" s="106">
        <f>F133*L133</f>
        <v/>
      </c>
      <c r="N133" s="101" t="n"/>
      <c r="O133" s="105">
        <f>P133*(1+Q133)+R133+S133+T133</f>
        <v/>
      </c>
      <c r="P133" s="111">
        <f>P53</f>
        <v/>
      </c>
      <c r="Q133" s="32">
        <f>Q53</f>
        <v/>
      </c>
      <c r="R133" s="111">
        <f>R53</f>
        <v/>
      </c>
      <c r="S133" s="112">
        <f>S53</f>
        <v/>
      </c>
      <c r="T133" s="107">
        <f>T53</f>
        <v/>
      </c>
      <c r="U133" s="105">
        <f>F133*O133</f>
        <v/>
      </c>
    </row>
    <row r="134" outlineLevel="3" ht="60" customFormat="1" customHeight="1" s="5">
      <c r="A134" s="113" t="n">
        <v>108</v>
      </c>
      <c r="B134" s="136" t="n">
        <v>31003010005</v>
      </c>
      <c r="C134" s="136" t="inlineStr">
        <is>
          <t>淋浴器</t>
        </is>
      </c>
      <c r="D134" s="136" t="inlineStr">
        <is>
          <t>1.名称：淋浴花洒2-次卫
2.型号：详见物料表
3.其他：包括但不限于满足图纸、招标文件、规范及验收要求等一切相关费用</t>
        </is>
      </c>
      <c r="E134" s="113" t="inlineStr">
        <is>
          <t>套</t>
        </is>
      </c>
      <c r="F134" s="146" t="n">
        <v>1</v>
      </c>
      <c r="G134" s="116">
        <f>R134*$R$3</f>
        <v/>
      </c>
      <c r="H134" s="117">
        <f>P134*(1+Q134)*$P$3+S134*$S$3</f>
        <v/>
      </c>
      <c r="I134" s="117">
        <f>T134*$T$3</f>
        <v/>
      </c>
      <c r="J134" s="117">
        <f>(G134+H134+I134)*$J$3</f>
        <v/>
      </c>
      <c r="K134" s="117">
        <f>(G134+H134+I134+J134)*$K$3</f>
        <v/>
      </c>
      <c r="L134" s="117">
        <f>G134+H134+I134+J134+K134</f>
        <v/>
      </c>
      <c r="M134" s="117">
        <f>F134*L134</f>
        <v/>
      </c>
      <c r="N134" s="118" t="n"/>
      <c r="O134" s="114">
        <f>P134*(1+Q134)+R134+S134+T134</f>
        <v/>
      </c>
      <c r="P134" s="119" t="n">
        <v>1100</v>
      </c>
      <c r="Q134" s="120" t="n">
        <v>0</v>
      </c>
      <c r="R134" s="119" t="n">
        <v>90</v>
      </c>
      <c r="S134" s="121" t="n">
        <v>35</v>
      </c>
      <c r="T134" s="122" t="n">
        <v>0</v>
      </c>
      <c r="U134" s="114">
        <f>F134*O134</f>
        <v/>
      </c>
    </row>
    <row r="135" outlineLevel="3" ht="72" customFormat="1" customHeight="1" s="5">
      <c r="A135" s="27" t="n">
        <v>109</v>
      </c>
      <c r="B135" s="28" t="n">
        <v>31003003003</v>
      </c>
      <c r="C135" s="28" t="inlineStr">
        <is>
          <t>台下盆及龙头</t>
        </is>
      </c>
      <c r="D135" s="28" t="inlineStr">
        <is>
          <t>1.名称：台下盆方形及龙头-主卫
2.型号：详见物料表
3.其他：包括但不限于满足图纸、招标文件、规范及验收要求等一切相关费用</t>
        </is>
      </c>
      <c r="E135" s="27" t="inlineStr">
        <is>
          <t>组</t>
        </is>
      </c>
      <c r="F135" s="145" t="n">
        <v>1</v>
      </c>
      <c r="G135" s="123">
        <f>R135*$R$3</f>
        <v/>
      </c>
      <c r="H135" s="106">
        <f>P135*(1+Q135)*$P$3+S135*$S$3</f>
        <v/>
      </c>
      <c r="I135" s="106">
        <f>T135*$T$3</f>
        <v/>
      </c>
      <c r="J135" s="106">
        <f>(G135+H135+I135)*$J$3</f>
        <v/>
      </c>
      <c r="K135" s="106">
        <f>(G135+H135+I135+J135)*$K$3</f>
        <v/>
      </c>
      <c r="L135" s="106">
        <f>G135+H135+I135+J135+K135</f>
        <v/>
      </c>
      <c r="M135" s="106">
        <f>F135*L135</f>
        <v/>
      </c>
      <c r="N135" s="101" t="n"/>
      <c r="O135" s="105">
        <f>P135*(1+Q135)+R135+S135+T135</f>
        <v/>
      </c>
      <c r="P135" s="111">
        <f>P54</f>
        <v/>
      </c>
      <c r="Q135" s="32">
        <f>Q54</f>
        <v/>
      </c>
      <c r="R135" s="111">
        <f>R54</f>
        <v/>
      </c>
      <c r="S135" s="112">
        <f>S54</f>
        <v/>
      </c>
      <c r="T135" s="107">
        <f>T54</f>
        <v/>
      </c>
      <c r="U135" s="105">
        <f>F135*O135</f>
        <v/>
      </c>
    </row>
    <row r="136" outlineLevel="3" ht="72" customFormat="1" customHeight="1" s="5">
      <c r="A136" s="27" t="n">
        <v>110</v>
      </c>
      <c r="B136" s="28" t="n">
        <v>31003003004</v>
      </c>
      <c r="C136" s="28" t="inlineStr">
        <is>
          <t>台下盆及龙头</t>
        </is>
      </c>
      <c r="D136" s="28" t="inlineStr">
        <is>
          <t>1.名称：台下盆方形及龙头-公卫
2.型号：详见物料表
3.其他：包括但不限于满足图纸、招标文件、规范及验收要求等一切相关费用</t>
        </is>
      </c>
      <c r="E136" s="27" t="inlineStr">
        <is>
          <t>组</t>
        </is>
      </c>
      <c r="F136" s="145" t="n">
        <v>1</v>
      </c>
      <c r="G136" s="123">
        <f>R136*$R$3</f>
        <v/>
      </c>
      <c r="H136" s="106">
        <f>P136*(1+Q136)*$P$3+S136*$S$3</f>
        <v/>
      </c>
      <c r="I136" s="106">
        <f>T136*$T$3</f>
        <v/>
      </c>
      <c r="J136" s="106">
        <f>(G136+H136+I136)*$J$3</f>
        <v/>
      </c>
      <c r="K136" s="106">
        <f>(G136+H136+I136+J136)*$K$3</f>
        <v/>
      </c>
      <c r="L136" s="106">
        <f>G136+H136+I136+J136+K136</f>
        <v/>
      </c>
      <c r="M136" s="106">
        <f>F136*L136</f>
        <v/>
      </c>
      <c r="N136" s="101" t="n"/>
      <c r="O136" s="105">
        <f>P136*(1+Q136)+R136+S136+T136</f>
        <v/>
      </c>
      <c r="P136" s="111">
        <f>P55</f>
        <v/>
      </c>
      <c r="Q136" s="32">
        <f>Q55</f>
        <v/>
      </c>
      <c r="R136" s="111">
        <f>R55</f>
        <v/>
      </c>
      <c r="S136" s="112">
        <f>S55</f>
        <v/>
      </c>
      <c r="T136" s="107">
        <f>T55</f>
        <v/>
      </c>
      <c r="U136" s="105">
        <f>F136*O136</f>
        <v/>
      </c>
    </row>
    <row r="137" outlineLevel="3" ht="72" customFormat="1" customHeight="1" s="5">
      <c r="A137" s="113" t="n">
        <v>111</v>
      </c>
      <c r="B137" s="136" t="n">
        <v>31003003005</v>
      </c>
      <c r="C137" s="136" t="inlineStr">
        <is>
          <t>台下盆及龙头</t>
        </is>
      </c>
      <c r="D137" s="136" t="inlineStr">
        <is>
          <t>1.名称：台下盆方形及龙头-次卫
2.型号：详见物料表
3.其他：包括但不限于满足图纸、招标文件、规范及验收要求等一切相关费用</t>
        </is>
      </c>
      <c r="E137" s="113" t="inlineStr">
        <is>
          <t>组</t>
        </is>
      </c>
      <c r="F137" s="146" t="n">
        <v>1</v>
      </c>
      <c r="G137" s="116">
        <f>R137*$R$3</f>
        <v/>
      </c>
      <c r="H137" s="117">
        <f>P137*(1+Q137)*$P$3+S137*$S$3</f>
        <v/>
      </c>
      <c r="I137" s="117">
        <f>T137*$T$3</f>
        <v/>
      </c>
      <c r="J137" s="117">
        <f>(G137+H137+I137)*$J$3</f>
        <v/>
      </c>
      <c r="K137" s="117">
        <f>(G137+H137+I137+J137)*$K$3</f>
        <v/>
      </c>
      <c r="L137" s="117">
        <f>G137+H137+I137+J137+K137</f>
        <v/>
      </c>
      <c r="M137" s="117">
        <f>F137*L137</f>
        <v/>
      </c>
      <c r="N137" s="118" t="n"/>
      <c r="O137" s="114">
        <f>P137*(1+Q137)+R137+S137+T137</f>
        <v/>
      </c>
      <c r="P137" s="119" t="n">
        <v>550</v>
      </c>
      <c r="Q137" s="120" t="n">
        <v>0</v>
      </c>
      <c r="R137" s="119" t="n">
        <v>90</v>
      </c>
      <c r="S137" s="121" t="n">
        <v>12</v>
      </c>
      <c r="T137" s="122" t="n">
        <v>0</v>
      </c>
      <c r="U137" s="114">
        <f>F137*O137</f>
        <v/>
      </c>
    </row>
    <row r="138" outlineLevel="3" ht="60" customFormat="1" customHeight="1" s="5">
      <c r="A138" s="113" t="n">
        <v>112</v>
      </c>
      <c r="B138" s="136" t="n">
        <v>31003004002</v>
      </c>
      <c r="C138" s="136" t="inlineStr">
        <is>
          <t>水槽及龙头</t>
        </is>
      </c>
      <c r="D138" s="136" t="inlineStr">
        <is>
          <t>1.名称：厨房大单盆水槽及龙头
2.型号：详见物料表
3.其他：包括但不限于满足图纸、招标文件、规范及验收要求等一切相关费用</t>
        </is>
      </c>
      <c r="E138" s="113" t="inlineStr">
        <is>
          <t>组</t>
        </is>
      </c>
      <c r="F138" s="146" t="n">
        <v>1</v>
      </c>
      <c r="G138" s="116">
        <f>R138*$R$3</f>
        <v/>
      </c>
      <c r="H138" s="117">
        <f>P138*(1+Q138)*$P$3+S138*$S$3</f>
        <v/>
      </c>
      <c r="I138" s="117">
        <f>T138*$T$3</f>
        <v/>
      </c>
      <c r="J138" s="117">
        <f>(G138+H138+I138)*$J$3</f>
        <v/>
      </c>
      <c r="K138" s="117">
        <f>(G138+H138+I138+J138)*$K$3</f>
        <v/>
      </c>
      <c r="L138" s="117">
        <f>G138+H138+I138+J138+K138</f>
        <v/>
      </c>
      <c r="M138" s="117">
        <f>F138*L138</f>
        <v/>
      </c>
      <c r="N138" s="118" t="n"/>
      <c r="O138" s="114">
        <f>P138*(1+Q138)+R138+S138+T138</f>
        <v/>
      </c>
      <c r="P138" s="119" t="n">
        <v>950</v>
      </c>
      <c r="Q138" s="120" t="n">
        <v>0</v>
      </c>
      <c r="R138" s="119" t="n">
        <v>60</v>
      </c>
      <c r="S138" s="121" t="n">
        <v>40</v>
      </c>
      <c r="T138" s="122" t="n">
        <v>0</v>
      </c>
      <c r="U138" s="114">
        <f>F138*O138</f>
        <v/>
      </c>
    </row>
    <row r="139" outlineLevel="3" ht="72" customFormat="1" customHeight="1" s="5">
      <c r="A139" s="27" t="n">
        <v>113</v>
      </c>
      <c r="B139" s="28" t="n">
        <v>31003014006</v>
      </c>
      <c r="C139" s="28" t="inlineStr">
        <is>
          <t>地漏</t>
        </is>
      </c>
      <c r="D139" s="28" t="inlineStr">
        <is>
          <t>1.名称：隐藏式地漏-干区
2.规格：DN50
3.型号：详见物料表
4.其他：包括但不限于满足图纸、招标文件、规范及验收要求等一切相关费用</t>
        </is>
      </c>
      <c r="E139" s="27" t="inlineStr">
        <is>
          <t>个</t>
        </is>
      </c>
      <c r="F139" s="145" t="n">
        <v>3</v>
      </c>
      <c r="G139" s="123">
        <f>R139*$R$3</f>
        <v/>
      </c>
      <c r="H139" s="106">
        <f>P139*(1+Q139)*$P$3+S139*$S$3</f>
        <v/>
      </c>
      <c r="I139" s="106">
        <f>T139*$T$3</f>
        <v/>
      </c>
      <c r="J139" s="106">
        <f>(G139+H139+I139)*$J$3</f>
        <v/>
      </c>
      <c r="K139" s="106">
        <f>(G139+H139+I139+J139)*$K$3</f>
        <v/>
      </c>
      <c r="L139" s="106">
        <f>G139+H139+I139+J139+K139</f>
        <v/>
      </c>
      <c r="M139" s="106">
        <f>F139*L139</f>
        <v/>
      </c>
      <c r="N139" s="101" t="n"/>
      <c r="O139" s="105">
        <f>P139*(1+Q139)+R139+S139+T139</f>
        <v/>
      </c>
      <c r="P139" s="111">
        <f>P57</f>
        <v/>
      </c>
      <c r="Q139" s="32">
        <f>Q57</f>
        <v/>
      </c>
      <c r="R139" s="111">
        <f>R57</f>
        <v/>
      </c>
      <c r="S139" s="112">
        <f>S57</f>
        <v/>
      </c>
      <c r="T139" s="107">
        <f>T57</f>
        <v/>
      </c>
      <c r="U139" s="105">
        <f>F139*O139</f>
        <v/>
      </c>
    </row>
    <row r="140" outlineLevel="3" ht="72" customFormat="1" customHeight="1" s="5">
      <c r="A140" s="27" t="n">
        <v>114</v>
      </c>
      <c r="B140" s="28" t="n">
        <v>31003014007</v>
      </c>
      <c r="C140" s="28" t="inlineStr">
        <is>
          <t>地漏</t>
        </is>
      </c>
      <c r="D140" s="28" t="inlineStr">
        <is>
          <t>1.名称：隐形长地漏-淋浴间
2.规格：DN75
3.型号：详见物料表
4.其他：包括但不限于满足图纸、招标文件、规范及验收要求等一切相关费用</t>
        </is>
      </c>
      <c r="E140" s="27" t="inlineStr">
        <is>
          <t>个</t>
        </is>
      </c>
      <c r="F140" s="145" t="n">
        <v>3</v>
      </c>
      <c r="G140" s="123">
        <f>R140*$R$3</f>
        <v/>
      </c>
      <c r="H140" s="106">
        <f>P140*(1+Q140)*$P$3+S140*$S$3</f>
        <v/>
      </c>
      <c r="I140" s="106">
        <f>T140*$T$3</f>
        <v/>
      </c>
      <c r="J140" s="106">
        <f>(G140+H140+I140)*$J$3</f>
        <v/>
      </c>
      <c r="K140" s="106">
        <f>(G140+H140+I140+J140)*$K$3</f>
        <v/>
      </c>
      <c r="L140" s="106">
        <f>G140+H140+I140+J140+K140</f>
        <v/>
      </c>
      <c r="M140" s="106">
        <f>F140*L140</f>
        <v/>
      </c>
      <c r="N140" s="101" t="n"/>
      <c r="O140" s="105">
        <f>P140*(1+Q140)+R140+S140+T140</f>
        <v/>
      </c>
      <c r="P140" s="111">
        <f>P58</f>
        <v/>
      </c>
      <c r="Q140" s="32">
        <f>Q58</f>
        <v/>
      </c>
      <c r="R140" s="111">
        <f>R58</f>
        <v/>
      </c>
      <c r="S140" s="112">
        <f>S58</f>
        <v/>
      </c>
      <c r="T140" s="107">
        <f>T58</f>
        <v/>
      </c>
      <c r="U140" s="105">
        <f>F140*O140</f>
        <v/>
      </c>
    </row>
    <row r="141" outlineLevel="3" ht="72" customFormat="1" customHeight="1" s="5">
      <c r="A141" s="27" t="n">
        <v>115</v>
      </c>
      <c r="B141" s="28" t="n">
        <v>31003014008</v>
      </c>
      <c r="C141" s="28" t="inlineStr">
        <is>
          <t>地漏</t>
        </is>
      </c>
      <c r="D141" s="28" t="inlineStr">
        <is>
          <t>1.名称：隐藏式地漏-阳台
2.规格：DN75
3.型号：详见物料表
4.其他：包括但不限于满足图纸、招标文件、规范及验收要求等一切相关费用</t>
        </is>
      </c>
      <c r="E141" s="27" t="inlineStr">
        <is>
          <t>个</t>
        </is>
      </c>
      <c r="F141" s="145" t="n">
        <v>1</v>
      </c>
      <c r="G141" s="123">
        <f>R141*$R$3</f>
        <v/>
      </c>
      <c r="H141" s="106">
        <f>P141*(1+Q141)*$P$3+S141*$S$3</f>
        <v/>
      </c>
      <c r="I141" s="106">
        <f>T141*$T$3</f>
        <v/>
      </c>
      <c r="J141" s="106">
        <f>(G141+H141+I141)*$J$3</f>
        <v/>
      </c>
      <c r="K141" s="106">
        <f>(G141+H141+I141+J141)*$K$3</f>
        <v/>
      </c>
      <c r="L141" s="106">
        <f>G141+H141+I141+J141+K141</f>
        <v/>
      </c>
      <c r="M141" s="106">
        <f>F141*L141</f>
        <v/>
      </c>
      <c r="N141" s="101" t="n"/>
      <c r="O141" s="105">
        <f>P141*(1+Q141)+R141+S141+T141</f>
        <v/>
      </c>
      <c r="P141" s="111">
        <f>P59</f>
        <v/>
      </c>
      <c r="Q141" s="32">
        <f>Q59</f>
        <v/>
      </c>
      <c r="R141" s="111">
        <f>R59</f>
        <v/>
      </c>
      <c r="S141" s="112">
        <f>S59</f>
        <v/>
      </c>
      <c r="T141" s="107">
        <f>T59</f>
        <v/>
      </c>
      <c r="U141" s="105">
        <f>F141*O141</f>
        <v/>
      </c>
    </row>
    <row r="142" outlineLevel="3" ht="72" customFormat="1" customHeight="1" s="5">
      <c r="A142" s="27" t="n">
        <v>116</v>
      </c>
      <c r="B142" s="28" t="n">
        <v>31003014009</v>
      </c>
      <c r="C142" s="28" t="inlineStr">
        <is>
          <t>地漏</t>
        </is>
      </c>
      <c r="D142" s="28" t="inlineStr">
        <is>
          <t>1.名称：洗衣机地漏
2.规格：DN75
3.型号：详见物料表
4.其他：包括但不限于满足图纸、招标文件、规范及验收要求等一切相关费用</t>
        </is>
      </c>
      <c r="E142" s="27" t="inlineStr">
        <is>
          <t>个</t>
        </is>
      </c>
      <c r="F142" s="145" t="n">
        <v>1</v>
      </c>
      <c r="G142" s="123">
        <f>R142*$R$3</f>
        <v/>
      </c>
      <c r="H142" s="106">
        <f>P142*(1+Q142)*$P$3+S142*$S$3</f>
        <v/>
      </c>
      <c r="I142" s="106">
        <f>T142*$T$3</f>
        <v/>
      </c>
      <c r="J142" s="106">
        <f>(G142+H142+I142)*$J$3</f>
        <v/>
      </c>
      <c r="K142" s="106">
        <f>(G142+H142+I142+J142)*$K$3</f>
        <v/>
      </c>
      <c r="L142" s="106">
        <f>G142+H142+I142+J142+K142</f>
        <v/>
      </c>
      <c r="M142" s="106">
        <f>F142*L142</f>
        <v/>
      </c>
      <c r="N142" s="101" t="n"/>
      <c r="O142" s="105">
        <f>P142*(1+Q142)+R142+S142+T142</f>
        <v/>
      </c>
      <c r="P142" s="111">
        <f>P60</f>
        <v/>
      </c>
      <c r="Q142" s="32">
        <f>Q60</f>
        <v/>
      </c>
      <c r="R142" s="111">
        <f>R60</f>
        <v/>
      </c>
      <c r="S142" s="112">
        <f>S60</f>
        <v/>
      </c>
      <c r="T142" s="107">
        <f>T60</f>
        <v/>
      </c>
      <c r="U142" s="105">
        <f>F142*O142</f>
        <v/>
      </c>
    </row>
    <row r="143" outlineLevel="3" ht="72" customFormat="1" customHeight="1" s="5">
      <c r="A143" s="27" t="n">
        <v>117</v>
      </c>
      <c r="B143" s="28" t="n">
        <v>31003014010</v>
      </c>
      <c r="C143" s="28" t="inlineStr">
        <is>
          <t>洗衣机龙头</t>
        </is>
      </c>
      <c r="D143" s="28" t="inlineStr">
        <is>
          <t>1.名称：洗衣机龙头
2.规格：DN15
3.型号：详见物料表
4.其他：包括但不限于满足图纸、招标文件、规范及验收要求等一切相关费用</t>
        </is>
      </c>
      <c r="E143" s="27" t="inlineStr">
        <is>
          <t>个</t>
        </is>
      </c>
      <c r="F143" s="145" t="n">
        <v>1</v>
      </c>
      <c r="G143" s="123">
        <f>R143*$R$3</f>
        <v/>
      </c>
      <c r="H143" s="106">
        <f>P143*(1+Q143)*$P$3+S143*$S$3</f>
        <v/>
      </c>
      <c r="I143" s="106">
        <f>T143*$T$3</f>
        <v/>
      </c>
      <c r="J143" s="106">
        <f>(G143+H143+I143)*$J$3</f>
        <v/>
      </c>
      <c r="K143" s="106">
        <f>(G143+H143+I143+J143)*$K$3</f>
        <v/>
      </c>
      <c r="L143" s="106">
        <f>G143+H143+I143+J143+K143</f>
        <v/>
      </c>
      <c r="M143" s="106">
        <f>F143*L143</f>
        <v/>
      </c>
      <c r="N143" s="101" t="n"/>
      <c r="O143" s="105">
        <f>P143*(1+Q143)+R143+S143+T143</f>
        <v/>
      </c>
      <c r="P143" s="111">
        <f>P61</f>
        <v/>
      </c>
      <c r="Q143" s="32">
        <f>Q61</f>
        <v/>
      </c>
      <c r="R143" s="111">
        <f>R61</f>
        <v/>
      </c>
      <c r="S143" s="112">
        <f>S61</f>
        <v/>
      </c>
      <c r="T143" s="107">
        <f>T61</f>
        <v/>
      </c>
      <c r="U143" s="105">
        <f>F143*O143</f>
        <v/>
      </c>
    </row>
    <row r="144" outlineLevel="3" ht="72" customFormat="1" customHeight="1" s="5">
      <c r="A144" s="113" t="n">
        <v>118</v>
      </c>
      <c r="B144" s="136" t="n">
        <v>31002001005</v>
      </c>
      <c r="C144" s="136" t="inlineStr">
        <is>
          <t>角阀</t>
        </is>
      </c>
      <c r="D144" s="136" t="inlineStr">
        <is>
          <t>1.名称：角阀（热水器、洗碗机、阳台洗手盆）
2.型号规格：DN15
3.其他：包括但不限于满足图纸、招标文件、规范及验收要求等一切相关费用</t>
        </is>
      </c>
      <c r="E144" s="113" t="inlineStr">
        <is>
          <t>个</t>
        </is>
      </c>
      <c r="F144" s="146" t="n">
        <v>5</v>
      </c>
      <c r="G144" s="116">
        <f>R144*$R$3</f>
        <v/>
      </c>
      <c r="H144" s="117">
        <f>P144*(1+Q144)*$P$3+S144*$S$3</f>
        <v/>
      </c>
      <c r="I144" s="117">
        <f>T144*$T$3</f>
        <v/>
      </c>
      <c r="J144" s="117">
        <f>(G144+H144+I144)*$J$3</f>
        <v/>
      </c>
      <c r="K144" s="117">
        <f>(G144+H144+I144+J144)*$K$3</f>
        <v/>
      </c>
      <c r="L144" s="117">
        <f>G144+H144+I144+J144+K144</f>
        <v/>
      </c>
      <c r="M144" s="117">
        <f>F144*L144</f>
        <v/>
      </c>
      <c r="N144" s="118" t="n"/>
      <c r="O144" s="114">
        <f>P144*(1+Q144)+R144+S144+T144</f>
        <v/>
      </c>
      <c r="P144" s="119" t="n">
        <v>1504.2</v>
      </c>
      <c r="Q144" s="120" t="n">
        <v>0</v>
      </c>
      <c r="R144" s="119" t="n">
        <v>167.09</v>
      </c>
      <c r="S144" s="121" t="n">
        <v>0</v>
      </c>
      <c r="T144" s="122" t="n">
        <v>12.03</v>
      </c>
      <c r="U144" s="114">
        <f>F144*O144</f>
        <v/>
      </c>
    </row>
    <row r="145" outlineLevel="1" customFormat="1" s="5">
      <c r="A145" s="27" t="inlineStr"/>
      <c r="B145" s="28" t="inlineStr"/>
      <c r="C145" s="28" t="inlineStr">
        <is>
          <t>空调工程</t>
        </is>
      </c>
      <c r="D145" s="28" t="inlineStr"/>
      <c r="E145" s="27" t="inlineStr"/>
      <c r="F145" s="145" t="inlineStr"/>
      <c r="G145" s="123" t="n"/>
      <c r="H145" s="106" t="n"/>
      <c r="I145" s="106" t="n"/>
      <c r="J145" s="106" t="n"/>
      <c r="K145" s="106" t="n"/>
      <c r="L145" s="106" t="n"/>
      <c r="M145" s="106" t="n"/>
      <c r="N145" s="101" t="n"/>
      <c r="O145" s="105">
        <f>P145*(1+Q145)+R145+S145+T145</f>
        <v/>
      </c>
      <c r="P145" s="111" t="n"/>
      <c r="Q145" s="32" t="n"/>
      <c r="R145" s="111" t="n"/>
      <c r="S145" s="112" t="n"/>
      <c r="T145" s="107" t="n"/>
      <c r="U145" s="105">
        <f>F145*O145</f>
        <v/>
      </c>
    </row>
    <row r="146" outlineLevel="2" customFormat="1" s="5">
      <c r="A146" s="27" t="inlineStr"/>
      <c r="B146" s="28" t="inlineStr"/>
      <c r="C146" s="28" t="inlineStr">
        <is>
          <t>设备</t>
        </is>
      </c>
      <c r="D146" s="28" t="inlineStr"/>
      <c r="E146" s="27" t="inlineStr"/>
      <c r="F146" s="145" t="inlineStr"/>
      <c r="G146" s="123" t="n"/>
      <c r="H146" s="106" t="n"/>
      <c r="I146" s="106" t="n"/>
      <c r="J146" s="106" t="n"/>
      <c r="K146" s="106" t="n"/>
      <c r="L146" s="106" t="n"/>
      <c r="M146" s="106" t="n"/>
      <c r="N146" s="101" t="n"/>
      <c r="O146" s="105">
        <f>P146*(1+Q146)+R146+S146+T146</f>
        <v/>
      </c>
      <c r="P146" s="111" t="n"/>
      <c r="Q146" s="32" t="n"/>
      <c r="R146" s="111" t="n"/>
      <c r="S146" s="112" t="n"/>
      <c r="T146" s="107" t="n"/>
      <c r="U146" s="105">
        <f>F146*O146</f>
        <v/>
      </c>
    </row>
    <row r="147" outlineLevel="3" ht="120" customFormat="1" customHeight="1" s="5">
      <c r="A147" s="27" t="n">
        <v>119</v>
      </c>
      <c r="B147" s="28" t="n">
        <v>30701003006</v>
      </c>
      <c r="C147" s="28" t="inlineStr">
        <is>
          <t>风管机</t>
        </is>
      </c>
      <c r="D147" s="28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147" s="27" t="inlineStr">
        <is>
          <t>台</t>
        </is>
      </c>
      <c r="F147" s="145" t="n">
        <v>1</v>
      </c>
      <c r="G147" s="123">
        <f>R147*$R$3</f>
        <v/>
      </c>
      <c r="H147" s="106">
        <f>P147*(1+Q147)*$P$3+S147*$S$3</f>
        <v/>
      </c>
      <c r="I147" s="106">
        <f>T147*$T$3</f>
        <v/>
      </c>
      <c r="J147" s="106">
        <f>(G147+H147+I147)*$J$3</f>
        <v/>
      </c>
      <c r="K147" s="106">
        <f>(G147+H147+I147+J147)*$K$3</f>
        <v/>
      </c>
      <c r="L147" s="106">
        <f>G147+H147+I147+J147+K147</f>
        <v/>
      </c>
      <c r="M147" s="106">
        <f>F147*L147</f>
        <v/>
      </c>
      <c r="N147" s="101" t="n"/>
      <c r="O147" s="105">
        <f>P147*(1+Q147)+R147+S147+T147</f>
        <v/>
      </c>
      <c r="P147" s="111">
        <f>P65</f>
        <v/>
      </c>
      <c r="Q147" s="32">
        <f>Q65</f>
        <v/>
      </c>
      <c r="R147" s="111">
        <f>R65</f>
        <v/>
      </c>
      <c r="S147" s="112">
        <f>S65</f>
        <v/>
      </c>
      <c r="T147" s="107">
        <f>T65</f>
        <v/>
      </c>
      <c r="U147" s="105">
        <f>F147*O147</f>
        <v/>
      </c>
    </row>
    <row r="148" outlineLevel="3" ht="120" customFormat="1" customHeight="1" s="5">
      <c r="A148" s="27" t="n">
        <v>120</v>
      </c>
      <c r="B148" s="28" t="n">
        <v>30701003007</v>
      </c>
      <c r="C148" s="28" t="inlineStr">
        <is>
          <t>风管机</t>
        </is>
      </c>
      <c r="D148" s="28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148" s="27" t="inlineStr">
        <is>
          <t>台</t>
        </is>
      </c>
      <c r="F148" s="145" t="n">
        <v>1</v>
      </c>
      <c r="G148" s="123">
        <f>R148*$R$3</f>
        <v/>
      </c>
      <c r="H148" s="106">
        <f>P148*(1+Q148)*$P$3+S148*$S$3</f>
        <v/>
      </c>
      <c r="I148" s="106">
        <f>T148*$T$3</f>
        <v/>
      </c>
      <c r="J148" s="106">
        <f>(G148+H148+I148)*$J$3</f>
        <v/>
      </c>
      <c r="K148" s="106">
        <f>(G148+H148+I148+J148)*$K$3</f>
        <v/>
      </c>
      <c r="L148" s="106">
        <f>G148+H148+I148+J148+K148</f>
        <v/>
      </c>
      <c r="M148" s="106">
        <f>F148*L148</f>
        <v/>
      </c>
      <c r="N148" s="101" t="n"/>
      <c r="O148" s="105">
        <f>P148*(1+Q148)+R148+S148+T148</f>
        <v/>
      </c>
      <c r="P148" s="111">
        <f>P66</f>
        <v/>
      </c>
      <c r="Q148" s="32">
        <f>Q66</f>
        <v/>
      </c>
      <c r="R148" s="111">
        <f>R66</f>
        <v/>
      </c>
      <c r="S148" s="112">
        <f>S66</f>
        <v/>
      </c>
      <c r="T148" s="107">
        <f>T66</f>
        <v/>
      </c>
      <c r="U148" s="105">
        <f>F148*O148</f>
        <v/>
      </c>
    </row>
    <row r="149" outlineLevel="3" ht="120" customFormat="1" customHeight="1" s="5">
      <c r="A149" s="27" t="n">
        <v>121</v>
      </c>
      <c r="B149" s="28" t="n">
        <v>30701003008</v>
      </c>
      <c r="C149" s="28" t="inlineStr">
        <is>
          <t>风管机</t>
        </is>
      </c>
      <c r="D149" s="28" t="inlineStr">
        <is>
      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      </is>
      </c>
      <c r="E149" s="27" t="inlineStr">
        <is>
          <t>台</t>
        </is>
      </c>
      <c r="F149" s="145" t="n">
        <v>2</v>
      </c>
      <c r="G149" s="123">
        <f>R149*$R$3</f>
        <v/>
      </c>
      <c r="H149" s="106">
        <f>P149*(1+Q149)*$P$3+S149*$S$3</f>
        <v/>
      </c>
      <c r="I149" s="106">
        <f>T149*$T$3</f>
        <v/>
      </c>
      <c r="J149" s="106">
        <f>(G149+H149+I149)*$J$3</f>
        <v/>
      </c>
      <c r="K149" s="106">
        <f>(G149+H149+I149+J149)*$K$3</f>
        <v/>
      </c>
      <c r="L149" s="106">
        <f>G149+H149+I149+J149+K149</f>
        <v/>
      </c>
      <c r="M149" s="106">
        <f>F149*L149</f>
        <v/>
      </c>
      <c r="N149" s="101" t="n"/>
      <c r="O149" s="105">
        <f>P149*(1+Q149)+R149+S149+T149</f>
        <v/>
      </c>
      <c r="P149" s="111">
        <f>P67</f>
        <v/>
      </c>
      <c r="Q149" s="32">
        <f>Q67</f>
        <v/>
      </c>
      <c r="R149" s="111">
        <f>R67</f>
        <v/>
      </c>
      <c r="S149" s="112">
        <f>S67</f>
        <v/>
      </c>
      <c r="T149" s="107">
        <f>T67</f>
        <v/>
      </c>
      <c r="U149" s="105">
        <f>F149*O149</f>
        <v/>
      </c>
    </row>
    <row r="150" outlineLevel="3" ht="120" customFormat="1" customHeight="1" s="5">
      <c r="A150" s="27" t="n">
        <v>122</v>
      </c>
      <c r="B150" s="28" t="n">
        <v>30701003009</v>
      </c>
      <c r="C150" s="28" t="inlineStr">
        <is>
          <t>风管机</t>
        </is>
      </c>
      <c r="D150" s="28" t="inlineStr">
        <is>
      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      </is>
      </c>
      <c r="E150" s="27" t="inlineStr">
        <is>
          <t>台</t>
        </is>
      </c>
      <c r="F150" s="145" t="n">
        <v>2</v>
      </c>
      <c r="G150" s="123">
        <f>R150*$R$3</f>
        <v/>
      </c>
      <c r="H150" s="106">
        <f>P150*(1+Q150)*$P$3+S150*$S$3</f>
        <v/>
      </c>
      <c r="I150" s="106">
        <f>T150*$T$3</f>
        <v/>
      </c>
      <c r="J150" s="106">
        <f>(G150+H150+I150)*$J$3</f>
        <v/>
      </c>
      <c r="K150" s="106">
        <f>(G150+H150+I150+J150)*$K$3</f>
        <v/>
      </c>
      <c r="L150" s="106">
        <f>G150+H150+I150+J150+K150</f>
        <v/>
      </c>
      <c r="M150" s="106">
        <f>F150*L150</f>
        <v/>
      </c>
      <c r="N150" s="101" t="n"/>
      <c r="O150" s="105">
        <f>P150*(1+Q150)+R150+S150+T150</f>
        <v/>
      </c>
      <c r="P150" s="111">
        <f>P68</f>
        <v/>
      </c>
      <c r="Q150" s="32">
        <f>Q68</f>
        <v/>
      </c>
      <c r="R150" s="111">
        <f>R68</f>
        <v/>
      </c>
      <c r="S150" s="112">
        <f>S68</f>
        <v/>
      </c>
      <c r="T150" s="107">
        <f>T68</f>
        <v/>
      </c>
      <c r="U150" s="105">
        <f>F150*O150</f>
        <v/>
      </c>
    </row>
    <row r="151" outlineLevel="3" ht="108" customFormat="1" customHeight="1" s="5">
      <c r="A151" s="27" t="n">
        <v>123</v>
      </c>
      <c r="B151" s="28" t="n">
        <v>30701003010</v>
      </c>
      <c r="C151" s="28" t="inlineStr">
        <is>
          <t>多联式室外机</t>
        </is>
      </c>
      <c r="D151" s="28" t="inlineStr">
        <is>
      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      </is>
      </c>
      <c r="E151" s="27" t="inlineStr">
        <is>
          <t>台</t>
        </is>
      </c>
      <c r="F151" s="145" t="n">
        <v>1</v>
      </c>
      <c r="G151" s="123">
        <f>R151*$R$3</f>
        <v/>
      </c>
      <c r="H151" s="106">
        <f>P151*(1+Q151)*$P$3+S151*$S$3</f>
        <v/>
      </c>
      <c r="I151" s="106">
        <f>T151*$T$3</f>
        <v/>
      </c>
      <c r="J151" s="106">
        <f>(G151+H151+I151)*$J$3</f>
        <v/>
      </c>
      <c r="K151" s="106">
        <f>(G151+H151+I151+J151)*$K$3</f>
        <v/>
      </c>
      <c r="L151" s="106">
        <f>G151+H151+I151+J151+K151</f>
        <v/>
      </c>
      <c r="M151" s="106">
        <f>F151*L151</f>
        <v/>
      </c>
      <c r="N151" s="101" t="n"/>
      <c r="O151" s="105">
        <f>P151*(1+Q151)+R151+S151+T151</f>
        <v/>
      </c>
      <c r="P151" s="111">
        <f>P69</f>
        <v/>
      </c>
      <c r="Q151" s="32">
        <f>Q69</f>
        <v/>
      </c>
      <c r="R151" s="111">
        <f>R69</f>
        <v/>
      </c>
      <c r="S151" s="112">
        <f>S69</f>
        <v/>
      </c>
      <c r="T151" s="107">
        <f>T69</f>
        <v/>
      </c>
      <c r="U151" s="105">
        <f>F151*O151</f>
        <v/>
      </c>
    </row>
    <row r="152" outlineLevel="3" ht="72" customFormat="1" customHeight="1" s="5">
      <c r="A152" s="27" t="n">
        <v>124</v>
      </c>
      <c r="B152" s="28" t="n">
        <v>30413013015</v>
      </c>
      <c r="C152" s="28" t="inlineStr">
        <is>
          <t>空调温控面板</t>
        </is>
      </c>
      <c r="D152" s="28" t="inlineStr">
        <is>
          <t>1.名称：空调温控面板
2.规格：86*86mm
3.安装方式：暗装
4.其他：包括但不限于满足图纸、招标文件、规范及验收要求等一切相关费用</t>
        </is>
      </c>
      <c r="E152" s="27" t="inlineStr">
        <is>
          <t>套</t>
        </is>
      </c>
      <c r="F152" s="145" t="n">
        <v>6</v>
      </c>
      <c r="G152" s="123">
        <f>R152*$R$3</f>
        <v/>
      </c>
      <c r="H152" s="106">
        <f>P152*(1+Q152)*$P$3+S152*$S$3</f>
        <v/>
      </c>
      <c r="I152" s="106">
        <f>T152*$T$3</f>
        <v/>
      </c>
      <c r="J152" s="106">
        <f>(G152+H152+I152)*$J$3</f>
        <v/>
      </c>
      <c r="K152" s="106">
        <f>(G152+H152+I152+J152)*$K$3</f>
        <v/>
      </c>
      <c r="L152" s="106">
        <f>G152+H152+I152+J152+K152</f>
        <v/>
      </c>
      <c r="M152" s="106">
        <f>F152*L152</f>
        <v/>
      </c>
      <c r="N152" s="101" t="n"/>
      <c r="O152" s="105">
        <f>P152*(1+Q152)+R152+S152+T152</f>
        <v/>
      </c>
      <c r="P152" s="111">
        <f>'架空层安装工程'!P33</f>
        <v/>
      </c>
      <c r="Q152" s="32">
        <f>'架空层安装工程'!Q33</f>
        <v/>
      </c>
      <c r="R152" s="111">
        <f>'架空层安装工程'!R33</f>
        <v/>
      </c>
      <c r="S152" s="112">
        <f>'架空层安装工程'!S33</f>
        <v/>
      </c>
      <c r="T152" s="107">
        <f>'架空层安装工程'!T33</f>
        <v/>
      </c>
      <c r="U152" s="105">
        <f>F152*O152</f>
        <v/>
      </c>
    </row>
    <row r="153" outlineLevel="2" customFormat="1" s="5">
      <c r="A153" s="27" t="inlineStr"/>
      <c r="B153" s="28" t="inlineStr"/>
      <c r="C153" s="28" t="inlineStr">
        <is>
          <t>风管</t>
        </is>
      </c>
      <c r="D153" s="28" t="inlineStr"/>
      <c r="E153" s="27" t="inlineStr"/>
      <c r="F153" s="145" t="inlineStr"/>
      <c r="G153" s="123" t="n"/>
      <c r="H153" s="106" t="n"/>
      <c r="I153" s="106" t="n"/>
      <c r="J153" s="106" t="n"/>
      <c r="K153" s="106" t="n"/>
      <c r="L153" s="106" t="n"/>
      <c r="M153" s="106" t="n"/>
      <c r="N153" s="101" t="n"/>
      <c r="O153" s="105">
        <f>P153*(1+Q153)+R153+S153+T153</f>
        <v/>
      </c>
      <c r="P153" s="111" t="n"/>
      <c r="Q153" s="32" t="n"/>
      <c r="R153" s="111" t="n"/>
      <c r="S153" s="112" t="n"/>
      <c r="T153" s="107" t="n"/>
      <c r="U153" s="105">
        <f>F153*O153</f>
        <v/>
      </c>
    </row>
    <row r="154" outlineLevel="3" ht="84" customFormat="1" customHeight="1" s="5">
      <c r="A154" s="27" t="n">
        <v>125</v>
      </c>
      <c r="B154" s="28" t="n">
        <v>30702001002</v>
      </c>
      <c r="C154" s="28" t="inlineStr">
        <is>
          <t>碳钢通风管道</t>
        </is>
      </c>
      <c r="D154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154" s="27" t="inlineStr">
        <is>
          <t>m2</t>
        </is>
      </c>
      <c r="F154" s="145" t="n">
        <v>0.34</v>
      </c>
      <c r="G154" s="123">
        <f>R154*$R$3</f>
        <v/>
      </c>
      <c r="H154" s="106">
        <f>P154*(1+Q154)*$P$3+S154*$S$3</f>
        <v/>
      </c>
      <c r="I154" s="106">
        <f>T154*$T$3</f>
        <v/>
      </c>
      <c r="J154" s="106">
        <f>(G154+H154+I154)*$J$3</f>
        <v/>
      </c>
      <c r="K154" s="106">
        <f>(G154+H154+I154+J154)*$K$3</f>
        <v/>
      </c>
      <c r="L154" s="106">
        <f>G154+H154+I154+J154+K154</f>
        <v/>
      </c>
      <c r="M154" s="106">
        <f>F154*L154</f>
        <v/>
      </c>
      <c r="N154" s="101" t="n"/>
      <c r="O154" s="105">
        <f>P154*(1+Q154)+R154+S154+T154</f>
        <v/>
      </c>
      <c r="P154" s="111">
        <f>'架空层安装工程'!P40</f>
        <v/>
      </c>
      <c r="Q154" s="32">
        <f>'架空层安装工程'!Q40</f>
        <v/>
      </c>
      <c r="R154" s="111">
        <f>'架空层安装工程'!R40</f>
        <v/>
      </c>
      <c r="S154" s="112">
        <f>'架空层安装工程'!S40</f>
        <v/>
      </c>
      <c r="T154" s="107">
        <f>'架空层安装工程'!T40</f>
        <v/>
      </c>
      <c r="U154" s="105">
        <f>F154*O154</f>
        <v/>
      </c>
    </row>
    <row r="155" outlineLevel="3" ht="84" customFormat="1" customHeight="1" s="5">
      <c r="A155" s="27" t="n">
        <v>126</v>
      </c>
      <c r="B155" s="28" t="n">
        <v>30702001003</v>
      </c>
      <c r="C155" s="28" t="inlineStr">
        <is>
          <t>碳钢通风管道</t>
        </is>
      </c>
      <c r="D155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155" s="27" t="inlineStr">
        <is>
          <t>m2</t>
        </is>
      </c>
      <c r="F155" s="145" t="n">
        <v>4.15</v>
      </c>
      <c r="G155" s="123">
        <f>R155*$R$3</f>
        <v/>
      </c>
      <c r="H155" s="106">
        <f>P155*(1+Q155)*$P$3+S155*$S$3</f>
        <v/>
      </c>
      <c r="I155" s="106">
        <f>T155*$T$3</f>
        <v/>
      </c>
      <c r="J155" s="106">
        <f>(G155+H155+I155)*$J$3</f>
        <v/>
      </c>
      <c r="K155" s="106">
        <f>(G155+H155+I155+J155)*$K$3</f>
        <v/>
      </c>
      <c r="L155" s="106">
        <f>G155+H155+I155+J155+K155</f>
        <v/>
      </c>
      <c r="M155" s="106">
        <f>F155*L155</f>
        <v/>
      </c>
      <c r="N155" s="101" t="n"/>
      <c r="O155" s="105">
        <f>P155*(1+Q155)+R155+S155+T155</f>
        <v/>
      </c>
      <c r="P155" s="111">
        <f>'架空层安装工程'!P41</f>
        <v/>
      </c>
      <c r="Q155" s="32">
        <f>'架空层安装工程'!Q41</f>
        <v/>
      </c>
      <c r="R155" s="111">
        <f>'架空层安装工程'!R41</f>
        <v/>
      </c>
      <c r="S155" s="112">
        <f>'架空层安装工程'!S41</f>
        <v/>
      </c>
      <c r="T155" s="107">
        <f>'架空层安装工程'!T41</f>
        <v/>
      </c>
      <c r="U155" s="105">
        <f>F155*O155</f>
        <v/>
      </c>
    </row>
    <row r="156" outlineLevel="3" ht="72" customFormat="1" customHeight="1" s="5">
      <c r="A156" s="27" t="n">
        <v>127</v>
      </c>
      <c r="B156" s="28" t="n">
        <v>30703019002</v>
      </c>
      <c r="C156" s="28" t="inlineStr">
        <is>
          <t>柔性接口</t>
        </is>
      </c>
      <c r="D156" s="28" t="inlineStr">
        <is>
          <t>1.名称：帆布软接口
2.材质：帆布
3.厚度：满足验收要求
4.其他：包括但不限于满足图纸、招标文件、规范及验收要求等一切相关费用</t>
        </is>
      </c>
      <c r="E156" s="27" t="inlineStr">
        <is>
          <t>m2</t>
        </is>
      </c>
      <c r="F156" s="145" t="n">
        <v>2.83</v>
      </c>
      <c r="G156" s="123">
        <f>R156*$R$3</f>
        <v/>
      </c>
      <c r="H156" s="106">
        <f>P156*(1+Q156)*$P$3+S156*$S$3</f>
        <v/>
      </c>
      <c r="I156" s="106">
        <f>T156*$T$3</f>
        <v/>
      </c>
      <c r="J156" s="106">
        <f>(G156+H156+I156)*$J$3</f>
        <v/>
      </c>
      <c r="K156" s="106">
        <f>(G156+H156+I156+J156)*$K$3</f>
        <v/>
      </c>
      <c r="L156" s="106">
        <f>G156+H156+I156+J156+K156</f>
        <v/>
      </c>
      <c r="M156" s="106">
        <f>F156*L156</f>
        <v/>
      </c>
      <c r="N156" s="101" t="n"/>
      <c r="O156" s="105">
        <f>P156*(1+Q156)+R156+S156+T156</f>
        <v/>
      </c>
      <c r="P156" s="111">
        <f>'架空层安装工程'!P43</f>
        <v/>
      </c>
      <c r="Q156" s="32">
        <f>'架空层安装工程'!Q43</f>
        <v/>
      </c>
      <c r="R156" s="111">
        <f>'架空层安装工程'!R43</f>
        <v/>
      </c>
      <c r="S156" s="112">
        <f>'架空层安装工程'!S43</f>
        <v/>
      </c>
      <c r="T156" s="107">
        <f>'架空层安装工程'!T43</f>
        <v/>
      </c>
      <c r="U156" s="105">
        <f>F156*O156</f>
        <v/>
      </c>
    </row>
    <row r="157" outlineLevel="3" ht="72" customFormat="1" customHeight="1" s="5">
      <c r="A157" s="27" t="n">
        <v>128</v>
      </c>
      <c r="B157" s="28" t="n">
        <v>31301005002</v>
      </c>
      <c r="C157" s="28" t="inlineStr">
        <is>
          <t>风管支架刷油</t>
        </is>
      </c>
      <c r="D157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157" s="27" t="inlineStr">
        <is>
          <t>kg</t>
        </is>
      </c>
      <c r="F157" s="145" t="n">
        <v>16.27</v>
      </c>
      <c r="G157" s="123">
        <f>R157*$R$3</f>
        <v/>
      </c>
      <c r="H157" s="106">
        <f>P157*(1+Q157)*$P$3+S157*$S$3</f>
        <v/>
      </c>
      <c r="I157" s="106">
        <f>T157*$T$3</f>
        <v/>
      </c>
      <c r="J157" s="106">
        <f>(G157+H157+I157)*$J$3</f>
        <v/>
      </c>
      <c r="K157" s="106">
        <f>(G157+H157+I157+J157)*$K$3</f>
        <v/>
      </c>
      <c r="L157" s="106">
        <f>G157+H157+I157+J157+K157</f>
        <v/>
      </c>
      <c r="M157" s="106">
        <f>F157*L157</f>
        <v/>
      </c>
      <c r="N157" s="101" t="n"/>
      <c r="O157" s="105">
        <f>P157*(1+Q157)+R157+S157+T157</f>
        <v/>
      </c>
      <c r="P157" s="111">
        <f>'架空层安装工程'!P44</f>
        <v/>
      </c>
      <c r="Q157" s="32">
        <f>'架空层安装工程'!Q44</f>
        <v/>
      </c>
      <c r="R157" s="111">
        <f>'架空层安装工程'!R44</f>
        <v/>
      </c>
      <c r="S157" s="112">
        <f>'架空层安装工程'!S44</f>
        <v/>
      </c>
      <c r="T157" s="107">
        <f>'架空层安装工程'!T44</f>
        <v/>
      </c>
      <c r="U157" s="105">
        <f>F157*O157</f>
        <v/>
      </c>
    </row>
    <row r="158" outlineLevel="3" ht="108" customFormat="1" customHeight="1" s="5">
      <c r="A158" s="27" t="n">
        <v>129</v>
      </c>
      <c r="B158" s="28" t="n">
        <v>31208003002</v>
      </c>
      <c r="C158" s="28" t="inlineStr">
        <is>
          <t>通风管道绝热</t>
        </is>
      </c>
      <c r="D158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158" s="27" t="inlineStr">
        <is>
          <t>m2</t>
        </is>
      </c>
      <c r="F158" s="145" t="n">
        <v>4.49</v>
      </c>
      <c r="G158" s="123">
        <f>R158*$R$3</f>
        <v/>
      </c>
      <c r="H158" s="106">
        <f>P158*(1+Q158)*$P$3+S158*$S$3</f>
        <v/>
      </c>
      <c r="I158" s="106">
        <f>T158*$T$3</f>
        <v/>
      </c>
      <c r="J158" s="106">
        <f>(G158+H158+I158)*$J$3</f>
        <v/>
      </c>
      <c r="K158" s="106">
        <f>(G158+H158+I158+J158)*$K$3</f>
        <v/>
      </c>
      <c r="L158" s="106">
        <f>G158+H158+I158+J158+K158</f>
        <v/>
      </c>
      <c r="M158" s="106">
        <f>F158*L158</f>
        <v/>
      </c>
      <c r="N158" s="101" t="n"/>
      <c r="O158" s="105">
        <f>P158*(1+Q158)+R158+S158+T158</f>
        <v/>
      </c>
      <c r="P158" s="111">
        <f>'架空层安装工程'!P45</f>
        <v/>
      </c>
      <c r="Q158" s="32">
        <f>'架空层安装工程'!Q45</f>
        <v/>
      </c>
      <c r="R158" s="111">
        <f>'架空层安装工程'!R45</f>
        <v/>
      </c>
      <c r="S158" s="112">
        <f>'架空层安装工程'!S45</f>
        <v/>
      </c>
      <c r="T158" s="107">
        <f>'架空层安装工程'!T45</f>
        <v/>
      </c>
      <c r="U158" s="105">
        <f>F158*O158</f>
        <v/>
      </c>
    </row>
    <row r="159" outlineLevel="3" ht="24" customFormat="1" customHeight="1" s="5">
      <c r="A159" s="27" t="n">
        <v>130</v>
      </c>
      <c r="B159" s="28" t="n">
        <v>30704001002</v>
      </c>
      <c r="C159" s="28" t="inlineStr">
        <is>
          <t>通风工程检测、调试</t>
        </is>
      </c>
      <c r="D159" s="28" t="inlineStr">
        <is>
          <t>1.名称：风管漏光试验、漏风试验</t>
        </is>
      </c>
      <c r="E159" s="27" t="inlineStr">
        <is>
          <t>系统</t>
        </is>
      </c>
      <c r="F159" s="145" t="n">
        <v>1</v>
      </c>
      <c r="G159" s="123">
        <f>R159*$R$3</f>
        <v/>
      </c>
      <c r="H159" s="106">
        <f>P159*(1+Q159)*$P$3+S159*$S$3</f>
        <v/>
      </c>
      <c r="I159" s="106">
        <f>T159*$T$3</f>
        <v/>
      </c>
      <c r="J159" s="106">
        <f>(G159+H159+I159)*$J$3</f>
        <v/>
      </c>
      <c r="K159" s="106">
        <f>(G159+H159+I159+J159)*$K$3</f>
        <v/>
      </c>
      <c r="L159" s="106">
        <f>G159+H159+I159+J159+K159</f>
        <v/>
      </c>
      <c r="M159" s="106">
        <f>F159*L159</f>
        <v/>
      </c>
      <c r="N159" s="101" t="n"/>
      <c r="O159" s="105">
        <f>P159*(1+Q159)+R159+S159+T159</f>
        <v/>
      </c>
      <c r="P159" s="111">
        <f>'架空层安装工程'!P46</f>
        <v/>
      </c>
      <c r="Q159" s="32">
        <f>'架空层安装工程'!Q46</f>
        <v/>
      </c>
      <c r="R159" s="111">
        <f>'架空层安装工程'!R46</f>
        <v/>
      </c>
      <c r="S159" s="112">
        <f>'架空层安装工程'!S46</f>
        <v/>
      </c>
      <c r="T159" s="107">
        <f>'架空层安装工程'!T46</f>
        <v/>
      </c>
      <c r="U159" s="105">
        <f>F159*O159</f>
        <v/>
      </c>
    </row>
    <row r="160" outlineLevel="2" customFormat="1" s="5">
      <c r="A160" s="27" t="inlineStr"/>
      <c r="B160" s="28" t="inlineStr"/>
      <c r="C160" s="28" t="inlineStr">
        <is>
          <t>水管</t>
        </is>
      </c>
      <c r="D160" s="28" t="inlineStr"/>
      <c r="E160" s="27" t="inlineStr"/>
      <c r="F160" s="145" t="inlineStr"/>
      <c r="G160" s="123" t="n"/>
      <c r="H160" s="106" t="n"/>
      <c r="I160" s="106" t="n"/>
      <c r="J160" s="106" t="n"/>
      <c r="K160" s="106" t="n"/>
      <c r="L160" s="106" t="n"/>
      <c r="M160" s="106" t="n"/>
      <c r="N160" s="101" t="n"/>
      <c r="O160" s="105">
        <f>P160*(1+Q160)+R160+S160+T160</f>
        <v/>
      </c>
      <c r="P160" s="111" t="n"/>
      <c r="Q160" s="32" t="n"/>
      <c r="R160" s="111" t="n"/>
      <c r="S160" s="112" t="n"/>
      <c r="T160" s="107" t="n"/>
      <c r="U160" s="105">
        <f>F160*O160</f>
        <v/>
      </c>
    </row>
    <row r="161" outlineLevel="3" ht="84" customFormat="1" customHeight="1" s="5">
      <c r="A161" s="27" t="n">
        <v>131</v>
      </c>
      <c r="B161" s="28" t="n">
        <v>31001005005</v>
      </c>
      <c r="C161" s="28" t="inlineStr">
        <is>
          <t>铜管</t>
        </is>
      </c>
      <c r="D161" s="28" t="inlineStr">
        <is>
          <t>1.名称：紫铜管
2.规格：φ6.4
3.厚度：0.8mm
4.连接方式：钎焊连结
5.其他：包括但不限于满足图纸、招标文件、规范及验收要求等一切相关费用</t>
        </is>
      </c>
      <c r="E161" s="27" t="inlineStr">
        <is>
          <t>m</t>
        </is>
      </c>
      <c r="F161" s="145" t="n">
        <v>9.58</v>
      </c>
      <c r="G161" s="123">
        <f>R161*$R$3</f>
        <v/>
      </c>
      <c r="H161" s="106">
        <f>P161*(1+Q161)*$P$3+S161*$S$3</f>
        <v/>
      </c>
      <c r="I161" s="106">
        <f>T161*$T$3</f>
        <v/>
      </c>
      <c r="J161" s="106">
        <f>(G161+H161+I161)*$J$3</f>
        <v/>
      </c>
      <c r="K161" s="106">
        <f>(G161+H161+I161+J161)*$K$3</f>
        <v/>
      </c>
      <c r="L161" s="106">
        <f>G161+H161+I161+J161+K161</f>
        <v/>
      </c>
      <c r="M161" s="106">
        <f>F161*L161</f>
        <v/>
      </c>
      <c r="N161" s="101" t="n"/>
      <c r="O161" s="105">
        <f>P161*(1+Q161)+R161+S161+T161</f>
        <v/>
      </c>
      <c r="P161" s="111">
        <f>'架空层安装工程'!P48</f>
        <v/>
      </c>
      <c r="Q161" s="32">
        <f>'架空层安装工程'!Q48</f>
        <v/>
      </c>
      <c r="R161" s="111">
        <f>'架空层安装工程'!R48</f>
        <v/>
      </c>
      <c r="S161" s="112">
        <f>'架空层安装工程'!S48</f>
        <v/>
      </c>
      <c r="T161" s="107">
        <f>'架空层安装工程'!T48</f>
        <v/>
      </c>
      <c r="U161" s="105">
        <f>F161*O161</f>
        <v/>
      </c>
    </row>
    <row r="162" outlineLevel="3" ht="84" customFormat="1" customHeight="1" s="5">
      <c r="A162" s="27" t="n">
        <v>132</v>
      </c>
      <c r="B162" s="28" t="n">
        <v>31001005006</v>
      </c>
      <c r="C162" s="28" t="inlineStr">
        <is>
          <t>铜管</t>
        </is>
      </c>
      <c r="D162" s="28" t="inlineStr">
        <is>
          <t>1.名称：紫铜管
2.规格：φ9.5
3.厚度：0.8mm
4.连接方式：钎焊连结
5.其他：包括但不限于满足图纸、招标文件、规范及验收要求等一切相关费用</t>
        </is>
      </c>
      <c r="E162" s="27" t="inlineStr">
        <is>
          <t>m</t>
        </is>
      </c>
      <c r="F162" s="145" t="n">
        <v>15.6</v>
      </c>
      <c r="G162" s="123">
        <f>R162*$R$3</f>
        <v/>
      </c>
      <c r="H162" s="106">
        <f>P162*(1+Q162)*$P$3+S162*$S$3</f>
        <v/>
      </c>
      <c r="I162" s="106">
        <f>T162*$T$3</f>
        <v/>
      </c>
      <c r="J162" s="106">
        <f>(G162+H162+I162)*$J$3</f>
        <v/>
      </c>
      <c r="K162" s="106">
        <f>(G162+H162+I162+J162)*$K$3</f>
        <v/>
      </c>
      <c r="L162" s="106">
        <f>G162+H162+I162+J162+K162</f>
        <v/>
      </c>
      <c r="M162" s="106">
        <f>F162*L162</f>
        <v/>
      </c>
      <c r="N162" s="101" t="n"/>
      <c r="O162" s="105">
        <f>P162*(1+Q162)+R162+S162+T162</f>
        <v/>
      </c>
      <c r="P162" s="111">
        <f>'架空层安装工程'!P49</f>
        <v/>
      </c>
      <c r="Q162" s="32">
        <f>'架空层安装工程'!Q49</f>
        <v/>
      </c>
      <c r="R162" s="111">
        <f>'架空层安装工程'!R49</f>
        <v/>
      </c>
      <c r="S162" s="112">
        <f>'架空层安装工程'!S49</f>
        <v/>
      </c>
      <c r="T162" s="107">
        <f>'架空层安装工程'!T49</f>
        <v/>
      </c>
      <c r="U162" s="105">
        <f>F162*O162</f>
        <v/>
      </c>
    </row>
    <row r="163" outlineLevel="3" ht="84" customFormat="1" customHeight="1" s="5">
      <c r="A163" s="27" t="n">
        <v>133</v>
      </c>
      <c r="B163" s="28" t="n">
        <v>31001005007</v>
      </c>
      <c r="C163" s="28" t="inlineStr">
        <is>
          <t>铜管</t>
        </is>
      </c>
      <c r="D163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163" s="27" t="inlineStr">
        <is>
          <t>m</t>
        </is>
      </c>
      <c r="F163" s="145" t="n">
        <v>9.58</v>
      </c>
      <c r="G163" s="123">
        <f>R163*$R$3</f>
        <v/>
      </c>
      <c r="H163" s="106">
        <f>P163*(1+Q163)*$P$3+S163*$S$3</f>
        <v/>
      </c>
      <c r="I163" s="106">
        <f>T163*$T$3</f>
        <v/>
      </c>
      <c r="J163" s="106">
        <f>(G163+H163+I163)*$J$3</f>
        <v/>
      </c>
      <c r="K163" s="106">
        <f>(G163+H163+I163+J163)*$K$3</f>
        <v/>
      </c>
      <c r="L163" s="106">
        <f>G163+H163+I163+J163+K163</f>
        <v/>
      </c>
      <c r="M163" s="106">
        <f>F163*L163</f>
        <v/>
      </c>
      <c r="N163" s="101" t="n"/>
      <c r="O163" s="105">
        <f>P163*(1+Q163)+R163+S163+T163</f>
        <v/>
      </c>
      <c r="P163" s="111">
        <f>'架空层安装工程'!P50</f>
        <v/>
      </c>
      <c r="Q163" s="32">
        <f>'架空层安装工程'!Q50</f>
        <v/>
      </c>
      <c r="R163" s="111">
        <f>'架空层安装工程'!R50</f>
        <v/>
      </c>
      <c r="S163" s="112">
        <f>'架空层安装工程'!S50</f>
        <v/>
      </c>
      <c r="T163" s="107">
        <f>'架空层安装工程'!T50</f>
        <v/>
      </c>
      <c r="U163" s="105">
        <f>F163*O163</f>
        <v/>
      </c>
    </row>
    <row r="164" outlineLevel="3" ht="84" customFormat="1" customHeight="1" s="5">
      <c r="A164" s="27" t="n">
        <v>134</v>
      </c>
      <c r="B164" s="28" t="n">
        <v>31001005008</v>
      </c>
      <c r="C164" s="28" t="inlineStr">
        <is>
          <t>铜管</t>
        </is>
      </c>
      <c r="D164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164" s="27" t="inlineStr">
        <is>
          <t>m</t>
        </is>
      </c>
      <c r="F164" s="145" t="n">
        <v>6.89</v>
      </c>
      <c r="G164" s="123">
        <f>R164*$R$3</f>
        <v/>
      </c>
      <c r="H164" s="106">
        <f>P164*(1+Q164)*$P$3+S164*$S$3</f>
        <v/>
      </c>
      <c r="I164" s="106">
        <f>T164*$T$3</f>
        <v/>
      </c>
      <c r="J164" s="106">
        <f>(G164+H164+I164)*$J$3</f>
        <v/>
      </c>
      <c r="K164" s="106">
        <f>(G164+H164+I164+J164)*$K$3</f>
        <v/>
      </c>
      <c r="L164" s="106">
        <f>G164+H164+I164+J164+K164</f>
        <v/>
      </c>
      <c r="M164" s="106">
        <f>F164*L164</f>
        <v/>
      </c>
      <c r="N164" s="101" t="n"/>
      <c r="O164" s="105">
        <f>P164*(1+Q164)+R164+S164+T164</f>
        <v/>
      </c>
      <c r="P164" s="111">
        <f>'架空层安装工程'!P51</f>
        <v/>
      </c>
      <c r="Q164" s="32">
        <f>'架空层安装工程'!Q51</f>
        <v/>
      </c>
      <c r="R164" s="111">
        <f>'架空层安装工程'!R51</f>
        <v/>
      </c>
      <c r="S164" s="112">
        <f>'架空层安装工程'!S51</f>
        <v/>
      </c>
      <c r="T164" s="107">
        <f>'架空层安装工程'!T51</f>
        <v/>
      </c>
      <c r="U164" s="105">
        <f>F164*O164</f>
        <v/>
      </c>
    </row>
    <row r="165" outlineLevel="3" ht="84" customFormat="1" customHeight="1" s="5">
      <c r="A165" s="27" t="n">
        <v>135</v>
      </c>
      <c r="B165" s="28" t="n">
        <v>31001005009</v>
      </c>
      <c r="C165" s="28" t="inlineStr">
        <is>
          <t>铜管</t>
        </is>
      </c>
      <c r="D165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165" s="27" t="inlineStr">
        <is>
          <t>m</t>
        </is>
      </c>
      <c r="F165" s="145" t="n">
        <v>8.710000000000001</v>
      </c>
      <c r="G165" s="123">
        <f>R165*$R$3</f>
        <v/>
      </c>
      <c r="H165" s="106">
        <f>P165*(1+Q165)*$P$3+S165*$S$3</f>
        <v/>
      </c>
      <c r="I165" s="106">
        <f>T165*$T$3</f>
        <v/>
      </c>
      <c r="J165" s="106">
        <f>(G165+H165+I165)*$J$3</f>
        <v/>
      </c>
      <c r="K165" s="106">
        <f>(G165+H165+I165+J165)*$K$3</f>
        <v/>
      </c>
      <c r="L165" s="106">
        <f>G165+H165+I165+J165+K165</f>
        <v/>
      </c>
      <c r="M165" s="106">
        <f>F165*L165</f>
        <v/>
      </c>
      <c r="N165" s="101" t="n"/>
      <c r="O165" s="105">
        <f>P165*(1+Q165)+R165+S165+T165</f>
        <v/>
      </c>
      <c r="P165" s="111">
        <f>'架空层安装工程'!P52</f>
        <v/>
      </c>
      <c r="Q165" s="32">
        <f>'架空层安装工程'!Q52</f>
        <v/>
      </c>
      <c r="R165" s="111">
        <f>'架空层安装工程'!R52</f>
        <v/>
      </c>
      <c r="S165" s="112">
        <f>'架空层安装工程'!S52</f>
        <v/>
      </c>
      <c r="T165" s="107">
        <f>'架空层安装工程'!T52</f>
        <v/>
      </c>
      <c r="U165" s="105">
        <f>F165*O165</f>
        <v/>
      </c>
    </row>
    <row r="166" outlineLevel="3" ht="60" customFormat="1" customHeight="1" s="5">
      <c r="A166" s="27" t="n">
        <v>136</v>
      </c>
      <c r="B166" s="28" t="n">
        <v>31002001002</v>
      </c>
      <c r="C166" s="28" t="inlineStr">
        <is>
          <t>分歧器</t>
        </is>
      </c>
      <c r="D166" s="28" t="inlineStr">
        <is>
          <t>1.名称：分歧器
2.规格：公称直径20mm以内
3.其他：包括但不限于满足图纸、招标文件、规范及验收要求等一切相关费用</t>
        </is>
      </c>
      <c r="E166" s="27" t="inlineStr">
        <is>
          <t>个</t>
        </is>
      </c>
      <c r="F166" s="145" t="n">
        <v>5</v>
      </c>
      <c r="G166" s="123">
        <f>R166*$R$3</f>
        <v/>
      </c>
      <c r="H166" s="106">
        <f>P166*(1+Q166)*$P$3+S166*$S$3</f>
        <v/>
      </c>
      <c r="I166" s="106">
        <f>T166*$T$3</f>
        <v/>
      </c>
      <c r="J166" s="106">
        <f>(G166+H166+I166)*$J$3</f>
        <v/>
      </c>
      <c r="K166" s="106">
        <f>(G166+H166+I166+J166)*$K$3</f>
        <v/>
      </c>
      <c r="L166" s="106">
        <f>G166+H166+I166+J166+K166</f>
        <v/>
      </c>
      <c r="M166" s="106">
        <f>F166*L166</f>
        <v/>
      </c>
      <c r="N166" s="101" t="n"/>
      <c r="O166" s="105">
        <f>P166*(1+Q166)+R166+S166+T166</f>
        <v/>
      </c>
      <c r="P166" s="111">
        <f>'架空层安装工程'!P54</f>
        <v/>
      </c>
      <c r="Q166" s="32">
        <f>'架空层安装工程'!Q54</f>
        <v/>
      </c>
      <c r="R166" s="111">
        <f>'架空层安装工程'!R54</f>
        <v/>
      </c>
      <c r="S166" s="112">
        <f>'架空层安装工程'!S54</f>
        <v/>
      </c>
      <c r="T166" s="107">
        <f>'架空层安装工程'!T54</f>
        <v/>
      </c>
      <c r="U166" s="105">
        <f>F166*O166</f>
        <v/>
      </c>
    </row>
    <row r="167" outlineLevel="3" ht="84" customFormat="1" customHeight="1" s="5">
      <c r="A167" s="27" t="n">
        <v>137</v>
      </c>
      <c r="B167" s="28" t="n">
        <v>31001008021</v>
      </c>
      <c r="C167" s="28" t="inlineStr">
        <is>
          <t>塑料管</t>
        </is>
      </c>
      <c r="D167" s="28" t="inlineStr">
        <is>
          <t>1.名称：UPVC管
2.规格：DN20
3.介质：冷凝水
4.连接方式：粘接
5.其他：包括但不限于满足图纸、招标文件、规范及验收要求等一切相关费用</t>
        </is>
      </c>
      <c r="E167" s="27" t="inlineStr">
        <is>
          <t>m</t>
        </is>
      </c>
      <c r="F167" s="145" t="n">
        <v>15.15</v>
      </c>
      <c r="G167" s="123">
        <f>R167*$R$3</f>
        <v/>
      </c>
      <c r="H167" s="106">
        <f>P167*(1+Q167)*$P$3+S167*$S$3</f>
        <v/>
      </c>
      <c r="I167" s="106">
        <f>T167*$T$3</f>
        <v/>
      </c>
      <c r="J167" s="106">
        <f>(G167+H167+I167)*$J$3</f>
        <v/>
      </c>
      <c r="K167" s="106">
        <f>(G167+H167+I167+J167)*$K$3</f>
        <v/>
      </c>
      <c r="L167" s="106">
        <f>G167+H167+I167+J167+K167</f>
        <v/>
      </c>
      <c r="M167" s="106">
        <f>F167*L167</f>
        <v/>
      </c>
      <c r="N167" s="101" t="n"/>
      <c r="O167" s="105">
        <f>P167*(1+Q167)+R167+S167+T167</f>
        <v/>
      </c>
      <c r="P167" s="111">
        <f>P83</f>
        <v/>
      </c>
      <c r="Q167" s="32">
        <f>Q83</f>
        <v/>
      </c>
      <c r="R167" s="111">
        <f>R83</f>
        <v/>
      </c>
      <c r="S167" s="112">
        <f>S83</f>
        <v/>
      </c>
      <c r="T167" s="107">
        <f>T83</f>
        <v/>
      </c>
      <c r="U167" s="105">
        <f>F167*O167</f>
        <v/>
      </c>
    </row>
    <row r="168" outlineLevel="3" ht="84" customFormat="1" customHeight="1" s="5">
      <c r="A168" s="27" t="n">
        <v>138</v>
      </c>
      <c r="B168" s="28" t="n">
        <v>31001008022</v>
      </c>
      <c r="C168" s="28" t="inlineStr">
        <is>
          <t>塑料管</t>
        </is>
      </c>
      <c r="D168" s="28" t="inlineStr">
        <is>
          <t>1.名称：UPVC管
2.规格：DN25
3.介质：冷凝水
4.连接方式：粘接
5.其他：包括但不限于满足图纸、招标文件、规范及验收要求等一切相关费用</t>
        </is>
      </c>
      <c r="E168" s="27" t="inlineStr">
        <is>
          <t>m</t>
        </is>
      </c>
      <c r="F168" s="145" t="n">
        <v>8.5</v>
      </c>
      <c r="G168" s="123">
        <f>R168*$R$3</f>
        <v/>
      </c>
      <c r="H168" s="106">
        <f>P168*(1+Q168)*$P$3+S168*$S$3</f>
        <v/>
      </c>
      <c r="I168" s="106">
        <f>T168*$T$3</f>
        <v/>
      </c>
      <c r="J168" s="106">
        <f>(G168+H168+I168)*$J$3</f>
        <v/>
      </c>
      <c r="K168" s="106">
        <f>(G168+H168+I168+J168)*$K$3</f>
        <v/>
      </c>
      <c r="L168" s="106">
        <f>G168+H168+I168+J168+K168</f>
        <v/>
      </c>
      <c r="M168" s="106">
        <f>F168*L168</f>
        <v/>
      </c>
      <c r="N168" s="101" t="n"/>
      <c r="O168" s="105">
        <f>P168*(1+Q168)+R168+S168+T168</f>
        <v/>
      </c>
      <c r="P168" s="111">
        <f>'架空层安装工程'!P55</f>
        <v/>
      </c>
      <c r="Q168" s="32">
        <f>'架空层安装工程'!Q55</f>
        <v/>
      </c>
      <c r="R168" s="111">
        <f>'架空层安装工程'!R55</f>
        <v/>
      </c>
      <c r="S168" s="112">
        <f>'架空层安装工程'!S55</f>
        <v/>
      </c>
      <c r="T168" s="107">
        <f>'架空层安装工程'!T55</f>
        <v/>
      </c>
      <c r="U168" s="105">
        <f>F168*O168</f>
        <v/>
      </c>
    </row>
    <row r="169" outlineLevel="3" ht="72" customFormat="1" customHeight="1" s="5">
      <c r="A169" s="27" t="n">
        <v>139</v>
      </c>
      <c r="B169" s="28" t="n">
        <v>31208002007</v>
      </c>
      <c r="C169" s="28" t="inlineStr">
        <is>
          <t>其他管道绝热</t>
        </is>
      </c>
      <c r="D169" s="28" t="inlineStr">
        <is>
          <t>1.名称：冷媒管保温
2.材质：难燃B1级橡塑
3.厚度：20mm
4.其他：包括但不限于满足图纸、招标文件、规范及验收要求等一切相关费用</t>
        </is>
      </c>
      <c r="E169" s="27" t="inlineStr">
        <is>
          <t>m3</t>
        </is>
      </c>
      <c r="F169" s="145" t="n">
        <v>0.11</v>
      </c>
      <c r="G169" s="123">
        <f>R169*$R$3</f>
        <v/>
      </c>
      <c r="H169" s="106">
        <f>P169*(1+Q169)*$P$3+S169*$S$3</f>
        <v/>
      </c>
      <c r="I169" s="106">
        <f>T169*$T$3</f>
        <v/>
      </c>
      <c r="J169" s="106">
        <f>(G169+H169+I169)*$J$3</f>
        <v/>
      </c>
      <c r="K169" s="106">
        <f>(G169+H169+I169+J169)*$K$3</f>
        <v/>
      </c>
      <c r="L169" s="106">
        <f>G169+H169+I169+J169+K169</f>
        <v/>
      </c>
      <c r="M169" s="106">
        <f>F169*L169</f>
        <v/>
      </c>
      <c r="N169" s="101" t="n"/>
      <c r="O169" s="105">
        <f>P169*(1+Q169)+R169+S169+T169</f>
        <v/>
      </c>
      <c r="P169" s="111">
        <f>'架空层安装工程'!P58</f>
        <v/>
      </c>
      <c r="Q169" s="32">
        <f>'架空层安装工程'!Q58</f>
        <v/>
      </c>
      <c r="R169" s="111">
        <f>'架空层安装工程'!R58</f>
        <v/>
      </c>
      <c r="S169" s="112">
        <f>'架空层安装工程'!S58</f>
        <v/>
      </c>
      <c r="T169" s="107">
        <f>'架空层安装工程'!T58</f>
        <v/>
      </c>
      <c r="U169" s="105">
        <f>F169*O169</f>
        <v/>
      </c>
    </row>
    <row r="170" outlineLevel="3" ht="72" customFormat="1" customHeight="1" s="5">
      <c r="A170" s="27" t="n">
        <v>140</v>
      </c>
      <c r="B170" s="28" t="n">
        <v>31208002008</v>
      </c>
      <c r="C170" s="28" t="inlineStr">
        <is>
          <t>其他管道绝热</t>
        </is>
      </c>
      <c r="D170" s="28" t="inlineStr">
        <is>
          <t>1.名称：冷凝管保温
2.材质：难燃B1级橡塑
3.厚度：13mm
4.其他：包括但不限于满足图纸、招标文件、规范及验收要求等一切相关费用</t>
        </is>
      </c>
      <c r="E170" s="27" t="inlineStr">
        <is>
          <t>m3</t>
        </is>
      </c>
      <c r="F170" s="145" t="n">
        <v>0.04</v>
      </c>
      <c r="G170" s="123">
        <f>R170*$R$3</f>
        <v/>
      </c>
      <c r="H170" s="106">
        <f>P170*(1+Q170)*$P$3+S170*$S$3</f>
        <v/>
      </c>
      <c r="I170" s="106">
        <f>T170*$T$3</f>
        <v/>
      </c>
      <c r="J170" s="106">
        <f>(G170+H170+I170)*$J$3</f>
        <v/>
      </c>
      <c r="K170" s="106">
        <f>(G170+H170+I170+J170)*$K$3</f>
        <v/>
      </c>
      <c r="L170" s="106">
        <f>G170+H170+I170+J170+K170</f>
        <v/>
      </c>
      <c r="M170" s="106">
        <f>F170*L170</f>
        <v/>
      </c>
      <c r="N170" s="101" t="n"/>
      <c r="O170" s="105">
        <f>P170*(1+Q170)+R170+S170+T170</f>
        <v/>
      </c>
      <c r="P170" s="111">
        <f>'架空层安装工程'!P59</f>
        <v/>
      </c>
      <c r="Q170" s="32">
        <f>'架空层安装工程'!Q59</f>
        <v/>
      </c>
      <c r="R170" s="111">
        <f>'架空层安装工程'!R59</f>
        <v/>
      </c>
      <c r="S170" s="112">
        <f>'架空层安装工程'!S59</f>
        <v/>
      </c>
      <c r="T170" s="107">
        <f>'架空层安装工程'!T59</f>
        <v/>
      </c>
      <c r="U170" s="105">
        <f>F170*O170</f>
        <v/>
      </c>
    </row>
    <row r="171" customFormat="1" s="5">
      <c r="A171" s="27" t="inlineStr"/>
      <c r="B171" s="28" t="inlineStr"/>
      <c r="C171" s="28" t="inlineStr">
        <is>
          <t>139户型</t>
        </is>
      </c>
      <c r="D171" s="28" t="inlineStr"/>
      <c r="E171" s="27" t="inlineStr"/>
      <c r="F171" s="145" t="inlineStr"/>
      <c r="G171" s="123" t="n"/>
      <c r="H171" s="106" t="n"/>
      <c r="I171" s="106" t="n"/>
      <c r="J171" s="106" t="n"/>
      <c r="K171" s="106" t="n"/>
      <c r="L171" s="106" t="n"/>
      <c r="M171" s="106" t="n"/>
      <c r="N171" s="101" t="n"/>
      <c r="O171" s="105">
        <f>P171*(1+Q171)+R171+S171+T171</f>
        <v/>
      </c>
      <c r="P171" s="111" t="n"/>
      <c r="Q171" s="32" t="n"/>
      <c r="R171" s="111" t="n"/>
      <c r="S171" s="112" t="n"/>
      <c r="T171" s="107" t="n"/>
      <c r="U171" s="105">
        <f>F171*O171</f>
        <v/>
      </c>
    </row>
    <row r="172" outlineLevel="1" customFormat="1" s="5">
      <c r="A172" s="27" t="inlineStr"/>
      <c r="B172" s="28" t="inlineStr"/>
      <c r="C172" s="28" t="inlineStr">
        <is>
          <t>电气工程</t>
        </is>
      </c>
      <c r="D172" s="28" t="inlineStr"/>
      <c r="E172" s="27" t="inlineStr"/>
      <c r="F172" s="145" t="inlineStr"/>
      <c r="G172" s="123" t="n"/>
      <c r="H172" s="106" t="n"/>
      <c r="I172" s="106" t="n"/>
      <c r="J172" s="106" t="n"/>
      <c r="K172" s="106" t="n"/>
      <c r="L172" s="106" t="n"/>
      <c r="M172" s="106" t="n"/>
      <c r="N172" s="101" t="n"/>
      <c r="O172" s="105">
        <f>P172*(1+Q172)+R172+S172+T172</f>
        <v/>
      </c>
      <c r="P172" s="111" t="n"/>
      <c r="Q172" s="32" t="n"/>
      <c r="R172" s="111" t="n"/>
      <c r="S172" s="112" t="n"/>
      <c r="T172" s="107" t="n"/>
      <c r="U172" s="105">
        <f>F172*O172</f>
        <v/>
      </c>
    </row>
    <row r="173" outlineLevel="2" customFormat="1" s="5">
      <c r="A173" s="27" t="inlineStr"/>
      <c r="B173" s="28" t="inlineStr"/>
      <c r="C173" s="28" t="inlineStr">
        <is>
          <t>灯具、电器</t>
        </is>
      </c>
      <c r="D173" s="28" t="inlineStr"/>
      <c r="E173" s="27" t="inlineStr"/>
      <c r="F173" s="145" t="inlineStr"/>
      <c r="G173" s="123" t="n"/>
      <c r="H173" s="106" t="n"/>
      <c r="I173" s="106" t="n"/>
      <c r="J173" s="106" t="n"/>
      <c r="K173" s="106" t="n"/>
      <c r="L173" s="106" t="n"/>
      <c r="M173" s="106" t="n"/>
      <c r="N173" s="101" t="n"/>
      <c r="O173" s="105">
        <f>P173*(1+Q173)+R173+S173+T173</f>
        <v/>
      </c>
      <c r="P173" s="111" t="n"/>
      <c r="Q173" s="32" t="n"/>
      <c r="R173" s="111" t="n"/>
      <c r="S173" s="112" t="n"/>
      <c r="T173" s="107" t="n"/>
      <c r="U173" s="105">
        <f>F173*O173</f>
        <v/>
      </c>
    </row>
    <row r="174" outlineLevel="3" ht="84" customFormat="1" customHeight="1" s="5">
      <c r="A174" s="27" t="n">
        <v>141</v>
      </c>
      <c r="B174" s="28" t="n">
        <v>30413002014</v>
      </c>
      <c r="C174" s="28" t="inlineStr">
        <is>
          <t>R1 LED嵌入式射灯</t>
        </is>
      </c>
      <c r="D174" s="28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174" s="27" t="inlineStr">
        <is>
          <t>套</t>
        </is>
      </c>
      <c r="F174" s="145" t="n">
        <v>21</v>
      </c>
      <c r="G174" s="123">
        <f>R174*$R$3</f>
        <v/>
      </c>
      <c r="H174" s="106">
        <f>P174*(1+Q174)*$P$3+S174*$S$3</f>
        <v/>
      </c>
      <c r="I174" s="106">
        <f>T174*$T$3</f>
        <v/>
      </c>
      <c r="J174" s="106">
        <f>(G174+H174+I174)*$J$3</f>
        <v/>
      </c>
      <c r="K174" s="106">
        <f>(G174+H174+I174+J174)*$K$3</f>
        <v/>
      </c>
      <c r="L174" s="106">
        <f>G174+H174+I174+J174+K174</f>
        <v/>
      </c>
      <c r="M174" s="106">
        <f>F174*L174</f>
        <v/>
      </c>
      <c r="N174" s="101" t="n"/>
      <c r="O174" s="105">
        <f>P174*(1+Q174)+R174+S174+T174</f>
        <v/>
      </c>
      <c r="P174" s="111">
        <f>P8</f>
        <v/>
      </c>
      <c r="Q174" s="32">
        <f>Q8</f>
        <v/>
      </c>
      <c r="R174" s="111">
        <f>R8</f>
        <v/>
      </c>
      <c r="S174" s="112">
        <f>S8</f>
        <v/>
      </c>
      <c r="T174" s="107">
        <f>T8</f>
        <v/>
      </c>
      <c r="U174" s="105">
        <f>F174*O174</f>
        <v/>
      </c>
    </row>
    <row r="175" outlineLevel="3" ht="96" customFormat="1" customHeight="1" s="5">
      <c r="A175" s="27" t="n">
        <v>142</v>
      </c>
      <c r="B175" s="28" t="n">
        <v>30413002015</v>
      </c>
      <c r="C175" s="28" t="inlineStr">
        <is>
          <t>R2 LED嵌入式可调角射灯</t>
        </is>
      </c>
      <c r="D175" s="28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175" s="27" t="inlineStr">
        <is>
          <t>套</t>
        </is>
      </c>
      <c r="F175" s="145" t="n">
        <v>14</v>
      </c>
      <c r="G175" s="123">
        <f>R175*$R$3</f>
        <v/>
      </c>
      <c r="H175" s="106">
        <f>P175*(1+Q175)*$P$3+S175*$S$3</f>
        <v/>
      </c>
      <c r="I175" s="106">
        <f>T175*$T$3</f>
        <v/>
      </c>
      <c r="J175" s="106">
        <f>(G175+H175+I175)*$J$3</f>
        <v/>
      </c>
      <c r="K175" s="106">
        <f>(G175+H175+I175+J175)*$K$3</f>
        <v/>
      </c>
      <c r="L175" s="106">
        <f>G175+H175+I175+J175+K175</f>
        <v/>
      </c>
      <c r="M175" s="106">
        <f>F175*L175</f>
        <v/>
      </c>
      <c r="N175" s="101" t="n"/>
      <c r="O175" s="105">
        <f>P175*(1+Q175)+R175+S175+T175</f>
        <v/>
      </c>
      <c r="P175" s="111">
        <f>P9</f>
        <v/>
      </c>
      <c r="Q175" s="32">
        <f>Q9</f>
        <v/>
      </c>
      <c r="R175" s="111">
        <f>R9</f>
        <v/>
      </c>
      <c r="S175" s="112">
        <f>S9</f>
        <v/>
      </c>
      <c r="T175" s="107">
        <f>T9</f>
        <v/>
      </c>
      <c r="U175" s="105">
        <f>F175*O175</f>
        <v/>
      </c>
    </row>
    <row r="176" outlineLevel="3" ht="84" customFormat="1" customHeight="1" s="5">
      <c r="A176" s="27" t="n">
        <v>143</v>
      </c>
      <c r="B176" s="28" t="n">
        <v>30413002016</v>
      </c>
      <c r="C176" s="28" t="inlineStr">
        <is>
          <t>R3 嵌入式防雾射灯</t>
        </is>
      </c>
      <c r="D176" s="28" t="inlineStr">
        <is>
          <t>1.名称：R3 嵌入式防雾射灯
2.规格：12W、3000K、光束角36°
3.安装方式：嵌装
4.其他：包括但不限于满足图纸、招标文件、规范及验收要求等一切相关费用</t>
        </is>
      </c>
      <c r="E176" s="27" t="inlineStr">
        <is>
          <t>套</t>
        </is>
      </c>
      <c r="F176" s="145" t="n">
        <v>14</v>
      </c>
      <c r="G176" s="123">
        <f>R176*$R$3</f>
        <v/>
      </c>
      <c r="H176" s="106">
        <f>P176*(1+Q176)*$P$3+S176*$S$3</f>
        <v/>
      </c>
      <c r="I176" s="106">
        <f>T176*$T$3</f>
        <v/>
      </c>
      <c r="J176" s="106">
        <f>(G176+H176+I176)*$J$3</f>
        <v/>
      </c>
      <c r="K176" s="106">
        <f>(G176+H176+I176+J176)*$K$3</f>
        <v/>
      </c>
      <c r="L176" s="106">
        <f>G176+H176+I176+J176+K176</f>
        <v/>
      </c>
      <c r="M176" s="106">
        <f>F176*L176</f>
        <v/>
      </c>
      <c r="N176" s="101" t="n"/>
      <c r="O176" s="105">
        <f>P176*(1+Q176)+R176+S176+T176</f>
        <v/>
      </c>
      <c r="P176" s="111">
        <f>P10</f>
        <v/>
      </c>
      <c r="Q176" s="32">
        <f>Q10</f>
        <v/>
      </c>
      <c r="R176" s="111">
        <f>R10</f>
        <v/>
      </c>
      <c r="S176" s="112">
        <f>S10</f>
        <v/>
      </c>
      <c r="T176" s="107">
        <f>T10</f>
        <v/>
      </c>
      <c r="U176" s="105">
        <f>F176*O176</f>
        <v/>
      </c>
    </row>
    <row r="177" outlineLevel="3" ht="84" customFormat="1" customHeight="1" s="5">
      <c r="A177" s="27" t="n">
        <v>144</v>
      </c>
      <c r="B177" s="28" t="n">
        <v>30413002017</v>
      </c>
      <c r="C177" s="28" t="inlineStr">
        <is>
          <t>R4 明装双头射灯</t>
        </is>
      </c>
      <c r="D177" s="28" t="inlineStr">
        <is>
          <t>1.名称：R4 明装双头射灯
2.规格：12W、3000K、光束角36°
3.安装方式：嵌装
4.其他：包括但不限于满足图纸、招标文件、规范及验收要求等一切相关费用</t>
        </is>
      </c>
      <c r="E177" s="27" t="inlineStr">
        <is>
          <t>套</t>
        </is>
      </c>
      <c r="F177" s="145" t="n">
        <v>6</v>
      </c>
      <c r="G177" s="123">
        <f>R177*$R$3</f>
        <v/>
      </c>
      <c r="H177" s="106">
        <f>P177*(1+Q177)*$P$3+S177*$S$3</f>
        <v/>
      </c>
      <c r="I177" s="106">
        <f>T177*$T$3</f>
        <v/>
      </c>
      <c r="J177" s="106">
        <f>(G177+H177+I177)*$J$3</f>
        <v/>
      </c>
      <c r="K177" s="106">
        <f>(G177+H177+I177+J177)*$K$3</f>
        <v/>
      </c>
      <c r="L177" s="106">
        <f>G177+H177+I177+J177+K177</f>
        <v/>
      </c>
      <c r="M177" s="106">
        <f>F177*L177</f>
        <v/>
      </c>
      <c r="N177" s="101" t="n"/>
      <c r="O177" s="105">
        <f>P177*(1+Q177)+R177+S177+T177</f>
        <v/>
      </c>
      <c r="P177" s="111">
        <f>P11</f>
        <v/>
      </c>
      <c r="Q177" s="32">
        <f>Q11</f>
        <v/>
      </c>
      <c r="R177" s="111">
        <f>R11</f>
        <v/>
      </c>
      <c r="S177" s="112">
        <f>S11</f>
        <v/>
      </c>
      <c r="T177" s="107">
        <f>T11</f>
        <v/>
      </c>
      <c r="U177" s="105">
        <f>F177*O177</f>
        <v/>
      </c>
    </row>
    <row r="178" outlineLevel="3" ht="84" customFormat="1" customHeight="1" s="5">
      <c r="A178" s="27" t="n">
        <v>145</v>
      </c>
      <c r="B178" s="28" t="n">
        <v>30413002018</v>
      </c>
      <c r="C178" s="28" t="inlineStr">
        <is>
          <t>L1 LED灯条（天花）</t>
        </is>
      </c>
      <c r="D178" s="28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178" s="27" t="inlineStr">
        <is>
          <t>m</t>
        </is>
      </c>
      <c r="F178" s="145" t="n">
        <v>73.65000000000001</v>
      </c>
      <c r="G178" s="123">
        <f>R178*$R$3</f>
        <v/>
      </c>
      <c r="H178" s="106">
        <f>P178*(1+Q178)*$P$3+S178*$S$3</f>
        <v/>
      </c>
      <c r="I178" s="106">
        <f>T178*$T$3</f>
        <v/>
      </c>
      <c r="J178" s="106">
        <f>(G178+H178+I178)*$J$3</f>
        <v/>
      </c>
      <c r="K178" s="106">
        <f>(G178+H178+I178+J178)*$K$3</f>
        <v/>
      </c>
      <c r="L178" s="106">
        <f>G178+H178+I178+J178+K178</f>
        <v/>
      </c>
      <c r="M178" s="106">
        <f>F178*L178</f>
        <v/>
      </c>
      <c r="N178" s="101" t="n"/>
      <c r="O178" s="105">
        <f>P178*(1+Q178)+R178+S178+T178</f>
        <v/>
      </c>
      <c r="P178" s="111">
        <f>P13</f>
        <v/>
      </c>
      <c r="Q178" s="32">
        <f>Q13</f>
        <v/>
      </c>
      <c r="R178" s="111">
        <f>R13</f>
        <v/>
      </c>
      <c r="S178" s="112">
        <f>S13</f>
        <v/>
      </c>
      <c r="T178" s="107">
        <f>T13</f>
        <v/>
      </c>
      <c r="U178" s="105">
        <f>F178*O178</f>
        <v/>
      </c>
    </row>
    <row r="179" outlineLevel="3" ht="72" customFormat="1" customHeight="1" s="5">
      <c r="A179" s="27" t="n">
        <v>146</v>
      </c>
      <c r="B179" s="28" t="n">
        <v>30413002019</v>
      </c>
      <c r="C179" s="28" t="inlineStr">
        <is>
          <t>L2 LED灯条（墙立面）</t>
        </is>
      </c>
      <c r="D179" s="28" t="inlineStr">
        <is>
          <t>1.名称：L2 LED灯条（墙立面）
2.规格：7W/米,3000K,120珠/米
3.安装方式：天花
4.其他：包括但不限于满足图纸、招标文件、规范及验收要求等一切相关费用</t>
        </is>
      </c>
      <c r="E179" s="27" t="inlineStr">
        <is>
          <t>m</t>
        </is>
      </c>
      <c r="F179" s="145" t="n">
        <v>57.25</v>
      </c>
      <c r="G179" s="123">
        <f>R179*$R$3</f>
        <v/>
      </c>
      <c r="H179" s="106">
        <f>P179*(1+Q179)*$P$3+S179*$S$3</f>
        <v/>
      </c>
      <c r="I179" s="106">
        <f>T179*$T$3</f>
        <v/>
      </c>
      <c r="J179" s="106">
        <f>(G179+H179+I179)*$J$3</f>
        <v/>
      </c>
      <c r="K179" s="106">
        <f>(G179+H179+I179+J179)*$K$3</f>
        <v/>
      </c>
      <c r="L179" s="106">
        <f>G179+H179+I179+J179+K179</f>
        <v/>
      </c>
      <c r="M179" s="106">
        <f>F179*L179</f>
        <v/>
      </c>
      <c r="N179" s="101" t="n"/>
      <c r="O179" s="105">
        <f>P179*(1+Q179)+R179+S179+T179</f>
        <v/>
      </c>
      <c r="P179" s="111">
        <f>P14</f>
        <v/>
      </c>
      <c r="Q179" s="32">
        <f>Q14</f>
        <v/>
      </c>
      <c r="R179" s="111">
        <f>R14</f>
        <v/>
      </c>
      <c r="S179" s="112">
        <f>S14</f>
        <v/>
      </c>
      <c r="T179" s="107">
        <f>T14</f>
        <v/>
      </c>
      <c r="U179" s="105">
        <f>F179*O179</f>
        <v/>
      </c>
    </row>
    <row r="180" outlineLevel="3" ht="72" customFormat="1" customHeight="1" s="5">
      <c r="A180" s="27" t="n">
        <v>147</v>
      </c>
      <c r="B180" s="28" t="n">
        <v>30413002020</v>
      </c>
      <c r="C180" s="28" t="inlineStr">
        <is>
          <t>L3 LED灯条（柜子）</t>
        </is>
      </c>
      <c r="D180" s="28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180" s="27" t="inlineStr">
        <is>
          <t>m</t>
        </is>
      </c>
      <c r="F180" s="145" t="n">
        <v>95.78</v>
      </c>
      <c r="G180" s="123">
        <f>R180*$R$3</f>
        <v/>
      </c>
      <c r="H180" s="106">
        <f>P180*(1+Q180)*$P$3+S180*$S$3</f>
        <v/>
      </c>
      <c r="I180" s="106">
        <f>T180*$T$3</f>
        <v/>
      </c>
      <c r="J180" s="106">
        <f>(G180+H180+I180)*$J$3</f>
        <v/>
      </c>
      <c r="K180" s="106">
        <f>(G180+H180+I180+J180)*$K$3</f>
        <v/>
      </c>
      <c r="L180" s="106">
        <f>G180+H180+I180+J180+K180</f>
        <v/>
      </c>
      <c r="M180" s="106">
        <f>F180*L180</f>
        <v/>
      </c>
      <c r="N180" s="101" t="n"/>
      <c r="O180" s="105">
        <f>P180*(1+Q180)+R180+S180+T180</f>
        <v/>
      </c>
      <c r="P180" s="111">
        <f>P15</f>
        <v/>
      </c>
      <c r="Q180" s="32">
        <f>Q15</f>
        <v/>
      </c>
      <c r="R180" s="111">
        <f>R15</f>
        <v/>
      </c>
      <c r="S180" s="112">
        <f>S15</f>
        <v/>
      </c>
      <c r="T180" s="107">
        <f>T15</f>
        <v/>
      </c>
      <c r="U180" s="105">
        <f>F180*O180</f>
        <v/>
      </c>
    </row>
    <row r="181" outlineLevel="3" ht="84" customFormat="1" customHeight="1" s="5">
      <c r="A181" s="27" t="n">
        <v>148</v>
      </c>
      <c r="B181" s="28" t="n">
        <v>30413009003</v>
      </c>
      <c r="C181" s="28" t="inlineStr">
        <is>
          <t>LED 灯带驱动电源</t>
        </is>
      </c>
      <c r="D181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81" s="27" t="inlineStr">
        <is>
          <t>个</t>
        </is>
      </c>
      <c r="F181" s="145" t="n">
        <v>38</v>
      </c>
      <c r="G181" s="123">
        <f>R181*$R$3</f>
        <v/>
      </c>
      <c r="H181" s="106">
        <f>P181*(1+Q181)*$P$3+S181*$S$3</f>
        <v/>
      </c>
      <c r="I181" s="106">
        <f>T181*$T$3</f>
        <v/>
      </c>
      <c r="J181" s="106">
        <f>(G181+H181+I181)*$J$3</f>
        <v/>
      </c>
      <c r="K181" s="106">
        <f>(G181+H181+I181+J181)*$K$3</f>
        <v/>
      </c>
      <c r="L181" s="106">
        <f>G181+H181+I181+J181+K181</f>
        <v/>
      </c>
      <c r="M181" s="106">
        <f>F181*L181</f>
        <v/>
      </c>
      <c r="N181" s="101" t="n"/>
      <c r="O181" s="105">
        <f>P181*(1+Q181)+R181+S181+T181</f>
        <v/>
      </c>
      <c r="P181" s="111">
        <f>'架空层安装工程'!P10</f>
        <v/>
      </c>
      <c r="Q181" s="32">
        <f>'架空层安装工程'!Q10</f>
        <v/>
      </c>
      <c r="R181" s="111">
        <f>'架空层安装工程'!R10</f>
        <v/>
      </c>
      <c r="S181" s="112">
        <f>'架空层安装工程'!S10</f>
        <v/>
      </c>
      <c r="T181" s="107">
        <f>'架空层安装工程'!T10</f>
        <v/>
      </c>
      <c r="U181" s="105">
        <f>F181*O181</f>
        <v/>
      </c>
    </row>
    <row r="182" outlineLevel="3" ht="72" customFormat="1" customHeight="1" s="5">
      <c r="A182" s="27" t="n">
        <v>149</v>
      </c>
      <c r="B182" s="28" t="n">
        <v>30405015006</v>
      </c>
      <c r="C182" s="28" t="inlineStr">
        <is>
          <t>线型凉霸及开关</t>
        </is>
      </c>
      <c r="D182" s="28" t="inlineStr">
        <is>
          <t>1.名称：线型凉霸及开关
2.规格：34W
3.尺寸：详见物料表
4.其他：包括但不限于满足图纸、招标文件、规范及验收要求等一切相关费用</t>
        </is>
      </c>
      <c r="E182" s="27" t="inlineStr">
        <is>
          <t>台</t>
        </is>
      </c>
      <c r="F182" s="145" t="n">
        <v>1</v>
      </c>
      <c r="G182" s="123">
        <f>R182*$R$3</f>
        <v/>
      </c>
      <c r="H182" s="106">
        <f>P182*(1+Q182)*$P$3+S182*$S$3</f>
        <v/>
      </c>
      <c r="I182" s="106">
        <f>T182*$T$3</f>
        <v/>
      </c>
      <c r="J182" s="106">
        <f>(G182+H182+I182)*$J$3</f>
        <v/>
      </c>
      <c r="K182" s="106">
        <f>(G182+H182+I182+J182)*$K$3</f>
        <v/>
      </c>
      <c r="L182" s="106">
        <f>G182+H182+I182+J182+K182</f>
        <v/>
      </c>
      <c r="M182" s="106">
        <f>F182*L182</f>
        <v/>
      </c>
      <c r="N182" s="101" t="n"/>
      <c r="O182" s="105">
        <f>P182*(1+Q182)+R182+S182+T182</f>
        <v/>
      </c>
      <c r="P182" s="111">
        <f>P17</f>
        <v/>
      </c>
      <c r="Q182" s="32">
        <f>Q17</f>
        <v/>
      </c>
      <c r="R182" s="111">
        <f>R17</f>
        <v/>
      </c>
      <c r="S182" s="112">
        <f>S17</f>
        <v/>
      </c>
      <c r="T182" s="107">
        <f>T17</f>
        <v/>
      </c>
      <c r="U182" s="105">
        <f>F182*O182</f>
        <v/>
      </c>
    </row>
    <row r="183" outlineLevel="3" ht="72" customFormat="1" customHeight="1" s="5">
      <c r="A183" s="27" t="n">
        <v>150</v>
      </c>
      <c r="B183" s="28" t="n">
        <v>30405015007</v>
      </c>
      <c r="C183" s="28" t="inlineStr">
        <is>
          <t>暖风机及开关</t>
        </is>
      </c>
      <c r="D183" s="28" t="inlineStr">
        <is>
          <t>1.名称：暖风机及开关
2.规格：40W
3.尺寸：详见物料表
4.其他：包括但不限于满足图纸、招标文件、规范及验收要求等一切相关费用</t>
        </is>
      </c>
      <c r="E183" s="27" t="inlineStr">
        <is>
          <t>台</t>
        </is>
      </c>
      <c r="F183" s="145" t="n">
        <v>3</v>
      </c>
      <c r="G183" s="123">
        <f>R183*$R$3</f>
        <v/>
      </c>
      <c r="H183" s="106">
        <f>P183*(1+Q183)*$P$3+S183*$S$3</f>
        <v/>
      </c>
      <c r="I183" s="106">
        <f>T183*$T$3</f>
        <v/>
      </c>
      <c r="J183" s="106">
        <f>(G183+H183+I183)*$J$3</f>
        <v/>
      </c>
      <c r="K183" s="106">
        <f>(G183+H183+I183+J183)*$K$3</f>
        <v/>
      </c>
      <c r="L183" s="106">
        <f>G183+H183+I183+J183+K183</f>
        <v/>
      </c>
      <c r="M183" s="106">
        <f>F183*L183</f>
        <v/>
      </c>
      <c r="N183" s="101" t="n"/>
      <c r="O183" s="105">
        <f>P183*(1+Q183)+R183+S183+T183</f>
        <v/>
      </c>
      <c r="P183" s="111">
        <f>P97</f>
        <v/>
      </c>
      <c r="Q183" s="32">
        <f>Q97</f>
        <v/>
      </c>
      <c r="R183" s="111">
        <f>R97</f>
        <v/>
      </c>
      <c r="S183" s="112">
        <f>S97</f>
        <v/>
      </c>
      <c r="T183" s="107">
        <f>T97</f>
        <v/>
      </c>
      <c r="U183" s="105">
        <f>F183*O183</f>
        <v/>
      </c>
    </row>
    <row r="184" outlineLevel="3" ht="72" customFormat="1" customHeight="1" s="5">
      <c r="A184" s="27" t="n">
        <v>151</v>
      </c>
      <c r="B184" s="28" t="n">
        <v>30405015008</v>
      </c>
      <c r="C184" s="28" t="inlineStr">
        <is>
          <t>排气扇及开关</t>
        </is>
      </c>
      <c r="D184" s="28" t="inlineStr">
        <is>
          <t>1.名称：排气扇及开关
2.规格：-
3.尺寸：详见物料表
4.其他：包括但不限于满足图纸、招标文件、规范及验收要求等一切相关费用</t>
        </is>
      </c>
      <c r="E184" s="27" t="inlineStr">
        <is>
          <t>台</t>
        </is>
      </c>
      <c r="F184" s="145" t="n">
        <v>3</v>
      </c>
      <c r="G184" s="123">
        <f>R184*$R$3</f>
        <v/>
      </c>
      <c r="H184" s="106">
        <f>P184*(1+Q184)*$P$3+S184*$S$3</f>
        <v/>
      </c>
      <c r="I184" s="106">
        <f>T184*$T$3</f>
        <v/>
      </c>
      <c r="J184" s="106">
        <f>(G184+H184+I184)*$J$3</f>
        <v/>
      </c>
      <c r="K184" s="106">
        <f>(G184+H184+I184+J184)*$K$3</f>
        <v/>
      </c>
      <c r="L184" s="106">
        <f>G184+H184+I184+J184+K184</f>
        <v/>
      </c>
      <c r="M184" s="106">
        <f>F184*L184</f>
        <v/>
      </c>
      <c r="N184" s="101" t="n"/>
      <c r="O184" s="105">
        <f>P184*(1+Q184)+R184+S184+T184</f>
        <v/>
      </c>
      <c r="P184" s="111">
        <f>P98</f>
        <v/>
      </c>
      <c r="Q184" s="32">
        <f>Q98</f>
        <v/>
      </c>
      <c r="R184" s="111">
        <f>R98</f>
        <v/>
      </c>
      <c r="S184" s="112">
        <f>S98</f>
        <v/>
      </c>
      <c r="T184" s="107">
        <f>T98</f>
        <v/>
      </c>
      <c r="U184" s="105">
        <f>F184*O184</f>
        <v/>
      </c>
    </row>
    <row r="185" outlineLevel="3" ht="72" customFormat="1" customHeight="1" s="5">
      <c r="A185" s="27" t="n">
        <v>152</v>
      </c>
      <c r="B185" s="28" t="n">
        <v>30405017003</v>
      </c>
      <c r="C185" s="28" t="inlineStr">
        <is>
          <t>洗碗机</t>
        </is>
      </c>
      <c r="D185" s="28" t="inlineStr">
        <is>
          <t>1.名称：洗碗机
2.规格：-
3.尺寸：详见物料表
4.其他：包括但不限于满足图纸、招标文件、规范及验收要求等一切相关费用</t>
        </is>
      </c>
      <c r="E185" s="27" t="inlineStr">
        <is>
          <t>台</t>
        </is>
      </c>
      <c r="F185" s="145" t="n">
        <v>1</v>
      </c>
      <c r="G185" s="123">
        <f>R185*$R$3</f>
        <v/>
      </c>
      <c r="H185" s="106">
        <f>P185*(1+Q185)*$P$3+S185*$S$3</f>
        <v/>
      </c>
      <c r="I185" s="106">
        <f>T185*$T$3</f>
        <v/>
      </c>
      <c r="J185" s="106">
        <f>(G185+H185+I185)*$J$3</f>
        <v/>
      </c>
      <c r="K185" s="106">
        <f>(G185+H185+I185+J185)*$K$3</f>
        <v/>
      </c>
      <c r="L185" s="106">
        <f>G185+H185+I185+J185+K185</f>
        <v/>
      </c>
      <c r="M185" s="106">
        <f>F185*L185</f>
        <v/>
      </c>
      <c r="N185" s="101" t="n"/>
      <c r="O185" s="105">
        <f>P185*(1+Q185)+R185+S185+T185</f>
        <v/>
      </c>
      <c r="P185" s="111">
        <f>P19</f>
        <v/>
      </c>
      <c r="Q185" s="32">
        <f>Q19</f>
        <v/>
      </c>
      <c r="R185" s="111">
        <f>R19</f>
        <v/>
      </c>
      <c r="S185" s="112">
        <f>S19</f>
        <v/>
      </c>
      <c r="T185" s="107">
        <f>T19</f>
        <v/>
      </c>
      <c r="U185" s="105">
        <f>F185*O185</f>
        <v/>
      </c>
    </row>
    <row r="186" outlineLevel="2" customFormat="1" s="5">
      <c r="A186" s="27" t="inlineStr"/>
      <c r="B186" s="28" t="inlineStr"/>
      <c r="C186" s="28" t="inlineStr">
        <is>
          <t>开关插座</t>
        </is>
      </c>
      <c r="D186" s="28" t="inlineStr"/>
      <c r="E186" s="27" t="inlineStr"/>
      <c r="F186" s="145" t="inlineStr"/>
      <c r="G186" s="123" t="n"/>
      <c r="H186" s="106" t="n"/>
      <c r="I186" s="106" t="n"/>
      <c r="J186" s="106" t="n"/>
      <c r="K186" s="106" t="n"/>
      <c r="L186" s="106" t="n"/>
      <c r="M186" s="106" t="n"/>
      <c r="N186" s="101" t="n"/>
      <c r="O186" s="105">
        <f>P186*(1+Q186)+R186+S186+T186</f>
        <v/>
      </c>
      <c r="P186" s="111" t="n"/>
      <c r="Q186" s="32" t="n"/>
      <c r="R186" s="111" t="n"/>
      <c r="S186" s="112" t="n"/>
      <c r="T186" s="107" t="n"/>
      <c r="U186" s="105">
        <f>F186*O186</f>
        <v/>
      </c>
    </row>
    <row r="187" outlineLevel="3" ht="72" customFormat="1" customHeight="1" s="5">
      <c r="A187" s="27" t="n">
        <v>153</v>
      </c>
      <c r="B187" s="28" t="n">
        <v>30413013016</v>
      </c>
      <c r="C187" s="28" t="inlineStr">
        <is>
          <t>照明开关</t>
        </is>
      </c>
      <c r="D187" s="28" t="inlineStr">
        <is>
          <t>1.名称：单联单控开关
2.规格：86*86mm
3.安装方式：暗装
4.其他：包括但不限于满足图纸、招标文件、规范及验收要求等一切相关费用</t>
        </is>
      </c>
      <c r="E187" s="27" t="inlineStr">
        <is>
          <t>套</t>
        </is>
      </c>
      <c r="F187" s="145" t="n">
        <v>4</v>
      </c>
      <c r="G187" s="123">
        <f>R187*$R$3</f>
        <v/>
      </c>
      <c r="H187" s="106">
        <f>P187*(1+Q187)*$P$3+S187*$S$3</f>
        <v/>
      </c>
      <c r="I187" s="106">
        <f>T187*$T$3</f>
        <v/>
      </c>
      <c r="J187" s="106">
        <f>(G187+H187+I187)*$J$3</f>
        <v/>
      </c>
      <c r="K187" s="106">
        <f>(G187+H187+I187+J187)*$K$3</f>
        <v/>
      </c>
      <c r="L187" s="106">
        <f>G187+H187+I187+J187+K187</f>
        <v/>
      </c>
      <c r="M187" s="106">
        <f>F187*L187</f>
        <v/>
      </c>
      <c r="N187" s="101" t="n"/>
      <c r="O187" s="105">
        <f>P187*(1+Q187)+R187+S187+T187</f>
        <v/>
      </c>
      <c r="P187" s="111">
        <f>'公共区域安装工程'!P14</f>
        <v/>
      </c>
      <c r="Q187" s="32">
        <f>'公共区域安装工程'!Q14</f>
        <v/>
      </c>
      <c r="R187" s="111">
        <f>'公共区域安装工程'!R14</f>
        <v/>
      </c>
      <c r="S187" s="112">
        <f>'公共区域安装工程'!S14</f>
        <v/>
      </c>
      <c r="T187" s="107">
        <f>'公共区域安装工程'!T14</f>
        <v/>
      </c>
      <c r="U187" s="105">
        <f>F187*O187</f>
        <v/>
      </c>
    </row>
    <row r="188" outlineLevel="3" ht="72" customFormat="1" customHeight="1" s="5">
      <c r="A188" s="27" t="n">
        <v>154</v>
      </c>
      <c r="B188" s="28" t="n">
        <v>30413013017</v>
      </c>
      <c r="C188" s="28" t="inlineStr">
        <is>
          <t>照明开关</t>
        </is>
      </c>
      <c r="D188" s="28" t="inlineStr">
        <is>
          <t>1.名称：双联单控开关
2.规格：86*86mm
3.安装方式：暗装
4.其他：包括但不限于满足图纸、招标文件、规范及验收要求等一切相关费用</t>
        </is>
      </c>
      <c r="E188" s="27" t="inlineStr">
        <is>
          <t>套</t>
        </is>
      </c>
      <c r="F188" s="145" t="n">
        <v>2</v>
      </c>
      <c r="G188" s="123">
        <f>R188*$R$3</f>
        <v/>
      </c>
      <c r="H188" s="106">
        <f>P188*(1+Q188)*$P$3+S188*$S$3</f>
        <v/>
      </c>
      <c r="I188" s="106">
        <f>T188*$T$3</f>
        <v/>
      </c>
      <c r="J188" s="106">
        <f>(G188+H188+I188)*$J$3</f>
        <v/>
      </c>
      <c r="K188" s="106">
        <f>(G188+H188+I188+J188)*$K$3</f>
        <v/>
      </c>
      <c r="L188" s="106">
        <f>G188+H188+I188+J188+K188</f>
        <v/>
      </c>
      <c r="M188" s="106">
        <f>F188*L188</f>
        <v/>
      </c>
      <c r="N188" s="101" t="n"/>
      <c r="O188" s="105">
        <f>P188*(1+Q188)+R188+S188+T188</f>
        <v/>
      </c>
      <c r="P188" s="111">
        <f>'架空层安装工程'!P16</f>
        <v/>
      </c>
      <c r="Q188" s="32">
        <f>'架空层安装工程'!Q16</f>
        <v/>
      </c>
      <c r="R188" s="111">
        <f>'架空层安装工程'!R16</f>
        <v/>
      </c>
      <c r="S188" s="112">
        <f>'架空层安装工程'!S16</f>
        <v/>
      </c>
      <c r="T188" s="107">
        <f>'架空层安装工程'!T16</f>
        <v/>
      </c>
      <c r="U188" s="105">
        <f>F188*O188</f>
        <v/>
      </c>
    </row>
    <row r="189" outlineLevel="3" ht="72" customFormat="1" customHeight="1" s="5">
      <c r="A189" s="27" t="n">
        <v>155</v>
      </c>
      <c r="B189" s="28" t="n">
        <v>30413013018</v>
      </c>
      <c r="C189" s="28" t="inlineStr">
        <is>
          <t>照明开关</t>
        </is>
      </c>
      <c r="D189" s="28" t="inlineStr">
        <is>
          <t>1.名称：三联单控开关
2.规格：86*86mm
3.安装方式：暗装
4.其他：包括但不限于满足图纸、招标文件、规范及验收要求等一切相关费用</t>
        </is>
      </c>
      <c r="E189" s="27" t="inlineStr">
        <is>
          <t>套</t>
        </is>
      </c>
      <c r="F189" s="145" t="n">
        <v>5</v>
      </c>
      <c r="G189" s="123">
        <f>R189*$R$3</f>
        <v/>
      </c>
      <c r="H189" s="106">
        <f>P189*(1+Q189)*$P$3+S189*$S$3</f>
        <v/>
      </c>
      <c r="I189" s="106">
        <f>T189*$T$3</f>
        <v/>
      </c>
      <c r="J189" s="106">
        <f>(G189+H189+I189)*$J$3</f>
        <v/>
      </c>
      <c r="K189" s="106">
        <f>(G189+H189+I189+J189)*$K$3</f>
        <v/>
      </c>
      <c r="L189" s="106">
        <f>G189+H189+I189+J189+K189</f>
        <v/>
      </c>
      <c r="M189" s="106">
        <f>F189*L189</f>
        <v/>
      </c>
      <c r="N189" s="101" t="n"/>
      <c r="O189" s="105">
        <f>P189*(1+Q189)+R189+S189+T189</f>
        <v/>
      </c>
      <c r="P189" s="111">
        <f>'公共区域安装工程'!P15</f>
        <v/>
      </c>
      <c r="Q189" s="32">
        <f>'公共区域安装工程'!Q15</f>
        <v/>
      </c>
      <c r="R189" s="111">
        <f>'公共区域安装工程'!R15</f>
        <v/>
      </c>
      <c r="S189" s="112">
        <f>'公共区域安装工程'!S15</f>
        <v/>
      </c>
      <c r="T189" s="107">
        <f>'公共区域安装工程'!T15</f>
        <v/>
      </c>
      <c r="U189" s="105">
        <f>F189*O189</f>
        <v/>
      </c>
    </row>
    <row r="190" outlineLevel="3" ht="72" customFormat="1" customHeight="1" s="5">
      <c r="A190" s="113" t="n">
        <v>156</v>
      </c>
      <c r="B190" s="136" t="n">
        <v>30413013022</v>
      </c>
      <c r="C190" s="136" t="inlineStr">
        <is>
          <t>照明开关</t>
        </is>
      </c>
      <c r="D190" s="136" t="inlineStr">
        <is>
          <t>1.名称：四联单控开关
2.规格：86*86mm
3.安装方式：暗装
4.其他：包括但不限于满足图纸、招标文件、规范及验收要求等一切相关费用</t>
        </is>
      </c>
      <c r="E190" s="113" t="inlineStr">
        <is>
          <t>套</t>
        </is>
      </c>
      <c r="F190" s="146" t="n">
        <v>3</v>
      </c>
      <c r="G190" s="116">
        <f>R190*$R$3</f>
        <v/>
      </c>
      <c r="H190" s="117">
        <f>P190*(1+Q190)*$P$3+S190*$S$3</f>
        <v/>
      </c>
      <c r="I190" s="117">
        <f>T190*$T$3</f>
        <v/>
      </c>
      <c r="J190" s="117">
        <f>(G190+H190+I190)*$J$3</f>
        <v/>
      </c>
      <c r="K190" s="117">
        <f>(G190+H190+I190+J190)*$K$3</f>
        <v/>
      </c>
      <c r="L190" s="117">
        <f>G190+H190+I190+J190+K190</f>
        <v/>
      </c>
      <c r="M190" s="117">
        <f>F190*L190</f>
        <v/>
      </c>
      <c r="N190" s="118" t="n"/>
      <c r="O190" s="114">
        <f>P190*(1+Q190)+R190+S190+T190</f>
        <v/>
      </c>
      <c r="P190" s="119" t="n">
        <v>14.62</v>
      </c>
      <c r="Q190" s="120" t="n">
        <v>0</v>
      </c>
      <c r="R190" s="119" t="n">
        <v>6.31</v>
      </c>
      <c r="S190" s="121" t="n">
        <v>1.12</v>
      </c>
      <c r="T190" s="122" t="n">
        <v>0</v>
      </c>
      <c r="U190" s="114">
        <f>F190*O190</f>
        <v/>
      </c>
    </row>
    <row r="191" outlineLevel="3" ht="72" customFormat="1" customHeight="1" s="5">
      <c r="A191" s="27" t="n">
        <v>157</v>
      </c>
      <c r="B191" s="28" t="n">
        <v>30413013019</v>
      </c>
      <c r="C191" s="28" t="inlineStr">
        <is>
          <t>照明开关</t>
        </is>
      </c>
      <c r="D191" s="28" t="inlineStr">
        <is>
          <t>1.名称：单联双控开关
2.规格：86*86mm
3.安装方式：暗装
4.其他：包括但不限于满足图纸、招标文件、规范及验收要求等一切相关费用</t>
        </is>
      </c>
      <c r="E191" s="27" t="inlineStr">
        <is>
          <t>套</t>
        </is>
      </c>
      <c r="F191" s="145" t="n">
        <v>2</v>
      </c>
      <c r="G191" s="123">
        <f>R191*$R$3</f>
        <v/>
      </c>
      <c r="H191" s="106">
        <f>P191*(1+Q191)*$P$3+S191*$S$3</f>
        <v/>
      </c>
      <c r="I191" s="106">
        <f>T191*$T$3</f>
        <v/>
      </c>
      <c r="J191" s="106">
        <f>(G191+H191+I191)*$J$3</f>
        <v/>
      </c>
      <c r="K191" s="106">
        <f>(G191+H191+I191+J191)*$K$3</f>
        <v/>
      </c>
      <c r="L191" s="106">
        <f>G191+H191+I191+J191+K191</f>
        <v/>
      </c>
      <c r="M191" s="106">
        <f>F191*L191</f>
        <v/>
      </c>
      <c r="N191" s="101" t="n"/>
      <c r="O191" s="105">
        <f>P191*(1+Q191)+R191+S191+T191</f>
        <v/>
      </c>
      <c r="P191" s="111">
        <f>'户内交标安装工程'!P20</f>
        <v/>
      </c>
      <c r="Q191" s="32">
        <f>'户内交标安装工程'!Q20</f>
        <v/>
      </c>
      <c r="R191" s="111">
        <f>'户内交标安装工程'!R20</f>
        <v/>
      </c>
      <c r="S191" s="112">
        <f>'户内交标安装工程'!S20</f>
        <v/>
      </c>
      <c r="T191" s="107">
        <f>'户内交标安装工程'!T20</f>
        <v/>
      </c>
      <c r="U191" s="105">
        <f>F191*O191</f>
        <v/>
      </c>
    </row>
    <row r="192" outlineLevel="3" ht="72" customFormat="1" customHeight="1" s="5">
      <c r="A192" s="27" t="n">
        <v>158</v>
      </c>
      <c r="B192" s="28" t="n">
        <v>30413013020</v>
      </c>
      <c r="C192" s="28" t="inlineStr">
        <is>
          <t>照明开关</t>
        </is>
      </c>
      <c r="D192" s="28" t="inlineStr">
        <is>
          <t>1.名称：三联双控开关
2.规格：86*86mm
3.安装方式：暗装
4.其他：包括但不限于满足图纸、招标文件、规范及验收要求等一切相关费用</t>
        </is>
      </c>
      <c r="E192" s="27" t="inlineStr">
        <is>
          <t>套</t>
        </is>
      </c>
      <c r="F192" s="145" t="n">
        <v>2</v>
      </c>
      <c r="G192" s="123">
        <f>R192*$R$3</f>
        <v/>
      </c>
      <c r="H192" s="106">
        <f>P192*(1+Q192)*$P$3+S192*$S$3</f>
        <v/>
      </c>
      <c r="I192" s="106">
        <f>T192*$T$3</f>
        <v/>
      </c>
      <c r="J192" s="106">
        <f>(G192+H192+I192)*$J$3</f>
        <v/>
      </c>
      <c r="K192" s="106">
        <f>(G192+H192+I192+J192)*$K$3</f>
        <v/>
      </c>
      <c r="L192" s="106">
        <f>G192+H192+I192+J192+K192</f>
        <v/>
      </c>
      <c r="M192" s="106">
        <f>F192*L192</f>
        <v/>
      </c>
      <c r="N192" s="101" t="n"/>
      <c r="O192" s="105">
        <f>P192*(1+Q192)+R192+S192+T192</f>
        <v/>
      </c>
      <c r="P192" s="111">
        <f>'户内交标安装工程'!P22</f>
        <v/>
      </c>
      <c r="Q192" s="32">
        <f>'户内交标安装工程'!Q22</f>
        <v/>
      </c>
      <c r="R192" s="111">
        <f>'户内交标安装工程'!R22</f>
        <v/>
      </c>
      <c r="S192" s="112">
        <f>'户内交标安装工程'!S22</f>
        <v/>
      </c>
      <c r="T192" s="107">
        <f>'户内交标安装工程'!T22</f>
        <v/>
      </c>
      <c r="U192" s="105">
        <f>F192*O192</f>
        <v/>
      </c>
    </row>
    <row r="193" outlineLevel="3" ht="72" customFormat="1" customHeight="1" s="5">
      <c r="A193" s="27" t="n">
        <v>159</v>
      </c>
      <c r="B193" s="28" t="n">
        <v>30413013021</v>
      </c>
      <c r="C193" s="28" t="inlineStr">
        <is>
          <t>照明开关</t>
        </is>
      </c>
      <c r="D193" s="28" t="inlineStr">
        <is>
          <t>1.名称：四联双控开关
2.规格：86*86mm
3.安装方式：暗装
4.其他：包括但不限于满足图纸、招标文件、规范及验收要求等一切相关费用</t>
        </is>
      </c>
      <c r="E193" s="27" t="inlineStr">
        <is>
          <t>套</t>
        </is>
      </c>
      <c r="F193" s="145" t="n">
        <v>2</v>
      </c>
      <c r="G193" s="123">
        <f>R193*$R$3</f>
        <v/>
      </c>
      <c r="H193" s="106">
        <f>P193*(1+Q193)*$P$3+S193*$S$3</f>
        <v/>
      </c>
      <c r="I193" s="106">
        <f>T193*$T$3</f>
        <v/>
      </c>
      <c r="J193" s="106">
        <f>(G193+H193+I193)*$J$3</f>
        <v/>
      </c>
      <c r="K193" s="106">
        <f>(G193+H193+I193+J193)*$K$3</f>
        <v/>
      </c>
      <c r="L193" s="106">
        <f>G193+H193+I193+J193+K193</f>
        <v/>
      </c>
      <c r="M193" s="106">
        <f>F193*L193</f>
        <v/>
      </c>
      <c r="N193" s="101" t="n"/>
      <c r="O193" s="105">
        <f>P193*(1+Q193)+R193+S193+T193</f>
        <v/>
      </c>
      <c r="P193" s="111">
        <f>P26</f>
        <v/>
      </c>
      <c r="Q193" s="32">
        <f>Q26</f>
        <v/>
      </c>
      <c r="R193" s="111">
        <f>R26</f>
        <v/>
      </c>
      <c r="S193" s="112">
        <f>S26</f>
        <v/>
      </c>
      <c r="T193" s="107">
        <f>T26</f>
        <v/>
      </c>
      <c r="U193" s="105">
        <f>F193*O193</f>
        <v/>
      </c>
    </row>
    <row r="194" outlineLevel="3" ht="72" customFormat="1" customHeight="1" s="5">
      <c r="A194" s="27" t="n">
        <v>160</v>
      </c>
      <c r="B194" s="28" t="n">
        <v>30413014017</v>
      </c>
      <c r="C194" s="28" t="inlineStr">
        <is>
          <t>插座</t>
        </is>
      </c>
      <c r="D194" s="28" t="inlineStr">
        <is>
          <t>1.名称：五孔插座
2.规格：86*86mm
3.安装方式：暗装
4.其他：包括但不限于满足图纸、招标文件、规范及验收要求等一切相关费用</t>
        </is>
      </c>
      <c r="E194" s="27" t="inlineStr">
        <is>
          <t>套</t>
        </is>
      </c>
      <c r="F194" s="145" t="n">
        <v>44</v>
      </c>
      <c r="G194" s="123">
        <f>R194*$R$3</f>
        <v/>
      </c>
      <c r="H194" s="106">
        <f>P194*(1+Q194)*$P$3+S194*$S$3</f>
        <v/>
      </c>
      <c r="I194" s="106">
        <f>T194*$T$3</f>
        <v/>
      </c>
      <c r="J194" s="106">
        <f>(G194+H194+I194)*$J$3</f>
        <v/>
      </c>
      <c r="K194" s="106">
        <f>(G194+H194+I194+J194)*$K$3</f>
        <v/>
      </c>
      <c r="L194" s="106">
        <f>G194+H194+I194+J194+K194</f>
        <v/>
      </c>
      <c r="M194" s="106">
        <f>F194*L194</f>
        <v/>
      </c>
      <c r="N194" s="101" t="n"/>
      <c r="O194" s="105">
        <f>P194*(1+Q194)+R194+S194+T194</f>
        <v/>
      </c>
      <c r="P194" s="111">
        <f>'公共区域安装工程'!P16</f>
        <v/>
      </c>
      <c r="Q194" s="32">
        <f>'公共区域安装工程'!Q16</f>
        <v/>
      </c>
      <c r="R194" s="111">
        <f>'公共区域安装工程'!R16</f>
        <v/>
      </c>
      <c r="S194" s="112">
        <f>'公共区域安装工程'!S16</f>
        <v/>
      </c>
      <c r="T194" s="107">
        <f>'公共区域安装工程'!T16</f>
        <v/>
      </c>
      <c r="U194" s="105">
        <f>F194*O194</f>
        <v/>
      </c>
    </row>
    <row r="195" outlineLevel="3" ht="72" customFormat="1" customHeight="1" s="5">
      <c r="A195" s="27" t="n">
        <v>161</v>
      </c>
      <c r="B195" s="28" t="n">
        <v>30413014018</v>
      </c>
      <c r="C195" s="28" t="inlineStr">
        <is>
          <t>插座</t>
        </is>
      </c>
      <c r="D195" s="28" t="inlineStr">
        <is>
          <t>1.名称：五孔插座（带防溅盒）
2.规格：86*86mm
3.安装方式：暗装
4.其他：包括但不限于满足图纸、招标文件、规范及验收要求等一切相关费用</t>
        </is>
      </c>
      <c r="E195" s="27" t="inlineStr">
        <is>
          <t>套</t>
        </is>
      </c>
      <c r="F195" s="145" t="n">
        <v>14</v>
      </c>
      <c r="G195" s="123">
        <f>R195*$R$3</f>
        <v/>
      </c>
      <c r="H195" s="106">
        <f>P195*(1+Q195)*$P$3+S195*$S$3</f>
        <v/>
      </c>
      <c r="I195" s="106">
        <f>T195*$T$3</f>
        <v/>
      </c>
      <c r="J195" s="106">
        <f>(G195+H195+I195)*$J$3</f>
        <v/>
      </c>
      <c r="K195" s="106">
        <f>(G195+H195+I195+J195)*$K$3</f>
        <v/>
      </c>
      <c r="L195" s="106">
        <f>G195+H195+I195+J195+K195</f>
        <v/>
      </c>
      <c r="M195" s="106">
        <f>F195*L195</f>
        <v/>
      </c>
      <c r="N195" s="101" t="n"/>
      <c r="O195" s="105">
        <f>P195*(1+Q195)+R195+S195+T195</f>
        <v/>
      </c>
      <c r="P195" s="111">
        <f>P28</f>
        <v/>
      </c>
      <c r="Q195" s="32">
        <f>Q28</f>
        <v/>
      </c>
      <c r="R195" s="111">
        <f>R28</f>
        <v/>
      </c>
      <c r="S195" s="112">
        <f>S28</f>
        <v/>
      </c>
      <c r="T195" s="107">
        <f>T28</f>
        <v/>
      </c>
      <c r="U195" s="105">
        <f>F195*O195</f>
        <v/>
      </c>
    </row>
    <row r="196" outlineLevel="3" ht="72" customFormat="1" customHeight="1" s="5">
      <c r="A196" s="27" t="n">
        <v>162</v>
      </c>
      <c r="B196" s="28" t="n">
        <v>30413014019</v>
      </c>
      <c r="C196" s="28" t="inlineStr">
        <is>
          <t>插座</t>
        </is>
      </c>
      <c r="D196" s="28" t="inlineStr">
        <is>
          <t>1.名称：五孔插座带USB
2.规格：86*86mm
3.安装方式：暗装
4.其他：包括但不限于满足图纸、招标文件、规范及验收要求等一切相关费用</t>
        </is>
      </c>
      <c r="E196" s="27" t="inlineStr">
        <is>
          <t>套</t>
        </is>
      </c>
      <c r="F196" s="145" t="n">
        <v>3</v>
      </c>
      <c r="G196" s="123">
        <f>R196*$R$3</f>
        <v/>
      </c>
      <c r="H196" s="106">
        <f>P196*(1+Q196)*$P$3+S196*$S$3</f>
        <v/>
      </c>
      <c r="I196" s="106">
        <f>T196*$T$3</f>
        <v/>
      </c>
      <c r="J196" s="106">
        <f>(G196+H196+I196)*$J$3</f>
        <v/>
      </c>
      <c r="K196" s="106">
        <f>(G196+H196+I196+J196)*$K$3</f>
        <v/>
      </c>
      <c r="L196" s="106">
        <f>G196+H196+I196+J196+K196</f>
        <v/>
      </c>
      <c r="M196" s="106">
        <f>F196*L196</f>
        <v/>
      </c>
      <c r="N196" s="101" t="n"/>
      <c r="O196" s="105">
        <f>P196*(1+Q196)+R196+S196+T196</f>
        <v/>
      </c>
      <c r="P196" s="111">
        <f>P29</f>
        <v/>
      </c>
      <c r="Q196" s="32">
        <f>Q29</f>
        <v/>
      </c>
      <c r="R196" s="111">
        <f>R29</f>
        <v/>
      </c>
      <c r="S196" s="112">
        <f>S29</f>
        <v/>
      </c>
      <c r="T196" s="107">
        <f>T29</f>
        <v/>
      </c>
      <c r="U196" s="105">
        <f>F196*O196</f>
        <v/>
      </c>
    </row>
    <row r="197" outlineLevel="3" ht="84" customFormat="1" customHeight="1" s="5">
      <c r="A197" s="27" t="n">
        <v>163</v>
      </c>
      <c r="B197" s="28" t="n">
        <v>30413014021</v>
      </c>
      <c r="C197" s="28" t="inlineStr">
        <is>
          <t>插座</t>
        </is>
      </c>
      <c r="D197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197" s="27" t="inlineStr">
        <is>
          <t>套</t>
        </is>
      </c>
      <c r="F197" s="145" t="n">
        <v>4</v>
      </c>
      <c r="G197" s="123">
        <f>R197*$R$3</f>
        <v/>
      </c>
      <c r="H197" s="106">
        <f>P197*(1+Q197)*$P$3+S197*$S$3</f>
        <v/>
      </c>
      <c r="I197" s="106">
        <f>T197*$T$3</f>
        <v/>
      </c>
      <c r="J197" s="106">
        <f>(G197+H197+I197)*$J$3</f>
        <v/>
      </c>
      <c r="K197" s="106">
        <f>(G197+H197+I197+J197)*$K$3</f>
        <v/>
      </c>
      <c r="L197" s="106">
        <f>G197+H197+I197+J197+K197</f>
        <v/>
      </c>
      <c r="M197" s="106">
        <f>F197*L197</f>
        <v/>
      </c>
      <c r="N197" s="101" t="n"/>
      <c r="O197" s="105">
        <f>P197*(1+Q197)+R197+S197+T197</f>
        <v/>
      </c>
      <c r="P197" s="111">
        <f>P31</f>
        <v/>
      </c>
      <c r="Q197" s="32">
        <f>Q31</f>
        <v/>
      </c>
      <c r="R197" s="111">
        <f>R31</f>
        <v/>
      </c>
      <c r="S197" s="112">
        <f>S31</f>
        <v/>
      </c>
      <c r="T197" s="107">
        <f>T31</f>
        <v/>
      </c>
      <c r="U197" s="105">
        <f>F197*O197</f>
        <v/>
      </c>
    </row>
    <row r="198" outlineLevel="2" customFormat="1" s="5">
      <c r="A198" s="27" t="inlineStr"/>
      <c r="B198" s="28" t="inlineStr"/>
      <c r="C198" s="28" t="inlineStr">
        <is>
          <t>配管配线</t>
        </is>
      </c>
      <c r="D198" s="28" t="inlineStr"/>
      <c r="E198" s="27" t="inlineStr"/>
      <c r="F198" s="145" t="inlineStr"/>
      <c r="G198" s="123" t="n"/>
      <c r="H198" s="106" t="n"/>
      <c r="I198" s="106" t="n"/>
      <c r="J198" s="106" t="n"/>
      <c r="K198" s="106" t="n"/>
      <c r="L198" s="106" t="n"/>
      <c r="M198" s="106" t="n"/>
      <c r="N198" s="101" t="n"/>
      <c r="O198" s="105">
        <f>P198*(1+Q198)+R198+S198+T198</f>
        <v/>
      </c>
      <c r="P198" s="111" t="n"/>
      <c r="Q198" s="32" t="n"/>
      <c r="R198" s="111" t="n"/>
      <c r="S198" s="112" t="n"/>
      <c r="T198" s="107" t="n"/>
      <c r="U198" s="105">
        <f>F198*O198</f>
        <v/>
      </c>
    </row>
    <row r="199" outlineLevel="3" ht="72" customFormat="1" customHeight="1" s="5">
      <c r="A199" s="27" t="n">
        <v>164</v>
      </c>
      <c r="B199" s="28" t="n">
        <v>30412004009</v>
      </c>
      <c r="C199" s="28" t="inlineStr">
        <is>
          <t>配线</t>
        </is>
      </c>
      <c r="D199" s="28" t="inlineStr">
        <is>
          <t>1.名称：电气配线
2.型号规格：BV-1.5
3.安装方式：管内穿线
4.其他：包括但不限于满足图纸、招标文件、规范及验收要求等一切相关费用</t>
        </is>
      </c>
      <c r="E199" s="27" t="inlineStr">
        <is>
          <t>m</t>
        </is>
      </c>
      <c r="F199" s="145" t="n">
        <v>175.17</v>
      </c>
      <c r="G199" s="123">
        <f>R199*$R$3</f>
        <v/>
      </c>
      <c r="H199" s="106">
        <f>P199*(1+Q199)*$P$3+S199*$S$3</f>
        <v/>
      </c>
      <c r="I199" s="106">
        <f>T199*$T$3</f>
        <v/>
      </c>
      <c r="J199" s="106">
        <f>(G199+H199+I199)*$J$3</f>
        <v/>
      </c>
      <c r="K199" s="106">
        <f>(G199+H199+I199+J199)*$K$3</f>
        <v/>
      </c>
      <c r="L199" s="106">
        <f>G199+H199+I199+J199+K199</f>
        <v/>
      </c>
      <c r="M199" s="106">
        <f>F199*L199</f>
        <v/>
      </c>
      <c r="N199" s="101" t="n"/>
      <c r="O199" s="105">
        <f>P199*(1+Q199)+R199+S199+T199</f>
        <v/>
      </c>
      <c r="P199" s="111">
        <f>P34</f>
        <v/>
      </c>
      <c r="Q199" s="32">
        <f>Q34</f>
        <v/>
      </c>
      <c r="R199" s="111">
        <f>R34</f>
        <v/>
      </c>
      <c r="S199" s="112">
        <f>S34</f>
        <v/>
      </c>
      <c r="T199" s="107">
        <f>T34</f>
        <v/>
      </c>
      <c r="U199" s="105">
        <f>F199*O199</f>
        <v/>
      </c>
    </row>
    <row r="200" outlineLevel="3" ht="72" customFormat="1" customHeight="1" s="5">
      <c r="A200" s="27" t="n">
        <v>165</v>
      </c>
      <c r="B200" s="28" t="n">
        <v>30412004010</v>
      </c>
      <c r="C200" s="28" t="inlineStr">
        <is>
          <t>配线</t>
        </is>
      </c>
      <c r="D200" s="28" t="inlineStr">
        <is>
          <t>1.名称：电气配线
2.型号规格：BV-2.5
3.安装方式：管内穿线
4.其他：包括但不限于满足图纸、招标文件、规范及验收要求等一切相关费用</t>
        </is>
      </c>
      <c r="E200" s="27" t="inlineStr">
        <is>
          <t>m</t>
        </is>
      </c>
      <c r="F200" s="145" t="n">
        <v>1218.42</v>
      </c>
      <c r="G200" s="123">
        <f>R200*$R$3</f>
        <v/>
      </c>
      <c r="H200" s="106">
        <f>P200*(1+Q200)*$P$3+S200*$S$3</f>
        <v/>
      </c>
      <c r="I200" s="106">
        <f>T200*$T$3</f>
        <v/>
      </c>
      <c r="J200" s="106">
        <f>(G200+H200+I200)*$J$3</f>
        <v/>
      </c>
      <c r="K200" s="106">
        <f>(G200+H200+I200+J200)*$K$3</f>
        <v/>
      </c>
      <c r="L200" s="106">
        <f>G200+H200+I200+J200+K200</f>
        <v/>
      </c>
      <c r="M200" s="106">
        <f>F200*L200</f>
        <v/>
      </c>
      <c r="N200" s="101" t="n"/>
      <c r="O200" s="105">
        <f>P200*(1+Q200)+R200+S200+T200</f>
        <v/>
      </c>
      <c r="P200" s="111">
        <f>'公共区域安装工程'!P22</f>
        <v/>
      </c>
      <c r="Q200" s="32">
        <f>'公共区域安装工程'!Q22</f>
        <v/>
      </c>
      <c r="R200" s="111">
        <f>'公共区域安装工程'!R22</f>
        <v/>
      </c>
      <c r="S200" s="112">
        <f>'公共区域安装工程'!S22</f>
        <v/>
      </c>
      <c r="T200" s="107">
        <f>'公共区域安装工程'!T22</f>
        <v/>
      </c>
      <c r="U200" s="105">
        <f>F200*O200</f>
        <v/>
      </c>
    </row>
    <row r="201" outlineLevel="3" ht="72" customFormat="1" customHeight="1" s="5">
      <c r="A201" s="27" t="n">
        <v>166</v>
      </c>
      <c r="B201" s="28" t="n">
        <v>30412004011</v>
      </c>
      <c r="C201" s="28" t="inlineStr">
        <is>
          <t>配线</t>
        </is>
      </c>
      <c r="D201" s="28" t="inlineStr">
        <is>
          <t>1.名称：电气配线
2.型号规格：BV-4
3.安装方式：管内穿线
4.其他：包括但不限于满足图纸、招标文件、规范及验收要求等一切相关费用</t>
        </is>
      </c>
      <c r="E201" s="27" t="inlineStr">
        <is>
          <t>m</t>
        </is>
      </c>
      <c r="F201" s="145" t="n">
        <v>959.91</v>
      </c>
      <c r="G201" s="123">
        <f>R201*$R$3</f>
        <v/>
      </c>
      <c r="H201" s="106">
        <f>P201*(1+Q201)*$P$3+S201*$S$3</f>
        <v/>
      </c>
      <c r="I201" s="106">
        <f>T201*$T$3</f>
        <v/>
      </c>
      <c r="J201" s="106">
        <f>(G201+H201+I201)*$J$3</f>
        <v/>
      </c>
      <c r="K201" s="106">
        <f>(G201+H201+I201+J201)*$K$3</f>
        <v/>
      </c>
      <c r="L201" s="106">
        <f>G201+H201+I201+J201+K201</f>
        <v/>
      </c>
      <c r="M201" s="106">
        <f>F201*L201</f>
        <v/>
      </c>
      <c r="N201" s="101" t="n"/>
      <c r="O201" s="105">
        <f>P201*(1+Q201)+R201+S201+T201</f>
        <v/>
      </c>
      <c r="P201" s="111">
        <f>'户内交标安装工程'!P32</f>
        <v/>
      </c>
      <c r="Q201" s="32">
        <f>'户内交标安装工程'!Q32</f>
        <v/>
      </c>
      <c r="R201" s="111">
        <f>'户内交标安装工程'!R32</f>
        <v/>
      </c>
      <c r="S201" s="112">
        <f>'户内交标安装工程'!S32</f>
        <v/>
      </c>
      <c r="T201" s="107">
        <f>'户内交标安装工程'!T32</f>
        <v/>
      </c>
      <c r="U201" s="105">
        <f>F201*O201</f>
        <v/>
      </c>
    </row>
    <row r="202" outlineLevel="3" ht="72" customFormat="1" customHeight="1" s="5">
      <c r="A202" s="113" t="n">
        <v>167</v>
      </c>
      <c r="B202" s="136" t="n">
        <v>30412004012</v>
      </c>
      <c r="C202" s="136" t="inlineStr">
        <is>
          <t>配线</t>
        </is>
      </c>
      <c r="D202" s="136" t="inlineStr">
        <is>
          <t>1.名称：电气配线
2.型号规格：BV-16
3.安装方式：管内穿线
4.其他：包括但不限于满足图纸、招标文件、规范及验收要求等一切相关费用</t>
        </is>
      </c>
      <c r="E202" s="113" t="inlineStr">
        <is>
          <t>m</t>
        </is>
      </c>
      <c r="F202" s="146" t="n">
        <v>48.91</v>
      </c>
      <c r="G202" s="116">
        <f>R202*$R$3</f>
        <v/>
      </c>
      <c r="H202" s="117">
        <f>P202*(1+Q202)*$P$3+S202*$S$3</f>
        <v/>
      </c>
      <c r="I202" s="117">
        <f>T202*$T$3</f>
        <v/>
      </c>
      <c r="J202" s="117">
        <f>(G202+H202+I202)*$J$3</f>
        <v/>
      </c>
      <c r="K202" s="117">
        <f>(G202+H202+I202+J202)*$K$3</f>
        <v/>
      </c>
      <c r="L202" s="117">
        <f>G202+H202+I202+J202+K202</f>
        <v/>
      </c>
      <c r="M202" s="117">
        <f>F202*L202</f>
        <v/>
      </c>
      <c r="N202" s="118" t="n"/>
      <c r="O202" s="114">
        <f>P202*(1+Q202)+R202+S202+T202</f>
        <v/>
      </c>
      <c r="P202" s="119" t="n">
        <v>12.6</v>
      </c>
      <c r="Q202" s="120" t="n">
        <v>0.02</v>
      </c>
      <c r="R202" s="119" t="n">
        <v>3.6</v>
      </c>
      <c r="S202" s="121" t="n">
        <v>0.4</v>
      </c>
      <c r="T202" s="122" t="n">
        <v>0.04</v>
      </c>
      <c r="U202" s="114">
        <f>F202*O202</f>
        <v/>
      </c>
    </row>
    <row r="203" outlineLevel="1" customFormat="1" s="5">
      <c r="A203" s="27" t="inlineStr"/>
      <c r="B203" s="28" t="inlineStr"/>
      <c r="C203" s="28" t="inlineStr">
        <is>
          <t>弱电工程</t>
        </is>
      </c>
      <c r="D203" s="28" t="inlineStr"/>
      <c r="E203" s="27" t="inlineStr"/>
      <c r="F203" s="145" t="inlineStr"/>
      <c r="G203" s="123" t="n"/>
      <c r="H203" s="106" t="n"/>
      <c r="I203" s="106" t="n"/>
      <c r="J203" s="106" t="n"/>
      <c r="K203" s="106" t="n"/>
      <c r="L203" s="106" t="n"/>
      <c r="M203" s="106" t="n"/>
      <c r="N203" s="101" t="n"/>
      <c r="O203" s="105">
        <f>P203*(1+Q203)+R203+S203+T203</f>
        <v/>
      </c>
      <c r="P203" s="111" t="n"/>
      <c r="Q203" s="32" t="n"/>
      <c r="R203" s="111" t="n"/>
      <c r="S203" s="112" t="n"/>
      <c r="T203" s="107" t="n"/>
      <c r="U203" s="105">
        <f>F203*O203</f>
        <v/>
      </c>
    </row>
    <row r="204" outlineLevel="2" ht="72" customFormat="1" customHeight="1" s="5">
      <c r="A204" s="27" t="n">
        <v>168</v>
      </c>
      <c r="B204" s="28" t="n">
        <v>30413014022</v>
      </c>
      <c r="C204" s="28" t="inlineStr">
        <is>
          <t>插座</t>
        </is>
      </c>
      <c r="D204" s="28" t="inlineStr">
        <is>
          <t>1.名称：网络插座
2.规格：86*86mm
3.安装方式：暗装
4.其他：包括但不限于满足图纸、招标文件、规范及验收要求等一切相关费用</t>
        </is>
      </c>
      <c r="E204" s="27" t="inlineStr">
        <is>
          <t>套</t>
        </is>
      </c>
      <c r="F204" s="145" t="n">
        <v>6</v>
      </c>
      <c r="G204" s="123">
        <f>R204*$R$3</f>
        <v/>
      </c>
      <c r="H204" s="106">
        <f>P204*(1+Q204)*$P$3+S204*$S$3</f>
        <v/>
      </c>
      <c r="I204" s="106">
        <f>T204*$T$3</f>
        <v/>
      </c>
      <c r="J204" s="106">
        <f>(G204+H204+I204)*$J$3</f>
        <v/>
      </c>
      <c r="K204" s="106">
        <f>(G204+H204+I204+J204)*$K$3</f>
        <v/>
      </c>
      <c r="L204" s="106">
        <f>G204+H204+I204+J204+K204</f>
        <v/>
      </c>
      <c r="M204" s="106">
        <f>F204*L204</f>
        <v/>
      </c>
      <c r="N204" s="101" t="n"/>
      <c r="O204" s="105">
        <f>P204*(1+Q204)+R204+S204+T204</f>
        <v/>
      </c>
      <c r="P204" s="111">
        <f>P39</f>
        <v/>
      </c>
      <c r="Q204" s="32">
        <f>Q39</f>
        <v/>
      </c>
      <c r="R204" s="111">
        <f>R39</f>
        <v/>
      </c>
      <c r="S204" s="112">
        <f>S39</f>
        <v/>
      </c>
      <c r="T204" s="107">
        <f>T39</f>
        <v/>
      </c>
      <c r="U204" s="105">
        <f>F204*O204</f>
        <v/>
      </c>
    </row>
    <row r="205" outlineLevel="2" ht="72" customFormat="1" customHeight="1" s="5">
      <c r="A205" s="27" t="n">
        <v>169</v>
      </c>
      <c r="B205" s="28" t="n">
        <v>30413014023</v>
      </c>
      <c r="C205" s="28" t="inlineStr">
        <is>
          <t>插座</t>
        </is>
      </c>
      <c r="D205" s="28" t="inlineStr">
        <is>
          <t>1.名称：电视插座
2.规格：86*86mm
3.安装方式：暗装
4.其他：包括但不限于满足图纸、招标文件、规范及验收要求等一切相关费用</t>
        </is>
      </c>
      <c r="E205" s="27" t="inlineStr">
        <is>
          <t>套</t>
        </is>
      </c>
      <c r="F205" s="145" t="n">
        <v>4</v>
      </c>
      <c r="G205" s="123">
        <f>R205*$R$3</f>
        <v/>
      </c>
      <c r="H205" s="106">
        <f>P205*(1+Q205)*$P$3+S205*$S$3</f>
        <v/>
      </c>
      <c r="I205" s="106">
        <f>T205*$T$3</f>
        <v/>
      </c>
      <c r="J205" s="106">
        <f>(G205+H205+I205)*$J$3</f>
        <v/>
      </c>
      <c r="K205" s="106">
        <f>(G205+H205+I205+J205)*$K$3</f>
        <v/>
      </c>
      <c r="L205" s="106">
        <f>G205+H205+I205+J205+K205</f>
        <v/>
      </c>
      <c r="M205" s="106">
        <f>F205*L205</f>
        <v/>
      </c>
      <c r="N205" s="101" t="n"/>
      <c r="O205" s="105">
        <f>P205*(1+Q205)+R205+S205+T205</f>
        <v/>
      </c>
      <c r="P205" s="111">
        <f>P40</f>
        <v/>
      </c>
      <c r="Q205" s="32">
        <f>Q40</f>
        <v/>
      </c>
      <c r="R205" s="111">
        <f>R40</f>
        <v/>
      </c>
      <c r="S205" s="112">
        <f>S40</f>
        <v/>
      </c>
      <c r="T205" s="107">
        <f>T40</f>
        <v/>
      </c>
      <c r="U205" s="105">
        <f>F205*O205</f>
        <v/>
      </c>
    </row>
    <row r="206" outlineLevel="2" ht="72" customFormat="1" customHeight="1" s="5">
      <c r="A206" s="27" t="n">
        <v>170</v>
      </c>
      <c r="B206" s="28" t="n">
        <v>30413013023</v>
      </c>
      <c r="C206" s="28" t="inlineStr">
        <is>
          <t>紧急按钮</t>
        </is>
      </c>
      <c r="D206" s="28" t="inlineStr">
        <is>
          <t>1.名称：紧急按钮
2.规格：86*86mm
3.安装方式：暗装
4.其他：包括但不限于满足图纸、招标文件、规范及验收要求等一切相关费用</t>
        </is>
      </c>
      <c r="E206" s="27" t="inlineStr">
        <is>
          <t>套</t>
        </is>
      </c>
      <c r="F206" s="145" t="n">
        <v>4</v>
      </c>
      <c r="G206" s="123">
        <f>R206*$R$3</f>
        <v/>
      </c>
      <c r="H206" s="106">
        <f>P206*(1+Q206)*$P$3+S206*$S$3</f>
        <v/>
      </c>
      <c r="I206" s="106">
        <f>T206*$T$3</f>
        <v/>
      </c>
      <c r="J206" s="106">
        <f>(G206+H206+I206)*$J$3</f>
        <v/>
      </c>
      <c r="K206" s="106">
        <f>(G206+H206+I206+J206)*$K$3</f>
        <v/>
      </c>
      <c r="L206" s="106">
        <f>G206+H206+I206+J206+K206</f>
        <v/>
      </c>
      <c r="M206" s="106">
        <f>F206*L206</f>
        <v/>
      </c>
      <c r="N206" s="101" t="n"/>
      <c r="O206" s="105">
        <f>P206*(1+Q206)+R206+S206+T206</f>
        <v/>
      </c>
      <c r="P206" s="111">
        <f>P41</f>
        <v/>
      </c>
      <c r="Q206" s="32">
        <f>Q41</f>
        <v/>
      </c>
      <c r="R206" s="111">
        <f>R41</f>
        <v/>
      </c>
      <c r="S206" s="112">
        <f>S41</f>
        <v/>
      </c>
      <c r="T206" s="107">
        <f>T41</f>
        <v/>
      </c>
      <c r="U206" s="105">
        <f>F206*O206</f>
        <v/>
      </c>
    </row>
    <row r="207" outlineLevel="2" ht="72" customFormat="1" customHeight="1" s="5">
      <c r="A207" s="27" t="n">
        <v>171</v>
      </c>
      <c r="B207" s="28" t="n">
        <v>30502003005</v>
      </c>
      <c r="C207" s="28" t="inlineStr">
        <is>
          <t>双绞线缆</t>
        </is>
      </c>
      <c r="D207" s="28" t="inlineStr">
        <is>
          <t>1.名称：超六类网线
2.型号规格：CAT6e
3.敷设方式：管内穿线
4.其他：包括但不限于满足图纸、招标文件、规范及验收要求等一切相关费用</t>
        </is>
      </c>
      <c r="E207" s="27" t="inlineStr">
        <is>
          <t>m</t>
        </is>
      </c>
      <c r="F207" s="145" t="n">
        <v>110.97</v>
      </c>
      <c r="G207" s="123">
        <f>R207*$R$3</f>
        <v/>
      </c>
      <c r="H207" s="106">
        <f>P207*(1+Q207)*$P$3+S207*$S$3</f>
        <v/>
      </c>
      <c r="I207" s="106">
        <f>T207*$T$3</f>
        <v/>
      </c>
      <c r="J207" s="106">
        <f>(G207+H207+I207)*$J$3</f>
        <v/>
      </c>
      <c r="K207" s="106">
        <f>(G207+H207+I207+J207)*$K$3</f>
        <v/>
      </c>
      <c r="L207" s="106">
        <f>G207+H207+I207+J207+K207</f>
        <v/>
      </c>
      <c r="M207" s="106">
        <f>F207*L207</f>
        <v/>
      </c>
      <c r="N207" s="101" t="n"/>
      <c r="O207" s="105">
        <f>P207*(1+Q207)+R207+S207+T207</f>
        <v/>
      </c>
      <c r="P207" s="111">
        <f>P42</f>
        <v/>
      </c>
      <c r="Q207" s="32">
        <f>Q42</f>
        <v/>
      </c>
      <c r="R207" s="111">
        <f>R42</f>
        <v/>
      </c>
      <c r="S207" s="112">
        <f>S42</f>
        <v/>
      </c>
      <c r="T207" s="107">
        <f>T42</f>
        <v/>
      </c>
      <c r="U207" s="105">
        <f>F207*O207</f>
        <v/>
      </c>
    </row>
    <row r="208" outlineLevel="2" ht="72" customFormat="1" customHeight="1" s="5">
      <c r="A208" s="27" t="n">
        <v>172</v>
      </c>
      <c r="B208" s="28" t="n">
        <v>30502003006</v>
      </c>
      <c r="C208" s="28" t="inlineStr">
        <is>
          <t>多芯软导线</t>
        </is>
      </c>
      <c r="D208" s="28" t="inlineStr">
        <is>
          <t>1.名称：多芯软导线
2.型号规格：RVV-2*1.0
3.敷设方式：管内穿线
4.其他：包括但不限于满足图纸、招标文件、规范及验收要求等一切相关费用</t>
        </is>
      </c>
      <c r="E208" s="27" t="inlineStr">
        <is>
          <t>m</t>
        </is>
      </c>
      <c r="F208" s="145" t="n">
        <v>45.84</v>
      </c>
      <c r="G208" s="123">
        <f>R208*$R$3</f>
        <v/>
      </c>
      <c r="H208" s="106">
        <f>P208*(1+Q208)*$P$3+S208*$S$3</f>
        <v/>
      </c>
      <c r="I208" s="106">
        <f>T208*$T$3</f>
        <v/>
      </c>
      <c r="J208" s="106">
        <f>(G208+H208+I208)*$J$3</f>
        <v/>
      </c>
      <c r="K208" s="106">
        <f>(G208+H208+I208+J208)*$K$3</f>
        <v/>
      </c>
      <c r="L208" s="106">
        <f>G208+H208+I208+J208+K208</f>
        <v/>
      </c>
      <c r="M208" s="106">
        <f>F208*L208</f>
        <v/>
      </c>
      <c r="N208" s="101" t="n"/>
      <c r="O208" s="105">
        <f>P208*(1+Q208)+R208+S208+T208</f>
        <v/>
      </c>
      <c r="P208" s="111">
        <f>P43</f>
        <v/>
      </c>
      <c r="Q208" s="32">
        <f>Q43</f>
        <v/>
      </c>
      <c r="R208" s="111">
        <f>R43</f>
        <v/>
      </c>
      <c r="S208" s="112">
        <f>S43</f>
        <v/>
      </c>
      <c r="T208" s="107">
        <f>T43</f>
        <v/>
      </c>
      <c r="U208" s="105">
        <f>F208*O208</f>
        <v/>
      </c>
    </row>
    <row r="209" outlineLevel="1" customFormat="1" s="5">
      <c r="A209" s="27" t="inlineStr"/>
      <c r="B209" s="28" t="inlineStr"/>
      <c r="C209" s="28" t="inlineStr">
        <is>
          <t>给排水工程</t>
        </is>
      </c>
      <c r="D209" s="28" t="inlineStr"/>
      <c r="E209" s="27" t="inlineStr"/>
      <c r="F209" s="145" t="inlineStr"/>
      <c r="G209" s="123" t="n"/>
      <c r="H209" s="106" t="n"/>
      <c r="I209" s="106" t="n"/>
      <c r="J209" s="106" t="n"/>
      <c r="K209" s="106" t="n"/>
      <c r="L209" s="106" t="n"/>
      <c r="M209" s="106" t="n"/>
      <c r="N209" s="101" t="n"/>
      <c r="O209" s="105">
        <f>P209*(1+Q209)+R209+S209+T209</f>
        <v/>
      </c>
      <c r="P209" s="111" t="n"/>
      <c r="Q209" s="32" t="n"/>
      <c r="R209" s="111" t="n"/>
      <c r="S209" s="112" t="n"/>
      <c r="T209" s="107" t="n"/>
      <c r="U209" s="105">
        <f>F209*O209</f>
        <v/>
      </c>
    </row>
    <row r="210" outlineLevel="2" customFormat="1" s="5">
      <c r="A210" s="27" t="inlineStr"/>
      <c r="B210" s="28" t="inlineStr"/>
      <c r="C210" s="28" t="inlineStr">
        <is>
          <t>给排水管</t>
        </is>
      </c>
      <c r="D210" s="28" t="inlineStr"/>
      <c r="E210" s="27" t="inlineStr"/>
      <c r="F210" s="145" t="inlineStr"/>
      <c r="G210" s="123" t="n"/>
      <c r="H210" s="106" t="n"/>
      <c r="I210" s="106" t="n"/>
      <c r="J210" s="106" t="n"/>
      <c r="K210" s="106" t="n"/>
      <c r="L210" s="106" t="n"/>
      <c r="M210" s="106" t="n"/>
      <c r="N210" s="101" t="n"/>
      <c r="O210" s="105">
        <f>P210*(1+Q210)+R210+S210+T210</f>
        <v/>
      </c>
      <c r="P210" s="111" t="n"/>
      <c r="Q210" s="32" t="n"/>
      <c r="R210" s="111" t="n"/>
      <c r="S210" s="112" t="n"/>
      <c r="T210" s="107" t="n"/>
      <c r="U210" s="105">
        <f>F210*O210</f>
        <v/>
      </c>
    </row>
    <row r="211" outlineLevel="3" ht="96" customFormat="1" customHeight="1" s="5">
      <c r="A211" s="27" t="n">
        <v>173</v>
      </c>
      <c r="B211" s="28" t="n">
        <v>31001008029</v>
      </c>
      <c r="C211" s="28" t="inlineStr">
        <is>
          <t>UPVC排水管</t>
        </is>
      </c>
      <c r="D21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211" s="27" t="inlineStr">
        <is>
          <t>m</t>
        </is>
      </c>
      <c r="F211" s="145" t="n">
        <v>10.05</v>
      </c>
      <c r="G211" s="123">
        <f>R211*$R$3</f>
        <v/>
      </c>
      <c r="H211" s="106">
        <f>P211*(1+Q211)*$P$3+S211*$S$3</f>
        <v/>
      </c>
      <c r="I211" s="106">
        <f>T211*$T$3</f>
        <v/>
      </c>
      <c r="J211" s="106">
        <f>(G211+H211+I211)*$J$3</f>
        <v/>
      </c>
      <c r="K211" s="106">
        <f>(G211+H211+I211+J211)*$K$3</f>
        <v/>
      </c>
      <c r="L211" s="106">
        <f>G211+H211+I211+J211+K211</f>
        <v/>
      </c>
      <c r="M211" s="106">
        <f>F211*L211</f>
        <v/>
      </c>
      <c r="N211" s="101" t="n"/>
      <c r="O211" s="105">
        <f>P211*(1+Q211)+R211+S211+T211</f>
        <v/>
      </c>
      <c r="P211" s="111">
        <f>P46</f>
        <v/>
      </c>
      <c r="Q211" s="32">
        <f>Q46</f>
        <v/>
      </c>
      <c r="R211" s="111">
        <f>R46</f>
        <v/>
      </c>
      <c r="S211" s="112">
        <f>S46</f>
        <v/>
      </c>
      <c r="T211" s="107">
        <f>T46</f>
        <v/>
      </c>
      <c r="U211" s="105">
        <f>F211*O211</f>
        <v/>
      </c>
    </row>
    <row r="212" outlineLevel="3" ht="96" customFormat="1" customHeight="1" s="5">
      <c r="A212" s="27" t="n">
        <v>174</v>
      </c>
      <c r="B212" s="28" t="n">
        <v>31001008030</v>
      </c>
      <c r="C212" s="28" t="inlineStr">
        <is>
          <t>UPVC排水管</t>
        </is>
      </c>
      <c r="D21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212" s="27" t="inlineStr">
        <is>
          <t>m</t>
        </is>
      </c>
      <c r="F212" s="145" t="n">
        <v>9.99</v>
      </c>
      <c r="G212" s="123">
        <f>R212*$R$3</f>
        <v/>
      </c>
      <c r="H212" s="106">
        <f>P212*(1+Q212)*$P$3+S212*$S$3</f>
        <v/>
      </c>
      <c r="I212" s="106">
        <f>T212*$T$3</f>
        <v/>
      </c>
      <c r="J212" s="106">
        <f>(G212+H212+I212)*$J$3</f>
        <v/>
      </c>
      <c r="K212" s="106">
        <f>(G212+H212+I212+J212)*$K$3</f>
        <v/>
      </c>
      <c r="L212" s="106">
        <f>G212+H212+I212+J212+K212</f>
        <v/>
      </c>
      <c r="M212" s="106">
        <f>F212*L212</f>
        <v/>
      </c>
      <c r="N212" s="101" t="n"/>
      <c r="O212" s="105">
        <f>P212*(1+Q212)+R212+S212+T212</f>
        <v/>
      </c>
      <c r="P212" s="111">
        <f>P47</f>
        <v/>
      </c>
      <c r="Q212" s="32">
        <f>Q47</f>
        <v/>
      </c>
      <c r="R212" s="111">
        <f>R47</f>
        <v/>
      </c>
      <c r="S212" s="112">
        <f>S47</f>
        <v/>
      </c>
      <c r="T212" s="107">
        <f>T47</f>
        <v/>
      </c>
      <c r="U212" s="105">
        <f>F212*O212</f>
        <v/>
      </c>
    </row>
    <row r="213" outlineLevel="3" ht="96" customFormat="1" customHeight="1" s="5">
      <c r="A213" s="27" t="n">
        <v>175</v>
      </c>
      <c r="B213" s="28" t="n">
        <v>31001008031</v>
      </c>
      <c r="C213" s="28" t="inlineStr">
        <is>
          <t>UPVC排水管</t>
        </is>
      </c>
      <c r="D21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213" s="27" t="inlineStr">
        <is>
          <t>m</t>
        </is>
      </c>
      <c r="F213" s="145" t="n">
        <v>10.05</v>
      </c>
      <c r="G213" s="123">
        <f>R213*$R$3</f>
        <v/>
      </c>
      <c r="H213" s="106">
        <f>P213*(1+Q213)*$P$3+S213*$S$3</f>
        <v/>
      </c>
      <c r="I213" s="106">
        <f>T213*$T$3</f>
        <v/>
      </c>
      <c r="J213" s="106">
        <f>(G213+H213+I213)*$J$3</f>
        <v/>
      </c>
      <c r="K213" s="106">
        <f>(G213+H213+I213+J213)*$K$3</f>
        <v/>
      </c>
      <c r="L213" s="106">
        <f>G213+H213+I213+J213+K213</f>
        <v/>
      </c>
      <c r="M213" s="106">
        <f>F213*L213</f>
        <v/>
      </c>
      <c r="N213" s="101" t="n"/>
      <c r="O213" s="105">
        <f>P213*(1+Q213)+R213+S213+T213</f>
        <v/>
      </c>
      <c r="P213" s="111">
        <f>P48</f>
        <v/>
      </c>
      <c r="Q213" s="32">
        <f>Q48</f>
        <v/>
      </c>
      <c r="R213" s="111">
        <f>R48</f>
        <v/>
      </c>
      <c r="S213" s="112">
        <f>S48</f>
        <v/>
      </c>
      <c r="T213" s="107">
        <f>T48</f>
        <v/>
      </c>
      <c r="U213" s="105">
        <f>F213*O213</f>
        <v/>
      </c>
    </row>
    <row r="214" outlineLevel="2" customFormat="1" s="5">
      <c r="A214" s="27" t="inlineStr"/>
      <c r="B214" s="28" t="inlineStr"/>
      <c r="C214" s="28" t="inlineStr">
        <is>
          <t>洁具五金</t>
        </is>
      </c>
      <c r="D214" s="28" t="inlineStr"/>
      <c r="E214" s="27" t="inlineStr"/>
      <c r="F214" s="145" t="inlineStr"/>
      <c r="G214" s="123" t="n"/>
      <c r="H214" s="106" t="n"/>
      <c r="I214" s="106" t="n"/>
      <c r="J214" s="106" t="n"/>
      <c r="K214" s="106" t="n"/>
      <c r="L214" s="106" t="n"/>
      <c r="M214" s="106" t="n"/>
      <c r="N214" s="101" t="n"/>
      <c r="O214" s="105">
        <f>P214*(1+Q214)+R214+S214+T214</f>
        <v/>
      </c>
      <c r="P214" s="111" t="n"/>
      <c r="Q214" s="32" t="n"/>
      <c r="R214" s="111" t="n"/>
      <c r="S214" s="112" t="n"/>
      <c r="T214" s="107" t="n"/>
      <c r="U214" s="105">
        <f>F214*O214</f>
        <v/>
      </c>
    </row>
    <row r="215" outlineLevel="3" ht="60" customFormat="1" customHeight="1" s="5">
      <c r="A215" s="27" t="n">
        <v>176</v>
      </c>
      <c r="B215" s="28" t="n">
        <v>31003006006</v>
      </c>
      <c r="C215" s="28" t="inlineStr">
        <is>
          <t>大便器</t>
        </is>
      </c>
      <c r="D215" s="28" t="inlineStr">
        <is>
          <t>1.名称：智能坐便器-主卫
2.型号：详见物料表
3.其他：包括但不限于满足图纸、招标文件、规范及验收要求等一切相关费用</t>
        </is>
      </c>
      <c r="E215" s="27" t="inlineStr">
        <is>
          <t>组</t>
        </is>
      </c>
      <c r="F215" s="145" t="n">
        <v>1</v>
      </c>
      <c r="G215" s="123">
        <f>R215*$R$3</f>
        <v/>
      </c>
      <c r="H215" s="106">
        <f>P215*(1+Q215)*$P$3+S215*$S$3</f>
        <v/>
      </c>
      <c r="I215" s="106">
        <f>T215*$T$3</f>
        <v/>
      </c>
      <c r="J215" s="106">
        <f>(G215+H215+I215)*$J$3</f>
        <v/>
      </c>
      <c r="K215" s="106">
        <f>(G215+H215+I215+J215)*$K$3</f>
        <v/>
      </c>
      <c r="L215" s="106">
        <f>G215+H215+I215+J215+K215</f>
        <v/>
      </c>
      <c r="M215" s="106">
        <f>F215*L215</f>
        <v/>
      </c>
      <c r="N215" s="101" t="n"/>
      <c r="O215" s="105">
        <f>P215*(1+Q215)+R215+S215+T215</f>
        <v/>
      </c>
      <c r="P215" s="111">
        <f>P50</f>
        <v/>
      </c>
      <c r="Q215" s="32">
        <f>Q50</f>
        <v/>
      </c>
      <c r="R215" s="111">
        <f>R50</f>
        <v/>
      </c>
      <c r="S215" s="112">
        <f>S50</f>
        <v/>
      </c>
      <c r="T215" s="107">
        <f>T50</f>
        <v/>
      </c>
      <c r="U215" s="105">
        <f>F215*O215</f>
        <v/>
      </c>
    </row>
    <row r="216" outlineLevel="3" ht="60" customFormat="1" customHeight="1" s="5">
      <c r="A216" s="27" t="n">
        <v>177</v>
      </c>
      <c r="B216" s="28" t="n">
        <v>31003006007</v>
      </c>
      <c r="C216" s="28" t="inlineStr">
        <is>
          <t>大便器</t>
        </is>
      </c>
      <c r="D216" s="28" t="inlineStr">
        <is>
          <t>1.名称：连体坐便器-公卫
2.型号：详见物料表
3.其他：包括但不限于满足图纸、招标文件、规范及验收要求等一切相关费用</t>
        </is>
      </c>
      <c r="E216" s="27" t="inlineStr">
        <is>
          <t>组</t>
        </is>
      </c>
      <c r="F216" s="145" t="n">
        <v>1</v>
      </c>
      <c r="G216" s="123">
        <f>R216*$R$3</f>
        <v/>
      </c>
      <c r="H216" s="106">
        <f>P216*(1+Q216)*$P$3+S216*$S$3</f>
        <v/>
      </c>
      <c r="I216" s="106">
        <f>T216*$T$3</f>
        <v/>
      </c>
      <c r="J216" s="106">
        <f>(G216+H216+I216)*$J$3</f>
        <v/>
      </c>
      <c r="K216" s="106">
        <f>(G216+H216+I216+J216)*$K$3</f>
        <v/>
      </c>
      <c r="L216" s="106">
        <f>G216+H216+I216+J216+K216</f>
        <v/>
      </c>
      <c r="M216" s="106">
        <f>F216*L216</f>
        <v/>
      </c>
      <c r="N216" s="101" t="n"/>
      <c r="O216" s="105">
        <f>P216*(1+Q216)+R216+S216+T216</f>
        <v/>
      </c>
      <c r="P216" s="111">
        <f>P51</f>
        <v/>
      </c>
      <c r="Q216" s="32">
        <f>Q51</f>
        <v/>
      </c>
      <c r="R216" s="111">
        <f>R51</f>
        <v/>
      </c>
      <c r="S216" s="112">
        <f>S51</f>
        <v/>
      </c>
      <c r="T216" s="107">
        <f>T51</f>
        <v/>
      </c>
      <c r="U216" s="105">
        <f>F216*O216</f>
        <v/>
      </c>
    </row>
    <row r="217" outlineLevel="3" ht="60" customFormat="1" customHeight="1" s="5">
      <c r="A217" s="27" t="n">
        <v>178</v>
      </c>
      <c r="B217" s="28" t="n">
        <v>31003006008</v>
      </c>
      <c r="C217" s="28" t="inlineStr">
        <is>
          <t>大便器</t>
        </is>
      </c>
      <c r="D217" s="28" t="inlineStr">
        <is>
          <t>1.名称：连体坐便器-次卫
2.型号：详见物料表
3.其他：包括但不限于满足图纸、招标文件、规范及验收要求等一切相关费用</t>
        </is>
      </c>
      <c r="E217" s="27" t="inlineStr">
        <is>
          <t>组</t>
        </is>
      </c>
      <c r="F217" s="145" t="n">
        <v>1</v>
      </c>
      <c r="G217" s="123">
        <f>R217*$R$3</f>
        <v/>
      </c>
      <c r="H217" s="106">
        <f>P217*(1+Q217)*$P$3+S217*$S$3</f>
        <v/>
      </c>
      <c r="I217" s="106">
        <f>T217*$T$3</f>
        <v/>
      </c>
      <c r="J217" s="106">
        <f>(G217+H217+I217)*$J$3</f>
        <v/>
      </c>
      <c r="K217" s="106">
        <f>(G217+H217+I217+J217)*$K$3</f>
        <v/>
      </c>
      <c r="L217" s="106">
        <f>G217+H217+I217+J217+K217</f>
        <v/>
      </c>
      <c r="M217" s="106">
        <f>F217*L217</f>
        <v/>
      </c>
      <c r="N217" s="101" t="n"/>
      <c r="O217" s="105">
        <f>P217*(1+Q217)+R217+S217+T217</f>
        <v/>
      </c>
      <c r="P217" s="111">
        <f>P131</f>
        <v/>
      </c>
      <c r="Q217" s="32">
        <f>Q131</f>
        <v/>
      </c>
      <c r="R217" s="111">
        <f>R131</f>
        <v/>
      </c>
      <c r="S217" s="112">
        <f>S131</f>
        <v/>
      </c>
      <c r="T217" s="107">
        <f>T131</f>
        <v/>
      </c>
      <c r="U217" s="105">
        <f>F217*O217</f>
        <v/>
      </c>
    </row>
    <row r="218" outlineLevel="3" ht="60" customFormat="1" customHeight="1" s="5">
      <c r="A218" s="113" t="n">
        <v>179</v>
      </c>
      <c r="B218" s="136" t="n">
        <v>31003001001</v>
      </c>
      <c r="C218" s="136" t="inlineStr">
        <is>
          <t>浴缸及龙头</t>
        </is>
      </c>
      <c r="D218" s="136" t="inlineStr">
        <is>
          <t>1.名称：浴缸及龙头-主卫
2.型号：详见物料表
3.其他：包括但不限于满足图纸、招标文件、规范及验收要求等一切相关费用</t>
        </is>
      </c>
      <c r="E218" s="113" t="inlineStr">
        <is>
          <t>组</t>
        </is>
      </c>
      <c r="F218" s="146" t="n">
        <v>1</v>
      </c>
      <c r="G218" s="116">
        <f>R218*$R$3</f>
        <v/>
      </c>
      <c r="H218" s="117">
        <f>P218*(1+Q218)*$P$3+S218*$S$3</f>
        <v/>
      </c>
      <c r="I218" s="117">
        <f>T218*$T$3</f>
        <v/>
      </c>
      <c r="J218" s="117">
        <f>(G218+H218+I218)*$J$3</f>
        <v/>
      </c>
      <c r="K218" s="117">
        <f>(G218+H218+I218+J218)*$K$3</f>
        <v/>
      </c>
      <c r="L218" s="117">
        <f>G218+H218+I218+J218+K218</f>
        <v/>
      </c>
      <c r="M218" s="117">
        <f>F218*L218</f>
        <v/>
      </c>
      <c r="N218" s="118" t="n"/>
      <c r="O218" s="114">
        <f>P218*(1+Q218)+R218+S218+T218</f>
        <v/>
      </c>
      <c r="P218" s="119" t="n">
        <v>465</v>
      </c>
      <c r="Q218" s="120" t="n">
        <v>0</v>
      </c>
      <c r="R218" s="119" t="n">
        <v>55</v>
      </c>
      <c r="S218" s="121" t="n">
        <v>20</v>
      </c>
      <c r="T218" s="122" t="n">
        <v>0</v>
      </c>
      <c r="U218" s="114">
        <f>F218*O218</f>
        <v/>
      </c>
    </row>
    <row r="219" outlineLevel="3" ht="60" customFormat="1" customHeight="1" s="5">
      <c r="A219" s="27" t="n">
        <v>180</v>
      </c>
      <c r="B219" s="28" t="n">
        <v>31003010006</v>
      </c>
      <c r="C219" s="28" t="inlineStr">
        <is>
          <t>淋浴器</t>
        </is>
      </c>
      <c r="D219" s="28" t="inlineStr">
        <is>
          <t>1.名称：淋浴花洒3-主卫
2.型号：详见物料表
3.其他：包括但不限于满足图纸、招标文件、规范及验收要求等一切相关费用</t>
        </is>
      </c>
      <c r="E219" s="27" t="inlineStr">
        <is>
          <t>套</t>
        </is>
      </c>
      <c r="F219" s="145" t="n">
        <v>1</v>
      </c>
      <c r="G219" s="123">
        <f>R219*$R$3</f>
        <v/>
      </c>
      <c r="H219" s="106">
        <f>P219*(1+Q219)*$P$3+S219*$S$3</f>
        <v/>
      </c>
      <c r="I219" s="106">
        <f>T219*$T$3</f>
        <v/>
      </c>
      <c r="J219" s="106">
        <f>(G219+H219+I219)*$J$3</f>
        <v/>
      </c>
      <c r="K219" s="106">
        <f>(G219+H219+I219+J219)*$K$3</f>
        <v/>
      </c>
      <c r="L219" s="106">
        <f>G219+H219+I219+J219+K219</f>
        <v/>
      </c>
      <c r="M219" s="106">
        <f>F219*L219</f>
        <v/>
      </c>
      <c r="N219" s="101" t="n"/>
      <c r="O219" s="105">
        <f>P219*(1+Q219)+R219+S219+T219</f>
        <v/>
      </c>
      <c r="P219" s="111">
        <f>P52</f>
        <v/>
      </c>
      <c r="Q219" s="32">
        <f>Q52</f>
        <v/>
      </c>
      <c r="R219" s="111">
        <f>R52</f>
        <v/>
      </c>
      <c r="S219" s="112">
        <f>S52</f>
        <v/>
      </c>
      <c r="T219" s="107">
        <f>T52</f>
        <v/>
      </c>
      <c r="U219" s="105">
        <f>F219*O219</f>
        <v/>
      </c>
    </row>
    <row r="220" outlineLevel="3" ht="60" customFormat="1" customHeight="1" s="5">
      <c r="A220" s="27" t="n">
        <v>181</v>
      </c>
      <c r="B220" s="28" t="n">
        <v>31003010007</v>
      </c>
      <c r="C220" s="28" t="inlineStr">
        <is>
          <t>淋浴器</t>
        </is>
      </c>
      <c r="D220" s="28" t="inlineStr">
        <is>
          <t>1.名称：淋浴花洒2-公卫
2.型号：详见物料表
3.其他：包括但不限于满足图纸、招标文件、规范及验收要求等一切相关费用</t>
        </is>
      </c>
      <c r="E220" s="27" t="inlineStr">
        <is>
          <t>套</t>
        </is>
      </c>
      <c r="F220" s="145" t="n">
        <v>1</v>
      </c>
      <c r="G220" s="123">
        <f>R220*$R$3</f>
        <v/>
      </c>
      <c r="H220" s="106">
        <f>P220*(1+Q220)*$P$3+S220*$S$3</f>
        <v/>
      </c>
      <c r="I220" s="106">
        <f>T220*$T$3</f>
        <v/>
      </c>
      <c r="J220" s="106">
        <f>(G220+H220+I220)*$J$3</f>
        <v/>
      </c>
      <c r="K220" s="106">
        <f>(G220+H220+I220+J220)*$K$3</f>
        <v/>
      </c>
      <c r="L220" s="106">
        <f>G220+H220+I220+J220+K220</f>
        <v/>
      </c>
      <c r="M220" s="106">
        <f>F220*L220</f>
        <v/>
      </c>
      <c r="N220" s="101" t="n"/>
      <c r="O220" s="105">
        <f>P220*(1+Q220)+R220+S220+T220</f>
        <v/>
      </c>
      <c r="P220" s="111">
        <f>P53</f>
        <v/>
      </c>
      <c r="Q220" s="32">
        <f>Q53</f>
        <v/>
      </c>
      <c r="R220" s="111">
        <f>R53</f>
        <v/>
      </c>
      <c r="S220" s="112">
        <f>S53</f>
        <v/>
      </c>
      <c r="T220" s="107">
        <f>T53</f>
        <v/>
      </c>
      <c r="U220" s="105">
        <f>F220*O220</f>
        <v/>
      </c>
    </row>
    <row r="221" outlineLevel="3" ht="60" customFormat="1" customHeight="1" s="5">
      <c r="A221" s="27" t="n">
        <v>182</v>
      </c>
      <c r="B221" s="28" t="n">
        <v>31003010008</v>
      </c>
      <c r="C221" s="28" t="inlineStr">
        <is>
          <t>淋浴器</t>
        </is>
      </c>
      <c r="D221" s="28" t="inlineStr">
        <is>
          <t>1.名称：淋浴花洒2-次卫
2.型号：详见物料表
3.其他：包括但不限于满足图纸、招标文件、规范及验收要求等一切相关费用</t>
        </is>
      </c>
      <c r="E221" s="27" t="inlineStr">
        <is>
          <t>套</t>
        </is>
      </c>
      <c r="F221" s="145" t="n">
        <v>1</v>
      </c>
      <c r="G221" s="123">
        <f>R221*$R$3</f>
        <v/>
      </c>
      <c r="H221" s="106">
        <f>P221*(1+Q221)*$P$3+S221*$S$3</f>
        <v/>
      </c>
      <c r="I221" s="106">
        <f>T221*$T$3</f>
        <v/>
      </c>
      <c r="J221" s="106">
        <f>(G221+H221+I221)*$J$3</f>
        <v/>
      </c>
      <c r="K221" s="106">
        <f>(G221+H221+I221+J221)*$K$3</f>
        <v/>
      </c>
      <c r="L221" s="106">
        <f>G221+H221+I221+J221+K221</f>
        <v/>
      </c>
      <c r="M221" s="106">
        <f>F221*L221</f>
        <v/>
      </c>
      <c r="N221" s="101" t="n"/>
      <c r="O221" s="105">
        <f>P221*(1+Q221)+R221+S221+T221</f>
        <v/>
      </c>
      <c r="P221" s="111">
        <f>P134</f>
        <v/>
      </c>
      <c r="Q221" s="32">
        <f>Q134</f>
        <v/>
      </c>
      <c r="R221" s="111">
        <f>R134</f>
        <v/>
      </c>
      <c r="S221" s="112">
        <f>S134</f>
        <v/>
      </c>
      <c r="T221" s="107">
        <f>T134</f>
        <v/>
      </c>
      <c r="U221" s="105">
        <f>F221*O221</f>
        <v/>
      </c>
    </row>
    <row r="222" outlineLevel="3" ht="72" customFormat="1" customHeight="1" s="5">
      <c r="A222" s="27" t="n">
        <v>183</v>
      </c>
      <c r="B222" s="28" t="n">
        <v>31003003006</v>
      </c>
      <c r="C222" s="28" t="inlineStr">
        <is>
          <t>台下盆及龙头</t>
        </is>
      </c>
      <c r="D222" s="28" t="inlineStr">
        <is>
          <t>1.名称：台下盆方形及龙头-主卫
2.型号：详见物料表
3.其他：包括但不限于满足图纸、招标文件、规范及验收要求等一切相关费用</t>
        </is>
      </c>
      <c r="E222" s="27" t="inlineStr">
        <is>
          <t>组</t>
        </is>
      </c>
      <c r="F222" s="145" t="n">
        <v>2</v>
      </c>
      <c r="G222" s="123">
        <f>R222*$R$3</f>
        <v/>
      </c>
      <c r="H222" s="106">
        <f>P222*(1+Q222)*$P$3+S222*$S$3</f>
        <v/>
      </c>
      <c r="I222" s="106">
        <f>T222*$T$3</f>
        <v/>
      </c>
      <c r="J222" s="106">
        <f>(G222+H222+I222)*$J$3</f>
        <v/>
      </c>
      <c r="K222" s="106">
        <f>(G222+H222+I222+J222)*$K$3</f>
        <v/>
      </c>
      <c r="L222" s="106">
        <f>G222+H222+I222+J222+K222</f>
        <v/>
      </c>
      <c r="M222" s="106">
        <f>F222*L222</f>
        <v/>
      </c>
      <c r="N222" s="101" t="n"/>
      <c r="O222" s="105">
        <f>P222*(1+Q222)+R222+S222+T222</f>
        <v/>
      </c>
      <c r="P222" s="111">
        <f>P54</f>
        <v/>
      </c>
      <c r="Q222" s="32">
        <f>Q54</f>
        <v/>
      </c>
      <c r="R222" s="111">
        <f>R54</f>
        <v/>
      </c>
      <c r="S222" s="112">
        <f>S54</f>
        <v/>
      </c>
      <c r="T222" s="107">
        <f>T54</f>
        <v/>
      </c>
      <c r="U222" s="105">
        <f>F222*O222</f>
        <v/>
      </c>
    </row>
    <row r="223" outlineLevel="3" ht="72" customFormat="1" customHeight="1" s="5">
      <c r="A223" s="27" t="n">
        <v>184</v>
      </c>
      <c r="B223" s="28" t="n">
        <v>31003003007</v>
      </c>
      <c r="C223" s="28" t="inlineStr">
        <is>
          <t>台下盆及龙头</t>
        </is>
      </c>
      <c r="D223" s="28" t="inlineStr">
        <is>
          <t>1.名称：台下盆方形及龙头-公卫
2.型号：详见物料表
3.其他：包括但不限于满足图纸、招标文件、规范及验收要求等一切相关费用</t>
        </is>
      </c>
      <c r="E223" s="27" t="inlineStr">
        <is>
          <t>组</t>
        </is>
      </c>
      <c r="F223" s="145" t="n">
        <v>1</v>
      </c>
      <c r="G223" s="123">
        <f>R223*$R$3</f>
        <v/>
      </c>
      <c r="H223" s="106">
        <f>P223*(1+Q223)*$P$3+S223*$S$3</f>
        <v/>
      </c>
      <c r="I223" s="106">
        <f>T223*$T$3</f>
        <v/>
      </c>
      <c r="J223" s="106">
        <f>(G223+H223+I223)*$J$3</f>
        <v/>
      </c>
      <c r="K223" s="106">
        <f>(G223+H223+I223+J223)*$K$3</f>
        <v/>
      </c>
      <c r="L223" s="106">
        <f>G223+H223+I223+J223+K223</f>
        <v/>
      </c>
      <c r="M223" s="106">
        <f>F223*L223</f>
        <v/>
      </c>
      <c r="N223" s="101" t="n"/>
      <c r="O223" s="105">
        <f>P223*(1+Q223)+R223+S223+T223</f>
        <v/>
      </c>
      <c r="P223" s="111">
        <f>P55</f>
        <v/>
      </c>
      <c r="Q223" s="32">
        <f>Q55</f>
        <v/>
      </c>
      <c r="R223" s="111">
        <f>R55</f>
        <v/>
      </c>
      <c r="S223" s="112">
        <f>S55</f>
        <v/>
      </c>
      <c r="T223" s="107">
        <f>T55</f>
        <v/>
      </c>
      <c r="U223" s="105">
        <f>F223*O223</f>
        <v/>
      </c>
    </row>
    <row r="224" outlineLevel="3" ht="72" customFormat="1" customHeight="1" s="5">
      <c r="A224" s="27" t="n">
        <v>185</v>
      </c>
      <c r="B224" s="28" t="n">
        <v>31003003008</v>
      </c>
      <c r="C224" s="28" t="inlineStr">
        <is>
          <t>台下盆及龙头</t>
        </is>
      </c>
      <c r="D224" s="28" t="inlineStr">
        <is>
          <t>1.名称：台下盆方形及龙头-次卫
2.型号：详见物料表
3.其他：包括但不限于满足图纸、招标文件、规范及验收要求等一切相关费用</t>
        </is>
      </c>
      <c r="E224" s="27" t="inlineStr">
        <is>
          <t>组</t>
        </is>
      </c>
      <c r="F224" s="145" t="n">
        <v>1</v>
      </c>
      <c r="G224" s="123">
        <f>R224*$R$3</f>
        <v/>
      </c>
      <c r="H224" s="106">
        <f>P224*(1+Q224)*$P$3+S224*$S$3</f>
        <v/>
      </c>
      <c r="I224" s="106">
        <f>T224*$T$3</f>
        <v/>
      </c>
      <c r="J224" s="106">
        <f>(G224+H224+I224)*$J$3</f>
        <v/>
      </c>
      <c r="K224" s="106">
        <f>(G224+H224+I224+J224)*$K$3</f>
        <v/>
      </c>
      <c r="L224" s="106">
        <f>G224+H224+I224+J224+K224</f>
        <v/>
      </c>
      <c r="M224" s="106">
        <f>F224*L224</f>
        <v/>
      </c>
      <c r="N224" s="101" t="n"/>
      <c r="O224" s="105">
        <f>P224*(1+Q224)+R224+S224+T224</f>
        <v/>
      </c>
      <c r="P224" s="111">
        <f>P137</f>
        <v/>
      </c>
      <c r="Q224" s="32">
        <f>Q137</f>
        <v/>
      </c>
      <c r="R224" s="111">
        <f>R137</f>
        <v/>
      </c>
      <c r="S224" s="112">
        <f>S137</f>
        <v/>
      </c>
      <c r="T224" s="107">
        <f>T137</f>
        <v/>
      </c>
      <c r="U224" s="105">
        <f>F224*O224</f>
        <v/>
      </c>
    </row>
    <row r="225" outlineLevel="3" ht="60" customFormat="1" customHeight="1" s="5">
      <c r="A225" s="27" t="n">
        <v>186</v>
      </c>
      <c r="B225" s="28" t="n">
        <v>31003004003</v>
      </c>
      <c r="C225" s="28" t="inlineStr">
        <is>
          <t>水槽及龙头</t>
        </is>
      </c>
      <c r="D225" s="28" t="inlineStr">
        <is>
          <t>1.名称：厨房大单盆水槽
2.型号：详见物料表
3.其他：包括但不限于满足图纸、招标文件、规范及验收要求等一切相关费用</t>
        </is>
      </c>
      <c r="E225" s="27" t="inlineStr">
        <is>
          <t>组</t>
        </is>
      </c>
      <c r="F225" s="145" t="n">
        <v>1</v>
      </c>
      <c r="G225" s="123">
        <f>R225*$R$3</f>
        <v/>
      </c>
      <c r="H225" s="106">
        <f>P225*(1+Q225)*$P$3+S225*$S$3</f>
        <v/>
      </c>
      <c r="I225" s="106">
        <f>T225*$T$3</f>
        <v/>
      </c>
      <c r="J225" s="106">
        <f>(G225+H225+I225)*$J$3</f>
        <v/>
      </c>
      <c r="K225" s="106">
        <f>(G225+H225+I225+J225)*$K$3</f>
        <v/>
      </c>
      <c r="L225" s="106">
        <f>G225+H225+I225+J225+K225</f>
        <v/>
      </c>
      <c r="M225" s="106">
        <f>F225*L225</f>
        <v/>
      </c>
      <c r="N225" s="101" t="n"/>
      <c r="O225" s="105">
        <f>P225*(1+Q225)+R225+S225+T225</f>
        <v/>
      </c>
      <c r="P225" s="111">
        <f>P56</f>
        <v/>
      </c>
      <c r="Q225" s="32">
        <f>Q56</f>
        <v/>
      </c>
      <c r="R225" s="111">
        <f>R56</f>
        <v/>
      </c>
      <c r="S225" s="112">
        <f>S56</f>
        <v/>
      </c>
      <c r="T225" s="107">
        <f>T56</f>
        <v/>
      </c>
      <c r="U225" s="105">
        <f>F225*O225</f>
        <v/>
      </c>
    </row>
    <row r="226" outlineLevel="3" ht="72" customFormat="1" customHeight="1" s="5">
      <c r="A226" s="27" t="n">
        <v>187</v>
      </c>
      <c r="B226" s="28" t="n">
        <v>31003014011</v>
      </c>
      <c r="C226" s="28" t="inlineStr">
        <is>
          <t>地漏</t>
        </is>
      </c>
      <c r="D226" s="28" t="inlineStr">
        <is>
          <t>1.名称：隐藏式地漏-干区
2.规格：DN50
3.型号：详见物料表
4.其他：包括但不限于满足图纸、招标文件、规范及验收要求等一切相关费用</t>
        </is>
      </c>
      <c r="E226" s="27" t="inlineStr">
        <is>
          <t>个</t>
        </is>
      </c>
      <c r="F226" s="145" t="n">
        <v>4</v>
      </c>
      <c r="G226" s="123">
        <f>R226*$R$3</f>
        <v/>
      </c>
      <c r="H226" s="106">
        <f>P226*(1+Q226)*$P$3+S226*$S$3</f>
        <v/>
      </c>
      <c r="I226" s="106">
        <f>T226*$T$3</f>
        <v/>
      </c>
      <c r="J226" s="106">
        <f>(G226+H226+I226)*$J$3</f>
        <v/>
      </c>
      <c r="K226" s="106">
        <f>(G226+H226+I226+J226)*$K$3</f>
        <v/>
      </c>
      <c r="L226" s="106">
        <f>G226+H226+I226+J226+K226</f>
        <v/>
      </c>
      <c r="M226" s="106">
        <f>F226*L226</f>
        <v/>
      </c>
      <c r="N226" s="101" t="n"/>
      <c r="O226" s="105">
        <f>P226*(1+Q226)+R226+S226+T226</f>
        <v/>
      </c>
      <c r="P226" s="111">
        <f>P57</f>
        <v/>
      </c>
      <c r="Q226" s="32">
        <f>Q57</f>
        <v/>
      </c>
      <c r="R226" s="111">
        <f>R57</f>
        <v/>
      </c>
      <c r="S226" s="112">
        <f>S57</f>
        <v/>
      </c>
      <c r="T226" s="107">
        <f>T57</f>
        <v/>
      </c>
      <c r="U226" s="105">
        <f>F226*O226</f>
        <v/>
      </c>
    </row>
    <row r="227" outlineLevel="3" ht="72" customFormat="1" customHeight="1" s="5">
      <c r="A227" s="27" t="n">
        <v>188</v>
      </c>
      <c r="B227" s="28" t="n">
        <v>31003014012</v>
      </c>
      <c r="C227" s="28" t="inlineStr">
        <is>
          <t>地漏</t>
        </is>
      </c>
      <c r="D227" s="28" t="inlineStr">
        <is>
          <t>1.名称：隐形长地漏-淋浴间
2.规格：DN75
3.型号：详见物料表
4.其他：包括但不限于满足图纸、招标文件、规范及验收要求等一切相关费用</t>
        </is>
      </c>
      <c r="E227" s="27" t="inlineStr">
        <is>
          <t>个</t>
        </is>
      </c>
      <c r="F227" s="145" t="n">
        <v>3</v>
      </c>
      <c r="G227" s="123">
        <f>R227*$R$3</f>
        <v/>
      </c>
      <c r="H227" s="106">
        <f>P227*(1+Q227)*$P$3+S227*$S$3</f>
        <v/>
      </c>
      <c r="I227" s="106">
        <f>T227*$T$3</f>
        <v/>
      </c>
      <c r="J227" s="106">
        <f>(G227+H227+I227)*$J$3</f>
        <v/>
      </c>
      <c r="K227" s="106">
        <f>(G227+H227+I227+J227)*$K$3</f>
        <v/>
      </c>
      <c r="L227" s="106">
        <f>G227+H227+I227+J227+K227</f>
        <v/>
      </c>
      <c r="M227" s="106">
        <f>F227*L227</f>
        <v/>
      </c>
      <c r="N227" s="101" t="n"/>
      <c r="O227" s="105">
        <f>P227*(1+Q227)+R227+S227+T227</f>
        <v/>
      </c>
      <c r="P227" s="111">
        <f>P58</f>
        <v/>
      </c>
      <c r="Q227" s="32">
        <f>Q58</f>
        <v/>
      </c>
      <c r="R227" s="111">
        <f>R58</f>
        <v/>
      </c>
      <c r="S227" s="112">
        <f>S58</f>
        <v/>
      </c>
      <c r="T227" s="107">
        <f>T58</f>
        <v/>
      </c>
      <c r="U227" s="105">
        <f>F227*O227</f>
        <v/>
      </c>
    </row>
    <row r="228" outlineLevel="3" ht="72" customFormat="1" customHeight="1" s="5">
      <c r="A228" s="27" t="n">
        <v>189</v>
      </c>
      <c r="B228" s="28" t="n">
        <v>31003014013</v>
      </c>
      <c r="C228" s="28" t="inlineStr">
        <is>
          <t>地漏</t>
        </is>
      </c>
      <c r="D228" s="28" t="inlineStr">
        <is>
          <t>1.名称：隐藏式地漏-阳台
2.规格：DN75
3.型号：详见物料表
4.其他：包括但不限于满足图纸、招标文件、规范及验收要求等一切相关费用</t>
        </is>
      </c>
      <c r="E228" s="27" t="inlineStr">
        <is>
          <t>个</t>
        </is>
      </c>
      <c r="F228" s="145" t="n">
        <v>2</v>
      </c>
      <c r="G228" s="123">
        <f>R228*$R$3</f>
        <v/>
      </c>
      <c r="H228" s="106">
        <f>P228*(1+Q228)*$P$3+S228*$S$3</f>
        <v/>
      </c>
      <c r="I228" s="106">
        <f>T228*$T$3</f>
        <v/>
      </c>
      <c r="J228" s="106">
        <f>(G228+H228+I228)*$J$3</f>
        <v/>
      </c>
      <c r="K228" s="106">
        <f>(G228+H228+I228+J228)*$K$3</f>
        <v/>
      </c>
      <c r="L228" s="106">
        <f>G228+H228+I228+J228+K228</f>
        <v/>
      </c>
      <c r="M228" s="106">
        <f>F228*L228</f>
        <v/>
      </c>
      <c r="N228" s="101" t="n"/>
      <c r="O228" s="105">
        <f>P228*(1+Q228)+R228+S228+T228</f>
        <v/>
      </c>
      <c r="P228" s="111">
        <f>P59</f>
        <v/>
      </c>
      <c r="Q228" s="32">
        <f>Q59</f>
        <v/>
      </c>
      <c r="R228" s="111">
        <f>R59</f>
        <v/>
      </c>
      <c r="S228" s="112">
        <f>S59</f>
        <v/>
      </c>
      <c r="T228" s="107">
        <f>T59</f>
        <v/>
      </c>
      <c r="U228" s="105">
        <f>F228*O228</f>
        <v/>
      </c>
    </row>
    <row r="229" outlineLevel="3" ht="72" customFormat="1" customHeight="1" s="5">
      <c r="A229" s="27" t="n">
        <v>190</v>
      </c>
      <c r="B229" s="28" t="n">
        <v>31003014014</v>
      </c>
      <c r="C229" s="28" t="inlineStr">
        <is>
          <t>地漏</t>
        </is>
      </c>
      <c r="D229" s="28" t="inlineStr">
        <is>
          <t>1.名称：洗衣机地漏
2.规格：DN75
3.型号：详见物料表
4.其他：包括但不限于满足图纸、招标文件、规范及验收要求等一切相关费用</t>
        </is>
      </c>
      <c r="E229" s="27" t="inlineStr">
        <is>
          <t>个</t>
        </is>
      </c>
      <c r="F229" s="145" t="n">
        <v>1</v>
      </c>
      <c r="G229" s="123">
        <f>R229*$R$3</f>
        <v/>
      </c>
      <c r="H229" s="106">
        <f>P229*(1+Q229)*$P$3+S229*$S$3</f>
        <v/>
      </c>
      <c r="I229" s="106">
        <f>T229*$T$3</f>
        <v/>
      </c>
      <c r="J229" s="106">
        <f>(G229+H229+I229)*$J$3</f>
        <v/>
      </c>
      <c r="K229" s="106">
        <f>(G229+H229+I229+J229)*$K$3</f>
        <v/>
      </c>
      <c r="L229" s="106">
        <f>G229+H229+I229+J229+K229</f>
        <v/>
      </c>
      <c r="M229" s="106">
        <f>F229*L229</f>
        <v/>
      </c>
      <c r="N229" s="101" t="n"/>
      <c r="O229" s="105">
        <f>P229*(1+Q229)+R229+S229+T229</f>
        <v/>
      </c>
      <c r="P229" s="111">
        <f>P60</f>
        <v/>
      </c>
      <c r="Q229" s="32">
        <f>Q60</f>
        <v/>
      </c>
      <c r="R229" s="111">
        <f>R60</f>
        <v/>
      </c>
      <c r="S229" s="112">
        <f>S60</f>
        <v/>
      </c>
      <c r="T229" s="107">
        <f>T60</f>
        <v/>
      </c>
      <c r="U229" s="105">
        <f>F229*O229</f>
        <v/>
      </c>
    </row>
    <row r="230" outlineLevel="3" ht="72" customFormat="1" customHeight="1" s="5">
      <c r="A230" s="27" t="n">
        <v>191</v>
      </c>
      <c r="B230" s="28" t="n">
        <v>31003014015</v>
      </c>
      <c r="C230" s="28" t="inlineStr">
        <is>
          <t>洗衣机龙头</t>
        </is>
      </c>
      <c r="D230" s="28" t="inlineStr">
        <is>
          <t>1.名称：洗衣机龙头
2.规格：DN15
3.型号：详见物料表
4.其他：包括但不限于满足图纸、招标文件、规范及验收要求等一切相关费用</t>
        </is>
      </c>
      <c r="E230" s="27" t="inlineStr">
        <is>
          <t>个</t>
        </is>
      </c>
      <c r="F230" s="145" t="n">
        <v>1</v>
      </c>
      <c r="G230" s="123">
        <f>R230*$R$3</f>
        <v/>
      </c>
      <c r="H230" s="106">
        <f>P230*(1+Q230)*$P$3+S230*$S$3</f>
        <v/>
      </c>
      <c r="I230" s="106">
        <f>T230*$T$3</f>
        <v/>
      </c>
      <c r="J230" s="106">
        <f>(G230+H230+I230)*$J$3</f>
        <v/>
      </c>
      <c r="K230" s="106">
        <f>(G230+H230+I230+J230)*$K$3</f>
        <v/>
      </c>
      <c r="L230" s="106">
        <f>G230+H230+I230+J230+K230</f>
        <v/>
      </c>
      <c r="M230" s="106">
        <f>F230*L230</f>
        <v/>
      </c>
      <c r="N230" s="101" t="n"/>
      <c r="O230" s="105">
        <f>P230*(1+Q230)+R230+S230+T230</f>
        <v/>
      </c>
      <c r="P230" s="111">
        <f>P61</f>
        <v/>
      </c>
      <c r="Q230" s="32">
        <f>Q61</f>
        <v/>
      </c>
      <c r="R230" s="111">
        <f>R61</f>
        <v/>
      </c>
      <c r="S230" s="112">
        <f>S61</f>
        <v/>
      </c>
      <c r="T230" s="107">
        <f>T61</f>
        <v/>
      </c>
      <c r="U230" s="105">
        <f>F230*O230</f>
        <v/>
      </c>
    </row>
    <row r="231" outlineLevel="3" ht="72" customFormat="1" customHeight="1" s="5">
      <c r="A231" s="27" t="n">
        <v>192</v>
      </c>
      <c r="B231" s="28" t="n">
        <v>31002001006</v>
      </c>
      <c r="C231" s="28" t="inlineStr">
        <is>
          <t>角阀</t>
        </is>
      </c>
      <c r="D231" s="28" t="inlineStr">
        <is>
          <t>1.名称：角阀（热水器、洗碗机、阳台洗手盆）
2.型号规格：DN15
3.其他：包括但不限于满足图纸、招标文件、规范及验收要求等一切相关费用</t>
        </is>
      </c>
      <c r="E231" s="27" t="inlineStr">
        <is>
          <t>个</t>
        </is>
      </c>
      <c r="F231" s="145" t="n">
        <v>6</v>
      </c>
      <c r="G231" s="123">
        <f>R231*$R$3</f>
        <v/>
      </c>
      <c r="H231" s="106">
        <f>P231*(1+Q231)*$P$3+S231*$S$3</f>
        <v/>
      </c>
      <c r="I231" s="106">
        <f>T231*$T$3</f>
        <v/>
      </c>
      <c r="J231" s="106">
        <f>(G231+H231+I231)*$J$3</f>
        <v/>
      </c>
      <c r="K231" s="106">
        <f>(G231+H231+I231+J231)*$K$3</f>
        <v/>
      </c>
      <c r="L231" s="106">
        <f>G231+H231+I231+J231+K231</f>
        <v/>
      </c>
      <c r="M231" s="106">
        <f>F231*L231</f>
        <v/>
      </c>
      <c r="N231" s="101" t="n"/>
      <c r="O231" s="105">
        <f>P231*(1+Q231)+R231+S231+T231</f>
        <v/>
      </c>
      <c r="P231" s="111">
        <f>P144</f>
        <v/>
      </c>
      <c r="Q231" s="32">
        <f>Q144</f>
        <v/>
      </c>
      <c r="R231" s="111">
        <f>R144</f>
        <v/>
      </c>
      <c r="S231" s="112">
        <f>S144</f>
        <v/>
      </c>
      <c r="T231" s="107">
        <f>T144</f>
        <v/>
      </c>
      <c r="U231" s="105">
        <f>F231*O231</f>
        <v/>
      </c>
    </row>
    <row r="232" outlineLevel="1" customFormat="1" s="5">
      <c r="A232" s="27" t="inlineStr"/>
      <c r="B232" s="28" t="inlineStr"/>
      <c r="C232" s="28" t="inlineStr">
        <is>
          <t>空调工程</t>
        </is>
      </c>
      <c r="D232" s="28" t="inlineStr"/>
      <c r="E232" s="27" t="inlineStr"/>
      <c r="F232" s="145" t="inlineStr"/>
      <c r="G232" s="123" t="n"/>
      <c r="H232" s="106" t="n"/>
      <c r="I232" s="106" t="n"/>
      <c r="J232" s="106" t="n"/>
      <c r="K232" s="106" t="n"/>
      <c r="L232" s="106" t="n"/>
      <c r="M232" s="106" t="n"/>
      <c r="N232" s="101" t="n"/>
      <c r="O232" s="105">
        <f>P232*(1+Q232)+R232+S232+T232</f>
        <v/>
      </c>
      <c r="P232" s="111" t="n"/>
      <c r="Q232" s="32" t="n"/>
      <c r="R232" s="111" t="n"/>
      <c r="S232" s="112" t="n"/>
      <c r="T232" s="107" t="n"/>
      <c r="U232" s="105">
        <f>F232*O232</f>
        <v/>
      </c>
    </row>
    <row r="233" outlineLevel="2" customFormat="1" s="5">
      <c r="A233" s="27" t="inlineStr"/>
      <c r="B233" s="28" t="inlineStr"/>
      <c r="C233" s="28" t="inlineStr">
        <is>
          <t>设备</t>
        </is>
      </c>
      <c r="D233" s="28" t="inlineStr"/>
      <c r="E233" s="27" t="inlineStr"/>
      <c r="F233" s="145" t="inlineStr"/>
      <c r="G233" s="123" t="n"/>
      <c r="H233" s="106" t="n"/>
      <c r="I233" s="106" t="n"/>
      <c r="J233" s="106" t="n"/>
      <c r="K233" s="106" t="n"/>
      <c r="L233" s="106" t="n"/>
      <c r="M233" s="106" t="n"/>
      <c r="N233" s="101" t="n"/>
      <c r="O233" s="105">
        <f>P233*(1+Q233)+R233+S233+T233</f>
        <v/>
      </c>
      <c r="P233" s="111" t="n"/>
      <c r="Q233" s="32" t="n"/>
      <c r="R233" s="111" t="n"/>
      <c r="S233" s="112" t="n"/>
      <c r="T233" s="107" t="n"/>
      <c r="U233" s="105">
        <f>F233*O233</f>
        <v/>
      </c>
    </row>
    <row r="234" outlineLevel="3" ht="120" customFormat="1" customHeight="1" s="5">
      <c r="A234" s="27" t="n">
        <v>193</v>
      </c>
      <c r="B234" s="28" t="n">
        <v>30701003011</v>
      </c>
      <c r="C234" s="28" t="inlineStr">
        <is>
          <t>风管机</t>
        </is>
      </c>
      <c r="D234" s="28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234" s="27" t="inlineStr">
        <is>
          <t>台</t>
        </is>
      </c>
      <c r="F234" s="145" t="n">
        <v>2</v>
      </c>
      <c r="G234" s="123">
        <f>R234*$R$3</f>
        <v/>
      </c>
      <c r="H234" s="106">
        <f>P234*(1+Q234)*$P$3+S234*$S$3</f>
        <v/>
      </c>
      <c r="I234" s="106">
        <f>T234*$T$3</f>
        <v/>
      </c>
      <c r="J234" s="106">
        <f>(G234+H234+I234)*$J$3</f>
        <v/>
      </c>
      <c r="K234" s="106">
        <f>(G234+H234+I234+J234)*$K$3</f>
        <v/>
      </c>
      <c r="L234" s="106">
        <f>G234+H234+I234+J234+K234</f>
        <v/>
      </c>
      <c r="M234" s="106">
        <f>F234*L234</f>
        <v/>
      </c>
      <c r="N234" s="101" t="n"/>
      <c r="O234" s="105">
        <f>P234*(1+Q234)+R234+S234+T234</f>
        <v/>
      </c>
      <c r="P234" s="111">
        <f>P65</f>
        <v/>
      </c>
      <c r="Q234" s="32">
        <f>Q65</f>
        <v/>
      </c>
      <c r="R234" s="111">
        <f>R65</f>
        <v/>
      </c>
      <c r="S234" s="112">
        <f>S65</f>
        <v/>
      </c>
      <c r="T234" s="107">
        <f>T65</f>
        <v/>
      </c>
      <c r="U234" s="105">
        <f>F234*O234</f>
        <v/>
      </c>
    </row>
    <row r="235" outlineLevel="3" ht="120" customFormat="1" customHeight="1" s="5">
      <c r="A235" s="27" t="n">
        <v>194</v>
      </c>
      <c r="B235" s="28" t="n">
        <v>30701003012</v>
      </c>
      <c r="C235" s="28" t="inlineStr">
        <is>
          <t>风管机</t>
        </is>
      </c>
      <c r="D235" s="28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235" s="27" t="inlineStr">
        <is>
          <t>台</t>
        </is>
      </c>
      <c r="F235" s="145" t="n">
        <v>2</v>
      </c>
      <c r="G235" s="123">
        <f>R235*$R$3</f>
        <v/>
      </c>
      <c r="H235" s="106">
        <f>P235*(1+Q235)*$P$3+S235*$S$3</f>
        <v/>
      </c>
      <c r="I235" s="106">
        <f>T235*$T$3</f>
        <v/>
      </c>
      <c r="J235" s="106">
        <f>(G235+H235+I235)*$J$3</f>
        <v/>
      </c>
      <c r="K235" s="106">
        <f>(G235+H235+I235+J235)*$K$3</f>
        <v/>
      </c>
      <c r="L235" s="106">
        <f>G235+H235+I235+J235+K235</f>
        <v/>
      </c>
      <c r="M235" s="106">
        <f>F235*L235</f>
        <v/>
      </c>
      <c r="N235" s="101" t="n"/>
      <c r="O235" s="105">
        <f>P235*(1+Q235)+R235+S235+T235</f>
        <v/>
      </c>
      <c r="P235" s="111">
        <f>P66</f>
        <v/>
      </c>
      <c r="Q235" s="32">
        <f>Q66</f>
        <v/>
      </c>
      <c r="R235" s="111">
        <f>R66</f>
        <v/>
      </c>
      <c r="S235" s="112">
        <f>S66</f>
        <v/>
      </c>
      <c r="T235" s="107">
        <f>T66</f>
        <v/>
      </c>
      <c r="U235" s="105">
        <f>F235*O235</f>
        <v/>
      </c>
    </row>
    <row r="236" outlineLevel="3" ht="120" customFormat="1" customHeight="1" s="5">
      <c r="A236" s="113" t="n">
        <v>195</v>
      </c>
      <c r="B236" s="136" t="n">
        <v>30701003013</v>
      </c>
      <c r="C236" s="136" t="inlineStr">
        <is>
          <t>风管机</t>
        </is>
      </c>
      <c r="D236" s="136" t="inlineStr">
        <is>
          <t>1.名称：超薄风管式室内机 FF71
2.规格：制冷量7.1kW 制冷功率65W 制热量8.0kW 制热功率65W 风量1160m3/h 运转噪音≤35dB(A)
3.安装方式：吊装
4.其他：包括但不限于满足图纸、招标文件、规范及验收要求等一切相关费用</t>
        </is>
      </c>
      <c r="E236" s="113" t="inlineStr">
        <is>
          <t>台</t>
        </is>
      </c>
      <c r="F236" s="146" t="n">
        <v>2</v>
      </c>
      <c r="G236" s="116">
        <f>R236*$R$3</f>
        <v/>
      </c>
      <c r="H236" s="117">
        <f>P236*(1+Q236)*$P$3+S236*$S$3</f>
        <v/>
      </c>
      <c r="I236" s="117">
        <f>T236*$T$3</f>
        <v/>
      </c>
      <c r="J236" s="117">
        <f>(G236+H236+I236)*$J$3</f>
        <v/>
      </c>
      <c r="K236" s="117">
        <f>(G236+H236+I236+J236)*$K$3</f>
        <v/>
      </c>
      <c r="L236" s="117">
        <f>G236+H236+I236+J236+K236</f>
        <v/>
      </c>
      <c r="M236" s="117">
        <f>F236*L236</f>
        <v/>
      </c>
      <c r="N236" s="118" t="n"/>
      <c r="O236" s="114">
        <f>P236*(1+Q236)+R236+S236+T236</f>
        <v/>
      </c>
      <c r="P236" s="119" t="n">
        <v>3600</v>
      </c>
      <c r="Q236" s="120" t="n">
        <v>0</v>
      </c>
      <c r="R236" s="119" t="n">
        <v>1000</v>
      </c>
      <c r="S236" s="121" t="n">
        <v>1200</v>
      </c>
      <c r="T236" s="122" t="n">
        <v>45</v>
      </c>
      <c r="U236" s="114">
        <f>F236*O236</f>
        <v/>
      </c>
    </row>
    <row r="237" outlineLevel="3" ht="108" customFormat="1" customHeight="1" s="5">
      <c r="A237" s="113" t="n">
        <v>196</v>
      </c>
      <c r="B237" s="136" t="n">
        <v>30701003015</v>
      </c>
      <c r="C237" s="136" t="inlineStr">
        <is>
          <t>多联式室外机</t>
        </is>
      </c>
      <c r="D237" s="136" t="inlineStr">
        <is>
          <t>1.名称：多联式室外机 SWJ-260
2.规格：制冷量26kW 制冷功率7300W 制热量28.5kW 制热功率7000W 风量10000m3/h 运转噪音≤60dB(A)
3.安装方式：落地
4.其他：包括但不限于满足图纸、招标文件、规范及验收要求等一切相关费用</t>
        </is>
      </c>
      <c r="E237" s="113" t="inlineStr">
        <is>
          <t>台</t>
        </is>
      </c>
      <c r="F237" s="146" t="n">
        <v>1</v>
      </c>
      <c r="G237" s="116">
        <f>R237*$R$3</f>
        <v/>
      </c>
      <c r="H237" s="117">
        <f>P237*(1+Q237)*$P$3+S237*$S$3</f>
        <v/>
      </c>
      <c r="I237" s="117">
        <f>T237*$T$3</f>
        <v/>
      </c>
      <c r="J237" s="117">
        <f>(G237+H237+I237)*$J$3</f>
        <v/>
      </c>
      <c r="K237" s="117">
        <f>(G237+H237+I237+J237)*$K$3</f>
        <v/>
      </c>
      <c r="L237" s="117">
        <f>G237+H237+I237+J237+K237</f>
        <v/>
      </c>
      <c r="M237" s="117">
        <f>F237*L237</f>
        <v/>
      </c>
      <c r="N237" s="118" t="n"/>
      <c r="O237" s="114">
        <f>P237*(1+Q237)+R237+S237+T237</f>
        <v/>
      </c>
      <c r="P237" s="119" t="n">
        <v>12000</v>
      </c>
      <c r="Q237" s="120" t="n">
        <v>0</v>
      </c>
      <c r="R237" s="119" t="n">
        <v>732.5</v>
      </c>
      <c r="S237" s="121" t="n">
        <v>600</v>
      </c>
      <c r="T237" s="122" t="n">
        <v>25</v>
      </c>
      <c r="U237" s="114">
        <f>F237*O237</f>
        <v/>
      </c>
    </row>
    <row r="238" outlineLevel="3" ht="72" customFormat="1" customHeight="1" s="5">
      <c r="A238" s="27" t="n">
        <v>197</v>
      </c>
      <c r="B238" s="28" t="n">
        <v>30413013024</v>
      </c>
      <c r="C238" s="28" t="inlineStr">
        <is>
          <t>空调温控面板</t>
        </is>
      </c>
      <c r="D238" s="28" t="inlineStr">
        <is>
          <t>1.名称：空调温控面板
2.规格：86*86mm
3.安装方式：暗装
4.其他：包括但不限于满足图纸、招标文件、规范及验收要求等一切相关费用</t>
        </is>
      </c>
      <c r="E238" s="27" t="inlineStr">
        <is>
          <t>套</t>
        </is>
      </c>
      <c r="F238" s="145" t="n">
        <v>6</v>
      </c>
      <c r="G238" s="123">
        <f>R238*$R$3</f>
        <v/>
      </c>
      <c r="H238" s="106">
        <f>P238*(1+Q238)*$P$3+S238*$S$3</f>
        <v/>
      </c>
      <c r="I238" s="106">
        <f>T238*$T$3</f>
        <v/>
      </c>
      <c r="J238" s="106">
        <f>(G238+H238+I238)*$J$3</f>
        <v/>
      </c>
      <c r="K238" s="106">
        <f>(G238+H238+I238+J238)*$K$3</f>
        <v/>
      </c>
      <c r="L238" s="106">
        <f>G238+H238+I238+J238+K238</f>
        <v/>
      </c>
      <c r="M238" s="106">
        <f>F238*L238</f>
        <v/>
      </c>
      <c r="N238" s="101" t="n"/>
      <c r="O238" s="105">
        <f>P238*(1+Q238)+R238+S238+T238</f>
        <v/>
      </c>
      <c r="P238" s="111">
        <f>'架空层安装工程'!P33</f>
        <v/>
      </c>
      <c r="Q238" s="32">
        <f>'架空层安装工程'!Q33</f>
        <v/>
      </c>
      <c r="R238" s="111">
        <f>'架空层安装工程'!R33</f>
        <v/>
      </c>
      <c r="S238" s="112">
        <f>'架空层安装工程'!S33</f>
        <v/>
      </c>
      <c r="T238" s="107">
        <f>'架空层安装工程'!T33</f>
        <v/>
      </c>
      <c r="U238" s="105">
        <f>F238*O238</f>
        <v/>
      </c>
    </row>
    <row r="239" outlineLevel="2" customFormat="1" s="5">
      <c r="A239" s="27" t="inlineStr"/>
      <c r="B239" s="28" t="inlineStr"/>
      <c r="C239" s="28" t="inlineStr">
        <is>
          <t>风管</t>
        </is>
      </c>
      <c r="D239" s="28" t="inlineStr"/>
      <c r="E239" s="27" t="inlineStr"/>
      <c r="F239" s="145" t="inlineStr"/>
      <c r="G239" s="123" t="n"/>
      <c r="H239" s="106" t="n"/>
      <c r="I239" s="106" t="n"/>
      <c r="J239" s="106" t="n"/>
      <c r="K239" s="106" t="n"/>
      <c r="L239" s="106" t="n"/>
      <c r="M239" s="106" t="n"/>
      <c r="N239" s="101" t="n"/>
      <c r="O239" s="105">
        <f>P239*(1+Q239)+R239+S239+T239</f>
        <v/>
      </c>
      <c r="P239" s="111" t="n"/>
      <c r="Q239" s="32" t="n"/>
      <c r="R239" s="111" t="n"/>
      <c r="S239" s="112" t="n"/>
      <c r="T239" s="107" t="n"/>
      <c r="U239" s="105">
        <f>F239*O239</f>
        <v/>
      </c>
    </row>
    <row r="240" outlineLevel="3" ht="84" customFormat="1" customHeight="1" s="5">
      <c r="A240" s="27" t="n">
        <v>198</v>
      </c>
      <c r="B240" s="28" t="n">
        <v>30702001004</v>
      </c>
      <c r="C240" s="28" t="inlineStr">
        <is>
          <t>碳钢通风管道</t>
        </is>
      </c>
      <c r="D240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240" s="27" t="inlineStr">
        <is>
          <t>m2</t>
        </is>
      </c>
      <c r="F240" s="145" t="n">
        <v>5.33</v>
      </c>
      <c r="G240" s="123">
        <f>R240*$R$3</f>
        <v/>
      </c>
      <c r="H240" s="106">
        <f>P240*(1+Q240)*$P$3+S240*$S$3</f>
        <v/>
      </c>
      <c r="I240" s="106">
        <f>T240*$T$3</f>
        <v/>
      </c>
      <c r="J240" s="106">
        <f>(G240+H240+I240)*$J$3</f>
        <v/>
      </c>
      <c r="K240" s="106">
        <f>(G240+H240+I240+J240)*$K$3</f>
        <v/>
      </c>
      <c r="L240" s="106">
        <f>G240+H240+I240+J240+K240</f>
        <v/>
      </c>
      <c r="M240" s="106">
        <f>F240*L240</f>
        <v/>
      </c>
      <c r="N240" s="101" t="n"/>
      <c r="O240" s="105">
        <f>P240*(1+Q240)+R240+S240+T240</f>
        <v/>
      </c>
      <c r="P240" s="111">
        <f>'架空层安装工程'!P40</f>
        <v/>
      </c>
      <c r="Q240" s="32">
        <f>'架空层安装工程'!Q40</f>
        <v/>
      </c>
      <c r="R240" s="111">
        <f>'架空层安装工程'!R40</f>
        <v/>
      </c>
      <c r="S240" s="112">
        <f>'架空层安装工程'!S40</f>
        <v/>
      </c>
      <c r="T240" s="107">
        <f>'架空层安装工程'!T40</f>
        <v/>
      </c>
      <c r="U240" s="105">
        <f>F240*O240</f>
        <v/>
      </c>
    </row>
    <row r="241" outlineLevel="3" ht="84" customFormat="1" customHeight="1" s="5">
      <c r="A241" s="27" t="n">
        <v>199</v>
      </c>
      <c r="B241" s="28" t="n">
        <v>30702001005</v>
      </c>
      <c r="C241" s="28" t="inlineStr">
        <is>
          <t>碳钢通风管道</t>
        </is>
      </c>
      <c r="D241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241" s="27" t="inlineStr">
        <is>
          <t>m2</t>
        </is>
      </c>
      <c r="F241" s="145" t="n">
        <v>12.8</v>
      </c>
      <c r="G241" s="123">
        <f>R241*$R$3</f>
        <v/>
      </c>
      <c r="H241" s="106">
        <f>P241*(1+Q241)*$P$3+S241*$S$3</f>
        <v/>
      </c>
      <c r="I241" s="106">
        <f>T241*$T$3</f>
        <v/>
      </c>
      <c r="J241" s="106">
        <f>(G241+H241+I241)*$J$3</f>
        <v/>
      </c>
      <c r="K241" s="106">
        <f>(G241+H241+I241+J241)*$K$3</f>
        <v/>
      </c>
      <c r="L241" s="106">
        <f>G241+H241+I241+J241+K241</f>
        <v/>
      </c>
      <c r="M241" s="106">
        <f>F241*L241</f>
        <v/>
      </c>
      <c r="N241" s="101" t="n"/>
      <c r="O241" s="105">
        <f>P241*(1+Q241)+R241+S241+T241</f>
        <v/>
      </c>
      <c r="P241" s="111">
        <f>'架空层安装工程'!P41</f>
        <v/>
      </c>
      <c r="Q241" s="32">
        <f>'架空层安装工程'!Q41</f>
        <v/>
      </c>
      <c r="R241" s="111">
        <f>'架空层安装工程'!R41</f>
        <v/>
      </c>
      <c r="S241" s="112">
        <f>'架空层安装工程'!S41</f>
        <v/>
      </c>
      <c r="T241" s="107">
        <f>'架空层安装工程'!T41</f>
        <v/>
      </c>
      <c r="U241" s="105">
        <f>F241*O241</f>
        <v/>
      </c>
    </row>
    <row r="242" outlineLevel="3" ht="72" customFormat="1" customHeight="1" s="5">
      <c r="A242" s="27" t="n">
        <v>200</v>
      </c>
      <c r="B242" s="28" t="n">
        <v>30703019003</v>
      </c>
      <c r="C242" s="28" t="inlineStr">
        <is>
          <t>柔性接口</t>
        </is>
      </c>
      <c r="D242" s="28" t="inlineStr">
        <is>
          <t>1.名称：帆布软接口
2.材质：帆布
3.厚度：满足验收要求
4.其他：包括但不限于满足图纸、招标文件、规范及验收要求等一切相关费用</t>
        </is>
      </c>
      <c r="E242" s="27" t="inlineStr">
        <is>
          <t>m2</t>
        </is>
      </c>
      <c r="F242" s="145" t="n">
        <v>3.23</v>
      </c>
      <c r="G242" s="123">
        <f>R242*$R$3</f>
        <v/>
      </c>
      <c r="H242" s="106">
        <f>P242*(1+Q242)*$P$3+S242*$S$3</f>
        <v/>
      </c>
      <c r="I242" s="106">
        <f>T242*$T$3</f>
        <v/>
      </c>
      <c r="J242" s="106">
        <f>(G242+H242+I242)*$J$3</f>
        <v/>
      </c>
      <c r="K242" s="106">
        <f>(G242+H242+I242+J242)*$K$3</f>
        <v/>
      </c>
      <c r="L242" s="106">
        <f>G242+H242+I242+J242+K242</f>
        <v/>
      </c>
      <c r="M242" s="106">
        <f>F242*L242</f>
        <v/>
      </c>
      <c r="N242" s="101" t="n"/>
      <c r="O242" s="105">
        <f>P242*(1+Q242)+R242+S242+T242</f>
        <v/>
      </c>
      <c r="P242" s="111">
        <f>'架空层安装工程'!P43</f>
        <v/>
      </c>
      <c r="Q242" s="32">
        <f>'架空层安装工程'!Q43</f>
        <v/>
      </c>
      <c r="R242" s="111">
        <f>'架空层安装工程'!R43</f>
        <v/>
      </c>
      <c r="S242" s="112">
        <f>'架空层安装工程'!S43</f>
        <v/>
      </c>
      <c r="T242" s="107">
        <f>'架空层安装工程'!T43</f>
        <v/>
      </c>
      <c r="U242" s="105">
        <f>F242*O242</f>
        <v/>
      </c>
    </row>
    <row r="243" outlineLevel="3" ht="72" customFormat="1" customHeight="1" s="5">
      <c r="A243" s="27" t="n">
        <v>201</v>
      </c>
      <c r="B243" s="28" t="n">
        <v>31301005003</v>
      </c>
      <c r="C243" s="28" t="inlineStr">
        <is>
          <t>风管支架刷油</t>
        </is>
      </c>
      <c r="D243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243" s="27" t="inlineStr">
        <is>
          <t>kg</t>
        </is>
      </c>
      <c r="F243" s="145" t="n">
        <v>63.82</v>
      </c>
      <c r="G243" s="123">
        <f>R243*$R$3</f>
        <v/>
      </c>
      <c r="H243" s="106">
        <f>P243*(1+Q243)*$P$3+S243*$S$3</f>
        <v/>
      </c>
      <c r="I243" s="106">
        <f>T243*$T$3</f>
        <v/>
      </c>
      <c r="J243" s="106">
        <f>(G243+H243+I243)*$J$3</f>
        <v/>
      </c>
      <c r="K243" s="106">
        <f>(G243+H243+I243+J243)*$K$3</f>
        <v/>
      </c>
      <c r="L243" s="106">
        <f>G243+H243+I243+J243+K243</f>
        <v/>
      </c>
      <c r="M243" s="106">
        <f>F243*L243</f>
        <v/>
      </c>
      <c r="N243" s="101" t="n"/>
      <c r="O243" s="105">
        <f>P243*(1+Q243)+R243+S243+T243</f>
        <v/>
      </c>
      <c r="P243" s="111">
        <f>'架空层安装工程'!P44</f>
        <v/>
      </c>
      <c r="Q243" s="32">
        <f>'架空层安装工程'!Q44</f>
        <v/>
      </c>
      <c r="R243" s="111">
        <f>'架空层安装工程'!R44</f>
        <v/>
      </c>
      <c r="S243" s="112">
        <f>'架空层安装工程'!S44</f>
        <v/>
      </c>
      <c r="T243" s="107">
        <f>'架空层安装工程'!T44</f>
        <v/>
      </c>
      <c r="U243" s="105">
        <f>F243*O243</f>
        <v/>
      </c>
    </row>
    <row r="244" outlineLevel="3" ht="108" customFormat="1" customHeight="1" s="5">
      <c r="A244" s="27" t="n">
        <v>202</v>
      </c>
      <c r="B244" s="28" t="n">
        <v>31208003003</v>
      </c>
      <c r="C244" s="28" t="inlineStr">
        <is>
          <t>通风管道绝热</t>
        </is>
      </c>
      <c r="D244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244" s="27" t="inlineStr">
        <is>
          <t>m2</t>
        </is>
      </c>
      <c r="F244" s="145" t="n">
        <v>18.13</v>
      </c>
      <c r="G244" s="123">
        <f>R244*$R$3</f>
        <v/>
      </c>
      <c r="H244" s="106">
        <f>P244*(1+Q244)*$P$3+S244*$S$3</f>
        <v/>
      </c>
      <c r="I244" s="106">
        <f>T244*$T$3</f>
        <v/>
      </c>
      <c r="J244" s="106">
        <f>(G244+H244+I244)*$J$3</f>
        <v/>
      </c>
      <c r="K244" s="106">
        <f>(G244+H244+I244+J244)*$K$3</f>
        <v/>
      </c>
      <c r="L244" s="106">
        <f>G244+H244+I244+J244+K244</f>
        <v/>
      </c>
      <c r="M244" s="106">
        <f>F244*L244</f>
        <v/>
      </c>
      <c r="N244" s="101" t="n"/>
      <c r="O244" s="105">
        <f>P244*(1+Q244)+R244+S244+T244</f>
        <v/>
      </c>
      <c r="P244" s="111">
        <f>'架空层安装工程'!P45</f>
        <v/>
      </c>
      <c r="Q244" s="32">
        <f>'架空层安装工程'!Q45</f>
        <v/>
      </c>
      <c r="R244" s="111">
        <f>'架空层安装工程'!R45</f>
        <v/>
      </c>
      <c r="S244" s="112">
        <f>'架空层安装工程'!S45</f>
        <v/>
      </c>
      <c r="T244" s="107">
        <f>'架空层安装工程'!T45</f>
        <v/>
      </c>
      <c r="U244" s="105">
        <f>F244*O244</f>
        <v/>
      </c>
    </row>
    <row r="245" outlineLevel="3" ht="24" customFormat="1" customHeight="1" s="5">
      <c r="A245" s="27" t="n">
        <v>203</v>
      </c>
      <c r="B245" s="28" t="n">
        <v>30704001003</v>
      </c>
      <c r="C245" s="28" t="inlineStr">
        <is>
          <t>通风工程检测、调试</t>
        </is>
      </c>
      <c r="D245" s="28" t="inlineStr">
        <is>
          <t>1.名称：风管漏光试验、漏风试验</t>
        </is>
      </c>
      <c r="E245" s="27" t="inlineStr">
        <is>
          <t>系统</t>
        </is>
      </c>
      <c r="F245" s="145" t="n">
        <v>1</v>
      </c>
      <c r="G245" s="123">
        <f>R245*$R$3</f>
        <v/>
      </c>
      <c r="H245" s="106">
        <f>P245*(1+Q245)*$P$3+S245*$S$3</f>
        <v/>
      </c>
      <c r="I245" s="106">
        <f>T245*$T$3</f>
        <v/>
      </c>
      <c r="J245" s="106">
        <f>(G245+H245+I245)*$J$3</f>
        <v/>
      </c>
      <c r="K245" s="106">
        <f>(G245+H245+I245+J245)*$K$3</f>
        <v/>
      </c>
      <c r="L245" s="106">
        <f>G245+H245+I245+J245+K245</f>
        <v/>
      </c>
      <c r="M245" s="106">
        <f>F245*L245</f>
        <v/>
      </c>
      <c r="N245" s="101" t="n"/>
      <c r="O245" s="105">
        <f>P245*(1+Q245)+R245+S245+T245</f>
        <v/>
      </c>
      <c r="P245" s="111">
        <f>'架空层安装工程'!P46</f>
        <v/>
      </c>
      <c r="Q245" s="32">
        <f>'架空层安装工程'!Q46</f>
        <v/>
      </c>
      <c r="R245" s="111">
        <f>'架空层安装工程'!R46</f>
        <v/>
      </c>
      <c r="S245" s="112">
        <f>'架空层安装工程'!S46</f>
        <v/>
      </c>
      <c r="T245" s="107">
        <f>'架空层安装工程'!T46</f>
        <v/>
      </c>
      <c r="U245" s="105">
        <f>F245*O245</f>
        <v/>
      </c>
    </row>
    <row r="246" outlineLevel="2" customFormat="1" s="5">
      <c r="A246" s="27" t="inlineStr"/>
      <c r="B246" s="28" t="inlineStr"/>
      <c r="C246" s="28" t="inlineStr">
        <is>
          <t>水管</t>
        </is>
      </c>
      <c r="D246" s="28" t="inlineStr"/>
      <c r="E246" s="27" t="inlineStr"/>
      <c r="F246" s="145" t="inlineStr"/>
      <c r="G246" s="123" t="n"/>
      <c r="H246" s="106" t="n"/>
      <c r="I246" s="106" t="n"/>
      <c r="J246" s="106" t="n"/>
      <c r="K246" s="106" t="n"/>
      <c r="L246" s="106" t="n"/>
      <c r="M246" s="106" t="n"/>
      <c r="N246" s="101" t="n"/>
      <c r="O246" s="105">
        <f>P246*(1+Q246)+R246+S246+T246</f>
        <v/>
      </c>
      <c r="P246" s="111" t="n"/>
      <c r="Q246" s="32" t="n"/>
      <c r="R246" s="111" t="n"/>
      <c r="S246" s="112" t="n"/>
      <c r="T246" s="107" t="n"/>
      <c r="U246" s="105">
        <f>F246*O246</f>
        <v/>
      </c>
    </row>
    <row r="247" outlineLevel="3" ht="84" customFormat="1" customHeight="1" s="5">
      <c r="A247" s="27" t="n">
        <v>204</v>
      </c>
      <c r="B247" s="28" t="n">
        <v>31001005010</v>
      </c>
      <c r="C247" s="28" t="inlineStr">
        <is>
          <t>铜管</t>
        </is>
      </c>
      <c r="D247" s="28" t="inlineStr">
        <is>
          <t>1.名称：紫铜管
2.规格：φ6.4
3.厚度：0.8mm
4.连接方式：钎焊连结
5.其他：包括但不限于满足图纸、招标文件、规范及验收要求等一切相关费用</t>
        </is>
      </c>
      <c r="E247" s="27" t="inlineStr">
        <is>
          <t>m</t>
        </is>
      </c>
      <c r="F247" s="145" t="n">
        <v>12.74</v>
      </c>
      <c r="G247" s="123">
        <f>R247*$R$3</f>
        <v/>
      </c>
      <c r="H247" s="106">
        <f>P247*(1+Q247)*$P$3+S247*$S$3</f>
        <v/>
      </c>
      <c r="I247" s="106">
        <f>T247*$T$3</f>
        <v/>
      </c>
      <c r="J247" s="106">
        <f>(G247+H247+I247)*$J$3</f>
        <v/>
      </c>
      <c r="K247" s="106">
        <f>(G247+H247+I247+J247)*$K$3</f>
        <v/>
      </c>
      <c r="L247" s="106">
        <f>G247+H247+I247+J247+K247</f>
        <v/>
      </c>
      <c r="M247" s="106">
        <f>F247*L247</f>
        <v/>
      </c>
      <c r="N247" s="101" t="n"/>
      <c r="O247" s="105">
        <f>P247*(1+Q247)+R247+S247+T247</f>
        <v/>
      </c>
      <c r="P247" s="111">
        <f>'架空层安装工程'!P48</f>
        <v/>
      </c>
      <c r="Q247" s="32">
        <f>'架空层安装工程'!Q48</f>
        <v/>
      </c>
      <c r="R247" s="111">
        <f>'架空层安装工程'!R48</f>
        <v/>
      </c>
      <c r="S247" s="112">
        <f>'架空层安装工程'!S48</f>
        <v/>
      </c>
      <c r="T247" s="107">
        <f>'架空层安装工程'!T48</f>
        <v/>
      </c>
      <c r="U247" s="105">
        <f>F247*O247</f>
        <v/>
      </c>
    </row>
    <row r="248" outlineLevel="3" ht="84" customFormat="1" customHeight="1" s="5">
      <c r="A248" s="27" t="n">
        <v>205</v>
      </c>
      <c r="B248" s="28" t="n">
        <v>31001005011</v>
      </c>
      <c r="C248" s="28" t="inlineStr">
        <is>
          <t>铜管</t>
        </is>
      </c>
      <c r="D248" s="28" t="inlineStr">
        <is>
          <t>1.名称：紫铜管
2.规格：φ9.5
3.厚度：0.8mm
4.连接方式：钎焊连结
5.其他：包括但不限于满足图纸、招标文件、规范及验收要求等一切相关费用</t>
        </is>
      </c>
      <c r="E248" s="27" t="inlineStr">
        <is>
          <t>m</t>
        </is>
      </c>
      <c r="F248" s="145" t="n">
        <v>16.76</v>
      </c>
      <c r="G248" s="123">
        <f>R248*$R$3</f>
        <v/>
      </c>
      <c r="H248" s="106">
        <f>P248*(1+Q248)*$P$3+S248*$S$3</f>
        <v/>
      </c>
      <c r="I248" s="106">
        <f>T248*$T$3</f>
        <v/>
      </c>
      <c r="J248" s="106">
        <f>(G248+H248+I248)*$J$3</f>
        <v/>
      </c>
      <c r="K248" s="106">
        <f>(G248+H248+I248+J248)*$K$3</f>
        <v/>
      </c>
      <c r="L248" s="106">
        <f>G248+H248+I248+J248+K248</f>
        <v/>
      </c>
      <c r="M248" s="106">
        <f>F248*L248</f>
        <v/>
      </c>
      <c r="N248" s="101" t="n"/>
      <c r="O248" s="105">
        <f>P248*(1+Q248)+R248+S248+T248</f>
        <v/>
      </c>
      <c r="P248" s="111">
        <f>'架空层安装工程'!P49</f>
        <v/>
      </c>
      <c r="Q248" s="32">
        <f>'架空层安装工程'!Q49</f>
        <v/>
      </c>
      <c r="R248" s="111">
        <f>'架空层安装工程'!R49</f>
        <v/>
      </c>
      <c r="S248" s="112">
        <f>'架空层安装工程'!S49</f>
        <v/>
      </c>
      <c r="T248" s="107">
        <f>'架空层安装工程'!T49</f>
        <v/>
      </c>
      <c r="U248" s="105">
        <f>F248*O248</f>
        <v/>
      </c>
    </row>
    <row r="249" outlineLevel="3" ht="84" customFormat="1" customHeight="1" s="5">
      <c r="A249" s="27" t="n">
        <v>206</v>
      </c>
      <c r="B249" s="28" t="n">
        <v>31001005012</v>
      </c>
      <c r="C249" s="28" t="inlineStr">
        <is>
          <t>铜管</t>
        </is>
      </c>
      <c r="D249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249" s="27" t="inlineStr">
        <is>
          <t>m</t>
        </is>
      </c>
      <c r="F249" s="145" t="n">
        <v>12.74</v>
      </c>
      <c r="G249" s="123">
        <f>R249*$R$3</f>
        <v/>
      </c>
      <c r="H249" s="106">
        <f>P249*(1+Q249)*$P$3+S249*$S$3</f>
        <v/>
      </c>
      <c r="I249" s="106">
        <f>T249*$T$3</f>
        <v/>
      </c>
      <c r="J249" s="106">
        <f>(G249+H249+I249)*$J$3</f>
        <v/>
      </c>
      <c r="K249" s="106">
        <f>(G249+H249+I249+J249)*$K$3</f>
        <v/>
      </c>
      <c r="L249" s="106">
        <f>G249+H249+I249+J249+K249</f>
        <v/>
      </c>
      <c r="M249" s="106">
        <f>F249*L249</f>
        <v/>
      </c>
      <c r="N249" s="101" t="n"/>
      <c r="O249" s="105">
        <f>P249*(1+Q249)+R249+S249+T249</f>
        <v/>
      </c>
      <c r="P249" s="111">
        <f>'架空层安装工程'!P50</f>
        <v/>
      </c>
      <c r="Q249" s="32">
        <f>'架空层安装工程'!Q50</f>
        <v/>
      </c>
      <c r="R249" s="111">
        <f>'架空层安装工程'!R50</f>
        <v/>
      </c>
      <c r="S249" s="112">
        <f>'架空层安装工程'!S50</f>
        <v/>
      </c>
      <c r="T249" s="107">
        <f>'架空层安装工程'!T50</f>
        <v/>
      </c>
      <c r="U249" s="105">
        <f>F249*O249</f>
        <v/>
      </c>
    </row>
    <row r="250" outlineLevel="3" ht="84" customFormat="1" customHeight="1" s="5">
      <c r="A250" s="27" t="n">
        <v>207</v>
      </c>
      <c r="B250" s="28" t="n">
        <v>31001005013</v>
      </c>
      <c r="C250" s="28" t="inlineStr">
        <is>
          <t>铜管</t>
        </is>
      </c>
      <c r="D250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250" s="27" t="inlineStr">
        <is>
          <t>m</t>
        </is>
      </c>
      <c r="F250" s="145" t="n">
        <v>8.06</v>
      </c>
      <c r="G250" s="123">
        <f>R250*$R$3</f>
        <v/>
      </c>
      <c r="H250" s="106">
        <f>P250*(1+Q250)*$P$3+S250*$S$3</f>
        <v/>
      </c>
      <c r="I250" s="106">
        <f>T250*$T$3</f>
        <v/>
      </c>
      <c r="J250" s="106">
        <f>(G250+H250+I250)*$J$3</f>
        <v/>
      </c>
      <c r="K250" s="106">
        <f>(G250+H250+I250+J250)*$K$3</f>
        <v/>
      </c>
      <c r="L250" s="106">
        <f>G250+H250+I250+J250+K250</f>
        <v/>
      </c>
      <c r="M250" s="106">
        <f>F250*L250</f>
        <v/>
      </c>
      <c r="N250" s="101" t="n"/>
      <c r="O250" s="105">
        <f>P250*(1+Q250)+R250+S250+T250</f>
        <v/>
      </c>
      <c r="P250" s="111">
        <f>'架空层安装工程'!P51</f>
        <v/>
      </c>
      <c r="Q250" s="32">
        <f>'架空层安装工程'!Q51</f>
        <v/>
      </c>
      <c r="R250" s="111">
        <f>'架空层安装工程'!R51</f>
        <v/>
      </c>
      <c r="S250" s="112">
        <f>'架空层安装工程'!S51</f>
        <v/>
      </c>
      <c r="T250" s="107">
        <f>'架空层安装工程'!T51</f>
        <v/>
      </c>
      <c r="U250" s="105">
        <f>F250*O250</f>
        <v/>
      </c>
    </row>
    <row r="251" outlineLevel="3" ht="84" customFormat="1" customHeight="1" s="5">
      <c r="A251" s="27" t="n">
        <v>208</v>
      </c>
      <c r="B251" s="28" t="n">
        <v>31001005014</v>
      </c>
      <c r="C251" s="28" t="inlineStr">
        <is>
          <t>铜管</t>
        </is>
      </c>
      <c r="D251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251" s="27" t="inlineStr">
        <is>
          <t>m</t>
        </is>
      </c>
      <c r="F251" s="145" t="n">
        <v>3.09</v>
      </c>
      <c r="G251" s="123">
        <f>R251*$R$3</f>
        <v/>
      </c>
      <c r="H251" s="106">
        <f>P251*(1+Q251)*$P$3+S251*$S$3</f>
        <v/>
      </c>
      <c r="I251" s="106">
        <f>T251*$T$3</f>
        <v/>
      </c>
      <c r="J251" s="106">
        <f>(G251+H251+I251)*$J$3</f>
        <v/>
      </c>
      <c r="K251" s="106">
        <f>(G251+H251+I251+J251)*$K$3</f>
        <v/>
      </c>
      <c r="L251" s="106">
        <f>G251+H251+I251+J251+K251</f>
        <v/>
      </c>
      <c r="M251" s="106">
        <f>F251*L251</f>
        <v/>
      </c>
      <c r="N251" s="101" t="n"/>
      <c r="O251" s="105">
        <f>P251*(1+Q251)+R251+S251+T251</f>
        <v/>
      </c>
      <c r="P251" s="111">
        <f>'架空层安装工程'!P52</f>
        <v/>
      </c>
      <c r="Q251" s="32">
        <f>'架空层安装工程'!Q52</f>
        <v/>
      </c>
      <c r="R251" s="111">
        <f>'架空层安装工程'!R52</f>
        <v/>
      </c>
      <c r="S251" s="112">
        <f>'架空层安装工程'!S52</f>
        <v/>
      </c>
      <c r="T251" s="107">
        <f>'架空层安装工程'!T52</f>
        <v/>
      </c>
      <c r="U251" s="105">
        <f>F251*O251</f>
        <v/>
      </c>
    </row>
    <row r="252" outlineLevel="3" ht="84" customFormat="1" customHeight="1" s="5">
      <c r="A252" s="27" t="n">
        <v>209</v>
      </c>
      <c r="B252" s="28" t="n">
        <v>31001005015</v>
      </c>
      <c r="C252" s="28" t="inlineStr">
        <is>
          <t>铜管</t>
        </is>
      </c>
      <c r="D252" s="28" t="inlineStr">
        <is>
          <t>1.名称：紫铜管
2.规格：φ22.2
3.厚度：1.0mm
4.连接方式：钎焊连结
5.其他：包括但不限于满足图纸、招标文件、规范及验收要求等一切相关费用</t>
        </is>
      </c>
      <c r="E252" s="27" t="inlineStr">
        <is>
          <t>m</t>
        </is>
      </c>
      <c r="F252" s="145" t="n">
        <v>5.6</v>
      </c>
      <c r="G252" s="123">
        <f>R252*$R$3</f>
        <v/>
      </c>
      <c r="H252" s="106">
        <f>P252*(1+Q252)*$P$3+S252*$S$3</f>
        <v/>
      </c>
      <c r="I252" s="106">
        <f>T252*$T$3</f>
        <v/>
      </c>
      <c r="J252" s="106">
        <f>(G252+H252+I252)*$J$3</f>
        <v/>
      </c>
      <c r="K252" s="106">
        <f>(G252+H252+I252+J252)*$K$3</f>
        <v/>
      </c>
      <c r="L252" s="106">
        <f>G252+H252+I252+J252+K252</f>
        <v/>
      </c>
      <c r="M252" s="106">
        <f>F252*L252</f>
        <v/>
      </c>
      <c r="N252" s="101" t="n"/>
      <c r="O252" s="105">
        <f>P252*(1+Q252)+R252+S252+T252</f>
        <v/>
      </c>
      <c r="P252" s="111">
        <f>'架空层安装工程'!P53</f>
        <v/>
      </c>
      <c r="Q252" s="32">
        <f>'架空层安装工程'!Q53</f>
        <v/>
      </c>
      <c r="R252" s="111">
        <f>'架空层安装工程'!R53</f>
        <v/>
      </c>
      <c r="S252" s="112">
        <f>'架空层安装工程'!S53</f>
        <v/>
      </c>
      <c r="T252" s="107">
        <f>'架空层安装工程'!T53</f>
        <v/>
      </c>
      <c r="U252" s="105">
        <f>F252*O252</f>
        <v/>
      </c>
    </row>
    <row r="253" outlineLevel="3" ht="60" customFormat="1" customHeight="1" s="5">
      <c r="A253" s="27" t="n">
        <v>210</v>
      </c>
      <c r="B253" s="28" t="n">
        <v>31002001003</v>
      </c>
      <c r="C253" s="28" t="inlineStr">
        <is>
          <t>分歧器</t>
        </is>
      </c>
      <c r="D253" s="28" t="inlineStr">
        <is>
          <t>1.名称：分歧器
2.规格：公称直径20mm以内
3.其他：包括但不限于满足图纸、招标文件、规范及验收要求等一切相关费用</t>
        </is>
      </c>
      <c r="E253" s="27" t="inlineStr">
        <is>
          <t>个</t>
        </is>
      </c>
      <c r="F253" s="145" t="n">
        <v>5</v>
      </c>
      <c r="G253" s="123">
        <f>R253*$R$3</f>
        <v/>
      </c>
      <c r="H253" s="106">
        <f>P253*(1+Q253)*$P$3+S253*$S$3</f>
        <v/>
      </c>
      <c r="I253" s="106">
        <f>T253*$T$3</f>
        <v/>
      </c>
      <c r="J253" s="106">
        <f>(G253+H253+I253)*$J$3</f>
        <v/>
      </c>
      <c r="K253" s="106">
        <f>(G253+H253+I253+J253)*$K$3</f>
        <v/>
      </c>
      <c r="L253" s="106">
        <f>G253+H253+I253+J253+K253</f>
        <v/>
      </c>
      <c r="M253" s="106">
        <f>F253*L253</f>
        <v/>
      </c>
      <c r="N253" s="101" t="n"/>
      <c r="O253" s="105">
        <f>P253*(1+Q253)+R253+S253+T253</f>
        <v/>
      </c>
      <c r="P253" s="111">
        <f>'架空层安装工程'!P54</f>
        <v/>
      </c>
      <c r="Q253" s="32">
        <f>'架空层安装工程'!Q54</f>
        <v/>
      </c>
      <c r="R253" s="111">
        <f>'架空层安装工程'!R54</f>
        <v/>
      </c>
      <c r="S253" s="112">
        <f>'架空层安装工程'!S54</f>
        <v/>
      </c>
      <c r="T253" s="107">
        <f>'架空层安装工程'!T54</f>
        <v/>
      </c>
      <c r="U253" s="105">
        <f>F253*O253</f>
        <v/>
      </c>
    </row>
    <row r="254" outlineLevel="3" ht="84" customFormat="1" customHeight="1" s="5">
      <c r="A254" s="27" t="n">
        <v>211</v>
      </c>
      <c r="B254" s="28" t="n">
        <v>31001008032</v>
      </c>
      <c r="C254" s="28" t="inlineStr">
        <is>
          <t>塑料管</t>
        </is>
      </c>
      <c r="D254" s="28" t="inlineStr">
        <is>
          <t>1.名称：UPVC管
2.规格：DN20
3.介质：冷凝水
4.连接方式：粘接
5.其他：包括但不限于满足图纸、招标文件、规范及验收要求等一切相关费用</t>
        </is>
      </c>
      <c r="E254" s="27" t="inlineStr">
        <is>
          <t>m</t>
        </is>
      </c>
      <c r="F254" s="145" t="n">
        <v>11.99</v>
      </c>
      <c r="G254" s="123">
        <f>R254*$R$3</f>
        <v/>
      </c>
      <c r="H254" s="106">
        <f>P254*(1+Q254)*$P$3+S254*$S$3</f>
        <v/>
      </c>
      <c r="I254" s="106">
        <f>T254*$T$3</f>
        <v/>
      </c>
      <c r="J254" s="106">
        <f>(G254+H254+I254)*$J$3</f>
        <v/>
      </c>
      <c r="K254" s="106">
        <f>(G254+H254+I254+J254)*$K$3</f>
        <v/>
      </c>
      <c r="L254" s="106">
        <f>G254+H254+I254+J254+K254</f>
        <v/>
      </c>
      <c r="M254" s="106">
        <f>F254*L254</f>
        <v/>
      </c>
      <c r="N254" s="101" t="n"/>
      <c r="O254" s="105">
        <f>P254*(1+Q254)+R254+S254+T254</f>
        <v/>
      </c>
      <c r="P254" s="111">
        <f>P83</f>
        <v/>
      </c>
      <c r="Q254" s="32">
        <f>Q83</f>
        <v/>
      </c>
      <c r="R254" s="111">
        <f>R83</f>
        <v/>
      </c>
      <c r="S254" s="112">
        <f>S83</f>
        <v/>
      </c>
      <c r="T254" s="107">
        <f>T83</f>
        <v/>
      </c>
      <c r="U254" s="105">
        <f>F254*O254</f>
        <v/>
      </c>
    </row>
    <row r="255" outlineLevel="3" ht="84" customFormat="1" customHeight="1" s="5">
      <c r="A255" s="27" t="n">
        <v>212</v>
      </c>
      <c r="B255" s="28" t="n">
        <v>31001008033</v>
      </c>
      <c r="C255" s="28" t="inlineStr">
        <is>
          <t>塑料管</t>
        </is>
      </c>
      <c r="D255" s="28" t="inlineStr">
        <is>
          <t>1.名称：UPVC管
2.规格：DN25
3.介质：冷凝水
4.连接方式：粘接
5.其他：包括但不限于满足图纸、招标文件、规范及验收要求等一切相关费用</t>
        </is>
      </c>
      <c r="E255" s="27" t="inlineStr">
        <is>
          <t>m</t>
        </is>
      </c>
      <c r="F255" s="145" t="n">
        <v>11.81</v>
      </c>
      <c r="G255" s="123">
        <f>R255*$R$3</f>
        <v/>
      </c>
      <c r="H255" s="106">
        <f>P255*(1+Q255)*$P$3+S255*$S$3</f>
        <v/>
      </c>
      <c r="I255" s="106">
        <f>T255*$T$3</f>
        <v/>
      </c>
      <c r="J255" s="106">
        <f>(G255+H255+I255)*$J$3</f>
        <v/>
      </c>
      <c r="K255" s="106">
        <f>(G255+H255+I255+J255)*$K$3</f>
        <v/>
      </c>
      <c r="L255" s="106">
        <f>G255+H255+I255+J255+K255</f>
        <v/>
      </c>
      <c r="M255" s="106">
        <f>F255*L255</f>
        <v/>
      </c>
      <c r="N255" s="101" t="n"/>
      <c r="O255" s="105">
        <f>P255*(1+Q255)+R255+S255+T255</f>
        <v/>
      </c>
      <c r="P255" s="111">
        <f>'架空层安装工程'!P55</f>
        <v/>
      </c>
      <c r="Q255" s="32">
        <f>'架空层安装工程'!Q55</f>
        <v/>
      </c>
      <c r="R255" s="111">
        <f>'架空层安装工程'!R55</f>
        <v/>
      </c>
      <c r="S255" s="112">
        <f>'架空层安装工程'!S55</f>
        <v/>
      </c>
      <c r="T255" s="107">
        <f>'架空层安装工程'!T55</f>
        <v/>
      </c>
      <c r="U255" s="105">
        <f>F255*O255</f>
        <v/>
      </c>
    </row>
    <row r="256" outlineLevel="3" ht="84" customFormat="1" customHeight="1" s="5">
      <c r="A256" s="27" t="n">
        <v>213</v>
      </c>
      <c r="B256" s="28" t="n">
        <v>31001008034</v>
      </c>
      <c r="C256" s="28" t="inlineStr">
        <is>
          <t>塑料管</t>
        </is>
      </c>
      <c r="D256" s="28" t="inlineStr">
        <is>
          <t>1.名称：UPVC管
2.规格：DN32
3.介质：冷凝水
4.连接方式：粘接
5.其他：包括但不限于满足图纸、招标文件、规范及验收要求等一切相关费用</t>
        </is>
      </c>
      <c r="E256" s="27" t="inlineStr">
        <is>
          <t>m</t>
        </is>
      </c>
      <c r="F256" s="145" t="n">
        <v>3.76</v>
      </c>
      <c r="G256" s="123">
        <f>R256*$R$3</f>
        <v/>
      </c>
      <c r="H256" s="106">
        <f>P256*(1+Q256)*$P$3+S256*$S$3</f>
        <v/>
      </c>
      <c r="I256" s="106">
        <f>T256*$T$3</f>
        <v/>
      </c>
      <c r="J256" s="106">
        <f>(G256+H256+I256)*$J$3</f>
        <v/>
      </c>
      <c r="K256" s="106">
        <f>(G256+H256+I256+J256)*$K$3</f>
        <v/>
      </c>
      <c r="L256" s="106">
        <f>G256+H256+I256+J256+K256</f>
        <v/>
      </c>
      <c r="M256" s="106">
        <f>F256*L256</f>
        <v/>
      </c>
      <c r="N256" s="101" t="n"/>
      <c r="O256" s="105">
        <f>P256*(1+Q256)+R256+S256+T256</f>
        <v/>
      </c>
      <c r="P256" s="111">
        <f>'架空层安装工程'!P56</f>
        <v/>
      </c>
      <c r="Q256" s="32">
        <f>'架空层安装工程'!Q56</f>
        <v/>
      </c>
      <c r="R256" s="111">
        <f>'架空层安装工程'!R56</f>
        <v/>
      </c>
      <c r="S256" s="112">
        <f>'架空层安装工程'!S56</f>
        <v/>
      </c>
      <c r="T256" s="107">
        <f>'架空层安装工程'!T56</f>
        <v/>
      </c>
      <c r="U256" s="105">
        <f>F256*O256</f>
        <v/>
      </c>
    </row>
    <row r="257" outlineLevel="3" ht="72" customFormat="1" customHeight="1" s="5">
      <c r="A257" s="27" t="n">
        <v>214</v>
      </c>
      <c r="B257" s="28" t="n">
        <v>31208002011</v>
      </c>
      <c r="C257" s="28" t="inlineStr">
        <is>
          <t>其他管道绝热</t>
        </is>
      </c>
      <c r="D257" s="28" t="inlineStr">
        <is>
          <t>1.名称：冷媒管保温
2.材质：难燃B1级橡塑
3.厚度：20mm
4.其他：包括但不限于满足图纸、招标文件、规范及验收要求等一切相关费用</t>
        </is>
      </c>
      <c r="E257" s="27" t="inlineStr">
        <is>
          <t>m3</t>
        </is>
      </c>
      <c r="F257" s="145" t="n">
        <v>0.13</v>
      </c>
      <c r="G257" s="123">
        <f>R257*$R$3</f>
        <v/>
      </c>
      <c r="H257" s="106">
        <f>P257*(1+Q257)*$P$3+S257*$S$3</f>
        <v/>
      </c>
      <c r="I257" s="106">
        <f>T257*$T$3</f>
        <v/>
      </c>
      <c r="J257" s="106">
        <f>(G257+H257+I257)*$J$3</f>
        <v/>
      </c>
      <c r="K257" s="106">
        <f>(G257+H257+I257+J257)*$K$3</f>
        <v/>
      </c>
      <c r="L257" s="106">
        <f>G257+H257+I257+J257+K257</f>
        <v/>
      </c>
      <c r="M257" s="106">
        <f>F257*L257</f>
        <v/>
      </c>
      <c r="N257" s="101" t="n"/>
      <c r="O257" s="105">
        <f>P257*(1+Q257)+R257+S257+T257</f>
        <v/>
      </c>
      <c r="P257" s="111">
        <f>'架空层安装工程'!P58</f>
        <v/>
      </c>
      <c r="Q257" s="32">
        <f>'架空层安装工程'!Q58</f>
        <v/>
      </c>
      <c r="R257" s="111">
        <f>'架空层安装工程'!R58</f>
        <v/>
      </c>
      <c r="S257" s="112">
        <f>'架空层安装工程'!S58</f>
        <v/>
      </c>
      <c r="T257" s="107">
        <f>'架空层安装工程'!T58</f>
        <v/>
      </c>
      <c r="U257" s="105">
        <f>F257*O257</f>
        <v/>
      </c>
    </row>
    <row r="258" outlineLevel="3" ht="72" customFormat="1" customHeight="1" s="5">
      <c r="A258" s="27" t="n">
        <v>215</v>
      </c>
      <c r="B258" s="28" t="n">
        <v>31208002012</v>
      </c>
      <c r="C258" s="28" t="inlineStr">
        <is>
          <t>其他管道绝热</t>
        </is>
      </c>
      <c r="D258" s="28" t="inlineStr">
        <is>
          <t>1.名称：冷凝管保温
2.材质：难燃B1级橡塑
3.厚度：13mm
4.其他：包括但不限于满足图纸、招标文件、规范及验收要求等一切相关费用</t>
        </is>
      </c>
      <c r="E258" s="27" t="inlineStr">
        <is>
          <t>m3</t>
        </is>
      </c>
      <c r="F258" s="145" t="n">
        <v>0.05</v>
      </c>
      <c r="G258" s="123">
        <f>R258*$R$3</f>
        <v/>
      </c>
      <c r="H258" s="106">
        <f>P258*(1+Q258)*$P$3+S258*$S$3</f>
        <v/>
      </c>
      <c r="I258" s="106">
        <f>T258*$T$3</f>
        <v/>
      </c>
      <c r="J258" s="106">
        <f>(G258+H258+I258)*$J$3</f>
        <v/>
      </c>
      <c r="K258" s="106">
        <f>(G258+H258+I258+J258)*$K$3</f>
        <v/>
      </c>
      <c r="L258" s="106">
        <f>G258+H258+I258+J258+K258</f>
        <v/>
      </c>
      <c r="M258" s="106">
        <f>F258*L258</f>
        <v/>
      </c>
      <c r="N258" s="101" t="n"/>
      <c r="O258" s="105">
        <f>P258*(1+Q258)+R258+S258+T258</f>
        <v/>
      </c>
      <c r="P258" s="111">
        <f>'架空层安装工程'!P59</f>
        <v/>
      </c>
      <c r="Q258" s="32">
        <f>'架空层安装工程'!Q59</f>
        <v/>
      </c>
      <c r="R258" s="111">
        <f>'架空层安装工程'!R59</f>
        <v/>
      </c>
      <c r="S258" s="112">
        <f>'架空层安装工程'!S59</f>
        <v/>
      </c>
      <c r="T258" s="107">
        <f>'架空层安装工程'!T59</f>
        <v/>
      </c>
      <c r="U258" s="105">
        <f>F258*O258</f>
        <v/>
      </c>
    </row>
    <row r="259" ht="25" customFormat="1" customHeight="1" s="7">
      <c r="A259" s="34" t="n"/>
      <c r="B259" s="35" t="inlineStr">
        <is>
          <t>税前合价</t>
        </is>
      </c>
      <c r="C259" s="35" t="n"/>
      <c r="D259" s="35" t="n"/>
      <c r="E259" s="36" t="inlineStr">
        <is>
          <t>元</t>
        </is>
      </c>
      <c r="F259" s="36" t="n"/>
      <c r="G259" s="124" t="n"/>
      <c r="H259" s="125" t="n"/>
      <c r="I259" s="125" t="n"/>
      <c r="J259" s="125" t="n"/>
      <c r="K259" s="125" t="n"/>
      <c r="L259" s="125" t="n"/>
      <c r="M259" s="126">
        <f>SUM(M4:M258)</f>
        <v/>
      </c>
      <c r="N259" s="135" t="n"/>
      <c r="O259" s="135" t="n"/>
      <c r="P259" s="135" t="n"/>
      <c r="Q259" s="55" t="n"/>
      <c r="R259" s="135" t="n"/>
      <c r="S259" s="135" t="n"/>
      <c r="T259" s="135" t="n"/>
      <c r="U259" s="135" t="n"/>
      <c r="V259" s="130" t="n"/>
      <c r="W259" s="130" t="n"/>
      <c r="X259" s="130" t="n"/>
      <c r="Y259" s="130" t="n"/>
      <c r="Z259" s="130" t="n"/>
      <c r="AA259" s="130" t="n"/>
      <c r="AB259" s="130" t="n"/>
      <c r="AC259" s="130" t="n"/>
      <c r="AD259" s="130" t="n"/>
      <c r="AE259" s="130" t="n"/>
      <c r="AF259" s="130" t="n"/>
    </row>
    <row r="260" ht="25" customFormat="1" customHeight="1" s="7">
      <c r="A260" s="34" t="n"/>
      <c r="B260" s="35" t="inlineStr">
        <is>
          <t>税金</t>
        </is>
      </c>
      <c r="C260" s="35" t="n"/>
      <c r="D260" s="35" t="n"/>
      <c r="E260" s="36" t="inlineStr">
        <is>
          <t>元</t>
        </is>
      </c>
      <c r="F260" s="36" t="n"/>
      <c r="G260" s="124" t="n"/>
      <c r="H260" s="125" t="n"/>
      <c r="I260" s="125" t="n"/>
      <c r="J260" s="125" t="n"/>
      <c r="K260" s="125" t="n"/>
      <c r="L260" s="125" t="n"/>
      <c r="M260" s="126">
        <f>M259*0.09</f>
        <v/>
      </c>
      <c r="N260" s="135" t="n"/>
      <c r="O260" s="135" t="n"/>
      <c r="P260" s="135" t="n"/>
      <c r="Q260" s="55" t="n"/>
      <c r="R260" s="135" t="n"/>
      <c r="S260" s="135" t="n"/>
      <c r="T260" s="135" t="n"/>
      <c r="U260" s="135" t="n"/>
      <c r="V260" s="130" t="n"/>
      <c r="W260" s="130" t="n"/>
      <c r="X260" s="130" t="n"/>
      <c r="Y260" s="130" t="n"/>
      <c r="Z260" s="130" t="n"/>
      <c r="AA260" s="130" t="n"/>
      <c r="AB260" s="130" t="n"/>
      <c r="AC260" s="130" t="n"/>
      <c r="AD260" s="130" t="n"/>
      <c r="AE260" s="130" t="n"/>
      <c r="AF260" s="130" t="n"/>
    </row>
    <row r="261" ht="25" customFormat="1" customHeight="1" s="7">
      <c r="A261" s="34" t="n"/>
      <c r="B261" s="35" t="inlineStr">
        <is>
          <t>含税合价</t>
        </is>
      </c>
      <c r="C261" s="35" t="n"/>
      <c r="D261" s="35" t="n"/>
      <c r="E261" s="36" t="inlineStr">
        <is>
          <t>元</t>
        </is>
      </c>
      <c r="F261" s="36" t="n"/>
      <c r="G261" s="124" t="n"/>
      <c r="H261" s="125" t="n"/>
      <c r="I261" s="125" t="n"/>
      <c r="J261" s="125" t="n"/>
      <c r="K261" s="125" t="n"/>
      <c r="L261" s="125" t="n"/>
      <c r="M261" s="126">
        <f>M259+M260</f>
        <v/>
      </c>
      <c r="N261" s="135" t="n"/>
      <c r="O261" s="135" t="n"/>
      <c r="P261" s="135" t="n"/>
      <c r="Q261" s="55" t="n"/>
      <c r="R261" s="135" t="n"/>
      <c r="S261" s="135" t="n"/>
      <c r="T261" s="135" t="n"/>
      <c r="U261" s="135" t="n"/>
      <c r="V261" s="130" t="n"/>
      <c r="W261" s="130" t="n"/>
      <c r="X261" s="130" t="n"/>
      <c r="Y261" s="130" t="n"/>
      <c r="Z261" s="130" t="n"/>
      <c r="AA261" s="130" t="n"/>
      <c r="AB261" s="130" t="n"/>
      <c r="AC261" s="130" t="n"/>
      <c r="AD261" s="130" t="n"/>
      <c r="AE261" s="130" t="n"/>
      <c r="AF261" s="130" t="n"/>
    </row>
  </sheetData>
  <autoFilter ref="A2:U261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8" horizontalDpi="600"/>
  <headerFooter>
    <oddHeader/>
    <oddFooter>&amp;C第 &amp;P 页，共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U25"/>
  <sheetViews>
    <sheetView view="pageBreakPreview" zoomScaleNormal="100" workbookViewId="0">
      <pane xSplit="5" ySplit="3" topLeftCell="G17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7.25" customWidth="1" style="5" min="1" max="1"/>
    <col width="12.875" customWidth="1" style="5" min="2" max="2"/>
    <col width="20.875" customWidth="1" style="5" min="3" max="3"/>
    <col width="29.375" customWidth="1" style="5" min="4" max="4"/>
    <col width="6.375" customWidth="1" style="5" min="5" max="5"/>
    <col width="11.7166666666667" customWidth="1" style="144" min="6" max="6"/>
    <col width="9" customWidth="1" style="5" min="7" max="12"/>
    <col width="10.87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公共区域安装工程工程量清单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5" t="inlineStr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批量公区</t>
        </is>
      </c>
      <c r="D5" s="28" t="inlineStr"/>
      <c r="E5" s="27" t="inlineStr"/>
      <c r="F5" s="145" t="inlineStr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ht="84" customFormat="1" customHeight="1" s="5">
      <c r="A6" s="113" t="n">
        <v>1</v>
      </c>
      <c r="B6" s="136" t="n">
        <v>30413002001</v>
      </c>
      <c r="C6" s="136" t="inlineStr">
        <is>
          <t>LA-01 嵌入式筒灯</t>
        </is>
      </c>
      <c r="D6" s="136" t="inlineStr">
        <is>
          <t>1.名称：LA-01 嵌入式筒灯
2.规格：12W 4000K 灯体尺寸Φ118*50mm
3.安装方式：嵌装
4.其他：包括但不限于满足图纸、招标文件、规范及验收要求等一切相关费用</t>
        </is>
      </c>
      <c r="E6" s="113" t="inlineStr">
        <is>
          <t>套</t>
        </is>
      </c>
      <c r="F6" s="146" t="n">
        <v>65</v>
      </c>
      <c r="G6" s="116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70</v>
      </c>
      <c r="Q6" s="120" t="n">
        <v>0</v>
      </c>
      <c r="R6" s="119" t="n">
        <v>20</v>
      </c>
      <c r="S6" s="121" t="n">
        <v>6</v>
      </c>
      <c r="T6" s="122" t="n">
        <v>0</v>
      </c>
      <c r="U6" s="114">
        <f>F6*O6</f>
        <v/>
      </c>
    </row>
    <row r="7" outlineLevel="1" ht="84" customFormat="1" customHeight="1" s="5">
      <c r="A7" s="113" t="n">
        <v>2</v>
      </c>
      <c r="B7" s="136" t="n">
        <v>30413002002</v>
      </c>
      <c r="C7" s="136" t="inlineStr">
        <is>
          <t>LA-02 射灯</t>
        </is>
      </c>
      <c r="D7" s="136" t="inlineStr">
        <is>
          <t>1.名称：LA-02 射灯
2.规格：12W 4000K 灯体尺寸Φ118*50mm
3.安装方式：嵌装
4.其他：包括但不限于满足图纸、招标文件、规范及验收要求等一切相关费用</t>
        </is>
      </c>
      <c r="E7" s="113" t="inlineStr">
        <is>
          <t>套</t>
        </is>
      </c>
      <c r="F7" s="146" t="n">
        <v>61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120</v>
      </c>
      <c r="Q7" s="120" t="n">
        <v>0</v>
      </c>
      <c r="R7" s="119" t="n">
        <v>18</v>
      </c>
      <c r="S7" s="121" t="n">
        <v>3.5</v>
      </c>
      <c r="T7" s="122" t="n">
        <v>0.5</v>
      </c>
      <c r="U7" s="114">
        <f>F7*O7</f>
        <v/>
      </c>
    </row>
    <row r="8" outlineLevel="1" ht="84" customFormat="1" customHeight="1" s="5">
      <c r="A8" s="113" t="n">
        <v>3</v>
      </c>
      <c r="B8" s="136" t="n">
        <v>30413002003</v>
      </c>
      <c r="C8" s="136" t="inlineStr">
        <is>
          <t>LA-04 红外人体感应筒灯</t>
        </is>
      </c>
      <c r="D8" s="136" t="inlineStr">
        <is>
          <t>1.名称：LA-04 红外人体感应筒灯
2.规格：9W 4000K 灯体尺寸Φ118*50mm
3.安装方式：嵌装
4.其他：包括但不限于满足图纸、招标文件、规范及验收要求等一切相关费用</t>
        </is>
      </c>
      <c r="E8" s="113" t="inlineStr">
        <is>
          <t>套</t>
        </is>
      </c>
      <c r="F8" s="146" t="n">
        <v>10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70</v>
      </c>
      <c r="Q8" s="120" t="n">
        <v>0</v>
      </c>
      <c r="R8" s="119" t="n">
        <v>20</v>
      </c>
      <c r="S8" s="121" t="n">
        <v>6</v>
      </c>
      <c r="T8" s="122" t="n">
        <v>0</v>
      </c>
      <c r="U8" s="114">
        <f>F8*O8</f>
        <v/>
      </c>
    </row>
    <row r="9" outlineLevel="1" ht="96" customFormat="1" customHeight="1" s="5">
      <c r="A9" s="113" t="n">
        <v>4</v>
      </c>
      <c r="B9" s="136" t="n">
        <v>30413002004</v>
      </c>
      <c r="C9" s="136" t="inlineStr">
        <is>
          <t>LA-05 明装红外人体感应筒灯</t>
        </is>
      </c>
      <c r="D9" s="136" t="inlineStr">
        <is>
          <t>1.名称：LA-05 明装红外人体感应筒灯
2.规格：9W 4000K 灯体尺寸Φ150*100mm
3.安装方式：明装
4.其他：包括但不限于满足图纸、招标文件、规范及验收要求等一切相关费用</t>
        </is>
      </c>
      <c r="E9" s="113" t="inlineStr">
        <is>
          <t>套</t>
        </is>
      </c>
      <c r="F9" s="146" t="n">
        <v>100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70</v>
      </c>
      <c r="Q9" s="120" t="n">
        <v>0</v>
      </c>
      <c r="R9" s="119" t="n">
        <v>20</v>
      </c>
      <c r="S9" s="121" t="n">
        <v>6</v>
      </c>
      <c r="T9" s="122" t="n">
        <v>0</v>
      </c>
      <c r="U9" s="114">
        <f>F9*O9</f>
        <v/>
      </c>
    </row>
    <row r="10" outlineLevel="1" ht="84" customFormat="1" customHeight="1" s="5">
      <c r="A10" s="27" t="n">
        <v>5</v>
      </c>
      <c r="B10" s="28" t="n">
        <v>30413002005</v>
      </c>
      <c r="C10" s="28" t="inlineStr">
        <is>
          <t>LA-06 LED明装筒灯</t>
        </is>
      </c>
      <c r="D10" s="28" t="inlineStr">
        <is>
          <t>1.名称：LA-06 LED明装筒灯
2.规格：9W 4000K 灯体尺寸Φ150*100mm
3.安装方式：明装
4.其他：包括但不限于满足图纸、招标文件、规范及验收要求等一切相关费用</t>
        </is>
      </c>
      <c r="E10" s="27" t="inlineStr">
        <is>
          <t>套</t>
        </is>
      </c>
      <c r="F10" s="145" t="n">
        <v>117</v>
      </c>
      <c r="G10" s="123">
        <f>R10*$R$3</f>
        <v/>
      </c>
      <c r="H10" s="106">
        <f>P10*(1+Q10)*$P$3+S10*$S$3</f>
        <v/>
      </c>
      <c r="I10" s="106">
        <f>T10*$T$3</f>
        <v/>
      </c>
      <c r="J10" s="106">
        <f>(G10+H10+I10)*$J$3</f>
        <v/>
      </c>
      <c r="K10" s="106">
        <f>(G10+H10+I10+J10)*$K$3</f>
        <v/>
      </c>
      <c r="L10" s="106">
        <f>G10+H10+I10+J10+K10</f>
        <v/>
      </c>
      <c r="M10" s="106">
        <f>F10*L10</f>
        <v/>
      </c>
      <c r="N10" s="101" t="n"/>
      <c r="O10" s="105">
        <f>P10*(1+Q10)+R10+S10+T10</f>
        <v/>
      </c>
      <c r="P10" s="111">
        <f>'架空层安装工程'!P8</f>
        <v/>
      </c>
      <c r="Q10" s="32">
        <f>'架空层安装工程'!Q8</f>
        <v/>
      </c>
      <c r="R10" s="111">
        <f>'架空层安装工程'!R8</f>
        <v/>
      </c>
      <c r="S10" s="112">
        <f>'架空层安装工程'!S8</f>
        <v/>
      </c>
      <c r="T10" s="107">
        <f>'架空层安装工程'!T8</f>
        <v/>
      </c>
      <c r="U10" s="105">
        <f>F10*O10</f>
        <v/>
      </c>
    </row>
    <row r="11" outlineLevel="1" ht="96" customFormat="1" customHeight="1" s="5">
      <c r="A11" s="113" t="n">
        <v>6</v>
      </c>
      <c r="B11" s="136" t="n">
        <v>30413002006</v>
      </c>
      <c r="C11" s="136" t="inlineStr">
        <is>
          <t>LA-07 LED明装筒灯(带红外感应)</t>
        </is>
      </c>
      <c r="D11" s="136" t="inlineStr">
        <is>
          <t>1.名称：LA-07 LED明装筒灯(带红外感应)
2.规格：9W 4000K 灯体尺寸Φ150*100mm
3.安装方式：明装
4.其他：包括但不限于满足图纸、招标文件、规范及验收要求等一切相关费用</t>
        </is>
      </c>
      <c r="E11" s="113" t="inlineStr">
        <is>
          <t>套</t>
        </is>
      </c>
      <c r="F11" s="146" t="n">
        <v>233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70</v>
      </c>
      <c r="Q11" s="120" t="n">
        <v>0</v>
      </c>
      <c r="R11" s="119" t="n">
        <v>20</v>
      </c>
      <c r="S11" s="121" t="n">
        <v>6</v>
      </c>
      <c r="T11" s="122" t="n">
        <v>0</v>
      </c>
      <c r="U11" s="114">
        <f>F11*O11</f>
        <v/>
      </c>
    </row>
    <row r="12" outlineLevel="1" ht="84" customFormat="1" customHeight="1" s="5">
      <c r="A12" s="113" t="n">
        <v>7</v>
      </c>
      <c r="B12" s="136" t="n">
        <v>30413002007</v>
      </c>
      <c r="C12" s="136" t="inlineStr">
        <is>
          <t>LA-03 LED灯带</t>
        </is>
      </c>
      <c r="D12" s="136" t="inlineStr">
        <is>
          <t>1.名称：LA-03 LED灯带
2.规格：8W/米 4000K L170*W170*H25mm
3.安装方式：天花
4.其他：包括但不限于满足图纸、招标文件、规范及验收要求等一切相关费用</t>
        </is>
      </c>
      <c r="E12" s="113" t="inlineStr">
        <is>
          <t>m</t>
        </is>
      </c>
      <c r="F12" s="146" t="n">
        <v>1471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20.4</v>
      </c>
      <c r="Q12" s="120" t="n">
        <v>0</v>
      </c>
      <c r="R12" s="119" t="n">
        <v>12.5</v>
      </c>
      <c r="S12" s="121" t="n">
        <v>0.41</v>
      </c>
      <c r="T12" s="122" t="n">
        <v>0</v>
      </c>
      <c r="U12" s="114">
        <f>F12*O12</f>
        <v/>
      </c>
    </row>
    <row r="13" outlineLevel="1" ht="84" customFormat="1" customHeight="1" s="5">
      <c r="A13" s="27" t="n">
        <v>8</v>
      </c>
      <c r="B13" s="28" t="n">
        <v>30413009001</v>
      </c>
      <c r="C13" s="28" t="inlineStr">
        <is>
          <t>LED 灯带驱动电源</t>
        </is>
      </c>
      <c r="D13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3" s="27" t="inlineStr">
        <is>
          <t>个</t>
        </is>
      </c>
      <c r="F13" s="145" t="n">
        <v>2245</v>
      </c>
      <c r="G13" s="123">
        <f>R13*$R$3</f>
        <v/>
      </c>
      <c r="H13" s="106">
        <f>P13*(1+Q13)*$P$3+S13*$S$3</f>
        <v/>
      </c>
      <c r="I13" s="106">
        <f>T13*$T$3</f>
        <v/>
      </c>
      <c r="J13" s="106">
        <f>(G13+H13+I13)*$J$3</f>
        <v/>
      </c>
      <c r="K13" s="106">
        <f>(G13+H13+I13+J13)*$K$3</f>
        <v/>
      </c>
      <c r="L13" s="106">
        <f>G13+H13+I13+J13+K13</f>
        <v/>
      </c>
      <c r="M13" s="106">
        <f>F13*L13</f>
        <v/>
      </c>
      <c r="N13" s="101" t="n"/>
      <c r="O13" s="105">
        <f>P13*(1+Q13)+R13+S13+T13</f>
        <v/>
      </c>
      <c r="P13" s="111">
        <f>'架空层安装工程'!P10</f>
        <v/>
      </c>
      <c r="Q13" s="32">
        <f>'架空层安装工程'!Q10</f>
        <v/>
      </c>
      <c r="R13" s="111">
        <f>'架空层安装工程'!R10</f>
        <v/>
      </c>
      <c r="S13" s="112">
        <f>'架空层安装工程'!S10</f>
        <v/>
      </c>
      <c r="T13" s="107">
        <f>'架空层安装工程'!T10</f>
        <v/>
      </c>
      <c r="U13" s="105">
        <f>F13*O13</f>
        <v/>
      </c>
    </row>
    <row r="14" outlineLevel="1" ht="72" customFormat="1" customHeight="1" s="5">
      <c r="A14" s="113" t="n">
        <v>9</v>
      </c>
      <c r="B14" s="136" t="n">
        <v>30413013001</v>
      </c>
      <c r="C14" s="136" t="inlineStr">
        <is>
          <t>照明开关</t>
        </is>
      </c>
      <c r="D14" s="136" t="inlineStr">
        <is>
          <t>1.名称：单联单控开关
2.规格：86*86mm
3.安装方式：暗装
4.其他：包括但不限于满足图纸、招标文件、规范及验收要求等一切相关费用</t>
        </is>
      </c>
      <c r="E14" s="113" t="inlineStr">
        <is>
          <t>套</t>
        </is>
      </c>
      <c r="F14" s="146" t="n">
        <v>117</v>
      </c>
      <c r="G14" s="116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14.62</v>
      </c>
      <c r="Q14" s="120" t="n">
        <v>0</v>
      </c>
      <c r="R14" s="119" t="n">
        <v>6.31</v>
      </c>
      <c r="S14" s="121" t="n">
        <v>1.12</v>
      </c>
      <c r="T14" s="122" t="n">
        <v>0</v>
      </c>
      <c r="U14" s="114">
        <f>F14*O14</f>
        <v/>
      </c>
    </row>
    <row r="15" outlineLevel="1" ht="72" customFormat="1" customHeight="1" s="5">
      <c r="A15" s="113" t="n">
        <v>10</v>
      </c>
      <c r="B15" s="136" t="n">
        <v>30413013003</v>
      </c>
      <c r="C15" s="136" t="inlineStr">
        <is>
          <t>照明开关</t>
        </is>
      </c>
      <c r="D15" s="136" t="inlineStr">
        <is>
          <t>1.名称：三联单控开关
2.规格：86*86mm
3.安装方式：暗装
4.其他：包括但不限于满足图纸、招标文件、规范及验收要求等一切相关费用</t>
        </is>
      </c>
      <c r="E15" s="113" t="inlineStr">
        <is>
          <t>套</t>
        </is>
      </c>
      <c r="F15" s="146" t="n">
        <v>4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20</v>
      </c>
      <c r="Q15" s="120" t="n">
        <v>0</v>
      </c>
      <c r="R15" s="119" t="n">
        <v>12</v>
      </c>
      <c r="S15" s="121" t="n">
        <v>1.5</v>
      </c>
      <c r="T15" s="122" t="n">
        <v>0</v>
      </c>
      <c r="U15" s="114">
        <f>F15*O15</f>
        <v/>
      </c>
    </row>
    <row r="16" outlineLevel="1" ht="72" customFormat="1" customHeight="1" s="5">
      <c r="A16" s="113" t="n">
        <v>11</v>
      </c>
      <c r="B16" s="136" t="n">
        <v>30413014001</v>
      </c>
      <c r="C16" s="136" t="inlineStr">
        <is>
          <t>插座</t>
        </is>
      </c>
      <c r="D16" s="136" t="inlineStr">
        <is>
          <t>1.名称：五孔插座
2.规格：86*86mm
3.安装方式：暗装
4.其他：包括但不限于满足图纸、招标文件、规范及验收要求等一切相关费用</t>
        </is>
      </c>
      <c r="E16" s="113" t="inlineStr">
        <is>
          <t>套</t>
        </is>
      </c>
      <c r="F16" s="146" t="n">
        <v>2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14.62</v>
      </c>
      <c r="Q16" s="120" t="n">
        <v>0</v>
      </c>
      <c r="R16" s="119" t="n">
        <v>6.31</v>
      </c>
      <c r="S16" s="121" t="n">
        <v>1.12</v>
      </c>
      <c r="T16" s="122" t="n">
        <v>0</v>
      </c>
      <c r="U16" s="114">
        <f>F16*O16</f>
        <v/>
      </c>
    </row>
    <row r="17" outlineLevel="1" ht="72" customFormat="1" customHeight="1" s="5">
      <c r="A17" s="113" t="n">
        <v>12</v>
      </c>
      <c r="B17" s="136" t="n">
        <v>30412004001</v>
      </c>
      <c r="C17" s="136" t="inlineStr">
        <is>
          <t>配线</t>
        </is>
      </c>
      <c r="D17" s="136" t="inlineStr">
        <is>
          <t>1.名称：电气配线
2.型号规格：WDZC-BYJ-2.5
3.安装方式：管内穿线
4.其他：包括但不限于满足图纸、招标文件、规范及验收要求等一切相关费用</t>
        </is>
      </c>
      <c r="E17" s="113" t="inlineStr">
        <is>
          <t>m</t>
        </is>
      </c>
      <c r="F17" s="146" t="n">
        <v>11412</v>
      </c>
      <c r="G17" s="116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2.92</v>
      </c>
      <c r="Q17" s="120" t="n">
        <v>0.02</v>
      </c>
      <c r="R17" s="119" t="n">
        <v>2.2</v>
      </c>
      <c r="S17" s="121" t="n">
        <v>0.21</v>
      </c>
      <c r="T17" s="122" t="n">
        <v>0.02</v>
      </c>
      <c r="U17" s="114">
        <f>F17*O17</f>
        <v/>
      </c>
    </row>
    <row r="18" customFormat="1" s="5">
      <c r="A18" s="27" t="inlineStr"/>
      <c r="B18" s="28" t="inlineStr"/>
      <c r="C18" s="28" t="inlineStr">
        <is>
          <t>电梯轿厢</t>
        </is>
      </c>
      <c r="D18" s="28" t="inlineStr"/>
      <c r="E18" s="27" t="inlineStr"/>
      <c r="F18" s="145" t="inlineStr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</row>
    <row r="19" outlineLevel="1" ht="72" customFormat="1" customHeight="1" s="5">
      <c r="A19" s="113" t="n">
        <v>13</v>
      </c>
      <c r="B19" s="136" t="n">
        <v>30413002008</v>
      </c>
      <c r="C19" s="136" t="inlineStr">
        <is>
          <t>嵌入式筒灯</t>
        </is>
      </c>
      <c r="D19" s="136" t="inlineStr">
        <is>
          <t>1.名称：嵌入式筒灯
2.规格：-
3.安装方式：嵌装
4.其他：包括但不限于满足图纸、招标文件、规范及验收要求等一切相关费用</t>
        </is>
      </c>
      <c r="E19" s="113" t="inlineStr">
        <is>
          <t>套</t>
        </is>
      </c>
      <c r="F19" s="146" t="n">
        <v>8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70</v>
      </c>
      <c r="Q19" s="120" t="n">
        <v>0</v>
      </c>
      <c r="R19" s="119" t="n">
        <v>20</v>
      </c>
      <c r="S19" s="121" t="n">
        <v>6</v>
      </c>
      <c r="T19" s="122" t="n">
        <v>0</v>
      </c>
      <c r="U19" s="114">
        <f>F19*O19</f>
        <v/>
      </c>
    </row>
    <row r="20" outlineLevel="1" ht="84" customFormat="1" customHeight="1" s="5">
      <c r="A20" s="113" t="n">
        <v>14</v>
      </c>
      <c r="B20" s="136" t="n">
        <v>30413002009</v>
      </c>
      <c r="C20" s="136" t="inlineStr">
        <is>
          <t>LED灯带</t>
        </is>
      </c>
      <c r="D20" s="136" t="inlineStr">
        <is>
          <t>1.名称：LED灯带
2.规格：8W/米 4000K L170*W170*H25mm
3.安装方式：天花
4.其他：包括但不限于满足图纸、招标文件、规范及验收要求等一切相关费用</t>
        </is>
      </c>
      <c r="E20" s="113" t="inlineStr">
        <is>
          <t>m</t>
        </is>
      </c>
      <c r="F20" s="146" t="n">
        <v>39.68</v>
      </c>
      <c r="G20" s="116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20.4</v>
      </c>
      <c r="Q20" s="120" t="n">
        <v>0</v>
      </c>
      <c r="R20" s="119" t="n">
        <v>12.5</v>
      </c>
      <c r="S20" s="121" t="n">
        <v>0.41</v>
      </c>
      <c r="T20" s="122" t="n">
        <v>0</v>
      </c>
      <c r="U20" s="114">
        <f>F20*O20</f>
        <v/>
      </c>
    </row>
    <row r="21" outlineLevel="1" ht="84" customFormat="1" customHeight="1" s="5">
      <c r="A21" s="27" t="n">
        <v>15</v>
      </c>
      <c r="B21" s="28" t="n">
        <v>30413009002</v>
      </c>
      <c r="C21" s="28" t="inlineStr">
        <is>
          <t>LED 灯带驱动电源</t>
        </is>
      </c>
      <c r="D21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21" s="27" t="inlineStr">
        <is>
          <t>个</t>
        </is>
      </c>
      <c r="F21" s="145" t="n">
        <v>8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'架空层安装工程'!P10</f>
        <v/>
      </c>
      <c r="Q21" s="32">
        <f>'架空层安装工程'!Q10</f>
        <v/>
      </c>
      <c r="R21" s="111">
        <f>'架空层安装工程'!R10</f>
        <v/>
      </c>
      <c r="S21" s="112">
        <f>'架空层安装工程'!S10</f>
        <v/>
      </c>
      <c r="T21" s="107">
        <f>'架空层安装工程'!T10</f>
        <v/>
      </c>
      <c r="U21" s="105">
        <f>F21*O21</f>
        <v/>
      </c>
    </row>
    <row r="22" outlineLevel="1" ht="72" customFormat="1" customHeight="1" s="5">
      <c r="A22" s="113" t="n">
        <v>16</v>
      </c>
      <c r="B22" s="136" t="n">
        <v>30412004002</v>
      </c>
      <c r="C22" s="136" t="inlineStr">
        <is>
          <t>配线</t>
        </is>
      </c>
      <c r="D22" s="136" t="inlineStr">
        <is>
          <t>1.名称：电气配线
2.型号规格：BV-2.5
3.安装方式：管内穿线
4.其他：包括但不限于满足图纸、招标文件、规范及验收要求等一切相关费用</t>
        </is>
      </c>
      <c r="E22" s="113" t="inlineStr">
        <is>
          <t>m</t>
        </is>
      </c>
      <c r="F22" s="146" t="n">
        <v>240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2.77</v>
      </c>
      <c r="Q22" s="120" t="n">
        <v>0.02</v>
      </c>
      <c r="R22" s="119" t="n">
        <v>2.1</v>
      </c>
      <c r="S22" s="121" t="n">
        <v>0.21</v>
      </c>
      <c r="T22" s="122" t="n">
        <v>0.02</v>
      </c>
      <c r="U22" s="114">
        <f>F22*O22</f>
        <v/>
      </c>
    </row>
    <row r="23" ht="21" customHeight="1" s="95">
      <c r="A23" s="34" t="n"/>
      <c r="B23" s="35" t="inlineStr">
        <is>
          <t>税前合价</t>
        </is>
      </c>
      <c r="C23" s="35" t="n"/>
      <c r="D23" s="35" t="n"/>
      <c r="E23" s="36" t="inlineStr">
        <is>
          <t>元</t>
        </is>
      </c>
      <c r="F23" s="36" t="n"/>
      <c r="G23" s="124" t="n"/>
      <c r="H23" s="125" t="n"/>
      <c r="I23" s="125" t="n"/>
      <c r="J23" s="125" t="n"/>
      <c r="K23" s="125" t="n"/>
      <c r="L23" s="125" t="n"/>
      <c r="M23" s="126">
        <f>SUM(M4:M22)</f>
        <v/>
      </c>
      <c r="N23" s="135" t="n"/>
      <c r="O23" s="135" t="n"/>
      <c r="P23" s="135" t="n"/>
      <c r="Q23" s="55" t="n"/>
      <c r="R23" s="135" t="n"/>
      <c r="S23" s="135" t="n"/>
      <c r="T23" s="135" t="n"/>
      <c r="U23" s="135" t="n"/>
    </row>
    <row r="24" ht="21" customHeight="1" s="95">
      <c r="A24" s="34" t="n"/>
      <c r="B24" s="35" t="inlineStr">
        <is>
          <t>税金</t>
        </is>
      </c>
      <c r="C24" s="35" t="n"/>
      <c r="D24" s="35" t="n"/>
      <c r="E24" s="36" t="inlineStr">
        <is>
          <t>元</t>
        </is>
      </c>
      <c r="F24" s="36" t="n"/>
      <c r="G24" s="124" t="n"/>
      <c r="H24" s="125" t="n"/>
      <c r="I24" s="125" t="n"/>
      <c r="J24" s="125" t="n"/>
      <c r="K24" s="125" t="n"/>
      <c r="L24" s="125" t="n"/>
      <c r="M24" s="126">
        <f>M23*0.09</f>
        <v/>
      </c>
      <c r="N24" s="135" t="n"/>
      <c r="O24" s="135" t="n"/>
      <c r="P24" s="135" t="n"/>
      <c r="Q24" s="55" t="n"/>
      <c r="R24" s="135" t="n"/>
      <c r="S24" s="135" t="n"/>
      <c r="T24" s="135" t="n"/>
      <c r="U24" s="135" t="n"/>
    </row>
    <row r="25" ht="21" customHeight="1" s="95">
      <c r="A25" s="34" t="n"/>
      <c r="B25" s="35" t="inlineStr">
        <is>
          <t>含税合价</t>
        </is>
      </c>
      <c r="C25" s="35" t="n"/>
      <c r="D25" s="35" t="n"/>
      <c r="E25" s="36" t="inlineStr">
        <is>
          <t>元</t>
        </is>
      </c>
      <c r="F25" s="36" t="n"/>
      <c r="G25" s="124" t="n"/>
      <c r="H25" s="125" t="n"/>
      <c r="I25" s="125" t="n"/>
      <c r="J25" s="125" t="n"/>
      <c r="K25" s="125" t="n"/>
      <c r="L25" s="125" t="n"/>
      <c r="M25" s="126">
        <f>M23+M24</f>
        <v/>
      </c>
      <c r="N25" s="135" t="n"/>
      <c r="O25" s="135" t="n"/>
      <c r="P25" s="135" t="n"/>
      <c r="Q25" s="55" t="n"/>
      <c r="R25" s="135" t="n"/>
      <c r="S25" s="135" t="n"/>
      <c r="T25" s="135" t="n"/>
      <c r="U25" s="135" t="n"/>
    </row>
  </sheetData>
  <autoFilter ref="A2:U25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1" horizontalDpi="600"/>
  <headerFooter>
    <oddHeader/>
    <oddFooter>&amp;C第 &amp;P 页，共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U66"/>
  <sheetViews>
    <sheetView view="pageBreakPreview" zoomScaleNormal="100" workbookViewId="0">
      <pane xSplit="5" ySplit="3" topLeftCell="F60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5.125" customWidth="1" style="5" min="1" max="1"/>
    <col width="12.625" customWidth="1" style="5" min="2" max="2"/>
    <col width="17.375" customWidth="1" style="5" min="3" max="3"/>
    <col width="31.125" customWidth="1" style="5" min="4" max="4"/>
    <col width="5.875" customWidth="1" style="5" min="5" max="5"/>
    <col width="9" customWidth="1" style="147" min="6" max="6"/>
    <col width="9" customWidth="1" style="5" min="7" max="12"/>
    <col width="12" customWidth="1" style="5" min="13" max="13"/>
    <col width="9" customWidth="1" style="5" min="14" max="16376"/>
    <col width="9" customWidth="1" style="7" min="16377" max="16384"/>
  </cols>
  <sheetData>
    <row r="1" ht="18.75" customHeight="1" s="95">
      <c r="A1" s="8" t="inlineStr">
        <is>
          <t>户内交标安装工程工程量清单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8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电气</t>
        </is>
      </c>
      <c r="D5" s="28" t="inlineStr"/>
      <c r="E5" s="27" t="inlineStr"/>
      <c r="F5" s="148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ht="60" customFormat="1" customHeight="1" s="5">
      <c r="A6" s="113" t="n">
        <v>1</v>
      </c>
      <c r="B6" s="136" t="n">
        <v>30413002001</v>
      </c>
      <c r="C6" s="136" t="inlineStr">
        <is>
          <t>LA-01 筒灯</t>
        </is>
      </c>
      <c r="D6" s="136" t="inlineStr">
        <is>
          <t>1.名称：LA-01 筒灯
2.规格：8.5W 4000K 尺寸Φ138*32mm
3.安装方式：嵌装
4.其他：包括但不限于满足图纸、招标文件、规范及验收要求等一切相关费用</t>
        </is>
      </c>
      <c r="E6" s="113" t="inlineStr">
        <is>
          <t>套</t>
        </is>
      </c>
      <c r="F6" s="149" t="n">
        <v>730.333333333333</v>
      </c>
      <c r="G6" s="116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70</v>
      </c>
      <c r="Q6" s="120" t="n">
        <v>0</v>
      </c>
      <c r="R6" s="119" t="n">
        <v>20</v>
      </c>
      <c r="S6" s="121" t="n">
        <v>6</v>
      </c>
      <c r="T6" s="122" t="n">
        <v>0</v>
      </c>
      <c r="U6" s="114">
        <f>F6*O6</f>
        <v/>
      </c>
    </row>
    <row r="7" outlineLevel="1" ht="60" customFormat="1" customHeight="1" s="5">
      <c r="A7" s="113" t="n">
        <v>2</v>
      </c>
      <c r="B7" s="136" t="n">
        <v>30413002002</v>
      </c>
      <c r="C7" s="136" t="inlineStr">
        <is>
          <t>LA-02 LED嵌入式射灯</t>
        </is>
      </c>
      <c r="D7" s="136" t="inlineStr">
        <is>
          <t>1.名称：LA-02 LED嵌入式射灯
2.规格：7.5W 4000K 尺寸Φ85*57mm
3.安装方式：嵌装
4.其他：包括但不限于满足图纸、招标文件、规范及验收要求等一切相关费用</t>
        </is>
      </c>
      <c r="E7" s="113" t="inlineStr">
        <is>
          <t>套</t>
        </is>
      </c>
      <c r="F7" s="149" t="n">
        <v>254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120</v>
      </c>
      <c r="Q7" s="120" t="n">
        <v>0</v>
      </c>
      <c r="R7" s="119" t="n">
        <v>18</v>
      </c>
      <c r="S7" s="121" t="n">
        <v>3.5</v>
      </c>
      <c r="T7" s="122" t="n">
        <v>0.5</v>
      </c>
      <c r="U7" s="114">
        <f>F7*O7</f>
        <v/>
      </c>
    </row>
    <row r="8" outlineLevel="1" ht="60" customFormat="1" customHeight="1" s="5">
      <c r="A8" s="113" t="n">
        <v>3</v>
      </c>
      <c r="B8" s="136" t="n">
        <v>30413002003</v>
      </c>
      <c r="C8" s="136" t="inlineStr">
        <is>
          <t>LA-03 防雾射灯</t>
        </is>
      </c>
      <c r="D8" s="136" t="inlineStr">
        <is>
          <t>1.名称：LA-03 防雾射灯
2.规格：7W 3500K 尺寸Φ86*86mm
3.安装方式：嵌装
4.其他：包括但不限于满足图纸、招标文件、规范及验收要求等一切相关费用</t>
        </is>
      </c>
      <c r="E8" s="113" t="inlineStr">
        <is>
          <t>套</t>
        </is>
      </c>
      <c r="F8" s="149" t="n">
        <v>231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3.5</v>
      </c>
      <c r="T8" s="122" t="n">
        <v>0.5</v>
      </c>
      <c r="U8" s="114">
        <f>F8*O8</f>
        <v/>
      </c>
    </row>
    <row r="9" outlineLevel="1" ht="60" customFormat="1" customHeight="1" s="5">
      <c r="A9" s="113" t="n">
        <v>4</v>
      </c>
      <c r="B9" s="136" t="n">
        <v>30413002004</v>
      </c>
      <c r="C9" s="136" t="inlineStr">
        <is>
          <t>LA-05 平板灯300*600</t>
        </is>
      </c>
      <c r="D9" s="136" t="inlineStr">
        <is>
          <t>1.名称：LA-05 平板灯300*600
2.规格：12W 4000K 尺寸300*600mm
3.安装方式：嵌装
4.其他：包括但不限于满足图纸、招标文件、规范及验收要求等一切相关费用</t>
        </is>
      </c>
      <c r="E9" s="113" t="inlineStr">
        <is>
          <t>套</t>
        </is>
      </c>
      <c r="F9" s="149" t="n">
        <v>403.333333333333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125</v>
      </c>
      <c r="Q9" s="120" t="n">
        <v>0</v>
      </c>
      <c r="R9" s="119" t="n">
        <v>38</v>
      </c>
      <c r="S9" s="121" t="n">
        <v>8</v>
      </c>
      <c r="T9" s="122" t="n">
        <v>0</v>
      </c>
      <c r="U9" s="114">
        <f>F9*O9</f>
        <v/>
      </c>
    </row>
    <row r="10" outlineLevel="1" ht="60" customFormat="1" customHeight="1" s="5">
      <c r="A10" s="113" t="n">
        <v>5</v>
      </c>
      <c r="B10" s="136" t="n">
        <v>30413001001</v>
      </c>
      <c r="C10" s="136" t="inlineStr">
        <is>
          <t>LA-06 吸顶灯</t>
        </is>
      </c>
      <c r="D10" s="136" t="inlineStr">
        <is>
          <t>1.名称：LA-06 吸顶灯
2.规格：18W 4000K 尺寸φ330*H48mm 
3.安装方式：嵌装
4.其他：包括但不限于满足图纸、招标文件、规范及验收要求等一切相关费用</t>
        </is>
      </c>
      <c r="E10" s="113" t="inlineStr">
        <is>
          <t>套</t>
        </is>
      </c>
      <c r="F10" s="149" t="n">
        <v>185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60</v>
      </c>
      <c r="Q10" s="120" t="n">
        <v>0</v>
      </c>
      <c r="R10" s="119" t="n">
        <v>10</v>
      </c>
      <c r="S10" s="121" t="n">
        <v>2</v>
      </c>
      <c r="T10" s="122" t="n">
        <v>0</v>
      </c>
      <c r="U10" s="114">
        <f>F10*O10</f>
        <v/>
      </c>
    </row>
    <row r="11" outlineLevel="1" ht="60" customFormat="1" customHeight="1" s="5">
      <c r="A11" s="113" t="n">
        <v>6</v>
      </c>
      <c r="B11" s="136" t="n">
        <v>30413001003</v>
      </c>
      <c r="C11" s="136" t="inlineStr">
        <is>
          <t>普通灯具</t>
        </is>
      </c>
      <c r="D11" s="136" t="inlineStr">
        <is>
          <t>1.名称：LA-08 LED灯泡+灯座
2.规格：5W 4000K 86*86mm E27螺口
3.安装方式：嵌装
4.其他：包括但不限于满足图纸、招标文件、规范及验收要求等一切相关费用</t>
        </is>
      </c>
      <c r="E11" s="113" t="inlineStr">
        <is>
          <t>套</t>
        </is>
      </c>
      <c r="F11" s="149" t="n">
        <v>756.333333333333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48</v>
      </c>
      <c r="Q11" s="120" t="n">
        <v>0</v>
      </c>
      <c r="R11" s="119" t="n">
        <v>18</v>
      </c>
      <c r="S11" s="121" t="n">
        <v>1.5</v>
      </c>
      <c r="T11" s="122" t="n">
        <v>0.2</v>
      </c>
      <c r="U11" s="114">
        <f>F11*O11</f>
        <v/>
      </c>
    </row>
    <row r="12" outlineLevel="1" ht="60" customFormat="1" customHeight="1" s="5">
      <c r="A12" s="113" t="n">
        <v>7</v>
      </c>
      <c r="B12" s="136" t="n">
        <v>30413002005</v>
      </c>
      <c r="C12" s="136" t="inlineStr">
        <is>
          <t>LA-04 线条灯</t>
        </is>
      </c>
      <c r="D12" s="136" t="inlineStr">
        <is>
          <t>1.名称：LA-04 线条灯
2.规格：12W/m 尺寸20*10mm
3.安装方式：吊装
4.其他：包括但不限于满足图纸、招标文件、规范及验收要求等一切相关费用</t>
        </is>
      </c>
      <c r="E12" s="113" t="inlineStr">
        <is>
          <t>m</t>
        </is>
      </c>
      <c r="F12" s="149" t="n">
        <v>230.34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40</v>
      </c>
      <c r="Q12" s="120" t="n">
        <v>0</v>
      </c>
      <c r="R12" s="119" t="n">
        <v>5</v>
      </c>
      <c r="S12" s="121" t="n">
        <v>1</v>
      </c>
      <c r="T12" s="122" t="n">
        <v>0</v>
      </c>
      <c r="U12" s="114">
        <f>F12*O12</f>
        <v/>
      </c>
    </row>
    <row r="13" outlineLevel="1" ht="60" customFormat="1" customHeight="1" s="5">
      <c r="A13" s="113" t="n">
        <v>8</v>
      </c>
      <c r="B13" s="136" t="n">
        <v>30413002006</v>
      </c>
      <c r="C13" s="136" t="inlineStr">
        <is>
          <t>LA-07 LED灯带</t>
        </is>
      </c>
      <c r="D13" s="136" t="inlineStr">
        <is>
          <t>1.名称：LA-07 LED灯带
2.规格：8W/米 4000K
3.安装方式：天花
4.其他：包括但不限于满足图纸、招标文件、规范及验收要求等一切相关费用</t>
        </is>
      </c>
      <c r="E13" s="113" t="inlineStr">
        <is>
          <t>m</t>
        </is>
      </c>
      <c r="F13" s="149" t="n">
        <v>818.023333333333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20.4</v>
      </c>
      <c r="Q13" s="120" t="n">
        <v>0</v>
      </c>
      <c r="R13" s="119" t="n">
        <v>12.5</v>
      </c>
      <c r="S13" s="121" t="n">
        <v>0.41</v>
      </c>
      <c r="T13" s="122" t="n">
        <v>0</v>
      </c>
      <c r="U13" s="114">
        <f>F13*O13</f>
        <v/>
      </c>
    </row>
    <row r="14" outlineLevel="1" ht="72" customFormat="1" customHeight="1" s="5">
      <c r="A14" s="27" t="n">
        <v>9</v>
      </c>
      <c r="B14" s="28" t="n">
        <v>30413009001</v>
      </c>
      <c r="C14" s="28" t="inlineStr">
        <is>
          <t>LED 灯带驱动电源</t>
        </is>
      </c>
      <c r="D14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4" s="27" t="inlineStr">
        <is>
          <t>个</t>
        </is>
      </c>
      <c r="F14" s="148" t="n">
        <v>136.333333333333</v>
      </c>
      <c r="G14" s="123">
        <f>R14*$R$3</f>
        <v/>
      </c>
      <c r="H14" s="106">
        <f>P14*(1+Q14)*$P$3+S14*$S$3</f>
        <v/>
      </c>
      <c r="I14" s="106">
        <f>T14*$T$3</f>
        <v/>
      </c>
      <c r="J14" s="106">
        <f>(G14+H14+I14)*$J$3</f>
        <v/>
      </c>
      <c r="K14" s="106">
        <f>(G14+H14+I14+J14)*$K$3</f>
        <v/>
      </c>
      <c r="L14" s="106">
        <f>G14+H14+I14+J14+K14</f>
        <v/>
      </c>
      <c r="M14" s="106">
        <f>F14*L14</f>
        <v/>
      </c>
      <c r="N14" s="101" t="n"/>
      <c r="O14" s="105">
        <f>P14*(1+Q14)+R14+S14+T14</f>
        <v/>
      </c>
      <c r="P14" s="111">
        <f>'架空层安装工程'!P10</f>
        <v/>
      </c>
      <c r="Q14" s="32">
        <f>'架空层安装工程'!Q10</f>
        <v/>
      </c>
      <c r="R14" s="111">
        <f>'架空层安装工程'!R10</f>
        <v/>
      </c>
      <c r="S14" s="112">
        <f>'架空层安装工程'!S10</f>
        <v/>
      </c>
      <c r="T14" s="107">
        <f>'架空层安装工程'!T10</f>
        <v/>
      </c>
      <c r="U14" s="105">
        <f>F14*O14</f>
        <v/>
      </c>
    </row>
    <row r="15" outlineLevel="1" ht="60" customFormat="1" customHeight="1" s="5">
      <c r="A15" s="113" t="n">
        <v>10</v>
      </c>
      <c r="B15" s="136" t="n">
        <v>30405015001</v>
      </c>
      <c r="C15" s="136" t="inlineStr">
        <is>
          <t>排气扇</t>
        </is>
      </c>
      <c r="D15" s="136" t="inlineStr">
        <is>
          <t>1.名称：排气扇
2.规格：40W 风量235m3/h
3.尺寸：详见物料表
4.其他：包括但不限于满足图纸、招标文件、规范及验收要求等一切相关费用</t>
        </is>
      </c>
      <c r="E15" s="113" t="inlineStr">
        <is>
          <t>台</t>
        </is>
      </c>
      <c r="F15" s="149" t="n">
        <v>268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155</v>
      </c>
      <c r="Q15" s="120" t="n">
        <v>0</v>
      </c>
      <c r="R15" s="119" t="n">
        <v>21</v>
      </c>
      <c r="S15" s="121" t="n">
        <v>2</v>
      </c>
      <c r="T15" s="122" t="n">
        <v>0</v>
      </c>
      <c r="U15" s="114">
        <f>F15*O15</f>
        <v/>
      </c>
    </row>
    <row r="16" outlineLevel="1" ht="60" customFormat="1" customHeight="1" s="5">
      <c r="A16" s="113" t="n">
        <v>11</v>
      </c>
      <c r="B16" s="136" t="n">
        <v>30413013001</v>
      </c>
      <c r="C16" s="136" t="inlineStr">
        <is>
          <t>照明开关</t>
        </is>
      </c>
      <c r="D16" s="136" t="inlineStr">
        <is>
          <t>1.名称：一键开关
2.规格：86*86mm
3.安装方式：暗装
4.其他：包括但不限于满足图纸、招标文件、规范及验收要求等一切相关费用</t>
        </is>
      </c>
      <c r="E16" s="113" t="inlineStr">
        <is>
          <t>套</t>
        </is>
      </c>
      <c r="F16" s="149" t="n">
        <v>117.666666666667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14.62</v>
      </c>
      <c r="Q16" s="120" t="n">
        <v>0</v>
      </c>
      <c r="R16" s="119" t="n">
        <v>6.31</v>
      </c>
      <c r="S16" s="121" t="n">
        <v>1.12</v>
      </c>
      <c r="T16" s="122" t="n">
        <v>0</v>
      </c>
      <c r="U16" s="114">
        <f>F16*O16</f>
        <v/>
      </c>
    </row>
    <row r="17" outlineLevel="1" ht="60" customFormat="1" customHeight="1" s="5">
      <c r="A17" s="27" t="n">
        <v>12</v>
      </c>
      <c r="B17" s="28" t="n">
        <v>30413013002</v>
      </c>
      <c r="C17" s="28" t="inlineStr">
        <is>
          <t>照明开关</t>
        </is>
      </c>
      <c r="D17" s="28" t="inlineStr">
        <is>
          <t>1.名称：单联单控开关
2.规格：86*86mm
3.安装方式：暗装
4.其他：包括但不限于满足图纸、招标文件、规范及验收要求等一切相关费用</t>
        </is>
      </c>
      <c r="E17" s="27" t="inlineStr">
        <is>
          <t>套</t>
        </is>
      </c>
      <c r="F17" s="148" t="n">
        <v>386</v>
      </c>
      <c r="G17" s="123">
        <f>R17*$R$3</f>
        <v/>
      </c>
      <c r="H17" s="106">
        <f>P17*(1+Q17)*$P$3+S17*$S$3</f>
        <v/>
      </c>
      <c r="I17" s="106">
        <f>T17*$T$3</f>
        <v/>
      </c>
      <c r="J17" s="106">
        <f>(G17+H17+I17)*$J$3</f>
        <v/>
      </c>
      <c r="K17" s="106">
        <f>(G17+H17+I17+J17)*$K$3</f>
        <v/>
      </c>
      <c r="L17" s="106">
        <f>G17+H17+I17+J17+K17</f>
        <v/>
      </c>
      <c r="M17" s="106">
        <f>F17*L17</f>
        <v/>
      </c>
      <c r="N17" s="101" t="n"/>
      <c r="O17" s="105">
        <f>P17*(1+Q17)+R17+S17+T17</f>
        <v/>
      </c>
      <c r="P17" s="111">
        <f>'公共区域安装工程'!P14</f>
        <v/>
      </c>
      <c r="Q17" s="32">
        <f>'公共区域安装工程'!Q14</f>
        <v/>
      </c>
      <c r="R17" s="111">
        <f>'公共区域安装工程'!R14</f>
        <v/>
      </c>
      <c r="S17" s="112">
        <f>'公共区域安装工程'!S14</f>
        <v/>
      </c>
      <c r="T17" s="107">
        <f>'公共区域安装工程'!T14</f>
        <v/>
      </c>
      <c r="U17" s="105">
        <f>F17*O17</f>
        <v/>
      </c>
    </row>
    <row r="18" outlineLevel="1" ht="60" customFormat="1" customHeight="1" s="5">
      <c r="A18" s="27" t="n">
        <v>13</v>
      </c>
      <c r="B18" s="28" t="n">
        <v>30413013003</v>
      </c>
      <c r="C18" s="28" t="inlineStr">
        <is>
          <t>照明开关</t>
        </is>
      </c>
      <c r="D18" s="28" t="inlineStr">
        <is>
          <t>1.名称：双联单控开关
2.规格：86*86mm
3.安装方式：暗装
4.其他：包括但不限于满足图纸、招标文件、规范及验收要求等一切相关费用</t>
        </is>
      </c>
      <c r="E18" s="27" t="inlineStr">
        <is>
          <t>套</t>
        </is>
      </c>
      <c r="F18" s="148" t="n">
        <v>234</v>
      </c>
      <c r="G18" s="123">
        <f>R18*$R$3</f>
        <v/>
      </c>
      <c r="H18" s="106">
        <f>P18*(1+Q18)*$P$3+S18*$S$3</f>
        <v/>
      </c>
      <c r="I18" s="106">
        <f>T18*$T$3</f>
        <v/>
      </c>
      <c r="J18" s="106">
        <f>(G18+H18+I18)*$J$3</f>
        <v/>
      </c>
      <c r="K18" s="106">
        <f>(G18+H18+I18+J18)*$K$3</f>
        <v/>
      </c>
      <c r="L18" s="106">
        <f>G18+H18+I18+J18+K18</f>
        <v/>
      </c>
      <c r="M18" s="106">
        <f>F18*L18</f>
        <v/>
      </c>
      <c r="N18" s="101" t="n"/>
      <c r="O18" s="105">
        <f>P18*(1+Q18)+R18+S18+T18</f>
        <v/>
      </c>
      <c r="P18" s="111">
        <f>'架空层安装工程'!P16</f>
        <v/>
      </c>
      <c r="Q18" s="32">
        <f>'架空层安装工程'!Q16</f>
        <v/>
      </c>
      <c r="R18" s="111">
        <f>'架空层安装工程'!R16</f>
        <v/>
      </c>
      <c r="S18" s="112">
        <f>'架空层安装工程'!S16</f>
        <v/>
      </c>
      <c r="T18" s="107">
        <f>'架空层安装工程'!T16</f>
        <v/>
      </c>
      <c r="U18" s="105">
        <f>F18*O18</f>
        <v/>
      </c>
    </row>
    <row r="19" outlineLevel="1" ht="60" customFormat="1" customHeight="1" s="5">
      <c r="A19" s="27" t="n">
        <v>14</v>
      </c>
      <c r="B19" s="28" t="n">
        <v>30413013004</v>
      </c>
      <c r="C19" s="28" t="inlineStr">
        <is>
          <t>照明开关</t>
        </is>
      </c>
      <c r="D19" s="28" t="inlineStr">
        <is>
          <t>1.名称：三联单控开关
2.规格：86*86mm
3.安装方式：暗装
4.其他：包括但不限于满足图纸、招标文件、规范及验收要求等一切相关费用</t>
        </is>
      </c>
      <c r="E19" s="27" t="inlineStr">
        <is>
          <t>套</t>
        </is>
      </c>
      <c r="F19" s="148" t="n">
        <v>100.333333333333</v>
      </c>
      <c r="G19" s="123">
        <f>R19*$R$3</f>
        <v/>
      </c>
      <c r="H19" s="106">
        <f>P19*(1+Q19)*$P$3+S19*$S$3</f>
        <v/>
      </c>
      <c r="I19" s="106">
        <f>T19*$T$3</f>
        <v/>
      </c>
      <c r="J19" s="106">
        <f>(G19+H19+I19)*$J$3</f>
        <v/>
      </c>
      <c r="K19" s="106">
        <f>(G19+H19+I19+J19)*$K$3</f>
        <v/>
      </c>
      <c r="L19" s="106">
        <f>G19+H19+I19+J19+K19</f>
        <v/>
      </c>
      <c r="M19" s="106">
        <f>F19*L19</f>
        <v/>
      </c>
      <c r="N19" s="101" t="n"/>
      <c r="O19" s="105">
        <f>P19*(1+Q19)+R19+S19+T19</f>
        <v/>
      </c>
      <c r="P19" s="111">
        <f>'公共区域安装工程'!P15</f>
        <v/>
      </c>
      <c r="Q19" s="32">
        <f>'公共区域安装工程'!Q15</f>
        <v/>
      </c>
      <c r="R19" s="111">
        <f>'公共区域安装工程'!R15</f>
        <v/>
      </c>
      <c r="S19" s="112">
        <f>'公共区域安装工程'!S15</f>
        <v/>
      </c>
      <c r="T19" s="107">
        <f>'公共区域安装工程'!T15</f>
        <v/>
      </c>
      <c r="U19" s="105">
        <f>F19*O19</f>
        <v/>
      </c>
    </row>
    <row r="20" outlineLevel="1" ht="60" customFormat="1" customHeight="1" s="5">
      <c r="A20" s="113" t="n">
        <v>15</v>
      </c>
      <c r="B20" s="136" t="n">
        <v>30413013005</v>
      </c>
      <c r="C20" s="136" t="inlineStr">
        <is>
          <t>照明开关</t>
        </is>
      </c>
      <c r="D20" s="136" t="inlineStr">
        <is>
          <t>1.名称：单联双控开关
2.规格：86*86mm
3.安装方式：暗装
4.其他：包括但不限于满足图纸、招标文件、规范及验收要求等一切相关费用</t>
        </is>
      </c>
      <c r="E20" s="113" t="inlineStr">
        <is>
          <t>套</t>
        </is>
      </c>
      <c r="F20" s="149" t="n">
        <v>708.666666666667</v>
      </c>
      <c r="G20" s="116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14.62</v>
      </c>
      <c r="Q20" s="120" t="n">
        <v>0</v>
      </c>
      <c r="R20" s="119" t="n">
        <v>6.31</v>
      </c>
      <c r="S20" s="121" t="n">
        <v>1.12</v>
      </c>
      <c r="T20" s="122" t="n">
        <v>0</v>
      </c>
      <c r="U20" s="114">
        <f>F20*O20</f>
        <v/>
      </c>
    </row>
    <row r="21" outlineLevel="1" ht="60" customFormat="1" customHeight="1" s="5">
      <c r="A21" s="113" t="n">
        <v>16</v>
      </c>
      <c r="B21" s="136" t="n">
        <v>30413013006</v>
      </c>
      <c r="C21" s="136" t="inlineStr">
        <is>
          <t>照明开关</t>
        </is>
      </c>
      <c r="D21" s="136" t="inlineStr">
        <is>
          <t>1.名称：双联双控开关
2.规格：86*86mm
3.安装方式：暗装
4.其他：包括但不限于满足图纸、招标文件、规范及验收要求等一切相关费用</t>
        </is>
      </c>
      <c r="E21" s="113" t="inlineStr">
        <is>
          <t>套</t>
        </is>
      </c>
      <c r="F21" s="149" t="n">
        <v>463.666666666667</v>
      </c>
      <c r="G21" s="116">
        <f>R21*$R$3</f>
        <v/>
      </c>
      <c r="H21" s="117">
        <f>P21*(1+Q21)*$P$3+S21*$S$3</f>
        <v/>
      </c>
      <c r="I21" s="117">
        <f>T21*$T$3</f>
        <v/>
      </c>
      <c r="J21" s="117">
        <f>(G21+H21+I21)*$J$3</f>
        <v/>
      </c>
      <c r="K21" s="117">
        <f>(G21+H21+I21+J21)*$K$3</f>
        <v/>
      </c>
      <c r="L21" s="117">
        <f>G21+H21+I21+J21+K21</f>
        <v/>
      </c>
      <c r="M21" s="117">
        <f>F21*L21</f>
        <v/>
      </c>
      <c r="N21" s="118" t="n"/>
      <c r="O21" s="114">
        <f>P21*(1+Q21)+R21+S21+T21</f>
        <v/>
      </c>
      <c r="P21" s="119" t="n">
        <v>18</v>
      </c>
      <c r="Q21" s="120" t="n">
        <v>0</v>
      </c>
      <c r="R21" s="119" t="n">
        <v>10</v>
      </c>
      <c r="S21" s="121" t="n">
        <v>1.5</v>
      </c>
      <c r="T21" s="122" t="n">
        <v>0</v>
      </c>
      <c r="U21" s="114">
        <f>F21*O21</f>
        <v/>
      </c>
    </row>
    <row r="22" outlineLevel="1" ht="60" customFormat="1" customHeight="1" s="5">
      <c r="A22" s="113" t="n">
        <v>17</v>
      </c>
      <c r="B22" s="136" t="n">
        <v>30413013007</v>
      </c>
      <c r="C22" s="136" t="inlineStr">
        <is>
          <t>照明开关</t>
        </is>
      </c>
      <c r="D22" s="136" t="inlineStr">
        <is>
          <t>1.名称：三联双控开关
2.规格：86*86mm
3.安装方式：暗装
4.其他：包括但不限于满足图纸、招标文件、规范及验收要求等一切相关费用</t>
        </is>
      </c>
      <c r="E22" s="113" t="inlineStr">
        <is>
          <t>套</t>
        </is>
      </c>
      <c r="F22" s="149" t="n">
        <v>169.333333333333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20</v>
      </c>
      <c r="Q22" s="120" t="n">
        <v>0</v>
      </c>
      <c r="R22" s="119" t="n">
        <v>12</v>
      </c>
      <c r="S22" s="121" t="n">
        <v>1.5</v>
      </c>
      <c r="T22" s="122" t="n">
        <v>0</v>
      </c>
      <c r="U22" s="114">
        <f>F22*O22</f>
        <v/>
      </c>
    </row>
    <row r="23" outlineLevel="1" ht="60" customFormat="1" customHeight="1" s="5">
      <c r="A23" s="27" t="n">
        <v>18</v>
      </c>
      <c r="B23" s="28" t="n">
        <v>30413014001</v>
      </c>
      <c r="C23" s="28" t="inlineStr">
        <is>
          <t>插座</t>
        </is>
      </c>
      <c r="D23" s="28" t="inlineStr">
        <is>
          <t>1.名称：五孔插座
2.规格：86*86mm
3.安装方式：暗装
4.其他：包括但不限于满足图纸、招标文件、规范及验收要求等一切相关费用</t>
        </is>
      </c>
      <c r="E23" s="27" t="inlineStr">
        <is>
          <t>套</t>
        </is>
      </c>
      <c r="F23" s="148" t="n">
        <v>2499</v>
      </c>
      <c r="G23" s="123">
        <f>R23*$R$3</f>
        <v/>
      </c>
      <c r="H23" s="106">
        <f>P23*(1+Q23)*$P$3+S23*$S$3</f>
        <v/>
      </c>
      <c r="I23" s="106">
        <f>T23*$T$3</f>
        <v/>
      </c>
      <c r="J23" s="106">
        <f>(G23+H23+I23)*$J$3</f>
        <v/>
      </c>
      <c r="K23" s="106">
        <f>(G23+H23+I23+J23)*$K$3</f>
        <v/>
      </c>
      <c r="L23" s="106">
        <f>G23+H23+I23+J23+K23</f>
        <v/>
      </c>
      <c r="M23" s="106">
        <f>F23*L23</f>
        <v/>
      </c>
      <c r="N23" s="101" t="n"/>
      <c r="O23" s="105">
        <f>P23*(1+Q23)+R23+S23+T23</f>
        <v/>
      </c>
      <c r="P23" s="111">
        <f>'公共区域安装工程'!P16</f>
        <v/>
      </c>
      <c r="Q23" s="32">
        <f>'公共区域安装工程'!Q16</f>
        <v/>
      </c>
      <c r="R23" s="111">
        <f>'公共区域安装工程'!R16</f>
        <v/>
      </c>
      <c r="S23" s="112">
        <f>'公共区域安装工程'!S16</f>
        <v/>
      </c>
      <c r="T23" s="107">
        <f>'公共区域安装工程'!T16</f>
        <v/>
      </c>
      <c r="U23" s="105">
        <f>F23*O23</f>
        <v/>
      </c>
    </row>
    <row r="24" outlineLevel="1" ht="60" customFormat="1" customHeight="1" s="5">
      <c r="A24" s="113" t="n">
        <v>19</v>
      </c>
      <c r="B24" s="136" t="n">
        <v>30413014002</v>
      </c>
      <c r="C24" s="136" t="inlineStr">
        <is>
          <t>插座</t>
        </is>
      </c>
      <c r="D24" s="136" t="inlineStr">
        <is>
          <t>1.名称：五孔插座（防溅）
2.规格：86*86mm
3.安装方式：暗装
4.其他：包括但不限于满足图纸、招标文件、规范及验收要求等一切相关费用</t>
        </is>
      </c>
      <c r="E24" s="113" t="inlineStr">
        <is>
          <t>套</t>
        </is>
      </c>
      <c r="F24" s="149" t="n">
        <v>871</v>
      </c>
      <c r="G24" s="116">
        <f>R24*$R$3</f>
        <v/>
      </c>
      <c r="H24" s="117">
        <f>P24*(1+Q24)*$P$3+S24*$S$3</f>
        <v/>
      </c>
      <c r="I24" s="117">
        <f>T24*$T$3</f>
        <v/>
      </c>
      <c r="J24" s="117">
        <f>(G24+H24+I24)*$J$3</f>
        <v/>
      </c>
      <c r="K24" s="117">
        <f>(G24+H24+I24+J24)*$K$3</f>
        <v/>
      </c>
      <c r="L24" s="117">
        <f>G24+H24+I24+J24+K24</f>
        <v/>
      </c>
      <c r="M24" s="117">
        <f>F24*L24</f>
        <v/>
      </c>
      <c r="N24" s="118" t="n"/>
      <c r="O24" s="114">
        <f>P24*(1+Q24)+R24+S24+T24</f>
        <v/>
      </c>
      <c r="P24" s="119" t="n">
        <v>14.62</v>
      </c>
      <c r="Q24" s="120" t="n">
        <v>0</v>
      </c>
      <c r="R24" s="119" t="n">
        <v>6.31</v>
      </c>
      <c r="S24" s="121" t="n">
        <v>1.12</v>
      </c>
      <c r="T24" s="122" t="n">
        <v>0</v>
      </c>
      <c r="U24" s="114">
        <f>F24*O24</f>
        <v/>
      </c>
    </row>
    <row r="25" outlineLevel="1" ht="60" customFormat="1" customHeight="1" s="5">
      <c r="A25" s="113" t="n">
        <v>20</v>
      </c>
      <c r="B25" s="136" t="n">
        <v>30413014003</v>
      </c>
      <c r="C25" s="136" t="inlineStr">
        <is>
          <t>插座</t>
        </is>
      </c>
      <c r="D25" s="136" t="inlineStr">
        <is>
          <t>1.名称：五孔插座带开关
2.规格：86*86mm
3.安装方式：暗装
4.其他：包括但不限于满足图纸、招标文件、规范及验收要求等一切相关费用</t>
        </is>
      </c>
      <c r="E25" s="113" t="inlineStr">
        <is>
          <t>套</t>
        </is>
      </c>
      <c r="F25" s="149" t="n">
        <v>235.333333333333</v>
      </c>
      <c r="G25" s="116">
        <f>R25*$R$3</f>
        <v/>
      </c>
      <c r="H25" s="117">
        <f>P25*(1+Q25)*$P$3+S25*$S$3</f>
        <v/>
      </c>
      <c r="I25" s="117">
        <f>T25*$T$3</f>
        <v/>
      </c>
      <c r="J25" s="117">
        <f>(G25+H25+I25)*$J$3</f>
        <v/>
      </c>
      <c r="K25" s="117">
        <f>(G25+H25+I25+J25)*$K$3</f>
        <v/>
      </c>
      <c r="L25" s="117">
        <f>G25+H25+I25+J25+K25</f>
        <v/>
      </c>
      <c r="M25" s="117">
        <f>F25*L25</f>
        <v/>
      </c>
      <c r="N25" s="118" t="n"/>
      <c r="O25" s="114">
        <f>P25*(1+Q25)+R25+S25+T25</f>
        <v/>
      </c>
      <c r="P25" s="119" t="n">
        <v>14.62</v>
      </c>
      <c r="Q25" s="120" t="n">
        <v>0</v>
      </c>
      <c r="R25" s="119" t="n">
        <v>6.31</v>
      </c>
      <c r="S25" s="121" t="n">
        <v>1.12</v>
      </c>
      <c r="T25" s="122" t="n">
        <v>0</v>
      </c>
      <c r="U25" s="114">
        <f>F25*O25</f>
        <v/>
      </c>
    </row>
    <row r="26" outlineLevel="1" ht="60" customFormat="1" customHeight="1" s="5">
      <c r="A26" s="113" t="n">
        <v>21</v>
      </c>
      <c r="B26" s="136" t="n">
        <v>30413014004</v>
      </c>
      <c r="C26" s="136" t="inlineStr">
        <is>
          <t>插座</t>
        </is>
      </c>
      <c r="D26" s="136" t="inlineStr">
        <is>
          <t>1.名称：五孔插座带USB接口
2.规格：86*86mm
3.安装方式：暗装
4.其他：包括但不限于满足图纸、招标文件、规范及验收要求等一切相关费用</t>
        </is>
      </c>
      <c r="E26" s="113" t="inlineStr">
        <is>
          <t>套</t>
        </is>
      </c>
      <c r="F26" s="149" t="n">
        <v>200.333333333333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14.62</v>
      </c>
      <c r="Q26" s="120" t="n">
        <v>0</v>
      </c>
      <c r="R26" s="119" t="n">
        <v>6.31</v>
      </c>
      <c r="S26" s="121" t="n">
        <v>1.12</v>
      </c>
      <c r="T26" s="122" t="n">
        <v>0</v>
      </c>
      <c r="U26" s="114">
        <f>F26*O26</f>
        <v/>
      </c>
    </row>
    <row r="27" outlineLevel="1" ht="60" customFormat="1" customHeight="1" s="5">
      <c r="A27" s="113" t="n">
        <v>22</v>
      </c>
      <c r="B27" s="136" t="n">
        <v>30413014005</v>
      </c>
      <c r="C27" s="136" t="inlineStr">
        <is>
          <t>插座</t>
        </is>
      </c>
      <c r="D27" s="136" t="inlineStr">
        <is>
          <t>1.名称：三孔插座
2.规格：86*86mm
3.安装方式：暗装
4.其他：包括但不限于满足图纸、招标文件、规范及验收要求等一切相关费用</t>
        </is>
      </c>
      <c r="E27" s="113" t="inlineStr">
        <is>
          <t>套</t>
        </is>
      </c>
      <c r="F27" s="149" t="n">
        <v>691.666666666667</v>
      </c>
      <c r="G27" s="116">
        <f>R27*$R$3</f>
        <v/>
      </c>
      <c r="H27" s="117">
        <f>P27*(1+Q27)*$P$3+S27*$S$3</f>
        <v/>
      </c>
      <c r="I27" s="117">
        <f>T27*$T$3</f>
        <v/>
      </c>
      <c r="J27" s="117">
        <f>(G27+H27+I27)*$J$3</f>
        <v/>
      </c>
      <c r="K27" s="117">
        <f>(G27+H27+I27+J27)*$K$3</f>
        <v/>
      </c>
      <c r="L27" s="117">
        <f>G27+H27+I27+J27+K27</f>
        <v/>
      </c>
      <c r="M27" s="117">
        <f>F27*L27</f>
        <v/>
      </c>
      <c r="N27" s="118" t="n"/>
      <c r="O27" s="114">
        <f>P27*(1+Q27)+R27+S27+T27</f>
        <v/>
      </c>
      <c r="P27" s="119" t="n">
        <v>14.62</v>
      </c>
      <c r="Q27" s="120" t="n">
        <v>0</v>
      </c>
      <c r="R27" s="119" t="n">
        <v>6.31</v>
      </c>
      <c r="S27" s="121" t="n">
        <v>1.12</v>
      </c>
      <c r="T27" s="122" t="n">
        <v>0</v>
      </c>
      <c r="U27" s="114">
        <f>F27*O27</f>
        <v/>
      </c>
    </row>
    <row r="28" outlineLevel="1" ht="60" customFormat="1" customHeight="1" s="5">
      <c r="A28" s="113" t="n">
        <v>23</v>
      </c>
      <c r="B28" s="136" t="n">
        <v>30413014006</v>
      </c>
      <c r="C28" s="136" t="inlineStr">
        <is>
          <t>插座</t>
        </is>
      </c>
      <c r="D28" s="136" t="inlineStr">
        <is>
          <t>1.名称：三孔插座 16A
2.规格：86*86mm
3.安装方式：暗装
4.其他：包括但不限于满足图纸、招标文件、规范及验收要求等一切相关费用</t>
        </is>
      </c>
      <c r="E28" s="113" t="inlineStr">
        <is>
          <t>套</t>
        </is>
      </c>
      <c r="F28" s="149" t="n">
        <v>2.66666666666667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14.62</v>
      </c>
      <c r="Q28" s="120" t="n">
        <v>0</v>
      </c>
      <c r="R28" s="119" t="n">
        <v>6.31</v>
      </c>
      <c r="S28" s="121" t="n">
        <v>1.12</v>
      </c>
      <c r="T28" s="122" t="n">
        <v>0</v>
      </c>
      <c r="U28" s="114">
        <f>F28*O28</f>
        <v/>
      </c>
    </row>
    <row r="29" outlineLevel="1" ht="60" customFormat="1" customHeight="1" s="5">
      <c r="A29" s="113" t="n">
        <v>24</v>
      </c>
      <c r="B29" s="136" t="n">
        <v>30413014007</v>
      </c>
      <c r="C29" s="136" t="inlineStr">
        <is>
          <t>插座</t>
        </is>
      </c>
      <c r="D29" s="136" t="inlineStr">
        <is>
          <t>1.名称：三孔插座带开关（防溅）
2.规格：86*86mm
3.安装方式：暗装
4.其他：包括但不限于满足图纸、招标文件、规范及验收要求等一切相关费用</t>
        </is>
      </c>
      <c r="E29" s="113" t="inlineStr">
        <is>
          <t>套</t>
        </is>
      </c>
      <c r="F29" s="149" t="n">
        <v>117.666666666667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14.62</v>
      </c>
      <c r="Q29" s="120" t="n">
        <v>0</v>
      </c>
      <c r="R29" s="119" t="n">
        <v>6.31</v>
      </c>
      <c r="S29" s="121" t="n">
        <v>1.12</v>
      </c>
      <c r="T29" s="122" t="n">
        <v>0</v>
      </c>
      <c r="U29" s="114">
        <f>F29*O29</f>
        <v/>
      </c>
    </row>
    <row r="30" outlineLevel="1" ht="60" customFormat="1" customHeight="1" s="5">
      <c r="A30" s="113" t="n">
        <v>25</v>
      </c>
      <c r="B30" s="136" t="n">
        <v>30413014008</v>
      </c>
      <c r="C30" s="136" t="inlineStr">
        <is>
          <t>小夜灯</t>
        </is>
      </c>
      <c r="D30" s="136" t="inlineStr">
        <is>
          <t>1.名称：小夜灯
2.规格：86*86mm
3.安装方式：暗装
4.其他：包括但不限于满足图纸、招标文件、规范及验收要求等一切相关费用</t>
        </is>
      </c>
      <c r="E30" s="113" t="inlineStr">
        <is>
          <t>套</t>
        </is>
      </c>
      <c r="F30" s="149" t="n">
        <v>115.666666666667</v>
      </c>
      <c r="G30" s="116">
        <f>R30*$R$3</f>
        <v/>
      </c>
      <c r="H30" s="117">
        <f>P30*(1+Q30)*$P$3+S30*$S$3</f>
        <v/>
      </c>
      <c r="I30" s="117">
        <f>T30*$T$3</f>
        <v/>
      </c>
      <c r="J30" s="117">
        <f>(G30+H30+I30)*$J$3</f>
        <v/>
      </c>
      <c r="K30" s="117">
        <f>(G30+H30+I30+J30)*$K$3</f>
        <v/>
      </c>
      <c r="L30" s="117">
        <f>G30+H30+I30+J30+K30</f>
        <v/>
      </c>
      <c r="M30" s="117">
        <f>F30*L30</f>
        <v/>
      </c>
      <c r="N30" s="118" t="n"/>
      <c r="O30" s="114">
        <f>P30*(1+Q30)+R30+S30+T30</f>
        <v/>
      </c>
      <c r="P30" s="119" t="n">
        <v>15</v>
      </c>
      <c r="Q30" s="120" t="n">
        <v>0</v>
      </c>
      <c r="R30" s="119" t="n">
        <v>5</v>
      </c>
      <c r="S30" s="121" t="n">
        <v>0.5</v>
      </c>
      <c r="T30" s="122" t="n">
        <v>0</v>
      </c>
      <c r="U30" s="114">
        <f>F30*O30</f>
        <v/>
      </c>
    </row>
    <row r="31" outlineLevel="1" ht="60" customFormat="1" customHeight="1" s="5">
      <c r="A31" s="27" t="n">
        <v>26</v>
      </c>
      <c r="B31" s="28" t="n">
        <v>30412004001</v>
      </c>
      <c r="C31" s="28" t="inlineStr">
        <is>
          <t>配线</t>
        </is>
      </c>
      <c r="D31" s="28" t="inlineStr">
        <is>
          <t>1.名称：电气配线
2.型号规格：BV-2.5
3.安装方式：管内穿线
4.其他：包括但不限于满足图纸、招标文件、规范及验收要求等一切相关费用</t>
        </is>
      </c>
      <c r="E31" s="27" t="inlineStr">
        <is>
          <t>m</t>
        </is>
      </c>
      <c r="F31" s="148" t="n">
        <v>56229.66</v>
      </c>
      <c r="G31" s="123">
        <f>R31*$R$3</f>
        <v/>
      </c>
      <c r="H31" s="106">
        <f>P31*(1+Q31)*$P$3+S31*$S$3</f>
        <v/>
      </c>
      <c r="I31" s="106">
        <f>T31*$T$3</f>
        <v/>
      </c>
      <c r="J31" s="106">
        <f>(G31+H31+I31)*$J$3</f>
        <v/>
      </c>
      <c r="K31" s="106">
        <f>(G31+H31+I31+J31)*$K$3</f>
        <v/>
      </c>
      <c r="L31" s="106">
        <f>G31+H31+I31+J31+K31</f>
        <v/>
      </c>
      <c r="M31" s="106">
        <f>F31*L31</f>
        <v/>
      </c>
      <c r="N31" s="101" t="n"/>
      <c r="O31" s="105">
        <f>P31*(1+Q31)+R31+S31+T31</f>
        <v/>
      </c>
      <c r="P31" s="111">
        <f>'公共区域安装工程'!P22</f>
        <v/>
      </c>
      <c r="Q31" s="32">
        <f>'公共区域安装工程'!Q22</f>
        <v/>
      </c>
      <c r="R31" s="111">
        <f>'公共区域安装工程'!R22</f>
        <v/>
      </c>
      <c r="S31" s="112">
        <f>'公共区域安装工程'!S22</f>
        <v/>
      </c>
      <c r="T31" s="107">
        <f>'公共区域安装工程'!T22</f>
        <v/>
      </c>
      <c r="U31" s="105">
        <f>F31*O31</f>
        <v/>
      </c>
    </row>
    <row r="32" outlineLevel="1" ht="60" customFormat="1" customHeight="1" s="5">
      <c r="A32" s="113" t="n">
        <v>27</v>
      </c>
      <c r="B32" s="136" t="n">
        <v>30412004002</v>
      </c>
      <c r="C32" s="136" t="inlineStr">
        <is>
          <t>配线</t>
        </is>
      </c>
      <c r="D32" s="136" t="inlineStr">
        <is>
          <t>1.名称：电气配线
2.型号规格：BV-4
3.安装方式：管内穿线
4.其他：包括但不限于满足图纸、招标文件、规范及验收要求等一切相关费用</t>
        </is>
      </c>
      <c r="E32" s="113" t="inlineStr">
        <is>
          <t>m</t>
        </is>
      </c>
      <c r="F32" s="149" t="n">
        <v>76002.4633333333</v>
      </c>
      <c r="G32" s="116">
        <f>R32*$R$3</f>
        <v/>
      </c>
      <c r="H32" s="117">
        <f>P32*(1+Q32)*$P$3+S32*$S$3</f>
        <v/>
      </c>
      <c r="I32" s="117">
        <f>T32*$T$3</f>
        <v/>
      </c>
      <c r="J32" s="117">
        <f>(G32+H32+I32)*$J$3</f>
        <v/>
      </c>
      <c r="K32" s="117">
        <f>(G32+H32+I32+J32)*$K$3</f>
        <v/>
      </c>
      <c r="L32" s="117">
        <f>G32+H32+I32+J32+K32</f>
        <v/>
      </c>
      <c r="M32" s="117">
        <f>F32*L32</f>
        <v/>
      </c>
      <c r="N32" s="118" t="n"/>
      <c r="O32" s="114">
        <f>P32*(1+Q32)+R32+S32+T32</f>
        <v/>
      </c>
      <c r="P32" s="119" t="n">
        <v>3.68</v>
      </c>
      <c r="Q32" s="120" t="n">
        <v>0.02</v>
      </c>
      <c r="R32" s="119" t="n">
        <v>1.4</v>
      </c>
      <c r="S32" s="121" t="n">
        <v>0.22</v>
      </c>
      <c r="T32" s="122" t="n">
        <v>0.01</v>
      </c>
      <c r="U32" s="114">
        <f>F32*O32</f>
        <v/>
      </c>
    </row>
    <row r="33" outlineLevel="1" ht="60" customFormat="1" customHeight="1" s="5">
      <c r="A33" s="27" t="n">
        <v>28</v>
      </c>
      <c r="B33" s="28" t="n">
        <v>30412004006</v>
      </c>
      <c r="C33" s="28" t="inlineStr">
        <is>
          <t>配线</t>
        </is>
      </c>
      <c r="D33" s="28" t="inlineStr">
        <is>
          <t>1.名称：电气配线
2.型号规格：RVS-4*1.0
3.安装方式：管内穿线
4.其他：包括但不限于满足图纸、招标文件、规范及验收要求等一切相关费用</t>
        </is>
      </c>
      <c r="E33" s="27" t="inlineStr">
        <is>
          <t>m</t>
        </is>
      </c>
      <c r="F33" s="148" t="n">
        <v>1266.87</v>
      </c>
      <c r="G33" s="123">
        <f>R33*$R$3</f>
        <v/>
      </c>
      <c r="H33" s="106">
        <f>P33*(1+Q33)*$P$3+S33*$S$3</f>
        <v/>
      </c>
      <c r="I33" s="106">
        <f>T33*$T$3</f>
        <v/>
      </c>
      <c r="J33" s="106">
        <f>(G33+H33+I33)*$J$3</f>
        <v/>
      </c>
      <c r="K33" s="106">
        <f>(G33+H33+I33+J33)*$K$3</f>
        <v/>
      </c>
      <c r="L33" s="106">
        <f>G33+H33+I33+J33+K33</f>
        <v/>
      </c>
      <c r="M33" s="106">
        <f>F33*L33</f>
        <v/>
      </c>
      <c r="N33" s="101" t="n"/>
      <c r="O33" s="105">
        <f>P33*(1+Q33)+R33+S33+T33</f>
        <v/>
      </c>
      <c r="P33" s="111">
        <f>'架空层安装工程'!P23</f>
        <v/>
      </c>
      <c r="Q33" s="32">
        <f>'架空层安装工程'!Q23</f>
        <v/>
      </c>
      <c r="R33" s="111">
        <f>'架空层安装工程'!R23</f>
        <v/>
      </c>
      <c r="S33" s="112">
        <f>'架空层安装工程'!S23</f>
        <v/>
      </c>
      <c r="T33" s="107">
        <f>'架空层安装工程'!T23</f>
        <v/>
      </c>
      <c r="U33" s="105">
        <f>F33*O33</f>
        <v/>
      </c>
    </row>
    <row r="34" outlineLevel="1" ht="60" customFormat="1" customHeight="1" s="5">
      <c r="A34" s="27" t="n">
        <v>29</v>
      </c>
      <c r="B34" s="28" t="n">
        <v>30412004004</v>
      </c>
      <c r="C34" s="28" t="inlineStr">
        <is>
          <t>配线</t>
        </is>
      </c>
      <c r="D34" s="28" t="inlineStr">
        <is>
          <t>1.名称：电气配线
2.型号规格：BV-2.5
3.安装方式：管内穿线
4.其他：包括但不限于满足图纸、招标文件、规范及验收要求等一切相关费用</t>
        </is>
      </c>
      <c r="E34" s="27" t="inlineStr">
        <is>
          <t>m</t>
        </is>
      </c>
      <c r="F34" s="148" t="n">
        <v>1100.89333333333</v>
      </c>
      <c r="G34" s="123">
        <f>R34*$R$3</f>
        <v/>
      </c>
      <c r="H34" s="106">
        <f>P34*(1+Q34)*$P$3+S34*$S$3</f>
        <v/>
      </c>
      <c r="I34" s="106">
        <f>T34*$T$3</f>
        <v/>
      </c>
      <c r="J34" s="106">
        <f>(G34+H34+I34)*$J$3</f>
        <v/>
      </c>
      <c r="K34" s="106">
        <f>(G34+H34+I34+J34)*$K$3</f>
        <v/>
      </c>
      <c r="L34" s="106">
        <f>G34+H34+I34+J34+K34</f>
        <v/>
      </c>
      <c r="M34" s="106">
        <f>F34*L34</f>
        <v/>
      </c>
      <c r="N34" s="101" t="n"/>
      <c r="O34" s="105">
        <f>P34*(1+Q34)+R34+S34+T34</f>
        <v/>
      </c>
      <c r="P34" s="111">
        <f>'公共区域安装工程'!P22</f>
        <v/>
      </c>
      <c r="Q34" s="32">
        <f>'公共区域安装工程'!Q22</f>
        <v/>
      </c>
      <c r="R34" s="111">
        <f>'公共区域安装工程'!R22</f>
        <v/>
      </c>
      <c r="S34" s="112">
        <f>'公共区域安装工程'!S22</f>
        <v/>
      </c>
      <c r="T34" s="107">
        <f>'公共区域安装工程'!T22</f>
        <v/>
      </c>
      <c r="U34" s="105">
        <f>F34*O34</f>
        <v/>
      </c>
    </row>
    <row r="35" outlineLevel="1" ht="60" customFormat="1" customHeight="1" s="5">
      <c r="A35" s="27" t="n">
        <v>30</v>
      </c>
      <c r="B35" s="28" t="n">
        <v>30412004005</v>
      </c>
      <c r="C35" s="28" t="inlineStr">
        <is>
          <t>配线</t>
        </is>
      </c>
      <c r="D35" s="28" t="inlineStr">
        <is>
          <t>1.名称：电气配线
2.型号规格：BV-4
3.安装方式：管内穿线
4.其他：包括但不限于满足图纸、招标文件、规范及验收要求等一切相关费用</t>
        </is>
      </c>
      <c r="E35" s="27" t="inlineStr">
        <is>
          <t>m</t>
        </is>
      </c>
      <c r="F35" s="148" t="n">
        <v>1253.53333333333</v>
      </c>
      <c r="G35" s="123">
        <f>R35*$R$3</f>
        <v/>
      </c>
      <c r="H35" s="106">
        <f>P35*(1+Q35)*$P$3+S35*$S$3</f>
        <v/>
      </c>
      <c r="I35" s="106">
        <f>T35*$T$3</f>
        <v/>
      </c>
      <c r="J35" s="106">
        <f>(G35+H35+I35)*$J$3</f>
        <v/>
      </c>
      <c r="K35" s="106">
        <f>(G35+H35+I35+J35)*$K$3</f>
        <v/>
      </c>
      <c r="L35" s="106">
        <f>G35+H35+I35+J35+K35</f>
        <v/>
      </c>
      <c r="M35" s="106">
        <f>F35*L35</f>
        <v/>
      </c>
      <c r="N35" s="101" t="n"/>
      <c r="O35" s="105">
        <f>P35*(1+Q35)+R35+S35+T35</f>
        <v/>
      </c>
      <c r="P35" s="111">
        <f>P32</f>
        <v/>
      </c>
      <c r="Q35" s="32">
        <f>Q32</f>
        <v/>
      </c>
      <c r="R35" s="111">
        <f>R32</f>
        <v/>
      </c>
      <c r="S35" s="112">
        <f>S32</f>
        <v/>
      </c>
      <c r="T35" s="107">
        <f>T32</f>
        <v/>
      </c>
      <c r="U35" s="105">
        <f>F35*O35</f>
        <v/>
      </c>
    </row>
    <row r="36" customFormat="1" s="5">
      <c r="A36" s="27" t="inlineStr"/>
      <c r="B36" s="28" t="inlineStr"/>
      <c r="C36" s="28" t="inlineStr">
        <is>
          <t>弱电</t>
        </is>
      </c>
      <c r="D36" s="28" t="inlineStr"/>
      <c r="E36" s="27" t="inlineStr"/>
      <c r="F36" s="148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</row>
    <row r="37" outlineLevel="1" ht="60" customFormat="1" customHeight="1" s="5">
      <c r="A37" s="113" t="n">
        <v>31</v>
      </c>
      <c r="B37" s="136" t="n">
        <v>30413014009</v>
      </c>
      <c r="C37" s="136" t="inlineStr">
        <is>
          <t>插座</t>
        </is>
      </c>
      <c r="D37" s="136" t="inlineStr">
        <is>
          <t>1.名称：单口网络插座
2.规格：86*86mm
3.安装方式：暗装
4.其他：包括但不限于满足图纸、招标文件、规范及验收要求等一切相关费用</t>
        </is>
      </c>
      <c r="E37" s="113" t="inlineStr">
        <is>
          <t>套</t>
        </is>
      </c>
      <c r="F37" s="149" t="n">
        <v>201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14.62</v>
      </c>
      <c r="Q37" s="120" t="n">
        <v>0</v>
      </c>
      <c r="R37" s="119" t="n">
        <v>6.31</v>
      </c>
      <c r="S37" s="121" t="n">
        <v>1.12</v>
      </c>
      <c r="T37" s="122" t="n">
        <v>0</v>
      </c>
      <c r="U37" s="114">
        <f>F37*O37</f>
        <v/>
      </c>
    </row>
    <row r="38" outlineLevel="1" ht="60" customFormat="1" customHeight="1" s="5">
      <c r="A38" s="27" t="n">
        <v>32</v>
      </c>
      <c r="B38" s="28" t="n">
        <v>30413014010</v>
      </c>
      <c r="C38" s="28" t="inlineStr">
        <is>
          <t>插座</t>
        </is>
      </c>
      <c r="D38" s="28" t="inlineStr">
        <is>
          <t>1.名称：单口网络插座
2.规格：86*86mm
3.安装方式：暗装
4.其他：包括但不限于满足图纸、招标文件、规范及验收要求等一切相关费用</t>
        </is>
      </c>
      <c r="E38" s="27" t="inlineStr">
        <is>
          <t>套</t>
        </is>
      </c>
      <c r="F38" s="148" t="n">
        <v>84.6666666666667</v>
      </c>
      <c r="G38" s="123">
        <f>R38*$R$3</f>
        <v/>
      </c>
      <c r="H38" s="106">
        <f>P38*(1+Q38)*$P$3+S38*$S$3</f>
        <v/>
      </c>
      <c r="I38" s="106">
        <f>T38*$T$3</f>
        <v/>
      </c>
      <c r="J38" s="106">
        <f>(G38+H38+I38)*$J$3</f>
        <v/>
      </c>
      <c r="K38" s="106">
        <f>(G38+H38+I38+J38)*$K$3</f>
        <v/>
      </c>
      <c r="L38" s="106">
        <f>G38+H38+I38+J38+K38</f>
        <v/>
      </c>
      <c r="M38" s="106">
        <f>F38*L38</f>
        <v/>
      </c>
      <c r="N38" s="101" t="n"/>
      <c r="O38" s="105">
        <f>P38*(1+Q38)+R38+S38+T38</f>
        <v/>
      </c>
      <c r="P38" s="111">
        <f>P37</f>
        <v/>
      </c>
      <c r="Q38" s="32">
        <f>Q37</f>
        <v/>
      </c>
      <c r="R38" s="111">
        <f>R37</f>
        <v/>
      </c>
      <c r="S38" s="112">
        <f>S37</f>
        <v/>
      </c>
      <c r="T38" s="107">
        <f>T37</f>
        <v/>
      </c>
      <c r="U38" s="105">
        <f>F38*O38</f>
        <v/>
      </c>
    </row>
    <row r="39" outlineLevel="1" ht="60" customFormat="1" customHeight="1" s="5">
      <c r="A39" s="113" t="n">
        <v>33</v>
      </c>
      <c r="B39" s="136" t="n">
        <v>30413014011</v>
      </c>
      <c r="C39" s="136" t="inlineStr">
        <is>
          <t>插座</t>
        </is>
      </c>
      <c r="D39" s="136" t="inlineStr">
        <is>
          <t>1.名称：双口插座(网络+电视)
2.规格：86*86mm
3.安装方式：暗装
4.其他：包括但不限于满足图纸、招标文件、规范及验收要求等一切相关费用</t>
        </is>
      </c>
      <c r="E39" s="113" t="inlineStr">
        <is>
          <t>套</t>
        </is>
      </c>
      <c r="F39" s="149" t="n">
        <v>117.666666666667</v>
      </c>
      <c r="G39" s="116">
        <f>R39*$R$3</f>
        <v/>
      </c>
      <c r="H39" s="117">
        <f>P39*(1+Q39)*$P$3+S39*$S$3</f>
        <v/>
      </c>
      <c r="I39" s="117">
        <f>T39*$T$3</f>
        <v/>
      </c>
      <c r="J39" s="117">
        <f>(G39+H39+I39)*$J$3</f>
        <v/>
      </c>
      <c r="K39" s="117">
        <f>(G39+H39+I39+J39)*$K$3</f>
        <v/>
      </c>
      <c r="L39" s="117">
        <f>G39+H39+I39+J39+K39</f>
        <v/>
      </c>
      <c r="M39" s="117">
        <f>F39*L39</f>
        <v/>
      </c>
      <c r="N39" s="118" t="n"/>
      <c r="O39" s="114">
        <f>P39*(1+Q39)+R39+S39+T39</f>
        <v/>
      </c>
      <c r="P39" s="119" t="n">
        <v>14.62</v>
      </c>
      <c r="Q39" s="120" t="n">
        <v>0</v>
      </c>
      <c r="R39" s="119" t="n">
        <v>6.31</v>
      </c>
      <c r="S39" s="121" t="n">
        <v>1.12</v>
      </c>
      <c r="T39" s="122" t="n">
        <v>0</v>
      </c>
      <c r="U39" s="114">
        <f>F39*O39</f>
        <v/>
      </c>
    </row>
    <row r="40" outlineLevel="1" ht="60" customFormat="1" customHeight="1" s="5">
      <c r="A40" s="113" t="n">
        <v>34</v>
      </c>
      <c r="B40" s="136" t="n">
        <v>30413014012</v>
      </c>
      <c r="C40" s="136" t="inlineStr">
        <is>
          <t>插座</t>
        </is>
      </c>
      <c r="D40" s="136" t="inlineStr">
        <is>
          <t>1.名称：双口地插(网络+电话)
2.规格：86*86mm
3.安装方式：暗装
4.其他：包括但不限于满足图纸、招标文件、规范及验收要求等一切相关费用</t>
        </is>
      </c>
      <c r="E40" s="113" t="inlineStr">
        <is>
          <t>套</t>
        </is>
      </c>
      <c r="F40" s="149" t="n">
        <v>33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14.62</v>
      </c>
      <c r="Q40" s="120" t="n">
        <v>0</v>
      </c>
      <c r="R40" s="119" t="n">
        <v>6.31</v>
      </c>
      <c r="S40" s="121" t="n">
        <v>1.12</v>
      </c>
      <c r="T40" s="122" t="n">
        <v>0</v>
      </c>
      <c r="U40" s="114">
        <f>F40*O40</f>
        <v/>
      </c>
    </row>
    <row r="41" outlineLevel="1" ht="60" customFormat="1" customHeight="1" s="5">
      <c r="A41" s="27" t="n">
        <v>35</v>
      </c>
      <c r="B41" s="28" t="n">
        <v>30413013008</v>
      </c>
      <c r="C41" s="28" t="inlineStr">
        <is>
          <t>紧急按钮</t>
        </is>
      </c>
      <c r="D41" s="28" t="inlineStr">
        <is>
          <t>1.名称：紧急按钮
2.规格：86*86mm
3.安装方式：暗装
4.其他：包括但不限于满足图纸、招标文件、规范及验收要求等一切相关费用</t>
        </is>
      </c>
      <c r="E41" s="27" t="inlineStr">
        <is>
          <t>套</t>
        </is>
      </c>
      <c r="F41" s="148" t="n">
        <v>150.666666666667</v>
      </c>
      <c r="G41" s="123">
        <f>R41*$R$3</f>
        <v/>
      </c>
      <c r="H41" s="106">
        <f>P41*(1+Q41)*$P$3+S41*$S$3</f>
        <v/>
      </c>
      <c r="I41" s="106">
        <f>T41*$T$3</f>
        <v/>
      </c>
      <c r="J41" s="106">
        <f>(G41+H41+I41)*$J$3</f>
        <v/>
      </c>
      <c r="K41" s="106">
        <f>(G41+H41+I41+J41)*$K$3</f>
        <v/>
      </c>
      <c r="L41" s="106">
        <f>G41+H41+I41+J41+K41</f>
        <v/>
      </c>
      <c r="M41" s="106">
        <f>F41*L41</f>
        <v/>
      </c>
      <c r="N41" s="101" t="n"/>
      <c r="O41" s="105">
        <f>P41*(1+Q41)+R41+S41+T41</f>
        <v/>
      </c>
      <c r="P41" s="111">
        <f>'样板房安装工程'!P41</f>
        <v/>
      </c>
      <c r="Q41" s="32">
        <f>'样板房安装工程'!Q41</f>
        <v/>
      </c>
      <c r="R41" s="111">
        <f>'样板房安装工程'!R41</f>
        <v/>
      </c>
      <c r="S41" s="112">
        <f>'样板房安装工程'!S41</f>
        <v/>
      </c>
      <c r="T41" s="107">
        <f>'样板房安装工程'!T41</f>
        <v/>
      </c>
      <c r="U41" s="105">
        <f>F41*O41</f>
        <v/>
      </c>
    </row>
    <row r="42" outlineLevel="1" ht="60" customFormat="1" customHeight="1" s="5">
      <c r="A42" s="113" t="n">
        <v>36</v>
      </c>
      <c r="B42" s="136" t="n">
        <v>30502003001</v>
      </c>
      <c r="C42" s="136" t="inlineStr">
        <is>
          <t>双绞线缆</t>
        </is>
      </c>
      <c r="D42" s="136" t="inlineStr">
        <is>
          <t>1.名称：超六类网线
2.型号规格：CAT6
3.敷设方式：管内穿线
4.其他：包括但不限于满足图纸、招标文件、规范及验收要求等一切相关费用</t>
        </is>
      </c>
      <c r="E42" s="113" t="inlineStr">
        <is>
          <t>m</t>
        </is>
      </c>
      <c r="F42" s="149" t="n">
        <v>6817.96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2.5</v>
      </c>
      <c r="Q42" s="120" t="n">
        <v>0</v>
      </c>
      <c r="R42" s="119" t="n">
        <v>0.8</v>
      </c>
      <c r="S42" s="121" t="n">
        <v>0.1</v>
      </c>
      <c r="T42" s="122" t="n">
        <v>0.1</v>
      </c>
      <c r="U42" s="114">
        <f>F42*O42</f>
        <v/>
      </c>
    </row>
    <row r="43" outlineLevel="1" ht="60" customFormat="1" customHeight="1" s="5">
      <c r="A43" s="27" t="n">
        <v>37</v>
      </c>
      <c r="B43" s="28" t="n">
        <v>30502003002</v>
      </c>
      <c r="C43" s="28" t="inlineStr">
        <is>
          <t>多芯软导线</t>
        </is>
      </c>
      <c r="D43" s="28" t="inlineStr">
        <is>
          <t>1.名称：多芯软导线
2.型号规格：RVV-2*1.0
3.敷设方式：管内穿线
4.其他：包括但不限于满足图纸、招标文件、规范及验收要求等一切相关费用</t>
        </is>
      </c>
      <c r="E43" s="27" t="inlineStr">
        <is>
          <t>m</t>
        </is>
      </c>
      <c r="F43" s="148" t="n">
        <v>1970.60333333333</v>
      </c>
      <c r="G43" s="123">
        <f>R43*$R$3</f>
        <v/>
      </c>
      <c r="H43" s="106">
        <f>P43*(1+Q43)*$P$3+S43*$S$3</f>
        <v/>
      </c>
      <c r="I43" s="106">
        <f>T43*$T$3</f>
        <v/>
      </c>
      <c r="J43" s="106">
        <f>(G43+H43+I43)*$J$3</f>
        <v/>
      </c>
      <c r="K43" s="106">
        <f>(G43+H43+I43+J43)*$K$3</f>
        <v/>
      </c>
      <c r="L43" s="106">
        <f>G43+H43+I43+J43+K43</f>
        <v/>
      </c>
      <c r="M43" s="106">
        <f>F43*L43</f>
        <v/>
      </c>
      <c r="N43" s="101" t="n"/>
      <c r="O43" s="105">
        <f>P43*(1+Q43)+R43+S43+T43</f>
        <v/>
      </c>
      <c r="P43" s="111">
        <f>'样板房安装工程'!P43</f>
        <v/>
      </c>
      <c r="Q43" s="32">
        <f>'样板房安装工程'!Q43</f>
        <v/>
      </c>
      <c r="R43" s="111">
        <f>'样板房安装工程'!R43</f>
        <v/>
      </c>
      <c r="S43" s="112">
        <f>'样板房安装工程'!S43</f>
        <v/>
      </c>
      <c r="T43" s="107">
        <f>'样板房安装工程'!T43</f>
        <v/>
      </c>
      <c r="U43" s="105">
        <f>F43*O43</f>
        <v/>
      </c>
    </row>
    <row r="44" outlineLevel="1" ht="60" customFormat="1" customHeight="1" s="5">
      <c r="A44" s="27" t="n">
        <v>38</v>
      </c>
      <c r="B44" s="28" t="n">
        <v>30502003003</v>
      </c>
      <c r="C44" s="28" t="inlineStr">
        <is>
          <t>双绞线缆</t>
        </is>
      </c>
      <c r="D44" s="28" t="inlineStr">
        <is>
          <t>1.名称：超六类网线
2.型号规格：CAT6
3.敷设方式：管内穿线
4.其他：包括但不限于满足图纸、招标文件、规范及验收要求等一切相关费用</t>
        </is>
      </c>
      <c r="E44" s="27" t="inlineStr">
        <is>
          <t>m</t>
        </is>
      </c>
      <c r="F44" s="148" t="n">
        <v>86.29333333333329</v>
      </c>
      <c r="G44" s="123">
        <f>R44*$R$3</f>
        <v/>
      </c>
      <c r="H44" s="106">
        <f>P44*(1+Q44)*$P$3+S44*$S$3</f>
        <v/>
      </c>
      <c r="I44" s="106">
        <f>T44*$T$3</f>
        <v/>
      </c>
      <c r="J44" s="106">
        <f>(G44+H44+I44)*$J$3</f>
        <v/>
      </c>
      <c r="K44" s="106">
        <f>(G44+H44+I44+J44)*$K$3</f>
        <v/>
      </c>
      <c r="L44" s="106">
        <f>G44+H44+I44+J44+K44</f>
        <v/>
      </c>
      <c r="M44" s="106">
        <f>F44*L44</f>
        <v/>
      </c>
      <c r="N44" s="101" t="n"/>
      <c r="O44" s="105">
        <f>P44*(1+Q44)+R44+S44+T44</f>
        <v/>
      </c>
      <c r="P44" s="111">
        <f>P42</f>
        <v/>
      </c>
      <c r="Q44" s="32">
        <f>Q42</f>
        <v/>
      </c>
      <c r="R44" s="111">
        <f>R42</f>
        <v/>
      </c>
      <c r="S44" s="112">
        <f>S42</f>
        <v/>
      </c>
      <c r="T44" s="107">
        <f>T42</f>
        <v/>
      </c>
      <c r="U44" s="105">
        <f>F44*O44</f>
        <v/>
      </c>
    </row>
    <row r="45" outlineLevel="1" ht="60" customFormat="1" customHeight="1" s="5">
      <c r="A45" s="27" t="n">
        <v>39</v>
      </c>
      <c r="B45" s="28" t="n">
        <v>30502003004</v>
      </c>
      <c r="C45" s="28" t="inlineStr">
        <is>
          <t>多芯软导线</t>
        </is>
      </c>
      <c r="D45" s="28" t="inlineStr">
        <is>
          <t>1.名称：多芯软导线
2.型号规格：RVV-2*1.0
3.敷设方式：管内穿线
4.其他：包括但不限于满足图纸、招标文件、规范及验收要求等一切相关费用</t>
        </is>
      </c>
      <c r="E45" s="27" t="inlineStr">
        <is>
          <t>m</t>
        </is>
      </c>
      <c r="F45" s="148" t="n">
        <v>23.3133333333333</v>
      </c>
      <c r="G45" s="123">
        <f>R45*$R$3</f>
        <v/>
      </c>
      <c r="H45" s="106">
        <f>P45*(1+Q45)*$P$3+S45*$S$3</f>
        <v/>
      </c>
      <c r="I45" s="106">
        <f>T45*$T$3</f>
        <v/>
      </c>
      <c r="J45" s="106">
        <f>(G45+H45+I45)*$J$3</f>
        <v/>
      </c>
      <c r="K45" s="106">
        <f>(G45+H45+I45+J45)*$K$3</f>
        <v/>
      </c>
      <c r="L45" s="106">
        <f>G45+H45+I45+J45+K45</f>
        <v/>
      </c>
      <c r="M45" s="106">
        <f>F45*L45</f>
        <v/>
      </c>
      <c r="N45" s="101" t="n"/>
      <c r="O45" s="105">
        <f>P45*(1+Q45)+R45+S45+T45</f>
        <v/>
      </c>
      <c r="P45" s="111">
        <f>'样板房安装工程'!P43</f>
        <v/>
      </c>
      <c r="Q45" s="32">
        <f>'样板房安装工程'!Q43</f>
        <v/>
      </c>
      <c r="R45" s="111">
        <f>'样板房安装工程'!R43</f>
        <v/>
      </c>
      <c r="S45" s="112">
        <f>'样板房安装工程'!S43</f>
        <v/>
      </c>
      <c r="T45" s="107">
        <f>'样板房安装工程'!T43</f>
        <v/>
      </c>
      <c r="U45" s="105">
        <f>F45*O45</f>
        <v/>
      </c>
    </row>
    <row r="46" customFormat="1" s="5">
      <c r="A46" s="27" t="inlineStr"/>
      <c r="B46" s="28" t="inlineStr"/>
      <c r="C46" s="28" t="inlineStr">
        <is>
          <t>洁具五金、排水管</t>
        </is>
      </c>
      <c r="D46" s="28" t="inlineStr"/>
      <c r="E46" s="27" t="inlineStr"/>
      <c r="F46" s="148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</row>
    <row r="47" outlineLevel="1" ht="48" customFormat="1" customHeight="1" s="5">
      <c r="A47" s="113" t="n">
        <v>40</v>
      </c>
      <c r="B47" s="136" t="n">
        <v>31003006001</v>
      </c>
      <c r="C47" s="136" t="inlineStr">
        <is>
          <t>连体马桶</t>
        </is>
      </c>
      <c r="D47" s="136" t="inlineStr">
        <is>
          <t>1.名称：连体马桶
2.型号：详见物料表(主材甲供)
3.其他：包括但不限于满足图纸、招标文件、规范及验收要求等一切相关费用</t>
        </is>
      </c>
      <c r="E47" s="113" t="inlineStr">
        <is>
          <t>组</t>
        </is>
      </c>
      <c r="F47" s="149" t="n">
        <v>301.333333333333</v>
      </c>
      <c r="G47" s="116">
        <f>R47*$R$3</f>
        <v/>
      </c>
      <c r="H47" s="117">
        <f>P47*(1+Q47)*$P$3+S47*$S$3</f>
        <v/>
      </c>
      <c r="I47" s="117">
        <f>T47*$T$3</f>
        <v/>
      </c>
      <c r="J47" s="117">
        <f>(G47+H47+I47)*$J$3</f>
        <v/>
      </c>
      <c r="K47" s="117">
        <f>(G47+H47+I47+J47)*$K$3</f>
        <v/>
      </c>
      <c r="L47" s="117">
        <f>G47+H47+I47+J47+K47</f>
        <v/>
      </c>
      <c r="M47" s="117">
        <f>F47*L47</f>
        <v/>
      </c>
      <c r="N47" s="118" t="n"/>
      <c r="O47" s="114">
        <f>P47*(1+Q47)+R47+S47+T47</f>
        <v/>
      </c>
      <c r="P47" s="119" t="n"/>
      <c r="Q47" s="120" t="n">
        <v>0</v>
      </c>
      <c r="R47" s="119" t="n">
        <v>60</v>
      </c>
      <c r="S47" s="121" t="n">
        <v>10</v>
      </c>
      <c r="T47" s="122" t="n">
        <v>0</v>
      </c>
      <c r="U47" s="114">
        <f>F47*O47</f>
        <v/>
      </c>
    </row>
    <row r="48" outlineLevel="1" ht="48" customFormat="1" customHeight="1" s="5">
      <c r="A48" s="113" t="n">
        <v>41</v>
      </c>
      <c r="B48" s="136" t="n">
        <v>31003010001</v>
      </c>
      <c r="C48" s="136" t="inlineStr">
        <is>
          <t>淋浴器</t>
        </is>
      </c>
      <c r="D48" s="136" t="inlineStr">
        <is>
          <t>1.名称：淋浴花洒-主卫
2.型号：详见物料表(主材甲供)
3.其他：包括但不限于满足图纸、招标文件、规范及验收要求等一切相关费用</t>
        </is>
      </c>
      <c r="E48" s="113" t="inlineStr">
        <is>
          <t>套</t>
        </is>
      </c>
      <c r="F48" s="149" t="n">
        <v>117.666666666667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/>
      <c r="Q48" s="120" t="n">
        <v>0</v>
      </c>
      <c r="R48" s="119" t="n">
        <v>90</v>
      </c>
      <c r="S48" s="121" t="n">
        <v>35</v>
      </c>
      <c r="T48" s="122" t="n">
        <v>0</v>
      </c>
      <c r="U48" s="114">
        <f>F48*O48</f>
        <v/>
      </c>
    </row>
    <row r="49" outlineLevel="1" ht="48" customFormat="1" customHeight="1" s="5">
      <c r="A49" s="113" t="n">
        <v>42</v>
      </c>
      <c r="B49" s="136" t="n">
        <v>31003010002</v>
      </c>
      <c r="C49" s="136" t="inlineStr">
        <is>
          <t>淋浴器</t>
        </is>
      </c>
      <c r="D49" s="136" t="inlineStr">
        <is>
          <t>1.名称：淋浴花洒-公卫、次卫(主材甲供)
3.其他：包括但不限于满足图纸、招标文件、规范及验收要求等一切相关费用</t>
        </is>
      </c>
      <c r="E49" s="113" t="inlineStr">
        <is>
          <t>套</t>
        </is>
      </c>
      <c r="F49" s="149" t="n">
        <v>183.666666666667</v>
      </c>
      <c r="G49" s="116">
        <f>R49*$R$3</f>
        <v/>
      </c>
      <c r="H49" s="117">
        <f>P49*(1+Q49)*$P$3+S49*$S$3</f>
        <v/>
      </c>
      <c r="I49" s="117">
        <f>T49*$T$3</f>
        <v/>
      </c>
      <c r="J49" s="117">
        <f>(G49+H49+I49)*$J$3</f>
        <v/>
      </c>
      <c r="K49" s="117">
        <f>(G49+H49+I49+J49)*$K$3</f>
        <v/>
      </c>
      <c r="L49" s="117">
        <f>G49+H49+I49+J49+K49</f>
        <v/>
      </c>
      <c r="M49" s="117">
        <f>F49*L49</f>
        <v/>
      </c>
      <c r="N49" s="118" t="n"/>
      <c r="O49" s="114">
        <f>P49*(1+Q49)+R49+S49+T49</f>
        <v/>
      </c>
      <c r="P49" s="119" t="n"/>
      <c r="Q49" s="120" t="n">
        <v>0</v>
      </c>
      <c r="R49" s="119" t="n">
        <v>90</v>
      </c>
      <c r="S49" s="121" t="n">
        <v>35</v>
      </c>
      <c r="T49" s="122" t="n">
        <v>0</v>
      </c>
      <c r="U49" s="114">
        <f>F49*O49</f>
        <v/>
      </c>
    </row>
    <row r="50" outlineLevel="1" ht="48" customFormat="1" customHeight="1" s="5">
      <c r="A50" s="113" t="n">
        <v>43</v>
      </c>
      <c r="B50" s="136" t="n">
        <v>31003003001</v>
      </c>
      <c r="C50" s="136" t="inlineStr">
        <is>
          <t>台下盆及龙头</t>
        </is>
      </c>
      <c r="D50" s="136" t="inlineStr">
        <is>
          <t>1.名称：台下盆及龙头
2.型号：详见物料表(主材甲供)
3.其他：包括但不限于满足图纸、招标文件、规范及验收要求等一切相关费用</t>
        </is>
      </c>
      <c r="E50" s="113" t="inlineStr">
        <is>
          <t>组</t>
        </is>
      </c>
      <c r="F50" s="149" t="n">
        <v>334.333333333333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/>
      <c r="Q50" s="120" t="n">
        <v>0</v>
      </c>
      <c r="R50" s="119" t="n">
        <v>90</v>
      </c>
      <c r="S50" s="121" t="n">
        <v>12</v>
      </c>
      <c r="T50" s="122" t="n">
        <v>0</v>
      </c>
      <c r="U50" s="114">
        <f>F50*O50</f>
        <v/>
      </c>
    </row>
    <row r="51" outlineLevel="1" ht="48" customFormat="1" customHeight="1" s="5">
      <c r="A51" s="113" t="n">
        <v>44</v>
      </c>
      <c r="B51" s="136" t="n">
        <v>31003004001</v>
      </c>
      <c r="C51" s="136" t="inlineStr">
        <is>
          <t>水槽及龙头</t>
        </is>
      </c>
      <c r="D51" s="136" t="inlineStr">
        <is>
          <t>1.名称：厨房大单盆水槽及龙头
2.型号：详见物料表(主材甲供)
3.其他：包括但不限于满足图纸、招标文件、规范及验收要求等一切相关费用</t>
        </is>
      </c>
      <c r="E51" s="113" t="inlineStr">
        <is>
          <t>组</t>
        </is>
      </c>
      <c r="F51" s="149" t="n">
        <v>117.666666666667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/>
      <c r="Q51" s="120" t="n">
        <v>0</v>
      </c>
      <c r="R51" s="119" t="n">
        <v>60</v>
      </c>
      <c r="S51" s="121" t="n">
        <v>40</v>
      </c>
      <c r="T51" s="122" t="n">
        <v>0</v>
      </c>
      <c r="U51" s="114">
        <f>F51*O51</f>
        <v/>
      </c>
    </row>
    <row r="52" outlineLevel="1" ht="60" customFormat="1" customHeight="1" s="5">
      <c r="A52" s="113" t="n">
        <v>45</v>
      </c>
      <c r="B52" s="136" t="n">
        <v>31003014001</v>
      </c>
      <c r="C52" s="136" t="inlineStr">
        <is>
          <t>地漏</t>
        </is>
      </c>
      <c r="D52" s="136" t="inlineStr">
        <is>
          <t>1.名称：不锈钢地漏-干区
2.规格：DN50
3.型号：详见物料表(主材甲供)
4.其他：包括但不限于满足图纸、招标文件、规范及验收要求等一切相关费用</t>
        </is>
      </c>
      <c r="E52" s="113" t="inlineStr">
        <is>
          <t>个</t>
        </is>
      </c>
      <c r="F52" s="149" t="n">
        <v>334.333333333333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/>
      <c r="Q52" s="120" t="n">
        <v>0</v>
      </c>
      <c r="R52" s="119" t="n">
        <v>18</v>
      </c>
      <c r="S52" s="121" t="n">
        <v>5</v>
      </c>
      <c r="T52" s="122" t="n">
        <v>0</v>
      </c>
      <c r="U52" s="114">
        <f>F52*O52</f>
        <v/>
      </c>
    </row>
    <row r="53" outlineLevel="1" ht="60" customFormat="1" customHeight="1" s="5">
      <c r="A53" s="113" t="n">
        <v>46</v>
      </c>
      <c r="B53" s="136" t="n">
        <v>31003014002</v>
      </c>
      <c r="C53" s="136" t="inlineStr">
        <is>
          <t>地漏</t>
        </is>
      </c>
      <c r="D53" s="136" t="inlineStr">
        <is>
          <t>1.名称：不锈钢地漏-淋浴间
2.规格：DN75
3.型号：详见物料表(主材甲供)
4.其他：包括但不限于满足图纸、招标文件、规范及验收要求等一切相关费用</t>
        </is>
      </c>
      <c r="E53" s="113" t="inlineStr">
        <is>
          <t>个</t>
        </is>
      </c>
      <c r="F53" s="149" t="n">
        <v>301.333333333333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/>
      <c r="Q53" s="120" t="n">
        <v>0</v>
      </c>
      <c r="R53" s="119" t="n">
        <v>25</v>
      </c>
      <c r="S53" s="121" t="n">
        <v>1.5</v>
      </c>
      <c r="T53" s="122" t="n">
        <v>0.2</v>
      </c>
      <c r="U53" s="114">
        <f>F53*O53</f>
        <v/>
      </c>
    </row>
    <row r="54" outlineLevel="1" ht="60" customFormat="1" customHeight="1" s="5">
      <c r="A54" s="113" t="n">
        <v>47</v>
      </c>
      <c r="B54" s="136" t="n">
        <v>31003014003</v>
      </c>
      <c r="C54" s="136" t="inlineStr">
        <is>
          <t>地漏</t>
        </is>
      </c>
      <c r="D54" s="136" t="inlineStr">
        <is>
          <t>1.名称：不锈钢地漏-阳台
2.规格：DN75
3.型号：详见物料表(主材甲供)
4.其他：包括但不限于满足图纸、招标文件、规范及验收要求等一切相关费用</t>
        </is>
      </c>
      <c r="E54" s="113" t="inlineStr">
        <is>
          <t>个</t>
        </is>
      </c>
      <c r="F54" s="149" t="n">
        <v>183.666666666667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/>
      <c r="Q54" s="120" t="n">
        <v>0</v>
      </c>
      <c r="R54" s="119" t="n">
        <v>25</v>
      </c>
      <c r="S54" s="121" t="n">
        <v>1.5</v>
      </c>
      <c r="T54" s="122" t="n">
        <v>0.2</v>
      </c>
      <c r="U54" s="114">
        <f>F54*O54</f>
        <v/>
      </c>
    </row>
    <row r="55" outlineLevel="1" ht="60" customFormat="1" customHeight="1" s="5">
      <c r="A55" s="113" t="n">
        <v>48</v>
      </c>
      <c r="B55" s="136" t="n">
        <v>31003014004</v>
      </c>
      <c r="C55" s="136" t="inlineStr">
        <is>
          <t>地漏</t>
        </is>
      </c>
      <c r="D55" s="136" t="inlineStr">
        <is>
          <t>1.名称：洗衣机地漏
2.规格：DN75
3.型号：详见物料表(主材甲供)
4.其他：包括但不限于满足图纸、招标文件、规范及验收要求等一切相关费用</t>
        </is>
      </c>
      <c r="E55" s="113" t="inlineStr">
        <is>
          <t>个</t>
        </is>
      </c>
      <c r="F55" s="149" t="n">
        <v>117.666666666667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/>
      <c r="Q55" s="120" t="n">
        <v>0</v>
      </c>
      <c r="R55" s="119" t="n">
        <v>18</v>
      </c>
      <c r="S55" s="121" t="n">
        <v>5</v>
      </c>
      <c r="T55" s="122" t="n">
        <v>0</v>
      </c>
      <c r="U55" s="114">
        <f>F55*O55</f>
        <v/>
      </c>
    </row>
    <row r="56" outlineLevel="1" ht="60" customFormat="1" customHeight="1" s="5">
      <c r="A56" s="113" t="n">
        <v>49</v>
      </c>
      <c r="B56" s="136" t="n">
        <v>31003014005</v>
      </c>
      <c r="C56" s="136" t="inlineStr">
        <is>
          <t>洗衣机龙头</t>
        </is>
      </c>
      <c r="D56" s="136" t="inlineStr">
        <is>
          <t>1.名称：洗衣机龙头
2.规格：DN15
3.型号：详见物料表(主材甲供)
4.其他：包括但不限于满足图纸、招标文件、规范及验收要求等一切相关费用</t>
        </is>
      </c>
      <c r="E56" s="113" t="inlineStr">
        <is>
          <t>个</t>
        </is>
      </c>
      <c r="F56" s="149" t="n">
        <v>117.666666666667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/>
      <c r="Q56" s="120" t="n">
        <v>0</v>
      </c>
      <c r="R56" s="119" t="n">
        <v>55</v>
      </c>
      <c r="S56" s="121" t="n">
        <v>20</v>
      </c>
      <c r="T56" s="122" t="n">
        <v>0</v>
      </c>
      <c r="U56" s="114">
        <f>F56*O56</f>
        <v/>
      </c>
    </row>
    <row r="57" outlineLevel="1" ht="48" customFormat="1" customHeight="1" s="5">
      <c r="A57" s="113" t="n">
        <v>50</v>
      </c>
      <c r="B57" s="136" t="n">
        <v>31002001001</v>
      </c>
      <c r="C57" s="136" t="inlineStr">
        <is>
          <t>角阀</t>
        </is>
      </c>
      <c r="D57" s="136" t="inlineStr">
        <is>
          <t>1.名称：热水器角阀(主材甲供)
2.型号规格：DN15
3.其他：包括但不限于满足图纸、招标文件、规范及验收要求等一切相关费用</t>
        </is>
      </c>
      <c r="E57" s="113" t="inlineStr">
        <is>
          <t>个</t>
        </is>
      </c>
      <c r="F57" s="149" t="n">
        <v>235.333333333333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/>
      <c r="Q57" s="120" t="n">
        <v>0</v>
      </c>
      <c r="R57" s="119" t="n">
        <v>167.09</v>
      </c>
      <c r="S57" s="121" t="n">
        <v>0</v>
      </c>
      <c r="T57" s="122" t="n">
        <v>12.03</v>
      </c>
      <c r="U57" s="114">
        <f>F57*O57</f>
        <v/>
      </c>
    </row>
    <row r="58" outlineLevel="1" ht="84" customFormat="1" customHeight="1" s="5">
      <c r="A58" s="27" t="n">
        <v>51</v>
      </c>
      <c r="B58" s="28" t="n">
        <v>31001008001</v>
      </c>
      <c r="C58" s="28" t="inlineStr">
        <is>
          <t>UPVC排水管</t>
        </is>
      </c>
      <c r="D58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58" s="27" t="inlineStr">
        <is>
          <t>m</t>
        </is>
      </c>
      <c r="F58" s="148" t="n">
        <v>883.646666666667</v>
      </c>
      <c r="G58" s="123">
        <f>R58*$R$3</f>
        <v/>
      </c>
      <c r="H58" s="106">
        <f>P58*(1+Q58)*$P$3+S58*$S$3</f>
        <v/>
      </c>
      <c r="I58" s="106">
        <f>T58*$T$3</f>
        <v/>
      </c>
      <c r="J58" s="106">
        <f>(G58+H58+I58)*$J$3</f>
        <v/>
      </c>
      <c r="K58" s="106">
        <f>(G58+H58+I58+J58)*$K$3</f>
        <v/>
      </c>
      <c r="L58" s="106">
        <f>G58+H58+I58+J58+K58</f>
        <v/>
      </c>
      <c r="M58" s="106">
        <f>F58*L58</f>
        <v/>
      </c>
      <c r="N58" s="101" t="n"/>
      <c r="O58" s="105">
        <f>P58*(1+Q58)+R58+S58+T58</f>
        <v/>
      </c>
      <c r="P58" s="111">
        <f>'样板房安装工程'!P46</f>
        <v/>
      </c>
      <c r="Q58" s="32">
        <f>'样板房安装工程'!Q46</f>
        <v/>
      </c>
      <c r="R58" s="111">
        <f>'样板房安装工程'!R46</f>
        <v/>
      </c>
      <c r="S58" s="112">
        <f>'样板房安装工程'!S46</f>
        <v/>
      </c>
      <c r="T58" s="107">
        <f>'样板房安装工程'!T46</f>
        <v/>
      </c>
      <c r="U58" s="105">
        <f>F58*O58</f>
        <v/>
      </c>
    </row>
    <row r="59" outlineLevel="1" ht="84" customFormat="1" customHeight="1" s="5">
      <c r="A59" s="27" t="n">
        <v>52</v>
      </c>
      <c r="B59" s="28" t="n">
        <v>31001008002</v>
      </c>
      <c r="C59" s="28" t="inlineStr">
        <is>
          <t>UPVC排水管</t>
        </is>
      </c>
      <c r="D59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59" s="27" t="inlineStr">
        <is>
          <t>m</t>
        </is>
      </c>
      <c r="F59" s="148" t="n">
        <v>743.49</v>
      </c>
      <c r="G59" s="123">
        <f>R59*$R$3</f>
        <v/>
      </c>
      <c r="H59" s="106">
        <f>P59*(1+Q59)*$P$3+S59*$S$3</f>
        <v/>
      </c>
      <c r="I59" s="106">
        <f>T59*$T$3</f>
        <v/>
      </c>
      <c r="J59" s="106">
        <f>(G59+H59+I59)*$J$3</f>
        <v/>
      </c>
      <c r="K59" s="106">
        <f>(G59+H59+I59+J59)*$K$3</f>
        <v/>
      </c>
      <c r="L59" s="106">
        <f>G59+H59+I59+J59+K59</f>
        <v/>
      </c>
      <c r="M59" s="106">
        <f>F59*L59</f>
        <v/>
      </c>
      <c r="N59" s="101" t="n"/>
      <c r="O59" s="105">
        <f>P59*(1+Q59)+R59+S59+T59</f>
        <v/>
      </c>
      <c r="P59" s="111">
        <f>'样板房安装工程'!P47</f>
        <v/>
      </c>
      <c r="Q59" s="32">
        <f>'样板房安装工程'!Q47</f>
        <v/>
      </c>
      <c r="R59" s="111">
        <f>'样板房安装工程'!R47</f>
        <v/>
      </c>
      <c r="S59" s="112">
        <f>'样板房安装工程'!S47</f>
        <v/>
      </c>
      <c r="T59" s="107">
        <f>'样板房安装工程'!T47</f>
        <v/>
      </c>
      <c r="U59" s="105">
        <f>F59*O59</f>
        <v/>
      </c>
    </row>
    <row r="60" outlineLevel="1" ht="84" customFormat="1" customHeight="1" s="5">
      <c r="A60" s="27" t="n">
        <v>53</v>
      </c>
      <c r="B60" s="28" t="n">
        <v>31001008003</v>
      </c>
      <c r="C60" s="28" t="inlineStr">
        <is>
          <t>UPVC排水管</t>
        </is>
      </c>
      <c r="D60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60" s="27" t="inlineStr">
        <is>
          <t>m</t>
        </is>
      </c>
      <c r="F60" s="148" t="n">
        <v>268.996666666667</v>
      </c>
      <c r="G60" s="123">
        <f>R60*$R$3</f>
        <v/>
      </c>
      <c r="H60" s="106">
        <f>P60*(1+Q60)*$P$3+S60*$S$3</f>
        <v/>
      </c>
      <c r="I60" s="106">
        <f>T60*$T$3</f>
        <v/>
      </c>
      <c r="J60" s="106">
        <f>(G60+H60+I60)*$J$3</f>
        <v/>
      </c>
      <c r="K60" s="106">
        <f>(G60+H60+I60+J60)*$K$3</f>
        <v/>
      </c>
      <c r="L60" s="106">
        <f>G60+H60+I60+J60+K60</f>
        <v/>
      </c>
      <c r="M60" s="106">
        <f>F60*L60</f>
        <v/>
      </c>
      <c r="N60" s="101" t="n"/>
      <c r="O60" s="105">
        <f>P60*(1+Q60)+R60+S60+T60</f>
        <v/>
      </c>
      <c r="P60" s="111">
        <f>'样板房安装工程'!P48</f>
        <v/>
      </c>
      <c r="Q60" s="32">
        <f>'样板房安装工程'!Q48</f>
        <v/>
      </c>
      <c r="R60" s="111">
        <f>'样板房安装工程'!R48</f>
        <v/>
      </c>
      <c r="S60" s="112">
        <f>'样板房安装工程'!S48</f>
        <v/>
      </c>
      <c r="T60" s="107">
        <f>'样板房安装工程'!T48</f>
        <v/>
      </c>
      <c r="U60" s="105">
        <f>F60*O60</f>
        <v/>
      </c>
    </row>
    <row r="61" outlineLevel="1" ht="84" customFormat="1" customHeight="1" s="5">
      <c r="A61" s="27" t="n">
        <v>54</v>
      </c>
      <c r="B61" s="28" t="n">
        <v>31001008004</v>
      </c>
      <c r="C61" s="28" t="inlineStr">
        <is>
          <t>UPVC排水管</t>
        </is>
      </c>
      <c r="D6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61" s="27" t="inlineStr">
        <is>
          <t>m</t>
        </is>
      </c>
      <c r="F61" s="148" t="n">
        <v>11.98</v>
      </c>
      <c r="G61" s="123">
        <f>R61*$R$3</f>
        <v/>
      </c>
      <c r="H61" s="106">
        <f>P61*(1+Q61)*$P$3+S61*$S$3</f>
        <v/>
      </c>
      <c r="I61" s="106">
        <f>T61*$T$3</f>
        <v/>
      </c>
      <c r="J61" s="106">
        <f>(G61+H61+I61)*$J$3</f>
        <v/>
      </c>
      <c r="K61" s="106">
        <f>(G61+H61+I61+J61)*$K$3</f>
        <v/>
      </c>
      <c r="L61" s="106">
        <f>G61+H61+I61+J61+K61</f>
        <v/>
      </c>
      <c r="M61" s="106">
        <f>F61*L61</f>
        <v/>
      </c>
      <c r="N61" s="101" t="n"/>
      <c r="O61" s="105">
        <f>P61*(1+Q61)+R61+S61+T61</f>
        <v/>
      </c>
      <c r="P61" s="111">
        <f>'样板房安装工程'!P46</f>
        <v/>
      </c>
      <c r="Q61" s="32">
        <f>'样板房安装工程'!Q46</f>
        <v/>
      </c>
      <c r="R61" s="111">
        <f>'样板房安装工程'!R46</f>
        <v/>
      </c>
      <c r="S61" s="112">
        <f>'样板房安装工程'!S46</f>
        <v/>
      </c>
      <c r="T61" s="107">
        <f>'样板房安装工程'!T46</f>
        <v/>
      </c>
      <c r="U61" s="105">
        <f>F61*O61</f>
        <v/>
      </c>
    </row>
    <row r="62" outlineLevel="1" ht="84" customFormat="1" customHeight="1" s="5">
      <c r="A62" s="27" t="n">
        <v>55</v>
      </c>
      <c r="B62" s="28" t="n">
        <v>31001008005</v>
      </c>
      <c r="C62" s="28" t="inlineStr">
        <is>
          <t>UPVC排水管</t>
        </is>
      </c>
      <c r="D6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62" s="27" t="inlineStr">
        <is>
          <t>m</t>
        </is>
      </c>
      <c r="F62" s="148" t="n">
        <v>5.76666666666667</v>
      </c>
      <c r="G62" s="123">
        <f>R62*$R$3</f>
        <v/>
      </c>
      <c r="H62" s="106">
        <f>P62*(1+Q62)*$P$3+S62*$S$3</f>
        <v/>
      </c>
      <c r="I62" s="106">
        <f>T62*$T$3</f>
        <v/>
      </c>
      <c r="J62" s="106">
        <f>(G62+H62+I62)*$J$3</f>
        <v/>
      </c>
      <c r="K62" s="106">
        <f>(G62+H62+I62+J62)*$K$3</f>
        <v/>
      </c>
      <c r="L62" s="106">
        <f>G62+H62+I62+J62+K62</f>
        <v/>
      </c>
      <c r="M62" s="106">
        <f>F62*L62</f>
        <v/>
      </c>
      <c r="N62" s="101" t="n"/>
      <c r="O62" s="105">
        <f>P62*(1+Q62)+R62+S62+T62</f>
        <v/>
      </c>
      <c r="P62" s="111">
        <f>'样板房安装工程'!P47</f>
        <v/>
      </c>
      <c r="Q62" s="32">
        <f>'样板房安装工程'!Q47</f>
        <v/>
      </c>
      <c r="R62" s="111">
        <f>'样板房安装工程'!R47</f>
        <v/>
      </c>
      <c r="S62" s="112">
        <f>'样板房安装工程'!S47</f>
        <v/>
      </c>
      <c r="T62" s="107">
        <f>'样板房安装工程'!T47</f>
        <v/>
      </c>
      <c r="U62" s="105">
        <f>F62*O62</f>
        <v/>
      </c>
    </row>
    <row r="63" outlineLevel="1" ht="84" customFormat="1" customHeight="1" s="5">
      <c r="A63" s="27" t="n">
        <v>56</v>
      </c>
      <c r="B63" s="28" t="n">
        <v>31001008006</v>
      </c>
      <c r="C63" s="28" t="inlineStr">
        <is>
          <t>UPVC排水管</t>
        </is>
      </c>
      <c r="D6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63" s="27" t="inlineStr">
        <is>
          <t>m</t>
        </is>
      </c>
      <c r="F63" s="148" t="n">
        <v>2.63333333333333</v>
      </c>
      <c r="G63" s="123">
        <f>R63*$R$3</f>
        <v/>
      </c>
      <c r="H63" s="106">
        <f>P63*(1+Q63)*$P$3+S63*$S$3</f>
        <v/>
      </c>
      <c r="I63" s="106">
        <f>T63*$T$3</f>
        <v/>
      </c>
      <c r="J63" s="106">
        <f>(G63+H63+I63)*$J$3</f>
        <v/>
      </c>
      <c r="K63" s="106">
        <f>(G63+H63+I63+J63)*$K$3</f>
        <v/>
      </c>
      <c r="L63" s="106">
        <f>G63+H63+I63+J63+K63</f>
        <v/>
      </c>
      <c r="M63" s="106">
        <f>F63*L63</f>
        <v/>
      </c>
      <c r="N63" s="101" t="n"/>
      <c r="O63" s="105">
        <f>P63*(1+Q63)+R63+S63+T63</f>
        <v/>
      </c>
      <c r="P63" s="111">
        <f>'样板房安装工程'!P48</f>
        <v/>
      </c>
      <c r="Q63" s="32">
        <f>'样板房安装工程'!Q48</f>
        <v/>
      </c>
      <c r="R63" s="111">
        <f>'样板房安装工程'!R48</f>
        <v/>
      </c>
      <c r="S63" s="112">
        <f>'样板房安装工程'!S48</f>
        <v/>
      </c>
      <c r="T63" s="107">
        <f>'样板房安装工程'!T48</f>
        <v/>
      </c>
      <c r="U63" s="105">
        <f>F63*O63</f>
        <v/>
      </c>
    </row>
    <row r="64" ht="25" customHeight="1" s="95">
      <c r="A64" s="47" t="n"/>
      <c r="B64" s="48" t="inlineStr">
        <is>
          <t>税前合价</t>
        </is>
      </c>
      <c r="C64" s="48" t="n"/>
      <c r="D64" s="48" t="n"/>
      <c r="E64" s="49" t="inlineStr">
        <is>
          <t>元</t>
        </is>
      </c>
      <c r="F64" s="49" t="n"/>
      <c r="G64" s="124" t="n"/>
      <c r="H64" s="124" t="n"/>
      <c r="I64" s="124" t="n"/>
      <c r="J64" s="124" t="n"/>
      <c r="K64" s="124" t="n"/>
      <c r="L64" s="124" t="n"/>
      <c r="M64" s="150">
        <f>SUM(M4:M63)</f>
        <v/>
      </c>
      <c r="N64" s="26" t="n"/>
      <c r="O64" s="26" t="n"/>
      <c r="P64" s="26" t="n"/>
      <c r="Q64" s="26" t="n"/>
      <c r="R64" s="26" t="n"/>
      <c r="S64" s="26" t="n"/>
      <c r="T64" s="26" t="n"/>
      <c r="U64" s="26" t="n"/>
    </row>
    <row r="65" ht="25" customHeight="1" s="95">
      <c r="A65" s="47" t="n"/>
      <c r="B65" s="48" t="inlineStr">
        <is>
          <t>税金</t>
        </is>
      </c>
      <c r="C65" s="48" t="n"/>
      <c r="D65" s="48" t="n"/>
      <c r="E65" s="49" t="inlineStr">
        <is>
          <t>元</t>
        </is>
      </c>
      <c r="F65" s="49" t="n"/>
      <c r="G65" s="124" t="n"/>
      <c r="H65" s="124" t="n"/>
      <c r="I65" s="124" t="n"/>
      <c r="J65" s="124" t="n"/>
      <c r="K65" s="124" t="n"/>
      <c r="L65" s="124" t="n"/>
      <c r="M65" s="150">
        <f>M64*0.09</f>
        <v/>
      </c>
      <c r="N65" s="26" t="n"/>
      <c r="O65" s="26" t="n"/>
      <c r="P65" s="26" t="n"/>
      <c r="Q65" s="26" t="n"/>
      <c r="R65" s="26" t="n"/>
      <c r="S65" s="26" t="n"/>
      <c r="T65" s="26" t="n"/>
      <c r="U65" s="26" t="n"/>
    </row>
    <row r="66" ht="25" customHeight="1" s="95">
      <c r="A66" s="47" t="n"/>
      <c r="B66" s="48" t="inlineStr">
        <is>
          <t>含税合价</t>
        </is>
      </c>
      <c r="C66" s="48" t="n"/>
      <c r="D66" s="48" t="n"/>
      <c r="E66" s="49" t="inlineStr">
        <is>
          <t>元</t>
        </is>
      </c>
      <c r="F66" s="49" t="n"/>
      <c r="G66" s="124" t="n"/>
      <c r="H66" s="124" t="n"/>
      <c r="I66" s="124" t="n"/>
      <c r="J66" s="124" t="n"/>
      <c r="K66" s="124" t="n"/>
      <c r="L66" s="124" t="n"/>
      <c r="M66" s="150">
        <f>M64+M65</f>
        <v/>
      </c>
      <c r="N66" s="26" t="n"/>
      <c r="O66" s="26" t="n"/>
      <c r="P66" s="26" t="n"/>
      <c r="Q66" s="26" t="n"/>
      <c r="R66" s="26" t="n"/>
      <c r="S66" s="26" t="n"/>
      <c r="T66" s="26" t="n"/>
      <c r="U66" s="26" t="n"/>
    </row>
  </sheetData>
  <autoFilter ref="A2:GKM66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6" horizontalDpi="600"/>
  <headerFooter>
    <oddHeader/>
    <oddFooter>&amp;C第 &amp;P 页，共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U24"/>
  <sheetViews>
    <sheetView view="pageBreakPreview" zoomScaleNormal="100" workbookViewId="0">
      <pane xSplit="5" ySplit="3" topLeftCell="F19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5.5" customWidth="1" style="5" min="1" max="1"/>
    <col width="10.5" customWidth="1" style="5" min="2" max="2"/>
    <col width="16.125" customWidth="1" style="5" min="3" max="3"/>
    <col width="26" customWidth="1" style="5" min="4" max="4"/>
    <col width="5.75" customWidth="1" style="5" min="5" max="5"/>
    <col width="11.7166666666667" customWidth="1" style="151" min="6" max="6"/>
    <col width="9.25" customWidth="1" style="151" min="7" max="8"/>
    <col width="9.25" customWidth="1" style="5" min="9" max="11"/>
    <col width="11.375" customWidth="1" style="5" min="12" max="12"/>
    <col width="11.75" customWidth="1" style="5" min="13" max="13"/>
    <col width="9" customWidth="1" style="5" min="14" max="21"/>
    <col width="9" customWidth="1" style="7" min="22" max="16384"/>
  </cols>
  <sheetData>
    <row r="1" ht="18.75" customHeight="1" s="95">
      <c r="A1" s="39" t="inlineStr">
        <is>
          <t>会所售楼处消防电工程工程量清单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0" t="n"/>
      <c r="N1" s="105" t="n"/>
      <c r="O1" s="103" t="inlineStr">
        <is>
          <t>成本单价组成（投标人填写）</t>
        </is>
      </c>
      <c r="P1" s="104" t="n"/>
      <c r="Q1" s="104" t="n"/>
      <c r="R1" s="104" t="n"/>
      <c r="S1" s="104" t="n"/>
      <c r="T1" s="104" t="n"/>
      <c r="U1" s="100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05" t="inlineStr"/>
      <c r="G4" s="105" t="inlineStr"/>
      <c r="H4" s="10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outlineLevel="1" customFormat="1" s="5">
      <c r="A5" s="27" t="inlineStr"/>
      <c r="B5" s="28" t="inlineStr"/>
      <c r="C5" s="28" t="inlineStr">
        <is>
          <t>消防自动报警系统</t>
        </is>
      </c>
      <c r="D5" s="28" t="inlineStr"/>
      <c r="E5" s="27" t="inlineStr"/>
      <c r="F5" s="105" t="inlineStr"/>
      <c r="G5" s="105" t="inlineStr"/>
      <c r="H5" s="105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2" ht="84" customFormat="1" customHeight="1" s="5">
      <c r="A6" s="113" t="n">
        <v>1</v>
      </c>
      <c r="B6" s="136" t="n">
        <v>30904008001</v>
      </c>
      <c r="C6" s="136" t="inlineStr">
        <is>
          <t>消防模块箱</t>
        </is>
      </c>
      <c r="D6" s="136" t="inlineStr">
        <is>
          <t>1、名称：消防模块箱
2、安装方式：按图纸要求综合考虑
3、其他：包括但不限于以上内容，综合考虑按图纸、招标文件和规范要求而实施、完成这项工程的一切有关费用</t>
        </is>
      </c>
      <c r="E6" s="113" t="inlineStr">
        <is>
          <t>台</t>
        </is>
      </c>
      <c r="F6" s="114" t="n">
        <v>2</v>
      </c>
      <c r="G6" s="152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450</v>
      </c>
      <c r="Q6" s="120" t="n">
        <v>0</v>
      </c>
      <c r="R6" s="119" t="n">
        <v>60</v>
      </c>
      <c r="S6" s="121" t="n">
        <v>5</v>
      </c>
      <c r="T6" s="122" t="n">
        <v>0</v>
      </c>
      <c r="U6" s="114">
        <f>F6*O6</f>
        <v/>
      </c>
    </row>
    <row r="7" outlineLevel="2" ht="84" customFormat="1" customHeight="1" s="5">
      <c r="A7" s="113" t="n">
        <v>2</v>
      </c>
      <c r="B7" s="136" t="n">
        <v>30904007001</v>
      </c>
      <c r="C7" s="136" t="inlineStr">
        <is>
          <t>总线短路隔离器</t>
        </is>
      </c>
      <c r="D7" s="136" t="inlineStr">
        <is>
          <t>1、名称：总线短路隔离器
2、安装方式：按图纸要求综合考虑
3、其他：包括但不限于以上内容，综合考虑按图纸、招标文件和规范要求而实施、完成这项工程的一切有关费用</t>
        </is>
      </c>
      <c r="E7" s="113" t="inlineStr">
        <is>
          <t>个</t>
        </is>
      </c>
      <c r="F7" s="114" t="n">
        <v>2</v>
      </c>
      <c r="G7" s="152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52</v>
      </c>
      <c r="Q7" s="120" t="n">
        <v>0</v>
      </c>
      <c r="R7" s="119" t="n">
        <v>49.4</v>
      </c>
      <c r="S7" s="121" t="n">
        <v>10</v>
      </c>
      <c r="T7" s="122" t="n">
        <v>0</v>
      </c>
      <c r="U7" s="114">
        <f>F7*O7</f>
        <v/>
      </c>
    </row>
    <row r="8" outlineLevel="2" ht="84" customFormat="1" customHeight="1" s="5">
      <c r="A8" s="113" t="n">
        <v>3</v>
      </c>
      <c r="B8" s="136" t="n">
        <v>30904007003</v>
      </c>
      <c r="C8" s="136" t="inlineStr">
        <is>
          <t>消防模块</t>
        </is>
      </c>
      <c r="D8" s="136" t="inlineStr">
        <is>
          <t>1、名称：编码单输入/输出模块
2、安装方式：按图纸要求综合考虑
3、其他：包括但不限于以上内容，综合考虑按图纸、招标文件和规范要求而实施、完成这项工程的一切有关费用</t>
        </is>
      </c>
      <c r="E8" s="113" t="inlineStr">
        <is>
          <t>个</t>
        </is>
      </c>
      <c r="F8" s="114" t="n">
        <v>6</v>
      </c>
      <c r="G8" s="152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150</v>
      </c>
      <c r="Q8" s="120" t="n">
        <v>0</v>
      </c>
      <c r="R8" s="119" t="n">
        <v>120</v>
      </c>
      <c r="S8" s="121" t="n">
        <v>15</v>
      </c>
      <c r="T8" s="122" t="n">
        <v>0</v>
      </c>
      <c r="U8" s="114">
        <f>F8*O8</f>
        <v/>
      </c>
    </row>
    <row r="9" outlineLevel="2" ht="84" customFormat="1" customHeight="1" s="5">
      <c r="A9" s="113" t="n">
        <v>4</v>
      </c>
      <c r="B9" s="136" t="n">
        <v>30904001001</v>
      </c>
      <c r="C9" s="136" t="inlineStr">
        <is>
          <t>点型探测器</t>
        </is>
      </c>
      <c r="D9" s="136" t="inlineStr">
        <is>
          <t>1、名称：智能型感烟探测器
2、安装方式：按图纸要求综合考虑
3、其他：包括但不限于以上内容，综合考虑按图纸、招标文件和规范要求而实施、完成这项工程的一切有关费用</t>
        </is>
      </c>
      <c r="E9" s="113" t="inlineStr">
        <is>
          <t>个</t>
        </is>
      </c>
      <c r="F9" s="114" t="n">
        <v>26</v>
      </c>
      <c r="G9" s="152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40</v>
      </c>
      <c r="Q9" s="120" t="n">
        <v>0</v>
      </c>
      <c r="R9" s="119" t="n">
        <v>65</v>
      </c>
      <c r="S9" s="121" t="n">
        <v>10</v>
      </c>
      <c r="T9" s="122" t="n">
        <v>3</v>
      </c>
      <c r="U9" s="114">
        <f>F9*O9</f>
        <v/>
      </c>
    </row>
    <row r="10" outlineLevel="2" ht="84" customFormat="1" customHeight="1" s="5">
      <c r="A10" s="113" t="n">
        <v>5</v>
      </c>
      <c r="B10" s="136" t="n">
        <v>30904005001</v>
      </c>
      <c r="C10" s="136" t="inlineStr">
        <is>
          <t>消防报警电话插孔(电话)</t>
        </is>
      </c>
      <c r="D10" s="136" t="inlineStr">
        <is>
          <t>1、名称：消防电话插孔
2、安装方式：按图纸要求综合考虑
3、其他：包括但不限于以上内容，综合考虑按图纸、招标文件和规范要求而实施、完成这项工程的一切有关费用</t>
        </is>
      </c>
      <c r="E10" s="113" t="inlineStr">
        <is>
          <t>个</t>
        </is>
      </c>
      <c r="F10" s="114" t="n">
        <v>5</v>
      </c>
      <c r="G10" s="152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25</v>
      </c>
      <c r="Q10" s="120" t="n">
        <v>0</v>
      </c>
      <c r="R10" s="119" t="n">
        <v>8</v>
      </c>
      <c r="S10" s="121" t="n">
        <v>1</v>
      </c>
      <c r="T10" s="122" t="n">
        <v>0</v>
      </c>
      <c r="U10" s="114">
        <f>F10*O10</f>
        <v/>
      </c>
    </row>
    <row r="11" outlineLevel="2" ht="84" customFormat="1" customHeight="1" s="5">
      <c r="A11" s="113" t="n">
        <v>6</v>
      </c>
      <c r="B11" s="136" t="n">
        <v>30904003001</v>
      </c>
      <c r="C11" s="136" t="inlineStr">
        <is>
          <t>按钮</t>
        </is>
      </c>
      <c r="D11" s="136" t="inlineStr">
        <is>
          <t>1、名称：编码型手动报警按钮
2、安装方式：按图纸要求综合考虑
3、其他：包括但不限于以上内容，综合考虑按图纸、招标文件和规范要求而实施、完成这项工程的一切有关费用</t>
        </is>
      </c>
      <c r="E11" s="113" t="inlineStr">
        <is>
          <t>个</t>
        </is>
      </c>
      <c r="F11" s="114" t="n">
        <v>5</v>
      </c>
      <c r="G11" s="152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27</v>
      </c>
      <c r="Q11" s="120" t="n">
        <v>0</v>
      </c>
      <c r="R11" s="119" t="n">
        <v>12</v>
      </c>
      <c r="S11" s="121" t="n">
        <v>2</v>
      </c>
      <c r="T11" s="122" t="n">
        <v>0</v>
      </c>
      <c r="U11" s="114">
        <f>F11*O11</f>
        <v/>
      </c>
    </row>
    <row r="12" outlineLevel="2" ht="84" customFormat="1" customHeight="1" s="5">
      <c r="A12" s="113" t="n">
        <v>7</v>
      </c>
      <c r="B12" s="136" t="n">
        <v>30904003002</v>
      </c>
      <c r="C12" s="136" t="inlineStr">
        <is>
          <t>按钮</t>
        </is>
      </c>
      <c r="D12" s="136" t="inlineStr">
        <is>
          <t>1、名称：编码型消火栓按钮
2、安装方式：按图纸要求综合考虑
3、其他：包括但不限于以上内容，综合考虑按图纸、招标文件和规范要求而实施、完成这项工程的一切有关费用</t>
        </is>
      </c>
      <c r="E12" s="113" t="inlineStr">
        <is>
          <t>个</t>
        </is>
      </c>
      <c r="F12" s="114" t="n">
        <v>12</v>
      </c>
      <c r="G12" s="152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27</v>
      </c>
      <c r="Q12" s="120" t="n">
        <v>0</v>
      </c>
      <c r="R12" s="119" t="n">
        <v>12</v>
      </c>
      <c r="S12" s="121" t="n">
        <v>2</v>
      </c>
      <c r="T12" s="122" t="n">
        <v>0</v>
      </c>
      <c r="U12" s="114">
        <f>F12*O12</f>
        <v/>
      </c>
    </row>
    <row r="13" outlineLevel="2" ht="84" customFormat="1" customHeight="1" s="5">
      <c r="A13" s="113" t="n">
        <v>8</v>
      </c>
      <c r="B13" s="136" t="n">
        <v>30904004001</v>
      </c>
      <c r="C13" s="136" t="inlineStr">
        <is>
          <t>声光报警器</t>
        </is>
      </c>
      <c r="D13" s="136" t="inlineStr">
        <is>
          <t>1、名称：声光报警器
2、安装方式：按图纸要求综合考虑
3、其他：包括但不限于以上内容，综合考虑按图纸、招标文件和规范要求而实施、完成这项工程的一切有关费用</t>
        </is>
      </c>
      <c r="E13" s="113" t="inlineStr">
        <is>
          <t>个</t>
        </is>
      </c>
      <c r="F13" s="114" t="n">
        <v>5</v>
      </c>
      <c r="G13" s="152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165</v>
      </c>
      <c r="Q13" s="120" t="n">
        <v>0</v>
      </c>
      <c r="R13" s="119" t="n">
        <v>60</v>
      </c>
      <c r="S13" s="121" t="n">
        <v>10</v>
      </c>
      <c r="T13" s="122" t="n">
        <v>0</v>
      </c>
      <c r="U13" s="114">
        <f>F13*O13</f>
        <v/>
      </c>
    </row>
    <row r="14" outlineLevel="2" ht="84" customFormat="1" customHeight="1" s="5">
      <c r="A14" s="113" t="n">
        <v>9</v>
      </c>
      <c r="B14" s="136" t="n">
        <v>30904005002</v>
      </c>
      <c r="C14" s="136" t="inlineStr">
        <is>
          <t>消防电话分机</t>
        </is>
      </c>
      <c r="D14" s="136" t="inlineStr">
        <is>
          <t>1、名称：消防电话分机
2、安装方式：按图纸要求综合考虑
3、其他：包括但不限于以上内容，综合考虑按图纸、招标文件和规范要求而实施、完成这项工程的一切有关费用</t>
        </is>
      </c>
      <c r="E14" s="113" t="inlineStr">
        <is>
          <t>个</t>
        </is>
      </c>
      <c r="F14" s="114" t="n">
        <v>5</v>
      </c>
      <c r="G14" s="152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110</v>
      </c>
      <c r="Q14" s="120" t="n">
        <v>0</v>
      </c>
      <c r="R14" s="119" t="n">
        <v>12</v>
      </c>
      <c r="S14" s="121" t="n">
        <v>2</v>
      </c>
      <c r="T14" s="122" t="n">
        <v>0</v>
      </c>
      <c r="U14" s="114">
        <f>F14*O14</f>
        <v/>
      </c>
    </row>
    <row r="15" outlineLevel="2" ht="84" customFormat="1" customHeight="1" s="5">
      <c r="A15" s="113" t="n">
        <v>10</v>
      </c>
      <c r="B15" s="136" t="n">
        <v>30904007004</v>
      </c>
      <c r="C15" s="136" t="inlineStr">
        <is>
          <t>消防模块</t>
        </is>
      </c>
      <c r="D15" s="136" t="inlineStr">
        <is>
          <t>1、名称：广播模块
2、安装方式：按图纸要求综合考虑
3、其他：包括但不限于以上内容，综合考虑按图纸、招标文件和规范要求而实施、完成这项工程的一切有关费用</t>
        </is>
      </c>
      <c r="E15" s="113" t="inlineStr">
        <is>
          <t>个</t>
        </is>
      </c>
      <c r="F15" s="114" t="n">
        <v>2</v>
      </c>
      <c r="G15" s="152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150</v>
      </c>
      <c r="Q15" s="120" t="n">
        <v>0</v>
      </c>
      <c r="R15" s="119" t="n">
        <v>120</v>
      </c>
      <c r="S15" s="121" t="n">
        <v>15</v>
      </c>
      <c r="T15" s="122" t="n">
        <v>0</v>
      </c>
      <c r="U15" s="114">
        <f>F15*O15</f>
        <v/>
      </c>
    </row>
    <row r="16" outlineLevel="2" ht="84" customFormat="1" customHeight="1" s="5">
      <c r="A16" s="113" t="n">
        <v>11</v>
      </c>
      <c r="B16" s="136" t="n">
        <v>30904006001</v>
      </c>
      <c r="C16" s="136" t="inlineStr">
        <is>
          <t>吸顶式扬声器</t>
        </is>
      </c>
      <c r="D16" s="136" t="inlineStr">
        <is>
          <t>1、名称：吸顶式扬声器
2、安装方式：按图纸要求综合考虑
3、其他：包括但不限于以上内容，综合考虑按图纸、招标文件和规范要求而实施、完成这项工程的一切有关费用</t>
        </is>
      </c>
      <c r="E16" s="113" t="inlineStr">
        <is>
          <t>个</t>
        </is>
      </c>
      <c r="F16" s="114" t="n">
        <v>10</v>
      </c>
      <c r="G16" s="152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55</v>
      </c>
      <c r="Q16" s="120" t="n">
        <v>0</v>
      </c>
      <c r="R16" s="119" t="n">
        <v>10</v>
      </c>
      <c r="S16" s="121" t="n">
        <v>1</v>
      </c>
      <c r="T16" s="122" t="n">
        <v>0</v>
      </c>
      <c r="U16" s="114">
        <f>F16*O16</f>
        <v/>
      </c>
    </row>
    <row r="17" outlineLevel="2" ht="84" customFormat="1" customHeight="1" s="5">
      <c r="A17" s="113" t="n">
        <v>12</v>
      </c>
      <c r="B17" s="136" t="n">
        <v>30412001001</v>
      </c>
      <c r="C17" s="136" t="inlineStr">
        <is>
          <t>配管</t>
        </is>
      </c>
      <c r="D17" s="136" t="inlineStr">
        <is>
          <t>1、名称:电气配管JDG20
2、配置形式:暗配
3、厚度:按国标
4、其他：包括但不限于以上内容，综合考虑按图纸、招标文件和规范要求而实施、完成这项工程的一切有关费用</t>
        </is>
      </c>
      <c r="E17" s="113" t="inlineStr">
        <is>
          <t>m</t>
        </is>
      </c>
      <c r="F17" s="114" t="n">
        <v>578.6900000000001</v>
      </c>
      <c r="G17" s="152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5.57</v>
      </c>
      <c r="Q17" s="120" t="n">
        <v>0.03</v>
      </c>
      <c r="R17" s="119" t="n">
        <v>9.119999999999999</v>
      </c>
      <c r="S17" s="121" t="n">
        <v>1.05</v>
      </c>
      <c r="T17" s="122" t="n">
        <v>0.54</v>
      </c>
      <c r="U17" s="114">
        <f>F17*O17</f>
        <v/>
      </c>
    </row>
    <row r="18" outlineLevel="2" ht="96" customFormat="1" customHeight="1" s="5">
      <c r="A18" s="113" t="n">
        <v>13</v>
      </c>
      <c r="B18" s="136" t="n">
        <v>30412004004</v>
      </c>
      <c r="C18" s="136" t="inlineStr">
        <is>
          <t>管内穿线</t>
        </is>
      </c>
      <c r="D18" s="136" t="inlineStr">
        <is>
          <t>1、名称：配线
2、型号及规格：WDZN-RYJS-2*2.5
3、配置形式、部位：管内穿线
4、其他：包括但不限于以上内容，综合考虑按图纸、招标文件和规范要求而实施、完成这项工程的一切有关费用</t>
        </is>
      </c>
      <c r="E18" s="113" t="inlineStr">
        <is>
          <t>m</t>
        </is>
      </c>
      <c r="F18" s="114" t="n">
        <v>487.82</v>
      </c>
      <c r="G18" s="152">
        <f>R18*$R$3</f>
        <v/>
      </c>
      <c r="H18" s="117">
        <f>P18*(1+Q18)*$P$3+S18*$S$3</f>
        <v/>
      </c>
      <c r="I18" s="117">
        <f>T18*$T$3</f>
        <v/>
      </c>
      <c r="J18" s="117">
        <f>(G18+H18+I18)*$J$3</f>
        <v/>
      </c>
      <c r="K18" s="117">
        <f>(G18+H18+I18+J18)*$K$3</f>
        <v/>
      </c>
      <c r="L18" s="117">
        <f>G18+H18+I18+J18+K18</f>
        <v/>
      </c>
      <c r="M18" s="117">
        <f>F18*L18</f>
        <v/>
      </c>
      <c r="N18" s="118" t="n"/>
      <c r="O18" s="114">
        <f>P18*(1+Q18)+R18+S18+T18</f>
        <v/>
      </c>
      <c r="P18" s="119" t="n">
        <v>4.55</v>
      </c>
      <c r="Q18" s="120" t="n">
        <v>0.02</v>
      </c>
      <c r="R18" s="119" t="n">
        <v>6</v>
      </c>
      <c r="S18" s="121" t="n">
        <v>0.24</v>
      </c>
      <c r="T18" s="122" t="n">
        <v>0.06</v>
      </c>
      <c r="U18" s="114">
        <f>F18*O18</f>
        <v/>
      </c>
    </row>
    <row r="19" outlineLevel="2" ht="96" customFormat="1" customHeight="1" s="5">
      <c r="A19" s="113" t="n">
        <v>14</v>
      </c>
      <c r="B19" s="136" t="n">
        <v>30412004006</v>
      </c>
      <c r="C19" s="136" t="inlineStr">
        <is>
          <t>管内穿线</t>
        </is>
      </c>
      <c r="D19" s="136" t="inlineStr">
        <is>
          <t>1、名称：配线
2、型号及规格：WDZN-RYYP-2*1.5
3、配置形式、部位：管内穿线
4、其他：包括但不限于以上内容，综合考虑按图纸、招标文件和规范要求而实施、完成这项工程的一切有关费用</t>
        </is>
      </c>
      <c r="E19" s="113" t="inlineStr">
        <is>
          <t>m</t>
        </is>
      </c>
      <c r="F19" s="114" t="n">
        <v>226.54</v>
      </c>
      <c r="G19" s="152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129.2</v>
      </c>
      <c r="Q19" s="120" t="n">
        <v>0.02</v>
      </c>
      <c r="R19" s="119" t="n">
        <v>13.5</v>
      </c>
      <c r="S19" s="121" t="n">
        <v>1.03</v>
      </c>
      <c r="T19" s="122" t="n">
        <v>1.03</v>
      </c>
      <c r="U19" s="114">
        <f>F19*O19</f>
        <v/>
      </c>
    </row>
    <row r="20" outlineLevel="2" ht="72" customFormat="1" customHeight="1" s="5">
      <c r="A20" s="113" t="n">
        <v>15</v>
      </c>
      <c r="B20" s="136" t="n">
        <v>30412006001</v>
      </c>
      <c r="C20" s="136" t="inlineStr">
        <is>
          <t>钢质接线盒</t>
        </is>
      </c>
      <c r="D20" s="136" t="inlineStr">
        <is>
          <t>1、名称：钢质接线盒
2、安装方式：暗装          
3、其他：包括但不限于以上内容，按图纸要求综合考虑按图纸、招标文件和规范要求而实施、完成这项工程的一切有关费用</t>
        </is>
      </c>
      <c r="E20" s="113" t="inlineStr">
        <is>
          <t>个</t>
        </is>
      </c>
      <c r="F20" s="114" t="n">
        <v>80</v>
      </c>
      <c r="G20" s="152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2.28</v>
      </c>
      <c r="Q20" s="120" t="n">
        <v>0</v>
      </c>
      <c r="R20" s="119" t="n">
        <v>2.17</v>
      </c>
      <c r="S20" s="121" t="n">
        <v>0.3</v>
      </c>
      <c r="T20" s="122" t="n">
        <v>0</v>
      </c>
      <c r="U20" s="114">
        <f>F20*O20</f>
        <v/>
      </c>
    </row>
    <row r="21" outlineLevel="2" ht="84" customFormat="1" customHeight="1" s="5">
      <c r="A21" s="113" t="n">
        <v>16</v>
      </c>
      <c r="B21" s="136" t="n">
        <v>30412004011</v>
      </c>
      <c r="C21" s="136" t="inlineStr">
        <is>
          <t>剔槽</t>
        </is>
      </c>
      <c r="D21" s="136" t="inlineStr">
        <is>
          <t>1、名称：线管剔槽
2、型号及规格：70×70mm
3、配置形式、部位：综合考虑
4、其他：包括但不限于以上内容，综合考虑按图纸、招标文件和规范要求而实施、完成这项工程的一切有关费用</t>
        </is>
      </c>
      <c r="E21" s="113" t="inlineStr">
        <is>
          <t>m</t>
        </is>
      </c>
      <c r="F21" s="114" t="n">
        <v>50</v>
      </c>
      <c r="G21" s="152">
        <f>R21*$R$3</f>
        <v/>
      </c>
      <c r="H21" s="117">
        <f>P21*(1+Q21)*$P$3+S21*$S$3</f>
        <v/>
      </c>
      <c r="I21" s="117">
        <f>T21*$T$3</f>
        <v/>
      </c>
      <c r="J21" s="117">
        <f>(G21+H21+I21)*$J$3</f>
        <v/>
      </c>
      <c r="K21" s="117">
        <f>(G21+H21+I21+J21)*$K$3</f>
        <v/>
      </c>
      <c r="L21" s="117">
        <f>G21+H21+I21+J21+K21</f>
        <v/>
      </c>
      <c r="M21" s="117">
        <f>F21*L21</f>
        <v/>
      </c>
      <c r="N21" s="118" t="n"/>
      <c r="O21" s="114">
        <f>P21*(1+Q21)+R21+S21+T21</f>
        <v/>
      </c>
      <c r="P21" s="119" t="n">
        <v>0</v>
      </c>
      <c r="Q21" s="120" t="n">
        <v>0</v>
      </c>
      <c r="R21" s="119" t="n">
        <v>20</v>
      </c>
      <c r="S21" s="121" t="n">
        <v>0</v>
      </c>
      <c r="T21" s="122" t="n">
        <v>2.5</v>
      </c>
      <c r="U21" s="114">
        <f>F21*O21</f>
        <v/>
      </c>
    </row>
    <row r="22" ht="21" customHeight="1" s="95">
      <c r="A22" s="34" t="n"/>
      <c r="B22" s="35" t="inlineStr">
        <is>
          <t>税前合价</t>
        </is>
      </c>
      <c r="C22" s="35" t="n"/>
      <c r="D22" s="35" t="n"/>
      <c r="E22" s="36" t="inlineStr">
        <is>
          <t>元</t>
        </is>
      </c>
      <c r="F22" s="36" t="n"/>
      <c r="G22" s="125" t="n"/>
      <c r="H22" s="125" t="n"/>
      <c r="I22" s="125" t="n"/>
      <c r="J22" s="125" t="n"/>
      <c r="K22" s="125" t="n"/>
      <c r="L22" s="125" t="n"/>
      <c r="M22" s="126">
        <f>SUM(M4:M21)</f>
        <v/>
      </c>
      <c r="N22" s="26" t="n"/>
      <c r="O22" s="26" t="n"/>
      <c r="P22" s="26" t="n"/>
      <c r="Q22" s="26" t="n"/>
      <c r="R22" s="26" t="n"/>
      <c r="S22" s="26" t="n"/>
      <c r="T22" s="26" t="n"/>
      <c r="U22" s="26" t="n"/>
    </row>
    <row r="23" ht="21" customHeight="1" s="95">
      <c r="A23" s="34" t="n"/>
      <c r="B23" s="35" t="inlineStr">
        <is>
          <t>税金</t>
        </is>
      </c>
      <c r="C23" s="35" t="n"/>
      <c r="D23" s="35" t="n"/>
      <c r="E23" s="36" t="inlineStr">
        <is>
          <t>元</t>
        </is>
      </c>
      <c r="F23" s="36" t="n"/>
      <c r="G23" s="125" t="n"/>
      <c r="H23" s="125" t="n"/>
      <c r="I23" s="125" t="n"/>
      <c r="J23" s="125" t="n"/>
      <c r="K23" s="125" t="n"/>
      <c r="L23" s="125" t="n"/>
      <c r="M23" s="126">
        <f>M22*0.09</f>
        <v/>
      </c>
      <c r="N23" s="26" t="n"/>
      <c r="O23" s="26" t="n"/>
      <c r="P23" s="26" t="n"/>
      <c r="Q23" s="26" t="n"/>
      <c r="R23" s="26" t="n"/>
      <c r="S23" s="26" t="n"/>
      <c r="T23" s="26" t="n"/>
      <c r="U23" s="26" t="n"/>
    </row>
    <row r="24" ht="21" customHeight="1" s="95">
      <c r="A24" s="34" t="n"/>
      <c r="B24" s="35" t="inlineStr">
        <is>
          <t>含税合价</t>
        </is>
      </c>
      <c r="C24" s="35" t="n"/>
      <c r="D24" s="35" t="n"/>
      <c r="E24" s="36" t="inlineStr">
        <is>
          <t>元</t>
        </is>
      </c>
      <c r="F24" s="36" t="n"/>
      <c r="G24" s="125" t="n"/>
      <c r="H24" s="125" t="n"/>
      <c r="I24" s="125" t="n"/>
      <c r="J24" s="125" t="n"/>
      <c r="K24" s="125" t="n"/>
      <c r="L24" s="125" t="n"/>
      <c r="M24" s="126">
        <f>M22+M23</f>
        <v/>
      </c>
      <c r="N24" s="26" t="n"/>
      <c r="O24" s="26" t="n"/>
      <c r="P24" s="26" t="n"/>
      <c r="Q24" s="26" t="n"/>
      <c r="R24" s="26" t="n"/>
      <c r="S24" s="26" t="n"/>
      <c r="T24" s="26" t="n"/>
      <c r="U24" s="26" t="n"/>
    </row>
  </sheetData>
  <autoFilter ref="A2:U24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7" horizontalDpi="600"/>
  <headerFooter>
    <oddHeader/>
    <oddFooter>&amp;C第 &amp;P 页，共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20"/>
  <sheetViews>
    <sheetView view="pageBreakPreview" zoomScaleNormal="100" workbookViewId="0">
      <pane xSplit="5" ySplit="3" topLeftCell="F11" activePane="bottomRight" state="frozen"/>
      <selection activeCell="A1" sqref="A1"/>
      <selection pane="topRight" activeCell="A1" sqref="A1"/>
      <selection pane="bottomLeft" activeCell="A1" sqref="A1"/>
      <selection pane="bottomRight" activeCell="N26" sqref="N26"/>
    </sheetView>
  </sheetViews>
  <sheetFormatPr baseColWidth="8" defaultColWidth="9" defaultRowHeight="12"/>
  <cols>
    <col width="4.625" customWidth="1" style="5" min="1" max="1"/>
    <col width="10.875" customWidth="1" style="5" min="2" max="2"/>
    <col width="14.25" customWidth="1" style="5" min="3" max="3"/>
    <col width="27.625" customWidth="1" style="5" min="4" max="4"/>
    <col width="5.625" customWidth="1" style="5" min="5" max="5"/>
    <col width="11.7166666666667" customWidth="1" style="151" min="6" max="6"/>
    <col width="8.5" customWidth="1" style="151" min="7" max="8"/>
    <col width="8.5" customWidth="1" style="5" min="9" max="11"/>
    <col width="8.375" customWidth="1" style="5" min="12" max="12"/>
    <col width="12.62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会所售楼处消防水工程工程量清单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/>
      <c r="C4" s="28" t="inlineStr">
        <is>
          <t>消防喷淋系统</t>
        </is>
      </c>
      <c r="D4" s="28" t="inlineStr"/>
      <c r="E4" s="27" t="inlineStr"/>
      <c r="F4" s="105" t="inlineStr"/>
      <c r="G4" s="105" t="inlineStr"/>
      <c r="H4" s="153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outlineLevel="1" ht="156" customFormat="1" customHeight="1" s="5">
      <c r="A5" s="113" t="n">
        <v>2</v>
      </c>
      <c r="B5" s="136" t="n">
        <v>30901001002</v>
      </c>
      <c r="C5" s="136" t="inlineStr">
        <is>
          <t>热浸镀锌钢管</t>
        </is>
      </c>
      <c r="D5" s="136" t="inlineStr">
        <is>
          <t>1、安装部位：室内
2、材质、规格：热浸镀锌钢管DN150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5" s="113" t="inlineStr">
        <is>
          <t>m</t>
        </is>
      </c>
      <c r="F5" s="114" t="n">
        <v>11</v>
      </c>
      <c r="G5" s="152">
        <f>R5*$R$3</f>
        <v/>
      </c>
      <c r="H5" s="117">
        <f>P5*(1+Q5)*$P$3+S5*$S$3</f>
        <v/>
      </c>
      <c r="I5" s="117">
        <f>T5*$T$3</f>
        <v/>
      </c>
      <c r="J5" s="117">
        <f>(G5+H5+I5)*$J$3</f>
        <v/>
      </c>
      <c r="K5" s="117">
        <f>(G5+H5+I5+J5)*$K$3</f>
        <v/>
      </c>
      <c r="L5" s="117">
        <f>G5+H5+I5+J5+K5</f>
        <v/>
      </c>
      <c r="M5" s="117">
        <f>F5*L5</f>
        <v/>
      </c>
      <c r="N5" s="118" t="n"/>
      <c r="O5" s="114">
        <f>P5*(1+Q5)+R5+S5+T5</f>
        <v/>
      </c>
      <c r="P5" s="119" t="n">
        <v>100</v>
      </c>
      <c r="Q5" s="120" t="n">
        <v>0.03</v>
      </c>
      <c r="R5" s="119" t="n">
        <v>45</v>
      </c>
      <c r="S5" s="121" t="n">
        <v>0</v>
      </c>
      <c r="T5" s="122" t="n">
        <v>4</v>
      </c>
      <c r="U5" s="114">
        <f>F5*O5</f>
        <v/>
      </c>
    </row>
    <row r="6" outlineLevel="1" ht="156" customFormat="1" customHeight="1" s="5">
      <c r="A6" s="113" t="n">
        <v>3</v>
      </c>
      <c r="B6" s="136" t="n">
        <v>30901001003</v>
      </c>
      <c r="C6" s="136" t="inlineStr">
        <is>
          <t>热浸镀锌钢管</t>
        </is>
      </c>
      <c r="D6" s="136" t="inlineStr">
        <is>
          <t>1、安装部位：室内
2、材质、规格：热浸镀锌钢管DN100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6" s="113" t="inlineStr">
        <is>
          <t>m</t>
        </is>
      </c>
      <c r="F6" s="114" t="n">
        <v>41</v>
      </c>
      <c r="G6" s="152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64</v>
      </c>
      <c r="Q6" s="120" t="n">
        <v>0.03</v>
      </c>
      <c r="R6" s="119" t="n">
        <v>51</v>
      </c>
      <c r="S6" s="121" t="n">
        <v>0</v>
      </c>
      <c r="T6" s="122" t="n">
        <v>2.56</v>
      </c>
      <c r="U6" s="114">
        <f>F6*O6</f>
        <v/>
      </c>
    </row>
    <row r="7" outlineLevel="1" ht="156" customFormat="1" customHeight="1" s="5">
      <c r="A7" s="113" t="n">
        <v>4</v>
      </c>
      <c r="B7" s="136" t="n">
        <v>30901001004</v>
      </c>
      <c r="C7" s="136" t="inlineStr">
        <is>
          <t>热浸镀锌钢管</t>
        </is>
      </c>
      <c r="D7" s="136" t="inlineStr">
        <is>
          <t>1、安装部位：室内
2、材质、规格：热浸镀锌钢管DN80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7" s="113" t="inlineStr">
        <is>
          <t>m</t>
        </is>
      </c>
      <c r="F7" s="114" t="n">
        <v>54</v>
      </c>
      <c r="G7" s="152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65</v>
      </c>
      <c r="Q7" s="120" t="n">
        <v>0.03</v>
      </c>
      <c r="R7" s="119" t="n">
        <v>30</v>
      </c>
      <c r="S7" s="121" t="n">
        <v>0</v>
      </c>
      <c r="T7" s="122" t="n">
        <v>1.62</v>
      </c>
      <c r="U7" s="114">
        <f>F7*O7</f>
        <v/>
      </c>
    </row>
    <row r="8" outlineLevel="1" ht="156" customFormat="1" customHeight="1" s="5">
      <c r="A8" s="113" t="n">
        <v>5</v>
      </c>
      <c r="B8" s="136" t="n">
        <v>30901001005</v>
      </c>
      <c r="C8" s="136" t="inlineStr">
        <is>
          <t>热浸镀锌钢管</t>
        </is>
      </c>
      <c r="D8" s="136" t="inlineStr">
        <is>
          <t>1、安装部位：室内
2、材质、规格：热浸镀锌钢管DN65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8" s="113" t="inlineStr">
        <is>
          <t>m</t>
        </is>
      </c>
      <c r="F8" s="114" t="n">
        <v>28</v>
      </c>
      <c r="G8" s="152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40</v>
      </c>
      <c r="Q8" s="120" t="n">
        <v>0.03</v>
      </c>
      <c r="R8" s="119" t="n">
        <v>43</v>
      </c>
      <c r="S8" s="121" t="n">
        <v>0</v>
      </c>
      <c r="T8" s="122" t="n">
        <v>0.5</v>
      </c>
      <c r="U8" s="114">
        <f>F8*O8</f>
        <v/>
      </c>
    </row>
    <row r="9" outlineLevel="1" ht="156" customFormat="1" customHeight="1" s="5">
      <c r="A9" s="113" t="n">
        <v>6</v>
      </c>
      <c r="B9" s="136" t="n">
        <v>30901001006</v>
      </c>
      <c r="C9" s="136" t="inlineStr">
        <is>
          <t>热浸镀锌钢管</t>
        </is>
      </c>
      <c r="D9" s="136" t="inlineStr">
        <is>
          <t>1、安装部位：室内
2、材质、规格：热浸镀锌钢管DN50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9" s="113" t="inlineStr">
        <is>
          <t>m</t>
        </is>
      </c>
      <c r="F9" s="114" t="n">
        <v>83</v>
      </c>
      <c r="G9" s="152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30</v>
      </c>
      <c r="Q9" s="120" t="n">
        <v>0.03</v>
      </c>
      <c r="R9" s="119" t="n">
        <v>22</v>
      </c>
      <c r="S9" s="121" t="n">
        <v>0</v>
      </c>
      <c r="T9" s="122" t="n">
        <v>0.5</v>
      </c>
      <c r="U9" s="114">
        <f>F9*O9</f>
        <v/>
      </c>
    </row>
    <row r="10" outlineLevel="1" ht="156" customFormat="1" customHeight="1" s="5">
      <c r="A10" s="113" t="n">
        <v>7</v>
      </c>
      <c r="B10" s="136" t="n">
        <v>30901001007</v>
      </c>
      <c r="C10" s="136" t="inlineStr">
        <is>
          <t>热浸镀锌钢管</t>
        </is>
      </c>
      <c r="D10" s="136" t="inlineStr">
        <is>
          <t>1、安装部位：室内
2、材质、规格：热浸镀锌钢管DN40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0" s="113" t="inlineStr">
        <is>
          <t>m</t>
        </is>
      </c>
      <c r="F10" s="114" t="n">
        <v>38</v>
      </c>
      <c r="G10" s="152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22</v>
      </c>
      <c r="Q10" s="120" t="n">
        <v>0.03</v>
      </c>
      <c r="R10" s="119" t="n">
        <v>20</v>
      </c>
      <c r="S10" s="121" t="n">
        <v>0</v>
      </c>
      <c r="T10" s="122" t="n">
        <v>0.5</v>
      </c>
      <c r="U10" s="114">
        <f>F10*O10</f>
        <v/>
      </c>
    </row>
    <row r="11" outlineLevel="1" ht="156" customFormat="1" customHeight="1" s="5">
      <c r="A11" s="113" t="n">
        <v>8</v>
      </c>
      <c r="B11" s="136" t="n">
        <v>30901001008</v>
      </c>
      <c r="C11" s="136" t="inlineStr">
        <is>
          <t>热浸镀锌钢管</t>
        </is>
      </c>
      <c r="D11" s="136" t="inlineStr">
        <is>
          <t>1、安装部位：室内
2、材质、规格：热浸镀锌钢管DN32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1" s="113" t="inlineStr">
        <is>
          <t>m</t>
        </is>
      </c>
      <c r="F11" s="114" t="n">
        <v>175</v>
      </c>
      <c r="G11" s="152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18</v>
      </c>
      <c r="Q11" s="120" t="n">
        <v>0.03</v>
      </c>
      <c r="R11" s="119" t="n">
        <v>18</v>
      </c>
      <c r="S11" s="121" t="n">
        <v>0</v>
      </c>
      <c r="T11" s="122" t="n">
        <v>0.5</v>
      </c>
      <c r="U11" s="114">
        <f>F11*O11</f>
        <v/>
      </c>
    </row>
    <row r="12" outlineLevel="1" ht="156" customFormat="1" customHeight="1" s="5">
      <c r="A12" s="113" t="n">
        <v>9</v>
      </c>
      <c r="B12" s="136" t="n">
        <v>30901001009</v>
      </c>
      <c r="C12" s="136" t="inlineStr">
        <is>
          <t>热浸镀锌钢管</t>
        </is>
      </c>
      <c r="D12" s="136" t="inlineStr">
        <is>
          <t>1、安装部位：室内
2、材质、规格：热浸镀锌钢管DN25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2" s="113" t="inlineStr">
        <is>
          <t>m</t>
        </is>
      </c>
      <c r="F12" s="114" t="n">
        <v>420</v>
      </c>
      <c r="G12" s="152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14</v>
      </c>
      <c r="Q12" s="120" t="n">
        <v>0.03</v>
      </c>
      <c r="R12" s="119" t="n">
        <v>15</v>
      </c>
      <c r="S12" s="121" t="n">
        <v>0</v>
      </c>
      <c r="T12" s="122" t="n">
        <v>0.5</v>
      </c>
      <c r="U12" s="114">
        <f>F12*O12</f>
        <v/>
      </c>
    </row>
    <row r="13" outlineLevel="1" ht="84" customFormat="1" customHeight="1" s="5">
      <c r="A13" s="113" t="n">
        <v>10</v>
      </c>
      <c r="B13" s="136" t="n">
        <v>31301005003</v>
      </c>
      <c r="C13" s="136" t="inlineStr">
        <is>
          <t>管道支架</t>
        </is>
      </c>
      <c r="D13" s="136" t="inlineStr">
        <is>
          <t>1、名称：管道支架
2、刷油防腐：除锈后樟丹防锈漆二道,醇酸磁漆二道
3、其他：包括但不限于以上内容，综合考虑按图纸、招标文件和规范要求而实施、完成这项工程的一切有关费用</t>
        </is>
      </c>
      <c r="E13" s="113" t="inlineStr">
        <is>
          <t>Kg</t>
        </is>
      </c>
      <c r="F13" s="114" t="n">
        <v>425</v>
      </c>
      <c r="G13" s="152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7</v>
      </c>
      <c r="Q13" s="120" t="n">
        <v>0</v>
      </c>
      <c r="R13" s="119" t="n">
        <v>1.5</v>
      </c>
      <c r="S13" s="121" t="n">
        <v>0.5</v>
      </c>
      <c r="T13" s="122" t="n">
        <v>0.3</v>
      </c>
      <c r="U13" s="114">
        <f>F13*O13</f>
        <v/>
      </c>
    </row>
    <row r="14" outlineLevel="1" ht="84" customFormat="1" customHeight="1" s="5">
      <c r="A14" s="113" t="n">
        <v>14</v>
      </c>
      <c r="B14" s="136" t="n">
        <v>31002001005</v>
      </c>
      <c r="C14" s="136" t="inlineStr">
        <is>
          <t>铜截止阀</t>
        </is>
      </c>
      <c r="D14" s="136" t="inlineStr">
        <is>
          <t>1、类型：铜截止阀 
2、材质：按图纸要求
3、规格、压力等级：DN25
4、其他：包括但不限于以上内容，综合考虑按图纸、招标文件和规范要求而实施、完成这项工程的一切有关费用</t>
        </is>
      </c>
      <c r="E14" s="113" t="inlineStr">
        <is>
          <t>个</t>
        </is>
      </c>
      <c r="F14" s="114" t="n">
        <v>3</v>
      </c>
      <c r="G14" s="152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34</v>
      </c>
      <c r="Q14" s="120" t="n">
        <v>0</v>
      </c>
      <c r="R14" s="119" t="n">
        <v>25.06</v>
      </c>
      <c r="S14" s="121" t="n">
        <v>12</v>
      </c>
      <c r="T14" s="122" t="n">
        <v>0</v>
      </c>
      <c r="U14" s="114">
        <f>F14*O14</f>
        <v/>
      </c>
    </row>
    <row r="15" outlineLevel="1" ht="96" customFormat="1" customHeight="1" s="5">
      <c r="A15" s="113" t="n">
        <v>15</v>
      </c>
      <c r="B15" s="136" t="n">
        <v>31002001023</v>
      </c>
      <c r="C15" s="136" t="inlineStr">
        <is>
          <t>截止阀</t>
        </is>
      </c>
      <c r="D15" s="136" t="inlineStr">
        <is>
          <t>1、名称：截止阀
2、材质：符合设计要求材质
3、型号、规格：DN50
4、连接形式：按图纸要求
5、其他：包括但不限于以上内容，综合考虑按图纸、招标文件和规范要求而实施、完成这项工程的一切有关费用</t>
        </is>
      </c>
      <c r="E15" s="113" t="inlineStr">
        <is>
          <t>个</t>
        </is>
      </c>
      <c r="F15" s="114" t="n">
        <v>2</v>
      </c>
      <c r="G15" s="152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34</v>
      </c>
      <c r="Q15" s="120" t="n">
        <v>0</v>
      </c>
      <c r="R15" s="119" t="n">
        <v>25.06</v>
      </c>
      <c r="S15" s="121" t="n">
        <v>12</v>
      </c>
      <c r="T15" s="122" t="n">
        <v>0</v>
      </c>
      <c r="U15" s="114">
        <f>F15*O15</f>
        <v/>
      </c>
    </row>
    <row r="16" outlineLevel="1" ht="96" customFormat="1" customHeight="1" s="5">
      <c r="A16" s="113" t="n">
        <v>29</v>
      </c>
      <c r="B16" s="136" t="n">
        <v>30902007003</v>
      </c>
      <c r="C16" s="136" t="inlineStr">
        <is>
          <t>直立式喷头</t>
        </is>
      </c>
      <c r="D16" s="136" t="inlineStr">
        <is>
          <t>1、名称：直立式喷头 
2、型号、规格：公称动作温度 68°C
3、本体安装及调试
4、其他：包括但不限于以上内容，综合考虑按图纸、招标文件和规范要求而实施、完成这项工程的一切有关费用</t>
        </is>
      </c>
      <c r="E16" s="113" t="inlineStr">
        <is>
          <t>个</t>
        </is>
      </c>
      <c r="F16" s="114" t="n">
        <v>213</v>
      </c>
      <c r="G16" s="152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65</v>
      </c>
      <c r="Q16" s="120" t="n">
        <v>0</v>
      </c>
      <c r="R16" s="119" t="n">
        <v>42</v>
      </c>
      <c r="S16" s="121" t="n">
        <v>5</v>
      </c>
      <c r="T16" s="122" t="n">
        <v>0</v>
      </c>
      <c r="U16" s="114">
        <f>F16*O16</f>
        <v/>
      </c>
    </row>
    <row r="17" outlineLevel="1" ht="96" customFormat="1" customHeight="1" s="5">
      <c r="A17" s="113" t="n">
        <v>30</v>
      </c>
      <c r="B17" s="136" t="n">
        <v>30902007004</v>
      </c>
      <c r="C17" s="136" t="inlineStr">
        <is>
          <t>直立式喷头</t>
        </is>
      </c>
      <c r="D17" s="136" t="inlineStr">
        <is>
          <t>1、名称：直立式喷头 
2、型号、规格：公称动作温度 93°C
3、本体安装及调试
4、其他：包括但不限于以上内容，综合考虑按图纸、招标文件和规范要求而实施、完成这项工程的一切有关费用</t>
        </is>
      </c>
      <c r="E17" s="113" t="inlineStr">
        <is>
          <t>个</t>
        </is>
      </c>
      <c r="F17" s="114" t="n">
        <v>2</v>
      </c>
      <c r="G17" s="152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65</v>
      </c>
      <c r="Q17" s="120" t="n">
        <v>0</v>
      </c>
      <c r="R17" s="119" t="n">
        <v>42</v>
      </c>
      <c r="S17" s="121" t="n">
        <v>5</v>
      </c>
      <c r="T17" s="122" t="n">
        <v>0</v>
      </c>
      <c r="U17" s="114">
        <f>F17*O17</f>
        <v/>
      </c>
    </row>
    <row r="18" ht="29" customHeight="1" s="95">
      <c r="A18" s="34" t="n"/>
      <c r="B18" s="35" t="inlineStr">
        <is>
          <t>税前合价</t>
        </is>
      </c>
      <c r="C18" s="35" t="n"/>
      <c r="D18" s="35" t="n"/>
      <c r="E18" s="36" t="inlineStr">
        <is>
          <t>元</t>
        </is>
      </c>
      <c r="F18" s="36" t="n"/>
      <c r="G18" s="125" t="n"/>
      <c r="H18" s="125" t="n"/>
      <c r="I18" s="125" t="n"/>
      <c r="J18" s="125" t="n"/>
      <c r="K18" s="125" t="n"/>
      <c r="L18" s="125" t="n"/>
      <c r="M18" s="126">
        <f>SUM(M4:M17)</f>
        <v/>
      </c>
      <c r="N18" s="26" t="n"/>
      <c r="O18" s="26" t="n"/>
      <c r="P18" s="26" t="n"/>
      <c r="Q18" s="26" t="n"/>
      <c r="R18" s="26" t="n"/>
      <c r="S18" s="26" t="n"/>
      <c r="T18" s="26" t="n"/>
      <c r="U18" s="26" t="n"/>
    </row>
    <row r="19" ht="29" customHeight="1" s="95">
      <c r="A19" s="34" t="n"/>
      <c r="B19" s="35" t="inlineStr">
        <is>
          <t>税金</t>
        </is>
      </c>
      <c r="C19" s="35" t="n"/>
      <c r="D19" s="35" t="n"/>
      <c r="E19" s="36" t="inlineStr">
        <is>
          <t>元</t>
        </is>
      </c>
      <c r="F19" s="36" t="n"/>
      <c r="G19" s="125" t="n"/>
      <c r="H19" s="125" t="n"/>
      <c r="I19" s="125" t="n"/>
      <c r="J19" s="125" t="n"/>
      <c r="K19" s="125" t="n"/>
      <c r="L19" s="125" t="n"/>
      <c r="M19" s="126">
        <f>M18*0.09</f>
        <v/>
      </c>
      <c r="N19" s="26" t="n"/>
      <c r="O19" s="26" t="n"/>
      <c r="P19" s="26" t="n"/>
      <c r="Q19" s="26" t="n"/>
      <c r="R19" s="26" t="n"/>
      <c r="S19" s="26" t="n"/>
      <c r="T19" s="26" t="n"/>
      <c r="U19" s="26" t="n"/>
    </row>
    <row r="20" ht="29" customHeight="1" s="95">
      <c r="A20" s="34" t="n"/>
      <c r="B20" s="35" t="inlineStr">
        <is>
          <t>含税合价</t>
        </is>
      </c>
      <c r="C20" s="35" t="n"/>
      <c r="D20" s="35" t="n"/>
      <c r="E20" s="36" t="inlineStr">
        <is>
          <t>元</t>
        </is>
      </c>
      <c r="F20" s="36" t="n"/>
      <c r="G20" s="125" t="n"/>
      <c r="H20" s="125" t="n"/>
      <c r="I20" s="125" t="n"/>
      <c r="J20" s="125" t="n"/>
      <c r="K20" s="125" t="n"/>
      <c r="L20" s="125" t="n"/>
      <c r="M20" s="126">
        <f>M18+M19</f>
        <v/>
      </c>
      <c r="N20" s="26" t="n"/>
      <c r="O20" s="26" t="n"/>
      <c r="P20" s="26" t="n"/>
      <c r="Q20" s="26" t="n"/>
      <c r="R20" s="26" t="n"/>
      <c r="S20" s="26" t="n"/>
      <c r="T20" s="26" t="n"/>
      <c r="U20" s="26" t="n"/>
    </row>
  </sheetData>
  <autoFilter ref="A2:U20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horizontalDpi="600"/>
  <headerFooter>
    <oddHeader/>
    <oddFooter>&amp;C第 &amp;P 页，共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view="pageBreakPreview" zoomScaleNormal="100" workbookViewId="0">
      <selection activeCell="I8" sqref="I8"/>
    </sheetView>
  </sheetViews>
  <sheetFormatPr baseColWidth="8" defaultColWidth="8.733333333333331" defaultRowHeight="13.5"/>
  <cols>
    <col width="22.25" customWidth="1" style="95" min="2" max="2"/>
    <col width="30.5" customWidth="1" style="95" min="3" max="3"/>
    <col width="11" customWidth="1" style="95" min="4" max="4"/>
  </cols>
  <sheetData>
    <row r="1" ht="30" customHeight="1" s="95">
      <c r="A1" s="1" t="inlineStr">
        <is>
          <t>项目甲供材种类清单</t>
        </is>
      </c>
    </row>
    <row r="2" ht="30" customHeight="1" s="95">
      <c r="A2" s="2" t="inlineStr">
        <is>
          <t>序号</t>
        </is>
      </c>
      <c r="B2" s="2" t="inlineStr">
        <is>
          <t>材料名称</t>
        </is>
      </c>
      <c r="C2" s="2" t="inlineStr">
        <is>
          <t>供货及安装方式</t>
        </is>
      </c>
      <c r="D2" s="2" t="inlineStr">
        <is>
          <t>备注</t>
        </is>
      </c>
    </row>
    <row r="3" ht="30" customHeight="1" s="95">
      <c r="A3" s="3" t="n">
        <v>1</v>
      </c>
      <c r="B3" s="4" t="inlineStr">
        <is>
          <t>入户门</t>
        </is>
      </c>
      <c r="C3" s="4" t="inlineStr">
        <is>
          <t>供货+安装</t>
        </is>
      </c>
      <c r="D3" s="4" t="n"/>
    </row>
    <row r="4" ht="30" customHeight="1" s="95">
      <c r="A4" s="3" t="n">
        <v>2</v>
      </c>
      <c r="B4" s="4" t="inlineStr">
        <is>
          <t>墙地砖</t>
        </is>
      </c>
      <c r="C4" s="4" t="inlineStr">
        <is>
          <t>仅供货</t>
        </is>
      </c>
      <c r="D4" s="4" t="n"/>
    </row>
    <row r="5" ht="30" customHeight="1" s="95">
      <c r="A5" s="3" t="n">
        <v>3</v>
      </c>
      <c r="B5" s="4" t="inlineStr">
        <is>
          <t>户内门锁</t>
        </is>
      </c>
      <c r="C5" s="4" t="inlineStr">
        <is>
          <t>供货+安装</t>
        </is>
      </c>
      <c r="D5" s="4" t="n"/>
    </row>
    <row r="6" ht="30" customHeight="1" s="95">
      <c r="A6" s="3" t="n">
        <v>4</v>
      </c>
      <c r="B6" s="4" t="inlineStr">
        <is>
          <t>户内门</t>
        </is>
      </c>
      <c r="C6" s="4" t="inlineStr">
        <is>
          <t>供货+安装</t>
        </is>
      </c>
      <c r="D6" s="4" t="n"/>
    </row>
    <row r="7" ht="30" customHeight="1" s="95">
      <c r="A7" s="3" t="n">
        <v>5</v>
      </c>
      <c r="B7" s="4" t="inlineStr">
        <is>
          <t>星盆及龙头</t>
        </is>
      </c>
      <c r="C7" s="4" t="inlineStr">
        <is>
          <t>仅供货</t>
        </is>
      </c>
      <c r="D7" s="4" t="n"/>
    </row>
    <row r="8" ht="30" customHeight="1" s="95">
      <c r="A8" s="3" t="n">
        <v>6</v>
      </c>
      <c r="B8" s="4" t="inlineStr">
        <is>
          <t>洁具</t>
        </is>
      </c>
      <c r="C8" s="4" t="inlineStr">
        <is>
          <t>仅供货</t>
        </is>
      </c>
      <c r="D8" s="4" t="n"/>
    </row>
    <row r="9" ht="30" customHeight="1" s="95">
      <c r="A9" s="3" t="n">
        <v>7</v>
      </c>
      <c r="B9" s="4" t="inlineStr">
        <is>
          <t>龙头</t>
        </is>
      </c>
      <c r="C9" s="4" t="inlineStr">
        <is>
          <t>仅供货</t>
        </is>
      </c>
      <c r="D9" s="4" t="n"/>
    </row>
    <row r="10" ht="30" customHeight="1" s="95">
      <c r="A10" s="3" t="n">
        <v>8</v>
      </c>
      <c r="B10" s="4" t="inlineStr">
        <is>
          <t>卫浴五金</t>
        </is>
      </c>
      <c r="C10" s="4" t="inlineStr">
        <is>
          <t>仅供货</t>
        </is>
      </c>
      <c r="D10" s="4" t="n"/>
    </row>
    <row r="11" ht="30" customHeight="1" s="95">
      <c r="A11" s="3" t="n">
        <v>9</v>
      </c>
      <c r="B11" s="4" t="inlineStr">
        <is>
          <t>橱柜</t>
        </is>
      </c>
      <c r="C11" s="4" t="inlineStr">
        <is>
          <t>供货+安装</t>
        </is>
      </c>
      <c r="D11" s="4" t="n"/>
    </row>
    <row r="12" ht="30" customHeight="1" s="95">
      <c r="A12" s="3" t="n">
        <v>10</v>
      </c>
      <c r="B12" s="4" t="inlineStr">
        <is>
          <t>镜浴柜</t>
        </is>
      </c>
      <c r="C12" s="4" t="inlineStr">
        <is>
          <t>供货+安装</t>
        </is>
      </c>
      <c r="D12" s="4" t="n"/>
    </row>
    <row r="13" ht="30" customHeight="1" s="95">
      <c r="A13" s="3" t="n">
        <v>11</v>
      </c>
      <c r="B13" s="4" t="inlineStr">
        <is>
          <t>厨房电器</t>
        </is>
      </c>
      <c r="C13" s="4" t="inlineStr">
        <is>
          <t>供货+安装</t>
        </is>
      </c>
      <c r="D13" s="4" t="n"/>
    </row>
    <row r="14" ht="30" customHeight="1" s="95">
      <c r="A14" s="3" t="n">
        <v>12</v>
      </c>
      <c r="B14" s="4" t="inlineStr">
        <is>
          <t>空调</t>
        </is>
      </c>
      <c r="C14" s="4" t="inlineStr">
        <is>
          <t>供货+安装</t>
        </is>
      </c>
      <c r="D14" s="4" t="n"/>
    </row>
    <row r="15" ht="30" customHeight="1" s="95">
      <c r="A15" s="3" t="n">
        <v>13</v>
      </c>
      <c r="B15" s="4" t="inlineStr">
        <is>
          <t>电子门锁</t>
        </is>
      </c>
      <c r="C15" s="4" t="inlineStr">
        <is>
          <t>供货+安装</t>
        </is>
      </c>
      <c r="D15" s="4" t="n"/>
    </row>
  </sheetData>
  <mergeCells count="1">
    <mergeCell ref="A1:D1"/>
  </mergeCells>
  <printOptions horizontalCentered="1"/>
  <pageMargins left="0.751388888888889" right="0.751388888888889" top="1" bottom="1" header="0.5" footer="0.5"/>
  <pageSetup orientation="portrait" paperSize="9" horizontalDpi="600"/>
  <headerFooter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LCT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2026-08-25T04:24:20Z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E7AB81D37970402C826C02F770FF4A02_12</vt:lpwstr>
  </property>
  <property name="CalculationRule" fmtid="{D5CDD505-2E9C-101B-9397-08002B2CF9AE}" pid="4">
    <vt:i4 xmlns:vt="http://schemas.openxmlformats.org/officeDocument/2006/docPropsVTypes">0</vt:i4>
  </property>
</Properties>
</file>